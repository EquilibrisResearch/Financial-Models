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464EC2D5-41F5-4169-AB5E-25D936126CF8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0" i="8" l="1"/>
  <c r="S140" i="8"/>
  <c r="T43" i="9"/>
  <c r="S43" i="9"/>
  <c r="R43" i="9"/>
  <c r="Q43" i="9"/>
  <c r="P43" i="9"/>
  <c r="O43" i="9"/>
  <c r="N43" i="9"/>
  <c r="M43" i="9"/>
  <c r="L43" i="9"/>
  <c r="K43" i="9"/>
  <c r="T42" i="9"/>
  <c r="S42" i="9"/>
  <c r="R42" i="9"/>
  <c r="Q42" i="9"/>
  <c r="P42" i="9"/>
  <c r="O42" i="9"/>
  <c r="N42" i="9"/>
  <c r="M42" i="9"/>
  <c r="L42" i="9"/>
  <c r="K42" i="9"/>
  <c r="T41" i="9"/>
  <c r="S41" i="9"/>
  <c r="R41" i="9"/>
  <c r="Q41" i="9"/>
  <c r="P41" i="9"/>
  <c r="O41" i="9"/>
  <c r="N41" i="9"/>
  <c r="M41" i="9"/>
  <c r="L41" i="9"/>
  <c r="K41" i="9"/>
  <c r="T40" i="9"/>
  <c r="S40" i="9"/>
  <c r="R40" i="9"/>
  <c r="Q40" i="9"/>
  <c r="P40" i="9"/>
  <c r="O40" i="9"/>
  <c r="N40" i="9"/>
  <c r="M40" i="9"/>
  <c r="L40" i="9"/>
  <c r="K40" i="9"/>
  <c r="T39" i="9"/>
  <c r="S39" i="9"/>
  <c r="R39" i="9"/>
  <c r="Q39" i="9"/>
  <c r="P39" i="9"/>
  <c r="O39" i="9"/>
  <c r="N39" i="9"/>
  <c r="M39" i="9"/>
  <c r="L39" i="9"/>
  <c r="K39" i="9"/>
  <c r="J43" i="9"/>
  <c r="J42" i="9"/>
  <c r="J41" i="9"/>
  <c r="J40" i="9"/>
  <c r="J39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E41" i="9"/>
  <c r="D41" i="9"/>
  <c r="H40" i="9"/>
  <c r="G40" i="9"/>
  <c r="F40" i="9"/>
  <c r="E40" i="9"/>
  <c r="D40" i="9"/>
  <c r="H39" i="9"/>
  <c r="G39" i="9"/>
  <c r="F39" i="9"/>
  <c r="E39" i="9"/>
  <c r="D39" i="9"/>
  <c r="C43" i="9"/>
  <c r="C42" i="9"/>
  <c r="T35" i="9"/>
  <c r="S35" i="9"/>
  <c r="R35" i="9"/>
  <c r="Q35" i="9"/>
  <c r="P35" i="9"/>
  <c r="AB35" i="9" s="1"/>
  <c r="O35" i="9"/>
  <c r="N35" i="9"/>
  <c r="Z35" i="9" s="1"/>
  <c r="M35" i="9"/>
  <c r="L35" i="9"/>
  <c r="K35" i="9"/>
  <c r="J35" i="9"/>
  <c r="H35" i="9"/>
  <c r="G35" i="9"/>
  <c r="F35" i="9"/>
  <c r="E35" i="9"/>
  <c r="D35" i="9"/>
  <c r="C35" i="9"/>
  <c r="C41" i="9"/>
  <c r="C40" i="9"/>
  <c r="C39" i="9"/>
  <c r="T68" i="9"/>
  <c r="S68" i="9"/>
  <c r="R68" i="9"/>
  <c r="Q68" i="9"/>
  <c r="P68" i="9"/>
  <c r="O68" i="9"/>
  <c r="N68" i="9"/>
  <c r="M68" i="9"/>
  <c r="L68" i="9"/>
  <c r="K68" i="9"/>
  <c r="J68" i="9"/>
  <c r="H68" i="9"/>
  <c r="G68" i="9"/>
  <c r="F68" i="9"/>
  <c r="E68" i="9"/>
  <c r="D68" i="9"/>
  <c r="C68" i="9"/>
  <c r="T63" i="9"/>
  <c r="S63" i="9"/>
  <c r="R63" i="9"/>
  <c r="Q63" i="9"/>
  <c r="P63" i="9"/>
  <c r="O63" i="9"/>
  <c r="N63" i="9"/>
  <c r="M63" i="9"/>
  <c r="L63" i="9"/>
  <c r="K63" i="9"/>
  <c r="J63" i="9"/>
  <c r="H63" i="9"/>
  <c r="G63" i="9"/>
  <c r="F63" i="9"/>
  <c r="E63" i="9"/>
  <c r="D63" i="9"/>
  <c r="C63" i="9"/>
  <c r="T62" i="9"/>
  <c r="S62" i="9"/>
  <c r="S65" i="9" s="1"/>
  <c r="R62" i="9"/>
  <c r="Q62" i="9"/>
  <c r="Q65" i="9" s="1"/>
  <c r="P62" i="9"/>
  <c r="O62" i="9"/>
  <c r="N62" i="9"/>
  <c r="M62" i="9"/>
  <c r="M65" i="9" s="1"/>
  <c r="L62" i="9"/>
  <c r="K62" i="9"/>
  <c r="K65" i="9" s="1"/>
  <c r="J62" i="9"/>
  <c r="H62" i="9"/>
  <c r="H65" i="9" s="1"/>
  <c r="G62" i="9"/>
  <c r="F62" i="9"/>
  <c r="E62" i="9"/>
  <c r="D62" i="9"/>
  <c r="D65" i="9" s="1"/>
  <c r="D66" i="9" s="1"/>
  <c r="C62" i="9"/>
  <c r="T59" i="9"/>
  <c r="S59" i="9"/>
  <c r="R59" i="9"/>
  <c r="Q59" i="9"/>
  <c r="P59" i="9"/>
  <c r="O59" i="9"/>
  <c r="N59" i="9"/>
  <c r="M59" i="9"/>
  <c r="L59" i="9"/>
  <c r="K59" i="9"/>
  <c r="T58" i="9"/>
  <c r="S58" i="9"/>
  <c r="R58" i="9"/>
  <c r="Q58" i="9"/>
  <c r="P58" i="9"/>
  <c r="O58" i="9"/>
  <c r="N58" i="9"/>
  <c r="M58" i="9"/>
  <c r="L58" i="9"/>
  <c r="K58" i="9"/>
  <c r="J59" i="9"/>
  <c r="J58" i="9"/>
  <c r="H59" i="9"/>
  <c r="G59" i="9"/>
  <c r="F59" i="9"/>
  <c r="E59" i="9"/>
  <c r="D59" i="9"/>
  <c r="H58" i="9"/>
  <c r="G58" i="9"/>
  <c r="F58" i="9"/>
  <c r="E58" i="9"/>
  <c r="D58" i="9"/>
  <c r="C59" i="9"/>
  <c r="C58" i="9"/>
  <c r="T57" i="9"/>
  <c r="S57" i="9"/>
  <c r="R57" i="9"/>
  <c r="Q57" i="9"/>
  <c r="P57" i="9"/>
  <c r="O57" i="9"/>
  <c r="N57" i="9"/>
  <c r="M57" i="9"/>
  <c r="L57" i="9"/>
  <c r="K57" i="9"/>
  <c r="J57" i="9"/>
  <c r="H57" i="9"/>
  <c r="G57" i="9"/>
  <c r="F57" i="9"/>
  <c r="E57" i="9"/>
  <c r="D57" i="9"/>
  <c r="C57" i="9"/>
  <c r="T56" i="9"/>
  <c r="S56" i="9"/>
  <c r="R56" i="9"/>
  <c r="Q56" i="9"/>
  <c r="P56" i="9"/>
  <c r="O56" i="9"/>
  <c r="N56" i="9"/>
  <c r="M56" i="9"/>
  <c r="L56" i="9"/>
  <c r="K56" i="9"/>
  <c r="J56" i="9"/>
  <c r="H56" i="9"/>
  <c r="G56" i="9"/>
  <c r="F56" i="9"/>
  <c r="E56" i="9"/>
  <c r="D56" i="9"/>
  <c r="C56" i="9"/>
  <c r="T55" i="9"/>
  <c r="S55" i="9"/>
  <c r="R55" i="9"/>
  <c r="Q55" i="9"/>
  <c r="P55" i="9"/>
  <c r="O55" i="9"/>
  <c r="N55" i="9"/>
  <c r="M55" i="9"/>
  <c r="L55" i="9"/>
  <c r="K55" i="9"/>
  <c r="T54" i="9"/>
  <c r="S54" i="9"/>
  <c r="R54" i="9"/>
  <c r="Q54" i="9"/>
  <c r="P54" i="9"/>
  <c r="O54" i="9"/>
  <c r="N54" i="9"/>
  <c r="M54" i="9"/>
  <c r="L54" i="9"/>
  <c r="K54" i="9"/>
  <c r="J55" i="9"/>
  <c r="J54" i="9"/>
  <c r="H55" i="9"/>
  <c r="G55" i="9"/>
  <c r="F55" i="9"/>
  <c r="E55" i="9"/>
  <c r="D55" i="9"/>
  <c r="H54" i="9"/>
  <c r="G54" i="9"/>
  <c r="F54" i="9"/>
  <c r="E54" i="9"/>
  <c r="D54" i="9"/>
  <c r="C55" i="9"/>
  <c r="C54" i="9"/>
  <c r="T50" i="9"/>
  <c r="S50" i="9"/>
  <c r="R50" i="9"/>
  <c r="Q50" i="9"/>
  <c r="P50" i="9"/>
  <c r="O50" i="9"/>
  <c r="N50" i="9"/>
  <c r="M50" i="9"/>
  <c r="L50" i="9"/>
  <c r="K50" i="9"/>
  <c r="T49" i="9"/>
  <c r="S49" i="9"/>
  <c r="R49" i="9"/>
  <c r="Q49" i="9"/>
  <c r="P49" i="9"/>
  <c r="O49" i="9"/>
  <c r="N49" i="9"/>
  <c r="M49" i="9"/>
  <c r="L49" i="9"/>
  <c r="K49" i="9"/>
  <c r="J50" i="9"/>
  <c r="J49" i="9"/>
  <c r="H50" i="9"/>
  <c r="G50" i="9"/>
  <c r="F50" i="9"/>
  <c r="E50" i="9"/>
  <c r="D50" i="9"/>
  <c r="H49" i="9"/>
  <c r="G49" i="9"/>
  <c r="F49" i="9"/>
  <c r="E49" i="9"/>
  <c r="D49" i="9"/>
  <c r="C50" i="9"/>
  <c r="C49" i="9"/>
  <c r="T36" i="9"/>
  <c r="S36" i="9"/>
  <c r="R36" i="9"/>
  <c r="Q36" i="9"/>
  <c r="P36" i="9"/>
  <c r="O36" i="9"/>
  <c r="N36" i="9"/>
  <c r="M36" i="9"/>
  <c r="L36" i="9"/>
  <c r="K36" i="9"/>
  <c r="J36" i="9"/>
  <c r="H36" i="9"/>
  <c r="G36" i="9"/>
  <c r="F36" i="9"/>
  <c r="E36" i="9"/>
  <c r="D36" i="9"/>
  <c r="C36" i="9"/>
  <c r="T34" i="9"/>
  <c r="S34" i="9"/>
  <c r="R34" i="9"/>
  <c r="Q34" i="9"/>
  <c r="P34" i="9"/>
  <c r="O34" i="9"/>
  <c r="N34" i="9"/>
  <c r="M34" i="9"/>
  <c r="L34" i="9"/>
  <c r="K34" i="9"/>
  <c r="J34" i="9"/>
  <c r="H34" i="9"/>
  <c r="G34" i="9"/>
  <c r="F34" i="9"/>
  <c r="E34" i="9"/>
  <c r="D34" i="9"/>
  <c r="C34" i="9"/>
  <c r="T33" i="9"/>
  <c r="S33" i="9"/>
  <c r="R33" i="9"/>
  <c r="Q33" i="9"/>
  <c r="P33" i="9"/>
  <c r="O33" i="9"/>
  <c r="N33" i="9"/>
  <c r="M33" i="9"/>
  <c r="L33" i="9"/>
  <c r="K33" i="9"/>
  <c r="J33" i="9"/>
  <c r="H33" i="9"/>
  <c r="G33" i="9"/>
  <c r="F33" i="9"/>
  <c r="E33" i="9"/>
  <c r="D33" i="9"/>
  <c r="C33" i="9"/>
  <c r="T32" i="9"/>
  <c r="S32" i="9"/>
  <c r="R32" i="9"/>
  <c r="Q32" i="9"/>
  <c r="P32" i="9"/>
  <c r="O32" i="9"/>
  <c r="N32" i="9"/>
  <c r="M32" i="9"/>
  <c r="L32" i="9"/>
  <c r="K32" i="9"/>
  <c r="J32" i="9"/>
  <c r="H32" i="9"/>
  <c r="G32" i="9"/>
  <c r="F32" i="9"/>
  <c r="E32" i="9"/>
  <c r="D32" i="9"/>
  <c r="C32" i="9"/>
  <c r="T28" i="9"/>
  <c r="S28" i="9"/>
  <c r="R28" i="9"/>
  <c r="Q28" i="9"/>
  <c r="P28" i="9"/>
  <c r="O28" i="9"/>
  <c r="N28" i="9"/>
  <c r="M28" i="9"/>
  <c r="L28" i="9"/>
  <c r="K28" i="9"/>
  <c r="J28" i="9"/>
  <c r="H28" i="9"/>
  <c r="G28" i="9"/>
  <c r="F28" i="9"/>
  <c r="E28" i="9"/>
  <c r="D28" i="9"/>
  <c r="C28" i="9"/>
  <c r="T24" i="9"/>
  <c r="S24" i="9"/>
  <c r="R24" i="9"/>
  <c r="Q24" i="9"/>
  <c r="P24" i="9"/>
  <c r="O24" i="9"/>
  <c r="N24" i="9"/>
  <c r="M24" i="9"/>
  <c r="L24" i="9"/>
  <c r="K24" i="9"/>
  <c r="J24" i="9"/>
  <c r="H24" i="9"/>
  <c r="G24" i="9"/>
  <c r="F24" i="9"/>
  <c r="E24" i="9"/>
  <c r="D24" i="9"/>
  <c r="C24" i="9"/>
  <c r="T20" i="9"/>
  <c r="S20" i="9"/>
  <c r="R20" i="9"/>
  <c r="Q20" i="9"/>
  <c r="P20" i="9"/>
  <c r="O20" i="9"/>
  <c r="N20" i="9"/>
  <c r="M20" i="9"/>
  <c r="L20" i="9"/>
  <c r="K20" i="9"/>
  <c r="T19" i="9"/>
  <c r="S19" i="9"/>
  <c r="R19" i="9"/>
  <c r="Q19" i="9"/>
  <c r="P19" i="9"/>
  <c r="O19" i="9"/>
  <c r="N19" i="9"/>
  <c r="M19" i="9"/>
  <c r="L19" i="9"/>
  <c r="K19" i="9"/>
  <c r="T18" i="9"/>
  <c r="S18" i="9"/>
  <c r="R18" i="9"/>
  <c r="Q18" i="9"/>
  <c r="P18" i="9"/>
  <c r="O18" i="9"/>
  <c r="N18" i="9"/>
  <c r="M18" i="9"/>
  <c r="L18" i="9"/>
  <c r="K18" i="9"/>
  <c r="J20" i="9"/>
  <c r="J19" i="9"/>
  <c r="J18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C20" i="9"/>
  <c r="C19" i="9"/>
  <c r="C18" i="9"/>
  <c r="T14" i="9"/>
  <c r="S14" i="9"/>
  <c r="R14" i="9"/>
  <c r="Q14" i="9"/>
  <c r="P14" i="9"/>
  <c r="O14" i="9"/>
  <c r="N14" i="9"/>
  <c r="M14" i="9"/>
  <c r="L14" i="9"/>
  <c r="K14" i="9"/>
  <c r="J14" i="9"/>
  <c r="H14" i="9"/>
  <c r="G14" i="9"/>
  <c r="F14" i="9"/>
  <c r="E14" i="9"/>
  <c r="D14" i="9"/>
  <c r="C14" i="9"/>
  <c r="T9" i="9"/>
  <c r="S9" i="9"/>
  <c r="R9" i="9"/>
  <c r="Q9" i="9"/>
  <c r="P9" i="9"/>
  <c r="O9" i="9"/>
  <c r="N9" i="9"/>
  <c r="M9" i="9"/>
  <c r="L9" i="9"/>
  <c r="K9" i="9"/>
  <c r="T8" i="9"/>
  <c r="S8" i="9"/>
  <c r="R8" i="9"/>
  <c r="Q8" i="9"/>
  <c r="P8" i="9"/>
  <c r="O8" i="9"/>
  <c r="N8" i="9"/>
  <c r="M8" i="9"/>
  <c r="L8" i="9"/>
  <c r="K8" i="9"/>
  <c r="T7" i="9"/>
  <c r="S7" i="9"/>
  <c r="R7" i="9"/>
  <c r="Q7" i="9"/>
  <c r="P7" i="9"/>
  <c r="O7" i="9"/>
  <c r="N7" i="9"/>
  <c r="M7" i="9"/>
  <c r="L7" i="9"/>
  <c r="K7" i="9"/>
  <c r="T6" i="9"/>
  <c r="S6" i="9"/>
  <c r="R6" i="9"/>
  <c r="Q6" i="9"/>
  <c r="P6" i="9"/>
  <c r="O6" i="9"/>
  <c r="N6" i="9"/>
  <c r="M6" i="9"/>
  <c r="L6" i="9"/>
  <c r="K6" i="9"/>
  <c r="J9" i="9"/>
  <c r="J8" i="9"/>
  <c r="J7" i="9"/>
  <c r="J6" i="9"/>
  <c r="H9" i="9"/>
  <c r="G9" i="9"/>
  <c r="F9" i="9"/>
  <c r="E9" i="9"/>
  <c r="D9" i="9"/>
  <c r="H8" i="9"/>
  <c r="G8" i="9"/>
  <c r="F8" i="9"/>
  <c r="E8" i="9"/>
  <c r="D8" i="9"/>
  <c r="H7" i="9"/>
  <c r="G7" i="9"/>
  <c r="F7" i="9"/>
  <c r="E7" i="9"/>
  <c r="D7" i="9"/>
  <c r="H6" i="9"/>
  <c r="G6" i="9"/>
  <c r="F6" i="9"/>
  <c r="E6" i="9"/>
  <c r="D6" i="9"/>
  <c r="C9" i="9"/>
  <c r="C8" i="9"/>
  <c r="C7" i="9"/>
  <c r="C6" i="9"/>
  <c r="T4" i="9"/>
  <c r="S4" i="9"/>
  <c r="R4" i="9"/>
  <c r="Q4" i="9"/>
  <c r="P4" i="9"/>
  <c r="O4" i="9"/>
  <c r="N4" i="9"/>
  <c r="M4" i="9"/>
  <c r="L4" i="9"/>
  <c r="K4" i="9"/>
  <c r="T3" i="9"/>
  <c r="S3" i="9"/>
  <c r="R3" i="9"/>
  <c r="Q3" i="9"/>
  <c r="P3" i="9"/>
  <c r="O3" i="9"/>
  <c r="N3" i="9"/>
  <c r="M3" i="9"/>
  <c r="L3" i="9"/>
  <c r="K3" i="9"/>
  <c r="J4" i="9"/>
  <c r="J3" i="9"/>
  <c r="C4" i="9"/>
  <c r="C3" i="9"/>
  <c r="G4" i="9"/>
  <c r="F4" i="9"/>
  <c r="E4" i="9"/>
  <c r="D4" i="9"/>
  <c r="G3" i="9"/>
  <c r="F3" i="9"/>
  <c r="E3" i="9"/>
  <c r="D3" i="9"/>
  <c r="H4" i="9"/>
  <c r="H3" i="9"/>
  <c r="AC129" i="8"/>
  <c r="AB129" i="8"/>
  <c r="AA129" i="8"/>
  <c r="Z129" i="8"/>
  <c r="Y129" i="8"/>
  <c r="X129" i="8"/>
  <c r="W129" i="8"/>
  <c r="W128" i="8"/>
  <c r="V129" i="8"/>
  <c r="V128" i="8"/>
  <c r="V130" i="8" s="1"/>
  <c r="AB134" i="8"/>
  <c r="AA134" i="8"/>
  <c r="Z134" i="8"/>
  <c r="Y134" i="8"/>
  <c r="X134" i="8"/>
  <c r="W134" i="8"/>
  <c r="V134" i="8"/>
  <c r="AB133" i="8"/>
  <c r="AA133" i="8"/>
  <c r="Z133" i="8"/>
  <c r="Y133" i="8"/>
  <c r="X133" i="8"/>
  <c r="W133" i="8"/>
  <c r="V133" i="8"/>
  <c r="AB132" i="8"/>
  <c r="AA132" i="8"/>
  <c r="Z132" i="8"/>
  <c r="Y132" i="8"/>
  <c r="X132" i="8"/>
  <c r="W132" i="8"/>
  <c r="V132" i="8"/>
  <c r="AC134" i="8"/>
  <c r="AC133" i="8"/>
  <c r="AC132" i="8"/>
  <c r="T122" i="8"/>
  <c r="T121" i="8"/>
  <c r="T120" i="8"/>
  <c r="T119" i="8"/>
  <c r="T118" i="8"/>
  <c r="S118" i="8"/>
  <c r="S119" i="8"/>
  <c r="S120" i="8"/>
  <c r="S121" i="8"/>
  <c r="S122" i="8"/>
  <c r="T107" i="8"/>
  <c r="T108" i="8"/>
  <c r="T109" i="8"/>
  <c r="T110" i="8"/>
  <c r="T111" i="8"/>
  <c r="T112" i="8"/>
  <c r="T113" i="8"/>
  <c r="S113" i="8"/>
  <c r="S112" i="8"/>
  <c r="S111" i="8"/>
  <c r="S110" i="8"/>
  <c r="S109" i="8"/>
  <c r="S108" i="8"/>
  <c r="S107" i="8"/>
  <c r="T96" i="8"/>
  <c r="T95" i="8"/>
  <c r="T94" i="8"/>
  <c r="T93" i="8"/>
  <c r="T92" i="8"/>
  <c r="S92" i="8"/>
  <c r="S93" i="8"/>
  <c r="S94" i="8"/>
  <c r="S95" i="8"/>
  <c r="S96" i="8"/>
  <c r="T99" i="8"/>
  <c r="T98" i="8"/>
  <c r="T100" i="8"/>
  <c r="T101" i="8"/>
  <c r="T102" i="8"/>
  <c r="T103" i="8"/>
  <c r="S103" i="8"/>
  <c r="S102" i="8"/>
  <c r="S101" i="8"/>
  <c r="S100" i="8"/>
  <c r="S99" i="8"/>
  <c r="S98" i="8"/>
  <c r="AC49" i="8"/>
  <c r="AB49" i="8"/>
  <c r="AA49" i="8"/>
  <c r="Z49" i="8"/>
  <c r="Y49" i="8"/>
  <c r="X49" i="8"/>
  <c r="W49" i="8"/>
  <c r="V49" i="8"/>
  <c r="F96" i="8"/>
  <c r="O94" i="8"/>
  <c r="P94" i="8" s="1"/>
  <c r="K94" i="8"/>
  <c r="L94" i="8" s="1"/>
  <c r="L140" i="8"/>
  <c r="P140" i="8"/>
  <c r="O92" i="8"/>
  <c r="O93" i="8"/>
  <c r="P93" i="8" s="1"/>
  <c r="Q93" i="8" s="1"/>
  <c r="AC93" i="8" s="1"/>
  <c r="O95" i="8"/>
  <c r="P95" i="8" s="1"/>
  <c r="O96" i="8"/>
  <c r="P96" i="8" s="1"/>
  <c r="O98" i="8"/>
  <c r="P98" i="8" s="1"/>
  <c r="Q98" i="8" s="1"/>
  <c r="O99" i="8"/>
  <c r="P99" i="8" s="1"/>
  <c r="Q99" i="8" s="1"/>
  <c r="AC99" i="8" s="1"/>
  <c r="O100" i="8"/>
  <c r="O101" i="8"/>
  <c r="P101" i="8" s="1"/>
  <c r="Q101" i="8" s="1"/>
  <c r="O102" i="8"/>
  <c r="P102" i="8" s="1"/>
  <c r="Q102" i="8" s="1"/>
  <c r="O103" i="8"/>
  <c r="P103" i="8" s="1"/>
  <c r="Q103" i="8" s="1"/>
  <c r="AC103" i="8" s="1"/>
  <c r="O107" i="8"/>
  <c r="P107" i="8" s="1"/>
  <c r="O108" i="8"/>
  <c r="P108" i="8" s="1"/>
  <c r="O109" i="8"/>
  <c r="O110" i="8"/>
  <c r="O111" i="8"/>
  <c r="P111" i="8" s="1"/>
  <c r="Q111" i="8" s="1"/>
  <c r="O112" i="8"/>
  <c r="P112" i="8" s="1"/>
  <c r="Q112" i="8" s="1"/>
  <c r="AB112" i="8" s="1"/>
  <c r="O113" i="8"/>
  <c r="P113" i="8" s="1"/>
  <c r="Q113" i="8" s="1"/>
  <c r="AB113" i="8" s="1"/>
  <c r="O114" i="8"/>
  <c r="P114" i="8" s="1"/>
  <c r="O118" i="8"/>
  <c r="O119" i="8"/>
  <c r="P119" i="8" s="1"/>
  <c r="Q119" i="8" s="1"/>
  <c r="AC119" i="8" s="1"/>
  <c r="O120" i="8"/>
  <c r="P120" i="8" s="1"/>
  <c r="O121" i="8"/>
  <c r="P121" i="8" s="1"/>
  <c r="O122" i="8"/>
  <c r="P122" i="8" s="1"/>
  <c r="O123" i="8"/>
  <c r="L121" i="8"/>
  <c r="K92" i="8"/>
  <c r="L92" i="8" s="1"/>
  <c r="K93" i="8"/>
  <c r="L93" i="8" s="1"/>
  <c r="K95" i="8"/>
  <c r="L95" i="8" s="1"/>
  <c r="K96" i="8"/>
  <c r="K98" i="8"/>
  <c r="L98" i="8" s="1"/>
  <c r="M98" i="8" s="1"/>
  <c r="K99" i="8"/>
  <c r="L99" i="8" s="1"/>
  <c r="M99" i="8" s="1"/>
  <c r="K100" i="8"/>
  <c r="L100" i="8" s="1"/>
  <c r="M100" i="8" s="1"/>
  <c r="K101" i="8"/>
  <c r="L101" i="8" s="1"/>
  <c r="K102" i="8"/>
  <c r="L102" i="8" s="1"/>
  <c r="K103" i="8"/>
  <c r="L103" i="8" s="1"/>
  <c r="K107" i="8"/>
  <c r="L107" i="8" s="1"/>
  <c r="M107" i="8" s="1"/>
  <c r="W107" i="8" s="1"/>
  <c r="K109" i="8"/>
  <c r="L109" i="8" s="1"/>
  <c r="M109" i="8" s="1"/>
  <c r="K110" i="8"/>
  <c r="L110" i="8" s="1"/>
  <c r="M110" i="8" s="1"/>
  <c r="V110" i="8" s="1"/>
  <c r="K111" i="8"/>
  <c r="L111" i="8" s="1"/>
  <c r="K114" i="8"/>
  <c r="L114" i="8" s="1"/>
  <c r="K118" i="8"/>
  <c r="L118" i="8" s="1"/>
  <c r="M118" i="8" s="1"/>
  <c r="X118" i="8" s="1"/>
  <c r="K119" i="8"/>
  <c r="L119" i="8" s="1"/>
  <c r="K120" i="8"/>
  <c r="L120" i="8" s="1"/>
  <c r="M120" i="8" s="1"/>
  <c r="K121" i="8"/>
  <c r="K122" i="8"/>
  <c r="L122" i="8" s="1"/>
  <c r="M122" i="8" s="1"/>
  <c r="K123" i="8"/>
  <c r="L123" i="8" s="1"/>
  <c r="M123" i="8" s="1"/>
  <c r="AC41" i="10"/>
  <c r="AB41" i="10"/>
  <c r="AA41" i="10"/>
  <c r="Z41" i="10"/>
  <c r="Y41" i="10"/>
  <c r="X41" i="10"/>
  <c r="W41" i="10"/>
  <c r="V41" i="10"/>
  <c r="AC47" i="10"/>
  <c r="AB47" i="10"/>
  <c r="AA47" i="10"/>
  <c r="Z47" i="10"/>
  <c r="Y47" i="10"/>
  <c r="X47" i="10"/>
  <c r="W47" i="10"/>
  <c r="V47" i="10"/>
  <c r="AC46" i="10"/>
  <c r="AB46" i="10"/>
  <c r="AA46" i="10"/>
  <c r="Z46" i="10"/>
  <c r="Y46" i="10"/>
  <c r="X46" i="10"/>
  <c r="W46" i="10"/>
  <c r="V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AC43" i="10"/>
  <c r="AB43" i="10"/>
  <c r="AA43" i="10"/>
  <c r="Z43" i="10"/>
  <c r="Y43" i="10"/>
  <c r="X43" i="10"/>
  <c r="W43" i="10"/>
  <c r="V43" i="10"/>
  <c r="AC21" i="10"/>
  <c r="AB21" i="10"/>
  <c r="AA21" i="10"/>
  <c r="Z21" i="10"/>
  <c r="Y21" i="10"/>
  <c r="X21" i="10"/>
  <c r="W21" i="10"/>
  <c r="V21" i="10"/>
  <c r="AC20" i="10"/>
  <c r="AB20" i="10"/>
  <c r="AA20" i="10"/>
  <c r="Z20" i="10"/>
  <c r="Y20" i="10"/>
  <c r="X20" i="10"/>
  <c r="W20" i="10"/>
  <c r="V20" i="10"/>
  <c r="AC19" i="10"/>
  <c r="AB19" i="10"/>
  <c r="AA19" i="10"/>
  <c r="Z19" i="10"/>
  <c r="Y19" i="10"/>
  <c r="X19" i="10"/>
  <c r="W19" i="10"/>
  <c r="V19" i="10"/>
  <c r="AC18" i="10"/>
  <c r="AB18" i="10"/>
  <c r="AA18" i="10"/>
  <c r="Z18" i="10"/>
  <c r="Y18" i="10"/>
  <c r="X18" i="10"/>
  <c r="W18" i="10"/>
  <c r="V18" i="10"/>
  <c r="AC17" i="10"/>
  <c r="AB17" i="10"/>
  <c r="AA17" i="10"/>
  <c r="Z17" i="10"/>
  <c r="Y17" i="10"/>
  <c r="X17" i="10"/>
  <c r="W17" i="10"/>
  <c r="V17" i="10"/>
  <c r="AC30" i="10"/>
  <c r="AB30" i="10"/>
  <c r="AA30" i="10"/>
  <c r="Z30" i="10"/>
  <c r="Y30" i="10"/>
  <c r="X30" i="10"/>
  <c r="W30" i="10"/>
  <c r="V30" i="10"/>
  <c r="AC29" i="10"/>
  <c r="AB29" i="10"/>
  <c r="AA29" i="10"/>
  <c r="Z29" i="10"/>
  <c r="Y29" i="10"/>
  <c r="X29" i="10"/>
  <c r="W29" i="10"/>
  <c r="V29" i="10"/>
  <c r="AC39" i="10"/>
  <c r="AB39" i="10"/>
  <c r="AA39" i="10"/>
  <c r="Z39" i="10"/>
  <c r="Y39" i="10"/>
  <c r="X39" i="10"/>
  <c r="W39" i="10"/>
  <c r="V39" i="10"/>
  <c r="AC38" i="10"/>
  <c r="AB38" i="10"/>
  <c r="AA38" i="10"/>
  <c r="Z38" i="10"/>
  <c r="Y38" i="10"/>
  <c r="X38" i="10"/>
  <c r="W38" i="10"/>
  <c r="V38" i="10"/>
  <c r="AC37" i="10"/>
  <c r="AB37" i="10"/>
  <c r="AA37" i="10"/>
  <c r="Z37" i="10"/>
  <c r="Y37" i="10"/>
  <c r="X37" i="10"/>
  <c r="W37" i="10"/>
  <c r="V37" i="10"/>
  <c r="AC36" i="10"/>
  <c r="AB36" i="10"/>
  <c r="AA36" i="10"/>
  <c r="Z36" i="10"/>
  <c r="Y36" i="10"/>
  <c r="X36" i="10"/>
  <c r="W36" i="10"/>
  <c r="V36" i="10"/>
  <c r="AC35" i="10"/>
  <c r="AB35" i="10"/>
  <c r="AA35" i="10"/>
  <c r="Z35" i="10"/>
  <c r="Y35" i="10"/>
  <c r="X35" i="10"/>
  <c r="W35" i="10"/>
  <c r="V35" i="10"/>
  <c r="AC25" i="10"/>
  <c r="AB25" i="10"/>
  <c r="AA25" i="10"/>
  <c r="Z25" i="10"/>
  <c r="Y25" i="10"/>
  <c r="X25" i="10"/>
  <c r="W25" i="10"/>
  <c r="V25" i="10"/>
  <c r="AC24" i="10"/>
  <c r="AB24" i="10"/>
  <c r="AA24" i="10"/>
  <c r="Z24" i="10"/>
  <c r="Y24" i="10"/>
  <c r="X24" i="10"/>
  <c r="W24" i="10"/>
  <c r="V24" i="10"/>
  <c r="AC13" i="10"/>
  <c r="AB13" i="10"/>
  <c r="AA13" i="10"/>
  <c r="Z13" i="10"/>
  <c r="Y13" i="10"/>
  <c r="X13" i="10"/>
  <c r="W13" i="10"/>
  <c r="V13" i="10"/>
  <c r="AC12" i="10"/>
  <c r="AB12" i="10"/>
  <c r="AA12" i="10"/>
  <c r="Z12" i="10"/>
  <c r="Y12" i="10"/>
  <c r="X12" i="10"/>
  <c r="W12" i="10"/>
  <c r="V12" i="10"/>
  <c r="AC11" i="10"/>
  <c r="AB11" i="10"/>
  <c r="AA11" i="10"/>
  <c r="Z11" i="10"/>
  <c r="Y11" i="10"/>
  <c r="X11" i="10"/>
  <c r="W11" i="10"/>
  <c r="V11" i="10"/>
  <c r="AC10" i="10"/>
  <c r="AB10" i="10"/>
  <c r="AA10" i="10"/>
  <c r="Z10" i="10"/>
  <c r="Y10" i="10"/>
  <c r="X10" i="10"/>
  <c r="W10" i="10"/>
  <c r="V10" i="10"/>
  <c r="AB9" i="10"/>
  <c r="AA9" i="10"/>
  <c r="Z9" i="10"/>
  <c r="Y9" i="10"/>
  <c r="X9" i="10"/>
  <c r="W9" i="10"/>
  <c r="V9" i="10"/>
  <c r="AC9" i="10"/>
  <c r="M13" i="10"/>
  <c r="M12" i="10"/>
  <c r="M11" i="10"/>
  <c r="M10" i="10"/>
  <c r="M9" i="10"/>
  <c r="AC77" i="8"/>
  <c r="AB77" i="8"/>
  <c r="AA77" i="8"/>
  <c r="Y77" i="8"/>
  <c r="X77" i="8"/>
  <c r="W77" i="8"/>
  <c r="AC76" i="8"/>
  <c r="AB76" i="8"/>
  <c r="AA76" i="8"/>
  <c r="Y76" i="8"/>
  <c r="X76" i="8"/>
  <c r="W76" i="8"/>
  <c r="AC75" i="8"/>
  <c r="AB75" i="8"/>
  <c r="AA75" i="8"/>
  <c r="Y75" i="8"/>
  <c r="X75" i="8"/>
  <c r="W75" i="8"/>
  <c r="AC74" i="8"/>
  <c r="AB74" i="8"/>
  <c r="AA74" i="8"/>
  <c r="Y74" i="8"/>
  <c r="X74" i="8"/>
  <c r="W74" i="8"/>
  <c r="AC73" i="8"/>
  <c r="AB73" i="8"/>
  <c r="AA73" i="8"/>
  <c r="Y73" i="8"/>
  <c r="X73" i="8"/>
  <c r="X78" i="8" s="1"/>
  <c r="W73" i="8"/>
  <c r="AC72" i="8"/>
  <c r="AB72" i="8"/>
  <c r="AA72" i="8"/>
  <c r="Y72" i="8"/>
  <c r="X72" i="8"/>
  <c r="W72" i="8"/>
  <c r="W78" i="8" s="1"/>
  <c r="AC69" i="8"/>
  <c r="AB69" i="8"/>
  <c r="AA69" i="8"/>
  <c r="Y69" i="8"/>
  <c r="X69" i="8"/>
  <c r="W69" i="8"/>
  <c r="AC68" i="8"/>
  <c r="AB68" i="8"/>
  <c r="AA68" i="8"/>
  <c r="Y68" i="8"/>
  <c r="X68" i="8"/>
  <c r="W68" i="8"/>
  <c r="AC67" i="8"/>
  <c r="AB67" i="8"/>
  <c r="AA67" i="8"/>
  <c r="Y67" i="8"/>
  <c r="X67" i="8"/>
  <c r="W67" i="8"/>
  <c r="AC63" i="8"/>
  <c r="AB63" i="8"/>
  <c r="AA63" i="8"/>
  <c r="Y63" i="8"/>
  <c r="X63" i="8"/>
  <c r="X64" i="8" s="1"/>
  <c r="W63" i="8"/>
  <c r="AC62" i="8"/>
  <c r="AB62" i="8"/>
  <c r="AA62" i="8"/>
  <c r="Y62" i="8"/>
  <c r="X62" i="8"/>
  <c r="W62" i="8"/>
  <c r="AC61" i="8"/>
  <c r="AB61" i="8"/>
  <c r="AA61" i="8"/>
  <c r="Y61" i="8"/>
  <c r="X61" i="8"/>
  <c r="W61" i="8"/>
  <c r="AC57" i="8"/>
  <c r="AB57" i="8"/>
  <c r="AA57" i="8"/>
  <c r="Y57" i="8"/>
  <c r="X57" i="8"/>
  <c r="W57" i="8"/>
  <c r="AC56" i="8"/>
  <c r="AB56" i="8"/>
  <c r="AA56" i="8"/>
  <c r="Y56" i="8"/>
  <c r="X56" i="8"/>
  <c r="W56" i="8"/>
  <c r="AC55" i="8"/>
  <c r="AB55" i="8"/>
  <c r="AA55" i="8"/>
  <c r="Y55" i="8"/>
  <c r="X55" i="8"/>
  <c r="W55" i="8"/>
  <c r="AC54" i="8"/>
  <c r="AB54" i="8"/>
  <c r="AA54" i="8"/>
  <c r="Y54" i="8"/>
  <c r="X54" i="8"/>
  <c r="W54" i="8"/>
  <c r="AC53" i="8"/>
  <c r="AB53" i="8"/>
  <c r="AA53" i="8"/>
  <c r="Y53" i="8"/>
  <c r="X53" i="8"/>
  <c r="W53" i="8"/>
  <c r="AC52" i="8"/>
  <c r="AB52" i="8"/>
  <c r="AA52" i="8"/>
  <c r="Y52" i="8"/>
  <c r="X52" i="8"/>
  <c r="W52" i="8"/>
  <c r="AC48" i="8"/>
  <c r="AB48" i="8"/>
  <c r="AA48" i="8"/>
  <c r="Y48" i="8"/>
  <c r="X48" i="8"/>
  <c r="W48" i="8"/>
  <c r="AC47" i="8"/>
  <c r="AB47" i="8"/>
  <c r="AA47" i="8"/>
  <c r="Y47" i="8"/>
  <c r="X47" i="8"/>
  <c r="W47" i="8"/>
  <c r="AC46" i="8"/>
  <c r="AB46" i="8"/>
  <c r="AA46" i="8"/>
  <c r="Y46" i="8"/>
  <c r="X46" i="8"/>
  <c r="W46" i="8"/>
  <c r="AC45" i="8"/>
  <c r="AB45" i="8"/>
  <c r="AA45" i="8"/>
  <c r="Y45" i="8"/>
  <c r="X45" i="8"/>
  <c r="W45" i="8"/>
  <c r="AC44" i="8"/>
  <c r="AB44" i="8"/>
  <c r="AA44" i="8"/>
  <c r="Y44" i="8"/>
  <c r="X44" i="8"/>
  <c r="W44" i="8"/>
  <c r="AC36" i="8"/>
  <c r="AB36" i="8"/>
  <c r="AA36" i="8"/>
  <c r="Y36" i="8"/>
  <c r="X36" i="8"/>
  <c r="W36" i="8"/>
  <c r="AB33" i="8"/>
  <c r="AA33" i="8"/>
  <c r="Y33" i="8"/>
  <c r="X33" i="8"/>
  <c r="W33" i="8"/>
  <c r="AC33" i="8"/>
  <c r="AB8" i="8"/>
  <c r="AA8" i="8"/>
  <c r="Y8" i="8"/>
  <c r="Y86" i="8" s="1"/>
  <c r="X8" i="8"/>
  <c r="X41" i="8" s="1"/>
  <c r="W8" i="8"/>
  <c r="W86" i="8" s="1"/>
  <c r="AB7" i="8"/>
  <c r="AA7" i="8"/>
  <c r="Z7" i="8"/>
  <c r="Y7" i="8"/>
  <c r="Y40" i="8" s="1"/>
  <c r="X7" i="8"/>
  <c r="X40" i="8" s="1"/>
  <c r="W7" i="8"/>
  <c r="W40" i="8" s="1"/>
  <c r="V7" i="8"/>
  <c r="V40" i="8" s="1"/>
  <c r="AC8" i="8"/>
  <c r="AC7" i="8"/>
  <c r="W41" i="8"/>
  <c r="M113" i="8"/>
  <c r="M112" i="8"/>
  <c r="Q141" i="8"/>
  <c r="AC141" i="8" s="1"/>
  <c r="Q133" i="8"/>
  <c r="Q132" i="8"/>
  <c r="Q125" i="8"/>
  <c r="AC125" i="8" s="1"/>
  <c r="Q124" i="8"/>
  <c r="AC124" i="8" s="1"/>
  <c r="M121" i="8"/>
  <c r="V121" i="8" s="1"/>
  <c r="Q36" i="8"/>
  <c r="Z36" i="8" s="1"/>
  <c r="M36" i="8"/>
  <c r="V36" i="8" s="1"/>
  <c r="D129" i="8"/>
  <c r="M48" i="8"/>
  <c r="V48" i="8" s="1"/>
  <c r="M47" i="8"/>
  <c r="V47" i="8" s="1"/>
  <c r="M46" i="8"/>
  <c r="V46" i="8" s="1"/>
  <c r="M45" i="8"/>
  <c r="V45" i="8" s="1"/>
  <c r="M44" i="8"/>
  <c r="V44" i="8" s="1"/>
  <c r="M57" i="8"/>
  <c r="V57" i="8" s="1"/>
  <c r="M56" i="8"/>
  <c r="V56" i="8" s="1"/>
  <c r="M55" i="8"/>
  <c r="V55" i="8" s="1"/>
  <c r="M54" i="8"/>
  <c r="V54" i="8" s="1"/>
  <c r="M53" i="8"/>
  <c r="V53" i="8" s="1"/>
  <c r="M52" i="8"/>
  <c r="V52" i="8" s="1"/>
  <c r="M63" i="8"/>
  <c r="V63" i="8" s="1"/>
  <c r="M62" i="8"/>
  <c r="V62" i="8" s="1"/>
  <c r="M61" i="8"/>
  <c r="V61" i="8" s="1"/>
  <c r="M69" i="8"/>
  <c r="V69" i="8" s="1"/>
  <c r="M68" i="8"/>
  <c r="V68" i="8" s="1"/>
  <c r="M67" i="8"/>
  <c r="V67" i="8" s="1"/>
  <c r="M76" i="8"/>
  <c r="V76" i="8" s="1"/>
  <c r="M75" i="8"/>
  <c r="V75" i="8" s="1"/>
  <c r="M74" i="8"/>
  <c r="V74" i="8" s="1"/>
  <c r="M73" i="8"/>
  <c r="V73" i="8" s="1"/>
  <c r="M72" i="8"/>
  <c r="V72" i="8" s="1"/>
  <c r="Q77" i="8"/>
  <c r="Z77" i="8" s="1"/>
  <c r="Q76" i="8"/>
  <c r="Z76" i="8" s="1"/>
  <c r="Q75" i="8"/>
  <c r="Z75" i="8" s="1"/>
  <c r="Q74" i="8"/>
  <c r="Z74" i="8" s="1"/>
  <c r="Q73" i="8"/>
  <c r="Z73" i="8" s="1"/>
  <c r="Q72" i="8"/>
  <c r="Z72" i="8" s="1"/>
  <c r="Q69" i="8"/>
  <c r="Z69" i="8" s="1"/>
  <c r="Q68" i="8"/>
  <c r="Z68" i="8" s="1"/>
  <c r="Q67" i="8"/>
  <c r="Z67" i="8" s="1"/>
  <c r="Q63" i="8"/>
  <c r="Z63" i="8" s="1"/>
  <c r="Q62" i="8"/>
  <c r="Z62" i="8" s="1"/>
  <c r="Q61" i="8"/>
  <c r="Z61" i="8" s="1"/>
  <c r="Q57" i="8"/>
  <c r="Z57" i="8" s="1"/>
  <c r="Q56" i="8"/>
  <c r="Z56" i="8" s="1"/>
  <c r="Q55" i="8"/>
  <c r="Z55" i="8" s="1"/>
  <c r="Q54" i="8"/>
  <c r="Z54" i="8" s="1"/>
  <c r="Q53" i="8"/>
  <c r="Z53" i="8" s="1"/>
  <c r="Q52" i="8"/>
  <c r="Z52" i="8" s="1"/>
  <c r="Q48" i="8"/>
  <c r="Z48" i="8" s="1"/>
  <c r="Q47" i="8"/>
  <c r="Z47" i="8" s="1"/>
  <c r="Q46" i="8"/>
  <c r="Z46" i="8" s="1"/>
  <c r="Q45" i="8"/>
  <c r="Z45" i="8" s="1"/>
  <c r="Q44" i="8"/>
  <c r="Z44" i="8" s="1"/>
  <c r="M124" i="8"/>
  <c r="V124" i="8" s="1"/>
  <c r="M108" i="8"/>
  <c r="H78" i="8"/>
  <c r="M77" i="8"/>
  <c r="V77" i="8" s="1"/>
  <c r="Q8" i="8"/>
  <c r="Q4" i="10" s="1"/>
  <c r="Z4" i="10" s="1"/>
  <c r="M8" i="8"/>
  <c r="V8" i="8" s="1"/>
  <c r="F4" i="10"/>
  <c r="P4" i="10"/>
  <c r="Y4" i="10" s="1"/>
  <c r="S4" i="10"/>
  <c r="AB4" i="10" s="1"/>
  <c r="Q39" i="10"/>
  <c r="Q38" i="10"/>
  <c r="Q37" i="10"/>
  <c r="Q36" i="10"/>
  <c r="Q35" i="10"/>
  <c r="M39" i="10"/>
  <c r="M38" i="10"/>
  <c r="M37" i="10"/>
  <c r="M36" i="10"/>
  <c r="M35" i="10"/>
  <c r="B45" i="10"/>
  <c r="B19" i="10"/>
  <c r="Q11" i="10"/>
  <c r="Q25" i="10"/>
  <c r="Q24" i="10"/>
  <c r="M25" i="10"/>
  <c r="M24" i="10"/>
  <c r="B30" i="10"/>
  <c r="B29" i="10"/>
  <c r="T26" i="10"/>
  <c r="T27" i="10" s="1"/>
  <c r="S26" i="10"/>
  <c r="S27" i="10" s="1"/>
  <c r="R26" i="10"/>
  <c r="R27" i="10" s="1"/>
  <c r="P26" i="10"/>
  <c r="P27" i="10" s="1"/>
  <c r="O26" i="10"/>
  <c r="O27" i="10" s="1"/>
  <c r="N26" i="10"/>
  <c r="N27" i="10" s="1"/>
  <c r="L26" i="10"/>
  <c r="L27" i="10" s="1"/>
  <c r="K26" i="10"/>
  <c r="K27" i="10" s="1"/>
  <c r="J26" i="10"/>
  <c r="J27" i="10" s="1"/>
  <c r="H26" i="10"/>
  <c r="H27" i="10" s="1"/>
  <c r="G26" i="10"/>
  <c r="G27" i="10" s="1"/>
  <c r="F26" i="10"/>
  <c r="F27" i="10" s="1"/>
  <c r="E26" i="10"/>
  <c r="E27" i="10" s="1"/>
  <c r="D26" i="10"/>
  <c r="D27" i="10" s="1"/>
  <c r="C26" i="10"/>
  <c r="C27" i="10" s="1"/>
  <c r="T40" i="10"/>
  <c r="T47" i="10" s="1"/>
  <c r="S40" i="10"/>
  <c r="S47" i="10" s="1"/>
  <c r="T14" i="10"/>
  <c r="T17" i="10" s="1"/>
  <c r="S14" i="10"/>
  <c r="S18" i="10" s="1"/>
  <c r="T4" i="10"/>
  <c r="AC4" i="10" s="1"/>
  <c r="T3" i="10"/>
  <c r="AC3" i="10" s="1"/>
  <c r="S3" i="10"/>
  <c r="AB3" i="10" s="1"/>
  <c r="R4" i="10"/>
  <c r="AA4" i="10" s="1"/>
  <c r="R3" i="10"/>
  <c r="AA3" i="10" s="1"/>
  <c r="Q3" i="10"/>
  <c r="Z3" i="10" s="1"/>
  <c r="P3" i="10"/>
  <c r="Y3" i="10" s="1"/>
  <c r="O3" i="10"/>
  <c r="X3" i="10" s="1"/>
  <c r="N3" i="10"/>
  <c r="W3" i="10" s="1"/>
  <c r="M3" i="10"/>
  <c r="V3" i="10" s="1"/>
  <c r="L3" i="10"/>
  <c r="K3" i="10"/>
  <c r="J3" i="10"/>
  <c r="G4" i="10"/>
  <c r="E4" i="10"/>
  <c r="D4" i="10"/>
  <c r="C4" i="10"/>
  <c r="G3" i="10"/>
  <c r="F3" i="10"/>
  <c r="E3" i="10"/>
  <c r="D3" i="10"/>
  <c r="C3" i="10"/>
  <c r="H3" i="10"/>
  <c r="H4" i="10"/>
  <c r="D40" i="10"/>
  <c r="D47" i="10" s="1"/>
  <c r="C40" i="10"/>
  <c r="C47" i="10" s="1"/>
  <c r="D14" i="10"/>
  <c r="D18" i="10" s="1"/>
  <c r="C14" i="10"/>
  <c r="C20" i="10" s="1"/>
  <c r="B2" i="10"/>
  <c r="B47" i="10"/>
  <c r="B46" i="10"/>
  <c r="B44" i="10"/>
  <c r="B43" i="10"/>
  <c r="R40" i="10"/>
  <c r="R47" i="10" s="1"/>
  <c r="P40" i="10"/>
  <c r="P46" i="10" s="1"/>
  <c r="O40" i="10"/>
  <c r="O47" i="10" s="1"/>
  <c r="N40" i="10"/>
  <c r="N46" i="10" s="1"/>
  <c r="L40" i="10"/>
  <c r="L47" i="10" s="1"/>
  <c r="K40" i="10"/>
  <c r="K47" i="10" s="1"/>
  <c r="J40" i="10"/>
  <c r="J47" i="10" s="1"/>
  <c r="H40" i="10"/>
  <c r="H46" i="10" s="1"/>
  <c r="G40" i="10"/>
  <c r="G47" i="10" s="1"/>
  <c r="F40" i="10"/>
  <c r="F47" i="10" s="1"/>
  <c r="E40" i="10"/>
  <c r="E47" i="10" s="1"/>
  <c r="B21" i="10"/>
  <c r="B20" i="10"/>
  <c r="B18" i="10"/>
  <c r="B17" i="10"/>
  <c r="R14" i="10"/>
  <c r="P14" i="10"/>
  <c r="P21" i="10" s="1"/>
  <c r="O14" i="10"/>
  <c r="O20" i="10" s="1"/>
  <c r="N14" i="10"/>
  <c r="N18" i="10" s="1"/>
  <c r="L14" i="10"/>
  <c r="L20" i="10" s="1"/>
  <c r="K14" i="10"/>
  <c r="K21" i="10" s="1"/>
  <c r="J14" i="10"/>
  <c r="J20" i="10" s="1"/>
  <c r="H14" i="10"/>
  <c r="H21" i="10" s="1"/>
  <c r="G14" i="10"/>
  <c r="G20" i="10" s="1"/>
  <c r="F14" i="10"/>
  <c r="F21" i="10" s="1"/>
  <c r="E14" i="10"/>
  <c r="E20" i="10" s="1"/>
  <c r="Q13" i="10"/>
  <c r="Q12" i="10"/>
  <c r="Q10" i="10"/>
  <c r="Q9" i="10"/>
  <c r="AC35" i="9" l="1"/>
  <c r="F65" i="9"/>
  <c r="F66" i="9" s="1"/>
  <c r="O65" i="9"/>
  <c r="E65" i="9"/>
  <c r="E66" i="9" s="1"/>
  <c r="N65" i="9"/>
  <c r="V35" i="9"/>
  <c r="X35" i="9"/>
  <c r="G51" i="9"/>
  <c r="G65" i="9"/>
  <c r="G66" i="9" s="1"/>
  <c r="AA35" i="9"/>
  <c r="W35" i="9"/>
  <c r="Y35" i="9"/>
  <c r="AE35" i="9" s="1"/>
  <c r="P65" i="9"/>
  <c r="J65" i="9"/>
  <c r="R65" i="9"/>
  <c r="C65" i="9"/>
  <c r="C66" i="9" s="1"/>
  <c r="C69" i="9" s="1"/>
  <c r="C78" i="9" s="1"/>
  <c r="L65" i="9"/>
  <c r="T65" i="9"/>
  <c r="F10" i="9"/>
  <c r="F15" i="9" s="1"/>
  <c r="C51" i="9"/>
  <c r="G10" i="9"/>
  <c r="G15" i="9" s="1"/>
  <c r="C10" i="9"/>
  <c r="C15" i="9" s="1"/>
  <c r="D10" i="9"/>
  <c r="D15" i="9" s="1"/>
  <c r="E10" i="9"/>
  <c r="E15" i="9" s="1"/>
  <c r="E51" i="9"/>
  <c r="F51" i="9"/>
  <c r="F69" i="9"/>
  <c r="F78" i="9" s="1"/>
  <c r="D51" i="9"/>
  <c r="D69" i="9"/>
  <c r="D78" i="9" s="1"/>
  <c r="E69" i="9"/>
  <c r="E78" i="9" s="1"/>
  <c r="G69" i="9"/>
  <c r="G78" i="9" s="1"/>
  <c r="AB111" i="8"/>
  <c r="AC98" i="8"/>
  <c r="AC102" i="8"/>
  <c r="AC101" i="8"/>
  <c r="W64" i="8"/>
  <c r="Z141" i="8"/>
  <c r="Y120" i="8"/>
  <c r="Z8" i="8"/>
  <c r="W58" i="8"/>
  <c r="P109" i="8"/>
  <c r="Q109" i="8" s="1"/>
  <c r="Q120" i="8"/>
  <c r="AC120" i="8" s="1"/>
  <c r="V85" i="8"/>
  <c r="AA141" i="8"/>
  <c r="Y58" i="8"/>
  <c r="Y98" i="8"/>
  <c r="V64" i="8"/>
  <c r="Y64" i="8"/>
  <c r="Y70" i="8" s="1"/>
  <c r="Y78" i="8"/>
  <c r="M94" i="8"/>
  <c r="Y94" i="8" s="1"/>
  <c r="Q94" i="8"/>
  <c r="AC94" i="8" s="1"/>
  <c r="V78" i="8"/>
  <c r="V58" i="8"/>
  <c r="V70" i="8"/>
  <c r="V86" i="8"/>
  <c r="V41" i="8"/>
  <c r="Q95" i="8"/>
  <c r="AC95" i="8" s="1"/>
  <c r="AB125" i="8"/>
  <c r="Q108" i="8"/>
  <c r="AB108" i="8" s="1"/>
  <c r="Q96" i="8"/>
  <c r="AC96" i="8" s="1"/>
  <c r="M101" i="8"/>
  <c r="Y101" i="8" s="1"/>
  <c r="AB141" i="8"/>
  <c r="P118" i="8"/>
  <c r="Q118" i="8" s="1"/>
  <c r="Y85" i="8"/>
  <c r="M119" i="8"/>
  <c r="X119" i="8" s="1"/>
  <c r="P123" i="8"/>
  <c r="Q123" i="8" s="1"/>
  <c r="P92" i="8"/>
  <c r="Q92" i="8" s="1"/>
  <c r="X85" i="8"/>
  <c r="P100" i="8"/>
  <c r="Y100" i="8" s="1"/>
  <c r="Y113" i="8"/>
  <c r="Y112" i="8"/>
  <c r="Z125" i="8"/>
  <c r="L96" i="8"/>
  <c r="M96" i="8" s="1"/>
  <c r="P110" i="8"/>
  <c r="Q110" i="8" s="1"/>
  <c r="Q140" i="8"/>
  <c r="AA140" i="8" s="1"/>
  <c r="AC111" i="8"/>
  <c r="Z119" i="8"/>
  <c r="Q121" i="8"/>
  <c r="AC121" i="8" s="1"/>
  <c r="Q122" i="8"/>
  <c r="AC122" i="8" s="1"/>
  <c r="Y99" i="8"/>
  <c r="AE99" i="8" s="1"/>
  <c r="Q107" i="8"/>
  <c r="Y108" i="8"/>
  <c r="AA113" i="8"/>
  <c r="AC113" i="8"/>
  <c r="Q114" i="8"/>
  <c r="Z114" i="8" s="1"/>
  <c r="AB119" i="8"/>
  <c r="X122" i="8"/>
  <c r="M95" i="8"/>
  <c r="Y95" i="8" s="1"/>
  <c r="AE95" i="8" s="1"/>
  <c r="W121" i="8"/>
  <c r="W110" i="8"/>
  <c r="V100" i="8"/>
  <c r="V123" i="8"/>
  <c r="W123" i="8"/>
  <c r="Y122" i="8"/>
  <c r="V120" i="8"/>
  <c r="W118" i="8"/>
  <c r="V107" i="8"/>
  <c r="X107" i="8"/>
  <c r="V98" i="8"/>
  <c r="F41" i="10"/>
  <c r="H45" i="10"/>
  <c r="G45" i="10"/>
  <c r="J45" i="10"/>
  <c r="N41" i="10"/>
  <c r="P41" i="10"/>
  <c r="O45" i="10"/>
  <c r="T41" i="10"/>
  <c r="E41" i="10"/>
  <c r="G41" i="10"/>
  <c r="H41" i="10"/>
  <c r="C41" i="10"/>
  <c r="D41" i="10"/>
  <c r="J41" i="10"/>
  <c r="K41" i="10"/>
  <c r="L41" i="10"/>
  <c r="O41" i="10"/>
  <c r="X124" i="8"/>
  <c r="W120" i="8"/>
  <c r="Y124" i="8"/>
  <c r="AE124" i="8" s="1"/>
  <c r="X120" i="8"/>
  <c r="X123" i="8"/>
  <c r="Y121" i="8"/>
  <c r="X121" i="8"/>
  <c r="V118" i="8"/>
  <c r="V122" i="8"/>
  <c r="W124" i="8"/>
  <c r="W122" i="8"/>
  <c r="Z124" i="8"/>
  <c r="AA119" i="8"/>
  <c r="AA124" i="8"/>
  <c r="AA125" i="8"/>
  <c r="AB124" i="8"/>
  <c r="Y107" i="8"/>
  <c r="V109" i="8"/>
  <c r="X110" i="8"/>
  <c r="W112" i="8"/>
  <c r="V112" i="8"/>
  <c r="W109" i="8"/>
  <c r="Y110" i="8"/>
  <c r="X112" i="8"/>
  <c r="X109" i="8"/>
  <c r="V108" i="8"/>
  <c r="V113" i="8"/>
  <c r="W108" i="8"/>
  <c r="W113" i="8"/>
  <c r="X108" i="8"/>
  <c r="X113" i="8"/>
  <c r="AC112" i="8"/>
  <c r="AE112" i="8" s="1"/>
  <c r="Z107" i="8"/>
  <c r="Z111" i="8"/>
  <c r="Z112" i="8"/>
  <c r="Z113" i="8"/>
  <c r="AA111" i="8"/>
  <c r="AA112" i="8"/>
  <c r="W98" i="8"/>
  <c r="W100" i="8"/>
  <c r="X98" i="8"/>
  <c r="X100" i="8"/>
  <c r="V99" i="8"/>
  <c r="V101" i="8"/>
  <c r="W99" i="8"/>
  <c r="X99" i="8"/>
  <c r="X101" i="8"/>
  <c r="Z93" i="8"/>
  <c r="Z95" i="8"/>
  <c r="Z98" i="8"/>
  <c r="Z99" i="8"/>
  <c r="Z101" i="8"/>
  <c r="Z102" i="8"/>
  <c r="Z103" i="8"/>
  <c r="AA93" i="8"/>
  <c r="AA98" i="8"/>
  <c r="AA99" i="8"/>
  <c r="AA101" i="8"/>
  <c r="AA102" i="8"/>
  <c r="AA103" i="8"/>
  <c r="AB93" i="8"/>
  <c r="AB95" i="8"/>
  <c r="AB98" i="8"/>
  <c r="AB99" i="8"/>
  <c r="AB101" i="8"/>
  <c r="AB102" i="8"/>
  <c r="AB103" i="8"/>
  <c r="W70" i="8"/>
  <c r="W79" i="8" s="1"/>
  <c r="W85" i="8"/>
  <c r="Y41" i="8"/>
  <c r="X86" i="8"/>
  <c r="X70" i="8"/>
  <c r="X79" i="8" s="1"/>
  <c r="X58" i="8"/>
  <c r="AE98" i="8"/>
  <c r="AE101" i="8"/>
  <c r="AE73" i="8"/>
  <c r="AE72" i="8"/>
  <c r="AE74" i="8"/>
  <c r="AE76" i="8"/>
  <c r="AE77" i="8"/>
  <c r="T45" i="10"/>
  <c r="R41" i="10"/>
  <c r="R45" i="10"/>
  <c r="S41" i="10"/>
  <c r="S45" i="10"/>
  <c r="C45" i="10"/>
  <c r="D45" i="10"/>
  <c r="E45" i="10"/>
  <c r="F45" i="10"/>
  <c r="K45" i="10"/>
  <c r="L45" i="10"/>
  <c r="N45" i="10"/>
  <c r="P45" i="10"/>
  <c r="L29" i="10"/>
  <c r="H29" i="10"/>
  <c r="O29" i="10"/>
  <c r="P29" i="10"/>
  <c r="E29" i="10"/>
  <c r="J30" i="10"/>
  <c r="K30" i="10"/>
  <c r="C30" i="10"/>
  <c r="R30" i="10"/>
  <c r="S30" i="10"/>
  <c r="D30" i="10"/>
  <c r="D29" i="10"/>
  <c r="F30" i="10"/>
  <c r="K29" i="10"/>
  <c r="S29" i="10"/>
  <c r="G30" i="10"/>
  <c r="N30" i="10"/>
  <c r="F29" i="10"/>
  <c r="O30" i="10"/>
  <c r="H30" i="10"/>
  <c r="T29" i="10"/>
  <c r="G29" i="10"/>
  <c r="N29" i="10"/>
  <c r="P30" i="10"/>
  <c r="C29" i="10"/>
  <c r="E30" i="10"/>
  <c r="J29" i="10"/>
  <c r="R29" i="10"/>
  <c r="L30" i="10"/>
  <c r="T30" i="10"/>
  <c r="S19" i="10"/>
  <c r="R19" i="10"/>
  <c r="T19" i="10"/>
  <c r="J19" i="10"/>
  <c r="D19" i="10"/>
  <c r="E19" i="10"/>
  <c r="F19" i="10"/>
  <c r="G19" i="10"/>
  <c r="H19" i="10"/>
  <c r="C19" i="10"/>
  <c r="P19" i="10"/>
  <c r="K19" i="10"/>
  <c r="L19" i="10"/>
  <c r="N19" i="10"/>
  <c r="O19" i="10"/>
  <c r="W26" i="10"/>
  <c r="M26" i="10"/>
  <c r="M27" i="10" s="1"/>
  <c r="Q26" i="10"/>
  <c r="AA26" i="10"/>
  <c r="S46" i="10"/>
  <c r="D44" i="10"/>
  <c r="C46" i="10"/>
  <c r="S43" i="10"/>
  <c r="T18" i="10"/>
  <c r="T20" i="10"/>
  <c r="S21" i="10"/>
  <c r="S44" i="10"/>
  <c r="T43" i="10"/>
  <c r="T21" i="10"/>
  <c r="T44" i="10"/>
  <c r="T46" i="10"/>
  <c r="S20" i="10"/>
  <c r="S17" i="10"/>
  <c r="J21" i="10"/>
  <c r="R21" i="10"/>
  <c r="C18" i="10"/>
  <c r="C17" i="10"/>
  <c r="R18" i="10"/>
  <c r="C21" i="10"/>
  <c r="F20" i="10"/>
  <c r="AA40" i="10"/>
  <c r="H20" i="10"/>
  <c r="D43" i="10"/>
  <c r="C44" i="10"/>
  <c r="D20" i="10"/>
  <c r="C43" i="10"/>
  <c r="D21" i="10"/>
  <c r="D17" i="10"/>
  <c r="D46" i="10"/>
  <c r="F17" i="10"/>
  <c r="H17" i="10"/>
  <c r="K20" i="10"/>
  <c r="E43" i="10"/>
  <c r="R17" i="10"/>
  <c r="N20" i="10"/>
  <c r="L43" i="10"/>
  <c r="R20" i="10"/>
  <c r="H18" i="10"/>
  <c r="N21" i="10"/>
  <c r="J17" i="10"/>
  <c r="E21" i="10"/>
  <c r="G43" i="10"/>
  <c r="E46" i="10"/>
  <c r="K17" i="10"/>
  <c r="J18" i="10"/>
  <c r="N17" i="10"/>
  <c r="J43" i="10"/>
  <c r="J46" i="10"/>
  <c r="O46" i="10"/>
  <c r="E17" i="10"/>
  <c r="O43" i="10"/>
  <c r="R46" i="10"/>
  <c r="R43" i="10"/>
  <c r="E18" i="10"/>
  <c r="P17" i="10"/>
  <c r="G18" i="10"/>
  <c r="L18" i="10"/>
  <c r="P20" i="10"/>
  <c r="G21" i="10"/>
  <c r="L21" i="10"/>
  <c r="M40" i="10"/>
  <c r="H44" i="10"/>
  <c r="H47" i="10"/>
  <c r="N44" i="10"/>
  <c r="N47" i="10"/>
  <c r="Q14" i="10"/>
  <c r="F43" i="10"/>
  <c r="K43" i="10"/>
  <c r="O44" i="10"/>
  <c r="F46" i="10"/>
  <c r="K46" i="10"/>
  <c r="O18" i="10"/>
  <c r="O21" i="10"/>
  <c r="P44" i="10"/>
  <c r="G46" i="10"/>
  <c r="L46" i="10"/>
  <c r="P47" i="10"/>
  <c r="G17" i="10"/>
  <c r="L17" i="10"/>
  <c r="P18" i="10"/>
  <c r="Q40" i="10"/>
  <c r="H43" i="10"/>
  <c r="N43" i="10"/>
  <c r="E44" i="10"/>
  <c r="J44" i="10"/>
  <c r="R44" i="10"/>
  <c r="M14" i="10"/>
  <c r="F44" i="10"/>
  <c r="K44" i="10"/>
  <c r="O17" i="10"/>
  <c r="F18" i="10"/>
  <c r="K18" i="10"/>
  <c r="P43" i="10"/>
  <c r="G44" i="10"/>
  <c r="L44" i="10"/>
  <c r="G11" i="9" l="1"/>
  <c r="F11" i="9"/>
  <c r="D11" i="9"/>
  <c r="E11" i="9"/>
  <c r="C16" i="9"/>
  <c r="C21" i="9"/>
  <c r="F21" i="9"/>
  <c r="F16" i="9"/>
  <c r="G21" i="9"/>
  <c r="G16" i="9"/>
  <c r="D16" i="9"/>
  <c r="D21" i="9"/>
  <c r="E21" i="9"/>
  <c r="E16" i="9"/>
  <c r="Y79" i="8"/>
  <c r="Y81" i="8" s="1"/>
  <c r="AA95" i="8"/>
  <c r="AB122" i="8"/>
  <c r="AE113" i="8"/>
  <c r="AA121" i="8"/>
  <c r="AE120" i="8"/>
  <c r="AB110" i="8"/>
  <c r="AA110" i="8"/>
  <c r="AA123" i="8"/>
  <c r="Z123" i="8"/>
  <c r="AC123" i="8"/>
  <c r="AB123" i="8"/>
  <c r="Y96" i="8"/>
  <c r="AE96" i="8" s="1"/>
  <c r="W96" i="8"/>
  <c r="AC92" i="8"/>
  <c r="AB92" i="8"/>
  <c r="AA92" i="8"/>
  <c r="AB109" i="8"/>
  <c r="AA109" i="8"/>
  <c r="Z109" i="8"/>
  <c r="AC109" i="8"/>
  <c r="AE109" i="8" s="1"/>
  <c r="AA122" i="8"/>
  <c r="AB120" i="8"/>
  <c r="AA120" i="8"/>
  <c r="Z92" i="8"/>
  <c r="Z120" i="8"/>
  <c r="V79" i="8"/>
  <c r="V81" i="8" s="1"/>
  <c r="Z122" i="8"/>
  <c r="Z121" i="8"/>
  <c r="Y123" i="8"/>
  <c r="V96" i="8"/>
  <c r="X96" i="8"/>
  <c r="V119" i="8"/>
  <c r="AB121" i="8"/>
  <c r="Y109" i="8"/>
  <c r="W101" i="8"/>
  <c r="Y118" i="8"/>
  <c r="AC108" i="8"/>
  <c r="AE108" i="8" s="1"/>
  <c r="W94" i="8"/>
  <c r="X94" i="8"/>
  <c r="V94" i="8"/>
  <c r="AA94" i="8"/>
  <c r="AE94" i="8"/>
  <c r="Z94" i="8"/>
  <c r="AB94" i="8"/>
  <c r="AC118" i="8"/>
  <c r="AE118" i="8" s="1"/>
  <c r="AA118" i="8"/>
  <c r="Z118" i="8"/>
  <c r="AB118" i="8"/>
  <c r="AB96" i="8"/>
  <c r="Z108" i="8"/>
  <c r="Z110" i="8"/>
  <c r="Q100" i="8"/>
  <c r="AC100" i="8" s="1"/>
  <c r="AE100" i="8" s="1"/>
  <c r="AA108" i="8"/>
  <c r="AA114" i="8"/>
  <c r="Z96" i="8"/>
  <c r="AC110" i="8"/>
  <c r="AE110" i="8" s="1"/>
  <c r="Y119" i="8"/>
  <c r="AE119" i="8" s="1"/>
  <c r="AA96" i="8"/>
  <c r="W119" i="8"/>
  <c r="AE122" i="8"/>
  <c r="AC140" i="8"/>
  <c r="AB140" i="8"/>
  <c r="Z140" i="8"/>
  <c r="AE121" i="8"/>
  <c r="AB107" i="8"/>
  <c r="AC107" i="8"/>
  <c r="AE107" i="8" s="1"/>
  <c r="AA107" i="8"/>
  <c r="AB114" i="8"/>
  <c r="AC114" i="8"/>
  <c r="X95" i="8"/>
  <c r="W95" i="8"/>
  <c r="V95" i="8"/>
  <c r="M41" i="10"/>
  <c r="Q41" i="10"/>
  <c r="X81" i="8"/>
  <c r="W81" i="8"/>
  <c r="O4" i="10"/>
  <c r="X4" i="10" s="1"/>
  <c r="Q44" i="10"/>
  <c r="Q45" i="10"/>
  <c r="M43" i="10"/>
  <c r="M45" i="10"/>
  <c r="Q27" i="10"/>
  <c r="Q30" i="10"/>
  <c r="Q29" i="10"/>
  <c r="M29" i="10"/>
  <c r="M30" i="10"/>
  <c r="M19" i="10"/>
  <c r="Q19" i="10"/>
  <c r="Y26" i="10"/>
  <c r="Y27" i="10" s="1"/>
  <c r="AA27" i="10"/>
  <c r="W27" i="10"/>
  <c r="V26" i="10"/>
  <c r="V27" i="10" s="1"/>
  <c r="X26" i="10"/>
  <c r="X27" i="10" s="1"/>
  <c r="AC26" i="10"/>
  <c r="AC27" i="10" s="1"/>
  <c r="AB26" i="10"/>
  <c r="AB27" i="10" s="1"/>
  <c r="Z26" i="10"/>
  <c r="Z27" i="10" s="1"/>
  <c r="AA14" i="10"/>
  <c r="Y40" i="10"/>
  <c r="Y14" i="10"/>
  <c r="W14" i="10"/>
  <c r="AB14" i="10"/>
  <c r="AB40" i="10"/>
  <c r="V40" i="10"/>
  <c r="W40" i="10"/>
  <c r="V14" i="10"/>
  <c r="AC40" i="10"/>
  <c r="Z40" i="10"/>
  <c r="AC14" i="10"/>
  <c r="X40" i="10"/>
  <c r="X14" i="10"/>
  <c r="Q47" i="10"/>
  <c r="M46" i="10"/>
  <c r="Q20" i="10"/>
  <c r="Q21" i="10"/>
  <c r="Q18" i="10"/>
  <c r="Z14" i="10"/>
  <c r="M47" i="10"/>
  <c r="M44" i="10"/>
  <c r="M21" i="10"/>
  <c r="M20" i="10"/>
  <c r="M17" i="10"/>
  <c r="M18" i="10"/>
  <c r="Q46" i="10"/>
  <c r="Q43" i="10"/>
  <c r="Q17" i="10"/>
  <c r="C25" i="9" l="1"/>
  <c r="C22" i="9"/>
  <c r="F25" i="9"/>
  <c r="F22" i="9"/>
  <c r="E25" i="9"/>
  <c r="E22" i="9"/>
  <c r="D25" i="9"/>
  <c r="D22" i="9"/>
  <c r="G25" i="9"/>
  <c r="G22" i="9"/>
  <c r="AE123" i="8"/>
  <c r="Z100" i="8"/>
  <c r="AB100" i="8"/>
  <c r="AA100" i="8"/>
  <c r="N4" i="10"/>
  <c r="W4" i="10" s="1"/>
  <c r="Q29" i="8"/>
  <c r="M29" i="8"/>
  <c r="Q25" i="8"/>
  <c r="Q24" i="8"/>
  <c r="Q23" i="8"/>
  <c r="M25" i="8"/>
  <c r="M24" i="8"/>
  <c r="M23" i="8"/>
  <c r="Q13" i="8"/>
  <c r="M13" i="8"/>
  <c r="Q19" i="8"/>
  <c r="Q18" i="8"/>
  <c r="Q17" i="8"/>
  <c r="M19" i="8"/>
  <c r="M18" i="8"/>
  <c r="M17" i="8"/>
  <c r="M10" i="8"/>
  <c r="V49" i="9"/>
  <c r="V54" i="9"/>
  <c r="Q49" i="8"/>
  <c r="T129" i="8"/>
  <c r="S129" i="8"/>
  <c r="R129" i="8"/>
  <c r="T126" i="8"/>
  <c r="S126" i="8"/>
  <c r="R126" i="8"/>
  <c r="T115" i="8"/>
  <c r="S115" i="8"/>
  <c r="R115" i="8"/>
  <c r="T86" i="8"/>
  <c r="S86" i="8"/>
  <c r="R86" i="8"/>
  <c r="T85" i="8"/>
  <c r="S85" i="8"/>
  <c r="R85" i="8"/>
  <c r="T78" i="8"/>
  <c r="S78" i="8"/>
  <c r="R78" i="8"/>
  <c r="T64" i="8"/>
  <c r="T70" i="8" s="1"/>
  <c r="S64" i="8"/>
  <c r="S70" i="8" s="1"/>
  <c r="R64" i="8"/>
  <c r="R70" i="8" s="1"/>
  <c r="T49" i="8"/>
  <c r="T58" i="8" s="1"/>
  <c r="S49" i="8"/>
  <c r="S58" i="8" s="1"/>
  <c r="R49" i="8"/>
  <c r="R58" i="8" s="1"/>
  <c r="T41" i="8"/>
  <c r="S41" i="8"/>
  <c r="R41" i="8"/>
  <c r="T40" i="8"/>
  <c r="S40" i="8"/>
  <c r="R40" i="8"/>
  <c r="T11" i="8"/>
  <c r="S11" i="8"/>
  <c r="R11" i="8"/>
  <c r="Q33" i="8"/>
  <c r="Z33" i="8" s="1"/>
  <c r="Q10" i="8"/>
  <c r="H129" i="8"/>
  <c r="H126" i="8"/>
  <c r="H115" i="8"/>
  <c r="H86" i="8"/>
  <c r="H85" i="8"/>
  <c r="H64" i="8"/>
  <c r="H70" i="8" s="1"/>
  <c r="H49" i="8"/>
  <c r="H58" i="8" s="1"/>
  <c r="H41" i="8"/>
  <c r="H40" i="8"/>
  <c r="H11" i="8"/>
  <c r="Q129" i="8"/>
  <c r="Q126" i="8"/>
  <c r="Q115" i="8"/>
  <c r="Q86" i="8"/>
  <c r="Q85" i="8"/>
  <c r="Q78" i="8"/>
  <c r="Q64" i="8"/>
  <c r="Q70" i="8" s="1"/>
  <c r="Q41" i="8"/>
  <c r="Q40" i="8"/>
  <c r="V56" i="9"/>
  <c r="V57" i="9"/>
  <c r="V63" i="9"/>
  <c r="P49" i="8"/>
  <c r="O49" i="8"/>
  <c r="N49" i="8"/>
  <c r="L49" i="8"/>
  <c r="K49" i="8"/>
  <c r="J49" i="8"/>
  <c r="G49" i="8"/>
  <c r="F49" i="8"/>
  <c r="E49" i="8"/>
  <c r="D49" i="8"/>
  <c r="C49" i="8"/>
  <c r="C58" i="8" s="1"/>
  <c r="M125" i="8"/>
  <c r="M114" i="8"/>
  <c r="M111" i="8"/>
  <c r="C126" i="8"/>
  <c r="C115" i="8"/>
  <c r="C86" i="8"/>
  <c r="C85" i="8"/>
  <c r="C78" i="8"/>
  <c r="C64" i="8"/>
  <c r="C70" i="8" s="1"/>
  <c r="C41" i="8"/>
  <c r="C40" i="8"/>
  <c r="C11" i="8"/>
  <c r="AB65" i="9"/>
  <c r="AA65" i="9"/>
  <c r="Y65" i="9"/>
  <c r="X65" i="9"/>
  <c r="W65" i="9"/>
  <c r="AC57" i="9"/>
  <c r="AB57" i="9"/>
  <c r="AA57" i="9"/>
  <c r="AC56" i="9"/>
  <c r="AB56" i="9"/>
  <c r="AA56" i="9"/>
  <c r="Y56" i="9"/>
  <c r="X56" i="9"/>
  <c r="W56" i="9"/>
  <c r="AC55" i="9"/>
  <c r="AB55" i="9"/>
  <c r="AA55" i="9"/>
  <c r="Y55" i="9"/>
  <c r="X55" i="9"/>
  <c r="W55" i="9"/>
  <c r="AC54" i="9"/>
  <c r="AB54" i="9"/>
  <c r="AA54" i="9"/>
  <c r="Y54" i="9"/>
  <c r="X54" i="9"/>
  <c r="W54" i="9"/>
  <c r="AB63" i="9"/>
  <c r="AA63" i="9"/>
  <c r="Y63" i="9"/>
  <c r="X63" i="9"/>
  <c r="W63" i="9"/>
  <c r="AB62" i="9"/>
  <c r="AA62" i="9"/>
  <c r="Y62" i="9"/>
  <c r="X62" i="9"/>
  <c r="W62" i="9"/>
  <c r="AC65" i="9"/>
  <c r="Z65" i="9"/>
  <c r="V65" i="9"/>
  <c r="T66" i="9"/>
  <c r="S66" i="9"/>
  <c r="R66" i="9"/>
  <c r="P66" i="9"/>
  <c r="O66" i="9"/>
  <c r="N66" i="9"/>
  <c r="L66" i="9"/>
  <c r="K66" i="9"/>
  <c r="J66" i="9"/>
  <c r="H66" i="9"/>
  <c r="AB50" i="9"/>
  <c r="AA50" i="9"/>
  <c r="Y50" i="9"/>
  <c r="X50" i="9"/>
  <c r="W50" i="9"/>
  <c r="AB49" i="9"/>
  <c r="AA49" i="9"/>
  <c r="Y49" i="9"/>
  <c r="X49" i="9"/>
  <c r="W49" i="9"/>
  <c r="B9" i="9"/>
  <c r="B8" i="9"/>
  <c r="B7" i="9"/>
  <c r="B6" i="9"/>
  <c r="M103" i="8"/>
  <c r="M102" i="8"/>
  <c r="X57" i="9"/>
  <c r="W57" i="9"/>
  <c r="M141" i="8"/>
  <c r="M140" i="8"/>
  <c r="M133" i="8"/>
  <c r="M132" i="8"/>
  <c r="V55" i="9"/>
  <c r="Z62" i="9"/>
  <c r="V62" i="9"/>
  <c r="M33" i="8"/>
  <c r="V33" i="8" s="1"/>
  <c r="C26" i="9" l="1"/>
  <c r="C29" i="9"/>
  <c r="F29" i="9"/>
  <c r="F26" i="9"/>
  <c r="D29" i="9"/>
  <c r="D26" i="9"/>
  <c r="G29" i="9"/>
  <c r="G26" i="9"/>
  <c r="E29" i="9"/>
  <c r="E26" i="9"/>
  <c r="V66" i="9"/>
  <c r="X66" i="9"/>
  <c r="W66" i="9"/>
  <c r="AB14" i="9"/>
  <c r="X13" i="8"/>
  <c r="W13" i="8"/>
  <c r="V13" i="8"/>
  <c r="Y13" i="8"/>
  <c r="Z25" i="8"/>
  <c r="AC25" i="8"/>
  <c r="AB25" i="8"/>
  <c r="AA25" i="8"/>
  <c r="W10" i="8"/>
  <c r="W11" i="8" s="1"/>
  <c r="Y10" i="8"/>
  <c r="Y11" i="8" s="1"/>
  <c r="V10" i="8"/>
  <c r="V11" i="8" s="1"/>
  <c r="X10" i="8"/>
  <c r="X11" i="8" s="1"/>
  <c r="AC13" i="8"/>
  <c r="Z13" i="8"/>
  <c r="AB13" i="8"/>
  <c r="AA13" i="8"/>
  <c r="X29" i="8"/>
  <c r="W29" i="8"/>
  <c r="V29" i="8"/>
  <c r="Y29" i="8"/>
  <c r="X17" i="8"/>
  <c r="W17" i="8"/>
  <c r="V17" i="8"/>
  <c r="Y17" i="8"/>
  <c r="AA29" i="8"/>
  <c r="Z29" i="8"/>
  <c r="AC29" i="8"/>
  <c r="AB29" i="8"/>
  <c r="Q11" i="8"/>
  <c r="Q15" i="10" s="1"/>
  <c r="AC10" i="8"/>
  <c r="AB10" i="8"/>
  <c r="Z10" i="8"/>
  <c r="AA10" i="8"/>
  <c r="X18" i="8"/>
  <c r="W18" i="8"/>
  <c r="V18" i="8"/>
  <c r="Y18" i="8"/>
  <c r="X23" i="8"/>
  <c r="W23" i="8"/>
  <c r="V23" i="8"/>
  <c r="Y23" i="8"/>
  <c r="X19" i="8"/>
  <c r="W19" i="8"/>
  <c r="V19" i="8"/>
  <c r="Y19" i="8"/>
  <c r="X24" i="8"/>
  <c r="W24" i="8"/>
  <c r="V24" i="8"/>
  <c r="Y24" i="8"/>
  <c r="AA17" i="8"/>
  <c r="Z17" i="8"/>
  <c r="AC17" i="8"/>
  <c r="AB17" i="8"/>
  <c r="X25" i="8"/>
  <c r="W25" i="8"/>
  <c r="V25" i="8"/>
  <c r="Y25" i="8"/>
  <c r="AA18" i="8"/>
  <c r="AC18" i="8"/>
  <c r="AB18" i="8"/>
  <c r="Z18" i="8"/>
  <c r="AC23" i="8"/>
  <c r="AA23" i="8"/>
  <c r="Z23" i="8"/>
  <c r="AB23" i="8"/>
  <c r="AA19" i="8"/>
  <c r="Z19" i="8"/>
  <c r="AC19" i="8"/>
  <c r="AB19" i="8"/>
  <c r="AA24" i="8"/>
  <c r="AC24" i="8"/>
  <c r="AB24" i="8"/>
  <c r="Z24" i="8"/>
  <c r="W141" i="8"/>
  <c r="Y141" i="8"/>
  <c r="X141" i="8"/>
  <c r="V141" i="8"/>
  <c r="W140" i="8"/>
  <c r="Y140" i="8"/>
  <c r="X140" i="8"/>
  <c r="V140" i="8"/>
  <c r="Y125" i="8"/>
  <c r="Y126" i="8" s="1"/>
  <c r="X125" i="8"/>
  <c r="X126" i="8" s="1"/>
  <c r="W125" i="8"/>
  <c r="W126" i="8" s="1"/>
  <c r="V125" i="8"/>
  <c r="V126" i="8" s="1"/>
  <c r="Y111" i="8"/>
  <c r="X111" i="8"/>
  <c r="W111" i="8"/>
  <c r="V111" i="8"/>
  <c r="Y114" i="8"/>
  <c r="Y115" i="8" s="1"/>
  <c r="X114" i="8"/>
  <c r="X115" i="8" s="1"/>
  <c r="W114" i="8"/>
  <c r="W115" i="8" s="1"/>
  <c r="V114" i="8"/>
  <c r="V115" i="8" s="1"/>
  <c r="Y102" i="8"/>
  <c r="X102" i="8"/>
  <c r="W102" i="8"/>
  <c r="V102" i="8"/>
  <c r="Y103" i="8"/>
  <c r="X103" i="8"/>
  <c r="W103" i="8"/>
  <c r="V103" i="8"/>
  <c r="T14" i="8"/>
  <c r="T15" i="8" s="1"/>
  <c r="T15" i="10"/>
  <c r="R14" i="8"/>
  <c r="R20" i="8" s="1"/>
  <c r="R26" i="8" s="1"/>
  <c r="R15" i="10"/>
  <c r="S14" i="8"/>
  <c r="S15" i="8" s="1"/>
  <c r="S15" i="10"/>
  <c r="H14" i="8"/>
  <c r="H20" i="8" s="1"/>
  <c r="H26" i="8" s="1"/>
  <c r="H27" i="8" s="1"/>
  <c r="H15" i="10"/>
  <c r="C14" i="8"/>
  <c r="C15" i="8" s="1"/>
  <c r="C15" i="10"/>
  <c r="M4" i="10"/>
  <c r="V4" i="10" s="1"/>
  <c r="Y8" i="9"/>
  <c r="X9" i="9"/>
  <c r="V7" i="9"/>
  <c r="W6" i="9"/>
  <c r="Y9" i="9"/>
  <c r="V6" i="9"/>
  <c r="X6" i="9"/>
  <c r="W7" i="9"/>
  <c r="V8" i="9"/>
  <c r="Y6" i="9"/>
  <c r="X7" i="9"/>
  <c r="W8" i="9"/>
  <c r="V9" i="9"/>
  <c r="Y7" i="9"/>
  <c r="X8" i="9"/>
  <c r="W9" i="9"/>
  <c r="AE48" i="8"/>
  <c r="Q58" i="8"/>
  <c r="R79" i="8"/>
  <c r="R81" i="8" s="1"/>
  <c r="S79" i="8"/>
  <c r="S81" i="8" s="1"/>
  <c r="T79" i="8"/>
  <c r="T81" i="8" s="1"/>
  <c r="H79" i="8"/>
  <c r="H81" i="8" s="1"/>
  <c r="Q79" i="8"/>
  <c r="M49" i="8"/>
  <c r="V50" i="9"/>
  <c r="M93" i="8"/>
  <c r="AE54" i="8"/>
  <c r="AE55" i="8"/>
  <c r="AE46" i="8"/>
  <c r="AE63" i="8"/>
  <c r="AE69" i="8"/>
  <c r="Y14" i="9"/>
  <c r="C79" i="8"/>
  <c r="C81" i="8" s="1"/>
  <c r="X20" i="9"/>
  <c r="W14" i="9"/>
  <c r="X14" i="9"/>
  <c r="W41" i="9"/>
  <c r="V14" i="9"/>
  <c r="X41" i="9"/>
  <c r="Y20" i="9"/>
  <c r="AA20" i="9"/>
  <c r="Z14" i="9"/>
  <c r="AB20" i="9"/>
  <c r="Z20" i="9"/>
  <c r="V20" i="9"/>
  <c r="V41" i="9"/>
  <c r="W20" i="9"/>
  <c r="AE47" i="8"/>
  <c r="AE56" i="8"/>
  <c r="AE45" i="8"/>
  <c r="AE53" i="8"/>
  <c r="AE57" i="8"/>
  <c r="AE68" i="8"/>
  <c r="N115" i="8"/>
  <c r="Y57" i="9"/>
  <c r="Z54" i="9"/>
  <c r="Z57" i="9"/>
  <c r="Z63" i="9"/>
  <c r="Z55" i="9"/>
  <c r="D115" i="8"/>
  <c r="Z56" i="9"/>
  <c r="AA66" i="9"/>
  <c r="AC66" i="9"/>
  <c r="Y66" i="9"/>
  <c r="M66" i="9"/>
  <c r="Z66" i="9"/>
  <c r="AB66" i="9"/>
  <c r="Q66" i="9"/>
  <c r="G115" i="8"/>
  <c r="Y28" i="9"/>
  <c r="AB19" i="9"/>
  <c r="W40" i="9"/>
  <c r="Z50" i="9"/>
  <c r="Z49" i="9"/>
  <c r="V18" i="9"/>
  <c r="J115" i="8"/>
  <c r="V19" i="9"/>
  <c r="AB18" i="9"/>
  <c r="AC20" i="9"/>
  <c r="E115" i="8"/>
  <c r="F115" i="8"/>
  <c r="P115" i="8"/>
  <c r="M92" i="8"/>
  <c r="AE18" i="8"/>
  <c r="AE36" i="8"/>
  <c r="C77" i="9" l="1" a="1"/>
  <c r="C77" i="9" s="1"/>
  <c r="C76" i="9" a="1"/>
  <c r="C76" i="9" s="1"/>
  <c r="C30" i="9"/>
  <c r="C75" i="9"/>
  <c r="C37" i="9"/>
  <c r="C73" i="9"/>
  <c r="C74" i="9"/>
  <c r="E30" i="9"/>
  <c r="E76" i="9" a="1"/>
  <c r="E76" i="9" s="1"/>
  <c r="E77" i="9" a="1"/>
  <c r="E77" i="9" s="1"/>
  <c r="E75" i="9"/>
  <c r="E37" i="9"/>
  <c r="E74" i="9"/>
  <c r="E73" i="9"/>
  <c r="G30" i="9"/>
  <c r="G75" i="9"/>
  <c r="G37" i="9"/>
  <c r="G77" i="9" a="1"/>
  <c r="G77" i="9" s="1"/>
  <c r="G76" i="9" a="1"/>
  <c r="G76" i="9" s="1"/>
  <c r="G74" i="9"/>
  <c r="G73" i="9"/>
  <c r="D76" i="9" a="1"/>
  <c r="D76" i="9" s="1"/>
  <c r="D77" i="9" a="1"/>
  <c r="D77" i="9" s="1"/>
  <c r="D30" i="9"/>
  <c r="D75" i="9"/>
  <c r="D37" i="9"/>
  <c r="D44" i="9" s="1"/>
  <c r="D74" i="9"/>
  <c r="D73" i="9"/>
  <c r="F75" i="9"/>
  <c r="F37" i="9"/>
  <c r="F76" i="9" a="1"/>
  <c r="F76" i="9" s="1"/>
  <c r="F77" i="9" a="1"/>
  <c r="F77" i="9" s="1"/>
  <c r="F30" i="9"/>
  <c r="F74" i="9"/>
  <c r="F73" i="9"/>
  <c r="AA14" i="9"/>
  <c r="AE19" i="8"/>
  <c r="X14" i="8"/>
  <c r="X15" i="10"/>
  <c r="V15" i="10"/>
  <c r="V14" i="8"/>
  <c r="Y14" i="8"/>
  <c r="Y15" i="10"/>
  <c r="Q14" i="8"/>
  <c r="Q20" i="8" s="1"/>
  <c r="Q21" i="8" s="1"/>
  <c r="W14" i="8"/>
  <c r="W15" i="10"/>
  <c r="Y92" i="8"/>
  <c r="X92" i="8"/>
  <c r="W92" i="8"/>
  <c r="V92" i="8"/>
  <c r="Y93" i="8"/>
  <c r="X93" i="8"/>
  <c r="W93" i="8"/>
  <c r="V93" i="8"/>
  <c r="S20" i="8"/>
  <c r="S26" i="8" s="1"/>
  <c r="C20" i="8"/>
  <c r="C26" i="8" s="1"/>
  <c r="C27" i="8" s="1"/>
  <c r="R15" i="8"/>
  <c r="R21" i="8"/>
  <c r="T20" i="8"/>
  <c r="T26" i="8" s="1"/>
  <c r="H21" i="8"/>
  <c r="H15" i="8"/>
  <c r="L4" i="10"/>
  <c r="Y10" i="9"/>
  <c r="X10" i="9"/>
  <c r="W10" i="9"/>
  <c r="V10" i="9"/>
  <c r="Q81" i="8"/>
  <c r="R30" i="8"/>
  <c r="R89" i="8" s="1"/>
  <c r="R27" i="8"/>
  <c r="H30" i="8"/>
  <c r="H89" i="8" s="1"/>
  <c r="AE103" i="8"/>
  <c r="X28" i="9"/>
  <c r="AB40" i="9"/>
  <c r="X42" i="9"/>
  <c r="W19" i="9"/>
  <c r="W42" i="9"/>
  <c r="AA19" i="9"/>
  <c r="Z18" i="9"/>
  <c r="Y40" i="9"/>
  <c r="X40" i="9"/>
  <c r="V40" i="9"/>
  <c r="Z19" i="9"/>
  <c r="V28" i="9"/>
  <c r="W28" i="9"/>
  <c r="W18" i="9"/>
  <c r="Y18" i="9"/>
  <c r="X18" i="9"/>
  <c r="AE102" i="8"/>
  <c r="X19" i="9"/>
  <c r="Y19" i="9"/>
  <c r="AA18" i="9"/>
  <c r="Z40" i="9"/>
  <c r="V42" i="9"/>
  <c r="AA40" i="9"/>
  <c r="Y42" i="9"/>
  <c r="AE20" i="9"/>
  <c r="AE114" i="8"/>
  <c r="AC19" i="9"/>
  <c r="AB24" i="9"/>
  <c r="AB39" i="9"/>
  <c r="V24" i="9"/>
  <c r="O115" i="8"/>
  <c r="L115" i="8"/>
  <c r="K115" i="8"/>
  <c r="AE29" i="8"/>
  <c r="AC63" i="9"/>
  <c r="AC62" i="9"/>
  <c r="P129" i="8"/>
  <c r="L129" i="8"/>
  <c r="K129" i="8"/>
  <c r="N129" i="8"/>
  <c r="C45" i="9" l="1"/>
  <c r="F44" i="9"/>
  <c r="F45" i="9" s="1"/>
  <c r="E44" i="9"/>
  <c r="E45" i="9" s="1"/>
  <c r="D45" i="9"/>
  <c r="G44" i="9"/>
  <c r="G45" i="9" s="1"/>
  <c r="Q15" i="8"/>
  <c r="W15" i="8"/>
  <c r="W20" i="8"/>
  <c r="Q26" i="8"/>
  <c r="Q30" i="8" s="1"/>
  <c r="Q89" i="8" s="1"/>
  <c r="Q104" i="8" s="1"/>
  <c r="Q134" i="8" s="1"/>
  <c r="Y15" i="8"/>
  <c r="Y20" i="8"/>
  <c r="V15" i="8"/>
  <c r="V20" i="8"/>
  <c r="X15" i="8"/>
  <c r="X20" i="8"/>
  <c r="AE93" i="8"/>
  <c r="V15" i="9"/>
  <c r="V21" i="9" s="1"/>
  <c r="Y15" i="9"/>
  <c r="Y21" i="9" s="1"/>
  <c r="X15" i="9"/>
  <c r="X21" i="9" s="1"/>
  <c r="S21" i="8"/>
  <c r="C21" i="8"/>
  <c r="T21" i="8"/>
  <c r="K4" i="10"/>
  <c r="W15" i="9"/>
  <c r="W21" i="9" s="1"/>
  <c r="AA7" i="9"/>
  <c r="Z7" i="9"/>
  <c r="AB7" i="9"/>
  <c r="AA6" i="9"/>
  <c r="Z6" i="9"/>
  <c r="AB6" i="9"/>
  <c r="R34" i="8"/>
  <c r="R37" i="8"/>
  <c r="H34" i="8"/>
  <c r="H37" i="8"/>
  <c r="R31" i="8"/>
  <c r="T27" i="8"/>
  <c r="T30" i="8"/>
  <c r="T89" i="8" s="1"/>
  <c r="S27" i="8"/>
  <c r="S30" i="8"/>
  <c r="S89" i="8" s="1"/>
  <c r="H31" i="8"/>
  <c r="Y43" i="9"/>
  <c r="C30" i="8"/>
  <c r="C89" i="8" s="1"/>
  <c r="W24" i="9"/>
  <c r="AA24" i="9"/>
  <c r="AE19" i="9"/>
  <c r="Z24" i="9"/>
  <c r="Z39" i="9"/>
  <c r="Z28" i="9"/>
  <c r="AB28" i="9"/>
  <c r="AA39" i="9"/>
  <c r="Y24" i="9"/>
  <c r="X24" i="9"/>
  <c r="AA28" i="9"/>
  <c r="X43" i="9"/>
  <c r="W43" i="9"/>
  <c r="V43" i="9"/>
  <c r="AB43" i="9"/>
  <c r="AA43" i="9"/>
  <c r="Z43" i="9"/>
  <c r="Y41" i="9"/>
  <c r="AC41" i="9"/>
  <c r="AE125" i="8"/>
  <c r="AE111" i="8"/>
  <c r="Y39" i="9"/>
  <c r="M115" i="8"/>
  <c r="O129" i="8"/>
  <c r="H10" i="9"/>
  <c r="H15" i="9" s="1"/>
  <c r="M10" i="9"/>
  <c r="M15" i="9" s="1"/>
  <c r="K10" i="9"/>
  <c r="K15" i="9" s="1"/>
  <c r="L10" i="9"/>
  <c r="L15" i="9" s="1"/>
  <c r="J10" i="9"/>
  <c r="J15" i="9" s="1"/>
  <c r="S10" i="9"/>
  <c r="S15" i="9" s="1"/>
  <c r="R10" i="9"/>
  <c r="R15" i="9" s="1"/>
  <c r="T10" i="9"/>
  <c r="T15" i="9" s="1"/>
  <c r="P10" i="9"/>
  <c r="P15" i="9" s="1"/>
  <c r="O10" i="9"/>
  <c r="O15" i="9" s="1"/>
  <c r="N10" i="9"/>
  <c r="N15" i="9" s="1"/>
  <c r="E129" i="8"/>
  <c r="F129" i="8"/>
  <c r="G129" i="8"/>
  <c r="J129" i="8" s="1"/>
  <c r="M129" i="8"/>
  <c r="AC14" i="9"/>
  <c r="Q34" i="8" l="1"/>
  <c r="Q37" i="8"/>
  <c r="Q27" i="8"/>
  <c r="Y21" i="8"/>
  <c r="Y26" i="8"/>
  <c r="W21" i="8"/>
  <c r="W26" i="8"/>
  <c r="X26" i="8"/>
  <c r="X21" i="8"/>
  <c r="Q31" i="8"/>
  <c r="V26" i="8"/>
  <c r="V21" i="8"/>
  <c r="V25" i="9"/>
  <c r="V29" i="9" s="1"/>
  <c r="J4" i="10"/>
  <c r="Z9" i="9"/>
  <c r="AB9" i="9"/>
  <c r="AA9" i="9"/>
  <c r="Z8" i="9"/>
  <c r="AA8" i="9"/>
  <c r="AB8" i="9"/>
  <c r="C37" i="8"/>
  <c r="C34" i="8"/>
  <c r="S34" i="8"/>
  <c r="S37" i="8"/>
  <c r="T34" i="8"/>
  <c r="T37" i="8"/>
  <c r="R104" i="8"/>
  <c r="R134" i="8" s="1"/>
  <c r="S31" i="8"/>
  <c r="T31" i="8"/>
  <c r="H104" i="8"/>
  <c r="H134" i="8" s="1"/>
  <c r="W25" i="9"/>
  <c r="W29" i="9" s="1"/>
  <c r="C31" i="8"/>
  <c r="Y25" i="9"/>
  <c r="Y29" i="9" s="1"/>
  <c r="X25" i="9"/>
  <c r="X29" i="9" s="1"/>
  <c r="Z41" i="9"/>
  <c r="V39" i="9"/>
  <c r="X39" i="9"/>
  <c r="AA41" i="9"/>
  <c r="AB42" i="9"/>
  <c r="AA42" i="9"/>
  <c r="Z42" i="9"/>
  <c r="AB41" i="9"/>
  <c r="W39" i="9"/>
  <c r="Q10" i="9"/>
  <c r="Q15" i="9" s="1"/>
  <c r="AC42" i="9"/>
  <c r="AE14" i="9"/>
  <c r="AA10" i="9" l="1"/>
  <c r="AA15" i="9" s="1"/>
  <c r="AA21" i="9" s="1"/>
  <c r="AA25" i="9" s="1"/>
  <c r="AA29" i="9" s="1"/>
  <c r="AB10" i="9"/>
  <c r="AB15" i="9" s="1"/>
  <c r="AB21" i="9" s="1"/>
  <c r="AB25" i="9" s="1"/>
  <c r="AB29" i="9" s="1"/>
  <c r="V27" i="8"/>
  <c r="V30" i="8"/>
  <c r="X27" i="8"/>
  <c r="X30" i="8"/>
  <c r="W27" i="8"/>
  <c r="W30" i="8"/>
  <c r="Y27" i="8"/>
  <c r="Y30" i="8"/>
  <c r="Z10" i="9"/>
  <c r="Z15" i="9" s="1"/>
  <c r="Z21" i="9" s="1"/>
  <c r="Z25" i="9" s="1"/>
  <c r="Z29" i="9" s="1"/>
  <c r="T104" i="8"/>
  <c r="T134" i="8" s="1"/>
  <c r="S104" i="8"/>
  <c r="S134" i="8" s="1"/>
  <c r="C104" i="8"/>
  <c r="C134" i="8" s="1"/>
  <c r="AE13" i="8"/>
  <c r="W31" i="8" l="1"/>
  <c r="W34" i="8"/>
  <c r="W89" i="8"/>
  <c r="W104" i="8" s="1"/>
  <c r="W37" i="8"/>
  <c r="Y31" i="8"/>
  <c r="Y34" i="8"/>
  <c r="Y37" i="8"/>
  <c r="Y89" i="8"/>
  <c r="Y104" i="8" s="1"/>
  <c r="X37" i="8"/>
  <c r="X89" i="8"/>
  <c r="X104" i="8" s="1"/>
  <c r="X34" i="8"/>
  <c r="X31" i="8"/>
  <c r="V31" i="8"/>
  <c r="V37" i="8"/>
  <c r="V89" i="8"/>
  <c r="V104" i="8" s="1"/>
  <c r="V34" i="8"/>
  <c r="C130" i="8"/>
  <c r="C135" i="8" s="1"/>
  <c r="AC50" i="9"/>
  <c r="D128" i="8" l="1"/>
  <c r="C137" i="8"/>
  <c r="S51" i="9"/>
  <c r="L51" i="9"/>
  <c r="H51" i="9"/>
  <c r="P51" i="9"/>
  <c r="K51" i="9"/>
  <c r="J51" i="9"/>
  <c r="N51" i="9"/>
  <c r="O51" i="9"/>
  <c r="R51" i="9"/>
  <c r="T51" i="9"/>
  <c r="B2" i="9" l="1"/>
  <c r="P64" i="8"/>
  <c r="O64" i="8"/>
  <c r="AB58" i="9" s="1"/>
  <c r="N64" i="8"/>
  <c r="AA58" i="9" s="1"/>
  <c r="L64" i="8"/>
  <c r="Y58" i="9" s="1"/>
  <c r="K64" i="8"/>
  <c r="X58" i="9" s="1"/>
  <c r="J64" i="8"/>
  <c r="W58" i="9" s="1"/>
  <c r="G64" i="8"/>
  <c r="F64" i="8"/>
  <c r="E64" i="8"/>
  <c r="D64" i="8"/>
  <c r="AC49" i="9"/>
  <c r="AC51" i="9" s="1"/>
  <c r="AC4" i="9"/>
  <c r="AC3" i="9"/>
  <c r="AC86" i="8"/>
  <c r="AC85" i="8"/>
  <c r="P86" i="8"/>
  <c r="P85" i="8"/>
  <c r="P78" i="8"/>
  <c r="P41" i="8"/>
  <c r="P40" i="8"/>
  <c r="P11" i="8"/>
  <c r="N126" i="8"/>
  <c r="G126" i="8"/>
  <c r="F126" i="8"/>
  <c r="E126" i="8"/>
  <c r="AB51" i="9"/>
  <c r="AA51" i="9"/>
  <c r="Y51" i="9"/>
  <c r="AB4" i="9"/>
  <c r="AA4" i="9"/>
  <c r="Z4" i="9"/>
  <c r="Y4" i="9"/>
  <c r="X4" i="9"/>
  <c r="W4" i="9"/>
  <c r="V4" i="9"/>
  <c r="AB3" i="9"/>
  <c r="AA3" i="9"/>
  <c r="Z3" i="9"/>
  <c r="Y3" i="9"/>
  <c r="X3" i="9"/>
  <c r="W3" i="9"/>
  <c r="V3" i="9"/>
  <c r="O86" i="8"/>
  <c r="N86" i="8"/>
  <c r="M86" i="8"/>
  <c r="L86" i="8"/>
  <c r="K86" i="8"/>
  <c r="J86" i="8"/>
  <c r="O85" i="8"/>
  <c r="N85" i="8"/>
  <c r="M85" i="8"/>
  <c r="L85" i="8"/>
  <c r="K85" i="8"/>
  <c r="J85" i="8"/>
  <c r="L78" i="8"/>
  <c r="K78" i="8"/>
  <c r="J78" i="8"/>
  <c r="O41" i="8"/>
  <c r="N41" i="8"/>
  <c r="M41" i="8"/>
  <c r="L41" i="8"/>
  <c r="K41" i="8"/>
  <c r="J41" i="8"/>
  <c r="O40" i="8"/>
  <c r="N40" i="8"/>
  <c r="M40" i="8"/>
  <c r="L40" i="8"/>
  <c r="K40" i="8"/>
  <c r="J40" i="8"/>
  <c r="G41" i="8"/>
  <c r="F41" i="8"/>
  <c r="E41" i="8"/>
  <c r="D41" i="8"/>
  <c r="G40" i="8"/>
  <c r="F40" i="8"/>
  <c r="E40" i="8"/>
  <c r="D40" i="8"/>
  <c r="K11" i="8"/>
  <c r="J11" i="8"/>
  <c r="O11" i="8"/>
  <c r="O14" i="8" l="1"/>
  <c r="O15" i="10"/>
  <c r="J14" i="8"/>
  <c r="J20" i="8" s="1"/>
  <c r="J26" i="8" s="1"/>
  <c r="J15" i="10"/>
  <c r="K14" i="8"/>
  <c r="K20" i="8" s="1"/>
  <c r="K26" i="8" s="1"/>
  <c r="K15" i="10"/>
  <c r="P14" i="8"/>
  <c r="P20" i="8" s="1"/>
  <c r="P26" i="8" s="1"/>
  <c r="P15" i="10"/>
  <c r="AE44" i="8"/>
  <c r="AE52" i="8"/>
  <c r="AE61" i="8"/>
  <c r="AE62" i="8"/>
  <c r="AE67" i="8"/>
  <c r="P70" i="8"/>
  <c r="W68" i="9"/>
  <c r="AC68" i="9"/>
  <c r="X68" i="9"/>
  <c r="Y68" i="9"/>
  <c r="M51" i="9"/>
  <c r="AA64" i="8"/>
  <c r="AB64" i="8"/>
  <c r="AC64" i="8"/>
  <c r="V58" i="9"/>
  <c r="M64" i="8"/>
  <c r="Z58" i="9" s="1"/>
  <c r="AC78" i="8"/>
  <c r="AC40" i="8"/>
  <c r="AC41" i="8"/>
  <c r="D126" i="8"/>
  <c r="O126" i="8"/>
  <c r="J126" i="8"/>
  <c r="K126" i="8"/>
  <c r="O58" i="8"/>
  <c r="L58" i="8"/>
  <c r="K58" i="8"/>
  <c r="J58" i="8"/>
  <c r="G70" i="8"/>
  <c r="X51" i="9"/>
  <c r="W51" i="9"/>
  <c r="M58" i="8"/>
  <c r="P79" i="8" l="1"/>
  <c r="AC59" i="9"/>
  <c r="AC9" i="9"/>
  <c r="AE9" i="9" s="1"/>
  <c r="AC8" i="9"/>
  <c r="AE8" i="9" s="1"/>
  <c r="AC7" i="9"/>
  <c r="AE7" i="9" s="1"/>
  <c r="P15" i="8"/>
  <c r="K15" i="8"/>
  <c r="J15" i="8"/>
  <c r="P21" i="8"/>
  <c r="P30" i="8"/>
  <c r="P89" i="8" s="1"/>
  <c r="Z64" i="8"/>
  <c r="AE17" i="8"/>
  <c r="AC43" i="9"/>
  <c r="AC58" i="8"/>
  <c r="AC70" i="8"/>
  <c r="AC79" i="8" s="1"/>
  <c r="AE64" i="8"/>
  <c r="AE23" i="8"/>
  <c r="AC11" i="8"/>
  <c r="AC15" i="10" s="1"/>
  <c r="AE10" i="8"/>
  <c r="Q51" i="9"/>
  <c r="Z51" i="9"/>
  <c r="X69" i="9"/>
  <c r="X78" i="9" s="1"/>
  <c r="W69" i="9"/>
  <c r="W78" i="9" s="1"/>
  <c r="T69" i="9"/>
  <c r="T78" i="9" s="1"/>
  <c r="AC34" i="9"/>
  <c r="Y34" i="9"/>
  <c r="Y69" i="9"/>
  <c r="Y78" i="9" s="1"/>
  <c r="AC69" i="9"/>
  <c r="AC78" i="9" s="1"/>
  <c r="V68" i="9"/>
  <c r="V69" i="9" s="1"/>
  <c r="V78" i="9" s="1"/>
  <c r="AC18" i="9"/>
  <c r="P58" i="8"/>
  <c r="AC58" i="9"/>
  <c r="AC32" i="9"/>
  <c r="P126" i="8"/>
  <c r="L126" i="8"/>
  <c r="AC39" i="9"/>
  <c r="V51" i="9"/>
  <c r="K70" i="8"/>
  <c r="X59" i="9" s="1"/>
  <c r="J70" i="8"/>
  <c r="W59" i="9" s="1"/>
  <c r="V59" i="9"/>
  <c r="L70" i="8"/>
  <c r="Y59" i="9" s="1"/>
  <c r="W33" i="9"/>
  <c r="Z33" i="9"/>
  <c r="AA32" i="9"/>
  <c r="AC36" i="9"/>
  <c r="X33" i="9"/>
  <c r="AB32" i="9"/>
  <c r="Y33" i="9"/>
  <c r="Z32" i="9"/>
  <c r="V33" i="9"/>
  <c r="K21" i="8"/>
  <c r="K30" i="8"/>
  <c r="K89" i="8" s="1"/>
  <c r="J21" i="8"/>
  <c r="AC14" i="8" l="1"/>
  <c r="AC15" i="8" s="1"/>
  <c r="P37" i="8"/>
  <c r="P34" i="8"/>
  <c r="K37" i="8"/>
  <c r="K34" i="8"/>
  <c r="AE18" i="9"/>
  <c r="J30" i="8"/>
  <c r="J89" i="8" s="1"/>
  <c r="P81" i="8"/>
  <c r="T21" i="9"/>
  <c r="T25" i="9" s="1"/>
  <c r="T29" i="9" s="1"/>
  <c r="P27" i="8"/>
  <c r="AC81" i="8"/>
  <c r="AA34" i="9"/>
  <c r="AB34" i="9"/>
  <c r="Z34" i="9"/>
  <c r="AE34" i="9"/>
  <c r="W34" i="9"/>
  <c r="X34" i="9"/>
  <c r="V34" i="9"/>
  <c r="AB33" i="9"/>
  <c r="J79" i="8"/>
  <c r="J81" i="8" s="1"/>
  <c r="AA33" i="9"/>
  <c r="K79" i="8"/>
  <c r="K81" i="8" s="1"/>
  <c r="Z115" i="8"/>
  <c r="AB115" i="8"/>
  <c r="AA115" i="8"/>
  <c r="AC115" i="8"/>
  <c r="AB36" i="9"/>
  <c r="K27" i="8"/>
  <c r="AB126" i="8"/>
  <c r="AC126" i="8"/>
  <c r="Z126" i="8"/>
  <c r="AA126" i="8"/>
  <c r="M126" i="8"/>
  <c r="L79" i="8"/>
  <c r="L81" i="8" s="1"/>
  <c r="AA36" i="9"/>
  <c r="AE92" i="8"/>
  <c r="Z36" i="9"/>
  <c r="X32" i="9"/>
  <c r="W32" i="9"/>
  <c r="Y32" i="9"/>
  <c r="V32" i="9"/>
  <c r="Y36" i="9"/>
  <c r="AE36" i="9" s="1"/>
  <c r="V36" i="9"/>
  <c r="W36" i="9"/>
  <c r="X36" i="9"/>
  <c r="J27" i="8"/>
  <c r="J34" i="8" l="1"/>
  <c r="J37" i="8"/>
  <c r="P104" i="8"/>
  <c r="P134" i="8" s="1"/>
  <c r="K104" i="8"/>
  <c r="K134" i="8" s="1"/>
  <c r="Z37" i="9"/>
  <c r="AA37" i="9"/>
  <c r="AB37" i="9"/>
  <c r="V37" i="9"/>
  <c r="AE32" i="9"/>
  <c r="Y37" i="9"/>
  <c r="W37" i="9"/>
  <c r="X37" i="9"/>
  <c r="AC20" i="8"/>
  <c r="AC26" i="8" s="1"/>
  <c r="P31" i="8"/>
  <c r="T16" i="9"/>
  <c r="T22" i="9"/>
  <c r="AE33" i="8"/>
  <c r="AE115" i="8"/>
  <c r="AC33" i="9"/>
  <c r="AE33" i="9" s="1"/>
  <c r="AC28" i="9"/>
  <c r="AE28" i="9" s="1"/>
  <c r="AC24" i="9"/>
  <c r="AC40" i="9"/>
  <c r="T26" i="9"/>
  <c r="AE126" i="8"/>
  <c r="K31" i="8"/>
  <c r="J31" i="8"/>
  <c r="J104" i="8" l="1"/>
  <c r="J134" i="8" s="1"/>
  <c r="AC21" i="8"/>
  <c r="AC30" i="8"/>
  <c r="AC89" i="8" s="1"/>
  <c r="AE24" i="9"/>
  <c r="AC6" i="9"/>
  <c r="AC10" i="9" s="1"/>
  <c r="AC15" i="9" s="1"/>
  <c r="AC21" i="9" s="1"/>
  <c r="AC25" i="9" s="1"/>
  <c r="AC29" i="9" s="1"/>
  <c r="AC37" i="9" s="1"/>
  <c r="X16" i="9"/>
  <c r="T30" i="9"/>
  <c r="T37" i="9"/>
  <c r="T44" i="9" s="1"/>
  <c r="AC37" i="8" l="1"/>
  <c r="AC34" i="8"/>
  <c r="AC31" i="8"/>
  <c r="AC27" i="8"/>
  <c r="W16" i="9"/>
  <c r="Y22" i="9"/>
  <c r="Y16" i="9"/>
  <c r="V16" i="9"/>
  <c r="X22" i="9"/>
  <c r="V22" i="9"/>
  <c r="AA11" i="9"/>
  <c r="AE6" i="9"/>
  <c r="T45" i="9"/>
  <c r="V26" i="9"/>
  <c r="W76" i="9" l="1" a="1"/>
  <c r="W76" i="9" s="1"/>
  <c r="X75" i="9"/>
  <c r="W22" i="9"/>
  <c r="Z11" i="9"/>
  <c r="AA16" i="9"/>
  <c r="Z16" i="9"/>
  <c r="AE10" i="9"/>
  <c r="AC11" i="9"/>
  <c r="AE11" i="9" s="1"/>
  <c r="W26" i="9"/>
  <c r="X26" i="9"/>
  <c r="AA22" i="9"/>
  <c r="V77" i="9" a="1"/>
  <c r="V77" i="9" s="1"/>
  <c r="V75" i="9"/>
  <c r="V76" i="9" a="1"/>
  <c r="V76" i="9" s="1"/>
  <c r="V74" i="9"/>
  <c r="V30" i="9"/>
  <c r="V73" i="9"/>
  <c r="B86" i="8"/>
  <c r="B85" i="8"/>
  <c r="G86" i="8"/>
  <c r="F86" i="8"/>
  <c r="E86" i="8"/>
  <c r="D86" i="8"/>
  <c r="G85" i="8"/>
  <c r="F85" i="8"/>
  <c r="E85" i="8"/>
  <c r="D85" i="8"/>
  <c r="B41" i="8"/>
  <c r="B40" i="8"/>
  <c r="AB41" i="8"/>
  <c r="AA41" i="8"/>
  <c r="Z41" i="8"/>
  <c r="AB40" i="8"/>
  <c r="AA40" i="8"/>
  <c r="Z40" i="8"/>
  <c r="X77" i="9" l="1" a="1"/>
  <c r="X77" i="9" s="1"/>
  <c r="W74" i="9"/>
  <c r="X30" i="9"/>
  <c r="X73" i="9"/>
  <c r="X76" i="9" a="1"/>
  <c r="X76" i="9" s="1"/>
  <c r="W77" i="9" a="1"/>
  <c r="W77" i="9" s="1"/>
  <c r="X74" i="9"/>
  <c r="W75" i="9"/>
  <c r="W30" i="9"/>
  <c r="W73" i="9"/>
  <c r="Y73" i="9"/>
  <c r="Y26" i="9"/>
  <c r="AC16" i="9"/>
  <c r="AE16" i="9" s="1"/>
  <c r="AE15" i="9"/>
  <c r="Z22" i="9"/>
  <c r="AA26" i="9"/>
  <c r="Z85" i="8"/>
  <c r="Z86" i="8"/>
  <c r="AA86" i="8"/>
  <c r="AA85" i="8"/>
  <c r="AB85" i="8"/>
  <c r="AB86" i="8"/>
  <c r="Y77" i="9" l="1" a="1"/>
  <c r="Y77" i="9" s="1"/>
  <c r="Y76" i="9" a="1"/>
  <c r="Y76" i="9" s="1"/>
  <c r="Y30" i="9"/>
  <c r="Y74" i="9"/>
  <c r="Y75" i="9"/>
  <c r="Z26" i="9"/>
  <c r="AC22" i="9"/>
  <c r="AE22" i="9" s="1"/>
  <c r="AE21" i="9"/>
  <c r="AA75" i="9"/>
  <c r="AA30" i="9"/>
  <c r="AA77" i="9" a="1"/>
  <c r="AA77" i="9" s="1"/>
  <c r="AA76" i="9" a="1"/>
  <c r="AA76" i="9" s="1"/>
  <c r="AA73" i="9"/>
  <c r="AA74" i="9"/>
  <c r="AE25" i="9" l="1"/>
  <c r="AC26" i="9"/>
  <c r="AE26" i="9" s="1"/>
  <c r="Z75" i="9"/>
  <c r="Z74" i="9"/>
  <c r="Z76" i="9" a="1"/>
  <c r="Z76" i="9" s="1"/>
  <c r="Z30" i="9"/>
  <c r="Z77" i="9" a="1"/>
  <c r="Z77" i="9" s="1"/>
  <c r="Z73" i="9"/>
  <c r="AC75" i="9" l="1"/>
  <c r="AE29" i="9"/>
  <c r="AC76" i="9" a="1"/>
  <c r="AC76" i="9" s="1"/>
  <c r="AC30" i="9"/>
  <c r="AE30" i="9" s="1"/>
  <c r="AC74" i="9"/>
  <c r="AC73" i="9"/>
  <c r="AC77" i="9" a="1"/>
  <c r="AC77" i="9" s="1"/>
  <c r="AE37" i="9"/>
  <c r="M78" i="8" l="1"/>
  <c r="O78" i="8"/>
  <c r="AB68" i="9" l="1"/>
  <c r="Z68" i="9"/>
  <c r="Z69" i="9" s="1"/>
  <c r="Z78" i="9" s="1"/>
  <c r="N58" i="8"/>
  <c r="N78" i="8"/>
  <c r="T11" i="9" l="1"/>
  <c r="T12" i="9"/>
  <c r="AA68" i="9"/>
  <c r="AA69" i="9" s="1"/>
  <c r="AA78" i="9" s="1"/>
  <c r="AB69" i="9"/>
  <c r="AB78" i="9" s="1"/>
  <c r="F58" i="8" l="1"/>
  <c r="E58" i="8"/>
  <c r="D58" i="8"/>
  <c r="G58" i="8"/>
  <c r="Z78" i="8" l="1"/>
  <c r="Z58" i="8"/>
  <c r="AA78" i="8"/>
  <c r="Z11" i="8"/>
  <c r="Z15" i="10" s="1"/>
  <c r="Z70" i="8"/>
  <c r="AA70" i="8"/>
  <c r="AA11" i="8"/>
  <c r="AA15" i="10" s="1"/>
  <c r="AA58" i="8"/>
  <c r="AE14" i="8" l="1"/>
  <c r="AA14" i="8"/>
  <c r="Z14" i="8"/>
  <c r="AE11" i="8"/>
  <c r="Z79" i="8"/>
  <c r="Z81" i="8" s="1"/>
  <c r="AA79" i="8"/>
  <c r="AA81" i="8" s="1"/>
  <c r="Z20" i="8" l="1"/>
  <c r="Z26" i="8" s="1"/>
  <c r="AA20" i="8"/>
  <c r="AA26" i="8" s="1"/>
  <c r="Z15" i="8"/>
  <c r="AE15" i="8"/>
  <c r="AA15" i="8"/>
  <c r="AB16" i="9"/>
  <c r="AA21" i="8" l="1"/>
  <c r="Z30" i="8"/>
  <c r="Z89" i="8" s="1"/>
  <c r="AE20" i="8"/>
  <c r="Z21" i="8"/>
  <c r="AE21" i="8"/>
  <c r="AA30" i="8"/>
  <c r="AA89" i="8" s="1"/>
  <c r="AB75" i="9"/>
  <c r="AB22" i="9"/>
  <c r="AA37" i="8" l="1"/>
  <c r="AA34" i="8"/>
  <c r="Z34" i="8"/>
  <c r="Z37" i="8"/>
  <c r="Z27" i="8"/>
  <c r="AE27" i="8"/>
  <c r="AE26" i="8"/>
  <c r="AA27" i="8"/>
  <c r="AB26" i="9"/>
  <c r="Z31" i="8"/>
  <c r="AA31" i="8"/>
  <c r="AE37" i="8" l="1"/>
  <c r="AE34" i="8"/>
  <c r="AE30" i="8"/>
  <c r="AE31" i="8"/>
  <c r="AB77" i="9" a="1"/>
  <c r="AB77" i="9" s="1"/>
  <c r="AB30" i="9"/>
  <c r="AB76" i="9" a="1"/>
  <c r="AB76" i="9" s="1"/>
  <c r="AB73" i="9"/>
  <c r="AB74" i="9"/>
  <c r="AE70" i="8" l="1"/>
  <c r="L11" i="8" l="1"/>
  <c r="G11" i="8"/>
  <c r="F11" i="8"/>
  <c r="E11" i="8"/>
  <c r="D11" i="8"/>
  <c r="G78" i="8"/>
  <c r="F78" i="8"/>
  <c r="E78" i="8"/>
  <c r="D78" i="8"/>
  <c r="O70" i="8"/>
  <c r="AB59" i="9" s="1"/>
  <c r="M70" i="8"/>
  <c r="Z59" i="9" s="1"/>
  <c r="AB11" i="8"/>
  <c r="AB15" i="10" s="1"/>
  <c r="R69" i="9"/>
  <c r="R78" i="9" s="1"/>
  <c r="J69" i="9"/>
  <c r="L14" i="8" l="1"/>
  <c r="L20" i="8" s="1"/>
  <c r="L26" i="8" s="1"/>
  <c r="L15" i="10"/>
  <c r="AB14" i="8"/>
  <c r="E14" i="8"/>
  <c r="E20" i="8" s="1"/>
  <c r="E26" i="8" s="1"/>
  <c r="E27" i="8" s="1"/>
  <c r="E15" i="10"/>
  <c r="G14" i="8"/>
  <c r="G20" i="8" s="1"/>
  <c r="G26" i="8" s="1"/>
  <c r="G27" i="8" s="1"/>
  <c r="G15" i="10"/>
  <c r="D14" i="8"/>
  <c r="D20" i="8" s="1"/>
  <c r="D26" i="8" s="1"/>
  <c r="D27" i="8" s="1"/>
  <c r="D15" i="10"/>
  <c r="F14" i="8"/>
  <c r="F20" i="8" s="1"/>
  <c r="F26" i="8" s="1"/>
  <c r="F27" i="8" s="1"/>
  <c r="F15" i="10"/>
  <c r="D70" i="8"/>
  <c r="F70" i="8"/>
  <c r="E70" i="8"/>
  <c r="K69" i="9"/>
  <c r="S69" i="9"/>
  <c r="S78" i="9" s="1"/>
  <c r="L69" i="9"/>
  <c r="H69" i="9"/>
  <c r="H78" i="9" s="1"/>
  <c r="L21" i="9"/>
  <c r="L25" i="9" s="1"/>
  <c r="L29" i="9" s="1"/>
  <c r="R11" i="9"/>
  <c r="R12" i="9"/>
  <c r="O20" i="8"/>
  <c r="O26" i="8" s="1"/>
  <c r="N70" i="8"/>
  <c r="AA59" i="9" s="1"/>
  <c r="AB70" i="8"/>
  <c r="AB78" i="8"/>
  <c r="H21" i="9"/>
  <c r="H25" i="9" s="1"/>
  <c r="H29" i="9" s="1"/>
  <c r="H11" i="9"/>
  <c r="N69" i="9"/>
  <c r="N78" i="9" s="1"/>
  <c r="O69" i="9"/>
  <c r="O78" i="9" s="1"/>
  <c r="P69" i="9"/>
  <c r="P78" i="9" s="1"/>
  <c r="AE79" i="8" l="1"/>
  <c r="AE78" i="8"/>
  <c r="E79" i="8"/>
  <c r="E81" i="8" s="1"/>
  <c r="O30" i="8"/>
  <c r="O89" i="8" s="1"/>
  <c r="G30" i="8"/>
  <c r="G89" i="8" s="1"/>
  <c r="L21" i="8"/>
  <c r="D30" i="8"/>
  <c r="D89" i="8" s="1"/>
  <c r="E30" i="8"/>
  <c r="E89" i="8" s="1"/>
  <c r="F21" i="8"/>
  <c r="D79" i="8"/>
  <c r="D81" i="8" s="1"/>
  <c r="L15" i="8"/>
  <c r="D15" i="8"/>
  <c r="Q69" i="9"/>
  <c r="Q78" i="9" s="1"/>
  <c r="M79" i="8"/>
  <c r="M81" i="8" s="1"/>
  <c r="AE49" i="8"/>
  <c r="O79" i="8"/>
  <c r="O81" i="8" s="1"/>
  <c r="F79" i="8"/>
  <c r="F81" i="8" s="1"/>
  <c r="G79" i="8"/>
  <c r="G81" i="8" s="1"/>
  <c r="M69" i="9"/>
  <c r="M78" i="9" s="1"/>
  <c r="M12" i="9"/>
  <c r="Q11" i="9"/>
  <c r="N11" i="9"/>
  <c r="O12" i="9"/>
  <c r="Q21" i="9"/>
  <c r="Q25" i="9" s="1"/>
  <c r="Q29" i="9" s="1"/>
  <c r="L12" i="9"/>
  <c r="N12" i="9"/>
  <c r="K12" i="9"/>
  <c r="O21" i="9"/>
  <c r="O25" i="9" s="1"/>
  <c r="O29" i="9" s="1"/>
  <c r="M21" i="9"/>
  <c r="M25" i="9" s="1"/>
  <c r="M29" i="9" s="1"/>
  <c r="O76" i="9" s="1" a="1"/>
  <c r="O76" i="9" s="1"/>
  <c r="O11" i="9"/>
  <c r="AB58" i="8"/>
  <c r="F15" i="8"/>
  <c r="G15" i="8"/>
  <c r="E15" i="8"/>
  <c r="AB20" i="8"/>
  <c r="AB26" i="8" s="1"/>
  <c r="O15" i="8"/>
  <c r="L16" i="9"/>
  <c r="P11" i="9"/>
  <c r="P21" i="9"/>
  <c r="P25" i="9" s="1"/>
  <c r="P29" i="9" s="1"/>
  <c r="P12" i="9"/>
  <c r="R21" i="9"/>
  <c r="R25" i="9" s="1"/>
  <c r="R29" i="9" s="1"/>
  <c r="AB11" i="9"/>
  <c r="K21" i="9"/>
  <c r="K25" i="9" s="1"/>
  <c r="K29" i="9" s="1"/>
  <c r="Q12" i="9"/>
  <c r="S11" i="9"/>
  <c r="S21" i="9"/>
  <c r="S25" i="9" s="1"/>
  <c r="S29" i="9" s="1"/>
  <c r="S12" i="9"/>
  <c r="J21" i="9"/>
  <c r="J25" i="9" s="1"/>
  <c r="J29" i="9" s="1"/>
  <c r="H16" i="9"/>
  <c r="N21" i="9"/>
  <c r="N25" i="9" s="1"/>
  <c r="N29" i="9" s="1"/>
  <c r="N75" i="9" l="1" a="1"/>
  <c r="N75" i="9" s="1"/>
  <c r="N77" i="9" a="1"/>
  <c r="N77" i="9" s="1"/>
  <c r="N76" i="9" a="1"/>
  <c r="N76" i="9" s="1"/>
  <c r="N73" i="9"/>
  <c r="N74" i="9"/>
  <c r="O73" i="9"/>
  <c r="S76" i="9" a="1"/>
  <c r="S76" i="9" s="1"/>
  <c r="S75" i="9" a="1"/>
  <c r="S75" i="9" s="1"/>
  <c r="S77" i="9" a="1"/>
  <c r="S77" i="9" s="1"/>
  <c r="S73" i="9"/>
  <c r="S74" i="9"/>
  <c r="O74" i="9"/>
  <c r="Q77" i="9" a="1"/>
  <c r="Q77" i="9" s="1"/>
  <c r="Q76" i="9" a="1"/>
  <c r="Q76" i="9" s="1"/>
  <c r="Q75" i="9" a="1"/>
  <c r="Q75" i="9" s="1"/>
  <c r="Q73" i="9"/>
  <c r="Q74" i="9"/>
  <c r="O75" i="9" a="1"/>
  <c r="O75" i="9" s="1"/>
  <c r="M75" i="9" a="1"/>
  <c r="M75" i="9" s="1"/>
  <c r="M76" i="9" a="1"/>
  <c r="M76" i="9" s="1"/>
  <c r="M77" i="9" a="1"/>
  <c r="M77" i="9" s="1"/>
  <c r="M74" i="9"/>
  <c r="M73" i="9"/>
  <c r="P77" i="9" a="1"/>
  <c r="P77" i="9" s="1"/>
  <c r="P76" i="9" a="1"/>
  <c r="P76" i="9" s="1"/>
  <c r="P75" i="9" a="1"/>
  <c r="P75" i="9" s="1"/>
  <c r="P73" i="9"/>
  <c r="P74" i="9"/>
  <c r="R77" i="9" a="1"/>
  <c r="R77" i="9" s="1"/>
  <c r="R76" i="9" a="1"/>
  <c r="R76" i="9" s="1"/>
  <c r="R75" i="9" a="1"/>
  <c r="R75" i="9" s="1"/>
  <c r="R73" i="9"/>
  <c r="R74" i="9"/>
  <c r="O77" i="9" a="1"/>
  <c r="O77" i="9" s="1"/>
  <c r="E37" i="8"/>
  <c r="E34" i="8"/>
  <c r="D34" i="8"/>
  <c r="D37" i="8"/>
  <c r="G34" i="8"/>
  <c r="G37" i="8"/>
  <c r="O34" i="8"/>
  <c r="O37" i="8"/>
  <c r="T73" i="9"/>
  <c r="O16" i="9"/>
  <c r="O22" i="9"/>
  <c r="O21" i="8"/>
  <c r="G21" i="8"/>
  <c r="D21" i="8"/>
  <c r="F30" i="8"/>
  <c r="F89" i="8" s="1"/>
  <c r="L30" i="8"/>
  <c r="L89" i="8" s="1"/>
  <c r="E21" i="8"/>
  <c r="AB30" i="8"/>
  <c r="AB89" i="8" s="1"/>
  <c r="O27" i="8"/>
  <c r="AB21" i="8"/>
  <c r="AB79" i="8"/>
  <c r="N79" i="8"/>
  <c r="N81" i="8" s="1"/>
  <c r="Q16" i="9"/>
  <c r="M16" i="9"/>
  <c r="G31" i="8"/>
  <c r="AB15" i="8"/>
  <c r="N16" i="9"/>
  <c r="L22" i="9"/>
  <c r="S16" i="9"/>
  <c r="P16" i="9"/>
  <c r="Q22" i="9"/>
  <c r="M22" i="9"/>
  <c r="H22" i="9"/>
  <c r="H75" i="9"/>
  <c r="R16" i="9"/>
  <c r="J16" i="9"/>
  <c r="K16" i="9"/>
  <c r="L34" i="8" l="1"/>
  <c r="L37" i="8"/>
  <c r="F34" i="8"/>
  <c r="F37" i="8"/>
  <c r="AB37" i="8"/>
  <c r="AB34" i="8"/>
  <c r="O104" i="8"/>
  <c r="O134" i="8" s="1"/>
  <c r="G104" i="8"/>
  <c r="G134" i="8" s="1"/>
  <c r="V135" i="8" s="1"/>
  <c r="V137" i="8" s="1"/>
  <c r="E104" i="8"/>
  <c r="D104" i="8"/>
  <c r="AE58" i="8"/>
  <c r="F31" i="8"/>
  <c r="L27" i="8"/>
  <c r="E31" i="8"/>
  <c r="O31" i="8"/>
  <c r="D31" i="8"/>
  <c r="AB81" i="8"/>
  <c r="AB27" i="8"/>
  <c r="H26" i="9"/>
  <c r="K22" i="9"/>
  <c r="Q26" i="9"/>
  <c r="L26" i="9"/>
  <c r="P22" i="9"/>
  <c r="R22" i="9"/>
  <c r="N22" i="9"/>
  <c r="J22" i="9"/>
  <c r="M26" i="9"/>
  <c r="S22" i="9"/>
  <c r="F104" i="8" l="1"/>
  <c r="F134" i="8" s="1"/>
  <c r="L104" i="8"/>
  <c r="L134" i="8" s="1"/>
  <c r="L31" i="8"/>
  <c r="T77" i="9" a="1"/>
  <c r="T77" i="9" s="1"/>
  <c r="T74" i="9"/>
  <c r="T75" i="9" a="1"/>
  <c r="T75" i="9" s="1"/>
  <c r="T76" i="9" a="1"/>
  <c r="T76" i="9" s="1"/>
  <c r="E134" i="8"/>
  <c r="D134" i="8"/>
  <c r="O26" i="9"/>
  <c r="J26" i="9"/>
  <c r="N26" i="9"/>
  <c r="K26" i="9"/>
  <c r="H76" i="9" a="1"/>
  <c r="H76" i="9" s="1"/>
  <c r="H77" i="9" a="1"/>
  <c r="H77" i="9" s="1"/>
  <c r="H30" i="9"/>
  <c r="H74" i="9"/>
  <c r="H37" i="9"/>
  <c r="H44" i="9" s="1"/>
  <c r="H73" i="9"/>
  <c r="O30" i="9"/>
  <c r="O37" i="9"/>
  <c r="O44" i="9" s="1"/>
  <c r="S26" i="9"/>
  <c r="R26" i="9"/>
  <c r="M37" i="9"/>
  <c r="M44" i="9" s="1"/>
  <c r="M30" i="9"/>
  <c r="L37" i="9"/>
  <c r="L44" i="9" s="1"/>
  <c r="L30" i="9"/>
  <c r="P26" i="9"/>
  <c r="Q30" i="9"/>
  <c r="Q37" i="9"/>
  <c r="Q44" i="9" s="1"/>
  <c r="AB31" i="8" l="1"/>
  <c r="N37" i="9"/>
  <c r="N44" i="9" s="1"/>
  <c r="X44" i="9" s="1"/>
  <c r="X45" i="9" s="1"/>
  <c r="N30" i="9"/>
  <c r="H45" i="9"/>
  <c r="R37" i="9"/>
  <c r="R44" i="9" s="1"/>
  <c r="R30" i="9"/>
  <c r="K37" i="9"/>
  <c r="K44" i="9" s="1"/>
  <c r="K30" i="9"/>
  <c r="P30" i="9"/>
  <c r="P37" i="9"/>
  <c r="P44" i="9" s="1"/>
  <c r="Q45" i="9"/>
  <c r="J37" i="9"/>
  <c r="J30" i="9"/>
  <c r="S30" i="9"/>
  <c r="S37" i="9"/>
  <c r="S44" i="9" s="1"/>
  <c r="AB44" i="9" l="1"/>
  <c r="AB45" i="9" s="1"/>
  <c r="W44" i="9"/>
  <c r="W45" i="9" s="1"/>
  <c r="V44" i="9"/>
  <c r="V45" i="9" s="1"/>
  <c r="Z44" i="9"/>
  <c r="Z45" i="9" s="1"/>
  <c r="AA44" i="9"/>
  <c r="AA45" i="9" s="1"/>
  <c r="Y44" i="9"/>
  <c r="Y45" i="9" s="1"/>
  <c r="AC44" i="9"/>
  <c r="AC45" i="9" s="1"/>
  <c r="R45" i="9"/>
  <c r="S45" i="9"/>
  <c r="P45" i="9"/>
  <c r="O45" i="9"/>
  <c r="J45" i="9"/>
  <c r="L45" i="9"/>
  <c r="M45" i="9"/>
  <c r="K45" i="9" l="1"/>
  <c r="N45" i="9"/>
  <c r="D130" i="8" l="1"/>
  <c r="D135" i="8" s="1"/>
  <c r="D137" i="8" s="1"/>
  <c r="E128" i="8" l="1"/>
  <c r="E130" i="8" s="1"/>
  <c r="E135" i="8" s="1"/>
  <c r="E137" i="8" s="1"/>
  <c r="F128" i="8" l="1"/>
  <c r="F130" i="8" l="1"/>
  <c r="F135" i="8" l="1"/>
  <c r="F137" i="8" l="1"/>
  <c r="W130" i="8"/>
  <c r="W135" i="8" s="1"/>
  <c r="G128" i="8"/>
  <c r="J128" i="8" s="1"/>
  <c r="W137" i="8" l="1"/>
  <c r="X128" i="8"/>
  <c r="G130" i="8"/>
  <c r="G135" i="8" s="1"/>
  <c r="G137" i="8" l="1"/>
  <c r="X130" i="8"/>
  <c r="X135" i="8" s="1"/>
  <c r="H128" i="8"/>
  <c r="H130" i="8" s="1"/>
  <c r="H135" i="8" s="1"/>
  <c r="X137" i="8" l="1"/>
  <c r="Y128" i="8"/>
  <c r="Y130" i="8"/>
  <c r="Y135" i="8" s="1"/>
  <c r="H137" i="8"/>
  <c r="J130" i="8"/>
  <c r="J135" i="8" s="1"/>
  <c r="J137" i="8" s="1"/>
  <c r="Y137" i="8" l="1"/>
  <c r="Z128" i="8"/>
  <c r="Z130" i="8" s="1"/>
  <c r="K128" i="8"/>
  <c r="K130" i="8" s="1"/>
  <c r="K135" i="8" s="1"/>
  <c r="K137" i="8" s="1"/>
  <c r="L128" i="8" l="1"/>
  <c r="L130" i="8" s="1"/>
  <c r="L135" i="8" s="1"/>
  <c r="L137" i="8" s="1"/>
  <c r="M128" i="8" l="1"/>
  <c r="M130" i="8" s="1"/>
  <c r="N11" i="8" l="1"/>
  <c r="N14" i="8" l="1"/>
  <c r="N20" i="8" s="1"/>
  <c r="N26" i="8" s="1"/>
  <c r="N15" i="10"/>
  <c r="N30" i="8" l="1"/>
  <c r="N89" i="8" s="1"/>
  <c r="N15" i="8"/>
  <c r="N34" i="8" l="1"/>
  <c r="N37" i="8"/>
  <c r="N21" i="8"/>
  <c r="N27" i="8"/>
  <c r="N31" i="8" l="1"/>
  <c r="N104" i="8" l="1"/>
  <c r="N134" i="8" s="1"/>
  <c r="M11" i="8"/>
  <c r="M14" i="8" l="1"/>
  <c r="M20" i="8" s="1"/>
  <c r="M26" i="8" s="1"/>
  <c r="M15" i="10"/>
  <c r="M15" i="8" l="1"/>
  <c r="M30" i="8"/>
  <c r="M89" i="8" s="1"/>
  <c r="M34" i="8" l="1"/>
  <c r="M37" i="8"/>
  <c r="M21" i="8"/>
  <c r="M27" i="8"/>
  <c r="M31" i="8" l="1"/>
  <c r="AC104" i="8" l="1"/>
  <c r="AE104" i="8" s="1"/>
  <c r="AE89" i="8"/>
  <c r="Z104" i="8"/>
  <c r="AA104" i="8"/>
  <c r="M104" i="8"/>
  <c r="M134" i="8" s="1"/>
  <c r="M135" i="8" l="1"/>
  <c r="M137" i="8" s="1"/>
  <c r="AB104" i="8"/>
  <c r="N128" i="8" l="1"/>
  <c r="N130" i="8" s="1"/>
  <c r="N135" i="8" s="1"/>
  <c r="N137" i="8" s="1"/>
  <c r="Z135" i="8"/>
  <c r="Z137" i="8" l="1"/>
  <c r="AA128" i="8"/>
  <c r="AA130" i="8" s="1"/>
  <c r="AA135" i="8" s="1"/>
  <c r="O128" i="8"/>
  <c r="O130" i="8" s="1"/>
  <c r="O135" i="8" s="1"/>
  <c r="O137" i="8" s="1"/>
  <c r="AA137" i="8" l="1"/>
  <c r="AB128" i="8"/>
  <c r="AB130" i="8" s="1"/>
  <c r="AB135" i="8" s="1"/>
  <c r="P128" i="8"/>
  <c r="P130" i="8" s="1"/>
  <c r="P135" i="8" s="1"/>
  <c r="P137" i="8" s="1"/>
  <c r="AB137" i="8" l="1"/>
  <c r="AC128" i="8"/>
  <c r="AC130" i="8" s="1"/>
  <c r="AC135" i="8" s="1"/>
  <c r="AC137" i="8" s="1"/>
  <c r="Q128" i="8"/>
  <c r="Q130" i="8" s="1"/>
  <c r="Q135" i="8" s="1"/>
  <c r="Q137" i="8" s="1"/>
  <c r="R128" i="8" l="1"/>
  <c r="R130" i="8" s="1"/>
  <c r="R135" i="8" s="1"/>
  <c r="R137" i="8" s="1"/>
  <c r="S128" i="8" l="1"/>
  <c r="S130" i="8" s="1"/>
  <c r="S135" i="8" s="1"/>
  <c r="S137" i="8" s="1"/>
  <c r="T128" i="8" l="1"/>
  <c r="T130" i="8" s="1"/>
  <c r="T135" i="8" s="1"/>
  <c r="T137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<sst xmlns="http://schemas.openxmlformats.org/spreadsheetml/2006/main" count="256" uniqueCount="191">
  <si>
    <t>FYE</t>
  </si>
  <si>
    <t>Quarterly</t>
  </si>
  <si>
    <t>1Q24</t>
  </si>
  <si>
    <t>2Q24</t>
  </si>
  <si>
    <t>3Q24</t>
  </si>
  <si>
    <t>4Q24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</si>
  <si>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</si>
  <si>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</si>
  <si>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</si>
  <si>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</si>
  <si>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</si>
  <si>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</si>
  <si>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</si>
  <si>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</si>
  <si>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</si>
  <si>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</si>
  <si>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</si>
  <si>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</si>
  <si>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</si>
  <si>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</si>
  <si>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</si>
  <si>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</si>
  <si>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</si>
  <si>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</si>
  <si>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</si>
  <si>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</si>
  <si>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</si>
  <si>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</si>
  <si>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</si>
  <si>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</si>
  <si>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</si>
  <si>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</si>
  <si>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</si>
  <si>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</si>
  <si>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</si>
  <si>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</si>
  <si>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</si>
  <si>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</si>
  <si>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</si>
  <si>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</si>
  <si>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</si>
  <si>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</si>
  <si>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</si>
  <si>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</si>
  <si>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</si>
  <si>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</si>
  <si>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</si>
  <si>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</si>
  <si>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</si>
  <si>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</si>
  <si>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</si>
  <si>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</si>
  <si>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</si>
  <si>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</si>
  <si>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</si>
  <si>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</si>
  <si>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</si>
  <si>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</si>
  <si>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</si>
  <si>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</si>
  <si>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</si>
  <si>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</si>
  <si>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</si>
  <si>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</si>
  <si>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</si>
  <si>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</si>
  <si>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</si>
  <si>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</si>
  <si>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</si>
  <si>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</si>
  <si>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</si>
  <si>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</si>
  <si>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</si>
  <si>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</si>
  <si>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</si>
  <si>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</si>
  <si>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</si>
  <si>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</si>
  <si>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</si>
  <si>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</si>
  <si>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</si>
  <si>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</si>
  <si>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</si>
  <si>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</si>
  <si>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</si>
  <si>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</si>
  <si>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</si>
  <si>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</si>
  <si>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BOP Restricted Cash Adjustment</t>
  </si>
  <si>
    <t>(-) 'Proceeds from issuance of Debt / (Repayment), net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</si>
  <si>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</si>
  <si>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</si>
  <si>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</si>
  <si>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</si>
  <si>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</si>
  <si>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</si>
  <si>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</si>
  <si>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</si>
  <si>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</si>
  <si>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</si>
  <si>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 xml:space="preserve">Income taxes paid </t>
  </si>
  <si>
    <t>Data Center</t>
  </si>
  <si>
    <t>Income from continuing operations, net of tax</t>
  </si>
  <si>
    <t>(-) Research and Development</t>
  </si>
  <si>
    <t>(+) Stock-Based Compensation</t>
  </si>
  <si>
    <t>Accounts Receivable</t>
  </si>
  <si>
    <t>Cost of Goods Sold</t>
  </si>
  <si>
    <t>Selling, General, and Administrative Expenses</t>
  </si>
  <si>
    <t>Research and Development</t>
  </si>
  <si>
    <t>Other Income</t>
  </si>
  <si>
    <t>Retained Earnings</t>
  </si>
  <si>
    <t>4Q25</t>
  </si>
  <si>
    <t>1Q26</t>
  </si>
  <si>
    <t>2Q26</t>
  </si>
  <si>
    <t>3Q26</t>
  </si>
  <si>
    <t>Earnings before income taxes (EBT)</t>
  </si>
  <si>
    <t>Interest Income</t>
  </si>
  <si>
    <t>Interest Expenses</t>
  </si>
  <si>
    <t>EBT Margin (%)</t>
  </si>
  <si>
    <t>($ In Millions)</t>
  </si>
  <si>
    <t>Revenue by reportable segment</t>
  </si>
  <si>
    <t>Revenue Segment Anaysis</t>
  </si>
  <si>
    <t>Revenue Segment Anaysis: Data Center</t>
  </si>
  <si>
    <t>Compute</t>
  </si>
  <si>
    <t>Networking</t>
  </si>
  <si>
    <t>Total Data Center Revenue</t>
  </si>
  <si>
    <t xml:space="preserve">Gaming </t>
  </si>
  <si>
    <t xml:space="preserve">Professional Visualization </t>
  </si>
  <si>
    <t>Automotive</t>
  </si>
  <si>
    <t xml:space="preserve">OEM &amp; Other </t>
  </si>
  <si>
    <t>Revenue by Geography</t>
  </si>
  <si>
    <t>U.S. Revenue</t>
  </si>
  <si>
    <t>Singapore Revenue</t>
  </si>
  <si>
    <t>Taiwan Revenue</t>
  </si>
  <si>
    <t>China (Incl. Hong Kong) Revenue</t>
  </si>
  <si>
    <t>Other Revenue</t>
  </si>
  <si>
    <t>Variance  Check</t>
  </si>
  <si>
    <t>Acquisition termination cost</t>
  </si>
  <si>
    <t>NVIDIA Corporation (NASDAQ: NVDA)</t>
  </si>
  <si>
    <t>Cash and cash equivalents</t>
  </si>
  <si>
    <t>Marketable securities</t>
  </si>
  <si>
    <t>Accounts receivable, net</t>
  </si>
  <si>
    <t>Prepaid expenses and other current assets</t>
  </si>
  <si>
    <t>Property and equipment, net</t>
  </si>
  <si>
    <t>Operating lease assets</t>
  </si>
  <si>
    <t>Intangible assets, net</t>
  </si>
  <si>
    <t>Deferred income tax assets</t>
  </si>
  <si>
    <t>Other assets</t>
  </si>
  <si>
    <t>Accounts payable</t>
  </si>
  <si>
    <t>Accrued and other current liabilities</t>
  </si>
  <si>
    <t>Short-term debt</t>
  </si>
  <si>
    <t>Long-term debt</t>
  </si>
  <si>
    <t>Long-term operating lease liabilities</t>
  </si>
  <si>
    <t>Other long-term liabilities</t>
  </si>
  <si>
    <t>Additional paid-in capital</t>
  </si>
  <si>
    <t>Accumulated other comprehensive income</t>
  </si>
  <si>
    <t>Preferred stock</t>
  </si>
  <si>
    <t>Common stock</t>
  </si>
  <si>
    <t>Changes in Working Capital:</t>
  </si>
  <si>
    <t>Stock-based compensation expense</t>
  </si>
  <si>
    <t>Depreciation and amortization</t>
  </si>
  <si>
    <t>Deferred income taxes</t>
  </si>
  <si>
    <t>Other</t>
  </si>
  <si>
    <t>Accounts receivable</t>
  </si>
  <si>
    <t>Prepaid expenses and other assets</t>
  </si>
  <si>
    <t>(Gains) losses on non-marketable equity securities and publicly-held equity securities, net</t>
  </si>
  <si>
    <t>Proceeds from maturities of marketable securities</t>
  </si>
  <si>
    <t>Proceeds from sales of marketable securities</t>
  </si>
  <si>
    <t>Purchases of marketable securities</t>
  </si>
  <si>
    <t>Purchases related to property and equipment and intangible assets</t>
  </si>
  <si>
    <t>Acquisitions, net of cash acquired</t>
  </si>
  <si>
    <t xml:space="preserve">Interest paid </t>
  </si>
  <si>
    <t>Proceeds related to employee stock plans</t>
  </si>
  <si>
    <t>Payments related to repurchases of common stock</t>
  </si>
  <si>
    <t>Payments related to tax on restricted stock units</t>
  </si>
  <si>
    <t>Repayment of debt</t>
  </si>
  <si>
    <t>Dividends paid</t>
  </si>
  <si>
    <t>Principal payments on property and equipment and intangible assets</t>
  </si>
  <si>
    <t>Issuance of debt, net of issuance costs</t>
  </si>
  <si>
    <t>Treasury stock</t>
  </si>
  <si>
    <t>Proceeds from sales of investments in non-affiliated entities</t>
  </si>
  <si>
    <t>Purchases of investments in non-affiliated entities</t>
  </si>
  <si>
    <t>(-) Cost of Goods Sold</t>
  </si>
  <si>
    <t>(-) Selling, General, and Administrative Expenses</t>
  </si>
  <si>
    <t>(-) Acquisition termination cost</t>
  </si>
  <si>
    <t>Aggregate Debt Holdings</t>
  </si>
  <si>
    <t>(+/-) Proceeds / (Purchases) of marketable securities</t>
  </si>
  <si>
    <t>(+/-) Proceeds / (Purchases) of non-affiliated entities</t>
  </si>
  <si>
    <t>(-) Dividends</t>
  </si>
  <si>
    <t>(-) Share Repurchases, net</t>
  </si>
  <si>
    <t>($ In Millions, except per share)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</si>
</sst>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9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18" xfId="1" applyFont="1" applyBorder="1"/>
    <xf numFmtId="0" fontId="23" fillId="9" borderId="19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20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41" fontId="11" fillId="0" borderId="12" xfId="0" applyNumberFormat="1" applyFont="1" applyBorder="1" applyAlignment="1">
      <alignment horizontal="right" vertical="top" wrapText="1"/>
    </xf>
    <xf numFmtId="14" fontId="2" fillId="2" borderId="0" xfId="0" applyNumberFormat="1" applyFont="1" applyFill="1" applyAlignment="1">
      <alignment horizontal="center" vertical="center" wrapText="1"/>
    </xf>
    <xf numFmtId="41" fontId="6" fillId="0" borderId="0" xfId="0" applyNumberFormat="1" applyFont="1"/>
    <xf numFmtId="169" fontId="4" fillId="8" borderId="0" xfId="0" applyNumberFormat="1" applyFont="1" applyFill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E158"/>
  <sheetViews>
    <sheetView showGridLines="0" tabSelected="1" zoomScaleNormal="100" workbookViewId="0">
      <selection activeCell="T141" sqref="T141"/>
    </sheetView>
  </sheetViews>
  <sheetFormatPr defaultRowHeight="12" outlineLevelCol="1"/>
  <cols>
    <col min="1" max="1" width="1.625" style="5" bestFit="1" customWidth="1"/>
    <col min="2" max="2" width="36.25" style="5" customWidth="1"/>
    <col min="3" max="4" width="9" style="5" customWidth="1" outlineLevel="1"/>
    <col min="5" max="8" width="9" style="5" bestFit="1" customWidth="1"/>
    <col min="9" max="9" width="1.5" style="5" customWidth="1"/>
    <col min="10" max="11" width="8.875" style="5" customWidth="1" outlineLevel="1"/>
    <col min="12" max="20" width="8.875" style="5" bestFit="1" customWidth="1"/>
    <col min="21" max="21" width="1.5" style="5" customWidth="1"/>
    <col min="22" max="24" width="8.75" style="5" hidden="1" customWidth="1" outlineLevel="1"/>
    <col min="25" max="25" width="9" style="5" bestFit="1" customWidth="1" collapsed="1"/>
    <col min="26" max="28" width="9" style="5" hidden="1" customWidth="1" outlineLevel="1"/>
    <col min="29" max="29" width="9" style="5" bestFit="1" customWidth="1" collapsed="1"/>
    <col min="30" max="30" width="1.25" style="5" customWidth="1"/>
    <col min="31" max="31" width="8" style="5" bestFit="1" customWidth="1"/>
    <col min="32" max="32" width="1.375" style="5" customWidth="1"/>
    <col min="33" max="16384" width="9" style="5"/>
  </cols>
  <sheetData>
    <row r="2" spans="1:31" ht="12.75" customHeight="1">
      <c r="B2" s="1" t="s">
        <v>138</v>
      </c>
      <c r="C2" s="100"/>
      <c r="D2" s="100"/>
      <c r="E2" s="100"/>
      <c r="F2" s="100"/>
      <c r="G2" s="100"/>
      <c r="H2" s="100"/>
      <c r="I2" s="3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3"/>
      <c r="V2" s="100"/>
      <c r="W2" s="100"/>
      <c r="X2" s="100"/>
      <c r="Y2" s="100"/>
      <c r="Z2" s="100"/>
      <c r="AA2" s="100"/>
      <c r="AB2" s="100"/>
      <c r="AC2" s="100"/>
      <c r="AD2" s="3"/>
      <c r="AE2" s="1"/>
    </row>
    <row r="3" spans="1:31" ht="12.75" customHeight="1">
      <c r="B3" s="6" t="s">
        <v>69</v>
      </c>
      <c r="C3" s="7"/>
      <c r="D3" s="7"/>
      <c r="E3" s="7"/>
      <c r="F3" s="7"/>
      <c r="G3" s="7"/>
      <c r="H3" s="7"/>
      <c r="I3" s="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3"/>
      <c r="V3" s="4"/>
      <c r="W3" s="4"/>
      <c r="X3" s="4"/>
      <c r="Y3" s="4"/>
      <c r="Z3" s="4"/>
      <c r="AA3" s="4"/>
      <c r="AB3" s="4"/>
      <c r="AC3" s="4"/>
      <c r="AD3" s="3"/>
      <c r="AE3" s="1"/>
    </row>
    <row r="4" spans="1:31" ht="12.75" customHeight="1">
      <c r="B4" s="6" t="s">
        <v>190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1"/>
    </row>
    <row r="6" spans="1:31" ht="12.75" customHeight="1">
      <c r="A6" s="5" t="s">
        <v>12</v>
      </c>
      <c r="B6" s="1" t="s">
        <v>67</v>
      </c>
      <c r="C6" s="2" t="s">
        <v>0</v>
      </c>
      <c r="D6" s="2" t="s">
        <v>0</v>
      </c>
      <c r="E6" s="2"/>
      <c r="F6" s="2"/>
      <c r="G6" s="2"/>
      <c r="H6" s="2"/>
      <c r="I6" s="3"/>
      <c r="J6" s="2"/>
      <c r="K6" s="2"/>
      <c r="L6" s="2" t="s">
        <v>1</v>
      </c>
      <c r="M6" s="2"/>
      <c r="N6" s="2"/>
      <c r="O6" s="2"/>
      <c r="P6" s="2"/>
      <c r="Q6" s="2"/>
      <c r="R6" s="2"/>
      <c r="S6" s="2"/>
      <c r="T6" s="2"/>
      <c r="U6" s="3"/>
      <c r="V6" s="2"/>
      <c r="W6" s="2"/>
      <c r="X6" s="2" t="s">
        <v>6</v>
      </c>
      <c r="Y6" s="2" t="s">
        <v>6</v>
      </c>
      <c r="Z6" s="2"/>
      <c r="AA6" s="2"/>
      <c r="AB6" s="2"/>
      <c r="AC6" s="2"/>
      <c r="AD6" s="38"/>
      <c r="AE6" s="161" t="s">
        <v>18</v>
      </c>
    </row>
    <row r="7" spans="1:31" ht="12.75" customHeight="1">
      <c r="B7" s="6" t="s">
        <v>70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7">
        <v>2025</v>
      </c>
      <c r="I7" s="3"/>
      <c r="J7" s="4" t="s">
        <v>2</v>
      </c>
      <c r="K7" s="4" t="s">
        <v>3</v>
      </c>
      <c r="L7" s="4" t="s">
        <v>4</v>
      </c>
      <c r="M7" s="4" t="s">
        <v>5</v>
      </c>
      <c r="N7" s="4" t="s">
        <v>20</v>
      </c>
      <c r="O7" s="4" t="s">
        <v>21</v>
      </c>
      <c r="P7" s="4" t="s">
        <v>57</v>
      </c>
      <c r="Q7" s="4" t="s">
        <v>111</v>
      </c>
      <c r="R7" s="4" t="s">
        <v>112</v>
      </c>
      <c r="S7" s="4" t="s">
        <v>113</v>
      </c>
      <c r="T7" s="4" t="s">
        <v>114</v>
      </c>
      <c r="U7" s="3"/>
      <c r="V7" s="166" t="str">
        <f t="shared" ref="V7:AB8" si="0">M7</f>
        <v>4Q24</v>
      </c>
      <c r="W7" s="166" t="str">
        <f t="shared" si="0"/>
        <v>1Q25</v>
      </c>
      <c r="X7" s="166" t="str">
        <f t="shared" si="0"/>
        <v>2Q25</v>
      </c>
      <c r="Y7" s="166" t="str">
        <f t="shared" si="0"/>
        <v>3Q25</v>
      </c>
      <c r="Z7" s="166" t="str">
        <f t="shared" si="0"/>
        <v>4Q25</v>
      </c>
      <c r="AA7" s="166" t="str">
        <f t="shared" si="0"/>
        <v>1Q26</v>
      </c>
      <c r="AB7" s="166" t="str">
        <f t="shared" si="0"/>
        <v>2Q26</v>
      </c>
      <c r="AC7" s="166" t="str">
        <f>T7</f>
        <v>3Q26</v>
      </c>
      <c r="AD7" s="38"/>
      <c r="AE7" s="161"/>
    </row>
    <row r="8" spans="1:31" ht="12.75" customHeight="1">
      <c r="B8" s="6" t="s">
        <v>71</v>
      </c>
      <c r="C8" s="3">
        <v>43856</v>
      </c>
      <c r="D8" s="3">
        <v>44227</v>
      </c>
      <c r="E8" s="3">
        <v>44956</v>
      </c>
      <c r="F8" s="3">
        <v>44955</v>
      </c>
      <c r="G8" s="85">
        <v>45319</v>
      </c>
      <c r="H8" s="85">
        <v>45683</v>
      </c>
      <c r="I8" s="3"/>
      <c r="J8" s="3">
        <v>45046</v>
      </c>
      <c r="K8" s="3">
        <v>45137</v>
      </c>
      <c r="L8" s="3">
        <v>45228</v>
      </c>
      <c r="M8" s="3">
        <f>G8</f>
        <v>45319</v>
      </c>
      <c r="N8" s="3">
        <v>45410</v>
      </c>
      <c r="O8" s="3">
        <v>45501</v>
      </c>
      <c r="P8" s="3">
        <v>45592</v>
      </c>
      <c r="Q8" s="3">
        <f>H8</f>
        <v>45683</v>
      </c>
      <c r="R8" s="3">
        <v>45774</v>
      </c>
      <c r="S8" s="3">
        <v>45865</v>
      </c>
      <c r="T8" s="3">
        <v>45956</v>
      </c>
      <c r="U8" s="3"/>
      <c r="V8" s="3">
        <f t="shared" si="0"/>
        <v>45319</v>
      </c>
      <c r="W8" s="3">
        <f t="shared" si="0"/>
        <v>45410</v>
      </c>
      <c r="X8" s="3">
        <f t="shared" si="0"/>
        <v>45501</v>
      </c>
      <c r="Y8" s="3">
        <f t="shared" si="0"/>
        <v>45592</v>
      </c>
      <c r="Z8" s="3">
        <f t="shared" si="0"/>
        <v>45683</v>
      </c>
      <c r="AA8" s="3">
        <f t="shared" si="0"/>
        <v>45774</v>
      </c>
      <c r="AB8" s="3">
        <f t="shared" si="0"/>
        <v>45865</v>
      </c>
      <c r="AC8" s="3">
        <f>T8</f>
        <v>45956</v>
      </c>
      <c r="AD8" s="38"/>
      <c r="AE8" s="161"/>
    </row>
    <row r="9" spans="1:31" ht="5.0999999999999996" customHeight="1">
      <c r="AE9" s="99"/>
    </row>
    <row r="10" spans="1:31" ht="12.75" customHeight="1">
      <c r="B10" s="9" t="s">
        <v>52</v>
      </c>
      <c r="C10" s="95">
        <v>10918</v>
      </c>
      <c r="D10" s="95">
        <v>16675</v>
      </c>
      <c r="E10" s="95">
        <v>26914</v>
      </c>
      <c r="F10" s="95">
        <v>26974</v>
      </c>
      <c r="G10" s="95">
        <v>60922</v>
      </c>
      <c r="H10" s="95">
        <v>130497</v>
      </c>
      <c r="I10" s="11"/>
      <c r="J10" s="95">
        <v>7192</v>
      </c>
      <c r="K10" s="95">
        <v>13507</v>
      </c>
      <c r="L10" s="95">
        <v>18120</v>
      </c>
      <c r="M10" s="32">
        <f>SUM(G10-SUM(J10:L10))</f>
        <v>22103</v>
      </c>
      <c r="N10" s="95">
        <v>26044</v>
      </c>
      <c r="O10" s="95">
        <v>30040</v>
      </c>
      <c r="P10" s="95">
        <v>35082</v>
      </c>
      <c r="Q10" s="32">
        <f>SUM(H10-SUM(N10:P10))</f>
        <v>39331</v>
      </c>
      <c r="R10" s="82">
        <v>44062</v>
      </c>
      <c r="S10" s="82">
        <v>46743</v>
      </c>
      <c r="T10" s="82">
        <v>57006</v>
      </c>
      <c r="V10" s="32">
        <f t="shared" ref="V10:AB10" si="1">SUM(J10:M10)</f>
        <v>60922</v>
      </c>
      <c r="W10" s="32">
        <f t="shared" si="1"/>
        <v>79774</v>
      </c>
      <c r="X10" s="32">
        <f t="shared" si="1"/>
        <v>96307</v>
      </c>
      <c r="Y10" s="32">
        <f t="shared" si="1"/>
        <v>113269</v>
      </c>
      <c r="Z10" s="32">
        <f t="shared" si="1"/>
        <v>130497</v>
      </c>
      <c r="AA10" s="32">
        <f t="shared" si="1"/>
        <v>148515</v>
      </c>
      <c r="AB10" s="32">
        <f t="shared" si="1"/>
        <v>165218</v>
      </c>
      <c r="AC10" s="32">
        <f>SUM(Q10:T10)</f>
        <v>187142</v>
      </c>
      <c r="AD10" s="40"/>
      <c r="AE10" s="12">
        <f>SUM(AC10/Y10)-1</f>
        <v>0.65219080242608296</v>
      </c>
    </row>
    <row r="11" spans="1:31" ht="12.75" customHeight="1">
      <c r="B11" s="13" t="s">
        <v>8</v>
      </c>
      <c r="C11" s="14">
        <f t="shared" ref="C11" si="2">+SUM(C10:C10)</f>
        <v>10918</v>
      </c>
      <c r="D11" s="14">
        <f t="shared" ref="D11:G11" si="3">+SUM(D10:D10)</f>
        <v>16675</v>
      </c>
      <c r="E11" s="14">
        <f t="shared" si="3"/>
        <v>26914</v>
      </c>
      <c r="F11" s="14">
        <f t="shared" si="3"/>
        <v>26974</v>
      </c>
      <c r="G11" s="14">
        <f t="shared" si="3"/>
        <v>60922</v>
      </c>
      <c r="H11" s="14">
        <f t="shared" ref="H11" si="4">+SUM(H10:H10)</f>
        <v>130497</v>
      </c>
      <c r="I11" s="11"/>
      <c r="J11" s="14">
        <f t="shared" ref="J11:O11" si="5">+SUM(J10:J10)</f>
        <v>7192</v>
      </c>
      <c r="K11" s="14">
        <f t="shared" si="5"/>
        <v>13507</v>
      </c>
      <c r="L11" s="14">
        <f t="shared" si="5"/>
        <v>18120</v>
      </c>
      <c r="M11" s="14">
        <f t="shared" si="5"/>
        <v>22103</v>
      </c>
      <c r="N11" s="14">
        <f t="shared" si="5"/>
        <v>26044</v>
      </c>
      <c r="O11" s="14">
        <f t="shared" si="5"/>
        <v>30040</v>
      </c>
      <c r="P11" s="14">
        <f>+SUM(P10:P10)</f>
        <v>35082</v>
      </c>
      <c r="Q11" s="14">
        <f>+SUM(Q10:Q10)</f>
        <v>39331</v>
      </c>
      <c r="R11" s="14">
        <f t="shared" ref="R11:T11" si="6">+SUM(R10:R10)</f>
        <v>44062</v>
      </c>
      <c r="S11" s="14">
        <f t="shared" si="6"/>
        <v>46743</v>
      </c>
      <c r="T11" s="14">
        <f t="shared" si="6"/>
        <v>57006</v>
      </c>
      <c r="V11" s="14">
        <f t="shared" ref="V11:AB11" si="7">+SUM(V10:V10)</f>
        <v>60922</v>
      </c>
      <c r="W11" s="14">
        <f t="shared" si="7"/>
        <v>79774</v>
      </c>
      <c r="X11" s="14">
        <f t="shared" si="7"/>
        <v>96307</v>
      </c>
      <c r="Y11" s="14">
        <f t="shared" si="7"/>
        <v>113269</v>
      </c>
      <c r="Z11" s="14">
        <f t="shared" si="7"/>
        <v>130497</v>
      </c>
      <c r="AA11" s="14">
        <f t="shared" si="7"/>
        <v>148515</v>
      </c>
      <c r="AB11" s="14">
        <f t="shared" si="7"/>
        <v>165218</v>
      </c>
      <c r="AC11" s="14">
        <f>+SUM(AC10:AC10)</f>
        <v>187142</v>
      </c>
      <c r="AD11" s="40"/>
      <c r="AE11" s="15">
        <f>SUM(AC11/Y11)-1</f>
        <v>0.65219080242608296</v>
      </c>
    </row>
    <row r="12" spans="1:31" s="20" customFormat="1" ht="5.0999999999999996" customHeight="1">
      <c r="B12" s="18"/>
      <c r="C12" s="19"/>
      <c r="D12" s="19"/>
      <c r="E12" s="19"/>
      <c r="F12" s="19"/>
      <c r="G12" s="19"/>
      <c r="H12" s="19"/>
      <c r="J12" s="21"/>
      <c r="K12" s="21"/>
      <c r="L12" s="21"/>
      <c r="M12" s="21"/>
      <c r="N12" s="22"/>
      <c r="O12" s="21"/>
      <c r="P12" s="21"/>
      <c r="Q12" s="21"/>
      <c r="R12" s="21"/>
      <c r="S12" s="21"/>
      <c r="T12" s="21"/>
      <c r="AE12" s="75"/>
    </row>
    <row r="13" spans="1:31" ht="12.75" customHeight="1">
      <c r="B13" s="9" t="s">
        <v>106</v>
      </c>
      <c r="C13" s="82">
        <v>-4150</v>
      </c>
      <c r="D13" s="82">
        <v>-6279</v>
      </c>
      <c r="E13" s="82">
        <v>-9439</v>
      </c>
      <c r="F13" s="82">
        <v>-11618</v>
      </c>
      <c r="G13" s="82">
        <v>-16621</v>
      </c>
      <c r="H13" s="82">
        <v>-32639</v>
      </c>
      <c r="I13" s="24"/>
      <c r="J13" s="95">
        <v>-2544</v>
      </c>
      <c r="K13" s="95">
        <v>-4045</v>
      </c>
      <c r="L13" s="95">
        <v>-4720</v>
      </c>
      <c r="M13" s="32">
        <f>SUM(G13-SUM(J13:L13))</f>
        <v>-5312</v>
      </c>
      <c r="N13" s="95">
        <v>-5638</v>
      </c>
      <c r="O13" s="95">
        <v>-7466</v>
      </c>
      <c r="P13" s="95">
        <v>-8926</v>
      </c>
      <c r="Q13" s="32">
        <f>SUM(H13-SUM(N13:P13))</f>
        <v>-10609</v>
      </c>
      <c r="R13" s="95">
        <v>-17394</v>
      </c>
      <c r="S13" s="95">
        <v>-12890</v>
      </c>
      <c r="T13" s="95">
        <v>-15157</v>
      </c>
      <c r="V13" s="32">
        <f t="shared" ref="V13" si="8">SUM(J13:M13)</f>
        <v>-16621</v>
      </c>
      <c r="W13" s="32">
        <f t="shared" ref="W13" si="9">SUM(K13:N13)</f>
        <v>-19715</v>
      </c>
      <c r="X13" s="32">
        <f t="shared" ref="X13" si="10">SUM(L13:O13)</f>
        <v>-23136</v>
      </c>
      <c r="Y13" s="32">
        <f t="shared" ref="Y13" si="11">SUM(M13:P13)</f>
        <v>-27342</v>
      </c>
      <c r="Z13" s="32">
        <f t="shared" ref="Z13" si="12">SUM(N13:Q13)</f>
        <v>-32639</v>
      </c>
      <c r="AA13" s="32">
        <f t="shared" ref="AA13" si="13">SUM(O13:R13)</f>
        <v>-44395</v>
      </c>
      <c r="AB13" s="32">
        <f t="shared" ref="AB13" si="14">SUM(P13:S13)</f>
        <v>-49819</v>
      </c>
      <c r="AC13" s="32">
        <f>SUM(Q13:T13)</f>
        <v>-56050</v>
      </c>
      <c r="AD13" s="11"/>
      <c r="AE13" s="12">
        <f>SUM(AC13/Y13)-1</f>
        <v>1.0499597688537783</v>
      </c>
    </row>
    <row r="14" spans="1:31" ht="12.75" customHeight="1">
      <c r="B14" s="25" t="s">
        <v>16</v>
      </c>
      <c r="C14" s="26">
        <f t="shared" ref="C14:H14" si="15">+SUM(C11+SUM(C13:C13))</f>
        <v>6768</v>
      </c>
      <c r="D14" s="26">
        <f t="shared" si="15"/>
        <v>10396</v>
      </c>
      <c r="E14" s="26">
        <f t="shared" si="15"/>
        <v>17475</v>
      </c>
      <c r="F14" s="26">
        <f t="shared" si="15"/>
        <v>15356</v>
      </c>
      <c r="G14" s="26">
        <f t="shared" si="15"/>
        <v>44301</v>
      </c>
      <c r="H14" s="26">
        <f t="shared" si="15"/>
        <v>97858</v>
      </c>
      <c r="J14" s="26">
        <f t="shared" ref="J14:Q14" si="16">+SUM(J11+SUM(J13:J13))</f>
        <v>4648</v>
      </c>
      <c r="K14" s="26">
        <f t="shared" si="16"/>
        <v>9462</v>
      </c>
      <c r="L14" s="26">
        <f t="shared" si="16"/>
        <v>13400</v>
      </c>
      <c r="M14" s="26">
        <f t="shared" si="16"/>
        <v>16791</v>
      </c>
      <c r="N14" s="26">
        <f t="shared" si="16"/>
        <v>20406</v>
      </c>
      <c r="O14" s="26">
        <f t="shared" si="16"/>
        <v>22574</v>
      </c>
      <c r="P14" s="26">
        <f t="shared" si="16"/>
        <v>26156</v>
      </c>
      <c r="Q14" s="26">
        <f t="shared" si="16"/>
        <v>28722</v>
      </c>
      <c r="R14" s="26">
        <f t="shared" ref="R14" si="17">+SUM(R11+SUM(R13:R13))</f>
        <v>26668</v>
      </c>
      <c r="S14" s="26">
        <f t="shared" ref="S14" si="18">+SUM(S11+SUM(S13:S13))</f>
        <v>33853</v>
      </c>
      <c r="T14" s="26">
        <f t="shared" ref="T14" si="19">+SUM(T11+SUM(T13:T13))</f>
        <v>41849</v>
      </c>
      <c r="V14" s="26">
        <f t="shared" ref="V14:AC14" si="20">+SUM(V11+SUM(V13:V13))</f>
        <v>44301</v>
      </c>
      <c r="W14" s="26">
        <f t="shared" si="20"/>
        <v>60059</v>
      </c>
      <c r="X14" s="26">
        <f t="shared" si="20"/>
        <v>73171</v>
      </c>
      <c r="Y14" s="26">
        <f t="shared" si="20"/>
        <v>85927</v>
      </c>
      <c r="Z14" s="26">
        <f t="shared" si="20"/>
        <v>97858</v>
      </c>
      <c r="AA14" s="26">
        <f t="shared" si="20"/>
        <v>104120</v>
      </c>
      <c r="AB14" s="26">
        <f t="shared" si="20"/>
        <v>115399</v>
      </c>
      <c r="AC14" s="26">
        <f t="shared" si="20"/>
        <v>131092</v>
      </c>
      <c r="AD14" s="42"/>
      <c r="AE14" s="76">
        <f>SUM(AC14/Y14)-1</f>
        <v>0.52562058491510233</v>
      </c>
    </row>
    <row r="15" spans="1:31" ht="12.75" customHeight="1">
      <c r="B15" s="16" t="s">
        <v>25</v>
      </c>
      <c r="C15" s="17">
        <f t="shared" ref="C15:H15" si="21">C14/C11</f>
        <v>0.61989375343469499</v>
      </c>
      <c r="D15" s="17">
        <f t="shared" si="21"/>
        <v>0.62344827586206897</v>
      </c>
      <c r="E15" s="17">
        <f t="shared" si="21"/>
        <v>0.64929033216913135</v>
      </c>
      <c r="F15" s="17">
        <f t="shared" si="21"/>
        <v>0.56928894490991322</v>
      </c>
      <c r="G15" s="17">
        <f t="shared" si="21"/>
        <v>0.72717573290436954</v>
      </c>
      <c r="H15" s="17">
        <f t="shared" si="21"/>
        <v>0.74988697058169917</v>
      </c>
      <c r="I15" s="27"/>
      <c r="J15" s="17">
        <f t="shared" ref="J15:Q15" si="22">J14/J11</f>
        <v>0.64627363737486099</v>
      </c>
      <c r="K15" s="17">
        <f t="shared" si="22"/>
        <v>0.7005256533649219</v>
      </c>
      <c r="L15" s="17">
        <f t="shared" si="22"/>
        <v>0.73951434878587197</v>
      </c>
      <c r="M15" s="17">
        <f t="shared" si="22"/>
        <v>0.75967063294575399</v>
      </c>
      <c r="N15" s="17">
        <f t="shared" si="22"/>
        <v>0.78352019659038552</v>
      </c>
      <c r="O15" s="17">
        <f t="shared" si="22"/>
        <v>0.75146471371504664</v>
      </c>
      <c r="P15" s="17">
        <f t="shared" si="22"/>
        <v>0.74556752750698363</v>
      </c>
      <c r="Q15" s="17">
        <f t="shared" si="22"/>
        <v>0.73026365970862683</v>
      </c>
      <c r="R15" s="17">
        <f t="shared" ref="R15" si="23">R14/R11</f>
        <v>0.60523807362353044</v>
      </c>
      <c r="S15" s="17">
        <f t="shared" ref="S15" si="24">S14/S11</f>
        <v>0.72423678411740799</v>
      </c>
      <c r="T15" s="17">
        <f t="shared" ref="T15" si="25">T14/T11</f>
        <v>0.7341157071185489</v>
      </c>
      <c r="U15" s="28"/>
      <c r="V15" s="17">
        <f t="shared" ref="V15:AC15" si="26">V14/V11</f>
        <v>0.72717573290436954</v>
      </c>
      <c r="W15" s="17">
        <f t="shared" si="26"/>
        <v>0.75286434176548755</v>
      </c>
      <c r="X15" s="17">
        <f t="shared" si="26"/>
        <v>0.75976824114550345</v>
      </c>
      <c r="Y15" s="17">
        <f t="shared" si="26"/>
        <v>0.75861003451959497</v>
      </c>
      <c r="Z15" s="17">
        <f t="shared" si="26"/>
        <v>0.74988697058169917</v>
      </c>
      <c r="AA15" s="17">
        <f t="shared" si="26"/>
        <v>0.70107396559270108</v>
      </c>
      <c r="AB15" s="17">
        <f t="shared" si="26"/>
        <v>0.69846505828662742</v>
      </c>
      <c r="AC15" s="17">
        <f t="shared" si="26"/>
        <v>0.70049481142661718</v>
      </c>
      <c r="AD15" s="42"/>
      <c r="AE15" s="77">
        <f>SUM(AC15-Y15)*1000</f>
        <v>-58.115223092977786</v>
      </c>
    </row>
    <row r="16" spans="1:31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V16" s="30"/>
      <c r="W16" s="30"/>
      <c r="X16" s="30"/>
      <c r="Y16" s="30"/>
      <c r="Z16" s="30"/>
      <c r="AA16" s="30"/>
      <c r="AB16" s="30"/>
      <c r="AC16" s="30"/>
      <c r="AD16" s="42"/>
      <c r="AE16" s="75"/>
    </row>
    <row r="17" spans="2:31" ht="12.75" customHeight="1">
      <c r="B17" s="9" t="s">
        <v>108</v>
      </c>
      <c r="C17" s="82">
        <v>-2829</v>
      </c>
      <c r="D17" s="82">
        <v>-3924</v>
      </c>
      <c r="E17" s="82">
        <v>-5268</v>
      </c>
      <c r="F17" s="82">
        <v>-7339</v>
      </c>
      <c r="G17" s="82">
        <v>-8675</v>
      </c>
      <c r="H17" s="82">
        <v>-12914</v>
      </c>
      <c r="I17" s="32"/>
      <c r="J17" s="95">
        <v>-1875</v>
      </c>
      <c r="K17" s="95">
        <v>-2040</v>
      </c>
      <c r="L17" s="95">
        <v>-2294</v>
      </c>
      <c r="M17" s="32">
        <f>SUM(G17-SUM(J17:L17))</f>
        <v>-2466</v>
      </c>
      <c r="N17" s="95">
        <v>-2720</v>
      </c>
      <c r="O17" s="95">
        <v>-3090</v>
      </c>
      <c r="P17" s="95">
        <v>-3390</v>
      </c>
      <c r="Q17" s="32">
        <f>SUM(H17-SUM(N17:P17))</f>
        <v>-3714</v>
      </c>
      <c r="R17" s="95">
        <v>-3989</v>
      </c>
      <c r="S17" s="95">
        <v>-4291</v>
      </c>
      <c r="T17" s="95">
        <v>-4705</v>
      </c>
      <c r="V17" s="32">
        <f t="shared" ref="V17:V19" si="27">SUM(J17:M17)</f>
        <v>-8675</v>
      </c>
      <c r="W17" s="32">
        <f t="shared" ref="W17:W19" si="28">SUM(K17:N17)</f>
        <v>-9520</v>
      </c>
      <c r="X17" s="32">
        <f t="shared" ref="X17:X19" si="29">SUM(L17:O17)</f>
        <v>-10570</v>
      </c>
      <c r="Y17" s="32">
        <f t="shared" ref="Y17:Y19" si="30">SUM(M17:P17)</f>
        <v>-11666</v>
      </c>
      <c r="Z17" s="32">
        <f t="shared" ref="Z17:Z19" si="31">SUM(N17:Q17)</f>
        <v>-12914</v>
      </c>
      <c r="AA17" s="32">
        <f t="shared" ref="AA17:AA19" si="32">SUM(O17:R17)</f>
        <v>-14183</v>
      </c>
      <c r="AB17" s="32">
        <f t="shared" ref="AB17:AB19" si="33">SUM(P17:S17)</f>
        <v>-15384</v>
      </c>
      <c r="AC17" s="32">
        <f t="shared" ref="AC17:AC19" si="34">SUM(Q17:T17)</f>
        <v>-16699</v>
      </c>
      <c r="AD17" s="11"/>
      <c r="AE17" s="75">
        <f>SUM(AC17/Y17)-1</f>
        <v>0.43142465283730491</v>
      </c>
    </row>
    <row r="18" spans="2:31" ht="12.75" customHeight="1">
      <c r="B18" s="9" t="s">
        <v>107</v>
      </c>
      <c r="C18" s="82">
        <v>-1093</v>
      </c>
      <c r="D18" s="82">
        <v>-1940</v>
      </c>
      <c r="E18" s="82">
        <v>-2166</v>
      </c>
      <c r="F18" s="82">
        <v>-2440</v>
      </c>
      <c r="G18" s="82">
        <v>-2654</v>
      </c>
      <c r="H18" s="82">
        <v>-3491</v>
      </c>
      <c r="I18" s="32"/>
      <c r="J18" s="95">
        <v>-633</v>
      </c>
      <c r="K18" s="95">
        <v>-622</v>
      </c>
      <c r="L18" s="95">
        <v>-689</v>
      </c>
      <c r="M18" s="32">
        <f>SUM(G18-SUM(J18:L18))</f>
        <v>-710</v>
      </c>
      <c r="N18" s="95">
        <v>-777</v>
      </c>
      <c r="O18" s="95">
        <v>-842</v>
      </c>
      <c r="P18" s="95">
        <v>-897</v>
      </c>
      <c r="Q18" s="32">
        <f>SUM(H18-SUM(N18:P18))</f>
        <v>-975</v>
      </c>
      <c r="R18" s="95">
        <v>-1041</v>
      </c>
      <c r="S18" s="95">
        <v>-1122</v>
      </c>
      <c r="T18" s="95">
        <v>-1134</v>
      </c>
      <c r="V18" s="32">
        <f t="shared" si="27"/>
        <v>-2654</v>
      </c>
      <c r="W18" s="32">
        <f t="shared" si="28"/>
        <v>-2798</v>
      </c>
      <c r="X18" s="32">
        <f t="shared" si="29"/>
        <v>-3018</v>
      </c>
      <c r="Y18" s="32">
        <f t="shared" si="30"/>
        <v>-3226</v>
      </c>
      <c r="Z18" s="32">
        <f t="shared" si="31"/>
        <v>-3491</v>
      </c>
      <c r="AA18" s="32">
        <f t="shared" si="32"/>
        <v>-3755</v>
      </c>
      <c r="AB18" s="32">
        <f t="shared" si="33"/>
        <v>-4035</v>
      </c>
      <c r="AC18" s="32">
        <f t="shared" si="34"/>
        <v>-4272</v>
      </c>
      <c r="AD18" s="11"/>
      <c r="AE18" s="75">
        <f>SUM(AC18/Y18)-1</f>
        <v>0.32424054556726589</v>
      </c>
    </row>
    <row r="19" spans="2:31" ht="12.75" customHeight="1">
      <c r="B19" s="9" t="s">
        <v>137</v>
      </c>
      <c r="C19" s="82">
        <v>0</v>
      </c>
      <c r="D19" s="82">
        <v>0</v>
      </c>
      <c r="E19" s="82">
        <v>0</v>
      </c>
      <c r="F19" s="82">
        <v>-1353</v>
      </c>
      <c r="G19" s="82">
        <v>0</v>
      </c>
      <c r="H19" s="82">
        <v>0</v>
      </c>
      <c r="I19" s="32"/>
      <c r="J19" s="82">
        <v>0</v>
      </c>
      <c r="K19" s="82">
        <v>0</v>
      </c>
      <c r="L19" s="82">
        <v>0</v>
      </c>
      <c r="M19" s="32">
        <f>SUM(G19-SUM(J19:L19))</f>
        <v>0</v>
      </c>
      <c r="N19" s="82">
        <v>0</v>
      </c>
      <c r="O19" s="82">
        <v>0</v>
      </c>
      <c r="P19" s="82">
        <v>0</v>
      </c>
      <c r="Q19" s="32">
        <f>SUM(H19-SUM(N19:P19))</f>
        <v>0</v>
      </c>
      <c r="R19" s="82">
        <v>0</v>
      </c>
      <c r="S19" s="82">
        <v>0</v>
      </c>
      <c r="T19" s="82">
        <v>0</v>
      </c>
      <c r="V19" s="32">
        <f t="shared" si="27"/>
        <v>0</v>
      </c>
      <c r="W19" s="32">
        <f t="shared" si="28"/>
        <v>0</v>
      </c>
      <c r="X19" s="32">
        <f t="shared" si="29"/>
        <v>0</v>
      </c>
      <c r="Y19" s="32">
        <f t="shared" si="30"/>
        <v>0</v>
      </c>
      <c r="Z19" s="32">
        <f t="shared" si="31"/>
        <v>0</v>
      </c>
      <c r="AA19" s="32">
        <f t="shared" si="32"/>
        <v>0</v>
      </c>
      <c r="AB19" s="32">
        <f t="shared" si="33"/>
        <v>0</v>
      </c>
      <c r="AC19" s="32">
        <f t="shared" si="34"/>
        <v>0</v>
      </c>
      <c r="AD19" s="11"/>
      <c r="AE19" s="75" t="e">
        <f>SUM(AC19/Y19)-1</f>
        <v>#DIV/0!</v>
      </c>
    </row>
    <row r="20" spans="2:31" ht="12.75" customHeight="1">
      <c r="B20" s="25" t="s">
        <v>72</v>
      </c>
      <c r="C20" s="26">
        <f t="shared" ref="C20:H20" si="35">+SUM(C14+SUM(C17:C19))</f>
        <v>2846</v>
      </c>
      <c r="D20" s="26">
        <f t="shared" si="35"/>
        <v>4532</v>
      </c>
      <c r="E20" s="26">
        <f t="shared" si="35"/>
        <v>10041</v>
      </c>
      <c r="F20" s="26">
        <f t="shared" si="35"/>
        <v>4224</v>
      </c>
      <c r="G20" s="26">
        <f t="shared" si="35"/>
        <v>32972</v>
      </c>
      <c r="H20" s="26">
        <f t="shared" si="35"/>
        <v>81453</v>
      </c>
      <c r="I20" s="32"/>
      <c r="J20" s="26">
        <f t="shared" ref="J20:T20" si="36">+SUM(J14+SUM(J17:J19))</f>
        <v>2140</v>
      </c>
      <c r="K20" s="26">
        <f t="shared" si="36"/>
        <v>6800</v>
      </c>
      <c r="L20" s="26">
        <f t="shared" si="36"/>
        <v>10417</v>
      </c>
      <c r="M20" s="26">
        <f t="shared" si="36"/>
        <v>13615</v>
      </c>
      <c r="N20" s="26">
        <f t="shared" si="36"/>
        <v>16909</v>
      </c>
      <c r="O20" s="26">
        <f t="shared" si="36"/>
        <v>18642</v>
      </c>
      <c r="P20" s="26">
        <f t="shared" si="36"/>
        <v>21869</v>
      </c>
      <c r="Q20" s="26">
        <f t="shared" si="36"/>
        <v>24033</v>
      </c>
      <c r="R20" s="26">
        <f t="shared" si="36"/>
        <v>21638</v>
      </c>
      <c r="S20" s="26">
        <f t="shared" si="36"/>
        <v>28440</v>
      </c>
      <c r="T20" s="26">
        <f t="shared" si="36"/>
        <v>36010</v>
      </c>
      <c r="V20" s="26">
        <f t="shared" ref="V20:AC20" si="37">+SUM(V14+SUM(V17:V19))</f>
        <v>32972</v>
      </c>
      <c r="W20" s="26">
        <f t="shared" si="37"/>
        <v>47741</v>
      </c>
      <c r="X20" s="26">
        <f t="shared" si="37"/>
        <v>59583</v>
      </c>
      <c r="Y20" s="26">
        <f t="shared" si="37"/>
        <v>71035</v>
      </c>
      <c r="Z20" s="26">
        <f t="shared" si="37"/>
        <v>81453</v>
      </c>
      <c r="AA20" s="26">
        <f t="shared" si="37"/>
        <v>86182</v>
      </c>
      <c r="AB20" s="26">
        <f t="shared" si="37"/>
        <v>95980</v>
      </c>
      <c r="AC20" s="26">
        <f t="shared" si="37"/>
        <v>110121</v>
      </c>
      <c r="AD20" s="11"/>
      <c r="AE20" s="76">
        <f>SUM(AC20/Y20)-1</f>
        <v>0.55023579925388888</v>
      </c>
    </row>
    <row r="21" spans="2:31" ht="12.75" customHeight="1">
      <c r="B21" s="16" t="s">
        <v>27</v>
      </c>
      <c r="C21" s="17">
        <f t="shared" ref="C21:H21" si="38">C20/C11</f>
        <v>0.2606704524638212</v>
      </c>
      <c r="D21" s="17">
        <f t="shared" si="38"/>
        <v>0.27178410794602698</v>
      </c>
      <c r="E21" s="17">
        <f t="shared" si="38"/>
        <v>0.37307720888756779</v>
      </c>
      <c r="F21" s="17">
        <f t="shared" si="38"/>
        <v>0.1565952398606065</v>
      </c>
      <c r="G21" s="17">
        <f t="shared" si="38"/>
        <v>0.54121663766783756</v>
      </c>
      <c r="H21" s="17">
        <f t="shared" si="38"/>
        <v>0.62417526839697468</v>
      </c>
      <c r="I21" s="32"/>
      <c r="J21" s="17">
        <f t="shared" ref="J21:T21" si="39">J20/J11</f>
        <v>0.29755283648498332</v>
      </c>
      <c r="K21" s="17">
        <f t="shared" si="39"/>
        <v>0.50344265936181243</v>
      </c>
      <c r="L21" s="17">
        <f t="shared" si="39"/>
        <v>0.5748896247240618</v>
      </c>
      <c r="M21" s="17">
        <f t="shared" si="39"/>
        <v>0.61597973125820027</v>
      </c>
      <c r="N21" s="17">
        <f t="shared" si="39"/>
        <v>0.64924742743050223</v>
      </c>
      <c r="O21" s="17">
        <f t="shared" si="39"/>
        <v>0.62057256990679099</v>
      </c>
      <c r="P21" s="17">
        <f t="shared" si="39"/>
        <v>0.62336810900176731</v>
      </c>
      <c r="Q21" s="17">
        <f t="shared" si="39"/>
        <v>0.61104472299204193</v>
      </c>
      <c r="R21" s="17">
        <f t="shared" si="39"/>
        <v>0.49108074985248057</v>
      </c>
      <c r="S21" s="17">
        <f t="shared" si="39"/>
        <v>0.60843334830883766</v>
      </c>
      <c r="T21" s="17">
        <f t="shared" si="39"/>
        <v>0.63168789250254365</v>
      </c>
      <c r="V21" s="17">
        <f t="shared" ref="V21:AC21" si="40">V20/V11</f>
        <v>0.54121663766783756</v>
      </c>
      <c r="W21" s="17">
        <f t="shared" si="40"/>
        <v>0.59845313009251133</v>
      </c>
      <c r="X21" s="17">
        <f t="shared" si="40"/>
        <v>0.61867777004786773</v>
      </c>
      <c r="Y21" s="17">
        <f t="shared" si="40"/>
        <v>0.62713540333189133</v>
      </c>
      <c r="Z21" s="17">
        <f t="shared" si="40"/>
        <v>0.62417526839697468</v>
      </c>
      <c r="AA21" s="17">
        <f t="shared" si="40"/>
        <v>0.58029155304178026</v>
      </c>
      <c r="AB21" s="17">
        <f t="shared" si="40"/>
        <v>0.58092943868101543</v>
      </c>
      <c r="AC21" s="17">
        <f t="shared" si="40"/>
        <v>0.58843551955199791</v>
      </c>
      <c r="AD21" s="11"/>
      <c r="AE21" s="77">
        <f>SUM(AC21-Y21)*1000</f>
        <v>-38.699883779893419</v>
      </c>
    </row>
    <row r="22" spans="2:31" ht="5.0999999999999996" customHeight="1">
      <c r="B22" s="16"/>
      <c r="C22" s="17"/>
      <c r="D22" s="17"/>
      <c r="E22" s="17"/>
      <c r="F22" s="17"/>
      <c r="G22" s="17"/>
      <c r="H22" s="17"/>
      <c r="I22" s="32"/>
      <c r="J22" s="82"/>
      <c r="K22" s="82"/>
      <c r="L22" s="82"/>
      <c r="M22" s="82"/>
      <c r="N22" s="32"/>
      <c r="O22" s="82"/>
      <c r="P22" s="82"/>
      <c r="Q22" s="82"/>
      <c r="R22" s="82"/>
      <c r="S22" s="82"/>
      <c r="T22" s="82"/>
      <c r="V22" s="32"/>
      <c r="W22" s="32"/>
      <c r="X22" s="32"/>
      <c r="Y22" s="32"/>
      <c r="Z22" s="32"/>
      <c r="AA22" s="32"/>
      <c r="AB22" s="32"/>
      <c r="AC22" s="32"/>
      <c r="AD22" s="11"/>
      <c r="AE22" s="75"/>
    </row>
    <row r="23" spans="2:31" ht="12.75" customHeight="1">
      <c r="B23" s="9" t="s">
        <v>116</v>
      </c>
      <c r="C23" s="82">
        <v>178</v>
      </c>
      <c r="D23" s="82">
        <v>57</v>
      </c>
      <c r="E23" s="82">
        <v>29</v>
      </c>
      <c r="F23" s="82">
        <v>267</v>
      </c>
      <c r="G23" s="82">
        <v>866</v>
      </c>
      <c r="H23" s="82">
        <v>1786</v>
      </c>
      <c r="I23" s="32"/>
      <c r="J23" s="95">
        <v>150</v>
      </c>
      <c r="K23" s="95">
        <v>187</v>
      </c>
      <c r="L23" s="95">
        <v>234</v>
      </c>
      <c r="M23" s="32">
        <f>SUM(G23-SUM(J23:L23))</f>
        <v>295</v>
      </c>
      <c r="N23" s="95">
        <v>359</v>
      </c>
      <c r="O23" s="95">
        <v>444</v>
      </c>
      <c r="P23" s="95">
        <v>472</v>
      </c>
      <c r="Q23" s="32">
        <f>SUM(H23-SUM(N23:P23))</f>
        <v>511</v>
      </c>
      <c r="R23" s="82">
        <v>515</v>
      </c>
      <c r="S23" s="82">
        <v>592</v>
      </c>
      <c r="T23" s="82">
        <v>624</v>
      </c>
      <c r="V23" s="32">
        <f t="shared" ref="V23:V25" si="41">SUM(J23:M23)</f>
        <v>866</v>
      </c>
      <c r="W23" s="32">
        <f t="shared" ref="W23:W25" si="42">SUM(K23:N23)</f>
        <v>1075</v>
      </c>
      <c r="X23" s="32">
        <f t="shared" ref="X23:X25" si="43">SUM(L23:O23)</f>
        <v>1332</v>
      </c>
      <c r="Y23" s="32">
        <f t="shared" ref="Y23:Y25" si="44">SUM(M23:P23)</f>
        <v>1570</v>
      </c>
      <c r="Z23" s="32">
        <f t="shared" ref="Z23:Z25" si="45">SUM(N23:Q23)</f>
        <v>1786</v>
      </c>
      <c r="AA23" s="32">
        <f t="shared" ref="AA23:AA25" si="46">SUM(O23:R23)</f>
        <v>1942</v>
      </c>
      <c r="AB23" s="32">
        <f t="shared" ref="AB23:AB25" si="47">SUM(P23:S23)</f>
        <v>2090</v>
      </c>
      <c r="AC23" s="32">
        <f t="shared" ref="AC23:AC25" si="48">SUM(Q23:T23)</f>
        <v>2242</v>
      </c>
      <c r="AD23" s="11"/>
      <c r="AE23" s="75">
        <f>SUM(AC23/Y23)-1</f>
        <v>0.42802547770700627</v>
      </c>
    </row>
    <row r="24" spans="2:31" ht="12.75" customHeight="1">
      <c r="B24" s="9" t="s">
        <v>117</v>
      </c>
      <c r="C24" s="82">
        <v>-52</v>
      </c>
      <c r="D24" s="82">
        <v>-184</v>
      </c>
      <c r="E24" s="82">
        <v>-236</v>
      </c>
      <c r="F24" s="82">
        <v>-262</v>
      </c>
      <c r="G24" s="82">
        <v>-257</v>
      </c>
      <c r="H24" s="82">
        <v>-247</v>
      </c>
      <c r="I24" s="32"/>
      <c r="J24" s="95">
        <v>-66</v>
      </c>
      <c r="K24" s="95">
        <v>-65</v>
      </c>
      <c r="L24" s="95">
        <v>-63</v>
      </c>
      <c r="M24" s="32">
        <f>SUM(G24-SUM(J24:L24))</f>
        <v>-63</v>
      </c>
      <c r="N24" s="95">
        <v>-64</v>
      </c>
      <c r="O24" s="95">
        <v>-61</v>
      </c>
      <c r="P24" s="95">
        <v>-61</v>
      </c>
      <c r="Q24" s="32">
        <f>SUM(H24-SUM(N24:P24))</f>
        <v>-61</v>
      </c>
      <c r="R24" s="82">
        <v>-63</v>
      </c>
      <c r="S24" s="82">
        <v>-62</v>
      </c>
      <c r="T24" s="82">
        <v>-61</v>
      </c>
      <c r="V24" s="32">
        <f t="shared" si="41"/>
        <v>-257</v>
      </c>
      <c r="W24" s="32">
        <f t="shared" si="42"/>
        <v>-255</v>
      </c>
      <c r="X24" s="32">
        <f t="shared" si="43"/>
        <v>-251</v>
      </c>
      <c r="Y24" s="32">
        <f t="shared" si="44"/>
        <v>-249</v>
      </c>
      <c r="Z24" s="32">
        <f t="shared" si="45"/>
        <v>-247</v>
      </c>
      <c r="AA24" s="32">
        <f t="shared" si="46"/>
        <v>-246</v>
      </c>
      <c r="AB24" s="32">
        <f t="shared" si="47"/>
        <v>-247</v>
      </c>
      <c r="AC24" s="32">
        <f t="shared" si="48"/>
        <v>-247</v>
      </c>
      <c r="AD24" s="11"/>
      <c r="AE24" s="75"/>
    </row>
    <row r="25" spans="2:31" ht="12.75" customHeight="1">
      <c r="B25" s="9" t="s">
        <v>109</v>
      </c>
      <c r="C25" s="82">
        <v>-2</v>
      </c>
      <c r="D25" s="82">
        <v>4</v>
      </c>
      <c r="E25" s="82">
        <v>107</v>
      </c>
      <c r="F25" s="82">
        <v>-48</v>
      </c>
      <c r="G25" s="82">
        <v>237</v>
      </c>
      <c r="H25" s="82">
        <v>1034</v>
      </c>
      <c r="I25" s="32"/>
      <c r="J25" s="95">
        <v>-15</v>
      </c>
      <c r="K25" s="95">
        <v>59</v>
      </c>
      <c r="L25" s="95">
        <v>-66</v>
      </c>
      <c r="M25" s="32">
        <f>SUM(G25-SUM(J25:L25))</f>
        <v>259</v>
      </c>
      <c r="N25" s="95">
        <v>75</v>
      </c>
      <c r="O25" s="95">
        <v>189</v>
      </c>
      <c r="P25" s="95">
        <v>36</v>
      </c>
      <c r="Q25" s="32">
        <f>SUM(H25-SUM(N25:P25))</f>
        <v>734</v>
      </c>
      <c r="R25" s="82">
        <v>-180</v>
      </c>
      <c r="S25" s="82">
        <v>2236</v>
      </c>
      <c r="T25" s="82">
        <v>1363</v>
      </c>
      <c r="V25" s="32">
        <f t="shared" si="41"/>
        <v>237</v>
      </c>
      <c r="W25" s="32">
        <f t="shared" si="42"/>
        <v>327</v>
      </c>
      <c r="X25" s="32">
        <f t="shared" si="43"/>
        <v>457</v>
      </c>
      <c r="Y25" s="32">
        <f t="shared" si="44"/>
        <v>559</v>
      </c>
      <c r="Z25" s="32">
        <f t="shared" si="45"/>
        <v>1034</v>
      </c>
      <c r="AA25" s="32">
        <f t="shared" si="46"/>
        <v>779</v>
      </c>
      <c r="AB25" s="32">
        <f t="shared" si="47"/>
        <v>2826</v>
      </c>
      <c r="AC25" s="32">
        <f t="shared" si="48"/>
        <v>4153</v>
      </c>
      <c r="AD25" s="11"/>
      <c r="AE25" s="75"/>
    </row>
    <row r="26" spans="2:31" ht="12.75" customHeight="1">
      <c r="B26" s="25" t="s">
        <v>115</v>
      </c>
      <c r="C26" s="26">
        <f t="shared" ref="C26:H26" si="49">SUM(C20+SUM(C23:C25))</f>
        <v>2970</v>
      </c>
      <c r="D26" s="26">
        <f t="shared" si="49"/>
        <v>4409</v>
      </c>
      <c r="E26" s="26">
        <f t="shared" si="49"/>
        <v>9941</v>
      </c>
      <c r="F26" s="26">
        <f t="shared" si="49"/>
        <v>4181</v>
      </c>
      <c r="G26" s="26">
        <f t="shared" si="49"/>
        <v>33818</v>
      </c>
      <c r="H26" s="26">
        <f t="shared" si="49"/>
        <v>84026</v>
      </c>
      <c r="J26" s="26">
        <f t="shared" ref="J26" si="50">SUM(J20+SUM(J23:J25))</f>
        <v>2209</v>
      </c>
      <c r="K26" s="26">
        <f t="shared" ref="K26" si="51">SUM(K20+SUM(K23:K25))</f>
        <v>6981</v>
      </c>
      <c r="L26" s="26">
        <f t="shared" ref="L26" si="52">SUM(L20+SUM(L23:L25))</f>
        <v>10522</v>
      </c>
      <c r="M26" s="26">
        <f t="shared" ref="M26" si="53">SUM(M20+SUM(M23:M25))</f>
        <v>14106</v>
      </c>
      <c r="N26" s="26">
        <f t="shared" ref="N26" si="54">SUM(N20+SUM(N23:N25))</f>
        <v>17279</v>
      </c>
      <c r="O26" s="26">
        <f t="shared" ref="O26" si="55">SUM(O20+SUM(O23:O25))</f>
        <v>19214</v>
      </c>
      <c r="P26" s="26">
        <f t="shared" ref="P26" si="56">SUM(P20+SUM(P23:P25))</f>
        <v>22316</v>
      </c>
      <c r="Q26" s="26">
        <f t="shared" ref="Q26" si="57">SUM(Q20+SUM(Q23:Q25))</f>
        <v>25217</v>
      </c>
      <c r="R26" s="26">
        <f t="shared" ref="R26" si="58">SUM(R20+SUM(R23:R25))</f>
        <v>21910</v>
      </c>
      <c r="S26" s="26">
        <f t="shared" ref="S26" si="59">SUM(S20+SUM(S23:S25))</f>
        <v>31206</v>
      </c>
      <c r="T26" s="26">
        <f t="shared" ref="T26" si="60">SUM(T20+SUM(T23:T25))</f>
        <v>37936</v>
      </c>
      <c r="V26" s="26">
        <f t="shared" ref="V26:X26" si="61">SUM(V20+SUM(V23:V23))</f>
        <v>33838</v>
      </c>
      <c r="W26" s="26">
        <f t="shared" si="61"/>
        <v>48816</v>
      </c>
      <c r="X26" s="26">
        <f t="shared" si="61"/>
        <v>60915</v>
      </c>
      <c r="Y26" s="26">
        <f t="shared" ref="Y26" si="62">SUM(Y20+SUM(Y23:Y25))</f>
        <v>72915</v>
      </c>
      <c r="Z26" s="26">
        <f t="shared" ref="Z26" si="63">SUM(Z20+SUM(Z23:Z25))</f>
        <v>84026</v>
      </c>
      <c r="AA26" s="26">
        <f t="shared" ref="AA26" si="64">SUM(AA20+SUM(AA23:AA25))</f>
        <v>88657</v>
      </c>
      <c r="AB26" s="26">
        <f t="shared" ref="AB26" si="65">SUM(AB20+SUM(AB23:AB25))</f>
        <v>100649</v>
      </c>
      <c r="AC26" s="26">
        <f t="shared" ref="AC26" si="66">SUM(AC20+SUM(AC23:AC25))</f>
        <v>116269</v>
      </c>
      <c r="AD26" s="42"/>
      <c r="AE26" s="76">
        <f>SUM(AC26/Y26)-1</f>
        <v>0.59458273331961875</v>
      </c>
    </row>
    <row r="27" spans="2:31" ht="12.75" customHeight="1">
      <c r="B27" s="16" t="s">
        <v>118</v>
      </c>
      <c r="C27" s="17">
        <f t="shared" ref="C27:H27" si="67">C26/C11</f>
        <v>0.27202784392745927</v>
      </c>
      <c r="D27" s="17">
        <f t="shared" si="67"/>
        <v>0.26440779610194903</v>
      </c>
      <c r="E27" s="17">
        <f t="shared" si="67"/>
        <v>0.36936167050605634</v>
      </c>
      <c r="F27" s="17">
        <f t="shared" si="67"/>
        <v>0.15500111218210127</v>
      </c>
      <c r="G27" s="17">
        <f t="shared" si="67"/>
        <v>0.55510324677456424</v>
      </c>
      <c r="H27" s="17">
        <f t="shared" si="67"/>
        <v>0.64389219675548093</v>
      </c>
      <c r="I27" s="27"/>
      <c r="J27" s="17">
        <f t="shared" ref="J27:T27" si="68">J26/J11</f>
        <v>0.30714682981090102</v>
      </c>
      <c r="K27" s="17">
        <f t="shared" si="68"/>
        <v>0.51684311838306063</v>
      </c>
      <c r="L27" s="17">
        <f t="shared" si="68"/>
        <v>0.58068432671081682</v>
      </c>
      <c r="M27" s="17">
        <f t="shared" si="68"/>
        <v>0.63819391032891459</v>
      </c>
      <c r="N27" s="17">
        <f t="shared" si="68"/>
        <v>0.66345415450775613</v>
      </c>
      <c r="O27" s="17">
        <f t="shared" si="68"/>
        <v>0.63961384820239675</v>
      </c>
      <c r="P27" s="17">
        <f t="shared" si="68"/>
        <v>0.63610968587879824</v>
      </c>
      <c r="Q27" s="17">
        <f t="shared" si="68"/>
        <v>0.64114820370699954</v>
      </c>
      <c r="R27" s="17">
        <f t="shared" si="68"/>
        <v>0.49725386954745587</v>
      </c>
      <c r="S27" s="17">
        <f t="shared" si="68"/>
        <v>0.66760798408317823</v>
      </c>
      <c r="T27" s="17">
        <f t="shared" si="68"/>
        <v>0.66547380977440973</v>
      </c>
      <c r="U27" s="28"/>
      <c r="V27" s="17">
        <f t="shared" ref="V27:AC27" si="69">V26/V11</f>
        <v>0.55543153540592893</v>
      </c>
      <c r="W27" s="17">
        <f t="shared" si="69"/>
        <v>0.6119286985734701</v>
      </c>
      <c r="X27" s="17">
        <f t="shared" si="69"/>
        <v>0.63250854039685589</v>
      </c>
      <c r="Y27" s="17">
        <f t="shared" si="69"/>
        <v>0.64373306023713461</v>
      </c>
      <c r="Z27" s="17">
        <f t="shared" si="69"/>
        <v>0.64389219675548093</v>
      </c>
      <c r="AA27" s="17">
        <f t="shared" si="69"/>
        <v>0.59695653637679691</v>
      </c>
      <c r="AB27" s="17">
        <f t="shared" si="69"/>
        <v>0.60918907140868428</v>
      </c>
      <c r="AC27" s="17">
        <f t="shared" si="69"/>
        <v>0.62128757841638971</v>
      </c>
      <c r="AD27" s="43"/>
      <c r="AE27" s="77">
        <f>SUM(AC27-Y27)*1000</f>
        <v>-22.445481820744906</v>
      </c>
    </row>
    <row r="28" spans="2:31" ht="5.0999999999999996" customHeight="1">
      <c r="B28" s="16"/>
      <c r="C28" s="17"/>
      <c r="D28" s="17"/>
      <c r="E28" s="17"/>
      <c r="F28" s="17"/>
      <c r="G28" s="17"/>
      <c r="H28" s="17"/>
      <c r="I28" s="2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28"/>
      <c r="V28" s="17"/>
      <c r="W28" s="17"/>
      <c r="X28" s="17"/>
      <c r="Y28" s="17"/>
      <c r="Z28" s="17"/>
      <c r="AA28" s="17"/>
      <c r="AB28" s="17"/>
      <c r="AC28" s="17"/>
      <c r="AD28" s="43"/>
      <c r="AE28" s="77"/>
    </row>
    <row r="29" spans="2:31" ht="12.75" customHeight="1">
      <c r="B29" s="9" t="s">
        <v>96</v>
      </c>
      <c r="C29" s="82">
        <v>-174</v>
      </c>
      <c r="D29" s="82">
        <v>-77</v>
      </c>
      <c r="E29" s="82">
        <v>-189</v>
      </c>
      <c r="F29" s="82">
        <v>187</v>
      </c>
      <c r="G29" s="82">
        <v>-4058</v>
      </c>
      <c r="H29" s="82">
        <v>-11146</v>
      </c>
      <c r="I29" s="32"/>
      <c r="J29" s="82">
        <v>-166</v>
      </c>
      <c r="K29" s="82">
        <v>-793</v>
      </c>
      <c r="L29" s="82">
        <v>-1279</v>
      </c>
      <c r="M29" s="32">
        <f>SUM(G29-SUM(J29:L29))</f>
        <v>-1820</v>
      </c>
      <c r="N29" s="82">
        <v>-2398</v>
      </c>
      <c r="O29" s="82">
        <v>-2615</v>
      </c>
      <c r="P29" s="82">
        <v>-3007</v>
      </c>
      <c r="Q29" s="32">
        <f>SUM(H29-SUM(N29:P29))</f>
        <v>-3126</v>
      </c>
      <c r="R29" s="82">
        <v>-3135</v>
      </c>
      <c r="S29" s="82">
        <v>-4784</v>
      </c>
      <c r="T29" s="82">
        <v>-6026</v>
      </c>
      <c r="V29" s="32">
        <f t="shared" ref="V29" si="70">SUM(J29:M29)</f>
        <v>-4058</v>
      </c>
      <c r="W29" s="32">
        <f t="shared" ref="W29" si="71">SUM(K29:N29)</f>
        <v>-6290</v>
      </c>
      <c r="X29" s="32">
        <f t="shared" ref="X29" si="72">SUM(L29:O29)</f>
        <v>-8112</v>
      </c>
      <c r="Y29" s="32">
        <f t="shared" ref="Y29" si="73">SUM(M29:P29)</f>
        <v>-9840</v>
      </c>
      <c r="Z29" s="32">
        <f t="shared" ref="Z29" si="74">SUM(N29:Q29)</f>
        <v>-11146</v>
      </c>
      <c r="AA29" s="32">
        <f t="shared" ref="AA29" si="75">SUM(O29:R29)</f>
        <v>-11883</v>
      </c>
      <c r="AB29" s="32">
        <f t="shared" ref="AB29" si="76">SUM(P29:S29)</f>
        <v>-14052</v>
      </c>
      <c r="AC29" s="32">
        <f>SUM(Q29:T29)</f>
        <v>-17071</v>
      </c>
      <c r="AD29" s="11"/>
      <c r="AE29" s="75">
        <f>SUM(AC29/Y29)-1</f>
        <v>0.73485772357723578</v>
      </c>
    </row>
    <row r="30" spans="2:31" ht="12.75" customHeight="1">
      <c r="B30" s="13" t="s">
        <v>97</v>
      </c>
      <c r="C30" s="14">
        <f t="shared" ref="C30:H30" si="77">SUM(C26+SUM(C29:C29))</f>
        <v>2796</v>
      </c>
      <c r="D30" s="14">
        <f t="shared" si="77"/>
        <v>4332</v>
      </c>
      <c r="E30" s="14">
        <f t="shared" si="77"/>
        <v>9752</v>
      </c>
      <c r="F30" s="14">
        <f t="shared" si="77"/>
        <v>4368</v>
      </c>
      <c r="G30" s="14">
        <f t="shared" si="77"/>
        <v>29760</v>
      </c>
      <c r="H30" s="14">
        <f t="shared" si="77"/>
        <v>72880</v>
      </c>
      <c r="I30" s="11"/>
      <c r="J30" s="14">
        <f t="shared" ref="J30:Q30" si="78">SUM(J26+SUM(J29:J29))</f>
        <v>2043</v>
      </c>
      <c r="K30" s="14">
        <f t="shared" si="78"/>
        <v>6188</v>
      </c>
      <c r="L30" s="14">
        <f t="shared" si="78"/>
        <v>9243</v>
      </c>
      <c r="M30" s="14">
        <f t="shared" si="78"/>
        <v>12286</v>
      </c>
      <c r="N30" s="14">
        <f t="shared" si="78"/>
        <v>14881</v>
      </c>
      <c r="O30" s="14">
        <f t="shared" si="78"/>
        <v>16599</v>
      </c>
      <c r="P30" s="14">
        <f t="shared" si="78"/>
        <v>19309</v>
      </c>
      <c r="Q30" s="14">
        <f t="shared" si="78"/>
        <v>22091</v>
      </c>
      <c r="R30" s="14">
        <f t="shared" ref="R30" si="79">SUM(R26+SUM(R29:R29))</f>
        <v>18775</v>
      </c>
      <c r="S30" s="14">
        <f t="shared" ref="S30" si="80">SUM(S26+SUM(S29:S29))</f>
        <v>26422</v>
      </c>
      <c r="T30" s="14">
        <f t="shared" ref="T30" si="81">SUM(T26+SUM(T29:T29))</f>
        <v>31910</v>
      </c>
      <c r="U30" s="32"/>
      <c r="V30" s="14">
        <f t="shared" ref="V30:AC30" si="82">SUM(V26+SUM(V29:V29))</f>
        <v>29780</v>
      </c>
      <c r="W30" s="14">
        <f t="shared" si="82"/>
        <v>42526</v>
      </c>
      <c r="X30" s="14">
        <f t="shared" si="82"/>
        <v>52803</v>
      </c>
      <c r="Y30" s="14">
        <f t="shared" si="82"/>
        <v>63075</v>
      </c>
      <c r="Z30" s="14">
        <f t="shared" si="82"/>
        <v>72880</v>
      </c>
      <c r="AA30" s="14">
        <f t="shared" si="82"/>
        <v>76774</v>
      </c>
      <c r="AB30" s="14">
        <f t="shared" si="82"/>
        <v>86597</v>
      </c>
      <c r="AC30" s="14">
        <f t="shared" si="82"/>
        <v>99198</v>
      </c>
      <c r="AD30" s="36"/>
      <c r="AE30" s="76">
        <f>SUM(AC30/Y30)-1</f>
        <v>0.57269916765755058</v>
      </c>
    </row>
    <row r="31" spans="2:31" ht="12.75" customHeight="1">
      <c r="B31" s="16" t="s">
        <v>95</v>
      </c>
      <c r="C31" s="17">
        <f t="shared" ref="C31:H31" si="83">C30/C11</f>
        <v>0.25609085913170909</v>
      </c>
      <c r="D31" s="17">
        <f t="shared" si="83"/>
        <v>0.25979010494752625</v>
      </c>
      <c r="E31" s="17">
        <f t="shared" si="83"/>
        <v>0.36233930296499961</v>
      </c>
      <c r="F31" s="17">
        <f t="shared" si="83"/>
        <v>0.16193371394676356</v>
      </c>
      <c r="G31" s="17">
        <f t="shared" si="83"/>
        <v>0.4884934834706674</v>
      </c>
      <c r="H31" s="17">
        <f t="shared" si="83"/>
        <v>0.55848027157712443</v>
      </c>
      <c r="I31" s="27"/>
      <c r="J31" s="17">
        <f t="shared" ref="J31:T31" si="84">J30/J11</f>
        <v>0.28406562847608452</v>
      </c>
      <c r="K31" s="17">
        <f t="shared" si="84"/>
        <v>0.45813282001924927</v>
      </c>
      <c r="L31" s="17">
        <f t="shared" si="84"/>
        <v>0.51009933774834437</v>
      </c>
      <c r="M31" s="17">
        <f t="shared" si="84"/>
        <v>0.55585214676740713</v>
      </c>
      <c r="N31" s="17">
        <f t="shared" si="84"/>
        <v>0.57137920442328372</v>
      </c>
      <c r="O31" s="17">
        <f t="shared" si="84"/>
        <v>0.55256324900133158</v>
      </c>
      <c r="P31" s="17">
        <f t="shared" si="84"/>
        <v>0.55039621458297705</v>
      </c>
      <c r="Q31" s="17">
        <f t="shared" si="84"/>
        <v>0.56166891256260965</v>
      </c>
      <c r="R31" s="17">
        <f t="shared" si="84"/>
        <v>0.42610412600426673</v>
      </c>
      <c r="S31" s="17">
        <f t="shared" si="84"/>
        <v>0.56526110861519374</v>
      </c>
      <c r="T31" s="17">
        <f t="shared" si="84"/>
        <v>0.55976563870469775</v>
      </c>
      <c r="U31" s="28"/>
      <c r="V31" s="17">
        <f t="shared" ref="V31:AC31" si="85">V30/V11</f>
        <v>0.48882177210203209</v>
      </c>
      <c r="W31" s="17">
        <f t="shared" si="85"/>
        <v>0.53308095369418607</v>
      </c>
      <c r="X31" s="17">
        <f t="shared" si="85"/>
        <v>0.5482779029561714</v>
      </c>
      <c r="Y31" s="17">
        <f t="shared" si="85"/>
        <v>0.55686021771181882</v>
      </c>
      <c r="Z31" s="17">
        <f t="shared" si="85"/>
        <v>0.55848027157712443</v>
      </c>
      <c r="AA31" s="17">
        <f t="shared" si="85"/>
        <v>0.51694441638891697</v>
      </c>
      <c r="AB31" s="17">
        <f t="shared" si="85"/>
        <v>0.52413780580808389</v>
      </c>
      <c r="AC31" s="17">
        <f t="shared" si="85"/>
        <v>0.5300680766476793</v>
      </c>
      <c r="AD31" s="43"/>
      <c r="AE31" s="77">
        <f>SUM(AC31-Y31)*1000</f>
        <v>-26.792141064139518</v>
      </c>
    </row>
    <row r="32" spans="2:31" ht="5.0999999999999996" customHeight="1">
      <c r="B32" s="16"/>
      <c r="C32" s="17"/>
      <c r="D32" s="17"/>
      <c r="E32" s="17"/>
      <c r="F32" s="17"/>
      <c r="G32" s="17"/>
      <c r="H32" s="17"/>
      <c r="I32" s="2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28"/>
      <c r="V32" s="17"/>
      <c r="W32" s="17"/>
      <c r="X32" s="17"/>
      <c r="Y32" s="17"/>
      <c r="Z32" s="17"/>
      <c r="AA32" s="17"/>
      <c r="AB32" s="17"/>
      <c r="AC32" s="17"/>
      <c r="AD32" s="43"/>
      <c r="AE32" s="77"/>
    </row>
    <row r="33" spans="1:31" ht="12.75" customHeight="1">
      <c r="B33" s="44" t="s">
        <v>79</v>
      </c>
      <c r="C33" s="82">
        <v>2439</v>
      </c>
      <c r="D33" s="82">
        <v>2467</v>
      </c>
      <c r="E33" s="82">
        <v>2496</v>
      </c>
      <c r="F33" s="82">
        <v>24870</v>
      </c>
      <c r="G33" s="82">
        <v>24690</v>
      </c>
      <c r="H33" s="82">
        <v>24555</v>
      </c>
      <c r="I33" s="27"/>
      <c r="J33" s="82">
        <v>2470</v>
      </c>
      <c r="K33" s="82">
        <v>24729</v>
      </c>
      <c r="L33" s="82">
        <v>24680</v>
      </c>
      <c r="M33" s="32">
        <f>G33</f>
        <v>24690</v>
      </c>
      <c r="N33" s="82">
        <v>2462</v>
      </c>
      <c r="O33" s="82">
        <v>24578</v>
      </c>
      <c r="P33" s="82">
        <v>24533</v>
      </c>
      <c r="Q33" s="32">
        <f>H33</f>
        <v>24555</v>
      </c>
      <c r="R33" s="82">
        <v>24441</v>
      </c>
      <c r="S33" s="82">
        <v>24366</v>
      </c>
      <c r="T33" s="82">
        <v>24327</v>
      </c>
      <c r="U33" s="131"/>
      <c r="V33" s="32">
        <f t="shared" ref="V33:AB33" si="86">M33</f>
        <v>24690</v>
      </c>
      <c r="W33" s="32">
        <f t="shared" si="86"/>
        <v>2462</v>
      </c>
      <c r="X33" s="32">
        <f t="shared" si="86"/>
        <v>24578</v>
      </c>
      <c r="Y33" s="32">
        <f t="shared" si="86"/>
        <v>24533</v>
      </c>
      <c r="Z33" s="32">
        <f t="shared" si="86"/>
        <v>24555</v>
      </c>
      <c r="AA33" s="32">
        <f t="shared" si="86"/>
        <v>24441</v>
      </c>
      <c r="AB33" s="32">
        <f t="shared" si="86"/>
        <v>24366</v>
      </c>
      <c r="AC33" s="32">
        <f>T33</f>
        <v>24327</v>
      </c>
      <c r="AD33" s="43"/>
      <c r="AE33" s="75">
        <f>SUM(AC33/Y33)-1</f>
        <v>-8.3968532181143418E-3</v>
      </c>
    </row>
    <row r="34" spans="1:31" ht="12.75" customHeight="1">
      <c r="B34" s="13" t="s">
        <v>58</v>
      </c>
      <c r="C34" s="142">
        <f t="shared" ref="C34:H34" si="87">C30/C33</f>
        <v>1.1463714637146372</v>
      </c>
      <c r="D34" s="142">
        <f t="shared" si="87"/>
        <v>1.7559789217673287</v>
      </c>
      <c r="E34" s="142">
        <f t="shared" si="87"/>
        <v>3.9070512820512819</v>
      </c>
      <c r="F34" s="142">
        <f t="shared" si="87"/>
        <v>0.17563329312424608</v>
      </c>
      <c r="G34" s="142">
        <f t="shared" si="87"/>
        <v>1.2053462940461726</v>
      </c>
      <c r="H34" s="142">
        <f t="shared" si="87"/>
        <v>2.9680309509264915</v>
      </c>
      <c r="I34" s="27"/>
      <c r="J34" s="142">
        <f t="shared" ref="J34:T34" si="88">J30/J33</f>
        <v>0.82712550607287449</v>
      </c>
      <c r="K34" s="142">
        <f t="shared" si="88"/>
        <v>0.25023252052246353</v>
      </c>
      <c r="L34" s="142">
        <f t="shared" si="88"/>
        <v>0.37451377633711508</v>
      </c>
      <c r="M34" s="142">
        <f t="shared" si="88"/>
        <v>0.49761036857027136</v>
      </c>
      <c r="N34" s="142">
        <f t="shared" si="88"/>
        <v>6.0442729488220959</v>
      </c>
      <c r="O34" s="142">
        <f t="shared" si="88"/>
        <v>0.67536007811864274</v>
      </c>
      <c r="P34" s="142">
        <f t="shared" si="88"/>
        <v>0.78706232421636169</v>
      </c>
      <c r="Q34" s="142">
        <f t="shared" si="88"/>
        <v>0.89965383832213397</v>
      </c>
      <c r="R34" s="142">
        <f t="shared" si="88"/>
        <v>0.76817642485986659</v>
      </c>
      <c r="S34" s="142">
        <f t="shared" si="88"/>
        <v>1.0843798735943528</v>
      </c>
      <c r="T34" s="142">
        <f t="shared" si="88"/>
        <v>1.3117112673161508</v>
      </c>
      <c r="U34" s="131"/>
      <c r="V34" s="142">
        <f t="shared" ref="V34:AC34" si="89">V30/V33</f>
        <v>1.2061563385986229</v>
      </c>
      <c r="W34" s="142">
        <f t="shared" si="89"/>
        <v>17.272948822095856</v>
      </c>
      <c r="X34" s="142">
        <f t="shared" si="89"/>
        <v>2.1483847343152411</v>
      </c>
      <c r="Y34" s="142">
        <f t="shared" si="89"/>
        <v>2.5710267802551665</v>
      </c>
      <c r="Z34" s="142">
        <f t="shared" si="89"/>
        <v>2.9680309509264915</v>
      </c>
      <c r="AA34" s="142">
        <f t="shared" si="89"/>
        <v>3.141197168691952</v>
      </c>
      <c r="AB34" s="142">
        <f t="shared" si="89"/>
        <v>3.5540096856275136</v>
      </c>
      <c r="AC34" s="142">
        <f t="shared" si="89"/>
        <v>4.0776914539400666</v>
      </c>
      <c r="AD34" s="43"/>
      <c r="AE34" s="76">
        <f>SUM(AC34/Y34)-1</f>
        <v>0.58601671723363702</v>
      </c>
    </row>
    <row r="35" spans="1:31" ht="5.0999999999999996" customHeight="1">
      <c r="B35" s="25"/>
      <c r="C35" s="48"/>
      <c r="D35" s="48"/>
      <c r="E35" s="48"/>
      <c r="F35" s="48"/>
      <c r="G35" s="48"/>
      <c r="H35" s="48"/>
      <c r="I35" s="141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131"/>
      <c r="V35" s="131"/>
      <c r="W35" s="131"/>
      <c r="X35" s="131"/>
      <c r="Y35" s="48"/>
      <c r="Z35" s="131"/>
      <c r="AA35" s="131"/>
      <c r="AB35" s="131"/>
      <c r="AC35" s="131"/>
      <c r="AD35" s="43"/>
      <c r="AE35" s="75"/>
    </row>
    <row r="36" spans="1:31" ht="12.75" customHeight="1">
      <c r="B36" s="44" t="s">
        <v>59</v>
      </c>
      <c r="C36" s="82">
        <v>2472</v>
      </c>
      <c r="D36" s="82">
        <v>2510</v>
      </c>
      <c r="E36" s="82">
        <v>2535</v>
      </c>
      <c r="F36" s="82">
        <v>25070</v>
      </c>
      <c r="G36" s="82">
        <v>24940</v>
      </c>
      <c r="H36" s="82">
        <v>24804</v>
      </c>
      <c r="I36" s="141"/>
      <c r="J36" s="82">
        <v>2490</v>
      </c>
      <c r="K36" s="82">
        <v>24994</v>
      </c>
      <c r="L36" s="82">
        <v>24940</v>
      </c>
      <c r="M36" s="32">
        <f>G36</f>
        <v>24940</v>
      </c>
      <c r="N36" s="82">
        <v>2489</v>
      </c>
      <c r="O36" s="82">
        <v>24848</v>
      </c>
      <c r="P36" s="82">
        <v>24774</v>
      </c>
      <c r="Q36" s="32">
        <f>H36</f>
        <v>24804</v>
      </c>
      <c r="R36" s="82">
        <v>24611</v>
      </c>
      <c r="S36" s="82">
        <v>24532</v>
      </c>
      <c r="T36" s="82">
        <v>24483</v>
      </c>
      <c r="U36" s="131"/>
      <c r="V36" s="32">
        <f t="shared" ref="V36" si="90">M36</f>
        <v>24940</v>
      </c>
      <c r="W36" s="32">
        <f t="shared" ref="W36" si="91">N36</f>
        <v>2489</v>
      </c>
      <c r="X36" s="32">
        <f t="shared" ref="X36" si="92">O36</f>
        <v>24848</v>
      </c>
      <c r="Y36" s="32">
        <f t="shared" ref="Y36" si="93">P36</f>
        <v>24774</v>
      </c>
      <c r="Z36" s="32">
        <f t="shared" ref="Z36" si="94">Q36</f>
        <v>24804</v>
      </c>
      <c r="AA36" s="32">
        <f t="shared" ref="AA36" si="95">R36</f>
        <v>24611</v>
      </c>
      <c r="AB36" s="32">
        <f t="shared" ref="AB36" si="96">S36</f>
        <v>24532</v>
      </c>
      <c r="AC36" s="32">
        <f>T36</f>
        <v>24483</v>
      </c>
      <c r="AD36" s="43"/>
      <c r="AE36" s="75">
        <f>SUM(AC36/Y36)-1</f>
        <v>-1.1746185517074403E-2</v>
      </c>
    </row>
    <row r="37" spans="1:31" ht="12.75" customHeight="1">
      <c r="B37" s="13" t="s">
        <v>78</v>
      </c>
      <c r="C37" s="142">
        <f t="shared" ref="C37:H37" si="97">C30/C36</f>
        <v>1.1310679611650485</v>
      </c>
      <c r="D37" s="142">
        <f t="shared" si="97"/>
        <v>1.7258964143426294</v>
      </c>
      <c r="E37" s="142">
        <f t="shared" si="97"/>
        <v>3.8469428007889546</v>
      </c>
      <c r="F37" s="142">
        <f t="shared" si="97"/>
        <v>0.17423214998005584</v>
      </c>
      <c r="G37" s="142">
        <f t="shared" si="97"/>
        <v>1.1932638331996792</v>
      </c>
      <c r="H37" s="142">
        <f t="shared" si="97"/>
        <v>2.9382357684244478</v>
      </c>
      <c r="I37" s="27"/>
      <c r="J37" s="142">
        <f t="shared" ref="J37:T37" si="98">J30/J36</f>
        <v>0.82048192771084338</v>
      </c>
      <c r="K37" s="142">
        <f t="shared" si="98"/>
        <v>0.24757941906057454</v>
      </c>
      <c r="L37" s="142">
        <f t="shared" si="98"/>
        <v>0.37060946271050521</v>
      </c>
      <c r="M37" s="142">
        <f t="shared" si="98"/>
        <v>0.49262229350441056</v>
      </c>
      <c r="N37" s="142">
        <f t="shared" si="98"/>
        <v>5.978706307754118</v>
      </c>
      <c r="O37" s="142">
        <f t="shared" si="98"/>
        <v>0.66802157115260785</v>
      </c>
      <c r="P37" s="142">
        <f t="shared" si="98"/>
        <v>0.77940582869136998</v>
      </c>
      <c r="Q37" s="142">
        <f t="shared" si="98"/>
        <v>0.89062248024512181</v>
      </c>
      <c r="R37" s="142">
        <f t="shared" si="98"/>
        <v>0.7628702612652879</v>
      </c>
      <c r="S37" s="142">
        <f t="shared" si="98"/>
        <v>1.0770422305560086</v>
      </c>
      <c r="T37" s="142">
        <f t="shared" si="98"/>
        <v>1.3033533472205203</v>
      </c>
      <c r="U37" s="131"/>
      <c r="V37" s="142">
        <f t="shared" ref="V37:AC37" si="99">V30/V36</f>
        <v>1.194065757818765</v>
      </c>
      <c r="W37" s="142">
        <f t="shared" si="99"/>
        <v>17.085576536761753</v>
      </c>
      <c r="X37" s="142">
        <f t="shared" si="99"/>
        <v>2.125040244687701</v>
      </c>
      <c r="Y37" s="142">
        <f t="shared" si="99"/>
        <v>2.5460159844998791</v>
      </c>
      <c r="Z37" s="142">
        <f t="shared" si="99"/>
        <v>2.9382357684244478</v>
      </c>
      <c r="AA37" s="142">
        <f t="shared" si="99"/>
        <v>3.1194994108325544</v>
      </c>
      <c r="AB37" s="142">
        <f t="shared" si="99"/>
        <v>3.5299608674384477</v>
      </c>
      <c r="AC37" s="142">
        <f t="shared" si="99"/>
        <v>4.0517093493444429</v>
      </c>
      <c r="AD37" s="43"/>
      <c r="AE37" s="76">
        <f>SUM(AC37/Y37)-1</f>
        <v>0.59139195276510859</v>
      </c>
    </row>
    <row r="38" spans="1:31">
      <c r="B38" s="16"/>
      <c r="C38" s="17"/>
      <c r="D38" s="17"/>
      <c r="E38" s="17"/>
      <c r="F38" s="17"/>
      <c r="G38" s="17"/>
      <c r="H38" s="17"/>
      <c r="I38" s="2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28"/>
      <c r="V38" s="17"/>
      <c r="W38" s="17"/>
      <c r="X38" s="17"/>
      <c r="Y38" s="17"/>
      <c r="Z38" s="17"/>
      <c r="AA38" s="17"/>
      <c r="AB38" s="17"/>
      <c r="AC38" s="17"/>
      <c r="AD38" s="43"/>
    </row>
    <row r="39" spans="1:31" ht="12.75" customHeight="1">
      <c r="A39" s="5" t="s">
        <v>12</v>
      </c>
      <c r="B39" s="105" t="s">
        <v>68</v>
      </c>
      <c r="C39" s="106" t="s">
        <v>0</v>
      </c>
      <c r="D39" s="106" t="s">
        <v>0</v>
      </c>
      <c r="E39" s="106"/>
      <c r="F39" s="106"/>
      <c r="G39" s="106"/>
      <c r="H39" s="106"/>
      <c r="I39" s="107"/>
      <c r="J39" s="106"/>
      <c r="K39" s="106"/>
      <c r="L39" s="106" t="s">
        <v>1</v>
      </c>
      <c r="M39" s="106"/>
      <c r="N39" s="106"/>
      <c r="O39" s="106"/>
      <c r="P39" s="106"/>
      <c r="Q39" s="106"/>
      <c r="R39" s="106"/>
      <c r="S39" s="106"/>
      <c r="T39" s="106"/>
      <c r="U39" s="105"/>
      <c r="V39" s="106"/>
      <c r="W39" s="106"/>
      <c r="X39" s="106" t="s">
        <v>6</v>
      </c>
      <c r="Y39" s="106" t="s">
        <v>6</v>
      </c>
      <c r="Z39" s="106"/>
      <c r="AA39" s="106"/>
      <c r="AB39" s="106"/>
      <c r="AC39" s="106"/>
      <c r="AD39" s="107"/>
      <c r="AE39" s="162" t="s">
        <v>18</v>
      </c>
    </row>
    <row r="40" spans="1:31" ht="12.75" customHeight="1">
      <c r="B40" s="109" t="str">
        <f t="shared" ref="B40:H41" si="100">B7</f>
        <v>Fiscal Period</v>
      </c>
      <c r="C40" s="108">
        <f t="shared" si="100"/>
        <v>2020</v>
      </c>
      <c r="D40" s="108">
        <f t="shared" si="100"/>
        <v>2021</v>
      </c>
      <c r="E40" s="108">
        <f t="shared" si="100"/>
        <v>2022</v>
      </c>
      <c r="F40" s="108">
        <f t="shared" si="100"/>
        <v>2023</v>
      </c>
      <c r="G40" s="108">
        <f t="shared" si="100"/>
        <v>2024</v>
      </c>
      <c r="H40" s="108">
        <f t="shared" si="100"/>
        <v>2025</v>
      </c>
      <c r="I40" s="107"/>
      <c r="J40" s="108" t="str">
        <f t="shared" ref="J40:T40" si="101">J7</f>
        <v>1Q24</v>
      </c>
      <c r="K40" s="108" t="str">
        <f t="shared" si="101"/>
        <v>2Q24</v>
      </c>
      <c r="L40" s="108" t="str">
        <f t="shared" si="101"/>
        <v>3Q24</v>
      </c>
      <c r="M40" s="108" t="str">
        <f t="shared" si="101"/>
        <v>4Q24</v>
      </c>
      <c r="N40" s="108" t="str">
        <f t="shared" si="101"/>
        <v>1Q25</v>
      </c>
      <c r="O40" s="108" t="str">
        <f t="shared" si="101"/>
        <v>2Q25</v>
      </c>
      <c r="P40" s="108" t="str">
        <f t="shared" si="101"/>
        <v>3Q25</v>
      </c>
      <c r="Q40" s="108" t="str">
        <f t="shared" si="101"/>
        <v>4Q25</v>
      </c>
      <c r="R40" s="108" t="str">
        <f t="shared" si="101"/>
        <v>1Q26</v>
      </c>
      <c r="S40" s="108" t="str">
        <f t="shared" si="101"/>
        <v>2Q26</v>
      </c>
      <c r="T40" s="108" t="str">
        <f t="shared" si="101"/>
        <v>3Q26</v>
      </c>
      <c r="U40" s="110"/>
      <c r="V40" s="108" t="str">
        <f t="shared" ref="V40:AC41" si="102">V7</f>
        <v>4Q24</v>
      </c>
      <c r="W40" s="108" t="str">
        <f t="shared" si="102"/>
        <v>1Q25</v>
      </c>
      <c r="X40" s="108" t="str">
        <f t="shared" si="102"/>
        <v>2Q25</v>
      </c>
      <c r="Y40" s="108" t="str">
        <f t="shared" si="102"/>
        <v>3Q25</v>
      </c>
      <c r="Z40" s="108" t="str">
        <f t="shared" si="102"/>
        <v>4Q25</v>
      </c>
      <c r="AA40" s="108" t="str">
        <f t="shared" si="102"/>
        <v>1Q26</v>
      </c>
      <c r="AB40" s="108" t="str">
        <f t="shared" si="102"/>
        <v>2Q26</v>
      </c>
      <c r="AC40" s="108" t="str">
        <f t="shared" si="102"/>
        <v>3Q26</v>
      </c>
      <c r="AD40" s="107"/>
      <c r="AE40" s="162"/>
    </row>
    <row r="41" spans="1:31" ht="12.75" customHeight="1">
      <c r="B41" s="109" t="str">
        <f t="shared" si="100"/>
        <v>Fiscal Period End Date</v>
      </c>
      <c r="C41" s="111">
        <f t="shared" si="100"/>
        <v>43856</v>
      </c>
      <c r="D41" s="111">
        <f t="shared" si="100"/>
        <v>44227</v>
      </c>
      <c r="E41" s="111">
        <f t="shared" si="100"/>
        <v>44956</v>
      </c>
      <c r="F41" s="111">
        <f t="shared" si="100"/>
        <v>44955</v>
      </c>
      <c r="G41" s="111">
        <f t="shared" si="100"/>
        <v>45319</v>
      </c>
      <c r="H41" s="111">
        <f t="shared" si="100"/>
        <v>45683</v>
      </c>
      <c r="I41" s="107"/>
      <c r="J41" s="111">
        <f t="shared" ref="J41:T41" si="103">J8</f>
        <v>45046</v>
      </c>
      <c r="K41" s="111">
        <f t="shared" si="103"/>
        <v>45137</v>
      </c>
      <c r="L41" s="111">
        <f t="shared" si="103"/>
        <v>45228</v>
      </c>
      <c r="M41" s="111">
        <f t="shared" si="103"/>
        <v>45319</v>
      </c>
      <c r="N41" s="111">
        <f t="shared" si="103"/>
        <v>45410</v>
      </c>
      <c r="O41" s="111">
        <f t="shared" si="103"/>
        <v>45501</v>
      </c>
      <c r="P41" s="111">
        <f t="shared" si="103"/>
        <v>45592</v>
      </c>
      <c r="Q41" s="111">
        <f t="shared" si="103"/>
        <v>45683</v>
      </c>
      <c r="R41" s="111">
        <f t="shared" si="103"/>
        <v>45774</v>
      </c>
      <c r="S41" s="111">
        <f t="shared" si="103"/>
        <v>45865</v>
      </c>
      <c r="T41" s="111">
        <f t="shared" si="103"/>
        <v>45956</v>
      </c>
      <c r="U41" s="112"/>
      <c r="V41" s="111">
        <f t="shared" si="102"/>
        <v>45319</v>
      </c>
      <c r="W41" s="111">
        <f t="shared" si="102"/>
        <v>45410</v>
      </c>
      <c r="X41" s="111">
        <f t="shared" si="102"/>
        <v>45501</v>
      </c>
      <c r="Y41" s="111">
        <f t="shared" si="102"/>
        <v>45592</v>
      </c>
      <c r="Z41" s="111">
        <f t="shared" si="102"/>
        <v>45683</v>
      </c>
      <c r="AA41" s="111">
        <f t="shared" si="102"/>
        <v>45774</v>
      </c>
      <c r="AB41" s="111">
        <f t="shared" si="102"/>
        <v>45865</v>
      </c>
      <c r="AC41" s="111">
        <f t="shared" si="102"/>
        <v>45956</v>
      </c>
      <c r="AD41" s="107"/>
      <c r="AE41" s="162"/>
    </row>
    <row r="42" spans="1:31" ht="5.0999999999999996" customHeight="1">
      <c r="B42" s="46"/>
      <c r="C42" s="47"/>
      <c r="D42" s="47"/>
      <c r="E42" s="47"/>
      <c r="F42" s="47"/>
      <c r="G42" s="47"/>
      <c r="H42" s="47"/>
    </row>
    <row r="43" spans="1:31">
      <c r="B43" s="78" t="s">
        <v>73</v>
      </c>
      <c r="C43" s="47"/>
      <c r="D43" s="47"/>
      <c r="E43" s="47"/>
      <c r="F43" s="47"/>
      <c r="G43" s="47"/>
      <c r="H43" s="47"/>
    </row>
    <row r="44" spans="1:31" s="121" customFormat="1" ht="12.75" customHeight="1">
      <c r="B44" s="113" t="s">
        <v>139</v>
      </c>
      <c r="C44" s="122">
        <v>10896</v>
      </c>
      <c r="D44" s="122">
        <v>847</v>
      </c>
      <c r="E44" s="122">
        <v>1990</v>
      </c>
      <c r="F44" s="122">
        <v>3389</v>
      </c>
      <c r="G44" s="122">
        <v>7280</v>
      </c>
      <c r="H44" s="122">
        <v>8589</v>
      </c>
      <c r="J44" s="82">
        <v>5079</v>
      </c>
      <c r="K44" s="82">
        <v>5783</v>
      </c>
      <c r="L44" s="82">
        <v>5519</v>
      </c>
      <c r="M44" s="32">
        <f t="shared" ref="M44:M48" si="104">G44</f>
        <v>7280</v>
      </c>
      <c r="N44" s="82">
        <v>7587</v>
      </c>
      <c r="O44" s="82">
        <v>8563</v>
      </c>
      <c r="P44" s="82">
        <v>9107</v>
      </c>
      <c r="Q44" s="32">
        <f>H44</f>
        <v>8589</v>
      </c>
      <c r="R44" s="82">
        <v>15234</v>
      </c>
      <c r="S44" s="82">
        <v>11639</v>
      </c>
      <c r="T44" s="82">
        <v>11486</v>
      </c>
      <c r="V44" s="32">
        <f t="shared" ref="V44:V48" si="105">M44</f>
        <v>7280</v>
      </c>
      <c r="W44" s="32">
        <f t="shared" ref="W44:W48" si="106">N44</f>
        <v>7587</v>
      </c>
      <c r="X44" s="32">
        <f t="shared" ref="X44:X48" si="107">O44</f>
        <v>8563</v>
      </c>
      <c r="Y44" s="32">
        <f t="shared" ref="Y44:Y48" si="108">P44</f>
        <v>9107</v>
      </c>
      <c r="Z44" s="32">
        <f t="shared" ref="Z44:Z48" si="109">Q44</f>
        <v>8589</v>
      </c>
      <c r="AA44" s="32">
        <f t="shared" ref="AA44:AA48" si="110">R44</f>
        <v>15234</v>
      </c>
      <c r="AB44" s="32">
        <f t="shared" ref="AB44:AB48" si="111">S44</f>
        <v>11639</v>
      </c>
      <c r="AC44" s="32">
        <f t="shared" ref="AC44:AC48" si="112">T44</f>
        <v>11486</v>
      </c>
      <c r="AD44" s="123"/>
      <c r="AE44" s="75">
        <f>SUM(AC44/Y44)-1</f>
        <v>0.26122762710003289</v>
      </c>
    </row>
    <row r="45" spans="1:31" s="121" customFormat="1" ht="12.75" customHeight="1">
      <c r="B45" s="113" t="s">
        <v>140</v>
      </c>
      <c r="C45" s="122">
        <v>1</v>
      </c>
      <c r="D45" s="122">
        <v>10714</v>
      </c>
      <c r="E45" s="122">
        <v>19218</v>
      </c>
      <c r="F45" s="122">
        <v>9907</v>
      </c>
      <c r="G45" s="122">
        <v>18704</v>
      </c>
      <c r="H45" s="122">
        <v>34621</v>
      </c>
      <c r="J45" s="82">
        <v>10241</v>
      </c>
      <c r="K45" s="82">
        <v>10240</v>
      </c>
      <c r="L45" s="82">
        <v>12762</v>
      </c>
      <c r="M45" s="32">
        <f t="shared" si="104"/>
        <v>18704</v>
      </c>
      <c r="N45" s="82">
        <v>23851</v>
      </c>
      <c r="O45" s="82">
        <v>26237</v>
      </c>
      <c r="P45" s="82">
        <v>29380</v>
      </c>
      <c r="Q45" s="32">
        <f t="shared" ref="Q45:Q48" si="113">H45</f>
        <v>34621</v>
      </c>
      <c r="R45" s="82">
        <v>38457</v>
      </c>
      <c r="S45" s="82">
        <v>45152</v>
      </c>
      <c r="T45" s="82">
        <v>49122</v>
      </c>
      <c r="V45" s="32">
        <f t="shared" si="105"/>
        <v>18704</v>
      </c>
      <c r="W45" s="32">
        <f t="shared" si="106"/>
        <v>23851</v>
      </c>
      <c r="X45" s="32">
        <f t="shared" si="107"/>
        <v>26237</v>
      </c>
      <c r="Y45" s="32">
        <f t="shared" si="108"/>
        <v>29380</v>
      </c>
      <c r="Z45" s="32">
        <f t="shared" si="109"/>
        <v>34621</v>
      </c>
      <c r="AA45" s="32">
        <f t="shared" si="110"/>
        <v>38457</v>
      </c>
      <c r="AB45" s="32">
        <f t="shared" si="111"/>
        <v>45152</v>
      </c>
      <c r="AC45" s="32">
        <f t="shared" si="112"/>
        <v>49122</v>
      </c>
      <c r="AD45" s="123"/>
      <c r="AE45" s="75">
        <f>SUM(AC45/Y45)-1</f>
        <v>0.67195371000680737</v>
      </c>
    </row>
    <row r="46" spans="1:31" s="121" customFormat="1" ht="12.75" customHeight="1">
      <c r="B46" s="113" t="s">
        <v>141</v>
      </c>
      <c r="C46" s="122">
        <v>1657</v>
      </c>
      <c r="D46" s="122">
        <v>2429</v>
      </c>
      <c r="E46" s="122">
        <v>4650</v>
      </c>
      <c r="F46" s="122">
        <v>3827</v>
      </c>
      <c r="G46" s="122">
        <v>9999</v>
      </c>
      <c r="H46" s="122">
        <v>23065</v>
      </c>
      <c r="J46" s="82">
        <v>4080</v>
      </c>
      <c r="K46" s="82">
        <v>7066</v>
      </c>
      <c r="L46" s="82">
        <v>8309</v>
      </c>
      <c r="M46" s="32">
        <f t="shared" si="104"/>
        <v>9999</v>
      </c>
      <c r="N46" s="82">
        <v>12365</v>
      </c>
      <c r="O46" s="82">
        <v>14132</v>
      </c>
      <c r="P46" s="82">
        <v>17693</v>
      </c>
      <c r="Q46" s="32">
        <f t="shared" si="113"/>
        <v>23065</v>
      </c>
      <c r="R46" s="82">
        <v>22132</v>
      </c>
      <c r="S46" s="82">
        <v>27808</v>
      </c>
      <c r="T46" s="82">
        <v>33391</v>
      </c>
      <c r="V46" s="32">
        <f t="shared" si="105"/>
        <v>9999</v>
      </c>
      <c r="W46" s="32">
        <f t="shared" si="106"/>
        <v>12365</v>
      </c>
      <c r="X46" s="32">
        <f t="shared" si="107"/>
        <v>14132</v>
      </c>
      <c r="Y46" s="32">
        <f t="shared" si="108"/>
        <v>17693</v>
      </c>
      <c r="Z46" s="32">
        <f t="shared" si="109"/>
        <v>23065</v>
      </c>
      <c r="AA46" s="32">
        <f t="shared" si="110"/>
        <v>22132</v>
      </c>
      <c r="AB46" s="32">
        <f t="shared" si="111"/>
        <v>27808</v>
      </c>
      <c r="AC46" s="32">
        <f t="shared" si="112"/>
        <v>33391</v>
      </c>
      <c r="AD46" s="123"/>
      <c r="AE46" s="75">
        <f>SUM(AC46/Y46)-1</f>
        <v>0.88724354264398353</v>
      </c>
    </row>
    <row r="47" spans="1:31" s="121" customFormat="1" ht="12.75" customHeight="1">
      <c r="B47" s="113" t="s">
        <v>98</v>
      </c>
      <c r="C47" s="122">
        <v>979</v>
      </c>
      <c r="D47" s="122">
        <v>1826</v>
      </c>
      <c r="E47" s="122">
        <v>2605</v>
      </c>
      <c r="F47" s="122">
        <v>5159</v>
      </c>
      <c r="G47" s="122">
        <v>5282</v>
      </c>
      <c r="H47" s="122">
        <v>10080</v>
      </c>
      <c r="J47" s="82">
        <v>4611</v>
      </c>
      <c r="K47" s="82">
        <v>4319</v>
      </c>
      <c r="L47" s="82">
        <v>4779</v>
      </c>
      <c r="M47" s="32">
        <f t="shared" si="104"/>
        <v>5282</v>
      </c>
      <c r="N47" s="82">
        <v>5864</v>
      </c>
      <c r="O47" s="82">
        <v>6675</v>
      </c>
      <c r="P47" s="82">
        <v>7654</v>
      </c>
      <c r="Q47" s="32">
        <f t="shared" si="113"/>
        <v>10080</v>
      </c>
      <c r="R47" s="82">
        <v>11333</v>
      </c>
      <c r="S47" s="82">
        <v>14962</v>
      </c>
      <c r="T47" s="82">
        <v>19784</v>
      </c>
      <c r="V47" s="32">
        <f t="shared" si="105"/>
        <v>5282</v>
      </c>
      <c r="W47" s="32">
        <f t="shared" si="106"/>
        <v>5864</v>
      </c>
      <c r="X47" s="32">
        <f t="shared" si="107"/>
        <v>6675</v>
      </c>
      <c r="Y47" s="32">
        <f t="shared" si="108"/>
        <v>7654</v>
      </c>
      <c r="Z47" s="32">
        <f t="shared" si="109"/>
        <v>10080</v>
      </c>
      <c r="AA47" s="32">
        <f t="shared" si="110"/>
        <v>11333</v>
      </c>
      <c r="AB47" s="32">
        <f t="shared" si="111"/>
        <v>14962</v>
      </c>
      <c r="AC47" s="32">
        <f t="shared" si="112"/>
        <v>19784</v>
      </c>
      <c r="AD47" s="123"/>
      <c r="AE47" s="75">
        <f>SUM(AC47/Y47)-1</f>
        <v>1.5847922654821009</v>
      </c>
    </row>
    <row r="48" spans="1:31" s="121" customFormat="1" ht="12.75" customHeight="1">
      <c r="B48" s="113" t="s">
        <v>142</v>
      </c>
      <c r="C48" s="122">
        <v>157</v>
      </c>
      <c r="D48" s="122">
        <v>239</v>
      </c>
      <c r="E48" s="122">
        <v>366</v>
      </c>
      <c r="F48" s="122">
        <v>791</v>
      </c>
      <c r="G48" s="122">
        <v>3080</v>
      </c>
      <c r="H48" s="122">
        <v>3771</v>
      </c>
      <c r="J48" s="82">
        <v>872</v>
      </c>
      <c r="K48" s="82">
        <v>1389</v>
      </c>
      <c r="L48" s="82">
        <v>1289</v>
      </c>
      <c r="M48" s="32">
        <f t="shared" si="104"/>
        <v>3080</v>
      </c>
      <c r="N48" s="82">
        <v>4062</v>
      </c>
      <c r="O48" s="82">
        <v>4026</v>
      </c>
      <c r="P48" s="82">
        <v>3806</v>
      </c>
      <c r="Q48" s="32">
        <f t="shared" si="113"/>
        <v>3771</v>
      </c>
      <c r="R48" s="82">
        <v>2779</v>
      </c>
      <c r="S48" s="82">
        <v>2658</v>
      </c>
      <c r="T48" s="82">
        <v>2709</v>
      </c>
      <c r="V48" s="32">
        <f t="shared" si="105"/>
        <v>3080</v>
      </c>
      <c r="W48" s="32">
        <f t="shared" si="106"/>
        <v>4062</v>
      </c>
      <c r="X48" s="32">
        <f t="shared" si="107"/>
        <v>4026</v>
      </c>
      <c r="Y48" s="32">
        <f t="shared" si="108"/>
        <v>3806</v>
      </c>
      <c r="Z48" s="32">
        <f t="shared" si="109"/>
        <v>3771</v>
      </c>
      <c r="AA48" s="32">
        <f t="shared" si="110"/>
        <v>2779</v>
      </c>
      <c r="AB48" s="32">
        <f t="shared" si="111"/>
        <v>2658</v>
      </c>
      <c r="AC48" s="32">
        <f t="shared" si="112"/>
        <v>2709</v>
      </c>
      <c r="AD48" s="123"/>
      <c r="AE48" s="75">
        <f>SUM(AC48/Y48)-1</f>
        <v>-0.28822911192853384</v>
      </c>
    </row>
    <row r="49" spans="2:31" ht="12.75" customHeight="1">
      <c r="B49" s="25" t="s">
        <v>14</v>
      </c>
      <c r="C49" s="26">
        <f t="shared" ref="C49:H49" si="114">SUM(C44:C48)</f>
        <v>13690</v>
      </c>
      <c r="D49" s="26">
        <f t="shared" si="114"/>
        <v>16055</v>
      </c>
      <c r="E49" s="26">
        <f t="shared" si="114"/>
        <v>28829</v>
      </c>
      <c r="F49" s="26">
        <f t="shared" si="114"/>
        <v>23073</v>
      </c>
      <c r="G49" s="26">
        <f t="shared" si="114"/>
        <v>44345</v>
      </c>
      <c r="H49" s="26">
        <f t="shared" si="114"/>
        <v>80126</v>
      </c>
      <c r="I49" s="48"/>
      <c r="J49" s="26">
        <f t="shared" ref="J49:T49" si="115">SUM(J44:J48)</f>
        <v>24883</v>
      </c>
      <c r="K49" s="26">
        <f t="shared" si="115"/>
        <v>28797</v>
      </c>
      <c r="L49" s="26">
        <f t="shared" si="115"/>
        <v>32658</v>
      </c>
      <c r="M49" s="26">
        <f t="shared" si="115"/>
        <v>44345</v>
      </c>
      <c r="N49" s="26">
        <f t="shared" si="115"/>
        <v>53729</v>
      </c>
      <c r="O49" s="26">
        <f t="shared" si="115"/>
        <v>59633</v>
      </c>
      <c r="P49" s="26">
        <f t="shared" si="115"/>
        <v>67640</v>
      </c>
      <c r="Q49" s="26">
        <f t="shared" si="115"/>
        <v>80126</v>
      </c>
      <c r="R49" s="26">
        <f t="shared" si="115"/>
        <v>89935</v>
      </c>
      <c r="S49" s="26">
        <f t="shared" si="115"/>
        <v>102219</v>
      </c>
      <c r="T49" s="26">
        <f t="shared" si="115"/>
        <v>116492</v>
      </c>
      <c r="U49" s="48"/>
      <c r="V49" s="26">
        <f t="shared" ref="V49" si="116">SUM(V44:V48)</f>
        <v>44345</v>
      </c>
      <c r="W49" s="26">
        <f t="shared" ref="W49" si="117">SUM(W44:W48)</f>
        <v>53729</v>
      </c>
      <c r="X49" s="26">
        <f t="shared" ref="X49" si="118">SUM(X44:X48)</f>
        <v>59633</v>
      </c>
      <c r="Y49" s="26">
        <f t="shared" ref="Y49" si="119">SUM(Y44:Y48)</f>
        <v>67640</v>
      </c>
      <c r="Z49" s="26">
        <f t="shared" ref="Z49" si="120">SUM(Z44:Z48)</f>
        <v>80126</v>
      </c>
      <c r="AA49" s="26">
        <f t="shared" ref="AA49" si="121">SUM(AA44:AA48)</f>
        <v>89935</v>
      </c>
      <c r="AB49" s="26">
        <f t="shared" ref="AB49" si="122">SUM(AB44:AB48)</f>
        <v>102219</v>
      </c>
      <c r="AC49" s="26">
        <f t="shared" ref="AC49" si="123">SUM(AC44:AC48)</f>
        <v>116492</v>
      </c>
      <c r="AD49" s="42"/>
      <c r="AE49" s="76">
        <f>SUM(AC49/Y49)-1</f>
        <v>0.7222353636901242</v>
      </c>
    </row>
    <row r="50" spans="2:31" ht="5.0999999999999996" customHeight="1">
      <c r="B50" s="25"/>
      <c r="C50" s="49"/>
      <c r="D50" s="49"/>
      <c r="E50" s="49"/>
      <c r="F50" s="41"/>
      <c r="G50" s="41"/>
      <c r="H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V50" s="42"/>
      <c r="W50" s="42"/>
      <c r="X50" s="42"/>
      <c r="Y50" s="42"/>
      <c r="Z50" s="42"/>
      <c r="AA50" s="42"/>
      <c r="AB50" s="42"/>
      <c r="AC50" s="42"/>
      <c r="AD50" s="42"/>
      <c r="AE50" s="39"/>
    </row>
    <row r="51" spans="2:31" ht="12.75" customHeight="1">
      <c r="B51" s="78" t="s">
        <v>74</v>
      </c>
      <c r="C51" s="82"/>
      <c r="D51" s="82"/>
      <c r="E51" s="82"/>
      <c r="F51" s="82"/>
      <c r="G51" s="82"/>
      <c r="H51" s="82"/>
      <c r="J51" s="82"/>
      <c r="K51" s="82"/>
      <c r="L51" s="82"/>
      <c r="M51" s="82"/>
      <c r="N51" s="32"/>
      <c r="O51" s="82"/>
      <c r="P51" s="82"/>
      <c r="Q51" s="82"/>
      <c r="R51" s="82"/>
      <c r="S51" s="82"/>
      <c r="T51" s="82"/>
      <c r="V51" s="32"/>
      <c r="W51" s="32"/>
      <c r="X51" s="32"/>
      <c r="Y51" s="32"/>
      <c r="Z51" s="32"/>
      <c r="AA51" s="32"/>
      <c r="AB51" s="32"/>
      <c r="AC51" s="32"/>
      <c r="AD51" s="11"/>
      <c r="AE51" s="75"/>
    </row>
    <row r="52" spans="2:31" ht="12.75" customHeight="1">
      <c r="B52" s="9" t="s">
        <v>143</v>
      </c>
      <c r="C52" s="82">
        <v>1674</v>
      </c>
      <c r="D52" s="82">
        <v>2149</v>
      </c>
      <c r="E52" s="82">
        <v>2778</v>
      </c>
      <c r="F52" s="82">
        <v>3807</v>
      </c>
      <c r="G52" s="82">
        <v>3914</v>
      </c>
      <c r="H52" s="82">
        <v>6283</v>
      </c>
      <c r="J52" s="82">
        <v>3740</v>
      </c>
      <c r="K52" s="82">
        <v>3799</v>
      </c>
      <c r="L52" s="82">
        <v>3844</v>
      </c>
      <c r="M52" s="32">
        <f t="shared" ref="M52:M57" si="124">G52</f>
        <v>3914</v>
      </c>
      <c r="N52" s="82">
        <v>4006</v>
      </c>
      <c r="O52" s="82">
        <v>4885</v>
      </c>
      <c r="P52" s="82">
        <v>5343</v>
      </c>
      <c r="Q52" s="32">
        <f t="shared" ref="Q52:Q57" si="125">H52</f>
        <v>6283</v>
      </c>
      <c r="R52" s="82">
        <v>7136</v>
      </c>
      <c r="S52" s="82">
        <v>9141</v>
      </c>
      <c r="T52" s="82">
        <v>9780</v>
      </c>
      <c r="V52" s="32">
        <f t="shared" ref="V52:V57" si="126">M52</f>
        <v>3914</v>
      </c>
      <c r="W52" s="32">
        <f t="shared" ref="W52:W57" si="127">N52</f>
        <v>4006</v>
      </c>
      <c r="X52" s="32">
        <f t="shared" ref="X52:X57" si="128">O52</f>
        <v>4885</v>
      </c>
      <c r="Y52" s="32">
        <f t="shared" ref="Y52:Y57" si="129">P52</f>
        <v>5343</v>
      </c>
      <c r="Z52" s="32">
        <f t="shared" ref="Z52:Z57" si="130">Q52</f>
        <v>6283</v>
      </c>
      <c r="AA52" s="32">
        <f t="shared" ref="AA52:AA57" si="131">R52</f>
        <v>7136</v>
      </c>
      <c r="AB52" s="32">
        <f t="shared" ref="AB52:AB57" si="132">S52</f>
        <v>9141</v>
      </c>
      <c r="AC52" s="32">
        <f t="shared" ref="AC52:AC57" si="133">T52</f>
        <v>9780</v>
      </c>
      <c r="AD52" s="11"/>
      <c r="AE52" s="75">
        <f>SUM(AC52/Y52)-1</f>
        <v>0.83043234138124644</v>
      </c>
    </row>
    <row r="53" spans="2:31" ht="12.75" customHeight="1">
      <c r="B53" s="9" t="s">
        <v>144</v>
      </c>
      <c r="C53" s="82">
        <v>618</v>
      </c>
      <c r="D53" s="82">
        <v>707</v>
      </c>
      <c r="E53" s="82">
        <v>829</v>
      </c>
      <c r="F53" s="82">
        <v>1038</v>
      </c>
      <c r="G53" s="82">
        <v>1346</v>
      </c>
      <c r="H53" s="82">
        <v>1793</v>
      </c>
      <c r="J53" s="82">
        <v>1094</v>
      </c>
      <c r="K53" s="82">
        <v>1235</v>
      </c>
      <c r="L53" s="82">
        <v>1316</v>
      </c>
      <c r="M53" s="32">
        <f t="shared" si="124"/>
        <v>1346</v>
      </c>
      <c r="N53" s="82">
        <v>1532</v>
      </c>
      <c r="O53" s="82">
        <v>1556</v>
      </c>
      <c r="P53" s="82">
        <v>1755</v>
      </c>
      <c r="Q53" s="32">
        <f t="shared" si="125"/>
        <v>1793</v>
      </c>
      <c r="R53" s="82">
        <v>1810</v>
      </c>
      <c r="S53" s="82">
        <v>2084</v>
      </c>
      <c r="T53" s="82">
        <v>2281</v>
      </c>
      <c r="V53" s="32">
        <f t="shared" si="126"/>
        <v>1346</v>
      </c>
      <c r="W53" s="32">
        <f t="shared" si="127"/>
        <v>1532</v>
      </c>
      <c r="X53" s="32">
        <f t="shared" si="128"/>
        <v>1556</v>
      </c>
      <c r="Y53" s="32">
        <f t="shared" si="129"/>
        <v>1755</v>
      </c>
      <c r="Z53" s="32">
        <f t="shared" si="130"/>
        <v>1793</v>
      </c>
      <c r="AA53" s="32">
        <f t="shared" si="131"/>
        <v>1810</v>
      </c>
      <c r="AB53" s="32">
        <f t="shared" si="132"/>
        <v>2084</v>
      </c>
      <c r="AC53" s="32">
        <f t="shared" si="133"/>
        <v>2281</v>
      </c>
      <c r="AD53" s="11"/>
      <c r="AE53" s="75">
        <f>SUM(AC53/Y53)-1</f>
        <v>0.29971509971509969</v>
      </c>
    </row>
    <row r="54" spans="2:31" ht="12.75" customHeight="1">
      <c r="B54" s="9" t="s">
        <v>99</v>
      </c>
      <c r="C54" s="82">
        <v>618</v>
      </c>
      <c r="D54" s="82">
        <v>4193</v>
      </c>
      <c r="E54" s="82">
        <v>4349</v>
      </c>
      <c r="F54" s="82">
        <v>4372</v>
      </c>
      <c r="G54" s="82">
        <v>4430</v>
      </c>
      <c r="H54" s="82">
        <v>5188</v>
      </c>
      <c r="J54" s="82">
        <v>4430</v>
      </c>
      <c r="K54" s="82">
        <v>4430</v>
      </c>
      <c r="L54" s="82">
        <v>4430</v>
      </c>
      <c r="M54" s="32">
        <f t="shared" si="124"/>
        <v>4430</v>
      </c>
      <c r="N54" s="82">
        <v>4453</v>
      </c>
      <c r="O54" s="82">
        <v>4622</v>
      </c>
      <c r="P54" s="82">
        <v>4724</v>
      </c>
      <c r="Q54" s="32">
        <f t="shared" si="125"/>
        <v>5188</v>
      </c>
      <c r="R54" s="82">
        <v>5498</v>
      </c>
      <c r="S54" s="82">
        <v>5755</v>
      </c>
      <c r="T54" s="82">
        <v>6261</v>
      </c>
      <c r="V54" s="32">
        <f t="shared" si="126"/>
        <v>4430</v>
      </c>
      <c r="W54" s="32">
        <f t="shared" si="127"/>
        <v>4453</v>
      </c>
      <c r="X54" s="32">
        <f t="shared" si="128"/>
        <v>4622</v>
      </c>
      <c r="Y54" s="32">
        <f t="shared" si="129"/>
        <v>4724</v>
      </c>
      <c r="Z54" s="32">
        <f t="shared" si="130"/>
        <v>5188</v>
      </c>
      <c r="AA54" s="32">
        <f t="shared" si="131"/>
        <v>5498</v>
      </c>
      <c r="AB54" s="32">
        <f t="shared" si="132"/>
        <v>5755</v>
      </c>
      <c r="AC54" s="32">
        <f t="shared" si="133"/>
        <v>6261</v>
      </c>
      <c r="AD54" s="11"/>
      <c r="AE54" s="75">
        <f>SUM(AC54/Y54)-1</f>
        <v>0.32535986452159182</v>
      </c>
    </row>
    <row r="55" spans="2:31" ht="12.75" customHeight="1">
      <c r="B55" s="9" t="s">
        <v>145</v>
      </c>
      <c r="C55" s="82">
        <v>49</v>
      </c>
      <c r="D55" s="82">
        <v>2737</v>
      </c>
      <c r="E55" s="82">
        <v>2339</v>
      </c>
      <c r="F55" s="82">
        <v>1676</v>
      </c>
      <c r="G55" s="82">
        <v>1112</v>
      </c>
      <c r="H55" s="82">
        <v>807</v>
      </c>
      <c r="J55" s="82">
        <v>1541</v>
      </c>
      <c r="K55" s="82">
        <v>1395</v>
      </c>
      <c r="L55" s="82">
        <v>1251</v>
      </c>
      <c r="M55" s="32">
        <f t="shared" si="124"/>
        <v>1112</v>
      </c>
      <c r="N55" s="82">
        <v>986</v>
      </c>
      <c r="O55" s="82">
        <v>952</v>
      </c>
      <c r="P55" s="82">
        <v>838</v>
      </c>
      <c r="Q55" s="32">
        <f t="shared" si="125"/>
        <v>807</v>
      </c>
      <c r="R55" s="82">
        <v>769</v>
      </c>
      <c r="S55" s="82">
        <v>755</v>
      </c>
      <c r="T55" s="82">
        <v>936</v>
      </c>
      <c r="V55" s="32">
        <f t="shared" si="126"/>
        <v>1112</v>
      </c>
      <c r="W55" s="32">
        <f t="shared" si="127"/>
        <v>986</v>
      </c>
      <c r="X55" s="32">
        <f t="shared" si="128"/>
        <v>952</v>
      </c>
      <c r="Y55" s="32">
        <f t="shared" si="129"/>
        <v>838</v>
      </c>
      <c r="Z55" s="32">
        <f t="shared" si="130"/>
        <v>807</v>
      </c>
      <c r="AA55" s="32">
        <f t="shared" si="131"/>
        <v>769</v>
      </c>
      <c r="AB55" s="32">
        <f t="shared" si="132"/>
        <v>755</v>
      </c>
      <c r="AC55" s="32">
        <f t="shared" si="133"/>
        <v>936</v>
      </c>
      <c r="AD55" s="11"/>
      <c r="AE55" s="75">
        <f>SUM(AC55/Y55)-1</f>
        <v>0.11694510739856812</v>
      </c>
    </row>
    <row r="56" spans="2:31" ht="12.75" customHeight="1">
      <c r="B56" s="9" t="s">
        <v>146</v>
      </c>
      <c r="C56" s="82">
        <v>548</v>
      </c>
      <c r="D56" s="82">
        <v>806</v>
      </c>
      <c r="E56" s="82">
        <v>1222</v>
      </c>
      <c r="F56" s="82">
        <v>3396</v>
      </c>
      <c r="G56" s="82">
        <v>6081</v>
      </c>
      <c r="H56" s="82">
        <v>10979</v>
      </c>
      <c r="J56" s="82">
        <v>4568</v>
      </c>
      <c r="K56" s="82">
        <v>5398</v>
      </c>
      <c r="L56" s="82">
        <v>5982</v>
      </c>
      <c r="M56" s="32">
        <f t="shared" si="124"/>
        <v>6081</v>
      </c>
      <c r="N56" s="82">
        <v>7798</v>
      </c>
      <c r="O56" s="82">
        <v>9578</v>
      </c>
      <c r="P56" s="82">
        <v>10276</v>
      </c>
      <c r="Q56" s="32">
        <f t="shared" si="125"/>
        <v>10979</v>
      </c>
      <c r="R56" s="82">
        <v>13318</v>
      </c>
      <c r="S56" s="82">
        <v>13570</v>
      </c>
      <c r="T56" s="82">
        <v>13674</v>
      </c>
      <c r="V56" s="32">
        <f t="shared" si="126"/>
        <v>6081</v>
      </c>
      <c r="W56" s="32">
        <f t="shared" si="127"/>
        <v>7798</v>
      </c>
      <c r="X56" s="32">
        <f t="shared" si="128"/>
        <v>9578</v>
      </c>
      <c r="Y56" s="32">
        <f t="shared" si="129"/>
        <v>10276</v>
      </c>
      <c r="Z56" s="32">
        <f t="shared" si="130"/>
        <v>10979</v>
      </c>
      <c r="AA56" s="32">
        <f t="shared" si="131"/>
        <v>13318</v>
      </c>
      <c r="AB56" s="32">
        <f t="shared" si="132"/>
        <v>13570</v>
      </c>
      <c r="AC56" s="32">
        <f t="shared" si="133"/>
        <v>13674</v>
      </c>
      <c r="AD56" s="11"/>
      <c r="AE56" s="75">
        <f>SUM(AC56/Y56)-1</f>
        <v>0.33067341377968074</v>
      </c>
    </row>
    <row r="57" spans="2:31" ht="12.75" customHeight="1">
      <c r="B57" s="9" t="s">
        <v>147</v>
      </c>
      <c r="C57" s="82">
        <v>118</v>
      </c>
      <c r="D57" s="82">
        <v>2144</v>
      </c>
      <c r="E57" s="82">
        <v>3841</v>
      </c>
      <c r="F57" s="82">
        <v>3820</v>
      </c>
      <c r="G57" s="82">
        <v>4500</v>
      </c>
      <c r="H57" s="82">
        <v>6425</v>
      </c>
      <c r="J57" s="82">
        <v>4204</v>
      </c>
      <c r="K57" s="82">
        <v>4501</v>
      </c>
      <c r="L57" s="82">
        <v>4667</v>
      </c>
      <c r="M57" s="32">
        <f t="shared" si="124"/>
        <v>4500</v>
      </c>
      <c r="N57" s="82">
        <v>4568</v>
      </c>
      <c r="O57" s="82">
        <v>4001</v>
      </c>
      <c r="P57" s="82">
        <v>5437</v>
      </c>
      <c r="Q57" s="32">
        <f t="shared" si="125"/>
        <v>6425</v>
      </c>
      <c r="R57" s="82">
        <v>6788</v>
      </c>
      <c r="S57" s="82">
        <v>7216</v>
      </c>
      <c r="T57" s="82">
        <v>11724</v>
      </c>
      <c r="V57" s="32">
        <f t="shared" si="126"/>
        <v>4500</v>
      </c>
      <c r="W57" s="32">
        <f t="shared" si="127"/>
        <v>4568</v>
      </c>
      <c r="X57" s="32">
        <f t="shared" si="128"/>
        <v>4001</v>
      </c>
      <c r="Y57" s="32">
        <f t="shared" si="129"/>
        <v>5437</v>
      </c>
      <c r="Z57" s="32">
        <f t="shared" si="130"/>
        <v>6425</v>
      </c>
      <c r="AA57" s="32">
        <f t="shared" si="131"/>
        <v>6788</v>
      </c>
      <c r="AB57" s="32">
        <f t="shared" si="132"/>
        <v>7216</v>
      </c>
      <c r="AC57" s="32">
        <f t="shared" si="133"/>
        <v>11724</v>
      </c>
      <c r="AD57" s="11"/>
      <c r="AE57" s="75">
        <f>SUM(AC57/Y57)-1</f>
        <v>1.1563362148243517</v>
      </c>
    </row>
    <row r="58" spans="2:31" ht="12.75" customHeight="1">
      <c r="B58" s="13" t="s">
        <v>15</v>
      </c>
      <c r="C58" s="14">
        <f t="shared" ref="C58:H58" si="134">SUM(C52:C57)+C49</f>
        <v>17315</v>
      </c>
      <c r="D58" s="14">
        <f t="shared" si="134"/>
        <v>28791</v>
      </c>
      <c r="E58" s="14">
        <f t="shared" si="134"/>
        <v>44187</v>
      </c>
      <c r="F58" s="14">
        <f t="shared" si="134"/>
        <v>41182</v>
      </c>
      <c r="G58" s="14">
        <f t="shared" si="134"/>
        <v>65728</v>
      </c>
      <c r="H58" s="14">
        <f t="shared" si="134"/>
        <v>111601</v>
      </c>
      <c r="J58" s="14">
        <f t="shared" ref="J58:Q58" si="135">SUM(J52:J57)+J49</f>
        <v>44460</v>
      </c>
      <c r="K58" s="14">
        <f t="shared" si="135"/>
        <v>49555</v>
      </c>
      <c r="L58" s="14">
        <f t="shared" si="135"/>
        <v>54148</v>
      </c>
      <c r="M58" s="14">
        <f t="shared" si="135"/>
        <v>65728</v>
      </c>
      <c r="N58" s="14">
        <f t="shared" si="135"/>
        <v>77072</v>
      </c>
      <c r="O58" s="14">
        <f t="shared" si="135"/>
        <v>85227</v>
      </c>
      <c r="P58" s="14">
        <f t="shared" si="135"/>
        <v>96013</v>
      </c>
      <c r="Q58" s="14">
        <f t="shared" si="135"/>
        <v>111601</v>
      </c>
      <c r="R58" s="14">
        <f t="shared" ref="R58:T58" si="136">SUM(R52:R57)+R49</f>
        <v>125254</v>
      </c>
      <c r="S58" s="14">
        <f t="shared" si="136"/>
        <v>140740</v>
      </c>
      <c r="T58" s="14">
        <f t="shared" si="136"/>
        <v>161148</v>
      </c>
      <c r="V58" s="14">
        <f t="shared" ref="V58:AC58" si="137">SUM(V52:V57)+V49</f>
        <v>65728</v>
      </c>
      <c r="W58" s="14">
        <f t="shared" si="137"/>
        <v>77072</v>
      </c>
      <c r="X58" s="14">
        <f t="shared" si="137"/>
        <v>85227</v>
      </c>
      <c r="Y58" s="14">
        <f t="shared" si="137"/>
        <v>96013</v>
      </c>
      <c r="Z58" s="14">
        <f t="shared" si="137"/>
        <v>111601</v>
      </c>
      <c r="AA58" s="14">
        <f t="shared" si="137"/>
        <v>125254</v>
      </c>
      <c r="AB58" s="14">
        <f t="shared" si="137"/>
        <v>140740</v>
      </c>
      <c r="AC58" s="34">
        <f t="shared" si="137"/>
        <v>161148</v>
      </c>
      <c r="AD58" s="42"/>
      <c r="AE58" s="76">
        <f>SUM(AC58/Y58)-1</f>
        <v>0.67839771697582618</v>
      </c>
    </row>
    <row r="59" spans="2:31" ht="12.75" customHeight="1">
      <c r="B59" s="25"/>
      <c r="C59" s="50"/>
      <c r="D59" s="50"/>
      <c r="E59" s="50"/>
      <c r="F59" s="41"/>
      <c r="G59" s="41"/>
      <c r="H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V59" s="42"/>
      <c r="W59" s="42"/>
      <c r="X59" s="42"/>
      <c r="Y59" s="42"/>
      <c r="Z59" s="42"/>
      <c r="AA59" s="42"/>
      <c r="AB59" s="42"/>
      <c r="AC59" s="42"/>
      <c r="AD59" s="42"/>
      <c r="AE59" s="39"/>
    </row>
    <row r="60" spans="2:31" ht="12.75" customHeight="1">
      <c r="B60" s="78" t="s">
        <v>41</v>
      </c>
      <c r="C60" s="50"/>
      <c r="D60" s="50"/>
      <c r="E60" s="50"/>
      <c r="F60" s="41"/>
      <c r="G60" s="41"/>
      <c r="H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V60" s="42"/>
      <c r="W60" s="42"/>
      <c r="X60" s="42"/>
      <c r="Y60" s="42"/>
      <c r="Z60" s="42"/>
      <c r="AA60" s="42"/>
      <c r="AB60" s="42"/>
      <c r="AC60" s="42"/>
      <c r="AD60" s="42"/>
      <c r="AE60" s="39"/>
    </row>
    <row r="61" spans="2:31" ht="12.75" customHeight="1">
      <c r="B61" s="119" t="s">
        <v>148</v>
      </c>
      <c r="C61" s="120">
        <v>687</v>
      </c>
      <c r="D61" s="120">
        <v>1149</v>
      </c>
      <c r="E61" s="120">
        <v>1783</v>
      </c>
      <c r="F61" s="120">
        <v>1193</v>
      </c>
      <c r="G61" s="120">
        <v>2699</v>
      </c>
      <c r="H61" s="120">
        <v>6310</v>
      </c>
      <c r="J61" s="82">
        <v>1141</v>
      </c>
      <c r="K61" s="82">
        <v>1929</v>
      </c>
      <c r="L61" s="82">
        <v>2380</v>
      </c>
      <c r="M61" s="32">
        <f t="shared" ref="M61:M63" si="138">G61</f>
        <v>2699</v>
      </c>
      <c r="N61" s="82">
        <v>2715</v>
      </c>
      <c r="O61" s="82">
        <v>3680</v>
      </c>
      <c r="P61" s="82">
        <v>5353</v>
      </c>
      <c r="Q61" s="32">
        <f t="shared" ref="Q61:Q63" si="139">H61</f>
        <v>6310</v>
      </c>
      <c r="R61" s="82">
        <v>7331</v>
      </c>
      <c r="S61" s="82">
        <v>9064</v>
      </c>
      <c r="T61" s="82">
        <v>8624</v>
      </c>
      <c r="V61" s="32">
        <f t="shared" ref="V61:V63" si="140">M61</f>
        <v>2699</v>
      </c>
      <c r="W61" s="32">
        <f t="shared" ref="W61:W63" si="141">N61</f>
        <v>2715</v>
      </c>
      <c r="X61" s="32">
        <f t="shared" ref="X61:X63" si="142">O61</f>
        <v>3680</v>
      </c>
      <c r="Y61" s="32">
        <f t="shared" ref="Y61:Y63" si="143">P61</f>
        <v>5353</v>
      </c>
      <c r="Z61" s="32">
        <f t="shared" ref="Z61:Z63" si="144">Q61</f>
        <v>6310</v>
      </c>
      <c r="AA61" s="32">
        <f t="shared" ref="AA61:AA63" si="145">R61</f>
        <v>7331</v>
      </c>
      <c r="AB61" s="32">
        <f t="shared" ref="AB61:AB63" si="146">S61</f>
        <v>9064</v>
      </c>
      <c r="AC61" s="32">
        <f t="shared" ref="AC61:AC63" si="147">T61</f>
        <v>8624</v>
      </c>
      <c r="AD61" s="11"/>
      <c r="AE61" s="75">
        <f>SUM(AC61/Y61)-1</f>
        <v>0.61105921912946015</v>
      </c>
    </row>
    <row r="62" spans="2:31" ht="12.75" customHeight="1">
      <c r="B62" s="119" t="s">
        <v>149</v>
      </c>
      <c r="C62" s="120">
        <v>1097</v>
      </c>
      <c r="D62" s="120">
        <v>1777</v>
      </c>
      <c r="E62" s="120">
        <v>2552</v>
      </c>
      <c r="F62" s="120">
        <v>4120</v>
      </c>
      <c r="G62" s="120">
        <v>6682</v>
      </c>
      <c r="H62" s="120">
        <v>11737</v>
      </c>
      <c r="J62" s="82">
        <v>4869</v>
      </c>
      <c r="K62" s="82">
        <v>7156</v>
      </c>
      <c r="L62" s="82">
        <v>5472</v>
      </c>
      <c r="M62" s="32">
        <f t="shared" si="138"/>
        <v>6682</v>
      </c>
      <c r="N62" s="82">
        <v>11258</v>
      </c>
      <c r="O62" s="82">
        <v>10289</v>
      </c>
      <c r="P62" s="82">
        <v>11126</v>
      </c>
      <c r="Q62" s="32">
        <f t="shared" si="139"/>
        <v>11737</v>
      </c>
      <c r="R62" s="82">
        <v>19211</v>
      </c>
      <c r="S62" s="82">
        <v>15193</v>
      </c>
      <c r="T62" s="82">
        <v>16452</v>
      </c>
      <c r="V62" s="32">
        <f t="shared" si="140"/>
        <v>6682</v>
      </c>
      <c r="W62" s="32">
        <f t="shared" si="141"/>
        <v>11258</v>
      </c>
      <c r="X62" s="32">
        <f t="shared" si="142"/>
        <v>10289</v>
      </c>
      <c r="Y62" s="32">
        <f t="shared" si="143"/>
        <v>11126</v>
      </c>
      <c r="Z62" s="32">
        <f t="shared" si="144"/>
        <v>11737</v>
      </c>
      <c r="AA62" s="32">
        <f t="shared" si="145"/>
        <v>19211</v>
      </c>
      <c r="AB62" s="32">
        <f t="shared" si="146"/>
        <v>15193</v>
      </c>
      <c r="AC62" s="32">
        <f t="shared" si="147"/>
        <v>16452</v>
      </c>
      <c r="AD62" s="11"/>
      <c r="AE62" s="75">
        <f>SUM(AC62/Y62)-1</f>
        <v>0.47869854395110556</v>
      </c>
    </row>
    <row r="63" spans="2:31" ht="12.75" customHeight="1">
      <c r="B63" s="119" t="s">
        <v>150</v>
      </c>
      <c r="C63" s="120">
        <v>0</v>
      </c>
      <c r="D63" s="120">
        <v>999</v>
      </c>
      <c r="E63" s="120">
        <v>0</v>
      </c>
      <c r="F63" s="120">
        <v>1250</v>
      </c>
      <c r="G63" s="120">
        <v>1250</v>
      </c>
      <c r="H63" s="120">
        <v>0</v>
      </c>
      <c r="J63" s="82">
        <v>1250</v>
      </c>
      <c r="K63" s="82">
        <v>1249</v>
      </c>
      <c r="L63" s="82">
        <v>1249</v>
      </c>
      <c r="M63" s="32">
        <f t="shared" si="138"/>
        <v>1250</v>
      </c>
      <c r="N63" s="82">
        <v>1250</v>
      </c>
      <c r="O63" s="82">
        <v>0</v>
      </c>
      <c r="P63" s="82">
        <v>0</v>
      </c>
      <c r="Q63" s="32">
        <f t="shared" si="139"/>
        <v>0</v>
      </c>
      <c r="R63" s="82">
        <v>0</v>
      </c>
      <c r="S63" s="82">
        <v>0</v>
      </c>
      <c r="T63" s="82">
        <v>999</v>
      </c>
      <c r="V63" s="32">
        <f t="shared" si="140"/>
        <v>1250</v>
      </c>
      <c r="W63" s="32">
        <f t="shared" si="141"/>
        <v>1250</v>
      </c>
      <c r="X63" s="32">
        <f t="shared" si="142"/>
        <v>0</v>
      </c>
      <c r="Y63" s="32">
        <f t="shared" si="143"/>
        <v>0</v>
      </c>
      <c r="Z63" s="32">
        <f t="shared" si="144"/>
        <v>0</v>
      </c>
      <c r="AA63" s="32">
        <f t="shared" si="145"/>
        <v>0</v>
      </c>
      <c r="AB63" s="32">
        <f t="shared" si="146"/>
        <v>0</v>
      </c>
      <c r="AC63" s="32">
        <f t="shared" si="147"/>
        <v>999</v>
      </c>
      <c r="AD63" s="11"/>
      <c r="AE63" s="75" t="e">
        <f>SUM(AC63/Y63)-1</f>
        <v>#DIV/0!</v>
      </c>
    </row>
    <row r="64" spans="2:31" ht="12.75" customHeight="1">
      <c r="B64" s="25" t="s">
        <v>13</v>
      </c>
      <c r="C64" s="26">
        <f t="shared" ref="C64:H64" si="148">SUM(C61:C63)</f>
        <v>1784</v>
      </c>
      <c r="D64" s="26">
        <f t="shared" si="148"/>
        <v>3925</v>
      </c>
      <c r="E64" s="26">
        <f t="shared" si="148"/>
        <v>4335</v>
      </c>
      <c r="F64" s="26">
        <f t="shared" si="148"/>
        <v>6563</v>
      </c>
      <c r="G64" s="26">
        <f t="shared" si="148"/>
        <v>10631</v>
      </c>
      <c r="H64" s="26">
        <f t="shared" si="148"/>
        <v>18047</v>
      </c>
      <c r="J64" s="26">
        <f t="shared" ref="J64:Q64" si="149">SUM(J61:J63)</f>
        <v>7260</v>
      </c>
      <c r="K64" s="26">
        <f t="shared" si="149"/>
        <v>10334</v>
      </c>
      <c r="L64" s="26">
        <f t="shared" si="149"/>
        <v>9101</v>
      </c>
      <c r="M64" s="26">
        <f t="shared" si="149"/>
        <v>10631</v>
      </c>
      <c r="N64" s="26">
        <f t="shared" si="149"/>
        <v>15223</v>
      </c>
      <c r="O64" s="26">
        <f t="shared" si="149"/>
        <v>13969</v>
      </c>
      <c r="P64" s="26">
        <f t="shared" si="149"/>
        <v>16479</v>
      </c>
      <c r="Q64" s="26">
        <f t="shared" si="149"/>
        <v>18047</v>
      </c>
      <c r="R64" s="26">
        <f t="shared" ref="R64:T64" si="150">SUM(R61:R63)</f>
        <v>26542</v>
      </c>
      <c r="S64" s="26">
        <f t="shared" si="150"/>
        <v>24257</v>
      </c>
      <c r="T64" s="26">
        <f t="shared" si="150"/>
        <v>26075</v>
      </c>
      <c r="U64" s="48"/>
      <c r="V64" s="26">
        <f t="shared" ref="V64:AC64" si="151">SUM(V61:V63)</f>
        <v>10631</v>
      </c>
      <c r="W64" s="26">
        <f t="shared" si="151"/>
        <v>15223</v>
      </c>
      <c r="X64" s="26">
        <f t="shared" si="151"/>
        <v>13969</v>
      </c>
      <c r="Y64" s="26">
        <f t="shared" si="151"/>
        <v>16479</v>
      </c>
      <c r="Z64" s="26">
        <f t="shared" si="151"/>
        <v>18047</v>
      </c>
      <c r="AA64" s="26">
        <f t="shared" si="151"/>
        <v>26542</v>
      </c>
      <c r="AB64" s="26">
        <f t="shared" si="151"/>
        <v>24257</v>
      </c>
      <c r="AC64" s="26">
        <f t="shared" si="151"/>
        <v>26075</v>
      </c>
      <c r="AD64" s="42"/>
      <c r="AE64" s="76">
        <f>SUM(AC64/Y64)-1</f>
        <v>0.58231688816068927</v>
      </c>
    </row>
    <row r="65" spans="2:31" ht="5.0999999999999996" customHeight="1">
      <c r="B65" s="25"/>
      <c r="C65" s="50"/>
      <c r="D65" s="50"/>
      <c r="E65" s="50"/>
      <c r="F65" s="41"/>
      <c r="G65" s="41"/>
      <c r="H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V65" s="42"/>
      <c r="W65" s="42"/>
      <c r="X65" s="42"/>
      <c r="Y65" s="42"/>
      <c r="Z65" s="42"/>
      <c r="AA65" s="42"/>
      <c r="AB65" s="42"/>
      <c r="AC65" s="42"/>
      <c r="AD65" s="42"/>
      <c r="AE65" s="39"/>
    </row>
    <row r="66" spans="2:31">
      <c r="B66" s="78" t="s">
        <v>75</v>
      </c>
      <c r="C66" s="50"/>
      <c r="D66" s="50"/>
      <c r="E66" s="50"/>
      <c r="F66" s="41"/>
      <c r="G66" s="41"/>
      <c r="H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V66" s="42"/>
      <c r="W66" s="42"/>
      <c r="X66" s="42"/>
      <c r="Y66" s="42"/>
      <c r="Z66" s="42"/>
      <c r="AA66" s="42"/>
      <c r="AB66" s="42"/>
      <c r="AC66" s="42"/>
      <c r="AD66" s="42"/>
      <c r="AE66" s="39"/>
    </row>
    <row r="67" spans="2:31" ht="12.75" customHeight="1">
      <c r="B67" s="119" t="s">
        <v>151</v>
      </c>
      <c r="C67" s="120">
        <v>1991</v>
      </c>
      <c r="D67" s="120">
        <v>5964</v>
      </c>
      <c r="E67" s="120">
        <v>10946</v>
      </c>
      <c r="F67" s="120">
        <v>9703</v>
      </c>
      <c r="G67" s="120">
        <v>8459</v>
      </c>
      <c r="H67" s="120">
        <v>8463</v>
      </c>
      <c r="I67" s="51"/>
      <c r="J67" s="82">
        <v>9704</v>
      </c>
      <c r="K67" s="82">
        <v>8456</v>
      </c>
      <c r="L67" s="82">
        <v>8457</v>
      </c>
      <c r="M67" s="32">
        <f t="shared" ref="M67:M69" si="152">G67</f>
        <v>8459</v>
      </c>
      <c r="N67" s="82">
        <v>8460</v>
      </c>
      <c r="O67" s="82">
        <v>8461</v>
      </c>
      <c r="P67" s="82">
        <v>8462</v>
      </c>
      <c r="Q67" s="32">
        <f t="shared" ref="Q67:Q69" si="153">H67</f>
        <v>8463</v>
      </c>
      <c r="R67" s="82">
        <v>8464</v>
      </c>
      <c r="S67" s="82">
        <v>8466</v>
      </c>
      <c r="T67" s="82">
        <v>7468</v>
      </c>
      <c r="U67" s="120"/>
      <c r="V67" s="32">
        <f t="shared" ref="V67:V69" si="154">M67</f>
        <v>8459</v>
      </c>
      <c r="W67" s="32">
        <f t="shared" ref="W67:W69" si="155">N67</f>
        <v>8460</v>
      </c>
      <c r="X67" s="32">
        <f t="shared" ref="X67:X69" si="156">O67</f>
        <v>8461</v>
      </c>
      <c r="Y67" s="32">
        <f t="shared" ref="Y67:Y69" si="157">P67</f>
        <v>8462</v>
      </c>
      <c r="Z67" s="32">
        <f t="shared" ref="Z67:Z69" si="158">Q67</f>
        <v>8463</v>
      </c>
      <c r="AA67" s="32">
        <f t="shared" ref="AA67:AA69" si="159">R67</f>
        <v>8464</v>
      </c>
      <c r="AB67" s="32">
        <f t="shared" ref="AB67:AB69" si="160">S67</f>
        <v>8466</v>
      </c>
      <c r="AC67" s="32">
        <f t="shared" ref="AC67:AC69" si="161">T67</f>
        <v>7468</v>
      </c>
      <c r="AD67" s="42"/>
      <c r="AE67" s="75">
        <f>SUM(AC67/Y67)-1</f>
        <v>-0.11746632001890811</v>
      </c>
    </row>
    <row r="68" spans="2:31" ht="12.75" customHeight="1">
      <c r="B68" s="119" t="s">
        <v>152</v>
      </c>
      <c r="C68" s="120">
        <v>561</v>
      </c>
      <c r="D68" s="120">
        <v>634</v>
      </c>
      <c r="E68" s="120">
        <v>741</v>
      </c>
      <c r="F68" s="120">
        <v>902</v>
      </c>
      <c r="G68" s="120">
        <v>1119</v>
      </c>
      <c r="H68" s="120">
        <v>1519</v>
      </c>
      <c r="I68" s="51"/>
      <c r="J68" s="82">
        <v>939</v>
      </c>
      <c r="K68" s="82">
        <v>1041</v>
      </c>
      <c r="L68" s="82">
        <v>1091</v>
      </c>
      <c r="M68" s="32">
        <f t="shared" si="152"/>
        <v>1119</v>
      </c>
      <c r="N68" s="82">
        <v>1281</v>
      </c>
      <c r="O68" s="82">
        <v>1304</v>
      </c>
      <c r="P68" s="82">
        <v>1490</v>
      </c>
      <c r="Q68" s="32">
        <f t="shared" si="153"/>
        <v>1519</v>
      </c>
      <c r="R68" s="82">
        <v>1521</v>
      </c>
      <c r="S68" s="82">
        <v>1831</v>
      </c>
      <c r="T68" s="82">
        <v>2014</v>
      </c>
      <c r="U68" s="120"/>
      <c r="V68" s="32">
        <f t="shared" si="154"/>
        <v>1119</v>
      </c>
      <c r="W68" s="32">
        <f t="shared" si="155"/>
        <v>1281</v>
      </c>
      <c r="X68" s="32">
        <f t="shared" si="156"/>
        <v>1304</v>
      </c>
      <c r="Y68" s="32">
        <f t="shared" si="157"/>
        <v>1490</v>
      </c>
      <c r="Z68" s="32">
        <f t="shared" si="158"/>
        <v>1519</v>
      </c>
      <c r="AA68" s="32">
        <f t="shared" si="159"/>
        <v>1521</v>
      </c>
      <c r="AB68" s="32">
        <f t="shared" si="160"/>
        <v>1831</v>
      </c>
      <c r="AC68" s="32">
        <f t="shared" si="161"/>
        <v>2014</v>
      </c>
      <c r="AD68" s="42"/>
      <c r="AE68" s="75">
        <f>SUM(AC68/Y68)-1</f>
        <v>0.35167785234899318</v>
      </c>
    </row>
    <row r="69" spans="2:31" ht="12.75" customHeight="1">
      <c r="B69" s="119" t="s">
        <v>153</v>
      </c>
      <c r="C69" s="120">
        <v>775</v>
      </c>
      <c r="D69" s="120">
        <v>1375</v>
      </c>
      <c r="E69" s="120">
        <v>1553</v>
      </c>
      <c r="F69" s="120">
        <v>1913</v>
      </c>
      <c r="G69" s="120">
        <v>2541</v>
      </c>
      <c r="H69" s="120">
        <v>4245</v>
      </c>
      <c r="I69" s="51"/>
      <c r="J69" s="82">
        <v>2037</v>
      </c>
      <c r="K69" s="82">
        <v>2223</v>
      </c>
      <c r="L69" s="82">
        <v>2234</v>
      </c>
      <c r="M69" s="32">
        <f t="shared" si="152"/>
        <v>2541</v>
      </c>
      <c r="N69" s="82">
        <v>2966</v>
      </c>
      <c r="O69" s="82">
        <v>3336</v>
      </c>
      <c r="P69" s="82">
        <v>3683</v>
      </c>
      <c r="Q69" s="32">
        <f t="shared" si="153"/>
        <v>4245</v>
      </c>
      <c r="R69" s="82">
        <v>4884</v>
      </c>
      <c r="S69" s="82">
        <v>6055</v>
      </c>
      <c r="T69" s="82">
        <v>6694</v>
      </c>
      <c r="U69" s="120"/>
      <c r="V69" s="32">
        <f t="shared" si="154"/>
        <v>2541</v>
      </c>
      <c r="W69" s="32">
        <f t="shared" si="155"/>
        <v>2966</v>
      </c>
      <c r="X69" s="32">
        <f t="shared" si="156"/>
        <v>3336</v>
      </c>
      <c r="Y69" s="32">
        <f t="shared" si="157"/>
        <v>3683</v>
      </c>
      <c r="Z69" s="32">
        <f t="shared" si="158"/>
        <v>4245</v>
      </c>
      <c r="AA69" s="32">
        <f t="shared" si="159"/>
        <v>4884</v>
      </c>
      <c r="AB69" s="32">
        <f t="shared" si="160"/>
        <v>6055</v>
      </c>
      <c r="AC69" s="32">
        <f t="shared" si="161"/>
        <v>6694</v>
      </c>
      <c r="AD69" s="42"/>
      <c r="AE69" s="75">
        <f>SUM(AC69/Y69)-1</f>
        <v>0.8175400488732012</v>
      </c>
    </row>
    <row r="70" spans="2:31" ht="12.75" customHeight="1">
      <c r="B70" s="13" t="s">
        <v>11</v>
      </c>
      <c r="C70" s="14">
        <f t="shared" ref="C70:H70" si="162">SUM(C67:C69)+C64</f>
        <v>5111</v>
      </c>
      <c r="D70" s="14">
        <f t="shared" si="162"/>
        <v>11898</v>
      </c>
      <c r="E70" s="14">
        <f t="shared" si="162"/>
        <v>17575</v>
      </c>
      <c r="F70" s="14">
        <f t="shared" si="162"/>
        <v>19081</v>
      </c>
      <c r="G70" s="14">
        <f t="shared" si="162"/>
        <v>22750</v>
      </c>
      <c r="H70" s="14">
        <f t="shared" si="162"/>
        <v>32274</v>
      </c>
      <c r="J70" s="14">
        <f t="shared" ref="J70:Q70" si="163">SUM(J67:J69)+J64</f>
        <v>19940</v>
      </c>
      <c r="K70" s="14">
        <f t="shared" si="163"/>
        <v>22054</v>
      </c>
      <c r="L70" s="14">
        <f t="shared" si="163"/>
        <v>20883</v>
      </c>
      <c r="M70" s="14">
        <f t="shared" si="163"/>
        <v>22750</v>
      </c>
      <c r="N70" s="14">
        <f t="shared" si="163"/>
        <v>27930</v>
      </c>
      <c r="O70" s="14">
        <f t="shared" si="163"/>
        <v>27070</v>
      </c>
      <c r="P70" s="14">
        <f t="shared" si="163"/>
        <v>30114</v>
      </c>
      <c r="Q70" s="14">
        <f t="shared" si="163"/>
        <v>32274</v>
      </c>
      <c r="R70" s="14">
        <f t="shared" ref="R70" si="164">SUM(R67:R69)+R64</f>
        <v>41411</v>
      </c>
      <c r="S70" s="14">
        <f t="shared" ref="S70" si="165">SUM(S67:S69)+S64</f>
        <v>40609</v>
      </c>
      <c r="T70" s="14">
        <f t="shared" ref="T70" si="166">SUM(T67:T69)+T64</f>
        <v>42251</v>
      </c>
      <c r="V70" s="14">
        <f t="shared" ref="V70:AC70" si="167">SUM(V67:V69)+V64</f>
        <v>22750</v>
      </c>
      <c r="W70" s="14">
        <f t="shared" si="167"/>
        <v>27930</v>
      </c>
      <c r="X70" s="14">
        <f t="shared" si="167"/>
        <v>27070</v>
      </c>
      <c r="Y70" s="14">
        <f t="shared" si="167"/>
        <v>30114</v>
      </c>
      <c r="Z70" s="14">
        <f t="shared" si="167"/>
        <v>32274</v>
      </c>
      <c r="AA70" s="14">
        <f t="shared" si="167"/>
        <v>41411</v>
      </c>
      <c r="AB70" s="14">
        <f t="shared" si="167"/>
        <v>40609</v>
      </c>
      <c r="AC70" s="14">
        <f t="shared" si="167"/>
        <v>42251</v>
      </c>
      <c r="AD70" s="42"/>
      <c r="AE70" s="76">
        <f>SUM(AC70/Y70)-1</f>
        <v>0.40303513316065609</v>
      </c>
    </row>
    <row r="71" spans="2:31" ht="5.0999999999999996" customHeight="1">
      <c r="B71" s="25"/>
      <c r="C71" s="49"/>
      <c r="D71" s="49"/>
      <c r="E71" s="49"/>
      <c r="F71" s="41"/>
      <c r="G71" s="41"/>
      <c r="H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V71" s="42"/>
      <c r="W71" s="42"/>
      <c r="X71" s="42"/>
      <c r="Y71" s="42"/>
      <c r="Z71" s="42"/>
      <c r="AA71" s="42"/>
      <c r="AB71" s="42"/>
      <c r="AC71" s="42"/>
      <c r="AD71" s="42"/>
      <c r="AE71" s="39"/>
    </row>
    <row r="72" spans="2:31" ht="12.75" customHeight="1">
      <c r="B72" s="9" t="s">
        <v>156</v>
      </c>
      <c r="C72" s="82">
        <v>0</v>
      </c>
      <c r="D72" s="82">
        <v>0</v>
      </c>
      <c r="E72" s="82">
        <v>0</v>
      </c>
      <c r="F72" s="82">
        <v>0</v>
      </c>
      <c r="G72" s="82">
        <v>0</v>
      </c>
      <c r="H72" s="82">
        <v>0</v>
      </c>
      <c r="I72" s="32"/>
      <c r="J72" s="82">
        <v>0</v>
      </c>
      <c r="K72" s="82">
        <v>0</v>
      </c>
      <c r="L72" s="82">
        <v>0</v>
      </c>
      <c r="M72" s="32">
        <f t="shared" ref="M72:M77" si="168">G72</f>
        <v>0</v>
      </c>
      <c r="N72" s="82">
        <v>0</v>
      </c>
      <c r="O72" s="82">
        <v>0</v>
      </c>
      <c r="P72" s="82">
        <v>0</v>
      </c>
      <c r="Q72" s="32">
        <f t="shared" ref="Q72:Q77" si="169">H72</f>
        <v>0</v>
      </c>
      <c r="R72" s="82">
        <v>0</v>
      </c>
      <c r="S72" s="82">
        <v>0</v>
      </c>
      <c r="T72" s="82">
        <v>0</v>
      </c>
      <c r="V72" s="32">
        <f t="shared" ref="V72:V77" si="170">M72</f>
        <v>0</v>
      </c>
      <c r="W72" s="32">
        <f t="shared" ref="W72:W77" si="171">N72</f>
        <v>0</v>
      </c>
      <c r="X72" s="32">
        <f t="shared" ref="X72:X77" si="172">O72</f>
        <v>0</v>
      </c>
      <c r="Y72" s="32">
        <f t="shared" ref="Y72:Y77" si="173">P72</f>
        <v>0</v>
      </c>
      <c r="Z72" s="32">
        <f t="shared" ref="Z72:Z77" si="174">Q72</f>
        <v>0</v>
      </c>
      <c r="AA72" s="32">
        <f t="shared" ref="AA72:AA77" si="175">R72</f>
        <v>0</v>
      </c>
      <c r="AB72" s="32">
        <f t="shared" ref="AB72:AB77" si="176">S72</f>
        <v>0</v>
      </c>
      <c r="AC72" s="32">
        <f t="shared" ref="AC72:AC77" si="177">T72</f>
        <v>0</v>
      </c>
      <c r="AD72" s="11"/>
      <c r="AE72" s="75" t="e">
        <f>SUM(AC72/Y72)-1</f>
        <v>#DIV/0!</v>
      </c>
    </row>
    <row r="73" spans="2:31" ht="12.75" customHeight="1">
      <c r="B73" s="9" t="s">
        <v>157</v>
      </c>
      <c r="C73" s="82">
        <v>1</v>
      </c>
      <c r="D73" s="82">
        <v>3</v>
      </c>
      <c r="E73" s="82">
        <v>3</v>
      </c>
      <c r="F73" s="82">
        <v>2</v>
      </c>
      <c r="G73" s="82">
        <v>25</v>
      </c>
      <c r="H73" s="82">
        <v>24</v>
      </c>
      <c r="I73" s="32"/>
      <c r="J73" s="82">
        <v>2</v>
      </c>
      <c r="K73" s="82">
        <v>2</v>
      </c>
      <c r="L73" s="82">
        <v>2</v>
      </c>
      <c r="M73" s="32">
        <f t="shared" si="168"/>
        <v>25</v>
      </c>
      <c r="N73" s="82">
        <v>2</v>
      </c>
      <c r="O73" s="82">
        <v>25</v>
      </c>
      <c r="P73" s="82">
        <v>25</v>
      </c>
      <c r="Q73" s="32">
        <f t="shared" si="169"/>
        <v>24</v>
      </c>
      <c r="R73" s="82">
        <v>24</v>
      </c>
      <c r="S73" s="82">
        <v>24</v>
      </c>
      <c r="T73" s="82">
        <v>24</v>
      </c>
      <c r="V73" s="32">
        <f t="shared" si="170"/>
        <v>25</v>
      </c>
      <c r="W73" s="32">
        <f t="shared" si="171"/>
        <v>2</v>
      </c>
      <c r="X73" s="32">
        <f t="shared" si="172"/>
        <v>25</v>
      </c>
      <c r="Y73" s="32">
        <f t="shared" si="173"/>
        <v>25</v>
      </c>
      <c r="Z73" s="32">
        <f t="shared" si="174"/>
        <v>24</v>
      </c>
      <c r="AA73" s="32">
        <f t="shared" si="175"/>
        <v>24</v>
      </c>
      <c r="AB73" s="32">
        <f t="shared" si="176"/>
        <v>24</v>
      </c>
      <c r="AC73" s="32">
        <f t="shared" si="177"/>
        <v>24</v>
      </c>
      <c r="AD73" s="11"/>
      <c r="AE73" s="75">
        <f>SUM(AC73/Y73)-1</f>
        <v>-4.0000000000000036E-2</v>
      </c>
    </row>
    <row r="74" spans="2:31" ht="12.75" customHeight="1">
      <c r="B74" s="9" t="s">
        <v>154</v>
      </c>
      <c r="C74" s="82">
        <v>7045</v>
      </c>
      <c r="D74" s="82">
        <v>8719</v>
      </c>
      <c r="E74" s="82">
        <v>10385</v>
      </c>
      <c r="F74" s="82">
        <v>11971</v>
      </c>
      <c r="G74" s="82">
        <v>13109</v>
      </c>
      <c r="H74" s="82">
        <v>11237</v>
      </c>
      <c r="I74" s="32"/>
      <c r="J74" s="82">
        <v>12453</v>
      </c>
      <c r="K74" s="82">
        <v>12629</v>
      </c>
      <c r="L74" s="82">
        <v>12991</v>
      </c>
      <c r="M74" s="32">
        <f t="shared" si="168"/>
        <v>13109</v>
      </c>
      <c r="N74" s="82">
        <v>12651</v>
      </c>
      <c r="O74" s="82">
        <v>12115</v>
      </c>
      <c r="P74" s="82">
        <v>11821</v>
      </c>
      <c r="Q74" s="32">
        <f t="shared" si="169"/>
        <v>11237</v>
      </c>
      <c r="R74" s="82">
        <v>11475</v>
      </c>
      <c r="S74" s="82">
        <v>11200</v>
      </c>
      <c r="T74" s="82">
        <v>10626</v>
      </c>
      <c r="V74" s="32">
        <f t="shared" si="170"/>
        <v>13109</v>
      </c>
      <c r="W74" s="32">
        <f t="shared" si="171"/>
        <v>12651</v>
      </c>
      <c r="X74" s="32">
        <f t="shared" si="172"/>
        <v>12115</v>
      </c>
      <c r="Y74" s="32">
        <f t="shared" si="173"/>
        <v>11821</v>
      </c>
      <c r="Z74" s="32">
        <f t="shared" si="174"/>
        <v>11237</v>
      </c>
      <c r="AA74" s="32">
        <f t="shared" si="175"/>
        <v>11475</v>
      </c>
      <c r="AB74" s="32">
        <f t="shared" si="176"/>
        <v>11200</v>
      </c>
      <c r="AC74" s="32">
        <f t="shared" si="177"/>
        <v>10626</v>
      </c>
      <c r="AD74" s="11"/>
      <c r="AE74" s="75">
        <f>SUM(AC74/Y74)-1</f>
        <v>-0.10109127823365194</v>
      </c>
    </row>
    <row r="75" spans="2:31" ht="12.75" customHeight="1">
      <c r="B75" s="9" t="s">
        <v>179</v>
      </c>
      <c r="C75" s="82">
        <v>-9814</v>
      </c>
      <c r="D75" s="82">
        <v>-10756</v>
      </c>
      <c r="E75" s="82">
        <v>0</v>
      </c>
      <c r="F75" s="82">
        <v>0</v>
      </c>
      <c r="G75" s="82">
        <v>0</v>
      </c>
      <c r="H75" s="82">
        <v>0</v>
      </c>
      <c r="I75" s="32"/>
      <c r="J75" s="82">
        <v>0</v>
      </c>
      <c r="K75" s="82">
        <v>0</v>
      </c>
      <c r="L75" s="82">
        <v>0</v>
      </c>
      <c r="M75" s="32">
        <f t="shared" si="168"/>
        <v>0</v>
      </c>
      <c r="N75" s="82">
        <v>0</v>
      </c>
      <c r="O75" s="82">
        <v>0</v>
      </c>
      <c r="P75" s="82">
        <v>0</v>
      </c>
      <c r="Q75" s="32">
        <f t="shared" si="169"/>
        <v>0</v>
      </c>
      <c r="R75" s="82">
        <v>0</v>
      </c>
      <c r="S75" s="82">
        <v>0</v>
      </c>
      <c r="T75" s="82">
        <v>0</v>
      </c>
      <c r="V75" s="32">
        <f t="shared" si="170"/>
        <v>0</v>
      </c>
      <c r="W75" s="32">
        <f t="shared" si="171"/>
        <v>0</v>
      </c>
      <c r="X75" s="32">
        <f t="shared" si="172"/>
        <v>0</v>
      </c>
      <c r="Y75" s="32">
        <f t="shared" si="173"/>
        <v>0</v>
      </c>
      <c r="Z75" s="32">
        <f t="shared" si="174"/>
        <v>0</v>
      </c>
      <c r="AA75" s="32">
        <f t="shared" si="175"/>
        <v>0</v>
      </c>
      <c r="AB75" s="32">
        <f t="shared" si="176"/>
        <v>0</v>
      </c>
      <c r="AC75" s="32">
        <f t="shared" si="177"/>
        <v>0</v>
      </c>
      <c r="AD75" s="11"/>
      <c r="AE75" s="75"/>
    </row>
    <row r="76" spans="2:31" ht="12.75" customHeight="1">
      <c r="B76" s="9" t="s">
        <v>155</v>
      </c>
      <c r="C76" s="82">
        <v>1</v>
      </c>
      <c r="D76" s="82">
        <v>19</v>
      </c>
      <c r="E76" s="82">
        <v>-11</v>
      </c>
      <c r="F76" s="82">
        <v>-43</v>
      </c>
      <c r="G76" s="82">
        <v>27</v>
      </c>
      <c r="H76" s="82">
        <v>28</v>
      </c>
      <c r="I76" s="32"/>
      <c r="J76" s="82">
        <v>-50</v>
      </c>
      <c r="K76" s="82">
        <v>-51</v>
      </c>
      <c r="L76" s="82">
        <v>-88</v>
      </c>
      <c r="M76" s="32">
        <f t="shared" si="168"/>
        <v>27</v>
      </c>
      <c r="N76" s="82">
        <v>-109</v>
      </c>
      <c r="O76" s="82">
        <v>56</v>
      </c>
      <c r="P76" s="82">
        <v>103</v>
      </c>
      <c r="Q76" s="32">
        <f t="shared" si="169"/>
        <v>28</v>
      </c>
      <c r="R76" s="82">
        <v>186</v>
      </c>
      <c r="S76" s="82">
        <v>170</v>
      </c>
      <c r="T76" s="82">
        <v>339</v>
      </c>
      <c r="V76" s="32">
        <f t="shared" si="170"/>
        <v>27</v>
      </c>
      <c r="W76" s="32">
        <f t="shared" si="171"/>
        <v>-109</v>
      </c>
      <c r="X76" s="32">
        <f t="shared" si="172"/>
        <v>56</v>
      </c>
      <c r="Y76" s="32">
        <f t="shared" si="173"/>
        <v>103</v>
      </c>
      <c r="Z76" s="32">
        <f t="shared" si="174"/>
        <v>28</v>
      </c>
      <c r="AA76" s="32">
        <f t="shared" si="175"/>
        <v>186</v>
      </c>
      <c r="AB76" s="32">
        <f t="shared" si="176"/>
        <v>170</v>
      </c>
      <c r="AC76" s="32">
        <f t="shared" si="177"/>
        <v>339</v>
      </c>
      <c r="AD76" s="11"/>
      <c r="AE76" s="75">
        <f>SUM(AC76/Y76)-1</f>
        <v>2.29126213592233</v>
      </c>
    </row>
    <row r="77" spans="2:31" ht="12.75" customHeight="1">
      <c r="B77" s="9" t="s">
        <v>110</v>
      </c>
      <c r="C77" s="82">
        <v>14971</v>
      </c>
      <c r="D77" s="82">
        <v>18908</v>
      </c>
      <c r="E77" s="82">
        <v>16235</v>
      </c>
      <c r="F77" s="82">
        <v>10171</v>
      </c>
      <c r="G77" s="82">
        <v>29817</v>
      </c>
      <c r="H77" s="82">
        <v>68038</v>
      </c>
      <c r="I77" s="32"/>
      <c r="J77" s="82">
        <v>12115</v>
      </c>
      <c r="K77" s="82">
        <v>14921</v>
      </c>
      <c r="L77" s="82">
        <v>20360</v>
      </c>
      <c r="M77" s="32">
        <f t="shared" si="168"/>
        <v>29817</v>
      </c>
      <c r="N77" s="82">
        <v>36598</v>
      </c>
      <c r="O77" s="82">
        <v>45961</v>
      </c>
      <c r="P77" s="82">
        <v>53950</v>
      </c>
      <c r="Q77" s="32">
        <f t="shared" si="169"/>
        <v>68038</v>
      </c>
      <c r="R77" s="82">
        <v>72158</v>
      </c>
      <c r="S77" s="82">
        <v>88737</v>
      </c>
      <c r="T77" s="82">
        <v>107908</v>
      </c>
      <c r="V77" s="32">
        <f t="shared" si="170"/>
        <v>29817</v>
      </c>
      <c r="W77" s="32">
        <f t="shared" si="171"/>
        <v>36598</v>
      </c>
      <c r="X77" s="32">
        <f t="shared" si="172"/>
        <v>45961</v>
      </c>
      <c r="Y77" s="32">
        <f t="shared" si="173"/>
        <v>53950</v>
      </c>
      <c r="Z77" s="32">
        <f t="shared" si="174"/>
        <v>68038</v>
      </c>
      <c r="AA77" s="32">
        <f t="shared" si="175"/>
        <v>72158</v>
      </c>
      <c r="AB77" s="32">
        <f t="shared" si="176"/>
        <v>88737</v>
      </c>
      <c r="AC77" s="32">
        <f t="shared" si="177"/>
        <v>107908</v>
      </c>
      <c r="AD77" s="11"/>
      <c r="AE77" s="75">
        <f>SUM(AC77/Y77)-1</f>
        <v>1.0001482854494901</v>
      </c>
    </row>
    <row r="78" spans="2:31" ht="12.75" customHeight="1">
      <c r="B78" s="13" t="s">
        <v>10</v>
      </c>
      <c r="C78" s="14">
        <f>SUM(C72:C77)</f>
        <v>12204</v>
      </c>
      <c r="D78" s="14">
        <f>SUM(D72:D77)</f>
        <v>16893</v>
      </c>
      <c r="E78" s="14">
        <f>SUM(E72:E77)</f>
        <v>26612</v>
      </c>
      <c r="F78" s="14">
        <f>SUM(F72:F77)</f>
        <v>22101</v>
      </c>
      <c r="G78" s="14">
        <f>SUM(G72:G77)</f>
        <v>42978</v>
      </c>
      <c r="H78" s="14">
        <f>SUM(H72:H77)</f>
        <v>79327</v>
      </c>
      <c r="I78" s="52"/>
      <c r="J78" s="14">
        <f>SUM(J72:J77)</f>
        <v>24520</v>
      </c>
      <c r="K78" s="14">
        <f>SUM(K72:K77)</f>
        <v>27501</v>
      </c>
      <c r="L78" s="14">
        <f>SUM(L72:L77)</f>
        <v>33265</v>
      </c>
      <c r="M78" s="14">
        <f>SUM(M72:M77)</f>
        <v>42978</v>
      </c>
      <c r="N78" s="14">
        <f>SUM(N72:N77)</f>
        <v>49142</v>
      </c>
      <c r="O78" s="14">
        <f>SUM(O72:O77)</f>
        <v>58157</v>
      </c>
      <c r="P78" s="14">
        <f>SUM(P72:P77)</f>
        <v>65899</v>
      </c>
      <c r="Q78" s="14">
        <f>SUM(Q72:Q77)</f>
        <v>79327</v>
      </c>
      <c r="R78" s="14">
        <f>SUM(R72:R77)</f>
        <v>83843</v>
      </c>
      <c r="S78" s="14">
        <f>SUM(S72:S77)</f>
        <v>100131</v>
      </c>
      <c r="T78" s="14">
        <f>SUM(T72:T77)</f>
        <v>118897</v>
      </c>
      <c r="V78" s="14">
        <f>SUM(V72:V77)</f>
        <v>42978</v>
      </c>
      <c r="W78" s="14">
        <f>SUM(W72:W77)</f>
        <v>49142</v>
      </c>
      <c r="X78" s="14">
        <f>SUM(X72:X77)</f>
        <v>58157</v>
      </c>
      <c r="Y78" s="14">
        <f>SUM(Y72:Y77)</f>
        <v>65899</v>
      </c>
      <c r="Z78" s="14">
        <f>SUM(Z72:Z77)</f>
        <v>79327</v>
      </c>
      <c r="AA78" s="14">
        <f>SUM(AA72:AA77)</f>
        <v>83843</v>
      </c>
      <c r="AB78" s="14">
        <f>SUM(AB72:AB77)</f>
        <v>100131</v>
      </c>
      <c r="AC78" s="14">
        <f>SUM(AC72:AC77)</f>
        <v>118897</v>
      </c>
      <c r="AD78" s="42"/>
      <c r="AE78" s="75">
        <f>SUM(AC78/Y78)-1</f>
        <v>0.80423071670283308</v>
      </c>
    </row>
    <row r="79" spans="2:31" ht="12.75" customHeight="1">
      <c r="B79" s="25" t="s">
        <v>45</v>
      </c>
      <c r="C79" s="32">
        <f>SUM(C78+C70)</f>
        <v>17315</v>
      </c>
      <c r="D79" s="32">
        <f>SUM(D78+D70)</f>
        <v>28791</v>
      </c>
      <c r="E79" s="32">
        <f>SUM(E78+E70)</f>
        <v>44187</v>
      </c>
      <c r="F79" s="32">
        <f>SUM(F78+F70)</f>
        <v>41182</v>
      </c>
      <c r="G79" s="32">
        <f>SUM(G78+G70)</f>
        <v>65728</v>
      </c>
      <c r="H79" s="32">
        <f>SUM(H78+H70)</f>
        <v>111601</v>
      </c>
      <c r="I79" s="32"/>
      <c r="J79" s="32">
        <f>SUM(J78+J70)</f>
        <v>44460</v>
      </c>
      <c r="K79" s="32">
        <f>SUM(K78+K70)</f>
        <v>49555</v>
      </c>
      <c r="L79" s="32">
        <f>SUM(L78+L70)</f>
        <v>54148</v>
      </c>
      <c r="M79" s="32">
        <f>SUM(M78+M70)</f>
        <v>65728</v>
      </c>
      <c r="N79" s="32">
        <f>SUM(N78+N70)</f>
        <v>77072</v>
      </c>
      <c r="O79" s="32">
        <f>SUM(O78+O70)</f>
        <v>85227</v>
      </c>
      <c r="P79" s="32">
        <f>SUM(P78+P70)</f>
        <v>96013</v>
      </c>
      <c r="Q79" s="32">
        <f>SUM(Q78+Q70)</f>
        <v>111601</v>
      </c>
      <c r="R79" s="32">
        <f>SUM(R78+R70)</f>
        <v>125254</v>
      </c>
      <c r="S79" s="32">
        <f>SUM(S78+S70)</f>
        <v>140740</v>
      </c>
      <c r="T79" s="32">
        <f>SUM(T78+T70)</f>
        <v>161148</v>
      </c>
      <c r="U79" s="32"/>
      <c r="V79" s="32">
        <f>SUM(V78+V70)</f>
        <v>65728</v>
      </c>
      <c r="W79" s="32">
        <f>SUM(W78+W70)</f>
        <v>77072</v>
      </c>
      <c r="X79" s="32">
        <f>SUM(X78+X70)</f>
        <v>85227</v>
      </c>
      <c r="Y79" s="32">
        <f>SUM(Y78+Y70)</f>
        <v>96013</v>
      </c>
      <c r="Z79" s="32">
        <f>SUM(Z78+Z70)</f>
        <v>111601</v>
      </c>
      <c r="AA79" s="32">
        <f>SUM(AA78+AA70)</f>
        <v>125254</v>
      </c>
      <c r="AB79" s="32">
        <f>SUM(AB78+AB70)</f>
        <v>140740</v>
      </c>
      <c r="AC79" s="32">
        <f>SUM(AC78+AC70)</f>
        <v>161148</v>
      </c>
      <c r="AD79" s="11"/>
      <c r="AE79" s="76">
        <f>SUM(AC79/Y79)-1</f>
        <v>0.67839771697582618</v>
      </c>
    </row>
    <row r="80" spans="2:31" ht="5.0999999999999996" customHeight="1">
      <c r="B80" s="25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11"/>
    </row>
    <row r="81" spans="1:31" ht="12.75" customHeight="1">
      <c r="B81" s="137" t="s">
        <v>54</v>
      </c>
      <c r="C81" s="69">
        <f>C79-C58</f>
        <v>0</v>
      </c>
      <c r="D81" s="69">
        <f>D79-D58</f>
        <v>0</v>
      </c>
      <c r="E81" s="69">
        <f>E79-E58</f>
        <v>0</v>
      </c>
      <c r="F81" s="69">
        <f>F79-F58</f>
        <v>0</v>
      </c>
      <c r="G81" s="69">
        <f>G79-G58</f>
        <v>0</v>
      </c>
      <c r="H81" s="69">
        <f>H79-H58</f>
        <v>0</v>
      </c>
      <c r="I81" s="70"/>
      <c r="J81" s="69">
        <f>J79-J58</f>
        <v>0</v>
      </c>
      <c r="K81" s="69">
        <f>K79-K58</f>
        <v>0</v>
      </c>
      <c r="L81" s="69">
        <f>L79-L58</f>
        <v>0</v>
      </c>
      <c r="M81" s="69">
        <f>M79-M58</f>
        <v>0</v>
      </c>
      <c r="N81" s="69">
        <f>N79-N58</f>
        <v>0</v>
      </c>
      <c r="O81" s="69">
        <f>O79-O58</f>
        <v>0</v>
      </c>
      <c r="P81" s="69">
        <f>P79-P58</f>
        <v>0</v>
      </c>
      <c r="Q81" s="69">
        <f>Q79-Q58</f>
        <v>0</v>
      </c>
      <c r="R81" s="69">
        <f>R79-R58</f>
        <v>0</v>
      </c>
      <c r="S81" s="69">
        <f>S79-S58</f>
        <v>0</v>
      </c>
      <c r="T81" s="69">
        <f>T79-T58</f>
        <v>0</v>
      </c>
      <c r="U81" s="28"/>
      <c r="V81" s="69">
        <f>V79-V58</f>
        <v>0</v>
      </c>
      <c r="W81" s="69">
        <f>W79-W58</f>
        <v>0</v>
      </c>
      <c r="X81" s="69">
        <f>X79-X58</f>
        <v>0</v>
      </c>
      <c r="Y81" s="69">
        <f>Y79-Y58</f>
        <v>0</v>
      </c>
      <c r="Z81" s="69">
        <f>Z79-Z58</f>
        <v>0</v>
      </c>
      <c r="AA81" s="69">
        <f>AA79-AA58</f>
        <v>0</v>
      </c>
      <c r="AB81" s="69">
        <f>AB79-AB58</f>
        <v>0</v>
      </c>
      <c r="AC81" s="69">
        <f>AC79-AC58</f>
        <v>0</v>
      </c>
    </row>
    <row r="82" spans="1:31" ht="5.0999999999999996" customHeight="1" thickBot="1">
      <c r="B82" s="115"/>
      <c r="C82" s="116"/>
      <c r="D82" s="116"/>
      <c r="E82" s="116"/>
      <c r="F82" s="116"/>
      <c r="G82" s="116"/>
      <c r="H82" s="116"/>
      <c r="I82" s="117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8"/>
      <c r="V82" s="116"/>
      <c r="W82" s="116"/>
      <c r="X82" s="116"/>
      <c r="Y82" s="116"/>
      <c r="Z82" s="116"/>
      <c r="AA82" s="116"/>
      <c r="AB82" s="116"/>
      <c r="AC82" s="116"/>
      <c r="AD82" s="73"/>
      <c r="AE82" s="73"/>
    </row>
    <row r="83" spans="1:31">
      <c r="B83" s="68"/>
      <c r="C83" s="53"/>
      <c r="D83" s="53"/>
      <c r="E83" s="24"/>
      <c r="F83" s="24"/>
      <c r="G83" s="24"/>
      <c r="H83" s="24"/>
      <c r="I83" s="53"/>
    </row>
    <row r="84" spans="1:31" ht="12.75" customHeight="1">
      <c r="A84" s="5" t="s">
        <v>12</v>
      </c>
      <c r="B84" s="97" t="s">
        <v>9</v>
      </c>
      <c r="C84" s="101" t="s">
        <v>0</v>
      </c>
      <c r="D84" s="101" t="s">
        <v>0</v>
      </c>
      <c r="E84" s="101"/>
      <c r="F84" s="101"/>
      <c r="G84" s="101"/>
      <c r="H84" s="101"/>
      <c r="I84" s="102"/>
      <c r="J84" s="101"/>
      <c r="K84" s="101"/>
      <c r="L84" s="101" t="s">
        <v>1</v>
      </c>
      <c r="M84" s="101"/>
      <c r="N84" s="101"/>
      <c r="O84" s="101"/>
      <c r="P84" s="101"/>
      <c r="Q84" s="101"/>
      <c r="R84" s="101"/>
      <c r="S84" s="101"/>
      <c r="T84" s="101"/>
      <c r="U84" s="97"/>
      <c r="V84" s="101"/>
      <c r="W84" s="101"/>
      <c r="X84" s="101" t="s">
        <v>6</v>
      </c>
      <c r="Y84" s="101" t="s">
        <v>6</v>
      </c>
      <c r="Z84" s="101"/>
      <c r="AA84" s="101"/>
      <c r="AB84" s="101"/>
      <c r="AC84" s="101"/>
      <c r="AD84" s="102"/>
      <c r="AE84" s="163" t="s">
        <v>18</v>
      </c>
    </row>
    <row r="85" spans="1:31" ht="12.75" customHeight="1">
      <c r="B85" s="98" t="str">
        <f>B7</f>
        <v>Fiscal Period</v>
      </c>
      <c r="C85" s="103">
        <f>C7</f>
        <v>2020</v>
      </c>
      <c r="D85" s="103">
        <f>D7</f>
        <v>2021</v>
      </c>
      <c r="E85" s="103">
        <f>E7</f>
        <v>2022</v>
      </c>
      <c r="F85" s="103">
        <f>F7</f>
        <v>2023</v>
      </c>
      <c r="G85" s="103">
        <f>G7</f>
        <v>2024</v>
      </c>
      <c r="H85" s="103">
        <f>H7</f>
        <v>2025</v>
      </c>
      <c r="I85" s="102"/>
      <c r="J85" s="103" t="str">
        <f>J7</f>
        <v>1Q24</v>
      </c>
      <c r="K85" s="103" t="str">
        <f>K7</f>
        <v>2Q24</v>
      </c>
      <c r="L85" s="103" t="str">
        <f>L7</f>
        <v>3Q24</v>
      </c>
      <c r="M85" s="103" t="str">
        <f>M7</f>
        <v>4Q24</v>
      </c>
      <c r="N85" s="103" t="str">
        <f>N7</f>
        <v>1Q25</v>
      </c>
      <c r="O85" s="103" t="str">
        <f>O7</f>
        <v>2Q25</v>
      </c>
      <c r="P85" s="103" t="str">
        <f>P7</f>
        <v>3Q25</v>
      </c>
      <c r="Q85" s="103" t="str">
        <f>Q7</f>
        <v>4Q25</v>
      </c>
      <c r="R85" s="103" t="str">
        <f>R7</f>
        <v>1Q26</v>
      </c>
      <c r="S85" s="103" t="str">
        <f>S7</f>
        <v>2Q26</v>
      </c>
      <c r="T85" s="103" t="str">
        <f>T7</f>
        <v>3Q26</v>
      </c>
      <c r="U85" s="103"/>
      <c r="V85" s="103" t="str">
        <f>V7</f>
        <v>4Q24</v>
      </c>
      <c r="W85" s="103" t="str">
        <f>W7</f>
        <v>1Q25</v>
      </c>
      <c r="X85" s="103" t="str">
        <f>X7</f>
        <v>2Q25</v>
      </c>
      <c r="Y85" s="103" t="str">
        <f>Y7</f>
        <v>3Q25</v>
      </c>
      <c r="Z85" s="103" t="str">
        <f>Z7</f>
        <v>4Q25</v>
      </c>
      <c r="AA85" s="103" t="str">
        <f>AA7</f>
        <v>1Q26</v>
      </c>
      <c r="AB85" s="103" t="str">
        <f>AB7</f>
        <v>2Q26</v>
      </c>
      <c r="AC85" s="103" t="str">
        <f>AC7</f>
        <v>3Q26</v>
      </c>
      <c r="AD85" s="102"/>
      <c r="AE85" s="163"/>
    </row>
    <row r="86" spans="1:31" ht="12.75" customHeight="1">
      <c r="B86" s="98" t="str">
        <f>B8</f>
        <v>Fiscal Period End Date</v>
      </c>
      <c r="C86" s="104">
        <f>C8</f>
        <v>43856</v>
      </c>
      <c r="D86" s="104">
        <f>D8</f>
        <v>44227</v>
      </c>
      <c r="E86" s="104">
        <f>E8</f>
        <v>44956</v>
      </c>
      <c r="F86" s="104">
        <f>F8</f>
        <v>44955</v>
      </c>
      <c r="G86" s="104">
        <f>G8</f>
        <v>45319</v>
      </c>
      <c r="H86" s="104">
        <f>H8</f>
        <v>45683</v>
      </c>
      <c r="I86" s="102"/>
      <c r="J86" s="104">
        <f>J8</f>
        <v>45046</v>
      </c>
      <c r="K86" s="104">
        <f>K8</f>
        <v>45137</v>
      </c>
      <c r="L86" s="104">
        <f>L8</f>
        <v>45228</v>
      </c>
      <c r="M86" s="104">
        <f>M8</f>
        <v>45319</v>
      </c>
      <c r="N86" s="104">
        <f>N8</f>
        <v>45410</v>
      </c>
      <c r="O86" s="104">
        <f>O8</f>
        <v>45501</v>
      </c>
      <c r="P86" s="104">
        <f>P8</f>
        <v>45592</v>
      </c>
      <c r="Q86" s="104">
        <f>Q8</f>
        <v>45683</v>
      </c>
      <c r="R86" s="104">
        <f>R8</f>
        <v>45774</v>
      </c>
      <c r="S86" s="104">
        <f>S8</f>
        <v>45865</v>
      </c>
      <c r="T86" s="104">
        <f>T8</f>
        <v>45956</v>
      </c>
      <c r="U86" s="104"/>
      <c r="V86" s="104">
        <f>V8</f>
        <v>45319</v>
      </c>
      <c r="W86" s="104">
        <f>W8</f>
        <v>45410</v>
      </c>
      <c r="X86" s="104">
        <f>X8</f>
        <v>45501</v>
      </c>
      <c r="Y86" s="104">
        <f>Y8</f>
        <v>45592</v>
      </c>
      <c r="Z86" s="104">
        <f>Z8</f>
        <v>45683</v>
      </c>
      <c r="AA86" s="104">
        <f>AA8</f>
        <v>45774</v>
      </c>
      <c r="AB86" s="104">
        <f>AB8</f>
        <v>45865</v>
      </c>
      <c r="AC86" s="104">
        <f>AC8</f>
        <v>45956</v>
      </c>
      <c r="AD86" s="102"/>
      <c r="AE86" s="163"/>
    </row>
    <row r="87" spans="1:31" ht="5.0999999999999996" customHeight="1">
      <c r="B87" s="54"/>
      <c r="C87" s="47"/>
      <c r="D87" s="47"/>
      <c r="E87" s="47"/>
      <c r="F87" s="47"/>
      <c r="G87" s="47"/>
      <c r="H87" s="47"/>
    </row>
    <row r="88" spans="1:31" ht="12.75" customHeight="1">
      <c r="B88" s="55" t="s">
        <v>46</v>
      </c>
      <c r="C88" s="56"/>
      <c r="D88" s="56"/>
      <c r="E88" s="56"/>
      <c r="F88" s="56"/>
      <c r="G88" s="56"/>
      <c r="H88" s="56"/>
    </row>
    <row r="89" spans="1:31" ht="12.75" customHeight="1">
      <c r="B89" s="57" t="s">
        <v>102</v>
      </c>
      <c r="C89" s="32">
        <f>C30</f>
        <v>2796</v>
      </c>
      <c r="D89" s="32">
        <f>D30</f>
        <v>4332</v>
      </c>
      <c r="E89" s="32">
        <f>E30</f>
        <v>9752</v>
      </c>
      <c r="F89" s="32">
        <f>F30</f>
        <v>4368</v>
      </c>
      <c r="G89" s="32">
        <f>G30</f>
        <v>29760</v>
      </c>
      <c r="H89" s="32">
        <f>H30</f>
        <v>72880</v>
      </c>
      <c r="I89" s="32"/>
      <c r="J89" s="32">
        <f>J30</f>
        <v>2043</v>
      </c>
      <c r="K89" s="32">
        <f>K30</f>
        <v>6188</v>
      </c>
      <c r="L89" s="32">
        <f>L30</f>
        <v>9243</v>
      </c>
      <c r="M89" s="32">
        <f>M30</f>
        <v>12286</v>
      </c>
      <c r="N89" s="32">
        <f>N30</f>
        <v>14881</v>
      </c>
      <c r="O89" s="32">
        <f>O30</f>
        <v>16599</v>
      </c>
      <c r="P89" s="32">
        <f>P30</f>
        <v>19309</v>
      </c>
      <c r="Q89" s="32">
        <f>Q30</f>
        <v>22091</v>
      </c>
      <c r="R89" s="32">
        <f>R30</f>
        <v>18775</v>
      </c>
      <c r="S89" s="32">
        <f>S30</f>
        <v>26422</v>
      </c>
      <c r="T89" s="32">
        <f>T30</f>
        <v>31910</v>
      </c>
      <c r="U89" s="32"/>
      <c r="V89" s="32">
        <f>V30</f>
        <v>29780</v>
      </c>
      <c r="W89" s="32">
        <f>W30</f>
        <v>42526</v>
      </c>
      <c r="X89" s="32">
        <f>X30</f>
        <v>52803</v>
      </c>
      <c r="Y89" s="32">
        <f>Y30</f>
        <v>63075</v>
      </c>
      <c r="Z89" s="32">
        <f>Z30</f>
        <v>72880</v>
      </c>
      <c r="AA89" s="32">
        <f>AA30</f>
        <v>76774</v>
      </c>
      <c r="AB89" s="32">
        <f>AB30</f>
        <v>86597</v>
      </c>
      <c r="AC89" s="32">
        <f>AC30</f>
        <v>99198</v>
      </c>
      <c r="AD89" s="11"/>
      <c r="AE89" s="75">
        <f>SUM(AC89/Y89)-1</f>
        <v>0.57269916765755058</v>
      </c>
    </row>
    <row r="90" spans="1:31" ht="5.0999999999999996" customHeight="1"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V90" s="32"/>
      <c r="W90" s="32"/>
      <c r="X90" s="32"/>
      <c r="Y90" s="32"/>
      <c r="Z90" s="32"/>
      <c r="AA90" s="32"/>
      <c r="AB90" s="32"/>
      <c r="AC90" s="32"/>
      <c r="AD90" s="11"/>
      <c r="AE90" s="75"/>
    </row>
    <row r="91" spans="1:31" ht="12.75" customHeight="1">
      <c r="B91" s="36" t="s">
        <v>53</v>
      </c>
      <c r="C91" s="32"/>
      <c r="D91" s="32"/>
      <c r="E91" s="32"/>
      <c r="F91" s="32"/>
      <c r="G91" s="32"/>
      <c r="H91" s="32"/>
      <c r="I91" s="32"/>
      <c r="J91" s="82"/>
      <c r="K91" s="82"/>
      <c r="L91" s="82"/>
      <c r="M91" s="32"/>
      <c r="N91" s="82"/>
      <c r="O91" s="82"/>
      <c r="P91" s="82"/>
      <c r="Q91" s="82"/>
      <c r="R91" s="82"/>
      <c r="S91" s="82"/>
      <c r="T91" s="82"/>
      <c r="V91" s="32"/>
      <c r="W91" s="32"/>
      <c r="X91" s="32"/>
      <c r="Y91" s="32"/>
      <c r="Z91" s="32"/>
      <c r="AA91" s="32"/>
      <c r="AB91" s="32"/>
      <c r="AC91" s="32"/>
      <c r="AD91" s="59"/>
      <c r="AE91" s="75"/>
    </row>
    <row r="92" spans="1:31" ht="12.75" customHeight="1">
      <c r="B92" s="60" t="s">
        <v>159</v>
      </c>
      <c r="C92" s="82">
        <v>844</v>
      </c>
      <c r="D92" s="82">
        <v>1397</v>
      </c>
      <c r="E92" s="82">
        <v>2004</v>
      </c>
      <c r="F92" s="82">
        <v>2709</v>
      </c>
      <c r="G92" s="82">
        <v>3549</v>
      </c>
      <c r="H92" s="82">
        <v>4737</v>
      </c>
      <c r="I92" s="32"/>
      <c r="J92" s="82">
        <v>735</v>
      </c>
      <c r="K92" s="82">
        <f>1576-J92</f>
        <v>841</v>
      </c>
      <c r="L92" s="82">
        <f>2555-K92-J92</f>
        <v>979</v>
      </c>
      <c r="M92" s="32">
        <f>SUM(G92-SUM(J92:L92))</f>
        <v>994</v>
      </c>
      <c r="N92" s="82">
        <v>1011</v>
      </c>
      <c r="O92" s="82">
        <f>2164-N92</f>
        <v>1153</v>
      </c>
      <c r="P92" s="82">
        <f>3416-O92-N92</f>
        <v>1252</v>
      </c>
      <c r="Q92" s="32">
        <f>SUM(H92-SUM(N92:P92))</f>
        <v>1321</v>
      </c>
      <c r="R92" s="82">
        <v>1474</v>
      </c>
      <c r="S92" s="82">
        <f>3099-R92</f>
        <v>1625</v>
      </c>
      <c r="T92" s="82">
        <f>4753-S92-R92</f>
        <v>1654</v>
      </c>
      <c r="V92" s="32">
        <f t="shared" ref="V92:V96" si="178">SUM(J92:M92)</f>
        <v>3549</v>
      </c>
      <c r="W92" s="32">
        <f t="shared" ref="W92:W96" si="179">SUM(K92:N92)</f>
        <v>3825</v>
      </c>
      <c r="X92" s="32">
        <f t="shared" ref="X92:X96" si="180">SUM(L92:O92)</f>
        <v>4137</v>
      </c>
      <c r="Y92" s="32">
        <f t="shared" ref="Y92:Y96" si="181">SUM(M92:P92)</f>
        <v>4410</v>
      </c>
      <c r="Z92" s="32">
        <f t="shared" ref="Z92:Z96" si="182">SUM(N92:Q92)</f>
        <v>4737</v>
      </c>
      <c r="AA92" s="32">
        <f t="shared" ref="AA92:AA96" si="183">SUM(O92:R92)</f>
        <v>5200</v>
      </c>
      <c r="AB92" s="32">
        <f t="shared" ref="AB92:AB96" si="184">SUM(P92:S92)</f>
        <v>5672</v>
      </c>
      <c r="AC92" s="32">
        <f t="shared" ref="AC92:AC96" si="185">SUM(Q92:T92)</f>
        <v>6074</v>
      </c>
      <c r="AD92" s="11"/>
      <c r="AE92" s="75">
        <f>SUM(AC92/Y92)-1</f>
        <v>0.37732426303854871</v>
      </c>
    </row>
    <row r="93" spans="1:31" ht="12.75" customHeight="1">
      <c r="B93" s="60" t="s">
        <v>160</v>
      </c>
      <c r="C93" s="82">
        <v>381</v>
      </c>
      <c r="D93" s="82">
        <v>1098</v>
      </c>
      <c r="E93" s="82">
        <v>1174</v>
      </c>
      <c r="F93" s="82">
        <v>1544</v>
      </c>
      <c r="G93" s="82">
        <v>1508</v>
      </c>
      <c r="H93" s="82">
        <v>1864</v>
      </c>
      <c r="I93" s="32"/>
      <c r="J93" s="82">
        <v>384</v>
      </c>
      <c r="K93" s="82">
        <f>749-J93</f>
        <v>365</v>
      </c>
      <c r="L93" s="82">
        <f>1121-K93-J93</f>
        <v>372</v>
      </c>
      <c r="M93" s="32">
        <f>SUM(G93-SUM(J93:L93))</f>
        <v>387</v>
      </c>
      <c r="N93" s="82">
        <v>410</v>
      </c>
      <c r="O93" s="82">
        <f>843-N93</f>
        <v>433</v>
      </c>
      <c r="P93" s="82">
        <f>1321-O93-N93</f>
        <v>478</v>
      </c>
      <c r="Q93" s="32">
        <f>SUM(H93-SUM(N93:P93))</f>
        <v>543</v>
      </c>
      <c r="R93" s="82">
        <v>611</v>
      </c>
      <c r="S93" s="82">
        <f>1280-R93</f>
        <v>669</v>
      </c>
      <c r="T93" s="82">
        <f>2031-S93-R93</f>
        <v>751</v>
      </c>
      <c r="V93" s="32">
        <f t="shared" si="178"/>
        <v>1508</v>
      </c>
      <c r="W93" s="32">
        <f t="shared" si="179"/>
        <v>1534</v>
      </c>
      <c r="X93" s="32">
        <f t="shared" si="180"/>
        <v>1602</v>
      </c>
      <c r="Y93" s="32">
        <f t="shared" si="181"/>
        <v>1708</v>
      </c>
      <c r="Z93" s="32">
        <f t="shared" si="182"/>
        <v>1864</v>
      </c>
      <c r="AA93" s="32">
        <f t="shared" si="183"/>
        <v>2065</v>
      </c>
      <c r="AB93" s="32">
        <f t="shared" si="184"/>
        <v>2301</v>
      </c>
      <c r="AC93" s="32">
        <f t="shared" si="185"/>
        <v>2574</v>
      </c>
      <c r="AD93" s="11"/>
      <c r="AE93" s="75">
        <f>SUM(AC93/Y93)-1</f>
        <v>0.50702576112412179</v>
      </c>
    </row>
    <row r="94" spans="1:31" ht="12.75" customHeight="1">
      <c r="B94" s="60" t="s">
        <v>165</v>
      </c>
      <c r="C94" s="82">
        <v>1</v>
      </c>
      <c r="D94" s="82">
        <v>0</v>
      </c>
      <c r="E94" s="82">
        <v>-100</v>
      </c>
      <c r="F94" s="82">
        <v>45</v>
      </c>
      <c r="G94" s="82">
        <v>-238</v>
      </c>
      <c r="H94" s="82">
        <v>-1030</v>
      </c>
      <c r="I94" s="32"/>
      <c r="J94" s="82">
        <v>14</v>
      </c>
      <c r="K94" s="82">
        <f>-45-J94</f>
        <v>-59</v>
      </c>
      <c r="L94" s="82">
        <f>24-K94-J94</f>
        <v>69</v>
      </c>
      <c r="M94" s="32">
        <f>SUM(G94-SUM(J94:L94))</f>
        <v>-262</v>
      </c>
      <c r="N94" s="82">
        <v>-69</v>
      </c>
      <c r="O94" s="82">
        <f>-264-N94</f>
        <v>-195</v>
      </c>
      <c r="P94" s="82">
        <f>-302-O94-N94</f>
        <v>-38</v>
      </c>
      <c r="Q94" s="32">
        <f>SUM(H94-SUM(N94:P94))</f>
        <v>-728</v>
      </c>
      <c r="R94" s="82">
        <v>175</v>
      </c>
      <c r="S94" s="82">
        <f>-2160-R94</f>
        <v>-2335</v>
      </c>
      <c r="T94" s="82">
        <f>-2035-S94-R94</f>
        <v>125</v>
      </c>
      <c r="V94" s="32">
        <f t="shared" ref="V94" si="186">SUM(J94:M94)</f>
        <v>-238</v>
      </c>
      <c r="W94" s="32">
        <f t="shared" ref="W94" si="187">SUM(K94:N94)</f>
        <v>-321</v>
      </c>
      <c r="X94" s="32">
        <f t="shared" ref="X94" si="188">SUM(L94:O94)</f>
        <v>-457</v>
      </c>
      <c r="Y94" s="32">
        <f t="shared" ref="Y94" si="189">SUM(M94:P94)</f>
        <v>-564</v>
      </c>
      <c r="Z94" s="32">
        <f t="shared" ref="Z94" si="190">SUM(N94:Q94)</f>
        <v>-1030</v>
      </c>
      <c r="AA94" s="32">
        <f t="shared" ref="AA94" si="191">SUM(O94:R94)</f>
        <v>-786</v>
      </c>
      <c r="AB94" s="32">
        <f t="shared" ref="AB94" si="192">SUM(P94:S94)</f>
        <v>-2926</v>
      </c>
      <c r="AC94" s="32">
        <f t="shared" ref="AC94" si="193">SUM(Q94:T94)</f>
        <v>-2763</v>
      </c>
      <c r="AD94" s="11"/>
      <c r="AE94" s="75">
        <f>SUM(AC94/Y94)-1</f>
        <v>3.8989361702127656</v>
      </c>
    </row>
    <row r="95" spans="1:31" ht="12.75" customHeight="1">
      <c r="B95" s="60" t="s">
        <v>161</v>
      </c>
      <c r="C95" s="82">
        <v>18</v>
      </c>
      <c r="D95" s="82">
        <v>-282</v>
      </c>
      <c r="E95" s="82">
        <v>-406</v>
      </c>
      <c r="F95" s="82">
        <v>-2164</v>
      </c>
      <c r="G95" s="82">
        <v>-2489</v>
      </c>
      <c r="H95" s="82">
        <v>-4477</v>
      </c>
      <c r="I95" s="32"/>
      <c r="J95" s="82">
        <v>-1135</v>
      </c>
      <c r="K95" s="82">
        <f>-1881-J95</f>
        <v>-746</v>
      </c>
      <c r="L95" s="82">
        <f>-2411-K95-J95</f>
        <v>-530</v>
      </c>
      <c r="M95" s="32">
        <f>SUM(G95-SUM(J95:L95))</f>
        <v>-78</v>
      </c>
      <c r="N95" s="82">
        <v>-1577</v>
      </c>
      <c r="O95" s="82">
        <f>-3276-N95</f>
        <v>-1699</v>
      </c>
      <c r="P95" s="82">
        <f>-3879-O95-N95</f>
        <v>-603</v>
      </c>
      <c r="Q95" s="32">
        <f>SUM(H95-SUM(N95:P95))</f>
        <v>-598</v>
      </c>
      <c r="R95" s="82">
        <v>-2177</v>
      </c>
      <c r="S95" s="82">
        <f>-2073-R95</f>
        <v>104</v>
      </c>
      <c r="T95" s="82">
        <f>-3426-S95-R95</f>
        <v>-1353</v>
      </c>
      <c r="V95" s="32">
        <f t="shared" si="178"/>
        <v>-2489</v>
      </c>
      <c r="W95" s="32">
        <f t="shared" si="179"/>
        <v>-2931</v>
      </c>
      <c r="X95" s="32">
        <f t="shared" si="180"/>
        <v>-3884</v>
      </c>
      <c r="Y95" s="32">
        <f t="shared" si="181"/>
        <v>-3957</v>
      </c>
      <c r="Z95" s="32">
        <f t="shared" si="182"/>
        <v>-4477</v>
      </c>
      <c r="AA95" s="32">
        <f t="shared" si="183"/>
        <v>-5077</v>
      </c>
      <c r="AB95" s="32">
        <f t="shared" si="184"/>
        <v>-3274</v>
      </c>
      <c r="AC95" s="32">
        <f t="shared" si="185"/>
        <v>-4024</v>
      </c>
      <c r="AD95" s="11"/>
      <c r="AE95" s="75">
        <f>SUM(AC95/Y95)-1</f>
        <v>1.6932019206469473E-2</v>
      </c>
    </row>
    <row r="96" spans="1:31" ht="12.75" customHeight="1">
      <c r="B96" s="60" t="s">
        <v>162</v>
      </c>
      <c r="C96" s="82">
        <v>4</v>
      </c>
      <c r="D96" s="82">
        <v>-20</v>
      </c>
      <c r="E96" s="82">
        <v>47</v>
      </c>
      <c r="F96" s="82">
        <f>-7+1353</f>
        <v>1346</v>
      </c>
      <c r="G96" s="82">
        <v>-278</v>
      </c>
      <c r="H96" s="82">
        <v>-502</v>
      </c>
      <c r="I96" s="32"/>
      <c r="J96" s="82">
        <v>-34</v>
      </c>
      <c r="K96" s="82">
        <f>-102-J96</f>
        <v>-68</v>
      </c>
      <c r="L96" s="82">
        <f>-170-K96-J96</f>
        <v>-68</v>
      </c>
      <c r="M96" s="32">
        <f>SUM(G96-SUM(J96:L96))</f>
        <v>-108</v>
      </c>
      <c r="N96" s="82">
        <v>-145</v>
      </c>
      <c r="O96" s="82">
        <f>-288-N96</f>
        <v>-143</v>
      </c>
      <c r="P96" s="82">
        <f>-365-O96-N96</f>
        <v>-77</v>
      </c>
      <c r="Q96" s="32">
        <f>SUM(H96-SUM(N96:P96))</f>
        <v>-137</v>
      </c>
      <c r="R96" s="82">
        <v>-98</v>
      </c>
      <c r="S96" s="82">
        <f>-196-R96</f>
        <v>-98</v>
      </c>
      <c r="T96" s="82">
        <f>-276-S96-R96</f>
        <v>-80</v>
      </c>
      <c r="V96" s="32">
        <f t="shared" si="178"/>
        <v>-278</v>
      </c>
      <c r="W96" s="32">
        <f t="shared" si="179"/>
        <v>-389</v>
      </c>
      <c r="X96" s="32">
        <f t="shared" si="180"/>
        <v>-464</v>
      </c>
      <c r="Y96" s="32">
        <f t="shared" si="181"/>
        <v>-473</v>
      </c>
      <c r="Z96" s="32">
        <f t="shared" si="182"/>
        <v>-502</v>
      </c>
      <c r="AA96" s="32">
        <f t="shared" si="183"/>
        <v>-455</v>
      </c>
      <c r="AB96" s="32">
        <f t="shared" si="184"/>
        <v>-410</v>
      </c>
      <c r="AC96" s="32">
        <f t="shared" si="185"/>
        <v>-413</v>
      </c>
      <c r="AD96" s="11"/>
      <c r="AE96" s="75">
        <f>SUM(AC96/Y96)-1</f>
        <v>-0.12684989429175475</v>
      </c>
    </row>
    <row r="97" spans="2:31" ht="12.75" customHeight="1">
      <c r="B97" s="36" t="s">
        <v>158</v>
      </c>
      <c r="C97" s="82"/>
      <c r="D97" s="82"/>
      <c r="E97" s="82"/>
      <c r="F97" s="82"/>
      <c r="G97" s="82"/>
      <c r="H97" s="82"/>
      <c r="I97" s="32"/>
      <c r="J97" s="82"/>
      <c r="K97" s="82"/>
      <c r="L97" s="82"/>
      <c r="M97" s="32"/>
      <c r="N97" s="82"/>
      <c r="O97" s="82"/>
      <c r="P97" s="82"/>
      <c r="Q97" s="82"/>
      <c r="R97" s="82"/>
      <c r="S97" s="82"/>
      <c r="T97" s="82"/>
      <c r="V97" s="32"/>
      <c r="W97" s="32"/>
      <c r="X97" s="32"/>
      <c r="Y97" s="32"/>
      <c r="Z97" s="32"/>
      <c r="AA97" s="32"/>
      <c r="AB97" s="32"/>
      <c r="AC97" s="32"/>
      <c r="AD97" s="11"/>
      <c r="AE97" s="75"/>
    </row>
    <row r="98" spans="2:31" ht="12.75" customHeight="1">
      <c r="B98" s="60" t="s">
        <v>163</v>
      </c>
      <c r="C98" s="82">
        <v>-233</v>
      </c>
      <c r="D98" s="82">
        <v>-550</v>
      </c>
      <c r="E98" s="82">
        <v>-2215</v>
      </c>
      <c r="F98" s="82">
        <v>822</v>
      </c>
      <c r="G98" s="82">
        <v>-6172</v>
      </c>
      <c r="H98" s="82">
        <v>-13063</v>
      </c>
      <c r="I98" s="32"/>
      <c r="J98" s="82">
        <v>-252</v>
      </c>
      <c r="K98" s="82">
        <f>-3239-J98</f>
        <v>-2987</v>
      </c>
      <c r="L98" s="82">
        <f>-4482-K98-J98</f>
        <v>-1243</v>
      </c>
      <c r="M98" s="32">
        <f>SUM(G98-SUM(J98:L98))</f>
        <v>-1690</v>
      </c>
      <c r="N98" s="82">
        <v>-2366</v>
      </c>
      <c r="O98" s="82">
        <f>-4133-N98</f>
        <v>-1767</v>
      </c>
      <c r="P98" s="82">
        <f>-7694-O98-N98</f>
        <v>-3561</v>
      </c>
      <c r="Q98" s="32">
        <f>SUM(H98-SUM(N98:P98))</f>
        <v>-5369</v>
      </c>
      <c r="R98" s="82">
        <v>933</v>
      </c>
      <c r="S98" s="82">
        <f>-4743-R98</f>
        <v>-5676</v>
      </c>
      <c r="T98" s="82">
        <f>-10325-S98-R98</f>
        <v>-5582</v>
      </c>
      <c r="V98" s="32">
        <f t="shared" ref="V98:V103" si="194">SUM(J98:M98)</f>
        <v>-6172</v>
      </c>
      <c r="W98" s="32">
        <f t="shared" ref="W98:W103" si="195">SUM(K98:N98)</f>
        <v>-8286</v>
      </c>
      <c r="X98" s="32">
        <f t="shared" ref="X98:X103" si="196">SUM(L98:O98)</f>
        <v>-7066</v>
      </c>
      <c r="Y98" s="32">
        <f t="shared" ref="Y98:Y103" si="197">SUM(M98:P98)</f>
        <v>-9384</v>
      </c>
      <c r="Z98" s="32">
        <f t="shared" ref="Z98:Z103" si="198">SUM(N98:Q98)</f>
        <v>-13063</v>
      </c>
      <c r="AA98" s="32">
        <f t="shared" ref="AA98:AA103" si="199">SUM(O98:R98)</f>
        <v>-9764</v>
      </c>
      <c r="AB98" s="32">
        <f t="shared" ref="AB98:AB103" si="200">SUM(P98:S98)</f>
        <v>-13673</v>
      </c>
      <c r="AC98" s="32">
        <f t="shared" ref="AC98:AC103" si="201">SUM(Q98:T98)</f>
        <v>-15694</v>
      </c>
      <c r="AD98" s="11"/>
      <c r="AE98" s="75">
        <f>SUM(AC98/Y98)-1</f>
        <v>0.67242114236999151</v>
      </c>
    </row>
    <row r="99" spans="2:31" ht="12.75" customHeight="1">
      <c r="B99" s="60" t="s">
        <v>98</v>
      </c>
      <c r="C99" s="82">
        <v>597</v>
      </c>
      <c r="D99" s="82">
        <v>-524</v>
      </c>
      <c r="E99" s="82">
        <v>-774</v>
      </c>
      <c r="F99" s="82">
        <v>-2554</v>
      </c>
      <c r="G99" s="82">
        <v>-98</v>
      </c>
      <c r="H99" s="82">
        <v>-4781</v>
      </c>
      <c r="I99" s="32"/>
      <c r="J99" s="82">
        <v>566</v>
      </c>
      <c r="K99" s="82">
        <f>861-J99</f>
        <v>295</v>
      </c>
      <c r="L99" s="82">
        <f>405-K99-J99</f>
        <v>-456</v>
      </c>
      <c r="M99" s="32">
        <f>SUM(G99-SUM(J99:L99))</f>
        <v>-503</v>
      </c>
      <c r="N99" s="82">
        <v>-577</v>
      </c>
      <c r="O99" s="82">
        <f>-1380-N99</f>
        <v>-803</v>
      </c>
      <c r="P99" s="82">
        <f>-2357-O99-N99</f>
        <v>-977</v>
      </c>
      <c r="Q99" s="32">
        <f>SUM(H99-SUM(N99:P99))</f>
        <v>-2424</v>
      </c>
      <c r="R99" s="82">
        <v>-1258</v>
      </c>
      <c r="S99" s="82">
        <f>-4880-R99</f>
        <v>-3622</v>
      </c>
      <c r="T99" s="82">
        <f>-9703-S99-R99</f>
        <v>-4823</v>
      </c>
      <c r="V99" s="32">
        <f t="shared" si="194"/>
        <v>-98</v>
      </c>
      <c r="W99" s="32">
        <f t="shared" si="195"/>
        <v>-1241</v>
      </c>
      <c r="X99" s="32">
        <f t="shared" si="196"/>
        <v>-2339</v>
      </c>
      <c r="Y99" s="32">
        <f t="shared" si="197"/>
        <v>-2860</v>
      </c>
      <c r="Z99" s="32">
        <f t="shared" si="198"/>
        <v>-4781</v>
      </c>
      <c r="AA99" s="32">
        <f t="shared" si="199"/>
        <v>-5462</v>
      </c>
      <c r="AB99" s="32">
        <f t="shared" si="200"/>
        <v>-8281</v>
      </c>
      <c r="AC99" s="32">
        <f t="shared" si="201"/>
        <v>-12127</v>
      </c>
      <c r="AD99" s="11"/>
      <c r="AE99" s="75">
        <f>SUM(AC99/Y99)-1</f>
        <v>3.2402097902097902</v>
      </c>
    </row>
    <row r="100" spans="2:31" ht="12.75" customHeight="1">
      <c r="B100" s="60" t="s">
        <v>164</v>
      </c>
      <c r="C100" s="82">
        <v>77</v>
      </c>
      <c r="D100" s="82">
        <v>-394</v>
      </c>
      <c r="E100" s="82">
        <v>-1715</v>
      </c>
      <c r="F100" s="82">
        <v>-1517</v>
      </c>
      <c r="G100" s="82">
        <v>-1522</v>
      </c>
      <c r="H100" s="82">
        <v>-395</v>
      </c>
      <c r="I100" s="32"/>
      <c r="J100" s="82">
        <v>-215</v>
      </c>
      <c r="K100" s="82">
        <f>-592-J100</f>
        <v>-377</v>
      </c>
      <c r="L100" s="82">
        <f>-337-K100-J100</f>
        <v>255</v>
      </c>
      <c r="M100" s="32">
        <f>SUM(G100-SUM(J100:L100))</f>
        <v>-1185</v>
      </c>
      <c r="N100" s="82">
        <v>-726</v>
      </c>
      <c r="O100" s="82">
        <f>-12-N100</f>
        <v>714</v>
      </c>
      <c r="P100" s="82">
        <f>-726-O100-N100</f>
        <v>-714</v>
      </c>
      <c r="Q100" s="32">
        <f>SUM(H100-SUM(N100:P100))</f>
        <v>331</v>
      </c>
      <c r="R100" s="82">
        <v>560</v>
      </c>
      <c r="S100" s="82">
        <f>946-R100</f>
        <v>386</v>
      </c>
      <c r="T100" s="82">
        <f>857-S100-R100</f>
        <v>-89</v>
      </c>
      <c r="V100" s="32">
        <f t="shared" si="194"/>
        <v>-1522</v>
      </c>
      <c r="W100" s="32">
        <f t="shared" si="195"/>
        <v>-2033</v>
      </c>
      <c r="X100" s="32">
        <f t="shared" si="196"/>
        <v>-942</v>
      </c>
      <c r="Y100" s="32">
        <f t="shared" si="197"/>
        <v>-1911</v>
      </c>
      <c r="Z100" s="32">
        <f t="shared" si="198"/>
        <v>-395</v>
      </c>
      <c r="AA100" s="32">
        <f t="shared" si="199"/>
        <v>891</v>
      </c>
      <c r="AB100" s="32">
        <f t="shared" si="200"/>
        <v>563</v>
      </c>
      <c r="AC100" s="32">
        <f t="shared" si="201"/>
        <v>1188</v>
      </c>
      <c r="AD100" s="11"/>
      <c r="AE100" s="75">
        <f>SUM(AC100/Y100)-1</f>
        <v>-1.6216640502354789</v>
      </c>
    </row>
    <row r="101" spans="2:31" ht="12.75" customHeight="1">
      <c r="B101" s="60" t="s">
        <v>148</v>
      </c>
      <c r="C101" s="82">
        <v>194</v>
      </c>
      <c r="D101" s="82">
        <v>312</v>
      </c>
      <c r="E101" s="82">
        <v>568</v>
      </c>
      <c r="F101" s="82">
        <v>-551</v>
      </c>
      <c r="G101" s="82">
        <v>1531</v>
      </c>
      <c r="H101" s="82">
        <v>3357</v>
      </c>
      <c r="I101" s="32"/>
      <c r="J101" s="82">
        <v>11</v>
      </c>
      <c r="K101" s="82">
        <f>789-J101</f>
        <v>778</v>
      </c>
      <c r="L101" s="82">
        <f>1250-K101-J101</f>
        <v>461</v>
      </c>
      <c r="M101" s="32">
        <f>SUM(G101-SUM(J101:L101))</f>
        <v>281</v>
      </c>
      <c r="N101" s="82">
        <v>-22</v>
      </c>
      <c r="O101" s="82">
        <f>801-N101</f>
        <v>823</v>
      </c>
      <c r="P101" s="82">
        <f>2490-O101-N101</f>
        <v>1689</v>
      </c>
      <c r="Q101" s="32">
        <f>SUM(H101-SUM(N101:P101))</f>
        <v>867</v>
      </c>
      <c r="R101" s="82">
        <v>941</v>
      </c>
      <c r="S101" s="82">
        <f>2255-R101</f>
        <v>1314</v>
      </c>
      <c r="T101" s="82">
        <f>2032-S101-R101</f>
        <v>-223</v>
      </c>
      <c r="V101" s="32">
        <f t="shared" si="194"/>
        <v>1531</v>
      </c>
      <c r="W101" s="32">
        <f t="shared" si="195"/>
        <v>1498</v>
      </c>
      <c r="X101" s="32">
        <f t="shared" si="196"/>
        <v>1543</v>
      </c>
      <c r="Y101" s="32">
        <f t="shared" si="197"/>
        <v>2771</v>
      </c>
      <c r="Z101" s="32">
        <f t="shared" si="198"/>
        <v>3357</v>
      </c>
      <c r="AA101" s="32">
        <f t="shared" si="199"/>
        <v>4320</v>
      </c>
      <c r="AB101" s="32">
        <f t="shared" si="200"/>
        <v>4811</v>
      </c>
      <c r="AC101" s="32">
        <f t="shared" si="201"/>
        <v>2899</v>
      </c>
      <c r="AD101" s="11"/>
      <c r="AE101" s="75">
        <f>SUM(AC101/Y101)-1</f>
        <v>4.6192710212919597E-2</v>
      </c>
    </row>
    <row r="102" spans="2:31" ht="12.75" customHeight="1">
      <c r="B102" s="60" t="s">
        <v>149</v>
      </c>
      <c r="C102" s="82">
        <v>54</v>
      </c>
      <c r="D102" s="82">
        <v>290</v>
      </c>
      <c r="E102" s="82">
        <v>581</v>
      </c>
      <c r="F102" s="82">
        <v>1341</v>
      </c>
      <c r="G102" s="82">
        <v>2025</v>
      </c>
      <c r="H102" s="82">
        <v>4278</v>
      </c>
      <c r="I102" s="32"/>
      <c r="J102" s="82">
        <v>689</v>
      </c>
      <c r="K102" s="82">
        <f>2675-J102</f>
        <v>1986</v>
      </c>
      <c r="L102" s="82">
        <f>953-K102-J102</f>
        <v>-1722</v>
      </c>
      <c r="M102" s="32">
        <f>SUM(G102-SUM(J102:L102))</f>
        <v>1072</v>
      </c>
      <c r="N102" s="82">
        <v>4202</v>
      </c>
      <c r="O102" s="82">
        <f>3314-N102</f>
        <v>-888</v>
      </c>
      <c r="P102" s="82">
        <f>3918-O102-N102</f>
        <v>604</v>
      </c>
      <c r="Q102" s="32">
        <f>SUM(H102-SUM(N102:P102))</f>
        <v>360</v>
      </c>
      <c r="R102" s="82">
        <v>7128</v>
      </c>
      <c r="S102" s="82">
        <f>3075-R102</f>
        <v>-4053</v>
      </c>
      <c r="T102" s="82">
        <f>4204-S102-R102</f>
        <v>1129</v>
      </c>
      <c r="V102" s="32">
        <f t="shared" si="194"/>
        <v>2025</v>
      </c>
      <c r="W102" s="32">
        <f t="shared" si="195"/>
        <v>5538</v>
      </c>
      <c r="X102" s="32">
        <f t="shared" si="196"/>
        <v>2664</v>
      </c>
      <c r="Y102" s="32">
        <f t="shared" si="197"/>
        <v>4990</v>
      </c>
      <c r="Z102" s="32">
        <f t="shared" si="198"/>
        <v>4278</v>
      </c>
      <c r="AA102" s="32">
        <f t="shared" si="199"/>
        <v>7204</v>
      </c>
      <c r="AB102" s="32">
        <f t="shared" si="200"/>
        <v>4039</v>
      </c>
      <c r="AC102" s="32">
        <f t="shared" si="201"/>
        <v>4564</v>
      </c>
      <c r="AD102" s="11"/>
      <c r="AE102" s="75">
        <f>SUM(AC102/Y102)-1</f>
        <v>-8.5370741482965973E-2</v>
      </c>
    </row>
    <row r="103" spans="2:31" ht="12.75" customHeight="1">
      <c r="B103" s="60" t="s">
        <v>153</v>
      </c>
      <c r="C103" s="82">
        <v>28</v>
      </c>
      <c r="D103" s="82">
        <v>163</v>
      </c>
      <c r="E103" s="82">
        <v>192</v>
      </c>
      <c r="F103" s="82">
        <v>252</v>
      </c>
      <c r="G103" s="82">
        <v>514</v>
      </c>
      <c r="H103" s="82">
        <v>1221</v>
      </c>
      <c r="I103" s="32"/>
      <c r="J103" s="82">
        <v>105</v>
      </c>
      <c r="K103" s="82">
        <f>236-J103</f>
        <v>131</v>
      </c>
      <c r="L103" s="82">
        <f>208-K103-J103</f>
        <v>-28</v>
      </c>
      <c r="M103" s="32">
        <f>SUM(G103-SUM(J103:L103))</f>
        <v>306</v>
      </c>
      <c r="N103" s="82">
        <v>323</v>
      </c>
      <c r="O103" s="82">
        <f>584-N103</f>
        <v>261</v>
      </c>
      <c r="P103" s="82">
        <f>849-O103-N103</f>
        <v>265</v>
      </c>
      <c r="Q103" s="32">
        <f>SUM(H103-SUM(N103:P103))</f>
        <v>372</v>
      </c>
      <c r="R103" s="82">
        <v>350</v>
      </c>
      <c r="S103" s="82">
        <f>979-R103</f>
        <v>629</v>
      </c>
      <c r="T103" s="82">
        <f>1311-S103-R103</f>
        <v>332</v>
      </c>
      <c r="V103" s="32">
        <f t="shared" si="194"/>
        <v>514</v>
      </c>
      <c r="W103" s="32">
        <f t="shared" si="195"/>
        <v>732</v>
      </c>
      <c r="X103" s="32">
        <f t="shared" si="196"/>
        <v>862</v>
      </c>
      <c r="Y103" s="32">
        <f t="shared" si="197"/>
        <v>1155</v>
      </c>
      <c r="Z103" s="32">
        <f t="shared" si="198"/>
        <v>1221</v>
      </c>
      <c r="AA103" s="32">
        <f t="shared" si="199"/>
        <v>1248</v>
      </c>
      <c r="AB103" s="32">
        <f t="shared" si="200"/>
        <v>1616</v>
      </c>
      <c r="AC103" s="32">
        <f t="shared" si="201"/>
        <v>1683</v>
      </c>
      <c r="AD103" s="11"/>
      <c r="AE103" s="75">
        <f>SUM(AC103/Y103)-1</f>
        <v>0.45714285714285707</v>
      </c>
    </row>
    <row r="104" spans="2:31" ht="12.75" customHeight="1">
      <c r="B104" s="13" t="s">
        <v>47</v>
      </c>
      <c r="C104" s="14">
        <f>SUM(C89:C103)</f>
        <v>4761</v>
      </c>
      <c r="D104" s="14">
        <f>SUM(D89:D103)</f>
        <v>5822</v>
      </c>
      <c r="E104" s="14">
        <f>SUM(E89:E103)</f>
        <v>9108</v>
      </c>
      <c r="F104" s="14">
        <f>SUM(F89:F103)</f>
        <v>5641</v>
      </c>
      <c r="G104" s="14">
        <f>SUM(G89:G103)</f>
        <v>28090</v>
      </c>
      <c r="H104" s="14">
        <f>SUM(H89:H103)</f>
        <v>64089</v>
      </c>
      <c r="J104" s="14">
        <f>SUM(J89:J103)</f>
        <v>2911</v>
      </c>
      <c r="K104" s="14">
        <f>SUM(K89:K103)</f>
        <v>6347</v>
      </c>
      <c r="L104" s="14">
        <f>SUM(L89:L103)</f>
        <v>7332</v>
      </c>
      <c r="M104" s="14">
        <f>SUM(M89:M103)</f>
        <v>11500</v>
      </c>
      <c r="N104" s="14">
        <f>SUM(N89:N103)</f>
        <v>15345</v>
      </c>
      <c r="O104" s="14">
        <f>SUM(O89:O103)</f>
        <v>14488</v>
      </c>
      <c r="P104" s="14">
        <f>SUM(P89:P103)</f>
        <v>17627</v>
      </c>
      <c r="Q104" s="14">
        <f>SUM(Q89:Q103)</f>
        <v>16629</v>
      </c>
      <c r="R104" s="14">
        <f>SUM(R89:R103)</f>
        <v>27414</v>
      </c>
      <c r="S104" s="14">
        <f>SUM(S89:S103)</f>
        <v>15365</v>
      </c>
      <c r="T104" s="14">
        <f>SUM(T89:T103)</f>
        <v>23751</v>
      </c>
      <c r="V104" s="14">
        <f>SUM(V89:V103)</f>
        <v>28110</v>
      </c>
      <c r="W104" s="14">
        <f>SUM(W89:W103)</f>
        <v>40452</v>
      </c>
      <c r="X104" s="14">
        <f>SUM(X89:X103)</f>
        <v>48459</v>
      </c>
      <c r="Y104" s="14">
        <f>SUM(Y89:Y103)</f>
        <v>58960</v>
      </c>
      <c r="Z104" s="14">
        <f>SUM(Z89:Z103)</f>
        <v>64089</v>
      </c>
      <c r="AA104" s="14">
        <f>SUM(AA89:AA103)</f>
        <v>76158</v>
      </c>
      <c r="AB104" s="14">
        <f>SUM(AB89:AB103)</f>
        <v>77035</v>
      </c>
      <c r="AC104" s="14">
        <f>SUM(AC89:AC103)</f>
        <v>83159</v>
      </c>
      <c r="AD104" s="42"/>
      <c r="AE104" s="76">
        <f>SUM(AC104/Y104)-1</f>
        <v>0.41043080054274084</v>
      </c>
    </row>
    <row r="105" spans="2:31" ht="12.75" customHeight="1">
      <c r="B105" s="53"/>
      <c r="C105" s="61"/>
      <c r="D105" s="61"/>
      <c r="E105" s="61"/>
      <c r="F105" s="61"/>
      <c r="G105" s="61"/>
      <c r="H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V105" s="42"/>
      <c r="W105" s="42"/>
      <c r="X105" s="42"/>
      <c r="Y105" s="42"/>
      <c r="Z105" s="42"/>
      <c r="AA105" s="42"/>
      <c r="AB105" s="42"/>
      <c r="AC105" s="42"/>
      <c r="AD105" s="42"/>
      <c r="AE105" s="39"/>
    </row>
    <row r="106" spans="2:31" ht="12.75" customHeight="1">
      <c r="B106" s="53" t="s">
        <v>48</v>
      </c>
      <c r="C106" s="58"/>
      <c r="D106" s="58"/>
      <c r="E106" s="58"/>
      <c r="F106" s="58"/>
      <c r="G106" s="58"/>
      <c r="H106" s="58"/>
      <c r="J106" s="82"/>
      <c r="K106" s="82"/>
      <c r="L106" s="82"/>
      <c r="M106" s="32"/>
      <c r="N106" s="58"/>
      <c r="O106" s="58"/>
      <c r="P106" s="58"/>
      <c r="Q106" s="58"/>
      <c r="R106" s="58"/>
      <c r="S106" s="58"/>
      <c r="T106" s="58"/>
      <c r="V106" s="58"/>
      <c r="W106" s="58"/>
      <c r="X106" s="58"/>
      <c r="Y106" s="58"/>
      <c r="Z106" s="58"/>
      <c r="AA106" s="58"/>
      <c r="AB106" s="58"/>
      <c r="AC106" s="58"/>
      <c r="AD106" s="59"/>
      <c r="AE106" s="75"/>
    </row>
    <row r="107" spans="2:31" ht="12.75" customHeight="1">
      <c r="B107" s="60" t="s">
        <v>166</v>
      </c>
      <c r="C107" s="82">
        <v>4744</v>
      </c>
      <c r="D107" s="82">
        <v>8792</v>
      </c>
      <c r="E107" s="82">
        <v>15197</v>
      </c>
      <c r="F107" s="82">
        <v>19425</v>
      </c>
      <c r="G107" s="82">
        <v>9732</v>
      </c>
      <c r="H107" s="82">
        <v>11195</v>
      </c>
      <c r="I107" s="32"/>
      <c r="J107" s="82">
        <v>2512</v>
      </c>
      <c r="K107" s="82">
        <f>5111-J107</f>
        <v>2599</v>
      </c>
      <c r="L107" s="82">
        <f>8001-K107-J107</f>
        <v>2890</v>
      </c>
      <c r="M107" s="32">
        <f>SUM(G107-SUM(J107:L107))</f>
        <v>1731</v>
      </c>
      <c r="N107" s="82">
        <v>4004</v>
      </c>
      <c r="O107" s="82">
        <f>8098-N107</f>
        <v>4094</v>
      </c>
      <c r="P107" s="82">
        <f>9485-O107-N107</f>
        <v>1387</v>
      </c>
      <c r="Q107" s="32">
        <f>SUM(H107-SUM(N107:P107))</f>
        <v>1710</v>
      </c>
      <c r="R107" s="82">
        <v>3122</v>
      </c>
      <c r="S107" s="82">
        <f>6252-R107</f>
        <v>3130</v>
      </c>
      <c r="T107" s="82">
        <f>8980-S107-R107</f>
        <v>2728</v>
      </c>
      <c r="U107" s="32"/>
      <c r="V107" s="32">
        <f t="shared" ref="V107:V114" si="202">SUM(J107:M107)</f>
        <v>9732</v>
      </c>
      <c r="W107" s="32">
        <f t="shared" ref="W107:W114" si="203">SUM(K107:N107)</f>
        <v>11224</v>
      </c>
      <c r="X107" s="32">
        <f t="shared" ref="X107:X114" si="204">SUM(L107:O107)</f>
        <v>12719</v>
      </c>
      <c r="Y107" s="32">
        <f t="shared" ref="Y107:Y114" si="205">SUM(M107:P107)</f>
        <v>11216</v>
      </c>
      <c r="Z107" s="32">
        <f t="shared" ref="Z107:Z114" si="206">SUM(N107:Q107)</f>
        <v>11195</v>
      </c>
      <c r="AA107" s="32">
        <f t="shared" ref="AA107:AA114" si="207">SUM(O107:R107)</f>
        <v>10313</v>
      </c>
      <c r="AB107" s="32">
        <f t="shared" ref="AB107:AB114" si="208">SUM(P107:S107)</f>
        <v>9349</v>
      </c>
      <c r="AC107" s="32">
        <f t="shared" ref="AC107:AC114" si="209">SUM(Q107:T107)</f>
        <v>10690</v>
      </c>
      <c r="AD107" s="59"/>
      <c r="AE107" s="75">
        <f>SUM(AC107/Y107)-1</f>
        <v>-4.6897289586305235E-2</v>
      </c>
    </row>
    <row r="108" spans="2:31" ht="12.75" customHeight="1">
      <c r="B108" s="60" t="s">
        <v>167</v>
      </c>
      <c r="C108" s="82">
        <v>3365</v>
      </c>
      <c r="D108" s="82">
        <v>527</v>
      </c>
      <c r="E108" s="82">
        <v>1023</v>
      </c>
      <c r="F108" s="82">
        <v>1806</v>
      </c>
      <c r="G108" s="82">
        <v>50</v>
      </c>
      <c r="H108" s="82">
        <v>495</v>
      </c>
      <c r="I108" s="32"/>
      <c r="J108" s="82">
        <v>0</v>
      </c>
      <c r="K108" s="82">
        <v>0</v>
      </c>
      <c r="L108" s="82">
        <v>0</v>
      </c>
      <c r="M108" s="32">
        <f>SUM(G108-SUM(J108:L108))</f>
        <v>50</v>
      </c>
      <c r="N108" s="82">
        <v>149</v>
      </c>
      <c r="O108" s="82">
        <f>164-N108</f>
        <v>15</v>
      </c>
      <c r="P108" s="82">
        <f>318-O108-N108</f>
        <v>154</v>
      </c>
      <c r="Q108" s="32">
        <f>SUM(H108-SUM(N108:P108))</f>
        <v>177</v>
      </c>
      <c r="R108" s="82">
        <v>467</v>
      </c>
      <c r="S108" s="82">
        <f>487-R108</f>
        <v>20</v>
      </c>
      <c r="T108" s="82">
        <f>487-S108-R108</f>
        <v>0</v>
      </c>
      <c r="U108" s="32"/>
      <c r="V108" s="32">
        <f t="shared" si="202"/>
        <v>50</v>
      </c>
      <c r="W108" s="32">
        <f t="shared" si="203"/>
        <v>199</v>
      </c>
      <c r="X108" s="32">
        <f t="shared" si="204"/>
        <v>214</v>
      </c>
      <c r="Y108" s="32">
        <f t="shared" si="205"/>
        <v>368</v>
      </c>
      <c r="Z108" s="32">
        <f t="shared" si="206"/>
        <v>495</v>
      </c>
      <c r="AA108" s="32">
        <f t="shared" si="207"/>
        <v>813</v>
      </c>
      <c r="AB108" s="32">
        <f t="shared" si="208"/>
        <v>818</v>
      </c>
      <c r="AC108" s="32">
        <f t="shared" si="209"/>
        <v>664</v>
      </c>
      <c r="AD108" s="59"/>
      <c r="AE108" s="75">
        <f>SUM(AC108/Y108)-1</f>
        <v>0.80434782608695654</v>
      </c>
    </row>
    <row r="109" spans="2:31" ht="12.75" customHeight="1">
      <c r="B109" s="60" t="s">
        <v>168</v>
      </c>
      <c r="C109" s="82">
        <v>-1461</v>
      </c>
      <c r="D109" s="82">
        <v>-19308</v>
      </c>
      <c r="E109" s="82">
        <v>-24787</v>
      </c>
      <c r="F109" s="82">
        <v>-11897</v>
      </c>
      <c r="G109" s="82">
        <v>-18211</v>
      </c>
      <c r="H109" s="82">
        <v>-26575</v>
      </c>
      <c r="I109" s="32"/>
      <c r="J109" s="82">
        <v>-2801</v>
      </c>
      <c r="K109" s="82">
        <f>-5343-J109</f>
        <v>-2542</v>
      </c>
      <c r="L109" s="82">
        <f>-10688-K109-J109</f>
        <v>-5345</v>
      </c>
      <c r="M109" s="32">
        <f>SUM(G109-SUM(J109:L109))</f>
        <v>-7523</v>
      </c>
      <c r="N109" s="82">
        <v>-9303</v>
      </c>
      <c r="O109" s="82">
        <f>-15047-N109</f>
        <v>-5744</v>
      </c>
      <c r="P109" s="82">
        <f>-19565-O109-N109</f>
        <v>-4518</v>
      </c>
      <c r="Q109" s="32">
        <f>SUM(H109-SUM(N109:P109))</f>
        <v>-7010</v>
      </c>
      <c r="R109" s="82">
        <v>-6546</v>
      </c>
      <c r="S109" s="82">
        <f>-14358-R109</f>
        <v>-7812</v>
      </c>
      <c r="T109" s="82">
        <f>-20076-S109-R109</f>
        <v>-5718</v>
      </c>
      <c r="U109" s="32"/>
      <c r="V109" s="32">
        <f t="shared" si="202"/>
        <v>-18211</v>
      </c>
      <c r="W109" s="32">
        <f t="shared" si="203"/>
        <v>-24713</v>
      </c>
      <c r="X109" s="32">
        <f t="shared" si="204"/>
        <v>-27915</v>
      </c>
      <c r="Y109" s="32">
        <f t="shared" si="205"/>
        <v>-27088</v>
      </c>
      <c r="Z109" s="32">
        <f t="shared" si="206"/>
        <v>-26575</v>
      </c>
      <c r="AA109" s="32">
        <f t="shared" si="207"/>
        <v>-23818</v>
      </c>
      <c r="AB109" s="32">
        <f t="shared" si="208"/>
        <v>-25886</v>
      </c>
      <c r="AC109" s="32">
        <f t="shared" si="209"/>
        <v>-27086</v>
      </c>
      <c r="AD109" s="59"/>
      <c r="AE109" s="75">
        <f>SUM(AC109/Y109)-1</f>
        <v>-7.3833431777914349E-5</v>
      </c>
    </row>
    <row r="110" spans="2:31" ht="12.75" customHeight="1">
      <c r="B110" s="60" t="s">
        <v>169</v>
      </c>
      <c r="C110" s="82">
        <v>-489</v>
      </c>
      <c r="D110" s="82">
        <v>-1128</v>
      </c>
      <c r="E110" s="82">
        <v>-976</v>
      </c>
      <c r="F110" s="82">
        <v>-1833</v>
      </c>
      <c r="G110" s="82">
        <v>-1069</v>
      </c>
      <c r="H110" s="82">
        <v>-3236</v>
      </c>
      <c r="I110" s="32"/>
      <c r="J110" s="82">
        <v>-248</v>
      </c>
      <c r="K110" s="82">
        <f>-537-J110</f>
        <v>-289</v>
      </c>
      <c r="L110" s="82">
        <f>-815-K110-J110</f>
        <v>-278</v>
      </c>
      <c r="M110" s="32">
        <f>SUM(G110-SUM(J110:L110))</f>
        <v>-254</v>
      </c>
      <c r="N110" s="82">
        <v>-369</v>
      </c>
      <c r="O110" s="82">
        <f>-1346-N110</f>
        <v>-977</v>
      </c>
      <c r="P110" s="82">
        <f>-2159-O110-N110</f>
        <v>-813</v>
      </c>
      <c r="Q110" s="32">
        <f>SUM(H110-SUM(N110:P110))</f>
        <v>-1077</v>
      </c>
      <c r="R110" s="82">
        <v>-1227</v>
      </c>
      <c r="S110" s="82">
        <f>-3122-R110</f>
        <v>-1895</v>
      </c>
      <c r="T110" s="82">
        <f>-4758-S110-R110</f>
        <v>-1636</v>
      </c>
      <c r="U110" s="32"/>
      <c r="V110" s="32">
        <f t="shared" si="202"/>
        <v>-1069</v>
      </c>
      <c r="W110" s="32">
        <f t="shared" si="203"/>
        <v>-1190</v>
      </c>
      <c r="X110" s="32">
        <f t="shared" si="204"/>
        <v>-1878</v>
      </c>
      <c r="Y110" s="32">
        <f t="shared" si="205"/>
        <v>-2413</v>
      </c>
      <c r="Z110" s="32">
        <f t="shared" si="206"/>
        <v>-3236</v>
      </c>
      <c r="AA110" s="32">
        <f t="shared" si="207"/>
        <v>-4094</v>
      </c>
      <c r="AB110" s="32">
        <f t="shared" si="208"/>
        <v>-5012</v>
      </c>
      <c r="AC110" s="32">
        <f t="shared" si="209"/>
        <v>-5835</v>
      </c>
      <c r="AD110" s="59"/>
      <c r="AE110" s="75">
        <f>SUM(AC110/Y110)-1</f>
        <v>1.4181516784086199</v>
      </c>
    </row>
    <row r="111" spans="2:31" ht="12.75" customHeight="1">
      <c r="B111" s="60" t="s">
        <v>170</v>
      </c>
      <c r="C111" s="82">
        <v>-4</v>
      </c>
      <c r="D111" s="82">
        <v>-8524</v>
      </c>
      <c r="E111" s="82">
        <v>-263</v>
      </c>
      <c r="F111" s="82">
        <v>-49</v>
      </c>
      <c r="G111" s="82">
        <v>-83</v>
      </c>
      <c r="H111" s="82">
        <v>-1007</v>
      </c>
      <c r="I111" s="32"/>
      <c r="J111" s="82">
        <v>-83</v>
      </c>
      <c r="K111" s="82">
        <f>-83-J111</f>
        <v>0</v>
      </c>
      <c r="L111" s="82">
        <f>-83-K111-J111</f>
        <v>0</v>
      </c>
      <c r="M111" s="32">
        <f>SUM(G111-SUM(J111:L111))</f>
        <v>0</v>
      </c>
      <c r="N111" s="82">
        <v>-39</v>
      </c>
      <c r="O111" s="82">
        <f>-317-N111</f>
        <v>-278</v>
      </c>
      <c r="P111" s="82">
        <f>-465-O111-N111</f>
        <v>-148</v>
      </c>
      <c r="Q111" s="32">
        <f>SUM(H111-SUM(N111:P111))</f>
        <v>-542</v>
      </c>
      <c r="R111" s="82">
        <v>-383</v>
      </c>
      <c r="S111" s="82">
        <f>-677-R111</f>
        <v>-294</v>
      </c>
      <c r="T111" s="82">
        <f>-1370-S111-R111</f>
        <v>-693</v>
      </c>
      <c r="U111" s="32"/>
      <c r="V111" s="32">
        <f t="shared" si="202"/>
        <v>-83</v>
      </c>
      <c r="W111" s="32">
        <f t="shared" si="203"/>
        <v>-39</v>
      </c>
      <c r="X111" s="32">
        <f t="shared" si="204"/>
        <v>-317</v>
      </c>
      <c r="Y111" s="32">
        <f t="shared" si="205"/>
        <v>-465</v>
      </c>
      <c r="Z111" s="32">
        <f t="shared" si="206"/>
        <v>-1007</v>
      </c>
      <c r="AA111" s="32">
        <f t="shared" si="207"/>
        <v>-1351</v>
      </c>
      <c r="AB111" s="32">
        <f t="shared" si="208"/>
        <v>-1367</v>
      </c>
      <c r="AC111" s="32">
        <f t="shared" si="209"/>
        <v>-1912</v>
      </c>
      <c r="AD111" s="59"/>
      <c r="AE111" s="75">
        <f>SUM(AC111/Y111)-1</f>
        <v>3.1118279569892477</v>
      </c>
    </row>
    <row r="112" spans="2:31" ht="12.75" customHeight="1">
      <c r="B112" s="60" t="s">
        <v>181</v>
      </c>
      <c r="C112" s="82">
        <v>0</v>
      </c>
      <c r="D112" s="82">
        <v>0</v>
      </c>
      <c r="E112" s="82">
        <v>0</v>
      </c>
      <c r="F112" s="82">
        <v>-85</v>
      </c>
      <c r="G112" s="82">
        <v>-862</v>
      </c>
      <c r="H112" s="82">
        <v>-1486</v>
      </c>
      <c r="I112" s="32"/>
      <c r="J112" s="82">
        <v>0</v>
      </c>
      <c r="K112" s="82">
        <v>0</v>
      </c>
      <c r="L112" s="82">
        <v>0</v>
      </c>
      <c r="M112" s="32">
        <f>SUM(G112-SUM(J112:L112))</f>
        <v>-862</v>
      </c>
      <c r="N112" s="82">
        <v>0</v>
      </c>
      <c r="O112" s="82">
        <f>-534-N112</f>
        <v>-534</v>
      </c>
      <c r="P112" s="82">
        <f>-1008-O112-N112</f>
        <v>-474</v>
      </c>
      <c r="Q112" s="32">
        <f>SUM(H112-SUM(N112:P112))</f>
        <v>-478</v>
      </c>
      <c r="R112" s="82">
        <v>-649</v>
      </c>
      <c r="S112" s="82">
        <f>-995-R112</f>
        <v>-346</v>
      </c>
      <c r="T112" s="82">
        <f>-4702-S112-R112</f>
        <v>-3707</v>
      </c>
      <c r="U112" s="32"/>
      <c r="V112" s="32">
        <f t="shared" si="202"/>
        <v>-862</v>
      </c>
      <c r="W112" s="32">
        <f t="shared" si="203"/>
        <v>-862</v>
      </c>
      <c r="X112" s="32">
        <f t="shared" si="204"/>
        <v>-1396</v>
      </c>
      <c r="Y112" s="32">
        <f t="shared" si="205"/>
        <v>-1870</v>
      </c>
      <c r="Z112" s="32">
        <f t="shared" si="206"/>
        <v>-1486</v>
      </c>
      <c r="AA112" s="32">
        <f t="shared" si="207"/>
        <v>-2135</v>
      </c>
      <c r="AB112" s="32">
        <f t="shared" si="208"/>
        <v>-1947</v>
      </c>
      <c r="AC112" s="32">
        <f t="shared" si="209"/>
        <v>-5180</v>
      </c>
      <c r="AD112" s="59"/>
      <c r="AE112" s="75">
        <f>SUM(AC112/Y112)-1</f>
        <v>1.7700534759358288</v>
      </c>
    </row>
    <row r="113" spans="2:31" ht="12.75" customHeight="1">
      <c r="B113" s="60" t="s">
        <v>180</v>
      </c>
      <c r="C113" s="82">
        <v>0</v>
      </c>
      <c r="D113" s="82">
        <v>0</v>
      </c>
      <c r="E113" s="82">
        <v>0</v>
      </c>
      <c r="F113" s="82">
        <v>8</v>
      </c>
      <c r="G113" s="82">
        <v>1</v>
      </c>
      <c r="H113" s="82">
        <v>171</v>
      </c>
      <c r="I113" s="32"/>
      <c r="J113" s="82">
        <v>0</v>
      </c>
      <c r="K113" s="82">
        <v>0</v>
      </c>
      <c r="L113" s="82">
        <v>0</v>
      </c>
      <c r="M113" s="32">
        <f>SUM(G113-SUM(J113:L113))</f>
        <v>1</v>
      </c>
      <c r="N113" s="82">
        <v>0</v>
      </c>
      <c r="O113" s="82">
        <f>105-N113</f>
        <v>105</v>
      </c>
      <c r="P113" s="82">
        <f>171-O113-N113</f>
        <v>66</v>
      </c>
      <c r="Q113" s="32">
        <f>SUM(H113-SUM(N113:P113))</f>
        <v>0</v>
      </c>
      <c r="R113" s="82">
        <v>0</v>
      </c>
      <c r="S113" s="82">
        <f>70-R113</f>
        <v>70</v>
      </c>
      <c r="T113" s="82">
        <f>72-S113-R113</f>
        <v>2</v>
      </c>
      <c r="U113" s="32"/>
      <c r="V113" s="32">
        <f t="shared" si="202"/>
        <v>1</v>
      </c>
      <c r="W113" s="32">
        <f t="shared" si="203"/>
        <v>1</v>
      </c>
      <c r="X113" s="32">
        <f t="shared" si="204"/>
        <v>106</v>
      </c>
      <c r="Y113" s="32">
        <f t="shared" si="205"/>
        <v>172</v>
      </c>
      <c r="Z113" s="32">
        <f t="shared" si="206"/>
        <v>171</v>
      </c>
      <c r="AA113" s="32">
        <f t="shared" si="207"/>
        <v>171</v>
      </c>
      <c r="AB113" s="32">
        <f t="shared" si="208"/>
        <v>136</v>
      </c>
      <c r="AC113" s="32">
        <f t="shared" si="209"/>
        <v>72</v>
      </c>
      <c r="AD113" s="59"/>
      <c r="AE113" s="75">
        <f>SUM(AC113/Y113)-1</f>
        <v>-0.58139534883720922</v>
      </c>
    </row>
    <row r="114" spans="2:31" ht="12.75" customHeight="1">
      <c r="B114" s="60" t="s">
        <v>162</v>
      </c>
      <c r="C114" s="82">
        <v>-10</v>
      </c>
      <c r="D114" s="82">
        <v>-34</v>
      </c>
      <c r="E114" s="82">
        <v>-24</v>
      </c>
      <c r="F114" s="82">
        <v>0</v>
      </c>
      <c r="G114" s="82">
        <v>-124</v>
      </c>
      <c r="H114" s="82">
        <v>22</v>
      </c>
      <c r="I114" s="32"/>
      <c r="J114" s="82">
        <v>-221</v>
      </c>
      <c r="K114" s="82">
        <f>-435-J114</f>
        <v>-214</v>
      </c>
      <c r="L114" s="82">
        <f>-872-K114-J114</f>
        <v>-437</v>
      </c>
      <c r="M114" s="32">
        <f>SUM(G114-SUM(J114:L114))</f>
        <v>748</v>
      </c>
      <c r="N114" s="82">
        <v>-135</v>
      </c>
      <c r="O114" s="82">
        <f>0-N114</f>
        <v>135</v>
      </c>
      <c r="P114" s="82">
        <f>0-O114-N114</f>
        <v>0</v>
      </c>
      <c r="Q114" s="32">
        <f>SUM(H114-SUM(N114:P114))</f>
        <v>22</v>
      </c>
      <c r="R114" s="82">
        <v>0</v>
      </c>
      <c r="S114" s="82">
        <v>0</v>
      </c>
      <c r="T114" s="82">
        <v>0</v>
      </c>
      <c r="U114" s="32"/>
      <c r="V114" s="32">
        <f t="shared" si="202"/>
        <v>-124</v>
      </c>
      <c r="W114" s="32">
        <f t="shared" si="203"/>
        <v>-38</v>
      </c>
      <c r="X114" s="32">
        <f t="shared" si="204"/>
        <v>311</v>
      </c>
      <c r="Y114" s="32">
        <f t="shared" si="205"/>
        <v>748</v>
      </c>
      <c r="Z114" s="32">
        <f t="shared" si="206"/>
        <v>22</v>
      </c>
      <c r="AA114" s="32">
        <f t="shared" si="207"/>
        <v>157</v>
      </c>
      <c r="AB114" s="32">
        <f t="shared" si="208"/>
        <v>22</v>
      </c>
      <c r="AC114" s="32">
        <f t="shared" si="209"/>
        <v>22</v>
      </c>
      <c r="AD114" s="59"/>
      <c r="AE114" s="75">
        <f>SUM(AC114/Y114)-1</f>
        <v>-0.97058823529411764</v>
      </c>
    </row>
    <row r="115" spans="2:31" ht="12.75" customHeight="1">
      <c r="B115" s="13" t="s">
        <v>49</v>
      </c>
      <c r="C115" s="14">
        <f>SUM(C107:C114)</f>
        <v>6145</v>
      </c>
      <c r="D115" s="14">
        <f>SUM(D107:D114)</f>
        <v>-19675</v>
      </c>
      <c r="E115" s="14">
        <f>SUM(E107:E114)</f>
        <v>-9830</v>
      </c>
      <c r="F115" s="14">
        <f>SUM(F107:F114)</f>
        <v>7375</v>
      </c>
      <c r="G115" s="14">
        <f>SUM(G107:G114)</f>
        <v>-10566</v>
      </c>
      <c r="H115" s="14">
        <f>SUM(H107:H114)</f>
        <v>-20421</v>
      </c>
      <c r="J115" s="14">
        <f>SUM(J107:J114)</f>
        <v>-841</v>
      </c>
      <c r="K115" s="14">
        <f>SUM(K107:K114)</f>
        <v>-446</v>
      </c>
      <c r="L115" s="14">
        <f>SUM(L107:L114)</f>
        <v>-3170</v>
      </c>
      <c r="M115" s="14">
        <f>SUM(M107:M114)</f>
        <v>-6109</v>
      </c>
      <c r="N115" s="14">
        <f>SUM(N107:N114)</f>
        <v>-5693</v>
      </c>
      <c r="O115" s="14">
        <f>SUM(O107:O114)</f>
        <v>-3184</v>
      </c>
      <c r="P115" s="14">
        <f>SUM(P107:P114)</f>
        <v>-4346</v>
      </c>
      <c r="Q115" s="14">
        <f>SUM(Q107:Q114)</f>
        <v>-7198</v>
      </c>
      <c r="R115" s="14">
        <f>SUM(R107:R114)</f>
        <v>-5216</v>
      </c>
      <c r="S115" s="14">
        <f>SUM(S107:S114)</f>
        <v>-7127</v>
      </c>
      <c r="T115" s="14">
        <f>SUM(T107:T114)</f>
        <v>-9024</v>
      </c>
      <c r="V115" s="14">
        <f t="shared" ref="V115:AC115" si="210">SUM(V114:V114)</f>
        <v>-124</v>
      </c>
      <c r="W115" s="14">
        <f t="shared" si="210"/>
        <v>-38</v>
      </c>
      <c r="X115" s="14">
        <f t="shared" si="210"/>
        <v>311</v>
      </c>
      <c r="Y115" s="14">
        <f t="shared" si="210"/>
        <v>748</v>
      </c>
      <c r="Z115" s="14">
        <f t="shared" si="210"/>
        <v>22</v>
      </c>
      <c r="AA115" s="14">
        <f t="shared" si="210"/>
        <v>157</v>
      </c>
      <c r="AB115" s="14">
        <f t="shared" si="210"/>
        <v>22</v>
      </c>
      <c r="AC115" s="14">
        <f t="shared" si="210"/>
        <v>22</v>
      </c>
      <c r="AD115" s="42"/>
      <c r="AE115" s="76">
        <f>SUM(AC115/Y115)-1</f>
        <v>-0.97058823529411764</v>
      </c>
    </row>
    <row r="116" spans="2:31" ht="5.0999999999999996" customHeight="1">
      <c r="B116" s="52"/>
      <c r="C116" s="61"/>
      <c r="D116" s="61"/>
      <c r="E116" s="61"/>
      <c r="F116" s="61"/>
      <c r="G116" s="61"/>
      <c r="H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V116" s="42"/>
      <c r="W116" s="42"/>
      <c r="X116" s="42"/>
      <c r="Y116" s="42"/>
      <c r="Z116" s="42"/>
      <c r="AA116" s="42"/>
      <c r="AB116" s="42"/>
      <c r="AC116" s="42"/>
      <c r="AD116" s="42"/>
      <c r="AE116" s="39"/>
    </row>
    <row r="117" spans="2:31" ht="12.75" customHeight="1">
      <c r="B117" s="53" t="s">
        <v>50</v>
      </c>
      <c r="C117" s="63"/>
      <c r="D117" s="63"/>
      <c r="E117" s="63"/>
      <c r="F117" s="63"/>
      <c r="G117" s="63"/>
      <c r="H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32"/>
      <c r="V117" s="32"/>
      <c r="W117" s="32"/>
      <c r="X117" s="32"/>
      <c r="Y117" s="32"/>
      <c r="Z117" s="32"/>
      <c r="AA117" s="32"/>
      <c r="AB117" s="32"/>
      <c r="AC117" s="32"/>
      <c r="AD117" s="64"/>
      <c r="AE117" s="75"/>
    </row>
    <row r="118" spans="2:31" ht="12.75" customHeight="1">
      <c r="B118" s="84" t="s">
        <v>172</v>
      </c>
      <c r="C118" s="82">
        <v>149</v>
      </c>
      <c r="D118" s="82">
        <v>194</v>
      </c>
      <c r="E118" s="82">
        <v>281</v>
      </c>
      <c r="F118" s="82">
        <v>355</v>
      </c>
      <c r="G118" s="82">
        <v>403</v>
      </c>
      <c r="H118" s="82">
        <v>490</v>
      </c>
      <c r="J118" s="82">
        <v>246</v>
      </c>
      <c r="K118" s="82">
        <f>247-J118</f>
        <v>1</v>
      </c>
      <c r="L118" s="82">
        <f>403-K118-J118</f>
        <v>156</v>
      </c>
      <c r="M118" s="32">
        <f>SUM(G118-SUM(J118:L118))</f>
        <v>0</v>
      </c>
      <c r="N118" s="82">
        <v>285</v>
      </c>
      <c r="O118" s="82">
        <f>285-N118</f>
        <v>0</v>
      </c>
      <c r="P118" s="82">
        <f>489-O118-N118</f>
        <v>204</v>
      </c>
      <c r="Q118" s="32">
        <f>SUM(H118-SUM(N118:P118))</f>
        <v>1</v>
      </c>
      <c r="R118" s="82">
        <v>370</v>
      </c>
      <c r="S118" s="82">
        <f>370-R118</f>
        <v>0</v>
      </c>
      <c r="T118" s="82">
        <f>643-S118-R118</f>
        <v>273</v>
      </c>
      <c r="U118" s="32"/>
      <c r="V118" s="32">
        <f t="shared" ref="V118:V125" si="211">SUM(J118:M118)</f>
        <v>403</v>
      </c>
      <c r="W118" s="32">
        <f t="shared" ref="W118:W125" si="212">SUM(K118:N118)</f>
        <v>442</v>
      </c>
      <c r="X118" s="32">
        <f t="shared" ref="X118:X125" si="213">SUM(L118:O118)</f>
        <v>441</v>
      </c>
      <c r="Y118" s="32">
        <f t="shared" ref="Y118:Y125" si="214">SUM(M118:P118)</f>
        <v>489</v>
      </c>
      <c r="Z118" s="32">
        <f t="shared" ref="Z118:Z125" si="215">SUM(N118:Q118)</f>
        <v>490</v>
      </c>
      <c r="AA118" s="32">
        <f t="shared" ref="AA118:AA125" si="216">SUM(O118:R118)</f>
        <v>575</v>
      </c>
      <c r="AB118" s="32">
        <f t="shared" ref="AB118:AB125" si="217">SUM(P118:S118)</f>
        <v>575</v>
      </c>
      <c r="AC118" s="32">
        <f t="shared" ref="AC118:AC125" si="218">SUM(Q118:T118)</f>
        <v>644</v>
      </c>
      <c r="AD118" s="64"/>
      <c r="AE118" s="75">
        <f>SUM(AC118/Y118)-1</f>
        <v>0.31697341513292443</v>
      </c>
    </row>
    <row r="119" spans="2:31" ht="12.75" customHeight="1">
      <c r="B119" s="84" t="s">
        <v>173</v>
      </c>
      <c r="C119" s="82">
        <v>0</v>
      </c>
      <c r="D119" s="82">
        <v>0</v>
      </c>
      <c r="E119" s="82">
        <v>0</v>
      </c>
      <c r="F119" s="82">
        <v>-10039</v>
      </c>
      <c r="G119" s="82">
        <v>-9533</v>
      </c>
      <c r="H119" s="82">
        <v>-33706</v>
      </c>
      <c r="J119" s="82">
        <v>0</v>
      </c>
      <c r="K119" s="82">
        <f>-3067-J119</f>
        <v>-3067</v>
      </c>
      <c r="L119" s="82">
        <f>-6874-K119-J119</f>
        <v>-3807</v>
      </c>
      <c r="M119" s="32">
        <f>SUM(G119-SUM(J119:L119))</f>
        <v>-2659</v>
      </c>
      <c r="N119" s="82">
        <v>-7740</v>
      </c>
      <c r="O119" s="82">
        <f>-14898-N119</f>
        <v>-7158</v>
      </c>
      <c r="P119" s="82">
        <f>-25895-O119-N119</f>
        <v>-10997</v>
      </c>
      <c r="Q119" s="32">
        <f>SUM(H119-SUM(N119:P119))</f>
        <v>-7811</v>
      </c>
      <c r="R119" s="82">
        <v>-14095</v>
      </c>
      <c r="S119" s="82">
        <f>-23815-R119</f>
        <v>-9720</v>
      </c>
      <c r="T119" s="82">
        <f>-36271-S119-R119</f>
        <v>-12456</v>
      </c>
      <c r="U119" s="32"/>
      <c r="V119" s="32">
        <f t="shared" si="211"/>
        <v>-9533</v>
      </c>
      <c r="W119" s="32">
        <f t="shared" si="212"/>
        <v>-17273</v>
      </c>
      <c r="X119" s="32">
        <f t="shared" si="213"/>
        <v>-21364</v>
      </c>
      <c r="Y119" s="32">
        <f t="shared" si="214"/>
        <v>-28554</v>
      </c>
      <c r="Z119" s="32">
        <f t="shared" si="215"/>
        <v>-33706</v>
      </c>
      <c r="AA119" s="32">
        <f t="shared" si="216"/>
        <v>-40061</v>
      </c>
      <c r="AB119" s="32">
        <f t="shared" si="217"/>
        <v>-42623</v>
      </c>
      <c r="AC119" s="32">
        <f t="shared" si="218"/>
        <v>-44082</v>
      </c>
      <c r="AD119" s="64"/>
      <c r="AE119" s="75">
        <f>SUM(AC119/Y119)-1</f>
        <v>0.54381172515234288</v>
      </c>
    </row>
    <row r="120" spans="2:31" ht="12.75" customHeight="1">
      <c r="B120" s="84" t="s">
        <v>174</v>
      </c>
      <c r="C120" s="82">
        <v>-551</v>
      </c>
      <c r="D120" s="82">
        <v>-942</v>
      </c>
      <c r="E120" s="82">
        <v>-1904</v>
      </c>
      <c r="F120" s="82">
        <v>-1475</v>
      </c>
      <c r="G120" s="82">
        <v>-2783</v>
      </c>
      <c r="H120" s="82">
        <v>-6930</v>
      </c>
      <c r="J120" s="82">
        <v>-507</v>
      </c>
      <c r="K120" s="82">
        <f>-1179-J120</f>
        <v>-672</v>
      </c>
      <c r="L120" s="82">
        <f>-1942-K120-J120</f>
        <v>-763</v>
      </c>
      <c r="M120" s="32">
        <f>SUM(G120-SUM(J120:L120))</f>
        <v>-841</v>
      </c>
      <c r="N120" s="82">
        <v>-1752</v>
      </c>
      <c r="O120" s="82">
        <f>-3389-N120</f>
        <v>-1637</v>
      </c>
      <c r="P120" s="82">
        <f>-5068-O120-N120</f>
        <v>-1679</v>
      </c>
      <c r="Q120" s="32">
        <f>SUM(H120-SUM(N120:P120))</f>
        <v>-1862</v>
      </c>
      <c r="R120" s="82">
        <v>-1532</v>
      </c>
      <c r="S120" s="82">
        <f>-3380-R120</f>
        <v>-1848</v>
      </c>
      <c r="T120" s="82">
        <f>-5809-S120-R120</f>
        <v>-2429</v>
      </c>
      <c r="U120" s="32"/>
      <c r="V120" s="32">
        <f t="shared" si="211"/>
        <v>-2783</v>
      </c>
      <c r="W120" s="32">
        <f t="shared" si="212"/>
        <v>-4028</v>
      </c>
      <c r="X120" s="32">
        <f t="shared" si="213"/>
        <v>-4993</v>
      </c>
      <c r="Y120" s="32">
        <f t="shared" si="214"/>
        <v>-5909</v>
      </c>
      <c r="Z120" s="32">
        <f t="shared" si="215"/>
        <v>-6930</v>
      </c>
      <c r="AA120" s="32">
        <f t="shared" si="216"/>
        <v>-6710</v>
      </c>
      <c r="AB120" s="32">
        <f t="shared" si="217"/>
        <v>-6921</v>
      </c>
      <c r="AC120" s="32">
        <f t="shared" si="218"/>
        <v>-7671</v>
      </c>
      <c r="AD120" s="64"/>
      <c r="AE120" s="75">
        <f>SUM(AC120/Y120)-1</f>
        <v>0.29818920291081397</v>
      </c>
    </row>
    <row r="121" spans="2:31" ht="12.75" customHeight="1">
      <c r="B121" s="84" t="s">
        <v>176</v>
      </c>
      <c r="C121" s="82">
        <v>-390</v>
      </c>
      <c r="D121" s="82">
        <v>-395</v>
      </c>
      <c r="E121" s="82">
        <v>-399</v>
      </c>
      <c r="F121" s="82">
        <v>-398</v>
      </c>
      <c r="G121" s="82">
        <v>-395</v>
      </c>
      <c r="H121" s="82">
        <v>-834</v>
      </c>
      <c r="J121" s="82">
        <v>-99</v>
      </c>
      <c r="K121" s="82">
        <f>-199-J121</f>
        <v>-100</v>
      </c>
      <c r="L121" s="82">
        <f>-296-K121-J121</f>
        <v>-97</v>
      </c>
      <c r="M121" s="32">
        <f>SUM(G121-SUM(J121:L121))</f>
        <v>-99</v>
      </c>
      <c r="N121" s="82">
        <v>-98</v>
      </c>
      <c r="O121" s="82">
        <f>-344-N121</f>
        <v>-246</v>
      </c>
      <c r="P121" s="82">
        <f>-589-O121-N121</f>
        <v>-245</v>
      </c>
      <c r="Q121" s="32">
        <f>SUM(H121-SUM(N121:P121))</f>
        <v>-245</v>
      </c>
      <c r="R121" s="82">
        <v>-244</v>
      </c>
      <c r="S121" s="82">
        <f>-488-R121</f>
        <v>-244</v>
      </c>
      <c r="T121" s="82">
        <f>-732-S121-R121</f>
        <v>-244</v>
      </c>
      <c r="U121" s="32"/>
      <c r="V121" s="32">
        <f t="shared" si="211"/>
        <v>-395</v>
      </c>
      <c r="W121" s="32">
        <f t="shared" si="212"/>
        <v>-394</v>
      </c>
      <c r="X121" s="32">
        <f t="shared" si="213"/>
        <v>-540</v>
      </c>
      <c r="Y121" s="32">
        <f t="shared" si="214"/>
        <v>-688</v>
      </c>
      <c r="Z121" s="32">
        <f t="shared" si="215"/>
        <v>-834</v>
      </c>
      <c r="AA121" s="32">
        <f t="shared" si="216"/>
        <v>-980</v>
      </c>
      <c r="AB121" s="32">
        <f t="shared" si="217"/>
        <v>-978</v>
      </c>
      <c r="AC121" s="32">
        <f t="shared" si="218"/>
        <v>-977</v>
      </c>
      <c r="AD121" s="64"/>
      <c r="AE121" s="75">
        <f>SUM(AC121/Y121)-1</f>
        <v>0.42005813953488369</v>
      </c>
    </row>
    <row r="122" spans="2:31" ht="12.75" customHeight="1">
      <c r="B122" s="84" t="s">
        <v>177</v>
      </c>
      <c r="C122" s="82">
        <v>0</v>
      </c>
      <c r="D122" s="82">
        <v>-17</v>
      </c>
      <c r="E122" s="82">
        <v>-83</v>
      </c>
      <c r="F122" s="82">
        <v>-58</v>
      </c>
      <c r="G122" s="82">
        <v>-74</v>
      </c>
      <c r="H122" s="82">
        <v>-129</v>
      </c>
      <c r="J122" s="82">
        <v>-20</v>
      </c>
      <c r="K122" s="82">
        <f>-31-J122</f>
        <v>-11</v>
      </c>
      <c r="L122" s="82">
        <f>-44-K122-J122</f>
        <v>-13</v>
      </c>
      <c r="M122" s="32">
        <f>SUM(G122-SUM(J122:L122))</f>
        <v>-30</v>
      </c>
      <c r="N122" s="82">
        <v>-40</v>
      </c>
      <c r="O122" s="82">
        <f>-69-N122</f>
        <v>-29</v>
      </c>
      <c r="P122" s="82">
        <f>-97-O122-N122</f>
        <v>-28</v>
      </c>
      <c r="Q122" s="32">
        <f>SUM(H122-SUM(N122:P122))</f>
        <v>-32</v>
      </c>
      <c r="R122" s="82">
        <v>-52</v>
      </c>
      <c r="S122" s="82">
        <f>-73-R122</f>
        <v>-21</v>
      </c>
      <c r="T122" s="82">
        <f>-97-S122-R122</f>
        <v>-24</v>
      </c>
      <c r="U122" s="32"/>
      <c r="V122" s="32">
        <f t="shared" si="211"/>
        <v>-74</v>
      </c>
      <c r="W122" s="32">
        <f t="shared" si="212"/>
        <v>-94</v>
      </c>
      <c r="X122" s="32">
        <f t="shared" si="213"/>
        <v>-112</v>
      </c>
      <c r="Y122" s="32">
        <f t="shared" si="214"/>
        <v>-127</v>
      </c>
      <c r="Z122" s="32">
        <f t="shared" si="215"/>
        <v>-129</v>
      </c>
      <c r="AA122" s="32">
        <f t="shared" si="216"/>
        <v>-141</v>
      </c>
      <c r="AB122" s="32">
        <f t="shared" si="217"/>
        <v>-133</v>
      </c>
      <c r="AC122" s="32">
        <f t="shared" si="218"/>
        <v>-129</v>
      </c>
      <c r="AD122" s="64"/>
      <c r="AE122" s="75">
        <f>SUM(AC122/Y122)-1</f>
        <v>1.5748031496062964E-2</v>
      </c>
    </row>
    <row r="123" spans="2:31" ht="12.75" customHeight="1">
      <c r="B123" s="84" t="s">
        <v>175</v>
      </c>
      <c r="C123" s="82">
        <v>0</v>
      </c>
      <c r="D123" s="82">
        <v>0</v>
      </c>
      <c r="E123" s="82">
        <v>-1000</v>
      </c>
      <c r="F123" s="82">
        <v>0</v>
      </c>
      <c r="G123" s="82">
        <v>-1250</v>
      </c>
      <c r="H123" s="82">
        <v>-1250</v>
      </c>
      <c r="J123" s="82">
        <v>0</v>
      </c>
      <c r="K123" s="82">
        <f>-1250-J123</f>
        <v>-1250</v>
      </c>
      <c r="L123" s="82">
        <f>-1250-K123-J123</f>
        <v>0</v>
      </c>
      <c r="M123" s="32">
        <f>SUM(G123-SUM(J123:L123))</f>
        <v>0</v>
      </c>
      <c r="N123" s="82">
        <v>0</v>
      </c>
      <c r="O123" s="82">
        <f>-1250-N123</f>
        <v>-1250</v>
      </c>
      <c r="P123" s="82">
        <f>-1250-O123-N123</f>
        <v>0</v>
      </c>
      <c r="Q123" s="32">
        <f>SUM(H123-SUM(N123:P123))</f>
        <v>0</v>
      </c>
      <c r="R123" s="82">
        <v>0</v>
      </c>
      <c r="S123" s="82">
        <v>0</v>
      </c>
      <c r="T123" s="82">
        <v>0</v>
      </c>
      <c r="U123" s="32"/>
      <c r="V123" s="32">
        <f t="shared" si="211"/>
        <v>-1250</v>
      </c>
      <c r="W123" s="32">
        <f t="shared" si="212"/>
        <v>-1250</v>
      </c>
      <c r="X123" s="32">
        <f t="shared" si="213"/>
        <v>-1250</v>
      </c>
      <c r="Y123" s="32">
        <f t="shared" si="214"/>
        <v>-1250</v>
      </c>
      <c r="Z123" s="32">
        <f t="shared" si="215"/>
        <v>-1250</v>
      </c>
      <c r="AA123" s="32">
        <f t="shared" si="216"/>
        <v>-1250</v>
      </c>
      <c r="AB123" s="32">
        <f t="shared" si="217"/>
        <v>0</v>
      </c>
      <c r="AC123" s="32">
        <f t="shared" si="218"/>
        <v>0</v>
      </c>
      <c r="AD123" s="64"/>
      <c r="AE123" s="75">
        <f>SUM(AC123/Y123)-1</f>
        <v>-1</v>
      </c>
    </row>
    <row r="124" spans="2:31" ht="12.75" customHeight="1">
      <c r="B124" s="84" t="s">
        <v>178</v>
      </c>
      <c r="C124" s="82">
        <v>0</v>
      </c>
      <c r="D124" s="82">
        <v>4968</v>
      </c>
      <c r="E124" s="82">
        <v>4977</v>
      </c>
      <c r="F124" s="82">
        <v>0</v>
      </c>
      <c r="G124" s="82">
        <v>0</v>
      </c>
      <c r="H124" s="82">
        <v>0</v>
      </c>
      <c r="J124" s="82">
        <v>0</v>
      </c>
      <c r="K124" s="82">
        <v>0</v>
      </c>
      <c r="L124" s="82">
        <v>0</v>
      </c>
      <c r="M124" s="32">
        <f>SUM(G124-SUM(J124:L124))</f>
        <v>0</v>
      </c>
      <c r="N124" s="82">
        <v>0</v>
      </c>
      <c r="O124" s="82">
        <v>0</v>
      </c>
      <c r="P124" s="82">
        <v>0</v>
      </c>
      <c r="Q124" s="32">
        <f>SUM(H124-SUM(N124:P124))</f>
        <v>0</v>
      </c>
      <c r="R124" s="82">
        <v>0</v>
      </c>
      <c r="S124" s="82">
        <v>0</v>
      </c>
      <c r="T124" s="82">
        <v>0</v>
      </c>
      <c r="U124" s="32"/>
      <c r="V124" s="32">
        <f t="shared" si="211"/>
        <v>0</v>
      </c>
      <c r="W124" s="32">
        <f t="shared" si="212"/>
        <v>0</v>
      </c>
      <c r="X124" s="32">
        <f t="shared" si="213"/>
        <v>0</v>
      </c>
      <c r="Y124" s="32">
        <f t="shared" si="214"/>
        <v>0</v>
      </c>
      <c r="Z124" s="32">
        <f t="shared" si="215"/>
        <v>0</v>
      </c>
      <c r="AA124" s="32">
        <f t="shared" si="216"/>
        <v>0</v>
      </c>
      <c r="AB124" s="32">
        <f t="shared" si="217"/>
        <v>0</v>
      </c>
      <c r="AC124" s="32">
        <f t="shared" si="218"/>
        <v>0</v>
      </c>
      <c r="AD124" s="64"/>
      <c r="AE124" s="75" t="e">
        <f>SUM(AC124/Y124)-1</f>
        <v>#DIV/0!</v>
      </c>
    </row>
    <row r="125" spans="2:31" ht="12.75" customHeight="1">
      <c r="B125" s="84" t="s">
        <v>162</v>
      </c>
      <c r="C125" s="82">
        <v>0</v>
      </c>
      <c r="D125" s="82">
        <v>-4</v>
      </c>
      <c r="E125" s="82">
        <v>-7</v>
      </c>
      <c r="F125" s="82">
        <v>-2</v>
      </c>
      <c r="G125" s="82">
        <v>-1</v>
      </c>
      <c r="H125" s="82">
        <v>0</v>
      </c>
      <c r="J125" s="82">
        <v>0</v>
      </c>
      <c r="K125" s="82">
        <v>0</v>
      </c>
      <c r="L125" s="82">
        <v>-1</v>
      </c>
      <c r="M125" s="32">
        <f>SUM(G125-SUM(J125:L125))</f>
        <v>0</v>
      </c>
      <c r="N125" s="82">
        <v>0</v>
      </c>
      <c r="O125" s="82">
        <v>0</v>
      </c>
      <c r="P125" s="82">
        <v>0</v>
      </c>
      <c r="Q125" s="32">
        <f>SUM(H125-SUM(N125:P125))</f>
        <v>0</v>
      </c>
      <c r="R125" s="82">
        <v>0</v>
      </c>
      <c r="S125" s="82">
        <v>0</v>
      </c>
      <c r="T125" s="82">
        <v>0</v>
      </c>
      <c r="U125" s="32"/>
      <c r="V125" s="32">
        <f t="shared" si="211"/>
        <v>-1</v>
      </c>
      <c r="W125" s="32">
        <f t="shared" si="212"/>
        <v>-1</v>
      </c>
      <c r="X125" s="32">
        <f t="shared" si="213"/>
        <v>-1</v>
      </c>
      <c r="Y125" s="32">
        <f t="shared" si="214"/>
        <v>0</v>
      </c>
      <c r="Z125" s="32">
        <f t="shared" si="215"/>
        <v>0</v>
      </c>
      <c r="AA125" s="32">
        <f t="shared" si="216"/>
        <v>0</v>
      </c>
      <c r="AB125" s="32">
        <f t="shared" si="217"/>
        <v>0</v>
      </c>
      <c r="AC125" s="32">
        <f t="shared" si="218"/>
        <v>0</v>
      </c>
      <c r="AD125" s="64"/>
      <c r="AE125" s="75" t="e">
        <f>SUM(AC125/Y125)-1</f>
        <v>#DIV/0!</v>
      </c>
    </row>
    <row r="126" spans="2:31" ht="12.75" customHeight="1">
      <c r="B126" s="13" t="s">
        <v>51</v>
      </c>
      <c r="C126" s="14">
        <f>SUM(C118:C125)</f>
        <v>-792</v>
      </c>
      <c r="D126" s="14">
        <f>SUM(D118:D125)</f>
        <v>3804</v>
      </c>
      <c r="E126" s="14">
        <f>SUM(E118:E125)</f>
        <v>1865</v>
      </c>
      <c r="F126" s="14">
        <f>SUM(F118:F125)</f>
        <v>-11617</v>
      </c>
      <c r="G126" s="14">
        <f>SUM(G118:G125)</f>
        <v>-13633</v>
      </c>
      <c r="H126" s="14">
        <f>SUM(H118:H125)</f>
        <v>-42359</v>
      </c>
      <c r="J126" s="14">
        <f>SUM(J118:J125)</f>
        <v>-380</v>
      </c>
      <c r="K126" s="14">
        <f>SUM(K118:K125)</f>
        <v>-5099</v>
      </c>
      <c r="L126" s="14">
        <f>SUM(L118:L125)</f>
        <v>-4525</v>
      </c>
      <c r="M126" s="14">
        <f>SUM(M118:M125)</f>
        <v>-3629</v>
      </c>
      <c r="N126" s="14">
        <f>SUM(N118:N125)</f>
        <v>-9345</v>
      </c>
      <c r="O126" s="14">
        <f>SUM(O118:O125)</f>
        <v>-10320</v>
      </c>
      <c r="P126" s="14">
        <f>SUM(P118:P125)</f>
        <v>-12745</v>
      </c>
      <c r="Q126" s="14">
        <f>SUM(Q118:Q125)</f>
        <v>-9949</v>
      </c>
      <c r="R126" s="14">
        <f>SUM(R118:R125)</f>
        <v>-15553</v>
      </c>
      <c r="S126" s="14">
        <f>SUM(S118:S125)</f>
        <v>-11833</v>
      </c>
      <c r="T126" s="14">
        <f>SUM(T118:T125)</f>
        <v>-14880</v>
      </c>
      <c r="V126" s="14">
        <f>SUM(V118:V125)</f>
        <v>-13633</v>
      </c>
      <c r="W126" s="14">
        <f>SUM(W118:W125)</f>
        <v>-22598</v>
      </c>
      <c r="X126" s="14">
        <f>SUM(X118:X125)</f>
        <v>-27819</v>
      </c>
      <c r="Y126" s="14">
        <f>SUM(Y118:Y125)</f>
        <v>-36039</v>
      </c>
      <c r="Z126" s="14">
        <f>SUM(Z118:Z125)</f>
        <v>-42359</v>
      </c>
      <c r="AA126" s="14">
        <f>SUM(AA118:AA125)</f>
        <v>-48567</v>
      </c>
      <c r="AB126" s="14">
        <f>SUM(AB118:AB125)</f>
        <v>-50080</v>
      </c>
      <c r="AC126" s="14">
        <f>SUM(AC118:AC125)</f>
        <v>-52215</v>
      </c>
      <c r="AD126" s="42"/>
      <c r="AE126" s="76">
        <f>SUM(AC126/Y126)-1</f>
        <v>0.44884708232747861</v>
      </c>
    </row>
    <row r="127" spans="2:31" ht="5.0999999999999996" customHeight="1">
      <c r="B127" s="71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11"/>
      <c r="AE127" s="45"/>
    </row>
    <row r="128" spans="2:31">
      <c r="B128" s="92" t="s">
        <v>76</v>
      </c>
      <c r="C128" s="165">
        <v>782</v>
      </c>
      <c r="D128" s="93">
        <f t="shared" ref="D128:H128" si="219">C135</f>
        <v>10896</v>
      </c>
      <c r="E128" s="93">
        <f t="shared" si="219"/>
        <v>847</v>
      </c>
      <c r="F128" s="93">
        <f t="shared" si="219"/>
        <v>1990</v>
      </c>
      <c r="G128" s="93">
        <f t="shared" si="219"/>
        <v>3389</v>
      </c>
      <c r="H128" s="93">
        <f t="shared" si="219"/>
        <v>7280</v>
      </c>
      <c r="I128" s="93"/>
      <c r="J128" s="93">
        <f>G128</f>
        <v>3389</v>
      </c>
      <c r="K128" s="93">
        <f t="shared" ref="K128:P128" si="220">J135</f>
        <v>5079</v>
      </c>
      <c r="L128" s="93">
        <f t="shared" si="220"/>
        <v>5782</v>
      </c>
      <c r="M128" s="93">
        <f t="shared" si="220"/>
        <v>5518</v>
      </c>
      <c r="N128" s="93">
        <f t="shared" si="220"/>
        <v>7280</v>
      </c>
      <c r="O128" s="93">
        <f t="shared" si="220"/>
        <v>7587</v>
      </c>
      <c r="P128" s="93">
        <f t="shared" si="220"/>
        <v>8563</v>
      </c>
      <c r="Q128" s="93">
        <f t="shared" ref="Q128:T128" si="221">P135</f>
        <v>9107</v>
      </c>
      <c r="R128" s="93">
        <f t="shared" si="221"/>
        <v>8589</v>
      </c>
      <c r="S128" s="93">
        <f t="shared" si="221"/>
        <v>15234</v>
      </c>
      <c r="T128" s="93">
        <f t="shared" si="221"/>
        <v>11639</v>
      </c>
      <c r="U128" s="93"/>
      <c r="V128" s="93">
        <f>M128</f>
        <v>5518</v>
      </c>
      <c r="W128" s="93">
        <f>V135</f>
        <v>7280</v>
      </c>
      <c r="X128" s="93">
        <f t="shared" ref="X128:AC128" si="222">W135</f>
        <v>7587</v>
      </c>
      <c r="Y128" s="93">
        <f t="shared" si="222"/>
        <v>8563</v>
      </c>
      <c r="Z128" s="93">
        <f t="shared" si="222"/>
        <v>9107</v>
      </c>
      <c r="AA128" s="93">
        <f t="shared" si="222"/>
        <v>8589</v>
      </c>
      <c r="AB128" s="93">
        <f t="shared" si="222"/>
        <v>15234</v>
      </c>
      <c r="AC128" s="138">
        <f t="shared" si="222"/>
        <v>11639</v>
      </c>
      <c r="AD128" s="11"/>
      <c r="AE128" s="45"/>
    </row>
    <row r="129" spans="2:31">
      <c r="B129" s="129" t="s">
        <v>88</v>
      </c>
      <c r="C129" s="82">
        <v>0</v>
      </c>
      <c r="D129" s="32">
        <f t="shared" ref="D129:H129" si="223">-C133</f>
        <v>0</v>
      </c>
      <c r="E129" s="32">
        <f t="shared" si="223"/>
        <v>0</v>
      </c>
      <c r="F129" s="32">
        <f t="shared" si="223"/>
        <v>0</v>
      </c>
      <c r="G129" s="32">
        <f t="shared" si="223"/>
        <v>0</v>
      </c>
      <c r="H129" s="32">
        <f t="shared" si="223"/>
        <v>0</v>
      </c>
      <c r="I129" s="32"/>
      <c r="J129" s="32">
        <f>0+(G129)</f>
        <v>0</v>
      </c>
      <c r="K129" s="32">
        <f t="shared" ref="K129:Q129" si="224">-J133</f>
        <v>0</v>
      </c>
      <c r="L129" s="32">
        <f t="shared" si="224"/>
        <v>99</v>
      </c>
      <c r="M129" s="32">
        <f t="shared" si="224"/>
        <v>0</v>
      </c>
      <c r="N129" s="32">
        <f t="shared" si="224"/>
        <v>0</v>
      </c>
      <c r="O129" s="32">
        <f t="shared" si="224"/>
        <v>0</v>
      </c>
      <c r="P129" s="32">
        <f t="shared" si="224"/>
        <v>8</v>
      </c>
      <c r="Q129" s="32">
        <f t="shared" si="224"/>
        <v>0</v>
      </c>
      <c r="R129" s="32">
        <f t="shared" ref="R129" si="225">-Q133</f>
        <v>0</v>
      </c>
      <c r="S129" s="32">
        <f t="shared" ref="S129" si="226">-R133</f>
        <v>0</v>
      </c>
      <c r="T129" s="32">
        <f t="shared" ref="T129" si="227">-S133</f>
        <v>0</v>
      </c>
      <c r="U129" s="32"/>
      <c r="V129" s="32">
        <f>M129</f>
        <v>0</v>
      </c>
      <c r="W129" s="32">
        <f>-V133</f>
        <v>0</v>
      </c>
      <c r="X129" s="32">
        <f t="shared" ref="X129:AC129" si="228">-W133</f>
        <v>0</v>
      </c>
      <c r="Y129" s="32">
        <f t="shared" si="228"/>
        <v>8</v>
      </c>
      <c r="Z129" s="32">
        <f t="shared" si="228"/>
        <v>0</v>
      </c>
      <c r="AA129" s="32">
        <f t="shared" si="228"/>
        <v>0</v>
      </c>
      <c r="AB129" s="32">
        <f t="shared" si="228"/>
        <v>0</v>
      </c>
      <c r="AC129" s="132">
        <f t="shared" si="228"/>
        <v>0</v>
      </c>
      <c r="AD129" s="11"/>
      <c r="AE129" s="45"/>
    </row>
    <row r="130" spans="2:31">
      <c r="B130" s="143" t="s">
        <v>64</v>
      </c>
      <c r="C130" s="144">
        <f t="shared" ref="C130" si="229">SUM(C128:C129)</f>
        <v>782</v>
      </c>
      <c r="D130" s="144">
        <f t="shared" ref="D130:G130" si="230">SUM(D128:D129)</f>
        <v>10896</v>
      </c>
      <c r="E130" s="144">
        <f t="shared" si="230"/>
        <v>847</v>
      </c>
      <c r="F130" s="144">
        <f t="shared" si="230"/>
        <v>1990</v>
      </c>
      <c r="G130" s="144">
        <f t="shared" si="230"/>
        <v>3389</v>
      </c>
      <c r="H130" s="144">
        <f t="shared" ref="H130" si="231">SUM(H128:H129)</f>
        <v>7280</v>
      </c>
      <c r="I130" s="32"/>
      <c r="J130" s="144">
        <f t="shared" ref="J130:P130" si="232">SUM(J128:J129)</f>
        <v>3389</v>
      </c>
      <c r="K130" s="144">
        <f t="shared" si="232"/>
        <v>5079</v>
      </c>
      <c r="L130" s="144">
        <f t="shared" si="232"/>
        <v>5881</v>
      </c>
      <c r="M130" s="144">
        <f t="shared" si="232"/>
        <v>5518</v>
      </c>
      <c r="N130" s="144">
        <f t="shared" si="232"/>
        <v>7280</v>
      </c>
      <c r="O130" s="144">
        <f t="shared" si="232"/>
        <v>7587</v>
      </c>
      <c r="P130" s="144">
        <f t="shared" si="232"/>
        <v>8571</v>
      </c>
      <c r="Q130" s="144">
        <f t="shared" ref="Q130:T130" si="233">SUM(Q128:Q129)</f>
        <v>9107</v>
      </c>
      <c r="R130" s="144">
        <f t="shared" si="233"/>
        <v>8589</v>
      </c>
      <c r="S130" s="144">
        <f t="shared" si="233"/>
        <v>15234</v>
      </c>
      <c r="T130" s="144">
        <f t="shared" si="233"/>
        <v>11639</v>
      </c>
      <c r="U130" s="32"/>
      <c r="V130" s="144">
        <f t="shared" ref="V130" si="234">SUM(V128:V129)</f>
        <v>5518</v>
      </c>
      <c r="W130" s="144">
        <f t="shared" ref="W130:AA130" si="235">SUM(W128:W129)</f>
        <v>7280</v>
      </c>
      <c r="X130" s="144">
        <f t="shared" si="235"/>
        <v>7587</v>
      </c>
      <c r="Y130" s="144">
        <f t="shared" si="235"/>
        <v>8571</v>
      </c>
      <c r="Z130" s="144">
        <f t="shared" si="235"/>
        <v>9107</v>
      </c>
      <c r="AA130" s="144">
        <f t="shared" ref="V130:AC130" si="236">SUM(AA128:AA129)</f>
        <v>8589</v>
      </c>
      <c r="AB130" s="144">
        <f t="shared" si="236"/>
        <v>15234</v>
      </c>
      <c r="AC130" s="145">
        <f t="shared" si="236"/>
        <v>11639</v>
      </c>
      <c r="AD130" s="11"/>
      <c r="AE130" s="45"/>
    </row>
    <row r="131" spans="2:31" ht="5.0999999999999996" customHeight="1">
      <c r="B131" s="135"/>
      <c r="C131" s="71"/>
      <c r="D131" s="71"/>
      <c r="E131" s="71"/>
      <c r="F131" s="71"/>
      <c r="G131" s="71"/>
      <c r="H131" s="71"/>
      <c r="I131" s="32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32"/>
      <c r="V131" s="71"/>
      <c r="W131" s="71"/>
      <c r="X131" s="71"/>
      <c r="Y131" s="71"/>
      <c r="Z131" s="71"/>
      <c r="AA131" s="71"/>
      <c r="AB131" s="71"/>
      <c r="AC131" s="133"/>
      <c r="AD131" s="11"/>
      <c r="AE131" s="45"/>
    </row>
    <row r="132" spans="2:31">
      <c r="B132" s="129" t="s">
        <v>77</v>
      </c>
      <c r="C132" s="82">
        <v>0</v>
      </c>
      <c r="D132" s="82">
        <v>0</v>
      </c>
      <c r="E132" s="82">
        <v>0</v>
      </c>
      <c r="F132" s="82">
        <v>0</v>
      </c>
      <c r="G132" s="82">
        <v>0</v>
      </c>
      <c r="H132" s="82">
        <v>0</v>
      </c>
      <c r="I132" s="32"/>
      <c r="J132" s="82">
        <v>0</v>
      </c>
      <c r="K132" s="82">
        <v>0</v>
      </c>
      <c r="L132" s="82">
        <v>0</v>
      </c>
      <c r="M132" s="32">
        <f>SUM(G132-SUM(J132:L132))</f>
        <v>0</v>
      </c>
      <c r="N132" s="82">
        <v>0</v>
      </c>
      <c r="O132" s="82">
        <v>0</v>
      </c>
      <c r="P132" s="82">
        <v>0</v>
      </c>
      <c r="Q132" s="32">
        <f>SUM(H132-SUM(N132:P132))</f>
        <v>0</v>
      </c>
      <c r="R132" s="82">
        <v>0</v>
      </c>
      <c r="S132" s="82">
        <v>0</v>
      </c>
      <c r="T132" s="82">
        <v>0</v>
      </c>
      <c r="U132" s="32"/>
      <c r="V132" s="32">
        <f t="shared" ref="V132:AB134" si="237">M132</f>
        <v>0</v>
      </c>
      <c r="W132" s="32">
        <f t="shared" si="237"/>
        <v>0</v>
      </c>
      <c r="X132" s="32">
        <f t="shared" si="237"/>
        <v>0</v>
      </c>
      <c r="Y132" s="32">
        <f t="shared" si="237"/>
        <v>0</v>
      </c>
      <c r="Z132" s="32">
        <f t="shared" si="237"/>
        <v>0</v>
      </c>
      <c r="AA132" s="32">
        <f t="shared" si="237"/>
        <v>0</v>
      </c>
      <c r="AB132" s="32">
        <f t="shared" si="237"/>
        <v>0</v>
      </c>
      <c r="AC132" s="132">
        <f>T132</f>
        <v>0</v>
      </c>
      <c r="AD132" s="11"/>
      <c r="AE132" s="45"/>
    </row>
    <row r="133" spans="2:31">
      <c r="B133" s="129" t="s">
        <v>87</v>
      </c>
      <c r="C133" s="82">
        <v>0</v>
      </c>
      <c r="D133" s="82">
        <v>0</v>
      </c>
      <c r="E133" s="82">
        <v>0</v>
      </c>
      <c r="F133" s="82">
        <v>0</v>
      </c>
      <c r="G133" s="82">
        <v>0</v>
      </c>
      <c r="H133" s="82">
        <v>0</v>
      </c>
      <c r="I133" s="32"/>
      <c r="J133" s="82">
        <v>0</v>
      </c>
      <c r="K133" s="82">
        <v>-99</v>
      </c>
      <c r="L133" s="82">
        <v>0</v>
      </c>
      <c r="M133" s="32">
        <f>G133</f>
        <v>0</v>
      </c>
      <c r="N133" s="82">
        <v>0</v>
      </c>
      <c r="O133" s="82">
        <v>-8</v>
      </c>
      <c r="P133" s="82">
        <v>0</v>
      </c>
      <c r="Q133" s="32">
        <f>H133</f>
        <v>0</v>
      </c>
      <c r="R133" s="82">
        <v>0</v>
      </c>
      <c r="S133" s="82">
        <v>0</v>
      </c>
      <c r="T133" s="82">
        <v>0</v>
      </c>
      <c r="U133" s="32"/>
      <c r="V133" s="32">
        <f t="shared" si="237"/>
        <v>0</v>
      </c>
      <c r="W133" s="32">
        <f t="shared" si="237"/>
        <v>0</v>
      </c>
      <c r="X133" s="32">
        <f t="shared" si="237"/>
        <v>-8</v>
      </c>
      <c r="Y133" s="32">
        <f t="shared" si="237"/>
        <v>0</v>
      </c>
      <c r="Z133" s="32">
        <f t="shared" si="237"/>
        <v>0</v>
      </c>
      <c r="AA133" s="32">
        <f t="shared" si="237"/>
        <v>0</v>
      </c>
      <c r="AB133" s="32">
        <f t="shared" si="237"/>
        <v>0</v>
      </c>
      <c r="AC133" s="132">
        <f>T133</f>
        <v>0</v>
      </c>
      <c r="AD133" s="11"/>
      <c r="AE133" s="45"/>
    </row>
    <row r="134" spans="2:31">
      <c r="B134" s="129" t="s">
        <v>55</v>
      </c>
      <c r="C134" s="32">
        <f>+C126+C115+C104</f>
        <v>10114</v>
      </c>
      <c r="D134" s="32">
        <f>+D126+D115+D104</f>
        <v>-10049</v>
      </c>
      <c r="E134" s="32">
        <f>+E126+E115+E104</f>
        <v>1143</v>
      </c>
      <c r="F134" s="32">
        <f>+F126+F115+F104</f>
        <v>1399</v>
      </c>
      <c r="G134" s="32">
        <f>+G126+G115+G104</f>
        <v>3891</v>
      </c>
      <c r="H134" s="32">
        <f>+H126+H115+H104</f>
        <v>1309</v>
      </c>
      <c r="I134" s="32"/>
      <c r="J134" s="32">
        <f>+J126+J115+J104</f>
        <v>1690</v>
      </c>
      <c r="K134" s="32">
        <f>+K126+K115+K104</f>
        <v>802</v>
      </c>
      <c r="L134" s="32">
        <f>+L126+L115+L104</f>
        <v>-363</v>
      </c>
      <c r="M134" s="32">
        <f>+M126+M115+M104</f>
        <v>1762</v>
      </c>
      <c r="N134" s="32">
        <f>+N126+N115+N104</f>
        <v>307</v>
      </c>
      <c r="O134" s="32">
        <f>+O126+O115+O104</f>
        <v>984</v>
      </c>
      <c r="P134" s="32">
        <f>+P126+P115+P104</f>
        <v>536</v>
      </c>
      <c r="Q134" s="32">
        <f>+Q126+Q115+Q104</f>
        <v>-518</v>
      </c>
      <c r="R134" s="32">
        <f>+R126+R115+R104</f>
        <v>6645</v>
      </c>
      <c r="S134" s="32">
        <f>+S126+S115+S104</f>
        <v>-3595</v>
      </c>
      <c r="T134" s="32">
        <f>+T126+T115+T104</f>
        <v>-153</v>
      </c>
      <c r="U134" s="32"/>
      <c r="V134" s="32">
        <f t="shared" si="237"/>
        <v>1762</v>
      </c>
      <c r="W134" s="32">
        <f t="shared" si="237"/>
        <v>307</v>
      </c>
      <c r="X134" s="32">
        <f t="shared" si="237"/>
        <v>984</v>
      </c>
      <c r="Y134" s="32">
        <f t="shared" si="237"/>
        <v>536</v>
      </c>
      <c r="Z134" s="32">
        <f t="shared" si="237"/>
        <v>-518</v>
      </c>
      <c r="AA134" s="32">
        <f t="shared" si="237"/>
        <v>6645</v>
      </c>
      <c r="AB134" s="32">
        <f t="shared" si="237"/>
        <v>-3595</v>
      </c>
      <c r="AC134" s="132">
        <f>T134</f>
        <v>-153</v>
      </c>
      <c r="AD134" s="11"/>
      <c r="AE134" s="45"/>
    </row>
    <row r="135" spans="2:31">
      <c r="B135" s="89" t="s">
        <v>65</v>
      </c>
      <c r="C135" s="144">
        <f t="shared" ref="C135:H135" si="238">SUM(C130:C134)</f>
        <v>10896</v>
      </c>
      <c r="D135" s="144">
        <f t="shared" si="238"/>
        <v>847</v>
      </c>
      <c r="E135" s="144">
        <f t="shared" si="238"/>
        <v>1990</v>
      </c>
      <c r="F135" s="144">
        <f t="shared" si="238"/>
        <v>3389</v>
      </c>
      <c r="G135" s="144">
        <f t="shared" si="238"/>
        <v>7280</v>
      </c>
      <c r="H135" s="144">
        <f t="shared" si="238"/>
        <v>8589</v>
      </c>
      <c r="I135" s="32"/>
      <c r="J135" s="144">
        <f t="shared" ref="J135:Q135" si="239">SUM(J130:J134)</f>
        <v>5079</v>
      </c>
      <c r="K135" s="144">
        <f t="shared" si="239"/>
        <v>5782</v>
      </c>
      <c r="L135" s="144">
        <f t="shared" si="239"/>
        <v>5518</v>
      </c>
      <c r="M135" s="144">
        <f t="shared" si="239"/>
        <v>7280</v>
      </c>
      <c r="N135" s="144">
        <f t="shared" si="239"/>
        <v>7587</v>
      </c>
      <c r="O135" s="144">
        <f t="shared" si="239"/>
        <v>8563</v>
      </c>
      <c r="P135" s="144">
        <f t="shared" si="239"/>
        <v>9107</v>
      </c>
      <c r="Q135" s="144">
        <f t="shared" si="239"/>
        <v>8589</v>
      </c>
      <c r="R135" s="144">
        <f t="shared" ref="R135" si="240">SUM(R130:R134)</f>
        <v>15234</v>
      </c>
      <c r="S135" s="144">
        <f t="shared" ref="S135" si="241">SUM(S130:S134)</f>
        <v>11639</v>
      </c>
      <c r="T135" s="144">
        <f t="shared" ref="T135" si="242">SUM(T130:T134)</f>
        <v>11486</v>
      </c>
      <c r="U135" s="32"/>
      <c r="V135" s="144">
        <f t="shared" ref="V135:Y135" si="243">SUM(V130:V134)</f>
        <v>7280</v>
      </c>
      <c r="W135" s="144">
        <f t="shared" si="243"/>
        <v>7587</v>
      </c>
      <c r="X135" s="144">
        <f t="shared" si="243"/>
        <v>8563</v>
      </c>
      <c r="Y135" s="144">
        <f t="shared" ref="V135:AC135" si="244">SUM(Y130:Y134)</f>
        <v>9107</v>
      </c>
      <c r="Z135" s="144">
        <f t="shared" si="244"/>
        <v>8589</v>
      </c>
      <c r="AA135" s="144">
        <f t="shared" si="244"/>
        <v>15234</v>
      </c>
      <c r="AB135" s="144">
        <f t="shared" si="244"/>
        <v>11639</v>
      </c>
      <c r="AC135" s="145">
        <f t="shared" si="244"/>
        <v>11486</v>
      </c>
      <c r="AD135" s="11"/>
      <c r="AE135" s="45"/>
    </row>
    <row r="136" spans="2:31" ht="5.0999999999999996" customHeight="1">
      <c r="B136" s="90"/>
      <c r="C136" s="65"/>
      <c r="D136" s="65"/>
      <c r="E136" s="65"/>
      <c r="F136" s="65"/>
      <c r="G136" s="65"/>
      <c r="H136" s="65"/>
      <c r="I136" s="32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V136" s="11"/>
      <c r="W136" s="11"/>
      <c r="X136" s="11"/>
      <c r="Y136" s="11"/>
      <c r="Z136" s="11"/>
      <c r="AA136" s="11"/>
      <c r="AB136" s="11"/>
      <c r="AC136" s="91"/>
      <c r="AD136" s="11"/>
      <c r="AE136" s="45"/>
    </row>
    <row r="137" spans="2:31">
      <c r="B137" s="136" t="s">
        <v>80</v>
      </c>
      <c r="C137" s="87">
        <f>ROUND(C135-C44,-1)</f>
        <v>0</v>
      </c>
      <c r="D137" s="87">
        <f>ROUND(D135-D44,-1)</f>
        <v>0</v>
      </c>
      <c r="E137" s="87">
        <f>ROUND(E135-E44,-1)</f>
        <v>0</v>
      </c>
      <c r="F137" s="87">
        <f>ROUND(F135-F44,-1)</f>
        <v>0</v>
      </c>
      <c r="G137" s="87">
        <f>ROUND(G135-G44,-1)</f>
        <v>0</v>
      </c>
      <c r="H137" s="87">
        <f>ROUND(H135-H44,-1)</f>
        <v>0</v>
      </c>
      <c r="I137" s="88"/>
      <c r="J137" s="87">
        <f>ROUND(J135-J44,-1)</f>
        <v>0</v>
      </c>
      <c r="K137" s="87">
        <f>ROUND(K135-K44,-1)</f>
        <v>0</v>
      </c>
      <c r="L137" s="87">
        <f>ROUND(L135-L44,-1)</f>
        <v>0</v>
      </c>
      <c r="M137" s="87">
        <f>ROUND(M135-M44,-1)</f>
        <v>0</v>
      </c>
      <c r="N137" s="87">
        <f>ROUND(N135-N44,-1)</f>
        <v>0</v>
      </c>
      <c r="O137" s="87">
        <f>ROUND(O135-O44,-1)</f>
        <v>0</v>
      </c>
      <c r="P137" s="87">
        <f>ROUND(P135-P44,-1)</f>
        <v>0</v>
      </c>
      <c r="Q137" s="87">
        <f>ROUND(Q135-Q44,-1)</f>
        <v>0</v>
      </c>
      <c r="R137" s="87">
        <f>ROUND(R135-R44,-1)</f>
        <v>0</v>
      </c>
      <c r="S137" s="87">
        <f>ROUND(S135-S44,-1)</f>
        <v>0</v>
      </c>
      <c r="T137" s="87">
        <f>ROUND(T135-T44,-1)</f>
        <v>0</v>
      </c>
      <c r="U137" s="87"/>
      <c r="V137" s="87">
        <f>ROUND(V135-V44,-1)</f>
        <v>0</v>
      </c>
      <c r="W137" s="87">
        <f>ROUND(W135-W44,-1)</f>
        <v>0</v>
      </c>
      <c r="X137" s="87">
        <f>ROUND(X135-X44,-1)</f>
        <v>0</v>
      </c>
      <c r="Y137" s="87">
        <f>ROUND(Y135-Y44,-1)</f>
        <v>0</v>
      </c>
      <c r="Z137" s="87">
        <f>ROUND(Z135-Z44,-1)</f>
        <v>0</v>
      </c>
      <c r="AA137" s="87">
        <f>ROUND(AA135-AA44,-1)</f>
        <v>0</v>
      </c>
      <c r="AB137" s="87">
        <f>ROUND(AB135-AB44,-1)</f>
        <v>0</v>
      </c>
      <c r="AC137" s="134">
        <f>ROUND(AC135-AC44,-1)</f>
        <v>0</v>
      </c>
      <c r="AD137" s="11"/>
      <c r="AE137" s="45"/>
    </row>
    <row r="138" spans="2:31" ht="5.0999999999999996" customHeight="1">
      <c r="B138" s="8"/>
      <c r="C138" s="65"/>
      <c r="D138" s="65"/>
      <c r="E138" s="65"/>
      <c r="F138" s="65"/>
      <c r="G138" s="65"/>
      <c r="H138" s="65"/>
      <c r="I138" s="32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V138" s="11"/>
      <c r="W138" s="11"/>
      <c r="X138" s="11"/>
      <c r="Y138" s="11"/>
      <c r="Z138" s="11"/>
      <c r="AA138" s="11"/>
      <c r="AB138" s="11"/>
      <c r="AC138" s="11"/>
      <c r="AD138" s="11"/>
      <c r="AE138" s="45"/>
    </row>
    <row r="139" spans="2:31" ht="12.75" customHeight="1">
      <c r="B139" s="72" t="s">
        <v>56</v>
      </c>
      <c r="C139" s="62"/>
      <c r="D139" s="62"/>
      <c r="E139" s="62"/>
      <c r="F139" s="62"/>
      <c r="G139" s="62"/>
      <c r="H139" s="62"/>
      <c r="I139" s="11"/>
      <c r="J139" s="62"/>
      <c r="K139" s="62"/>
      <c r="L139" s="62"/>
      <c r="M139" s="62"/>
      <c r="N139" s="82"/>
      <c r="O139" s="62"/>
      <c r="P139" s="62"/>
      <c r="Q139" s="62"/>
      <c r="R139" s="62"/>
      <c r="S139" s="62"/>
      <c r="T139" s="62"/>
      <c r="V139" s="62"/>
      <c r="W139" s="62"/>
      <c r="X139" s="62"/>
      <c r="Y139" s="62"/>
      <c r="Z139" s="62"/>
      <c r="AA139" s="62"/>
      <c r="AB139" s="62"/>
      <c r="AC139" s="62"/>
      <c r="AD139" s="66"/>
      <c r="AE139" s="45"/>
    </row>
    <row r="140" spans="2:31" ht="12.75" customHeight="1">
      <c r="B140" s="8" t="s">
        <v>100</v>
      </c>
      <c r="C140" s="82">
        <v>176</v>
      </c>
      <c r="D140" s="82">
        <v>249</v>
      </c>
      <c r="E140" s="82">
        <v>396</v>
      </c>
      <c r="F140" s="82">
        <v>1404</v>
      </c>
      <c r="G140" s="82">
        <v>6549</v>
      </c>
      <c r="H140" s="82">
        <v>15118</v>
      </c>
      <c r="I140" s="11"/>
      <c r="J140" s="82">
        <v>0</v>
      </c>
      <c r="K140" s="82">
        <v>328</v>
      </c>
      <c r="L140" s="82">
        <f>4676-K140</f>
        <v>4348</v>
      </c>
      <c r="M140" s="32">
        <f>SUM(G140-SUM(J140:L140))</f>
        <v>1873</v>
      </c>
      <c r="N140" s="82">
        <v>0</v>
      </c>
      <c r="O140" s="82">
        <v>7449</v>
      </c>
      <c r="P140" s="82">
        <f>10989-O140-N140</f>
        <v>3540</v>
      </c>
      <c r="Q140" s="32">
        <f>SUM(H140-SUM(N140:P140))</f>
        <v>4129</v>
      </c>
      <c r="R140" s="82">
        <v>0</v>
      </c>
      <c r="S140" s="82">
        <f>8451-R140</f>
        <v>8451</v>
      </c>
      <c r="T140" s="82">
        <f>13309-S140-R140</f>
        <v>4858</v>
      </c>
      <c r="V140" s="32">
        <f t="shared" ref="V140:V141" si="245">SUM(J140:M140)</f>
        <v>6549</v>
      </c>
      <c r="W140" s="32">
        <f t="shared" ref="W140:W141" si="246">SUM(K140:N140)</f>
        <v>6549</v>
      </c>
      <c r="X140" s="32">
        <f t="shared" ref="X140:X141" si="247">SUM(L140:O140)</f>
        <v>13670</v>
      </c>
      <c r="Y140" s="32">
        <f t="shared" ref="Y140:Y141" si="248">SUM(M140:P140)</f>
        <v>12862</v>
      </c>
      <c r="Z140" s="32">
        <f t="shared" ref="Z140:Z141" si="249">SUM(N140:Q140)</f>
        <v>15118</v>
      </c>
      <c r="AA140" s="32">
        <f t="shared" ref="AA140:AA141" si="250">SUM(O140:R140)</f>
        <v>15118</v>
      </c>
      <c r="AB140" s="32">
        <f t="shared" ref="AB140:AB141" si="251">SUM(P140:S140)</f>
        <v>16120</v>
      </c>
      <c r="AC140" s="32">
        <f t="shared" ref="AC140:AC141" si="252">SUM(Q140:T140)</f>
        <v>17438</v>
      </c>
      <c r="AD140" s="66"/>
      <c r="AE140" s="45"/>
    </row>
    <row r="141" spans="2:31" ht="12.75" customHeight="1">
      <c r="B141" s="8" t="s">
        <v>171</v>
      </c>
      <c r="C141" s="82">
        <v>54</v>
      </c>
      <c r="D141" s="82">
        <v>138</v>
      </c>
      <c r="E141" s="82">
        <v>246</v>
      </c>
      <c r="F141" s="82">
        <v>254</v>
      </c>
      <c r="G141" s="82">
        <v>252</v>
      </c>
      <c r="H141" s="82">
        <v>246</v>
      </c>
      <c r="I141" s="32"/>
      <c r="J141" s="82">
        <v>0</v>
      </c>
      <c r="K141" s="82">
        <v>0</v>
      </c>
      <c r="L141" s="82">
        <v>0</v>
      </c>
      <c r="M141" s="32">
        <f>SUM(G141-SUM(J141:L141))</f>
        <v>252</v>
      </c>
      <c r="N141" s="82">
        <v>0</v>
      </c>
      <c r="O141" s="82">
        <v>0</v>
      </c>
      <c r="P141" s="82">
        <v>0</v>
      </c>
      <c r="Q141" s="32">
        <f>SUM(H141-SUM(N141:P141))</f>
        <v>246</v>
      </c>
      <c r="R141" s="82">
        <v>0</v>
      </c>
      <c r="S141" s="82">
        <v>0</v>
      </c>
      <c r="T141" s="82">
        <v>0</v>
      </c>
      <c r="U141" s="32"/>
      <c r="V141" s="32">
        <f t="shared" si="245"/>
        <v>252</v>
      </c>
      <c r="W141" s="32">
        <f t="shared" si="246"/>
        <v>252</v>
      </c>
      <c r="X141" s="32">
        <f t="shared" si="247"/>
        <v>252</v>
      </c>
      <c r="Y141" s="32">
        <f t="shared" si="248"/>
        <v>252</v>
      </c>
      <c r="Z141" s="32">
        <f t="shared" si="249"/>
        <v>246</v>
      </c>
      <c r="AA141" s="32">
        <f t="shared" si="250"/>
        <v>246</v>
      </c>
      <c r="AB141" s="32">
        <f t="shared" si="251"/>
        <v>246</v>
      </c>
      <c r="AC141" s="32">
        <f t="shared" si="252"/>
        <v>246</v>
      </c>
      <c r="AD141" s="11"/>
      <c r="AE141" s="45"/>
    </row>
    <row r="142" spans="2:31" ht="5.0999999999999996" customHeight="1" thickBot="1">
      <c r="B142" s="73"/>
      <c r="C142" s="74"/>
      <c r="D142" s="74"/>
      <c r="E142" s="74"/>
      <c r="F142" s="74"/>
      <c r="G142" s="74"/>
      <c r="H142" s="74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E142" s="45"/>
    </row>
    <row r="143" spans="2:31" ht="12.75" customHeight="1">
      <c r="B143" s="53"/>
      <c r="C143" s="67"/>
      <c r="D143" s="67"/>
      <c r="E143" s="67"/>
      <c r="F143" s="67"/>
      <c r="G143" s="67"/>
      <c r="H143" s="67"/>
    </row>
    <row r="144" spans="2:31" ht="12.75" customHeight="1">
      <c r="C144" s="56"/>
      <c r="D144" s="56"/>
      <c r="E144" s="56"/>
      <c r="F144" s="56"/>
      <c r="G144" s="56"/>
      <c r="H144" s="56"/>
    </row>
    <row r="145" spans="3:11" ht="12.75" customHeight="1">
      <c r="C145" s="56"/>
      <c r="D145" s="56"/>
      <c r="E145" s="56"/>
      <c r="F145" s="56"/>
      <c r="G145" s="56"/>
      <c r="H145" s="56"/>
      <c r="I145" s="56"/>
      <c r="J145" s="56"/>
    </row>
    <row r="146" spans="3:11" ht="12.75" customHeight="1">
      <c r="C146" s="56"/>
      <c r="D146" s="56"/>
      <c r="E146" s="56"/>
      <c r="F146" s="56"/>
      <c r="G146" s="56"/>
      <c r="H146" s="56"/>
      <c r="I146" s="56"/>
      <c r="J146" s="56"/>
    </row>
    <row r="147" spans="3:11" ht="12.75" customHeight="1">
      <c r="C147" s="56"/>
      <c r="D147" s="56"/>
      <c r="E147" s="56"/>
      <c r="F147" s="56"/>
      <c r="G147" s="56"/>
      <c r="H147" s="56"/>
      <c r="I147" s="56"/>
      <c r="J147" s="56"/>
    </row>
    <row r="148" spans="3:11" ht="12.75" customHeight="1">
      <c r="C148" s="56"/>
      <c r="D148" s="56"/>
      <c r="E148" s="56"/>
      <c r="F148" s="56"/>
      <c r="G148" s="56"/>
      <c r="H148" s="56"/>
      <c r="I148" s="56"/>
      <c r="J148" s="56"/>
    </row>
    <row r="149" spans="3:11" ht="12.75" customHeight="1">
      <c r="C149" s="56"/>
      <c r="D149" s="56"/>
      <c r="E149" s="56"/>
      <c r="F149" s="56"/>
      <c r="G149" s="56"/>
      <c r="H149" s="56"/>
      <c r="I149" s="56"/>
      <c r="J149" s="56"/>
      <c r="K149" s="86"/>
    </row>
    <row r="150" spans="3:11" ht="12.75" customHeight="1">
      <c r="C150" s="56"/>
      <c r="D150" s="56"/>
      <c r="E150" s="56"/>
      <c r="F150" s="56"/>
      <c r="G150" s="56"/>
      <c r="H150" s="56"/>
      <c r="I150" s="56"/>
      <c r="J150" s="56"/>
    </row>
    <row r="151" spans="3:11" ht="12.75" customHeight="1">
      <c r="C151" s="56"/>
      <c r="D151" s="56"/>
      <c r="E151" s="56"/>
      <c r="F151" s="56"/>
      <c r="G151" s="56"/>
      <c r="H151" s="56"/>
      <c r="I151" s="56"/>
      <c r="J151" s="56"/>
      <c r="K151" s="86"/>
    </row>
    <row r="152" spans="3:11">
      <c r="E152" s="56"/>
      <c r="F152" s="56"/>
      <c r="G152" s="56"/>
      <c r="H152" s="56"/>
      <c r="I152" s="56"/>
      <c r="J152" s="56"/>
      <c r="K152" s="86"/>
    </row>
    <row r="153" spans="3:11">
      <c r="E153" s="56"/>
      <c r="F153" s="56"/>
      <c r="G153" s="56"/>
      <c r="H153" s="56"/>
      <c r="I153" s="56"/>
      <c r="J153" s="56"/>
      <c r="K153" s="86"/>
    </row>
    <row r="154" spans="3:11">
      <c r="E154" s="56"/>
      <c r="F154" s="56"/>
      <c r="G154" s="56"/>
      <c r="H154" s="56"/>
      <c r="I154" s="56"/>
      <c r="J154" s="56"/>
    </row>
    <row r="155" spans="3:11">
      <c r="E155" s="56"/>
      <c r="F155" s="56"/>
      <c r="G155" s="56"/>
      <c r="H155" s="56"/>
      <c r="I155" s="56"/>
      <c r="J155" s="56"/>
      <c r="K155" s="86"/>
    </row>
    <row r="156" spans="3:11">
      <c r="E156" s="56"/>
      <c r="F156" s="56"/>
      <c r="G156" s="56"/>
      <c r="H156" s="56"/>
      <c r="I156" s="56"/>
      <c r="J156" s="56"/>
      <c r="K156" s="86"/>
    </row>
    <row r="157" spans="3:11">
      <c r="E157" s="56"/>
      <c r="F157" s="56"/>
      <c r="G157" s="56"/>
      <c r="H157" s="56"/>
      <c r="I157" s="56"/>
      <c r="J157" s="56"/>
    </row>
    <row r="158" spans="3:11">
      <c r="E158" s="56"/>
      <c r="F158" s="56"/>
      <c r="G158" s="56"/>
      <c r="H158" s="56"/>
      <c r="I158" s="56"/>
      <c r="J158" s="56"/>
    </row>
  </sheetData>
  <mergeCells count="3">
    <mergeCell ref="AE6:AE8"/>
    <mergeCell ref="AE39:AE41"/>
    <mergeCell ref="AE84:AE86"/>
  </mergeCells>
  <pageMargins left="0.7" right="0.7" top="0.75" bottom="0.75" header="0.3" footer="0.3"/>
  <ignoredErrors>
    <ignoredError sqref="AB15:AB16 AB31 I49 V21:Z22 V27:Z27 V26:X26" formulaRange="1"/>
    <ignoredError sqref="D15:G16 D21:G22 J15:P16 J20:P22 J27:P27 D27:G27 AC115:AE117 AC104:AE105 AD114 J31:P31 D31:G31 AC106:AD106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C47"/>
  <sheetViews>
    <sheetView showGridLines="0" zoomScale="85" zoomScaleNormal="85" workbookViewId="0">
      <selection activeCell="B4" sqref="B4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8" width="8.625" style="8" bestFit="1" customWidth="1"/>
    <col min="9" max="9" width="1.5" style="8" customWidth="1"/>
    <col min="10" max="10" width="8.5" style="8" customWidth="1" outlineLevel="1"/>
    <col min="11" max="11" width="8.25" style="8" customWidth="1" outlineLevel="1"/>
    <col min="12" max="12" width="8.5" style="8" bestFit="1" customWidth="1"/>
    <col min="13" max="20" width="9.125" style="8" bestFit="1" customWidth="1"/>
    <col min="21" max="21" width="1.5" style="8" customWidth="1"/>
    <col min="22" max="24" width="8.75" style="8" customWidth="1" outlineLevel="1"/>
    <col min="25" max="25" width="8.75" style="8" customWidth="1"/>
    <col min="26" max="28" width="8.75" style="8" customWidth="1" outlineLevel="1"/>
    <col min="29" max="29" width="8.75" style="8" customWidth="1"/>
    <col min="30" max="16384" width="9" style="8"/>
  </cols>
  <sheetData>
    <row r="2" spans="1:29" s="5" customFormat="1" ht="12.75" customHeight="1">
      <c r="B2" s="1" t="str">
        <f>'Historical Financials'!B2</f>
        <v>NVIDIA Corporation (NASDAQ: NVDA)</v>
      </c>
      <c r="C2" s="2" t="s">
        <v>0</v>
      </c>
      <c r="D2" s="2" t="s">
        <v>0</v>
      </c>
      <c r="E2" s="2" t="s">
        <v>0</v>
      </c>
      <c r="F2" s="2"/>
      <c r="G2" s="2"/>
      <c r="H2" s="2"/>
      <c r="I2" s="3"/>
      <c r="J2" s="2"/>
      <c r="K2" s="2"/>
      <c r="L2" s="2" t="s">
        <v>1</v>
      </c>
      <c r="M2" s="2"/>
      <c r="N2" s="2"/>
      <c r="O2" s="2"/>
      <c r="P2" s="2"/>
      <c r="Q2" s="2"/>
      <c r="R2" s="2"/>
      <c r="S2" s="2"/>
      <c r="T2" s="2"/>
      <c r="U2" s="3"/>
      <c r="V2" s="2"/>
      <c r="W2" s="2"/>
      <c r="X2" s="2"/>
      <c r="Y2" s="2" t="s">
        <v>6</v>
      </c>
      <c r="Z2" s="2"/>
      <c r="AA2" s="2"/>
      <c r="AB2" s="2"/>
      <c r="AC2" s="2"/>
    </row>
    <row r="3" spans="1:29" s="5" customFormat="1" ht="12.75" customHeight="1">
      <c r="B3" s="6" t="s">
        <v>60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1Q24</v>
      </c>
      <c r="K3" s="7" t="str">
        <f>'Historical Financials'!K7</f>
        <v>2Q24</v>
      </c>
      <c r="L3" s="7" t="str">
        <f>'Historical Financials'!L7</f>
        <v>3Q24</v>
      </c>
      <c r="M3" s="7" t="str">
        <f>'Historical Financials'!M7</f>
        <v>4Q24</v>
      </c>
      <c r="N3" s="7" t="str">
        <f>'Historical Financials'!N7</f>
        <v>1Q25</v>
      </c>
      <c r="O3" s="7" t="str">
        <f>'Historical Financials'!O7</f>
        <v>2Q25</v>
      </c>
      <c r="P3" s="7" t="str">
        <f>'Historical Financials'!P7</f>
        <v>3Q25</v>
      </c>
      <c r="Q3" s="7" t="str">
        <f>'Historical Financials'!Q7</f>
        <v>4Q25</v>
      </c>
      <c r="R3" s="7" t="str">
        <f>'Historical Financials'!R7</f>
        <v>1Q26</v>
      </c>
      <c r="S3" s="7" t="str">
        <f>'Historical Financials'!S7</f>
        <v>2Q26</v>
      </c>
      <c r="T3" s="7" t="str">
        <f>'Historical Financials'!T7</f>
        <v>3Q26</v>
      </c>
      <c r="U3" s="4"/>
      <c r="V3" s="4" t="str">
        <f>M3</f>
        <v>4Q24</v>
      </c>
      <c r="W3" s="4" t="str">
        <f>N3</f>
        <v>1Q25</v>
      </c>
      <c r="X3" s="4" t="str">
        <f>O3</f>
        <v>2Q25</v>
      </c>
      <c r="Y3" s="4" t="str">
        <f>P3</f>
        <v>3Q25</v>
      </c>
      <c r="Z3" s="4" t="str">
        <f>Q3</f>
        <v>4Q25</v>
      </c>
      <c r="AA3" s="4" t="str">
        <f>R3</f>
        <v>1Q26</v>
      </c>
      <c r="AB3" s="4" t="str">
        <f>S3</f>
        <v>2Q26</v>
      </c>
      <c r="AC3" s="4" t="str">
        <f>T3</f>
        <v>3Q26</v>
      </c>
    </row>
    <row r="4" spans="1:29" s="5" customFormat="1" ht="12.75" customHeight="1">
      <c r="B4" s="6" t="s">
        <v>119</v>
      </c>
      <c r="C4" s="3">
        <f>'Historical Financials'!C8</f>
        <v>43856</v>
      </c>
      <c r="D4" s="3">
        <f>'Historical Financials'!D8</f>
        <v>44227</v>
      </c>
      <c r="E4" s="3">
        <f>'Historical Financials'!E8</f>
        <v>44956</v>
      </c>
      <c r="F4" s="3">
        <f>'Historical Financials'!F8</f>
        <v>44955</v>
      </c>
      <c r="G4" s="3">
        <f>'Historical Financials'!G8</f>
        <v>45319</v>
      </c>
      <c r="H4" s="3">
        <f>'Historical Financials'!H8</f>
        <v>45683</v>
      </c>
      <c r="I4" s="3"/>
      <c r="J4" s="3">
        <f>'Historical Financials'!J8</f>
        <v>45046</v>
      </c>
      <c r="K4" s="3">
        <f>'Historical Financials'!K8</f>
        <v>45137</v>
      </c>
      <c r="L4" s="3">
        <f>'Historical Financials'!L8</f>
        <v>45228</v>
      </c>
      <c r="M4" s="3">
        <f>'Historical Financials'!M8</f>
        <v>45319</v>
      </c>
      <c r="N4" s="3">
        <f>'Historical Financials'!N8</f>
        <v>45410</v>
      </c>
      <c r="O4" s="3">
        <f>'Historical Financials'!O8</f>
        <v>45501</v>
      </c>
      <c r="P4" s="3">
        <f>'Historical Financials'!P8</f>
        <v>45592</v>
      </c>
      <c r="Q4" s="3">
        <f>'Historical Financials'!Q8</f>
        <v>45683</v>
      </c>
      <c r="R4" s="3">
        <f>'Historical Financials'!R8</f>
        <v>45774</v>
      </c>
      <c r="S4" s="3">
        <f>'Historical Financials'!S8</f>
        <v>45865</v>
      </c>
      <c r="T4" s="3">
        <f>'Historical Financials'!T8</f>
        <v>45956</v>
      </c>
      <c r="U4" s="3"/>
      <c r="V4" s="3">
        <f>M4</f>
        <v>45319</v>
      </c>
      <c r="W4" s="3">
        <f>N4</f>
        <v>45410</v>
      </c>
      <c r="X4" s="3">
        <f>O4</f>
        <v>45501</v>
      </c>
      <c r="Y4" s="3">
        <f>P4</f>
        <v>45592</v>
      </c>
      <c r="Z4" s="3">
        <f>Q4</f>
        <v>45683</v>
      </c>
      <c r="AA4" s="3">
        <f>R4</f>
        <v>45774</v>
      </c>
      <c r="AB4" s="3">
        <f>S4</f>
        <v>45865</v>
      </c>
      <c r="AC4" s="3">
        <f>T4</f>
        <v>45956</v>
      </c>
    </row>
    <row r="5" spans="1:29" ht="5.0999999999999996" customHeight="1"/>
    <row r="6" spans="1:29">
      <c r="A6" s="36" t="s">
        <v>12</v>
      </c>
      <c r="B6" s="1" t="s">
        <v>120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5.0999999999999996" customHeight="1"/>
    <row r="8" spans="1:29" ht="12.75" customHeight="1">
      <c r="A8" s="80" t="s">
        <v>12</v>
      </c>
      <c r="B8" s="78" t="s">
        <v>121</v>
      </c>
      <c r="C8" s="10"/>
      <c r="D8" s="10"/>
      <c r="E8" s="10"/>
      <c r="F8" s="10"/>
      <c r="G8" s="10"/>
      <c r="H8" s="10"/>
      <c r="I8" s="10"/>
      <c r="J8" s="95"/>
      <c r="K8" s="95"/>
      <c r="L8" s="95"/>
      <c r="M8" s="32"/>
      <c r="N8" s="95"/>
      <c r="O8" s="95"/>
      <c r="P8" s="95"/>
      <c r="Q8" s="95"/>
      <c r="R8" s="95"/>
      <c r="S8" s="95"/>
      <c r="T8" s="95"/>
      <c r="U8" s="5"/>
      <c r="V8" s="11"/>
      <c r="W8" s="11"/>
      <c r="X8" s="11"/>
      <c r="Y8" s="11"/>
      <c r="Z8" s="11"/>
      <c r="AA8" s="11"/>
      <c r="AB8" s="11"/>
      <c r="AC8" s="11"/>
    </row>
    <row r="9" spans="1:29" ht="12.75" customHeight="1">
      <c r="A9" s="80"/>
      <c r="B9" s="9" t="s">
        <v>101</v>
      </c>
      <c r="C9" s="81">
        <v>5518</v>
      </c>
      <c r="D9" s="81">
        <v>7759</v>
      </c>
      <c r="E9" s="81">
        <v>10613</v>
      </c>
      <c r="F9" s="81">
        <v>15005</v>
      </c>
      <c r="G9" s="81">
        <v>47525</v>
      </c>
      <c r="H9" s="81">
        <v>115186</v>
      </c>
      <c r="I9" s="10"/>
      <c r="J9" s="81">
        <v>4284</v>
      </c>
      <c r="K9" s="81">
        <v>10323</v>
      </c>
      <c r="L9" s="81">
        <v>14514</v>
      </c>
      <c r="M9" s="32">
        <f>SUM(G9-SUM(J9:L9))</f>
        <v>18404</v>
      </c>
      <c r="N9" s="81">
        <v>22563</v>
      </c>
      <c r="O9" s="81">
        <v>26272</v>
      </c>
      <c r="P9" s="81">
        <v>30771</v>
      </c>
      <c r="Q9" s="32">
        <f>SUM(H9-SUM(N9:P9))</f>
        <v>35580</v>
      </c>
      <c r="R9" s="81">
        <v>39112</v>
      </c>
      <c r="S9" s="81">
        <v>41096</v>
      </c>
      <c r="T9" s="81">
        <v>51215</v>
      </c>
      <c r="U9" s="5"/>
      <c r="V9" s="32">
        <f t="shared" ref="V9:AB9" si="0">SUM(J9:M9)</f>
        <v>47525</v>
      </c>
      <c r="W9" s="32">
        <f t="shared" si="0"/>
        <v>65804</v>
      </c>
      <c r="X9" s="32">
        <f t="shared" si="0"/>
        <v>81753</v>
      </c>
      <c r="Y9" s="32">
        <f t="shared" si="0"/>
        <v>98010</v>
      </c>
      <c r="Z9" s="32">
        <f t="shared" si="0"/>
        <v>115186</v>
      </c>
      <c r="AA9" s="32">
        <f t="shared" si="0"/>
        <v>131735</v>
      </c>
      <c r="AB9" s="32">
        <f t="shared" si="0"/>
        <v>146559</v>
      </c>
      <c r="AC9" s="32">
        <f>SUM(Q9:T9)</f>
        <v>167003</v>
      </c>
    </row>
    <row r="10" spans="1:29" ht="12.75" customHeight="1">
      <c r="A10" s="80"/>
      <c r="B10" s="9" t="s">
        <v>126</v>
      </c>
      <c r="C10" s="81">
        <v>1212</v>
      </c>
      <c r="D10" s="81">
        <v>6696</v>
      </c>
      <c r="E10" s="81">
        <v>12462</v>
      </c>
      <c r="F10" s="81">
        <v>9067</v>
      </c>
      <c r="G10" s="81">
        <v>10447</v>
      </c>
      <c r="H10" s="81">
        <v>11350</v>
      </c>
      <c r="I10" s="10"/>
      <c r="J10" s="81">
        <v>2240</v>
      </c>
      <c r="K10" s="81">
        <v>2486</v>
      </c>
      <c r="L10" s="81">
        <v>2856</v>
      </c>
      <c r="M10" s="32">
        <f>SUM(G10-SUM(J10:L10))</f>
        <v>2865</v>
      </c>
      <c r="N10" s="81">
        <v>2647</v>
      </c>
      <c r="O10" s="81">
        <v>2880</v>
      </c>
      <c r="P10" s="81">
        <v>3279</v>
      </c>
      <c r="Q10" s="32">
        <f>SUM(H10-SUM(N10:P10))</f>
        <v>2544</v>
      </c>
      <c r="R10" s="81">
        <v>3763</v>
      </c>
      <c r="S10" s="81">
        <v>4287</v>
      </c>
      <c r="T10" s="81">
        <v>4265</v>
      </c>
      <c r="U10" s="5"/>
      <c r="V10" s="32">
        <f t="shared" ref="V10:V13" si="1">SUM(J10:M10)</f>
        <v>10447</v>
      </c>
      <c r="W10" s="32">
        <f t="shared" ref="W10:W13" si="2">SUM(K10:N10)</f>
        <v>10854</v>
      </c>
      <c r="X10" s="32">
        <f t="shared" ref="X10:X13" si="3">SUM(L10:O10)</f>
        <v>11248</v>
      </c>
      <c r="Y10" s="32">
        <f t="shared" ref="Y10:Y13" si="4">SUM(M10:P10)</f>
        <v>11671</v>
      </c>
      <c r="Z10" s="32">
        <f t="shared" ref="Z10:Z13" si="5">SUM(N10:Q10)</f>
        <v>11350</v>
      </c>
      <c r="AA10" s="32">
        <f t="shared" ref="AA10:AA13" si="6">SUM(O10:R10)</f>
        <v>12466</v>
      </c>
      <c r="AB10" s="32">
        <f t="shared" ref="AB10:AB13" si="7">SUM(P10:S10)</f>
        <v>13873</v>
      </c>
      <c r="AC10" s="32">
        <f t="shared" ref="AC10:AC13" si="8">SUM(Q10:T10)</f>
        <v>14859</v>
      </c>
    </row>
    <row r="11" spans="1:29" ht="12.75" customHeight="1">
      <c r="A11" s="80"/>
      <c r="B11" s="9" t="s">
        <v>127</v>
      </c>
      <c r="C11" s="81">
        <v>2983</v>
      </c>
      <c r="D11" s="81">
        <v>1053</v>
      </c>
      <c r="E11" s="81">
        <v>2111</v>
      </c>
      <c r="F11" s="81">
        <v>1544</v>
      </c>
      <c r="G11" s="81">
        <v>1553</v>
      </c>
      <c r="H11" s="81">
        <v>1878</v>
      </c>
      <c r="I11" s="10"/>
      <c r="J11" s="81">
        <v>295</v>
      </c>
      <c r="K11" s="81">
        <v>379</v>
      </c>
      <c r="L11" s="81">
        <v>416</v>
      </c>
      <c r="M11" s="32">
        <f>SUM(G11-SUM(J11:L11))</f>
        <v>463</v>
      </c>
      <c r="N11" s="81">
        <v>427</v>
      </c>
      <c r="O11" s="81">
        <v>454</v>
      </c>
      <c r="P11" s="81">
        <v>486</v>
      </c>
      <c r="Q11" s="32">
        <f>SUM(H11-SUM(N11:P11))</f>
        <v>511</v>
      </c>
      <c r="R11" s="81">
        <v>509</v>
      </c>
      <c r="S11" s="81">
        <v>601</v>
      </c>
      <c r="T11" s="81">
        <v>760</v>
      </c>
      <c r="U11" s="5"/>
      <c r="V11" s="32">
        <f t="shared" si="1"/>
        <v>1553</v>
      </c>
      <c r="W11" s="32">
        <f t="shared" si="2"/>
        <v>1685</v>
      </c>
      <c r="X11" s="32">
        <f t="shared" si="3"/>
        <v>1760</v>
      </c>
      <c r="Y11" s="32">
        <f t="shared" si="4"/>
        <v>1830</v>
      </c>
      <c r="Z11" s="32">
        <f t="shared" si="5"/>
        <v>1878</v>
      </c>
      <c r="AA11" s="32">
        <f t="shared" si="6"/>
        <v>1960</v>
      </c>
      <c r="AB11" s="32">
        <f t="shared" si="7"/>
        <v>2107</v>
      </c>
      <c r="AC11" s="32">
        <f t="shared" si="8"/>
        <v>2381</v>
      </c>
    </row>
    <row r="12" spans="1:29" ht="12.75" customHeight="1">
      <c r="A12" s="80"/>
      <c r="B12" s="9" t="s">
        <v>128</v>
      </c>
      <c r="C12" s="81">
        <v>700</v>
      </c>
      <c r="D12" s="81">
        <v>536</v>
      </c>
      <c r="E12" s="81">
        <v>566</v>
      </c>
      <c r="F12" s="81">
        <v>903</v>
      </c>
      <c r="G12" s="81">
        <v>1091</v>
      </c>
      <c r="H12" s="81">
        <v>1694</v>
      </c>
      <c r="I12" s="10"/>
      <c r="J12" s="81">
        <v>296</v>
      </c>
      <c r="K12" s="81">
        <v>253</v>
      </c>
      <c r="L12" s="81">
        <v>261</v>
      </c>
      <c r="M12" s="32">
        <f>SUM(G12-SUM(J12:L12))</f>
        <v>281</v>
      </c>
      <c r="N12" s="81">
        <v>329</v>
      </c>
      <c r="O12" s="81">
        <v>346</v>
      </c>
      <c r="P12" s="81">
        <v>449</v>
      </c>
      <c r="Q12" s="32">
        <f>SUM(H12-SUM(N12:P12))</f>
        <v>570</v>
      </c>
      <c r="R12" s="81">
        <v>567</v>
      </c>
      <c r="S12" s="81">
        <v>586</v>
      </c>
      <c r="T12" s="81">
        <v>592</v>
      </c>
      <c r="U12" s="5"/>
      <c r="V12" s="32">
        <f t="shared" si="1"/>
        <v>1091</v>
      </c>
      <c r="W12" s="32">
        <f t="shared" si="2"/>
        <v>1124</v>
      </c>
      <c r="X12" s="32">
        <f t="shared" si="3"/>
        <v>1217</v>
      </c>
      <c r="Y12" s="32">
        <f t="shared" si="4"/>
        <v>1405</v>
      </c>
      <c r="Z12" s="32">
        <f t="shared" si="5"/>
        <v>1694</v>
      </c>
      <c r="AA12" s="32">
        <f t="shared" si="6"/>
        <v>1932</v>
      </c>
      <c r="AB12" s="32">
        <f t="shared" si="7"/>
        <v>2172</v>
      </c>
      <c r="AC12" s="32">
        <f t="shared" si="8"/>
        <v>2315</v>
      </c>
    </row>
    <row r="13" spans="1:29">
      <c r="B13" s="9" t="s">
        <v>129</v>
      </c>
      <c r="C13" s="81">
        <v>505</v>
      </c>
      <c r="D13" s="81">
        <v>631</v>
      </c>
      <c r="E13" s="81">
        <v>1162</v>
      </c>
      <c r="F13" s="81">
        <v>455</v>
      </c>
      <c r="G13" s="81">
        <v>306</v>
      </c>
      <c r="H13" s="81">
        <v>389</v>
      </c>
      <c r="I13" s="81"/>
      <c r="J13" s="81">
        <v>77</v>
      </c>
      <c r="K13" s="81">
        <v>66</v>
      </c>
      <c r="L13" s="81">
        <v>73</v>
      </c>
      <c r="M13" s="32">
        <f>SUM(G13-SUM(J13:L13))</f>
        <v>90</v>
      </c>
      <c r="N13" s="81">
        <v>78</v>
      </c>
      <c r="O13" s="81">
        <v>88</v>
      </c>
      <c r="P13" s="81">
        <v>97</v>
      </c>
      <c r="Q13" s="32">
        <f>SUM(H13-SUM(N13:P13))</f>
        <v>126</v>
      </c>
      <c r="R13" s="81">
        <v>111</v>
      </c>
      <c r="S13" s="81">
        <v>173</v>
      </c>
      <c r="T13" s="81">
        <v>174</v>
      </c>
      <c r="U13" s="5"/>
      <c r="V13" s="32">
        <f t="shared" si="1"/>
        <v>306</v>
      </c>
      <c r="W13" s="32">
        <f t="shared" si="2"/>
        <v>307</v>
      </c>
      <c r="X13" s="32">
        <f t="shared" si="3"/>
        <v>329</v>
      </c>
      <c r="Y13" s="32">
        <f t="shared" si="4"/>
        <v>353</v>
      </c>
      <c r="Z13" s="32">
        <f t="shared" si="5"/>
        <v>389</v>
      </c>
      <c r="AA13" s="32">
        <f t="shared" si="6"/>
        <v>422</v>
      </c>
      <c r="AB13" s="32">
        <f t="shared" si="7"/>
        <v>507</v>
      </c>
      <c r="AC13" s="32">
        <f t="shared" si="8"/>
        <v>584</v>
      </c>
    </row>
    <row r="14" spans="1:29">
      <c r="B14" s="13" t="s">
        <v>61</v>
      </c>
      <c r="C14" s="14">
        <f t="shared" ref="C14:D14" si="9">SUM(C9:C13)</f>
        <v>10918</v>
      </c>
      <c r="D14" s="14">
        <f t="shared" si="9"/>
        <v>16675</v>
      </c>
      <c r="E14" s="14">
        <f>SUM(E9:E13)</f>
        <v>26914</v>
      </c>
      <c r="F14" s="14">
        <f>SUM(F9:F13)</f>
        <v>26974</v>
      </c>
      <c r="G14" s="14">
        <f>SUM(G9:G13)</f>
        <v>60922</v>
      </c>
      <c r="H14" s="14">
        <f>SUM(H9:H13)</f>
        <v>130497</v>
      </c>
      <c r="I14" s="11"/>
      <c r="J14" s="14">
        <f t="shared" ref="J14:R14" si="10">SUM(J9:J13)</f>
        <v>7192</v>
      </c>
      <c r="K14" s="14">
        <f t="shared" si="10"/>
        <v>13507</v>
      </c>
      <c r="L14" s="14">
        <f t="shared" si="10"/>
        <v>18120</v>
      </c>
      <c r="M14" s="14">
        <f t="shared" si="10"/>
        <v>22103</v>
      </c>
      <c r="N14" s="14">
        <f t="shared" si="10"/>
        <v>26044</v>
      </c>
      <c r="O14" s="14">
        <f t="shared" si="10"/>
        <v>30040</v>
      </c>
      <c r="P14" s="14">
        <f t="shared" si="10"/>
        <v>35082</v>
      </c>
      <c r="Q14" s="14">
        <f t="shared" si="10"/>
        <v>39331</v>
      </c>
      <c r="R14" s="14">
        <f t="shared" si="10"/>
        <v>44062</v>
      </c>
      <c r="S14" s="14">
        <f t="shared" ref="S14" si="11">SUM(S9:S13)</f>
        <v>46743</v>
      </c>
      <c r="T14" s="14">
        <f t="shared" ref="T14" si="12">SUM(T9:T13)</f>
        <v>57006</v>
      </c>
      <c r="U14" s="5"/>
      <c r="V14" s="14">
        <f t="shared" ref="V14:AC14" si="13">SUM(V9:V13)</f>
        <v>60922</v>
      </c>
      <c r="W14" s="14">
        <f t="shared" si="13"/>
        <v>79774</v>
      </c>
      <c r="X14" s="14">
        <f t="shared" si="13"/>
        <v>96307</v>
      </c>
      <c r="Y14" s="14">
        <f t="shared" si="13"/>
        <v>113269</v>
      </c>
      <c r="Z14" s="14">
        <f t="shared" si="13"/>
        <v>130497</v>
      </c>
      <c r="AA14" s="14">
        <f t="shared" si="13"/>
        <v>148515</v>
      </c>
      <c r="AB14" s="14">
        <f t="shared" si="13"/>
        <v>165218</v>
      </c>
      <c r="AC14" s="14">
        <f t="shared" si="13"/>
        <v>187142</v>
      </c>
    </row>
    <row r="15" spans="1:29" outlineLevel="1">
      <c r="B15" s="130" t="s">
        <v>136</v>
      </c>
      <c r="C15" s="79">
        <f>C14-'Historical Financials'!C11</f>
        <v>0</v>
      </c>
      <c r="D15" s="79">
        <f>D14-'Historical Financials'!D11</f>
        <v>0</v>
      </c>
      <c r="E15" s="79">
        <f>E14-'Historical Financials'!E11</f>
        <v>0</v>
      </c>
      <c r="F15" s="79">
        <f>F14-'Historical Financials'!F11</f>
        <v>0</v>
      </c>
      <c r="G15" s="79">
        <f>G14-'Historical Financials'!G11</f>
        <v>0</v>
      </c>
      <c r="H15" s="79">
        <f>H14-'Historical Financials'!H11</f>
        <v>0</v>
      </c>
      <c r="I15" s="11"/>
      <c r="J15" s="79">
        <f>J14-'Historical Financials'!J11</f>
        <v>0</v>
      </c>
      <c r="K15" s="79">
        <f>K14-'Historical Financials'!K11</f>
        <v>0</v>
      </c>
      <c r="L15" s="79">
        <f>L14-'Historical Financials'!L11</f>
        <v>0</v>
      </c>
      <c r="M15" s="79">
        <f>M14-'Historical Financials'!M11</f>
        <v>0</v>
      </c>
      <c r="N15" s="79">
        <f>N14-'Historical Financials'!N11</f>
        <v>0</v>
      </c>
      <c r="O15" s="79">
        <f>O14-'Historical Financials'!O11</f>
        <v>0</v>
      </c>
      <c r="P15" s="79">
        <f>P14-'Historical Financials'!P11</f>
        <v>0</v>
      </c>
      <c r="Q15" s="79">
        <f>Q14-'Historical Financials'!Q11</f>
        <v>0</v>
      </c>
      <c r="R15" s="79">
        <f>R14-'Historical Financials'!R11</f>
        <v>0</v>
      </c>
      <c r="S15" s="79">
        <f>S14-'Historical Financials'!S11</f>
        <v>0</v>
      </c>
      <c r="T15" s="79">
        <f>T14-'Historical Financials'!T11</f>
        <v>0</v>
      </c>
      <c r="U15" s="79"/>
      <c r="V15" s="79">
        <f>V14-'Historical Financials'!V11</f>
        <v>0</v>
      </c>
      <c r="W15" s="79">
        <f>W14-'Historical Financials'!W11</f>
        <v>0</v>
      </c>
      <c r="X15" s="79">
        <f>X14-'Historical Financials'!X11</f>
        <v>0</v>
      </c>
      <c r="Y15" s="79">
        <f>Y14-'Historical Financials'!Y11</f>
        <v>0</v>
      </c>
      <c r="Z15" s="79">
        <f>Z14-'Historical Financials'!Z11</f>
        <v>0</v>
      </c>
      <c r="AA15" s="79">
        <f>AA14-'Historical Financials'!AA11</f>
        <v>0</v>
      </c>
      <c r="AB15" s="79">
        <f>AB14-'Historical Financials'!AB11</f>
        <v>0</v>
      </c>
      <c r="AC15" s="79">
        <f>AC14-'Historical Financials'!AC11</f>
        <v>0</v>
      </c>
    </row>
    <row r="16" spans="1:29">
      <c r="B16" s="18"/>
      <c r="C16" s="19"/>
      <c r="D16" s="19"/>
      <c r="E16" s="19"/>
      <c r="F16" s="19"/>
      <c r="G16" s="19"/>
      <c r="H16" s="19"/>
      <c r="I16" s="20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0"/>
      <c r="V16" s="20"/>
      <c r="W16" s="20"/>
      <c r="X16" s="20"/>
      <c r="Y16" s="20"/>
      <c r="Z16" s="20"/>
      <c r="AA16" s="20"/>
      <c r="AB16" s="20"/>
      <c r="AC16" s="20"/>
    </row>
    <row r="17" spans="1:29">
      <c r="B17" s="146" t="str">
        <f>B9&amp;"(%)"</f>
        <v>Data Center(%)</v>
      </c>
      <c r="C17" s="147">
        <f t="shared" ref="C17:D17" si="14">SUM(C9/C$14)</f>
        <v>0.50540392013189228</v>
      </c>
      <c r="D17" s="147">
        <f t="shared" si="14"/>
        <v>0.46530734632683657</v>
      </c>
      <c r="E17" s="147">
        <f t="shared" ref="E17:H21" si="15">SUM(E9/E$14)</f>
        <v>0.39433008842981349</v>
      </c>
      <c r="F17" s="147">
        <f t="shared" si="15"/>
        <v>0.55627641432490549</v>
      </c>
      <c r="G17" s="147">
        <f t="shared" si="15"/>
        <v>0.78009586028035849</v>
      </c>
      <c r="H17" s="147">
        <f t="shared" si="15"/>
        <v>0.88267163229806045</v>
      </c>
      <c r="I17" s="148"/>
      <c r="J17" s="147">
        <f t="shared" ref="J17:R17" si="16">SUM(J9/J$14)</f>
        <v>0.59566184649610676</v>
      </c>
      <c r="K17" s="147">
        <f t="shared" si="16"/>
        <v>0.76427037832235134</v>
      </c>
      <c r="L17" s="147">
        <f t="shared" si="16"/>
        <v>0.80099337748344368</v>
      </c>
      <c r="M17" s="147">
        <f t="shared" si="16"/>
        <v>0.8326471519703208</v>
      </c>
      <c r="N17" s="147">
        <f t="shared" si="16"/>
        <v>0.86634157579480875</v>
      </c>
      <c r="O17" s="147">
        <f t="shared" si="16"/>
        <v>0.87456724367509986</v>
      </c>
      <c r="P17" s="147">
        <f t="shared" si="16"/>
        <v>0.87711646998460746</v>
      </c>
      <c r="Q17" s="147">
        <f t="shared" si="16"/>
        <v>0.90462993567415018</v>
      </c>
      <c r="R17" s="147">
        <f t="shared" si="16"/>
        <v>0.88765829966864873</v>
      </c>
      <c r="S17" s="147">
        <f t="shared" ref="S17:T17" si="17">SUM(S9/S$14)</f>
        <v>0.87919046702180004</v>
      </c>
      <c r="T17" s="147">
        <f t="shared" si="17"/>
        <v>0.89841420201382316</v>
      </c>
      <c r="U17" s="148"/>
      <c r="V17" s="149">
        <f t="shared" ref="V17:AC17" si="18">SUM(V9/V$14)</f>
        <v>0.78009586028035849</v>
      </c>
      <c r="W17" s="149">
        <f t="shared" si="18"/>
        <v>0.82488028681023895</v>
      </c>
      <c r="X17" s="149">
        <f t="shared" si="18"/>
        <v>0.84887910536098099</v>
      </c>
      <c r="Y17" s="149">
        <f t="shared" si="18"/>
        <v>0.86528529429941115</v>
      </c>
      <c r="Z17" s="149">
        <f t="shared" si="18"/>
        <v>0.88267163229806045</v>
      </c>
      <c r="AA17" s="149">
        <f t="shared" si="18"/>
        <v>0.88701477965188702</v>
      </c>
      <c r="AB17" s="149">
        <f t="shared" si="18"/>
        <v>0.88706436344708206</v>
      </c>
      <c r="AC17" s="150">
        <f t="shared" si="18"/>
        <v>0.8923865300146413</v>
      </c>
    </row>
    <row r="18" spans="1:29">
      <c r="B18" s="151" t="str">
        <f>B10&amp;"(%)"</f>
        <v>Gaming (%)</v>
      </c>
      <c r="C18" s="152">
        <f t="shared" ref="C18:D18" si="19">SUM(C10/C$14)</f>
        <v>0.11100934237039752</v>
      </c>
      <c r="D18" s="152">
        <f t="shared" si="19"/>
        <v>0.40155922038980507</v>
      </c>
      <c r="E18" s="152">
        <f t="shared" si="15"/>
        <v>0.46303039310396077</v>
      </c>
      <c r="F18" s="152">
        <f t="shared" si="15"/>
        <v>0.3361385037443464</v>
      </c>
      <c r="G18" s="152">
        <f t="shared" si="15"/>
        <v>0.17148156659334887</v>
      </c>
      <c r="H18" s="152">
        <f t="shared" si="15"/>
        <v>8.6975179506042291E-2</v>
      </c>
      <c r="I18" s="153"/>
      <c r="J18" s="152">
        <f t="shared" ref="J18:R18" si="20">SUM(J10/J$14)</f>
        <v>0.31145717463848721</v>
      </c>
      <c r="K18" s="152">
        <f t="shared" si="20"/>
        <v>0.18405271340786258</v>
      </c>
      <c r="L18" s="152">
        <f t="shared" si="20"/>
        <v>0.15761589403973511</v>
      </c>
      <c r="M18" s="152">
        <f t="shared" si="20"/>
        <v>0.12962041351852691</v>
      </c>
      <c r="N18" s="152">
        <f t="shared" si="20"/>
        <v>0.10163569344186761</v>
      </c>
      <c r="O18" s="152">
        <f t="shared" si="20"/>
        <v>9.5872170439414109E-2</v>
      </c>
      <c r="P18" s="152">
        <f t="shared" si="20"/>
        <v>9.3466735077817678E-2</v>
      </c>
      <c r="Q18" s="152">
        <f t="shared" si="20"/>
        <v>6.4681803157814452E-2</v>
      </c>
      <c r="R18" s="152">
        <f t="shared" si="20"/>
        <v>8.5402387544823211E-2</v>
      </c>
      <c r="S18" s="152">
        <f t="shared" ref="S18:T18" si="21">SUM(S10/S$14)</f>
        <v>9.1714267376933445E-2</v>
      </c>
      <c r="T18" s="152">
        <f t="shared" si="21"/>
        <v>7.4816685962881102E-2</v>
      </c>
      <c r="U18" s="153"/>
      <c r="V18" s="154">
        <f t="shared" ref="V18:AC18" si="22">SUM(V10/V$14)</f>
        <v>0.17148156659334887</v>
      </c>
      <c r="W18" s="154">
        <f t="shared" si="22"/>
        <v>0.13605936771379146</v>
      </c>
      <c r="X18" s="154">
        <f t="shared" si="22"/>
        <v>0.11679317183589978</v>
      </c>
      <c r="Y18" s="154">
        <f t="shared" si="22"/>
        <v>0.10303790092611394</v>
      </c>
      <c r="Z18" s="154">
        <f t="shared" si="22"/>
        <v>8.6975179506042291E-2</v>
      </c>
      <c r="AA18" s="154">
        <f t="shared" si="22"/>
        <v>8.3937649395683933E-2</v>
      </c>
      <c r="AB18" s="154">
        <f t="shared" si="22"/>
        <v>8.3967848539505383E-2</v>
      </c>
      <c r="AC18" s="155">
        <f t="shared" si="22"/>
        <v>7.9399600303512841E-2</v>
      </c>
    </row>
    <row r="19" spans="1:29">
      <c r="B19" s="151" t="str">
        <f>B11&amp;"(%)"</f>
        <v>Professional Visualization (%)</v>
      </c>
      <c r="C19" s="152">
        <f t="shared" ref="C19:D20" si="23">SUM(C11/C$14)</f>
        <v>0.27321853819380837</v>
      </c>
      <c r="D19" s="152">
        <f t="shared" si="23"/>
        <v>6.3148425787106444E-2</v>
      </c>
      <c r="E19" s="152">
        <f t="shared" si="15"/>
        <v>7.843501523370737E-2</v>
      </c>
      <c r="F19" s="152">
        <f t="shared" si="15"/>
        <v>5.7240305479350488E-2</v>
      </c>
      <c r="G19" s="152">
        <f t="shared" si="15"/>
        <v>2.5491612225468634E-2</v>
      </c>
      <c r="H19" s="152">
        <f t="shared" si="15"/>
        <v>1.4391135428400653E-2</v>
      </c>
      <c r="I19" s="153"/>
      <c r="J19" s="152">
        <f t="shared" ref="J19:R19" si="24">SUM(J11/J$14)</f>
        <v>4.1017797552836487E-2</v>
      </c>
      <c r="K19" s="152">
        <f t="shared" si="24"/>
        <v>2.8059524690901016E-2</v>
      </c>
      <c r="L19" s="152">
        <f t="shared" si="24"/>
        <v>2.2958057395143488E-2</v>
      </c>
      <c r="M19" s="152">
        <f t="shared" si="24"/>
        <v>2.0947382708229653E-2</v>
      </c>
      <c r="N19" s="152">
        <f t="shared" si="24"/>
        <v>1.6395330978344339E-2</v>
      </c>
      <c r="O19" s="152">
        <f t="shared" si="24"/>
        <v>1.511318242343542E-2</v>
      </c>
      <c r="P19" s="152">
        <f t="shared" si="24"/>
        <v>1.3853258081067214E-2</v>
      </c>
      <c r="Q19" s="152">
        <f t="shared" si="24"/>
        <v>1.2992296153161628E-2</v>
      </c>
      <c r="R19" s="152">
        <f t="shared" si="24"/>
        <v>1.1551904135082385E-2</v>
      </c>
      <c r="S19" s="152">
        <f t="shared" ref="S19:T20" si="25">SUM(S11/S$14)</f>
        <v>1.2857540166442034E-2</v>
      </c>
      <c r="T19" s="152">
        <f t="shared" si="25"/>
        <v>1.3331929972283619E-2</v>
      </c>
      <c r="U19" s="153"/>
      <c r="V19" s="154">
        <f t="shared" ref="V19:AC19" si="26">SUM(V11/V$14)</f>
        <v>2.5491612225468634E-2</v>
      </c>
      <c r="W19" s="154">
        <f t="shared" si="26"/>
        <v>2.1122170130618997E-2</v>
      </c>
      <c r="X19" s="154">
        <f t="shared" si="26"/>
        <v>1.8274891752416752E-2</v>
      </c>
      <c r="Y19" s="154">
        <f t="shared" si="26"/>
        <v>1.6156229859891055E-2</v>
      </c>
      <c r="Z19" s="154">
        <f t="shared" si="26"/>
        <v>1.4391135428400653E-2</v>
      </c>
      <c r="AA19" s="154">
        <f t="shared" si="26"/>
        <v>1.3197320136013197E-2</v>
      </c>
      <c r="AB19" s="154">
        <f t="shared" si="26"/>
        <v>1.2752847752666174E-2</v>
      </c>
      <c r="AC19" s="155">
        <f t="shared" si="26"/>
        <v>1.2722959036453601E-2</v>
      </c>
    </row>
    <row r="20" spans="1:29">
      <c r="B20" s="151" t="str">
        <f>B12&amp;"(%)"</f>
        <v>Automotive(%)</v>
      </c>
      <c r="C20" s="152">
        <f t="shared" si="23"/>
        <v>6.4114306649569519E-2</v>
      </c>
      <c r="D20" s="152">
        <f t="shared" si="23"/>
        <v>3.2143928035982011E-2</v>
      </c>
      <c r="E20" s="152">
        <f t="shared" si="15"/>
        <v>2.1029947239354984E-2</v>
      </c>
      <c r="F20" s="152">
        <f t="shared" si="15"/>
        <v>3.3476681248609773E-2</v>
      </c>
      <c r="G20" s="152">
        <f t="shared" si="15"/>
        <v>1.7908144840944159E-2</v>
      </c>
      <c r="H20" s="152">
        <f t="shared" si="15"/>
        <v>1.2981141328919438E-2</v>
      </c>
      <c r="I20" s="153"/>
      <c r="J20" s="152">
        <f t="shared" ref="J20:R20" si="27">SUM(J12/J$14)</f>
        <v>4.1156840934371525E-2</v>
      </c>
      <c r="K20" s="152">
        <f t="shared" si="27"/>
        <v>1.8731028355667433E-2</v>
      </c>
      <c r="L20" s="152">
        <f t="shared" si="27"/>
        <v>1.4403973509933774E-2</v>
      </c>
      <c r="M20" s="152">
        <f t="shared" si="27"/>
        <v>1.2713206352078904E-2</v>
      </c>
      <c r="N20" s="152">
        <f t="shared" si="27"/>
        <v>1.2632468130855475E-2</v>
      </c>
      <c r="O20" s="152">
        <f t="shared" si="27"/>
        <v>1.1517976031957391E-2</v>
      </c>
      <c r="P20" s="152">
        <f t="shared" si="27"/>
        <v>1.2798586169545635E-2</v>
      </c>
      <c r="Q20" s="152">
        <f t="shared" si="27"/>
        <v>1.4492385141491444E-2</v>
      </c>
      <c r="R20" s="152">
        <f t="shared" si="27"/>
        <v>1.2868231128863874E-2</v>
      </c>
      <c r="S20" s="152">
        <f t="shared" si="25"/>
        <v>1.2536636501722183E-2</v>
      </c>
      <c r="T20" s="152">
        <f t="shared" si="25"/>
        <v>1.0384871767884083E-2</v>
      </c>
      <c r="U20" s="153"/>
      <c r="V20" s="154">
        <f t="shared" ref="V20:AC20" si="28">SUM(V12/V$14)</f>
        <v>1.7908144840944159E-2</v>
      </c>
      <c r="W20" s="154">
        <f t="shared" si="28"/>
        <v>1.4089803695439617E-2</v>
      </c>
      <c r="X20" s="154">
        <f t="shared" si="28"/>
        <v>1.2636672308347264E-2</v>
      </c>
      <c r="Y20" s="154">
        <f t="shared" si="28"/>
        <v>1.2404099974397231E-2</v>
      </c>
      <c r="Z20" s="154">
        <f t="shared" si="28"/>
        <v>1.2981141328919438E-2</v>
      </c>
      <c r="AA20" s="154">
        <f t="shared" si="28"/>
        <v>1.3008786991213009E-2</v>
      </c>
      <c r="AB20" s="154">
        <f t="shared" si="28"/>
        <v>1.3146267355857111E-2</v>
      </c>
      <c r="AC20" s="155">
        <f t="shared" si="28"/>
        <v>1.2370285665430528E-2</v>
      </c>
    </row>
    <row r="21" spans="1:29" ht="12.75" customHeight="1">
      <c r="B21" s="156" t="str">
        <f>B13&amp;"(%)"</f>
        <v>OEM &amp; Other (%)</v>
      </c>
      <c r="C21" s="157">
        <f t="shared" ref="C21:D21" si="29">SUM(C13/C$14)</f>
        <v>4.6253892654332295E-2</v>
      </c>
      <c r="D21" s="157">
        <f t="shared" si="29"/>
        <v>3.7841079460269864E-2</v>
      </c>
      <c r="E21" s="157">
        <f t="shared" si="15"/>
        <v>4.3174555993163409E-2</v>
      </c>
      <c r="F21" s="157">
        <f t="shared" si="15"/>
        <v>1.6868095202787869E-2</v>
      </c>
      <c r="G21" s="157">
        <f t="shared" si="15"/>
        <v>5.0228160598798461E-3</v>
      </c>
      <c r="H21" s="157">
        <f t="shared" si="15"/>
        <v>2.9809114385771322E-3</v>
      </c>
      <c r="I21" s="158"/>
      <c r="J21" s="157">
        <f t="shared" ref="J21:R21" si="30">SUM(J13/J$14)</f>
        <v>1.0706340378197997E-2</v>
      </c>
      <c r="K21" s="157">
        <f t="shared" si="30"/>
        <v>4.8863552232175905E-3</v>
      </c>
      <c r="L21" s="157">
        <f t="shared" si="30"/>
        <v>4.0286975717439295E-3</v>
      </c>
      <c r="M21" s="157">
        <f t="shared" si="30"/>
        <v>4.0718454508437765E-3</v>
      </c>
      <c r="N21" s="157">
        <f t="shared" si="30"/>
        <v>2.9949316541237904E-3</v>
      </c>
      <c r="O21" s="157">
        <f t="shared" si="30"/>
        <v>2.9294274300932089E-3</v>
      </c>
      <c r="P21" s="157">
        <f t="shared" si="30"/>
        <v>2.7649506869619747E-3</v>
      </c>
      <c r="Q21" s="157">
        <f t="shared" si="30"/>
        <v>3.2035798733823194E-3</v>
      </c>
      <c r="R21" s="157">
        <f t="shared" si="30"/>
        <v>2.5191775225818164E-3</v>
      </c>
      <c r="S21" s="157">
        <f t="shared" ref="S21:T21" si="31">SUM(S13/S$14)</f>
        <v>3.7010889331022829E-3</v>
      </c>
      <c r="T21" s="157">
        <f t="shared" si="31"/>
        <v>3.0523102831280916E-3</v>
      </c>
      <c r="U21" s="158"/>
      <c r="V21" s="159">
        <f t="shared" ref="V21:AC21" si="32">SUM(V13/V$14)</f>
        <v>5.0228160598798461E-3</v>
      </c>
      <c r="W21" s="159">
        <f t="shared" si="32"/>
        <v>3.8483716499109985E-3</v>
      </c>
      <c r="X21" s="159">
        <f t="shared" si="32"/>
        <v>3.4161587423551768E-3</v>
      </c>
      <c r="Y21" s="159">
        <f t="shared" si="32"/>
        <v>3.1164749401866353E-3</v>
      </c>
      <c r="Z21" s="159">
        <f t="shared" si="32"/>
        <v>2.9809114385771322E-3</v>
      </c>
      <c r="AA21" s="159">
        <f t="shared" si="32"/>
        <v>2.8414638252028416E-3</v>
      </c>
      <c r="AB21" s="159">
        <f t="shared" si="32"/>
        <v>3.0686729048892978E-3</v>
      </c>
      <c r="AC21" s="160">
        <f t="shared" si="32"/>
        <v>3.1206249799617405E-3</v>
      </c>
    </row>
    <row r="22" spans="1:29">
      <c r="B22" s="18"/>
      <c r="C22" s="19"/>
      <c r="D22" s="19"/>
      <c r="E22" s="19"/>
      <c r="F22" s="19"/>
      <c r="G22" s="19"/>
      <c r="H22" s="19"/>
      <c r="I22" s="20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0"/>
      <c r="W22" s="20"/>
      <c r="X22" s="20"/>
      <c r="Y22" s="20"/>
      <c r="Z22" s="20"/>
      <c r="AA22" s="20"/>
      <c r="AB22" s="20"/>
      <c r="AC22" s="20"/>
    </row>
    <row r="23" spans="1:29" ht="12.75" customHeight="1">
      <c r="A23" s="80" t="s">
        <v>12</v>
      </c>
      <c r="B23" s="78" t="s">
        <v>122</v>
      </c>
      <c r="C23" s="10"/>
      <c r="D23" s="10"/>
      <c r="E23" s="10"/>
      <c r="F23" s="10"/>
      <c r="G23" s="10"/>
      <c r="H23" s="10"/>
      <c r="I23" s="10"/>
      <c r="J23" s="95"/>
      <c r="K23" s="95"/>
      <c r="L23" s="95"/>
      <c r="M23" s="32"/>
      <c r="N23" s="95"/>
      <c r="O23" s="95"/>
      <c r="P23" s="95"/>
      <c r="Q23" s="95"/>
      <c r="R23" s="95"/>
      <c r="S23" s="95"/>
      <c r="T23" s="95"/>
      <c r="U23" s="5"/>
      <c r="V23" s="11"/>
      <c r="W23" s="11"/>
      <c r="X23" s="11"/>
      <c r="Y23" s="11"/>
      <c r="Z23" s="11"/>
      <c r="AA23" s="11"/>
      <c r="AB23" s="11"/>
      <c r="AC23" s="11"/>
    </row>
    <row r="24" spans="1:29" ht="12.75" customHeight="1">
      <c r="A24" s="80"/>
      <c r="B24" s="9" t="s">
        <v>123</v>
      </c>
      <c r="C24" s="81"/>
      <c r="D24" s="81"/>
      <c r="E24" s="81"/>
      <c r="F24" s="81"/>
      <c r="G24" s="81">
        <v>38950</v>
      </c>
      <c r="H24" s="81">
        <v>102196</v>
      </c>
      <c r="I24" s="10"/>
      <c r="J24" s="81">
        <v>3357</v>
      </c>
      <c r="K24" s="81">
        <v>8612</v>
      </c>
      <c r="L24" s="81">
        <v>11908</v>
      </c>
      <c r="M24" s="32">
        <f>SUM(G24-SUM(J24:L24))</f>
        <v>15073</v>
      </c>
      <c r="N24" s="81">
        <v>19392</v>
      </c>
      <c r="O24" s="81">
        <v>22604</v>
      </c>
      <c r="P24" s="81">
        <v>27644</v>
      </c>
      <c r="Q24" s="32">
        <f>SUM(H24-SUM(N24:P24))</f>
        <v>32556</v>
      </c>
      <c r="R24" s="81">
        <v>34155</v>
      </c>
      <c r="S24" s="81">
        <v>33844</v>
      </c>
      <c r="T24" s="81">
        <v>43028</v>
      </c>
      <c r="U24" s="5"/>
      <c r="V24" s="32">
        <f t="shared" ref="V24:V25" si="33">SUM(J24:M24)</f>
        <v>38950</v>
      </c>
      <c r="W24" s="32">
        <f t="shared" ref="W24:W25" si="34">SUM(K24:N24)</f>
        <v>54985</v>
      </c>
      <c r="X24" s="32">
        <f t="shared" ref="X24:X25" si="35">SUM(L24:O24)</f>
        <v>68977</v>
      </c>
      <c r="Y24" s="32">
        <f t="shared" ref="Y24:Y25" si="36">SUM(M24:P24)</f>
        <v>84713</v>
      </c>
      <c r="Z24" s="32">
        <f t="shared" ref="Z24:Z25" si="37">SUM(N24:Q24)</f>
        <v>102196</v>
      </c>
      <c r="AA24" s="32">
        <f t="shared" ref="AA24:AA25" si="38">SUM(O24:R24)</f>
        <v>116959</v>
      </c>
      <c r="AB24" s="32">
        <f t="shared" ref="AB24:AB25" si="39">SUM(P24:S24)</f>
        <v>128199</v>
      </c>
      <c r="AC24" s="32">
        <f t="shared" ref="AC24:AC25" si="40">SUM(Q24:T24)</f>
        <v>143583</v>
      </c>
    </row>
    <row r="25" spans="1:29">
      <c r="B25" s="9" t="s">
        <v>124</v>
      </c>
      <c r="C25" s="81"/>
      <c r="D25" s="81"/>
      <c r="E25" s="81"/>
      <c r="F25" s="81"/>
      <c r="G25" s="81">
        <v>8575</v>
      </c>
      <c r="H25" s="81">
        <v>12990</v>
      </c>
      <c r="I25" s="81"/>
      <c r="J25" s="81">
        <v>927</v>
      </c>
      <c r="K25" s="81">
        <v>1711</v>
      </c>
      <c r="L25" s="81">
        <v>2606</v>
      </c>
      <c r="M25" s="32">
        <f>SUM(G25-SUM(J25:L25))</f>
        <v>3331</v>
      </c>
      <c r="N25" s="81">
        <v>3171</v>
      </c>
      <c r="O25" s="81">
        <v>3668</v>
      </c>
      <c r="P25" s="81">
        <v>3127</v>
      </c>
      <c r="Q25" s="32">
        <f>SUM(H25-SUM(N25:P25))</f>
        <v>3024</v>
      </c>
      <c r="R25" s="81">
        <v>4957</v>
      </c>
      <c r="S25" s="81">
        <v>7252</v>
      </c>
      <c r="T25" s="81">
        <v>8187</v>
      </c>
      <c r="U25" s="5"/>
      <c r="V25" s="32">
        <f t="shared" si="33"/>
        <v>8575</v>
      </c>
      <c r="W25" s="32">
        <f t="shared" si="34"/>
        <v>10819</v>
      </c>
      <c r="X25" s="32">
        <f t="shared" si="35"/>
        <v>12776</v>
      </c>
      <c r="Y25" s="32">
        <f t="shared" si="36"/>
        <v>13297</v>
      </c>
      <c r="Z25" s="32">
        <f t="shared" si="37"/>
        <v>12990</v>
      </c>
      <c r="AA25" s="32">
        <f t="shared" si="38"/>
        <v>14776</v>
      </c>
      <c r="AB25" s="32">
        <f t="shared" si="39"/>
        <v>18360</v>
      </c>
      <c r="AC25" s="32">
        <f t="shared" si="40"/>
        <v>23420</v>
      </c>
    </row>
    <row r="26" spans="1:29">
      <c r="B26" s="13" t="s">
        <v>125</v>
      </c>
      <c r="C26" s="14">
        <f t="shared" ref="C26:H26" si="41">SUM(C24:C25)</f>
        <v>0</v>
      </c>
      <c r="D26" s="14">
        <f t="shared" si="41"/>
        <v>0</v>
      </c>
      <c r="E26" s="14">
        <f t="shared" si="41"/>
        <v>0</v>
      </c>
      <c r="F26" s="14">
        <f t="shared" si="41"/>
        <v>0</v>
      </c>
      <c r="G26" s="14">
        <f t="shared" si="41"/>
        <v>47525</v>
      </c>
      <c r="H26" s="14">
        <f t="shared" si="41"/>
        <v>115186</v>
      </c>
      <c r="I26" s="11"/>
      <c r="J26" s="14">
        <f t="shared" ref="J26:T26" si="42">SUM(J24:J25)</f>
        <v>4284</v>
      </c>
      <c r="K26" s="14">
        <f t="shared" si="42"/>
        <v>10323</v>
      </c>
      <c r="L26" s="14">
        <f t="shared" si="42"/>
        <v>14514</v>
      </c>
      <c r="M26" s="14">
        <f t="shared" si="42"/>
        <v>18404</v>
      </c>
      <c r="N26" s="14">
        <f t="shared" si="42"/>
        <v>22563</v>
      </c>
      <c r="O26" s="14">
        <f t="shared" si="42"/>
        <v>26272</v>
      </c>
      <c r="P26" s="14">
        <f t="shared" si="42"/>
        <v>30771</v>
      </c>
      <c r="Q26" s="14">
        <f t="shared" si="42"/>
        <v>35580</v>
      </c>
      <c r="R26" s="14">
        <f t="shared" si="42"/>
        <v>39112</v>
      </c>
      <c r="S26" s="14">
        <f t="shared" si="42"/>
        <v>41096</v>
      </c>
      <c r="T26" s="14">
        <f t="shared" si="42"/>
        <v>51215</v>
      </c>
      <c r="U26" s="5"/>
      <c r="V26" s="14">
        <f t="shared" ref="V26:AC26" si="43">SUM(V24:V25)</f>
        <v>47525</v>
      </c>
      <c r="W26" s="14">
        <f t="shared" si="43"/>
        <v>65804</v>
      </c>
      <c r="X26" s="14">
        <f t="shared" si="43"/>
        <v>81753</v>
      </c>
      <c r="Y26" s="14">
        <f t="shared" si="43"/>
        <v>98010</v>
      </c>
      <c r="Z26" s="14">
        <f t="shared" si="43"/>
        <v>115186</v>
      </c>
      <c r="AA26" s="14">
        <f t="shared" si="43"/>
        <v>131735</v>
      </c>
      <c r="AB26" s="14">
        <f t="shared" si="43"/>
        <v>146559</v>
      </c>
      <c r="AC26" s="14">
        <f t="shared" si="43"/>
        <v>167003</v>
      </c>
    </row>
    <row r="27" spans="1:29" outlineLevel="1">
      <c r="B27" s="130" t="s">
        <v>136</v>
      </c>
      <c r="C27" s="79">
        <f>C26-C9</f>
        <v>-5518</v>
      </c>
      <c r="D27" s="79">
        <f t="shared" ref="D27:H27" si="44">D26-D9</f>
        <v>-7759</v>
      </c>
      <c r="E27" s="79">
        <f t="shared" si="44"/>
        <v>-10613</v>
      </c>
      <c r="F27" s="79">
        <f t="shared" si="44"/>
        <v>-15005</v>
      </c>
      <c r="G27" s="79">
        <f t="shared" si="44"/>
        <v>0</v>
      </c>
      <c r="H27" s="79">
        <f t="shared" si="44"/>
        <v>0</v>
      </c>
      <c r="I27" s="11"/>
      <c r="J27" s="79">
        <f t="shared" ref="J27" si="45">J26-J9</f>
        <v>0</v>
      </c>
      <c r="K27" s="79">
        <f t="shared" ref="K27" si="46">K26-K9</f>
        <v>0</v>
      </c>
      <c r="L27" s="79">
        <f t="shared" ref="L27" si="47">L26-L9</f>
        <v>0</v>
      </c>
      <c r="M27" s="79">
        <f t="shared" ref="M27" si="48">M26-M9</f>
        <v>0</v>
      </c>
      <c r="N27" s="79">
        <f t="shared" ref="N27" si="49">N26-N9</f>
        <v>0</v>
      </c>
      <c r="O27" s="79">
        <f t="shared" ref="O27" si="50">O26-O9</f>
        <v>0</v>
      </c>
      <c r="P27" s="79">
        <f t="shared" ref="P27" si="51">P26-P9</f>
        <v>0</v>
      </c>
      <c r="Q27" s="79">
        <f t="shared" ref="Q27" si="52">Q26-Q9</f>
        <v>0</v>
      </c>
      <c r="R27" s="79">
        <f t="shared" ref="R27" si="53">R26-R9</f>
        <v>0</v>
      </c>
      <c r="S27" s="79">
        <f t="shared" ref="S27" si="54">S26-S9</f>
        <v>0</v>
      </c>
      <c r="T27" s="79">
        <f t="shared" ref="T27" si="55">T26-T9</f>
        <v>0</v>
      </c>
      <c r="U27" s="79"/>
      <c r="V27" s="79">
        <f t="shared" ref="V27" si="56">V26-V9</f>
        <v>0</v>
      </c>
      <c r="W27" s="79">
        <f t="shared" ref="W27" si="57">W26-W9</f>
        <v>0</v>
      </c>
      <c r="X27" s="79">
        <f t="shared" ref="X27" si="58">X26-X9</f>
        <v>0</v>
      </c>
      <c r="Y27" s="79">
        <f t="shared" ref="Y27" si="59">Y26-Y9</f>
        <v>0</v>
      </c>
      <c r="Z27" s="79">
        <f t="shared" ref="Z27" si="60">Z26-Z9</f>
        <v>0</v>
      </c>
      <c r="AA27" s="79">
        <f t="shared" ref="AA27" si="61">AA26-AA9</f>
        <v>0</v>
      </c>
      <c r="AB27" s="79">
        <f t="shared" ref="AB27" si="62">AB26-AB9</f>
        <v>0</v>
      </c>
      <c r="AC27" s="79">
        <f t="shared" ref="AC27" si="63">AC26-AC9</f>
        <v>0</v>
      </c>
    </row>
    <row r="28" spans="1:29">
      <c r="B28" s="18"/>
      <c r="C28" s="19"/>
      <c r="D28" s="19"/>
      <c r="E28" s="19"/>
      <c r="F28" s="19"/>
      <c r="G28" s="19"/>
      <c r="H28" s="19"/>
      <c r="I28" s="20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0"/>
      <c r="V28" s="20"/>
      <c r="W28" s="20"/>
      <c r="X28" s="20"/>
      <c r="Y28" s="20"/>
      <c r="Z28" s="20"/>
      <c r="AA28" s="20"/>
      <c r="AB28" s="20"/>
      <c r="AC28" s="20"/>
    </row>
    <row r="29" spans="1:29">
      <c r="B29" s="146" t="str">
        <f>B24&amp;"(%)"</f>
        <v>Compute(%)</v>
      </c>
      <c r="C29" s="147" t="e">
        <f t="shared" ref="C29:G29" si="64">SUM(C24/C$26)</f>
        <v>#DIV/0!</v>
      </c>
      <c r="D29" s="147" t="e">
        <f t="shared" si="64"/>
        <v>#DIV/0!</v>
      </c>
      <c r="E29" s="147" t="e">
        <f t="shared" si="64"/>
        <v>#DIV/0!</v>
      </c>
      <c r="F29" s="147" t="e">
        <f t="shared" si="64"/>
        <v>#DIV/0!</v>
      </c>
      <c r="G29" s="147">
        <f t="shared" si="64"/>
        <v>0.81956864807995788</v>
      </c>
      <c r="H29" s="147">
        <f>SUM(H24/H$26)</f>
        <v>0.88722587814491349</v>
      </c>
      <c r="I29" s="148"/>
      <c r="J29" s="147">
        <f t="shared" ref="J29:T29" si="65">SUM(J24/J$26)</f>
        <v>0.78361344537815125</v>
      </c>
      <c r="K29" s="147">
        <f t="shared" si="65"/>
        <v>0.83425360844715679</v>
      </c>
      <c r="L29" s="147">
        <f t="shared" si="65"/>
        <v>0.820449221441367</v>
      </c>
      <c r="M29" s="147">
        <f t="shared" si="65"/>
        <v>0.81900673766572485</v>
      </c>
      <c r="N29" s="147">
        <f t="shared" si="65"/>
        <v>0.85946017816779685</v>
      </c>
      <c r="O29" s="147">
        <f t="shared" si="65"/>
        <v>0.86038367844092567</v>
      </c>
      <c r="P29" s="147">
        <f t="shared" si="65"/>
        <v>0.89837834324526344</v>
      </c>
      <c r="Q29" s="147">
        <f t="shared" si="65"/>
        <v>0.91500843170320401</v>
      </c>
      <c r="R29" s="147">
        <f t="shared" si="65"/>
        <v>0.87326140314992839</v>
      </c>
      <c r="S29" s="147">
        <f t="shared" si="65"/>
        <v>0.82353513723963401</v>
      </c>
      <c r="T29" s="147">
        <f t="shared" si="65"/>
        <v>0.84014448891926197</v>
      </c>
      <c r="U29" s="148"/>
      <c r="V29" s="149">
        <f t="shared" ref="V29:AC29" si="66">SUM(V24/V$26)</f>
        <v>0.81956864807995788</v>
      </c>
      <c r="W29" s="149">
        <f t="shared" si="66"/>
        <v>0.83558750227949674</v>
      </c>
      <c r="X29" s="149">
        <f t="shared" si="66"/>
        <v>0.84372438931904636</v>
      </c>
      <c r="Y29" s="149">
        <f t="shared" si="66"/>
        <v>0.86433017039077642</v>
      </c>
      <c r="Z29" s="149">
        <f t="shared" si="66"/>
        <v>0.88722587814491349</v>
      </c>
      <c r="AA29" s="149">
        <f t="shared" si="66"/>
        <v>0.8878354271833605</v>
      </c>
      <c r="AB29" s="149">
        <f t="shared" si="66"/>
        <v>0.87472621947475082</v>
      </c>
      <c r="AC29" s="150">
        <f t="shared" si="66"/>
        <v>0.85976299826949221</v>
      </c>
    </row>
    <row r="30" spans="1:29" ht="12.75" customHeight="1">
      <c r="B30" s="156" t="str">
        <f>B25&amp;"(%)"</f>
        <v>Networking(%)</v>
      </c>
      <c r="C30" s="157" t="e">
        <f t="shared" ref="C30:G30" si="67">SUM(C25/C$26)</f>
        <v>#DIV/0!</v>
      </c>
      <c r="D30" s="157" t="e">
        <f t="shared" si="67"/>
        <v>#DIV/0!</v>
      </c>
      <c r="E30" s="157" t="e">
        <f t="shared" si="67"/>
        <v>#DIV/0!</v>
      </c>
      <c r="F30" s="157" t="e">
        <f t="shared" si="67"/>
        <v>#DIV/0!</v>
      </c>
      <c r="G30" s="157">
        <f t="shared" si="67"/>
        <v>0.18043135192004209</v>
      </c>
      <c r="H30" s="157">
        <f>SUM(H25/H$26)</f>
        <v>0.11277412185508656</v>
      </c>
      <c r="I30" s="158"/>
      <c r="J30" s="157">
        <f t="shared" ref="J30:T30" si="68">SUM(J25/J$26)</f>
        <v>0.21638655462184875</v>
      </c>
      <c r="K30" s="157">
        <f t="shared" si="68"/>
        <v>0.16574639155284315</v>
      </c>
      <c r="L30" s="157">
        <f t="shared" si="68"/>
        <v>0.17955077855863305</v>
      </c>
      <c r="M30" s="157">
        <f t="shared" si="68"/>
        <v>0.18099326233427515</v>
      </c>
      <c r="N30" s="157">
        <f t="shared" si="68"/>
        <v>0.14053982183220318</v>
      </c>
      <c r="O30" s="157">
        <f t="shared" si="68"/>
        <v>0.1396163215590743</v>
      </c>
      <c r="P30" s="157">
        <f t="shared" si="68"/>
        <v>0.1016216567547366</v>
      </c>
      <c r="Q30" s="157">
        <f t="shared" si="68"/>
        <v>8.4991568296795952E-2</v>
      </c>
      <c r="R30" s="157">
        <f t="shared" si="68"/>
        <v>0.12673859685007158</v>
      </c>
      <c r="S30" s="157">
        <f t="shared" si="68"/>
        <v>0.17646486276036596</v>
      </c>
      <c r="T30" s="157">
        <f t="shared" si="68"/>
        <v>0.15985551108073806</v>
      </c>
      <c r="U30" s="158"/>
      <c r="V30" s="159">
        <f t="shared" ref="V30:AC30" si="69">SUM(V25/V$26)</f>
        <v>0.18043135192004209</v>
      </c>
      <c r="W30" s="159">
        <f t="shared" si="69"/>
        <v>0.16441249772050331</v>
      </c>
      <c r="X30" s="159">
        <f t="shared" si="69"/>
        <v>0.15627561068095361</v>
      </c>
      <c r="Y30" s="159">
        <f t="shared" si="69"/>
        <v>0.13566982960922355</v>
      </c>
      <c r="Z30" s="159">
        <f t="shared" si="69"/>
        <v>0.11277412185508656</v>
      </c>
      <c r="AA30" s="159">
        <f t="shared" si="69"/>
        <v>0.11216457281663947</v>
      </c>
      <c r="AB30" s="159">
        <f t="shared" si="69"/>
        <v>0.12527378052524921</v>
      </c>
      <c r="AC30" s="160">
        <f t="shared" si="69"/>
        <v>0.14023700173050785</v>
      </c>
    </row>
    <row r="31" spans="1:29">
      <c r="B31" s="18"/>
      <c r="C31" s="19"/>
      <c r="D31" s="19"/>
      <c r="E31" s="19"/>
      <c r="F31" s="19"/>
      <c r="G31" s="19"/>
      <c r="H31" s="19"/>
      <c r="I31" s="20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0"/>
      <c r="V31" s="20"/>
      <c r="W31" s="20"/>
      <c r="X31" s="20"/>
      <c r="Y31" s="20"/>
      <c r="Z31" s="20"/>
      <c r="AA31" s="20"/>
      <c r="AB31" s="20"/>
      <c r="AC31" s="20"/>
    </row>
    <row r="32" spans="1:29">
      <c r="A32" s="36" t="s">
        <v>12</v>
      </c>
      <c r="B32" s="1" t="s">
        <v>130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5.0999999999999996" customHeight="1"/>
    <row r="34" spans="1:29" ht="12.75" customHeight="1">
      <c r="A34" s="80" t="s">
        <v>12</v>
      </c>
      <c r="B34" s="78" t="s">
        <v>130</v>
      </c>
      <c r="C34" s="10"/>
      <c r="D34" s="10"/>
      <c r="E34" s="10"/>
      <c r="F34" s="10"/>
      <c r="G34" s="10"/>
      <c r="H34" s="10"/>
      <c r="I34" s="10"/>
      <c r="J34" s="95"/>
      <c r="K34" s="95"/>
      <c r="L34" s="95"/>
      <c r="M34" s="32"/>
      <c r="N34" s="95"/>
      <c r="O34" s="95"/>
      <c r="P34" s="95"/>
      <c r="Q34" s="95"/>
      <c r="R34" s="95"/>
      <c r="S34" s="95"/>
      <c r="T34" s="95"/>
      <c r="U34" s="5"/>
      <c r="V34" s="11"/>
      <c r="W34" s="11"/>
      <c r="X34" s="11"/>
      <c r="Y34" s="11"/>
      <c r="Z34" s="11"/>
      <c r="AA34" s="11"/>
      <c r="AB34" s="11"/>
      <c r="AC34" s="11"/>
    </row>
    <row r="35" spans="1:29" ht="12.75" customHeight="1">
      <c r="A35" s="80"/>
      <c r="B35" s="9" t="s">
        <v>131</v>
      </c>
      <c r="C35" s="81">
        <v>886</v>
      </c>
      <c r="D35" s="81">
        <v>3214</v>
      </c>
      <c r="E35" s="81">
        <v>4349</v>
      </c>
      <c r="F35" s="81">
        <v>8292</v>
      </c>
      <c r="G35" s="81">
        <v>26966</v>
      </c>
      <c r="H35" s="81">
        <v>61257</v>
      </c>
      <c r="I35" s="10"/>
      <c r="J35" s="81">
        <v>2385</v>
      </c>
      <c r="K35" s="81">
        <v>6043</v>
      </c>
      <c r="L35" s="81">
        <v>6302</v>
      </c>
      <c r="M35" s="32">
        <f>SUM(G35-SUM(J35:L35))</f>
        <v>12236</v>
      </c>
      <c r="N35" s="81">
        <v>13496</v>
      </c>
      <c r="O35" s="81">
        <v>13022</v>
      </c>
      <c r="P35" s="81">
        <v>14800</v>
      </c>
      <c r="Q35" s="32">
        <f>SUM(H35-SUM(N35:P35))</f>
        <v>19939</v>
      </c>
      <c r="R35" s="81">
        <v>20739</v>
      </c>
      <c r="S35" s="81">
        <v>23470</v>
      </c>
      <c r="T35" s="81">
        <v>39177</v>
      </c>
      <c r="U35" s="5"/>
      <c r="V35" s="32">
        <f t="shared" ref="V35:V39" si="70">SUM(J35:M35)</f>
        <v>26966</v>
      </c>
      <c r="W35" s="32">
        <f t="shared" ref="W35:W39" si="71">SUM(K35:N35)</f>
        <v>38077</v>
      </c>
      <c r="X35" s="32">
        <f t="shared" ref="X35:X39" si="72">SUM(L35:O35)</f>
        <v>45056</v>
      </c>
      <c r="Y35" s="32">
        <f t="shared" ref="Y35:Y39" si="73">SUM(M35:P35)</f>
        <v>53554</v>
      </c>
      <c r="Z35" s="32">
        <f t="shared" ref="Z35:Z39" si="74">SUM(N35:Q35)</f>
        <v>61257</v>
      </c>
      <c r="AA35" s="32">
        <f t="shared" ref="AA35:AA39" si="75">SUM(O35:R35)</f>
        <v>68500</v>
      </c>
      <c r="AB35" s="32">
        <f t="shared" ref="AB35:AB39" si="76">SUM(P35:S35)</f>
        <v>78948</v>
      </c>
      <c r="AC35" s="32">
        <f t="shared" ref="AC35:AC39" si="77">SUM(Q35:T35)</f>
        <v>103325</v>
      </c>
    </row>
    <row r="36" spans="1:29" ht="12.75" customHeight="1">
      <c r="A36" s="80"/>
      <c r="B36" s="9" t="s">
        <v>132</v>
      </c>
      <c r="C36" s="81">
        <v>0</v>
      </c>
      <c r="D36" s="81">
        <v>0</v>
      </c>
      <c r="E36" s="81">
        <v>0</v>
      </c>
      <c r="F36" s="81">
        <v>2288</v>
      </c>
      <c r="G36" s="81">
        <v>6831</v>
      </c>
      <c r="H36" s="81">
        <v>23684</v>
      </c>
      <c r="I36" s="10"/>
      <c r="J36" s="81">
        <v>762</v>
      </c>
      <c r="K36" s="81">
        <v>2839</v>
      </c>
      <c r="L36" s="81">
        <v>2702</v>
      </c>
      <c r="M36" s="32">
        <f>SUM(G36-SUM(J36:L36))</f>
        <v>528</v>
      </c>
      <c r="N36" s="81">
        <v>4037</v>
      </c>
      <c r="O36" s="81">
        <v>5740</v>
      </c>
      <c r="P36" s="81">
        <v>7697</v>
      </c>
      <c r="Q36" s="32">
        <f>SUM(H36-SUM(N36:P36))</f>
        <v>6210</v>
      </c>
      <c r="R36" s="81">
        <v>9017</v>
      </c>
      <c r="S36" s="81">
        <v>10156</v>
      </c>
      <c r="T36" s="81">
        <v>0</v>
      </c>
      <c r="U36" s="5"/>
      <c r="V36" s="32">
        <f t="shared" si="70"/>
        <v>6831</v>
      </c>
      <c r="W36" s="32">
        <f t="shared" si="71"/>
        <v>10106</v>
      </c>
      <c r="X36" s="32">
        <f t="shared" si="72"/>
        <v>13007</v>
      </c>
      <c r="Y36" s="32">
        <f t="shared" si="73"/>
        <v>18002</v>
      </c>
      <c r="Z36" s="32">
        <f t="shared" si="74"/>
        <v>23684</v>
      </c>
      <c r="AA36" s="32">
        <f t="shared" si="75"/>
        <v>28664</v>
      </c>
      <c r="AB36" s="32">
        <f t="shared" si="76"/>
        <v>33080</v>
      </c>
      <c r="AC36" s="32">
        <f t="shared" si="77"/>
        <v>25383</v>
      </c>
    </row>
    <row r="37" spans="1:29" ht="12.75" customHeight="1">
      <c r="A37" s="80"/>
      <c r="B37" s="9" t="s">
        <v>133</v>
      </c>
      <c r="C37" s="81">
        <v>3025</v>
      </c>
      <c r="D37" s="81">
        <v>4531</v>
      </c>
      <c r="E37" s="81">
        <v>8544</v>
      </c>
      <c r="F37" s="81">
        <v>6986</v>
      </c>
      <c r="G37" s="81">
        <v>13405</v>
      </c>
      <c r="H37" s="81">
        <v>20573</v>
      </c>
      <c r="I37" s="10"/>
      <c r="J37" s="81">
        <v>1796</v>
      </c>
      <c r="K37" s="81">
        <v>1042</v>
      </c>
      <c r="L37" s="81">
        <v>4030</v>
      </c>
      <c r="M37" s="32">
        <f>SUM(G37-SUM(J37:L37))</f>
        <v>6537</v>
      </c>
      <c r="N37" s="81">
        <v>4373</v>
      </c>
      <c r="O37" s="81">
        <v>5622</v>
      </c>
      <c r="P37" s="81">
        <v>5416</v>
      </c>
      <c r="Q37" s="32">
        <f>SUM(H37-SUM(N37:P37))</f>
        <v>5162</v>
      </c>
      <c r="R37" s="81">
        <v>7158</v>
      </c>
      <c r="S37" s="81">
        <v>8529</v>
      </c>
      <c r="T37" s="81">
        <v>13751</v>
      </c>
      <c r="U37" s="5"/>
      <c r="V37" s="32">
        <f t="shared" si="70"/>
        <v>13405</v>
      </c>
      <c r="W37" s="32">
        <f t="shared" si="71"/>
        <v>15982</v>
      </c>
      <c r="X37" s="32">
        <f t="shared" si="72"/>
        <v>20562</v>
      </c>
      <c r="Y37" s="32">
        <f t="shared" si="73"/>
        <v>21948</v>
      </c>
      <c r="Z37" s="32">
        <f t="shared" si="74"/>
        <v>20573</v>
      </c>
      <c r="AA37" s="32">
        <f t="shared" si="75"/>
        <v>23358</v>
      </c>
      <c r="AB37" s="32">
        <f t="shared" si="76"/>
        <v>26265</v>
      </c>
      <c r="AC37" s="32">
        <f t="shared" si="77"/>
        <v>34600</v>
      </c>
    </row>
    <row r="38" spans="1:29" ht="12.75" customHeight="1">
      <c r="A38" s="80"/>
      <c r="B38" s="9" t="s">
        <v>134</v>
      </c>
      <c r="C38" s="81">
        <v>2731</v>
      </c>
      <c r="D38" s="81">
        <v>3886</v>
      </c>
      <c r="E38" s="81">
        <v>7111</v>
      </c>
      <c r="F38" s="81">
        <v>5785</v>
      </c>
      <c r="G38" s="81">
        <v>10306</v>
      </c>
      <c r="H38" s="81">
        <v>17108</v>
      </c>
      <c r="I38" s="10"/>
      <c r="J38" s="81">
        <v>1590</v>
      </c>
      <c r="K38" s="81">
        <v>2740</v>
      </c>
      <c r="L38" s="81">
        <v>4333</v>
      </c>
      <c r="M38" s="32">
        <f>SUM(G38-SUM(J38:L38))</f>
        <v>1643</v>
      </c>
      <c r="N38" s="81">
        <v>2491</v>
      </c>
      <c r="O38" s="81">
        <v>3667</v>
      </c>
      <c r="P38" s="81">
        <v>5153</v>
      </c>
      <c r="Q38" s="32">
        <f>SUM(H38-SUM(N38:P38))</f>
        <v>5797</v>
      </c>
      <c r="R38" s="81">
        <v>5522</v>
      </c>
      <c r="S38" s="81">
        <v>2769</v>
      </c>
      <c r="T38" s="81">
        <v>2973</v>
      </c>
      <c r="U38" s="5"/>
      <c r="V38" s="32">
        <f t="shared" si="70"/>
        <v>10306</v>
      </c>
      <c r="W38" s="32">
        <f t="shared" si="71"/>
        <v>11207</v>
      </c>
      <c r="X38" s="32">
        <f t="shared" si="72"/>
        <v>12134</v>
      </c>
      <c r="Y38" s="32">
        <f t="shared" si="73"/>
        <v>12954</v>
      </c>
      <c r="Z38" s="32">
        <f t="shared" si="74"/>
        <v>17108</v>
      </c>
      <c r="AA38" s="32">
        <f t="shared" si="75"/>
        <v>20139</v>
      </c>
      <c r="AB38" s="32">
        <f t="shared" si="76"/>
        <v>19241</v>
      </c>
      <c r="AC38" s="32">
        <f t="shared" si="77"/>
        <v>17061</v>
      </c>
    </row>
    <row r="39" spans="1:29">
      <c r="B39" s="9" t="s">
        <v>135</v>
      </c>
      <c r="C39" s="81">
        <v>4276</v>
      </c>
      <c r="D39" s="81">
        <v>5044</v>
      </c>
      <c r="E39" s="81">
        <v>6910</v>
      </c>
      <c r="F39" s="81">
        <v>3623</v>
      </c>
      <c r="G39" s="81">
        <v>3414</v>
      </c>
      <c r="H39" s="81">
        <v>7875</v>
      </c>
      <c r="I39" s="81"/>
      <c r="J39" s="81">
        <v>659</v>
      </c>
      <c r="K39" s="81">
        <v>843</v>
      </c>
      <c r="L39" s="81">
        <v>753</v>
      </c>
      <c r="M39" s="32">
        <f>SUM(G39-SUM(J39:L39))</f>
        <v>1159</v>
      </c>
      <c r="N39" s="81">
        <v>1647</v>
      </c>
      <c r="O39" s="81">
        <v>1989</v>
      </c>
      <c r="P39" s="81">
        <v>2016</v>
      </c>
      <c r="Q39" s="32">
        <f>SUM(H39-SUM(N39:P39))</f>
        <v>2223</v>
      </c>
      <c r="R39" s="81">
        <v>1626</v>
      </c>
      <c r="S39" s="81">
        <v>1819</v>
      </c>
      <c r="T39" s="81">
        <v>1105</v>
      </c>
      <c r="U39" s="5"/>
      <c r="V39" s="32">
        <f t="shared" si="70"/>
        <v>3414</v>
      </c>
      <c r="W39" s="32">
        <f t="shared" si="71"/>
        <v>4402</v>
      </c>
      <c r="X39" s="32">
        <f t="shared" si="72"/>
        <v>5548</v>
      </c>
      <c r="Y39" s="32">
        <f t="shared" si="73"/>
        <v>6811</v>
      </c>
      <c r="Z39" s="32">
        <f t="shared" si="74"/>
        <v>7875</v>
      </c>
      <c r="AA39" s="32">
        <f t="shared" si="75"/>
        <v>7854</v>
      </c>
      <c r="AB39" s="32">
        <f t="shared" si="76"/>
        <v>7684</v>
      </c>
      <c r="AC39" s="32">
        <f t="shared" si="77"/>
        <v>6773</v>
      </c>
    </row>
    <row r="40" spans="1:29">
      <c r="B40" s="13" t="s">
        <v>61</v>
      </c>
      <c r="C40" s="14">
        <f t="shared" ref="C40:D40" si="78">SUM(C35:C39)</f>
        <v>10918</v>
      </c>
      <c r="D40" s="14">
        <f t="shared" si="78"/>
        <v>16675</v>
      </c>
      <c r="E40" s="14">
        <f>SUM(E35:E39)</f>
        <v>26914</v>
      </c>
      <c r="F40" s="14">
        <f>SUM(F35:F39)</f>
        <v>26974</v>
      </c>
      <c r="G40" s="14">
        <f>SUM(G35:G39)</f>
        <v>60922</v>
      </c>
      <c r="H40" s="14">
        <f>SUM(H35:H39)</f>
        <v>130497</v>
      </c>
      <c r="I40" s="11"/>
      <c r="J40" s="14">
        <f t="shared" ref="J40:R40" si="79">SUM(J35:J39)</f>
        <v>7192</v>
      </c>
      <c r="K40" s="14">
        <f t="shared" si="79"/>
        <v>13507</v>
      </c>
      <c r="L40" s="14">
        <f t="shared" si="79"/>
        <v>18120</v>
      </c>
      <c r="M40" s="14">
        <f t="shared" si="79"/>
        <v>22103</v>
      </c>
      <c r="N40" s="14">
        <f t="shared" si="79"/>
        <v>26044</v>
      </c>
      <c r="O40" s="14">
        <f t="shared" si="79"/>
        <v>30040</v>
      </c>
      <c r="P40" s="14">
        <f t="shared" si="79"/>
        <v>35082</v>
      </c>
      <c r="Q40" s="14">
        <f t="shared" si="79"/>
        <v>39331</v>
      </c>
      <c r="R40" s="14">
        <f t="shared" si="79"/>
        <v>44062</v>
      </c>
      <c r="S40" s="14">
        <f t="shared" ref="S40" si="80">SUM(S35:S39)</f>
        <v>46743</v>
      </c>
      <c r="T40" s="14">
        <f t="shared" ref="T40" si="81">SUM(T35:T39)</f>
        <v>57006</v>
      </c>
      <c r="U40" s="5"/>
      <c r="V40" s="14">
        <f t="shared" ref="V40:AC40" si="82">SUM(V35:V39)</f>
        <v>60922</v>
      </c>
      <c r="W40" s="14">
        <f t="shared" si="82"/>
        <v>79774</v>
      </c>
      <c r="X40" s="14">
        <f t="shared" si="82"/>
        <v>96307</v>
      </c>
      <c r="Y40" s="14">
        <f t="shared" si="82"/>
        <v>113269</v>
      </c>
      <c r="Z40" s="14">
        <f t="shared" si="82"/>
        <v>130497</v>
      </c>
      <c r="AA40" s="14">
        <f t="shared" si="82"/>
        <v>148515</v>
      </c>
      <c r="AB40" s="14">
        <f t="shared" si="82"/>
        <v>165218</v>
      </c>
      <c r="AC40" s="14">
        <f t="shared" si="82"/>
        <v>187142</v>
      </c>
    </row>
    <row r="41" spans="1:29" outlineLevel="1">
      <c r="B41" s="130" t="s">
        <v>136</v>
      </c>
      <c r="C41" s="79">
        <f t="shared" ref="C41:H41" si="83">C40-C14</f>
        <v>0</v>
      </c>
      <c r="D41" s="79">
        <f t="shared" si="83"/>
        <v>0</v>
      </c>
      <c r="E41" s="79">
        <f t="shared" si="83"/>
        <v>0</v>
      </c>
      <c r="F41" s="79">
        <f t="shared" si="83"/>
        <v>0</v>
      </c>
      <c r="G41" s="79">
        <f t="shared" si="83"/>
        <v>0</v>
      </c>
      <c r="H41" s="79">
        <f t="shared" si="83"/>
        <v>0</v>
      </c>
      <c r="I41" s="11"/>
      <c r="J41" s="79">
        <f t="shared" ref="J41" si="84">J40-J14</f>
        <v>0</v>
      </c>
      <c r="K41" s="79">
        <f t="shared" ref="K41" si="85">K40-K14</f>
        <v>0</v>
      </c>
      <c r="L41" s="79">
        <f t="shared" ref="L41" si="86">L40-L14</f>
        <v>0</v>
      </c>
      <c r="M41" s="79">
        <f t="shared" ref="M41" si="87">M40-M14</f>
        <v>0</v>
      </c>
      <c r="N41" s="79">
        <f t="shared" ref="N41" si="88">N40-N14</f>
        <v>0</v>
      </c>
      <c r="O41" s="79">
        <f t="shared" ref="O41" si="89">O40-O14</f>
        <v>0</v>
      </c>
      <c r="P41" s="79">
        <f t="shared" ref="P41" si="90">P40-P14</f>
        <v>0</v>
      </c>
      <c r="Q41" s="79">
        <f t="shared" ref="Q41" si="91">Q40-Q14</f>
        <v>0</v>
      </c>
      <c r="R41" s="79">
        <f t="shared" ref="R41" si="92">R40-R14</f>
        <v>0</v>
      </c>
      <c r="S41" s="79">
        <f t="shared" ref="S41" si="93">S40-S14</f>
        <v>0</v>
      </c>
      <c r="T41" s="79">
        <f t="shared" ref="T41:AC41" si="94">T40-T14</f>
        <v>0</v>
      </c>
      <c r="U41" s="79"/>
      <c r="V41" s="79">
        <f t="shared" si="94"/>
        <v>0</v>
      </c>
      <c r="W41" s="79">
        <f t="shared" si="94"/>
        <v>0</v>
      </c>
      <c r="X41" s="79">
        <f t="shared" si="94"/>
        <v>0</v>
      </c>
      <c r="Y41" s="79">
        <f t="shared" si="94"/>
        <v>0</v>
      </c>
      <c r="Z41" s="79">
        <f t="shared" si="94"/>
        <v>0</v>
      </c>
      <c r="AA41" s="79">
        <f t="shared" si="94"/>
        <v>0</v>
      </c>
      <c r="AB41" s="79">
        <f t="shared" si="94"/>
        <v>0</v>
      </c>
      <c r="AC41" s="79">
        <f t="shared" si="94"/>
        <v>0</v>
      </c>
    </row>
    <row r="42" spans="1:29">
      <c r="B42" s="18"/>
      <c r="C42" s="19"/>
      <c r="D42" s="19"/>
      <c r="E42" s="19"/>
      <c r="F42" s="19"/>
      <c r="G42" s="19"/>
      <c r="H42" s="19"/>
      <c r="I42" s="20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0"/>
      <c r="V42" s="20"/>
      <c r="W42" s="20"/>
      <c r="X42" s="20"/>
      <c r="Y42" s="20"/>
      <c r="Z42" s="20"/>
      <c r="AA42" s="20"/>
      <c r="AB42" s="20"/>
      <c r="AC42" s="20"/>
    </row>
    <row r="43" spans="1:29">
      <c r="B43" s="146" t="str">
        <f>B35&amp;"(%)"</f>
        <v>U.S. Revenue(%)</v>
      </c>
      <c r="C43" s="147">
        <f t="shared" ref="C43:D43" si="95">SUM(C35/C$40)</f>
        <v>8.1150393845026564E-2</v>
      </c>
      <c r="D43" s="147">
        <f t="shared" si="95"/>
        <v>0.19274362818590704</v>
      </c>
      <c r="E43" s="147">
        <f>SUM(E35/E$40)</f>
        <v>0.1615887642119343</v>
      </c>
      <c r="F43" s="147">
        <f t="shared" ref="F43:H43" si="96">SUM(F35/F$40)</f>
        <v>0.3074071327945429</v>
      </c>
      <c r="G43" s="147">
        <f t="shared" si="96"/>
        <v>0.4426315616690194</v>
      </c>
      <c r="H43" s="147">
        <f t="shared" si="96"/>
        <v>0.46941308995609093</v>
      </c>
      <c r="I43" s="148"/>
      <c r="J43" s="147">
        <f t="shared" ref="J43:R43" si="97">SUM(J35/J$40)</f>
        <v>0.33161846496106784</v>
      </c>
      <c r="K43" s="147">
        <f t="shared" si="97"/>
        <v>0.44739764566521062</v>
      </c>
      <c r="L43" s="147">
        <f t="shared" si="97"/>
        <v>0.34779249448123623</v>
      </c>
      <c r="M43" s="147">
        <f t="shared" si="97"/>
        <v>0.55359001040582723</v>
      </c>
      <c r="N43" s="147">
        <f t="shared" si="97"/>
        <v>0.51819996928275225</v>
      </c>
      <c r="O43" s="147">
        <f t="shared" si="97"/>
        <v>0.43348868175765648</v>
      </c>
      <c r="P43" s="147">
        <f t="shared" si="97"/>
        <v>0.42186876460863121</v>
      </c>
      <c r="Q43" s="147">
        <f t="shared" si="97"/>
        <v>0.50695380234420684</v>
      </c>
      <c r="R43" s="147">
        <f t="shared" si="97"/>
        <v>0.47067768144886751</v>
      </c>
      <c r="S43" s="147">
        <f t="shared" ref="S43:T43" si="98">SUM(S35/S$40)</f>
        <v>0.50210726739832701</v>
      </c>
      <c r="T43" s="147">
        <f t="shared" si="98"/>
        <v>0.68724344805809912</v>
      </c>
      <c r="U43" s="148"/>
      <c r="V43" s="149">
        <f t="shared" ref="V43:AC43" si="99">SUM(V35/V$40)</f>
        <v>0.4426315616690194</v>
      </c>
      <c r="W43" s="149">
        <f t="shared" si="99"/>
        <v>0.47731090330182768</v>
      </c>
      <c r="X43" s="149">
        <f t="shared" si="99"/>
        <v>0.46783722886186879</v>
      </c>
      <c r="Y43" s="149">
        <f t="shared" si="99"/>
        <v>0.47280367973585008</v>
      </c>
      <c r="Z43" s="149">
        <f t="shared" si="99"/>
        <v>0.46941308995609093</v>
      </c>
      <c r="AA43" s="149">
        <f t="shared" si="99"/>
        <v>0.46123287210046121</v>
      </c>
      <c r="AB43" s="149">
        <f t="shared" si="99"/>
        <v>0.47784139742643056</v>
      </c>
      <c r="AC43" s="150">
        <f t="shared" si="99"/>
        <v>0.55212084940847062</v>
      </c>
    </row>
    <row r="44" spans="1:29">
      <c r="B44" s="151" t="str">
        <f>B36&amp;"(%)"</f>
        <v>Singapore Revenue(%)</v>
      </c>
      <c r="C44" s="152">
        <f t="shared" ref="C44:D44" si="100">SUM(C36/C$40)</f>
        <v>0</v>
      </c>
      <c r="D44" s="152">
        <f t="shared" si="100"/>
        <v>0</v>
      </c>
      <c r="E44" s="152">
        <f>SUM(E36/E$40)</f>
        <v>0</v>
      </c>
      <c r="F44" s="152">
        <f t="shared" ref="F44:H47" si="101">SUM(F36/F$40)</f>
        <v>8.4822421591161865E-2</v>
      </c>
      <c r="G44" s="152">
        <f t="shared" si="101"/>
        <v>0.11212698204261186</v>
      </c>
      <c r="H44" s="152">
        <f t="shared" si="101"/>
        <v>0.18149076223974497</v>
      </c>
      <c r="I44" s="153"/>
      <c r="J44" s="152">
        <f t="shared" ref="J44:R44" si="102">SUM(J36/J$40)</f>
        <v>0.10595105672969966</v>
      </c>
      <c r="K44" s="152">
        <f t="shared" si="102"/>
        <v>0.21018731028355667</v>
      </c>
      <c r="L44" s="152">
        <f t="shared" si="102"/>
        <v>0.14911699779249449</v>
      </c>
      <c r="M44" s="152">
        <f t="shared" si="102"/>
        <v>2.3888159978283491E-2</v>
      </c>
      <c r="N44" s="152">
        <f t="shared" si="102"/>
        <v>0.1550069113807403</v>
      </c>
      <c r="O44" s="152">
        <f t="shared" si="102"/>
        <v>0.19107856191744341</v>
      </c>
      <c r="P44" s="152">
        <f t="shared" si="102"/>
        <v>0.21940026224274556</v>
      </c>
      <c r="Q44" s="152">
        <f t="shared" si="102"/>
        <v>0.15789072233098575</v>
      </c>
      <c r="R44" s="152">
        <f t="shared" si="102"/>
        <v>0.20464345694702918</v>
      </c>
      <c r="S44" s="152">
        <f t="shared" ref="S44:T44" si="103">SUM(S36/S$40)</f>
        <v>0.21727317459298717</v>
      </c>
      <c r="T44" s="152">
        <f t="shared" si="103"/>
        <v>0</v>
      </c>
      <c r="U44" s="153"/>
      <c r="V44" s="154">
        <f t="shared" ref="V44:AC44" si="104">SUM(V36/V$40)</f>
        <v>0.11212698204261186</v>
      </c>
      <c r="W44" s="154">
        <f t="shared" si="104"/>
        <v>0.12668287913355228</v>
      </c>
      <c r="X44" s="154">
        <f t="shared" si="104"/>
        <v>0.13505768012709357</v>
      </c>
      <c r="Y44" s="154">
        <f t="shared" si="104"/>
        <v>0.15893139340861137</v>
      </c>
      <c r="Z44" s="154">
        <f t="shared" si="104"/>
        <v>0.18149076223974497</v>
      </c>
      <c r="AA44" s="154">
        <f t="shared" si="104"/>
        <v>0.19300407366259301</v>
      </c>
      <c r="AB44" s="154">
        <f t="shared" si="104"/>
        <v>0.20022031497778692</v>
      </c>
      <c r="AC44" s="155">
        <f t="shared" si="104"/>
        <v>0.13563497237391928</v>
      </c>
    </row>
    <row r="45" spans="1:29">
      <c r="B45" s="151" t="str">
        <f>B37&amp;"(%)"</f>
        <v>Taiwan Revenue(%)</v>
      </c>
      <c r="C45" s="152">
        <f t="shared" ref="C45:D46" si="105">SUM(C37/C$40)</f>
        <v>0.27706539659278256</v>
      </c>
      <c r="D45" s="152">
        <f t="shared" si="105"/>
        <v>0.2717241379310345</v>
      </c>
      <c r="E45" s="152">
        <f>SUM(E37/E$40)</f>
        <v>0.31745559931634093</v>
      </c>
      <c r="F45" s="152">
        <f t="shared" si="101"/>
        <v>0.2589901386520353</v>
      </c>
      <c r="G45" s="152">
        <f t="shared" si="101"/>
        <v>0.22003545517218739</v>
      </c>
      <c r="H45" s="152">
        <f t="shared" si="101"/>
        <v>0.15765113374253814</v>
      </c>
      <c r="I45" s="153"/>
      <c r="J45" s="152">
        <f t="shared" ref="J45:R45" si="106">SUM(J37/J$40)</f>
        <v>0.24972191323692991</v>
      </c>
      <c r="K45" s="152">
        <f t="shared" si="106"/>
        <v>7.7145183978677728E-2</v>
      </c>
      <c r="L45" s="152">
        <f t="shared" si="106"/>
        <v>0.22240618101545254</v>
      </c>
      <c r="M45" s="152">
        <f t="shared" si="106"/>
        <v>0.29575170791295297</v>
      </c>
      <c r="N45" s="152">
        <f t="shared" si="106"/>
        <v>0.16790815542927354</v>
      </c>
      <c r="O45" s="152">
        <f t="shared" si="106"/>
        <v>0.18715046604527297</v>
      </c>
      <c r="P45" s="152">
        <f t="shared" si="106"/>
        <v>0.15438116412975314</v>
      </c>
      <c r="Q45" s="152">
        <f t="shared" si="106"/>
        <v>0.13124507386031375</v>
      </c>
      <c r="R45" s="152">
        <f t="shared" si="106"/>
        <v>0.16245290726703282</v>
      </c>
      <c r="S45" s="152">
        <f t="shared" ref="S45:T46" si="107">SUM(S37/S$40)</f>
        <v>0.18246582375970732</v>
      </c>
      <c r="T45" s="152">
        <f t="shared" si="107"/>
        <v>0.24122022243272637</v>
      </c>
      <c r="U45" s="153"/>
      <c r="V45" s="154">
        <f t="shared" ref="V45:AC45" si="108">SUM(V37/V$40)</f>
        <v>0.22003545517218739</v>
      </c>
      <c r="W45" s="154">
        <f t="shared" si="108"/>
        <v>0.20034096322109959</v>
      </c>
      <c r="X45" s="154">
        <f t="shared" si="108"/>
        <v>0.21350472966658707</v>
      </c>
      <c r="Y45" s="154">
        <f t="shared" si="108"/>
        <v>0.19376881582780814</v>
      </c>
      <c r="Z45" s="154">
        <f t="shared" si="108"/>
        <v>0.15765113374253814</v>
      </c>
      <c r="AA45" s="154">
        <f t="shared" si="108"/>
        <v>0.15727704272295728</v>
      </c>
      <c r="AB45" s="154">
        <f t="shared" si="108"/>
        <v>0.1589717827355373</v>
      </c>
      <c r="AC45" s="155">
        <f t="shared" si="108"/>
        <v>0.18488634299088394</v>
      </c>
    </row>
    <row r="46" spans="1:29">
      <c r="B46" s="151" t="str">
        <f>B38&amp;"(%)"</f>
        <v>China (Incl. Hong Kong) Revenue(%)</v>
      </c>
      <c r="C46" s="152">
        <f t="shared" si="105"/>
        <v>0.25013738779996336</v>
      </c>
      <c r="D46" s="152">
        <f t="shared" si="105"/>
        <v>0.23304347826086957</v>
      </c>
      <c r="E46" s="152">
        <f>SUM(E38/E$40)</f>
        <v>0.26421193430928142</v>
      </c>
      <c r="F46" s="152">
        <f t="shared" si="101"/>
        <v>0.21446578186401721</v>
      </c>
      <c r="G46" s="152">
        <f t="shared" si="101"/>
        <v>0.16916713174222778</v>
      </c>
      <c r="H46" s="152">
        <f t="shared" si="101"/>
        <v>0.131098799206112</v>
      </c>
      <c r="I46" s="153"/>
      <c r="J46" s="152">
        <f t="shared" ref="J46:R46" si="109">SUM(J38/J$40)</f>
        <v>0.22107897664071191</v>
      </c>
      <c r="K46" s="152">
        <f t="shared" si="109"/>
        <v>0.20285777744873029</v>
      </c>
      <c r="L46" s="152">
        <f t="shared" si="109"/>
        <v>0.23912803532008831</v>
      </c>
      <c r="M46" s="152">
        <f t="shared" si="109"/>
        <v>7.4333800841514724E-2</v>
      </c>
      <c r="N46" s="152">
        <f t="shared" si="109"/>
        <v>9.5645830133620033E-2</v>
      </c>
      <c r="O46" s="152">
        <f t="shared" si="109"/>
        <v>0.12207057256990679</v>
      </c>
      <c r="P46" s="152">
        <f t="shared" si="109"/>
        <v>0.14688444216407273</v>
      </c>
      <c r="Q46" s="152">
        <f t="shared" si="109"/>
        <v>0.14739009941267703</v>
      </c>
      <c r="R46" s="152">
        <f t="shared" si="109"/>
        <v>0.12532340792519631</v>
      </c>
      <c r="S46" s="152">
        <f t="shared" si="107"/>
        <v>5.9238816507284513E-2</v>
      </c>
      <c r="T46" s="152">
        <f t="shared" si="107"/>
        <v>5.2152405009998945E-2</v>
      </c>
      <c r="U46" s="153"/>
      <c r="V46" s="154">
        <f t="shared" ref="V46:AC46" si="110">SUM(V38/V$40)</f>
        <v>0.16916713174222778</v>
      </c>
      <c r="W46" s="154">
        <f t="shared" si="110"/>
        <v>0.14048436834056208</v>
      </c>
      <c r="X46" s="154">
        <f t="shared" si="110"/>
        <v>0.12599291847944594</v>
      </c>
      <c r="Y46" s="154">
        <f t="shared" si="110"/>
        <v>0.11436491890985177</v>
      </c>
      <c r="Z46" s="154">
        <f t="shared" si="110"/>
        <v>0.131098799206112</v>
      </c>
      <c r="AA46" s="154">
        <f t="shared" si="110"/>
        <v>0.13560246439753559</v>
      </c>
      <c r="AB46" s="154">
        <f t="shared" si="110"/>
        <v>0.11645825515379681</v>
      </c>
      <c r="AC46" s="155">
        <f t="shared" si="110"/>
        <v>9.1166066409464466E-2</v>
      </c>
    </row>
    <row r="47" spans="1:29" ht="12.75" customHeight="1">
      <c r="B47" s="156" t="str">
        <f>B39&amp;"(%)"</f>
        <v>Other Revenue(%)</v>
      </c>
      <c r="C47" s="157">
        <f t="shared" ref="C47:D47" si="111">SUM(C39/C$40)</f>
        <v>0.39164682176222754</v>
      </c>
      <c r="D47" s="157">
        <f t="shared" si="111"/>
        <v>0.30248875562218891</v>
      </c>
      <c r="E47" s="157">
        <f>SUM(E39/E$40)</f>
        <v>0.25674370216244335</v>
      </c>
      <c r="F47" s="157">
        <f t="shared" si="101"/>
        <v>0.13431452509824277</v>
      </c>
      <c r="G47" s="157">
        <f t="shared" si="101"/>
        <v>5.6038869373953581E-2</v>
      </c>
      <c r="H47" s="157">
        <f t="shared" si="101"/>
        <v>6.0346214855513919E-2</v>
      </c>
      <c r="I47" s="158"/>
      <c r="J47" s="157">
        <f t="shared" ref="J47:R47" si="112">SUM(J39/J$40)</f>
        <v>9.162958843159065E-2</v>
      </c>
      <c r="K47" s="157">
        <f t="shared" si="112"/>
        <v>6.241208262382468E-2</v>
      </c>
      <c r="L47" s="157">
        <f t="shared" si="112"/>
        <v>4.1556291390728479E-2</v>
      </c>
      <c r="M47" s="157">
        <f t="shared" si="112"/>
        <v>5.2436320861421526E-2</v>
      </c>
      <c r="N47" s="157">
        <f t="shared" si="112"/>
        <v>6.3239133773613884E-2</v>
      </c>
      <c r="O47" s="157">
        <f t="shared" si="112"/>
        <v>6.6211717709720369E-2</v>
      </c>
      <c r="P47" s="157">
        <f t="shared" si="112"/>
        <v>5.7465366854797334E-2</v>
      </c>
      <c r="Q47" s="157">
        <f t="shared" si="112"/>
        <v>5.6520302051816636E-2</v>
      </c>
      <c r="R47" s="157">
        <f t="shared" si="112"/>
        <v>3.6902546411874175E-2</v>
      </c>
      <c r="S47" s="157">
        <f t="shared" ref="S47:T47" si="113">SUM(S39/S$40)</f>
        <v>3.8914917741693943E-2</v>
      </c>
      <c r="T47" s="157">
        <f t="shared" si="113"/>
        <v>1.9383924499175524E-2</v>
      </c>
      <c r="U47" s="158"/>
      <c r="V47" s="159">
        <f t="shared" ref="V47:AC47" si="114">SUM(V39/V$40)</f>
        <v>5.6038869373953581E-2</v>
      </c>
      <c r="W47" s="159">
        <f t="shared" si="114"/>
        <v>5.5180886002958354E-2</v>
      </c>
      <c r="X47" s="159">
        <f t="shared" si="114"/>
        <v>5.7607442865004618E-2</v>
      </c>
      <c r="Y47" s="159">
        <f t="shared" si="114"/>
        <v>6.0131192117878679E-2</v>
      </c>
      <c r="Z47" s="159">
        <f t="shared" si="114"/>
        <v>6.0346214855513919E-2</v>
      </c>
      <c r="AA47" s="159">
        <f t="shared" si="114"/>
        <v>5.2883547116452885E-2</v>
      </c>
      <c r="AB47" s="159">
        <f t="shared" si="114"/>
        <v>4.650824970644845E-2</v>
      </c>
      <c r="AC47" s="160">
        <f t="shared" si="114"/>
        <v>3.6191768817261757E-2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E79"/>
  <sheetViews>
    <sheetView showGridLines="0" zoomScaleNormal="100" workbookViewId="0">
      <selection activeCell="B4" sqref="B4"/>
    </sheetView>
  </sheetViews>
  <sheetFormatPr defaultRowHeight="12" outlineLevelCol="1"/>
  <cols>
    <col min="1" max="1" width="1.5" style="8" customWidth="1"/>
    <col min="2" max="2" width="41.625" style="8" customWidth="1"/>
    <col min="3" max="5" width="0" style="8" hidden="1" customWidth="1" outlineLevel="1"/>
    <col min="6" max="6" width="9" style="8" collapsed="1"/>
    <col min="7" max="8" width="9" style="8"/>
    <col min="9" max="9" width="1.5" style="8" customWidth="1"/>
    <col min="10" max="11" width="8" style="8" hidden="1" customWidth="1" outlineLevel="1"/>
    <col min="12" max="15" width="8.875" style="8" hidden="1" customWidth="1" outlineLevel="1"/>
    <col min="16" max="16" width="8.875" style="8" bestFit="1" customWidth="1" collapsed="1"/>
    <col min="17" max="20" width="8.875" style="8" bestFit="1" customWidth="1"/>
    <col min="21" max="21" width="1.625" style="8" customWidth="1"/>
    <col min="22" max="22" width="9.25" style="8" hidden="1" customWidth="1" outlineLevel="1"/>
    <col min="23" max="23" width="9.75" style="8" hidden="1" customWidth="1" outlineLevel="1"/>
    <col min="24" max="24" width="9" style="8" hidden="1" customWidth="1" outlineLevel="1"/>
    <col min="25" max="25" width="9" style="8" customWidth="1" collapsed="1"/>
    <col min="26" max="27" width="9" style="8" hidden="1" customWidth="1" outlineLevel="1"/>
    <col min="28" max="28" width="8.5" style="8" hidden="1" customWidth="1" outlineLevel="1"/>
    <col min="29" max="29" width="8.5" style="8" bestFit="1" customWidth="1" collapsed="1"/>
    <col min="30" max="30" width="1.5" style="8" customWidth="1"/>
    <col min="31" max="31" width="9.375" style="128" bestFit="1" customWidth="1"/>
    <col min="32" max="16384" width="9" style="8"/>
  </cols>
  <sheetData>
    <row r="2" spans="2:31" s="5" customFormat="1" ht="12.75" customHeight="1">
      <c r="B2" s="1" t="str">
        <f>'Historical Financials'!B2</f>
        <v>NVIDIA Corporation (NASDAQ: NVDA)</v>
      </c>
      <c r="C2" s="2" t="s">
        <v>0</v>
      </c>
      <c r="D2" s="2"/>
      <c r="E2" s="2"/>
      <c r="F2" s="2" t="s">
        <v>0</v>
      </c>
      <c r="G2" s="2"/>
      <c r="H2" s="2"/>
      <c r="I2" s="3"/>
      <c r="J2" s="2" t="s">
        <v>1</v>
      </c>
      <c r="K2" s="2"/>
      <c r="L2" s="2"/>
      <c r="M2" s="2"/>
      <c r="N2" s="2"/>
      <c r="O2" s="2"/>
      <c r="P2" s="2" t="s">
        <v>1</v>
      </c>
      <c r="Q2" s="2"/>
      <c r="R2" s="2"/>
      <c r="S2" s="2"/>
      <c r="T2" s="2"/>
      <c r="U2" s="3"/>
      <c r="V2" s="2"/>
      <c r="W2" s="2"/>
      <c r="X2" s="2" t="s">
        <v>6</v>
      </c>
      <c r="Y2" s="2" t="s">
        <v>6</v>
      </c>
      <c r="Z2" s="2"/>
      <c r="AA2" s="2"/>
      <c r="AB2" s="2"/>
      <c r="AC2" s="2"/>
      <c r="AD2" s="3"/>
      <c r="AE2" s="164" t="s">
        <v>18</v>
      </c>
    </row>
    <row r="3" spans="2:31" s="5" customFormat="1" ht="12.75" customHeight="1">
      <c r="B3" s="6" t="s">
        <v>19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1Q24</v>
      </c>
      <c r="K3" s="7" t="str">
        <f>'Historical Financials'!K7</f>
        <v>2Q24</v>
      </c>
      <c r="L3" s="7" t="str">
        <f>'Historical Financials'!L7</f>
        <v>3Q24</v>
      </c>
      <c r="M3" s="7" t="str">
        <f>'Historical Financials'!M7</f>
        <v>4Q24</v>
      </c>
      <c r="N3" s="7" t="str">
        <f>'Historical Financials'!N7</f>
        <v>1Q25</v>
      </c>
      <c r="O3" s="7" t="str">
        <f>'Historical Financials'!O7</f>
        <v>2Q25</v>
      </c>
      <c r="P3" s="7" t="str">
        <f>'Historical Financials'!P7</f>
        <v>3Q25</v>
      </c>
      <c r="Q3" s="7" t="str">
        <f>'Historical Financials'!Q7</f>
        <v>4Q25</v>
      </c>
      <c r="R3" s="7" t="str">
        <f>'Historical Financials'!R7</f>
        <v>1Q26</v>
      </c>
      <c r="S3" s="7" t="str">
        <f>'Historical Financials'!S7</f>
        <v>2Q26</v>
      </c>
      <c r="T3" s="7" t="str">
        <f>'Historical Financials'!T7</f>
        <v>3Q26</v>
      </c>
      <c r="U3" s="3"/>
      <c r="V3" s="4" t="str">
        <f t="shared" ref="V3:AC4" si="0">M3</f>
        <v>4Q24</v>
      </c>
      <c r="W3" s="4" t="str">
        <f t="shared" si="0"/>
        <v>1Q25</v>
      </c>
      <c r="X3" s="4" t="str">
        <f t="shared" si="0"/>
        <v>2Q25</v>
      </c>
      <c r="Y3" s="4" t="str">
        <f t="shared" si="0"/>
        <v>3Q25</v>
      </c>
      <c r="Z3" s="4" t="str">
        <f t="shared" si="0"/>
        <v>4Q25</v>
      </c>
      <c r="AA3" s="4" t="str">
        <f t="shared" si="0"/>
        <v>1Q26</v>
      </c>
      <c r="AB3" s="4" t="str">
        <f t="shared" si="0"/>
        <v>2Q26</v>
      </c>
      <c r="AC3" s="4" t="str">
        <f t="shared" si="0"/>
        <v>3Q26</v>
      </c>
      <c r="AD3" s="3"/>
      <c r="AE3" s="164"/>
    </row>
    <row r="4" spans="2:31" s="5" customFormat="1" ht="12.75" customHeight="1">
      <c r="B4" s="6" t="s">
        <v>119</v>
      </c>
      <c r="C4" s="3">
        <f>'Historical Financials'!C8</f>
        <v>43856</v>
      </c>
      <c r="D4" s="3">
        <f>'Historical Financials'!D8</f>
        <v>44227</v>
      </c>
      <c r="E4" s="3">
        <f>'Historical Financials'!E8</f>
        <v>44956</v>
      </c>
      <c r="F4" s="3">
        <f>'Historical Financials'!F8</f>
        <v>44955</v>
      </c>
      <c r="G4" s="3">
        <f>'Historical Financials'!G8</f>
        <v>45319</v>
      </c>
      <c r="H4" s="3">
        <f>'Historical Financials'!H8</f>
        <v>45683</v>
      </c>
      <c r="I4" s="3"/>
      <c r="J4" s="3">
        <f>'Historical Financials'!J8</f>
        <v>45046</v>
      </c>
      <c r="K4" s="3">
        <f>'Historical Financials'!K8</f>
        <v>45137</v>
      </c>
      <c r="L4" s="3">
        <f>'Historical Financials'!L8</f>
        <v>45228</v>
      </c>
      <c r="M4" s="3">
        <f>'Historical Financials'!M8</f>
        <v>45319</v>
      </c>
      <c r="N4" s="3">
        <f>'Historical Financials'!N8</f>
        <v>45410</v>
      </c>
      <c r="O4" s="3">
        <f>'Historical Financials'!O8</f>
        <v>45501</v>
      </c>
      <c r="P4" s="3">
        <f>'Historical Financials'!P8</f>
        <v>45592</v>
      </c>
      <c r="Q4" s="3">
        <f>'Historical Financials'!Q8</f>
        <v>45683</v>
      </c>
      <c r="R4" s="3">
        <f>'Historical Financials'!R8</f>
        <v>45774</v>
      </c>
      <c r="S4" s="3">
        <f>'Historical Financials'!S8</f>
        <v>45865</v>
      </c>
      <c r="T4" s="3">
        <f>'Historical Financials'!T8</f>
        <v>45956</v>
      </c>
      <c r="U4" s="3"/>
      <c r="V4" s="3">
        <f t="shared" si="0"/>
        <v>45319</v>
      </c>
      <c r="W4" s="3">
        <f t="shared" si="0"/>
        <v>45410</v>
      </c>
      <c r="X4" s="3">
        <f t="shared" si="0"/>
        <v>45501</v>
      </c>
      <c r="Y4" s="3">
        <f t="shared" si="0"/>
        <v>45592</v>
      </c>
      <c r="Z4" s="3">
        <f t="shared" si="0"/>
        <v>45683</v>
      </c>
      <c r="AA4" s="3">
        <f t="shared" si="0"/>
        <v>45774</v>
      </c>
      <c r="AB4" s="3">
        <f t="shared" si="0"/>
        <v>45865</v>
      </c>
      <c r="AC4" s="3">
        <f t="shared" si="0"/>
        <v>45956</v>
      </c>
      <c r="AD4" s="3"/>
      <c r="AE4" s="164"/>
    </row>
    <row r="5" spans="2:31" ht="5.0999999999999996" customHeight="1">
      <c r="AE5" s="124"/>
    </row>
    <row r="6" spans="2:31" ht="12.75" customHeight="1">
      <c r="B6" s="9" t="str">
        <f>'Revenue Drivers'!B9</f>
        <v>Data Center</v>
      </c>
      <c r="C6" s="94">
        <f>'Revenue Drivers'!C9</f>
        <v>5518</v>
      </c>
      <c r="D6" s="94">
        <f>'Revenue Drivers'!D9</f>
        <v>7759</v>
      </c>
      <c r="E6" s="94">
        <f>'Revenue Drivers'!E9</f>
        <v>10613</v>
      </c>
      <c r="F6" s="94">
        <f>'Revenue Drivers'!F9</f>
        <v>15005</v>
      </c>
      <c r="G6" s="94">
        <f>'Revenue Drivers'!G9</f>
        <v>47525</v>
      </c>
      <c r="H6" s="94">
        <f>'Revenue Drivers'!H9</f>
        <v>115186</v>
      </c>
      <c r="I6" s="10"/>
      <c r="J6" s="94">
        <f>'Revenue Drivers'!J9</f>
        <v>4284</v>
      </c>
      <c r="K6" s="94">
        <f>'Revenue Drivers'!K9</f>
        <v>10323</v>
      </c>
      <c r="L6" s="94">
        <f>'Revenue Drivers'!L9</f>
        <v>14514</v>
      </c>
      <c r="M6" s="94">
        <f>'Revenue Drivers'!M9</f>
        <v>18404</v>
      </c>
      <c r="N6" s="94">
        <f>'Revenue Drivers'!N9</f>
        <v>22563</v>
      </c>
      <c r="O6" s="94">
        <f>'Revenue Drivers'!O9</f>
        <v>26272</v>
      </c>
      <c r="P6" s="94">
        <f>'Revenue Drivers'!P9</f>
        <v>30771</v>
      </c>
      <c r="Q6" s="94">
        <f>'Revenue Drivers'!Q9</f>
        <v>35580</v>
      </c>
      <c r="R6" s="94">
        <f>'Revenue Drivers'!R9</f>
        <v>39112</v>
      </c>
      <c r="S6" s="94">
        <f>'Revenue Drivers'!S9</f>
        <v>41096</v>
      </c>
      <c r="T6" s="94">
        <f>'Revenue Drivers'!T9</f>
        <v>51215</v>
      </c>
      <c r="U6" s="5"/>
      <c r="V6" s="140">
        <f t="shared" ref="V6:AB9" si="1">SUM(J6:M6)</f>
        <v>47525</v>
      </c>
      <c r="W6" s="140">
        <f t="shared" si="1"/>
        <v>65804</v>
      </c>
      <c r="X6" s="140">
        <f t="shared" si="1"/>
        <v>81753</v>
      </c>
      <c r="Y6" s="140">
        <f t="shared" si="1"/>
        <v>98010</v>
      </c>
      <c r="Z6" s="140">
        <f t="shared" si="1"/>
        <v>115186</v>
      </c>
      <c r="AA6" s="140">
        <f t="shared" si="1"/>
        <v>131735</v>
      </c>
      <c r="AB6" s="140">
        <f t="shared" si="1"/>
        <v>146559</v>
      </c>
      <c r="AC6" s="140">
        <f>SUM(Q6:T6)</f>
        <v>167003</v>
      </c>
      <c r="AE6" s="125">
        <f t="shared" ref="AE6:AE10" si="2">SUM(AC6/Y6)-1</f>
        <v>0.70393837363534328</v>
      </c>
    </row>
    <row r="7" spans="2:31" ht="12.75" customHeight="1">
      <c r="B7" s="9" t="str">
        <f>'Revenue Drivers'!B10</f>
        <v xml:space="preserve">Gaming </v>
      </c>
      <c r="C7" s="94">
        <f>'Revenue Drivers'!C10</f>
        <v>1212</v>
      </c>
      <c r="D7" s="94">
        <f>'Revenue Drivers'!D10</f>
        <v>6696</v>
      </c>
      <c r="E7" s="94">
        <f>'Revenue Drivers'!E10</f>
        <v>12462</v>
      </c>
      <c r="F7" s="94">
        <f>'Revenue Drivers'!F10</f>
        <v>9067</v>
      </c>
      <c r="G7" s="94">
        <f>'Revenue Drivers'!G10</f>
        <v>10447</v>
      </c>
      <c r="H7" s="94">
        <f>'Revenue Drivers'!H10</f>
        <v>11350</v>
      </c>
      <c r="I7" s="10"/>
      <c r="J7" s="94">
        <f>'Revenue Drivers'!J10</f>
        <v>2240</v>
      </c>
      <c r="K7" s="94">
        <f>'Revenue Drivers'!K10</f>
        <v>2486</v>
      </c>
      <c r="L7" s="94">
        <f>'Revenue Drivers'!L10</f>
        <v>2856</v>
      </c>
      <c r="M7" s="94">
        <f>'Revenue Drivers'!M10</f>
        <v>2865</v>
      </c>
      <c r="N7" s="94">
        <f>'Revenue Drivers'!N10</f>
        <v>2647</v>
      </c>
      <c r="O7" s="94">
        <f>'Revenue Drivers'!O10</f>
        <v>2880</v>
      </c>
      <c r="P7" s="94">
        <f>'Revenue Drivers'!P10</f>
        <v>3279</v>
      </c>
      <c r="Q7" s="94">
        <f>'Revenue Drivers'!Q10</f>
        <v>2544</v>
      </c>
      <c r="R7" s="94">
        <f>'Revenue Drivers'!R10</f>
        <v>3763</v>
      </c>
      <c r="S7" s="94">
        <f>'Revenue Drivers'!S10</f>
        <v>4287</v>
      </c>
      <c r="T7" s="94">
        <f>'Revenue Drivers'!T10</f>
        <v>4265</v>
      </c>
      <c r="U7" s="5"/>
      <c r="V7" s="140">
        <f t="shared" si="1"/>
        <v>10447</v>
      </c>
      <c r="W7" s="140">
        <f t="shared" si="1"/>
        <v>10854</v>
      </c>
      <c r="X7" s="140">
        <f t="shared" si="1"/>
        <v>11248</v>
      </c>
      <c r="Y7" s="140">
        <f t="shared" si="1"/>
        <v>11671</v>
      </c>
      <c r="Z7" s="140">
        <f t="shared" si="1"/>
        <v>11350</v>
      </c>
      <c r="AA7" s="140">
        <f t="shared" si="1"/>
        <v>12466</v>
      </c>
      <c r="AB7" s="140">
        <f t="shared" si="1"/>
        <v>13873</v>
      </c>
      <c r="AC7" s="140">
        <f>SUM(Q7:T7)</f>
        <v>14859</v>
      </c>
      <c r="AE7" s="125">
        <f t="shared" si="2"/>
        <v>0.27315568503127419</v>
      </c>
    </row>
    <row r="8" spans="2:31" ht="12.75" customHeight="1">
      <c r="B8" s="9" t="str">
        <f>'Revenue Drivers'!B12</f>
        <v>Automotive</v>
      </c>
      <c r="C8" s="94">
        <f>'Revenue Drivers'!C11</f>
        <v>2983</v>
      </c>
      <c r="D8" s="94">
        <f>'Revenue Drivers'!D11</f>
        <v>1053</v>
      </c>
      <c r="E8" s="94">
        <f>'Revenue Drivers'!E11</f>
        <v>2111</v>
      </c>
      <c r="F8" s="94">
        <f>'Revenue Drivers'!F11</f>
        <v>1544</v>
      </c>
      <c r="G8" s="94">
        <f>'Revenue Drivers'!G11</f>
        <v>1553</v>
      </c>
      <c r="H8" s="94">
        <f>'Revenue Drivers'!H11</f>
        <v>1878</v>
      </c>
      <c r="I8" s="10"/>
      <c r="J8" s="94">
        <f>'Revenue Drivers'!J11</f>
        <v>295</v>
      </c>
      <c r="K8" s="94">
        <f>'Revenue Drivers'!K11</f>
        <v>379</v>
      </c>
      <c r="L8" s="94">
        <f>'Revenue Drivers'!L11</f>
        <v>416</v>
      </c>
      <c r="M8" s="94">
        <f>'Revenue Drivers'!M11</f>
        <v>463</v>
      </c>
      <c r="N8" s="94">
        <f>'Revenue Drivers'!N11</f>
        <v>427</v>
      </c>
      <c r="O8" s="94">
        <f>'Revenue Drivers'!O11</f>
        <v>454</v>
      </c>
      <c r="P8" s="94">
        <f>'Revenue Drivers'!P11</f>
        <v>486</v>
      </c>
      <c r="Q8" s="94">
        <f>'Revenue Drivers'!Q11</f>
        <v>511</v>
      </c>
      <c r="R8" s="94">
        <f>'Revenue Drivers'!R11</f>
        <v>509</v>
      </c>
      <c r="S8" s="94">
        <f>'Revenue Drivers'!S11</f>
        <v>601</v>
      </c>
      <c r="T8" s="94">
        <f>'Revenue Drivers'!T11</f>
        <v>760</v>
      </c>
      <c r="U8" s="5"/>
      <c r="V8" s="140">
        <f t="shared" si="1"/>
        <v>1553</v>
      </c>
      <c r="W8" s="140">
        <f t="shared" si="1"/>
        <v>1685</v>
      </c>
      <c r="X8" s="140">
        <f t="shared" si="1"/>
        <v>1760</v>
      </c>
      <c r="Y8" s="140">
        <f t="shared" si="1"/>
        <v>1830</v>
      </c>
      <c r="Z8" s="140">
        <f t="shared" si="1"/>
        <v>1878</v>
      </c>
      <c r="AA8" s="140">
        <f t="shared" si="1"/>
        <v>1960</v>
      </c>
      <c r="AB8" s="140">
        <f t="shared" si="1"/>
        <v>2107</v>
      </c>
      <c r="AC8" s="140">
        <f>SUM(Q8:T8)</f>
        <v>2381</v>
      </c>
      <c r="AE8" s="125">
        <f t="shared" si="2"/>
        <v>0.30109289617486334</v>
      </c>
    </row>
    <row r="9" spans="2:31" ht="12.75" customHeight="1">
      <c r="B9" s="9" t="str">
        <f>'Revenue Drivers'!B13</f>
        <v xml:space="preserve">OEM &amp; Other </v>
      </c>
      <c r="C9" s="94">
        <f>'Revenue Drivers'!C12</f>
        <v>700</v>
      </c>
      <c r="D9" s="94">
        <f>'Revenue Drivers'!D12</f>
        <v>536</v>
      </c>
      <c r="E9" s="94">
        <f>'Revenue Drivers'!E12</f>
        <v>566</v>
      </c>
      <c r="F9" s="94">
        <f>'Revenue Drivers'!F12</f>
        <v>903</v>
      </c>
      <c r="G9" s="94">
        <f>'Revenue Drivers'!G12</f>
        <v>1091</v>
      </c>
      <c r="H9" s="94">
        <f>'Revenue Drivers'!H12</f>
        <v>1694</v>
      </c>
      <c r="I9" s="10"/>
      <c r="J9" s="94">
        <f>'Revenue Drivers'!J12</f>
        <v>296</v>
      </c>
      <c r="K9" s="94">
        <f>'Revenue Drivers'!K12</f>
        <v>253</v>
      </c>
      <c r="L9" s="94">
        <f>'Revenue Drivers'!L12</f>
        <v>261</v>
      </c>
      <c r="M9" s="94">
        <f>'Revenue Drivers'!M12</f>
        <v>281</v>
      </c>
      <c r="N9" s="94">
        <f>'Revenue Drivers'!N12</f>
        <v>329</v>
      </c>
      <c r="O9" s="94">
        <f>'Revenue Drivers'!O12</f>
        <v>346</v>
      </c>
      <c r="P9" s="94">
        <f>'Revenue Drivers'!P12</f>
        <v>449</v>
      </c>
      <c r="Q9" s="94">
        <f>'Revenue Drivers'!Q12</f>
        <v>570</v>
      </c>
      <c r="R9" s="94">
        <f>'Revenue Drivers'!R12</f>
        <v>567</v>
      </c>
      <c r="S9" s="94">
        <f>'Revenue Drivers'!S12</f>
        <v>586</v>
      </c>
      <c r="T9" s="94">
        <f>'Revenue Drivers'!T12</f>
        <v>592</v>
      </c>
      <c r="U9" s="5"/>
      <c r="V9" s="140">
        <f t="shared" si="1"/>
        <v>1091</v>
      </c>
      <c r="W9" s="140">
        <f t="shared" si="1"/>
        <v>1124</v>
      </c>
      <c r="X9" s="140">
        <f t="shared" si="1"/>
        <v>1217</v>
      </c>
      <c r="Y9" s="140">
        <f t="shared" si="1"/>
        <v>1405</v>
      </c>
      <c r="Z9" s="140">
        <f t="shared" si="1"/>
        <v>1694</v>
      </c>
      <c r="AA9" s="140">
        <f t="shared" si="1"/>
        <v>1932</v>
      </c>
      <c r="AB9" s="140">
        <f t="shared" si="1"/>
        <v>2172</v>
      </c>
      <c r="AC9" s="140">
        <f>SUM(Q9:T9)</f>
        <v>2315</v>
      </c>
      <c r="AE9" s="125">
        <f t="shared" si="2"/>
        <v>0.64768683274021344</v>
      </c>
    </row>
    <row r="10" spans="2:31" ht="12.75" customHeight="1">
      <c r="B10" s="13" t="s">
        <v>8</v>
      </c>
      <c r="C10" s="14">
        <f t="shared" ref="C10:G10" si="3">SUM(C6:C9)</f>
        <v>10413</v>
      </c>
      <c r="D10" s="14">
        <f t="shared" si="3"/>
        <v>16044</v>
      </c>
      <c r="E10" s="14">
        <f t="shared" si="3"/>
        <v>25752</v>
      </c>
      <c r="F10" s="14">
        <f t="shared" si="3"/>
        <v>26519</v>
      </c>
      <c r="G10" s="14">
        <f t="shared" si="3"/>
        <v>60616</v>
      </c>
      <c r="H10" s="14">
        <f>SUM(H6:H9)</f>
        <v>130108</v>
      </c>
      <c r="I10" s="10"/>
      <c r="J10" s="14">
        <f t="shared" ref="J10:T10" si="4">SUM(J6:J9)</f>
        <v>7115</v>
      </c>
      <c r="K10" s="14">
        <f t="shared" si="4"/>
        <v>13441</v>
      </c>
      <c r="L10" s="14">
        <f t="shared" si="4"/>
        <v>18047</v>
      </c>
      <c r="M10" s="14">
        <f t="shared" si="4"/>
        <v>22013</v>
      </c>
      <c r="N10" s="14">
        <f t="shared" si="4"/>
        <v>25966</v>
      </c>
      <c r="O10" s="14">
        <f t="shared" si="4"/>
        <v>29952</v>
      </c>
      <c r="P10" s="14">
        <f t="shared" si="4"/>
        <v>34985</v>
      </c>
      <c r="Q10" s="14">
        <f t="shared" si="4"/>
        <v>39205</v>
      </c>
      <c r="R10" s="14">
        <f t="shared" si="4"/>
        <v>43951</v>
      </c>
      <c r="S10" s="14">
        <f t="shared" si="4"/>
        <v>46570</v>
      </c>
      <c r="T10" s="14">
        <f t="shared" si="4"/>
        <v>56832</v>
      </c>
      <c r="U10" s="5"/>
      <c r="V10" s="14">
        <f t="shared" ref="V10:AC10" si="5">SUM(V6:V9)</f>
        <v>60616</v>
      </c>
      <c r="W10" s="14">
        <f t="shared" si="5"/>
        <v>79467</v>
      </c>
      <c r="X10" s="14">
        <f t="shared" si="5"/>
        <v>95978</v>
      </c>
      <c r="Y10" s="14">
        <f t="shared" si="5"/>
        <v>112916</v>
      </c>
      <c r="Z10" s="14">
        <f t="shared" si="5"/>
        <v>130108</v>
      </c>
      <c r="AA10" s="14">
        <f t="shared" si="5"/>
        <v>148093</v>
      </c>
      <c r="AB10" s="14">
        <f t="shared" si="5"/>
        <v>164711</v>
      </c>
      <c r="AC10" s="14">
        <f t="shared" si="5"/>
        <v>186558</v>
      </c>
      <c r="AE10" s="126">
        <f t="shared" si="2"/>
        <v>0.65218392433313266</v>
      </c>
    </row>
    <row r="11" spans="2:31" ht="12.75" customHeight="1">
      <c r="B11" s="16" t="s">
        <v>22</v>
      </c>
      <c r="C11" s="114"/>
      <c r="D11" s="17">
        <f t="shared" ref="D11:G11" si="6">SUM(D10/C10)-1</f>
        <v>0.54076634975511384</v>
      </c>
      <c r="E11" s="17">
        <f t="shared" si="6"/>
        <v>0.60508601346297675</v>
      </c>
      <c r="F11" s="17">
        <f t="shared" si="6"/>
        <v>2.9784094439266884E-2</v>
      </c>
      <c r="G11" s="17">
        <f t="shared" si="6"/>
        <v>1.2857573815000567</v>
      </c>
      <c r="H11" s="17">
        <f>SUM(H10/G10)-1</f>
        <v>1.146429985482381</v>
      </c>
      <c r="I11" s="11"/>
      <c r="J11" s="114"/>
      <c r="K11" s="114"/>
      <c r="L11" s="114"/>
      <c r="M11" s="114"/>
      <c r="N11" s="17">
        <f t="shared" ref="N11:T11" si="7">SUM(N10/J10)-1</f>
        <v>2.6494729444834855</v>
      </c>
      <c r="O11" s="17">
        <f t="shared" si="7"/>
        <v>1.2284056245815043</v>
      </c>
      <c r="P11" s="17">
        <f t="shared" si="7"/>
        <v>0.93854934338117135</v>
      </c>
      <c r="Q11" s="17">
        <f t="shared" si="7"/>
        <v>0.78099304956162263</v>
      </c>
      <c r="R11" s="17">
        <f t="shared" si="7"/>
        <v>0.69263652468612791</v>
      </c>
      <c r="S11" s="17">
        <f t="shared" si="7"/>
        <v>0.55482104700854706</v>
      </c>
      <c r="T11" s="17">
        <f t="shared" si="7"/>
        <v>0.62446762898385022</v>
      </c>
      <c r="U11" s="5"/>
      <c r="V11" s="114"/>
      <c r="W11" s="114"/>
      <c r="X11" s="114"/>
      <c r="Y11" s="114"/>
      <c r="Z11" s="17">
        <f t="shared" ref="Z11:AC11" si="8">SUM(Z10/V10)-1</f>
        <v>1.146429985482381</v>
      </c>
      <c r="AA11" s="17">
        <f t="shared" si="8"/>
        <v>0.86357859237167633</v>
      </c>
      <c r="AB11" s="17">
        <f t="shared" si="8"/>
        <v>0.71613286378128316</v>
      </c>
      <c r="AC11" s="17">
        <f t="shared" si="8"/>
        <v>0.65218392433313266</v>
      </c>
      <c r="AE11" s="127">
        <f>SUM(AC11-Y11)*10000</f>
        <v>6521.8392433313265</v>
      </c>
    </row>
    <row r="12" spans="2:31" ht="12.75" customHeight="1">
      <c r="B12" s="16" t="s">
        <v>23</v>
      </c>
      <c r="C12" s="17" t="s">
        <v>24</v>
      </c>
      <c r="D12" s="17" t="s">
        <v>24</v>
      </c>
      <c r="E12" s="17" t="s">
        <v>24</v>
      </c>
      <c r="F12" s="17" t="s">
        <v>24</v>
      </c>
      <c r="G12" s="17" t="s">
        <v>24</v>
      </c>
      <c r="H12" s="17" t="s">
        <v>24</v>
      </c>
      <c r="I12" s="11"/>
      <c r="J12" s="114"/>
      <c r="K12" s="17">
        <f t="shared" ref="K12:T12" si="9">SUM(K10/J10)-1</f>
        <v>0.88910751932536902</v>
      </c>
      <c r="L12" s="17">
        <f t="shared" si="9"/>
        <v>0.34268283609850458</v>
      </c>
      <c r="M12" s="17">
        <f t="shared" si="9"/>
        <v>0.21975951681719952</v>
      </c>
      <c r="N12" s="17">
        <f t="shared" si="9"/>
        <v>0.17957570526507061</v>
      </c>
      <c r="O12" s="17">
        <f t="shared" si="9"/>
        <v>0.15350843410613879</v>
      </c>
      <c r="P12" s="17">
        <f t="shared" si="9"/>
        <v>0.16803552350427342</v>
      </c>
      <c r="Q12" s="17">
        <f t="shared" si="9"/>
        <v>0.12062312419608401</v>
      </c>
      <c r="R12" s="17">
        <f t="shared" si="9"/>
        <v>0.12105598775666371</v>
      </c>
      <c r="S12" s="17">
        <f t="shared" si="9"/>
        <v>5.9589087847830458E-2</v>
      </c>
      <c r="T12" s="17">
        <f t="shared" si="9"/>
        <v>0.22035645265192194</v>
      </c>
      <c r="U12" s="5"/>
      <c r="V12" s="17" t="s">
        <v>24</v>
      </c>
      <c r="W12" s="17" t="s">
        <v>24</v>
      </c>
      <c r="X12" s="17" t="s">
        <v>24</v>
      </c>
      <c r="Y12" s="17" t="s">
        <v>24</v>
      </c>
      <c r="Z12" s="17" t="s">
        <v>24</v>
      </c>
      <c r="AA12" s="17" t="s">
        <v>24</v>
      </c>
      <c r="AB12" s="17" t="s">
        <v>24</v>
      </c>
      <c r="AC12" s="17" t="s">
        <v>24</v>
      </c>
      <c r="AE12" s="124"/>
    </row>
    <row r="13" spans="2:31" ht="5.0999999999999996" customHeight="1">
      <c r="B13" s="18"/>
      <c r="C13" s="19"/>
      <c r="D13" s="19"/>
      <c r="E13" s="19"/>
      <c r="F13" s="19"/>
      <c r="G13" s="19"/>
      <c r="H13" s="19"/>
      <c r="I13" s="20"/>
      <c r="J13" s="21"/>
      <c r="K13" s="21"/>
      <c r="L13" s="21"/>
      <c r="M13" s="22"/>
      <c r="N13" s="21"/>
      <c r="O13" s="21"/>
      <c r="P13" s="21"/>
      <c r="Q13" s="21"/>
      <c r="R13" s="21"/>
      <c r="S13" s="21"/>
      <c r="T13" s="21"/>
      <c r="U13" s="20"/>
      <c r="V13" s="20"/>
      <c r="W13" s="20"/>
      <c r="X13" s="20"/>
      <c r="Y13" s="20"/>
      <c r="Z13" s="20"/>
      <c r="AA13" s="20"/>
      <c r="AB13" s="20"/>
      <c r="AC13" s="20"/>
      <c r="AE13" s="124"/>
    </row>
    <row r="14" spans="2:31" ht="12.75" customHeight="1">
      <c r="B14" s="23" t="s">
        <v>182</v>
      </c>
      <c r="C14" s="94">
        <f>'Historical Financials'!C13</f>
        <v>-4150</v>
      </c>
      <c r="D14" s="94">
        <f>'Historical Financials'!D13</f>
        <v>-6279</v>
      </c>
      <c r="E14" s="94">
        <f>'Historical Financials'!E13</f>
        <v>-9439</v>
      </c>
      <c r="F14" s="94">
        <f>'Historical Financials'!F13</f>
        <v>-11618</v>
      </c>
      <c r="G14" s="94">
        <f>'Historical Financials'!G13</f>
        <v>-16621</v>
      </c>
      <c r="H14" s="94">
        <f>'Historical Financials'!H13</f>
        <v>-32639</v>
      </c>
      <c r="I14" s="10"/>
      <c r="J14" s="94">
        <f>'Historical Financials'!J13</f>
        <v>-2544</v>
      </c>
      <c r="K14" s="94">
        <f>'Historical Financials'!K13</f>
        <v>-4045</v>
      </c>
      <c r="L14" s="94">
        <f>'Historical Financials'!L13</f>
        <v>-4720</v>
      </c>
      <c r="M14" s="94">
        <f>'Historical Financials'!M13</f>
        <v>-5312</v>
      </c>
      <c r="N14" s="94">
        <f>'Historical Financials'!N13</f>
        <v>-5638</v>
      </c>
      <c r="O14" s="94">
        <f>'Historical Financials'!O13</f>
        <v>-7466</v>
      </c>
      <c r="P14" s="94">
        <f>'Historical Financials'!P13</f>
        <v>-8926</v>
      </c>
      <c r="Q14" s="94">
        <f>'Historical Financials'!Q13</f>
        <v>-10609</v>
      </c>
      <c r="R14" s="94">
        <f>'Historical Financials'!R13</f>
        <v>-17394</v>
      </c>
      <c r="S14" s="94">
        <f>'Historical Financials'!S13</f>
        <v>-12890</v>
      </c>
      <c r="T14" s="94">
        <f>'Historical Financials'!T13</f>
        <v>-15157</v>
      </c>
      <c r="U14" s="5"/>
      <c r="V14" s="140">
        <f t="shared" ref="V14:AB14" si="10">SUM(J14:M14)</f>
        <v>-16621</v>
      </c>
      <c r="W14" s="140">
        <f t="shared" si="10"/>
        <v>-19715</v>
      </c>
      <c r="X14" s="140">
        <f t="shared" si="10"/>
        <v>-23136</v>
      </c>
      <c r="Y14" s="140">
        <f t="shared" si="10"/>
        <v>-27342</v>
      </c>
      <c r="Z14" s="140">
        <f t="shared" si="10"/>
        <v>-32639</v>
      </c>
      <c r="AA14" s="140">
        <f t="shared" si="10"/>
        <v>-44395</v>
      </c>
      <c r="AB14" s="140">
        <f t="shared" si="10"/>
        <v>-49819</v>
      </c>
      <c r="AC14" s="140">
        <f>SUM(Q14:T14)</f>
        <v>-56050</v>
      </c>
      <c r="AE14" s="125">
        <f t="shared" ref="AE14" si="11">SUM(AC14/Y14)-1</f>
        <v>1.0499597688537783</v>
      </c>
    </row>
    <row r="15" spans="2:31" ht="12.75" customHeight="1">
      <c r="B15" s="25" t="s">
        <v>16</v>
      </c>
      <c r="C15" s="26">
        <f>SUM(C10+SUM(C14:C14))</f>
        <v>6263</v>
      </c>
      <c r="D15" s="26">
        <f>SUM(D10+SUM(D14:D14))</f>
        <v>9765</v>
      </c>
      <c r="E15" s="26">
        <f>SUM(E10+SUM(E14:E14))</f>
        <v>16313</v>
      </c>
      <c r="F15" s="26">
        <f>SUM(F10+SUM(F14:F14))</f>
        <v>14901</v>
      </c>
      <c r="G15" s="26">
        <f>SUM(G10+SUM(G14:G14))</f>
        <v>43995</v>
      </c>
      <c r="H15" s="26">
        <f>SUM(H10+SUM(H14:H14))</f>
        <v>97469</v>
      </c>
      <c r="I15" s="5"/>
      <c r="J15" s="26">
        <f>SUM(J10+SUM(J14:J14))</f>
        <v>4571</v>
      </c>
      <c r="K15" s="26">
        <f>SUM(K10+SUM(K14:K14))</f>
        <v>9396</v>
      </c>
      <c r="L15" s="26">
        <f>SUM(L10+SUM(L14:L14))</f>
        <v>13327</v>
      </c>
      <c r="M15" s="26">
        <f>SUM(M10+SUM(M14:M14))</f>
        <v>16701</v>
      </c>
      <c r="N15" s="26">
        <f>SUM(N10+SUM(N14:N14))</f>
        <v>20328</v>
      </c>
      <c r="O15" s="26">
        <f>SUM(O10+SUM(O14:O14))</f>
        <v>22486</v>
      </c>
      <c r="P15" s="26">
        <f>SUM(P10+SUM(P14:P14))</f>
        <v>26059</v>
      </c>
      <c r="Q15" s="26">
        <f>SUM(Q10+SUM(Q14:Q14))</f>
        <v>28596</v>
      </c>
      <c r="R15" s="26">
        <f>SUM(R10+SUM(R14:R14))</f>
        <v>26557</v>
      </c>
      <c r="S15" s="26">
        <f>SUM(S10+SUM(S14:S14))</f>
        <v>33680</v>
      </c>
      <c r="T15" s="26">
        <f>SUM(T10+SUM(T14:T14))</f>
        <v>41675</v>
      </c>
      <c r="U15" s="5"/>
      <c r="V15" s="26">
        <f>SUM(V10+SUM(V14:V14))</f>
        <v>43995</v>
      </c>
      <c r="W15" s="26">
        <f>SUM(W10+SUM(W14:W14))</f>
        <v>59752</v>
      </c>
      <c r="X15" s="26">
        <f>SUM(X10+SUM(X14:X14))</f>
        <v>72842</v>
      </c>
      <c r="Y15" s="26">
        <f>SUM(Y10+SUM(Y14:Y14))</f>
        <v>85574</v>
      </c>
      <c r="Z15" s="26">
        <f>SUM(Z10+SUM(Z14:Z14))</f>
        <v>97469</v>
      </c>
      <c r="AA15" s="26">
        <f>SUM(AA10+SUM(AA14:AA14))</f>
        <v>103698</v>
      </c>
      <c r="AB15" s="26">
        <f>SUM(AB10+SUM(AB14:AB14))</f>
        <v>114892</v>
      </c>
      <c r="AC15" s="26">
        <f>SUM(AC10+SUM(AC14:AC14))</f>
        <v>130508</v>
      </c>
      <c r="AE15" s="126">
        <f>SUM(AC15/Y15)-1</f>
        <v>0.52508939631196383</v>
      </c>
    </row>
    <row r="16" spans="2:31" ht="12.75" customHeight="1">
      <c r="B16" s="16" t="s">
        <v>25</v>
      </c>
      <c r="C16" s="17">
        <f>C15/C10</f>
        <v>0.60145971381926433</v>
      </c>
      <c r="D16" s="17">
        <f>D15/D10</f>
        <v>0.6086387434554974</v>
      </c>
      <c r="E16" s="17">
        <f>E15/E10</f>
        <v>0.63346536191363778</v>
      </c>
      <c r="F16" s="17">
        <f>F15/F10</f>
        <v>0.56189901579999246</v>
      </c>
      <c r="G16" s="17">
        <f>G15/G10</f>
        <v>0.72579846905107559</v>
      </c>
      <c r="H16" s="17">
        <f>H15/H10</f>
        <v>0.74913917668398566</v>
      </c>
      <c r="I16" s="27"/>
      <c r="J16" s="17">
        <f>J15/J10</f>
        <v>0.64244553759662681</v>
      </c>
      <c r="K16" s="17">
        <f>K15/K10</f>
        <v>0.69905512982664986</v>
      </c>
      <c r="L16" s="17">
        <f>L15/L10</f>
        <v>0.73846068598659054</v>
      </c>
      <c r="M16" s="17">
        <f>M15/M10</f>
        <v>0.75868804797165312</v>
      </c>
      <c r="N16" s="17">
        <f>N15/N10</f>
        <v>0.78286990680120161</v>
      </c>
      <c r="O16" s="17">
        <f>O15/O10</f>
        <v>0.75073450854700852</v>
      </c>
      <c r="P16" s="17">
        <f>P15/P10</f>
        <v>0.74486208375017859</v>
      </c>
      <c r="Q16" s="17">
        <f>Q15/Q10</f>
        <v>0.72939676061726821</v>
      </c>
      <c r="R16" s="17">
        <f>R15/R10</f>
        <v>0.60424108666469478</v>
      </c>
      <c r="S16" s="17">
        <f>S15/S10</f>
        <v>0.72321236847756065</v>
      </c>
      <c r="T16" s="17">
        <f>T15/T10</f>
        <v>0.733301661036036</v>
      </c>
      <c r="U16" s="28"/>
      <c r="V16" s="17">
        <f>V15/V10</f>
        <v>0.72579846905107559</v>
      </c>
      <c r="W16" s="17">
        <f>W15/W10</f>
        <v>0.7519095976946405</v>
      </c>
      <c r="X16" s="17">
        <f>X15/X10</f>
        <v>0.75894475817374818</v>
      </c>
      <c r="Y16" s="17">
        <f>Y15/Y10</f>
        <v>0.75785539693223281</v>
      </c>
      <c r="Z16" s="17">
        <f>Z15/Z10</f>
        <v>0.74913917668398566</v>
      </c>
      <c r="AA16" s="17">
        <f>AA15/AA10</f>
        <v>0.70022215769820317</v>
      </c>
      <c r="AB16" s="17">
        <f>AB15/AB10</f>
        <v>0.69753689796067053</v>
      </c>
      <c r="AC16" s="17">
        <f>AC15/AC10</f>
        <v>0.69955724225173943</v>
      </c>
      <c r="AE16" s="127">
        <f>SUM(AC16-Y16)*10000</f>
        <v>-582.98154680493371</v>
      </c>
    </row>
    <row r="17" spans="2:31" ht="5.0999999999999996" customHeight="1"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5"/>
      <c r="V17" s="30"/>
      <c r="W17" s="30"/>
      <c r="X17" s="30"/>
      <c r="Y17" s="30"/>
      <c r="Z17" s="30"/>
      <c r="AA17" s="30"/>
      <c r="AB17" s="30"/>
      <c r="AC17" s="30"/>
      <c r="AE17" s="124"/>
    </row>
    <row r="18" spans="2:31" ht="12.75" customHeight="1">
      <c r="B18" s="23" t="s">
        <v>103</v>
      </c>
      <c r="C18" s="139">
        <f>'Historical Financials'!C17</f>
        <v>-2829</v>
      </c>
      <c r="D18" s="139">
        <f>'Historical Financials'!D17</f>
        <v>-3924</v>
      </c>
      <c r="E18" s="139">
        <f>'Historical Financials'!E17</f>
        <v>-5268</v>
      </c>
      <c r="F18" s="139">
        <f>'Historical Financials'!F17</f>
        <v>-7339</v>
      </c>
      <c r="G18" s="139">
        <f>'Historical Financials'!G17</f>
        <v>-8675</v>
      </c>
      <c r="H18" s="139">
        <f>'Historical Financials'!H17</f>
        <v>-12914</v>
      </c>
      <c r="I18" s="94"/>
      <c r="J18" s="139">
        <f>'Historical Financials'!J17</f>
        <v>-1875</v>
      </c>
      <c r="K18" s="139">
        <f>'Historical Financials'!K17</f>
        <v>-2040</v>
      </c>
      <c r="L18" s="139">
        <f>'Historical Financials'!L17</f>
        <v>-2294</v>
      </c>
      <c r="M18" s="139">
        <f>'Historical Financials'!M17</f>
        <v>-2466</v>
      </c>
      <c r="N18" s="139">
        <f>'Historical Financials'!N17</f>
        <v>-2720</v>
      </c>
      <c r="O18" s="139">
        <f>'Historical Financials'!O17</f>
        <v>-3090</v>
      </c>
      <c r="P18" s="139">
        <f>'Historical Financials'!P17</f>
        <v>-3390</v>
      </c>
      <c r="Q18" s="139">
        <f>'Historical Financials'!Q17</f>
        <v>-3714</v>
      </c>
      <c r="R18" s="139">
        <f>'Historical Financials'!R17</f>
        <v>-3989</v>
      </c>
      <c r="S18" s="139">
        <f>'Historical Financials'!S17</f>
        <v>-4291</v>
      </c>
      <c r="T18" s="139">
        <f>'Historical Financials'!T17</f>
        <v>-4705</v>
      </c>
      <c r="U18" s="5"/>
      <c r="V18" s="140">
        <f t="shared" ref="V18:AB20" si="12">SUM(J18:M18)</f>
        <v>-8675</v>
      </c>
      <c r="W18" s="140">
        <f t="shared" si="12"/>
        <v>-9520</v>
      </c>
      <c r="X18" s="140">
        <f t="shared" si="12"/>
        <v>-10570</v>
      </c>
      <c r="Y18" s="140">
        <f t="shared" si="12"/>
        <v>-11666</v>
      </c>
      <c r="Z18" s="140">
        <f t="shared" si="12"/>
        <v>-12914</v>
      </c>
      <c r="AA18" s="140">
        <f t="shared" si="12"/>
        <v>-14183</v>
      </c>
      <c r="AB18" s="140">
        <f t="shared" si="12"/>
        <v>-15384</v>
      </c>
      <c r="AC18" s="140">
        <f>SUM(Q18:T18)</f>
        <v>-16699</v>
      </c>
      <c r="AE18" s="125">
        <f t="shared" ref="AE18:AE20" si="13">SUM(AC18/Y18)-1</f>
        <v>0.43142465283730491</v>
      </c>
    </row>
    <row r="19" spans="2:31" ht="12.75" customHeight="1">
      <c r="B19" s="23" t="s">
        <v>183</v>
      </c>
      <c r="C19" s="139">
        <f>'Historical Financials'!C18</f>
        <v>-1093</v>
      </c>
      <c r="D19" s="139">
        <f>'Historical Financials'!D18</f>
        <v>-1940</v>
      </c>
      <c r="E19" s="139">
        <f>'Historical Financials'!E18</f>
        <v>-2166</v>
      </c>
      <c r="F19" s="139">
        <f>'Historical Financials'!F18</f>
        <v>-2440</v>
      </c>
      <c r="G19" s="139">
        <f>'Historical Financials'!G18</f>
        <v>-2654</v>
      </c>
      <c r="H19" s="139">
        <f>'Historical Financials'!H18</f>
        <v>-3491</v>
      </c>
      <c r="I19" s="94"/>
      <c r="J19" s="139">
        <f>'Historical Financials'!J18</f>
        <v>-633</v>
      </c>
      <c r="K19" s="139">
        <f>'Historical Financials'!K18</f>
        <v>-622</v>
      </c>
      <c r="L19" s="139">
        <f>'Historical Financials'!L18</f>
        <v>-689</v>
      </c>
      <c r="M19" s="139">
        <f>'Historical Financials'!M18</f>
        <v>-710</v>
      </c>
      <c r="N19" s="139">
        <f>'Historical Financials'!N18</f>
        <v>-777</v>
      </c>
      <c r="O19" s="139">
        <f>'Historical Financials'!O18</f>
        <v>-842</v>
      </c>
      <c r="P19" s="139">
        <f>'Historical Financials'!P18</f>
        <v>-897</v>
      </c>
      <c r="Q19" s="139">
        <f>'Historical Financials'!Q18</f>
        <v>-975</v>
      </c>
      <c r="R19" s="139">
        <f>'Historical Financials'!R18</f>
        <v>-1041</v>
      </c>
      <c r="S19" s="139">
        <f>'Historical Financials'!S18</f>
        <v>-1122</v>
      </c>
      <c r="T19" s="139">
        <f>'Historical Financials'!T18</f>
        <v>-1134</v>
      </c>
      <c r="U19" s="5"/>
      <c r="V19" s="140">
        <f t="shared" si="12"/>
        <v>-2654</v>
      </c>
      <c r="W19" s="140">
        <f t="shared" si="12"/>
        <v>-2798</v>
      </c>
      <c r="X19" s="140">
        <f t="shared" si="12"/>
        <v>-3018</v>
      </c>
      <c r="Y19" s="140">
        <f t="shared" si="12"/>
        <v>-3226</v>
      </c>
      <c r="Z19" s="140">
        <f t="shared" si="12"/>
        <v>-3491</v>
      </c>
      <c r="AA19" s="140">
        <f t="shared" si="12"/>
        <v>-3755</v>
      </c>
      <c r="AB19" s="140">
        <f t="shared" si="12"/>
        <v>-4035</v>
      </c>
      <c r="AC19" s="140">
        <f>SUM(Q19:T19)</f>
        <v>-4272</v>
      </c>
      <c r="AE19" s="125">
        <f t="shared" si="13"/>
        <v>0.32424054556726589</v>
      </c>
    </row>
    <row r="20" spans="2:31" ht="12.75" customHeight="1">
      <c r="B20" s="23" t="s">
        <v>184</v>
      </c>
      <c r="C20" s="139">
        <f>'Historical Financials'!C19</f>
        <v>0</v>
      </c>
      <c r="D20" s="139">
        <f>'Historical Financials'!D19</f>
        <v>0</v>
      </c>
      <c r="E20" s="139">
        <f>'Historical Financials'!E19</f>
        <v>0</v>
      </c>
      <c r="F20" s="139">
        <f>'Historical Financials'!F19</f>
        <v>-1353</v>
      </c>
      <c r="G20" s="139">
        <f>'Historical Financials'!G19</f>
        <v>0</v>
      </c>
      <c r="H20" s="139">
        <f>'Historical Financials'!H19</f>
        <v>0</v>
      </c>
      <c r="I20" s="94"/>
      <c r="J20" s="139">
        <f>'Historical Financials'!J19</f>
        <v>0</v>
      </c>
      <c r="K20" s="139">
        <f>'Historical Financials'!K19</f>
        <v>0</v>
      </c>
      <c r="L20" s="139">
        <f>'Historical Financials'!L19</f>
        <v>0</v>
      </c>
      <c r="M20" s="139">
        <f>'Historical Financials'!M19</f>
        <v>0</v>
      </c>
      <c r="N20" s="139">
        <f>'Historical Financials'!N19</f>
        <v>0</v>
      </c>
      <c r="O20" s="139">
        <f>'Historical Financials'!O19</f>
        <v>0</v>
      </c>
      <c r="P20" s="139">
        <f>'Historical Financials'!P19</f>
        <v>0</v>
      </c>
      <c r="Q20" s="139">
        <f>'Historical Financials'!Q19</f>
        <v>0</v>
      </c>
      <c r="R20" s="139">
        <f>'Historical Financials'!R19</f>
        <v>0</v>
      </c>
      <c r="S20" s="139">
        <f>'Historical Financials'!S19</f>
        <v>0</v>
      </c>
      <c r="T20" s="139">
        <f>'Historical Financials'!T19</f>
        <v>0</v>
      </c>
      <c r="U20" s="5"/>
      <c r="V20" s="140">
        <f t="shared" si="12"/>
        <v>0</v>
      </c>
      <c r="W20" s="140">
        <f t="shared" si="12"/>
        <v>0</v>
      </c>
      <c r="X20" s="140">
        <f t="shared" si="12"/>
        <v>0</v>
      </c>
      <c r="Y20" s="140">
        <f t="shared" si="12"/>
        <v>0</v>
      </c>
      <c r="Z20" s="140">
        <f t="shared" si="12"/>
        <v>0</v>
      </c>
      <c r="AA20" s="140">
        <f t="shared" si="12"/>
        <v>0</v>
      </c>
      <c r="AB20" s="140">
        <f t="shared" si="12"/>
        <v>0</v>
      </c>
      <c r="AC20" s="140">
        <f>SUM(Q20:T20)</f>
        <v>0</v>
      </c>
      <c r="AE20" s="125" t="e">
        <f t="shared" si="13"/>
        <v>#DIV/0!</v>
      </c>
    </row>
    <row r="21" spans="2:31" ht="12.75" customHeight="1">
      <c r="B21" s="13" t="s">
        <v>26</v>
      </c>
      <c r="C21" s="14">
        <f>SUM(C15+SUM(C18:C20))</f>
        <v>2341</v>
      </c>
      <c r="D21" s="14">
        <f>SUM(D15+SUM(D18:D20))</f>
        <v>3901</v>
      </c>
      <c r="E21" s="14">
        <f>SUM(E15+SUM(E18:E20))</f>
        <v>8879</v>
      </c>
      <c r="F21" s="14">
        <f>SUM(F15+SUM(F18:F20))</f>
        <v>3769</v>
      </c>
      <c r="G21" s="14">
        <f>SUM(G15+SUM(G18:G20))</f>
        <v>32666</v>
      </c>
      <c r="H21" s="14">
        <f>SUM(H15+SUM(H18:H20))</f>
        <v>81064</v>
      </c>
      <c r="I21" s="11"/>
      <c r="J21" s="14">
        <f>SUM(J15+SUM(J18:J20))</f>
        <v>2063</v>
      </c>
      <c r="K21" s="14">
        <f>SUM(K15+SUM(K18:K20))</f>
        <v>6734</v>
      </c>
      <c r="L21" s="14">
        <f>SUM(L15+SUM(L18:L20))</f>
        <v>10344</v>
      </c>
      <c r="M21" s="14">
        <f>SUM(M15+SUM(M18:M20))</f>
        <v>13525</v>
      </c>
      <c r="N21" s="14">
        <f>SUM(N15+SUM(N18:N20))</f>
        <v>16831</v>
      </c>
      <c r="O21" s="14">
        <f>SUM(O15+SUM(O18:O20))</f>
        <v>18554</v>
      </c>
      <c r="P21" s="14">
        <f>SUM(P15+SUM(P18:P20))</f>
        <v>21772</v>
      </c>
      <c r="Q21" s="14">
        <f>SUM(Q15+SUM(Q18:Q20))</f>
        <v>23907</v>
      </c>
      <c r="R21" s="14">
        <f>SUM(R15+SUM(R18:R20))</f>
        <v>21527</v>
      </c>
      <c r="S21" s="14">
        <f>SUM(S15+SUM(S18:S20))</f>
        <v>28267</v>
      </c>
      <c r="T21" s="14">
        <f>SUM(T15+SUM(T18:T20))</f>
        <v>35836</v>
      </c>
      <c r="U21" s="5"/>
      <c r="V21" s="14">
        <f>SUM(V15+SUM(V18:V20))</f>
        <v>32666</v>
      </c>
      <c r="W21" s="14">
        <f>SUM(W15+SUM(W18:W20))</f>
        <v>47434</v>
      </c>
      <c r="X21" s="14">
        <f>SUM(X15+SUM(X18:X20))</f>
        <v>59254</v>
      </c>
      <c r="Y21" s="14">
        <f>SUM(Y15+SUM(Y18:Y20))</f>
        <v>70682</v>
      </c>
      <c r="Z21" s="14">
        <f>SUM(Z15+SUM(Z18:Z20))</f>
        <v>81064</v>
      </c>
      <c r="AA21" s="14">
        <f>SUM(AA15+SUM(AA18:AA20))</f>
        <v>85760</v>
      </c>
      <c r="AB21" s="14">
        <f>SUM(AB15+SUM(AB18:AB20))</f>
        <v>95473</v>
      </c>
      <c r="AC21" s="14">
        <f>SUM(AC15+SUM(AC18:AC20))</f>
        <v>109537</v>
      </c>
      <c r="AE21" s="126">
        <f>SUM(AC21/Y21)-1</f>
        <v>0.54971562774115057</v>
      </c>
    </row>
    <row r="22" spans="2:31" ht="12.75" customHeight="1">
      <c r="B22" s="16" t="s">
        <v>27</v>
      </c>
      <c r="C22" s="17">
        <f>C21/C10</f>
        <v>0.22481513492749447</v>
      </c>
      <c r="D22" s="17">
        <f>D21/D10</f>
        <v>0.2431438544003989</v>
      </c>
      <c r="E22" s="17">
        <f>E21/E10</f>
        <v>0.3447887542715129</v>
      </c>
      <c r="F22" s="17">
        <f>F21/F10</f>
        <v>0.14212451449903843</v>
      </c>
      <c r="G22" s="17">
        <f>G21/G10</f>
        <v>0.53890062029827113</v>
      </c>
      <c r="H22" s="17">
        <f>H21/H10</f>
        <v>0.62305161865527103</v>
      </c>
      <c r="I22" s="27"/>
      <c r="J22" s="17">
        <f>J21/J10</f>
        <v>0.28995080815179197</v>
      </c>
      <c r="K22" s="17">
        <f>K21/K10</f>
        <v>0.50100438955434867</v>
      </c>
      <c r="L22" s="17">
        <f>L21/L10</f>
        <v>0.57317005596498027</v>
      </c>
      <c r="M22" s="17">
        <f>M21/M10</f>
        <v>0.6144096670149457</v>
      </c>
      <c r="N22" s="17">
        <f>N21/N10</f>
        <v>0.64819379188169146</v>
      </c>
      <c r="O22" s="17">
        <f>O21/O10</f>
        <v>0.61945779914529919</v>
      </c>
      <c r="P22" s="17">
        <f>P21/P10</f>
        <v>0.62232385307989135</v>
      </c>
      <c r="Q22" s="17">
        <f>Q21/Q10</f>
        <v>0.60979466904731539</v>
      </c>
      <c r="R22" s="17">
        <f>R21/R10</f>
        <v>0.48979545402834973</v>
      </c>
      <c r="S22" s="17">
        <f>S21/S10</f>
        <v>0.60697874167919263</v>
      </c>
      <c r="T22" s="17">
        <f>T21/T10</f>
        <v>0.63056024774774777</v>
      </c>
      <c r="U22" s="28"/>
      <c r="V22" s="17">
        <f>V21/V10</f>
        <v>0.53890062029827113</v>
      </c>
      <c r="W22" s="17">
        <f>W21/W10</f>
        <v>0.59690185863314327</v>
      </c>
      <c r="X22" s="17">
        <f>X21/X10</f>
        <v>0.61737064744003833</v>
      </c>
      <c r="Y22" s="17">
        <f>Y21/Y10</f>
        <v>0.62596974742286304</v>
      </c>
      <c r="Z22" s="17">
        <f>Z21/Z10</f>
        <v>0.62305161865527103</v>
      </c>
      <c r="AA22" s="17">
        <f>AA21/AA10</f>
        <v>0.57909556832530906</v>
      </c>
      <c r="AB22" s="17">
        <f>AB21/AB10</f>
        <v>0.57963948977299629</v>
      </c>
      <c r="AC22" s="17">
        <f>AC21/AC10</f>
        <v>0.58714716066853201</v>
      </c>
      <c r="AE22" s="127">
        <f>SUM(AC22-Y22)*10000</f>
        <v>-388.22586754331036</v>
      </c>
    </row>
    <row r="23" spans="2:31" ht="5.0999999999999996" customHeight="1">
      <c r="AE23" s="124"/>
    </row>
    <row r="24" spans="2:31" ht="12.75" customHeight="1">
      <c r="B24" s="31" t="s">
        <v>94</v>
      </c>
      <c r="C24" s="139">
        <f>'Historical Financials'!C93</f>
        <v>381</v>
      </c>
      <c r="D24" s="139">
        <f>'Historical Financials'!D93</f>
        <v>1098</v>
      </c>
      <c r="E24" s="139">
        <f>'Historical Financials'!E93</f>
        <v>1174</v>
      </c>
      <c r="F24" s="139">
        <f>'Historical Financials'!F93</f>
        <v>1544</v>
      </c>
      <c r="G24" s="139">
        <f>'Historical Financials'!G93</f>
        <v>1508</v>
      </c>
      <c r="H24" s="139">
        <f>'Historical Financials'!H93</f>
        <v>1864</v>
      </c>
      <c r="J24" s="139">
        <f>'Historical Financials'!J93</f>
        <v>384</v>
      </c>
      <c r="K24" s="139">
        <f>'Historical Financials'!K93</f>
        <v>365</v>
      </c>
      <c r="L24" s="139">
        <f>'Historical Financials'!L93</f>
        <v>372</v>
      </c>
      <c r="M24" s="139">
        <f>'Historical Financials'!M93</f>
        <v>387</v>
      </c>
      <c r="N24" s="139">
        <f>'Historical Financials'!N93</f>
        <v>410</v>
      </c>
      <c r="O24" s="139">
        <f>'Historical Financials'!O93</f>
        <v>433</v>
      </c>
      <c r="P24" s="139">
        <f>'Historical Financials'!P93</f>
        <v>478</v>
      </c>
      <c r="Q24" s="139">
        <f>'Historical Financials'!Q93</f>
        <v>543</v>
      </c>
      <c r="R24" s="139">
        <f>'Historical Financials'!R93</f>
        <v>611</v>
      </c>
      <c r="S24" s="139">
        <f>'Historical Financials'!S93</f>
        <v>669</v>
      </c>
      <c r="T24" s="139">
        <f>'Historical Financials'!T93</f>
        <v>751</v>
      </c>
      <c r="V24" s="10">
        <f t="shared" ref="V24:AB24" si="14">SUM(J24:M24)</f>
        <v>1508</v>
      </c>
      <c r="W24" s="10">
        <f t="shared" si="14"/>
        <v>1534</v>
      </c>
      <c r="X24" s="10">
        <f t="shared" si="14"/>
        <v>1602</v>
      </c>
      <c r="Y24" s="10">
        <f t="shared" si="14"/>
        <v>1708</v>
      </c>
      <c r="Z24" s="10">
        <f t="shared" si="14"/>
        <v>1864</v>
      </c>
      <c r="AA24" s="10">
        <f t="shared" si="14"/>
        <v>2065</v>
      </c>
      <c r="AB24" s="10">
        <f t="shared" si="14"/>
        <v>2301</v>
      </c>
      <c r="AC24" s="10">
        <f>SUM(Q24:T24)</f>
        <v>2574</v>
      </c>
      <c r="AE24" s="125">
        <f>SUM(AC24/Y24)-1</f>
        <v>0.50702576112412179</v>
      </c>
    </row>
    <row r="25" spans="2:31" ht="12.75" customHeight="1">
      <c r="B25" s="25" t="s">
        <v>7</v>
      </c>
      <c r="C25" s="26">
        <f>SUM(C21+SUM(C24:C24))</f>
        <v>2722</v>
      </c>
      <c r="D25" s="26">
        <f>SUM(D21+SUM(D24:D24))</f>
        <v>4999</v>
      </c>
      <c r="E25" s="26">
        <f>SUM(E21+SUM(E24:E24))</f>
        <v>10053</v>
      </c>
      <c r="F25" s="26">
        <f>SUM(F21+SUM(F24:F24))</f>
        <v>5313</v>
      </c>
      <c r="G25" s="26">
        <f>SUM(G21+SUM(G24:G24))</f>
        <v>34174</v>
      </c>
      <c r="H25" s="26">
        <f>SUM(H21+SUM(H24:H24))</f>
        <v>82928</v>
      </c>
      <c r="J25" s="26">
        <f>SUM(J21+SUM(J24:J24))</f>
        <v>2447</v>
      </c>
      <c r="K25" s="26">
        <f>SUM(K21+SUM(K24:K24))</f>
        <v>7099</v>
      </c>
      <c r="L25" s="26">
        <f>SUM(L21+SUM(L24:L24))</f>
        <v>10716</v>
      </c>
      <c r="M25" s="26">
        <f>SUM(M21+SUM(M24:M24))</f>
        <v>13912</v>
      </c>
      <c r="N25" s="26">
        <f>SUM(N21+SUM(N24:N24))</f>
        <v>17241</v>
      </c>
      <c r="O25" s="26">
        <f>SUM(O21+SUM(O24:O24))</f>
        <v>18987</v>
      </c>
      <c r="P25" s="26">
        <f>SUM(P21+SUM(P24:P24))</f>
        <v>22250</v>
      </c>
      <c r="Q25" s="26">
        <f>SUM(Q21+SUM(Q24:Q24))</f>
        <v>24450</v>
      </c>
      <c r="R25" s="26">
        <f>SUM(R21+SUM(R24:R24))</f>
        <v>22138</v>
      </c>
      <c r="S25" s="26">
        <f>SUM(S21+SUM(S24:S24))</f>
        <v>28936</v>
      </c>
      <c r="T25" s="26">
        <f>SUM(T21+SUM(T24:T24))</f>
        <v>36587</v>
      </c>
      <c r="V25" s="26">
        <f>SUM(V21+SUM(V24:V24))</f>
        <v>34174</v>
      </c>
      <c r="W25" s="26">
        <f>SUM(W21+SUM(W24:W24))</f>
        <v>48968</v>
      </c>
      <c r="X25" s="26">
        <f>SUM(X21+SUM(X24:X24))</f>
        <v>60856</v>
      </c>
      <c r="Y25" s="26">
        <f>SUM(Y21+SUM(Y24:Y24))</f>
        <v>72390</v>
      </c>
      <c r="Z25" s="26">
        <f>SUM(Z21+SUM(Z24:Z24))</f>
        <v>82928</v>
      </c>
      <c r="AA25" s="26">
        <f>SUM(AA21+SUM(AA24:AA24))</f>
        <v>87825</v>
      </c>
      <c r="AB25" s="26">
        <f>SUM(AB21+SUM(AB24:AB24))</f>
        <v>97774</v>
      </c>
      <c r="AC25" s="26">
        <f>SUM(AC21+SUM(AC24:AC24))</f>
        <v>112111</v>
      </c>
      <c r="AE25" s="126">
        <f>SUM(AC25/Y25)-1</f>
        <v>0.54870838513606857</v>
      </c>
    </row>
    <row r="26" spans="2:31" ht="12.75" customHeight="1">
      <c r="B26" s="16" t="s">
        <v>28</v>
      </c>
      <c r="C26" s="17">
        <f>C25/C10</f>
        <v>0.26140401421300297</v>
      </c>
      <c r="D26" s="17">
        <f>D25/D10</f>
        <v>0.31158065320368983</v>
      </c>
      <c r="E26" s="17">
        <f>E25/E10</f>
        <v>0.39037744641192917</v>
      </c>
      <c r="F26" s="17">
        <f>F25/F10</f>
        <v>0.20034692107545535</v>
      </c>
      <c r="G26" s="17">
        <f>G25/G10</f>
        <v>0.56377854031938757</v>
      </c>
      <c r="H26" s="17">
        <f>H25/H10</f>
        <v>0.63737817812893904</v>
      </c>
      <c r="J26" s="17">
        <f>J25/J10</f>
        <v>0.34392129304286717</v>
      </c>
      <c r="K26" s="17">
        <f>K25/K10</f>
        <v>0.52816010713488581</v>
      </c>
      <c r="L26" s="17">
        <f>L25/L10</f>
        <v>0.59378290020502023</v>
      </c>
      <c r="M26" s="17">
        <f>M25/M10</f>
        <v>0.63199018761640846</v>
      </c>
      <c r="N26" s="17">
        <f>N25/N10</f>
        <v>0.66398367095432487</v>
      </c>
      <c r="O26" s="17">
        <f>O25/O10</f>
        <v>0.63391426282051277</v>
      </c>
      <c r="P26" s="17">
        <f>P25/P10</f>
        <v>0.635986851507789</v>
      </c>
      <c r="Q26" s="17">
        <f>Q25/Q10</f>
        <v>0.62364494324703479</v>
      </c>
      <c r="R26" s="17">
        <f>R25/R10</f>
        <v>0.50369729926509066</v>
      </c>
      <c r="S26" s="17">
        <f>S25/S10</f>
        <v>0.62134421301266907</v>
      </c>
      <c r="T26" s="17">
        <f>T25/T10</f>
        <v>0.64377463400900903</v>
      </c>
      <c r="V26" s="17">
        <f>V25/V10</f>
        <v>0.56377854031938757</v>
      </c>
      <c r="W26" s="17">
        <f>W25/W10</f>
        <v>0.6162054689367914</v>
      </c>
      <c r="X26" s="17">
        <f>X25/X10</f>
        <v>0.63406197253537266</v>
      </c>
      <c r="Y26" s="17">
        <f>Y25/Y10</f>
        <v>0.64109603599135645</v>
      </c>
      <c r="Z26" s="17">
        <f>Z25/Z10</f>
        <v>0.63737817812893904</v>
      </c>
      <c r="AA26" s="17">
        <f>AA25/AA10</f>
        <v>0.59303950895720936</v>
      </c>
      <c r="AB26" s="17">
        <f>AB25/AB10</f>
        <v>0.59360941285038649</v>
      </c>
      <c r="AC26" s="17">
        <f>AC25/AC10</f>
        <v>0.60094447839277865</v>
      </c>
      <c r="AE26" s="127">
        <f>SUM(AC26-Y26)*10000</f>
        <v>-401.51557598577801</v>
      </c>
    </row>
    <row r="27" spans="2:31" ht="5.0999999999999996" customHeight="1">
      <c r="AE27" s="124"/>
    </row>
    <row r="28" spans="2:31" ht="12.75" customHeight="1">
      <c r="B28" s="31" t="s">
        <v>104</v>
      </c>
      <c r="C28" s="139">
        <f>'Historical Financials'!C92</f>
        <v>844</v>
      </c>
      <c r="D28" s="139">
        <f>'Historical Financials'!D92</f>
        <v>1397</v>
      </c>
      <c r="E28" s="139">
        <f>'Historical Financials'!E92</f>
        <v>2004</v>
      </c>
      <c r="F28" s="139">
        <f>'Historical Financials'!F92</f>
        <v>2709</v>
      </c>
      <c r="G28" s="139">
        <f>'Historical Financials'!G92</f>
        <v>3549</v>
      </c>
      <c r="H28" s="139">
        <f>'Historical Financials'!H92</f>
        <v>4737</v>
      </c>
      <c r="J28" s="139">
        <f>'Historical Financials'!J92</f>
        <v>735</v>
      </c>
      <c r="K28" s="139">
        <f>'Historical Financials'!K92</f>
        <v>841</v>
      </c>
      <c r="L28" s="139">
        <f>'Historical Financials'!L92</f>
        <v>979</v>
      </c>
      <c r="M28" s="139">
        <f>'Historical Financials'!M92</f>
        <v>994</v>
      </c>
      <c r="N28" s="139">
        <f>'Historical Financials'!N92</f>
        <v>1011</v>
      </c>
      <c r="O28" s="139">
        <f>'Historical Financials'!O92</f>
        <v>1153</v>
      </c>
      <c r="P28" s="139">
        <f>'Historical Financials'!P92</f>
        <v>1252</v>
      </c>
      <c r="Q28" s="139">
        <f>'Historical Financials'!Q92</f>
        <v>1321</v>
      </c>
      <c r="R28" s="139">
        <f>'Historical Financials'!R92</f>
        <v>1474</v>
      </c>
      <c r="S28" s="139">
        <f>'Historical Financials'!S92</f>
        <v>1625</v>
      </c>
      <c r="T28" s="139">
        <f>'Historical Financials'!T92</f>
        <v>1654</v>
      </c>
      <c r="V28" s="140">
        <f t="shared" ref="V28:AB28" si="15">SUM(J28:M28)</f>
        <v>3549</v>
      </c>
      <c r="W28" s="140">
        <f t="shared" si="15"/>
        <v>3825</v>
      </c>
      <c r="X28" s="140">
        <f t="shared" si="15"/>
        <v>4137</v>
      </c>
      <c r="Y28" s="140">
        <f t="shared" si="15"/>
        <v>4410</v>
      </c>
      <c r="Z28" s="140">
        <f t="shared" si="15"/>
        <v>4737</v>
      </c>
      <c r="AA28" s="140">
        <f t="shared" si="15"/>
        <v>5200</v>
      </c>
      <c r="AB28" s="140">
        <f t="shared" si="15"/>
        <v>5672</v>
      </c>
      <c r="AC28" s="140">
        <f>SUM(Q28:T28)</f>
        <v>6074</v>
      </c>
      <c r="AE28" s="125">
        <f t="shared" ref="AE28" si="16">SUM(AC28/Y28)-1</f>
        <v>0.37732426303854871</v>
      </c>
    </row>
    <row r="29" spans="2:31" ht="12.75" customHeight="1">
      <c r="B29" s="13" t="s">
        <v>29</v>
      </c>
      <c r="C29" s="14">
        <f>+SUM(C25+SUM(C28:C28))</f>
        <v>3566</v>
      </c>
      <c r="D29" s="14">
        <f>+SUM(D25+SUM(D28:D28))</f>
        <v>6396</v>
      </c>
      <c r="E29" s="14">
        <f>+SUM(E25+SUM(E28:E28))</f>
        <v>12057</v>
      </c>
      <c r="F29" s="14">
        <f>+SUM(F25+SUM(F28:F28))</f>
        <v>8022</v>
      </c>
      <c r="G29" s="14">
        <f>+SUM(G25+SUM(G28:G28))</f>
        <v>37723</v>
      </c>
      <c r="H29" s="14">
        <f>+SUM(H25+SUM(H28:H28))</f>
        <v>87665</v>
      </c>
      <c r="I29" s="11"/>
      <c r="J29" s="14">
        <f>+SUM(J25+SUM(J28:J28))</f>
        <v>3182</v>
      </c>
      <c r="K29" s="14">
        <f>+SUM(K25+SUM(K28:K28))</f>
        <v>7940</v>
      </c>
      <c r="L29" s="14">
        <f>+SUM(L25+SUM(L28:L28))</f>
        <v>11695</v>
      </c>
      <c r="M29" s="14">
        <f>+SUM(M25+SUM(M28:M28))</f>
        <v>14906</v>
      </c>
      <c r="N29" s="14">
        <f>+SUM(N25+SUM(N28:N28))</f>
        <v>18252</v>
      </c>
      <c r="O29" s="14">
        <f>+SUM(O25+SUM(O28:O28))</f>
        <v>20140</v>
      </c>
      <c r="P29" s="14">
        <f>+SUM(P25+SUM(P28:P28))</f>
        <v>23502</v>
      </c>
      <c r="Q29" s="14">
        <f>+SUM(Q25+SUM(Q28:Q28))</f>
        <v>25771</v>
      </c>
      <c r="R29" s="14">
        <f>+SUM(R25+SUM(R28:R28))</f>
        <v>23612</v>
      </c>
      <c r="S29" s="14">
        <f>+SUM(S25+SUM(S28:S28))</f>
        <v>30561</v>
      </c>
      <c r="T29" s="14">
        <f>+SUM(T25+SUM(T28:T28))</f>
        <v>38241</v>
      </c>
      <c r="V29" s="14">
        <f>+SUM(V25+SUM(V28:V28))</f>
        <v>37723</v>
      </c>
      <c r="W29" s="14">
        <f>+SUM(W25+SUM(W28:W28))</f>
        <v>52793</v>
      </c>
      <c r="X29" s="14">
        <f>+SUM(X25+SUM(X28:X28))</f>
        <v>64993</v>
      </c>
      <c r="Y29" s="14">
        <f>+SUM(Y25+SUM(Y28:Y28))</f>
        <v>76800</v>
      </c>
      <c r="Z29" s="14">
        <f>+SUM(Z25+SUM(Z28:Z28))</f>
        <v>87665</v>
      </c>
      <c r="AA29" s="14">
        <f>+SUM(AA25+SUM(AA28:AA28))</f>
        <v>93025</v>
      </c>
      <c r="AB29" s="14">
        <f>+SUM(AB25+SUM(AB28:AB28))</f>
        <v>103446</v>
      </c>
      <c r="AC29" s="14">
        <f>+SUM(AC25+SUM(AC28:AC28))</f>
        <v>118185</v>
      </c>
      <c r="AE29" s="126">
        <f>SUM(AC29/Y29)-1</f>
        <v>0.53886718749999996</v>
      </c>
    </row>
    <row r="30" spans="2:31" ht="12.75" customHeight="1">
      <c r="B30" s="16" t="s">
        <v>30</v>
      </c>
      <c r="C30" s="17">
        <f>C29/C10</f>
        <v>0.34245654470373571</v>
      </c>
      <c r="D30" s="17">
        <f>D29/D10</f>
        <v>0.39865370231862379</v>
      </c>
      <c r="E30" s="17">
        <f>E29/E10</f>
        <v>0.46819664492078283</v>
      </c>
      <c r="F30" s="17">
        <f>F29/F10</f>
        <v>0.30250009427203139</v>
      </c>
      <c r="G30" s="17">
        <f>G29/G10</f>
        <v>0.62232743830011883</v>
      </c>
      <c r="H30" s="17">
        <f>H29/H10</f>
        <v>0.67378639284286901</v>
      </c>
      <c r="J30" s="17">
        <f>J29/J10</f>
        <v>0.4472241742796908</v>
      </c>
      <c r="K30" s="17">
        <f>K29/K10</f>
        <v>0.59072985640949338</v>
      </c>
      <c r="L30" s="17">
        <f>L29/L10</f>
        <v>0.64803014351415744</v>
      </c>
      <c r="M30" s="17">
        <f>M29/M10</f>
        <v>0.67714532321809839</v>
      </c>
      <c r="N30" s="17">
        <f>N29/N10</f>
        <v>0.70291920203342828</v>
      </c>
      <c r="O30" s="17">
        <f>O29/O10</f>
        <v>0.67240918803418803</v>
      </c>
      <c r="P30" s="17">
        <f>P29/P10</f>
        <v>0.67177361726454199</v>
      </c>
      <c r="Q30" s="17">
        <f>Q29/Q10</f>
        <v>0.6573396250478255</v>
      </c>
      <c r="R30" s="17">
        <f>R29/R10</f>
        <v>0.53723464767582085</v>
      </c>
      <c r="S30" s="17">
        <f>S29/S10</f>
        <v>0.65623792140863213</v>
      </c>
      <c r="T30" s="17">
        <f>T29/T10</f>
        <v>0.67287795608108103</v>
      </c>
      <c r="V30" s="17">
        <f>V29/V10</f>
        <v>0.62232743830011883</v>
      </c>
      <c r="W30" s="17">
        <f>W29/W10</f>
        <v>0.6643386562975826</v>
      </c>
      <c r="X30" s="17">
        <f>X29/X10</f>
        <v>0.6771656004501031</v>
      </c>
      <c r="Y30" s="17">
        <f>Y29/Y10</f>
        <v>0.68015161713131889</v>
      </c>
      <c r="Z30" s="17">
        <f>Z29/Z10</f>
        <v>0.67378639284286901</v>
      </c>
      <c r="AA30" s="17">
        <f>AA29/AA10</f>
        <v>0.62815257979782979</v>
      </c>
      <c r="AB30" s="17">
        <f>AB29/AB10</f>
        <v>0.62804548572955055</v>
      </c>
      <c r="AC30" s="17">
        <f>AC29/AC10</f>
        <v>0.63350271765349109</v>
      </c>
      <c r="AE30" s="127">
        <f>SUM(AC30-Y30)*10000</f>
        <v>-466.48899477827797</v>
      </c>
    </row>
    <row r="31" spans="2:31" ht="5.0999999999999996" customHeight="1">
      <c r="AE31" s="124"/>
    </row>
    <row r="32" spans="2:31" ht="12.75" customHeight="1">
      <c r="B32" s="23" t="s">
        <v>31</v>
      </c>
      <c r="C32" s="139">
        <f>'Historical Financials'!C110</f>
        <v>-489</v>
      </c>
      <c r="D32" s="139">
        <f>'Historical Financials'!D110</f>
        <v>-1128</v>
      </c>
      <c r="E32" s="139">
        <f>'Historical Financials'!E110</f>
        <v>-976</v>
      </c>
      <c r="F32" s="139">
        <f>'Historical Financials'!F110</f>
        <v>-1833</v>
      </c>
      <c r="G32" s="139">
        <f>'Historical Financials'!G110</f>
        <v>-1069</v>
      </c>
      <c r="H32" s="139">
        <f>'Historical Financials'!H110</f>
        <v>-3236</v>
      </c>
      <c r="J32" s="139">
        <f>'Historical Financials'!J110</f>
        <v>-248</v>
      </c>
      <c r="K32" s="139">
        <f>'Historical Financials'!K110</f>
        <v>-289</v>
      </c>
      <c r="L32" s="139">
        <f>'Historical Financials'!L110</f>
        <v>-278</v>
      </c>
      <c r="M32" s="139">
        <f>'Historical Financials'!M110</f>
        <v>-254</v>
      </c>
      <c r="N32" s="139">
        <f>'Historical Financials'!N110</f>
        <v>-369</v>
      </c>
      <c r="O32" s="139">
        <f>'Historical Financials'!O110</f>
        <v>-977</v>
      </c>
      <c r="P32" s="139">
        <f>'Historical Financials'!P110</f>
        <v>-813</v>
      </c>
      <c r="Q32" s="139">
        <f>'Historical Financials'!Q110</f>
        <v>-1077</v>
      </c>
      <c r="R32" s="139">
        <f>'Historical Financials'!R110</f>
        <v>-1227</v>
      </c>
      <c r="S32" s="139">
        <f>'Historical Financials'!S110</f>
        <v>-1895</v>
      </c>
      <c r="T32" s="139">
        <f>'Historical Financials'!T110</f>
        <v>-1636</v>
      </c>
      <c r="V32" s="10">
        <f t="shared" ref="V32:AC36" si="17">SUM(J32:M32)</f>
        <v>-1069</v>
      </c>
      <c r="W32" s="10">
        <f t="shared" si="17"/>
        <v>-1190</v>
      </c>
      <c r="X32" s="10">
        <f t="shared" si="17"/>
        <v>-1878</v>
      </c>
      <c r="Y32" s="140">
        <f t="shared" si="17"/>
        <v>-2413</v>
      </c>
      <c r="Z32" s="140">
        <f t="shared" si="17"/>
        <v>-3236</v>
      </c>
      <c r="AA32" s="140">
        <f t="shared" si="17"/>
        <v>-4094</v>
      </c>
      <c r="AB32" s="140">
        <f t="shared" si="17"/>
        <v>-5012</v>
      </c>
      <c r="AC32" s="140">
        <f t="shared" si="17"/>
        <v>-5835</v>
      </c>
      <c r="AE32" s="125">
        <f>SUM(AC32/Y32)-1</f>
        <v>1.4181516784086199</v>
      </c>
    </row>
    <row r="33" spans="1:31" ht="12.75" customHeight="1">
      <c r="B33" s="23" t="s">
        <v>32</v>
      </c>
      <c r="C33" s="139">
        <f>-'Historical Financials'!C140</f>
        <v>-176</v>
      </c>
      <c r="D33" s="139">
        <f>-'Historical Financials'!D140</f>
        <v>-249</v>
      </c>
      <c r="E33" s="139">
        <f>-'Historical Financials'!E140</f>
        <v>-396</v>
      </c>
      <c r="F33" s="139">
        <f>-'Historical Financials'!F140</f>
        <v>-1404</v>
      </c>
      <c r="G33" s="139">
        <f>-'Historical Financials'!G140</f>
        <v>-6549</v>
      </c>
      <c r="H33" s="139">
        <f>-'Historical Financials'!H140</f>
        <v>-15118</v>
      </c>
      <c r="J33" s="139">
        <f>-'Historical Financials'!J140</f>
        <v>0</v>
      </c>
      <c r="K33" s="139">
        <f>-'Historical Financials'!K140</f>
        <v>-328</v>
      </c>
      <c r="L33" s="139">
        <f>-'Historical Financials'!L140</f>
        <v>-4348</v>
      </c>
      <c r="M33" s="139">
        <f>-'Historical Financials'!M140</f>
        <v>-1873</v>
      </c>
      <c r="N33" s="139">
        <f>-'Historical Financials'!N140</f>
        <v>0</v>
      </c>
      <c r="O33" s="139">
        <f>-'Historical Financials'!O140</f>
        <v>-7449</v>
      </c>
      <c r="P33" s="139">
        <f>-'Historical Financials'!P140</f>
        <v>-3540</v>
      </c>
      <c r="Q33" s="139">
        <f>-'Historical Financials'!Q140</f>
        <v>-4129</v>
      </c>
      <c r="R33" s="139">
        <f>-'Historical Financials'!R140</f>
        <v>0</v>
      </c>
      <c r="S33" s="139">
        <f>-'Historical Financials'!S140</f>
        <v>-8451</v>
      </c>
      <c r="T33" s="139">
        <f>-'Historical Financials'!T140</f>
        <v>-4858</v>
      </c>
      <c r="V33" s="10">
        <f t="shared" si="17"/>
        <v>-6549</v>
      </c>
      <c r="W33" s="10">
        <f t="shared" si="17"/>
        <v>-6549</v>
      </c>
      <c r="X33" s="10">
        <f t="shared" si="17"/>
        <v>-13670</v>
      </c>
      <c r="Y33" s="140">
        <f t="shared" si="17"/>
        <v>-12862</v>
      </c>
      <c r="Z33" s="140">
        <f t="shared" si="17"/>
        <v>-15118</v>
      </c>
      <c r="AA33" s="140">
        <f t="shared" si="17"/>
        <v>-15118</v>
      </c>
      <c r="AB33" s="140">
        <f t="shared" si="17"/>
        <v>-16120</v>
      </c>
      <c r="AC33" s="140">
        <f t="shared" si="17"/>
        <v>-17438</v>
      </c>
      <c r="AE33" s="125">
        <f>SUM(AC33/Y33)-1</f>
        <v>0.35577670657751526</v>
      </c>
    </row>
    <row r="34" spans="1:31" ht="12.75" customHeight="1">
      <c r="B34" s="23" t="s">
        <v>66</v>
      </c>
      <c r="C34" s="139">
        <f>-'Historical Financials'!C141</f>
        <v>-54</v>
      </c>
      <c r="D34" s="139">
        <f>-'Historical Financials'!D141</f>
        <v>-138</v>
      </c>
      <c r="E34" s="139">
        <f>-'Historical Financials'!E141</f>
        <v>-246</v>
      </c>
      <c r="F34" s="139">
        <f>-'Historical Financials'!F141</f>
        <v>-254</v>
      </c>
      <c r="G34" s="139">
        <f>-'Historical Financials'!G141</f>
        <v>-252</v>
      </c>
      <c r="H34" s="139">
        <f>-'Historical Financials'!H141</f>
        <v>-246</v>
      </c>
      <c r="J34" s="139">
        <f>'Historical Financials'!J24</f>
        <v>-66</v>
      </c>
      <c r="K34" s="139">
        <f>'Historical Financials'!K24</f>
        <v>-65</v>
      </c>
      <c r="L34" s="139">
        <f>'Historical Financials'!L24</f>
        <v>-63</v>
      </c>
      <c r="M34" s="139">
        <f>'Historical Financials'!M24</f>
        <v>-63</v>
      </c>
      <c r="N34" s="139">
        <f>'Historical Financials'!N24</f>
        <v>-64</v>
      </c>
      <c r="O34" s="139">
        <f>'Historical Financials'!O24</f>
        <v>-61</v>
      </c>
      <c r="P34" s="139">
        <f>'Historical Financials'!P24</f>
        <v>-61</v>
      </c>
      <c r="Q34" s="139">
        <f>'Historical Financials'!Q24</f>
        <v>-61</v>
      </c>
      <c r="R34" s="139">
        <f>'Historical Financials'!R24</f>
        <v>-63</v>
      </c>
      <c r="S34" s="139">
        <f>'Historical Financials'!S24</f>
        <v>-62</v>
      </c>
      <c r="T34" s="139">
        <f>'Historical Financials'!T24</f>
        <v>-61</v>
      </c>
      <c r="V34" s="10">
        <f t="shared" si="17"/>
        <v>-257</v>
      </c>
      <c r="W34" s="10">
        <f t="shared" si="17"/>
        <v>-255</v>
      </c>
      <c r="X34" s="10">
        <f t="shared" si="17"/>
        <v>-251</v>
      </c>
      <c r="Y34" s="140">
        <f t="shared" si="17"/>
        <v>-249</v>
      </c>
      <c r="Z34" s="140">
        <f t="shared" si="17"/>
        <v>-247</v>
      </c>
      <c r="AA34" s="140">
        <f t="shared" si="17"/>
        <v>-246</v>
      </c>
      <c r="AB34" s="140">
        <f t="shared" si="17"/>
        <v>-247</v>
      </c>
      <c r="AC34" s="140">
        <f t="shared" si="17"/>
        <v>-247</v>
      </c>
      <c r="AE34" s="125">
        <f>SUM(AC34/Y34)-1</f>
        <v>-8.0321285140562138E-3</v>
      </c>
    </row>
    <row r="35" spans="1:31" ht="12.75" customHeight="1">
      <c r="B35" s="23" t="s">
        <v>188</v>
      </c>
      <c r="C35" s="139">
        <f>'Historical Financials'!C121</f>
        <v>-390</v>
      </c>
      <c r="D35" s="139">
        <f>'Historical Financials'!D121</f>
        <v>-395</v>
      </c>
      <c r="E35" s="139">
        <f>'Historical Financials'!E121</f>
        <v>-399</v>
      </c>
      <c r="F35" s="139">
        <f>'Historical Financials'!F121</f>
        <v>-398</v>
      </c>
      <c r="G35" s="139">
        <f>'Historical Financials'!G121</f>
        <v>-395</v>
      </c>
      <c r="H35" s="139">
        <f>'Historical Financials'!H121</f>
        <v>-834</v>
      </c>
      <c r="J35" s="139">
        <f>'Historical Financials'!J121</f>
        <v>-99</v>
      </c>
      <c r="K35" s="139">
        <f>'Historical Financials'!K121</f>
        <v>-100</v>
      </c>
      <c r="L35" s="139">
        <f>'Historical Financials'!L121</f>
        <v>-97</v>
      </c>
      <c r="M35" s="139">
        <f>'Historical Financials'!M121</f>
        <v>-99</v>
      </c>
      <c r="N35" s="139">
        <f>'Historical Financials'!N121</f>
        <v>-98</v>
      </c>
      <c r="O35" s="139">
        <f>'Historical Financials'!O121</f>
        <v>-246</v>
      </c>
      <c r="P35" s="139">
        <f>'Historical Financials'!P121</f>
        <v>-245</v>
      </c>
      <c r="Q35" s="139">
        <f>'Historical Financials'!Q121</f>
        <v>-245</v>
      </c>
      <c r="R35" s="139">
        <f>'Historical Financials'!R121</f>
        <v>-244</v>
      </c>
      <c r="S35" s="139">
        <f>'Historical Financials'!S121</f>
        <v>-244</v>
      </c>
      <c r="T35" s="139">
        <f>'Historical Financials'!T121</f>
        <v>-244</v>
      </c>
      <c r="V35" s="10">
        <f t="shared" ref="V35" si="18">SUM(J35:M35)</f>
        <v>-395</v>
      </c>
      <c r="W35" s="10">
        <f t="shared" ref="W35" si="19">SUM(K35:N35)</f>
        <v>-394</v>
      </c>
      <c r="X35" s="10">
        <f t="shared" ref="X35" si="20">SUM(L35:O35)</f>
        <v>-540</v>
      </c>
      <c r="Y35" s="140">
        <f t="shared" ref="Y35" si="21">SUM(M35:P35)</f>
        <v>-688</v>
      </c>
      <c r="Z35" s="140">
        <f t="shared" ref="Z35" si="22">SUM(N35:Q35)</f>
        <v>-834</v>
      </c>
      <c r="AA35" s="140">
        <f t="shared" ref="AA35" si="23">SUM(O35:R35)</f>
        <v>-980</v>
      </c>
      <c r="AB35" s="140">
        <f t="shared" ref="AB35" si="24">SUM(P35:S35)</f>
        <v>-978</v>
      </c>
      <c r="AC35" s="140">
        <f t="shared" ref="AC35" si="25">SUM(Q35:T35)</f>
        <v>-977</v>
      </c>
      <c r="AE35" s="125">
        <f>SUM(AC35/Y35)-1</f>
        <v>0.42005813953488369</v>
      </c>
    </row>
    <row r="36" spans="1:31" ht="12.75" customHeight="1">
      <c r="B36" s="23" t="s">
        <v>33</v>
      </c>
      <c r="C36" s="139">
        <f>SUM('Historical Financials'!C98:C103)</f>
        <v>717</v>
      </c>
      <c r="D36" s="139">
        <f>SUM('Historical Financials'!D98:D103)</f>
        <v>-703</v>
      </c>
      <c r="E36" s="139">
        <f>SUM('Historical Financials'!E98:E103)</f>
        <v>-3363</v>
      </c>
      <c r="F36" s="139">
        <f>SUM('Historical Financials'!F98:F103)</f>
        <v>-2207</v>
      </c>
      <c r="G36" s="139">
        <f>SUM('Historical Financials'!G98:G103)</f>
        <v>-3722</v>
      </c>
      <c r="H36" s="139">
        <f>SUM('Historical Financials'!H98:H103)</f>
        <v>-9383</v>
      </c>
      <c r="J36" s="139">
        <f>SUM('Historical Financials'!J98:J103)</f>
        <v>904</v>
      </c>
      <c r="K36" s="139">
        <f>SUM('Historical Financials'!K98:K103)</f>
        <v>-174</v>
      </c>
      <c r="L36" s="139">
        <f>SUM('Historical Financials'!L98:L103)</f>
        <v>-2733</v>
      </c>
      <c r="M36" s="139">
        <f>SUM('Historical Financials'!M98:M103)</f>
        <v>-1719</v>
      </c>
      <c r="N36" s="139">
        <f>SUM('Historical Financials'!N98:N103)</f>
        <v>834</v>
      </c>
      <c r="O36" s="139">
        <f>SUM('Historical Financials'!O98:O103)</f>
        <v>-1660</v>
      </c>
      <c r="P36" s="139">
        <f>SUM('Historical Financials'!P98:P103)</f>
        <v>-2694</v>
      </c>
      <c r="Q36" s="139">
        <f>SUM('Historical Financials'!Q98:Q103)</f>
        <v>-5863</v>
      </c>
      <c r="R36" s="139">
        <f>SUM('Historical Financials'!R98:R103)</f>
        <v>8654</v>
      </c>
      <c r="S36" s="139">
        <f>SUM('Historical Financials'!S98:S103)</f>
        <v>-11022</v>
      </c>
      <c r="T36" s="139">
        <f>SUM('Historical Financials'!T98:T103)</f>
        <v>-9256</v>
      </c>
      <c r="V36" s="10">
        <f t="shared" si="17"/>
        <v>-3722</v>
      </c>
      <c r="W36" s="10">
        <f t="shared" si="17"/>
        <v>-3792</v>
      </c>
      <c r="X36" s="10">
        <f t="shared" si="17"/>
        <v>-5278</v>
      </c>
      <c r="Y36" s="140">
        <f t="shared" si="17"/>
        <v>-5239</v>
      </c>
      <c r="Z36" s="140">
        <f t="shared" si="17"/>
        <v>-9383</v>
      </c>
      <c r="AA36" s="140">
        <f t="shared" si="17"/>
        <v>-1563</v>
      </c>
      <c r="AB36" s="140">
        <f t="shared" si="17"/>
        <v>-10925</v>
      </c>
      <c r="AC36" s="140">
        <f t="shared" si="17"/>
        <v>-17487</v>
      </c>
      <c r="AE36" s="125">
        <f>SUM(AC36/Y36)-1</f>
        <v>2.3378507348730673</v>
      </c>
    </row>
    <row r="37" spans="1:31" ht="12.75" customHeight="1">
      <c r="B37" s="13" t="s">
        <v>34</v>
      </c>
      <c r="C37" s="14">
        <f t="shared" ref="C37:G37" si="26">SUM(C29+SUM(C32:C36))</f>
        <v>3174</v>
      </c>
      <c r="D37" s="14">
        <f t="shared" si="26"/>
        <v>3783</v>
      </c>
      <c r="E37" s="14">
        <f t="shared" si="26"/>
        <v>6677</v>
      </c>
      <c r="F37" s="14">
        <f t="shared" si="26"/>
        <v>1926</v>
      </c>
      <c r="G37" s="14">
        <f t="shared" si="26"/>
        <v>25736</v>
      </c>
      <c r="H37" s="14">
        <f>SUM(H29+SUM(H32:H36))</f>
        <v>58848</v>
      </c>
      <c r="J37" s="14">
        <f t="shared" ref="J37:S37" si="27">SUM(J29+SUM(J32:J36))</f>
        <v>3673</v>
      </c>
      <c r="K37" s="14">
        <f t="shared" si="27"/>
        <v>6984</v>
      </c>
      <c r="L37" s="14">
        <f t="shared" si="27"/>
        <v>4176</v>
      </c>
      <c r="M37" s="14">
        <f t="shared" si="27"/>
        <v>10898</v>
      </c>
      <c r="N37" s="14">
        <f t="shared" si="27"/>
        <v>18555</v>
      </c>
      <c r="O37" s="14">
        <f t="shared" si="27"/>
        <v>9747</v>
      </c>
      <c r="P37" s="14">
        <f t="shared" si="27"/>
        <v>16149</v>
      </c>
      <c r="Q37" s="14">
        <f t="shared" si="27"/>
        <v>14396</v>
      </c>
      <c r="R37" s="14">
        <f t="shared" si="27"/>
        <v>30732</v>
      </c>
      <c r="S37" s="14">
        <f t="shared" si="27"/>
        <v>8887</v>
      </c>
      <c r="T37" s="14">
        <f>SUM(T29+SUM(T32:T36))</f>
        <v>22186</v>
      </c>
      <c r="V37" s="14">
        <f t="shared" ref="V37:AC37" si="28">SUM(V29+SUM(V32:V36))</f>
        <v>25731</v>
      </c>
      <c r="W37" s="14">
        <f t="shared" si="28"/>
        <v>40613</v>
      </c>
      <c r="X37" s="14">
        <f t="shared" si="28"/>
        <v>43376</v>
      </c>
      <c r="Y37" s="14">
        <f t="shared" si="28"/>
        <v>55349</v>
      </c>
      <c r="Z37" s="14">
        <f t="shared" si="28"/>
        <v>58847</v>
      </c>
      <c r="AA37" s="14">
        <f t="shared" si="28"/>
        <v>71024</v>
      </c>
      <c r="AB37" s="14">
        <f t="shared" si="28"/>
        <v>70164</v>
      </c>
      <c r="AC37" s="14">
        <f t="shared" si="28"/>
        <v>76201</v>
      </c>
      <c r="AE37" s="126">
        <f>SUM(AC37/Y37)-1</f>
        <v>0.37673670707691187</v>
      </c>
    </row>
    <row r="38" spans="1:31" ht="5.0999999999999996" customHeight="1"/>
    <row r="39" spans="1:31" ht="12.75" customHeight="1">
      <c r="B39" s="31" t="s">
        <v>186</v>
      </c>
      <c r="C39" s="139">
        <f>SUM('Historical Financials'!C107:C109)</f>
        <v>6648</v>
      </c>
      <c r="D39" s="139">
        <f>SUM('Historical Financials'!D107:D109)</f>
        <v>-9989</v>
      </c>
      <c r="E39" s="139">
        <f>SUM('Historical Financials'!E107:E109)</f>
        <v>-8567</v>
      </c>
      <c r="F39" s="139">
        <f>SUM('Historical Financials'!F107:F109)</f>
        <v>9334</v>
      </c>
      <c r="G39" s="139">
        <f>SUM('Historical Financials'!G107:G109)</f>
        <v>-8429</v>
      </c>
      <c r="H39" s="139">
        <f>SUM('Historical Financials'!H107:H109)</f>
        <v>-14885</v>
      </c>
      <c r="I39" s="32"/>
      <c r="J39" s="139">
        <f>SUM('Historical Financials'!J107:J109)</f>
        <v>-289</v>
      </c>
      <c r="K39" s="139">
        <f>SUM('Historical Financials'!K107:K109)</f>
        <v>57</v>
      </c>
      <c r="L39" s="139">
        <f>SUM('Historical Financials'!L107:L109)</f>
        <v>-2455</v>
      </c>
      <c r="M39" s="139">
        <f>SUM('Historical Financials'!M107:M109)</f>
        <v>-5742</v>
      </c>
      <c r="N39" s="139">
        <f>SUM('Historical Financials'!N107:N109)</f>
        <v>-5150</v>
      </c>
      <c r="O39" s="139">
        <f>SUM('Historical Financials'!O107:O109)</f>
        <v>-1635</v>
      </c>
      <c r="P39" s="139">
        <f>SUM('Historical Financials'!P107:P109)</f>
        <v>-2977</v>
      </c>
      <c r="Q39" s="139">
        <f>SUM('Historical Financials'!Q107:Q109)</f>
        <v>-5123</v>
      </c>
      <c r="R39" s="139">
        <f>SUM('Historical Financials'!R107:R109)</f>
        <v>-2957</v>
      </c>
      <c r="S39" s="139">
        <f>SUM('Historical Financials'!S107:S109)</f>
        <v>-4662</v>
      </c>
      <c r="T39" s="139">
        <f>SUM('Historical Financials'!T107:T109)</f>
        <v>-2990</v>
      </c>
      <c r="V39" s="140">
        <f t="shared" ref="V39:AB44" si="29">SUM(J39:M39)</f>
        <v>-8429</v>
      </c>
      <c r="W39" s="140">
        <f t="shared" si="29"/>
        <v>-13290</v>
      </c>
      <c r="X39" s="140">
        <f t="shared" si="29"/>
        <v>-14982</v>
      </c>
      <c r="Y39" s="140">
        <f t="shared" si="29"/>
        <v>-15504</v>
      </c>
      <c r="Z39" s="140">
        <f t="shared" si="29"/>
        <v>-14885</v>
      </c>
      <c r="AA39" s="140">
        <f t="shared" si="29"/>
        <v>-12692</v>
      </c>
      <c r="AB39" s="140">
        <f t="shared" si="29"/>
        <v>-15719</v>
      </c>
      <c r="AC39" s="140">
        <f t="shared" ref="AC39:AC44" si="30">SUM(Q39:T39)</f>
        <v>-15732</v>
      </c>
    </row>
    <row r="40" spans="1:31" ht="12.75" customHeight="1">
      <c r="B40" s="31" t="s">
        <v>81</v>
      </c>
      <c r="C40" s="139">
        <f>'Historical Financials'!C111</f>
        <v>-4</v>
      </c>
      <c r="D40" s="139">
        <f>'Historical Financials'!D111</f>
        <v>-8524</v>
      </c>
      <c r="E40" s="139">
        <f>'Historical Financials'!E111</f>
        <v>-263</v>
      </c>
      <c r="F40" s="139">
        <f>'Historical Financials'!F111</f>
        <v>-49</v>
      </c>
      <c r="G40" s="139">
        <f>'Historical Financials'!G111</f>
        <v>-83</v>
      </c>
      <c r="H40" s="139">
        <f>'Historical Financials'!H111</f>
        <v>-1007</v>
      </c>
      <c r="I40" s="32"/>
      <c r="J40" s="139">
        <f>'Historical Financials'!J111</f>
        <v>-83</v>
      </c>
      <c r="K40" s="139">
        <f>'Historical Financials'!K111</f>
        <v>0</v>
      </c>
      <c r="L40" s="139">
        <f>'Historical Financials'!L111</f>
        <v>0</v>
      </c>
      <c r="M40" s="139">
        <f>'Historical Financials'!M111</f>
        <v>0</v>
      </c>
      <c r="N40" s="139">
        <f>'Historical Financials'!N111</f>
        <v>-39</v>
      </c>
      <c r="O40" s="139">
        <f>'Historical Financials'!O111</f>
        <v>-278</v>
      </c>
      <c r="P40" s="139">
        <f>'Historical Financials'!P111</f>
        <v>-148</v>
      </c>
      <c r="Q40" s="139">
        <f>'Historical Financials'!Q111</f>
        <v>-542</v>
      </c>
      <c r="R40" s="139">
        <f>'Historical Financials'!R111</f>
        <v>-383</v>
      </c>
      <c r="S40" s="139">
        <f>'Historical Financials'!S111</f>
        <v>-294</v>
      </c>
      <c r="T40" s="139">
        <f>'Historical Financials'!T111</f>
        <v>-693</v>
      </c>
      <c r="V40" s="140">
        <f t="shared" si="29"/>
        <v>-83</v>
      </c>
      <c r="W40" s="140">
        <f t="shared" si="29"/>
        <v>-39</v>
      </c>
      <c r="X40" s="140">
        <f t="shared" si="29"/>
        <v>-317</v>
      </c>
      <c r="Y40" s="140">
        <f t="shared" si="29"/>
        <v>-465</v>
      </c>
      <c r="Z40" s="140">
        <f t="shared" si="29"/>
        <v>-1007</v>
      </c>
      <c r="AA40" s="140">
        <f t="shared" si="29"/>
        <v>-1351</v>
      </c>
      <c r="AB40" s="140">
        <f t="shared" si="29"/>
        <v>-1367</v>
      </c>
      <c r="AC40" s="140">
        <f t="shared" si="30"/>
        <v>-1912</v>
      </c>
    </row>
    <row r="41" spans="1:31" ht="12.75" customHeight="1">
      <c r="B41" s="31" t="s">
        <v>187</v>
      </c>
      <c r="C41" s="139">
        <f>SUM('Historical Financials'!C112:C113)</f>
        <v>0</v>
      </c>
      <c r="D41" s="139">
        <f>SUM('Historical Financials'!D112:D113)</f>
        <v>0</v>
      </c>
      <c r="E41" s="139">
        <f>SUM('Historical Financials'!E112:E113)</f>
        <v>0</v>
      </c>
      <c r="F41" s="139">
        <f>SUM('Historical Financials'!F112:F113)</f>
        <v>-77</v>
      </c>
      <c r="G41" s="139">
        <f>SUM('Historical Financials'!G112:G113)</f>
        <v>-861</v>
      </c>
      <c r="H41" s="139">
        <f>SUM('Historical Financials'!H112:H113)</f>
        <v>-1315</v>
      </c>
      <c r="I41" s="32"/>
      <c r="J41" s="139">
        <f>SUM('Historical Financials'!J112:J113)</f>
        <v>0</v>
      </c>
      <c r="K41" s="139">
        <f>SUM('Historical Financials'!K112:K113)</f>
        <v>0</v>
      </c>
      <c r="L41" s="139">
        <f>SUM('Historical Financials'!L112:L113)</f>
        <v>0</v>
      </c>
      <c r="M41" s="139">
        <f>SUM('Historical Financials'!M112:M113)</f>
        <v>-861</v>
      </c>
      <c r="N41" s="139">
        <f>SUM('Historical Financials'!N112:N113)</f>
        <v>0</v>
      </c>
      <c r="O41" s="139">
        <f>SUM('Historical Financials'!O112:O113)</f>
        <v>-429</v>
      </c>
      <c r="P41" s="139">
        <f>SUM('Historical Financials'!P112:P113)</f>
        <v>-408</v>
      </c>
      <c r="Q41" s="139">
        <f>SUM('Historical Financials'!Q112:Q113)</f>
        <v>-478</v>
      </c>
      <c r="R41" s="139">
        <f>SUM('Historical Financials'!R112:R113)</f>
        <v>-649</v>
      </c>
      <c r="S41" s="139">
        <f>SUM('Historical Financials'!S112:S113)</f>
        <v>-276</v>
      </c>
      <c r="T41" s="139">
        <f>SUM('Historical Financials'!T112:T113)</f>
        <v>-3705</v>
      </c>
      <c r="V41" s="140">
        <f t="shared" si="29"/>
        <v>-861</v>
      </c>
      <c r="W41" s="140">
        <f t="shared" si="29"/>
        <v>-861</v>
      </c>
      <c r="X41" s="140">
        <f t="shared" si="29"/>
        <v>-1290</v>
      </c>
      <c r="Y41" s="140">
        <f t="shared" si="29"/>
        <v>-1698</v>
      </c>
      <c r="Z41" s="140">
        <f t="shared" si="29"/>
        <v>-1315</v>
      </c>
      <c r="AA41" s="140">
        <f t="shared" si="29"/>
        <v>-1964</v>
      </c>
      <c r="AB41" s="140">
        <f t="shared" si="29"/>
        <v>-1811</v>
      </c>
      <c r="AC41" s="140">
        <f t="shared" si="30"/>
        <v>-5108</v>
      </c>
    </row>
    <row r="42" spans="1:31" ht="12.75" customHeight="1">
      <c r="B42" s="31" t="s">
        <v>89</v>
      </c>
      <c r="C42" s="139">
        <f>SUM('Historical Financials'!C123:C124)</f>
        <v>0</v>
      </c>
      <c r="D42" s="139">
        <f>SUM('Historical Financials'!D123:D124)</f>
        <v>4968</v>
      </c>
      <c r="E42" s="139">
        <f>SUM('Historical Financials'!E123:E124)</f>
        <v>3977</v>
      </c>
      <c r="F42" s="139">
        <f>SUM('Historical Financials'!F123:F124)</f>
        <v>0</v>
      </c>
      <c r="G42" s="139">
        <f>SUM('Historical Financials'!G123:G124)</f>
        <v>-1250</v>
      </c>
      <c r="H42" s="139">
        <f>SUM('Historical Financials'!H123:H124)</f>
        <v>-1250</v>
      </c>
      <c r="I42" s="32"/>
      <c r="J42" s="139">
        <f>SUM('Historical Financials'!J123:J124)</f>
        <v>0</v>
      </c>
      <c r="K42" s="139">
        <f>SUM('Historical Financials'!K123:K124)</f>
        <v>-1250</v>
      </c>
      <c r="L42" s="139">
        <f>SUM('Historical Financials'!L123:L124)</f>
        <v>0</v>
      </c>
      <c r="M42" s="139">
        <f>SUM('Historical Financials'!M123:M124)</f>
        <v>0</v>
      </c>
      <c r="N42" s="139">
        <f>SUM('Historical Financials'!N123:N124)</f>
        <v>0</v>
      </c>
      <c r="O42" s="139">
        <f>SUM('Historical Financials'!O123:O124)</f>
        <v>-1250</v>
      </c>
      <c r="P42" s="139">
        <f>SUM('Historical Financials'!P123:P124)</f>
        <v>0</v>
      </c>
      <c r="Q42" s="139">
        <f>SUM('Historical Financials'!Q123:Q124)</f>
        <v>0</v>
      </c>
      <c r="R42" s="139">
        <f>SUM('Historical Financials'!R123:R124)</f>
        <v>0</v>
      </c>
      <c r="S42" s="139">
        <f>SUM('Historical Financials'!S123:S124)</f>
        <v>0</v>
      </c>
      <c r="T42" s="139">
        <f>SUM('Historical Financials'!T123:T124)</f>
        <v>0</v>
      </c>
      <c r="V42" s="140">
        <f t="shared" si="29"/>
        <v>-1250</v>
      </c>
      <c r="W42" s="140">
        <f t="shared" si="29"/>
        <v>-1250</v>
      </c>
      <c r="X42" s="140">
        <f t="shared" si="29"/>
        <v>-1250</v>
      </c>
      <c r="Y42" s="140">
        <f t="shared" si="29"/>
        <v>-1250</v>
      </c>
      <c r="Z42" s="140">
        <f t="shared" si="29"/>
        <v>-1250</v>
      </c>
      <c r="AA42" s="140">
        <f t="shared" si="29"/>
        <v>-1250</v>
      </c>
      <c r="AB42" s="140">
        <f t="shared" si="29"/>
        <v>0</v>
      </c>
      <c r="AC42" s="140">
        <f t="shared" si="30"/>
        <v>0</v>
      </c>
    </row>
    <row r="43" spans="1:31" ht="12.75" customHeight="1">
      <c r="B43" s="31" t="s">
        <v>189</v>
      </c>
      <c r="C43" s="139">
        <f>SUM('Historical Financials'!C118:C120)</f>
        <v>-402</v>
      </c>
      <c r="D43" s="139">
        <f>SUM('Historical Financials'!D118:D120)</f>
        <v>-748</v>
      </c>
      <c r="E43" s="139">
        <f>SUM('Historical Financials'!E118:E120)</f>
        <v>-1623</v>
      </c>
      <c r="F43" s="139">
        <f>SUM('Historical Financials'!F118:F120)</f>
        <v>-11159</v>
      </c>
      <c r="G43" s="139">
        <f>SUM('Historical Financials'!G118:G120)</f>
        <v>-11913</v>
      </c>
      <c r="H43" s="139">
        <f>SUM('Historical Financials'!H118:H120)</f>
        <v>-40146</v>
      </c>
      <c r="I43" s="32"/>
      <c r="J43" s="139">
        <f>SUM('Historical Financials'!J118:J120)</f>
        <v>-261</v>
      </c>
      <c r="K43" s="139">
        <f>SUM('Historical Financials'!K118:K120)</f>
        <v>-3738</v>
      </c>
      <c r="L43" s="139">
        <f>SUM('Historical Financials'!L118:L120)</f>
        <v>-4414</v>
      </c>
      <c r="M43" s="139">
        <f>SUM('Historical Financials'!M118:M120)</f>
        <v>-3500</v>
      </c>
      <c r="N43" s="139">
        <f>SUM('Historical Financials'!N118:N120)</f>
        <v>-9207</v>
      </c>
      <c r="O43" s="139">
        <f>SUM('Historical Financials'!O118:O120)</f>
        <v>-8795</v>
      </c>
      <c r="P43" s="139">
        <f>SUM('Historical Financials'!P118:P120)</f>
        <v>-12472</v>
      </c>
      <c r="Q43" s="139">
        <f>SUM('Historical Financials'!Q118:Q120)</f>
        <v>-9672</v>
      </c>
      <c r="R43" s="139">
        <f>SUM('Historical Financials'!R118:R120)</f>
        <v>-15257</v>
      </c>
      <c r="S43" s="139">
        <f>SUM('Historical Financials'!S118:S120)</f>
        <v>-11568</v>
      </c>
      <c r="T43" s="139">
        <f>SUM('Historical Financials'!T118:T120)</f>
        <v>-14612</v>
      </c>
      <c r="V43" s="140">
        <f t="shared" si="29"/>
        <v>-11913</v>
      </c>
      <c r="W43" s="140">
        <f t="shared" si="29"/>
        <v>-20859</v>
      </c>
      <c r="X43" s="140">
        <f t="shared" si="29"/>
        <v>-25916</v>
      </c>
      <c r="Y43" s="140">
        <f t="shared" si="29"/>
        <v>-33974</v>
      </c>
      <c r="Z43" s="140">
        <f t="shared" si="29"/>
        <v>-40146</v>
      </c>
      <c r="AA43" s="140">
        <f t="shared" si="29"/>
        <v>-46196</v>
      </c>
      <c r="AB43" s="140">
        <f t="shared" si="29"/>
        <v>-48969</v>
      </c>
      <c r="AC43" s="140">
        <f t="shared" si="30"/>
        <v>-51109</v>
      </c>
    </row>
    <row r="44" spans="1:31" ht="12.75" customHeight="1">
      <c r="B44" s="31" t="s">
        <v>62</v>
      </c>
      <c r="C44" s="96"/>
      <c r="D44" s="96">
        <f>SUM(D49-C49)-SUM(D37:D43)</f>
        <v>461</v>
      </c>
      <c r="E44" s="96">
        <f>SUM(E49-D49)-SUM(E37:E43)</f>
        <v>942</v>
      </c>
      <c r="F44" s="96">
        <f>SUM(F49-E49)-SUM(F37:F43)</f>
        <v>1424</v>
      </c>
      <c r="G44" s="96">
        <f>SUM(G49-F49)-SUM(G37:G43)</f>
        <v>691</v>
      </c>
      <c r="H44" s="96">
        <f>SUM(H49-G49)-SUM(H37:H43)</f>
        <v>1064</v>
      </c>
      <c r="I44" s="32"/>
      <c r="J44" s="96"/>
      <c r="K44" s="96">
        <f>SUM(K49-J49)-SUM(K37:K43)</f>
        <v>-1349</v>
      </c>
      <c r="L44" s="96">
        <f>SUM(L49-K49)-SUM(L37:L43)</f>
        <v>2429</v>
      </c>
      <c r="M44" s="96">
        <f>SUM(M49-L49)-SUM(M37:M43)</f>
        <v>966</v>
      </c>
      <c r="N44" s="96">
        <f>SUM(N49-M49)-SUM(N37:N43)</f>
        <v>-3852</v>
      </c>
      <c r="O44" s="96">
        <f>SUM(O49-N49)-SUM(O37:O43)</f>
        <v>3616</v>
      </c>
      <c r="P44" s="96">
        <f>SUM(P49-O49)-SUM(P37:P43)</f>
        <v>400</v>
      </c>
      <c r="Q44" s="96">
        <f>SUM(Q49-P49)-SUM(Q37:Q43)</f>
        <v>901</v>
      </c>
      <c r="R44" s="96">
        <f>SUM(R49-Q49)-SUM(R37:R43)</f>
        <v>-4841</v>
      </c>
      <c r="S44" s="96">
        <f>SUM(S49-R49)-SUM(S37:S43)</f>
        <v>4318</v>
      </c>
      <c r="T44" s="96">
        <f>SUM(T49-S49)-SUM(T37:T43)</f>
        <v>-339</v>
      </c>
      <c r="V44" s="140">
        <f t="shared" si="29"/>
        <v>2046</v>
      </c>
      <c r="W44" s="140">
        <f t="shared" si="29"/>
        <v>-1806</v>
      </c>
      <c r="X44" s="140">
        <f t="shared" si="29"/>
        <v>3159</v>
      </c>
      <c r="Y44" s="140">
        <f t="shared" si="29"/>
        <v>1130</v>
      </c>
      <c r="Z44" s="140">
        <f t="shared" si="29"/>
        <v>1065</v>
      </c>
      <c r="AA44" s="140">
        <f t="shared" si="29"/>
        <v>76</v>
      </c>
      <c r="AB44" s="140">
        <f t="shared" si="29"/>
        <v>778</v>
      </c>
      <c r="AC44" s="140">
        <f t="shared" si="30"/>
        <v>39</v>
      </c>
    </row>
    <row r="45" spans="1:31" ht="12.75" customHeight="1">
      <c r="B45" s="13" t="s">
        <v>35</v>
      </c>
      <c r="C45" s="14">
        <f>SUM(C37+SUM(C39:C44))</f>
        <v>9416</v>
      </c>
      <c r="D45" s="14">
        <f>SUM(D37+SUM(D39:D44))</f>
        <v>-10049</v>
      </c>
      <c r="E45" s="14">
        <f>SUM(E37+SUM(E39:E44))</f>
        <v>1143</v>
      </c>
      <c r="F45" s="14">
        <f>SUM(F37+SUM(F39:F44))</f>
        <v>1399</v>
      </c>
      <c r="G45" s="14">
        <f>SUM(G37+SUM(G39:G44))</f>
        <v>3891</v>
      </c>
      <c r="H45" s="14">
        <f>SUM(H37+SUM(H39:H44))</f>
        <v>1309</v>
      </c>
      <c r="J45" s="14">
        <f>SUM(J37+SUM(J39:J44))</f>
        <v>3040</v>
      </c>
      <c r="K45" s="14">
        <f>SUM(K37+SUM(K39:K44))</f>
        <v>704</v>
      </c>
      <c r="L45" s="14">
        <f>SUM(L37+SUM(L39:L44))</f>
        <v>-264</v>
      </c>
      <c r="M45" s="14">
        <f>SUM(M37+SUM(M39:M44))</f>
        <v>1761</v>
      </c>
      <c r="N45" s="14">
        <f>SUM(N37+SUM(N39:N44))</f>
        <v>307</v>
      </c>
      <c r="O45" s="14">
        <f>SUM(O37+SUM(O39:O44))</f>
        <v>976</v>
      </c>
      <c r="P45" s="14">
        <f>SUM(P37+SUM(P39:P44))</f>
        <v>544</v>
      </c>
      <c r="Q45" s="14">
        <f>SUM(Q37+SUM(Q39:Q44))</f>
        <v>-518</v>
      </c>
      <c r="R45" s="14">
        <f>SUM(R37+SUM(R39:R44))</f>
        <v>6645</v>
      </c>
      <c r="S45" s="14">
        <f>SUM(S37+SUM(S39:S44))</f>
        <v>-3595</v>
      </c>
      <c r="T45" s="14">
        <f>SUM(T37+SUM(T39:T44))</f>
        <v>-153</v>
      </c>
      <c r="V45" s="14">
        <f>SUM(V37+SUM(V39:V44))</f>
        <v>5241</v>
      </c>
      <c r="W45" s="14">
        <f>SUM(W37+SUM(W39:W44))</f>
        <v>2508</v>
      </c>
      <c r="X45" s="14">
        <f>SUM(X37+SUM(X39:X44))</f>
        <v>2780</v>
      </c>
      <c r="Y45" s="14">
        <f>SUM(Y37+SUM(Y39:Y44))</f>
        <v>3588</v>
      </c>
      <c r="Z45" s="14">
        <f>SUM(Z37+SUM(Z39:Z44))</f>
        <v>1309</v>
      </c>
      <c r="AA45" s="14">
        <f>SUM(AA37+SUM(AA39:AA44))</f>
        <v>7647</v>
      </c>
      <c r="AB45" s="14">
        <f>SUM(AB37+SUM(AB39:AB44))</f>
        <v>3076</v>
      </c>
      <c r="AC45" s="14">
        <f>SUM(AC37+SUM(AC39:AC44))</f>
        <v>2379</v>
      </c>
    </row>
    <row r="46" spans="1:31" ht="5.0999999999999996" customHeight="1"/>
    <row r="47" spans="1:31" ht="12.75" customHeight="1">
      <c r="A47" s="5"/>
      <c r="B47" s="33" t="s">
        <v>36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31" ht="5.0999999999999996" customHeight="1"/>
    <row r="49" spans="2:29" ht="12.75" customHeight="1">
      <c r="B49" s="8" t="s">
        <v>37</v>
      </c>
      <c r="C49" s="94">
        <f>'Historical Financials'!C44</f>
        <v>10896</v>
      </c>
      <c r="D49" s="94">
        <f>'Historical Financials'!D44</f>
        <v>847</v>
      </c>
      <c r="E49" s="94">
        <f>'Historical Financials'!E44</f>
        <v>1990</v>
      </c>
      <c r="F49" s="94">
        <f>'Historical Financials'!F44</f>
        <v>3389</v>
      </c>
      <c r="G49" s="94">
        <f>'Historical Financials'!G44</f>
        <v>7280</v>
      </c>
      <c r="H49" s="94">
        <f>'Historical Financials'!H44</f>
        <v>8589</v>
      </c>
      <c r="I49" s="32"/>
      <c r="J49" s="94">
        <f>'Historical Financials'!J44</f>
        <v>5079</v>
      </c>
      <c r="K49" s="94">
        <f>'Historical Financials'!K44</f>
        <v>5783</v>
      </c>
      <c r="L49" s="94">
        <f>'Historical Financials'!L44</f>
        <v>5519</v>
      </c>
      <c r="M49" s="94">
        <f>'Historical Financials'!M44</f>
        <v>7280</v>
      </c>
      <c r="N49" s="94">
        <f>'Historical Financials'!N44</f>
        <v>7587</v>
      </c>
      <c r="O49" s="94">
        <f>'Historical Financials'!O44</f>
        <v>8563</v>
      </c>
      <c r="P49" s="94">
        <f>'Historical Financials'!P44</f>
        <v>9107</v>
      </c>
      <c r="Q49" s="94">
        <f>'Historical Financials'!Q44</f>
        <v>8589</v>
      </c>
      <c r="R49" s="94">
        <f>'Historical Financials'!R44</f>
        <v>15234</v>
      </c>
      <c r="S49" s="94">
        <f>'Historical Financials'!S44</f>
        <v>11639</v>
      </c>
      <c r="T49" s="94">
        <f>'Historical Financials'!T44</f>
        <v>11486</v>
      </c>
      <c r="V49" s="10">
        <f t="shared" ref="V49:AB50" si="31">M49</f>
        <v>7280</v>
      </c>
      <c r="W49" s="10">
        <f t="shared" si="31"/>
        <v>7587</v>
      </c>
      <c r="X49" s="10">
        <f t="shared" si="31"/>
        <v>8563</v>
      </c>
      <c r="Y49" s="10">
        <f t="shared" si="31"/>
        <v>9107</v>
      </c>
      <c r="Z49" s="10">
        <f t="shared" si="31"/>
        <v>8589</v>
      </c>
      <c r="AA49" s="10">
        <f t="shared" si="31"/>
        <v>15234</v>
      </c>
      <c r="AB49" s="10">
        <f t="shared" si="31"/>
        <v>11639</v>
      </c>
      <c r="AC49" s="10">
        <f>T49</f>
        <v>11486</v>
      </c>
    </row>
    <row r="50" spans="2:29" ht="12.75" customHeight="1">
      <c r="B50" s="8" t="s">
        <v>140</v>
      </c>
      <c r="C50" s="94">
        <f>'Historical Financials'!C45</f>
        <v>1</v>
      </c>
      <c r="D50" s="94">
        <f>'Historical Financials'!D45</f>
        <v>10714</v>
      </c>
      <c r="E50" s="94">
        <f>'Historical Financials'!E45</f>
        <v>19218</v>
      </c>
      <c r="F50" s="94">
        <f>'Historical Financials'!F45</f>
        <v>9907</v>
      </c>
      <c r="G50" s="94">
        <f>'Historical Financials'!G45</f>
        <v>18704</v>
      </c>
      <c r="H50" s="94">
        <f>'Historical Financials'!H45</f>
        <v>34621</v>
      </c>
      <c r="I50" s="32"/>
      <c r="J50" s="94">
        <f>'Historical Financials'!J45</f>
        <v>10241</v>
      </c>
      <c r="K50" s="94">
        <f>'Historical Financials'!K45</f>
        <v>10240</v>
      </c>
      <c r="L50" s="94">
        <f>'Historical Financials'!L45</f>
        <v>12762</v>
      </c>
      <c r="M50" s="94">
        <f>'Historical Financials'!M45</f>
        <v>18704</v>
      </c>
      <c r="N50" s="94">
        <f>'Historical Financials'!N45</f>
        <v>23851</v>
      </c>
      <c r="O50" s="94">
        <f>'Historical Financials'!O45</f>
        <v>26237</v>
      </c>
      <c r="P50" s="94">
        <f>'Historical Financials'!P45</f>
        <v>29380</v>
      </c>
      <c r="Q50" s="94">
        <f>'Historical Financials'!Q45</f>
        <v>34621</v>
      </c>
      <c r="R50" s="94">
        <f>'Historical Financials'!R45</f>
        <v>38457</v>
      </c>
      <c r="S50" s="94">
        <f>'Historical Financials'!S45</f>
        <v>45152</v>
      </c>
      <c r="T50" s="94">
        <f>'Historical Financials'!T45</f>
        <v>49122</v>
      </c>
      <c r="V50" s="10">
        <f t="shared" si="31"/>
        <v>18704</v>
      </c>
      <c r="W50" s="10">
        <f t="shared" si="31"/>
        <v>23851</v>
      </c>
      <c r="X50" s="10">
        <f t="shared" si="31"/>
        <v>26237</v>
      </c>
      <c r="Y50" s="10">
        <f t="shared" si="31"/>
        <v>29380</v>
      </c>
      <c r="Z50" s="10">
        <f t="shared" si="31"/>
        <v>34621</v>
      </c>
      <c r="AA50" s="10">
        <f t="shared" si="31"/>
        <v>38457</v>
      </c>
      <c r="AB50" s="10">
        <f t="shared" si="31"/>
        <v>45152</v>
      </c>
      <c r="AC50" s="10">
        <f>T50</f>
        <v>49122</v>
      </c>
    </row>
    <row r="51" spans="2:29" ht="12.75" customHeight="1">
      <c r="B51" s="13" t="s">
        <v>38</v>
      </c>
      <c r="C51" s="14">
        <f>SUM(C49:C50)</f>
        <v>10897</v>
      </c>
      <c r="D51" s="14">
        <f>SUM(D49:D50)</f>
        <v>11561</v>
      </c>
      <c r="E51" s="14">
        <f>SUM(E49:E50)</f>
        <v>21208</v>
      </c>
      <c r="F51" s="14">
        <f>SUM(F49:F50)</f>
        <v>13296</v>
      </c>
      <c r="G51" s="14">
        <f>SUM(G49:G50)</f>
        <v>25984</v>
      </c>
      <c r="H51" s="14">
        <f>SUM(H49:H50)</f>
        <v>43210</v>
      </c>
      <c r="I51" s="32"/>
      <c r="J51" s="14">
        <f>SUM(J49:J50)</f>
        <v>15320</v>
      </c>
      <c r="K51" s="14">
        <f>SUM(K49:K50)</f>
        <v>16023</v>
      </c>
      <c r="L51" s="14">
        <f>SUM(L49:L50)</f>
        <v>18281</v>
      </c>
      <c r="M51" s="14">
        <f>SUM(M49:M50)</f>
        <v>25984</v>
      </c>
      <c r="N51" s="14">
        <f>SUM(N49:N50)</f>
        <v>31438</v>
      </c>
      <c r="O51" s="14">
        <f>SUM(O49:O50)</f>
        <v>34800</v>
      </c>
      <c r="P51" s="14">
        <f>SUM(P49:P50)</f>
        <v>38487</v>
      </c>
      <c r="Q51" s="14">
        <f>SUM(Q49:Q50)</f>
        <v>43210</v>
      </c>
      <c r="R51" s="14">
        <f>SUM(R49:R50)</f>
        <v>53691</v>
      </c>
      <c r="S51" s="14">
        <f>SUM(S49:S50)</f>
        <v>56791</v>
      </c>
      <c r="T51" s="14">
        <f>SUM(T49:T50)</f>
        <v>60608</v>
      </c>
      <c r="V51" s="14">
        <f>SUM(V49:V49)</f>
        <v>7280</v>
      </c>
      <c r="W51" s="14">
        <f>SUM(W49:W49)</f>
        <v>7587</v>
      </c>
      <c r="X51" s="14">
        <f>SUM(X49:X49)</f>
        <v>8563</v>
      </c>
      <c r="Y51" s="14">
        <f>SUM(Y49:Y50)</f>
        <v>38487</v>
      </c>
      <c r="Z51" s="14">
        <f>SUM(Z49:Z50)</f>
        <v>43210</v>
      </c>
      <c r="AA51" s="14">
        <f>SUM(AA49:AA50)</f>
        <v>53691</v>
      </c>
      <c r="AB51" s="14">
        <f>SUM(AB49:AB50)</f>
        <v>56791</v>
      </c>
      <c r="AC51" s="14">
        <f>SUM(AC49:AC50)</f>
        <v>60608</v>
      </c>
    </row>
    <row r="52" spans="2:29" ht="5.0999999999999996" customHeight="1"/>
    <row r="53" spans="2:29" ht="12.75" customHeight="1">
      <c r="B53" s="35" t="s">
        <v>39</v>
      </c>
    </row>
    <row r="54" spans="2:29" ht="12.75" customHeight="1">
      <c r="B54" s="8" t="s">
        <v>105</v>
      </c>
      <c r="C54" s="94">
        <f>'Historical Financials'!C46</f>
        <v>1657</v>
      </c>
      <c r="D54" s="94">
        <f>'Historical Financials'!D46</f>
        <v>2429</v>
      </c>
      <c r="E54" s="94">
        <f>'Historical Financials'!E46</f>
        <v>4650</v>
      </c>
      <c r="F54" s="94">
        <f>'Historical Financials'!F46</f>
        <v>3827</v>
      </c>
      <c r="G54" s="94">
        <f>'Historical Financials'!G46</f>
        <v>9999</v>
      </c>
      <c r="H54" s="94">
        <f>'Historical Financials'!H46</f>
        <v>23065</v>
      </c>
      <c r="J54" s="94">
        <f>'Historical Financials'!J46</f>
        <v>4080</v>
      </c>
      <c r="K54" s="94">
        <f>'Historical Financials'!K46</f>
        <v>7066</v>
      </c>
      <c r="L54" s="94">
        <f>'Historical Financials'!L46</f>
        <v>8309</v>
      </c>
      <c r="M54" s="94">
        <f>'Historical Financials'!M46</f>
        <v>9999</v>
      </c>
      <c r="N54" s="94">
        <f>'Historical Financials'!N46</f>
        <v>12365</v>
      </c>
      <c r="O54" s="94">
        <f>'Historical Financials'!O46</f>
        <v>14132</v>
      </c>
      <c r="P54" s="94">
        <f>'Historical Financials'!P46</f>
        <v>17693</v>
      </c>
      <c r="Q54" s="94">
        <f>'Historical Financials'!Q46</f>
        <v>23065</v>
      </c>
      <c r="R54" s="94">
        <f>'Historical Financials'!R46</f>
        <v>22132</v>
      </c>
      <c r="S54" s="94">
        <f>'Historical Financials'!S46</f>
        <v>27808</v>
      </c>
      <c r="T54" s="94">
        <f>'Historical Financials'!T46</f>
        <v>33391</v>
      </c>
      <c r="U54" s="10"/>
      <c r="V54" s="10">
        <f t="shared" ref="V54:AB59" si="32">M54</f>
        <v>9999</v>
      </c>
      <c r="W54" s="10">
        <f t="shared" si="32"/>
        <v>12365</v>
      </c>
      <c r="X54" s="10">
        <f t="shared" si="32"/>
        <v>14132</v>
      </c>
      <c r="Y54" s="10">
        <f t="shared" si="32"/>
        <v>17693</v>
      </c>
      <c r="Z54" s="10">
        <f t="shared" si="32"/>
        <v>23065</v>
      </c>
      <c r="AA54" s="10">
        <f t="shared" si="32"/>
        <v>22132</v>
      </c>
      <c r="AB54" s="10">
        <f t="shared" si="32"/>
        <v>27808</v>
      </c>
      <c r="AC54" s="10">
        <f t="shared" ref="AC54:AC59" si="33">T54</f>
        <v>33391</v>
      </c>
    </row>
    <row r="55" spans="2:29" ht="12.75" customHeight="1">
      <c r="B55" s="8" t="s">
        <v>98</v>
      </c>
      <c r="C55" s="94">
        <f>'Historical Financials'!C47</f>
        <v>979</v>
      </c>
      <c r="D55" s="94">
        <f>'Historical Financials'!D47</f>
        <v>1826</v>
      </c>
      <c r="E55" s="94">
        <f>'Historical Financials'!E47</f>
        <v>2605</v>
      </c>
      <c r="F55" s="94">
        <f>'Historical Financials'!F47</f>
        <v>5159</v>
      </c>
      <c r="G55" s="94">
        <f>'Historical Financials'!G47</f>
        <v>5282</v>
      </c>
      <c r="H55" s="94">
        <f>'Historical Financials'!H47</f>
        <v>10080</v>
      </c>
      <c r="I55" s="94"/>
      <c r="J55" s="94">
        <f>'Historical Financials'!J47</f>
        <v>4611</v>
      </c>
      <c r="K55" s="94">
        <f>'Historical Financials'!K47</f>
        <v>4319</v>
      </c>
      <c r="L55" s="94">
        <f>'Historical Financials'!L47</f>
        <v>4779</v>
      </c>
      <c r="M55" s="94">
        <f>'Historical Financials'!M47</f>
        <v>5282</v>
      </c>
      <c r="N55" s="94">
        <f>'Historical Financials'!N47</f>
        <v>5864</v>
      </c>
      <c r="O55" s="94">
        <f>'Historical Financials'!O47</f>
        <v>6675</v>
      </c>
      <c r="P55" s="94">
        <f>'Historical Financials'!P47</f>
        <v>7654</v>
      </c>
      <c r="Q55" s="94">
        <f>'Historical Financials'!Q47</f>
        <v>10080</v>
      </c>
      <c r="R55" s="94">
        <f>'Historical Financials'!R47</f>
        <v>11333</v>
      </c>
      <c r="S55" s="94">
        <f>'Historical Financials'!S47</f>
        <v>14962</v>
      </c>
      <c r="T55" s="94">
        <f>'Historical Financials'!T47</f>
        <v>19784</v>
      </c>
      <c r="V55" s="10">
        <f t="shared" si="32"/>
        <v>5282</v>
      </c>
      <c r="W55" s="10">
        <f t="shared" si="32"/>
        <v>5864</v>
      </c>
      <c r="X55" s="10">
        <f t="shared" si="32"/>
        <v>6675</v>
      </c>
      <c r="Y55" s="10">
        <f t="shared" si="32"/>
        <v>7654</v>
      </c>
      <c r="Z55" s="10">
        <f t="shared" si="32"/>
        <v>10080</v>
      </c>
      <c r="AA55" s="10">
        <f t="shared" si="32"/>
        <v>11333</v>
      </c>
      <c r="AB55" s="10">
        <f t="shared" si="32"/>
        <v>14962</v>
      </c>
      <c r="AC55" s="10">
        <f t="shared" si="33"/>
        <v>19784</v>
      </c>
    </row>
    <row r="56" spans="2:29" ht="12.75" customHeight="1">
      <c r="B56" s="8" t="s">
        <v>93</v>
      </c>
      <c r="C56" s="94">
        <f>'Historical Financials'!C52</f>
        <v>1674</v>
      </c>
      <c r="D56" s="94">
        <f>'Historical Financials'!D52</f>
        <v>2149</v>
      </c>
      <c r="E56" s="94">
        <f>'Historical Financials'!E52</f>
        <v>2778</v>
      </c>
      <c r="F56" s="94">
        <f>'Historical Financials'!F52</f>
        <v>3807</v>
      </c>
      <c r="G56" s="94">
        <f>'Historical Financials'!G52</f>
        <v>3914</v>
      </c>
      <c r="H56" s="94">
        <f>'Historical Financials'!H52</f>
        <v>6283</v>
      </c>
      <c r="J56" s="94">
        <f>'Historical Financials'!J52</f>
        <v>3740</v>
      </c>
      <c r="K56" s="94">
        <f>'Historical Financials'!K52</f>
        <v>3799</v>
      </c>
      <c r="L56" s="94">
        <f>'Historical Financials'!L52</f>
        <v>3844</v>
      </c>
      <c r="M56" s="94">
        <f>'Historical Financials'!M52</f>
        <v>3914</v>
      </c>
      <c r="N56" s="94">
        <f>'Historical Financials'!N52</f>
        <v>4006</v>
      </c>
      <c r="O56" s="94">
        <f>'Historical Financials'!O52</f>
        <v>4885</v>
      </c>
      <c r="P56" s="94">
        <f>'Historical Financials'!P52</f>
        <v>5343</v>
      </c>
      <c r="Q56" s="94">
        <f>'Historical Financials'!Q52</f>
        <v>6283</v>
      </c>
      <c r="R56" s="94">
        <f>'Historical Financials'!R52</f>
        <v>7136</v>
      </c>
      <c r="S56" s="94">
        <f>'Historical Financials'!S52</f>
        <v>9141</v>
      </c>
      <c r="T56" s="94">
        <f>'Historical Financials'!T52</f>
        <v>9780</v>
      </c>
      <c r="U56" s="10"/>
      <c r="V56" s="10">
        <f t="shared" si="32"/>
        <v>3914</v>
      </c>
      <c r="W56" s="10">
        <f t="shared" si="32"/>
        <v>4006</v>
      </c>
      <c r="X56" s="10">
        <f t="shared" si="32"/>
        <v>4885</v>
      </c>
      <c r="Y56" s="10">
        <f t="shared" si="32"/>
        <v>5343</v>
      </c>
      <c r="Z56" s="10">
        <f t="shared" si="32"/>
        <v>6283</v>
      </c>
      <c r="AA56" s="10">
        <f t="shared" si="32"/>
        <v>7136</v>
      </c>
      <c r="AB56" s="10">
        <f t="shared" si="32"/>
        <v>9141</v>
      </c>
      <c r="AC56" s="10">
        <f t="shared" si="33"/>
        <v>9780</v>
      </c>
    </row>
    <row r="57" spans="2:29" ht="12.75" customHeight="1">
      <c r="B57" s="8" t="s">
        <v>40</v>
      </c>
      <c r="C57" s="94">
        <f>'Historical Financials'!C61</f>
        <v>687</v>
      </c>
      <c r="D57" s="94">
        <f>'Historical Financials'!D61</f>
        <v>1149</v>
      </c>
      <c r="E57" s="94">
        <f>'Historical Financials'!E61</f>
        <v>1783</v>
      </c>
      <c r="F57" s="94">
        <f>'Historical Financials'!F61</f>
        <v>1193</v>
      </c>
      <c r="G57" s="94">
        <f>'Historical Financials'!G61</f>
        <v>2699</v>
      </c>
      <c r="H57" s="94">
        <f>'Historical Financials'!H61</f>
        <v>6310</v>
      </c>
      <c r="I57" s="94"/>
      <c r="J57" s="94">
        <f>'Historical Financials'!J61</f>
        <v>1141</v>
      </c>
      <c r="K57" s="94">
        <f>'Historical Financials'!K61</f>
        <v>1929</v>
      </c>
      <c r="L57" s="94">
        <f>'Historical Financials'!L61</f>
        <v>2380</v>
      </c>
      <c r="M57" s="94">
        <f>'Historical Financials'!M61</f>
        <v>2699</v>
      </c>
      <c r="N57" s="94">
        <f>'Historical Financials'!N61</f>
        <v>2715</v>
      </c>
      <c r="O57" s="94">
        <f>'Historical Financials'!O61</f>
        <v>3680</v>
      </c>
      <c r="P57" s="94">
        <f>'Historical Financials'!P61</f>
        <v>5353</v>
      </c>
      <c r="Q57" s="94">
        <f>'Historical Financials'!Q61</f>
        <v>6310</v>
      </c>
      <c r="R57" s="94">
        <f>'Historical Financials'!R61</f>
        <v>7331</v>
      </c>
      <c r="S57" s="94">
        <f>'Historical Financials'!S61</f>
        <v>9064</v>
      </c>
      <c r="T57" s="94">
        <f>'Historical Financials'!T61</f>
        <v>8624</v>
      </c>
      <c r="V57" s="10">
        <f t="shared" si="32"/>
        <v>2699</v>
      </c>
      <c r="W57" s="10">
        <f t="shared" si="32"/>
        <v>2715</v>
      </c>
      <c r="X57" s="10">
        <f t="shared" si="32"/>
        <v>3680</v>
      </c>
      <c r="Y57" s="10">
        <f t="shared" si="32"/>
        <v>5353</v>
      </c>
      <c r="Z57" s="10">
        <f t="shared" si="32"/>
        <v>6310</v>
      </c>
      <c r="AA57" s="10">
        <f t="shared" si="32"/>
        <v>7331</v>
      </c>
      <c r="AB57" s="10">
        <f t="shared" si="32"/>
        <v>9064</v>
      </c>
      <c r="AC57" s="10">
        <f t="shared" si="33"/>
        <v>8624</v>
      </c>
    </row>
    <row r="58" spans="2:29" ht="12.75" customHeight="1">
      <c r="B58" s="8" t="s">
        <v>41</v>
      </c>
      <c r="C58" s="94">
        <f>'Historical Financials'!C64</f>
        <v>1784</v>
      </c>
      <c r="D58" s="94">
        <f>'Historical Financials'!D64</f>
        <v>3925</v>
      </c>
      <c r="E58" s="94">
        <f>'Historical Financials'!E64</f>
        <v>4335</v>
      </c>
      <c r="F58" s="94">
        <f>'Historical Financials'!F64</f>
        <v>6563</v>
      </c>
      <c r="G58" s="94">
        <f>'Historical Financials'!G64</f>
        <v>10631</v>
      </c>
      <c r="H58" s="94">
        <f>'Historical Financials'!H64</f>
        <v>18047</v>
      </c>
      <c r="I58" s="94"/>
      <c r="J58" s="94">
        <f>'Historical Financials'!J64</f>
        <v>7260</v>
      </c>
      <c r="K58" s="94">
        <f>'Historical Financials'!K64</f>
        <v>10334</v>
      </c>
      <c r="L58" s="94">
        <f>'Historical Financials'!L64</f>
        <v>9101</v>
      </c>
      <c r="M58" s="94">
        <f>'Historical Financials'!M64</f>
        <v>10631</v>
      </c>
      <c r="N58" s="94">
        <f>'Historical Financials'!N64</f>
        <v>15223</v>
      </c>
      <c r="O58" s="94">
        <f>'Historical Financials'!O64</f>
        <v>13969</v>
      </c>
      <c r="P58" s="94">
        <f>'Historical Financials'!P64</f>
        <v>16479</v>
      </c>
      <c r="Q58" s="94">
        <f>'Historical Financials'!Q64</f>
        <v>18047</v>
      </c>
      <c r="R58" s="94">
        <f>'Historical Financials'!R64</f>
        <v>26542</v>
      </c>
      <c r="S58" s="94">
        <f>'Historical Financials'!S64</f>
        <v>24257</v>
      </c>
      <c r="T58" s="94">
        <f>'Historical Financials'!T64</f>
        <v>26075</v>
      </c>
      <c r="V58" s="10">
        <f t="shared" si="32"/>
        <v>10631</v>
      </c>
      <c r="W58" s="10">
        <f t="shared" si="32"/>
        <v>15223</v>
      </c>
      <c r="X58" s="10">
        <f t="shared" si="32"/>
        <v>13969</v>
      </c>
      <c r="Y58" s="10">
        <f t="shared" si="32"/>
        <v>16479</v>
      </c>
      <c r="Z58" s="10">
        <f t="shared" si="32"/>
        <v>18047</v>
      </c>
      <c r="AA58" s="10">
        <f t="shared" si="32"/>
        <v>26542</v>
      </c>
      <c r="AB58" s="10">
        <f t="shared" si="32"/>
        <v>24257</v>
      </c>
      <c r="AC58" s="10">
        <f t="shared" si="33"/>
        <v>26075</v>
      </c>
    </row>
    <row r="59" spans="2:29" ht="12.75" customHeight="1">
      <c r="B59" s="8" t="s">
        <v>11</v>
      </c>
      <c r="C59" s="94">
        <f>'Historical Financials'!C70</f>
        <v>5111</v>
      </c>
      <c r="D59" s="94">
        <f>'Historical Financials'!D70</f>
        <v>11898</v>
      </c>
      <c r="E59" s="94">
        <f>'Historical Financials'!E70</f>
        <v>17575</v>
      </c>
      <c r="F59" s="94">
        <f>'Historical Financials'!F70</f>
        <v>19081</v>
      </c>
      <c r="G59" s="94">
        <f>'Historical Financials'!G70</f>
        <v>22750</v>
      </c>
      <c r="H59" s="94">
        <f>'Historical Financials'!H70</f>
        <v>32274</v>
      </c>
      <c r="I59" s="94"/>
      <c r="J59" s="94">
        <f>'Historical Financials'!J70</f>
        <v>19940</v>
      </c>
      <c r="K59" s="94">
        <f>'Historical Financials'!K70</f>
        <v>22054</v>
      </c>
      <c r="L59" s="94">
        <f>'Historical Financials'!L70</f>
        <v>20883</v>
      </c>
      <c r="M59" s="94">
        <f>'Historical Financials'!M70</f>
        <v>22750</v>
      </c>
      <c r="N59" s="94">
        <f>'Historical Financials'!N70</f>
        <v>27930</v>
      </c>
      <c r="O59" s="94">
        <f>'Historical Financials'!O70</f>
        <v>27070</v>
      </c>
      <c r="P59" s="94">
        <f>'Historical Financials'!P70</f>
        <v>30114</v>
      </c>
      <c r="Q59" s="94">
        <f>'Historical Financials'!Q70</f>
        <v>32274</v>
      </c>
      <c r="R59" s="94">
        <f>'Historical Financials'!R70</f>
        <v>41411</v>
      </c>
      <c r="S59" s="94">
        <f>'Historical Financials'!S70</f>
        <v>40609</v>
      </c>
      <c r="T59" s="94">
        <f>'Historical Financials'!T70</f>
        <v>42251</v>
      </c>
      <c r="V59" s="10">
        <f t="shared" si="32"/>
        <v>22750</v>
      </c>
      <c r="W59" s="10">
        <f t="shared" si="32"/>
        <v>27930</v>
      </c>
      <c r="X59" s="10">
        <f t="shared" si="32"/>
        <v>27070</v>
      </c>
      <c r="Y59" s="10">
        <f t="shared" si="32"/>
        <v>30114</v>
      </c>
      <c r="Z59" s="10">
        <f t="shared" si="32"/>
        <v>32274</v>
      </c>
      <c r="AA59" s="10">
        <f t="shared" si="32"/>
        <v>41411</v>
      </c>
      <c r="AB59" s="10">
        <f t="shared" si="32"/>
        <v>40609</v>
      </c>
      <c r="AC59" s="10">
        <f t="shared" si="33"/>
        <v>42251</v>
      </c>
    </row>
    <row r="60" spans="2:29" ht="5.0999999999999996" customHeight="1">
      <c r="C60" s="10"/>
      <c r="D60" s="10"/>
      <c r="E60" s="10"/>
      <c r="F60" s="10"/>
      <c r="G60" s="10"/>
      <c r="H60" s="10"/>
    </row>
    <row r="61" spans="2:29">
      <c r="B61" s="35" t="s">
        <v>90</v>
      </c>
      <c r="C61" s="10"/>
      <c r="D61" s="10"/>
      <c r="E61" s="10"/>
      <c r="F61" s="10"/>
      <c r="G61" s="10"/>
      <c r="H61" s="10"/>
    </row>
    <row r="62" spans="2:29">
      <c r="B62" s="8" t="s">
        <v>91</v>
      </c>
      <c r="C62" s="94">
        <f>'Historical Financials'!C63</f>
        <v>0</v>
      </c>
      <c r="D62" s="94">
        <f>'Historical Financials'!D63</f>
        <v>999</v>
      </c>
      <c r="E62" s="94">
        <f>'Historical Financials'!E63</f>
        <v>0</v>
      </c>
      <c r="F62" s="94">
        <f>'Historical Financials'!F63</f>
        <v>1250</v>
      </c>
      <c r="G62" s="94">
        <f>'Historical Financials'!G63</f>
        <v>1250</v>
      </c>
      <c r="H62" s="94">
        <f>'Historical Financials'!H63</f>
        <v>0</v>
      </c>
      <c r="J62" s="94">
        <f>'Historical Financials'!J63</f>
        <v>1250</v>
      </c>
      <c r="K62" s="94">
        <f>'Historical Financials'!K63</f>
        <v>1249</v>
      </c>
      <c r="L62" s="94">
        <f>'Historical Financials'!L63</f>
        <v>1249</v>
      </c>
      <c r="M62" s="94">
        <f>'Historical Financials'!M63</f>
        <v>1250</v>
      </c>
      <c r="N62" s="94">
        <f>'Historical Financials'!N63</f>
        <v>1250</v>
      </c>
      <c r="O62" s="94">
        <f>'Historical Financials'!O63</f>
        <v>0</v>
      </c>
      <c r="P62" s="94">
        <f>'Historical Financials'!P63</f>
        <v>0</v>
      </c>
      <c r="Q62" s="94">
        <f>'Historical Financials'!Q63</f>
        <v>0</v>
      </c>
      <c r="R62" s="94">
        <f>'Historical Financials'!R63</f>
        <v>0</v>
      </c>
      <c r="S62" s="94">
        <f>'Historical Financials'!S63</f>
        <v>0</v>
      </c>
      <c r="T62" s="94">
        <f>'Historical Financials'!T63</f>
        <v>999</v>
      </c>
      <c r="V62" s="10">
        <f t="shared" ref="V62:AB63" si="34">M62</f>
        <v>1250</v>
      </c>
      <c r="W62" s="10">
        <f t="shared" si="34"/>
        <v>1250</v>
      </c>
      <c r="X62" s="10">
        <f t="shared" si="34"/>
        <v>0</v>
      </c>
      <c r="Y62" s="10">
        <f t="shared" si="34"/>
        <v>0</v>
      </c>
      <c r="Z62" s="10">
        <f t="shared" si="34"/>
        <v>0</v>
      </c>
      <c r="AA62" s="10">
        <f t="shared" si="34"/>
        <v>0</v>
      </c>
      <c r="AB62" s="10">
        <f t="shared" si="34"/>
        <v>0</v>
      </c>
      <c r="AC62" s="10">
        <f>T62</f>
        <v>999</v>
      </c>
    </row>
    <row r="63" spans="2:29">
      <c r="B63" s="8" t="s">
        <v>92</v>
      </c>
      <c r="C63" s="94">
        <f>'Historical Financials'!C67</f>
        <v>1991</v>
      </c>
      <c r="D63" s="94">
        <f>'Historical Financials'!D67</f>
        <v>5964</v>
      </c>
      <c r="E63" s="94">
        <f>'Historical Financials'!E67</f>
        <v>10946</v>
      </c>
      <c r="F63" s="94">
        <f>'Historical Financials'!F67</f>
        <v>9703</v>
      </c>
      <c r="G63" s="94">
        <f>'Historical Financials'!G67</f>
        <v>8459</v>
      </c>
      <c r="H63" s="94">
        <f>'Historical Financials'!H67</f>
        <v>8463</v>
      </c>
      <c r="J63" s="94">
        <f>'Historical Financials'!J67</f>
        <v>9704</v>
      </c>
      <c r="K63" s="94">
        <f>'Historical Financials'!K67</f>
        <v>8456</v>
      </c>
      <c r="L63" s="94">
        <f>'Historical Financials'!L67</f>
        <v>8457</v>
      </c>
      <c r="M63" s="94">
        <f>'Historical Financials'!M67</f>
        <v>8459</v>
      </c>
      <c r="N63" s="94">
        <f>'Historical Financials'!N67</f>
        <v>8460</v>
      </c>
      <c r="O63" s="94">
        <f>'Historical Financials'!O67</f>
        <v>8461</v>
      </c>
      <c r="P63" s="94">
        <f>'Historical Financials'!P67</f>
        <v>8462</v>
      </c>
      <c r="Q63" s="94">
        <f>'Historical Financials'!Q67</f>
        <v>8463</v>
      </c>
      <c r="R63" s="94">
        <f>'Historical Financials'!R67</f>
        <v>8464</v>
      </c>
      <c r="S63" s="94">
        <f>'Historical Financials'!S67</f>
        <v>8466</v>
      </c>
      <c r="T63" s="94">
        <f>'Historical Financials'!T67</f>
        <v>7468</v>
      </c>
      <c r="V63" s="10">
        <f t="shared" si="34"/>
        <v>8459</v>
      </c>
      <c r="W63" s="10">
        <f t="shared" si="34"/>
        <v>8460</v>
      </c>
      <c r="X63" s="10">
        <f t="shared" si="34"/>
        <v>8461</v>
      </c>
      <c r="Y63" s="10">
        <f t="shared" si="34"/>
        <v>8462</v>
      </c>
      <c r="Z63" s="10">
        <f t="shared" si="34"/>
        <v>8463</v>
      </c>
      <c r="AA63" s="10">
        <f t="shared" si="34"/>
        <v>8464</v>
      </c>
      <c r="AB63" s="10">
        <f t="shared" si="34"/>
        <v>8466</v>
      </c>
      <c r="AC63" s="10">
        <f>T63</f>
        <v>7468</v>
      </c>
    </row>
    <row r="64" spans="2:29">
      <c r="C64" s="10"/>
      <c r="D64" s="10"/>
      <c r="E64" s="10"/>
      <c r="F64" s="10"/>
      <c r="G64" s="10"/>
      <c r="H64" s="10"/>
    </row>
    <row r="65" spans="1:29">
      <c r="B65" s="8" t="s">
        <v>185</v>
      </c>
      <c r="C65" s="167">
        <f>SUM(C62:C63)</f>
        <v>1991</v>
      </c>
      <c r="D65" s="167">
        <f t="shared" ref="D65:T65" si="35">SUM(D62:D63)</f>
        <v>6963</v>
      </c>
      <c r="E65" s="167">
        <f t="shared" si="35"/>
        <v>10946</v>
      </c>
      <c r="F65" s="167">
        <f t="shared" si="35"/>
        <v>10953</v>
      </c>
      <c r="G65" s="167">
        <f t="shared" si="35"/>
        <v>9709</v>
      </c>
      <c r="H65" s="167">
        <f t="shared" si="35"/>
        <v>8463</v>
      </c>
      <c r="J65" s="167">
        <f t="shared" si="35"/>
        <v>10954</v>
      </c>
      <c r="K65" s="167">
        <f t="shared" si="35"/>
        <v>9705</v>
      </c>
      <c r="L65" s="167">
        <f t="shared" si="35"/>
        <v>9706</v>
      </c>
      <c r="M65" s="167">
        <f t="shared" si="35"/>
        <v>9709</v>
      </c>
      <c r="N65" s="167">
        <f t="shared" si="35"/>
        <v>9710</v>
      </c>
      <c r="O65" s="167">
        <f t="shared" si="35"/>
        <v>8461</v>
      </c>
      <c r="P65" s="167">
        <f t="shared" si="35"/>
        <v>8462</v>
      </c>
      <c r="Q65" s="167">
        <f t="shared" si="35"/>
        <v>8463</v>
      </c>
      <c r="R65" s="167">
        <f t="shared" si="35"/>
        <v>8464</v>
      </c>
      <c r="S65" s="167">
        <f t="shared" si="35"/>
        <v>8466</v>
      </c>
      <c r="T65" s="167">
        <f t="shared" si="35"/>
        <v>8467</v>
      </c>
      <c r="V65" s="10">
        <f t="shared" ref="V65:AB65" si="36">M65</f>
        <v>9709</v>
      </c>
      <c r="W65" s="10">
        <f t="shared" si="36"/>
        <v>9710</v>
      </c>
      <c r="X65" s="10">
        <f t="shared" si="36"/>
        <v>8461</v>
      </c>
      <c r="Y65" s="10">
        <f t="shared" si="36"/>
        <v>8462</v>
      </c>
      <c r="Z65" s="10">
        <f t="shared" si="36"/>
        <v>8463</v>
      </c>
      <c r="AA65" s="10">
        <f t="shared" si="36"/>
        <v>8464</v>
      </c>
      <c r="AB65" s="10">
        <f t="shared" si="36"/>
        <v>8466</v>
      </c>
      <c r="AC65" s="10">
        <f t="shared" ref="AC65" si="37">T65</f>
        <v>8467</v>
      </c>
    </row>
    <row r="66" spans="1:29" ht="12.75" customHeight="1">
      <c r="B66" s="13" t="s">
        <v>17</v>
      </c>
      <c r="C66" s="14">
        <f>SUM(C65:C65)</f>
        <v>1991</v>
      </c>
      <c r="D66" s="14">
        <f>SUM(D65:D65)</f>
        <v>6963</v>
      </c>
      <c r="E66" s="14">
        <f>SUM(E65:E65)</f>
        <v>10946</v>
      </c>
      <c r="F66" s="14">
        <f>SUM(F65:F65)</f>
        <v>10953</v>
      </c>
      <c r="G66" s="14">
        <f>SUM(G65:G65)</f>
        <v>9709</v>
      </c>
      <c r="H66" s="14">
        <f>SUM(H65:H65)</f>
        <v>8463</v>
      </c>
      <c r="J66" s="14">
        <f>SUM(J65:J65)</f>
        <v>10954</v>
      </c>
      <c r="K66" s="14">
        <f>SUM(K65:K65)</f>
        <v>9705</v>
      </c>
      <c r="L66" s="14">
        <f>SUM(L65:L65)</f>
        <v>9706</v>
      </c>
      <c r="M66" s="14">
        <f>SUM(M65:M65)</f>
        <v>9709</v>
      </c>
      <c r="N66" s="14">
        <f>SUM(N65:N65)</f>
        <v>9710</v>
      </c>
      <c r="O66" s="14">
        <f>SUM(O65:O65)</f>
        <v>8461</v>
      </c>
      <c r="P66" s="14">
        <f>SUM(P65:P65)</f>
        <v>8462</v>
      </c>
      <c r="Q66" s="14">
        <f>SUM(Q65:Q65)</f>
        <v>8463</v>
      </c>
      <c r="R66" s="14">
        <f>SUM(R65:R65)</f>
        <v>8464</v>
      </c>
      <c r="S66" s="14">
        <f>SUM(S65:S65)</f>
        <v>8466</v>
      </c>
      <c r="T66" s="14">
        <f>SUM(T65:T65)</f>
        <v>8467</v>
      </c>
      <c r="V66" s="14" t="e">
        <f>SUM(#REF!)</f>
        <v>#REF!</v>
      </c>
      <c r="W66" s="14" t="e">
        <f>SUM(#REF!)</f>
        <v>#REF!</v>
      </c>
      <c r="X66" s="14" t="e">
        <f>SUM(#REF!)</f>
        <v>#REF!</v>
      </c>
      <c r="Y66" s="14">
        <f>SUM(Y65:Y65)</f>
        <v>8462</v>
      </c>
      <c r="Z66" s="14">
        <f>SUM(Z65:Z65)</f>
        <v>8463</v>
      </c>
      <c r="AA66" s="14">
        <f>SUM(AA65:AA65)</f>
        <v>8464</v>
      </c>
      <c r="AB66" s="14">
        <f>SUM(AB65:AB65)</f>
        <v>8466</v>
      </c>
      <c r="AC66" s="14">
        <f>SUM(AC65:AC65)</f>
        <v>8467</v>
      </c>
    </row>
    <row r="67" spans="1:29" ht="5.0999999999999996" customHeight="1"/>
    <row r="68" spans="1:29" ht="12.75" customHeight="1">
      <c r="B68" s="8" t="s">
        <v>42</v>
      </c>
      <c r="C68" s="94">
        <f>'Historical Financials'!C78</f>
        <v>12204</v>
      </c>
      <c r="D68" s="94">
        <f>'Historical Financials'!D78</f>
        <v>16893</v>
      </c>
      <c r="E68" s="94">
        <f>'Historical Financials'!E78</f>
        <v>26612</v>
      </c>
      <c r="F68" s="94">
        <f>'Historical Financials'!F78</f>
        <v>22101</v>
      </c>
      <c r="G68" s="94">
        <f>'Historical Financials'!G78</f>
        <v>42978</v>
      </c>
      <c r="H68" s="94">
        <f>'Historical Financials'!H78</f>
        <v>79327</v>
      </c>
      <c r="J68" s="94">
        <f>'Historical Financials'!J78</f>
        <v>24520</v>
      </c>
      <c r="K68" s="94">
        <f>'Historical Financials'!K78</f>
        <v>27501</v>
      </c>
      <c r="L68" s="94">
        <f>'Historical Financials'!L78</f>
        <v>33265</v>
      </c>
      <c r="M68" s="94">
        <f>'Historical Financials'!M78</f>
        <v>42978</v>
      </c>
      <c r="N68" s="94">
        <f>'Historical Financials'!N78</f>
        <v>49142</v>
      </c>
      <c r="O68" s="94">
        <f>'Historical Financials'!O78</f>
        <v>58157</v>
      </c>
      <c r="P68" s="94">
        <f>'Historical Financials'!P78</f>
        <v>65899</v>
      </c>
      <c r="Q68" s="94">
        <f>'Historical Financials'!Q78</f>
        <v>79327</v>
      </c>
      <c r="R68" s="94">
        <f>'Historical Financials'!R78</f>
        <v>83843</v>
      </c>
      <c r="S68" s="94">
        <f>'Historical Financials'!S78</f>
        <v>100131</v>
      </c>
      <c r="T68" s="94">
        <f>'Historical Financials'!T78</f>
        <v>118897</v>
      </c>
      <c r="V68" s="10">
        <f t="shared" ref="V68:AC68" si="38">M68</f>
        <v>42978</v>
      </c>
      <c r="W68" s="10">
        <f t="shared" si="38"/>
        <v>49142</v>
      </c>
      <c r="X68" s="10">
        <f t="shared" si="38"/>
        <v>58157</v>
      </c>
      <c r="Y68" s="140">
        <f t="shared" si="38"/>
        <v>65899</v>
      </c>
      <c r="Z68" s="140">
        <f t="shared" si="38"/>
        <v>79327</v>
      </c>
      <c r="AA68" s="140">
        <f t="shared" si="38"/>
        <v>83843</v>
      </c>
      <c r="AB68" s="140">
        <f t="shared" si="38"/>
        <v>100131</v>
      </c>
      <c r="AC68" s="140">
        <f t="shared" si="38"/>
        <v>118897</v>
      </c>
    </row>
    <row r="69" spans="1:29" ht="12.75" customHeight="1">
      <c r="B69" s="13" t="s">
        <v>43</v>
      </c>
      <c r="C69" s="14">
        <f t="shared" ref="C69:G69" si="39">SUM(C66:C68)</f>
        <v>14195</v>
      </c>
      <c r="D69" s="14">
        <f t="shared" si="39"/>
        <v>23856</v>
      </c>
      <c r="E69" s="14">
        <f t="shared" si="39"/>
        <v>37558</v>
      </c>
      <c r="F69" s="14">
        <f t="shared" si="39"/>
        <v>33054</v>
      </c>
      <c r="G69" s="14">
        <f t="shared" si="39"/>
        <v>52687</v>
      </c>
      <c r="H69" s="14">
        <f>SUM(H66:H68)</f>
        <v>87790</v>
      </c>
      <c r="J69" s="14">
        <f t="shared" ref="J69:O69" si="40">SUM(J66:J68)</f>
        <v>35474</v>
      </c>
      <c r="K69" s="14">
        <f t="shared" si="40"/>
        <v>37206</v>
      </c>
      <c r="L69" s="14">
        <f t="shared" si="40"/>
        <v>42971</v>
      </c>
      <c r="M69" s="14">
        <f t="shared" si="40"/>
        <v>52687</v>
      </c>
      <c r="N69" s="14">
        <f t="shared" si="40"/>
        <v>58852</v>
      </c>
      <c r="O69" s="14">
        <f t="shared" si="40"/>
        <v>66618</v>
      </c>
      <c r="P69" s="14">
        <f>SUM(P66:P68)</f>
        <v>74361</v>
      </c>
      <c r="Q69" s="14">
        <f>SUM(Q66:Q68)</f>
        <v>87790</v>
      </c>
      <c r="R69" s="14">
        <f>SUM(R66:R68)</f>
        <v>92307</v>
      </c>
      <c r="S69" s="14">
        <f>SUM(S66:S68)</f>
        <v>108597</v>
      </c>
      <c r="T69" s="14">
        <f>SUM(T66:T68)</f>
        <v>127364</v>
      </c>
      <c r="V69" s="14" t="e">
        <f t="shared" ref="V69:AA69" si="41">SUM(V66:V68)</f>
        <v>#REF!</v>
      </c>
      <c r="W69" s="14" t="e">
        <f t="shared" si="41"/>
        <v>#REF!</v>
      </c>
      <c r="X69" s="14" t="e">
        <f t="shared" si="41"/>
        <v>#REF!</v>
      </c>
      <c r="Y69" s="14">
        <f t="shared" si="41"/>
        <v>74361</v>
      </c>
      <c r="Z69" s="14">
        <f t="shared" si="41"/>
        <v>87790</v>
      </c>
      <c r="AA69" s="14">
        <f t="shared" si="41"/>
        <v>92307</v>
      </c>
      <c r="AB69" s="14">
        <f>SUM(AB66:AB68)</f>
        <v>108597</v>
      </c>
      <c r="AC69" s="14">
        <f>SUM(AC66:AC68)</f>
        <v>127364</v>
      </c>
    </row>
    <row r="70" spans="1:29" ht="5.0999999999999996" customHeight="1"/>
    <row r="71" spans="1:29" ht="12.75" customHeight="1">
      <c r="A71" s="5"/>
      <c r="B71" s="33" t="s">
        <v>63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5.0999999999999996" customHeight="1"/>
    <row r="73" spans="1:29" ht="12.75" customHeight="1">
      <c r="B73" s="31" t="s">
        <v>82</v>
      </c>
      <c r="C73" s="83">
        <f>C66/C29</f>
        <v>0.55832865956253508</v>
      </c>
      <c r="D73" s="83">
        <f>D66/D29</f>
        <v>1.0886491557223263</v>
      </c>
      <c r="E73" s="83">
        <f>E66/E29</f>
        <v>0.9078543584639629</v>
      </c>
      <c r="F73" s="83">
        <f>F66/F29</f>
        <v>1.3653702318623784</v>
      </c>
      <c r="G73" s="83">
        <f>G66/G29</f>
        <v>0.25737613657450364</v>
      </c>
      <c r="H73" s="83">
        <f>H66/H29</f>
        <v>9.6537956995380134E-2</v>
      </c>
      <c r="J73" s="168"/>
      <c r="K73" s="168"/>
      <c r="L73" s="168"/>
      <c r="M73" s="83">
        <f>SUM(M66/SUM(J29:M29))</f>
        <v>0.25737613657450364</v>
      </c>
      <c r="N73" s="83">
        <f>SUM(N66/SUM(K29:N29))</f>
        <v>0.18392589926694827</v>
      </c>
      <c r="O73" s="83">
        <f>SUM(O66/SUM(L29:O29))</f>
        <v>0.13018325050390042</v>
      </c>
      <c r="P73" s="83">
        <f>SUM(P66/SUM(M29:P29))</f>
        <v>0.11018229166666667</v>
      </c>
      <c r="Q73" s="83">
        <f>SUM(Q66/SUM(N29:Q29))</f>
        <v>9.6537956995380134E-2</v>
      </c>
      <c r="R73" s="83">
        <f>SUM(R66/SUM(O29:R29))</f>
        <v>9.0986294006987364E-2</v>
      </c>
      <c r="S73" s="83">
        <f>SUM(S66/SUM(P29:S29))</f>
        <v>8.1839800475610458E-2</v>
      </c>
      <c r="T73" s="83">
        <f>SUM(T66/SUM(Q29:T29))</f>
        <v>7.1641917332994881E-2</v>
      </c>
      <c r="U73" s="83"/>
      <c r="V73" s="83" t="e">
        <f>V66/V29</f>
        <v>#REF!</v>
      </c>
      <c r="W73" s="83" t="e">
        <f>W66/W29</f>
        <v>#REF!</v>
      </c>
      <c r="X73" s="83" t="e">
        <f>X66/X29</f>
        <v>#REF!</v>
      </c>
      <c r="Y73" s="83">
        <f>Y66/Y29</f>
        <v>0.11018229166666667</v>
      </c>
      <c r="Z73" s="83">
        <f>Z66/Z29</f>
        <v>9.6537956995380134E-2</v>
      </c>
      <c r="AA73" s="83">
        <f>AA66/AA29</f>
        <v>9.0986294006987364E-2</v>
      </c>
      <c r="AB73" s="83">
        <f>AB66/AB29</f>
        <v>8.1839800475610458E-2</v>
      </c>
      <c r="AC73" s="83">
        <f>AC66/AC29</f>
        <v>7.1641917332994881E-2</v>
      </c>
    </row>
    <row r="74" spans="1:29" ht="12.75" customHeight="1">
      <c r="B74" s="31" t="s">
        <v>83</v>
      </c>
      <c r="C74" s="83">
        <f>SUM(C66-C49)/C29</f>
        <v>-2.4971957375210319</v>
      </c>
      <c r="D74" s="83">
        <f>SUM(D66-D49)/D29</f>
        <v>0.95622263914946837</v>
      </c>
      <c r="E74" s="83">
        <f>SUM(E66-E49)/E29</f>
        <v>0.74280500953802775</v>
      </c>
      <c r="F74" s="83">
        <f>SUM(F66-F49)/F29</f>
        <v>0.94290700573423092</v>
      </c>
      <c r="G74" s="83">
        <f>SUM(G66-G49)/G29</f>
        <v>6.4390424939691965E-2</v>
      </c>
      <c r="H74" s="83">
        <f>SUM(H66-H49)/H29</f>
        <v>-1.4372896823133519E-3</v>
      </c>
      <c r="J74" s="168"/>
      <c r="K74" s="168"/>
      <c r="L74" s="168"/>
      <c r="M74" s="83">
        <f>SUM(M66-M49)/SUM(J29:M29)</f>
        <v>6.4390424939691965E-2</v>
      </c>
      <c r="N74" s="83">
        <f>SUM(N66-N49)/SUM(K29:N29)</f>
        <v>4.0213664690394557E-2</v>
      </c>
      <c r="O74" s="83">
        <f>SUM(O66-O49)/SUM(L29:O29)</f>
        <v>-1.5693997815149324E-3</v>
      </c>
      <c r="P74" s="83">
        <f>SUM(P66-P49)/SUM(M29:P29)</f>
        <v>-8.3984374999999997E-3</v>
      </c>
      <c r="Q74" s="83">
        <f>SUM(Q66-Q49)/SUM(N29:Q29)</f>
        <v>-1.4372896823133519E-3</v>
      </c>
      <c r="R74" s="83">
        <f>SUM(R66-R49)/SUM(O29:R29)</f>
        <v>-7.2776135447460366E-2</v>
      </c>
      <c r="S74" s="83">
        <f>SUM(S66-S49)/SUM(P29:S29)</f>
        <v>-3.0673008139512403E-2</v>
      </c>
      <c r="T74" s="83">
        <f>SUM(T66-T49)/SUM(Q29:T29)</f>
        <v>-2.5544696873545714E-2</v>
      </c>
      <c r="U74" s="83"/>
      <c r="V74" s="83" t="e">
        <f>SUM(V66-V49)/V29</f>
        <v>#REF!</v>
      </c>
      <c r="W74" s="83" t="e">
        <f>SUM(W66-W49)/W29</f>
        <v>#REF!</v>
      </c>
      <c r="X74" s="83" t="e">
        <f>SUM(X66-X49)/X29</f>
        <v>#REF!</v>
      </c>
      <c r="Y74" s="83">
        <f>SUM(Y66-Y49)/Y29</f>
        <v>-8.3984374999999997E-3</v>
      </c>
      <c r="Z74" s="83">
        <f>SUM(Z66-Z49)/Z29</f>
        <v>-1.4372896823133519E-3</v>
      </c>
      <c r="AA74" s="83">
        <f>SUM(AA66-AA49)/AA29</f>
        <v>-7.2776135447460366E-2</v>
      </c>
      <c r="AB74" s="83">
        <f>SUM(AB66-AB49)/AB29</f>
        <v>-3.0673008139512403E-2</v>
      </c>
      <c r="AC74" s="83">
        <f>SUM(AC66-AC49)/AC29</f>
        <v>-2.5544696873545714E-2</v>
      </c>
    </row>
    <row r="75" spans="1:29" ht="12.75" customHeight="1">
      <c r="B75" s="31" t="s">
        <v>84</v>
      </c>
      <c r="C75" s="83">
        <f>C29/-C34</f>
        <v>66.037037037037038</v>
      </c>
      <c r="D75" s="83">
        <f>D29/-D34</f>
        <v>46.347826086956523</v>
      </c>
      <c r="E75" s="83">
        <f>E29/-E34</f>
        <v>49.012195121951223</v>
      </c>
      <c r="F75" s="83">
        <f>F29/-F34</f>
        <v>31.58267716535433</v>
      </c>
      <c r="G75" s="83">
        <f>G29/-G34</f>
        <v>149.69444444444446</v>
      </c>
      <c r="H75" s="83">
        <f>H29/-H34</f>
        <v>356.36178861788619</v>
      </c>
      <c r="J75" s="168"/>
      <c r="K75" s="168"/>
      <c r="L75" s="168"/>
      <c r="M75" s="83" cm="1">
        <f t="array" ref="M75">SUM(J29:M29)/SUM(-J34:M34)</f>
        <v>146.78210116731518</v>
      </c>
      <c r="N75" s="83" cm="1">
        <f t="array" ref="N75">SUM(K29:N29)/SUM(-K34:N34)</f>
        <v>207.03137254901961</v>
      </c>
      <c r="O75" s="83" cm="1">
        <f t="array" ref="O75">SUM(L29:O29)/SUM(-L34:O34)</f>
        <v>258.9362549800797</v>
      </c>
      <c r="P75" s="83" cm="1">
        <f t="array" ref="P75">SUM(M29:P29)/SUM(-M34:P34)</f>
        <v>308.43373493975906</v>
      </c>
      <c r="Q75" s="83" cm="1">
        <f t="array" ref="Q75">SUM(N29:Q29)/SUM(-N34:Q34)</f>
        <v>354.91902834008096</v>
      </c>
      <c r="R75" s="83" cm="1">
        <f t="array" ref="R75">SUM(O29:R29)/SUM(-O34:R34)</f>
        <v>378.15040650406502</v>
      </c>
      <c r="S75" s="83" cm="1">
        <f t="array" ref="S75">SUM(P29:S29)/SUM(-P34:S34)</f>
        <v>418.80971659919027</v>
      </c>
      <c r="T75" s="83" cm="1">
        <f t="array" ref="T75">SUM(Q29:T29)/SUM(-Q34:T34)</f>
        <v>478.4817813765182</v>
      </c>
      <c r="U75" s="83"/>
      <c r="V75" s="83">
        <f>V29/-V34</f>
        <v>146.78210116731518</v>
      </c>
      <c r="W75" s="83">
        <f>W29/-W34</f>
        <v>207.03137254901961</v>
      </c>
      <c r="X75" s="83">
        <f>X29/-X34</f>
        <v>258.9362549800797</v>
      </c>
      <c r="Y75" s="83">
        <f>Y29/-Y34</f>
        <v>308.43373493975906</v>
      </c>
      <c r="Z75" s="83">
        <f>Z29/-Z34</f>
        <v>354.91902834008096</v>
      </c>
      <c r="AA75" s="83">
        <f>AA29/-AA34</f>
        <v>378.15040650406502</v>
      </c>
      <c r="AB75" s="83">
        <f>AB29/-AB34</f>
        <v>418.80971659919027</v>
      </c>
      <c r="AC75" s="83">
        <f>AC29/-AC34</f>
        <v>478.4817813765182</v>
      </c>
    </row>
    <row r="76" spans="1:29" ht="12.75" customHeight="1">
      <c r="B76" s="31" t="s">
        <v>85</v>
      </c>
      <c r="C76" s="83" cm="1">
        <f t="array" ref="C76">SUM(C29+C32)/SUM(-C33:C34)</f>
        <v>13.378260869565217</v>
      </c>
      <c r="D76" s="83" cm="1">
        <f t="array" ref="D76">SUM(D29+D32)/SUM(-D33:D34)</f>
        <v>13.612403100775193</v>
      </c>
      <c r="E76" s="83" cm="1">
        <f t="array" ref="E76">SUM(E29+E32)/SUM(-E33:E34)</f>
        <v>17.260124610591902</v>
      </c>
      <c r="F76" s="83" cm="1">
        <f t="array" ref="F76">SUM(F29+F32)/SUM(-F33:F34)</f>
        <v>3.732810615199035</v>
      </c>
      <c r="G76" s="83" cm="1">
        <f t="array" ref="G76">SUM(G29+G32)/SUM(-G33:G34)</f>
        <v>5.3895015438906047</v>
      </c>
      <c r="H76" s="83" cm="1">
        <f t="array" ref="H76">SUM(H29+H32)/SUM(-H33:H34)</f>
        <v>5.4952486331684458</v>
      </c>
      <c r="J76" s="168"/>
      <c r="K76" s="168"/>
      <c r="L76" s="168"/>
      <c r="M76" s="83" cm="1">
        <f t="array" ref="M76">SUM(J29:M29+J32:M32)/SUM(-J33:M34)</f>
        <v>5.3855421686746991</v>
      </c>
      <c r="N76" s="83" cm="1">
        <f t="array" ref="N76">SUM(K29:N29+K32:N32)/SUM(-K33:N34)</f>
        <v>7.5842151675485008</v>
      </c>
      <c r="O76" s="83" cm="1">
        <f t="array" ref="O76">SUM(L29:O29+L32:O32)/SUM(-L33:O34)</f>
        <v>4.5337978593491846</v>
      </c>
      <c r="P76" s="83" cm="1">
        <f t="array" ref="P76">SUM(M29:P29+M32:P32)/SUM(-M33:P34)</f>
        <v>5.6736328273968422</v>
      </c>
      <c r="Q76" s="83" cm="1">
        <f t="array" ref="Q76">SUM(N29:Q29+N32:Q32)/SUM(-N33:Q34)</f>
        <v>5.4948909860071593</v>
      </c>
      <c r="R76" s="83" cm="1">
        <f t="array" ref="R76">SUM(O29:R29+O32:R32)/SUM(-O33:R34)</f>
        <v>5.7882712835199168</v>
      </c>
      <c r="S76" s="83" cm="1">
        <f t="array" ref="S76">SUM(P29:S29+P32:S32)/SUM(-P33:S34)</f>
        <v>6.0141748640557218</v>
      </c>
      <c r="T76" s="83" cm="1">
        <f t="array" ref="T76">SUM(Q29:T29+Q32:T32)/SUM(-Q33:T34)</f>
        <v>6.3528413910093295</v>
      </c>
      <c r="U76" s="83"/>
      <c r="V76" s="83" cm="1">
        <f t="array" ref="V76">SUM(V29+V32)/SUM(-V33:V34)</f>
        <v>5.3855421686746991</v>
      </c>
      <c r="W76" s="83" cm="1">
        <f t="array" ref="W76">SUM(W29+W32)/SUM(-W33:W34)</f>
        <v>7.5842151675485008</v>
      </c>
      <c r="X76" s="83" cm="1">
        <f t="array" ref="X76">SUM(X29+X32)/SUM(-X33:X34)</f>
        <v>4.5337978593491846</v>
      </c>
      <c r="Y76" s="83" cm="1">
        <f t="array" ref="Y76">SUM(Y29+Y32)/SUM(-Y33:Y34)</f>
        <v>5.6736328273968422</v>
      </c>
      <c r="Z76" s="83" cm="1">
        <f t="array" ref="Z76">SUM(Z29+Z32)/SUM(-Z33:Z34)</f>
        <v>5.4948909860071593</v>
      </c>
      <c r="AA76" s="83" cm="1">
        <f t="array" ref="AA76">SUM(AA29+AA32)/SUM(-AA33:AA34)</f>
        <v>5.7882712835199168</v>
      </c>
      <c r="AB76" s="83" cm="1">
        <f t="array" ref="AB76">SUM(AB29+AB32)/SUM(-AB33:AB34)</f>
        <v>6.0141748640557218</v>
      </c>
      <c r="AC76" s="83" cm="1">
        <f t="array" ref="AC76">SUM(AC29+AC32)/SUM(-AC33:AC34)</f>
        <v>6.3528413910093295</v>
      </c>
    </row>
    <row r="77" spans="1:29" ht="12.75" customHeight="1">
      <c r="B77" s="31" t="s">
        <v>86</v>
      </c>
      <c r="C77" s="83" cm="1">
        <f t="array" ref="C77">SUM(C29)/SUM(-C32:C34)</f>
        <v>4.9596662030598049</v>
      </c>
      <c r="D77" s="83" cm="1">
        <f t="array" ref="D77">SUM(D29)/SUM(-D32:D34)</f>
        <v>4.221782178217822</v>
      </c>
      <c r="E77" s="83" cm="1">
        <f t="array" ref="E77">SUM(E29)/SUM(-E32:E34)</f>
        <v>7.4517923362175527</v>
      </c>
      <c r="F77" s="83" cm="1">
        <f t="array" ref="F77">SUM(F29)/SUM(-F32:F34)</f>
        <v>2.2979089086221713</v>
      </c>
      <c r="G77" s="83" cm="1">
        <f t="array" ref="G77">SUM(G29)/SUM(-G32:G34)</f>
        <v>4.7932655654383733</v>
      </c>
      <c r="H77" s="83" cm="1">
        <f t="array" ref="H77">SUM(H29)/SUM(-H32:H34)</f>
        <v>4.7131720430107524</v>
      </c>
      <c r="J77" s="168"/>
      <c r="K77" s="168"/>
      <c r="L77" s="168"/>
      <c r="M77" s="83" cm="1">
        <f t="array" ref="M77">SUM(J29:M29)/SUM(-J32:M34)</f>
        <v>4.7902222222222219</v>
      </c>
      <c r="N77" s="83" cm="1">
        <f t="array" ref="N77">SUM(K29:N29)/SUM(-K32:N34)</f>
        <v>6.6040780585439078</v>
      </c>
      <c r="O77" s="83" cm="1">
        <f t="array" ref="O77">SUM(L29:O29)/SUM(-L32:O34)</f>
        <v>4.1137413760364581</v>
      </c>
      <c r="P77" s="83" cm="1">
        <f t="array" ref="P77">SUM(M29:P29)/SUM(-M32:P34)</f>
        <v>4.9471785622262301</v>
      </c>
      <c r="Q77" s="83" cm="1">
        <f t="array" ref="Q77">SUM(N29:Q29)/SUM(-N32:Q34)</f>
        <v>4.7129186602870812</v>
      </c>
      <c r="R77" s="83" cm="1">
        <f t="array" ref="R77">SUM(O29:R29)/SUM(-O32:R34)</f>
        <v>4.7808099496351115</v>
      </c>
      <c r="S77" s="83" cm="1">
        <f t="array" ref="S77">SUM(P29:S29)/SUM(-P32:S34)</f>
        <v>4.8386734646148089</v>
      </c>
      <c r="T77" s="83" cm="1">
        <f t="array" ref="T77">SUM(Q29:T29)/SUM(-Q32:T34)</f>
        <v>5.0248724489795915</v>
      </c>
      <c r="U77" s="83"/>
      <c r="V77" s="83" cm="1">
        <f t="array" ref="V77">SUM(V29)/SUM(-V32:V34)</f>
        <v>4.7902222222222219</v>
      </c>
      <c r="W77" s="83" cm="1">
        <f t="array" ref="W77">SUM(W29)/SUM(-W32:W34)</f>
        <v>6.6040780585439078</v>
      </c>
      <c r="X77" s="83" cm="1">
        <f t="array" ref="X77">SUM(X29)/SUM(-X32:X34)</f>
        <v>4.1137413760364581</v>
      </c>
      <c r="Y77" s="83" cm="1">
        <f t="array" ref="Y77">SUM(Y29)/SUM(-Y32:Y34)</f>
        <v>4.9471785622262301</v>
      </c>
      <c r="Z77" s="83" cm="1">
        <f t="array" ref="Z77">SUM(Z29)/SUM(-Z32:Z34)</f>
        <v>4.7129186602870812</v>
      </c>
      <c r="AA77" s="83" cm="1">
        <f t="array" ref="AA77">SUM(AA29)/SUM(-AA32:AA34)</f>
        <v>4.7808099496351115</v>
      </c>
      <c r="AB77" s="83" cm="1">
        <f t="array" ref="AB77">SUM(AB29)/SUM(-AB32:AB34)</f>
        <v>4.8386734646148089</v>
      </c>
      <c r="AC77" s="83" cm="1">
        <f t="array" ref="AC77">SUM(AC29)/SUM(-AC32:AC34)</f>
        <v>5.0248724489795915</v>
      </c>
    </row>
    <row r="78" spans="1:29" ht="12.75" customHeight="1">
      <c r="B78" s="8" t="s">
        <v>44</v>
      </c>
      <c r="C78" s="83">
        <f t="shared" ref="C78" si="42">C69/C66</f>
        <v>7.1295831240582626</v>
      </c>
      <c r="D78" s="83">
        <f t="shared" ref="D78:H78" si="43">D69/D66</f>
        <v>3.4261094355881085</v>
      </c>
      <c r="E78" s="83">
        <f t="shared" si="43"/>
        <v>3.4312077471222366</v>
      </c>
      <c r="F78" s="83">
        <f t="shared" si="43"/>
        <v>3.0178033415502603</v>
      </c>
      <c r="G78" s="83">
        <f t="shared" si="43"/>
        <v>5.4266144814090023</v>
      </c>
      <c r="H78" s="83">
        <f>H69/H66</f>
        <v>10.373390050809405</v>
      </c>
      <c r="J78" s="168"/>
      <c r="K78" s="168"/>
      <c r="L78" s="168"/>
      <c r="M78" s="83">
        <f t="shared" ref="M78:S78" si="44">M69/M66</f>
        <v>5.4266144814090023</v>
      </c>
      <c r="N78" s="83">
        <f t="shared" si="44"/>
        <v>6.0609680741503604</v>
      </c>
      <c r="O78" s="83">
        <f t="shared" si="44"/>
        <v>7.8735374069258954</v>
      </c>
      <c r="P78" s="83">
        <f t="shared" si="44"/>
        <v>8.7876388560623973</v>
      </c>
      <c r="Q78" s="83">
        <f t="shared" si="44"/>
        <v>10.373390050809405</v>
      </c>
      <c r="R78" s="83">
        <f t="shared" si="44"/>
        <v>10.905836483931948</v>
      </c>
      <c r="S78" s="83">
        <f t="shared" si="44"/>
        <v>12.827427356484762</v>
      </c>
      <c r="T78" s="83">
        <f>T69/T66</f>
        <v>15.042399905515531</v>
      </c>
      <c r="U78" s="83"/>
      <c r="V78" s="83" t="e">
        <f t="shared" ref="V78:AA78" si="45">V69/V66</f>
        <v>#REF!</v>
      </c>
      <c r="W78" s="83" t="e">
        <f t="shared" si="45"/>
        <v>#REF!</v>
      </c>
      <c r="X78" s="83" t="e">
        <f t="shared" si="45"/>
        <v>#REF!</v>
      </c>
      <c r="Y78" s="83">
        <f t="shared" si="45"/>
        <v>8.7876388560623973</v>
      </c>
      <c r="Z78" s="83">
        <f t="shared" si="45"/>
        <v>10.373390050809405</v>
      </c>
      <c r="AA78" s="83">
        <f t="shared" si="45"/>
        <v>10.905836483931948</v>
      </c>
      <c r="AB78" s="83">
        <f>AB69/AB66</f>
        <v>12.827427356484762</v>
      </c>
      <c r="AC78" s="83">
        <f>AC69/AC66</f>
        <v>15.042399905515531</v>
      </c>
    </row>
    <row r="79" spans="1:29" ht="5.0999999999999996" customHeight="1" thickBot="1"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</row>
  </sheetData>
  <mergeCells count="1">
    <mergeCell ref="AE2:AE4"/>
  </mergeCells>
  <pageMargins left="0.7" right="0.7" top="0.75" bottom="0.75" header="0.3" footer="0.3"/>
  <ignoredErrors>
    <ignoredError sqref="I37:I38 AD38:AE38 I32:I34 I40 AD40:AE40 AD36 AD37 I36 AD39:AE39 I39 J37:S38 J39:T43 C39:H43" formulaRange="1"/>
    <ignoredError sqref="U24 AE36:AE37 U28 AE10:AE13 I15 I24:I25 AE15:AE17 U18 I18 J13:U13 I11:I13 K12:U12 N11:U11 U20 I20:I21 AE21:AE27 I28:I29 I22:AC23 I16:AC17 I26:AC27 I30:AC30 V12:AC13 Z11:AC11 I73:I78 U73:AC78 AE29:AE34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2026-01-01T23:58:47Z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