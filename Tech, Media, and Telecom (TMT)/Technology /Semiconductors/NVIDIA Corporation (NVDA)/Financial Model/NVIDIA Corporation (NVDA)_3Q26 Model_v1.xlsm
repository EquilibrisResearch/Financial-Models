
<file path=[Content_Types].xml><?xml version="1.0" encoding="utf-8"?>
<Types xmlns="http://schemas.openxmlformats.org/package/2006/content-types"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/>
  <workbookPr/>
  <mc:AlternateContent xmlns:mc="http://schemas.openxmlformats.org/markup-compatibility/2006">
    <mc:Choice Requires="x15">
      <x15ac:absPath xmlns:x15ac="http://schemas.microsoft.com/office/spreadsheetml/2010/11/ac" url="C:\Users\Felix\Downloads\"/>
    </mc:Choice>
  </mc:AlternateContent>
  <xr:revisionPtr revIDLastSave="0" documentId="8_{B652B186-6673-4772-93D0-DBD047CA261F}" xr6:coauthVersionLast="47" xr6:coauthVersionMax="47" xr10:uidLastSave="{00000000-0000-0000-0000-000000000000}"/>
  <bookViews>
    <workbookView xWindow="-120" yWindow="-120" windowWidth="29040" windowHeight="15720" xr2:uid="{BC9106CE-9107-4097-8948-317996376CB5}"/>
  </bookViews>
  <sheets>
    <sheet name="Historical Financials" sheetId="8" r:id="rId1"/>
    <sheet name="Revenue Drivers" sheetId="10" r:id="rId2"/>
    <sheet name="FCF" sheetId="9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41" i="10" l="1"/>
  <c r="V41" i="10"/>
  <c r="U41" i="10"/>
  <c r="T41" i="10"/>
  <c r="S41" i="10"/>
  <c r="R41" i="10"/>
  <c r="Q41" i="10"/>
  <c r="P41" i="10"/>
  <c r="O41" i="10"/>
  <c r="N41" i="10"/>
  <c r="M41" i="10"/>
  <c r="L41" i="10"/>
  <c r="K41" i="10"/>
  <c r="I41" i="10"/>
  <c r="H41" i="10"/>
  <c r="G41" i="10"/>
  <c r="F41" i="10"/>
  <c r="E41" i="10"/>
  <c r="D41" i="10"/>
  <c r="C41" i="10"/>
  <c r="AI41" i="10"/>
  <c r="AH41" i="10"/>
  <c r="AG41" i="10"/>
  <c r="AF41" i="10"/>
  <c r="AE41" i="10"/>
  <c r="AD41" i="10"/>
  <c r="AC41" i="10"/>
  <c r="AB41" i="10"/>
  <c r="AA41" i="10"/>
  <c r="V39" i="10"/>
  <c r="V38" i="10"/>
  <c r="V37" i="10"/>
  <c r="V36" i="10"/>
  <c r="V35" i="10"/>
  <c r="R39" i="10"/>
  <c r="AG39" i="10" s="1"/>
  <c r="R38" i="10"/>
  <c r="R37" i="10"/>
  <c r="AH37" i="10" s="1"/>
  <c r="R36" i="10"/>
  <c r="AE36" i="10" s="1"/>
  <c r="R35" i="10"/>
  <c r="N39" i="10"/>
  <c r="N38" i="10"/>
  <c r="AD38" i="10" s="1"/>
  <c r="N37" i="10"/>
  <c r="AC37" i="10" s="1"/>
  <c r="N36" i="10"/>
  <c r="AC36" i="10" s="1"/>
  <c r="N35" i="10"/>
  <c r="T45" i="10"/>
  <c r="AI45" i="10" s="1"/>
  <c r="O45" i="10"/>
  <c r="AD45" i="10" s="1"/>
  <c r="L45" i="10"/>
  <c r="AA45" i="10" s="1"/>
  <c r="I45" i="10"/>
  <c r="H45" i="10"/>
  <c r="C45" i="10"/>
  <c r="B45" i="10"/>
  <c r="AJ37" i="10"/>
  <c r="AB37" i="10"/>
  <c r="C40" i="10"/>
  <c r="C46" i="10" s="1"/>
  <c r="C26" i="10"/>
  <c r="C27" i="10" s="1"/>
  <c r="C14" i="10"/>
  <c r="C20" i="10" s="1"/>
  <c r="C4" i="10"/>
  <c r="C3" i="10"/>
  <c r="B19" i="10"/>
  <c r="AF11" i="10"/>
  <c r="V11" i="10"/>
  <c r="AJ11" i="10" s="1"/>
  <c r="AH11" i="10"/>
  <c r="AB11" i="10"/>
  <c r="V25" i="10"/>
  <c r="V24" i="10"/>
  <c r="R25" i="10"/>
  <c r="AH25" i="10" s="1"/>
  <c r="R24" i="10"/>
  <c r="N25" i="10"/>
  <c r="AD25" i="10" s="1"/>
  <c r="N24" i="10"/>
  <c r="AD24" i="10" s="1"/>
  <c r="B30" i="10"/>
  <c r="B29" i="10"/>
  <c r="Y26" i="10"/>
  <c r="Y27" i="10" s="1"/>
  <c r="X26" i="10"/>
  <c r="X27" i="10" s="1"/>
  <c r="W26" i="10"/>
  <c r="W27" i="10" s="1"/>
  <c r="U26" i="10"/>
  <c r="U27" i="10" s="1"/>
  <c r="T26" i="10"/>
  <c r="T27" i="10" s="1"/>
  <c r="S26" i="10"/>
  <c r="S27" i="10" s="1"/>
  <c r="Q26" i="10"/>
  <c r="Q27" i="10" s="1"/>
  <c r="P26" i="10"/>
  <c r="P27" i="10" s="1"/>
  <c r="O26" i="10"/>
  <c r="O27" i="10" s="1"/>
  <c r="M26" i="10"/>
  <c r="M27" i="10" s="1"/>
  <c r="L26" i="10"/>
  <c r="L27" i="10" s="1"/>
  <c r="K26" i="10"/>
  <c r="K27" i="10" s="1"/>
  <c r="I26" i="10"/>
  <c r="I27" i="10" s="1"/>
  <c r="H26" i="10"/>
  <c r="H27" i="10" s="1"/>
  <c r="G26" i="10"/>
  <c r="G27" i="10" s="1"/>
  <c r="F26" i="10"/>
  <c r="F27" i="10" s="1"/>
  <c r="E26" i="10"/>
  <c r="E27" i="10" s="1"/>
  <c r="D26" i="10"/>
  <c r="D27" i="10" s="1"/>
  <c r="Y40" i="10"/>
  <c r="Y47" i="10" s="1"/>
  <c r="X40" i="10"/>
  <c r="X47" i="10" s="1"/>
  <c r="Y14" i="10"/>
  <c r="Y17" i="10" s="1"/>
  <c r="X14" i="10"/>
  <c r="X18" i="10" s="1"/>
  <c r="Y4" i="10"/>
  <c r="X4" i="10"/>
  <c r="Y3" i="10"/>
  <c r="X3" i="10"/>
  <c r="W4" i="10"/>
  <c r="AJ4" i="10" s="1"/>
  <c r="V4" i="10"/>
  <c r="AI4" i="10" s="1"/>
  <c r="U4" i="10"/>
  <c r="AH4" i="10" s="1"/>
  <c r="T4" i="10"/>
  <c r="AG4" i="10" s="1"/>
  <c r="S4" i="10"/>
  <c r="AF4" i="10" s="1"/>
  <c r="R4" i="10"/>
  <c r="AE4" i="10" s="1"/>
  <c r="Q4" i="10"/>
  <c r="AD4" i="10" s="1"/>
  <c r="P4" i="10"/>
  <c r="AC4" i="10" s="1"/>
  <c r="O4" i="10"/>
  <c r="AB4" i="10" s="1"/>
  <c r="N4" i="10"/>
  <c r="AA4" i="10" s="1"/>
  <c r="M4" i="10"/>
  <c r="L4" i="10"/>
  <c r="K4" i="10"/>
  <c r="W3" i="10"/>
  <c r="AJ3" i="10" s="1"/>
  <c r="V3" i="10"/>
  <c r="AI3" i="10" s="1"/>
  <c r="U3" i="10"/>
  <c r="AH3" i="10" s="1"/>
  <c r="T3" i="10"/>
  <c r="AG3" i="10" s="1"/>
  <c r="S3" i="10"/>
  <c r="AF3" i="10" s="1"/>
  <c r="R3" i="10"/>
  <c r="AE3" i="10" s="1"/>
  <c r="Q3" i="10"/>
  <c r="AD3" i="10" s="1"/>
  <c r="P3" i="10"/>
  <c r="AC3" i="10" s="1"/>
  <c r="O3" i="10"/>
  <c r="AB3" i="10" s="1"/>
  <c r="N3" i="10"/>
  <c r="AA3" i="10" s="1"/>
  <c r="M3" i="10"/>
  <c r="L3" i="10"/>
  <c r="K3" i="10"/>
  <c r="H4" i="10"/>
  <c r="G4" i="10"/>
  <c r="F4" i="10"/>
  <c r="E4" i="10"/>
  <c r="D4" i="10"/>
  <c r="H3" i="10"/>
  <c r="G3" i="10"/>
  <c r="F3" i="10"/>
  <c r="E3" i="10"/>
  <c r="D3" i="10"/>
  <c r="I3" i="10"/>
  <c r="I4" i="10"/>
  <c r="E40" i="10"/>
  <c r="E47" i="10" s="1"/>
  <c r="D40" i="10"/>
  <c r="D47" i="10" s="1"/>
  <c r="E14" i="10"/>
  <c r="E18" i="10" s="1"/>
  <c r="D14" i="10"/>
  <c r="D20" i="10" s="1"/>
  <c r="B2" i="10"/>
  <c r="B47" i="10"/>
  <c r="B46" i="10"/>
  <c r="B44" i="10"/>
  <c r="B43" i="10"/>
  <c r="W40" i="10"/>
  <c r="W47" i="10" s="1"/>
  <c r="U40" i="10"/>
  <c r="U46" i="10" s="1"/>
  <c r="AJ46" i="10" s="1"/>
  <c r="T40" i="10"/>
  <c r="T47" i="10" s="1"/>
  <c r="AI47" i="10" s="1"/>
  <c r="S40" i="10"/>
  <c r="S46" i="10" s="1"/>
  <c r="AH46" i="10" s="1"/>
  <c r="Q40" i="10"/>
  <c r="Q47" i="10" s="1"/>
  <c r="AF47" i="10" s="1"/>
  <c r="P40" i="10"/>
  <c r="P47" i="10" s="1"/>
  <c r="AE47" i="10" s="1"/>
  <c r="O40" i="10"/>
  <c r="O47" i="10" s="1"/>
  <c r="AD47" i="10" s="1"/>
  <c r="M40" i="10"/>
  <c r="M46" i="10" s="1"/>
  <c r="AB46" i="10" s="1"/>
  <c r="L40" i="10"/>
  <c r="L47" i="10" s="1"/>
  <c r="AA47" i="10" s="1"/>
  <c r="K40" i="10"/>
  <c r="K46" i="10" s="1"/>
  <c r="I40" i="10"/>
  <c r="I46" i="10" s="1"/>
  <c r="H40" i="10"/>
  <c r="H47" i="10" s="1"/>
  <c r="G40" i="10"/>
  <c r="G47" i="10" s="1"/>
  <c r="F40" i="10"/>
  <c r="F47" i="10" s="1"/>
  <c r="AH39" i="10"/>
  <c r="AD39" i="10"/>
  <c r="AC39" i="10"/>
  <c r="AB39" i="10"/>
  <c r="AA39" i="10"/>
  <c r="AJ38" i="10"/>
  <c r="AH38" i="10"/>
  <c r="AJ35" i="10"/>
  <c r="AH35" i="10"/>
  <c r="AB35" i="10"/>
  <c r="B21" i="10"/>
  <c r="B20" i="10"/>
  <c r="B18" i="10"/>
  <c r="B17" i="10"/>
  <c r="W14" i="10"/>
  <c r="W15" i="10" s="1"/>
  <c r="U14" i="10"/>
  <c r="U21" i="10" s="1"/>
  <c r="AJ21" i="10" s="1"/>
  <c r="T14" i="10"/>
  <c r="T20" i="10" s="1"/>
  <c r="AI20" i="10" s="1"/>
  <c r="S14" i="10"/>
  <c r="S18" i="10" s="1"/>
  <c r="AH18" i="10" s="1"/>
  <c r="Q14" i="10"/>
  <c r="Q20" i="10" s="1"/>
  <c r="AF20" i="10" s="1"/>
  <c r="P14" i="10"/>
  <c r="P21" i="10" s="1"/>
  <c r="AE21" i="10" s="1"/>
  <c r="O14" i="10"/>
  <c r="O20" i="10" s="1"/>
  <c r="AD20" i="10" s="1"/>
  <c r="M14" i="10"/>
  <c r="M21" i="10" s="1"/>
  <c r="AB21" i="10" s="1"/>
  <c r="L14" i="10"/>
  <c r="L20" i="10" s="1"/>
  <c r="AA20" i="10" s="1"/>
  <c r="K14" i="10"/>
  <c r="K21" i="10" s="1"/>
  <c r="I14" i="10"/>
  <c r="I21" i="10" s="1"/>
  <c r="H14" i="10"/>
  <c r="H20" i="10" s="1"/>
  <c r="G14" i="10"/>
  <c r="G21" i="10" s="1"/>
  <c r="F14" i="10"/>
  <c r="F20" i="10" s="1"/>
  <c r="V13" i="10"/>
  <c r="AJ13" i="10" s="1"/>
  <c r="AG13" i="10"/>
  <c r="AD13" i="10"/>
  <c r="V12" i="10"/>
  <c r="AI12" i="10" s="1"/>
  <c r="AH12" i="10"/>
  <c r="AD12" i="10"/>
  <c r="V10" i="10"/>
  <c r="AI10" i="10" s="1"/>
  <c r="AH10" i="10"/>
  <c r="AA10" i="10"/>
  <c r="V9" i="10"/>
  <c r="AF9" i="10"/>
  <c r="AA9" i="10"/>
  <c r="Y45" i="10" l="1"/>
  <c r="W41" i="10"/>
  <c r="W45" i="10"/>
  <c r="X41" i="10"/>
  <c r="X45" i="10"/>
  <c r="AF39" i="10"/>
  <c r="AE39" i="10"/>
  <c r="D45" i="10"/>
  <c r="E45" i="10"/>
  <c r="F45" i="10"/>
  <c r="G45" i="10"/>
  <c r="P45" i="10"/>
  <c r="AE45" i="10" s="1"/>
  <c r="Q45" i="10"/>
  <c r="AF45" i="10" s="1"/>
  <c r="K45" i="10"/>
  <c r="S45" i="10"/>
  <c r="AH45" i="10" s="1"/>
  <c r="M45" i="10"/>
  <c r="AB45" i="10" s="1"/>
  <c r="U45" i="10"/>
  <c r="AJ45" i="10" s="1"/>
  <c r="AF37" i="10"/>
  <c r="AD37" i="10"/>
  <c r="AE37" i="10"/>
  <c r="AG37" i="10"/>
  <c r="AA37" i="10"/>
  <c r="AI37" i="10"/>
  <c r="M29" i="10"/>
  <c r="AB29" i="10" s="1"/>
  <c r="Q29" i="10"/>
  <c r="AF29" i="10" s="1"/>
  <c r="I29" i="10"/>
  <c r="T29" i="10"/>
  <c r="C29" i="10"/>
  <c r="U29" i="10"/>
  <c r="F29" i="10"/>
  <c r="O30" i="10"/>
  <c r="AD30" i="10" s="1"/>
  <c r="C30" i="10"/>
  <c r="P30" i="10"/>
  <c r="D30" i="10"/>
  <c r="W30" i="10"/>
  <c r="L29" i="10"/>
  <c r="AA29" i="10" s="1"/>
  <c r="X30" i="10"/>
  <c r="E30" i="10"/>
  <c r="E29" i="10"/>
  <c r="G30" i="10"/>
  <c r="P29" i="10"/>
  <c r="X29" i="10"/>
  <c r="H30" i="10"/>
  <c r="S30" i="10"/>
  <c r="AH30" i="10" s="1"/>
  <c r="G29" i="10"/>
  <c r="K29" i="10"/>
  <c r="L30" i="10"/>
  <c r="AA30" i="10" s="1"/>
  <c r="T30" i="10"/>
  <c r="AI30" i="10" s="1"/>
  <c r="I30" i="10"/>
  <c r="Y29" i="10"/>
  <c r="H29" i="10"/>
  <c r="K30" i="10"/>
  <c r="S29" i="10"/>
  <c r="M30" i="10"/>
  <c r="U30" i="10"/>
  <c r="AJ30" i="10" s="1"/>
  <c r="D29" i="10"/>
  <c r="F30" i="10"/>
  <c r="O29" i="10"/>
  <c r="W29" i="10"/>
  <c r="Q30" i="10"/>
  <c r="AF30" i="10" s="1"/>
  <c r="Y30" i="10"/>
  <c r="C44" i="10"/>
  <c r="C47" i="10"/>
  <c r="X19" i="10"/>
  <c r="W19" i="10"/>
  <c r="Y19" i="10"/>
  <c r="C43" i="10"/>
  <c r="C15" i="10"/>
  <c r="C17" i="10"/>
  <c r="C18" i="10"/>
  <c r="C19" i="10"/>
  <c r="C21" i="10"/>
  <c r="O19" i="10"/>
  <c r="AD19" i="10" s="1"/>
  <c r="E19" i="10"/>
  <c r="F19" i="10"/>
  <c r="G19" i="10"/>
  <c r="H19" i="10"/>
  <c r="I19" i="10"/>
  <c r="D19" i="10"/>
  <c r="M19" i="10"/>
  <c r="AB19" i="10" s="1"/>
  <c r="U19" i="10"/>
  <c r="AJ19" i="10" s="1"/>
  <c r="P19" i="10"/>
  <c r="AE19" i="10" s="1"/>
  <c r="Q19" i="10"/>
  <c r="AF19" i="10" s="1"/>
  <c r="K19" i="10"/>
  <c r="S19" i="10"/>
  <c r="AH19" i="10" s="1"/>
  <c r="L19" i="10"/>
  <c r="AA19" i="10" s="1"/>
  <c r="T19" i="10"/>
  <c r="AI19" i="10" s="1"/>
  <c r="AC11" i="10"/>
  <c r="AD11" i="10"/>
  <c r="AE11" i="10"/>
  <c r="AG11" i="10"/>
  <c r="AA11" i="10"/>
  <c r="AI11" i="10"/>
  <c r="AF25" i="10"/>
  <c r="AD26" i="10"/>
  <c r="R26" i="10"/>
  <c r="R27" i="10" s="1"/>
  <c r="AD29" i="10"/>
  <c r="AH29" i="10"/>
  <c r="AE24" i="10"/>
  <c r="AA25" i="10"/>
  <c r="AI29" i="10"/>
  <c r="V26" i="10"/>
  <c r="AB25" i="10"/>
  <c r="AJ29" i="10"/>
  <c r="AA24" i="10"/>
  <c r="AB30" i="10"/>
  <c r="AC24" i="10"/>
  <c r="AI25" i="10"/>
  <c r="AJ25" i="10"/>
  <c r="AE30" i="10"/>
  <c r="AH24" i="10"/>
  <c r="AH26" i="10" s="1"/>
  <c r="AE29" i="10"/>
  <c r="AI24" i="10"/>
  <c r="AB24" i="10"/>
  <c r="AJ24" i="10"/>
  <c r="AC25" i="10"/>
  <c r="N26" i="10"/>
  <c r="AE25" i="10"/>
  <c r="AF24" i="10"/>
  <c r="AG25" i="10"/>
  <c r="AG24" i="10"/>
  <c r="AI38" i="10"/>
  <c r="I15" i="10"/>
  <c r="M15" i="10"/>
  <c r="U15" i="10"/>
  <c r="X46" i="10"/>
  <c r="L15" i="10"/>
  <c r="T15" i="10"/>
  <c r="D15" i="10"/>
  <c r="AE13" i="10"/>
  <c r="E44" i="10"/>
  <c r="E15" i="10"/>
  <c r="O15" i="10"/>
  <c r="D46" i="10"/>
  <c r="F15" i="10"/>
  <c r="P15" i="10"/>
  <c r="X15" i="10"/>
  <c r="G15" i="10"/>
  <c r="Q15" i="10"/>
  <c r="Y15" i="10"/>
  <c r="H15" i="10"/>
  <c r="X43" i="10"/>
  <c r="K15" i="10"/>
  <c r="S15" i="10"/>
  <c r="AF13" i="10"/>
  <c r="AB10" i="10"/>
  <c r="Y18" i="10"/>
  <c r="Y20" i="10"/>
  <c r="X21" i="10"/>
  <c r="X44" i="10"/>
  <c r="Y43" i="10"/>
  <c r="Y21" i="10"/>
  <c r="Y44" i="10"/>
  <c r="Y46" i="10"/>
  <c r="X20" i="10"/>
  <c r="X17" i="10"/>
  <c r="O21" i="10"/>
  <c r="AD21" i="10" s="1"/>
  <c r="W21" i="10"/>
  <c r="D18" i="10"/>
  <c r="AB9" i="10"/>
  <c r="AH13" i="10"/>
  <c r="D17" i="10"/>
  <c r="AC9" i="10"/>
  <c r="W18" i="10"/>
  <c r="AD36" i="10"/>
  <c r="AD9" i="10"/>
  <c r="AF12" i="10"/>
  <c r="AF36" i="10"/>
  <c r="D21" i="10"/>
  <c r="G20" i="10"/>
  <c r="AH36" i="10"/>
  <c r="AH40" i="10" s="1"/>
  <c r="I20" i="10"/>
  <c r="E43" i="10"/>
  <c r="AI35" i="10"/>
  <c r="D44" i="10"/>
  <c r="E20" i="10"/>
  <c r="D43" i="10"/>
  <c r="E21" i="10"/>
  <c r="E17" i="10"/>
  <c r="E46" i="10"/>
  <c r="G17" i="10"/>
  <c r="AC10" i="10"/>
  <c r="I17" i="10"/>
  <c r="P20" i="10"/>
  <c r="AE20" i="10" s="1"/>
  <c r="F43" i="10"/>
  <c r="AD10" i="10"/>
  <c r="W17" i="10"/>
  <c r="S20" i="10"/>
  <c r="AH20" i="10" s="1"/>
  <c r="AD35" i="10"/>
  <c r="Q43" i="10"/>
  <c r="AF43" i="10" s="1"/>
  <c r="W20" i="10"/>
  <c r="AF35" i="10"/>
  <c r="I18" i="10"/>
  <c r="AE12" i="10"/>
  <c r="AI13" i="10"/>
  <c r="S21" i="10"/>
  <c r="AH21" i="10" s="1"/>
  <c r="AC38" i="10"/>
  <c r="AJ10" i="10"/>
  <c r="O17" i="10"/>
  <c r="AD17" i="10" s="1"/>
  <c r="K18" i="10"/>
  <c r="F21" i="10"/>
  <c r="H43" i="10"/>
  <c r="F46" i="10"/>
  <c r="K17" i="10"/>
  <c r="AH9" i="10"/>
  <c r="P17" i="10"/>
  <c r="AE17" i="10" s="1"/>
  <c r="O18" i="10"/>
  <c r="AD18" i="10" s="1"/>
  <c r="K20" i="10"/>
  <c r="AA35" i="10"/>
  <c r="AA38" i="10"/>
  <c r="L43" i="10"/>
  <c r="AA43" i="10" s="1"/>
  <c r="L46" i="10"/>
  <c r="AA46" i="10" s="1"/>
  <c r="AA13" i="10"/>
  <c r="S17" i="10"/>
  <c r="AH17" i="10" s="1"/>
  <c r="AC35" i="10"/>
  <c r="AB38" i="10"/>
  <c r="O43" i="10"/>
  <c r="AD43" i="10" s="1"/>
  <c r="O46" i="10"/>
  <c r="AD46" i="10" s="1"/>
  <c r="T46" i="10"/>
  <c r="AI46" i="10" s="1"/>
  <c r="F17" i="10"/>
  <c r="AE35" i="10"/>
  <c r="T43" i="10"/>
  <c r="AI43" i="10" s="1"/>
  <c r="W46" i="10"/>
  <c r="W43" i="10"/>
  <c r="AJ12" i="10"/>
  <c r="F18" i="10"/>
  <c r="AG9" i="10"/>
  <c r="M17" i="10"/>
  <c r="AB17" i="10" s="1"/>
  <c r="U17" i="10"/>
  <c r="AJ17" i="10" s="1"/>
  <c r="H18" i="10"/>
  <c r="Q18" i="10"/>
  <c r="AF18" i="10" s="1"/>
  <c r="M20" i="10"/>
  <c r="AB20" i="10" s="1"/>
  <c r="U20" i="10"/>
  <c r="AJ20" i="10" s="1"/>
  <c r="H21" i="10"/>
  <c r="Q21" i="10"/>
  <c r="AF21" i="10" s="1"/>
  <c r="R40" i="10"/>
  <c r="I44" i="10"/>
  <c r="I47" i="10"/>
  <c r="AG36" i="10"/>
  <c r="K44" i="10"/>
  <c r="S44" i="10"/>
  <c r="AH44" i="10" s="1"/>
  <c r="K47" i="10"/>
  <c r="S47" i="10"/>
  <c r="AH47" i="10" s="1"/>
  <c r="AI9" i="10"/>
  <c r="AG12" i="10"/>
  <c r="AB13" i="10"/>
  <c r="N14" i="10"/>
  <c r="V14" i="10"/>
  <c r="G43" i="10"/>
  <c r="P43" i="10"/>
  <c r="AE43" i="10" s="1"/>
  <c r="L44" i="10"/>
  <c r="AA44" i="10" s="1"/>
  <c r="T44" i="10"/>
  <c r="AI44" i="10" s="1"/>
  <c r="G46" i="10"/>
  <c r="P46" i="10"/>
  <c r="AE46" i="10" s="1"/>
  <c r="AJ9" i="10"/>
  <c r="AE10" i="10"/>
  <c r="AC13" i="10"/>
  <c r="L18" i="10"/>
  <c r="AA18" i="10" s="1"/>
  <c r="T18" i="10"/>
  <c r="AI18" i="10" s="1"/>
  <c r="L21" i="10"/>
  <c r="AA21" i="10" s="1"/>
  <c r="T21" i="10"/>
  <c r="AI21" i="10" s="1"/>
  <c r="AA36" i="10"/>
  <c r="AI36" i="10"/>
  <c r="AI39" i="10"/>
  <c r="M44" i="10"/>
  <c r="AB44" i="10" s="1"/>
  <c r="U44" i="10"/>
  <c r="AJ44" i="10" s="1"/>
  <c r="H46" i="10"/>
  <c r="Q46" i="10"/>
  <c r="AF46" i="10" s="1"/>
  <c r="M47" i="10"/>
  <c r="AB47" i="10" s="1"/>
  <c r="U47" i="10"/>
  <c r="AJ47" i="10" s="1"/>
  <c r="AF10" i="10"/>
  <c r="AA12" i="10"/>
  <c r="H17" i="10"/>
  <c r="Q17" i="10"/>
  <c r="AF17" i="10" s="1"/>
  <c r="M18" i="10"/>
  <c r="AB18" i="10" s="1"/>
  <c r="U18" i="10"/>
  <c r="AJ18" i="10" s="1"/>
  <c r="AG35" i="10"/>
  <c r="AB36" i="10"/>
  <c r="AJ36" i="10"/>
  <c r="AE38" i="10"/>
  <c r="AJ39" i="10"/>
  <c r="N40" i="10"/>
  <c r="N45" i="10" s="1"/>
  <c r="AC45" i="10" s="1"/>
  <c r="V40" i="10"/>
  <c r="I43" i="10"/>
  <c r="AG10" i="10"/>
  <c r="AB12" i="10"/>
  <c r="AF38" i="10"/>
  <c r="K43" i="10"/>
  <c r="S43" i="10"/>
  <c r="AH43" i="10" s="1"/>
  <c r="F44" i="10"/>
  <c r="O44" i="10"/>
  <c r="AD44" i="10" s="1"/>
  <c r="W44" i="10"/>
  <c r="AE9" i="10"/>
  <c r="AC12" i="10"/>
  <c r="R14" i="10"/>
  <c r="AG38" i="10"/>
  <c r="G44" i="10"/>
  <c r="P44" i="10"/>
  <c r="AE44" i="10" s="1"/>
  <c r="L17" i="10"/>
  <c r="AA17" i="10" s="1"/>
  <c r="T17" i="10"/>
  <c r="AI17" i="10" s="1"/>
  <c r="G18" i="10"/>
  <c r="P18" i="10"/>
  <c r="AE18" i="10" s="1"/>
  <c r="M43" i="10"/>
  <c r="AB43" i="10" s="1"/>
  <c r="U43" i="10"/>
  <c r="AJ43" i="10" s="1"/>
  <c r="H44" i="10"/>
  <c r="Q44" i="10"/>
  <c r="AF44" i="10" s="1"/>
  <c r="V44" i="10" l="1"/>
  <c r="V45" i="10"/>
  <c r="R43" i="10"/>
  <c r="AG43" i="10" s="1"/>
  <c r="R45" i="10"/>
  <c r="AG45" i="10" s="1"/>
  <c r="V27" i="10"/>
  <c r="V30" i="10"/>
  <c r="V29" i="10"/>
  <c r="R29" i="10"/>
  <c r="AG29" i="10" s="1"/>
  <c r="R30" i="10"/>
  <c r="AG30" i="10" s="1"/>
  <c r="N27" i="10"/>
  <c r="N30" i="10"/>
  <c r="AC30" i="10" s="1"/>
  <c r="N29" i="10"/>
  <c r="AC29" i="10" s="1"/>
  <c r="N19" i="10"/>
  <c r="AC19" i="10" s="1"/>
  <c r="R19" i="10"/>
  <c r="AG19" i="10" s="1"/>
  <c r="V15" i="10"/>
  <c r="V19" i="10"/>
  <c r="AF26" i="10"/>
  <c r="AF27" i="10" s="1"/>
  <c r="AA26" i="10"/>
  <c r="AA27" i="10" s="1"/>
  <c r="AH27" i="10"/>
  <c r="AD27" i="10"/>
  <c r="AC26" i="10"/>
  <c r="AC27" i="10" s="1"/>
  <c r="AB26" i="10"/>
  <c r="AB27" i="10" s="1"/>
  <c r="AE26" i="10"/>
  <c r="AE27" i="10" s="1"/>
  <c r="AJ26" i="10"/>
  <c r="AJ27" i="10" s="1"/>
  <c r="AI26" i="10"/>
  <c r="AI27" i="10" s="1"/>
  <c r="R15" i="10"/>
  <c r="AG26" i="10"/>
  <c r="AG27" i="10" s="1"/>
  <c r="AA14" i="10"/>
  <c r="AA15" i="10" s="1"/>
  <c r="AB40" i="10"/>
  <c r="AH14" i="10"/>
  <c r="AH15" i="10" s="1"/>
  <c r="AF40" i="10"/>
  <c r="N20" i="10"/>
  <c r="AC20" i="10" s="1"/>
  <c r="N15" i="10"/>
  <c r="AF14" i="10"/>
  <c r="AF15" i="10" s="1"/>
  <c r="AD14" i="10"/>
  <c r="AD15" i="10" s="1"/>
  <c r="AI14" i="10"/>
  <c r="AI15" i="10" s="1"/>
  <c r="AI40" i="10"/>
  <c r="AC40" i="10"/>
  <c r="AD40" i="10"/>
  <c r="AA40" i="10"/>
  <c r="AC14" i="10"/>
  <c r="AC15" i="10" s="1"/>
  <c r="AJ40" i="10"/>
  <c r="AJ41" i="10" s="1"/>
  <c r="AG40" i="10"/>
  <c r="AJ14" i="10"/>
  <c r="AJ15" i="10" s="1"/>
  <c r="AE40" i="10"/>
  <c r="AB14" i="10"/>
  <c r="AB15" i="10" s="1"/>
  <c r="N47" i="10"/>
  <c r="AC47" i="10" s="1"/>
  <c r="N46" i="10"/>
  <c r="AC46" i="10" s="1"/>
  <c r="N43" i="10"/>
  <c r="AC43" i="10" s="1"/>
  <c r="AE14" i="10"/>
  <c r="AE15" i="10" s="1"/>
  <c r="V47" i="10"/>
  <c r="R46" i="10"/>
  <c r="AG46" i="10" s="1"/>
  <c r="V20" i="10"/>
  <c r="V21" i="10"/>
  <c r="V18" i="10"/>
  <c r="AG14" i="10"/>
  <c r="AG15" i="10" s="1"/>
  <c r="R47" i="10"/>
  <c r="AG47" i="10" s="1"/>
  <c r="R44" i="10"/>
  <c r="AG44" i="10" s="1"/>
  <c r="N44" i="10"/>
  <c r="AC44" i="10" s="1"/>
  <c r="N21" i="10"/>
  <c r="AC21" i="10" s="1"/>
  <c r="N18" i="10"/>
  <c r="AC18" i="10" s="1"/>
  <c r="N17" i="10"/>
  <c r="AC17" i="10" s="1"/>
  <c r="R21" i="10"/>
  <c r="AG21" i="10" s="1"/>
  <c r="R20" i="10"/>
  <c r="AG20" i="10" s="1"/>
  <c r="R17" i="10"/>
  <c r="AG17" i="10" s="1"/>
  <c r="R18" i="10"/>
  <c r="AG18" i="10" s="1"/>
  <c r="V46" i="10"/>
  <c r="V43" i="10"/>
  <c r="V17" i="10"/>
  <c r="V29" i="8" l="1"/>
  <c r="R29" i="8"/>
  <c r="N29" i="8"/>
  <c r="V25" i="8"/>
  <c r="V24" i="8"/>
  <c r="V23" i="8"/>
  <c r="R25" i="8"/>
  <c r="AG25" i="8" s="1"/>
  <c r="R24" i="8"/>
  <c r="R23" i="8"/>
  <c r="N25" i="8"/>
  <c r="N24" i="8"/>
  <c r="AD24" i="8" s="1"/>
  <c r="N23" i="8"/>
  <c r="N13" i="8"/>
  <c r="K14" i="9" s="1"/>
  <c r="V13" i="8"/>
  <c r="R13" i="8"/>
  <c r="V19" i="8"/>
  <c r="V18" i="8"/>
  <c r="V17" i="8"/>
  <c r="R19" i="8"/>
  <c r="AH19" i="8" s="1"/>
  <c r="R18" i="8"/>
  <c r="AE18" i="8" s="1"/>
  <c r="R17" i="8"/>
  <c r="N19" i="8"/>
  <c r="N18" i="8"/>
  <c r="N17" i="8"/>
  <c r="R10" i="8"/>
  <c r="N10" i="8"/>
  <c r="Y87" i="8"/>
  <c r="X87" i="8"/>
  <c r="W87" i="8"/>
  <c r="H87" i="8"/>
  <c r="G87" i="8"/>
  <c r="F87" i="8"/>
  <c r="E87" i="8"/>
  <c r="D87" i="8"/>
  <c r="C87" i="8"/>
  <c r="AG36" i="8"/>
  <c r="AF36" i="8"/>
  <c r="AE36" i="8"/>
  <c r="AD36" i="8"/>
  <c r="AC36" i="8"/>
  <c r="AB36" i="8"/>
  <c r="AA36" i="8"/>
  <c r="AG33" i="8"/>
  <c r="AF33" i="8"/>
  <c r="AD33" i="8"/>
  <c r="AC33" i="8"/>
  <c r="AB33" i="8"/>
  <c r="AB25" i="8"/>
  <c r="AH24" i="8"/>
  <c r="AE24" i="8"/>
  <c r="N48" i="8"/>
  <c r="AA48" i="8" s="1"/>
  <c r="R48" i="8"/>
  <c r="AE48" i="8" s="1"/>
  <c r="AB48" i="8"/>
  <c r="AC48" i="8"/>
  <c r="AD48" i="8"/>
  <c r="AF48" i="8"/>
  <c r="AG48" i="8"/>
  <c r="AH48" i="8"/>
  <c r="N44" i="8"/>
  <c r="K55" i="9" s="1"/>
  <c r="T55" i="9" s="1"/>
  <c r="R44" i="8"/>
  <c r="N45" i="8"/>
  <c r="R45" i="8"/>
  <c r="N46" i="8"/>
  <c r="AA46" i="8" s="1"/>
  <c r="R46" i="8"/>
  <c r="AE46" i="8" s="1"/>
  <c r="N47" i="8"/>
  <c r="K63" i="9" s="1"/>
  <c r="T63" i="9" s="1"/>
  <c r="R47" i="8"/>
  <c r="AE47" i="8" s="1"/>
  <c r="V49" i="8"/>
  <c r="AE44" i="8"/>
  <c r="Y112" i="8"/>
  <c r="X112" i="8"/>
  <c r="W112" i="8"/>
  <c r="Y109" i="8"/>
  <c r="X109" i="8"/>
  <c r="W109" i="8"/>
  <c r="Y103" i="8"/>
  <c r="X103" i="8"/>
  <c r="W103" i="8"/>
  <c r="Y84" i="8"/>
  <c r="X84" i="8"/>
  <c r="W84" i="8"/>
  <c r="Y83" i="8"/>
  <c r="X83" i="8"/>
  <c r="W83" i="8"/>
  <c r="Y76" i="8"/>
  <c r="X76" i="8"/>
  <c r="W76" i="8"/>
  <c r="Y64" i="8"/>
  <c r="Y70" i="8" s="1"/>
  <c r="X64" i="8"/>
  <c r="X70" i="8" s="1"/>
  <c r="W64" i="8"/>
  <c r="W70" i="8" s="1"/>
  <c r="Y49" i="8"/>
  <c r="Y58" i="8" s="1"/>
  <c r="X49" i="8"/>
  <c r="X58" i="8" s="1"/>
  <c r="W49" i="8"/>
  <c r="W58" i="8" s="1"/>
  <c r="Y41" i="8"/>
  <c r="X41" i="8"/>
  <c r="W41" i="8"/>
  <c r="Y40" i="8"/>
  <c r="X40" i="8"/>
  <c r="W40" i="8"/>
  <c r="Y11" i="8"/>
  <c r="Y14" i="8" s="1"/>
  <c r="Y15" i="8" s="1"/>
  <c r="X11" i="8"/>
  <c r="X14" i="8" s="1"/>
  <c r="X15" i="8" s="1"/>
  <c r="W11" i="8"/>
  <c r="W14" i="8" s="1"/>
  <c r="W20" i="8" s="1"/>
  <c r="W26" i="8" s="1"/>
  <c r="V33" i="8"/>
  <c r="V10" i="8"/>
  <c r="V11" i="8" s="1"/>
  <c r="I112" i="8"/>
  <c r="I109" i="8"/>
  <c r="I103" i="8"/>
  <c r="I84" i="8"/>
  <c r="I83" i="8"/>
  <c r="I76" i="8"/>
  <c r="I64" i="8"/>
  <c r="I70" i="8" s="1"/>
  <c r="I49" i="8"/>
  <c r="I58" i="8" s="1"/>
  <c r="I41" i="8"/>
  <c r="I40" i="8"/>
  <c r="I11" i="8"/>
  <c r="I14" i="8" s="1"/>
  <c r="I20" i="8" s="1"/>
  <c r="I26" i="8" s="1"/>
  <c r="V112" i="8"/>
  <c r="V109" i="8"/>
  <c r="V103" i="8"/>
  <c r="V84" i="8"/>
  <c r="V83" i="8"/>
  <c r="V76" i="8"/>
  <c r="V64" i="8"/>
  <c r="V70" i="8" s="1"/>
  <c r="V41" i="8"/>
  <c r="V40" i="8"/>
  <c r="N57" i="8"/>
  <c r="AA57" i="8" s="1"/>
  <c r="N56" i="8"/>
  <c r="K66" i="9" s="1"/>
  <c r="T66" i="9" s="1"/>
  <c r="N55" i="8"/>
  <c r="AA55" i="8" s="1"/>
  <c r="N54" i="8"/>
  <c r="AA54" i="8" s="1"/>
  <c r="N53" i="8"/>
  <c r="AA53" i="8" s="1"/>
  <c r="N52" i="8"/>
  <c r="K65" i="9" s="1"/>
  <c r="T65" i="9" s="1"/>
  <c r="N63" i="8"/>
  <c r="AA63" i="8" s="1"/>
  <c r="N62" i="8"/>
  <c r="AA62" i="8" s="1"/>
  <c r="N61" i="8"/>
  <c r="K67" i="9" s="1"/>
  <c r="T67" i="9" s="1"/>
  <c r="AE45" i="8"/>
  <c r="R57" i="8"/>
  <c r="AE57" i="8" s="1"/>
  <c r="R56" i="8"/>
  <c r="AE56" i="8" s="1"/>
  <c r="R55" i="8"/>
  <c r="AE55" i="8" s="1"/>
  <c r="R54" i="8"/>
  <c r="AE54" i="8" s="1"/>
  <c r="R53" i="8"/>
  <c r="AE53" i="8" s="1"/>
  <c r="R52" i="8"/>
  <c r="AE52" i="8" s="1"/>
  <c r="R63" i="8"/>
  <c r="AE63" i="8" s="1"/>
  <c r="R62" i="8"/>
  <c r="AE62" i="8" s="1"/>
  <c r="R61" i="8"/>
  <c r="AE61" i="8" s="1"/>
  <c r="AE68" i="8"/>
  <c r="AE67" i="8"/>
  <c r="K73" i="9"/>
  <c r="T73" i="9" s="1"/>
  <c r="U49" i="8"/>
  <c r="T49" i="8"/>
  <c r="S49" i="8"/>
  <c r="Q49" i="8"/>
  <c r="P49" i="8"/>
  <c r="O49" i="8"/>
  <c r="M49" i="8"/>
  <c r="L49" i="8"/>
  <c r="K49" i="8"/>
  <c r="H49" i="8"/>
  <c r="G49" i="8"/>
  <c r="F49" i="8"/>
  <c r="E49" i="8"/>
  <c r="D49" i="8"/>
  <c r="D58" i="8" s="1"/>
  <c r="C49" i="8"/>
  <c r="C58" i="8" s="1"/>
  <c r="R108" i="8"/>
  <c r="N108" i="8"/>
  <c r="R107" i="8"/>
  <c r="N107" i="8"/>
  <c r="R106" i="8"/>
  <c r="N106" i="8"/>
  <c r="K47" i="9" s="1"/>
  <c r="R102" i="8"/>
  <c r="O45" i="9" s="1"/>
  <c r="N102" i="8"/>
  <c r="AB102" i="8" s="1"/>
  <c r="R101" i="8"/>
  <c r="N101" i="8"/>
  <c r="K46" i="9" s="1"/>
  <c r="R100" i="8"/>
  <c r="N100" i="8"/>
  <c r="R99" i="8"/>
  <c r="N99" i="8"/>
  <c r="AH55" i="8"/>
  <c r="AG55" i="8"/>
  <c r="AF55" i="8"/>
  <c r="AD55" i="8"/>
  <c r="AC55" i="8"/>
  <c r="AB55" i="8"/>
  <c r="AH54" i="8"/>
  <c r="AG54" i="8"/>
  <c r="AF54" i="8"/>
  <c r="AD54" i="8"/>
  <c r="AC54" i="8"/>
  <c r="AB54" i="8"/>
  <c r="AH46" i="8"/>
  <c r="AG46" i="8"/>
  <c r="AF46" i="8"/>
  <c r="AD46" i="8"/>
  <c r="AC46" i="8"/>
  <c r="AB46" i="8"/>
  <c r="AA19" i="8"/>
  <c r="AH69" i="8"/>
  <c r="AG69" i="8"/>
  <c r="AF69" i="8"/>
  <c r="AD69" i="8"/>
  <c r="AC69" i="8"/>
  <c r="AB69" i="8"/>
  <c r="AE69" i="8"/>
  <c r="AA69" i="8"/>
  <c r="AH63" i="8"/>
  <c r="AG63" i="8"/>
  <c r="AF63" i="8"/>
  <c r="AD63" i="8"/>
  <c r="AC63" i="8"/>
  <c r="AB63" i="8"/>
  <c r="C113" i="8"/>
  <c r="D109" i="8"/>
  <c r="C109" i="8"/>
  <c r="D103" i="8"/>
  <c r="C103" i="8"/>
  <c r="D84" i="8"/>
  <c r="C84" i="8"/>
  <c r="D83" i="8"/>
  <c r="C83" i="8"/>
  <c r="D76" i="8"/>
  <c r="C76" i="8"/>
  <c r="D64" i="8"/>
  <c r="D70" i="8" s="1"/>
  <c r="C64" i="8"/>
  <c r="C70" i="8" s="1"/>
  <c r="D41" i="8"/>
  <c r="C41" i="8"/>
  <c r="D40" i="8"/>
  <c r="C40" i="8"/>
  <c r="D11" i="8"/>
  <c r="D14" i="8" s="1"/>
  <c r="C11" i="8"/>
  <c r="C14" i="8" s="1"/>
  <c r="Z84" i="9"/>
  <c r="Y84" i="9"/>
  <c r="X84" i="9"/>
  <c r="W84" i="9"/>
  <c r="V84" i="9"/>
  <c r="U84" i="9"/>
  <c r="T84" i="9"/>
  <c r="Z83" i="9"/>
  <c r="Y83" i="9"/>
  <c r="X83" i="9"/>
  <c r="W83" i="9"/>
  <c r="V83" i="9"/>
  <c r="U83" i="9"/>
  <c r="T83" i="9"/>
  <c r="Z82" i="9"/>
  <c r="Y82" i="9"/>
  <c r="X82" i="9"/>
  <c r="W82" i="9"/>
  <c r="V82" i="9"/>
  <c r="U82" i="9"/>
  <c r="T82" i="9"/>
  <c r="Z81" i="9"/>
  <c r="Y81" i="9"/>
  <c r="X81" i="9"/>
  <c r="W81" i="9"/>
  <c r="V81" i="9"/>
  <c r="U81" i="9"/>
  <c r="T81" i="9"/>
  <c r="Z80" i="9"/>
  <c r="Y80" i="9"/>
  <c r="X80" i="9"/>
  <c r="W80" i="9"/>
  <c r="V80" i="9"/>
  <c r="U80" i="9"/>
  <c r="T80" i="9"/>
  <c r="Z79" i="9"/>
  <c r="Y79" i="9"/>
  <c r="X79" i="9"/>
  <c r="W79" i="9"/>
  <c r="V79" i="9"/>
  <c r="U79" i="9"/>
  <c r="T79" i="9"/>
  <c r="T85" i="9" s="1"/>
  <c r="Z78" i="9"/>
  <c r="Y78" i="9"/>
  <c r="X78" i="9"/>
  <c r="W78" i="9"/>
  <c r="V78" i="9"/>
  <c r="U78" i="9"/>
  <c r="T78" i="9"/>
  <c r="Z77" i="9"/>
  <c r="Y77" i="9"/>
  <c r="X77" i="9"/>
  <c r="W77" i="9"/>
  <c r="V77" i="9"/>
  <c r="U77" i="9"/>
  <c r="U85" i="9" s="1"/>
  <c r="T77" i="9"/>
  <c r="Z76" i="9"/>
  <c r="Y76" i="9"/>
  <c r="X76" i="9"/>
  <c r="W76" i="9"/>
  <c r="V76" i="9"/>
  <c r="U76" i="9"/>
  <c r="T76" i="9"/>
  <c r="Z75" i="9"/>
  <c r="Y75" i="9"/>
  <c r="X75" i="9"/>
  <c r="W75" i="9"/>
  <c r="V75" i="9"/>
  <c r="U75" i="9"/>
  <c r="T75" i="9"/>
  <c r="Z57" i="9"/>
  <c r="Y57" i="9"/>
  <c r="X57" i="9"/>
  <c r="W57" i="9"/>
  <c r="V57" i="9"/>
  <c r="U57" i="9"/>
  <c r="T57" i="9"/>
  <c r="R6" i="9"/>
  <c r="R7" i="9"/>
  <c r="R8" i="9"/>
  <c r="R9" i="9"/>
  <c r="AG75" i="8"/>
  <c r="AF75" i="8"/>
  <c r="AD75" i="8"/>
  <c r="AC75" i="8"/>
  <c r="AB75" i="8"/>
  <c r="AG72" i="8"/>
  <c r="AF72" i="8"/>
  <c r="AD72" i="8"/>
  <c r="AC72" i="8"/>
  <c r="AB72" i="8"/>
  <c r="AG68" i="8"/>
  <c r="AF68" i="8"/>
  <c r="AD68" i="8"/>
  <c r="AC68" i="8"/>
  <c r="AB68" i="8"/>
  <c r="AG67" i="8"/>
  <c r="AF67" i="8"/>
  <c r="AD67" i="8"/>
  <c r="AC67" i="8"/>
  <c r="AB67" i="8"/>
  <c r="AG62" i="8"/>
  <c r="AF62" i="8"/>
  <c r="AD62" i="8"/>
  <c r="AC62" i="8"/>
  <c r="AB62" i="8"/>
  <c r="AG61" i="8"/>
  <c r="AF61" i="8"/>
  <c r="AG57" i="8"/>
  <c r="AF57" i="8"/>
  <c r="AD57" i="8"/>
  <c r="AC57" i="8"/>
  <c r="AB57" i="8"/>
  <c r="AG56" i="8"/>
  <c r="AF56" i="8"/>
  <c r="AD56" i="8"/>
  <c r="AC56" i="8"/>
  <c r="AB56" i="8"/>
  <c r="AG53" i="8"/>
  <c r="AF53" i="8"/>
  <c r="AD53" i="8"/>
  <c r="AC53" i="8"/>
  <c r="AB53" i="8"/>
  <c r="AG52" i="8"/>
  <c r="AF52" i="8"/>
  <c r="AD52" i="8"/>
  <c r="AC52" i="8"/>
  <c r="AB52" i="8"/>
  <c r="AG47" i="8"/>
  <c r="AF47" i="8"/>
  <c r="AD47" i="8"/>
  <c r="AC47" i="8"/>
  <c r="AB47" i="8"/>
  <c r="AG45" i="8"/>
  <c r="AF45" i="8"/>
  <c r="AD45" i="8"/>
  <c r="AC45" i="8"/>
  <c r="AB45" i="8"/>
  <c r="AG44" i="8"/>
  <c r="AF44" i="8"/>
  <c r="AD44" i="8"/>
  <c r="AC44" i="8"/>
  <c r="AB44" i="8"/>
  <c r="P49" i="9"/>
  <c r="L49" i="9"/>
  <c r="H49" i="9"/>
  <c r="F49" i="9"/>
  <c r="E49" i="9"/>
  <c r="D49" i="9"/>
  <c r="C49" i="9"/>
  <c r="P48" i="9"/>
  <c r="L48" i="9"/>
  <c r="H48" i="9"/>
  <c r="F48" i="9"/>
  <c r="E48" i="9"/>
  <c r="D48" i="9"/>
  <c r="C48" i="9"/>
  <c r="R48" i="9"/>
  <c r="M48" i="9"/>
  <c r="I48" i="9"/>
  <c r="O57" i="9"/>
  <c r="K57" i="9"/>
  <c r="R67" i="9"/>
  <c r="AA67" i="9" s="1"/>
  <c r="Q67" i="9"/>
  <c r="Z67" i="9" s="1"/>
  <c r="P67" i="9"/>
  <c r="Y67" i="9" s="1"/>
  <c r="R66" i="9"/>
  <c r="AA66" i="9" s="1"/>
  <c r="Q66" i="9"/>
  <c r="Z66" i="9" s="1"/>
  <c r="P66" i="9"/>
  <c r="Y66" i="9" s="1"/>
  <c r="N66" i="9"/>
  <c r="W66" i="9" s="1"/>
  <c r="M66" i="9"/>
  <c r="V66" i="9" s="1"/>
  <c r="L66" i="9"/>
  <c r="U66" i="9" s="1"/>
  <c r="J66" i="9"/>
  <c r="I66" i="9"/>
  <c r="R65" i="9"/>
  <c r="AA65" i="9" s="1"/>
  <c r="Q65" i="9"/>
  <c r="Z65" i="9" s="1"/>
  <c r="P65" i="9"/>
  <c r="Y65" i="9" s="1"/>
  <c r="N65" i="9"/>
  <c r="W65" i="9" s="1"/>
  <c r="M65" i="9"/>
  <c r="V65" i="9" s="1"/>
  <c r="L65" i="9"/>
  <c r="U65" i="9" s="1"/>
  <c r="J65" i="9"/>
  <c r="I65" i="9"/>
  <c r="R64" i="9"/>
  <c r="AA64" i="9" s="1"/>
  <c r="Q64" i="9"/>
  <c r="Z64" i="9" s="1"/>
  <c r="P64" i="9"/>
  <c r="Y64" i="9" s="1"/>
  <c r="N64" i="9"/>
  <c r="W64" i="9" s="1"/>
  <c r="M64" i="9"/>
  <c r="V64" i="9" s="1"/>
  <c r="L64" i="9"/>
  <c r="U64" i="9" s="1"/>
  <c r="J64" i="9"/>
  <c r="I64" i="9"/>
  <c r="R63" i="9"/>
  <c r="AA63" i="9" s="1"/>
  <c r="Q63" i="9"/>
  <c r="Z63" i="9" s="1"/>
  <c r="P63" i="9"/>
  <c r="Y63" i="9" s="1"/>
  <c r="N63" i="9"/>
  <c r="W63" i="9" s="1"/>
  <c r="M63" i="9"/>
  <c r="V63" i="9" s="1"/>
  <c r="L63" i="9"/>
  <c r="U63" i="9" s="1"/>
  <c r="J63" i="9"/>
  <c r="I63" i="9"/>
  <c r="H66" i="9"/>
  <c r="H65" i="9"/>
  <c r="H64" i="9"/>
  <c r="H63" i="9"/>
  <c r="F66" i="9"/>
  <c r="E66" i="9"/>
  <c r="D66" i="9"/>
  <c r="F65" i="9"/>
  <c r="E65" i="9"/>
  <c r="D65" i="9"/>
  <c r="F64" i="9"/>
  <c r="E64" i="9"/>
  <c r="D64" i="9"/>
  <c r="F63" i="9"/>
  <c r="E63" i="9"/>
  <c r="D63" i="9"/>
  <c r="C66" i="9"/>
  <c r="C65" i="9"/>
  <c r="C64" i="9"/>
  <c r="C63" i="9"/>
  <c r="R73" i="9"/>
  <c r="Q73" i="9"/>
  <c r="Z73" i="9" s="1"/>
  <c r="P73" i="9"/>
  <c r="Y73" i="9" s="1"/>
  <c r="N73" i="9"/>
  <c r="W73" i="9" s="1"/>
  <c r="M73" i="9"/>
  <c r="V73" i="9" s="1"/>
  <c r="L73" i="9"/>
  <c r="U73" i="9" s="1"/>
  <c r="J73" i="9"/>
  <c r="I73" i="9"/>
  <c r="R72" i="9"/>
  <c r="Q72" i="9"/>
  <c r="Z72" i="9" s="1"/>
  <c r="P72" i="9"/>
  <c r="Y72" i="9" s="1"/>
  <c r="N72" i="9"/>
  <c r="W72" i="9" s="1"/>
  <c r="M72" i="9"/>
  <c r="V72" i="9" s="1"/>
  <c r="L72" i="9"/>
  <c r="U72" i="9" s="1"/>
  <c r="J72" i="9"/>
  <c r="I72" i="9"/>
  <c r="H73" i="9"/>
  <c r="H72" i="9"/>
  <c r="F73" i="9"/>
  <c r="E73" i="9"/>
  <c r="D73" i="9"/>
  <c r="F72" i="9"/>
  <c r="E72" i="9"/>
  <c r="D72" i="9"/>
  <c r="C73" i="9"/>
  <c r="C72" i="9"/>
  <c r="AA75" i="9"/>
  <c r="AA76" i="9"/>
  <c r="N57" i="9"/>
  <c r="M57" i="9"/>
  <c r="L57" i="9"/>
  <c r="J57" i="9"/>
  <c r="I57" i="9"/>
  <c r="H57" i="9"/>
  <c r="R57" i="9"/>
  <c r="Q57" i="9"/>
  <c r="P57" i="9"/>
  <c r="P41" i="9"/>
  <c r="L41" i="9"/>
  <c r="O75" i="9"/>
  <c r="K75" i="9"/>
  <c r="O76" i="9"/>
  <c r="K76" i="9"/>
  <c r="C57" i="9"/>
  <c r="C59" i="9"/>
  <c r="R85" i="9"/>
  <c r="Q85" i="9"/>
  <c r="P85" i="9"/>
  <c r="N85" i="9"/>
  <c r="M85" i="9"/>
  <c r="L85" i="9"/>
  <c r="J85" i="9"/>
  <c r="I85" i="9"/>
  <c r="H85" i="9"/>
  <c r="F85" i="9"/>
  <c r="E85" i="9"/>
  <c r="D85" i="9"/>
  <c r="C85" i="9"/>
  <c r="AA84" i="9"/>
  <c r="O84" i="9"/>
  <c r="K84" i="9"/>
  <c r="AA83" i="9"/>
  <c r="O83" i="9"/>
  <c r="K83" i="9"/>
  <c r="AA82" i="9"/>
  <c r="AA81" i="9"/>
  <c r="AA80" i="9"/>
  <c r="AA79" i="9"/>
  <c r="AA78" i="9"/>
  <c r="AA77" i="9"/>
  <c r="V85" i="9"/>
  <c r="O77" i="9"/>
  <c r="K77" i="9"/>
  <c r="F41" i="9"/>
  <c r="R56" i="9"/>
  <c r="Q56" i="9"/>
  <c r="Z56" i="9" s="1"/>
  <c r="P56" i="9"/>
  <c r="Y56" i="9" s="1"/>
  <c r="N56" i="9"/>
  <c r="W56" i="9" s="1"/>
  <c r="M56" i="9"/>
  <c r="V56" i="9" s="1"/>
  <c r="L56" i="9"/>
  <c r="U56" i="9" s="1"/>
  <c r="J56" i="9"/>
  <c r="I56" i="9"/>
  <c r="H56" i="9"/>
  <c r="F56" i="9"/>
  <c r="E56" i="9"/>
  <c r="D56" i="9"/>
  <c r="C56" i="9"/>
  <c r="R55" i="9"/>
  <c r="Q55" i="9"/>
  <c r="Z55" i="9" s="1"/>
  <c r="P55" i="9"/>
  <c r="Y55" i="9" s="1"/>
  <c r="N55" i="9"/>
  <c r="W55" i="9" s="1"/>
  <c r="M55" i="9"/>
  <c r="V55" i="9" s="1"/>
  <c r="L55" i="9"/>
  <c r="U55" i="9" s="1"/>
  <c r="J55" i="9"/>
  <c r="I55" i="9"/>
  <c r="H55" i="9"/>
  <c r="F55" i="9"/>
  <c r="E55" i="9"/>
  <c r="D55" i="9"/>
  <c r="C55" i="9"/>
  <c r="L47" i="9"/>
  <c r="H47" i="9"/>
  <c r="F47" i="9"/>
  <c r="E47" i="9"/>
  <c r="C47" i="9"/>
  <c r="N47" i="9"/>
  <c r="D47" i="9"/>
  <c r="P46" i="9"/>
  <c r="L46" i="9"/>
  <c r="J46" i="9"/>
  <c r="I46" i="9"/>
  <c r="H46" i="9"/>
  <c r="F46" i="9"/>
  <c r="E46" i="9"/>
  <c r="D46" i="9"/>
  <c r="C46" i="9"/>
  <c r="P45" i="9"/>
  <c r="M45" i="9"/>
  <c r="L45" i="9"/>
  <c r="J45" i="9"/>
  <c r="I45" i="9"/>
  <c r="H45" i="9"/>
  <c r="F45" i="9"/>
  <c r="E45" i="9"/>
  <c r="C45" i="9"/>
  <c r="R39" i="9"/>
  <c r="Q39" i="9"/>
  <c r="P39" i="9"/>
  <c r="N39" i="9"/>
  <c r="M39" i="9"/>
  <c r="L39" i="9"/>
  <c r="J39" i="9"/>
  <c r="I39" i="9"/>
  <c r="H39" i="9"/>
  <c r="F40" i="9"/>
  <c r="O40" i="9" s="1"/>
  <c r="P40" i="9" s="1"/>
  <c r="Q40" i="9" s="1"/>
  <c r="R40" i="9" s="1"/>
  <c r="E40" i="9"/>
  <c r="H40" i="9" s="1"/>
  <c r="D40" i="9"/>
  <c r="C40" i="9"/>
  <c r="F39" i="9"/>
  <c r="E39" i="9"/>
  <c r="D39" i="9"/>
  <c r="C39" i="9"/>
  <c r="P38" i="9"/>
  <c r="L38" i="9"/>
  <c r="H38" i="9"/>
  <c r="F38" i="9"/>
  <c r="E38" i="9"/>
  <c r="D38" i="9"/>
  <c r="C38" i="9"/>
  <c r="P32" i="9"/>
  <c r="L32" i="9"/>
  <c r="H32" i="9"/>
  <c r="F32" i="9"/>
  <c r="E32" i="9"/>
  <c r="D32" i="9"/>
  <c r="C32" i="9"/>
  <c r="R15" i="9"/>
  <c r="Q15" i="9"/>
  <c r="P15" i="9"/>
  <c r="N15" i="9"/>
  <c r="M15" i="9"/>
  <c r="L15" i="9"/>
  <c r="J15" i="9"/>
  <c r="I15" i="9"/>
  <c r="R14" i="9"/>
  <c r="Q14" i="9"/>
  <c r="P14" i="9"/>
  <c r="N14" i="9"/>
  <c r="M14" i="9"/>
  <c r="L14" i="9"/>
  <c r="J14" i="9"/>
  <c r="I14" i="9"/>
  <c r="H15" i="9"/>
  <c r="H14" i="9"/>
  <c r="P27" i="9"/>
  <c r="L27" i="9"/>
  <c r="H27" i="9"/>
  <c r="F27" i="9"/>
  <c r="E27" i="9"/>
  <c r="D27" i="9"/>
  <c r="C27" i="9"/>
  <c r="R23" i="9"/>
  <c r="R34" i="9" s="1"/>
  <c r="Q23" i="9"/>
  <c r="Q34" i="9" s="1"/>
  <c r="P23" i="9"/>
  <c r="P34" i="9" s="1"/>
  <c r="N23" i="9"/>
  <c r="N34" i="9" s="1"/>
  <c r="M23" i="9"/>
  <c r="M34" i="9" s="1"/>
  <c r="L23" i="9"/>
  <c r="L34" i="9" s="1"/>
  <c r="J23" i="9"/>
  <c r="J34" i="9" s="1"/>
  <c r="I23" i="9"/>
  <c r="I34" i="9" s="1"/>
  <c r="R22" i="9"/>
  <c r="R33" i="9" s="1"/>
  <c r="Q22" i="9"/>
  <c r="Q33" i="9" s="1"/>
  <c r="P22" i="9"/>
  <c r="P33" i="9" s="1"/>
  <c r="N22" i="9"/>
  <c r="N33" i="9" s="1"/>
  <c r="M22" i="9"/>
  <c r="M33" i="9" s="1"/>
  <c r="L22" i="9"/>
  <c r="L33" i="9" s="1"/>
  <c r="J22" i="9"/>
  <c r="J33" i="9" s="1"/>
  <c r="I22" i="9"/>
  <c r="I33" i="9" s="1"/>
  <c r="R21" i="9"/>
  <c r="Q21" i="9"/>
  <c r="P21" i="9"/>
  <c r="N21" i="9"/>
  <c r="M21" i="9"/>
  <c r="L21" i="9"/>
  <c r="J21" i="9"/>
  <c r="I21" i="9"/>
  <c r="R20" i="9"/>
  <c r="Q20" i="9"/>
  <c r="P20" i="9"/>
  <c r="N20" i="9"/>
  <c r="M20" i="9"/>
  <c r="L20" i="9"/>
  <c r="J20" i="9"/>
  <c r="I20" i="9"/>
  <c r="R19" i="9"/>
  <c r="Q19" i="9"/>
  <c r="P19" i="9"/>
  <c r="N19" i="9"/>
  <c r="M19" i="9"/>
  <c r="L19" i="9"/>
  <c r="J19" i="9"/>
  <c r="I19" i="9"/>
  <c r="H23" i="9"/>
  <c r="H34" i="9" s="1"/>
  <c r="H22" i="9"/>
  <c r="H33" i="9" s="1"/>
  <c r="H21" i="9"/>
  <c r="H20" i="9"/>
  <c r="H19" i="9"/>
  <c r="F23" i="9"/>
  <c r="F34" i="9" s="1"/>
  <c r="E23" i="9"/>
  <c r="E34" i="9" s="1"/>
  <c r="D23" i="9"/>
  <c r="D34" i="9" s="1"/>
  <c r="C23" i="9"/>
  <c r="C34" i="9" s="1"/>
  <c r="F22" i="9"/>
  <c r="F33" i="9" s="1"/>
  <c r="E22" i="9"/>
  <c r="E33" i="9" s="1"/>
  <c r="D22" i="9"/>
  <c r="D33" i="9" s="1"/>
  <c r="C22" i="9"/>
  <c r="C33" i="9" s="1"/>
  <c r="F21" i="9"/>
  <c r="E21" i="9"/>
  <c r="D21" i="9"/>
  <c r="C21" i="9"/>
  <c r="F20" i="9"/>
  <c r="E20" i="9"/>
  <c r="D20" i="9"/>
  <c r="C20" i="9"/>
  <c r="F19" i="9"/>
  <c r="E19" i="9"/>
  <c r="D19" i="9"/>
  <c r="C19" i="9"/>
  <c r="F15" i="9"/>
  <c r="E15" i="9"/>
  <c r="D15" i="9"/>
  <c r="C15" i="9"/>
  <c r="F14" i="9"/>
  <c r="E14" i="9"/>
  <c r="D14" i="9"/>
  <c r="C14" i="9"/>
  <c r="Q9" i="9"/>
  <c r="P9" i="9"/>
  <c r="N9" i="9"/>
  <c r="M9" i="9"/>
  <c r="L9" i="9"/>
  <c r="K9" i="9"/>
  <c r="J9" i="9"/>
  <c r="I9" i="9"/>
  <c r="H9" i="9"/>
  <c r="Q8" i="9"/>
  <c r="P8" i="9"/>
  <c r="N8" i="9"/>
  <c r="M8" i="9"/>
  <c r="L8" i="9"/>
  <c r="K8" i="9"/>
  <c r="J8" i="9"/>
  <c r="I8" i="9"/>
  <c r="H8" i="9"/>
  <c r="Q7" i="9"/>
  <c r="P7" i="9"/>
  <c r="N7" i="9"/>
  <c r="M7" i="9"/>
  <c r="L7" i="9"/>
  <c r="K7" i="9"/>
  <c r="J7" i="9"/>
  <c r="I7" i="9"/>
  <c r="H7" i="9"/>
  <c r="Q6" i="9"/>
  <c r="P6" i="9"/>
  <c r="N6" i="9"/>
  <c r="M6" i="9"/>
  <c r="L6" i="9"/>
  <c r="K6" i="9"/>
  <c r="J6" i="9"/>
  <c r="I6" i="9"/>
  <c r="H6" i="9"/>
  <c r="F9" i="9"/>
  <c r="E9" i="9"/>
  <c r="D9" i="9"/>
  <c r="C9" i="9"/>
  <c r="F8" i="9"/>
  <c r="E8" i="9"/>
  <c r="D8" i="9"/>
  <c r="C8" i="9"/>
  <c r="F7" i="9"/>
  <c r="E7" i="9"/>
  <c r="D7" i="9"/>
  <c r="C7" i="9"/>
  <c r="F6" i="9"/>
  <c r="E6" i="9"/>
  <c r="D6" i="9"/>
  <c r="C6" i="9"/>
  <c r="B9" i="9"/>
  <c r="B8" i="9"/>
  <c r="B7" i="9"/>
  <c r="B6" i="9"/>
  <c r="R44" i="9"/>
  <c r="N44" i="9"/>
  <c r="F44" i="9"/>
  <c r="E44" i="9"/>
  <c r="D44" i="9"/>
  <c r="C44" i="9"/>
  <c r="R94" i="8"/>
  <c r="N94" i="8"/>
  <c r="AC94" i="8" s="1"/>
  <c r="N123" i="8"/>
  <c r="N92" i="8"/>
  <c r="K32" i="9" s="1"/>
  <c r="J27" i="9"/>
  <c r="J38" i="9"/>
  <c r="R45" i="9"/>
  <c r="R46" i="9"/>
  <c r="R38" i="9"/>
  <c r="R32" i="9"/>
  <c r="R27" i="9"/>
  <c r="M46" i="9"/>
  <c r="N38" i="9"/>
  <c r="R93" i="8"/>
  <c r="N32" i="9"/>
  <c r="N27" i="9"/>
  <c r="P47" i="9"/>
  <c r="AD61" i="8"/>
  <c r="M67" i="9"/>
  <c r="V67" i="9" s="1"/>
  <c r="L67" i="9"/>
  <c r="U67" i="9" s="1"/>
  <c r="J67" i="9"/>
  <c r="I67" i="9"/>
  <c r="H67" i="9"/>
  <c r="C67" i="9"/>
  <c r="D67" i="9"/>
  <c r="O14" i="9"/>
  <c r="O78" i="9"/>
  <c r="K78" i="9"/>
  <c r="O82" i="9"/>
  <c r="O81" i="9"/>
  <c r="O80" i="9"/>
  <c r="O79" i="9"/>
  <c r="K82" i="9"/>
  <c r="K81" i="9"/>
  <c r="K80" i="9"/>
  <c r="K79" i="9"/>
  <c r="N124" i="8"/>
  <c r="K39" i="9" s="1"/>
  <c r="R124" i="8"/>
  <c r="O39" i="9" s="1"/>
  <c r="R123" i="8"/>
  <c r="R116" i="8"/>
  <c r="R115" i="8"/>
  <c r="AE115" i="8" s="1"/>
  <c r="N116" i="8"/>
  <c r="N115" i="8"/>
  <c r="AD115" i="8" s="1"/>
  <c r="AH75" i="8"/>
  <c r="AH72" i="8"/>
  <c r="AH68" i="8"/>
  <c r="AH67" i="8"/>
  <c r="AH61" i="8"/>
  <c r="AH57" i="8"/>
  <c r="AH56" i="8"/>
  <c r="AH53" i="8"/>
  <c r="AH52" i="8"/>
  <c r="AH47" i="8"/>
  <c r="AH45" i="8"/>
  <c r="AH44" i="8"/>
  <c r="D45" i="9"/>
  <c r="AD18" i="8"/>
  <c r="AH17" i="8"/>
  <c r="AD17" i="8"/>
  <c r="K64" i="9"/>
  <c r="T64" i="9" s="1"/>
  <c r="AA68" i="8"/>
  <c r="R75" i="8"/>
  <c r="AE75" i="8" s="1"/>
  <c r="N75" i="8"/>
  <c r="AA75" i="8" s="1"/>
  <c r="AE72" i="8"/>
  <c r="AA72" i="8"/>
  <c r="AG29" i="8"/>
  <c r="AA29" i="8"/>
  <c r="N33" i="8"/>
  <c r="AA33" i="8" s="1"/>
  <c r="O23" i="9"/>
  <c r="O34" i="9" s="1"/>
  <c r="K23" i="9"/>
  <c r="K34" i="9" s="1"/>
  <c r="O21" i="9"/>
  <c r="K21" i="9"/>
  <c r="O72" i="9"/>
  <c r="X72" i="9" s="1"/>
  <c r="K72" i="9"/>
  <c r="T72" i="9" s="1"/>
  <c r="AH33" i="8"/>
  <c r="AH36" i="8"/>
  <c r="R33" i="8"/>
  <c r="AE33" i="8" s="1"/>
  <c r="W8" i="9" l="1"/>
  <c r="V9" i="9"/>
  <c r="T7" i="9"/>
  <c r="U6" i="9"/>
  <c r="W9" i="9"/>
  <c r="T6" i="9"/>
  <c r="V6" i="9"/>
  <c r="U7" i="9"/>
  <c r="T8" i="9"/>
  <c r="W6" i="9"/>
  <c r="V7" i="9"/>
  <c r="U8" i="9"/>
  <c r="T9" i="9"/>
  <c r="W7" i="9"/>
  <c r="V8" i="9"/>
  <c r="U9" i="9"/>
  <c r="AH25" i="8"/>
  <c r="AF24" i="8"/>
  <c r="AG24" i="8"/>
  <c r="AC25" i="8"/>
  <c r="AD25" i="8"/>
  <c r="AF25" i="8"/>
  <c r="AA25" i="8"/>
  <c r="AA24" i="8"/>
  <c r="AE25" i="8"/>
  <c r="AB24" i="8"/>
  <c r="AC24" i="8"/>
  <c r="AJ48" i="8"/>
  <c r="V58" i="8"/>
  <c r="W77" i="8"/>
  <c r="W79" i="8" s="1"/>
  <c r="X77" i="8"/>
  <c r="X79" i="8" s="1"/>
  <c r="Y77" i="8"/>
  <c r="Y79" i="8" s="1"/>
  <c r="W21" i="8"/>
  <c r="Y20" i="8"/>
  <c r="Y26" i="8" s="1"/>
  <c r="W15" i="8"/>
  <c r="X20" i="8"/>
  <c r="X26" i="8" s="1"/>
  <c r="I77" i="8"/>
  <c r="I79" i="8" s="1"/>
  <c r="I15" i="8"/>
  <c r="V14" i="8"/>
  <c r="V20" i="8" s="1"/>
  <c r="I21" i="8"/>
  <c r="V77" i="8"/>
  <c r="AD49" i="8"/>
  <c r="AF49" i="8"/>
  <c r="AG49" i="8"/>
  <c r="AH49" i="8"/>
  <c r="R49" i="8"/>
  <c r="N49" i="8"/>
  <c r="K56" i="9"/>
  <c r="T56" i="9" s="1"/>
  <c r="AE49" i="8"/>
  <c r="R91" i="8"/>
  <c r="AH91" i="8" s="1"/>
  <c r="AJ54" i="8"/>
  <c r="AJ55" i="8"/>
  <c r="AJ46" i="8"/>
  <c r="AG19" i="8"/>
  <c r="AB19" i="8"/>
  <c r="AC19" i="8"/>
  <c r="AD19" i="8"/>
  <c r="AJ19" i="8" s="1"/>
  <c r="AE19" i="8"/>
  <c r="AF19" i="8"/>
  <c r="AJ63" i="8"/>
  <c r="AJ69" i="8"/>
  <c r="W14" i="9"/>
  <c r="C20" i="8"/>
  <c r="C26" i="8" s="1"/>
  <c r="C15" i="8"/>
  <c r="C77" i="8"/>
  <c r="C79" i="8" s="1"/>
  <c r="D20" i="8"/>
  <c r="D26" i="8" s="1"/>
  <c r="D15" i="8"/>
  <c r="D77" i="8"/>
  <c r="D79" i="8" s="1"/>
  <c r="V21" i="9"/>
  <c r="U14" i="9"/>
  <c r="X34" i="9"/>
  <c r="V14" i="9"/>
  <c r="AA94" i="8"/>
  <c r="AD94" i="8"/>
  <c r="AG94" i="8"/>
  <c r="U46" i="9"/>
  <c r="T34" i="9"/>
  <c r="T14" i="9"/>
  <c r="V46" i="9"/>
  <c r="W21" i="9"/>
  <c r="U34" i="9"/>
  <c r="Y21" i="9"/>
  <c r="Y34" i="9"/>
  <c r="X14" i="9"/>
  <c r="V34" i="9"/>
  <c r="Z21" i="9"/>
  <c r="Z34" i="9"/>
  <c r="Y14" i="9"/>
  <c r="X21" i="9"/>
  <c r="T21" i="9"/>
  <c r="Z14" i="9"/>
  <c r="T46" i="9"/>
  <c r="AA106" i="8"/>
  <c r="AB101" i="8"/>
  <c r="AC102" i="8"/>
  <c r="Z23" i="9"/>
  <c r="W34" i="9"/>
  <c r="AA47" i="8"/>
  <c r="AA61" i="8"/>
  <c r="AB94" i="8"/>
  <c r="AC101" i="8"/>
  <c r="AD102" i="8"/>
  <c r="AA45" i="8"/>
  <c r="AB61" i="8"/>
  <c r="AA92" i="8"/>
  <c r="AE102" i="8"/>
  <c r="T23" i="9"/>
  <c r="AA44" i="8"/>
  <c r="AC61" i="8"/>
  <c r="AB92" i="8"/>
  <c r="AF102" i="8"/>
  <c r="U23" i="9"/>
  <c r="AA56" i="8"/>
  <c r="AC92" i="8"/>
  <c r="AE94" i="8"/>
  <c r="AG102" i="8"/>
  <c r="AB106" i="8"/>
  <c r="V23" i="9"/>
  <c r="AA67" i="8"/>
  <c r="AD92" i="8"/>
  <c r="AE93" i="8"/>
  <c r="AF94" i="8"/>
  <c r="AC106" i="8"/>
  <c r="U21" i="9"/>
  <c r="W23" i="9"/>
  <c r="AA52" i="8"/>
  <c r="AF93" i="8"/>
  <c r="AA102" i="8"/>
  <c r="AD106" i="8"/>
  <c r="X23" i="9"/>
  <c r="AG93" i="8"/>
  <c r="AA101" i="8"/>
  <c r="Y23" i="9"/>
  <c r="N49" i="9"/>
  <c r="AF18" i="8"/>
  <c r="AB29" i="8"/>
  <c r="AC29" i="8"/>
  <c r="AD29" i="8"/>
  <c r="AE29" i="8"/>
  <c r="AJ47" i="8"/>
  <c r="AJ56" i="8"/>
  <c r="AF29" i="8"/>
  <c r="J49" i="9"/>
  <c r="AA17" i="8"/>
  <c r="AG18" i="8"/>
  <c r="AJ75" i="8"/>
  <c r="AB17" i="8"/>
  <c r="AJ45" i="8"/>
  <c r="AJ53" i="8"/>
  <c r="AJ57" i="8"/>
  <c r="AJ68" i="8"/>
  <c r="AC17" i="8"/>
  <c r="AA18" i="8"/>
  <c r="AB18" i="8"/>
  <c r="AE17" i="8"/>
  <c r="AC18" i="8"/>
  <c r="AF17" i="8"/>
  <c r="R49" i="9"/>
  <c r="AG17" i="8"/>
  <c r="M49" i="9"/>
  <c r="S103" i="8"/>
  <c r="E41" i="9"/>
  <c r="I49" i="9"/>
  <c r="Q49" i="9"/>
  <c r="C41" i="9"/>
  <c r="Q48" i="9"/>
  <c r="D41" i="9"/>
  <c r="R41" i="9"/>
  <c r="I41" i="9"/>
  <c r="Q41" i="9"/>
  <c r="J41" i="9"/>
  <c r="O66" i="9"/>
  <c r="X66" i="9" s="1"/>
  <c r="N67" i="9"/>
  <c r="W67" i="9" s="1"/>
  <c r="O63" i="9"/>
  <c r="X63" i="9" s="1"/>
  <c r="O67" i="9"/>
  <c r="X67" i="9" s="1"/>
  <c r="M41" i="9"/>
  <c r="O73" i="9"/>
  <c r="X73" i="9" s="1"/>
  <c r="O64" i="9"/>
  <c r="X64" i="9" s="1"/>
  <c r="E67" i="9"/>
  <c r="E103" i="8"/>
  <c r="H41" i="9"/>
  <c r="F67" i="9"/>
  <c r="O65" i="9"/>
  <c r="X65" i="9" s="1"/>
  <c r="Y85" i="9"/>
  <c r="AA85" i="9"/>
  <c r="W85" i="9"/>
  <c r="K85" i="9"/>
  <c r="X85" i="9"/>
  <c r="Z85" i="9"/>
  <c r="O85" i="9"/>
  <c r="H103" i="8"/>
  <c r="R47" i="9"/>
  <c r="M47" i="9"/>
  <c r="K22" i="9"/>
  <c r="T22" i="9" s="1"/>
  <c r="M32" i="9"/>
  <c r="W32" i="9" s="1"/>
  <c r="O20" i="9"/>
  <c r="Z20" i="9" s="1"/>
  <c r="R28" i="9"/>
  <c r="Q44" i="9"/>
  <c r="K45" i="9"/>
  <c r="U45" i="9" s="1"/>
  <c r="I47" i="9"/>
  <c r="O56" i="9"/>
  <c r="X56" i="9" s="1"/>
  <c r="J47" i="9"/>
  <c r="O55" i="9"/>
  <c r="X55" i="9" s="1"/>
  <c r="I44" i="9"/>
  <c r="I27" i="9"/>
  <c r="Q27" i="9"/>
  <c r="K15" i="9"/>
  <c r="H44" i="9"/>
  <c r="P44" i="9"/>
  <c r="Q45" i="9"/>
  <c r="K19" i="9"/>
  <c r="T19" i="9" s="1"/>
  <c r="M38" i="9"/>
  <c r="M27" i="9"/>
  <c r="O15" i="9"/>
  <c r="Z15" i="9" s="1"/>
  <c r="L44" i="9"/>
  <c r="O103" i="8"/>
  <c r="K20" i="9"/>
  <c r="T20" i="9" s="1"/>
  <c r="O22" i="9"/>
  <c r="AA22" i="9" s="1"/>
  <c r="I32" i="9"/>
  <c r="Q32" i="9"/>
  <c r="M44" i="9"/>
  <c r="N45" i="9"/>
  <c r="J32" i="9"/>
  <c r="O19" i="9"/>
  <c r="Z19" i="9" s="1"/>
  <c r="I38" i="9"/>
  <c r="Q38" i="9"/>
  <c r="Q46" i="9"/>
  <c r="P28" i="9"/>
  <c r="J40" i="9"/>
  <c r="AA34" i="9"/>
  <c r="F28" i="9"/>
  <c r="I40" i="9"/>
  <c r="K40" i="9"/>
  <c r="L40" i="9"/>
  <c r="M40" i="9"/>
  <c r="N40" i="9"/>
  <c r="E28" i="9"/>
  <c r="N28" i="9"/>
  <c r="J28" i="9"/>
  <c r="AA23" i="9"/>
  <c r="C28" i="9"/>
  <c r="D28" i="9"/>
  <c r="H28" i="9"/>
  <c r="AA21" i="9"/>
  <c r="L28" i="9"/>
  <c r="I28" i="9"/>
  <c r="Q28" i="9"/>
  <c r="M28" i="9"/>
  <c r="F103" i="8"/>
  <c r="K103" i="8"/>
  <c r="G103" i="8"/>
  <c r="N95" i="8"/>
  <c r="R95" i="8"/>
  <c r="AG95" i="8" s="1"/>
  <c r="AH94" i="8"/>
  <c r="N93" i="8"/>
  <c r="AA93" i="8" s="1"/>
  <c r="AD99" i="8"/>
  <c r="N90" i="8"/>
  <c r="AA90" i="8" s="1"/>
  <c r="U103" i="8"/>
  <c r="R92" i="8"/>
  <c r="AE99" i="8"/>
  <c r="AF100" i="8"/>
  <c r="R90" i="8"/>
  <c r="AE90" i="8" s="1"/>
  <c r="AB115" i="8"/>
  <c r="AH93" i="8"/>
  <c r="AH18" i="8"/>
  <c r="AJ18" i="8" s="1"/>
  <c r="AH115" i="8"/>
  <c r="AG115" i="8"/>
  <c r="AF115" i="8"/>
  <c r="AC115" i="8"/>
  <c r="AA115" i="8"/>
  <c r="AH102" i="8"/>
  <c r="AH29" i="8"/>
  <c r="AJ36" i="8"/>
  <c r="W10" i="9" l="1"/>
  <c r="V10" i="9"/>
  <c r="U10" i="9"/>
  <c r="T10" i="9"/>
  <c r="V26" i="8"/>
  <c r="V30" i="8" s="1"/>
  <c r="V87" i="8" s="1"/>
  <c r="V15" i="8"/>
  <c r="V79" i="8"/>
  <c r="W30" i="8"/>
  <c r="W27" i="8"/>
  <c r="X21" i="8"/>
  <c r="Y21" i="8"/>
  <c r="V21" i="8"/>
  <c r="I30" i="8"/>
  <c r="I87" i="8" s="1"/>
  <c r="I27" i="8"/>
  <c r="AE91" i="8"/>
  <c r="AG91" i="8"/>
  <c r="N91" i="8"/>
  <c r="AD91" i="8" s="1"/>
  <c r="AJ91" i="8" s="1"/>
  <c r="AF91" i="8"/>
  <c r="AJ94" i="8"/>
  <c r="V32" i="9"/>
  <c r="Z45" i="9"/>
  <c r="X22" i="9"/>
  <c r="C21" i="8"/>
  <c r="D21" i="8"/>
  <c r="V47" i="9"/>
  <c r="Z22" i="9"/>
  <c r="AF95" i="8"/>
  <c r="AA107" i="8"/>
  <c r="U20" i="9"/>
  <c r="AB93" i="8"/>
  <c r="AG100" i="8"/>
  <c r="AB107" i="8"/>
  <c r="AF99" i="8"/>
  <c r="AF92" i="8"/>
  <c r="AG92" i="8"/>
  <c r="K33" i="9"/>
  <c r="W22" i="9"/>
  <c r="AC22" i="9" s="1"/>
  <c r="V22" i="9"/>
  <c r="U47" i="9"/>
  <c r="N48" i="9"/>
  <c r="AE100" i="8"/>
  <c r="AG90" i="8"/>
  <c r="Y22" i="9"/>
  <c r="Y20" i="9"/>
  <c r="X19" i="9"/>
  <c r="J44" i="9"/>
  <c r="W45" i="9"/>
  <c r="V45" i="9"/>
  <c r="K48" i="9"/>
  <c r="AD107" i="8"/>
  <c r="U22" i="9"/>
  <c r="T45" i="9"/>
  <c r="AD101" i="8"/>
  <c r="AE95" i="8"/>
  <c r="X20" i="9"/>
  <c r="T32" i="9"/>
  <c r="U32" i="9"/>
  <c r="J48" i="9"/>
  <c r="AC107" i="8"/>
  <c r="AG99" i="8"/>
  <c r="AB99" i="8"/>
  <c r="AF90" i="8"/>
  <c r="AD90" i="8"/>
  <c r="AB90" i="8"/>
  <c r="AA95" i="8"/>
  <c r="AD95" i="8"/>
  <c r="AB95" i="8"/>
  <c r="U19" i="9"/>
  <c r="W19" i="9"/>
  <c r="V19" i="9"/>
  <c r="AD93" i="8"/>
  <c r="AJ93" i="8" s="1"/>
  <c r="AC93" i="8"/>
  <c r="V20" i="9"/>
  <c r="W20" i="9"/>
  <c r="AE92" i="8"/>
  <c r="AC99" i="8"/>
  <c r="AC90" i="8"/>
  <c r="Y15" i="9"/>
  <c r="K28" i="9"/>
  <c r="W28" i="9" s="1"/>
  <c r="W15" i="9"/>
  <c r="W16" i="9" s="1"/>
  <c r="U15" i="9"/>
  <c r="Y19" i="9"/>
  <c r="V15" i="9"/>
  <c r="V16" i="9" s="1"/>
  <c r="AA99" i="8"/>
  <c r="X45" i="9"/>
  <c r="T15" i="9"/>
  <c r="T16" i="9" s="1"/>
  <c r="T24" i="9" s="1"/>
  <c r="AC95" i="8"/>
  <c r="T47" i="9"/>
  <c r="Y45" i="9"/>
  <c r="X15" i="9"/>
  <c r="W47" i="9"/>
  <c r="Q47" i="9"/>
  <c r="AC23" i="9"/>
  <c r="AC21" i="9"/>
  <c r="AJ102" i="8"/>
  <c r="AC34" i="9"/>
  <c r="K41" i="9"/>
  <c r="O48" i="9"/>
  <c r="N41" i="9"/>
  <c r="AA20" i="9"/>
  <c r="O33" i="9"/>
  <c r="AG101" i="8"/>
  <c r="N46" i="9"/>
  <c r="AH90" i="8"/>
  <c r="O27" i="9"/>
  <c r="Z27" i="9" s="1"/>
  <c r="O32" i="9"/>
  <c r="K38" i="9"/>
  <c r="M103" i="8"/>
  <c r="AC100" i="8"/>
  <c r="O28" i="9"/>
  <c r="Z28" i="9" s="1"/>
  <c r="O44" i="9"/>
  <c r="Z44" i="9" s="1"/>
  <c r="K27" i="9"/>
  <c r="T27" i="9" s="1"/>
  <c r="AA15" i="9"/>
  <c r="O38" i="9"/>
  <c r="L103" i="8"/>
  <c r="AH92" i="8"/>
  <c r="AJ92" i="8" s="1"/>
  <c r="T103" i="8"/>
  <c r="AH100" i="8"/>
  <c r="Q103" i="8"/>
  <c r="AH99" i="8"/>
  <c r="P103" i="8"/>
  <c r="AJ29" i="8"/>
  <c r="AA73" i="9"/>
  <c r="AA72" i="9"/>
  <c r="O7" i="9"/>
  <c r="O6" i="9"/>
  <c r="AH116" i="8"/>
  <c r="U112" i="8"/>
  <c r="AF116" i="8"/>
  <c r="AH112" i="8"/>
  <c r="Q112" i="8"/>
  <c r="P112" i="8"/>
  <c r="N112" i="8"/>
  <c r="M112" i="8"/>
  <c r="K109" i="8"/>
  <c r="L109" i="8"/>
  <c r="M109" i="8"/>
  <c r="L112" i="8"/>
  <c r="S112" i="8"/>
  <c r="O112" i="8"/>
  <c r="AH95" i="8"/>
  <c r="U16" i="9" l="1"/>
  <c r="U24" i="9" s="1"/>
  <c r="Y7" i="9"/>
  <c r="X7" i="9"/>
  <c r="Z7" i="9"/>
  <c r="Y6" i="9"/>
  <c r="X6" i="9"/>
  <c r="Z6" i="9"/>
  <c r="V27" i="8"/>
  <c r="V37" i="8"/>
  <c r="V34" i="8"/>
  <c r="V31" i="8"/>
  <c r="W34" i="8"/>
  <c r="W37" i="8"/>
  <c r="I34" i="8"/>
  <c r="I37" i="8"/>
  <c r="W31" i="8"/>
  <c r="Y27" i="8"/>
  <c r="Y30" i="8"/>
  <c r="X27" i="8"/>
  <c r="X30" i="8"/>
  <c r="I31" i="8"/>
  <c r="V96" i="8"/>
  <c r="V117" i="8" s="1"/>
  <c r="AA91" i="8"/>
  <c r="AB91" i="8"/>
  <c r="AC91" i="8"/>
  <c r="W48" i="9"/>
  <c r="D30" i="8"/>
  <c r="D27" i="8"/>
  <c r="C30" i="8"/>
  <c r="C27" i="8"/>
  <c r="O41" i="9"/>
  <c r="U27" i="9"/>
  <c r="AE101" i="8"/>
  <c r="V24" i="9"/>
  <c r="Y27" i="9"/>
  <c r="AC20" i="9"/>
  <c r="X28" i="9"/>
  <c r="V28" i="9"/>
  <c r="X27" i="9"/>
  <c r="AE107" i="8"/>
  <c r="N103" i="8"/>
  <c r="AD100" i="8"/>
  <c r="AJ100" i="8" s="1"/>
  <c r="AB100" i="8"/>
  <c r="X44" i="9"/>
  <c r="X32" i="9"/>
  <c r="Z32" i="9"/>
  <c r="T28" i="9"/>
  <c r="T29" i="9" s="1"/>
  <c r="AG107" i="8"/>
  <c r="Y28" i="9"/>
  <c r="AF106" i="8"/>
  <c r="AG106" i="8"/>
  <c r="AE106" i="8"/>
  <c r="Y44" i="9"/>
  <c r="AF107" i="8"/>
  <c r="AD108" i="8"/>
  <c r="AB108" i="8"/>
  <c r="AC108" i="8"/>
  <c r="AA108" i="8"/>
  <c r="W27" i="9"/>
  <c r="V27" i="9"/>
  <c r="Y32" i="9"/>
  <c r="V48" i="9"/>
  <c r="U48" i="9"/>
  <c r="T48" i="9"/>
  <c r="Z48" i="9"/>
  <c r="Y48" i="9"/>
  <c r="X48" i="9"/>
  <c r="AG108" i="8"/>
  <c r="AE108" i="8"/>
  <c r="AF108" i="8"/>
  <c r="W46" i="9"/>
  <c r="AA100" i="8"/>
  <c r="O46" i="9"/>
  <c r="AA46" i="9" s="1"/>
  <c r="AF101" i="8"/>
  <c r="W24" i="9"/>
  <c r="U33" i="9"/>
  <c r="W33" i="9"/>
  <c r="V33" i="9"/>
  <c r="T33" i="9"/>
  <c r="AA33" i="9"/>
  <c r="X33" i="9"/>
  <c r="Y33" i="9"/>
  <c r="Z33" i="9"/>
  <c r="U28" i="9"/>
  <c r="AC15" i="9"/>
  <c r="K49" i="9"/>
  <c r="O49" i="9"/>
  <c r="AJ99" i="8"/>
  <c r="AH107" i="8"/>
  <c r="AJ107" i="8" s="1"/>
  <c r="AH101" i="8"/>
  <c r="AJ101" i="8" s="1"/>
  <c r="O9" i="9"/>
  <c r="O8" i="9"/>
  <c r="AH106" i="8"/>
  <c r="O47" i="9"/>
  <c r="AA28" i="9"/>
  <c r="AC28" i="9" s="1"/>
  <c r="K44" i="9"/>
  <c r="W44" i="9" s="1"/>
  <c r="R103" i="8"/>
  <c r="T112" i="8"/>
  <c r="AA123" i="8"/>
  <c r="AJ95" i="8"/>
  <c r="AC112" i="8"/>
  <c r="AE112" i="8"/>
  <c r="AB116" i="8"/>
  <c r="AH108" i="8"/>
  <c r="AC116" i="8"/>
  <c r="AE116" i="8"/>
  <c r="AB112" i="8"/>
  <c r="F10" i="9"/>
  <c r="F16" i="9" s="1"/>
  <c r="C10" i="9"/>
  <c r="C16" i="9" s="1"/>
  <c r="D10" i="9"/>
  <c r="D16" i="9" s="1"/>
  <c r="E10" i="9"/>
  <c r="E16" i="9" s="1"/>
  <c r="K10" i="9"/>
  <c r="K16" i="9" s="1"/>
  <c r="I10" i="9"/>
  <c r="I16" i="9" s="1"/>
  <c r="J10" i="9"/>
  <c r="J16" i="9" s="1"/>
  <c r="H10" i="9"/>
  <c r="H16" i="9" s="1"/>
  <c r="Q10" i="9"/>
  <c r="Q16" i="9" s="1"/>
  <c r="P10" i="9"/>
  <c r="P16" i="9" s="1"/>
  <c r="R10" i="9"/>
  <c r="R16" i="9" s="1"/>
  <c r="N10" i="9"/>
  <c r="N16" i="9" s="1"/>
  <c r="M10" i="9"/>
  <c r="M16" i="9" s="1"/>
  <c r="L10" i="9"/>
  <c r="L16" i="9" s="1"/>
  <c r="AA116" i="8"/>
  <c r="AD116" i="8"/>
  <c r="AD112" i="8"/>
  <c r="AF112" i="8"/>
  <c r="AG116" i="8"/>
  <c r="AG112" i="8"/>
  <c r="F112" i="8"/>
  <c r="G112" i="8"/>
  <c r="AA112" i="8" s="1"/>
  <c r="H112" i="8"/>
  <c r="R112" i="8"/>
  <c r="AA14" i="9"/>
  <c r="AC13" i="8"/>
  <c r="X9" i="9" l="1"/>
  <c r="Z9" i="9"/>
  <c r="Y9" i="9"/>
  <c r="X8" i="9"/>
  <c r="Y8" i="9"/>
  <c r="Y10" i="9" s="1"/>
  <c r="Y16" i="9" s="1"/>
  <c r="Y24" i="9" s="1"/>
  <c r="Y29" i="9" s="1"/>
  <c r="Y35" i="9" s="1"/>
  <c r="Z8" i="9"/>
  <c r="Z10" i="9" s="1"/>
  <c r="Z16" i="9" s="1"/>
  <c r="Z24" i="9" s="1"/>
  <c r="Z29" i="9" s="1"/>
  <c r="Z35" i="9" s="1"/>
  <c r="C34" i="8"/>
  <c r="C37" i="8"/>
  <c r="D37" i="8"/>
  <c r="D34" i="8"/>
  <c r="X34" i="8"/>
  <c r="X37" i="8"/>
  <c r="Y34" i="8"/>
  <c r="Y37" i="8"/>
  <c r="W96" i="8"/>
  <c r="W117" i="8" s="1"/>
  <c r="X31" i="8"/>
  <c r="Y31" i="8"/>
  <c r="I96" i="8"/>
  <c r="I117" i="8" s="1"/>
  <c r="U29" i="9"/>
  <c r="U35" i="9" s="1"/>
  <c r="C31" i="8"/>
  <c r="D31" i="8"/>
  <c r="AC33" i="9"/>
  <c r="W29" i="9"/>
  <c r="W35" i="9" s="1"/>
  <c r="V29" i="9"/>
  <c r="V35" i="9" s="1"/>
  <c r="X46" i="9"/>
  <c r="T44" i="9"/>
  <c r="T35" i="9"/>
  <c r="V44" i="9"/>
  <c r="Y46" i="9"/>
  <c r="AJ108" i="8"/>
  <c r="X49" i="9"/>
  <c r="Y49" i="9"/>
  <c r="Z49" i="9"/>
  <c r="Z47" i="9"/>
  <c r="Y47" i="9"/>
  <c r="X47" i="9"/>
  <c r="W49" i="9"/>
  <c r="V49" i="9"/>
  <c r="T49" i="9"/>
  <c r="U49" i="9"/>
  <c r="Z46" i="9"/>
  <c r="U44" i="9"/>
  <c r="O10" i="9"/>
  <c r="O16" i="9" s="1"/>
  <c r="AA47" i="9"/>
  <c r="AF123" i="8"/>
  <c r="AG123" i="8"/>
  <c r="AD123" i="8"/>
  <c r="AC123" i="8"/>
  <c r="AB123" i="8"/>
  <c r="AH123" i="8"/>
  <c r="AE123" i="8"/>
  <c r="AE13" i="8"/>
  <c r="AA13" i="8"/>
  <c r="AB13" i="8"/>
  <c r="AD13" i="8"/>
  <c r="AC14" i="9"/>
  <c r="AF13" i="8"/>
  <c r="AH13" i="8"/>
  <c r="AG13" i="8"/>
  <c r="X10" i="9" l="1"/>
  <c r="X16" i="9" s="1"/>
  <c r="X24" i="9" s="1"/>
  <c r="X29" i="9" s="1"/>
  <c r="X35" i="9" s="1"/>
  <c r="Y96" i="8"/>
  <c r="Y117" i="8" s="1"/>
  <c r="X96" i="8"/>
  <c r="X117" i="8" s="1"/>
  <c r="D96" i="8"/>
  <c r="D117" i="8" s="1"/>
  <c r="C96" i="8"/>
  <c r="C117" i="8" s="1"/>
  <c r="C118" i="8" s="1"/>
  <c r="C120" i="8" s="1"/>
  <c r="AJ13" i="8"/>
  <c r="AC23" i="8"/>
  <c r="AB23" i="8"/>
  <c r="AA23" i="8"/>
  <c r="AD23" i="8"/>
  <c r="AH23" i="8"/>
  <c r="AF23" i="8"/>
  <c r="AG23" i="8"/>
  <c r="AE23" i="8"/>
  <c r="D111" i="8" l="1"/>
  <c r="D113" i="8" s="1"/>
  <c r="D118" i="8" s="1"/>
  <c r="E111" i="8" s="1"/>
  <c r="AA57" i="9"/>
  <c r="AA56" i="9"/>
  <c r="R8" i="8"/>
  <c r="N8" i="8"/>
  <c r="D120" i="8" l="1"/>
  <c r="E58" i="9"/>
  <c r="Q58" i="9"/>
  <c r="D58" i="9"/>
  <c r="J58" i="9"/>
  <c r="F58" i="9"/>
  <c r="N58" i="9"/>
  <c r="C58" i="9"/>
  <c r="I58" i="9"/>
  <c r="H58" i="9"/>
  <c r="L58" i="9"/>
  <c r="M58" i="9"/>
  <c r="P58" i="9"/>
  <c r="R58" i="9"/>
  <c r="AA49" i="9" l="1"/>
  <c r="B2" i="9" l="1"/>
  <c r="U64" i="8"/>
  <c r="R68" i="9" s="1"/>
  <c r="T64" i="8"/>
  <c r="Q68" i="9" s="1"/>
  <c r="Z68" i="9" s="1"/>
  <c r="S64" i="8"/>
  <c r="P68" i="9" s="1"/>
  <c r="Y68" i="9" s="1"/>
  <c r="Q64" i="8"/>
  <c r="N68" i="9" s="1"/>
  <c r="W68" i="9" s="1"/>
  <c r="P64" i="8"/>
  <c r="M68" i="9" s="1"/>
  <c r="V68" i="9" s="1"/>
  <c r="O64" i="8"/>
  <c r="L68" i="9" s="1"/>
  <c r="U68" i="9" s="1"/>
  <c r="M64" i="8"/>
  <c r="J68" i="9" s="1"/>
  <c r="L64" i="8"/>
  <c r="I68" i="9" s="1"/>
  <c r="K64" i="8"/>
  <c r="H68" i="9" s="1"/>
  <c r="H64" i="8"/>
  <c r="F68" i="9" s="1"/>
  <c r="G64" i="8"/>
  <c r="E68" i="9" s="1"/>
  <c r="F64" i="8"/>
  <c r="D68" i="9" s="1"/>
  <c r="E64" i="8"/>
  <c r="C68" i="9" s="1"/>
  <c r="AA55" i="9"/>
  <c r="AA58" i="9" s="1"/>
  <c r="R4" i="9"/>
  <c r="AA4" i="9" s="1"/>
  <c r="R3" i="9"/>
  <c r="AA3" i="9" s="1"/>
  <c r="AH62" i="8"/>
  <c r="AH8" i="8"/>
  <c r="AH84" i="8" s="1"/>
  <c r="AH7" i="8"/>
  <c r="AH83" i="8" s="1"/>
  <c r="U84" i="8"/>
  <c r="U83" i="8"/>
  <c r="U76" i="8"/>
  <c r="R87" i="9" s="1"/>
  <c r="U41" i="8"/>
  <c r="U40" i="8"/>
  <c r="U11" i="8"/>
  <c r="U14" i="8" s="1"/>
  <c r="S109" i="8"/>
  <c r="H109" i="8"/>
  <c r="G109" i="8"/>
  <c r="F109" i="8"/>
  <c r="Z58" i="9"/>
  <c r="Y58" i="9"/>
  <c r="W58" i="9"/>
  <c r="Q4" i="9"/>
  <c r="Z4" i="9" s="1"/>
  <c r="P4" i="9"/>
  <c r="Y4" i="9" s="1"/>
  <c r="O4" i="9"/>
  <c r="X4" i="9" s="1"/>
  <c r="N4" i="9"/>
  <c r="W4" i="9" s="1"/>
  <c r="M4" i="9"/>
  <c r="V4" i="9" s="1"/>
  <c r="L4" i="9"/>
  <c r="U4" i="9" s="1"/>
  <c r="K4" i="9"/>
  <c r="T4" i="9" s="1"/>
  <c r="J4" i="9"/>
  <c r="I4" i="9"/>
  <c r="H4" i="9"/>
  <c r="Q3" i="9"/>
  <c r="Z3" i="9" s="1"/>
  <c r="P3" i="9"/>
  <c r="Y3" i="9" s="1"/>
  <c r="O3" i="9"/>
  <c r="X3" i="9" s="1"/>
  <c r="N3" i="9"/>
  <c r="W3" i="9" s="1"/>
  <c r="M3" i="9"/>
  <c r="V3" i="9" s="1"/>
  <c r="L3" i="9"/>
  <c r="U3" i="9" s="1"/>
  <c r="K3" i="9"/>
  <c r="T3" i="9" s="1"/>
  <c r="J3" i="9"/>
  <c r="I3" i="9"/>
  <c r="H3" i="9"/>
  <c r="F4" i="9"/>
  <c r="E4" i="9"/>
  <c r="D4" i="9"/>
  <c r="C4" i="9"/>
  <c r="F3" i="9"/>
  <c r="E3" i="9"/>
  <c r="D3" i="9"/>
  <c r="C3" i="9"/>
  <c r="M76" i="8"/>
  <c r="J87" i="9" s="1"/>
  <c r="T84" i="8"/>
  <c r="S84" i="8"/>
  <c r="R84" i="8"/>
  <c r="Q84" i="8"/>
  <c r="P84" i="8"/>
  <c r="O84" i="8"/>
  <c r="N84" i="8"/>
  <c r="M84" i="8"/>
  <c r="L84" i="8"/>
  <c r="K84" i="8"/>
  <c r="T83" i="8"/>
  <c r="S83" i="8"/>
  <c r="R83" i="8"/>
  <c r="Q83" i="8"/>
  <c r="P83" i="8"/>
  <c r="O83" i="8"/>
  <c r="N83" i="8"/>
  <c r="M83" i="8"/>
  <c r="L83" i="8"/>
  <c r="K83" i="8"/>
  <c r="Q76" i="8"/>
  <c r="N87" i="9" s="1"/>
  <c r="P76" i="8"/>
  <c r="M87" i="9" s="1"/>
  <c r="O76" i="8"/>
  <c r="L87" i="9" s="1"/>
  <c r="L76" i="8"/>
  <c r="I87" i="9" s="1"/>
  <c r="K76" i="8"/>
  <c r="H87" i="9" s="1"/>
  <c r="T41" i="8"/>
  <c r="S41" i="8"/>
  <c r="R41" i="8"/>
  <c r="Q41" i="8"/>
  <c r="P41" i="8"/>
  <c r="O41" i="8"/>
  <c r="N41" i="8"/>
  <c r="M41" i="8"/>
  <c r="L41" i="8"/>
  <c r="K41" i="8"/>
  <c r="T40" i="8"/>
  <c r="S40" i="8"/>
  <c r="R40" i="8"/>
  <c r="Q40" i="8"/>
  <c r="P40" i="8"/>
  <c r="O40" i="8"/>
  <c r="N40" i="8"/>
  <c r="M40" i="8"/>
  <c r="L40" i="8"/>
  <c r="K40" i="8"/>
  <c r="H41" i="8"/>
  <c r="G41" i="8"/>
  <c r="F41" i="8"/>
  <c r="E41" i="8"/>
  <c r="H40" i="8"/>
  <c r="G40" i="8"/>
  <c r="F40" i="8"/>
  <c r="E40" i="8"/>
  <c r="P11" i="8"/>
  <c r="P14" i="8" s="1"/>
  <c r="O11" i="8"/>
  <c r="O14" i="8" s="1"/>
  <c r="M11" i="8"/>
  <c r="M14" i="8" s="1"/>
  <c r="L11" i="8"/>
  <c r="L14" i="8" s="1"/>
  <c r="K11" i="8"/>
  <c r="K14" i="8" s="1"/>
  <c r="T11" i="8"/>
  <c r="T14" i="8" s="1"/>
  <c r="AB8" i="8"/>
  <c r="AA8" i="8"/>
  <c r="AB7" i="8"/>
  <c r="AA7" i="8"/>
  <c r="AF8" i="8"/>
  <c r="AE8" i="8"/>
  <c r="AD8" i="8"/>
  <c r="AC8" i="8"/>
  <c r="AF7" i="8"/>
  <c r="AE7" i="8"/>
  <c r="AD7" i="8"/>
  <c r="AC7" i="8"/>
  <c r="AG8" i="8"/>
  <c r="AG7" i="8"/>
  <c r="AA10" i="8" l="1"/>
  <c r="AC10" i="8"/>
  <c r="AD10" i="8"/>
  <c r="AB10" i="8"/>
  <c r="AG10" i="8"/>
  <c r="AF10" i="8"/>
  <c r="AE10" i="8"/>
  <c r="M15" i="8"/>
  <c r="O20" i="8"/>
  <c r="O26" i="8" s="1"/>
  <c r="L15" i="8"/>
  <c r="K15" i="8"/>
  <c r="P20" i="8"/>
  <c r="P26" i="8" s="1"/>
  <c r="U20" i="8"/>
  <c r="U26" i="8" s="1"/>
  <c r="AJ44" i="8"/>
  <c r="AJ72" i="8"/>
  <c r="AJ52" i="8"/>
  <c r="AJ61" i="8"/>
  <c r="AJ62" i="8"/>
  <c r="AJ67" i="8"/>
  <c r="U70" i="8"/>
  <c r="R69" i="9" s="1"/>
  <c r="U87" i="9"/>
  <c r="AA87" i="9"/>
  <c r="AF124" i="8"/>
  <c r="V87" i="9"/>
  <c r="W87" i="9"/>
  <c r="K58" i="9"/>
  <c r="M58" i="8"/>
  <c r="AF64" i="8"/>
  <c r="AG64" i="8"/>
  <c r="AH64" i="8"/>
  <c r="AD64" i="8"/>
  <c r="N64" i="8"/>
  <c r="K68" i="9" s="1"/>
  <c r="T68" i="9" s="1"/>
  <c r="R64" i="8"/>
  <c r="O68" i="9" s="1"/>
  <c r="X68" i="9" s="1"/>
  <c r="M70" i="8"/>
  <c r="J69" i="9" s="1"/>
  <c r="AH76" i="8"/>
  <c r="AH10" i="8"/>
  <c r="L70" i="8"/>
  <c r="I69" i="9" s="1"/>
  <c r="AH40" i="8"/>
  <c r="AH41" i="8"/>
  <c r="K70" i="8"/>
  <c r="H69" i="9" s="1"/>
  <c r="L58" i="8"/>
  <c r="E109" i="8"/>
  <c r="T109" i="8"/>
  <c r="O109" i="8"/>
  <c r="P109" i="8"/>
  <c r="T58" i="8"/>
  <c r="Q58" i="8"/>
  <c r="K58" i="8"/>
  <c r="P58" i="8"/>
  <c r="O58" i="8"/>
  <c r="H70" i="8"/>
  <c r="F69" i="9" s="1"/>
  <c r="AD124" i="8"/>
  <c r="V58" i="9"/>
  <c r="U58" i="9"/>
  <c r="AE124" i="8"/>
  <c r="AB124" i="8"/>
  <c r="AC124" i="8"/>
  <c r="AA124" i="8"/>
  <c r="N11" i="8"/>
  <c r="N14" i="8" s="1"/>
  <c r="N76" i="8"/>
  <c r="K87" i="9" s="1"/>
  <c r="N58" i="8"/>
  <c r="R58" i="8"/>
  <c r="N20" i="8" l="1"/>
  <c r="N26" i="8" s="1"/>
  <c r="M20" i="8"/>
  <c r="M26" i="8" s="1"/>
  <c r="U77" i="8"/>
  <c r="AA69" i="9"/>
  <c r="AA9" i="9"/>
  <c r="AC9" i="9" s="1"/>
  <c r="AA8" i="9"/>
  <c r="AC8" i="9" s="1"/>
  <c r="AA7" i="9"/>
  <c r="AC7" i="9" s="1"/>
  <c r="U15" i="8"/>
  <c r="L20" i="8"/>
  <c r="L26" i="8" s="1"/>
  <c r="P15" i="8"/>
  <c r="O15" i="8"/>
  <c r="U21" i="8"/>
  <c r="U30" i="8"/>
  <c r="U87" i="8" s="1"/>
  <c r="K20" i="8"/>
  <c r="K26" i="8" s="1"/>
  <c r="AE64" i="8"/>
  <c r="AJ17" i="8"/>
  <c r="AJ106" i="8"/>
  <c r="AA48" i="9"/>
  <c r="AH58" i="8"/>
  <c r="AH70" i="8"/>
  <c r="AH77" i="8" s="1"/>
  <c r="AJ64" i="8"/>
  <c r="AJ23" i="8"/>
  <c r="AH11" i="8"/>
  <c r="AH14" i="8" s="1"/>
  <c r="AJ10" i="8"/>
  <c r="O58" i="9"/>
  <c r="X58" i="9"/>
  <c r="V88" i="9"/>
  <c r="V97" i="9" s="1"/>
  <c r="U88" i="9"/>
  <c r="U97" i="9" s="1"/>
  <c r="R88" i="9"/>
  <c r="R97" i="9" s="1"/>
  <c r="AA40" i="9"/>
  <c r="W40" i="9"/>
  <c r="W88" i="9"/>
  <c r="W97" i="9" s="1"/>
  <c r="L77" i="8"/>
  <c r="L79" i="8" s="1"/>
  <c r="AA88" i="9"/>
  <c r="AA97" i="9" s="1"/>
  <c r="T87" i="9"/>
  <c r="T88" i="9" s="1"/>
  <c r="T97" i="9" s="1"/>
  <c r="AA19" i="9"/>
  <c r="U58" i="8"/>
  <c r="AA68" i="9"/>
  <c r="AA38" i="9"/>
  <c r="M77" i="8"/>
  <c r="M79" i="8" s="1"/>
  <c r="U109" i="8"/>
  <c r="K77" i="8"/>
  <c r="K79" i="8" s="1"/>
  <c r="Q109" i="8"/>
  <c r="AA44" i="9"/>
  <c r="T58" i="9"/>
  <c r="P70" i="8"/>
  <c r="M69" i="9" s="1"/>
  <c r="V69" i="9" s="1"/>
  <c r="O70" i="8"/>
  <c r="L69" i="9" s="1"/>
  <c r="U69" i="9" s="1"/>
  <c r="N70" i="8"/>
  <c r="K69" i="9" s="1"/>
  <c r="T69" i="9" s="1"/>
  <c r="Q70" i="8"/>
  <c r="N69" i="9" s="1"/>
  <c r="W69" i="9" s="1"/>
  <c r="U39" i="9"/>
  <c r="X39" i="9"/>
  <c r="Y38" i="9"/>
  <c r="AA41" i="9"/>
  <c r="V39" i="9"/>
  <c r="Z38" i="9"/>
  <c r="W39" i="9"/>
  <c r="X38" i="9"/>
  <c r="T39" i="9"/>
  <c r="P21" i="8"/>
  <c r="P30" i="8"/>
  <c r="P87" i="8" s="1"/>
  <c r="O21" i="8"/>
  <c r="U37" i="8" l="1"/>
  <c r="U34" i="8"/>
  <c r="P37" i="8"/>
  <c r="P34" i="8"/>
  <c r="AC19" i="9"/>
  <c r="O30" i="8"/>
  <c r="O87" i="8" s="1"/>
  <c r="L30" i="8"/>
  <c r="L87" i="8" s="1"/>
  <c r="M27" i="8"/>
  <c r="M21" i="8"/>
  <c r="AH15" i="8"/>
  <c r="L21" i="8"/>
  <c r="U79" i="8"/>
  <c r="R24" i="9"/>
  <c r="R29" i="9" s="1"/>
  <c r="R35" i="9" s="1"/>
  <c r="U27" i="8"/>
  <c r="K30" i="8"/>
  <c r="K87" i="8" s="1"/>
  <c r="K21" i="8"/>
  <c r="AH79" i="8"/>
  <c r="Y40" i="9"/>
  <c r="Z40" i="9"/>
  <c r="X40" i="9"/>
  <c r="AC40" i="9"/>
  <c r="U40" i="9"/>
  <c r="V40" i="9"/>
  <c r="T40" i="9"/>
  <c r="Z39" i="9"/>
  <c r="AG124" i="8"/>
  <c r="O77" i="8"/>
  <c r="O79" i="8" s="1"/>
  <c r="Y39" i="9"/>
  <c r="P77" i="8"/>
  <c r="P79" i="8" s="1"/>
  <c r="N15" i="8"/>
  <c r="AE103" i="8"/>
  <c r="AG103" i="8"/>
  <c r="AF103" i="8"/>
  <c r="AH103" i="8"/>
  <c r="Z41" i="9"/>
  <c r="P27" i="8"/>
  <c r="AG109" i="8"/>
  <c r="AH109" i="8"/>
  <c r="AC103" i="8"/>
  <c r="AE109" i="8"/>
  <c r="AC109" i="8"/>
  <c r="AF109" i="8"/>
  <c r="R109" i="8"/>
  <c r="Q77" i="8"/>
  <c r="Q79" i="8" s="1"/>
  <c r="N77" i="8"/>
  <c r="N79" i="8" s="1"/>
  <c r="Y41" i="9"/>
  <c r="AJ90" i="8"/>
  <c r="X41" i="9"/>
  <c r="AD103" i="8"/>
  <c r="AB103" i="8"/>
  <c r="AA103" i="8"/>
  <c r="V38" i="9"/>
  <c r="U38" i="9"/>
  <c r="W38" i="9"/>
  <c r="T38" i="9"/>
  <c r="W41" i="9"/>
  <c r="AC41" i="9" s="1"/>
  <c r="T41" i="9"/>
  <c r="U41" i="9"/>
  <c r="V41" i="9"/>
  <c r="N21" i="8"/>
  <c r="N30" i="8"/>
  <c r="N87" i="8" s="1"/>
  <c r="O27" i="8"/>
  <c r="O34" i="8" l="1"/>
  <c r="O37" i="8"/>
  <c r="K37" i="8"/>
  <c r="K34" i="8"/>
  <c r="L34" i="8"/>
  <c r="L37" i="8"/>
  <c r="N37" i="8"/>
  <c r="N34" i="8"/>
  <c r="U96" i="8"/>
  <c r="U117" i="8" s="1"/>
  <c r="P96" i="8"/>
  <c r="P117" i="8" s="1"/>
  <c r="X42" i="9"/>
  <c r="Y42" i="9"/>
  <c r="Z42" i="9"/>
  <c r="T42" i="9"/>
  <c r="AC38" i="9"/>
  <c r="W42" i="9"/>
  <c r="U42" i="9"/>
  <c r="V42" i="9"/>
  <c r="M30" i="8"/>
  <c r="M87" i="8" s="1"/>
  <c r="L27" i="8"/>
  <c r="AH20" i="8"/>
  <c r="AH26" i="8" s="1"/>
  <c r="U31" i="8"/>
  <c r="R17" i="9"/>
  <c r="R25" i="9"/>
  <c r="K27" i="8"/>
  <c r="AJ33" i="8"/>
  <c r="AJ103" i="8"/>
  <c r="AA39" i="9"/>
  <c r="AC39" i="9" s="1"/>
  <c r="AH124" i="8"/>
  <c r="AA32" i="9"/>
  <c r="AC32" i="9" s="1"/>
  <c r="AA27" i="9"/>
  <c r="AA45" i="9"/>
  <c r="R30" i="9"/>
  <c r="L31" i="8"/>
  <c r="N27" i="8"/>
  <c r="AA109" i="8"/>
  <c r="N109" i="8"/>
  <c r="AD109" i="8"/>
  <c r="AJ109" i="8" s="1"/>
  <c r="AB109" i="8"/>
  <c r="P31" i="8"/>
  <c r="O31" i="8"/>
  <c r="M37" i="8" l="1"/>
  <c r="M34" i="8"/>
  <c r="K96" i="8"/>
  <c r="K117" i="8" s="1"/>
  <c r="O96" i="8"/>
  <c r="O117" i="8" s="1"/>
  <c r="L96" i="8"/>
  <c r="L117" i="8" s="1"/>
  <c r="M31" i="8"/>
  <c r="AH21" i="8"/>
  <c r="AH30" i="8"/>
  <c r="AH87" i="8" s="1"/>
  <c r="AC27" i="9"/>
  <c r="AA6" i="9"/>
  <c r="AA10" i="9" s="1"/>
  <c r="AA16" i="9" s="1"/>
  <c r="AA24" i="9" s="1"/>
  <c r="AA29" i="9" s="1"/>
  <c r="AA35" i="9" s="1"/>
  <c r="AA42" i="9" s="1"/>
  <c r="K31" i="8"/>
  <c r="V17" i="9"/>
  <c r="R36" i="9"/>
  <c r="R42" i="9"/>
  <c r="R50" i="9" s="1"/>
  <c r="N31" i="8"/>
  <c r="AH37" i="8" l="1"/>
  <c r="AH34" i="8"/>
  <c r="M96" i="8"/>
  <c r="M117" i="8" s="1"/>
  <c r="AH31" i="8"/>
  <c r="AH27" i="8"/>
  <c r="U17" i="9"/>
  <c r="W25" i="9"/>
  <c r="W17" i="9"/>
  <c r="T17" i="9"/>
  <c r="V25" i="9"/>
  <c r="T25" i="9"/>
  <c r="Y11" i="9"/>
  <c r="AC6" i="9"/>
  <c r="R51" i="9"/>
  <c r="T30" i="9"/>
  <c r="N96" i="8"/>
  <c r="N117" i="8" s="1"/>
  <c r="U95" i="9" l="1" a="1"/>
  <c r="U95" i="9" s="1"/>
  <c r="V94" i="9"/>
  <c r="U25" i="9"/>
  <c r="X11" i="9"/>
  <c r="Y17" i="9"/>
  <c r="X17" i="9"/>
  <c r="AC10" i="9"/>
  <c r="AA11" i="9"/>
  <c r="AC11" i="9" s="1"/>
  <c r="U30" i="9"/>
  <c r="V30" i="9"/>
  <c r="Y25" i="9"/>
  <c r="AB117" i="8"/>
  <c r="AC117" i="8"/>
  <c r="AA117" i="8"/>
  <c r="T96" i="9" a="1"/>
  <c r="T96" i="9" s="1"/>
  <c r="T94" i="9"/>
  <c r="T95" i="9" a="1"/>
  <c r="T95" i="9" s="1"/>
  <c r="T93" i="9"/>
  <c r="T36" i="9"/>
  <c r="T92" i="9"/>
  <c r="B84" i="8"/>
  <c r="B83" i="8"/>
  <c r="H84" i="8"/>
  <c r="G84" i="8"/>
  <c r="F84" i="8"/>
  <c r="E84" i="8"/>
  <c r="H83" i="8"/>
  <c r="G83" i="8"/>
  <c r="F83" i="8"/>
  <c r="E83" i="8"/>
  <c r="B41" i="8"/>
  <c r="B40" i="8"/>
  <c r="AG41" i="8"/>
  <c r="AF41" i="8"/>
  <c r="AE41" i="8"/>
  <c r="AC41" i="8"/>
  <c r="AB41" i="8"/>
  <c r="AA41" i="8"/>
  <c r="AD41" i="8"/>
  <c r="AG40" i="8"/>
  <c r="AF40" i="8"/>
  <c r="AE40" i="8"/>
  <c r="AD40" i="8"/>
  <c r="AC40" i="8"/>
  <c r="AB40" i="8"/>
  <c r="AA40" i="8"/>
  <c r="V96" i="9" l="1" a="1"/>
  <c r="V96" i="9" s="1"/>
  <c r="U93" i="9"/>
  <c r="V36" i="9"/>
  <c r="V92" i="9"/>
  <c r="V95" i="9" a="1"/>
  <c r="V95" i="9" s="1"/>
  <c r="U96" i="9" a="1"/>
  <c r="U96" i="9" s="1"/>
  <c r="V93" i="9"/>
  <c r="U94" i="9"/>
  <c r="U36" i="9"/>
  <c r="U92" i="9"/>
  <c r="W92" i="9"/>
  <c r="W30" i="9"/>
  <c r="AA17" i="9"/>
  <c r="AC17" i="9" s="1"/>
  <c r="AC16" i="9"/>
  <c r="X25" i="9"/>
  <c r="Y30" i="9"/>
  <c r="AA83" i="8"/>
  <c r="AA84" i="8"/>
  <c r="AD83" i="8"/>
  <c r="AE83" i="8"/>
  <c r="AE84" i="8"/>
  <c r="AF84" i="8"/>
  <c r="AC83" i="8"/>
  <c r="AF83" i="8"/>
  <c r="AC84" i="8"/>
  <c r="AB84" i="8"/>
  <c r="AG83" i="8"/>
  <c r="AD84" i="8"/>
  <c r="AB83" i="8"/>
  <c r="AG84" i="8"/>
  <c r="W96" i="9" l="1" a="1"/>
  <c r="W96" i="9" s="1"/>
  <c r="W95" i="9" a="1"/>
  <c r="W95" i="9" s="1"/>
  <c r="W36" i="9"/>
  <c r="W93" i="9"/>
  <c r="W94" i="9"/>
  <c r="X30" i="9"/>
  <c r="AA25" i="9"/>
  <c r="AC25" i="9" s="1"/>
  <c r="AC24" i="9"/>
  <c r="Y94" i="9"/>
  <c r="Y36" i="9"/>
  <c r="Y96" i="9" a="1"/>
  <c r="Y96" i="9" s="1"/>
  <c r="Y95" i="9" a="1"/>
  <c r="Y95" i="9" s="1"/>
  <c r="Y92" i="9"/>
  <c r="Y93" i="9"/>
  <c r="AC29" i="9" l="1"/>
  <c r="AA30" i="9"/>
  <c r="AC30" i="9" s="1"/>
  <c r="X94" i="9"/>
  <c r="X93" i="9"/>
  <c r="X95" i="9" a="1"/>
  <c r="X95" i="9" s="1"/>
  <c r="X36" i="9"/>
  <c r="X96" i="9" a="1"/>
  <c r="X96" i="9" s="1"/>
  <c r="X92" i="9"/>
  <c r="AA94" i="9" l="1"/>
  <c r="AC35" i="9"/>
  <c r="AA95" i="9" a="1"/>
  <c r="AA95" i="9" s="1"/>
  <c r="AA36" i="9"/>
  <c r="AC36" i="9" s="1"/>
  <c r="AA93" i="9"/>
  <c r="AA92" i="9"/>
  <c r="AA96" i="9" a="1"/>
  <c r="AA96" i="9" s="1"/>
  <c r="AC42" i="9"/>
  <c r="R76" i="8" l="1"/>
  <c r="O87" i="9" s="1"/>
  <c r="T76" i="8"/>
  <c r="Q87" i="9" s="1"/>
  <c r="Z87" i="9" l="1"/>
  <c r="X87" i="9"/>
  <c r="X88" i="9" s="1"/>
  <c r="X97" i="9" s="1"/>
  <c r="S58" i="8"/>
  <c r="S76" i="8"/>
  <c r="P87" i="9" s="1"/>
  <c r="R11" i="9" l="1"/>
  <c r="R12" i="9"/>
  <c r="Y87" i="9"/>
  <c r="Y88" i="9" s="1"/>
  <c r="Y97" i="9" s="1"/>
  <c r="Z88" i="9"/>
  <c r="Z97" i="9" s="1"/>
  <c r="AB11" i="8" l="1"/>
  <c r="AB14" i="8" s="1"/>
  <c r="G58" i="8"/>
  <c r="F58" i="8"/>
  <c r="E58" i="8"/>
  <c r="H58" i="8"/>
  <c r="AC11" i="8" l="1"/>
  <c r="AC14" i="8" s="1"/>
  <c r="AC49" i="8"/>
  <c r="AC58" i="8" s="1"/>
  <c r="AC76" i="8"/>
  <c r="AA49" i="8"/>
  <c r="AA58" i="8" s="1"/>
  <c r="AC64" i="8"/>
  <c r="AC70" i="8" s="1"/>
  <c r="AB64" i="8"/>
  <c r="AB70" i="8" s="1"/>
  <c r="AB49" i="8"/>
  <c r="AB58" i="8" s="1"/>
  <c r="AA76" i="8"/>
  <c r="AA11" i="8"/>
  <c r="AA14" i="8" s="1"/>
  <c r="AA64" i="8"/>
  <c r="AA70" i="8" s="1"/>
  <c r="AB76" i="8"/>
  <c r="AE76" i="8"/>
  <c r="AE58" i="8"/>
  <c r="AF76" i="8"/>
  <c r="AE11" i="8"/>
  <c r="AE14" i="8" s="1"/>
  <c r="AE70" i="8"/>
  <c r="AF70" i="8"/>
  <c r="AD11" i="8"/>
  <c r="AD14" i="8" s="1"/>
  <c r="AF11" i="8"/>
  <c r="AF14" i="8" s="1"/>
  <c r="AF58" i="8"/>
  <c r="AJ14" i="8" l="1"/>
  <c r="AJ11" i="8"/>
  <c r="AB20" i="8"/>
  <c r="AC77" i="8"/>
  <c r="AC79" i="8" s="1"/>
  <c r="AA77" i="8"/>
  <c r="AA79" i="8" s="1"/>
  <c r="AB77" i="8"/>
  <c r="AB79" i="8" s="1"/>
  <c r="AB15" i="8"/>
  <c r="AE77" i="8"/>
  <c r="AE79" i="8" s="1"/>
  <c r="AF77" i="8"/>
  <c r="AF79" i="8" s="1"/>
  <c r="AB26" i="8" l="1"/>
  <c r="AD20" i="8"/>
  <c r="AD26" i="8" s="1"/>
  <c r="AE20" i="8"/>
  <c r="AE26" i="8" s="1"/>
  <c r="AA20" i="8"/>
  <c r="AA21" i="8" s="1"/>
  <c r="AC20" i="8"/>
  <c r="AB21" i="8"/>
  <c r="AF20" i="8"/>
  <c r="AF26" i="8" s="1"/>
  <c r="AE15" i="8"/>
  <c r="AD15" i="8"/>
  <c r="AJ15" i="8" s="1"/>
  <c r="AA15" i="8"/>
  <c r="AF15" i="8"/>
  <c r="AC15" i="8"/>
  <c r="Z17" i="9"/>
  <c r="AB30" i="8" l="1"/>
  <c r="AB87" i="8" s="1"/>
  <c r="AB27" i="8"/>
  <c r="AF21" i="8"/>
  <c r="AE30" i="8"/>
  <c r="AE87" i="8" s="1"/>
  <c r="AC26" i="8"/>
  <c r="AD30" i="8"/>
  <c r="AD87" i="8" s="1"/>
  <c r="AJ20" i="8"/>
  <c r="AE21" i="8"/>
  <c r="AD21" i="8"/>
  <c r="AJ21" i="8" s="1"/>
  <c r="AC21" i="8"/>
  <c r="AA26" i="8"/>
  <c r="AF30" i="8"/>
  <c r="AF87" i="8" s="1"/>
  <c r="Z94" i="9"/>
  <c r="Z25" i="9"/>
  <c r="AD34" i="8" l="1"/>
  <c r="AD37" i="8"/>
  <c r="AF37" i="8"/>
  <c r="AF34" i="8"/>
  <c r="AE34" i="8"/>
  <c r="AE37" i="8"/>
  <c r="AB37" i="8"/>
  <c r="AB34" i="8"/>
  <c r="AB31" i="8"/>
  <c r="AA30" i="8"/>
  <c r="AA87" i="8" s="1"/>
  <c r="AC30" i="8"/>
  <c r="AC87" i="8" s="1"/>
  <c r="AE27" i="8"/>
  <c r="AC27" i="8"/>
  <c r="AD27" i="8"/>
  <c r="AJ27" i="8" s="1"/>
  <c r="AJ26" i="8"/>
  <c r="AA27" i="8"/>
  <c r="AF27" i="8"/>
  <c r="Z30" i="9"/>
  <c r="AE31" i="8"/>
  <c r="AF31" i="8"/>
  <c r="AC34" i="8" l="1"/>
  <c r="AC37" i="8"/>
  <c r="AA34" i="8"/>
  <c r="AA37" i="8"/>
  <c r="AC31" i="8"/>
  <c r="AA31" i="8"/>
  <c r="AJ37" i="8"/>
  <c r="AJ34" i="8"/>
  <c r="AJ30" i="8"/>
  <c r="AD31" i="8"/>
  <c r="AJ31" i="8" s="1"/>
  <c r="Z96" i="9" a="1"/>
  <c r="Z96" i="9" s="1"/>
  <c r="Z36" i="9"/>
  <c r="Z95" i="9" a="1"/>
  <c r="Z95" i="9" s="1"/>
  <c r="Z92" i="9"/>
  <c r="Z93" i="9"/>
  <c r="AD70" i="8" l="1"/>
  <c r="AJ70" i="8" s="1"/>
  <c r="Q11" i="8" l="1"/>
  <c r="Q14" i="8" s="1"/>
  <c r="H11" i="8"/>
  <c r="H14" i="8" s="1"/>
  <c r="G11" i="8"/>
  <c r="G14" i="8" s="1"/>
  <c r="F11" i="8"/>
  <c r="F14" i="8" s="1"/>
  <c r="E11" i="8"/>
  <c r="E14" i="8" s="1"/>
  <c r="H76" i="8"/>
  <c r="F87" i="9" s="1"/>
  <c r="G76" i="8"/>
  <c r="E87" i="9" s="1"/>
  <c r="F76" i="8"/>
  <c r="D87" i="9" s="1"/>
  <c r="E76" i="8"/>
  <c r="C87" i="9" s="1"/>
  <c r="T70" i="8"/>
  <c r="Q69" i="9" s="1"/>
  <c r="Z69" i="9" s="1"/>
  <c r="R70" i="8"/>
  <c r="O69" i="9" s="1"/>
  <c r="X69" i="9" s="1"/>
  <c r="AG11" i="8"/>
  <c r="AG14" i="8" s="1"/>
  <c r="P88" i="9"/>
  <c r="P97" i="9" s="1"/>
  <c r="H88" i="9"/>
  <c r="H97" i="9" s="1"/>
  <c r="E20" i="8" l="1"/>
  <c r="E26" i="8" s="1"/>
  <c r="F20" i="8"/>
  <c r="F26" i="8" s="1"/>
  <c r="G20" i="8"/>
  <c r="G26" i="8" s="1"/>
  <c r="H20" i="8"/>
  <c r="H26" i="8" s="1"/>
  <c r="Q20" i="8"/>
  <c r="Q26" i="8" s="1"/>
  <c r="E70" i="8"/>
  <c r="C69" i="9" s="1"/>
  <c r="G70" i="8"/>
  <c r="E69" i="9" s="1"/>
  <c r="F70" i="8"/>
  <c r="D69" i="9" s="1"/>
  <c r="I88" i="9"/>
  <c r="I97" i="9" s="1"/>
  <c r="Q88" i="9"/>
  <c r="Q97" i="9" s="1"/>
  <c r="D88" i="9"/>
  <c r="D97" i="9" s="1"/>
  <c r="J88" i="9"/>
  <c r="J97" i="9" s="1"/>
  <c r="F88" i="9"/>
  <c r="F97" i="9" s="1"/>
  <c r="J24" i="9"/>
  <c r="J29" i="9" s="1"/>
  <c r="J35" i="9" s="1"/>
  <c r="P11" i="9"/>
  <c r="E88" i="9"/>
  <c r="E97" i="9" s="1"/>
  <c r="P12" i="9"/>
  <c r="AD76" i="8"/>
  <c r="T20" i="8"/>
  <c r="T26" i="8" s="1"/>
  <c r="S70" i="8"/>
  <c r="P69" i="9" s="1"/>
  <c r="Y69" i="9" s="1"/>
  <c r="AG70" i="8"/>
  <c r="AG76" i="8"/>
  <c r="F24" i="9"/>
  <c r="F29" i="9" s="1"/>
  <c r="F35" i="9" s="1"/>
  <c r="F11" i="9"/>
  <c r="D24" i="9"/>
  <c r="D29" i="9" s="1"/>
  <c r="D35" i="9" s="1"/>
  <c r="D11" i="9"/>
  <c r="E24" i="9"/>
  <c r="E29" i="9" s="1"/>
  <c r="E35" i="9" s="1"/>
  <c r="E11" i="9"/>
  <c r="L88" i="9"/>
  <c r="L97" i="9" s="1"/>
  <c r="C24" i="9"/>
  <c r="C29" i="9" s="1"/>
  <c r="C35" i="9" s="1"/>
  <c r="M88" i="9"/>
  <c r="M97" i="9" s="1"/>
  <c r="N88" i="9"/>
  <c r="N97" i="9" s="1"/>
  <c r="AD77" i="8" l="1"/>
  <c r="AJ77" i="8" s="1"/>
  <c r="AJ76" i="8"/>
  <c r="F77" i="8"/>
  <c r="F79" i="8" s="1"/>
  <c r="T30" i="8"/>
  <c r="T87" i="8" s="1"/>
  <c r="H30" i="8"/>
  <c r="Q21" i="8"/>
  <c r="E30" i="8"/>
  <c r="F30" i="8"/>
  <c r="G21" i="8"/>
  <c r="E77" i="8"/>
  <c r="E79" i="8" s="1"/>
  <c r="Q15" i="8"/>
  <c r="E15" i="8"/>
  <c r="O88" i="9"/>
  <c r="O97" i="9" s="1"/>
  <c r="R77" i="8"/>
  <c r="R79" i="8" s="1"/>
  <c r="AJ49" i="8"/>
  <c r="T77" i="8"/>
  <c r="T79" i="8" s="1"/>
  <c r="G77" i="8"/>
  <c r="G79" i="8" s="1"/>
  <c r="H77" i="8"/>
  <c r="H79" i="8" s="1"/>
  <c r="K88" i="9"/>
  <c r="K97" i="9" s="1"/>
  <c r="K12" i="9"/>
  <c r="O11" i="9"/>
  <c r="L11" i="9"/>
  <c r="M12" i="9"/>
  <c r="O24" i="9"/>
  <c r="O29" i="9" s="1"/>
  <c r="O35" i="9" s="1"/>
  <c r="J12" i="9"/>
  <c r="L12" i="9"/>
  <c r="I12" i="9"/>
  <c r="M24" i="9"/>
  <c r="M29" i="9" s="1"/>
  <c r="M35" i="9" s="1"/>
  <c r="K24" i="9"/>
  <c r="K29" i="9" s="1"/>
  <c r="K35" i="9" s="1"/>
  <c r="M11" i="9"/>
  <c r="AG58" i="8"/>
  <c r="G15" i="8"/>
  <c r="H15" i="8"/>
  <c r="F15" i="8"/>
  <c r="AG20" i="8"/>
  <c r="AG26" i="8" s="1"/>
  <c r="T15" i="8"/>
  <c r="J17" i="9"/>
  <c r="E17" i="9"/>
  <c r="N11" i="9"/>
  <c r="N24" i="9"/>
  <c r="N29" i="9" s="1"/>
  <c r="N35" i="9" s="1"/>
  <c r="N12" i="9"/>
  <c r="P24" i="9"/>
  <c r="P29" i="9" s="1"/>
  <c r="P35" i="9" s="1"/>
  <c r="Z11" i="9"/>
  <c r="I24" i="9"/>
  <c r="I29" i="9" s="1"/>
  <c r="I35" i="9" s="1"/>
  <c r="O12" i="9"/>
  <c r="C17" i="9"/>
  <c r="Q11" i="9"/>
  <c r="Q24" i="9"/>
  <c r="Q29" i="9" s="1"/>
  <c r="Q35" i="9" s="1"/>
  <c r="Q12" i="9"/>
  <c r="H24" i="9"/>
  <c r="H29" i="9" s="1"/>
  <c r="H35" i="9" s="1"/>
  <c r="F17" i="9"/>
  <c r="L24" i="9"/>
  <c r="L29" i="9" s="1"/>
  <c r="L35" i="9" s="1"/>
  <c r="D17" i="9"/>
  <c r="F37" i="8" l="1"/>
  <c r="F34" i="8"/>
  <c r="E34" i="8"/>
  <c r="E37" i="8"/>
  <c r="H34" i="8"/>
  <c r="H37" i="8"/>
  <c r="T34" i="8"/>
  <c r="T37" i="8"/>
  <c r="R92" i="9"/>
  <c r="M17" i="9"/>
  <c r="M25" i="9"/>
  <c r="T21" i="8"/>
  <c r="H21" i="8"/>
  <c r="E21" i="8"/>
  <c r="G30" i="8"/>
  <c r="Q30" i="8"/>
  <c r="Q87" i="8" s="1"/>
  <c r="F21" i="8"/>
  <c r="AD58" i="8"/>
  <c r="AG30" i="8"/>
  <c r="AG87" i="8" s="1"/>
  <c r="F27" i="8"/>
  <c r="T27" i="8"/>
  <c r="AG21" i="8"/>
  <c r="H27" i="8"/>
  <c r="AG77" i="8"/>
  <c r="S77" i="8"/>
  <c r="S79" i="8" s="1"/>
  <c r="O17" i="9"/>
  <c r="K17" i="9"/>
  <c r="H31" i="8"/>
  <c r="E27" i="8"/>
  <c r="AG15" i="8"/>
  <c r="D94" i="9"/>
  <c r="D25" i="9"/>
  <c r="C94" i="9"/>
  <c r="C25" i="9"/>
  <c r="L17" i="9"/>
  <c r="E94" i="9"/>
  <c r="E25" i="9"/>
  <c r="J25" i="9"/>
  <c r="Q17" i="9"/>
  <c r="N17" i="9"/>
  <c r="O25" i="9"/>
  <c r="K25" i="9"/>
  <c r="F25" i="9"/>
  <c r="F94" i="9"/>
  <c r="P17" i="9"/>
  <c r="H17" i="9"/>
  <c r="I17" i="9"/>
  <c r="Q34" i="8" l="1"/>
  <c r="Q37" i="8"/>
  <c r="G34" i="8"/>
  <c r="G37" i="8"/>
  <c r="AG37" i="8"/>
  <c r="AG34" i="8"/>
  <c r="T96" i="8"/>
  <c r="T117" i="8" s="1"/>
  <c r="H96" i="8"/>
  <c r="H117" i="8" s="1"/>
  <c r="F96" i="8"/>
  <c r="E96" i="8"/>
  <c r="AD79" i="8"/>
  <c r="AJ58" i="8"/>
  <c r="G27" i="8"/>
  <c r="G31" i="8"/>
  <c r="Q27" i="8"/>
  <c r="F31" i="8"/>
  <c r="T31" i="8"/>
  <c r="E31" i="8"/>
  <c r="AG79" i="8"/>
  <c r="AG27" i="8"/>
  <c r="F30" i="9"/>
  <c r="I25" i="9"/>
  <c r="O30" i="9"/>
  <c r="E30" i="9"/>
  <c r="C30" i="9"/>
  <c r="J30" i="9"/>
  <c r="N25" i="9"/>
  <c r="D30" i="9"/>
  <c r="P25" i="9"/>
  <c r="L25" i="9"/>
  <c r="H25" i="9"/>
  <c r="K30" i="9"/>
  <c r="Q25" i="9"/>
  <c r="G96" i="8" l="1"/>
  <c r="G117" i="8" s="1"/>
  <c r="Q96" i="8"/>
  <c r="Q117" i="8" s="1"/>
  <c r="AD117" i="8" s="1"/>
  <c r="Q31" i="8"/>
  <c r="R96" i="9" a="1"/>
  <c r="R96" i="9" s="1"/>
  <c r="R93" i="9"/>
  <c r="R94" i="9" a="1"/>
  <c r="R94" i="9" s="1"/>
  <c r="R95" i="9" a="1"/>
  <c r="R95" i="9" s="1"/>
  <c r="L94" i="9" a="1"/>
  <c r="L94" i="9" s="1"/>
  <c r="K94" i="9" a="1"/>
  <c r="K94" i="9" s="1"/>
  <c r="Q94" i="9" a="1"/>
  <c r="Q94" i="9" s="1"/>
  <c r="I94" i="9" a="1"/>
  <c r="I94" i="9" s="1"/>
  <c r="P94" i="9" a="1"/>
  <c r="P94" i="9" s="1"/>
  <c r="O94" i="9" a="1"/>
  <c r="O94" i="9" s="1"/>
  <c r="H94" i="9" a="1"/>
  <c r="H94" i="9" s="1"/>
  <c r="M94" i="9" a="1"/>
  <c r="M94" i="9" s="1"/>
  <c r="J94" i="9" a="1"/>
  <c r="J94" i="9" s="1"/>
  <c r="N94" i="9" a="1"/>
  <c r="N94" i="9" s="1"/>
  <c r="F117" i="8"/>
  <c r="E117" i="8"/>
  <c r="AC96" i="8"/>
  <c r="M30" i="9"/>
  <c r="H30" i="9"/>
  <c r="L30" i="9"/>
  <c r="M96" i="9" a="1"/>
  <c r="M96" i="9" s="1"/>
  <c r="I30" i="9"/>
  <c r="C95" i="9" a="1"/>
  <c r="C95" i="9" s="1"/>
  <c r="C96" i="9" a="1"/>
  <c r="C96" i="9" s="1"/>
  <c r="C42" i="9"/>
  <c r="C36" i="9"/>
  <c r="E96" i="9" a="1"/>
  <c r="E96" i="9" s="1"/>
  <c r="E95" i="9" a="1"/>
  <c r="E95" i="9" s="1"/>
  <c r="E36" i="9"/>
  <c r="E42" i="9"/>
  <c r="E50" i="9" s="1"/>
  <c r="E92" i="9"/>
  <c r="E93" i="9"/>
  <c r="F95" i="9" a="1"/>
  <c r="F95" i="9" s="1"/>
  <c r="F96" i="9" a="1"/>
  <c r="F96" i="9" s="1"/>
  <c r="F36" i="9"/>
  <c r="F93" i="9"/>
  <c r="F42" i="9"/>
  <c r="F50" i="9" s="1"/>
  <c r="F92" i="9"/>
  <c r="M36" i="9"/>
  <c r="M42" i="9"/>
  <c r="M50" i="9" s="1"/>
  <c r="Q30" i="9"/>
  <c r="P30" i="9"/>
  <c r="K42" i="9"/>
  <c r="K50" i="9" s="1"/>
  <c r="K36" i="9"/>
  <c r="J42" i="9"/>
  <c r="J50" i="9" s="1"/>
  <c r="J36" i="9"/>
  <c r="N30" i="9"/>
  <c r="D96" i="9" a="1"/>
  <c r="D96" i="9" s="1"/>
  <c r="D42" i="9"/>
  <c r="D50" i="9" s="1"/>
  <c r="D36" i="9"/>
  <c r="D95" i="9" a="1"/>
  <c r="D95" i="9" s="1"/>
  <c r="D93" i="9"/>
  <c r="D92" i="9"/>
  <c r="O36" i="9"/>
  <c r="O42" i="9"/>
  <c r="O50" i="9" s="1"/>
  <c r="AD96" i="8" l="1"/>
  <c r="AA96" i="8"/>
  <c r="AB96" i="8"/>
  <c r="AG31" i="8"/>
  <c r="M95" i="9" a="1"/>
  <c r="M95" i="9" s="1"/>
  <c r="C51" i="9"/>
  <c r="P95" i="9" a="1"/>
  <c r="P95" i="9" s="1"/>
  <c r="N95" i="9" a="1"/>
  <c r="N95" i="9" s="1"/>
  <c r="P93" i="9"/>
  <c r="I96" i="9" a="1"/>
  <c r="I96" i="9" s="1"/>
  <c r="I95" i="9" a="1"/>
  <c r="I95" i="9" s="1"/>
  <c r="I92" i="9"/>
  <c r="I93" i="9"/>
  <c r="H95" i="9" a="1"/>
  <c r="H95" i="9" s="1"/>
  <c r="L42" i="9"/>
  <c r="L50" i="9" s="1"/>
  <c r="V50" i="9" s="1"/>
  <c r="V51" i="9" s="1"/>
  <c r="O95" i="9" a="1"/>
  <c r="O95" i="9" s="1"/>
  <c r="O96" i="9" a="1"/>
  <c r="O96" i="9" s="1"/>
  <c r="L36" i="9"/>
  <c r="O92" i="9"/>
  <c r="O93" i="9"/>
  <c r="M93" i="9"/>
  <c r="N92" i="9"/>
  <c r="F51" i="9"/>
  <c r="M92" i="9"/>
  <c r="J95" i="9" a="1"/>
  <c r="J95" i="9" s="1"/>
  <c r="J96" i="9" a="1"/>
  <c r="J96" i="9" s="1"/>
  <c r="J92" i="9"/>
  <c r="J93" i="9"/>
  <c r="E51" i="9"/>
  <c r="H92" i="9"/>
  <c r="P42" i="9"/>
  <c r="P50" i="9" s="1"/>
  <c r="P36" i="9"/>
  <c r="L96" i="9" a="1"/>
  <c r="L96" i="9" s="1"/>
  <c r="I42" i="9"/>
  <c r="I50" i="9" s="1"/>
  <c r="I36" i="9"/>
  <c r="L95" i="9" a="1"/>
  <c r="L95" i="9" s="1"/>
  <c r="L92" i="9"/>
  <c r="L93" i="9"/>
  <c r="N96" i="9" a="1"/>
  <c r="N96" i="9" s="1"/>
  <c r="P92" i="9"/>
  <c r="H96" i="9" a="1"/>
  <c r="H96" i="9" s="1"/>
  <c r="D51" i="9"/>
  <c r="Q96" i="9" a="1"/>
  <c r="Q96" i="9" s="1"/>
  <c r="Q95" i="9" a="1"/>
  <c r="Q95" i="9" s="1"/>
  <c r="Q92" i="9"/>
  <c r="N36" i="9"/>
  <c r="N42" i="9"/>
  <c r="N50" i="9" s="1"/>
  <c r="Q93" i="9"/>
  <c r="O51" i="9"/>
  <c r="P96" i="9" a="1"/>
  <c r="P96" i="9" s="1"/>
  <c r="K95" i="9" a="1"/>
  <c r="K95" i="9" s="1"/>
  <c r="K96" i="9" a="1"/>
  <c r="K96" i="9" s="1"/>
  <c r="H42" i="9"/>
  <c r="H36" i="9"/>
  <c r="K92" i="9"/>
  <c r="K93" i="9"/>
  <c r="N93" i="9"/>
  <c r="Q36" i="9"/>
  <c r="Q42" i="9"/>
  <c r="Q50" i="9" s="1"/>
  <c r="H93" i="9"/>
  <c r="Z50" i="9" l="1"/>
  <c r="Z51" i="9" s="1"/>
  <c r="U50" i="9"/>
  <c r="U51" i="9" s="1"/>
  <c r="T50" i="9"/>
  <c r="T51" i="9" s="1"/>
  <c r="X50" i="9"/>
  <c r="X51" i="9" s="1"/>
  <c r="Y50" i="9"/>
  <c r="Y51" i="9" s="1"/>
  <c r="W50" i="9"/>
  <c r="W51" i="9" s="1"/>
  <c r="AA50" i="9"/>
  <c r="AA51" i="9" s="1"/>
  <c r="P51" i="9"/>
  <c r="Q51" i="9"/>
  <c r="N51" i="9"/>
  <c r="M51" i="9"/>
  <c r="H51" i="9"/>
  <c r="J51" i="9"/>
  <c r="K51" i="9"/>
  <c r="I51" i="9" l="1"/>
  <c r="L51" i="9"/>
  <c r="E113" i="8" l="1"/>
  <c r="E118" i="8" s="1"/>
  <c r="E120" i="8" s="1"/>
  <c r="F111" i="8" l="1"/>
  <c r="F113" i="8" s="1"/>
  <c r="F118" i="8" s="1"/>
  <c r="F120" i="8" s="1"/>
  <c r="G111" i="8" l="1"/>
  <c r="G113" i="8" l="1"/>
  <c r="AA111" i="8"/>
  <c r="G118" i="8" l="1"/>
  <c r="G120" i="8" s="1"/>
  <c r="H111" i="8" l="1"/>
  <c r="H113" i="8" s="1"/>
  <c r="H118" i="8" s="1"/>
  <c r="K113" i="8"/>
  <c r="K118" i="8" s="1"/>
  <c r="H120" i="8" l="1"/>
  <c r="I111" i="8"/>
  <c r="I113" i="8" s="1"/>
  <c r="I118" i="8" s="1"/>
  <c r="I120" i="8" s="1"/>
  <c r="K120" i="8"/>
  <c r="L111" i="8"/>
  <c r="L113" i="8" s="1"/>
  <c r="L118" i="8" s="1"/>
  <c r="AB111" i="8"/>
  <c r="L120" i="8" l="1"/>
  <c r="M111" i="8"/>
  <c r="M113" i="8" s="1"/>
  <c r="M118" i="8" s="1"/>
  <c r="M120" i="8" s="1"/>
  <c r="AC111" i="8"/>
  <c r="AD111" i="8" l="1"/>
  <c r="N111" i="8"/>
  <c r="N113" i="8" s="1"/>
  <c r="N118" i="8" s="1"/>
  <c r="N120" i="8" s="1"/>
  <c r="AE111" i="8" l="1"/>
  <c r="O111" i="8"/>
  <c r="O113" i="8" s="1"/>
  <c r="O118" i="8" s="1"/>
  <c r="O120" i="8" s="1"/>
  <c r="AF111" i="8" l="1"/>
  <c r="AB113" i="8"/>
  <c r="AB118" i="8" s="1"/>
  <c r="AB120" i="8" s="1"/>
  <c r="P111" i="8"/>
  <c r="P113" i="8" s="1"/>
  <c r="P118" i="8" s="1"/>
  <c r="P120" i="8" s="1"/>
  <c r="AG111" i="8" l="1"/>
  <c r="AC113" i="8"/>
  <c r="AC118" i="8" s="1"/>
  <c r="AC120" i="8" s="1"/>
  <c r="Q111" i="8"/>
  <c r="Q113" i="8" s="1"/>
  <c r="Q118" i="8" s="1"/>
  <c r="Q120" i="8" s="1"/>
  <c r="AH111" i="8" l="1"/>
  <c r="AD113" i="8"/>
  <c r="AD118" i="8" s="1"/>
  <c r="AD120" i="8" s="1"/>
  <c r="R111" i="8"/>
  <c r="R113" i="8" s="1"/>
  <c r="S11" i="8" l="1"/>
  <c r="S14" i="8" s="1"/>
  <c r="S20" i="8" l="1"/>
  <c r="S26" i="8" s="1"/>
  <c r="S30" i="8" l="1"/>
  <c r="S87" i="8" s="1"/>
  <c r="S15" i="8"/>
  <c r="S34" i="8" l="1"/>
  <c r="S37" i="8"/>
  <c r="S21" i="8"/>
  <c r="S27" i="8"/>
  <c r="S31" i="8" l="1"/>
  <c r="S96" i="8" l="1"/>
  <c r="S117" i="8" s="1"/>
  <c r="R11" i="8"/>
  <c r="R14" i="8" s="1"/>
  <c r="R20" i="8" l="1"/>
  <c r="R26" i="8" s="1"/>
  <c r="R15" i="8" l="1"/>
  <c r="R30" i="8"/>
  <c r="R87" i="8" s="1"/>
  <c r="R34" i="8" l="1"/>
  <c r="R37" i="8"/>
  <c r="R21" i="8"/>
  <c r="R27" i="8"/>
  <c r="R31" i="8" l="1"/>
  <c r="AH96" i="8" l="1"/>
  <c r="AJ96" i="8" s="1"/>
  <c r="AJ87" i="8"/>
  <c r="AE96" i="8"/>
  <c r="AF96" i="8"/>
  <c r="R96" i="8"/>
  <c r="R117" i="8" s="1"/>
  <c r="R118" i="8" l="1"/>
  <c r="R120" i="8" s="1"/>
  <c r="AH117" i="8"/>
  <c r="AG117" i="8"/>
  <c r="AF117" i="8"/>
  <c r="AE117" i="8"/>
  <c r="AE113" i="8"/>
  <c r="AG96" i="8"/>
  <c r="S111" i="8" l="1"/>
  <c r="S113" i="8" s="1"/>
  <c r="S118" i="8" s="1"/>
  <c r="S120" i="8" s="1"/>
  <c r="AE118" i="8"/>
  <c r="AE120" i="8" s="1"/>
  <c r="AF113" i="8"/>
  <c r="AF118" i="8" s="1"/>
  <c r="AF120" i="8" s="1"/>
  <c r="T111" i="8" l="1"/>
  <c r="T113" i="8" s="1"/>
  <c r="T118" i="8" s="1"/>
  <c r="T120" i="8" s="1"/>
  <c r="AG113" i="8"/>
  <c r="AG118" i="8" s="1"/>
  <c r="AG120" i="8" s="1"/>
  <c r="AA113" i="8"/>
  <c r="AA118" i="8" s="1"/>
  <c r="AA120" i="8" s="1"/>
  <c r="U111" i="8" l="1"/>
  <c r="U113" i="8" s="1"/>
  <c r="U118" i="8" s="1"/>
  <c r="AH113" i="8"/>
  <c r="AH118" i="8" s="1"/>
  <c r="AH120" i="8" s="1"/>
  <c r="U120" i="8" l="1"/>
  <c r="V111" i="8"/>
  <c r="V113" i="8" s="1"/>
  <c r="V118" i="8" s="1"/>
  <c r="C88" i="9"/>
  <c r="C97" i="9" s="1"/>
  <c r="C92" i="9"/>
  <c r="C93" i="9"/>
  <c r="V120" i="8" l="1"/>
  <c r="W111" i="8"/>
  <c r="W113" i="8" s="1"/>
  <c r="W118" i="8" s="1"/>
  <c r="W120" i="8" l="1"/>
  <c r="X111" i="8"/>
  <c r="X113" i="8" s="1"/>
  <c r="X118" i="8" s="1"/>
  <c r="X120" i="8" l="1"/>
  <c r="Y111" i="8"/>
  <c r="Y113" i="8" s="1"/>
  <c r="Y118" i="8" s="1"/>
  <c r="Y120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<sst xmlns="http://schemas.openxmlformats.org/spreadsheetml/2006/main" count="254" uniqueCount="202">
  <si>
    <t>FYE</t>
  </si>
  <si>
    <t>Quarterly</t>
  </si>
  <si>
    <t>1Q24</t>
  </si>
  <si>
    <t>2Q24</t>
  </si>
  <si>
    <t>3Q24</t>
  </si>
  <si>
    <t>4Q24</t>
  </si>
  <si>
    <t>1Q23</t>
  </si>
  <si>
    <t>2Q23</t>
  </si>
  <si>
    <t>3Q23</t>
  </si>
  <si>
    <t>4Q23</t>
  </si>
  <si>
    <t>LTM</t>
  </si>
  <si>
    <t>EBITDA</t>
  </si>
  <si>
    <t>Total Revenue</t>
  </si>
  <si>
    <t>Cash-Flows Statement</t>
  </si>
  <si>
    <t>Total stockholders' equity</t>
  </si>
  <si>
    <t>Total Liabilities</t>
  </si>
  <si>
    <t>X</t>
  </si>
  <si>
    <t>Total Current Liabilities</t>
  </si>
  <si>
    <t>Total Current Assets</t>
  </si>
  <si>
    <t>Total Assets</t>
  </si>
  <si>
    <t>Gross Profit</t>
  </si>
  <si>
    <t>Total Debt</t>
  </si>
  <si>
    <t>Variance</t>
  </si>
  <si>
    <t>FCF Analysis</t>
  </si>
  <si>
    <t>1Q25</t>
  </si>
  <si>
    <t>2Q25</t>
  </si>
  <si>
    <t>Y/Y Growth (%)</t>
  </si>
  <si>
    <t>Q/Q Growth (%)</t>
  </si>
  <si>
    <t>N/A</t>
  </si>
  <si>
    <t>Gross Margin (%)</t>
  </si>
  <si>
    <t>Earning before Interest &amp; Taxes (EBIT)</t>
  </si>
  <si>
    <t>Operating Margin (%)</t>
  </si>
  <si>
    <t>EBITDA Margin (%)</t>
  </si>
  <si>
    <t>Adj. EBITDA</t>
  </si>
  <si>
    <t>Adj. EBITDA Margin (%)</t>
  </si>
  <si>
    <t>(-) Capital Expenditures</t>
  </si>
  <si>
    <t>(-) Cash Taxes</t>
  </si>
  <si>
    <t>(+/-) Changes in NWC</t>
  </si>
  <si>
    <t>Discretionary Cash-Flows</t>
  </si>
  <si>
    <t>Free-Cash Flows</t>
  </si>
  <si>
    <t>Capitalization</t>
  </si>
  <si>
    <t>Cash &amp; Cash Equivelants</t>
  </si>
  <si>
    <t>Total Liquidity</t>
  </si>
  <si>
    <t>Balance Sheet Metrics:</t>
  </si>
  <si>
    <t>Accounts Payable</t>
  </si>
  <si>
    <t>Current Liabilities</t>
  </si>
  <si>
    <t>Total Shareholder Equity</t>
  </si>
  <si>
    <t>Total Book Capitalization</t>
  </si>
  <si>
    <t>Debt-to-Book Capitalization</t>
  </si>
  <si>
    <t>Total liabilities and stockholders' equity</t>
  </si>
  <si>
    <t>Cash-Flows From Operating Activities</t>
  </si>
  <si>
    <t>Net cash used in operating activities</t>
  </si>
  <si>
    <t>Cash flows from investing activities:</t>
  </si>
  <si>
    <t>Net cash used in investing activities</t>
  </si>
  <si>
    <t>Cash flows from financing activities:</t>
  </si>
  <si>
    <t>Net cash provided by financing activities</t>
  </si>
  <si>
    <t>Consolidated Revenue</t>
  </si>
  <si>
    <t>Adjustments to reconcile net income:</t>
  </si>
  <si>
    <t>Balance Check</t>
  </si>
  <si>
    <t>Net Change in Cash</t>
  </si>
  <si>
    <t>Cash paid during the period for:</t>
  </si>
  <si>
    <t>3Q25</t>
  </si>
  <si>
    <t>Basic EPS</t>
  </si>
  <si>
    <t>Fully Diluted Shares</t>
  </si>
  <si>
    <t>Segment Anaysis</t>
  </si>
  <si>
    <t>Total Net Revenue</t>
  </si>
  <si>
    <t xml:space="preserve">(+/-) Other </t>
  </si>
  <si>
    <t>Credit Metrics</t>
  </si>
  <si>
    <t>Adjusted Cash Position BOP</t>
  </si>
  <si>
    <t>Adjusted Cash Position EOP</t>
  </si>
  <si>
    <t xml:space="preserve">(-) Cash Interest </t>
  </si>
  <si>
    <t>$ mm except per share</t>
  </si>
  <si>
    <t>Income Statement</t>
  </si>
  <si>
    <t xml:space="preserve">Balance Sheet </t>
  </si>
  <si>
    <t>Historical Financials</t>
  </si>
  <si>
    <t>Fiscal Period</t>
  </si>
  <si>
    <t>Fiscal Period End Date</t>
  </si>
  <si>
    <t>Operating Profit</t>
  </si>
  <si>
    <t>Current Assets</t>
  </si>
  <si>
    <t>Non-Current Assets</t>
  </si>
  <si>
    <t>Non-Current Liabilities</t>
  </si>
  <si>
    <t>Unrestricted Cash BOP</t>
  </si>
  <si>
    <t>EOP FX Adjustment</t>
  </si>
  <si>
    <t>Fully Diluted EPS</t>
  </si>
  <si>
    <t>Basic Shares</t>
  </si>
  <si>
    <t>Cash Position Variance Check</t>
  </si>
  <si>
    <t>(+/-) Divestiture / Acquisitions</t>
  </si>
  <si>
    <t>LTM Total Leverage</t>
  </si>
  <si>
    <t>LTM Net Leverage</t>
  </si>
  <si>
    <t xml:space="preserve">LTM Interest Coverage </t>
  </si>
  <si>
    <t>LTM Debt Service Coverage</t>
  </si>
  <si>
    <t>LTM Fixed Charge Coverage</t>
  </si>
  <si>
    <t>EOP Restricted Cash Adjustment</t>
  </si>
  <si>
    <t>Interest paid</t>
  </si>
  <si>
    <t>BOP Restricted Cash Adjustment</t>
  </si>
  <si>
    <t>(+/-) Proceeds / (Purchases) of ST Investments</t>
  </si>
  <si>
    <t>(-) 'Proceeds from issuance of Debt / (Repayment), net</t>
  </si>
  <si>
    <t>(+/-) Changes in Other Financing Activities</t>
  </si>
  <si>
    <t>Summary Debt:</t>
  </si>
  <si>
    <t>CPLTD</t>
  </si>
  <si>
    <t>LTD</t>
  </si>
  <si>
    <t>Property and Equipment, net</t>
  </si>
  <si>
    <t>(+) Depreciation and Amortization</t>
  </si>
  <si>
    <t>Margin (%)</t>
  </si>
  <si>
    <t>Income tax provision (benefit)</t>
  </si>
  <si>
    <t>Net Income</t>
  </si>
  <si>
    <t>Inventories</t>
  </si>
  <si>
    <t>Goodwill</t>
  </si>
  <si>
    <t>Acquisition-related intangibles</t>
  </si>
  <si>
    <t xml:space="preserve">Income taxes paid </t>
  </si>
  <si>
    <t>Data Center</t>
  </si>
  <si>
    <t>4.393% Senior Notes Due 2052 (4.393% Notes)</t>
  </si>
  <si>
    <t>3.924% Senior Notes Due 2032 (3.924% Notes)</t>
  </si>
  <si>
    <t>2.375% Senior Notes Due 2030 (2.375% Notes)</t>
  </si>
  <si>
    <t>2.950% Senior Notes Due 2024 (2.950% Notes)</t>
  </si>
  <si>
    <t>2.125% Convertible Senior Notes Due 2026 (2.125% Notes)</t>
  </si>
  <si>
    <t>Income from continuing operations, net of tax</t>
  </si>
  <si>
    <t>(-) Cost of Sales</t>
  </si>
  <si>
    <t xml:space="preserve">(-) Amortization of acquisition-related intangibles	</t>
  </si>
  <si>
    <t>(-) Restructuring charges</t>
  </si>
  <si>
    <t>(-) Licensing gain</t>
  </si>
  <si>
    <t>(-) Research and Development</t>
  </si>
  <si>
    <t>(-) Marketing, General and Administrative</t>
  </si>
  <si>
    <t xml:space="preserve">(+) Amortization of acquisition-related intangibles	</t>
  </si>
  <si>
    <t>(+) Stock-Based Compensation</t>
  </si>
  <si>
    <t>(+) Restructuring charges</t>
  </si>
  <si>
    <t>(+) Licensing gain</t>
  </si>
  <si>
    <t>(-) Purchases of strategic investments</t>
  </si>
  <si>
    <t>(-) Share Repurchases</t>
  </si>
  <si>
    <t>Short-Term Investments</t>
  </si>
  <si>
    <t>7.50% Senior Notes Due August 2022 (7.50% Notes)</t>
  </si>
  <si>
    <t>4.212% Senior Notes Due 2026 (4.212% Notes)</t>
  </si>
  <si>
    <t>4.319% Senior Notes Due 2028 (4.319% Notes)</t>
  </si>
  <si>
    <t>L/C Availability</t>
  </si>
  <si>
    <t>Swingline Availability</t>
  </si>
  <si>
    <t>$3.0Bn Commercial Paper Program</t>
  </si>
  <si>
    <t>$3.0Bn Sr. Unsecured RCF (CP Backstop)</t>
  </si>
  <si>
    <t xml:space="preserve">Revolver Utilization </t>
  </si>
  <si>
    <t>Accounts Receivable</t>
  </si>
  <si>
    <t>Cost of Goods Sold</t>
  </si>
  <si>
    <t>Selling, General, and Administrative Expenses</t>
  </si>
  <si>
    <t>Research and Development</t>
  </si>
  <si>
    <t>Other Income</t>
  </si>
  <si>
    <t>Intangible Assets</t>
  </si>
  <si>
    <t>Retained Earnings</t>
  </si>
  <si>
    <t>Depreciation &amp; Amortisation</t>
  </si>
  <si>
    <t>Deferred Tax</t>
  </si>
  <si>
    <t>Working Capital</t>
  </si>
  <si>
    <t>Contract Assets &amp; Liabilities</t>
  </si>
  <si>
    <t>Finance Receivables</t>
  </si>
  <si>
    <t>Other Operating Activities</t>
  </si>
  <si>
    <t>PP&amp;E Investment</t>
  </si>
  <si>
    <t>Purchase of Intangible Assets</t>
  </si>
  <si>
    <t>Loans Issued</t>
  </si>
  <si>
    <t>Other Investing Activities</t>
  </si>
  <si>
    <t>Debt Issuance / (Repayment)</t>
  </si>
  <si>
    <t>Common Equity Issuance / (Buyback)</t>
  </si>
  <si>
    <t>Common Dividents Paid</t>
  </si>
  <si>
    <t xml:space="preserve">Cash &amp; CEs </t>
  </si>
  <si>
    <t>Marketable Securities</t>
  </si>
  <si>
    <t>A/R</t>
  </si>
  <si>
    <t>Prepaid Expenses</t>
  </si>
  <si>
    <t>PP&amp;E</t>
  </si>
  <si>
    <t>Operating Lease Assets</t>
  </si>
  <si>
    <t>Deffered Income Tax Assets</t>
  </si>
  <si>
    <t>Other LT Assets</t>
  </si>
  <si>
    <t>A/P</t>
  </si>
  <si>
    <t xml:space="preserve">Accrued Liabilities </t>
  </si>
  <si>
    <t>ST Debt</t>
  </si>
  <si>
    <t>LT Debt</t>
  </si>
  <si>
    <t>LT Operating Lease Liabilities</t>
  </si>
  <si>
    <t>Other LT Liabilities</t>
  </si>
  <si>
    <t>4Q25</t>
  </si>
  <si>
    <t>1Q26</t>
  </si>
  <si>
    <t>2Q26</t>
  </si>
  <si>
    <t>3Q26</t>
  </si>
  <si>
    <t>Common Stock</t>
  </si>
  <si>
    <t>Accumulated Other Comprehensive Income Loss</t>
  </si>
  <si>
    <t>Earnings before income taxes (EBT)</t>
  </si>
  <si>
    <t>Interest Income</t>
  </si>
  <si>
    <t>Interest Expenses</t>
  </si>
  <si>
    <t>EBT Margin (%)</t>
  </si>
  <si>
    <t>($ In Millions)</t>
  </si>
  <si>
    <t>Revenue by reportable segment</t>
  </si>
  <si>
    <t>Revenue Segment Anaysis</t>
  </si>
  <si>
    <t>Revenue Segment Anaysis: Data Center</t>
  </si>
  <si>
    <t>Compute</t>
  </si>
  <si>
    <t>Networking</t>
  </si>
  <si>
    <t>Total Data Center Revenue</t>
  </si>
  <si>
    <t xml:space="preserve">Gaming </t>
  </si>
  <si>
    <t xml:space="preserve">Professional Visualization </t>
  </si>
  <si>
    <t>Automotive</t>
  </si>
  <si>
    <t xml:space="preserve">OEM &amp; Other </t>
  </si>
  <si>
    <t>Revenue by Geography</t>
  </si>
  <si>
    <t>U.S. Revenue</t>
  </si>
  <si>
    <t>Singapore Revenue</t>
  </si>
  <si>
    <t>Taiwan Revenue</t>
  </si>
  <si>
    <t>China (Incl. Hong Kong) Revenue</t>
  </si>
  <si>
    <t>Other Revenue</t>
  </si>
  <si>
    <t>Variance  Check</t>
  </si>
  <si>
    <t>Acquisition termination cost</t>
  </si>
  <si>
    <t>NVIDIA Corporation (NASDAQ: NVDA)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</si>
</sst>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5" formatCode="&quot;$&quot;#,##0_);\(&quot;$&quot;#,##0\)"/>
    <numFmt numFmtId="7" formatCode="&quot;$&quot;#,##0.00_);\(&quot;$&quot;#,##0.00\)"/>
    <numFmt numFmtId="41" formatCode="_(* #,##0_);_(* \(#,##0\);_(* &quot;-&quot;_);_(@_)"/>
    <numFmt numFmtId="43" formatCode="_(* #,##0.00_);_(* \(#,##0.00\);_(* &quot;-&quot;??_);_(@_)"/>
    <numFmt numFmtId="164" formatCode="_(* #,##0_);_(* \(#,##0\);_(* &quot;-&quot;??_);_(@_)"/>
    <numFmt numFmtId="165" formatCode="_(&quot;$ &quot;#,##0_);_(&quot;$ &quot;\(#,##0\)"/>
    <numFmt numFmtId="166" formatCode="#,##0.0%;\(#,##0.0%\)"/>
    <numFmt numFmtId="167" formatCode="#,##0.0&quot;bps&quot;_);\(#,##0.0&quot;bps&quot;\)"/>
    <numFmt numFmtId="168" formatCode="#,##0.00&quot;bps&quot;_);\(#,##0.00&quot;bps&quot;\)"/>
    <numFmt numFmtId="169" formatCode="_(* #,##0.00&quot;x&quot;_);_(* \(#,##0.00&quot;x&quot;\);_(* &quot;-&quot;_);_(@_)"/>
  </numFmts>
  <fonts count="32">
    <font>
      <sz val="11"/>
      <color theme="1"/>
      <name val="Tw Cen MT"/>
      <family val="2"/>
      <scheme val="minor"/>
    </font>
    <font>
      <sz val="11"/>
      <color theme="1"/>
      <name val="Tw Cen MT"/>
      <family val="2"/>
      <scheme val="minor"/>
    </font>
    <font>
      <b/>
      <sz val="9"/>
      <color theme="0"/>
      <name val="Calibri"/>
      <family val="2"/>
    </font>
    <font>
      <i/>
      <sz val="9"/>
      <color theme="0"/>
      <name val="Calibri"/>
      <family val="2"/>
    </font>
    <font>
      <sz val="9"/>
      <color theme="1"/>
      <name val="Calibri"/>
      <family val="2"/>
    </font>
    <font>
      <b/>
      <i/>
      <sz val="9"/>
      <color theme="0"/>
      <name val="Calibri"/>
      <family val="2"/>
    </font>
    <font>
      <sz val="9"/>
      <name val="Calibri"/>
      <family val="2"/>
    </font>
    <font>
      <i/>
      <sz val="9"/>
      <name val="Calibri"/>
      <family val="2"/>
    </font>
    <font>
      <b/>
      <sz val="9"/>
      <name val="Calibri"/>
      <family val="2"/>
    </font>
    <font>
      <b/>
      <i/>
      <sz val="9"/>
      <name val="Calibri"/>
      <family val="2"/>
    </font>
    <font>
      <i/>
      <sz val="8"/>
      <name val="Calibri"/>
      <family val="2"/>
    </font>
    <font>
      <sz val="9"/>
      <color rgb="FF0000CC"/>
      <name val="Calibri"/>
      <family val="2"/>
    </font>
    <font>
      <sz val="9"/>
      <color rgb="FF0000FF"/>
      <name val="Calibri"/>
      <family val="2"/>
    </font>
    <font>
      <sz val="8"/>
      <name val="Calibri"/>
      <family val="2"/>
    </font>
    <font>
      <sz val="8"/>
      <color theme="1"/>
      <name val="Calibri"/>
      <family val="2"/>
    </font>
    <font>
      <b/>
      <sz val="9"/>
      <color theme="1"/>
      <name val="Calibri"/>
      <family val="2"/>
    </font>
    <font>
      <i/>
      <sz val="9"/>
      <color theme="1"/>
      <name val="Calibri"/>
      <family val="2"/>
    </font>
    <font>
      <b/>
      <sz val="9"/>
      <color indexed="8"/>
      <name val="Calibri"/>
      <family val="2"/>
    </font>
    <font>
      <sz val="9"/>
      <color rgb="FF0000E1"/>
      <name val="Calibri"/>
      <family val="2"/>
    </font>
    <font>
      <sz val="10"/>
      <name val="Arial"/>
      <family val="2"/>
    </font>
    <font>
      <sz val="9"/>
      <color rgb="FFFF0000"/>
      <name val="Tw Cen MT"/>
      <family val="2"/>
      <scheme val="minor"/>
    </font>
    <font>
      <sz val="8"/>
      <color rgb="FFFF0000"/>
      <name val="Calibri"/>
      <family val="2"/>
    </font>
    <font>
      <b/>
      <sz val="8"/>
      <color theme="1"/>
      <name val="Calibri"/>
      <family val="2"/>
    </font>
    <font>
      <i/>
      <sz val="8"/>
      <color theme="1"/>
      <name val="Calibri"/>
      <family val="2"/>
    </font>
    <font>
      <sz val="7"/>
      <color rgb="FFFF0000"/>
      <name val="Calibri"/>
      <family val="2"/>
    </font>
    <font>
      <sz val="9"/>
      <color rgb="FF00B050"/>
      <name val="Calibri"/>
      <family val="2"/>
    </font>
    <font>
      <sz val="10"/>
      <name val="Arial Narrow MT"/>
      <family val="2"/>
    </font>
    <font>
      <i/>
      <sz val="8"/>
      <color rgb="FFFF0000"/>
      <name val="Calibri"/>
      <family val="2"/>
    </font>
    <font>
      <b/>
      <i/>
      <sz val="8"/>
      <name val="Calibri"/>
      <family val="2"/>
    </font>
    <font>
      <b/>
      <sz val="8"/>
      <color theme="0"/>
      <name val="Calibri"/>
      <family val="2"/>
    </font>
    <font>
      <i/>
      <sz val="7"/>
      <color rgb="FFFF0000"/>
      <name val="Calibri"/>
      <family val="2"/>
    </font>
    <font>
      <i/>
      <sz val="8"/>
      <color rgb="FF0000CC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E5672"/>
        <bgColor indexed="64"/>
      </patternFill>
    </fill>
    <fill>
      <patternFill patternType="gray0625"/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9" fillId="0" borderId="0"/>
    <xf numFmtId="0" fontId="26" fillId="0" borderId="0" applyNumberFormat="0" applyFont="0" applyFill="0" applyBorder="0" applyAlignment="0" applyProtection="0"/>
  </cellStyleXfs>
  <cellXfs count="171">
    <xf numFmtId="0" fontId="0" fillId="0" borderId="0" xfId="0"/>
    <xf numFmtId="0" fontId="2" fillId="2" borderId="0" xfId="0" applyFont="1" applyFill="1" applyAlignment="1">
      <alignment vertical="center" wrapText="1"/>
    </xf>
    <xf numFmtId="0" fontId="2" fillId="2" borderId="3" xfId="0" applyFont="1" applyFill="1" applyBorder="1" applyAlignment="1">
      <alignment horizontal="centerContinuous" vertical="center" wrapText="1"/>
    </xf>
    <xf numFmtId="14" fontId="3" fillId="2" borderId="0" xfId="0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4" fillId="0" borderId="0" xfId="0" applyFont="1" applyAlignment="1">
      <alignment wrapText="1"/>
    </xf>
    <xf numFmtId="0" fontId="3" fillId="2" borderId="0" xfId="0" applyFont="1" applyFill="1" applyAlignment="1">
      <alignment vertical="center" wrapText="1"/>
    </xf>
    <xf numFmtId="0" fontId="5" fillId="2" borderId="0" xfId="0" applyFont="1" applyFill="1" applyAlignment="1">
      <alignment horizontal="center" vertical="center" wrapText="1"/>
    </xf>
    <xf numFmtId="0" fontId="4" fillId="0" borderId="0" xfId="0" applyFont="1"/>
    <xf numFmtId="0" fontId="6" fillId="0" borderId="0" xfId="0" applyFont="1" applyAlignment="1">
      <alignment vertical="top" wrapText="1"/>
    </xf>
    <xf numFmtId="41" fontId="4" fillId="0" borderId="0" xfId="0" applyNumberFormat="1" applyFont="1"/>
    <xf numFmtId="37" fontId="4" fillId="0" borderId="0" xfId="0" applyNumberFormat="1" applyFont="1" applyAlignment="1">
      <alignment wrapText="1"/>
    </xf>
    <xf numFmtId="166" fontId="7" fillId="3" borderId="0" xfId="1" applyNumberFormat="1" applyFont="1" applyFill="1" applyBorder="1" applyAlignment="1">
      <alignment horizontal="right" vertical="center" wrapText="1"/>
    </xf>
    <xf numFmtId="0" fontId="8" fillId="3" borderId="4" xfId="0" applyFont="1" applyFill="1" applyBorder="1" applyAlignment="1">
      <alignment vertical="top" wrapText="1"/>
    </xf>
    <xf numFmtId="5" fontId="8" fillId="3" borderId="2" xfId="0" applyNumberFormat="1" applyFont="1" applyFill="1" applyBorder="1" applyAlignment="1">
      <alignment horizontal="right" vertical="top" wrapText="1"/>
    </xf>
    <xf numFmtId="166" fontId="9" fillId="3" borderId="0" xfId="1" applyNumberFormat="1" applyFont="1" applyFill="1" applyBorder="1" applyAlignment="1">
      <alignment horizontal="right" vertical="center" wrapText="1"/>
    </xf>
    <xf numFmtId="0" fontId="10" fillId="0" borderId="0" xfId="0" applyFont="1" applyAlignment="1">
      <alignment horizontal="left" vertical="center" wrapText="1" indent="1"/>
    </xf>
    <xf numFmtId="166" fontId="10" fillId="0" borderId="0" xfId="1" applyNumberFormat="1" applyFont="1" applyBorder="1" applyAlignment="1">
      <alignment horizontal="right" vertical="center" wrapText="1"/>
    </xf>
    <xf numFmtId="9" fontId="6" fillId="0" borderId="0" xfId="1" applyFont="1" applyAlignment="1">
      <alignment horizontal="left" vertical="top" wrapText="1" indent="1"/>
    </xf>
    <xf numFmtId="9" fontId="11" fillId="0" borderId="0" xfId="1" applyFont="1" applyAlignment="1">
      <alignment horizontal="right" vertical="top" wrapText="1"/>
    </xf>
    <xf numFmtId="9" fontId="4" fillId="0" borderId="0" xfId="1" applyFont="1" applyAlignment="1">
      <alignment wrapText="1"/>
    </xf>
    <xf numFmtId="9" fontId="12" fillId="0" borderId="0" xfId="1" applyFont="1" applyAlignment="1">
      <alignment horizontal="right" vertical="top" wrapText="1"/>
    </xf>
    <xf numFmtId="9" fontId="4" fillId="0" borderId="0" xfId="1" applyFont="1"/>
    <xf numFmtId="0" fontId="6" fillId="0" borderId="0" xfId="0" quotePrefix="1" applyFont="1" applyAlignment="1">
      <alignment vertical="top" wrapText="1"/>
    </xf>
    <xf numFmtId="37" fontId="6" fillId="0" borderId="0" xfId="0" applyNumberFormat="1" applyFont="1" applyAlignment="1">
      <alignment horizontal="right" vertical="top" wrapText="1"/>
    </xf>
    <xf numFmtId="0" fontId="8" fillId="0" borderId="0" xfId="0" applyFont="1" applyAlignment="1">
      <alignment vertical="top" wrapText="1"/>
    </xf>
    <xf numFmtId="5" fontId="8" fillId="0" borderId="2" xfId="0" applyNumberFormat="1" applyFont="1" applyBorder="1" applyAlignment="1">
      <alignment horizontal="right" vertical="top" wrapText="1"/>
    </xf>
    <xf numFmtId="9" fontId="13" fillId="0" borderId="0" xfId="1" applyFont="1" applyBorder="1" applyAlignment="1">
      <alignment horizontal="right" vertical="center" wrapText="1"/>
    </xf>
    <xf numFmtId="0" fontId="14" fillId="0" borderId="0" xfId="0" applyFont="1" applyAlignment="1">
      <alignment wrapText="1"/>
    </xf>
    <xf numFmtId="0" fontId="7" fillId="0" borderId="0" xfId="0" applyFont="1" applyAlignment="1">
      <alignment horizontal="left" vertical="center" wrapText="1" indent="1"/>
    </xf>
    <xf numFmtId="9" fontId="6" fillId="0" borderId="0" xfId="1" applyFont="1" applyBorder="1" applyAlignment="1">
      <alignment horizontal="right" vertical="center" wrapText="1"/>
    </xf>
    <xf numFmtId="0" fontId="4" fillId="0" borderId="0" xfId="0" quotePrefix="1" applyFont="1"/>
    <xf numFmtId="41" fontId="6" fillId="0" borderId="0" xfId="0" applyNumberFormat="1" applyFont="1" applyAlignment="1">
      <alignment horizontal="right" vertical="top" wrapText="1"/>
    </xf>
    <xf numFmtId="0" fontId="2" fillId="2" borderId="0" xfId="0" applyFont="1" applyFill="1" applyAlignment="1">
      <alignment wrapText="1"/>
    </xf>
    <xf numFmtId="41" fontId="8" fillId="3" borderId="2" xfId="0" applyNumberFormat="1" applyFont="1" applyFill="1" applyBorder="1" applyAlignment="1">
      <alignment horizontal="right" vertical="top" wrapText="1"/>
    </xf>
    <xf numFmtId="0" fontId="15" fillId="0" borderId="5" xfId="0" applyFont="1" applyBorder="1"/>
    <xf numFmtId="0" fontId="15" fillId="0" borderId="0" xfId="0" applyFont="1"/>
    <xf numFmtId="0" fontId="4" fillId="0" borderId="1" xfId="0" applyFont="1" applyBorder="1"/>
    <xf numFmtId="0" fontId="4" fillId="2" borderId="0" xfId="0" applyFont="1" applyFill="1" applyAlignment="1">
      <alignment wrapText="1"/>
    </xf>
    <xf numFmtId="0" fontId="4" fillId="3" borderId="0" xfId="0" applyFont="1" applyFill="1" applyAlignment="1">
      <alignment wrapText="1"/>
    </xf>
    <xf numFmtId="165" fontId="4" fillId="0" borderId="0" xfId="0" applyNumberFormat="1" applyFont="1" applyAlignment="1">
      <alignment wrapText="1"/>
    </xf>
    <xf numFmtId="37" fontId="8" fillId="0" borderId="0" xfId="0" applyNumberFormat="1" applyFont="1" applyAlignment="1">
      <alignment horizontal="right" vertical="top" wrapText="1"/>
    </xf>
    <xf numFmtId="165" fontId="15" fillId="0" borderId="0" xfId="0" applyNumberFormat="1" applyFont="1" applyAlignment="1">
      <alignment wrapText="1"/>
    </xf>
    <xf numFmtId="9" fontId="6" fillId="0" borderId="0" xfId="1" applyFont="1" applyFill="1" applyBorder="1" applyAlignment="1">
      <alignment horizontal="right" vertical="center" wrapText="1"/>
    </xf>
    <xf numFmtId="0" fontId="6" fillId="0" borderId="0" xfId="0" applyFont="1" applyAlignment="1">
      <alignment horizontal="left" vertical="top" wrapText="1"/>
    </xf>
    <xf numFmtId="10" fontId="16" fillId="0" borderId="0" xfId="1" applyNumberFormat="1" applyFont="1" applyFill="1" applyAlignment="1">
      <alignment horizont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horizontal="center" vertical="center" wrapText="1"/>
    </xf>
    <xf numFmtId="5" fontId="8" fillId="0" borderId="0" xfId="0" applyNumberFormat="1" applyFont="1" applyAlignment="1">
      <alignment horizontal="right" vertical="top" wrapText="1"/>
    </xf>
    <xf numFmtId="37" fontId="15" fillId="0" borderId="0" xfId="0" applyNumberFormat="1" applyFont="1" applyAlignment="1">
      <alignment wrapText="1"/>
    </xf>
    <xf numFmtId="37" fontId="8" fillId="0" borderId="0" xfId="0" applyNumberFormat="1" applyFont="1" applyAlignment="1">
      <alignment wrapText="1"/>
    </xf>
    <xf numFmtId="0" fontId="12" fillId="0" borderId="0" xfId="0" applyFont="1" applyAlignment="1">
      <alignment wrapText="1"/>
    </xf>
    <xf numFmtId="0" fontId="8" fillId="0" borderId="0" xfId="0" applyFont="1" applyAlignment="1">
      <alignment wrapText="1"/>
    </xf>
    <xf numFmtId="0" fontId="15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17" fillId="0" borderId="0" xfId="0" applyFont="1" applyAlignment="1">
      <alignment wrapText="1"/>
    </xf>
    <xf numFmtId="164" fontId="4" fillId="0" borderId="0" xfId="2" applyNumberFormat="1" applyFont="1" applyBorder="1" applyAlignment="1">
      <alignment wrapText="1"/>
    </xf>
    <xf numFmtId="0" fontId="4" fillId="0" borderId="0" xfId="0" applyFont="1" applyAlignment="1">
      <alignment horizontal="left" wrapText="1" indent="1"/>
    </xf>
    <xf numFmtId="37" fontId="11" fillId="0" borderId="0" xfId="2" applyNumberFormat="1" applyFont="1" applyBorder="1" applyAlignment="1">
      <alignment wrapText="1"/>
    </xf>
    <xf numFmtId="37" fontId="11" fillId="0" borderId="0" xfId="2" applyNumberFormat="1" applyFont="1" applyFill="1" applyBorder="1" applyAlignment="1">
      <alignment wrapText="1"/>
    </xf>
    <xf numFmtId="0" fontId="4" fillId="0" borderId="0" xfId="0" applyFont="1" applyAlignment="1">
      <alignment horizontal="left" indent="1"/>
    </xf>
    <xf numFmtId="37" fontId="8" fillId="0" borderId="0" xfId="2" applyNumberFormat="1" applyFont="1" applyBorder="1" applyAlignment="1">
      <alignment wrapText="1"/>
    </xf>
    <xf numFmtId="37" fontId="6" fillId="0" borderId="0" xfId="2" applyNumberFormat="1" applyFont="1" applyBorder="1" applyAlignment="1">
      <alignment wrapText="1"/>
    </xf>
    <xf numFmtId="37" fontId="15" fillId="0" borderId="0" xfId="2" applyNumberFormat="1" applyFont="1" applyBorder="1" applyAlignment="1">
      <alignment wrapText="1"/>
    </xf>
    <xf numFmtId="37" fontId="15" fillId="0" borderId="0" xfId="2" applyNumberFormat="1" applyFont="1" applyFill="1" applyBorder="1" applyAlignment="1">
      <alignment wrapText="1"/>
    </xf>
    <xf numFmtId="37" fontId="18" fillId="0" borderId="0" xfId="2" applyNumberFormat="1" applyFont="1" applyFill="1" applyBorder="1" applyAlignment="1">
      <alignment wrapText="1"/>
    </xf>
    <xf numFmtId="37" fontId="6" fillId="0" borderId="0" xfId="2" applyNumberFormat="1" applyFont="1" applyFill="1" applyBorder="1" applyAlignment="1">
      <alignment wrapText="1"/>
    </xf>
    <xf numFmtId="164" fontId="15" fillId="0" borderId="0" xfId="2" applyNumberFormat="1" applyFont="1" applyBorder="1" applyAlignment="1">
      <alignment wrapText="1"/>
    </xf>
    <xf numFmtId="0" fontId="20" fillId="0" borderId="0" xfId="0" applyFont="1" applyAlignment="1">
      <alignment vertical="top" wrapText="1"/>
    </xf>
    <xf numFmtId="43" fontId="21" fillId="0" borderId="0" xfId="0" applyNumberFormat="1" applyFont="1" applyAlignment="1">
      <alignment wrapText="1"/>
    </xf>
    <xf numFmtId="0" fontId="22" fillId="0" borderId="0" xfId="0" applyFont="1" applyAlignment="1">
      <alignment wrapText="1"/>
    </xf>
    <xf numFmtId="41" fontId="8" fillId="0" borderId="0" xfId="0" applyNumberFormat="1" applyFont="1" applyAlignment="1">
      <alignment horizontal="right" vertical="top" wrapText="1"/>
    </xf>
    <xf numFmtId="0" fontId="17" fillId="0" borderId="5" xfId="0" applyFont="1" applyBorder="1"/>
    <xf numFmtId="0" fontId="4" fillId="0" borderId="1" xfId="0" applyFont="1" applyBorder="1" applyAlignment="1">
      <alignment wrapText="1"/>
    </xf>
    <xf numFmtId="164" fontId="4" fillId="0" borderId="1" xfId="2" applyNumberFormat="1" applyFont="1" applyBorder="1" applyAlignment="1">
      <alignment wrapText="1"/>
    </xf>
    <xf numFmtId="166" fontId="7" fillId="4" borderId="0" xfId="1" applyNumberFormat="1" applyFont="1" applyFill="1" applyBorder="1" applyAlignment="1">
      <alignment horizontal="right" vertical="center" wrapText="1"/>
    </xf>
    <xf numFmtId="166" fontId="9" fillId="4" borderId="0" xfId="1" applyNumberFormat="1" applyFont="1" applyFill="1" applyBorder="1" applyAlignment="1">
      <alignment horizontal="right" vertical="center" wrapText="1"/>
    </xf>
    <xf numFmtId="168" fontId="9" fillId="4" borderId="0" xfId="1" applyNumberFormat="1" applyFont="1" applyFill="1" applyBorder="1" applyAlignment="1">
      <alignment horizontal="right" vertical="center" wrapText="1"/>
    </xf>
    <xf numFmtId="0" fontId="8" fillId="0" borderId="5" xfId="0" applyFont="1" applyBorder="1" applyAlignment="1">
      <alignment vertical="top" wrapText="1"/>
    </xf>
    <xf numFmtId="41" fontId="24" fillId="0" borderId="0" xfId="0" applyNumberFormat="1" applyFont="1" applyAlignment="1">
      <alignment horizontal="right" vertical="center" wrapText="1"/>
    </xf>
    <xf numFmtId="0" fontId="15" fillId="0" borderId="0" xfId="0" applyFont="1" applyAlignment="1">
      <alignment horizontal="center"/>
    </xf>
    <xf numFmtId="41" fontId="11" fillId="0" borderId="0" xfId="0" applyNumberFormat="1" applyFont="1"/>
    <xf numFmtId="41" fontId="11" fillId="0" borderId="0" xfId="0" applyNumberFormat="1" applyFont="1" applyAlignment="1">
      <alignment horizontal="right" vertical="top" wrapText="1"/>
    </xf>
    <xf numFmtId="169" fontId="4" fillId="0" borderId="0" xfId="0" applyNumberFormat="1" applyFont="1"/>
    <xf numFmtId="0" fontId="4" fillId="0" borderId="0" xfId="0" quotePrefix="1" applyFont="1" applyAlignment="1">
      <alignment horizontal="left" indent="1"/>
    </xf>
    <xf numFmtId="14" fontId="3" fillId="2" borderId="0" xfId="0" quotePrefix="1" applyNumberFormat="1" applyFont="1" applyFill="1" applyAlignment="1">
      <alignment horizontal="center" vertical="center" wrapText="1"/>
    </xf>
    <xf numFmtId="3" fontId="4" fillId="0" borderId="0" xfId="0" applyNumberFormat="1" applyFont="1" applyAlignment="1">
      <alignment wrapText="1"/>
    </xf>
    <xf numFmtId="43" fontId="21" fillId="0" borderId="6" xfId="0" applyNumberFormat="1" applyFont="1" applyBorder="1" applyAlignment="1">
      <alignment wrapText="1"/>
    </xf>
    <xf numFmtId="41" fontId="6" fillId="0" borderId="6" xfId="0" applyNumberFormat="1" applyFont="1" applyBorder="1" applyAlignment="1">
      <alignment horizontal="right" vertical="top" wrapText="1"/>
    </xf>
    <xf numFmtId="0" fontId="8" fillId="5" borderId="8" xfId="0" applyFont="1" applyFill="1" applyBorder="1" applyAlignment="1">
      <alignment horizontal="right" vertical="center" wrapText="1"/>
    </xf>
    <xf numFmtId="0" fontId="4" fillId="0" borderId="8" xfId="0" applyFont="1" applyBorder="1"/>
    <xf numFmtId="37" fontId="4" fillId="0" borderId="9" xfId="0" applyNumberFormat="1" applyFont="1" applyBorder="1" applyAlignment="1">
      <alignment wrapText="1"/>
    </xf>
    <xf numFmtId="41" fontId="8" fillId="0" borderId="11" xfId="0" applyNumberFormat="1" applyFont="1" applyBorder="1" applyAlignment="1">
      <alignment horizontal="right" vertical="top" wrapText="1"/>
    </xf>
    <xf numFmtId="41" fontId="6" fillId="0" borderId="12" xfId="0" applyNumberFormat="1" applyFont="1" applyBorder="1" applyAlignment="1">
      <alignment horizontal="right" vertical="top" wrapText="1"/>
    </xf>
    <xf numFmtId="41" fontId="25" fillId="0" borderId="0" xfId="0" applyNumberFormat="1" applyFont="1"/>
    <xf numFmtId="37" fontId="11" fillId="0" borderId="0" xfId="0" applyNumberFormat="1" applyFont="1" applyAlignment="1">
      <alignment horizontal="right" vertical="top" wrapText="1"/>
    </xf>
    <xf numFmtId="41" fontId="6" fillId="0" borderId="0" xfId="0" applyNumberFormat="1" applyFont="1" applyAlignment="1">
      <alignment horizontal="right" vertical="center" wrapText="1"/>
    </xf>
    <xf numFmtId="41" fontId="6" fillId="0" borderId="0" xfId="0" applyNumberFormat="1" applyFont="1" applyAlignment="1">
      <alignment horizontal="right" wrapText="1"/>
    </xf>
    <xf numFmtId="0" fontId="2" fillId="6" borderId="0" xfId="0" applyFont="1" applyFill="1" applyAlignment="1">
      <alignment vertical="center" wrapText="1"/>
    </xf>
    <xf numFmtId="0" fontId="3" fillId="6" borderId="0" xfId="0" applyFont="1" applyFill="1" applyAlignment="1">
      <alignment vertical="center" wrapText="1"/>
    </xf>
    <xf numFmtId="166" fontId="7" fillId="0" borderId="0" xfId="1" applyNumberFormat="1" applyFont="1" applyFill="1" applyBorder="1" applyAlignment="1">
      <alignment horizontal="right" vertical="center" wrapText="1"/>
    </xf>
    <xf numFmtId="0" fontId="2" fillId="2" borderId="0" xfId="0" applyFont="1" applyFill="1" applyAlignment="1">
      <alignment horizontal="centerContinuous" vertical="center" wrapText="1"/>
    </xf>
    <xf numFmtId="0" fontId="2" fillId="6" borderId="3" xfId="0" applyFont="1" applyFill="1" applyBorder="1" applyAlignment="1">
      <alignment horizontal="centerContinuous" vertical="center" wrapText="1"/>
    </xf>
    <xf numFmtId="0" fontId="4" fillId="6" borderId="0" xfId="0" applyFont="1" applyFill="1" applyAlignment="1">
      <alignment wrapText="1"/>
    </xf>
    <xf numFmtId="0" fontId="5" fillId="6" borderId="0" xfId="0" applyFont="1" applyFill="1" applyAlignment="1">
      <alignment horizontal="center" vertical="center" wrapText="1"/>
    </xf>
    <xf numFmtId="14" fontId="3" fillId="6" borderId="0" xfId="0" applyNumberFormat="1" applyFont="1" applyFill="1" applyAlignment="1">
      <alignment horizontal="center" vertical="center" wrapText="1"/>
    </xf>
    <xf numFmtId="0" fontId="2" fillId="7" borderId="0" xfId="0" applyFont="1" applyFill="1" applyAlignment="1">
      <alignment vertical="center" wrapText="1"/>
    </xf>
    <xf numFmtId="0" fontId="2" fillId="7" borderId="3" xfId="0" applyFont="1" applyFill="1" applyBorder="1" applyAlignment="1">
      <alignment horizontal="centerContinuous" vertical="center" wrapText="1"/>
    </xf>
    <xf numFmtId="0" fontId="4" fillId="7" borderId="0" xfId="0" applyFont="1" applyFill="1" applyAlignment="1">
      <alignment wrapText="1"/>
    </xf>
    <xf numFmtId="0" fontId="5" fillId="7" borderId="0" xfId="0" applyFont="1" applyFill="1" applyAlignment="1">
      <alignment horizontal="center" vertical="center" wrapText="1"/>
    </xf>
    <xf numFmtId="0" fontId="3" fillId="7" borderId="0" xfId="0" applyFont="1" applyFill="1" applyAlignment="1">
      <alignment vertical="center" wrapText="1"/>
    </xf>
    <xf numFmtId="0" fontId="5" fillId="7" borderId="0" xfId="0" applyFont="1" applyFill="1" applyAlignment="1">
      <alignment vertical="center" wrapText="1"/>
    </xf>
    <xf numFmtId="14" fontId="3" fillId="7" borderId="0" xfId="0" applyNumberFormat="1" applyFont="1" applyFill="1" applyAlignment="1">
      <alignment horizontal="center" vertical="center" wrapText="1"/>
    </xf>
    <xf numFmtId="14" fontId="3" fillId="7" borderId="0" xfId="0" applyNumberFormat="1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166" fontId="10" fillId="8" borderId="0" xfId="1" applyNumberFormat="1" applyFont="1" applyFill="1" applyBorder="1" applyAlignment="1">
      <alignment horizontal="right" vertical="center" wrapText="1"/>
    </xf>
    <xf numFmtId="0" fontId="21" fillId="0" borderId="1" xfId="0" applyFont="1" applyBorder="1" applyAlignment="1">
      <alignment vertical="top" wrapText="1"/>
    </xf>
    <xf numFmtId="43" fontId="21" fillId="0" borderId="1" xfId="0" applyNumberFormat="1" applyFont="1" applyBorder="1" applyAlignment="1">
      <alignment wrapText="1"/>
    </xf>
    <xf numFmtId="0" fontId="22" fillId="0" borderId="1" xfId="0" applyFont="1" applyBorder="1" applyAlignment="1">
      <alignment wrapText="1"/>
    </xf>
    <xf numFmtId="0" fontId="14" fillId="0" borderId="1" xfId="0" applyFont="1" applyBorder="1" applyAlignment="1">
      <alignment wrapText="1"/>
    </xf>
    <xf numFmtId="0" fontId="6" fillId="0" borderId="0" xfId="0" applyFont="1" applyAlignment="1">
      <alignment wrapText="1"/>
    </xf>
    <xf numFmtId="41" fontId="11" fillId="0" borderId="0" xfId="0" applyNumberFormat="1" applyFont="1" applyAlignment="1">
      <alignment horizontal="right" wrapText="1"/>
    </xf>
    <xf numFmtId="0" fontId="4" fillId="0" borderId="0" xfId="0" applyFont="1" applyAlignment="1">
      <alignment vertical="center" wrapText="1"/>
    </xf>
    <xf numFmtId="41" fontId="11" fillId="0" borderId="0" xfId="0" applyNumberFormat="1" applyFont="1" applyAlignment="1">
      <alignment horizontal="right" vertical="center" wrapText="1"/>
    </xf>
    <xf numFmtId="37" fontId="4" fillId="0" borderId="0" xfId="0" applyNumberFormat="1" applyFont="1" applyAlignment="1">
      <alignment vertical="center" wrapText="1"/>
    </xf>
    <xf numFmtId="0" fontId="14" fillId="3" borderId="0" xfId="0" applyFont="1" applyFill="1"/>
    <xf numFmtId="166" fontId="10" fillId="3" borderId="0" xfId="1" applyNumberFormat="1" applyFont="1" applyFill="1" applyBorder="1" applyAlignment="1">
      <alignment horizontal="right" vertical="center" wrapText="1"/>
    </xf>
    <xf numFmtId="166" fontId="28" fillId="3" borderId="0" xfId="1" applyNumberFormat="1" applyFont="1" applyFill="1" applyBorder="1" applyAlignment="1">
      <alignment horizontal="right" vertical="center" wrapText="1"/>
    </xf>
    <xf numFmtId="167" fontId="28" fillId="3" borderId="0" xfId="1" applyNumberFormat="1" applyFont="1" applyFill="1" applyBorder="1" applyAlignment="1">
      <alignment horizontal="right" vertical="center" wrapText="1"/>
    </xf>
    <xf numFmtId="0" fontId="14" fillId="0" borderId="0" xfId="0" applyFont="1"/>
    <xf numFmtId="41" fontId="7" fillId="0" borderId="8" xfId="0" applyNumberFormat="1" applyFont="1" applyBorder="1" applyAlignment="1">
      <alignment horizontal="right" vertical="top" wrapText="1"/>
    </xf>
    <xf numFmtId="0" fontId="30" fillId="0" borderId="0" xfId="0" applyFont="1" applyAlignment="1">
      <alignment horizontal="right" vertical="center" wrapText="1"/>
    </xf>
    <xf numFmtId="7" fontId="25" fillId="0" borderId="0" xfId="0" applyNumberFormat="1" applyFont="1" applyAlignment="1">
      <alignment horizontal="right"/>
    </xf>
    <xf numFmtId="41" fontId="8" fillId="5" borderId="0" xfId="0" applyNumberFormat="1" applyFont="1" applyFill="1" applyAlignment="1">
      <alignment horizontal="right" vertical="top" wrapText="1"/>
    </xf>
    <xf numFmtId="41" fontId="6" fillId="0" borderId="9" xfId="0" applyNumberFormat="1" applyFont="1" applyBorder="1" applyAlignment="1">
      <alignment horizontal="right" vertical="top" wrapText="1"/>
    </xf>
    <xf numFmtId="41" fontId="8" fillId="0" borderId="9" xfId="0" applyNumberFormat="1" applyFont="1" applyBorder="1" applyAlignment="1">
      <alignment horizontal="right" vertical="top" wrapText="1"/>
    </xf>
    <xf numFmtId="43" fontId="21" fillId="0" borderId="10" xfId="0" applyNumberFormat="1" applyFont="1" applyBorder="1" applyAlignment="1">
      <alignment wrapText="1"/>
    </xf>
    <xf numFmtId="0" fontId="8" fillId="0" borderId="8" xfId="0" applyFont="1" applyBorder="1" applyAlignment="1">
      <alignment horizontal="right" vertical="center" wrapText="1"/>
    </xf>
    <xf numFmtId="0" fontId="27" fillId="0" borderId="7" xfId="0" applyFont="1" applyBorder="1" applyAlignment="1">
      <alignment horizontal="right" vertical="top" wrapText="1"/>
    </xf>
    <xf numFmtId="0" fontId="27" fillId="0" borderId="0" xfId="0" applyFont="1" applyAlignment="1">
      <alignment vertical="top" wrapText="1"/>
    </xf>
    <xf numFmtId="41" fontId="6" fillId="0" borderId="13" xfId="0" applyNumberFormat="1" applyFont="1" applyBorder="1" applyAlignment="1">
      <alignment horizontal="right" vertical="top" wrapText="1"/>
    </xf>
    <xf numFmtId="41" fontId="25" fillId="0" borderId="0" xfId="0" applyNumberFormat="1" applyFont="1" applyAlignment="1">
      <alignment vertical="center"/>
    </xf>
    <xf numFmtId="41" fontId="4" fillId="0" borderId="0" xfId="0" applyNumberFormat="1" applyFont="1" applyAlignment="1">
      <alignment vertical="center"/>
    </xf>
    <xf numFmtId="9" fontId="13" fillId="0" borderId="0" xfId="1" applyFont="1" applyFill="1" applyBorder="1" applyAlignment="1">
      <alignment horizontal="right" vertical="center" wrapText="1"/>
    </xf>
    <xf numFmtId="7" fontId="8" fillId="3" borderId="2" xfId="0" applyNumberFormat="1" applyFont="1" applyFill="1" applyBorder="1" applyAlignment="1">
      <alignment horizontal="right" vertical="top" wrapText="1"/>
    </xf>
    <xf numFmtId="0" fontId="8" fillId="5" borderId="8" xfId="0" applyFont="1" applyFill="1" applyBorder="1" applyAlignment="1">
      <alignment horizontal="right" wrapText="1"/>
    </xf>
    <xf numFmtId="5" fontId="8" fillId="5" borderId="2" xfId="0" applyNumberFormat="1" applyFont="1" applyFill="1" applyBorder="1" applyAlignment="1">
      <alignment horizontal="right" vertical="center" wrapText="1"/>
    </xf>
    <xf numFmtId="5" fontId="8" fillId="5" borderId="14" xfId="0" applyNumberFormat="1" applyFont="1" applyFill="1" applyBorder="1" applyAlignment="1">
      <alignment horizontal="right" vertical="center" wrapText="1"/>
    </xf>
    <xf numFmtId="41" fontId="6" fillId="0" borderId="0" xfId="0" applyNumberFormat="1" applyFont="1" applyAlignment="1">
      <alignment vertical="center"/>
    </xf>
    <xf numFmtId="41" fontId="31" fillId="0" borderId="0" xfId="0" applyNumberFormat="1" applyFont="1" applyAlignment="1">
      <alignment vertical="center"/>
    </xf>
    <xf numFmtId="0" fontId="23" fillId="0" borderId="0" xfId="0" applyFont="1" applyAlignment="1">
      <alignment horizontal="left" vertical="center" indent="1"/>
    </xf>
    <xf numFmtId="41" fontId="31" fillId="8" borderId="0" xfId="0" applyNumberFormat="1" applyFont="1" applyFill="1" applyAlignment="1">
      <alignment vertical="center"/>
    </xf>
    <xf numFmtId="0" fontId="2" fillId="2" borderId="0" xfId="0" applyFont="1" applyFill="1" applyAlignment="1">
      <alignment horizontal="center" vertical="center" wrapText="1"/>
    </xf>
    <xf numFmtId="0" fontId="5" fillId="7" borderId="0" xfId="0" applyFont="1" applyFill="1" applyAlignment="1">
      <alignment horizontal="center" vertical="center" wrapText="1"/>
    </xf>
    <xf numFmtId="0" fontId="5" fillId="6" borderId="0" xfId="0" applyFont="1" applyFill="1" applyAlignment="1">
      <alignment horizontal="center" vertical="center" wrapText="1"/>
    </xf>
    <xf numFmtId="0" fontId="29" fillId="2" borderId="0" xfId="0" applyFont="1" applyFill="1" applyAlignment="1">
      <alignment horizontal="center" vertical="center" wrapText="1"/>
    </xf>
    <xf numFmtId="0" fontId="23" fillId="9" borderId="15" xfId="0" applyFont="1" applyFill="1" applyBorder="1"/>
    <xf numFmtId="9" fontId="10" fillId="0" borderId="2" xfId="1" applyFont="1" applyBorder="1" applyAlignment="1">
      <alignment horizontal="right"/>
    </xf>
    <xf numFmtId="9" fontId="31" fillId="0" borderId="2" xfId="1" applyFont="1" applyBorder="1"/>
    <xf numFmtId="9" fontId="10" fillId="0" borderId="2" xfId="1" applyFont="1" applyBorder="1"/>
    <xf numFmtId="9" fontId="10" fillId="0" borderId="16" xfId="1" applyFont="1" applyBorder="1"/>
    <xf numFmtId="0" fontId="23" fillId="9" borderId="17" xfId="0" applyFont="1" applyFill="1" applyBorder="1"/>
    <xf numFmtId="9" fontId="10" fillId="0" borderId="0" xfId="1" applyFont="1" applyBorder="1" applyAlignment="1">
      <alignment horizontal="right"/>
    </xf>
    <xf numFmtId="9" fontId="31" fillId="0" borderId="0" xfId="1" applyFont="1" applyBorder="1"/>
    <xf numFmtId="9" fontId="10" fillId="0" borderId="0" xfId="1" applyFont="1" applyBorder="1"/>
    <xf numFmtId="9" fontId="10" fillId="0" borderId="18" xfId="1" applyFont="1" applyBorder="1"/>
    <xf numFmtId="0" fontId="23" fillId="9" borderId="19" xfId="0" applyFont="1" applyFill="1" applyBorder="1"/>
    <xf numFmtId="9" fontId="10" fillId="0" borderId="5" xfId="1" applyFont="1" applyBorder="1" applyAlignment="1">
      <alignment horizontal="right"/>
    </xf>
    <xf numFmtId="9" fontId="31" fillId="0" borderId="5" xfId="1" applyFont="1" applyBorder="1"/>
    <xf numFmtId="9" fontId="10" fillId="0" borderId="5" xfId="1" applyFont="1" applyBorder="1"/>
    <xf numFmtId="9" fontId="10" fillId="0" borderId="20" xfId="1" applyFont="1" applyBorder="1"/>
  </cellXfs>
  <cellStyles count="5">
    <cellStyle name="%" xfId="3" xr:uid="{B2D0E839-0EB6-4A26-A036-4291FCE77A81}"/>
    <cellStyle name="******************************************" xfId="4" xr:uid="{7C8B12D3-B631-462E-992D-9CE2477EE747}"/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00CC"/>
      <color rgb="FF00B03C"/>
      <color rgb="FF487B79"/>
      <color rgb="FF0E567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egral">
  <a:themeElements>
    <a:clrScheme name="Integral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B9F25"/>
      </a:hlink>
      <a:folHlink>
        <a:srgbClr val="B26B02"/>
      </a:folHlink>
    </a:clrScheme>
    <a:fontScheme name="Inte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e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7A1EF-DD86-43F0-AF53-6181CD7220DC}">
  <sheetPr>
    <tabColor rgb="FF002060"/>
  </sheetPr>
  <dimension ref="A2:AJ141"/>
  <sheetViews>
    <sheetView showGridLines="0" tabSelected="1" zoomScale="130" zoomScaleNormal="130" workbookViewId="0">
      <selection activeCell="B2" sqref="B2"/>
    </sheetView>
  </sheetViews>
  <sheetFormatPr defaultRowHeight="12" outlineLevelCol="2"/>
  <cols>
    <col min="1" max="1" width="1.625" style="5" bestFit="1" customWidth="1"/>
    <col min="2" max="2" width="36.25" style="5" customWidth="1"/>
    <col min="3" max="5" width="9" style="5" customWidth="1" outlineLevel="1"/>
    <col min="6" max="9" width="9" style="5" bestFit="1" customWidth="1"/>
    <col min="10" max="10" width="1.5" style="5" customWidth="1"/>
    <col min="11" max="14" width="8.875" style="5" customWidth="1" outlineLevel="2"/>
    <col min="15" max="16" width="8.875" style="5" customWidth="1" outlineLevel="1"/>
    <col min="17" max="25" width="8.875" style="5" bestFit="1" customWidth="1"/>
    <col min="26" max="26" width="1.5" style="5" customWidth="1"/>
    <col min="27" max="29" width="8.75" style="5" customWidth="1" outlineLevel="1"/>
    <col min="30" max="30" width="9" style="5" bestFit="1" customWidth="1"/>
    <col min="31" max="33" width="9" style="5" customWidth="1" outlineLevel="1"/>
    <col min="34" max="34" width="9" style="5" bestFit="1" customWidth="1"/>
    <col min="35" max="35" width="1.25" style="5" customWidth="1"/>
    <col min="36" max="36" width="8" style="5" bestFit="1" customWidth="1"/>
    <col min="37" max="37" width="1.375" style="5" customWidth="1"/>
    <col min="38" max="16384" width="9" style="5"/>
  </cols>
  <sheetData>
    <row r="2" spans="1:36" ht="12.75" customHeight="1">
      <c r="B2" s="1" t="s">
        <v>201</v>
      </c>
      <c r="C2" s="101"/>
      <c r="D2" s="101"/>
      <c r="E2" s="101"/>
      <c r="F2" s="101"/>
      <c r="G2" s="101"/>
      <c r="H2" s="101"/>
      <c r="I2" s="101"/>
      <c r="J2" s="3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3"/>
      <c r="AA2" s="101"/>
      <c r="AB2" s="101"/>
      <c r="AC2" s="101"/>
      <c r="AD2" s="101"/>
      <c r="AE2" s="101"/>
      <c r="AF2" s="101"/>
      <c r="AG2" s="101"/>
      <c r="AH2" s="101"/>
      <c r="AI2" s="3"/>
      <c r="AJ2" s="1"/>
    </row>
    <row r="3" spans="1:36" ht="12.75" customHeight="1">
      <c r="B3" s="6" t="s">
        <v>74</v>
      </c>
      <c r="C3" s="7"/>
      <c r="D3" s="7"/>
      <c r="E3" s="7"/>
      <c r="F3" s="7"/>
      <c r="G3" s="7"/>
      <c r="H3" s="7"/>
      <c r="I3" s="7"/>
      <c r="J3" s="3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3"/>
      <c r="AA3" s="4"/>
      <c r="AB3" s="4"/>
      <c r="AC3" s="4"/>
      <c r="AD3" s="4"/>
      <c r="AE3" s="4"/>
      <c r="AF3" s="4"/>
      <c r="AG3" s="4"/>
      <c r="AH3" s="4"/>
      <c r="AI3" s="3"/>
      <c r="AJ3" s="1"/>
    </row>
    <row r="4" spans="1:36" ht="12.75" customHeight="1">
      <c r="B4" s="6" t="s">
        <v>71</v>
      </c>
      <c r="C4" s="3"/>
      <c r="D4" s="3"/>
      <c r="E4" s="3"/>
      <c r="F4" s="3"/>
      <c r="G4" s="85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1"/>
    </row>
    <row r="6" spans="1:36" ht="12.75" customHeight="1">
      <c r="A6" s="5" t="s">
        <v>16</v>
      </c>
      <c r="B6" s="1" t="s">
        <v>72</v>
      </c>
      <c r="C6" s="2" t="s">
        <v>0</v>
      </c>
      <c r="D6" s="2" t="s">
        <v>0</v>
      </c>
      <c r="E6" s="2" t="s">
        <v>0</v>
      </c>
      <c r="F6" s="2"/>
      <c r="G6" s="2"/>
      <c r="H6" s="2"/>
      <c r="I6" s="2"/>
      <c r="J6" s="3"/>
      <c r="K6" s="2" t="s">
        <v>1</v>
      </c>
      <c r="L6" s="2"/>
      <c r="M6" s="2"/>
      <c r="N6" s="2"/>
      <c r="O6" s="2"/>
      <c r="P6" s="2"/>
      <c r="Q6" s="2" t="s">
        <v>1</v>
      </c>
      <c r="R6" s="2"/>
      <c r="S6" s="2"/>
      <c r="T6" s="2"/>
      <c r="U6" s="2"/>
      <c r="V6" s="2"/>
      <c r="W6" s="2"/>
      <c r="X6" s="2"/>
      <c r="Y6" s="2"/>
      <c r="Z6" s="3"/>
      <c r="AA6" s="2"/>
      <c r="AB6" s="2"/>
      <c r="AC6" s="2" t="s">
        <v>10</v>
      </c>
      <c r="AD6" s="2" t="s">
        <v>10</v>
      </c>
      <c r="AE6" s="2"/>
      <c r="AF6" s="2"/>
      <c r="AG6" s="2"/>
      <c r="AH6" s="2"/>
      <c r="AI6" s="38"/>
      <c r="AJ6" s="152" t="s">
        <v>22</v>
      </c>
    </row>
    <row r="7" spans="1:36" ht="12.75" customHeight="1">
      <c r="B7" s="6" t="s">
        <v>75</v>
      </c>
      <c r="C7" s="7">
        <v>2019</v>
      </c>
      <c r="D7" s="7">
        <v>2020</v>
      </c>
      <c r="E7" s="7">
        <v>2021</v>
      </c>
      <c r="F7" s="7">
        <v>2022</v>
      </c>
      <c r="G7" s="7">
        <v>2023</v>
      </c>
      <c r="H7" s="7">
        <v>2024</v>
      </c>
      <c r="I7" s="7">
        <v>2025</v>
      </c>
      <c r="J7" s="3"/>
      <c r="K7" s="4" t="s">
        <v>6</v>
      </c>
      <c r="L7" s="4" t="s">
        <v>7</v>
      </c>
      <c r="M7" s="4" t="s">
        <v>8</v>
      </c>
      <c r="N7" s="4" t="s">
        <v>9</v>
      </c>
      <c r="O7" s="4" t="s">
        <v>2</v>
      </c>
      <c r="P7" s="4" t="s">
        <v>3</v>
      </c>
      <c r="Q7" s="4" t="s">
        <v>4</v>
      </c>
      <c r="R7" s="4" t="s">
        <v>5</v>
      </c>
      <c r="S7" s="4" t="s">
        <v>24</v>
      </c>
      <c r="T7" s="4" t="s">
        <v>25</v>
      </c>
      <c r="U7" s="4" t="s">
        <v>61</v>
      </c>
      <c r="V7" s="4" t="s">
        <v>172</v>
      </c>
      <c r="W7" s="4" t="s">
        <v>173</v>
      </c>
      <c r="X7" s="4" t="s">
        <v>174</v>
      </c>
      <c r="Y7" s="4" t="s">
        <v>175</v>
      </c>
      <c r="Z7" s="3"/>
      <c r="AA7" s="4" t="str">
        <f>N7</f>
        <v>4Q23</v>
      </c>
      <c r="AB7" s="4" t="str">
        <f>O7</f>
        <v>1Q24</v>
      </c>
      <c r="AC7" s="4" t="str">
        <f>P7</f>
        <v>2Q24</v>
      </c>
      <c r="AD7" s="4" t="str">
        <f>Q7</f>
        <v>3Q24</v>
      </c>
      <c r="AE7" s="4" t="str">
        <f>R7</f>
        <v>4Q24</v>
      </c>
      <c r="AF7" s="4" t="str">
        <f>S7</f>
        <v>1Q25</v>
      </c>
      <c r="AG7" s="4" t="str">
        <f>T7</f>
        <v>2Q25</v>
      </c>
      <c r="AH7" s="4" t="str">
        <f>U7</f>
        <v>3Q25</v>
      </c>
      <c r="AI7" s="38"/>
      <c r="AJ7" s="152"/>
    </row>
    <row r="8" spans="1:36" ht="12.75" customHeight="1">
      <c r="B8" s="6" t="s">
        <v>76</v>
      </c>
      <c r="C8" s="3"/>
      <c r="D8" s="3"/>
      <c r="E8" s="3"/>
      <c r="F8" s="3"/>
      <c r="G8" s="85"/>
      <c r="H8" s="85"/>
      <c r="I8" s="85"/>
      <c r="J8" s="3"/>
      <c r="K8" s="3"/>
      <c r="L8" s="3"/>
      <c r="M8" s="3"/>
      <c r="N8" s="3">
        <f>G8</f>
        <v>0</v>
      </c>
      <c r="O8" s="3"/>
      <c r="P8" s="3"/>
      <c r="Q8" s="3"/>
      <c r="R8" s="3">
        <f>H8</f>
        <v>0</v>
      </c>
      <c r="S8" s="3"/>
      <c r="T8" s="3"/>
      <c r="U8" s="3"/>
      <c r="V8" s="3"/>
      <c r="W8" s="3"/>
      <c r="X8" s="3"/>
      <c r="Y8" s="3"/>
      <c r="Z8" s="3"/>
      <c r="AA8" s="3">
        <f>N8</f>
        <v>0</v>
      </c>
      <c r="AB8" s="3">
        <f>O8</f>
        <v>0</v>
      </c>
      <c r="AC8" s="3">
        <f>P8</f>
        <v>0</v>
      </c>
      <c r="AD8" s="3">
        <f>Q8</f>
        <v>0</v>
      </c>
      <c r="AE8" s="3">
        <f>R8</f>
        <v>0</v>
      </c>
      <c r="AF8" s="3">
        <f>S8</f>
        <v>0</v>
      </c>
      <c r="AG8" s="3">
        <f>T8</f>
        <v>0</v>
      </c>
      <c r="AH8" s="3">
        <f>U8</f>
        <v>0</v>
      </c>
      <c r="AI8" s="38"/>
      <c r="AJ8" s="152"/>
    </row>
    <row r="9" spans="1:36" ht="5.0999999999999996" customHeight="1">
      <c r="AJ9" s="100"/>
    </row>
    <row r="10" spans="1:36" ht="12.75" customHeight="1">
      <c r="B10" s="9" t="s">
        <v>56</v>
      </c>
      <c r="C10" s="95">
        <v>10918</v>
      </c>
      <c r="D10" s="95">
        <v>16675</v>
      </c>
      <c r="E10" s="95">
        <v>26914</v>
      </c>
      <c r="F10" s="95">
        <v>26974</v>
      </c>
      <c r="G10" s="95">
        <v>60922</v>
      </c>
      <c r="H10" s="95">
        <v>130497</v>
      </c>
      <c r="I10" s="95"/>
      <c r="J10" s="11"/>
      <c r="K10" s="95">
        <v>7192</v>
      </c>
      <c r="L10" s="95">
        <v>13507</v>
      </c>
      <c r="M10" s="95">
        <v>18120</v>
      </c>
      <c r="N10" s="32">
        <f t="shared" ref="N10" si="0">SUM(G10-SUM(K10:M10))</f>
        <v>22103</v>
      </c>
      <c r="O10" s="95">
        <v>26044</v>
      </c>
      <c r="P10" s="95">
        <v>30040</v>
      </c>
      <c r="Q10" s="95">
        <v>35082</v>
      </c>
      <c r="R10" s="32">
        <f t="shared" ref="R10" si="1">SUM(H10-SUM(O10:Q10))</f>
        <v>39331</v>
      </c>
      <c r="S10" s="82">
        <v>44062</v>
      </c>
      <c r="T10" s="82">
        <v>46743</v>
      </c>
      <c r="U10" s="82">
        <v>57006</v>
      </c>
      <c r="V10" s="32">
        <f>SUM(I10-SUM(S10:U10))</f>
        <v>-147811</v>
      </c>
      <c r="W10" s="82"/>
      <c r="X10" s="82"/>
      <c r="Y10" s="82"/>
      <c r="AA10" s="32">
        <f>SUM(K10:N10)</f>
        <v>60922</v>
      </c>
      <c r="AB10" s="32">
        <f>SUM(L10:O10)</f>
        <v>79774</v>
      </c>
      <c r="AC10" s="32">
        <f>SUM(M10:P10)</f>
        <v>96307</v>
      </c>
      <c r="AD10" s="32">
        <f>SUM(N10:Q10)</f>
        <v>113269</v>
      </c>
      <c r="AE10" s="32">
        <f>SUM(O10:R10)</f>
        <v>130497</v>
      </c>
      <c r="AF10" s="32">
        <f>SUM(P10:S10)</f>
        <v>148515</v>
      </c>
      <c r="AG10" s="32">
        <f>SUM(Q10:T10)</f>
        <v>165218</v>
      </c>
      <c r="AH10" s="32">
        <f>SUM(R10:U10)</f>
        <v>187142</v>
      </c>
      <c r="AI10" s="40"/>
      <c r="AJ10" s="12">
        <f>SUM(AH10/AD10)-1</f>
        <v>0.65219080242608296</v>
      </c>
    </row>
    <row r="11" spans="1:36" ht="12.75" customHeight="1">
      <c r="B11" s="13" t="s">
        <v>12</v>
      </c>
      <c r="C11" s="14">
        <f t="shared" ref="C11:D11" si="2">+SUM(C10:C10)</f>
        <v>10918</v>
      </c>
      <c r="D11" s="14">
        <f t="shared" si="2"/>
        <v>16675</v>
      </c>
      <c r="E11" s="14">
        <f t="shared" ref="E11:H11" si="3">+SUM(E10:E10)</f>
        <v>26914</v>
      </c>
      <c r="F11" s="14">
        <f t="shared" si="3"/>
        <v>26974</v>
      </c>
      <c r="G11" s="14">
        <f t="shared" si="3"/>
        <v>60922</v>
      </c>
      <c r="H11" s="14">
        <f t="shared" si="3"/>
        <v>130497</v>
      </c>
      <c r="I11" s="14">
        <f t="shared" ref="I11" si="4">+SUM(I10:I10)</f>
        <v>0</v>
      </c>
      <c r="J11" s="11"/>
      <c r="K11" s="14">
        <f t="shared" ref="K11:T11" si="5">+SUM(K10:K10)</f>
        <v>7192</v>
      </c>
      <c r="L11" s="14">
        <f t="shared" si="5"/>
        <v>13507</v>
      </c>
      <c r="M11" s="14">
        <f t="shared" si="5"/>
        <v>18120</v>
      </c>
      <c r="N11" s="14">
        <f t="shared" si="5"/>
        <v>22103</v>
      </c>
      <c r="O11" s="14">
        <f t="shared" si="5"/>
        <v>26044</v>
      </c>
      <c r="P11" s="14">
        <f t="shared" si="5"/>
        <v>30040</v>
      </c>
      <c r="Q11" s="14">
        <f t="shared" si="5"/>
        <v>35082</v>
      </c>
      <c r="R11" s="14">
        <f t="shared" si="5"/>
        <v>39331</v>
      </c>
      <c r="S11" s="14">
        <f t="shared" si="5"/>
        <v>44062</v>
      </c>
      <c r="T11" s="14">
        <f t="shared" si="5"/>
        <v>46743</v>
      </c>
      <c r="U11" s="14">
        <f>+SUM(U10:U10)</f>
        <v>57006</v>
      </c>
      <c r="V11" s="14">
        <f>+SUM(V10:V10)</f>
        <v>-147811</v>
      </c>
      <c r="W11" s="14">
        <f t="shared" ref="W11:Y11" si="6">+SUM(W10:W10)</f>
        <v>0</v>
      </c>
      <c r="X11" s="14">
        <f t="shared" si="6"/>
        <v>0</v>
      </c>
      <c r="Y11" s="14">
        <f t="shared" si="6"/>
        <v>0</v>
      </c>
      <c r="AA11" s="14">
        <f t="shared" ref="AA11:AG11" si="7">+SUM(AA10:AA10)</f>
        <v>60922</v>
      </c>
      <c r="AB11" s="14">
        <f t="shared" si="7"/>
        <v>79774</v>
      </c>
      <c r="AC11" s="14">
        <f t="shared" si="7"/>
        <v>96307</v>
      </c>
      <c r="AD11" s="14">
        <f t="shared" si="7"/>
        <v>113269</v>
      </c>
      <c r="AE11" s="14">
        <f t="shared" si="7"/>
        <v>130497</v>
      </c>
      <c r="AF11" s="14">
        <f t="shared" si="7"/>
        <v>148515</v>
      </c>
      <c r="AG11" s="14">
        <f t="shared" si="7"/>
        <v>165218</v>
      </c>
      <c r="AH11" s="14">
        <f>+SUM(AH10:AH10)</f>
        <v>187142</v>
      </c>
      <c r="AI11" s="40"/>
      <c r="AJ11" s="15">
        <f>SUM(AH11/AD11)-1</f>
        <v>0.65219080242608296</v>
      </c>
    </row>
    <row r="12" spans="1:36" s="20" customFormat="1" ht="5.0999999999999996" customHeight="1">
      <c r="B12" s="18"/>
      <c r="C12" s="19"/>
      <c r="D12" s="19"/>
      <c r="E12" s="19"/>
      <c r="F12" s="19"/>
      <c r="G12" s="19"/>
      <c r="H12" s="19"/>
      <c r="I12" s="19"/>
      <c r="K12" s="21"/>
      <c r="L12" s="21"/>
      <c r="M12" s="21"/>
      <c r="N12" s="21"/>
      <c r="O12" s="21"/>
      <c r="P12" s="21"/>
      <c r="Q12" s="21"/>
      <c r="R12" s="21"/>
      <c r="S12" s="22"/>
      <c r="T12" s="21"/>
      <c r="U12" s="21"/>
      <c r="V12" s="21"/>
      <c r="W12" s="21"/>
      <c r="X12" s="21"/>
      <c r="Y12" s="21"/>
      <c r="AJ12" s="75"/>
    </row>
    <row r="13" spans="1:36" ht="12.75" customHeight="1">
      <c r="B13" s="9" t="s">
        <v>139</v>
      </c>
      <c r="C13" s="82">
        <v>-4150</v>
      </c>
      <c r="D13" s="82">
        <v>-6279</v>
      </c>
      <c r="E13" s="82">
        <v>-9439</v>
      </c>
      <c r="F13" s="82">
        <v>-11618</v>
      </c>
      <c r="G13" s="82">
        <v>-16621</v>
      </c>
      <c r="H13" s="82">
        <v>-32639</v>
      </c>
      <c r="I13" s="82"/>
      <c r="J13" s="24"/>
      <c r="K13" s="95">
        <v>-2544</v>
      </c>
      <c r="L13" s="95">
        <v>-4045</v>
      </c>
      <c r="M13" s="95">
        <v>-4720</v>
      </c>
      <c r="N13" s="32">
        <f t="shared" ref="N13" si="8">SUM(G13-SUM(K13:M13))</f>
        <v>-5312</v>
      </c>
      <c r="O13" s="95">
        <v>-5638</v>
      </c>
      <c r="P13" s="95">
        <v>-7466</v>
      </c>
      <c r="Q13" s="95">
        <v>-8926</v>
      </c>
      <c r="R13" s="32">
        <f t="shared" ref="R13" si="9">SUM(H13-SUM(O13:Q13))</f>
        <v>-10609</v>
      </c>
      <c r="S13" s="95">
        <v>-17394</v>
      </c>
      <c r="T13" s="95">
        <v>-12890</v>
      </c>
      <c r="U13" s="95">
        <v>-15157</v>
      </c>
      <c r="V13" s="32">
        <f t="shared" ref="V13" si="10">SUM(I13-SUM(S13:U13))</f>
        <v>45441</v>
      </c>
      <c r="W13" s="82"/>
      <c r="X13" s="82"/>
      <c r="Y13" s="82"/>
      <c r="AA13" s="32">
        <f>SUM(K13:N13)</f>
        <v>-16621</v>
      </c>
      <c r="AB13" s="32">
        <f>SUM(L13:O13)</f>
        <v>-19715</v>
      </c>
      <c r="AC13" s="32">
        <f>SUM(M13:P13)</f>
        <v>-23136</v>
      </c>
      <c r="AD13" s="32">
        <f>SUM(N13:Q13)</f>
        <v>-27342</v>
      </c>
      <c r="AE13" s="32">
        <f>SUM(O13:R13)</f>
        <v>-32639</v>
      </c>
      <c r="AF13" s="32">
        <f>SUM(P13:S13)</f>
        <v>-44395</v>
      </c>
      <c r="AG13" s="32">
        <f>SUM(Q13:T13)</f>
        <v>-49819</v>
      </c>
      <c r="AH13" s="32">
        <f>SUM(R13:U13)</f>
        <v>-56050</v>
      </c>
      <c r="AI13" s="11"/>
      <c r="AJ13" s="12">
        <f t="shared" ref="AJ13" si="11">SUM(AH13/AD13)-1</f>
        <v>1.0499597688537783</v>
      </c>
    </row>
    <row r="14" spans="1:36" ht="12.75" customHeight="1">
      <c r="B14" s="25" t="s">
        <v>20</v>
      </c>
      <c r="C14" s="26">
        <f t="shared" ref="C14:I14" si="12">+SUM(C11+SUM(C13:C13))</f>
        <v>6768</v>
      </c>
      <c r="D14" s="26">
        <f t="shared" si="12"/>
        <v>10396</v>
      </c>
      <c r="E14" s="26">
        <f t="shared" si="12"/>
        <v>17475</v>
      </c>
      <c r="F14" s="26">
        <f t="shared" si="12"/>
        <v>15356</v>
      </c>
      <c r="G14" s="26">
        <f t="shared" si="12"/>
        <v>44301</v>
      </c>
      <c r="H14" s="26">
        <f t="shared" si="12"/>
        <v>97858</v>
      </c>
      <c r="I14" s="26">
        <f t="shared" si="12"/>
        <v>0</v>
      </c>
      <c r="K14" s="26">
        <f t="shared" ref="K14:V14" si="13">+SUM(K11+SUM(K13:K13))</f>
        <v>4648</v>
      </c>
      <c r="L14" s="26">
        <f t="shared" si="13"/>
        <v>9462</v>
      </c>
      <c r="M14" s="26">
        <f t="shared" si="13"/>
        <v>13400</v>
      </c>
      <c r="N14" s="26">
        <f t="shared" si="13"/>
        <v>16791</v>
      </c>
      <c r="O14" s="26">
        <f t="shared" si="13"/>
        <v>20406</v>
      </c>
      <c r="P14" s="26">
        <f t="shared" si="13"/>
        <v>22574</v>
      </c>
      <c r="Q14" s="26">
        <f t="shared" si="13"/>
        <v>26156</v>
      </c>
      <c r="R14" s="26">
        <f t="shared" si="13"/>
        <v>28722</v>
      </c>
      <c r="S14" s="26">
        <f t="shared" si="13"/>
        <v>26668</v>
      </c>
      <c r="T14" s="26">
        <f t="shared" si="13"/>
        <v>33853</v>
      </c>
      <c r="U14" s="26">
        <f t="shared" si="13"/>
        <v>41849</v>
      </c>
      <c r="V14" s="26">
        <f t="shared" si="13"/>
        <v>-102370</v>
      </c>
      <c r="W14" s="26">
        <f t="shared" ref="W14" si="14">+SUM(W11+SUM(W13:W13))</f>
        <v>0</v>
      </c>
      <c r="X14" s="26">
        <f t="shared" ref="X14" si="15">+SUM(X11+SUM(X13:X13))</f>
        <v>0</v>
      </c>
      <c r="Y14" s="26">
        <f t="shared" ref="Y14" si="16">+SUM(Y11+SUM(Y13:Y13))</f>
        <v>0</v>
      </c>
      <c r="AA14" s="26">
        <f t="shared" ref="AA14:AH14" si="17">+SUM(AA11+SUM(AA13:AA13))</f>
        <v>44301</v>
      </c>
      <c r="AB14" s="26">
        <f t="shared" si="17"/>
        <v>60059</v>
      </c>
      <c r="AC14" s="26">
        <f t="shared" si="17"/>
        <v>73171</v>
      </c>
      <c r="AD14" s="26">
        <f t="shared" si="17"/>
        <v>85927</v>
      </c>
      <c r="AE14" s="26">
        <f t="shared" si="17"/>
        <v>97858</v>
      </c>
      <c r="AF14" s="26">
        <f t="shared" si="17"/>
        <v>104120</v>
      </c>
      <c r="AG14" s="26">
        <f t="shared" si="17"/>
        <v>115399</v>
      </c>
      <c r="AH14" s="26">
        <f t="shared" si="17"/>
        <v>131092</v>
      </c>
      <c r="AI14" s="42"/>
      <c r="AJ14" s="76">
        <f>SUM(AH14/AD14)-1</f>
        <v>0.52562058491510233</v>
      </c>
    </row>
    <row r="15" spans="1:36" ht="12.75" customHeight="1">
      <c r="B15" s="16" t="s">
        <v>29</v>
      </c>
      <c r="C15" s="17">
        <f t="shared" ref="C15:I15" si="18">C14/C11</f>
        <v>0.61989375343469499</v>
      </c>
      <c r="D15" s="17">
        <f t="shared" si="18"/>
        <v>0.62344827586206897</v>
      </c>
      <c r="E15" s="17">
        <f t="shared" si="18"/>
        <v>0.64929033216913135</v>
      </c>
      <c r="F15" s="17">
        <f t="shared" si="18"/>
        <v>0.56928894490991322</v>
      </c>
      <c r="G15" s="17">
        <f t="shared" si="18"/>
        <v>0.72717573290436954</v>
      </c>
      <c r="H15" s="17">
        <f t="shared" si="18"/>
        <v>0.74988697058169917</v>
      </c>
      <c r="I15" s="17" t="e">
        <f t="shared" si="18"/>
        <v>#DIV/0!</v>
      </c>
      <c r="J15" s="27"/>
      <c r="K15" s="17">
        <f t="shared" ref="K15:V15" si="19">K14/K11</f>
        <v>0.64627363737486099</v>
      </c>
      <c r="L15" s="17">
        <f t="shared" si="19"/>
        <v>0.7005256533649219</v>
      </c>
      <c r="M15" s="17">
        <f t="shared" si="19"/>
        <v>0.73951434878587197</v>
      </c>
      <c r="N15" s="17">
        <f t="shared" si="19"/>
        <v>0.75967063294575399</v>
      </c>
      <c r="O15" s="17">
        <f t="shared" si="19"/>
        <v>0.78352019659038552</v>
      </c>
      <c r="P15" s="17">
        <f t="shared" si="19"/>
        <v>0.75146471371504664</v>
      </c>
      <c r="Q15" s="17">
        <f t="shared" si="19"/>
        <v>0.74556752750698363</v>
      </c>
      <c r="R15" s="17">
        <f t="shared" si="19"/>
        <v>0.73026365970862683</v>
      </c>
      <c r="S15" s="17">
        <f t="shared" si="19"/>
        <v>0.60523807362353044</v>
      </c>
      <c r="T15" s="17">
        <f t="shared" si="19"/>
        <v>0.72423678411740799</v>
      </c>
      <c r="U15" s="17">
        <f t="shared" si="19"/>
        <v>0.7341157071185489</v>
      </c>
      <c r="V15" s="17">
        <f t="shared" si="19"/>
        <v>0.69257362442578696</v>
      </c>
      <c r="W15" s="17" t="e">
        <f t="shared" ref="W15" si="20">W14/W11</f>
        <v>#DIV/0!</v>
      </c>
      <c r="X15" s="17" t="e">
        <f t="shared" ref="X15" si="21">X14/X11</f>
        <v>#DIV/0!</v>
      </c>
      <c r="Y15" s="17" t="e">
        <f t="shared" ref="Y15" si="22">Y14/Y11</f>
        <v>#DIV/0!</v>
      </c>
      <c r="Z15" s="28"/>
      <c r="AA15" s="17">
        <f t="shared" ref="AA15:AH15" si="23">AA14/AA11</f>
        <v>0.72717573290436954</v>
      </c>
      <c r="AB15" s="17">
        <f t="shared" si="23"/>
        <v>0.75286434176548755</v>
      </c>
      <c r="AC15" s="17">
        <f t="shared" si="23"/>
        <v>0.75976824114550345</v>
      </c>
      <c r="AD15" s="17">
        <f t="shared" si="23"/>
        <v>0.75861003451959497</v>
      </c>
      <c r="AE15" s="17">
        <f t="shared" si="23"/>
        <v>0.74988697058169917</v>
      </c>
      <c r="AF15" s="17">
        <f t="shared" si="23"/>
        <v>0.70107396559270108</v>
      </c>
      <c r="AG15" s="17">
        <f t="shared" si="23"/>
        <v>0.69846505828662742</v>
      </c>
      <c r="AH15" s="17">
        <f t="shared" si="23"/>
        <v>0.70049481142661718</v>
      </c>
      <c r="AI15" s="42"/>
      <c r="AJ15" s="77">
        <f>SUM(AH15-AD15)*1000</f>
        <v>-58.115223092977786</v>
      </c>
    </row>
    <row r="16" spans="1:36" ht="5.0999999999999996" customHeight="1">
      <c r="B16" s="29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AA16" s="30"/>
      <c r="AB16" s="30"/>
      <c r="AC16" s="30"/>
      <c r="AD16" s="30"/>
      <c r="AE16" s="30"/>
      <c r="AF16" s="30"/>
      <c r="AG16" s="30"/>
      <c r="AH16" s="30"/>
      <c r="AI16" s="42"/>
      <c r="AJ16" s="75"/>
    </row>
    <row r="17" spans="2:36" ht="12.75" customHeight="1">
      <c r="B17" s="9" t="s">
        <v>141</v>
      </c>
      <c r="C17" s="82">
        <v>-2829</v>
      </c>
      <c r="D17" s="82">
        <v>-3924</v>
      </c>
      <c r="E17" s="82">
        <v>-5268</v>
      </c>
      <c r="F17" s="82">
        <v>-7339</v>
      </c>
      <c r="G17" s="82">
        <v>-8675</v>
      </c>
      <c r="H17" s="82">
        <v>-12914</v>
      </c>
      <c r="I17" s="82"/>
      <c r="J17" s="32"/>
      <c r="K17" s="95">
        <v>-1875</v>
      </c>
      <c r="L17" s="95">
        <v>-2040</v>
      </c>
      <c r="M17" s="95">
        <v>-2294</v>
      </c>
      <c r="N17" s="32">
        <f t="shared" ref="N17:N19" si="24">SUM(G17-SUM(K17:M17))</f>
        <v>-2466</v>
      </c>
      <c r="O17" s="95">
        <v>-2720</v>
      </c>
      <c r="P17" s="95">
        <v>-3090</v>
      </c>
      <c r="Q17" s="95">
        <v>-3390</v>
      </c>
      <c r="R17" s="32">
        <f t="shared" ref="R17:R19" si="25">SUM(H17-SUM(O17:Q17))</f>
        <v>-3714</v>
      </c>
      <c r="S17" s="95">
        <v>-3989</v>
      </c>
      <c r="T17" s="95">
        <v>-4291</v>
      </c>
      <c r="U17" s="95">
        <v>-4705</v>
      </c>
      <c r="V17" s="32">
        <f t="shared" ref="V17:V19" si="26">SUM(I17-SUM(S17:U17))</f>
        <v>12985</v>
      </c>
      <c r="W17" s="82"/>
      <c r="X17" s="82"/>
      <c r="Y17" s="82"/>
      <c r="AA17" s="32">
        <f>SUM(K17:N17)</f>
        <v>-8675</v>
      </c>
      <c r="AB17" s="32">
        <f>SUM(L17:O17)</f>
        <v>-9520</v>
      </c>
      <c r="AC17" s="32">
        <f>SUM(M17:P17)</f>
        <v>-10570</v>
      </c>
      <c r="AD17" s="32">
        <f>SUM(N17:Q17)</f>
        <v>-11666</v>
      </c>
      <c r="AE17" s="32">
        <f>SUM(O17:R17)</f>
        <v>-12914</v>
      </c>
      <c r="AF17" s="32">
        <f>SUM(P17:S17)</f>
        <v>-14183</v>
      </c>
      <c r="AG17" s="32">
        <f>SUM(Q17:T17)</f>
        <v>-15384</v>
      </c>
      <c r="AH17" s="32">
        <f>SUM(R17:U17)</f>
        <v>-16699</v>
      </c>
      <c r="AI17" s="11"/>
      <c r="AJ17" s="75">
        <f>SUM(AH17/AD17)-1</f>
        <v>0.43142465283730491</v>
      </c>
    </row>
    <row r="18" spans="2:36" ht="12.75" customHeight="1">
      <c r="B18" s="9" t="s">
        <v>140</v>
      </c>
      <c r="C18" s="82">
        <v>-1093</v>
      </c>
      <c r="D18" s="82">
        <v>-1940</v>
      </c>
      <c r="E18" s="82">
        <v>-2166</v>
      </c>
      <c r="F18" s="82">
        <v>-2440</v>
      </c>
      <c r="G18" s="82">
        <v>-2654</v>
      </c>
      <c r="H18" s="82">
        <v>-3491</v>
      </c>
      <c r="I18" s="82"/>
      <c r="J18" s="32"/>
      <c r="K18" s="95">
        <v>-633</v>
      </c>
      <c r="L18" s="95">
        <v>-622</v>
      </c>
      <c r="M18" s="95">
        <v>-689</v>
      </c>
      <c r="N18" s="32">
        <f t="shared" si="24"/>
        <v>-710</v>
      </c>
      <c r="O18" s="95">
        <v>-777</v>
      </c>
      <c r="P18" s="95">
        <v>-842</v>
      </c>
      <c r="Q18" s="95">
        <v>-897</v>
      </c>
      <c r="R18" s="32">
        <f t="shared" si="25"/>
        <v>-975</v>
      </c>
      <c r="S18" s="95">
        <v>-1041</v>
      </c>
      <c r="T18" s="95">
        <v>-1122</v>
      </c>
      <c r="U18" s="95">
        <v>-1134</v>
      </c>
      <c r="V18" s="32">
        <f t="shared" si="26"/>
        <v>3297</v>
      </c>
      <c r="W18" s="82"/>
      <c r="X18" s="82"/>
      <c r="Y18" s="82"/>
      <c r="AA18" s="32">
        <f>SUM(K18:N18)</f>
        <v>-2654</v>
      </c>
      <c r="AB18" s="32">
        <f>SUM(L18:O18)</f>
        <v>-2798</v>
      </c>
      <c r="AC18" s="32">
        <f>SUM(M18:P18)</f>
        <v>-3018</v>
      </c>
      <c r="AD18" s="32">
        <f>SUM(N18:Q18)</f>
        <v>-3226</v>
      </c>
      <c r="AE18" s="32">
        <f>SUM(O18:R18)</f>
        <v>-3491</v>
      </c>
      <c r="AF18" s="32">
        <f>SUM(P18:S18)</f>
        <v>-3755</v>
      </c>
      <c r="AG18" s="32">
        <f>SUM(Q18:T18)</f>
        <v>-4035</v>
      </c>
      <c r="AH18" s="32">
        <f>SUM(R18:U18)</f>
        <v>-4272</v>
      </c>
      <c r="AI18" s="11"/>
      <c r="AJ18" s="75">
        <f t="shared" ref="AJ18" si="27">SUM(AH18/AD18)-1</f>
        <v>0.32424054556726589</v>
      </c>
    </row>
    <row r="19" spans="2:36" ht="12.75" customHeight="1">
      <c r="B19" s="9" t="s">
        <v>200</v>
      </c>
      <c r="C19" s="82">
        <v>0</v>
      </c>
      <c r="D19" s="82">
        <v>0</v>
      </c>
      <c r="E19" s="82">
        <v>0</v>
      </c>
      <c r="F19" s="82">
        <v>-1353</v>
      </c>
      <c r="G19" s="82">
        <v>0</v>
      </c>
      <c r="H19" s="82">
        <v>0</v>
      </c>
      <c r="I19" s="82"/>
      <c r="J19" s="32"/>
      <c r="K19" s="82">
        <v>0</v>
      </c>
      <c r="L19" s="82">
        <v>0</v>
      </c>
      <c r="M19" s="82">
        <v>0</v>
      </c>
      <c r="N19" s="32">
        <f t="shared" si="24"/>
        <v>0</v>
      </c>
      <c r="O19" s="82">
        <v>0</v>
      </c>
      <c r="P19" s="82">
        <v>0</v>
      </c>
      <c r="Q19" s="82">
        <v>0</v>
      </c>
      <c r="R19" s="32">
        <f t="shared" si="25"/>
        <v>0</v>
      </c>
      <c r="S19" s="82">
        <v>0</v>
      </c>
      <c r="T19" s="82">
        <v>0</v>
      </c>
      <c r="U19" s="82">
        <v>0</v>
      </c>
      <c r="V19" s="32">
        <f t="shared" si="26"/>
        <v>0</v>
      </c>
      <c r="W19" s="82"/>
      <c r="X19" s="82"/>
      <c r="Y19" s="82"/>
      <c r="AA19" s="32">
        <f>SUM(K19:N19)</f>
        <v>0</v>
      </c>
      <c r="AB19" s="32">
        <f>SUM(L19:O19)</f>
        <v>0</v>
      </c>
      <c r="AC19" s="32">
        <f>SUM(M19:P19)</f>
        <v>0</v>
      </c>
      <c r="AD19" s="32">
        <f>SUM(N19:Q19)</f>
        <v>0</v>
      </c>
      <c r="AE19" s="32">
        <f>SUM(O19:R19)</f>
        <v>0</v>
      </c>
      <c r="AF19" s="32">
        <f>SUM(P19:S19)</f>
        <v>0</v>
      </c>
      <c r="AG19" s="32">
        <f>SUM(Q19:T19)</f>
        <v>0</v>
      </c>
      <c r="AH19" s="32">
        <f>SUM(R19:U19)</f>
        <v>0</v>
      </c>
      <c r="AI19" s="11"/>
      <c r="AJ19" s="75" t="e">
        <f t="shared" ref="AJ19" si="28">SUM(AH19/AD19)-1</f>
        <v>#DIV/0!</v>
      </c>
    </row>
    <row r="20" spans="2:36" ht="12.75" customHeight="1">
      <c r="B20" s="25" t="s">
        <v>77</v>
      </c>
      <c r="C20" s="26">
        <f>+SUM(C14+SUM(C17:C19))</f>
        <v>2846</v>
      </c>
      <c r="D20" s="26">
        <f>+SUM(D14+SUM(D17:D19))</f>
        <v>4532</v>
      </c>
      <c r="E20" s="26">
        <f>+SUM(E14+SUM(E17:E19))</f>
        <v>10041</v>
      </c>
      <c r="F20" s="26">
        <f>+SUM(F14+SUM(F17:F19))</f>
        <v>4224</v>
      </c>
      <c r="G20" s="26">
        <f>+SUM(G14+SUM(G17:G19))</f>
        <v>32972</v>
      </c>
      <c r="H20" s="26">
        <f>+SUM(H14+SUM(H17:H19))</f>
        <v>81453</v>
      </c>
      <c r="I20" s="26">
        <f>+SUM(I14+SUM(I17:I19))</f>
        <v>0</v>
      </c>
      <c r="J20" s="32"/>
      <c r="K20" s="26">
        <f>+SUM(K14+SUM(K17:K19))</f>
        <v>2140</v>
      </c>
      <c r="L20" s="26">
        <f>+SUM(L14+SUM(L17:L19))</f>
        <v>6800</v>
      </c>
      <c r="M20" s="26">
        <f>+SUM(M14+SUM(M17:M19))</f>
        <v>10417</v>
      </c>
      <c r="N20" s="26">
        <f>+SUM(N14+SUM(N17:N19))</f>
        <v>13615</v>
      </c>
      <c r="O20" s="26">
        <f>+SUM(O14+SUM(O17:O19))</f>
        <v>16909</v>
      </c>
      <c r="P20" s="26">
        <f>+SUM(P14+SUM(P17:P19))</f>
        <v>18642</v>
      </c>
      <c r="Q20" s="26">
        <f>+SUM(Q14+SUM(Q17:Q19))</f>
        <v>21869</v>
      </c>
      <c r="R20" s="26">
        <f>+SUM(R14+SUM(R17:R19))</f>
        <v>24033</v>
      </c>
      <c r="S20" s="26">
        <f>+SUM(S14+SUM(S17:S19))</f>
        <v>21638</v>
      </c>
      <c r="T20" s="26">
        <f>+SUM(T14+SUM(T17:T19))</f>
        <v>28440</v>
      </c>
      <c r="U20" s="26">
        <f>+SUM(U14+SUM(U17:U19))</f>
        <v>36010</v>
      </c>
      <c r="V20" s="26">
        <f>+SUM(V14+SUM(V17:V19))</f>
        <v>-86088</v>
      </c>
      <c r="W20" s="26">
        <f>+SUM(W14+SUM(W17:W19))</f>
        <v>0</v>
      </c>
      <c r="X20" s="26">
        <f>+SUM(X14+SUM(X17:X19))</f>
        <v>0</v>
      </c>
      <c r="Y20" s="26">
        <f>+SUM(Y14+SUM(Y17:Y19))</f>
        <v>0</v>
      </c>
      <c r="AA20" s="26">
        <f>+SUM(AA14+SUM(AA17:AA19))</f>
        <v>32972</v>
      </c>
      <c r="AB20" s="26">
        <f>+SUM(AB14+SUM(AB17:AB19))</f>
        <v>47741</v>
      </c>
      <c r="AC20" s="26">
        <f>+SUM(AC14+SUM(AC17:AC19))</f>
        <v>59583</v>
      </c>
      <c r="AD20" s="26">
        <f>+SUM(AD14+SUM(AD17:AD19))</f>
        <v>71035</v>
      </c>
      <c r="AE20" s="26">
        <f>+SUM(AE14+SUM(AE17:AE19))</f>
        <v>81453</v>
      </c>
      <c r="AF20" s="26">
        <f>+SUM(AF14+SUM(AF17:AF19))</f>
        <v>86182</v>
      </c>
      <c r="AG20" s="26">
        <f>+SUM(AG14+SUM(AG17:AG19))</f>
        <v>95980</v>
      </c>
      <c r="AH20" s="26">
        <f>+SUM(AH14+SUM(AH17:AH19))</f>
        <v>110121</v>
      </c>
      <c r="AI20" s="11"/>
      <c r="AJ20" s="76">
        <f>SUM(AH20/AD20)-1</f>
        <v>0.55023579925388888</v>
      </c>
    </row>
    <row r="21" spans="2:36" ht="12.75" customHeight="1">
      <c r="B21" s="16" t="s">
        <v>31</v>
      </c>
      <c r="C21" s="17">
        <f>C20/C11</f>
        <v>0.2606704524638212</v>
      </c>
      <c r="D21" s="17">
        <f>D20/D11</f>
        <v>0.27178410794602698</v>
      </c>
      <c r="E21" s="17">
        <f>E20/E11</f>
        <v>0.37307720888756779</v>
      </c>
      <c r="F21" s="17">
        <f>F20/F11</f>
        <v>0.1565952398606065</v>
      </c>
      <c r="G21" s="17">
        <f>G20/G11</f>
        <v>0.54121663766783756</v>
      </c>
      <c r="H21" s="17">
        <f>H20/H11</f>
        <v>0.62417526839697468</v>
      </c>
      <c r="I21" s="17" t="e">
        <f>I20/I11</f>
        <v>#DIV/0!</v>
      </c>
      <c r="J21" s="32"/>
      <c r="K21" s="17">
        <f>K20/K11</f>
        <v>0.29755283648498332</v>
      </c>
      <c r="L21" s="17">
        <f>L20/L11</f>
        <v>0.50344265936181243</v>
      </c>
      <c r="M21" s="17">
        <f>M20/M11</f>
        <v>0.5748896247240618</v>
      </c>
      <c r="N21" s="17">
        <f>N20/N11</f>
        <v>0.61597973125820027</v>
      </c>
      <c r="O21" s="17">
        <f>O20/O11</f>
        <v>0.64924742743050223</v>
      </c>
      <c r="P21" s="17">
        <f>P20/P11</f>
        <v>0.62057256990679099</v>
      </c>
      <c r="Q21" s="17">
        <f>Q20/Q11</f>
        <v>0.62336810900176731</v>
      </c>
      <c r="R21" s="17">
        <f>R20/R11</f>
        <v>0.61104472299204193</v>
      </c>
      <c r="S21" s="17">
        <f>S20/S11</f>
        <v>0.49108074985248057</v>
      </c>
      <c r="T21" s="17">
        <f>T20/T11</f>
        <v>0.60843334830883766</v>
      </c>
      <c r="U21" s="17">
        <f>U20/U11</f>
        <v>0.63168789250254365</v>
      </c>
      <c r="V21" s="17">
        <f>V20/V11</f>
        <v>0.58241944104295351</v>
      </c>
      <c r="W21" s="17" t="e">
        <f>W20/W11</f>
        <v>#DIV/0!</v>
      </c>
      <c r="X21" s="17" t="e">
        <f>X20/X11</f>
        <v>#DIV/0!</v>
      </c>
      <c r="Y21" s="17" t="e">
        <f>Y20/Y11</f>
        <v>#DIV/0!</v>
      </c>
      <c r="AA21" s="17">
        <f>AA20/AA11</f>
        <v>0.54121663766783756</v>
      </c>
      <c r="AB21" s="17">
        <f>AB20/AB11</f>
        <v>0.59845313009251133</v>
      </c>
      <c r="AC21" s="17">
        <f>AC20/AC11</f>
        <v>0.61867777004786773</v>
      </c>
      <c r="AD21" s="17">
        <f>AD20/AD11</f>
        <v>0.62713540333189133</v>
      </c>
      <c r="AE21" s="17">
        <f>AE20/AE11</f>
        <v>0.62417526839697468</v>
      </c>
      <c r="AF21" s="17">
        <f>AF20/AF11</f>
        <v>0.58029155304178026</v>
      </c>
      <c r="AG21" s="17">
        <f>AG20/AG11</f>
        <v>0.58092943868101543</v>
      </c>
      <c r="AH21" s="17">
        <f>AH20/AH11</f>
        <v>0.58843551955199791</v>
      </c>
      <c r="AI21" s="11"/>
      <c r="AJ21" s="77">
        <f>SUM(AH21-AD21)*1000</f>
        <v>-38.699883779893419</v>
      </c>
    </row>
    <row r="22" spans="2:36" ht="5.0999999999999996" customHeight="1">
      <c r="B22" s="16"/>
      <c r="C22" s="17"/>
      <c r="D22" s="17"/>
      <c r="E22" s="17"/>
      <c r="F22" s="17"/>
      <c r="G22" s="17"/>
      <c r="H22" s="17"/>
      <c r="I22" s="17"/>
      <c r="J22" s="32"/>
      <c r="K22" s="82"/>
      <c r="L22" s="82"/>
      <c r="M22" s="82"/>
      <c r="N22" s="82"/>
      <c r="O22" s="82"/>
      <c r="P22" s="82"/>
      <c r="Q22" s="82"/>
      <c r="R22" s="82"/>
      <c r="S22" s="32"/>
      <c r="T22" s="82"/>
      <c r="U22" s="82"/>
      <c r="V22" s="82"/>
      <c r="W22" s="82"/>
      <c r="X22" s="82"/>
      <c r="Y22" s="82"/>
      <c r="AA22" s="32"/>
      <c r="AB22" s="32"/>
      <c r="AC22" s="32"/>
      <c r="AD22" s="32"/>
      <c r="AE22" s="32"/>
      <c r="AF22" s="32"/>
      <c r="AG22" s="32"/>
      <c r="AH22" s="32"/>
      <c r="AI22" s="11"/>
      <c r="AJ22" s="75"/>
    </row>
    <row r="23" spans="2:36" ht="12.75" customHeight="1">
      <c r="B23" s="9" t="s">
        <v>179</v>
      </c>
      <c r="C23" s="82">
        <v>178</v>
      </c>
      <c r="D23" s="82">
        <v>57</v>
      </c>
      <c r="E23" s="82">
        <v>29</v>
      </c>
      <c r="F23" s="82">
        <v>267</v>
      </c>
      <c r="G23" s="82">
        <v>866</v>
      </c>
      <c r="H23" s="82">
        <v>1786</v>
      </c>
      <c r="I23" s="82"/>
      <c r="J23" s="32"/>
      <c r="K23" s="95">
        <v>150</v>
      </c>
      <c r="L23" s="95">
        <v>187</v>
      </c>
      <c r="M23" s="95">
        <v>234</v>
      </c>
      <c r="N23" s="32">
        <f t="shared" ref="N23:N25" si="29">SUM(G23-SUM(K23:M23))</f>
        <v>295</v>
      </c>
      <c r="O23" s="95">
        <v>359</v>
      </c>
      <c r="P23" s="95">
        <v>444</v>
      </c>
      <c r="Q23" s="95">
        <v>472</v>
      </c>
      <c r="R23" s="32">
        <f t="shared" ref="R23:R25" si="30">SUM(H23-SUM(O23:Q23))</f>
        <v>511</v>
      </c>
      <c r="S23" s="82">
        <v>515</v>
      </c>
      <c r="T23" s="82">
        <v>592</v>
      </c>
      <c r="U23" s="82">
        <v>624</v>
      </c>
      <c r="V23" s="32">
        <f t="shared" ref="V23:V25" si="31">SUM(I23-SUM(S23:U23))</f>
        <v>-1731</v>
      </c>
      <c r="W23" s="82"/>
      <c r="X23" s="82"/>
      <c r="Y23" s="82"/>
      <c r="AA23" s="32">
        <f>SUM(K23:N23)</f>
        <v>866</v>
      </c>
      <c r="AB23" s="32">
        <f>SUM(L23:O23)</f>
        <v>1075</v>
      </c>
      <c r="AC23" s="32">
        <f>SUM(M23:P23)</f>
        <v>1332</v>
      </c>
      <c r="AD23" s="32">
        <f>SUM(N23:Q23)</f>
        <v>1570</v>
      </c>
      <c r="AE23" s="32">
        <f>SUM(O23:R23)</f>
        <v>1786</v>
      </c>
      <c r="AF23" s="32">
        <f>SUM(P23:S23)</f>
        <v>1942</v>
      </c>
      <c r="AG23" s="32">
        <f>SUM(Q23:T23)</f>
        <v>2090</v>
      </c>
      <c r="AH23" s="32">
        <f>SUM(R23:U23)</f>
        <v>2242</v>
      </c>
      <c r="AI23" s="11"/>
      <c r="AJ23" s="75">
        <f>SUM(AH23/AD23)-1</f>
        <v>0.42802547770700627</v>
      </c>
    </row>
    <row r="24" spans="2:36" ht="12.75" customHeight="1">
      <c r="B24" s="9" t="s">
        <v>180</v>
      </c>
      <c r="C24" s="82">
        <v>-52</v>
      </c>
      <c r="D24" s="82">
        <v>-184</v>
      </c>
      <c r="E24" s="82">
        <v>-236</v>
      </c>
      <c r="F24" s="82">
        <v>-262</v>
      </c>
      <c r="G24" s="82">
        <v>-257</v>
      </c>
      <c r="H24" s="82">
        <v>-247</v>
      </c>
      <c r="I24" s="82"/>
      <c r="J24" s="32"/>
      <c r="K24" s="95">
        <v>-66</v>
      </c>
      <c r="L24" s="95">
        <v>-65</v>
      </c>
      <c r="M24" s="95">
        <v>-63</v>
      </c>
      <c r="N24" s="32">
        <f t="shared" si="29"/>
        <v>-63</v>
      </c>
      <c r="O24" s="95">
        <v>-64</v>
      </c>
      <c r="P24" s="95">
        <v>-61</v>
      </c>
      <c r="Q24" s="95">
        <v>-61</v>
      </c>
      <c r="R24" s="32">
        <f t="shared" si="30"/>
        <v>-61</v>
      </c>
      <c r="S24" s="82">
        <v>-63</v>
      </c>
      <c r="T24" s="82">
        <v>-62</v>
      </c>
      <c r="U24" s="82">
        <v>-61</v>
      </c>
      <c r="V24" s="32">
        <f t="shared" si="31"/>
        <v>186</v>
      </c>
      <c r="W24" s="82"/>
      <c r="X24" s="82"/>
      <c r="Y24" s="82"/>
      <c r="AA24" s="32">
        <f>SUM(K24:N24)</f>
        <v>-257</v>
      </c>
      <c r="AB24" s="32">
        <f>SUM(L24:O24)</f>
        <v>-255</v>
      </c>
      <c r="AC24" s="32">
        <f>SUM(M24:P24)</f>
        <v>-251</v>
      </c>
      <c r="AD24" s="32">
        <f>SUM(N24:Q24)</f>
        <v>-249</v>
      </c>
      <c r="AE24" s="32">
        <f>SUM(O24:R24)</f>
        <v>-247</v>
      </c>
      <c r="AF24" s="32">
        <f>SUM(P24:S24)</f>
        <v>-246</v>
      </c>
      <c r="AG24" s="32">
        <f>SUM(Q24:T24)</f>
        <v>-247</v>
      </c>
      <c r="AH24" s="32">
        <f>SUM(R24:U24)</f>
        <v>-247</v>
      </c>
      <c r="AI24" s="11"/>
      <c r="AJ24" s="75"/>
    </row>
    <row r="25" spans="2:36" ht="12.75" customHeight="1">
      <c r="B25" s="9" t="s">
        <v>142</v>
      </c>
      <c r="C25" s="82">
        <v>-2</v>
      </c>
      <c r="D25" s="82">
        <v>4</v>
      </c>
      <c r="E25" s="82">
        <v>107</v>
      </c>
      <c r="F25" s="82">
        <v>-48</v>
      </c>
      <c r="G25" s="82">
        <v>237</v>
      </c>
      <c r="H25" s="82">
        <v>1034</v>
      </c>
      <c r="I25" s="82"/>
      <c r="J25" s="32"/>
      <c r="K25" s="95">
        <v>-15</v>
      </c>
      <c r="L25" s="95">
        <v>59</v>
      </c>
      <c r="M25" s="95">
        <v>-66</v>
      </c>
      <c r="N25" s="32">
        <f t="shared" si="29"/>
        <v>259</v>
      </c>
      <c r="O25" s="95">
        <v>75</v>
      </c>
      <c r="P25" s="95">
        <v>189</v>
      </c>
      <c r="Q25" s="95">
        <v>36</v>
      </c>
      <c r="R25" s="32">
        <f t="shared" si="30"/>
        <v>734</v>
      </c>
      <c r="S25" s="82">
        <v>-180</v>
      </c>
      <c r="T25" s="82">
        <v>2236</v>
      </c>
      <c r="U25" s="82">
        <v>1363</v>
      </c>
      <c r="V25" s="32">
        <f t="shared" si="31"/>
        <v>-3419</v>
      </c>
      <c r="W25" s="82"/>
      <c r="X25" s="82"/>
      <c r="Y25" s="82"/>
      <c r="AA25" s="32">
        <f>SUM(K25:N25)</f>
        <v>237</v>
      </c>
      <c r="AB25" s="32">
        <f>SUM(L25:O25)</f>
        <v>327</v>
      </c>
      <c r="AC25" s="32">
        <f>SUM(M25:P25)</f>
        <v>457</v>
      </c>
      <c r="AD25" s="32">
        <f>SUM(N25:Q25)</f>
        <v>559</v>
      </c>
      <c r="AE25" s="32">
        <f>SUM(O25:R25)</f>
        <v>1034</v>
      </c>
      <c r="AF25" s="32">
        <f>SUM(P25:S25)</f>
        <v>779</v>
      </c>
      <c r="AG25" s="32">
        <f>SUM(Q25:T25)</f>
        <v>2826</v>
      </c>
      <c r="AH25" s="32">
        <f>SUM(R25:U25)</f>
        <v>4153</v>
      </c>
      <c r="AI25" s="11"/>
      <c r="AJ25" s="75"/>
    </row>
    <row r="26" spans="2:36" ht="12.75" customHeight="1">
      <c r="B26" s="25" t="s">
        <v>178</v>
      </c>
      <c r="C26" s="26">
        <f>SUM(C20+SUM(C23:C25))</f>
        <v>2970</v>
      </c>
      <c r="D26" s="26">
        <f t="shared" ref="D26:I26" si="32">SUM(D20+SUM(D23:D25))</f>
        <v>4409</v>
      </c>
      <c r="E26" s="26">
        <f t="shared" si="32"/>
        <v>9941</v>
      </c>
      <c r="F26" s="26">
        <f t="shared" si="32"/>
        <v>4181</v>
      </c>
      <c r="G26" s="26">
        <f t="shared" si="32"/>
        <v>33818</v>
      </c>
      <c r="H26" s="26">
        <f t="shared" si="32"/>
        <v>84026</v>
      </c>
      <c r="I26" s="26">
        <f t="shared" si="32"/>
        <v>0</v>
      </c>
      <c r="K26" s="26">
        <f t="shared" ref="K26" si="33">SUM(K20+SUM(K23:K25))</f>
        <v>2209</v>
      </c>
      <c r="L26" s="26">
        <f t="shared" ref="L26" si="34">SUM(L20+SUM(L23:L25))</f>
        <v>6981</v>
      </c>
      <c r="M26" s="26">
        <f t="shared" ref="M26" si="35">SUM(M20+SUM(M23:M25))</f>
        <v>10522</v>
      </c>
      <c r="N26" s="26">
        <f t="shared" ref="N26" si="36">SUM(N20+SUM(N23:N25))</f>
        <v>14106</v>
      </c>
      <c r="O26" s="26">
        <f t="shared" ref="O26" si="37">SUM(O20+SUM(O23:O25))</f>
        <v>17279</v>
      </c>
      <c r="P26" s="26">
        <f t="shared" ref="P26" si="38">SUM(P20+SUM(P23:P25))</f>
        <v>19214</v>
      </c>
      <c r="Q26" s="26">
        <f t="shared" ref="Q26" si="39">SUM(Q20+SUM(Q23:Q25))</f>
        <v>22316</v>
      </c>
      <c r="R26" s="26">
        <f t="shared" ref="R26" si="40">SUM(R20+SUM(R23:R25))</f>
        <v>25217</v>
      </c>
      <c r="S26" s="26">
        <f t="shared" ref="S26" si="41">SUM(S20+SUM(S23:S25))</f>
        <v>21910</v>
      </c>
      <c r="T26" s="26">
        <f t="shared" ref="T26" si="42">SUM(T20+SUM(T23:T25))</f>
        <v>31206</v>
      </c>
      <c r="U26" s="26">
        <f t="shared" ref="U26" si="43">SUM(U20+SUM(U23:U25))</f>
        <v>37936</v>
      </c>
      <c r="V26" s="26">
        <f t="shared" ref="V26" si="44">SUM(V20+SUM(V23:V25))</f>
        <v>-91052</v>
      </c>
      <c r="W26" s="26">
        <f t="shared" ref="W26" si="45">SUM(W20+SUM(W23:W25))</f>
        <v>0</v>
      </c>
      <c r="X26" s="26">
        <f t="shared" ref="X26" si="46">SUM(X20+SUM(X23:X25))</f>
        <v>0</v>
      </c>
      <c r="Y26" s="26">
        <f t="shared" ref="Y26" si="47">SUM(Y20+SUM(Y23:Y25))</f>
        <v>0</v>
      </c>
      <c r="AA26" s="26">
        <f t="shared" ref="AA26:AC26" si="48">SUM(AA20+SUM(AA23:AA23))</f>
        <v>33838</v>
      </c>
      <c r="AB26" s="26">
        <f t="shared" si="48"/>
        <v>48816</v>
      </c>
      <c r="AC26" s="26">
        <f t="shared" si="48"/>
        <v>60915</v>
      </c>
      <c r="AD26" s="26">
        <f t="shared" ref="AD26" si="49">SUM(AD20+SUM(AD23:AD25))</f>
        <v>72915</v>
      </c>
      <c r="AE26" s="26">
        <f t="shared" ref="AE26" si="50">SUM(AE20+SUM(AE23:AE25))</f>
        <v>84026</v>
      </c>
      <c r="AF26" s="26">
        <f t="shared" ref="AF26" si="51">SUM(AF20+SUM(AF23:AF25))</f>
        <v>88657</v>
      </c>
      <c r="AG26" s="26">
        <f t="shared" ref="AG26" si="52">SUM(AG20+SUM(AG23:AG25))</f>
        <v>100649</v>
      </c>
      <c r="AH26" s="26">
        <f t="shared" ref="AH26" si="53">SUM(AH20+SUM(AH23:AH25))</f>
        <v>116269</v>
      </c>
      <c r="AI26" s="42"/>
      <c r="AJ26" s="76">
        <f>SUM(AH26/AD26)-1</f>
        <v>0.59458273331961875</v>
      </c>
    </row>
    <row r="27" spans="2:36" ht="12.75" customHeight="1">
      <c r="B27" s="16" t="s">
        <v>181</v>
      </c>
      <c r="C27" s="17">
        <f>C26/C11</f>
        <v>0.27202784392745927</v>
      </c>
      <c r="D27" s="17">
        <f>D26/D11</f>
        <v>0.26440779610194903</v>
      </c>
      <c r="E27" s="17">
        <f>E26/E11</f>
        <v>0.36936167050605634</v>
      </c>
      <c r="F27" s="17">
        <f>F26/F11</f>
        <v>0.15500111218210127</v>
      </c>
      <c r="G27" s="17">
        <f>G26/G11</f>
        <v>0.55510324677456424</v>
      </c>
      <c r="H27" s="17">
        <f>H26/H11</f>
        <v>0.64389219675548093</v>
      </c>
      <c r="I27" s="17" t="e">
        <f>I26/I11</f>
        <v>#DIV/0!</v>
      </c>
      <c r="J27" s="27"/>
      <c r="K27" s="17">
        <f>K26/K11</f>
        <v>0.30714682981090102</v>
      </c>
      <c r="L27" s="17">
        <f>L26/L11</f>
        <v>0.51684311838306063</v>
      </c>
      <c r="M27" s="17">
        <f>M26/M11</f>
        <v>0.58068432671081682</v>
      </c>
      <c r="N27" s="17">
        <f>N26/N11</f>
        <v>0.63819391032891459</v>
      </c>
      <c r="O27" s="17">
        <f>O26/O11</f>
        <v>0.66345415450775613</v>
      </c>
      <c r="P27" s="17">
        <f>P26/P11</f>
        <v>0.63961384820239675</v>
      </c>
      <c r="Q27" s="17">
        <f>Q26/Q11</f>
        <v>0.63610968587879824</v>
      </c>
      <c r="R27" s="17">
        <f>R26/R11</f>
        <v>0.64114820370699954</v>
      </c>
      <c r="S27" s="17">
        <f>S26/S11</f>
        <v>0.49725386954745587</v>
      </c>
      <c r="T27" s="17">
        <f>T26/T11</f>
        <v>0.66760798408317823</v>
      </c>
      <c r="U27" s="17">
        <f>U26/U11</f>
        <v>0.66547380977440973</v>
      </c>
      <c r="V27" s="17">
        <f>V26/V11</f>
        <v>0.61600286852805275</v>
      </c>
      <c r="W27" s="17" t="e">
        <f>W26/W11</f>
        <v>#DIV/0!</v>
      </c>
      <c r="X27" s="17" t="e">
        <f>X26/X11</f>
        <v>#DIV/0!</v>
      </c>
      <c r="Y27" s="17" t="e">
        <f>Y26/Y11</f>
        <v>#DIV/0!</v>
      </c>
      <c r="Z27" s="28"/>
      <c r="AA27" s="17">
        <f>AA26/AA11</f>
        <v>0.55543153540592893</v>
      </c>
      <c r="AB27" s="17">
        <f>AB26/AB11</f>
        <v>0.6119286985734701</v>
      </c>
      <c r="AC27" s="17">
        <f>AC26/AC11</f>
        <v>0.63250854039685589</v>
      </c>
      <c r="AD27" s="17">
        <f>AD26/AD11</f>
        <v>0.64373306023713461</v>
      </c>
      <c r="AE27" s="17">
        <f>AE26/AE11</f>
        <v>0.64389219675548093</v>
      </c>
      <c r="AF27" s="17">
        <f>AF26/AF11</f>
        <v>0.59695653637679691</v>
      </c>
      <c r="AG27" s="17">
        <f>AG26/AG11</f>
        <v>0.60918907140868428</v>
      </c>
      <c r="AH27" s="17">
        <f>AH26/AH11</f>
        <v>0.62128757841638971</v>
      </c>
      <c r="AI27" s="43"/>
      <c r="AJ27" s="77">
        <f>SUM(AH27-AD27)*1000</f>
        <v>-22.445481820744906</v>
      </c>
    </row>
    <row r="28" spans="2:36" ht="5.0999999999999996" customHeight="1">
      <c r="B28" s="16"/>
      <c r="C28" s="17"/>
      <c r="D28" s="17"/>
      <c r="E28" s="17"/>
      <c r="F28" s="17"/>
      <c r="G28" s="17"/>
      <c r="H28" s="17"/>
      <c r="I28" s="17"/>
      <c r="J28" s="2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28"/>
      <c r="AA28" s="17"/>
      <c r="AB28" s="17"/>
      <c r="AC28" s="17"/>
      <c r="AD28" s="17"/>
      <c r="AE28" s="17"/>
      <c r="AF28" s="17"/>
      <c r="AG28" s="17"/>
      <c r="AH28" s="17"/>
      <c r="AI28" s="43"/>
      <c r="AJ28" s="77"/>
    </row>
    <row r="29" spans="2:36" ht="12.75" customHeight="1">
      <c r="B29" s="9" t="s">
        <v>104</v>
      </c>
      <c r="C29" s="82">
        <v>-174</v>
      </c>
      <c r="D29" s="82">
        <v>-77</v>
      </c>
      <c r="E29" s="82">
        <v>-189</v>
      </c>
      <c r="F29" s="82">
        <v>187</v>
      </c>
      <c r="G29" s="82">
        <v>-4058</v>
      </c>
      <c r="H29" s="82">
        <v>-11146</v>
      </c>
      <c r="I29" s="82"/>
      <c r="J29" s="32"/>
      <c r="K29" s="82">
        <v>-166</v>
      </c>
      <c r="L29" s="82">
        <v>-793</v>
      </c>
      <c r="M29" s="82">
        <v>-1279</v>
      </c>
      <c r="N29" s="32">
        <f t="shared" ref="N29" si="54">SUM(G29-SUM(K29:M29))</f>
        <v>-1820</v>
      </c>
      <c r="O29" s="82">
        <v>-2398</v>
      </c>
      <c r="P29" s="82">
        <v>-2615</v>
      </c>
      <c r="Q29" s="82">
        <v>-3007</v>
      </c>
      <c r="R29" s="32">
        <f t="shared" ref="R29" si="55">SUM(H29-SUM(O29:Q29))</f>
        <v>-3126</v>
      </c>
      <c r="S29" s="82">
        <v>-3135</v>
      </c>
      <c r="T29" s="82">
        <v>-4784</v>
      </c>
      <c r="U29" s="82">
        <v>-6026</v>
      </c>
      <c r="V29" s="32">
        <f t="shared" ref="V29" si="56">SUM(I29-SUM(S29:U29))</f>
        <v>13945</v>
      </c>
      <c r="W29" s="82"/>
      <c r="X29" s="82"/>
      <c r="Y29" s="82"/>
      <c r="AA29" s="32">
        <f>SUM(K29:N29)</f>
        <v>-4058</v>
      </c>
      <c r="AB29" s="32">
        <f>SUM(L29:O29)</f>
        <v>-6290</v>
      </c>
      <c r="AC29" s="32">
        <f>SUM(M29:P29)</f>
        <v>-8112</v>
      </c>
      <c r="AD29" s="32">
        <f>SUM(N29:Q29)</f>
        <v>-9840</v>
      </c>
      <c r="AE29" s="32">
        <f>SUM(O29:R29)</f>
        <v>-11146</v>
      </c>
      <c r="AF29" s="32">
        <f>SUM(P29:S29)</f>
        <v>-11883</v>
      </c>
      <c r="AG29" s="32">
        <f>SUM(Q29:T29)</f>
        <v>-14052</v>
      </c>
      <c r="AH29" s="32">
        <f>SUM(R29:U29)</f>
        <v>-17071</v>
      </c>
      <c r="AI29" s="11"/>
      <c r="AJ29" s="75">
        <f>SUM(AH29/AD29)-1</f>
        <v>0.73485772357723578</v>
      </c>
    </row>
    <row r="30" spans="2:36" ht="12.75" customHeight="1">
      <c r="B30" s="13" t="s">
        <v>105</v>
      </c>
      <c r="C30" s="14">
        <f t="shared" ref="C30:I30" si="57">SUM(C26+SUM(C29:C29))</f>
        <v>2796</v>
      </c>
      <c r="D30" s="14">
        <f t="shared" si="57"/>
        <v>4332</v>
      </c>
      <c r="E30" s="14">
        <f t="shared" si="57"/>
        <v>9752</v>
      </c>
      <c r="F30" s="14">
        <f t="shared" si="57"/>
        <v>4368</v>
      </c>
      <c r="G30" s="14">
        <f t="shared" si="57"/>
        <v>29760</v>
      </c>
      <c r="H30" s="14">
        <f t="shared" si="57"/>
        <v>72880</v>
      </c>
      <c r="I30" s="14">
        <f t="shared" si="57"/>
        <v>0</v>
      </c>
      <c r="J30" s="11"/>
      <c r="K30" s="14">
        <f t="shared" ref="K30:V30" si="58">SUM(K26+SUM(K29:K29))</f>
        <v>2043</v>
      </c>
      <c r="L30" s="14">
        <f t="shared" si="58"/>
        <v>6188</v>
      </c>
      <c r="M30" s="14">
        <f t="shared" si="58"/>
        <v>9243</v>
      </c>
      <c r="N30" s="14">
        <f t="shared" si="58"/>
        <v>12286</v>
      </c>
      <c r="O30" s="14">
        <f t="shared" si="58"/>
        <v>14881</v>
      </c>
      <c r="P30" s="14">
        <f t="shared" si="58"/>
        <v>16599</v>
      </c>
      <c r="Q30" s="14">
        <f t="shared" si="58"/>
        <v>19309</v>
      </c>
      <c r="R30" s="14">
        <f t="shared" si="58"/>
        <v>22091</v>
      </c>
      <c r="S30" s="14">
        <f t="shared" si="58"/>
        <v>18775</v>
      </c>
      <c r="T30" s="14">
        <f t="shared" si="58"/>
        <v>26422</v>
      </c>
      <c r="U30" s="14">
        <f t="shared" si="58"/>
        <v>31910</v>
      </c>
      <c r="V30" s="14">
        <f t="shared" si="58"/>
        <v>-77107</v>
      </c>
      <c r="W30" s="14">
        <f t="shared" ref="W30" si="59">SUM(W26+SUM(W29:W29))</f>
        <v>0</v>
      </c>
      <c r="X30" s="14">
        <f t="shared" ref="X30" si="60">SUM(X26+SUM(X29:X29))</f>
        <v>0</v>
      </c>
      <c r="Y30" s="14">
        <f t="shared" ref="Y30" si="61">SUM(Y26+SUM(Y29:Y29))</f>
        <v>0</v>
      </c>
      <c r="Z30" s="32"/>
      <c r="AA30" s="14">
        <f t="shared" ref="AA30:AH30" si="62">SUM(AA26+SUM(AA29:AA29))</f>
        <v>29780</v>
      </c>
      <c r="AB30" s="14">
        <f t="shared" si="62"/>
        <v>42526</v>
      </c>
      <c r="AC30" s="14">
        <f t="shared" si="62"/>
        <v>52803</v>
      </c>
      <c r="AD30" s="14">
        <f t="shared" si="62"/>
        <v>63075</v>
      </c>
      <c r="AE30" s="14">
        <f t="shared" si="62"/>
        <v>72880</v>
      </c>
      <c r="AF30" s="14">
        <f t="shared" si="62"/>
        <v>76774</v>
      </c>
      <c r="AG30" s="14">
        <f t="shared" si="62"/>
        <v>86597</v>
      </c>
      <c r="AH30" s="14">
        <f t="shared" si="62"/>
        <v>99198</v>
      </c>
      <c r="AI30" s="36"/>
      <c r="AJ30" s="76">
        <f>SUM(AH30/AD30)-1</f>
        <v>0.57269916765755058</v>
      </c>
    </row>
    <row r="31" spans="2:36" ht="12.75" customHeight="1">
      <c r="B31" s="16" t="s">
        <v>103</v>
      </c>
      <c r="C31" s="17">
        <f>C30/C11</f>
        <v>0.25609085913170909</v>
      </c>
      <c r="D31" s="17">
        <f>D30/D11</f>
        <v>0.25979010494752625</v>
      </c>
      <c r="E31" s="17">
        <f>E30/E11</f>
        <v>0.36233930296499961</v>
      </c>
      <c r="F31" s="17">
        <f>F30/F11</f>
        <v>0.16193371394676356</v>
      </c>
      <c r="G31" s="17">
        <f>G30/G11</f>
        <v>0.4884934834706674</v>
      </c>
      <c r="H31" s="17">
        <f>H30/H11</f>
        <v>0.55848027157712443</v>
      </c>
      <c r="I31" s="17" t="e">
        <f>I30/I11</f>
        <v>#DIV/0!</v>
      </c>
      <c r="J31" s="27"/>
      <c r="K31" s="17">
        <f>K30/K11</f>
        <v>0.28406562847608452</v>
      </c>
      <c r="L31" s="17">
        <f>L30/L11</f>
        <v>0.45813282001924927</v>
      </c>
      <c r="M31" s="17">
        <f>M30/M11</f>
        <v>0.51009933774834437</v>
      </c>
      <c r="N31" s="17">
        <f>N30/N11</f>
        <v>0.55585214676740713</v>
      </c>
      <c r="O31" s="17">
        <f>O30/O11</f>
        <v>0.57137920442328372</v>
      </c>
      <c r="P31" s="17">
        <f>P30/P11</f>
        <v>0.55256324900133158</v>
      </c>
      <c r="Q31" s="17">
        <f>Q30/Q11</f>
        <v>0.55039621458297705</v>
      </c>
      <c r="R31" s="17">
        <f>R30/R11</f>
        <v>0.56166891256260965</v>
      </c>
      <c r="S31" s="17">
        <f>S30/S11</f>
        <v>0.42610412600426673</v>
      </c>
      <c r="T31" s="17">
        <f>T30/T11</f>
        <v>0.56526110861519374</v>
      </c>
      <c r="U31" s="17">
        <f>U30/U11</f>
        <v>0.55976563870469775</v>
      </c>
      <c r="V31" s="17">
        <f>V30/V11</f>
        <v>0.52165941641691083</v>
      </c>
      <c r="W31" s="17" t="e">
        <f>W30/W11</f>
        <v>#DIV/0!</v>
      </c>
      <c r="X31" s="17" t="e">
        <f>X30/X11</f>
        <v>#DIV/0!</v>
      </c>
      <c r="Y31" s="17" t="e">
        <f>Y30/Y11</f>
        <v>#DIV/0!</v>
      </c>
      <c r="Z31" s="28"/>
      <c r="AA31" s="17">
        <f>AA30/AA11</f>
        <v>0.48882177210203209</v>
      </c>
      <c r="AB31" s="17">
        <f>AB30/AB11</f>
        <v>0.53308095369418607</v>
      </c>
      <c r="AC31" s="17">
        <f>AC30/AC11</f>
        <v>0.5482779029561714</v>
      </c>
      <c r="AD31" s="17">
        <f>AD30/AD11</f>
        <v>0.55686021771181882</v>
      </c>
      <c r="AE31" s="17">
        <f>AE30/AE11</f>
        <v>0.55848027157712443</v>
      </c>
      <c r="AF31" s="17">
        <f>AF30/AF11</f>
        <v>0.51694441638891697</v>
      </c>
      <c r="AG31" s="17">
        <f>AG30/AG11</f>
        <v>0.52413780580808389</v>
      </c>
      <c r="AH31" s="17">
        <f>AH30/AH11</f>
        <v>0.5300680766476793</v>
      </c>
      <c r="AI31" s="43"/>
      <c r="AJ31" s="77">
        <f>SUM(AH31-AD31)*1000</f>
        <v>-26.792141064139518</v>
      </c>
    </row>
    <row r="32" spans="2:36" ht="5.0999999999999996" customHeight="1">
      <c r="B32" s="16"/>
      <c r="C32" s="17"/>
      <c r="D32" s="17"/>
      <c r="E32" s="17"/>
      <c r="F32" s="17"/>
      <c r="G32" s="17"/>
      <c r="H32" s="17"/>
      <c r="I32" s="17"/>
      <c r="J32" s="2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28"/>
      <c r="AA32" s="17"/>
      <c r="AB32" s="17"/>
      <c r="AC32" s="17"/>
      <c r="AD32" s="17"/>
      <c r="AE32" s="17"/>
      <c r="AF32" s="17"/>
      <c r="AG32" s="17"/>
      <c r="AH32" s="17"/>
      <c r="AI32" s="43"/>
      <c r="AJ32" s="77"/>
    </row>
    <row r="33" spans="1:36" ht="12.75" customHeight="1">
      <c r="B33" s="44" t="s">
        <v>84</v>
      </c>
      <c r="C33" s="82"/>
      <c r="D33" s="82"/>
      <c r="E33" s="82"/>
      <c r="F33" s="82"/>
      <c r="G33" s="82"/>
      <c r="H33" s="82"/>
      <c r="I33" s="82"/>
      <c r="J33" s="27"/>
      <c r="K33" s="82"/>
      <c r="L33" s="82"/>
      <c r="M33" s="82"/>
      <c r="N33" s="32">
        <f>G33</f>
        <v>0</v>
      </c>
      <c r="O33" s="82"/>
      <c r="P33" s="82"/>
      <c r="Q33" s="82"/>
      <c r="R33" s="32">
        <f>H33</f>
        <v>0</v>
      </c>
      <c r="S33" s="82"/>
      <c r="T33" s="82"/>
      <c r="U33" s="82"/>
      <c r="V33" s="82">
        <f>I33</f>
        <v>0</v>
      </c>
      <c r="W33" s="82"/>
      <c r="X33" s="82"/>
      <c r="Y33" s="82"/>
      <c r="Z33" s="132"/>
      <c r="AA33" s="32">
        <f t="shared" ref="AA33:AG33" si="63">N33</f>
        <v>0</v>
      </c>
      <c r="AB33" s="32">
        <f t="shared" si="63"/>
        <v>0</v>
      </c>
      <c r="AC33" s="32">
        <f t="shared" si="63"/>
        <v>0</v>
      </c>
      <c r="AD33" s="32">
        <f t="shared" si="63"/>
        <v>0</v>
      </c>
      <c r="AE33" s="32">
        <f t="shared" si="63"/>
        <v>0</v>
      </c>
      <c r="AF33" s="32">
        <f t="shared" si="63"/>
        <v>0</v>
      </c>
      <c r="AG33" s="32">
        <f t="shared" si="63"/>
        <v>0</v>
      </c>
      <c r="AH33" s="32">
        <f>U33</f>
        <v>0</v>
      </c>
      <c r="AI33" s="43"/>
      <c r="AJ33" s="75" t="e">
        <f>SUM(AH33/AD33)-1</f>
        <v>#DIV/0!</v>
      </c>
    </row>
    <row r="34" spans="1:36" ht="12.75" customHeight="1">
      <c r="B34" s="13" t="s">
        <v>62</v>
      </c>
      <c r="C34" s="144" t="e">
        <f>C30/C33</f>
        <v>#DIV/0!</v>
      </c>
      <c r="D34" s="144" t="e">
        <f>D30/D33</f>
        <v>#DIV/0!</v>
      </c>
      <c r="E34" s="144" t="e">
        <f>E30/E33</f>
        <v>#DIV/0!</v>
      </c>
      <c r="F34" s="144" t="e">
        <f>F30/F33</f>
        <v>#DIV/0!</v>
      </c>
      <c r="G34" s="144" t="e">
        <f>G30/G33</f>
        <v>#DIV/0!</v>
      </c>
      <c r="H34" s="144" t="e">
        <f>H30/H33</f>
        <v>#DIV/0!</v>
      </c>
      <c r="I34" s="144" t="e">
        <f>I30/I33</f>
        <v>#DIV/0!</v>
      </c>
      <c r="J34" s="27"/>
      <c r="K34" s="144" t="e">
        <f>K30/K33</f>
        <v>#DIV/0!</v>
      </c>
      <c r="L34" s="144" t="e">
        <f>L30/L33</f>
        <v>#DIV/0!</v>
      </c>
      <c r="M34" s="144" t="e">
        <f>M30/M33</f>
        <v>#DIV/0!</v>
      </c>
      <c r="N34" s="144" t="e">
        <f>N30/N33</f>
        <v>#DIV/0!</v>
      </c>
      <c r="O34" s="144" t="e">
        <f>O30/O33</f>
        <v>#DIV/0!</v>
      </c>
      <c r="P34" s="144" t="e">
        <f>P30/P33</f>
        <v>#DIV/0!</v>
      </c>
      <c r="Q34" s="144" t="e">
        <f>Q30/Q33</f>
        <v>#DIV/0!</v>
      </c>
      <c r="R34" s="144" t="e">
        <f>R30/R33</f>
        <v>#DIV/0!</v>
      </c>
      <c r="S34" s="144" t="e">
        <f>S30/S33</f>
        <v>#DIV/0!</v>
      </c>
      <c r="T34" s="144" t="e">
        <f>T30/T33</f>
        <v>#DIV/0!</v>
      </c>
      <c r="U34" s="144" t="e">
        <f>U30/U33</f>
        <v>#DIV/0!</v>
      </c>
      <c r="V34" s="144" t="e">
        <f>V30/V33</f>
        <v>#DIV/0!</v>
      </c>
      <c r="W34" s="144" t="e">
        <f>W30/W33</f>
        <v>#DIV/0!</v>
      </c>
      <c r="X34" s="144" t="e">
        <f>X30/X33</f>
        <v>#DIV/0!</v>
      </c>
      <c r="Y34" s="144" t="e">
        <f>Y30/Y33</f>
        <v>#DIV/0!</v>
      </c>
      <c r="Z34" s="132"/>
      <c r="AA34" s="144" t="e">
        <f>AA30/AA33</f>
        <v>#DIV/0!</v>
      </c>
      <c r="AB34" s="144" t="e">
        <f>AB30/AB33</f>
        <v>#DIV/0!</v>
      </c>
      <c r="AC34" s="144" t="e">
        <f>AC30/AC33</f>
        <v>#DIV/0!</v>
      </c>
      <c r="AD34" s="144" t="e">
        <f>AD30/AD33</f>
        <v>#DIV/0!</v>
      </c>
      <c r="AE34" s="144" t="e">
        <f>AE30/AE33</f>
        <v>#DIV/0!</v>
      </c>
      <c r="AF34" s="144" t="e">
        <f>AF30/AF33</f>
        <v>#DIV/0!</v>
      </c>
      <c r="AG34" s="144" t="e">
        <f>AG30/AG33</f>
        <v>#DIV/0!</v>
      </c>
      <c r="AH34" s="144" t="e">
        <f>AH30/AH33</f>
        <v>#DIV/0!</v>
      </c>
      <c r="AI34" s="43"/>
      <c r="AJ34" s="76" t="e">
        <f>SUM(AH34/AD34)-1</f>
        <v>#DIV/0!</v>
      </c>
    </row>
    <row r="35" spans="1:36" ht="12.75" customHeight="1">
      <c r="B35" s="25"/>
      <c r="C35" s="48"/>
      <c r="D35" s="48"/>
      <c r="E35" s="48"/>
      <c r="F35" s="48"/>
      <c r="G35" s="48"/>
      <c r="H35" s="48"/>
      <c r="I35" s="48"/>
      <c r="J35" s="143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132"/>
      <c r="AA35" s="132"/>
      <c r="AB35" s="132"/>
      <c r="AC35" s="132"/>
      <c r="AD35" s="48"/>
      <c r="AE35" s="132"/>
      <c r="AF35" s="132"/>
      <c r="AG35" s="132"/>
      <c r="AH35" s="132"/>
      <c r="AI35" s="43"/>
      <c r="AJ35" s="75"/>
    </row>
    <row r="36" spans="1:36" ht="12.75" customHeight="1">
      <c r="B36" s="44" t="s">
        <v>63</v>
      </c>
      <c r="C36" s="82"/>
      <c r="D36" s="82"/>
      <c r="E36" s="82"/>
      <c r="F36" s="82"/>
      <c r="G36" s="82"/>
      <c r="H36" s="82"/>
      <c r="I36" s="82"/>
      <c r="J36" s="143"/>
      <c r="K36" s="82"/>
      <c r="L36" s="82"/>
      <c r="M36" s="82"/>
      <c r="N36" s="82"/>
      <c r="O36" s="82"/>
      <c r="P36" s="82"/>
      <c r="Q36" s="82"/>
      <c r="R36" s="82"/>
      <c r="S36" s="82"/>
      <c r="T36" s="82"/>
      <c r="U36" s="82"/>
      <c r="V36" s="82"/>
      <c r="W36" s="82"/>
      <c r="X36" s="82"/>
      <c r="Y36" s="82"/>
      <c r="Z36" s="132"/>
      <c r="AA36" s="32">
        <f t="shared" ref="AA36:AG36" si="64">N36</f>
        <v>0</v>
      </c>
      <c r="AB36" s="32">
        <f t="shared" si="64"/>
        <v>0</v>
      </c>
      <c r="AC36" s="32">
        <f t="shared" si="64"/>
        <v>0</v>
      </c>
      <c r="AD36" s="32">
        <f t="shared" si="64"/>
        <v>0</v>
      </c>
      <c r="AE36" s="32">
        <f t="shared" si="64"/>
        <v>0</v>
      </c>
      <c r="AF36" s="32">
        <f t="shared" si="64"/>
        <v>0</v>
      </c>
      <c r="AG36" s="32">
        <f t="shared" si="64"/>
        <v>0</v>
      </c>
      <c r="AH36" s="32">
        <f>U36</f>
        <v>0</v>
      </c>
      <c r="AI36" s="43"/>
      <c r="AJ36" s="75" t="e">
        <f>SUM(AH36/AD36)-1</f>
        <v>#DIV/0!</v>
      </c>
    </row>
    <row r="37" spans="1:36" ht="12.75" customHeight="1">
      <c r="B37" s="13" t="s">
        <v>83</v>
      </c>
      <c r="C37" s="144" t="e">
        <f>C30/C36</f>
        <v>#DIV/0!</v>
      </c>
      <c r="D37" s="144" t="e">
        <f>D30/D36</f>
        <v>#DIV/0!</v>
      </c>
      <c r="E37" s="144" t="e">
        <f>E30/E36</f>
        <v>#DIV/0!</v>
      </c>
      <c r="F37" s="144" t="e">
        <f>F30/F36</f>
        <v>#DIV/0!</v>
      </c>
      <c r="G37" s="144" t="e">
        <f>G30/G36</f>
        <v>#DIV/0!</v>
      </c>
      <c r="H37" s="144" t="e">
        <f>H30/H36</f>
        <v>#DIV/0!</v>
      </c>
      <c r="I37" s="144" t="e">
        <f>I30/I36</f>
        <v>#DIV/0!</v>
      </c>
      <c r="J37" s="27"/>
      <c r="K37" s="144" t="e">
        <f>K30/K36</f>
        <v>#DIV/0!</v>
      </c>
      <c r="L37" s="144" t="e">
        <f>L30/L36</f>
        <v>#DIV/0!</v>
      </c>
      <c r="M37" s="144" t="e">
        <f>M30/M36</f>
        <v>#DIV/0!</v>
      </c>
      <c r="N37" s="144" t="e">
        <f>N30/N36</f>
        <v>#DIV/0!</v>
      </c>
      <c r="O37" s="144" t="e">
        <f>O30/O36</f>
        <v>#DIV/0!</v>
      </c>
      <c r="P37" s="144" t="e">
        <f>P30/P36</f>
        <v>#DIV/0!</v>
      </c>
      <c r="Q37" s="144" t="e">
        <f>Q30/Q36</f>
        <v>#DIV/0!</v>
      </c>
      <c r="R37" s="144" t="e">
        <f>R30/R36</f>
        <v>#DIV/0!</v>
      </c>
      <c r="S37" s="144" t="e">
        <f>S30/S36</f>
        <v>#DIV/0!</v>
      </c>
      <c r="T37" s="144" t="e">
        <f>T30/T36</f>
        <v>#DIV/0!</v>
      </c>
      <c r="U37" s="144" t="e">
        <f>U30/U36</f>
        <v>#DIV/0!</v>
      </c>
      <c r="V37" s="144" t="e">
        <f>V30/V36</f>
        <v>#DIV/0!</v>
      </c>
      <c r="W37" s="144" t="e">
        <f>W30/W36</f>
        <v>#DIV/0!</v>
      </c>
      <c r="X37" s="144" t="e">
        <f>X30/X36</f>
        <v>#DIV/0!</v>
      </c>
      <c r="Y37" s="144" t="e">
        <f>Y30/Y36</f>
        <v>#DIV/0!</v>
      </c>
      <c r="Z37" s="132"/>
      <c r="AA37" s="144" t="e">
        <f>AA30/AA36</f>
        <v>#DIV/0!</v>
      </c>
      <c r="AB37" s="144" t="e">
        <f>AB30/AB36</f>
        <v>#DIV/0!</v>
      </c>
      <c r="AC37" s="144" t="e">
        <f>AC30/AC36</f>
        <v>#DIV/0!</v>
      </c>
      <c r="AD37" s="144" t="e">
        <f>AD30/AD36</f>
        <v>#DIV/0!</v>
      </c>
      <c r="AE37" s="144" t="e">
        <f>AE30/AE36</f>
        <v>#DIV/0!</v>
      </c>
      <c r="AF37" s="144" t="e">
        <f>AF30/AF36</f>
        <v>#DIV/0!</v>
      </c>
      <c r="AG37" s="144" t="e">
        <f>AG30/AG36</f>
        <v>#DIV/0!</v>
      </c>
      <c r="AH37" s="144" t="e">
        <f>AH30/AH36</f>
        <v>#DIV/0!</v>
      </c>
      <c r="AI37" s="43"/>
      <c r="AJ37" s="76" t="e">
        <f>SUM(AH37/AD37)-1</f>
        <v>#DIV/0!</v>
      </c>
    </row>
    <row r="38" spans="1:36">
      <c r="B38" s="16"/>
      <c r="C38" s="17"/>
      <c r="D38" s="17"/>
      <c r="E38" s="17"/>
      <c r="F38" s="17"/>
      <c r="G38" s="17"/>
      <c r="H38" s="17"/>
      <c r="I38" s="17"/>
      <c r="J38" s="2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28"/>
      <c r="AA38" s="17"/>
      <c r="AB38" s="17"/>
      <c r="AC38" s="17"/>
      <c r="AD38" s="17"/>
      <c r="AE38" s="17"/>
      <c r="AF38" s="17"/>
      <c r="AG38" s="17"/>
      <c r="AH38" s="17"/>
      <c r="AI38" s="43"/>
    </row>
    <row r="39" spans="1:36" ht="12.75" customHeight="1">
      <c r="A39" s="5" t="s">
        <v>16</v>
      </c>
      <c r="B39" s="106" t="s">
        <v>73</v>
      </c>
      <c r="C39" s="107"/>
      <c r="D39" s="107"/>
      <c r="E39" s="107"/>
      <c r="F39" s="107"/>
      <c r="G39" s="107"/>
      <c r="H39" s="107"/>
      <c r="I39" s="107"/>
      <c r="J39" s="108"/>
      <c r="K39" s="107"/>
      <c r="L39" s="107"/>
      <c r="M39" s="107"/>
      <c r="N39" s="107"/>
      <c r="O39" s="107"/>
      <c r="P39" s="107"/>
      <c r="Q39" s="107"/>
      <c r="R39" s="107"/>
      <c r="S39" s="107"/>
      <c r="T39" s="107"/>
      <c r="U39" s="107"/>
      <c r="V39" s="107"/>
      <c r="W39" s="107"/>
      <c r="X39" s="107"/>
      <c r="Y39" s="107"/>
      <c r="Z39" s="106"/>
      <c r="AA39" s="107"/>
      <c r="AB39" s="107"/>
      <c r="AC39" s="107" t="s">
        <v>10</v>
      </c>
      <c r="AD39" s="107"/>
      <c r="AE39" s="107"/>
      <c r="AF39" s="107"/>
      <c r="AG39" s="107"/>
      <c r="AH39" s="107"/>
      <c r="AI39" s="108"/>
      <c r="AJ39" s="153" t="s">
        <v>22</v>
      </c>
    </row>
    <row r="40" spans="1:36" ht="12.75" customHeight="1">
      <c r="B40" s="110" t="str">
        <f>B7</f>
        <v>Fiscal Period</v>
      </c>
      <c r="C40" s="109">
        <f>C7</f>
        <v>2019</v>
      </c>
      <c r="D40" s="109">
        <f>D7</f>
        <v>2020</v>
      </c>
      <c r="E40" s="109">
        <f>E7</f>
        <v>2021</v>
      </c>
      <c r="F40" s="109">
        <f>F7</f>
        <v>2022</v>
      </c>
      <c r="G40" s="109">
        <f>G7</f>
        <v>2023</v>
      </c>
      <c r="H40" s="109">
        <f>H7</f>
        <v>2024</v>
      </c>
      <c r="I40" s="109">
        <f>I7</f>
        <v>2025</v>
      </c>
      <c r="J40" s="108"/>
      <c r="K40" s="109" t="str">
        <f>K7</f>
        <v>1Q23</v>
      </c>
      <c r="L40" s="109" t="str">
        <f>L7</f>
        <v>2Q23</v>
      </c>
      <c r="M40" s="109" t="str">
        <f>M7</f>
        <v>3Q23</v>
      </c>
      <c r="N40" s="109" t="str">
        <f>N7</f>
        <v>4Q23</v>
      </c>
      <c r="O40" s="109" t="str">
        <f>O7</f>
        <v>1Q24</v>
      </c>
      <c r="P40" s="109" t="str">
        <f>P7</f>
        <v>2Q24</v>
      </c>
      <c r="Q40" s="109" t="str">
        <f>Q7</f>
        <v>3Q24</v>
      </c>
      <c r="R40" s="109" t="str">
        <f>R7</f>
        <v>4Q24</v>
      </c>
      <c r="S40" s="109" t="str">
        <f>S7</f>
        <v>1Q25</v>
      </c>
      <c r="T40" s="109" t="str">
        <f>T7</f>
        <v>2Q25</v>
      </c>
      <c r="U40" s="109" t="str">
        <f>U7</f>
        <v>3Q25</v>
      </c>
      <c r="V40" s="109" t="str">
        <f>V7</f>
        <v>4Q25</v>
      </c>
      <c r="W40" s="109" t="str">
        <f>W7</f>
        <v>1Q26</v>
      </c>
      <c r="X40" s="109" t="str">
        <f>X7</f>
        <v>2Q26</v>
      </c>
      <c r="Y40" s="109" t="str">
        <f>Y7</f>
        <v>3Q26</v>
      </c>
      <c r="Z40" s="111"/>
      <c r="AA40" s="109" t="str">
        <f>AA7</f>
        <v>4Q23</v>
      </c>
      <c r="AB40" s="109" t="str">
        <f>AB7</f>
        <v>1Q24</v>
      </c>
      <c r="AC40" s="109" t="str">
        <f>AC7</f>
        <v>2Q24</v>
      </c>
      <c r="AD40" s="109" t="str">
        <f>AD7</f>
        <v>3Q24</v>
      </c>
      <c r="AE40" s="109" t="str">
        <f>AE7</f>
        <v>4Q24</v>
      </c>
      <c r="AF40" s="109" t="str">
        <f>AF7</f>
        <v>1Q25</v>
      </c>
      <c r="AG40" s="109" t="str">
        <f>AG7</f>
        <v>2Q25</v>
      </c>
      <c r="AH40" s="109" t="str">
        <f>AH7</f>
        <v>3Q25</v>
      </c>
      <c r="AI40" s="108"/>
      <c r="AJ40" s="153"/>
    </row>
    <row r="41" spans="1:36" ht="12.75" customHeight="1">
      <c r="B41" s="110" t="str">
        <f>B8</f>
        <v>Fiscal Period End Date</v>
      </c>
      <c r="C41" s="112">
        <f>C8</f>
        <v>0</v>
      </c>
      <c r="D41" s="112">
        <f>D8</f>
        <v>0</v>
      </c>
      <c r="E41" s="112">
        <f>E8</f>
        <v>0</v>
      </c>
      <c r="F41" s="112">
        <f>F8</f>
        <v>0</v>
      </c>
      <c r="G41" s="112">
        <f>G8</f>
        <v>0</v>
      </c>
      <c r="H41" s="112">
        <f>H8</f>
        <v>0</v>
      </c>
      <c r="I41" s="112">
        <f>I8</f>
        <v>0</v>
      </c>
      <c r="J41" s="108"/>
      <c r="K41" s="112">
        <f>K8</f>
        <v>0</v>
      </c>
      <c r="L41" s="112">
        <f>L8</f>
        <v>0</v>
      </c>
      <c r="M41" s="112">
        <f>M8</f>
        <v>0</v>
      </c>
      <c r="N41" s="112">
        <f>N8</f>
        <v>0</v>
      </c>
      <c r="O41" s="112">
        <f>O8</f>
        <v>0</v>
      </c>
      <c r="P41" s="112">
        <f>P8</f>
        <v>0</v>
      </c>
      <c r="Q41" s="112">
        <f>Q8</f>
        <v>0</v>
      </c>
      <c r="R41" s="112">
        <f>R8</f>
        <v>0</v>
      </c>
      <c r="S41" s="112">
        <f>S8</f>
        <v>0</v>
      </c>
      <c r="T41" s="112">
        <f>T8</f>
        <v>0</v>
      </c>
      <c r="U41" s="112">
        <f>U8</f>
        <v>0</v>
      </c>
      <c r="V41" s="112">
        <f>V8</f>
        <v>0</v>
      </c>
      <c r="W41" s="112">
        <f>W8</f>
        <v>0</v>
      </c>
      <c r="X41" s="112">
        <f>X8</f>
        <v>0</v>
      </c>
      <c r="Y41" s="112">
        <f>Y8</f>
        <v>0</v>
      </c>
      <c r="Z41" s="113"/>
      <c r="AA41" s="112">
        <f>AA8</f>
        <v>0</v>
      </c>
      <c r="AB41" s="112">
        <f>AB8</f>
        <v>0</v>
      </c>
      <c r="AC41" s="112">
        <f>AC8</f>
        <v>0</v>
      </c>
      <c r="AD41" s="112">
        <f>AD8</f>
        <v>0</v>
      </c>
      <c r="AE41" s="112">
        <f>AE8</f>
        <v>0</v>
      </c>
      <c r="AF41" s="112">
        <f>AF8</f>
        <v>0</v>
      </c>
      <c r="AG41" s="112">
        <f>AG8</f>
        <v>0</v>
      </c>
      <c r="AH41" s="112">
        <f>AH8</f>
        <v>0</v>
      </c>
      <c r="AI41" s="108"/>
      <c r="AJ41" s="153"/>
    </row>
    <row r="42" spans="1:36" ht="5.0999999999999996" customHeight="1">
      <c r="B42" s="46"/>
      <c r="C42" s="47"/>
      <c r="D42" s="47"/>
      <c r="E42" s="47"/>
      <c r="F42" s="47"/>
      <c r="G42" s="47"/>
      <c r="H42" s="47"/>
      <c r="I42" s="47"/>
    </row>
    <row r="43" spans="1:36">
      <c r="B43" s="78" t="s">
        <v>78</v>
      </c>
      <c r="C43" s="47"/>
      <c r="D43" s="47"/>
      <c r="E43" s="47"/>
      <c r="F43" s="47"/>
      <c r="G43" s="47"/>
      <c r="H43" s="47"/>
      <c r="I43" s="47"/>
    </row>
    <row r="44" spans="1:36" s="122" customFormat="1" ht="12.75" customHeight="1">
      <c r="B44" s="114" t="s">
        <v>158</v>
      </c>
      <c r="C44" s="123"/>
      <c r="D44" s="123">
        <v>847</v>
      </c>
      <c r="E44" s="123">
        <v>1990</v>
      </c>
      <c r="F44" s="123">
        <v>3839</v>
      </c>
      <c r="G44" s="123">
        <v>7280</v>
      </c>
      <c r="H44" s="123">
        <v>8589</v>
      </c>
      <c r="I44" s="123">
        <v>8589</v>
      </c>
      <c r="K44" s="82">
        <v>5079</v>
      </c>
      <c r="L44" s="82">
        <v>5783</v>
      </c>
      <c r="M44" s="82">
        <v>5519</v>
      </c>
      <c r="N44" s="32">
        <f t="shared" ref="N44:N48" si="65">G44</f>
        <v>7280</v>
      </c>
      <c r="O44" s="82">
        <v>7587</v>
      </c>
      <c r="P44" s="82">
        <v>8563</v>
      </c>
      <c r="Q44" s="82">
        <v>9107</v>
      </c>
      <c r="R44" s="32">
        <f t="shared" ref="R44:R48" si="66">H44</f>
        <v>8589</v>
      </c>
      <c r="S44" s="82">
        <v>15234</v>
      </c>
      <c r="T44" s="82">
        <v>11639</v>
      </c>
      <c r="U44" s="82">
        <v>11486</v>
      </c>
      <c r="V44" s="82">
        <v>11486</v>
      </c>
      <c r="W44" s="82">
        <v>11486</v>
      </c>
      <c r="X44" s="82">
        <v>11486</v>
      </c>
      <c r="Y44" s="82">
        <v>11486</v>
      </c>
      <c r="AA44" s="96">
        <f>N44</f>
        <v>7280</v>
      </c>
      <c r="AB44" s="96">
        <f>O44</f>
        <v>7587</v>
      </c>
      <c r="AC44" s="96">
        <f>P44</f>
        <v>8563</v>
      </c>
      <c r="AD44" s="96">
        <f>Q44</f>
        <v>9107</v>
      </c>
      <c r="AE44" s="96">
        <f>R44</f>
        <v>8589</v>
      </c>
      <c r="AF44" s="96">
        <f>S44</f>
        <v>15234</v>
      </c>
      <c r="AG44" s="96">
        <f>T44</f>
        <v>11639</v>
      </c>
      <c r="AH44" s="96">
        <f>U44</f>
        <v>11486</v>
      </c>
      <c r="AI44" s="124"/>
      <c r="AJ44" s="75">
        <f>SUM(AH44/AD44)-1</f>
        <v>0.26122762710003289</v>
      </c>
    </row>
    <row r="45" spans="1:36" s="122" customFormat="1" ht="12.75" customHeight="1">
      <c r="B45" s="114" t="s">
        <v>159</v>
      </c>
      <c r="C45" s="123"/>
      <c r="D45" s="123">
        <v>10714</v>
      </c>
      <c r="E45" s="123">
        <v>19218</v>
      </c>
      <c r="F45" s="123">
        <v>9907</v>
      </c>
      <c r="G45" s="123">
        <v>18704</v>
      </c>
      <c r="H45" s="123">
        <v>34621</v>
      </c>
      <c r="I45" s="123">
        <v>34621</v>
      </c>
      <c r="K45" s="82">
        <v>10241</v>
      </c>
      <c r="L45" s="82">
        <v>10240</v>
      </c>
      <c r="M45" s="82">
        <v>12762</v>
      </c>
      <c r="N45" s="32">
        <f t="shared" si="65"/>
        <v>18704</v>
      </c>
      <c r="O45" s="82">
        <v>23851</v>
      </c>
      <c r="P45" s="82">
        <v>26237</v>
      </c>
      <c r="Q45" s="82">
        <v>29380</v>
      </c>
      <c r="R45" s="32">
        <f t="shared" si="66"/>
        <v>34621</v>
      </c>
      <c r="S45" s="82">
        <v>38457</v>
      </c>
      <c r="T45" s="82">
        <v>45152</v>
      </c>
      <c r="U45" s="82">
        <v>49122</v>
      </c>
      <c r="V45" s="82">
        <v>49122</v>
      </c>
      <c r="W45" s="82">
        <v>49122</v>
      </c>
      <c r="X45" s="82">
        <v>49122</v>
      </c>
      <c r="Y45" s="82">
        <v>49122</v>
      </c>
      <c r="AA45" s="96">
        <f>N45</f>
        <v>18704</v>
      </c>
      <c r="AB45" s="96">
        <f>O45</f>
        <v>23851</v>
      </c>
      <c r="AC45" s="96">
        <f>P45</f>
        <v>26237</v>
      </c>
      <c r="AD45" s="96">
        <f>Q45</f>
        <v>29380</v>
      </c>
      <c r="AE45" s="96">
        <f>R45</f>
        <v>34621</v>
      </c>
      <c r="AF45" s="96">
        <f>S45</f>
        <v>38457</v>
      </c>
      <c r="AG45" s="96">
        <f>T45</f>
        <v>45152</v>
      </c>
      <c r="AH45" s="96">
        <f>U45</f>
        <v>49122</v>
      </c>
      <c r="AI45" s="124"/>
      <c r="AJ45" s="75">
        <f t="shared" ref="AJ45:AJ47" si="67">SUM(AH45/AD45)-1</f>
        <v>0.67195371000680737</v>
      </c>
    </row>
    <row r="46" spans="1:36" s="122" customFormat="1" ht="12.75" customHeight="1">
      <c r="B46" s="114" t="s">
        <v>160</v>
      </c>
      <c r="C46" s="123"/>
      <c r="D46" s="123">
        <v>2429</v>
      </c>
      <c r="E46" s="123">
        <v>4650</v>
      </c>
      <c r="F46" s="123">
        <v>3827</v>
      </c>
      <c r="G46" s="123">
        <v>9999</v>
      </c>
      <c r="H46" s="123">
        <v>23065</v>
      </c>
      <c r="I46" s="123">
        <v>23065</v>
      </c>
      <c r="K46" s="82">
        <v>4080</v>
      </c>
      <c r="L46" s="82">
        <v>7066</v>
      </c>
      <c r="M46" s="82">
        <v>8309</v>
      </c>
      <c r="N46" s="32">
        <f t="shared" si="65"/>
        <v>9999</v>
      </c>
      <c r="O46" s="82">
        <v>12365</v>
      </c>
      <c r="P46" s="82">
        <v>14132</v>
      </c>
      <c r="Q46" s="82">
        <v>17693</v>
      </c>
      <c r="R46" s="32">
        <f t="shared" si="66"/>
        <v>23065</v>
      </c>
      <c r="S46" s="82">
        <v>22132</v>
      </c>
      <c r="T46" s="82">
        <v>27808</v>
      </c>
      <c r="U46" s="82">
        <v>33391</v>
      </c>
      <c r="V46" s="82">
        <v>33391</v>
      </c>
      <c r="W46" s="82">
        <v>33391</v>
      </c>
      <c r="X46" s="82">
        <v>33391</v>
      </c>
      <c r="Y46" s="82">
        <v>33391</v>
      </c>
      <c r="AA46" s="96">
        <f>N46</f>
        <v>9999</v>
      </c>
      <c r="AB46" s="96">
        <f>O46</f>
        <v>12365</v>
      </c>
      <c r="AC46" s="96">
        <f>P46</f>
        <v>14132</v>
      </c>
      <c r="AD46" s="96">
        <f>Q46</f>
        <v>17693</v>
      </c>
      <c r="AE46" s="96">
        <f>R46</f>
        <v>23065</v>
      </c>
      <c r="AF46" s="96">
        <f>S46</f>
        <v>22132</v>
      </c>
      <c r="AG46" s="96">
        <f>T46</f>
        <v>27808</v>
      </c>
      <c r="AH46" s="96">
        <f>U46</f>
        <v>33391</v>
      </c>
      <c r="AI46" s="124"/>
      <c r="AJ46" s="75">
        <f t="shared" ref="AJ46" si="68">SUM(AH46/AD46)-1</f>
        <v>0.88724354264398353</v>
      </c>
    </row>
    <row r="47" spans="1:36" s="122" customFormat="1" ht="12.75" customHeight="1">
      <c r="B47" s="114" t="s">
        <v>106</v>
      </c>
      <c r="C47" s="123"/>
      <c r="D47" s="123">
        <v>1826</v>
      </c>
      <c r="E47" s="123">
        <v>2605</v>
      </c>
      <c r="F47" s="123">
        <v>5159</v>
      </c>
      <c r="G47" s="123">
        <v>5282</v>
      </c>
      <c r="H47" s="123">
        <v>10080</v>
      </c>
      <c r="I47" s="123">
        <v>10080</v>
      </c>
      <c r="K47" s="82">
        <v>4611</v>
      </c>
      <c r="L47" s="82">
        <v>4319</v>
      </c>
      <c r="M47" s="82">
        <v>4779</v>
      </c>
      <c r="N47" s="32">
        <f t="shared" si="65"/>
        <v>5282</v>
      </c>
      <c r="O47" s="82">
        <v>5864</v>
      </c>
      <c r="P47" s="82">
        <v>6675</v>
      </c>
      <c r="Q47" s="82">
        <v>7654</v>
      </c>
      <c r="R47" s="32">
        <f t="shared" si="66"/>
        <v>10080</v>
      </c>
      <c r="S47" s="82">
        <v>11333</v>
      </c>
      <c r="T47" s="82">
        <v>14962</v>
      </c>
      <c r="U47" s="82">
        <v>19784</v>
      </c>
      <c r="V47" s="82">
        <v>19784</v>
      </c>
      <c r="W47" s="82">
        <v>19784</v>
      </c>
      <c r="X47" s="82">
        <v>19784</v>
      </c>
      <c r="Y47" s="82">
        <v>19784</v>
      </c>
      <c r="AA47" s="96">
        <f>N47</f>
        <v>5282</v>
      </c>
      <c r="AB47" s="96">
        <f>O47</f>
        <v>5864</v>
      </c>
      <c r="AC47" s="96">
        <f>P47</f>
        <v>6675</v>
      </c>
      <c r="AD47" s="96">
        <f>Q47</f>
        <v>7654</v>
      </c>
      <c r="AE47" s="96">
        <f>R47</f>
        <v>10080</v>
      </c>
      <c r="AF47" s="96">
        <f>S47</f>
        <v>11333</v>
      </c>
      <c r="AG47" s="96">
        <f>T47</f>
        <v>14962</v>
      </c>
      <c r="AH47" s="96">
        <f>U47</f>
        <v>19784</v>
      </c>
      <c r="AI47" s="124"/>
      <c r="AJ47" s="75">
        <f t="shared" si="67"/>
        <v>1.5847922654821009</v>
      </c>
    </row>
    <row r="48" spans="1:36" s="122" customFormat="1" ht="12.75" customHeight="1">
      <c r="B48" s="114" t="s">
        <v>161</v>
      </c>
      <c r="C48" s="123"/>
      <c r="D48" s="123">
        <v>239</v>
      </c>
      <c r="E48" s="123">
        <v>366</v>
      </c>
      <c r="F48" s="123">
        <v>791</v>
      </c>
      <c r="G48" s="123">
        <v>3080</v>
      </c>
      <c r="H48" s="123">
        <v>3771</v>
      </c>
      <c r="I48" s="123">
        <v>3771</v>
      </c>
      <c r="K48" s="82">
        <v>872</v>
      </c>
      <c r="L48" s="82">
        <v>1389</v>
      </c>
      <c r="M48" s="82">
        <v>1289</v>
      </c>
      <c r="N48" s="32">
        <f t="shared" si="65"/>
        <v>3080</v>
      </c>
      <c r="O48" s="82">
        <v>4062</v>
      </c>
      <c r="P48" s="82">
        <v>4026</v>
      </c>
      <c r="Q48" s="82">
        <v>3806</v>
      </c>
      <c r="R48" s="32">
        <f t="shared" si="66"/>
        <v>3771</v>
      </c>
      <c r="S48" s="82">
        <v>2779</v>
      </c>
      <c r="T48" s="82">
        <v>2658</v>
      </c>
      <c r="U48" s="82">
        <v>2709</v>
      </c>
      <c r="V48" s="82">
        <v>2709</v>
      </c>
      <c r="W48" s="82">
        <v>2709</v>
      </c>
      <c r="X48" s="82">
        <v>2709</v>
      </c>
      <c r="Y48" s="82">
        <v>2709</v>
      </c>
      <c r="AA48" s="96">
        <f>N48</f>
        <v>3080</v>
      </c>
      <c r="AB48" s="96">
        <f>O48</f>
        <v>4062</v>
      </c>
      <c r="AC48" s="96">
        <f>P48</f>
        <v>4026</v>
      </c>
      <c r="AD48" s="96">
        <f>Q48</f>
        <v>3806</v>
      </c>
      <c r="AE48" s="96">
        <f>R48</f>
        <v>3771</v>
      </c>
      <c r="AF48" s="96">
        <f>S48</f>
        <v>2779</v>
      </c>
      <c r="AG48" s="96">
        <f>T48</f>
        <v>2658</v>
      </c>
      <c r="AH48" s="96">
        <f>U48</f>
        <v>2709</v>
      </c>
      <c r="AI48" s="124"/>
      <c r="AJ48" s="75">
        <f t="shared" ref="AJ48" si="69">SUM(AH48/AD48)-1</f>
        <v>-0.28822911192853384</v>
      </c>
    </row>
    <row r="49" spans="2:36" ht="12.75" customHeight="1">
      <c r="B49" s="25" t="s">
        <v>18</v>
      </c>
      <c r="C49" s="26">
        <f>SUM(C44:C48)</f>
        <v>0</v>
      </c>
      <c r="D49" s="26">
        <f>SUM(D44:D48)</f>
        <v>16055</v>
      </c>
      <c r="E49" s="26">
        <f>SUM(E44:E48)</f>
        <v>28829</v>
      </c>
      <c r="F49" s="26">
        <f>SUM(F44:F48)</f>
        <v>23523</v>
      </c>
      <c r="G49" s="26">
        <f>SUM(G44:G48)</f>
        <v>44345</v>
      </c>
      <c r="H49" s="26">
        <f>SUM(H44:H48)</f>
        <v>80126</v>
      </c>
      <c r="I49" s="26">
        <f>SUM(I44:I48)</f>
        <v>80126</v>
      </c>
      <c r="J49" s="48"/>
      <c r="K49" s="26">
        <f>SUM(K44:K48)</f>
        <v>24883</v>
      </c>
      <c r="L49" s="26">
        <f>SUM(L44:L48)</f>
        <v>28797</v>
      </c>
      <c r="M49" s="26">
        <f>SUM(M44:M48)</f>
        <v>32658</v>
      </c>
      <c r="N49" s="26">
        <f>SUM(N44:N48)</f>
        <v>44345</v>
      </c>
      <c r="O49" s="26">
        <f>SUM(O44:O48)</f>
        <v>53729</v>
      </c>
      <c r="P49" s="26">
        <f>SUM(P44:P48)</f>
        <v>59633</v>
      </c>
      <c r="Q49" s="26">
        <f>SUM(Q44:Q48)</f>
        <v>67640</v>
      </c>
      <c r="R49" s="26">
        <f>SUM(R44:R48)</f>
        <v>80126</v>
      </c>
      <c r="S49" s="26">
        <f>SUM(S44:S48)</f>
        <v>89935</v>
      </c>
      <c r="T49" s="26">
        <f>SUM(T44:T48)</f>
        <v>102219</v>
      </c>
      <c r="U49" s="26">
        <f>SUM(U44:U48)</f>
        <v>116492</v>
      </c>
      <c r="V49" s="26">
        <f>SUM(V44:V48)</f>
        <v>116492</v>
      </c>
      <c r="W49" s="26">
        <f>SUM(W44:W48)</f>
        <v>116492</v>
      </c>
      <c r="X49" s="26">
        <f>SUM(X44:X48)</f>
        <v>116492</v>
      </c>
      <c r="Y49" s="26">
        <f>SUM(Y44:Y48)</f>
        <v>116492</v>
      </c>
      <c r="Z49" s="48"/>
      <c r="AA49" s="26">
        <f>SUM(AA44:AA47)</f>
        <v>41265</v>
      </c>
      <c r="AB49" s="26">
        <f>SUM(AB44:AB47)</f>
        <v>49667</v>
      </c>
      <c r="AC49" s="26">
        <f>SUM(AC44:AC47)</f>
        <v>55607</v>
      </c>
      <c r="AD49" s="26">
        <f>SUM(AD44:AD48)</f>
        <v>67640</v>
      </c>
      <c r="AE49" s="26">
        <f>SUM(AE44:AE48)</f>
        <v>80126</v>
      </c>
      <c r="AF49" s="26">
        <f>SUM(AF44:AF48)</f>
        <v>89935</v>
      </c>
      <c r="AG49" s="26">
        <f>SUM(AG44:AG48)</f>
        <v>102219</v>
      </c>
      <c r="AH49" s="26">
        <f>SUM(AH44:AH48)</f>
        <v>116492</v>
      </c>
      <c r="AI49" s="42"/>
      <c r="AJ49" s="76">
        <f>SUM(AH49/AD49)-1</f>
        <v>0.7222353636901242</v>
      </c>
    </row>
    <row r="50" spans="2:36" ht="5.0999999999999996" customHeight="1">
      <c r="B50" s="25"/>
      <c r="C50" s="49"/>
      <c r="D50" s="49"/>
      <c r="E50" s="49"/>
      <c r="F50" s="49"/>
      <c r="G50" s="41"/>
      <c r="H50" s="41"/>
      <c r="I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AA50" s="42"/>
      <c r="AB50" s="42"/>
      <c r="AC50" s="42"/>
      <c r="AD50" s="42"/>
      <c r="AE50" s="42"/>
      <c r="AF50" s="42"/>
      <c r="AG50" s="42"/>
      <c r="AH50" s="42"/>
      <c r="AI50" s="42"/>
      <c r="AJ50" s="39"/>
    </row>
    <row r="51" spans="2:36" ht="12.75" customHeight="1">
      <c r="B51" s="78" t="s">
        <v>79</v>
      </c>
      <c r="C51" s="82"/>
      <c r="D51" s="82"/>
      <c r="E51" s="82"/>
      <c r="F51" s="82"/>
      <c r="G51" s="82"/>
      <c r="H51" s="82"/>
      <c r="I51" s="82"/>
      <c r="K51" s="82"/>
      <c r="L51" s="82"/>
      <c r="M51" s="82"/>
      <c r="N51" s="82"/>
      <c r="O51" s="82"/>
      <c r="P51" s="82"/>
      <c r="Q51" s="82"/>
      <c r="R51" s="82"/>
      <c r="S51" s="32"/>
      <c r="T51" s="82"/>
      <c r="U51" s="82"/>
      <c r="V51" s="82"/>
      <c r="W51" s="82"/>
      <c r="X51" s="82"/>
      <c r="Y51" s="82"/>
      <c r="AA51" s="32"/>
      <c r="AB51" s="32"/>
      <c r="AC51" s="32"/>
      <c r="AD51" s="32"/>
      <c r="AE51" s="32"/>
      <c r="AF51" s="32"/>
      <c r="AG51" s="32"/>
      <c r="AH51" s="32"/>
      <c r="AI51" s="11"/>
      <c r="AJ51" s="75"/>
    </row>
    <row r="52" spans="2:36" ht="12.75" customHeight="1">
      <c r="B52" s="9" t="s">
        <v>162</v>
      </c>
      <c r="C52" s="82"/>
      <c r="D52" s="82">
        <v>2149</v>
      </c>
      <c r="E52" s="82">
        <v>2778</v>
      </c>
      <c r="F52" s="82">
        <v>3807</v>
      </c>
      <c r="G52" s="82">
        <v>3914</v>
      </c>
      <c r="H52" s="82">
        <v>6283</v>
      </c>
      <c r="I52" s="82">
        <v>6283</v>
      </c>
      <c r="K52" s="82">
        <v>3740</v>
      </c>
      <c r="L52" s="82">
        <v>3799</v>
      </c>
      <c r="M52" s="82">
        <v>3844</v>
      </c>
      <c r="N52" s="32">
        <f t="shared" ref="N52:N57" si="70">G52</f>
        <v>3914</v>
      </c>
      <c r="O52" s="82">
        <v>4006</v>
      </c>
      <c r="P52" s="82">
        <v>4885</v>
      </c>
      <c r="Q52" s="82">
        <v>5343</v>
      </c>
      <c r="R52" s="32">
        <f t="shared" ref="R52:R57" si="71">H52</f>
        <v>6283</v>
      </c>
      <c r="S52" s="82">
        <v>7136</v>
      </c>
      <c r="T52" s="82">
        <v>9141</v>
      </c>
      <c r="U52" s="82">
        <v>9780</v>
      </c>
      <c r="V52" s="82">
        <v>9780</v>
      </c>
      <c r="W52" s="82">
        <v>9780</v>
      </c>
      <c r="X52" s="82">
        <v>9780</v>
      </c>
      <c r="Y52" s="82">
        <v>9780</v>
      </c>
      <c r="AA52" s="32">
        <f>N52</f>
        <v>3914</v>
      </c>
      <c r="AB52" s="32">
        <f>O52</f>
        <v>4006</v>
      </c>
      <c r="AC52" s="32">
        <f>P52</f>
        <v>4885</v>
      </c>
      <c r="AD52" s="32">
        <f>Q52</f>
        <v>5343</v>
      </c>
      <c r="AE52" s="32">
        <f>R52</f>
        <v>6283</v>
      </c>
      <c r="AF52" s="32">
        <f>S52</f>
        <v>7136</v>
      </c>
      <c r="AG52" s="32">
        <f>T52</f>
        <v>9141</v>
      </c>
      <c r="AH52" s="32">
        <f>U52</f>
        <v>9780</v>
      </c>
      <c r="AI52" s="11"/>
      <c r="AJ52" s="75">
        <f t="shared" ref="AJ52:AJ58" si="72">SUM(AH52/AD52)-1</f>
        <v>0.83043234138124644</v>
      </c>
    </row>
    <row r="53" spans="2:36" ht="12.75" customHeight="1">
      <c r="B53" s="9" t="s">
        <v>163</v>
      </c>
      <c r="C53" s="82"/>
      <c r="D53" s="82">
        <v>707</v>
      </c>
      <c r="E53" s="82">
        <v>829</v>
      </c>
      <c r="F53" s="82">
        <v>1038</v>
      </c>
      <c r="G53" s="82">
        <v>1346</v>
      </c>
      <c r="H53" s="82">
        <v>1793</v>
      </c>
      <c r="I53" s="82">
        <v>1793</v>
      </c>
      <c r="K53" s="82">
        <v>1094</v>
      </c>
      <c r="L53" s="82">
        <v>1235</v>
      </c>
      <c r="M53" s="82">
        <v>1316</v>
      </c>
      <c r="N53" s="32">
        <f t="shared" si="70"/>
        <v>1346</v>
      </c>
      <c r="O53" s="82">
        <v>1532</v>
      </c>
      <c r="P53" s="82">
        <v>1556</v>
      </c>
      <c r="Q53" s="82">
        <v>1755</v>
      </c>
      <c r="R53" s="32">
        <f t="shared" si="71"/>
        <v>1793</v>
      </c>
      <c r="S53" s="82">
        <v>1810</v>
      </c>
      <c r="T53" s="82">
        <v>2084</v>
      </c>
      <c r="U53" s="82">
        <v>2281</v>
      </c>
      <c r="V53" s="82">
        <v>2281</v>
      </c>
      <c r="W53" s="82">
        <v>2281</v>
      </c>
      <c r="X53" s="82">
        <v>2281</v>
      </c>
      <c r="Y53" s="82">
        <v>2281</v>
      </c>
      <c r="AA53" s="32">
        <f>N53</f>
        <v>1346</v>
      </c>
      <c r="AB53" s="32">
        <f>O53</f>
        <v>1532</v>
      </c>
      <c r="AC53" s="32">
        <f>P53</f>
        <v>1556</v>
      </c>
      <c r="AD53" s="32">
        <f>Q53</f>
        <v>1755</v>
      </c>
      <c r="AE53" s="32">
        <f>R53</f>
        <v>1793</v>
      </c>
      <c r="AF53" s="32">
        <f>S53</f>
        <v>1810</v>
      </c>
      <c r="AG53" s="32">
        <f>T53</f>
        <v>2084</v>
      </c>
      <c r="AH53" s="32">
        <f>U53</f>
        <v>2281</v>
      </c>
      <c r="AI53" s="11"/>
      <c r="AJ53" s="75">
        <f t="shared" si="72"/>
        <v>0.29971509971509969</v>
      </c>
    </row>
    <row r="54" spans="2:36" ht="12.75" customHeight="1">
      <c r="B54" s="9" t="s">
        <v>107</v>
      </c>
      <c r="C54" s="82"/>
      <c r="D54" s="82">
        <v>4193</v>
      </c>
      <c r="E54" s="82">
        <v>4349</v>
      </c>
      <c r="F54" s="82">
        <v>4372</v>
      </c>
      <c r="G54" s="82">
        <v>4430</v>
      </c>
      <c r="H54" s="82">
        <v>5188</v>
      </c>
      <c r="I54" s="82">
        <v>5188</v>
      </c>
      <c r="K54" s="82">
        <v>4430</v>
      </c>
      <c r="L54" s="82">
        <v>4430</v>
      </c>
      <c r="M54" s="82">
        <v>4430</v>
      </c>
      <c r="N54" s="32">
        <f t="shared" si="70"/>
        <v>4430</v>
      </c>
      <c r="O54" s="82">
        <v>4453</v>
      </c>
      <c r="P54" s="82">
        <v>4622</v>
      </c>
      <c r="Q54" s="82">
        <v>4724</v>
      </c>
      <c r="R54" s="32">
        <f t="shared" si="71"/>
        <v>5188</v>
      </c>
      <c r="S54" s="82">
        <v>5498</v>
      </c>
      <c r="T54" s="82">
        <v>5755</v>
      </c>
      <c r="U54" s="82">
        <v>6261</v>
      </c>
      <c r="V54" s="82">
        <v>6261</v>
      </c>
      <c r="W54" s="82">
        <v>6261</v>
      </c>
      <c r="X54" s="82">
        <v>6261</v>
      </c>
      <c r="Y54" s="82">
        <v>6261</v>
      </c>
      <c r="AA54" s="32">
        <f>N54</f>
        <v>4430</v>
      </c>
      <c r="AB54" s="32">
        <f>O54</f>
        <v>4453</v>
      </c>
      <c r="AC54" s="32">
        <f>P54</f>
        <v>4622</v>
      </c>
      <c r="AD54" s="32">
        <f>Q54</f>
        <v>4724</v>
      </c>
      <c r="AE54" s="32">
        <f>R54</f>
        <v>5188</v>
      </c>
      <c r="AF54" s="32">
        <f>S54</f>
        <v>5498</v>
      </c>
      <c r="AG54" s="32">
        <f>T54</f>
        <v>5755</v>
      </c>
      <c r="AH54" s="32">
        <f>U54</f>
        <v>6261</v>
      </c>
      <c r="AI54" s="11"/>
      <c r="AJ54" s="75">
        <f t="shared" ref="AJ54:AJ55" si="73">SUM(AH54/AD54)-1</f>
        <v>0.32535986452159182</v>
      </c>
    </row>
    <row r="55" spans="2:36" ht="12.75" customHeight="1">
      <c r="B55" s="9" t="s">
        <v>143</v>
      </c>
      <c r="C55" s="82"/>
      <c r="D55" s="82">
        <v>2737</v>
      </c>
      <c r="E55" s="82">
        <v>2339</v>
      </c>
      <c r="F55" s="82">
        <v>1676</v>
      </c>
      <c r="G55" s="82">
        <v>1112</v>
      </c>
      <c r="H55" s="82">
        <v>807</v>
      </c>
      <c r="I55" s="82">
        <v>807</v>
      </c>
      <c r="K55" s="82">
        <v>1541</v>
      </c>
      <c r="L55" s="82">
        <v>1395</v>
      </c>
      <c r="M55" s="82">
        <v>1251</v>
      </c>
      <c r="N55" s="32">
        <f t="shared" si="70"/>
        <v>1112</v>
      </c>
      <c r="O55" s="82">
        <v>986</v>
      </c>
      <c r="P55" s="82">
        <v>952</v>
      </c>
      <c r="Q55" s="82">
        <v>838</v>
      </c>
      <c r="R55" s="32">
        <f t="shared" si="71"/>
        <v>807</v>
      </c>
      <c r="S55" s="82">
        <v>769</v>
      </c>
      <c r="T55" s="82">
        <v>755</v>
      </c>
      <c r="U55" s="82">
        <v>936</v>
      </c>
      <c r="V55" s="82">
        <v>936</v>
      </c>
      <c r="W55" s="82">
        <v>936</v>
      </c>
      <c r="X55" s="82">
        <v>936</v>
      </c>
      <c r="Y55" s="82">
        <v>936</v>
      </c>
      <c r="AA55" s="32">
        <f>N55</f>
        <v>1112</v>
      </c>
      <c r="AB55" s="32">
        <f>O55</f>
        <v>986</v>
      </c>
      <c r="AC55" s="32">
        <f>P55</f>
        <v>952</v>
      </c>
      <c r="AD55" s="32">
        <f>Q55</f>
        <v>838</v>
      </c>
      <c r="AE55" s="32">
        <f>R55</f>
        <v>807</v>
      </c>
      <c r="AF55" s="32">
        <f>S55</f>
        <v>769</v>
      </c>
      <c r="AG55" s="32">
        <f>T55</f>
        <v>755</v>
      </c>
      <c r="AH55" s="32">
        <f>U55</f>
        <v>936</v>
      </c>
      <c r="AI55" s="11"/>
      <c r="AJ55" s="75">
        <f t="shared" si="73"/>
        <v>0.11694510739856812</v>
      </c>
    </row>
    <row r="56" spans="2:36" ht="12.75" customHeight="1">
      <c r="B56" s="9" t="s">
        <v>164</v>
      </c>
      <c r="C56" s="82"/>
      <c r="D56" s="82">
        <v>806</v>
      </c>
      <c r="E56" s="82">
        <v>1222</v>
      </c>
      <c r="F56" s="82">
        <v>3396</v>
      </c>
      <c r="G56" s="82">
        <v>6081</v>
      </c>
      <c r="H56" s="82">
        <v>10979</v>
      </c>
      <c r="I56" s="82">
        <v>10979</v>
      </c>
      <c r="K56" s="82">
        <v>4568</v>
      </c>
      <c r="L56" s="82">
        <v>5398</v>
      </c>
      <c r="M56" s="82">
        <v>5982</v>
      </c>
      <c r="N56" s="32">
        <f t="shared" si="70"/>
        <v>6081</v>
      </c>
      <c r="O56" s="82">
        <v>7798</v>
      </c>
      <c r="P56" s="82">
        <v>9578</v>
      </c>
      <c r="Q56" s="82">
        <v>10276</v>
      </c>
      <c r="R56" s="32">
        <f t="shared" si="71"/>
        <v>10979</v>
      </c>
      <c r="S56" s="82">
        <v>13318</v>
      </c>
      <c r="T56" s="82">
        <v>13570</v>
      </c>
      <c r="U56" s="82">
        <v>13674</v>
      </c>
      <c r="V56" s="82">
        <v>13674</v>
      </c>
      <c r="W56" s="82">
        <v>13674</v>
      </c>
      <c r="X56" s="82">
        <v>13674</v>
      </c>
      <c r="Y56" s="82">
        <v>13674</v>
      </c>
      <c r="AA56" s="32">
        <f>N56</f>
        <v>6081</v>
      </c>
      <c r="AB56" s="32">
        <f>O56</f>
        <v>7798</v>
      </c>
      <c r="AC56" s="32">
        <f>P56</f>
        <v>9578</v>
      </c>
      <c r="AD56" s="32">
        <f>Q56</f>
        <v>10276</v>
      </c>
      <c r="AE56" s="32">
        <f>R56</f>
        <v>10979</v>
      </c>
      <c r="AF56" s="32">
        <f>S56</f>
        <v>13318</v>
      </c>
      <c r="AG56" s="32">
        <f>T56</f>
        <v>13570</v>
      </c>
      <c r="AH56" s="32">
        <f>U56</f>
        <v>13674</v>
      </c>
      <c r="AI56" s="11"/>
      <c r="AJ56" s="75">
        <f t="shared" si="72"/>
        <v>0.33067341377968074</v>
      </c>
    </row>
    <row r="57" spans="2:36" ht="12.75" customHeight="1">
      <c r="B57" s="9" t="s">
        <v>165</v>
      </c>
      <c r="C57" s="82"/>
      <c r="D57" s="82">
        <v>2144</v>
      </c>
      <c r="E57" s="82">
        <v>3841</v>
      </c>
      <c r="F57" s="82">
        <v>3820</v>
      </c>
      <c r="G57" s="82">
        <v>4500</v>
      </c>
      <c r="H57" s="82">
        <v>6425</v>
      </c>
      <c r="I57" s="82">
        <v>6425</v>
      </c>
      <c r="K57" s="82">
        <v>4204</v>
      </c>
      <c r="L57" s="82">
        <v>4501</v>
      </c>
      <c r="M57" s="82">
        <v>4667</v>
      </c>
      <c r="N57" s="32">
        <f t="shared" si="70"/>
        <v>4500</v>
      </c>
      <c r="O57" s="82">
        <v>4568</v>
      </c>
      <c r="P57" s="82">
        <v>4001</v>
      </c>
      <c r="Q57" s="82">
        <v>5437</v>
      </c>
      <c r="R57" s="32">
        <f t="shared" si="71"/>
        <v>6425</v>
      </c>
      <c r="S57" s="82">
        <v>6788</v>
      </c>
      <c r="T57" s="82">
        <v>7216</v>
      </c>
      <c r="U57" s="82">
        <v>11724</v>
      </c>
      <c r="V57" s="82">
        <v>11724</v>
      </c>
      <c r="W57" s="82">
        <v>11724</v>
      </c>
      <c r="X57" s="82">
        <v>11724</v>
      </c>
      <c r="Y57" s="82">
        <v>11724</v>
      </c>
      <c r="AA57" s="32">
        <f>N57</f>
        <v>4500</v>
      </c>
      <c r="AB57" s="32">
        <f>O57</f>
        <v>4568</v>
      </c>
      <c r="AC57" s="32">
        <f>P57</f>
        <v>4001</v>
      </c>
      <c r="AD57" s="32">
        <f>Q57</f>
        <v>5437</v>
      </c>
      <c r="AE57" s="32">
        <f>R57</f>
        <v>6425</v>
      </c>
      <c r="AF57" s="32">
        <f>S57</f>
        <v>6788</v>
      </c>
      <c r="AG57" s="32">
        <f>T57</f>
        <v>7216</v>
      </c>
      <c r="AH57" s="32">
        <f>U57</f>
        <v>11724</v>
      </c>
      <c r="AI57" s="11"/>
      <c r="AJ57" s="75">
        <f t="shared" si="72"/>
        <v>1.1563362148243517</v>
      </c>
    </row>
    <row r="58" spans="2:36" ht="12.75" customHeight="1">
      <c r="B58" s="13" t="s">
        <v>19</v>
      </c>
      <c r="C58" s="14">
        <f>SUM(C52:C57)+C49</f>
        <v>0</v>
      </c>
      <c r="D58" s="14">
        <f>SUM(D52:D57)+D49</f>
        <v>28791</v>
      </c>
      <c r="E58" s="14">
        <f>SUM(E52:E57)+E49</f>
        <v>44187</v>
      </c>
      <c r="F58" s="14">
        <f>SUM(F52:F57)+F49</f>
        <v>41632</v>
      </c>
      <c r="G58" s="14">
        <f>SUM(G52:G57)+G49</f>
        <v>65728</v>
      </c>
      <c r="H58" s="14">
        <f>SUM(H52:H57)+H49</f>
        <v>111601</v>
      </c>
      <c r="I58" s="14">
        <f>SUM(I52:I57)+I49</f>
        <v>111601</v>
      </c>
      <c r="K58" s="14">
        <f>SUM(K52:K57)+K49</f>
        <v>44460</v>
      </c>
      <c r="L58" s="14">
        <f>SUM(L52:L57)+L49</f>
        <v>49555</v>
      </c>
      <c r="M58" s="14">
        <f>SUM(M52:M57)+M49</f>
        <v>54148</v>
      </c>
      <c r="N58" s="14">
        <f>SUM(N52:N57)+N49</f>
        <v>65728</v>
      </c>
      <c r="O58" s="14">
        <f>SUM(O52:O57)+O49</f>
        <v>77072</v>
      </c>
      <c r="P58" s="14">
        <f>SUM(P52:P57)+P49</f>
        <v>85227</v>
      </c>
      <c r="Q58" s="14">
        <f>SUM(Q52:Q57)+Q49</f>
        <v>96013</v>
      </c>
      <c r="R58" s="14">
        <f>SUM(R52:R57)+R49</f>
        <v>111601</v>
      </c>
      <c r="S58" s="14">
        <f>SUM(S52:S57)+S49</f>
        <v>125254</v>
      </c>
      <c r="T58" s="14">
        <f>SUM(T52:T57)+T49</f>
        <v>140740</v>
      </c>
      <c r="U58" s="14">
        <f>SUM(U52:U57)+U49</f>
        <v>161148</v>
      </c>
      <c r="V58" s="14">
        <f>SUM(V52:V57)+V49</f>
        <v>161148</v>
      </c>
      <c r="W58" s="14">
        <f t="shared" ref="W58:Y58" si="74">SUM(W52:W57)+W49</f>
        <v>161148</v>
      </c>
      <c r="X58" s="14">
        <f t="shared" si="74"/>
        <v>161148</v>
      </c>
      <c r="Y58" s="14">
        <f t="shared" si="74"/>
        <v>161148</v>
      </c>
      <c r="AA58" s="14">
        <f>SUM(AA52:AA57)+AA49</f>
        <v>62648</v>
      </c>
      <c r="AB58" s="14">
        <f>SUM(AB52:AB57)+AB49</f>
        <v>73010</v>
      </c>
      <c r="AC58" s="14">
        <f>SUM(AC52:AC57)+AC49</f>
        <v>81201</v>
      </c>
      <c r="AD58" s="14">
        <f>SUM(AD52:AD57)+AD49</f>
        <v>96013</v>
      </c>
      <c r="AE58" s="14">
        <f>SUM(AE52:AE57)+AE49</f>
        <v>111601</v>
      </c>
      <c r="AF58" s="14">
        <f>SUM(AF52:AF57)+AF49</f>
        <v>125254</v>
      </c>
      <c r="AG58" s="14">
        <f>SUM(AG52:AG57)+AG49</f>
        <v>140740</v>
      </c>
      <c r="AH58" s="34">
        <f>SUM(AH52:AH57)+AH49</f>
        <v>161148</v>
      </c>
      <c r="AI58" s="42"/>
      <c r="AJ58" s="76">
        <f t="shared" si="72"/>
        <v>0.67839771697582618</v>
      </c>
    </row>
    <row r="59" spans="2:36" ht="12.75" customHeight="1">
      <c r="B59" s="25"/>
      <c r="C59" s="50"/>
      <c r="D59" s="50"/>
      <c r="E59" s="50"/>
      <c r="F59" s="50"/>
      <c r="G59" s="41"/>
      <c r="H59" s="41"/>
      <c r="I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AA59" s="42"/>
      <c r="AB59" s="42"/>
      <c r="AC59" s="42"/>
      <c r="AD59" s="42"/>
      <c r="AE59" s="42"/>
      <c r="AF59" s="42"/>
      <c r="AG59" s="42"/>
      <c r="AH59" s="42"/>
      <c r="AI59" s="42"/>
      <c r="AJ59" s="39"/>
    </row>
    <row r="60" spans="2:36" ht="12.75" customHeight="1">
      <c r="B60" s="78" t="s">
        <v>45</v>
      </c>
      <c r="C60" s="50"/>
      <c r="D60" s="50"/>
      <c r="E60" s="50"/>
      <c r="F60" s="50"/>
      <c r="G60" s="41"/>
      <c r="H60" s="41"/>
      <c r="I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AA60" s="42"/>
      <c r="AB60" s="42"/>
      <c r="AC60" s="42"/>
      <c r="AD60" s="42"/>
      <c r="AE60" s="42"/>
      <c r="AF60" s="42"/>
      <c r="AG60" s="42"/>
      <c r="AH60" s="42"/>
      <c r="AI60" s="42"/>
      <c r="AJ60" s="39"/>
    </row>
    <row r="61" spans="2:36" ht="12.75" customHeight="1">
      <c r="B61" s="120" t="s">
        <v>166</v>
      </c>
      <c r="C61" s="121"/>
      <c r="D61" s="121">
        <v>1149</v>
      </c>
      <c r="E61" s="121">
        <v>1783</v>
      </c>
      <c r="F61" s="121">
        <v>1193</v>
      </c>
      <c r="G61" s="121">
        <v>2699</v>
      </c>
      <c r="H61" s="121">
        <v>6310</v>
      </c>
      <c r="I61" s="121">
        <v>6310</v>
      </c>
      <c r="K61" s="82">
        <v>1141</v>
      </c>
      <c r="L61" s="82">
        <v>1929</v>
      </c>
      <c r="M61" s="82">
        <v>2380</v>
      </c>
      <c r="N61" s="32">
        <f t="shared" ref="N61:N63" si="75">G61</f>
        <v>2699</v>
      </c>
      <c r="O61" s="82">
        <v>2715</v>
      </c>
      <c r="P61" s="82">
        <v>3680</v>
      </c>
      <c r="Q61" s="82">
        <v>5353</v>
      </c>
      <c r="R61" s="32">
        <f t="shared" ref="R61:R63" si="76">H61</f>
        <v>6310</v>
      </c>
      <c r="S61" s="82">
        <v>7331</v>
      </c>
      <c r="T61" s="82">
        <v>9064</v>
      </c>
      <c r="U61" s="82">
        <v>8624</v>
      </c>
      <c r="V61" s="82">
        <v>8624</v>
      </c>
      <c r="W61" s="82">
        <v>8624</v>
      </c>
      <c r="X61" s="82">
        <v>8624</v>
      </c>
      <c r="Y61" s="82">
        <v>8624</v>
      </c>
      <c r="AA61" s="97">
        <f>N61</f>
        <v>2699</v>
      </c>
      <c r="AB61" s="97">
        <f>O61</f>
        <v>2715</v>
      </c>
      <c r="AC61" s="97">
        <f>P61</f>
        <v>3680</v>
      </c>
      <c r="AD61" s="97">
        <f>Q61</f>
        <v>5353</v>
      </c>
      <c r="AE61" s="97">
        <f>R61</f>
        <v>6310</v>
      </c>
      <c r="AF61" s="97">
        <f>S61</f>
        <v>7331</v>
      </c>
      <c r="AG61" s="97">
        <f>T61</f>
        <v>9064</v>
      </c>
      <c r="AH61" s="97">
        <f>U61</f>
        <v>8624</v>
      </c>
      <c r="AI61" s="11"/>
      <c r="AJ61" s="75">
        <f t="shared" ref="AJ61:AJ64" si="77">SUM(AH61/AD61)-1</f>
        <v>0.61105921912946015</v>
      </c>
    </row>
    <row r="62" spans="2:36" ht="12.75" customHeight="1">
      <c r="B62" s="120" t="s">
        <v>167</v>
      </c>
      <c r="C62" s="121"/>
      <c r="D62" s="121">
        <v>1777</v>
      </c>
      <c r="E62" s="121">
        <v>2552</v>
      </c>
      <c r="F62" s="121">
        <v>4120</v>
      </c>
      <c r="G62" s="121">
        <v>6682</v>
      </c>
      <c r="H62" s="121">
        <v>11737</v>
      </c>
      <c r="I62" s="121">
        <v>11737</v>
      </c>
      <c r="K62" s="82">
        <v>4869</v>
      </c>
      <c r="L62" s="82">
        <v>7156</v>
      </c>
      <c r="M62" s="82">
        <v>5472</v>
      </c>
      <c r="N62" s="32">
        <f t="shared" si="75"/>
        <v>6682</v>
      </c>
      <c r="O62" s="82">
        <v>11258</v>
      </c>
      <c r="P62" s="82">
        <v>10289</v>
      </c>
      <c r="Q62" s="82">
        <v>11126</v>
      </c>
      <c r="R62" s="32">
        <f t="shared" si="76"/>
        <v>11737</v>
      </c>
      <c r="S62" s="82">
        <v>19211</v>
      </c>
      <c r="T62" s="82">
        <v>15193</v>
      </c>
      <c r="U62" s="82">
        <v>16452</v>
      </c>
      <c r="V62" s="82">
        <v>16452</v>
      </c>
      <c r="W62" s="82">
        <v>16452</v>
      </c>
      <c r="X62" s="82">
        <v>16452</v>
      </c>
      <c r="Y62" s="82">
        <v>16452</v>
      </c>
      <c r="AA62" s="97">
        <f>N62</f>
        <v>6682</v>
      </c>
      <c r="AB62" s="97">
        <f>O62</f>
        <v>11258</v>
      </c>
      <c r="AC62" s="97">
        <f>P62</f>
        <v>10289</v>
      </c>
      <c r="AD62" s="97">
        <f>Q62</f>
        <v>11126</v>
      </c>
      <c r="AE62" s="97">
        <f>R62</f>
        <v>11737</v>
      </c>
      <c r="AF62" s="97">
        <f>S62</f>
        <v>19211</v>
      </c>
      <c r="AG62" s="97">
        <f>T62</f>
        <v>15193</v>
      </c>
      <c r="AH62" s="97">
        <f>U62</f>
        <v>16452</v>
      </c>
      <c r="AI62" s="11"/>
      <c r="AJ62" s="75">
        <f t="shared" si="77"/>
        <v>0.47869854395110556</v>
      </c>
    </row>
    <row r="63" spans="2:36" ht="12.75" customHeight="1">
      <c r="B63" s="120" t="s">
        <v>168</v>
      </c>
      <c r="C63" s="121"/>
      <c r="D63" s="121">
        <v>999</v>
      </c>
      <c r="E63" s="121">
        <v>0</v>
      </c>
      <c r="F63" s="121">
        <v>1250</v>
      </c>
      <c r="G63" s="121">
        <v>1250</v>
      </c>
      <c r="H63" s="121">
        <v>0</v>
      </c>
      <c r="I63" s="121">
        <v>0</v>
      </c>
      <c r="K63" s="82">
        <v>1250</v>
      </c>
      <c r="L63" s="82">
        <v>1249</v>
      </c>
      <c r="M63" s="82">
        <v>1249</v>
      </c>
      <c r="N63" s="32">
        <f t="shared" si="75"/>
        <v>1250</v>
      </c>
      <c r="O63" s="82">
        <v>1250</v>
      </c>
      <c r="P63" s="82">
        <v>0</v>
      </c>
      <c r="Q63" s="82">
        <v>0</v>
      </c>
      <c r="R63" s="32">
        <f t="shared" si="76"/>
        <v>0</v>
      </c>
      <c r="S63" s="82">
        <v>0</v>
      </c>
      <c r="T63" s="82">
        <v>0</v>
      </c>
      <c r="U63" s="82">
        <v>999</v>
      </c>
      <c r="V63" s="82">
        <v>999</v>
      </c>
      <c r="W63" s="82">
        <v>999</v>
      </c>
      <c r="X63" s="82">
        <v>999</v>
      </c>
      <c r="Y63" s="82">
        <v>999</v>
      </c>
      <c r="AA63" s="97">
        <f>N63</f>
        <v>1250</v>
      </c>
      <c r="AB63" s="97">
        <f>O63</f>
        <v>1250</v>
      </c>
      <c r="AC63" s="97">
        <f>P63</f>
        <v>0</v>
      </c>
      <c r="AD63" s="97">
        <f>Q63</f>
        <v>0</v>
      </c>
      <c r="AE63" s="97">
        <f>R63</f>
        <v>0</v>
      </c>
      <c r="AF63" s="97">
        <f>S63</f>
        <v>0</v>
      </c>
      <c r="AG63" s="97">
        <f>T63</f>
        <v>0</v>
      </c>
      <c r="AH63" s="97">
        <f>U63</f>
        <v>999</v>
      </c>
      <c r="AI63" s="11"/>
      <c r="AJ63" s="75" t="e">
        <f t="shared" ref="AJ63" si="78">SUM(AH63/AD63)-1</f>
        <v>#DIV/0!</v>
      </c>
    </row>
    <row r="64" spans="2:36" ht="12.75" customHeight="1">
      <c r="B64" s="25" t="s">
        <v>17</v>
      </c>
      <c r="C64" s="26">
        <f>SUM(C61:C63)</f>
        <v>0</v>
      </c>
      <c r="D64" s="26">
        <f>SUM(D61:D63)</f>
        <v>3925</v>
      </c>
      <c r="E64" s="26">
        <f>SUM(E61:E63)</f>
        <v>4335</v>
      </c>
      <c r="F64" s="26">
        <f>SUM(F61:F63)</f>
        <v>6563</v>
      </c>
      <c r="G64" s="26">
        <f>SUM(G61:G63)</f>
        <v>10631</v>
      </c>
      <c r="H64" s="26">
        <f>SUM(H61:H63)</f>
        <v>18047</v>
      </c>
      <c r="I64" s="26">
        <f>SUM(I61:I63)</f>
        <v>18047</v>
      </c>
      <c r="K64" s="26">
        <f>SUM(K61:K63)</f>
        <v>7260</v>
      </c>
      <c r="L64" s="26">
        <f>SUM(L61:L63)</f>
        <v>10334</v>
      </c>
      <c r="M64" s="26">
        <f>SUM(M61:M63)</f>
        <v>9101</v>
      </c>
      <c r="N64" s="26">
        <f>SUM(N61:N63)</f>
        <v>10631</v>
      </c>
      <c r="O64" s="26">
        <f>SUM(O61:O63)</f>
        <v>15223</v>
      </c>
      <c r="P64" s="26">
        <f>SUM(P61:P63)</f>
        <v>13969</v>
      </c>
      <c r="Q64" s="26">
        <f>SUM(Q61:Q63)</f>
        <v>16479</v>
      </c>
      <c r="R64" s="26">
        <f>SUM(R61:R63)</f>
        <v>18047</v>
      </c>
      <c r="S64" s="26">
        <f>SUM(S61:S63)</f>
        <v>26542</v>
      </c>
      <c r="T64" s="26">
        <f>SUM(T61:T63)</f>
        <v>24257</v>
      </c>
      <c r="U64" s="26">
        <f>SUM(U61:U63)</f>
        <v>26075</v>
      </c>
      <c r="V64" s="26">
        <f>SUM(V61:V63)</f>
        <v>26075</v>
      </c>
      <c r="W64" s="26">
        <f t="shared" ref="W64:Y64" si="79">SUM(W61:W63)</f>
        <v>26075</v>
      </c>
      <c r="X64" s="26">
        <f t="shared" si="79"/>
        <v>26075</v>
      </c>
      <c r="Y64" s="26">
        <f t="shared" si="79"/>
        <v>26075</v>
      </c>
      <c r="Z64" s="48"/>
      <c r="AA64" s="26">
        <f>SUM(AA61:AA63)</f>
        <v>10631</v>
      </c>
      <c r="AB64" s="26">
        <f>SUM(AB61:AB63)</f>
        <v>15223</v>
      </c>
      <c r="AC64" s="26">
        <f>SUM(AC61:AC63)</f>
        <v>13969</v>
      </c>
      <c r="AD64" s="26">
        <f>SUM(AD61:AD63)</f>
        <v>16479</v>
      </c>
      <c r="AE64" s="26">
        <f>SUM(AE61:AE63)</f>
        <v>18047</v>
      </c>
      <c r="AF64" s="26">
        <f>SUM(AF61:AF63)</f>
        <v>26542</v>
      </c>
      <c r="AG64" s="26">
        <f>SUM(AG61:AG63)</f>
        <v>24257</v>
      </c>
      <c r="AH64" s="26">
        <f>SUM(AH61:AH63)</f>
        <v>26075</v>
      </c>
      <c r="AI64" s="42"/>
      <c r="AJ64" s="76">
        <f t="shared" si="77"/>
        <v>0.58231688816068927</v>
      </c>
    </row>
    <row r="65" spans="2:36" ht="5.0999999999999996" customHeight="1">
      <c r="B65" s="25"/>
      <c r="C65" s="50"/>
      <c r="D65" s="50"/>
      <c r="E65" s="50"/>
      <c r="F65" s="50"/>
      <c r="G65" s="41"/>
      <c r="H65" s="41"/>
      <c r="I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AA65" s="42"/>
      <c r="AB65" s="42"/>
      <c r="AC65" s="42"/>
      <c r="AD65" s="42"/>
      <c r="AE65" s="42"/>
      <c r="AF65" s="42"/>
      <c r="AG65" s="42"/>
      <c r="AH65" s="42"/>
      <c r="AI65" s="42"/>
      <c r="AJ65" s="39"/>
    </row>
    <row r="66" spans="2:36">
      <c r="B66" s="78" t="s">
        <v>80</v>
      </c>
      <c r="C66" s="50"/>
      <c r="D66" s="50"/>
      <c r="E66" s="50"/>
      <c r="F66" s="50"/>
      <c r="G66" s="41"/>
      <c r="H66" s="41"/>
      <c r="I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AA66" s="42"/>
      <c r="AB66" s="42"/>
      <c r="AC66" s="42"/>
      <c r="AD66" s="42"/>
      <c r="AE66" s="42"/>
      <c r="AF66" s="42"/>
      <c r="AG66" s="42"/>
      <c r="AH66" s="42"/>
      <c r="AI66" s="42"/>
      <c r="AJ66" s="39"/>
    </row>
    <row r="67" spans="2:36" ht="12.75" customHeight="1">
      <c r="B67" s="120" t="s">
        <v>169</v>
      </c>
      <c r="C67" s="121"/>
      <c r="D67" s="121">
        <v>5964</v>
      </c>
      <c r="E67" s="121">
        <v>10946</v>
      </c>
      <c r="F67" s="121">
        <v>9703</v>
      </c>
      <c r="G67" s="121">
        <v>8459</v>
      </c>
      <c r="H67" s="121">
        <v>8463</v>
      </c>
      <c r="I67" s="121">
        <v>8463</v>
      </c>
      <c r="J67" s="51"/>
      <c r="K67" s="82">
        <v>9704</v>
      </c>
      <c r="L67" s="82">
        <v>8456</v>
      </c>
      <c r="M67" s="82">
        <v>8457</v>
      </c>
      <c r="N67" s="32">
        <v>8459</v>
      </c>
      <c r="O67" s="82">
        <v>8460</v>
      </c>
      <c r="P67" s="82">
        <v>8461</v>
      </c>
      <c r="Q67" s="82">
        <v>8462</v>
      </c>
      <c r="R67" s="32">
        <v>8463</v>
      </c>
      <c r="S67" s="82">
        <v>8464</v>
      </c>
      <c r="T67" s="82">
        <v>8466</v>
      </c>
      <c r="U67" s="82">
        <v>7468</v>
      </c>
      <c r="V67" s="82">
        <v>7468</v>
      </c>
      <c r="W67" s="82">
        <v>7468</v>
      </c>
      <c r="X67" s="82">
        <v>7468</v>
      </c>
      <c r="Y67" s="82">
        <v>7468</v>
      </c>
      <c r="Z67" s="121"/>
      <c r="AA67" s="97">
        <f>N67</f>
        <v>8459</v>
      </c>
      <c r="AB67" s="97">
        <f>O67</f>
        <v>8460</v>
      </c>
      <c r="AC67" s="97">
        <f>P67</f>
        <v>8461</v>
      </c>
      <c r="AD67" s="97">
        <f>Q67</f>
        <v>8462</v>
      </c>
      <c r="AE67" s="97">
        <f>R67</f>
        <v>8463</v>
      </c>
      <c r="AF67" s="97">
        <f>S67</f>
        <v>8464</v>
      </c>
      <c r="AG67" s="97">
        <f>T67</f>
        <v>8466</v>
      </c>
      <c r="AH67" s="97">
        <f>U67</f>
        <v>7468</v>
      </c>
      <c r="AI67" s="42"/>
      <c r="AJ67" s="75">
        <f t="shared" ref="AJ67:AJ77" si="80">SUM(AH67/AD67)-1</f>
        <v>-0.11746632001890811</v>
      </c>
    </row>
    <row r="68" spans="2:36" ht="12.75" customHeight="1">
      <c r="B68" s="120" t="s">
        <v>170</v>
      </c>
      <c r="C68" s="121"/>
      <c r="D68" s="121">
        <v>634</v>
      </c>
      <c r="E68" s="121">
        <v>741</v>
      </c>
      <c r="F68" s="121">
        <v>902</v>
      </c>
      <c r="G68" s="121">
        <v>1119</v>
      </c>
      <c r="H68" s="121">
        <v>1519</v>
      </c>
      <c r="I68" s="121">
        <v>1519</v>
      </c>
      <c r="J68" s="51"/>
      <c r="K68" s="82">
        <v>939</v>
      </c>
      <c r="L68" s="82">
        <v>1041</v>
      </c>
      <c r="M68" s="82">
        <v>1091</v>
      </c>
      <c r="N68" s="32">
        <v>1119</v>
      </c>
      <c r="O68" s="82">
        <v>1281</v>
      </c>
      <c r="P68" s="82">
        <v>1304</v>
      </c>
      <c r="Q68" s="82">
        <v>1490</v>
      </c>
      <c r="R68" s="32">
        <v>1519</v>
      </c>
      <c r="S68" s="82">
        <v>1521</v>
      </c>
      <c r="T68" s="82">
        <v>1831</v>
      </c>
      <c r="U68" s="82">
        <v>2014</v>
      </c>
      <c r="V68" s="82">
        <v>2014</v>
      </c>
      <c r="W68" s="82">
        <v>2014</v>
      </c>
      <c r="X68" s="82">
        <v>2014</v>
      </c>
      <c r="Y68" s="82">
        <v>2014</v>
      </c>
      <c r="Z68" s="121"/>
      <c r="AA68" s="97">
        <f>N68</f>
        <v>1119</v>
      </c>
      <c r="AB68" s="97">
        <f>O68</f>
        <v>1281</v>
      </c>
      <c r="AC68" s="97">
        <f>P68</f>
        <v>1304</v>
      </c>
      <c r="AD68" s="97">
        <f>Q68</f>
        <v>1490</v>
      </c>
      <c r="AE68" s="97">
        <f>R68</f>
        <v>1519</v>
      </c>
      <c r="AF68" s="97">
        <f>S68</f>
        <v>1521</v>
      </c>
      <c r="AG68" s="97">
        <f>T68</f>
        <v>1831</v>
      </c>
      <c r="AH68" s="97">
        <f>U68</f>
        <v>2014</v>
      </c>
      <c r="AI68" s="42"/>
      <c r="AJ68" s="75">
        <f t="shared" si="80"/>
        <v>0.35167785234899318</v>
      </c>
    </row>
    <row r="69" spans="2:36" ht="12.75" customHeight="1">
      <c r="B69" s="120" t="s">
        <v>171</v>
      </c>
      <c r="C69" s="121"/>
      <c r="D69" s="121">
        <v>1375</v>
      </c>
      <c r="E69" s="121">
        <v>1553</v>
      </c>
      <c r="F69" s="121">
        <v>1913</v>
      </c>
      <c r="G69" s="121">
        <v>2541</v>
      </c>
      <c r="H69" s="121">
        <v>4245</v>
      </c>
      <c r="I69" s="121">
        <v>4245</v>
      </c>
      <c r="J69" s="51"/>
      <c r="K69" s="82">
        <v>2037</v>
      </c>
      <c r="L69" s="82">
        <v>2223</v>
      </c>
      <c r="M69" s="82">
        <v>2234</v>
      </c>
      <c r="N69" s="32">
        <v>2541</v>
      </c>
      <c r="O69" s="82">
        <v>2966</v>
      </c>
      <c r="P69" s="82">
        <v>3336</v>
      </c>
      <c r="Q69" s="82">
        <v>3683</v>
      </c>
      <c r="R69" s="32">
        <v>4245</v>
      </c>
      <c r="S69" s="82">
        <v>4884</v>
      </c>
      <c r="T69" s="82">
        <v>6055</v>
      </c>
      <c r="U69" s="82">
        <v>6694</v>
      </c>
      <c r="V69" s="82">
        <v>6694</v>
      </c>
      <c r="W69" s="82">
        <v>6694</v>
      </c>
      <c r="X69" s="82">
        <v>6694</v>
      </c>
      <c r="Y69" s="82">
        <v>6694</v>
      </c>
      <c r="Z69" s="121"/>
      <c r="AA69" s="97">
        <f>N69</f>
        <v>2541</v>
      </c>
      <c r="AB69" s="97">
        <f>O69</f>
        <v>2966</v>
      </c>
      <c r="AC69" s="97">
        <f>P69</f>
        <v>3336</v>
      </c>
      <c r="AD69" s="97">
        <f>Q69</f>
        <v>3683</v>
      </c>
      <c r="AE69" s="97">
        <f>R69</f>
        <v>4245</v>
      </c>
      <c r="AF69" s="97">
        <f>S69</f>
        <v>4884</v>
      </c>
      <c r="AG69" s="97">
        <f>T69</f>
        <v>6055</v>
      </c>
      <c r="AH69" s="97">
        <f>U69</f>
        <v>6694</v>
      </c>
      <c r="AI69" s="42"/>
      <c r="AJ69" s="75">
        <f t="shared" ref="AJ69" si="81">SUM(AH69/AD69)-1</f>
        <v>0.8175400488732012</v>
      </c>
    </row>
    <row r="70" spans="2:36" ht="12.75" customHeight="1">
      <c r="B70" s="13" t="s">
        <v>15</v>
      </c>
      <c r="C70" s="14">
        <f t="shared" ref="C70:I70" si="82">SUM(C67:C69)+C64</f>
        <v>0</v>
      </c>
      <c r="D70" s="14">
        <f t="shared" si="82"/>
        <v>11898</v>
      </c>
      <c r="E70" s="14">
        <f t="shared" si="82"/>
        <v>17575</v>
      </c>
      <c r="F70" s="14">
        <f t="shared" si="82"/>
        <v>19081</v>
      </c>
      <c r="G70" s="14">
        <f t="shared" si="82"/>
        <v>22750</v>
      </c>
      <c r="H70" s="14">
        <f t="shared" si="82"/>
        <v>32274</v>
      </c>
      <c r="I70" s="14">
        <f t="shared" si="82"/>
        <v>32274</v>
      </c>
      <c r="K70" s="14">
        <f t="shared" ref="K70:V70" si="83">SUM(K67:K69)+K64</f>
        <v>19940</v>
      </c>
      <c r="L70" s="14">
        <f t="shared" si="83"/>
        <v>22054</v>
      </c>
      <c r="M70" s="14">
        <f t="shared" si="83"/>
        <v>20883</v>
      </c>
      <c r="N70" s="14">
        <f t="shared" si="83"/>
        <v>22750</v>
      </c>
      <c r="O70" s="14">
        <f t="shared" si="83"/>
        <v>27930</v>
      </c>
      <c r="P70" s="14">
        <f t="shared" si="83"/>
        <v>27070</v>
      </c>
      <c r="Q70" s="14">
        <f t="shared" si="83"/>
        <v>30114</v>
      </c>
      <c r="R70" s="14">
        <f t="shared" si="83"/>
        <v>32274</v>
      </c>
      <c r="S70" s="14">
        <f t="shared" si="83"/>
        <v>41411</v>
      </c>
      <c r="T70" s="14">
        <f t="shared" si="83"/>
        <v>40609</v>
      </c>
      <c r="U70" s="14">
        <f t="shared" si="83"/>
        <v>42251</v>
      </c>
      <c r="V70" s="14">
        <f t="shared" si="83"/>
        <v>42251</v>
      </c>
      <c r="W70" s="14">
        <f t="shared" ref="W70" si="84">SUM(W67:W69)+W64</f>
        <v>42251</v>
      </c>
      <c r="X70" s="14">
        <f t="shared" ref="X70" si="85">SUM(X67:X69)+X64</f>
        <v>42251</v>
      </c>
      <c r="Y70" s="14">
        <f t="shared" ref="Y70" si="86">SUM(Y67:Y69)+Y64</f>
        <v>42251</v>
      </c>
      <c r="AA70" s="14">
        <f t="shared" ref="AA70:AH70" si="87">SUM(AA67:AA69)+AA64</f>
        <v>22750</v>
      </c>
      <c r="AB70" s="14">
        <f t="shared" si="87"/>
        <v>27930</v>
      </c>
      <c r="AC70" s="14">
        <f t="shared" si="87"/>
        <v>27070</v>
      </c>
      <c r="AD70" s="14">
        <f t="shared" si="87"/>
        <v>30114</v>
      </c>
      <c r="AE70" s="14">
        <f t="shared" si="87"/>
        <v>32274</v>
      </c>
      <c r="AF70" s="14">
        <f t="shared" si="87"/>
        <v>41411</v>
      </c>
      <c r="AG70" s="14">
        <f t="shared" si="87"/>
        <v>40609</v>
      </c>
      <c r="AH70" s="14">
        <f t="shared" si="87"/>
        <v>42251</v>
      </c>
      <c r="AI70" s="42"/>
      <c r="AJ70" s="76">
        <f t="shared" si="80"/>
        <v>0.40303513316065609</v>
      </c>
    </row>
    <row r="71" spans="2:36" ht="5.0999999999999996" customHeight="1">
      <c r="B71" s="25"/>
      <c r="C71" s="49"/>
      <c r="D71" s="49"/>
      <c r="E71" s="49"/>
      <c r="F71" s="49"/>
      <c r="G71" s="41"/>
      <c r="H71" s="41"/>
      <c r="I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AA71" s="42"/>
      <c r="AB71" s="42"/>
      <c r="AC71" s="42"/>
      <c r="AD71" s="42"/>
      <c r="AE71" s="42"/>
      <c r="AF71" s="42"/>
      <c r="AG71" s="42"/>
      <c r="AH71" s="42"/>
      <c r="AI71" s="42"/>
      <c r="AJ71" s="39"/>
    </row>
    <row r="72" spans="2:36" ht="12.75" customHeight="1">
      <c r="B72" s="9" t="s">
        <v>176</v>
      </c>
      <c r="C72" s="82"/>
      <c r="D72" s="82">
        <v>16893</v>
      </c>
      <c r="E72" s="82">
        <v>22101</v>
      </c>
      <c r="F72" s="82">
        <v>22101</v>
      </c>
      <c r="G72" s="82">
        <v>42978</v>
      </c>
      <c r="H72" s="82">
        <v>79327</v>
      </c>
      <c r="I72" s="82">
        <v>79327</v>
      </c>
      <c r="J72" s="32"/>
      <c r="K72" s="82">
        <v>24520</v>
      </c>
      <c r="L72" s="82">
        <v>24501</v>
      </c>
      <c r="M72" s="82">
        <v>33265</v>
      </c>
      <c r="N72" s="32">
        <v>42978</v>
      </c>
      <c r="O72" s="82">
        <v>49142</v>
      </c>
      <c r="P72" s="82">
        <v>58157</v>
      </c>
      <c r="Q72" s="82">
        <v>65899</v>
      </c>
      <c r="R72" s="32">
        <v>79327</v>
      </c>
      <c r="S72" s="82">
        <v>83843</v>
      </c>
      <c r="T72" s="82">
        <v>100131</v>
      </c>
      <c r="U72" s="82">
        <v>118897</v>
      </c>
      <c r="V72" s="82">
        <v>118897</v>
      </c>
      <c r="W72" s="82">
        <v>118897</v>
      </c>
      <c r="X72" s="82">
        <v>118897</v>
      </c>
      <c r="Y72" s="82">
        <v>118897</v>
      </c>
      <c r="AA72" s="32">
        <f>N72</f>
        <v>42978</v>
      </c>
      <c r="AB72" s="32">
        <f>O72</f>
        <v>49142</v>
      </c>
      <c r="AC72" s="32">
        <f>P72</f>
        <v>58157</v>
      </c>
      <c r="AD72" s="32">
        <f>Q72</f>
        <v>65899</v>
      </c>
      <c r="AE72" s="32">
        <f>R72</f>
        <v>79327</v>
      </c>
      <c r="AF72" s="32">
        <f>S72</f>
        <v>83843</v>
      </c>
      <c r="AG72" s="32">
        <f>T72</f>
        <v>100131</v>
      </c>
      <c r="AH72" s="32">
        <f>U72</f>
        <v>118897</v>
      </c>
      <c r="AI72" s="11"/>
      <c r="AJ72" s="75">
        <f t="shared" si="80"/>
        <v>0.80423071670283308</v>
      </c>
    </row>
    <row r="73" spans="2:36" ht="12.75" customHeight="1">
      <c r="B73" s="9" t="s">
        <v>144</v>
      </c>
      <c r="C73" s="82"/>
      <c r="D73" s="82"/>
      <c r="E73" s="82"/>
      <c r="F73" s="82"/>
      <c r="G73" s="82"/>
      <c r="H73" s="82"/>
      <c r="I73" s="82"/>
      <c r="J73" s="32"/>
      <c r="K73" s="82"/>
      <c r="L73" s="82"/>
      <c r="M73" s="82"/>
      <c r="N73" s="32"/>
      <c r="O73" s="82"/>
      <c r="P73" s="82"/>
      <c r="Q73" s="82"/>
      <c r="R73" s="32"/>
      <c r="S73" s="82"/>
      <c r="T73" s="82"/>
      <c r="U73" s="82"/>
      <c r="V73" s="82"/>
      <c r="W73" s="82"/>
      <c r="X73" s="82"/>
      <c r="Y73" s="82"/>
      <c r="AA73" s="32"/>
      <c r="AB73" s="32"/>
      <c r="AC73" s="32"/>
      <c r="AD73" s="32"/>
      <c r="AE73" s="32"/>
      <c r="AF73" s="32"/>
      <c r="AG73" s="32"/>
      <c r="AH73" s="32"/>
      <c r="AI73" s="11"/>
      <c r="AJ73" s="75"/>
    </row>
    <row r="74" spans="2:36" ht="12.75" customHeight="1">
      <c r="B74" s="9" t="s">
        <v>177</v>
      </c>
      <c r="C74" s="82"/>
      <c r="D74" s="82"/>
      <c r="E74" s="82"/>
      <c r="F74" s="82"/>
      <c r="G74" s="82"/>
      <c r="H74" s="82"/>
      <c r="I74" s="82"/>
      <c r="J74" s="32"/>
      <c r="K74" s="82"/>
      <c r="L74" s="82"/>
      <c r="M74" s="82"/>
      <c r="N74" s="32"/>
      <c r="O74" s="82"/>
      <c r="P74" s="82"/>
      <c r="Q74" s="82"/>
      <c r="R74" s="32"/>
      <c r="S74" s="82"/>
      <c r="T74" s="82"/>
      <c r="U74" s="82"/>
      <c r="V74" s="82"/>
      <c r="W74" s="82"/>
      <c r="X74" s="82"/>
      <c r="Y74" s="82"/>
      <c r="AA74" s="32"/>
      <c r="AB74" s="32"/>
      <c r="AC74" s="32"/>
      <c r="AD74" s="32"/>
      <c r="AE74" s="32"/>
      <c r="AF74" s="32"/>
      <c r="AG74" s="32"/>
      <c r="AH74" s="32"/>
      <c r="AI74" s="11"/>
      <c r="AJ74" s="75"/>
    </row>
    <row r="75" spans="2:36" ht="12.75" customHeight="1">
      <c r="B75" s="9" t="s">
        <v>144</v>
      </c>
      <c r="C75" s="82"/>
      <c r="D75" s="82"/>
      <c r="E75" s="82"/>
      <c r="F75" s="82"/>
      <c r="G75" s="82"/>
      <c r="H75" s="82"/>
      <c r="I75" s="82"/>
      <c r="J75" s="32"/>
      <c r="K75" s="82"/>
      <c r="L75" s="82"/>
      <c r="M75" s="82"/>
      <c r="N75" s="32">
        <f>G75</f>
        <v>0</v>
      </c>
      <c r="O75" s="82"/>
      <c r="P75" s="82"/>
      <c r="Q75" s="82"/>
      <c r="R75" s="32">
        <f>H75</f>
        <v>0</v>
      </c>
      <c r="S75" s="82"/>
      <c r="T75" s="82"/>
      <c r="U75" s="82"/>
      <c r="V75" s="82"/>
      <c r="W75" s="82"/>
      <c r="X75" s="82"/>
      <c r="Y75" s="82"/>
      <c r="AA75" s="32">
        <f>N75</f>
        <v>0</v>
      </c>
      <c r="AB75" s="32">
        <f>O75</f>
        <v>0</v>
      </c>
      <c r="AC75" s="32">
        <f>P75</f>
        <v>0</v>
      </c>
      <c r="AD75" s="32">
        <f>Q75</f>
        <v>0</v>
      </c>
      <c r="AE75" s="32">
        <f>R75</f>
        <v>0</v>
      </c>
      <c r="AF75" s="32">
        <f>S75</f>
        <v>0</v>
      </c>
      <c r="AG75" s="32">
        <f>T75</f>
        <v>0</v>
      </c>
      <c r="AH75" s="32">
        <f>U75</f>
        <v>0</v>
      </c>
      <c r="AI75" s="11"/>
      <c r="AJ75" s="75" t="e">
        <f t="shared" si="80"/>
        <v>#DIV/0!</v>
      </c>
    </row>
    <row r="76" spans="2:36" ht="12.75" customHeight="1">
      <c r="B76" s="13" t="s">
        <v>14</v>
      </c>
      <c r="C76" s="14">
        <f t="shared" ref="C76:I76" si="88">SUM(C72:C75)</f>
        <v>0</v>
      </c>
      <c r="D76" s="14">
        <f t="shared" si="88"/>
        <v>16893</v>
      </c>
      <c r="E76" s="14">
        <f t="shared" si="88"/>
        <v>22101</v>
      </c>
      <c r="F76" s="14">
        <f t="shared" si="88"/>
        <v>22101</v>
      </c>
      <c r="G76" s="14">
        <f t="shared" si="88"/>
        <v>42978</v>
      </c>
      <c r="H76" s="14">
        <f t="shared" si="88"/>
        <v>79327</v>
      </c>
      <c r="I76" s="14">
        <f t="shared" si="88"/>
        <v>79327</v>
      </c>
      <c r="J76" s="52"/>
      <c r="K76" s="14">
        <f t="shared" ref="K76:V76" si="89">SUM(K72:K75)</f>
        <v>24520</v>
      </c>
      <c r="L76" s="14">
        <f t="shared" si="89"/>
        <v>24501</v>
      </c>
      <c r="M76" s="14">
        <f t="shared" si="89"/>
        <v>33265</v>
      </c>
      <c r="N76" s="14">
        <f t="shared" si="89"/>
        <v>42978</v>
      </c>
      <c r="O76" s="14">
        <f t="shared" si="89"/>
        <v>49142</v>
      </c>
      <c r="P76" s="14">
        <f t="shared" si="89"/>
        <v>58157</v>
      </c>
      <c r="Q76" s="14">
        <f t="shared" si="89"/>
        <v>65899</v>
      </c>
      <c r="R76" s="14">
        <f t="shared" si="89"/>
        <v>79327</v>
      </c>
      <c r="S76" s="14">
        <f t="shared" si="89"/>
        <v>83843</v>
      </c>
      <c r="T76" s="14">
        <f t="shared" si="89"/>
        <v>100131</v>
      </c>
      <c r="U76" s="14">
        <f t="shared" si="89"/>
        <v>118897</v>
      </c>
      <c r="V76" s="14">
        <f t="shared" si="89"/>
        <v>118897</v>
      </c>
      <c r="W76" s="14">
        <f t="shared" ref="W76" si="90">SUM(W72:W75)</f>
        <v>118897</v>
      </c>
      <c r="X76" s="14">
        <f t="shared" ref="X76" si="91">SUM(X72:X75)</f>
        <v>118897</v>
      </c>
      <c r="Y76" s="14">
        <f t="shared" ref="Y76" si="92">SUM(Y72:Y75)</f>
        <v>118897</v>
      </c>
      <c r="AA76" s="14">
        <f t="shared" ref="AA76:AH76" si="93">SUM(AA72:AA75)</f>
        <v>42978</v>
      </c>
      <c r="AB76" s="14">
        <f t="shared" si="93"/>
        <v>49142</v>
      </c>
      <c r="AC76" s="14">
        <f t="shared" si="93"/>
        <v>58157</v>
      </c>
      <c r="AD76" s="14">
        <f t="shared" si="93"/>
        <v>65899</v>
      </c>
      <c r="AE76" s="14">
        <f t="shared" si="93"/>
        <v>79327</v>
      </c>
      <c r="AF76" s="14">
        <f t="shared" si="93"/>
        <v>83843</v>
      </c>
      <c r="AG76" s="14">
        <f t="shared" si="93"/>
        <v>100131</v>
      </c>
      <c r="AH76" s="14">
        <f t="shared" si="93"/>
        <v>118897</v>
      </c>
      <c r="AI76" s="42"/>
      <c r="AJ76" s="75">
        <f t="shared" si="80"/>
        <v>0.80423071670283308</v>
      </c>
    </row>
    <row r="77" spans="2:36" ht="12.75" customHeight="1">
      <c r="B77" s="25" t="s">
        <v>49</v>
      </c>
      <c r="C77" s="32">
        <f t="shared" ref="C77:I77" si="94">SUM(C76+C70)</f>
        <v>0</v>
      </c>
      <c r="D77" s="32">
        <f t="shared" si="94"/>
        <v>28791</v>
      </c>
      <c r="E77" s="32">
        <f t="shared" si="94"/>
        <v>39676</v>
      </c>
      <c r="F77" s="32">
        <f t="shared" si="94"/>
        <v>41182</v>
      </c>
      <c r="G77" s="32">
        <f t="shared" si="94"/>
        <v>65728</v>
      </c>
      <c r="H77" s="32">
        <f t="shared" si="94"/>
        <v>111601</v>
      </c>
      <c r="I77" s="32">
        <f t="shared" si="94"/>
        <v>111601</v>
      </c>
      <c r="J77" s="32"/>
      <c r="K77" s="32">
        <f t="shared" ref="K77:V77" si="95">SUM(K76+K70)</f>
        <v>44460</v>
      </c>
      <c r="L77" s="32">
        <f t="shared" si="95"/>
        <v>46555</v>
      </c>
      <c r="M77" s="32">
        <f t="shared" si="95"/>
        <v>54148</v>
      </c>
      <c r="N77" s="32">
        <f t="shared" si="95"/>
        <v>65728</v>
      </c>
      <c r="O77" s="32">
        <f t="shared" si="95"/>
        <v>77072</v>
      </c>
      <c r="P77" s="32">
        <f t="shared" si="95"/>
        <v>85227</v>
      </c>
      <c r="Q77" s="32">
        <f t="shared" si="95"/>
        <v>96013</v>
      </c>
      <c r="R77" s="32">
        <f t="shared" si="95"/>
        <v>111601</v>
      </c>
      <c r="S77" s="32">
        <f t="shared" si="95"/>
        <v>125254</v>
      </c>
      <c r="T77" s="32">
        <f t="shared" si="95"/>
        <v>140740</v>
      </c>
      <c r="U77" s="32">
        <f t="shared" si="95"/>
        <v>161148</v>
      </c>
      <c r="V77" s="32">
        <f t="shared" si="95"/>
        <v>161148</v>
      </c>
      <c r="W77" s="32">
        <f t="shared" ref="W77" si="96">SUM(W76+W70)</f>
        <v>161148</v>
      </c>
      <c r="X77" s="32">
        <f t="shared" ref="X77" si="97">SUM(X76+X70)</f>
        <v>161148</v>
      </c>
      <c r="Y77" s="32">
        <f t="shared" ref="Y77" si="98">SUM(Y76+Y70)</f>
        <v>161148</v>
      </c>
      <c r="Z77" s="32"/>
      <c r="AA77" s="32">
        <f t="shared" ref="AA77:AH77" si="99">SUM(AA76+AA70)</f>
        <v>65728</v>
      </c>
      <c r="AB77" s="32">
        <f t="shared" si="99"/>
        <v>77072</v>
      </c>
      <c r="AC77" s="32">
        <f t="shared" si="99"/>
        <v>85227</v>
      </c>
      <c r="AD77" s="32">
        <f t="shared" si="99"/>
        <v>96013</v>
      </c>
      <c r="AE77" s="32">
        <f t="shared" si="99"/>
        <v>111601</v>
      </c>
      <c r="AF77" s="32">
        <f t="shared" si="99"/>
        <v>125254</v>
      </c>
      <c r="AG77" s="32">
        <f t="shared" si="99"/>
        <v>140740</v>
      </c>
      <c r="AH77" s="32">
        <f t="shared" si="99"/>
        <v>161148</v>
      </c>
      <c r="AI77" s="11"/>
      <c r="AJ77" s="76">
        <f t="shared" si="80"/>
        <v>0.67839771697582618</v>
      </c>
    </row>
    <row r="78" spans="2:36" ht="5.0999999999999996" customHeight="1">
      <c r="B78" s="25"/>
      <c r="C78" s="32"/>
      <c r="D78" s="32"/>
      <c r="E78" s="32"/>
      <c r="F78" s="32"/>
      <c r="G78" s="32"/>
      <c r="H78" s="32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2"/>
      <c r="T78" s="32"/>
      <c r="U78" s="32"/>
      <c r="V78" s="32"/>
      <c r="W78" s="32"/>
      <c r="X78" s="32"/>
      <c r="Y78" s="32"/>
      <c r="Z78" s="32"/>
      <c r="AA78" s="32"/>
      <c r="AB78" s="32"/>
      <c r="AC78" s="32"/>
      <c r="AD78" s="32"/>
      <c r="AE78" s="32"/>
      <c r="AF78" s="32"/>
      <c r="AG78" s="32"/>
      <c r="AH78" s="32"/>
      <c r="AI78" s="11"/>
    </row>
    <row r="79" spans="2:36" ht="12.75" customHeight="1">
      <c r="B79" s="139" t="s">
        <v>58</v>
      </c>
      <c r="C79" s="69">
        <f>C77-C58</f>
        <v>0</v>
      </c>
      <c r="D79" s="69">
        <f>D77-D58</f>
        <v>0</v>
      </c>
      <c r="E79" s="69">
        <f>E77-E58</f>
        <v>-4511</v>
      </c>
      <c r="F79" s="69">
        <f>F77-F58</f>
        <v>-450</v>
      </c>
      <c r="G79" s="69">
        <f>G77-G58</f>
        <v>0</v>
      </c>
      <c r="H79" s="69">
        <f>H77-H58</f>
        <v>0</v>
      </c>
      <c r="I79" s="69">
        <f>I77-I58</f>
        <v>0</v>
      </c>
      <c r="J79" s="70"/>
      <c r="K79" s="69">
        <f>K77-K58</f>
        <v>0</v>
      </c>
      <c r="L79" s="69">
        <f>L77-L58</f>
        <v>-3000</v>
      </c>
      <c r="M79" s="69">
        <f>M77-M58</f>
        <v>0</v>
      </c>
      <c r="N79" s="69">
        <f>N77-N58</f>
        <v>0</v>
      </c>
      <c r="O79" s="69">
        <f>O77-O58</f>
        <v>0</v>
      </c>
      <c r="P79" s="69">
        <f>P77-P58</f>
        <v>0</v>
      </c>
      <c r="Q79" s="69">
        <f>Q77-Q58</f>
        <v>0</v>
      </c>
      <c r="R79" s="69">
        <f>R77-R58</f>
        <v>0</v>
      </c>
      <c r="S79" s="69">
        <f>S77-S58</f>
        <v>0</v>
      </c>
      <c r="T79" s="69">
        <f>T77-T58</f>
        <v>0</v>
      </c>
      <c r="U79" s="69">
        <f>U77-U58</f>
        <v>0</v>
      </c>
      <c r="V79" s="69">
        <f>V77-V58</f>
        <v>0</v>
      </c>
      <c r="W79" s="69">
        <f>W77-W58</f>
        <v>0</v>
      </c>
      <c r="X79" s="69">
        <f>X77-X58</f>
        <v>0</v>
      </c>
      <c r="Y79" s="69">
        <f>Y77-Y58</f>
        <v>0</v>
      </c>
      <c r="Z79" s="28"/>
      <c r="AA79" s="69">
        <f>AA77-AA58</f>
        <v>3080</v>
      </c>
      <c r="AB79" s="69">
        <f>AB77-AB58</f>
        <v>4062</v>
      </c>
      <c r="AC79" s="69">
        <f>AC77-AC58</f>
        <v>4026</v>
      </c>
      <c r="AD79" s="69">
        <f>AD77-AD58</f>
        <v>0</v>
      </c>
      <c r="AE79" s="69">
        <f>AE77-AE58</f>
        <v>0</v>
      </c>
      <c r="AF79" s="69">
        <f>AF77-AF58</f>
        <v>0</v>
      </c>
      <c r="AG79" s="69">
        <f>AG77-AG58</f>
        <v>0</v>
      </c>
      <c r="AH79" s="69">
        <f>AH77-AH58</f>
        <v>0</v>
      </c>
    </row>
    <row r="80" spans="2:36" ht="5.0999999999999996" customHeight="1" thickBot="1">
      <c r="B80" s="116"/>
      <c r="C80" s="117"/>
      <c r="D80" s="117"/>
      <c r="E80" s="117"/>
      <c r="F80" s="117"/>
      <c r="G80" s="117"/>
      <c r="H80" s="117"/>
      <c r="I80" s="117"/>
      <c r="J80" s="118"/>
      <c r="K80" s="117"/>
      <c r="L80" s="117"/>
      <c r="M80" s="117"/>
      <c r="N80" s="117"/>
      <c r="O80" s="117"/>
      <c r="P80" s="117"/>
      <c r="Q80" s="117"/>
      <c r="R80" s="117"/>
      <c r="S80" s="117"/>
      <c r="T80" s="117"/>
      <c r="U80" s="117"/>
      <c r="V80" s="117"/>
      <c r="W80" s="117"/>
      <c r="X80" s="117"/>
      <c r="Y80" s="117"/>
      <c r="Z80" s="119"/>
      <c r="AA80" s="117"/>
      <c r="AB80" s="117"/>
      <c r="AC80" s="117"/>
      <c r="AD80" s="117"/>
      <c r="AE80" s="117"/>
      <c r="AF80" s="117"/>
      <c r="AG80" s="117"/>
      <c r="AH80" s="117"/>
      <c r="AI80" s="73"/>
      <c r="AJ80" s="73"/>
    </row>
    <row r="81" spans="1:36">
      <c r="B81" s="68"/>
      <c r="C81" s="53"/>
      <c r="D81" s="53"/>
      <c r="E81" s="53"/>
      <c r="F81" s="24"/>
      <c r="G81" s="24"/>
      <c r="H81" s="24"/>
      <c r="I81" s="24"/>
      <c r="J81" s="53"/>
    </row>
    <row r="82" spans="1:36" ht="12.75" customHeight="1">
      <c r="A82" s="5" t="s">
        <v>16</v>
      </c>
      <c r="B82" s="98" t="s">
        <v>13</v>
      </c>
      <c r="C82" s="102"/>
      <c r="D82" s="102"/>
      <c r="E82" s="102"/>
      <c r="F82" s="102"/>
      <c r="G82" s="102"/>
      <c r="H82" s="102"/>
      <c r="I82" s="102"/>
      <c r="J82" s="103"/>
      <c r="K82" s="102"/>
      <c r="L82" s="102"/>
      <c r="M82" s="102"/>
      <c r="N82" s="102"/>
      <c r="O82" s="102"/>
      <c r="P82" s="102"/>
      <c r="Q82" s="102"/>
      <c r="R82" s="102"/>
      <c r="S82" s="102"/>
      <c r="T82" s="102"/>
      <c r="U82" s="102"/>
      <c r="V82" s="102"/>
      <c r="W82" s="102"/>
      <c r="X82" s="102"/>
      <c r="Y82" s="102"/>
      <c r="Z82" s="98"/>
      <c r="AA82" s="102"/>
      <c r="AB82" s="102"/>
      <c r="AC82" s="102" t="s">
        <v>10</v>
      </c>
      <c r="AD82" s="102"/>
      <c r="AE82" s="102"/>
      <c r="AF82" s="102"/>
      <c r="AG82" s="102"/>
      <c r="AH82" s="102"/>
      <c r="AI82" s="103"/>
      <c r="AJ82" s="154" t="s">
        <v>22</v>
      </c>
    </row>
    <row r="83" spans="1:36" ht="12.75" customHeight="1">
      <c r="B83" s="99" t="str">
        <f>B7</f>
        <v>Fiscal Period</v>
      </c>
      <c r="C83" s="104">
        <f>C7</f>
        <v>2019</v>
      </c>
      <c r="D83" s="104">
        <f>D7</f>
        <v>2020</v>
      </c>
      <c r="E83" s="104">
        <f>E7</f>
        <v>2021</v>
      </c>
      <c r="F83" s="104">
        <f>F7</f>
        <v>2022</v>
      </c>
      <c r="G83" s="104">
        <f>G7</f>
        <v>2023</v>
      </c>
      <c r="H83" s="104">
        <f>H7</f>
        <v>2024</v>
      </c>
      <c r="I83" s="104">
        <f>I7</f>
        <v>2025</v>
      </c>
      <c r="J83" s="103"/>
      <c r="K83" s="104" t="str">
        <f>K7</f>
        <v>1Q23</v>
      </c>
      <c r="L83" s="104" t="str">
        <f>L7</f>
        <v>2Q23</v>
      </c>
      <c r="M83" s="104" t="str">
        <f>M7</f>
        <v>3Q23</v>
      </c>
      <c r="N83" s="104" t="str">
        <f>N7</f>
        <v>4Q23</v>
      </c>
      <c r="O83" s="104" t="str">
        <f>O7</f>
        <v>1Q24</v>
      </c>
      <c r="P83" s="104" t="str">
        <f>P7</f>
        <v>2Q24</v>
      </c>
      <c r="Q83" s="104" t="str">
        <f>Q7</f>
        <v>3Q24</v>
      </c>
      <c r="R83" s="104" t="str">
        <f>R7</f>
        <v>4Q24</v>
      </c>
      <c r="S83" s="104" t="str">
        <f>S7</f>
        <v>1Q25</v>
      </c>
      <c r="T83" s="104" t="str">
        <f>T7</f>
        <v>2Q25</v>
      </c>
      <c r="U83" s="104" t="str">
        <f>U7</f>
        <v>3Q25</v>
      </c>
      <c r="V83" s="104" t="str">
        <f>V7</f>
        <v>4Q25</v>
      </c>
      <c r="W83" s="104" t="str">
        <f>W7</f>
        <v>1Q26</v>
      </c>
      <c r="X83" s="104" t="str">
        <f>X7</f>
        <v>2Q26</v>
      </c>
      <c r="Y83" s="104" t="str">
        <f>Y7</f>
        <v>3Q26</v>
      </c>
      <c r="Z83" s="104"/>
      <c r="AA83" s="104" t="str">
        <f>AA7</f>
        <v>4Q23</v>
      </c>
      <c r="AB83" s="104" t="str">
        <f>AB7</f>
        <v>1Q24</v>
      </c>
      <c r="AC83" s="104" t="str">
        <f>AC7</f>
        <v>2Q24</v>
      </c>
      <c r="AD83" s="104" t="str">
        <f>AD7</f>
        <v>3Q24</v>
      </c>
      <c r="AE83" s="104" t="str">
        <f>AE7</f>
        <v>4Q24</v>
      </c>
      <c r="AF83" s="104" t="str">
        <f>AF7</f>
        <v>1Q25</v>
      </c>
      <c r="AG83" s="104" t="str">
        <f>AG7</f>
        <v>2Q25</v>
      </c>
      <c r="AH83" s="104" t="str">
        <f>AH7</f>
        <v>3Q25</v>
      </c>
      <c r="AI83" s="103"/>
      <c r="AJ83" s="154"/>
    </row>
    <row r="84" spans="1:36" ht="12.75" customHeight="1">
      <c r="B84" s="99" t="str">
        <f>B8</f>
        <v>Fiscal Period End Date</v>
      </c>
      <c r="C84" s="105">
        <f>C8</f>
        <v>0</v>
      </c>
      <c r="D84" s="105">
        <f>D8</f>
        <v>0</v>
      </c>
      <c r="E84" s="105">
        <f>E8</f>
        <v>0</v>
      </c>
      <c r="F84" s="105">
        <f>F8</f>
        <v>0</v>
      </c>
      <c r="G84" s="105">
        <f>G8</f>
        <v>0</v>
      </c>
      <c r="H84" s="105">
        <f>H8</f>
        <v>0</v>
      </c>
      <c r="I84" s="105">
        <f>I8</f>
        <v>0</v>
      </c>
      <c r="J84" s="103"/>
      <c r="K84" s="105">
        <f>K8</f>
        <v>0</v>
      </c>
      <c r="L84" s="105">
        <f>L8</f>
        <v>0</v>
      </c>
      <c r="M84" s="105">
        <f>M8</f>
        <v>0</v>
      </c>
      <c r="N84" s="105">
        <f>N8</f>
        <v>0</v>
      </c>
      <c r="O84" s="105">
        <f>O8</f>
        <v>0</v>
      </c>
      <c r="P84" s="105">
        <f>P8</f>
        <v>0</v>
      </c>
      <c r="Q84" s="105">
        <f>Q8</f>
        <v>0</v>
      </c>
      <c r="R84" s="105">
        <f>R8</f>
        <v>0</v>
      </c>
      <c r="S84" s="105">
        <f>S8</f>
        <v>0</v>
      </c>
      <c r="T84" s="105">
        <f>T8</f>
        <v>0</v>
      </c>
      <c r="U84" s="105">
        <f>U8</f>
        <v>0</v>
      </c>
      <c r="V84" s="105">
        <f>V8</f>
        <v>0</v>
      </c>
      <c r="W84" s="105">
        <f>W8</f>
        <v>0</v>
      </c>
      <c r="X84" s="105">
        <f>X8</f>
        <v>0</v>
      </c>
      <c r="Y84" s="105">
        <f>Y8</f>
        <v>0</v>
      </c>
      <c r="Z84" s="105"/>
      <c r="AA84" s="105">
        <f>AA8</f>
        <v>0</v>
      </c>
      <c r="AB84" s="105">
        <f>AB8</f>
        <v>0</v>
      </c>
      <c r="AC84" s="105">
        <f>AC8</f>
        <v>0</v>
      </c>
      <c r="AD84" s="105">
        <f>AD8</f>
        <v>0</v>
      </c>
      <c r="AE84" s="105">
        <f>AE8</f>
        <v>0</v>
      </c>
      <c r="AF84" s="105">
        <f>AF8</f>
        <v>0</v>
      </c>
      <c r="AG84" s="105">
        <f>AG8</f>
        <v>0</v>
      </c>
      <c r="AH84" s="105">
        <f>AH8</f>
        <v>0</v>
      </c>
      <c r="AI84" s="103"/>
      <c r="AJ84" s="154"/>
    </row>
    <row r="85" spans="1:36" ht="5.0999999999999996" customHeight="1">
      <c r="B85" s="54"/>
      <c r="C85" s="47"/>
      <c r="D85" s="47"/>
      <c r="E85" s="47"/>
      <c r="F85" s="47"/>
      <c r="G85" s="47"/>
      <c r="H85" s="47"/>
      <c r="I85" s="47"/>
    </row>
    <row r="86" spans="1:36" ht="12.75" customHeight="1">
      <c r="B86" s="55" t="s">
        <v>50</v>
      </c>
      <c r="C86" s="56"/>
      <c r="D86" s="56"/>
      <c r="E86" s="56"/>
      <c r="F86" s="56"/>
      <c r="G86" s="56"/>
      <c r="H86" s="56"/>
      <c r="I86" s="56"/>
    </row>
    <row r="87" spans="1:36" ht="12.75" customHeight="1">
      <c r="B87" s="57" t="s">
        <v>116</v>
      </c>
      <c r="C87" s="32">
        <f>C30</f>
        <v>2796</v>
      </c>
      <c r="D87" s="32">
        <f t="shared" ref="D87:AH87" si="100">D30</f>
        <v>4332</v>
      </c>
      <c r="E87" s="32">
        <f t="shared" si="100"/>
        <v>9752</v>
      </c>
      <c r="F87" s="32">
        <f t="shared" si="100"/>
        <v>4368</v>
      </c>
      <c r="G87" s="32">
        <f t="shared" si="100"/>
        <v>29760</v>
      </c>
      <c r="H87" s="32">
        <f t="shared" si="100"/>
        <v>72880</v>
      </c>
      <c r="I87" s="32">
        <f t="shared" si="100"/>
        <v>0</v>
      </c>
      <c r="J87" s="32"/>
      <c r="K87" s="32">
        <f t="shared" si="100"/>
        <v>2043</v>
      </c>
      <c r="L87" s="32">
        <f t="shared" si="100"/>
        <v>6188</v>
      </c>
      <c r="M87" s="32">
        <f t="shared" si="100"/>
        <v>9243</v>
      </c>
      <c r="N87" s="32">
        <f t="shared" si="100"/>
        <v>12286</v>
      </c>
      <c r="O87" s="32">
        <f t="shared" si="100"/>
        <v>14881</v>
      </c>
      <c r="P87" s="32">
        <f t="shared" si="100"/>
        <v>16599</v>
      </c>
      <c r="Q87" s="32">
        <f t="shared" si="100"/>
        <v>19309</v>
      </c>
      <c r="R87" s="32">
        <f t="shared" si="100"/>
        <v>22091</v>
      </c>
      <c r="S87" s="32">
        <f t="shared" si="100"/>
        <v>18775</v>
      </c>
      <c r="T87" s="32">
        <f t="shared" si="100"/>
        <v>26422</v>
      </c>
      <c r="U87" s="32">
        <f t="shared" si="100"/>
        <v>31910</v>
      </c>
      <c r="V87" s="32">
        <f t="shared" si="100"/>
        <v>-77107</v>
      </c>
      <c r="W87" s="32">
        <f t="shared" si="100"/>
        <v>0</v>
      </c>
      <c r="X87" s="32">
        <f t="shared" si="100"/>
        <v>0</v>
      </c>
      <c r="Y87" s="32">
        <f t="shared" si="100"/>
        <v>0</v>
      </c>
      <c r="Z87" s="32"/>
      <c r="AA87" s="32">
        <f t="shared" si="100"/>
        <v>29780</v>
      </c>
      <c r="AB87" s="32">
        <f t="shared" si="100"/>
        <v>42526</v>
      </c>
      <c r="AC87" s="32">
        <f t="shared" si="100"/>
        <v>52803</v>
      </c>
      <c r="AD87" s="32">
        <f t="shared" si="100"/>
        <v>63075</v>
      </c>
      <c r="AE87" s="32">
        <f t="shared" si="100"/>
        <v>72880</v>
      </c>
      <c r="AF87" s="32">
        <f t="shared" si="100"/>
        <v>76774</v>
      </c>
      <c r="AG87" s="32">
        <f t="shared" si="100"/>
        <v>86597</v>
      </c>
      <c r="AH87" s="32">
        <f t="shared" si="100"/>
        <v>99198</v>
      </c>
      <c r="AI87" s="11"/>
      <c r="AJ87" s="75">
        <f>SUM(AH87/AD87)-1</f>
        <v>0.57269916765755058</v>
      </c>
    </row>
    <row r="88" spans="1:36" ht="5.0999999999999996" customHeight="1">
      <c r="C88" s="32"/>
      <c r="D88" s="32"/>
      <c r="E88" s="32"/>
      <c r="F88" s="32"/>
      <c r="G88" s="32"/>
      <c r="H88" s="32"/>
      <c r="I88" s="32"/>
      <c r="J88" s="32"/>
      <c r="K88" s="32"/>
      <c r="L88" s="32"/>
      <c r="M88" s="32"/>
      <c r="N88" s="32"/>
      <c r="O88" s="32"/>
      <c r="P88" s="32"/>
      <c r="Q88" s="32"/>
      <c r="R88" s="32"/>
      <c r="S88" s="32"/>
      <c r="T88" s="32"/>
      <c r="U88" s="32"/>
      <c r="V88" s="32"/>
      <c r="W88" s="32"/>
      <c r="X88" s="32"/>
      <c r="Y88" s="32"/>
      <c r="AA88" s="32"/>
      <c r="AB88" s="32"/>
      <c r="AC88" s="32"/>
      <c r="AD88" s="32"/>
      <c r="AE88" s="32"/>
      <c r="AF88" s="32"/>
      <c r="AG88" s="32"/>
      <c r="AH88" s="32"/>
      <c r="AI88" s="11"/>
      <c r="AJ88" s="75"/>
    </row>
    <row r="89" spans="1:36" ht="12.75" customHeight="1">
      <c r="B89" s="36" t="s">
        <v>57</v>
      </c>
      <c r="C89" s="32"/>
      <c r="D89" s="32"/>
      <c r="E89" s="32"/>
      <c r="F89" s="32"/>
      <c r="G89" s="32"/>
      <c r="H89" s="32"/>
      <c r="I89" s="32"/>
      <c r="J89" s="32"/>
      <c r="K89" s="82"/>
      <c r="L89" s="82"/>
      <c r="M89" s="82"/>
      <c r="N89" s="32"/>
      <c r="O89" s="82"/>
      <c r="P89" s="82"/>
      <c r="Q89" s="82"/>
      <c r="R89" s="32"/>
      <c r="S89" s="82"/>
      <c r="T89" s="82"/>
      <c r="U89" s="82"/>
      <c r="V89" s="82"/>
      <c r="W89" s="82"/>
      <c r="X89" s="82"/>
      <c r="Y89" s="82"/>
      <c r="AA89" s="32"/>
      <c r="AB89" s="32"/>
      <c r="AC89" s="32"/>
      <c r="AD89" s="32"/>
      <c r="AE89" s="32"/>
      <c r="AF89" s="32"/>
      <c r="AG89" s="32"/>
      <c r="AH89" s="32"/>
      <c r="AI89" s="59"/>
      <c r="AJ89" s="75"/>
    </row>
    <row r="90" spans="1:36" ht="12.75" customHeight="1">
      <c r="B90" s="60" t="s">
        <v>145</v>
      </c>
      <c r="C90" s="82"/>
      <c r="D90" s="82"/>
      <c r="E90" s="82"/>
      <c r="F90" s="82"/>
      <c r="G90" s="82"/>
      <c r="H90" s="82"/>
      <c r="I90" s="82"/>
      <c r="J90" s="32"/>
      <c r="K90" s="82"/>
      <c r="L90" s="82"/>
      <c r="M90" s="82"/>
      <c r="N90" s="32">
        <f t="shared" ref="N90:N93" si="101">SUM(G90-SUM(K90:M90))</f>
        <v>0</v>
      </c>
      <c r="O90" s="82"/>
      <c r="P90" s="82"/>
      <c r="Q90" s="82"/>
      <c r="R90" s="32">
        <f t="shared" ref="R90:R93" si="102">SUM(H90-SUM(O90:Q90))</f>
        <v>0</v>
      </c>
      <c r="S90" s="82"/>
      <c r="T90" s="82"/>
      <c r="U90" s="82"/>
      <c r="V90" s="82"/>
      <c r="W90" s="82"/>
      <c r="X90" s="82"/>
      <c r="Y90" s="82"/>
      <c r="AA90" s="32">
        <f>SUM(K90:N90)</f>
        <v>0</v>
      </c>
      <c r="AB90" s="32">
        <f>SUM(L90:O90)</f>
        <v>0</v>
      </c>
      <c r="AC90" s="32">
        <f>SUM(M90:P90)</f>
        <v>0</v>
      </c>
      <c r="AD90" s="32">
        <f>SUM(N90:Q90)</f>
        <v>0</v>
      </c>
      <c r="AE90" s="32">
        <f>SUM(O90:R90)</f>
        <v>0</v>
      </c>
      <c r="AF90" s="32">
        <f>SUM(P90:S90)</f>
        <v>0</v>
      </c>
      <c r="AG90" s="32">
        <f>SUM(Q90:T90)</f>
        <v>0</v>
      </c>
      <c r="AH90" s="32">
        <f>SUM(R90:U90)</f>
        <v>0</v>
      </c>
      <c r="AI90" s="11"/>
      <c r="AJ90" s="75" t="e">
        <f t="shared" ref="AJ90:AJ96" si="103">SUM(AH90/AD90)-1</f>
        <v>#DIV/0!</v>
      </c>
    </row>
    <row r="91" spans="1:36" ht="12.75" customHeight="1">
      <c r="B91" s="60" t="s">
        <v>146</v>
      </c>
      <c r="C91" s="82"/>
      <c r="D91" s="82"/>
      <c r="E91" s="82"/>
      <c r="F91" s="82"/>
      <c r="G91" s="82"/>
      <c r="H91" s="82"/>
      <c r="I91" s="82"/>
      <c r="J91" s="32"/>
      <c r="K91" s="82"/>
      <c r="L91" s="82"/>
      <c r="M91" s="82"/>
      <c r="N91" s="32">
        <f t="shared" ref="N91" si="104">SUM(G91-SUM(K91:M91))</f>
        <v>0</v>
      </c>
      <c r="O91" s="82"/>
      <c r="P91" s="82"/>
      <c r="Q91" s="82"/>
      <c r="R91" s="32">
        <f t="shared" ref="R91" si="105">SUM(H91-SUM(O91:Q91))</f>
        <v>0</v>
      </c>
      <c r="S91" s="82"/>
      <c r="T91" s="82"/>
      <c r="U91" s="82"/>
      <c r="V91" s="82"/>
      <c r="W91" s="82"/>
      <c r="X91" s="82"/>
      <c r="Y91" s="82"/>
      <c r="AA91" s="32">
        <f>SUM(K91:N91)</f>
        <v>0</v>
      </c>
      <c r="AB91" s="32">
        <f>SUM(L91:O91)</f>
        <v>0</v>
      </c>
      <c r="AC91" s="32">
        <f>SUM(M91:P91)</f>
        <v>0</v>
      </c>
      <c r="AD91" s="32">
        <f>SUM(N91:Q91)</f>
        <v>0</v>
      </c>
      <c r="AE91" s="32">
        <f>SUM(O91:R91)</f>
        <v>0</v>
      </c>
      <c r="AF91" s="32">
        <f>SUM(P91:S91)</f>
        <v>0</v>
      </c>
      <c r="AG91" s="32">
        <f>SUM(Q91:T91)</f>
        <v>0</v>
      </c>
      <c r="AH91" s="32">
        <f>SUM(R91:U91)</f>
        <v>0</v>
      </c>
      <c r="AI91" s="11"/>
      <c r="AJ91" s="75" t="e">
        <f t="shared" ref="AJ91" si="106">SUM(AH91/AD91)-1</f>
        <v>#DIV/0!</v>
      </c>
    </row>
    <row r="92" spans="1:36" ht="12.75" customHeight="1">
      <c r="B92" s="60" t="s">
        <v>147</v>
      </c>
      <c r="C92" s="82"/>
      <c r="D92" s="82"/>
      <c r="E92" s="82"/>
      <c r="F92" s="82"/>
      <c r="G92" s="82"/>
      <c r="H92" s="82"/>
      <c r="I92" s="82"/>
      <c r="J92" s="32"/>
      <c r="K92" s="82"/>
      <c r="L92" s="82"/>
      <c r="M92" s="82"/>
      <c r="N92" s="32">
        <f t="shared" si="101"/>
        <v>0</v>
      </c>
      <c r="O92" s="82"/>
      <c r="P92" s="82"/>
      <c r="Q92" s="82"/>
      <c r="R92" s="32">
        <f t="shared" si="102"/>
        <v>0</v>
      </c>
      <c r="S92" s="82"/>
      <c r="T92" s="82"/>
      <c r="U92" s="82"/>
      <c r="V92" s="82"/>
      <c r="W92" s="82"/>
      <c r="X92" s="82"/>
      <c r="Y92" s="82"/>
      <c r="AA92" s="32">
        <f>SUM(K92:N92)</f>
        <v>0</v>
      </c>
      <c r="AB92" s="32">
        <f>SUM(L92:O92)</f>
        <v>0</v>
      </c>
      <c r="AC92" s="32">
        <f>SUM(M92:P92)</f>
        <v>0</v>
      </c>
      <c r="AD92" s="32">
        <f>SUM(N92:Q92)</f>
        <v>0</v>
      </c>
      <c r="AE92" s="32">
        <f>SUM(O92:R92)</f>
        <v>0</v>
      </c>
      <c r="AF92" s="32">
        <f>SUM(P92:S92)</f>
        <v>0</v>
      </c>
      <c r="AG92" s="32">
        <f>SUM(Q92:T92)</f>
        <v>0</v>
      </c>
      <c r="AH92" s="32">
        <f>SUM(R92:U92)</f>
        <v>0</v>
      </c>
      <c r="AI92" s="11"/>
      <c r="AJ92" s="75" t="e">
        <f t="shared" si="103"/>
        <v>#DIV/0!</v>
      </c>
    </row>
    <row r="93" spans="1:36" ht="12.75" customHeight="1">
      <c r="B93" s="60" t="s">
        <v>148</v>
      </c>
      <c r="C93" s="82"/>
      <c r="D93" s="82"/>
      <c r="E93" s="82"/>
      <c r="F93" s="82"/>
      <c r="G93" s="82"/>
      <c r="H93" s="82"/>
      <c r="I93" s="82"/>
      <c r="J93" s="32"/>
      <c r="K93" s="82"/>
      <c r="L93" s="82"/>
      <c r="M93" s="82"/>
      <c r="N93" s="32">
        <f t="shared" si="101"/>
        <v>0</v>
      </c>
      <c r="O93" s="82"/>
      <c r="P93" s="82"/>
      <c r="Q93" s="82"/>
      <c r="R93" s="32">
        <f t="shared" si="102"/>
        <v>0</v>
      </c>
      <c r="S93" s="82"/>
      <c r="T93" s="82"/>
      <c r="U93" s="82"/>
      <c r="V93" s="82"/>
      <c r="W93" s="82"/>
      <c r="X93" s="82"/>
      <c r="Y93" s="82"/>
      <c r="AA93" s="32">
        <f>SUM(K93:N93)</f>
        <v>0</v>
      </c>
      <c r="AB93" s="32">
        <f>SUM(L93:O93)</f>
        <v>0</v>
      </c>
      <c r="AC93" s="32">
        <f>SUM(M93:P93)</f>
        <v>0</v>
      </c>
      <c r="AD93" s="32">
        <f>SUM(N93:Q93)</f>
        <v>0</v>
      </c>
      <c r="AE93" s="32">
        <f>SUM(O93:R93)</f>
        <v>0</v>
      </c>
      <c r="AF93" s="32">
        <f>SUM(P93:S93)</f>
        <v>0</v>
      </c>
      <c r="AG93" s="32">
        <f>SUM(Q93:T93)</f>
        <v>0</v>
      </c>
      <c r="AH93" s="32">
        <f>SUM(R93:U93)</f>
        <v>0</v>
      </c>
      <c r="AI93" s="11"/>
      <c r="AJ93" s="75" t="e">
        <f t="shared" si="103"/>
        <v>#DIV/0!</v>
      </c>
    </row>
    <row r="94" spans="1:36" ht="12.75" customHeight="1">
      <c r="B94" s="60" t="s">
        <v>149</v>
      </c>
      <c r="C94" s="82"/>
      <c r="D94" s="82"/>
      <c r="E94" s="82"/>
      <c r="F94" s="82"/>
      <c r="G94" s="82"/>
      <c r="H94" s="82"/>
      <c r="I94" s="82"/>
      <c r="J94" s="32"/>
      <c r="K94" s="82"/>
      <c r="L94" s="82"/>
      <c r="M94" s="82"/>
      <c r="N94" s="32">
        <f t="shared" ref="N94" si="107">SUM(G94-SUM(K94:M94))</f>
        <v>0</v>
      </c>
      <c r="O94" s="82"/>
      <c r="P94" s="82"/>
      <c r="Q94" s="82"/>
      <c r="R94" s="32">
        <f t="shared" ref="R94" si="108">SUM(H94-SUM(O94:Q94))</f>
        <v>0</v>
      </c>
      <c r="S94" s="82"/>
      <c r="T94" s="82"/>
      <c r="U94" s="82"/>
      <c r="V94" s="82"/>
      <c r="W94" s="82"/>
      <c r="X94" s="82"/>
      <c r="Y94" s="82"/>
      <c r="AA94" s="32">
        <f>SUM(K94:N94)</f>
        <v>0</v>
      </c>
      <c r="AB94" s="32">
        <f>SUM(L94:O94)</f>
        <v>0</v>
      </c>
      <c r="AC94" s="32">
        <f>SUM(M94:P94)</f>
        <v>0</v>
      </c>
      <c r="AD94" s="32">
        <f>SUM(N94:Q94)</f>
        <v>0</v>
      </c>
      <c r="AE94" s="32">
        <f>SUM(O94:R94)</f>
        <v>0</v>
      </c>
      <c r="AF94" s="32">
        <f>SUM(P94:S94)</f>
        <v>0</v>
      </c>
      <c r="AG94" s="32">
        <f>SUM(Q94:T94)</f>
        <v>0</v>
      </c>
      <c r="AH94" s="32">
        <f>SUM(R94:U94)</f>
        <v>0</v>
      </c>
      <c r="AI94" s="11"/>
      <c r="AJ94" s="75" t="e">
        <f t="shared" si="103"/>
        <v>#DIV/0!</v>
      </c>
    </row>
    <row r="95" spans="1:36" ht="12.75" customHeight="1">
      <c r="B95" s="60" t="s">
        <v>150</v>
      </c>
      <c r="C95" s="82"/>
      <c r="D95" s="82"/>
      <c r="E95" s="82"/>
      <c r="F95" s="82"/>
      <c r="G95" s="82"/>
      <c r="H95" s="82"/>
      <c r="I95" s="82"/>
      <c r="J95" s="32"/>
      <c r="K95" s="82"/>
      <c r="L95" s="82"/>
      <c r="M95" s="82"/>
      <c r="N95" s="32">
        <f t="shared" ref="N95" si="109">SUM(G95-SUM(K95:M95))</f>
        <v>0</v>
      </c>
      <c r="O95" s="82"/>
      <c r="P95" s="82"/>
      <c r="Q95" s="82"/>
      <c r="R95" s="32">
        <f t="shared" ref="R95" si="110">SUM(H95-SUM(O95:Q95))</f>
        <v>0</v>
      </c>
      <c r="S95" s="82"/>
      <c r="T95" s="82"/>
      <c r="U95" s="82"/>
      <c r="V95" s="82"/>
      <c r="W95" s="82"/>
      <c r="X95" s="82"/>
      <c r="Y95" s="82"/>
      <c r="AA95" s="32">
        <f>SUM(K95:N95)</f>
        <v>0</v>
      </c>
      <c r="AB95" s="32">
        <f>SUM(L95:O95)</f>
        <v>0</v>
      </c>
      <c r="AC95" s="32">
        <f>SUM(M95:P95)</f>
        <v>0</v>
      </c>
      <c r="AD95" s="32">
        <f>SUM(N95:Q95)</f>
        <v>0</v>
      </c>
      <c r="AE95" s="32">
        <f>SUM(O95:R95)</f>
        <v>0</v>
      </c>
      <c r="AF95" s="32">
        <f>SUM(P95:S95)</f>
        <v>0</v>
      </c>
      <c r="AG95" s="32">
        <f>SUM(Q95:T95)</f>
        <v>0</v>
      </c>
      <c r="AH95" s="32">
        <f>SUM(R95:U95)</f>
        <v>0</v>
      </c>
      <c r="AI95" s="11"/>
      <c r="AJ95" s="75" t="e">
        <f t="shared" si="103"/>
        <v>#DIV/0!</v>
      </c>
    </row>
    <row r="96" spans="1:36" ht="12.75" customHeight="1">
      <c r="B96" s="13" t="s">
        <v>51</v>
      </c>
      <c r="C96" s="14">
        <f t="shared" ref="C96:I96" si="111">SUM(C87:C95)</f>
        <v>2796</v>
      </c>
      <c r="D96" s="14">
        <f t="shared" si="111"/>
        <v>4332</v>
      </c>
      <c r="E96" s="14">
        <f t="shared" si="111"/>
        <v>9752</v>
      </c>
      <c r="F96" s="14">
        <f t="shared" si="111"/>
        <v>4368</v>
      </c>
      <c r="G96" s="14">
        <f t="shared" si="111"/>
        <v>29760</v>
      </c>
      <c r="H96" s="14">
        <f t="shared" si="111"/>
        <v>72880</v>
      </c>
      <c r="I96" s="14">
        <f t="shared" si="111"/>
        <v>0</v>
      </c>
      <c r="K96" s="14">
        <f t="shared" ref="K96:V96" si="112">SUM(K87:K95)</f>
        <v>2043</v>
      </c>
      <c r="L96" s="14">
        <f t="shared" si="112"/>
        <v>6188</v>
      </c>
      <c r="M96" s="14">
        <f t="shared" si="112"/>
        <v>9243</v>
      </c>
      <c r="N96" s="14">
        <f t="shared" si="112"/>
        <v>12286</v>
      </c>
      <c r="O96" s="14">
        <f t="shared" si="112"/>
        <v>14881</v>
      </c>
      <c r="P96" s="14">
        <f t="shared" si="112"/>
        <v>16599</v>
      </c>
      <c r="Q96" s="14">
        <f t="shared" si="112"/>
        <v>19309</v>
      </c>
      <c r="R96" s="14">
        <f t="shared" si="112"/>
        <v>22091</v>
      </c>
      <c r="S96" s="14">
        <f t="shared" si="112"/>
        <v>18775</v>
      </c>
      <c r="T96" s="14">
        <f t="shared" si="112"/>
        <v>26422</v>
      </c>
      <c r="U96" s="14">
        <f t="shared" si="112"/>
        <v>31910</v>
      </c>
      <c r="V96" s="14">
        <f t="shared" si="112"/>
        <v>-77107</v>
      </c>
      <c r="W96" s="14">
        <f t="shared" ref="W96" si="113">SUM(W87:W95)</f>
        <v>0</v>
      </c>
      <c r="X96" s="14">
        <f t="shared" ref="X96" si="114">SUM(X87:X95)</f>
        <v>0</v>
      </c>
      <c r="Y96" s="14">
        <f t="shared" ref="Y96" si="115">SUM(Y87:Y95)</f>
        <v>0</v>
      </c>
      <c r="AA96" s="14">
        <f t="shared" ref="AA96:AH96" si="116">SUM(AA87:AA95)</f>
        <v>29780</v>
      </c>
      <c r="AB96" s="14">
        <f t="shared" si="116"/>
        <v>42526</v>
      </c>
      <c r="AC96" s="14">
        <f t="shared" si="116"/>
        <v>52803</v>
      </c>
      <c r="AD96" s="14">
        <f t="shared" si="116"/>
        <v>63075</v>
      </c>
      <c r="AE96" s="14">
        <f t="shared" si="116"/>
        <v>72880</v>
      </c>
      <c r="AF96" s="14">
        <f t="shared" si="116"/>
        <v>76774</v>
      </c>
      <c r="AG96" s="14">
        <f t="shared" si="116"/>
        <v>86597</v>
      </c>
      <c r="AH96" s="14">
        <f t="shared" si="116"/>
        <v>99198</v>
      </c>
      <c r="AI96" s="42"/>
      <c r="AJ96" s="76">
        <f t="shared" si="103"/>
        <v>0.57269916765755058</v>
      </c>
    </row>
    <row r="97" spans="2:36" ht="12.75" customHeight="1">
      <c r="B97" s="53"/>
      <c r="C97" s="61"/>
      <c r="D97" s="61"/>
      <c r="E97" s="61"/>
      <c r="F97" s="61"/>
      <c r="G97" s="61"/>
      <c r="H97" s="61"/>
      <c r="I97" s="61"/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61"/>
      <c r="AA97" s="42"/>
      <c r="AB97" s="42"/>
      <c r="AC97" s="42"/>
      <c r="AD97" s="42"/>
      <c r="AE97" s="42"/>
      <c r="AF97" s="42"/>
      <c r="AG97" s="42"/>
      <c r="AH97" s="42"/>
      <c r="AI97" s="42"/>
      <c r="AJ97" s="39"/>
    </row>
    <row r="98" spans="2:36" ht="12.75" customHeight="1">
      <c r="B98" s="53" t="s">
        <v>52</v>
      </c>
      <c r="C98" s="58"/>
      <c r="D98" s="58"/>
      <c r="E98" s="58"/>
      <c r="F98" s="58"/>
      <c r="G98" s="58"/>
      <c r="H98" s="58"/>
      <c r="I98" s="58"/>
      <c r="K98" s="82"/>
      <c r="L98" s="82"/>
      <c r="M98" s="82"/>
      <c r="N98" s="32"/>
      <c r="O98" s="82"/>
      <c r="P98" s="82"/>
      <c r="Q98" s="82"/>
      <c r="R98" s="32"/>
      <c r="S98" s="58"/>
      <c r="T98" s="58"/>
      <c r="U98" s="58"/>
      <c r="V98" s="58"/>
      <c r="W98" s="58"/>
      <c r="X98" s="58"/>
      <c r="Y98" s="58"/>
      <c r="AA98" s="58"/>
      <c r="AB98" s="58"/>
      <c r="AC98" s="58"/>
      <c r="AD98" s="58"/>
      <c r="AE98" s="58"/>
      <c r="AF98" s="58"/>
      <c r="AG98" s="58"/>
      <c r="AH98" s="58"/>
      <c r="AI98" s="59"/>
      <c r="AJ98" s="75"/>
    </row>
    <row r="99" spans="2:36" ht="12.75" customHeight="1">
      <c r="B99" s="60" t="s">
        <v>151</v>
      </c>
      <c r="C99" s="82"/>
      <c r="D99" s="82"/>
      <c r="E99" s="82"/>
      <c r="F99" s="82"/>
      <c r="G99" s="82"/>
      <c r="H99" s="82"/>
      <c r="I99" s="82"/>
      <c r="J99" s="32"/>
      <c r="K99" s="82"/>
      <c r="L99" s="82"/>
      <c r="M99" s="82"/>
      <c r="N99" s="32">
        <f t="shared" ref="N99:N102" si="117">SUM(G99-SUM(K99:M99))</f>
        <v>0</v>
      </c>
      <c r="O99" s="82"/>
      <c r="P99" s="82"/>
      <c r="Q99" s="82"/>
      <c r="R99" s="32">
        <f t="shared" ref="R99:R102" si="118">SUM(H99-SUM(O99:Q99))</f>
        <v>0</v>
      </c>
      <c r="S99" s="82"/>
      <c r="T99" s="82"/>
      <c r="U99" s="82"/>
      <c r="V99" s="82"/>
      <c r="W99" s="82"/>
      <c r="X99" s="82"/>
      <c r="Y99" s="82"/>
      <c r="Z99" s="32"/>
      <c r="AA99" s="32">
        <f>SUM(K99:N99)</f>
        <v>0</v>
      </c>
      <c r="AB99" s="32">
        <f>SUM(L99:O99)</f>
        <v>0</v>
      </c>
      <c r="AC99" s="32">
        <f>SUM(M99:P99)</f>
        <v>0</v>
      </c>
      <c r="AD99" s="32">
        <f>SUM(N99:Q99)</f>
        <v>0</v>
      </c>
      <c r="AE99" s="32">
        <f>SUM(O99:R99)</f>
        <v>0</v>
      </c>
      <c r="AF99" s="32">
        <f>SUM(P99:S99)</f>
        <v>0</v>
      </c>
      <c r="AG99" s="32">
        <f>SUM(Q99:T99)</f>
        <v>0</v>
      </c>
      <c r="AH99" s="32">
        <f>SUM(R99:U99)</f>
        <v>0</v>
      </c>
      <c r="AI99" s="59"/>
      <c r="AJ99" s="75" t="e">
        <f t="shared" ref="AJ99:AJ102" si="119">SUM(AH99/AD99)-1</f>
        <v>#DIV/0!</v>
      </c>
    </row>
    <row r="100" spans="2:36" ht="12.75" customHeight="1">
      <c r="B100" s="60" t="s">
        <v>152</v>
      </c>
      <c r="C100" s="82"/>
      <c r="D100" s="82"/>
      <c r="E100" s="82"/>
      <c r="F100" s="82"/>
      <c r="G100" s="82"/>
      <c r="H100" s="82"/>
      <c r="I100" s="82"/>
      <c r="J100" s="32"/>
      <c r="K100" s="82"/>
      <c r="L100" s="82"/>
      <c r="M100" s="82"/>
      <c r="N100" s="32">
        <f t="shared" si="117"/>
        <v>0</v>
      </c>
      <c r="O100" s="82"/>
      <c r="P100" s="82"/>
      <c r="Q100" s="82"/>
      <c r="R100" s="32">
        <f t="shared" si="118"/>
        <v>0</v>
      </c>
      <c r="S100" s="82"/>
      <c r="T100" s="82"/>
      <c r="U100" s="82"/>
      <c r="V100" s="82"/>
      <c r="W100" s="82"/>
      <c r="X100" s="82"/>
      <c r="Y100" s="82"/>
      <c r="Z100" s="32"/>
      <c r="AA100" s="32">
        <f>SUM(K100:N100)</f>
        <v>0</v>
      </c>
      <c r="AB100" s="32">
        <f>SUM(L100:O100)</f>
        <v>0</v>
      </c>
      <c r="AC100" s="32">
        <f>SUM(M100:P100)</f>
        <v>0</v>
      </c>
      <c r="AD100" s="32">
        <f>SUM(N100:Q100)</f>
        <v>0</v>
      </c>
      <c r="AE100" s="32">
        <f>SUM(O100:R100)</f>
        <v>0</v>
      </c>
      <c r="AF100" s="32">
        <f>SUM(P100:S100)</f>
        <v>0</v>
      </c>
      <c r="AG100" s="32">
        <f>SUM(Q100:T100)</f>
        <v>0</v>
      </c>
      <c r="AH100" s="32">
        <f>SUM(R100:U100)</f>
        <v>0</v>
      </c>
      <c r="AI100" s="59"/>
      <c r="AJ100" s="75" t="e">
        <f t="shared" si="119"/>
        <v>#DIV/0!</v>
      </c>
    </row>
    <row r="101" spans="2:36" ht="12.75" customHeight="1">
      <c r="B101" s="60" t="s">
        <v>153</v>
      </c>
      <c r="C101" s="82"/>
      <c r="D101" s="82"/>
      <c r="E101" s="82"/>
      <c r="F101" s="82"/>
      <c r="G101" s="82"/>
      <c r="H101" s="82"/>
      <c r="I101" s="82"/>
      <c r="J101" s="32"/>
      <c r="K101" s="82"/>
      <c r="L101" s="82"/>
      <c r="M101" s="82"/>
      <c r="N101" s="32">
        <f t="shared" si="117"/>
        <v>0</v>
      </c>
      <c r="O101" s="82"/>
      <c r="P101" s="82"/>
      <c r="Q101" s="82"/>
      <c r="R101" s="32">
        <f t="shared" si="118"/>
        <v>0</v>
      </c>
      <c r="S101" s="82"/>
      <c r="T101" s="82"/>
      <c r="U101" s="82"/>
      <c r="V101" s="82"/>
      <c r="W101" s="82"/>
      <c r="X101" s="82"/>
      <c r="Y101" s="82"/>
      <c r="Z101" s="32"/>
      <c r="AA101" s="32">
        <f>SUM(K101:N101)</f>
        <v>0</v>
      </c>
      <c r="AB101" s="32">
        <f>SUM(L101:O101)</f>
        <v>0</v>
      </c>
      <c r="AC101" s="32">
        <f>SUM(M101:P101)</f>
        <v>0</v>
      </c>
      <c r="AD101" s="32">
        <f>SUM(N101:Q101)</f>
        <v>0</v>
      </c>
      <c r="AE101" s="32">
        <f>SUM(O101:R101)</f>
        <v>0</v>
      </c>
      <c r="AF101" s="32">
        <f>SUM(P101:S101)</f>
        <v>0</v>
      </c>
      <c r="AG101" s="32">
        <f>SUM(Q101:T101)</f>
        <v>0</v>
      </c>
      <c r="AH101" s="32">
        <f>SUM(R101:U101)</f>
        <v>0</v>
      </c>
      <c r="AI101" s="59"/>
      <c r="AJ101" s="75" t="e">
        <f t="shared" si="119"/>
        <v>#DIV/0!</v>
      </c>
    </row>
    <row r="102" spans="2:36" ht="12.75" customHeight="1">
      <c r="B102" s="60" t="s">
        <v>154</v>
      </c>
      <c r="C102" s="82"/>
      <c r="D102" s="82"/>
      <c r="E102" s="82"/>
      <c r="F102" s="82"/>
      <c r="G102" s="82"/>
      <c r="H102" s="82"/>
      <c r="I102" s="82"/>
      <c r="J102" s="32"/>
      <c r="K102" s="82"/>
      <c r="L102" s="82"/>
      <c r="M102" s="82"/>
      <c r="N102" s="32">
        <f t="shared" si="117"/>
        <v>0</v>
      </c>
      <c r="O102" s="82"/>
      <c r="P102" s="82"/>
      <c r="Q102" s="82"/>
      <c r="R102" s="32">
        <f t="shared" si="118"/>
        <v>0</v>
      </c>
      <c r="S102" s="82"/>
      <c r="T102" s="82"/>
      <c r="U102" s="82"/>
      <c r="V102" s="82"/>
      <c r="W102" s="82"/>
      <c r="X102" s="82"/>
      <c r="Y102" s="82"/>
      <c r="Z102" s="32"/>
      <c r="AA102" s="32">
        <f>SUM(K102:N102)</f>
        <v>0</v>
      </c>
      <c r="AB102" s="32">
        <f>SUM(L102:O102)</f>
        <v>0</v>
      </c>
      <c r="AC102" s="32">
        <f>SUM(M102:P102)</f>
        <v>0</v>
      </c>
      <c r="AD102" s="32">
        <f>SUM(N102:Q102)</f>
        <v>0</v>
      </c>
      <c r="AE102" s="32">
        <f>SUM(O102:R102)</f>
        <v>0</v>
      </c>
      <c r="AF102" s="32">
        <f>SUM(P102:S102)</f>
        <v>0</v>
      </c>
      <c r="AG102" s="32">
        <f>SUM(Q102:T102)</f>
        <v>0</v>
      </c>
      <c r="AH102" s="32">
        <f>SUM(R102:U102)</f>
        <v>0</v>
      </c>
      <c r="AI102" s="59"/>
      <c r="AJ102" s="75" t="e">
        <f t="shared" si="119"/>
        <v>#DIV/0!</v>
      </c>
    </row>
    <row r="103" spans="2:36" ht="12.75" customHeight="1">
      <c r="B103" s="13" t="s">
        <v>53</v>
      </c>
      <c r="C103" s="14">
        <f t="shared" ref="C103:I103" si="120">SUM(C99:C102)</f>
        <v>0</v>
      </c>
      <c r="D103" s="14">
        <f t="shared" si="120"/>
        <v>0</v>
      </c>
      <c r="E103" s="14">
        <f t="shared" si="120"/>
        <v>0</v>
      </c>
      <c r="F103" s="14">
        <f t="shared" si="120"/>
        <v>0</v>
      </c>
      <c r="G103" s="14">
        <f t="shared" si="120"/>
        <v>0</v>
      </c>
      <c r="H103" s="14">
        <f t="shared" si="120"/>
        <v>0</v>
      </c>
      <c r="I103" s="14">
        <f t="shared" si="120"/>
        <v>0</v>
      </c>
      <c r="K103" s="14">
        <f t="shared" ref="K103:V103" si="121">SUM(K99:K102)</f>
        <v>0</v>
      </c>
      <c r="L103" s="14">
        <f t="shared" si="121"/>
        <v>0</v>
      </c>
      <c r="M103" s="14">
        <f t="shared" si="121"/>
        <v>0</v>
      </c>
      <c r="N103" s="14">
        <f t="shared" si="121"/>
        <v>0</v>
      </c>
      <c r="O103" s="14">
        <f t="shared" si="121"/>
        <v>0</v>
      </c>
      <c r="P103" s="14">
        <f t="shared" si="121"/>
        <v>0</v>
      </c>
      <c r="Q103" s="14">
        <f t="shared" si="121"/>
        <v>0</v>
      </c>
      <c r="R103" s="14">
        <f t="shared" si="121"/>
        <v>0</v>
      </c>
      <c r="S103" s="14">
        <f t="shared" si="121"/>
        <v>0</v>
      </c>
      <c r="T103" s="14">
        <f t="shared" si="121"/>
        <v>0</v>
      </c>
      <c r="U103" s="14">
        <f t="shared" si="121"/>
        <v>0</v>
      </c>
      <c r="V103" s="14">
        <f t="shared" si="121"/>
        <v>0</v>
      </c>
      <c r="W103" s="14">
        <f t="shared" ref="W103" si="122">SUM(W99:W102)</f>
        <v>0</v>
      </c>
      <c r="X103" s="14">
        <f t="shared" ref="X103" si="123">SUM(X99:X102)</f>
        <v>0</v>
      </c>
      <c r="Y103" s="14">
        <f t="shared" ref="Y103" si="124">SUM(Y99:Y102)</f>
        <v>0</v>
      </c>
      <c r="AA103" s="14">
        <f t="shared" ref="AA103:AH103" si="125">SUM(AA102:AA102)</f>
        <v>0</v>
      </c>
      <c r="AB103" s="14">
        <f t="shared" si="125"/>
        <v>0</v>
      </c>
      <c r="AC103" s="14">
        <f t="shared" si="125"/>
        <v>0</v>
      </c>
      <c r="AD103" s="14">
        <f t="shared" si="125"/>
        <v>0</v>
      </c>
      <c r="AE103" s="14">
        <f t="shared" si="125"/>
        <v>0</v>
      </c>
      <c r="AF103" s="14">
        <f t="shared" si="125"/>
        <v>0</v>
      </c>
      <c r="AG103" s="14">
        <f t="shared" si="125"/>
        <v>0</v>
      </c>
      <c r="AH103" s="14">
        <f t="shared" si="125"/>
        <v>0</v>
      </c>
      <c r="AI103" s="42"/>
      <c r="AJ103" s="76" t="e">
        <f t="shared" ref="AJ103:AJ109" si="126">SUM(AH103/AD103)-1</f>
        <v>#DIV/0!</v>
      </c>
    </row>
    <row r="104" spans="2:36" ht="5.0999999999999996" customHeight="1">
      <c r="B104" s="52"/>
      <c r="C104" s="61"/>
      <c r="D104" s="61"/>
      <c r="E104" s="61"/>
      <c r="F104" s="61"/>
      <c r="G104" s="61"/>
      <c r="H104" s="61"/>
      <c r="I104" s="61"/>
      <c r="K104" s="61"/>
      <c r="L104" s="61"/>
      <c r="M104" s="61"/>
      <c r="N104" s="61"/>
      <c r="O104" s="61"/>
      <c r="P104" s="61"/>
      <c r="Q104" s="61"/>
      <c r="R104" s="61"/>
      <c r="S104" s="61"/>
      <c r="T104" s="61"/>
      <c r="U104" s="61"/>
      <c r="V104" s="61"/>
      <c r="W104" s="61"/>
      <c r="X104" s="61"/>
      <c r="Y104" s="61"/>
      <c r="AA104" s="42"/>
      <c r="AB104" s="42"/>
      <c r="AC104" s="42"/>
      <c r="AD104" s="42"/>
      <c r="AE104" s="42"/>
      <c r="AF104" s="42"/>
      <c r="AG104" s="42"/>
      <c r="AH104" s="42"/>
      <c r="AI104" s="42"/>
      <c r="AJ104" s="39"/>
    </row>
    <row r="105" spans="2:36" ht="12.75" customHeight="1">
      <c r="B105" s="53" t="s">
        <v>54</v>
      </c>
      <c r="C105" s="63"/>
      <c r="D105" s="63"/>
      <c r="E105" s="63"/>
      <c r="F105" s="63"/>
      <c r="G105" s="63"/>
      <c r="H105" s="63"/>
      <c r="I105" s="63"/>
      <c r="K105" s="63"/>
      <c r="L105" s="63"/>
      <c r="M105" s="63"/>
      <c r="N105" s="63"/>
      <c r="O105" s="63"/>
      <c r="P105" s="63"/>
      <c r="Q105" s="63"/>
      <c r="R105" s="63"/>
      <c r="S105" s="63"/>
      <c r="T105" s="63"/>
      <c r="U105" s="63"/>
      <c r="V105" s="63"/>
      <c r="W105" s="63"/>
      <c r="X105" s="63"/>
      <c r="Y105" s="63"/>
      <c r="Z105" s="32"/>
      <c r="AA105" s="32"/>
      <c r="AB105" s="32"/>
      <c r="AC105" s="32"/>
      <c r="AD105" s="32"/>
      <c r="AE105" s="32"/>
      <c r="AF105" s="32"/>
      <c r="AG105" s="32"/>
      <c r="AH105" s="32"/>
      <c r="AI105" s="64"/>
      <c r="AJ105" s="75"/>
    </row>
    <row r="106" spans="2:36" ht="12.75" customHeight="1">
      <c r="B106" s="84" t="s">
        <v>155</v>
      </c>
      <c r="C106" s="82"/>
      <c r="D106" s="82"/>
      <c r="E106" s="82"/>
      <c r="F106" s="82"/>
      <c r="G106" s="82"/>
      <c r="H106" s="82"/>
      <c r="I106" s="82"/>
      <c r="K106" s="82"/>
      <c r="L106" s="82"/>
      <c r="M106" s="82"/>
      <c r="N106" s="32">
        <f t="shared" ref="N106:N108" si="127">SUM(G106-SUM(K106:M106))</f>
        <v>0</v>
      </c>
      <c r="O106" s="82"/>
      <c r="P106" s="82"/>
      <c r="Q106" s="82"/>
      <c r="R106" s="32">
        <f t="shared" ref="R106:R108" si="128">SUM(H106-SUM(O106:Q106))</f>
        <v>0</v>
      </c>
      <c r="S106" s="82"/>
      <c r="T106" s="82"/>
      <c r="U106" s="82"/>
      <c r="V106" s="82"/>
      <c r="W106" s="82"/>
      <c r="X106" s="82"/>
      <c r="Y106" s="82"/>
      <c r="Z106" s="32"/>
      <c r="AA106" s="32">
        <f>SUM(K106:N106)</f>
        <v>0</v>
      </c>
      <c r="AB106" s="32">
        <f>SUM(L106:O106)</f>
        <v>0</v>
      </c>
      <c r="AC106" s="32">
        <f>SUM(M106:P106)</f>
        <v>0</v>
      </c>
      <c r="AD106" s="32">
        <f>SUM(N106:Q106)</f>
        <v>0</v>
      </c>
      <c r="AE106" s="32">
        <f>SUM(O106:R106)</f>
        <v>0</v>
      </c>
      <c r="AF106" s="32">
        <f>SUM(P106:S106)</f>
        <v>0</v>
      </c>
      <c r="AG106" s="32">
        <f>SUM(Q106:T106)</f>
        <v>0</v>
      </c>
      <c r="AH106" s="32">
        <f>SUM(R106:U106)</f>
        <v>0</v>
      </c>
      <c r="AI106" s="64"/>
      <c r="AJ106" s="75" t="e">
        <f t="shared" si="126"/>
        <v>#DIV/0!</v>
      </c>
    </row>
    <row r="107" spans="2:36" ht="12.75" customHeight="1">
      <c r="B107" s="84" t="s">
        <v>156</v>
      </c>
      <c r="C107" s="82"/>
      <c r="D107" s="82"/>
      <c r="E107" s="82"/>
      <c r="F107" s="82"/>
      <c r="G107" s="82"/>
      <c r="H107" s="82"/>
      <c r="I107" s="82"/>
      <c r="K107" s="82"/>
      <c r="L107" s="82"/>
      <c r="M107" s="82"/>
      <c r="N107" s="32">
        <f t="shared" si="127"/>
        <v>0</v>
      </c>
      <c r="O107" s="82"/>
      <c r="P107" s="82"/>
      <c r="Q107" s="82"/>
      <c r="R107" s="32">
        <f t="shared" si="128"/>
        <v>0</v>
      </c>
      <c r="S107" s="82"/>
      <c r="T107" s="82"/>
      <c r="U107" s="82"/>
      <c r="V107" s="82"/>
      <c r="W107" s="82"/>
      <c r="X107" s="82"/>
      <c r="Y107" s="82"/>
      <c r="Z107" s="32"/>
      <c r="AA107" s="32">
        <f>SUM(K107:N107)</f>
        <v>0</v>
      </c>
      <c r="AB107" s="32">
        <f>SUM(L107:O107)</f>
        <v>0</v>
      </c>
      <c r="AC107" s="32">
        <f>SUM(M107:P107)</f>
        <v>0</v>
      </c>
      <c r="AD107" s="32">
        <f>SUM(N107:Q107)</f>
        <v>0</v>
      </c>
      <c r="AE107" s="32">
        <f>SUM(O107:R107)</f>
        <v>0</v>
      </c>
      <c r="AF107" s="32">
        <f>SUM(P107:S107)</f>
        <v>0</v>
      </c>
      <c r="AG107" s="32">
        <f>SUM(Q107:T107)</f>
        <v>0</v>
      </c>
      <c r="AH107" s="32">
        <f>SUM(R107:U107)</f>
        <v>0</v>
      </c>
      <c r="AI107" s="64"/>
      <c r="AJ107" s="75" t="e">
        <f t="shared" ref="AJ107" si="129">SUM(AH107/AD107)-1</f>
        <v>#DIV/0!</v>
      </c>
    </row>
    <row r="108" spans="2:36" ht="12.75" customHeight="1">
      <c r="B108" s="84" t="s">
        <v>157</v>
      </c>
      <c r="C108" s="82"/>
      <c r="D108" s="82"/>
      <c r="E108" s="82"/>
      <c r="F108" s="82"/>
      <c r="G108" s="82"/>
      <c r="H108" s="82"/>
      <c r="I108" s="82"/>
      <c r="K108" s="82"/>
      <c r="L108" s="82"/>
      <c r="M108" s="82"/>
      <c r="N108" s="32">
        <f t="shared" si="127"/>
        <v>0</v>
      </c>
      <c r="O108" s="82"/>
      <c r="P108" s="82"/>
      <c r="Q108" s="82"/>
      <c r="R108" s="32">
        <f t="shared" si="128"/>
        <v>0</v>
      </c>
      <c r="S108" s="82"/>
      <c r="T108" s="82"/>
      <c r="U108" s="82"/>
      <c r="V108" s="82"/>
      <c r="W108" s="82"/>
      <c r="X108" s="82"/>
      <c r="Y108" s="82"/>
      <c r="Z108" s="32"/>
      <c r="AA108" s="32">
        <f>SUM(K108:N108)</f>
        <v>0</v>
      </c>
      <c r="AB108" s="32">
        <f>SUM(L108:O108)</f>
        <v>0</v>
      </c>
      <c r="AC108" s="32">
        <f>SUM(M108:P108)</f>
        <v>0</v>
      </c>
      <c r="AD108" s="32">
        <f>SUM(N108:Q108)</f>
        <v>0</v>
      </c>
      <c r="AE108" s="32">
        <f>SUM(O108:R108)</f>
        <v>0</v>
      </c>
      <c r="AF108" s="32">
        <f>SUM(P108:S108)</f>
        <v>0</v>
      </c>
      <c r="AG108" s="32">
        <f>SUM(Q108:T108)</f>
        <v>0</v>
      </c>
      <c r="AH108" s="32">
        <f>SUM(R108:U108)</f>
        <v>0</v>
      </c>
      <c r="AI108" s="64"/>
      <c r="AJ108" s="75" t="e">
        <f t="shared" si="126"/>
        <v>#DIV/0!</v>
      </c>
    </row>
    <row r="109" spans="2:36" ht="12.75" customHeight="1">
      <c r="B109" s="13" t="s">
        <v>55</v>
      </c>
      <c r="C109" s="14">
        <f t="shared" ref="C109:I109" si="130">SUM(C106:C108)</f>
        <v>0</v>
      </c>
      <c r="D109" s="14">
        <f t="shared" si="130"/>
        <v>0</v>
      </c>
      <c r="E109" s="14">
        <f t="shared" si="130"/>
        <v>0</v>
      </c>
      <c r="F109" s="14">
        <f t="shared" si="130"/>
        <v>0</v>
      </c>
      <c r="G109" s="14">
        <f t="shared" si="130"/>
        <v>0</v>
      </c>
      <c r="H109" s="14">
        <f t="shared" si="130"/>
        <v>0</v>
      </c>
      <c r="I109" s="14">
        <f t="shared" si="130"/>
        <v>0</v>
      </c>
      <c r="K109" s="14">
        <f t="shared" ref="K109:V109" si="131">SUM(K106:K108)</f>
        <v>0</v>
      </c>
      <c r="L109" s="14">
        <f t="shared" si="131"/>
        <v>0</v>
      </c>
      <c r="M109" s="14">
        <f t="shared" si="131"/>
        <v>0</v>
      </c>
      <c r="N109" s="14">
        <f t="shared" si="131"/>
        <v>0</v>
      </c>
      <c r="O109" s="14">
        <f t="shared" si="131"/>
        <v>0</v>
      </c>
      <c r="P109" s="14">
        <f t="shared" si="131"/>
        <v>0</v>
      </c>
      <c r="Q109" s="14">
        <f t="shared" si="131"/>
        <v>0</v>
      </c>
      <c r="R109" s="14">
        <f t="shared" si="131"/>
        <v>0</v>
      </c>
      <c r="S109" s="14">
        <f t="shared" si="131"/>
        <v>0</v>
      </c>
      <c r="T109" s="14">
        <f t="shared" si="131"/>
        <v>0</v>
      </c>
      <c r="U109" s="14">
        <f t="shared" si="131"/>
        <v>0</v>
      </c>
      <c r="V109" s="14">
        <f t="shared" si="131"/>
        <v>0</v>
      </c>
      <c r="W109" s="14">
        <f t="shared" ref="W109" si="132">SUM(W106:W108)</f>
        <v>0</v>
      </c>
      <c r="X109" s="14">
        <f t="shared" ref="X109" si="133">SUM(X106:X108)</f>
        <v>0</v>
      </c>
      <c r="Y109" s="14">
        <f t="shared" ref="Y109" si="134">SUM(Y106:Y108)</f>
        <v>0</v>
      </c>
      <c r="AA109" s="14">
        <f t="shared" ref="AA109:AH109" si="135">SUM(AA106:AA108)</f>
        <v>0</v>
      </c>
      <c r="AB109" s="14">
        <f t="shared" si="135"/>
        <v>0</v>
      </c>
      <c r="AC109" s="14">
        <f t="shared" si="135"/>
        <v>0</v>
      </c>
      <c r="AD109" s="14">
        <f t="shared" si="135"/>
        <v>0</v>
      </c>
      <c r="AE109" s="14">
        <f t="shared" si="135"/>
        <v>0</v>
      </c>
      <c r="AF109" s="14">
        <f t="shared" si="135"/>
        <v>0</v>
      </c>
      <c r="AG109" s="14">
        <f t="shared" si="135"/>
        <v>0</v>
      </c>
      <c r="AH109" s="14">
        <f t="shared" si="135"/>
        <v>0</v>
      </c>
      <c r="AI109" s="42"/>
      <c r="AJ109" s="76" t="e">
        <f t="shared" si="126"/>
        <v>#DIV/0!</v>
      </c>
    </row>
    <row r="110" spans="2:36" ht="5.0999999999999996" customHeight="1">
      <c r="B110" s="71"/>
      <c r="C110" s="32"/>
      <c r="D110" s="32"/>
      <c r="E110" s="32"/>
      <c r="F110" s="32"/>
      <c r="G110" s="32"/>
      <c r="H110" s="32"/>
      <c r="I110" s="32"/>
      <c r="J110" s="32"/>
      <c r="K110" s="32"/>
      <c r="L110" s="32"/>
      <c r="M110" s="32"/>
      <c r="N110" s="32"/>
      <c r="O110" s="32"/>
      <c r="P110" s="32"/>
      <c r="Q110" s="32"/>
      <c r="R110" s="32"/>
      <c r="S110" s="32"/>
      <c r="T110" s="32"/>
      <c r="U110" s="32"/>
      <c r="V110" s="32"/>
      <c r="W110" s="32"/>
      <c r="X110" s="32"/>
      <c r="Y110" s="32"/>
      <c r="Z110" s="32"/>
      <c r="AA110" s="32"/>
      <c r="AB110" s="32"/>
      <c r="AC110" s="32"/>
      <c r="AD110" s="32"/>
      <c r="AE110" s="32"/>
      <c r="AF110" s="32"/>
      <c r="AG110" s="32"/>
      <c r="AH110" s="32"/>
      <c r="AI110" s="11"/>
      <c r="AJ110" s="45"/>
    </row>
    <row r="111" spans="2:36">
      <c r="B111" s="92" t="s">
        <v>81</v>
      </c>
      <c r="C111" s="93"/>
      <c r="D111" s="93">
        <f t="shared" ref="D111:I111" si="136">C118</f>
        <v>2796</v>
      </c>
      <c r="E111" s="93">
        <f t="shared" si="136"/>
        <v>7128</v>
      </c>
      <c r="F111" s="93">
        <f t="shared" si="136"/>
        <v>16880</v>
      </c>
      <c r="G111" s="93">
        <f t="shared" si="136"/>
        <v>21248</v>
      </c>
      <c r="H111" s="93">
        <f t="shared" si="136"/>
        <v>51008</v>
      </c>
      <c r="I111" s="93">
        <f t="shared" si="136"/>
        <v>123888</v>
      </c>
      <c r="J111" s="93"/>
      <c r="K111" s="93"/>
      <c r="L111" s="93">
        <f t="shared" ref="L111:U111" si="137">K118</f>
        <v>2043</v>
      </c>
      <c r="M111" s="93">
        <f t="shared" si="137"/>
        <v>8231</v>
      </c>
      <c r="N111" s="93">
        <f t="shared" si="137"/>
        <v>17474</v>
      </c>
      <c r="O111" s="93">
        <f t="shared" si="137"/>
        <v>29760</v>
      </c>
      <c r="P111" s="93">
        <f t="shared" si="137"/>
        <v>44641</v>
      </c>
      <c r="Q111" s="93">
        <f t="shared" si="137"/>
        <v>61240</v>
      </c>
      <c r="R111" s="93">
        <f t="shared" si="137"/>
        <v>80549</v>
      </c>
      <c r="S111" s="93">
        <f t="shared" si="137"/>
        <v>102640</v>
      </c>
      <c r="T111" s="93">
        <f t="shared" si="137"/>
        <v>121415</v>
      </c>
      <c r="U111" s="93">
        <f t="shared" si="137"/>
        <v>147837</v>
      </c>
      <c r="V111" s="93">
        <f t="shared" ref="V111:Y111" si="138">U118</f>
        <v>179747</v>
      </c>
      <c r="W111" s="93">
        <f t="shared" si="138"/>
        <v>102640</v>
      </c>
      <c r="X111" s="93">
        <f t="shared" si="138"/>
        <v>102640</v>
      </c>
      <c r="Y111" s="93">
        <f t="shared" si="138"/>
        <v>102640</v>
      </c>
      <c r="Z111" s="93"/>
      <c r="AA111" s="93">
        <f>G111</f>
        <v>21248</v>
      </c>
      <c r="AB111" s="93">
        <f>K118</f>
        <v>2043</v>
      </c>
      <c r="AC111" s="93">
        <f>L118</f>
        <v>8231</v>
      </c>
      <c r="AD111" s="93">
        <f>M118</f>
        <v>17474</v>
      </c>
      <c r="AE111" s="93">
        <f>N118</f>
        <v>29760</v>
      </c>
      <c r="AF111" s="93">
        <f>O118</f>
        <v>44641</v>
      </c>
      <c r="AG111" s="93">
        <f>P118</f>
        <v>61240</v>
      </c>
      <c r="AH111" s="140">
        <f>Q118</f>
        <v>80549</v>
      </c>
      <c r="AI111" s="11"/>
      <c r="AJ111" s="45"/>
    </row>
    <row r="112" spans="2:36">
      <c r="B112" s="130" t="s">
        <v>94</v>
      </c>
      <c r="C112" s="32"/>
      <c r="D112" s="32"/>
      <c r="E112" s="32"/>
      <c r="F112" s="32">
        <f t="shared" ref="F112:I112" si="139">-E116</f>
        <v>0</v>
      </c>
      <c r="G112" s="32">
        <f t="shared" si="139"/>
        <v>0</v>
      </c>
      <c r="H112" s="32">
        <f t="shared" si="139"/>
        <v>0</v>
      </c>
      <c r="I112" s="32">
        <f t="shared" si="139"/>
        <v>0</v>
      </c>
      <c r="J112" s="32"/>
      <c r="K112" s="32"/>
      <c r="L112" s="32">
        <f t="shared" ref="L112:V112" si="140">-K116</f>
        <v>0</v>
      </c>
      <c r="M112" s="32">
        <f t="shared" si="140"/>
        <v>0</v>
      </c>
      <c r="N112" s="32">
        <f t="shared" si="140"/>
        <v>0</v>
      </c>
      <c r="O112" s="32">
        <f t="shared" si="140"/>
        <v>0</v>
      </c>
      <c r="P112" s="32">
        <f t="shared" si="140"/>
        <v>0</v>
      </c>
      <c r="Q112" s="32">
        <f t="shared" si="140"/>
        <v>0</v>
      </c>
      <c r="R112" s="32">
        <f t="shared" si="140"/>
        <v>0</v>
      </c>
      <c r="S112" s="32">
        <f t="shared" si="140"/>
        <v>0</v>
      </c>
      <c r="T112" s="32">
        <f t="shared" si="140"/>
        <v>0</v>
      </c>
      <c r="U112" s="32">
        <f t="shared" si="140"/>
        <v>0</v>
      </c>
      <c r="V112" s="32">
        <f t="shared" si="140"/>
        <v>0</v>
      </c>
      <c r="W112" s="32">
        <f t="shared" ref="W112" si="141">-V116</f>
        <v>0</v>
      </c>
      <c r="X112" s="32">
        <f t="shared" ref="X112" si="142">-W116</f>
        <v>0</v>
      </c>
      <c r="Y112" s="32">
        <f t="shared" ref="Y112" si="143">-X116</f>
        <v>0</v>
      </c>
      <c r="Z112" s="32"/>
      <c r="AA112" s="32">
        <f>G112</f>
        <v>0</v>
      </c>
      <c r="AB112" s="32">
        <f>-K116</f>
        <v>0</v>
      </c>
      <c r="AC112" s="32">
        <f>-L116</f>
        <v>0</v>
      </c>
      <c r="AD112" s="32">
        <f>-M116</f>
        <v>0</v>
      </c>
      <c r="AE112" s="32">
        <f>-N116</f>
        <v>0</v>
      </c>
      <c r="AF112" s="32">
        <f>-O116</f>
        <v>0</v>
      </c>
      <c r="AG112" s="32">
        <f>-P116</f>
        <v>0</v>
      </c>
      <c r="AH112" s="134">
        <f>-Q116</f>
        <v>0</v>
      </c>
      <c r="AI112" s="11"/>
      <c r="AJ112" s="45"/>
    </row>
    <row r="113" spans="2:36">
      <c r="B113" s="145" t="s">
        <v>68</v>
      </c>
      <c r="C113" s="146">
        <f t="shared" ref="C113:D113" si="144">SUM(C111:C112)</f>
        <v>0</v>
      </c>
      <c r="D113" s="146">
        <f t="shared" si="144"/>
        <v>2796</v>
      </c>
      <c r="E113" s="146">
        <f t="shared" ref="E113:H113" si="145">SUM(E111:E112)</f>
        <v>7128</v>
      </c>
      <c r="F113" s="146">
        <f t="shared" si="145"/>
        <v>16880</v>
      </c>
      <c r="G113" s="146">
        <f t="shared" si="145"/>
        <v>21248</v>
      </c>
      <c r="H113" s="146">
        <f t="shared" si="145"/>
        <v>51008</v>
      </c>
      <c r="I113" s="146">
        <f t="shared" ref="I113" si="146">SUM(I111:I112)</f>
        <v>123888</v>
      </c>
      <c r="J113" s="32"/>
      <c r="K113" s="146">
        <f t="shared" ref="K113:U113" si="147">SUM(K111:K112)</f>
        <v>0</v>
      </c>
      <c r="L113" s="146">
        <f t="shared" si="147"/>
        <v>2043</v>
      </c>
      <c r="M113" s="146">
        <f t="shared" si="147"/>
        <v>8231</v>
      </c>
      <c r="N113" s="146">
        <f t="shared" si="147"/>
        <v>17474</v>
      </c>
      <c r="O113" s="146">
        <f t="shared" si="147"/>
        <v>29760</v>
      </c>
      <c r="P113" s="146">
        <f t="shared" si="147"/>
        <v>44641</v>
      </c>
      <c r="Q113" s="146">
        <f t="shared" si="147"/>
        <v>61240</v>
      </c>
      <c r="R113" s="146">
        <f t="shared" si="147"/>
        <v>80549</v>
      </c>
      <c r="S113" s="146">
        <f t="shared" si="147"/>
        <v>102640</v>
      </c>
      <c r="T113" s="146">
        <f t="shared" si="147"/>
        <v>121415</v>
      </c>
      <c r="U113" s="146">
        <f t="shared" si="147"/>
        <v>147837</v>
      </c>
      <c r="V113" s="146">
        <f t="shared" ref="V113:Y113" si="148">SUM(V111:V112)</f>
        <v>179747</v>
      </c>
      <c r="W113" s="146">
        <f t="shared" si="148"/>
        <v>102640</v>
      </c>
      <c r="X113" s="146">
        <f t="shared" si="148"/>
        <v>102640</v>
      </c>
      <c r="Y113" s="146">
        <f t="shared" si="148"/>
        <v>102640</v>
      </c>
      <c r="Z113" s="32"/>
      <c r="AA113" s="133">
        <f t="shared" ref="AA113:AH113" si="149">SUM(AA111:AA112)</f>
        <v>21248</v>
      </c>
      <c r="AB113" s="133">
        <f t="shared" si="149"/>
        <v>2043</v>
      </c>
      <c r="AC113" s="133">
        <f t="shared" si="149"/>
        <v>8231</v>
      </c>
      <c r="AD113" s="146">
        <f t="shared" si="149"/>
        <v>17474</v>
      </c>
      <c r="AE113" s="146">
        <f t="shared" si="149"/>
        <v>29760</v>
      </c>
      <c r="AF113" s="146">
        <f t="shared" si="149"/>
        <v>44641</v>
      </c>
      <c r="AG113" s="146">
        <f t="shared" si="149"/>
        <v>61240</v>
      </c>
      <c r="AH113" s="147">
        <f t="shared" si="149"/>
        <v>80549</v>
      </c>
      <c r="AI113" s="11"/>
      <c r="AJ113" s="45"/>
    </row>
    <row r="114" spans="2:36" ht="5.0999999999999996" customHeight="1">
      <c r="B114" s="137"/>
      <c r="C114" s="71"/>
      <c r="D114" s="71"/>
      <c r="E114" s="71"/>
      <c r="F114" s="71"/>
      <c r="G114" s="71"/>
      <c r="H114" s="71"/>
      <c r="I114" s="71"/>
      <c r="J114" s="32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32"/>
      <c r="AA114" s="71"/>
      <c r="AB114" s="71"/>
      <c r="AC114" s="71"/>
      <c r="AD114" s="71"/>
      <c r="AE114" s="71"/>
      <c r="AF114" s="71"/>
      <c r="AG114" s="71"/>
      <c r="AH114" s="135"/>
      <c r="AI114" s="11"/>
      <c r="AJ114" s="45"/>
    </row>
    <row r="115" spans="2:36">
      <c r="B115" s="130" t="s">
        <v>82</v>
      </c>
      <c r="C115" s="82"/>
      <c r="D115" s="82"/>
      <c r="E115" s="82"/>
      <c r="F115" s="82"/>
      <c r="G115" s="82"/>
      <c r="H115" s="82"/>
      <c r="I115" s="82"/>
      <c r="J115" s="32"/>
      <c r="K115" s="82"/>
      <c r="L115" s="82"/>
      <c r="M115" s="82"/>
      <c r="N115" s="32">
        <f t="shared" ref="N115" si="150">SUM(G115-SUM(K115:M115))</f>
        <v>0</v>
      </c>
      <c r="O115" s="82"/>
      <c r="P115" s="82"/>
      <c r="Q115" s="82"/>
      <c r="R115" s="32">
        <f t="shared" ref="R115" si="151">SUM(H115-SUM(O115:Q115))</f>
        <v>0</v>
      </c>
      <c r="S115" s="82"/>
      <c r="T115" s="82"/>
      <c r="U115" s="82"/>
      <c r="V115" s="82"/>
      <c r="W115" s="82"/>
      <c r="X115" s="82"/>
      <c r="Y115" s="82"/>
      <c r="Z115" s="32"/>
      <c r="AA115" s="32">
        <f>SUM(K115:N115)</f>
        <v>0</v>
      </c>
      <c r="AB115" s="32">
        <f>SUM(L115:O115)</f>
        <v>0</v>
      </c>
      <c r="AC115" s="32">
        <f>SUM(M115:P115)</f>
        <v>0</v>
      </c>
      <c r="AD115" s="32">
        <f>SUM(N115:Q115)</f>
        <v>0</v>
      </c>
      <c r="AE115" s="32">
        <f>SUM(O115:R115)</f>
        <v>0</v>
      </c>
      <c r="AF115" s="32">
        <f>SUM(P115:S115)</f>
        <v>0</v>
      </c>
      <c r="AG115" s="32">
        <f>SUM(Q115:T115)</f>
        <v>0</v>
      </c>
      <c r="AH115" s="134">
        <f>SUM(R115:U115)</f>
        <v>0</v>
      </c>
      <c r="AI115" s="11"/>
      <c r="AJ115" s="45"/>
    </row>
    <row r="116" spans="2:36">
      <c r="B116" s="130" t="s">
        <v>92</v>
      </c>
      <c r="C116" s="82"/>
      <c r="D116" s="82"/>
      <c r="E116" s="82"/>
      <c r="F116" s="82"/>
      <c r="G116" s="82"/>
      <c r="H116" s="82"/>
      <c r="I116" s="82"/>
      <c r="J116" s="32"/>
      <c r="K116" s="82"/>
      <c r="L116" s="82"/>
      <c r="M116" s="82"/>
      <c r="N116" s="32">
        <f>G116</f>
        <v>0</v>
      </c>
      <c r="O116" s="82"/>
      <c r="P116" s="82"/>
      <c r="Q116" s="82"/>
      <c r="R116" s="32">
        <f>H116</f>
        <v>0</v>
      </c>
      <c r="S116" s="82"/>
      <c r="T116" s="82"/>
      <c r="U116" s="82"/>
      <c r="V116" s="82"/>
      <c r="W116" s="82"/>
      <c r="X116" s="82"/>
      <c r="Y116" s="82"/>
      <c r="Z116" s="32"/>
      <c r="AA116" s="32">
        <f>N116</f>
        <v>0</v>
      </c>
      <c r="AB116" s="32">
        <f>O116</f>
        <v>0</v>
      </c>
      <c r="AC116" s="32">
        <f>P116</f>
        <v>0</v>
      </c>
      <c r="AD116" s="32">
        <f>Q116</f>
        <v>0</v>
      </c>
      <c r="AE116" s="32">
        <f>R116</f>
        <v>0</v>
      </c>
      <c r="AF116" s="32">
        <f>S116</f>
        <v>0</v>
      </c>
      <c r="AG116" s="32">
        <f>T116</f>
        <v>0</v>
      </c>
      <c r="AH116" s="134">
        <f>U116</f>
        <v>0</v>
      </c>
      <c r="AI116" s="11"/>
      <c r="AJ116" s="45"/>
    </row>
    <row r="117" spans="2:36">
      <c r="B117" s="130" t="s">
        <v>59</v>
      </c>
      <c r="C117" s="32">
        <f t="shared" ref="C117:H117" si="152">+C109+C103+C96</f>
        <v>2796</v>
      </c>
      <c r="D117" s="32">
        <f t="shared" si="152"/>
        <v>4332</v>
      </c>
      <c r="E117" s="32">
        <f t="shared" si="152"/>
        <v>9752</v>
      </c>
      <c r="F117" s="32">
        <f t="shared" si="152"/>
        <v>4368</v>
      </c>
      <c r="G117" s="32">
        <f t="shared" si="152"/>
        <v>29760</v>
      </c>
      <c r="H117" s="32">
        <f t="shared" si="152"/>
        <v>72880</v>
      </c>
      <c r="I117" s="32">
        <f t="shared" ref="I117" si="153">+I109+I103+I96</f>
        <v>0</v>
      </c>
      <c r="J117" s="32"/>
      <c r="K117" s="32">
        <f t="shared" ref="K117:U117" si="154">+K109+K103+K96</f>
        <v>2043</v>
      </c>
      <c r="L117" s="32">
        <f t="shared" si="154"/>
        <v>6188</v>
      </c>
      <c r="M117" s="32">
        <f t="shared" si="154"/>
        <v>9243</v>
      </c>
      <c r="N117" s="32">
        <f t="shared" si="154"/>
        <v>12286</v>
      </c>
      <c r="O117" s="32">
        <f t="shared" si="154"/>
        <v>14881</v>
      </c>
      <c r="P117" s="32">
        <f t="shared" si="154"/>
        <v>16599</v>
      </c>
      <c r="Q117" s="32">
        <f t="shared" si="154"/>
        <v>19309</v>
      </c>
      <c r="R117" s="32">
        <f t="shared" si="154"/>
        <v>22091</v>
      </c>
      <c r="S117" s="32">
        <f t="shared" si="154"/>
        <v>18775</v>
      </c>
      <c r="T117" s="32">
        <f t="shared" si="154"/>
        <v>26422</v>
      </c>
      <c r="U117" s="32">
        <f t="shared" si="154"/>
        <v>31910</v>
      </c>
      <c r="V117" s="32">
        <f t="shared" ref="V117:Y117" si="155">+V109+V103+V96</f>
        <v>-77107</v>
      </c>
      <c r="W117" s="32">
        <f t="shared" si="155"/>
        <v>0</v>
      </c>
      <c r="X117" s="32">
        <f t="shared" si="155"/>
        <v>0</v>
      </c>
      <c r="Y117" s="32">
        <f t="shared" si="155"/>
        <v>0</v>
      </c>
      <c r="Z117" s="32"/>
      <c r="AA117" s="32">
        <f>SUM(K117:N117)</f>
        <v>29760</v>
      </c>
      <c r="AB117" s="32">
        <f>SUM(L117:O117)</f>
        <v>42598</v>
      </c>
      <c r="AC117" s="32">
        <f>SUM(M117:P117)</f>
        <v>53009</v>
      </c>
      <c r="AD117" s="32">
        <f>SUM(N117:Q117)</f>
        <v>63075</v>
      </c>
      <c r="AE117" s="32">
        <f>SUM(O117:R117)</f>
        <v>72880</v>
      </c>
      <c r="AF117" s="32">
        <f>SUM(P117:S117)</f>
        <v>76774</v>
      </c>
      <c r="AG117" s="32">
        <f>SUM(Q117:T117)</f>
        <v>86597</v>
      </c>
      <c r="AH117" s="134">
        <f>SUM(R117:U117)</f>
        <v>99198</v>
      </c>
      <c r="AI117" s="11"/>
      <c r="AJ117" s="45"/>
    </row>
    <row r="118" spans="2:36">
      <c r="B118" s="89" t="s">
        <v>69</v>
      </c>
      <c r="C118" s="146">
        <f t="shared" ref="C118:I118" si="156">SUM(C113:C117)</f>
        <v>2796</v>
      </c>
      <c r="D118" s="146">
        <f t="shared" si="156"/>
        <v>7128</v>
      </c>
      <c r="E118" s="146">
        <f t="shared" si="156"/>
        <v>16880</v>
      </c>
      <c r="F118" s="146">
        <f t="shared" si="156"/>
        <v>21248</v>
      </c>
      <c r="G118" s="146">
        <f t="shared" si="156"/>
        <v>51008</v>
      </c>
      <c r="H118" s="146">
        <f t="shared" si="156"/>
        <v>123888</v>
      </c>
      <c r="I118" s="146">
        <f t="shared" si="156"/>
        <v>123888</v>
      </c>
      <c r="J118" s="32"/>
      <c r="K118" s="146">
        <f t="shared" ref="K118:V118" si="157">SUM(K113:K117)</f>
        <v>2043</v>
      </c>
      <c r="L118" s="146">
        <f t="shared" si="157"/>
        <v>8231</v>
      </c>
      <c r="M118" s="146">
        <f t="shared" si="157"/>
        <v>17474</v>
      </c>
      <c r="N118" s="146">
        <f t="shared" si="157"/>
        <v>29760</v>
      </c>
      <c r="O118" s="146">
        <f t="shared" si="157"/>
        <v>44641</v>
      </c>
      <c r="P118" s="146">
        <f t="shared" si="157"/>
        <v>61240</v>
      </c>
      <c r="Q118" s="146">
        <f t="shared" si="157"/>
        <v>80549</v>
      </c>
      <c r="R118" s="146">
        <f t="shared" si="157"/>
        <v>102640</v>
      </c>
      <c r="S118" s="146">
        <f t="shared" si="157"/>
        <v>121415</v>
      </c>
      <c r="T118" s="146">
        <f t="shared" si="157"/>
        <v>147837</v>
      </c>
      <c r="U118" s="146">
        <f t="shared" si="157"/>
        <v>179747</v>
      </c>
      <c r="V118" s="146">
        <f t="shared" si="157"/>
        <v>102640</v>
      </c>
      <c r="W118" s="146">
        <f t="shared" ref="W118" si="158">SUM(W113:W117)</f>
        <v>102640</v>
      </c>
      <c r="X118" s="146">
        <f t="shared" ref="X118" si="159">SUM(X113:X117)</f>
        <v>102640</v>
      </c>
      <c r="Y118" s="146">
        <f t="shared" ref="Y118" si="160">SUM(Y113:Y117)</f>
        <v>102640</v>
      </c>
      <c r="Z118" s="32"/>
      <c r="AA118" s="133">
        <f t="shared" ref="AA118:AH118" si="161">SUM(AA113:AA117)</f>
        <v>51008</v>
      </c>
      <c r="AB118" s="133">
        <f t="shared" si="161"/>
        <v>44641</v>
      </c>
      <c r="AC118" s="133">
        <f t="shared" si="161"/>
        <v>61240</v>
      </c>
      <c r="AD118" s="146">
        <f t="shared" si="161"/>
        <v>80549</v>
      </c>
      <c r="AE118" s="146">
        <f t="shared" si="161"/>
        <v>102640</v>
      </c>
      <c r="AF118" s="146">
        <f t="shared" si="161"/>
        <v>121415</v>
      </c>
      <c r="AG118" s="146">
        <f t="shared" si="161"/>
        <v>147837</v>
      </c>
      <c r="AH118" s="147">
        <f t="shared" si="161"/>
        <v>179747</v>
      </c>
      <c r="AI118" s="11"/>
      <c r="AJ118" s="45"/>
    </row>
    <row r="119" spans="2:36" ht="5.0999999999999996" customHeight="1">
      <c r="B119" s="90"/>
      <c r="C119" s="65"/>
      <c r="D119" s="65"/>
      <c r="E119" s="65"/>
      <c r="F119" s="65"/>
      <c r="G119" s="65"/>
      <c r="H119" s="65"/>
      <c r="I119" s="65"/>
      <c r="J119" s="32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AA119" s="11"/>
      <c r="AB119" s="11"/>
      <c r="AC119" s="11"/>
      <c r="AD119" s="11"/>
      <c r="AE119" s="11"/>
      <c r="AF119" s="11"/>
      <c r="AG119" s="11"/>
      <c r="AH119" s="91"/>
      <c r="AI119" s="11"/>
      <c r="AJ119" s="45"/>
    </row>
    <row r="120" spans="2:36">
      <c r="B120" s="138" t="s">
        <v>85</v>
      </c>
      <c r="C120" s="87">
        <f>ROUND(C118-C44,1)</f>
        <v>2796</v>
      </c>
      <c r="D120" s="87">
        <f>ROUND(D118-D44,1)</f>
        <v>6281</v>
      </c>
      <c r="E120" s="87">
        <f>ROUND(E118-E44,1)</f>
        <v>14890</v>
      </c>
      <c r="F120" s="87">
        <f>ROUND(F118-F44,1)</f>
        <v>17409</v>
      </c>
      <c r="G120" s="87">
        <f>ROUND(G118-G44,1)</f>
        <v>43728</v>
      </c>
      <c r="H120" s="87">
        <f>ROUND(H118-H44,1)</f>
        <v>115299</v>
      </c>
      <c r="I120" s="87">
        <f>ROUND(I118-I44,1)</f>
        <v>115299</v>
      </c>
      <c r="J120" s="88"/>
      <c r="K120" s="87">
        <f>K118-K44</f>
        <v>-3036</v>
      </c>
      <c r="L120" s="87">
        <f>L118-L44</f>
        <v>2448</v>
      </c>
      <c r="M120" s="87">
        <f>M118-M44</f>
        <v>11955</v>
      </c>
      <c r="N120" s="87">
        <f>N118-N44</f>
        <v>22480</v>
      </c>
      <c r="O120" s="87">
        <f>O118-O44</f>
        <v>37054</v>
      </c>
      <c r="P120" s="87">
        <f>P118-P44</f>
        <v>52677</v>
      </c>
      <c r="Q120" s="87">
        <f>Q118-Q44</f>
        <v>71442</v>
      </c>
      <c r="R120" s="87">
        <f>R118-R44</f>
        <v>94051</v>
      </c>
      <c r="S120" s="87">
        <f>S118-S44</f>
        <v>106181</v>
      </c>
      <c r="T120" s="87">
        <f>T118-T44</f>
        <v>136198</v>
      </c>
      <c r="U120" s="87">
        <f>U118-U44</f>
        <v>168261</v>
      </c>
      <c r="V120" s="87">
        <f>V118-V44</f>
        <v>91154</v>
      </c>
      <c r="W120" s="87">
        <f>W118-W44</f>
        <v>91154</v>
      </c>
      <c r="X120" s="87">
        <f>X118-X44</f>
        <v>91154</v>
      </c>
      <c r="Y120" s="87">
        <f>Y118-Y44</f>
        <v>91154</v>
      </c>
      <c r="Z120" s="87"/>
      <c r="AA120" s="87">
        <f>AA118-AA44</f>
        <v>43728</v>
      </c>
      <c r="AB120" s="87">
        <f>AB118-AB44</f>
        <v>37054</v>
      </c>
      <c r="AC120" s="87">
        <f>AC118-AC44</f>
        <v>52677</v>
      </c>
      <c r="AD120" s="87">
        <f>AD118-AD44</f>
        <v>71442</v>
      </c>
      <c r="AE120" s="87">
        <f>AE118-AE44</f>
        <v>94051</v>
      </c>
      <c r="AF120" s="87">
        <f>AF118-AF44</f>
        <v>106181</v>
      </c>
      <c r="AG120" s="87">
        <f>AG118-AG44</f>
        <v>136198</v>
      </c>
      <c r="AH120" s="136">
        <f>AH118-AH44</f>
        <v>168261</v>
      </c>
      <c r="AI120" s="11"/>
      <c r="AJ120" s="45"/>
    </row>
    <row r="121" spans="2:36" ht="5.0999999999999996" customHeight="1">
      <c r="B121" s="8"/>
      <c r="C121" s="65"/>
      <c r="D121" s="65"/>
      <c r="E121" s="65"/>
      <c r="F121" s="65"/>
      <c r="G121" s="65"/>
      <c r="H121" s="65"/>
      <c r="I121" s="65"/>
      <c r="J121" s="32"/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AA121" s="11"/>
      <c r="AB121" s="11"/>
      <c r="AC121" s="11"/>
      <c r="AD121" s="11"/>
      <c r="AE121" s="11"/>
      <c r="AF121" s="11"/>
      <c r="AG121" s="11"/>
      <c r="AH121" s="11"/>
      <c r="AI121" s="11"/>
      <c r="AJ121" s="45"/>
    </row>
    <row r="122" spans="2:36" ht="12.75" customHeight="1">
      <c r="B122" s="72" t="s">
        <v>60</v>
      </c>
      <c r="C122" s="62"/>
      <c r="D122" s="62"/>
      <c r="E122" s="62"/>
      <c r="F122" s="62"/>
      <c r="G122" s="62"/>
      <c r="H122" s="62"/>
      <c r="I122" s="62"/>
      <c r="J122" s="11"/>
      <c r="K122" s="62"/>
      <c r="L122" s="62"/>
      <c r="M122" s="62"/>
      <c r="N122" s="62"/>
      <c r="O122" s="62"/>
      <c r="P122" s="62"/>
      <c r="Q122" s="62"/>
      <c r="R122" s="62"/>
      <c r="S122" s="82"/>
      <c r="T122" s="62"/>
      <c r="U122" s="62"/>
      <c r="V122" s="62"/>
      <c r="W122" s="62"/>
      <c r="X122" s="62"/>
      <c r="Y122" s="62"/>
      <c r="AA122" s="62"/>
      <c r="AB122" s="62"/>
      <c r="AC122" s="62"/>
      <c r="AD122" s="62"/>
      <c r="AE122" s="62"/>
      <c r="AF122" s="62"/>
      <c r="AG122" s="62"/>
      <c r="AH122" s="62"/>
      <c r="AI122" s="66"/>
      <c r="AJ122" s="45"/>
    </row>
    <row r="123" spans="2:36" ht="12.75" customHeight="1">
      <c r="B123" s="8" t="s">
        <v>93</v>
      </c>
      <c r="C123" s="82"/>
      <c r="D123" s="82"/>
      <c r="E123" s="82"/>
      <c r="F123" s="82"/>
      <c r="G123" s="82"/>
      <c r="H123" s="82"/>
      <c r="I123" s="82"/>
      <c r="J123" s="11"/>
      <c r="K123" s="82"/>
      <c r="L123" s="82"/>
      <c r="M123" s="82"/>
      <c r="N123" s="32">
        <f t="shared" ref="N123:N124" si="162">SUM(G123-SUM(K123:M123))</f>
        <v>0</v>
      </c>
      <c r="O123" s="82"/>
      <c r="P123" s="82"/>
      <c r="Q123" s="82"/>
      <c r="R123" s="32">
        <f t="shared" ref="R123:R124" si="163">SUM(H123-SUM(O123:Q123))</f>
        <v>0</v>
      </c>
      <c r="S123" s="82"/>
      <c r="T123" s="82"/>
      <c r="U123" s="82"/>
      <c r="V123" s="82"/>
      <c r="W123" s="82"/>
      <c r="X123" s="82"/>
      <c r="Y123" s="82"/>
      <c r="AA123" s="32">
        <f>SUM(K123:N123)</f>
        <v>0</v>
      </c>
      <c r="AB123" s="32">
        <f>SUM(L123:O123)</f>
        <v>0</v>
      </c>
      <c r="AC123" s="32">
        <f>SUM(M123:P123)</f>
        <v>0</v>
      </c>
      <c r="AD123" s="32">
        <f>SUM(N123:Q123)</f>
        <v>0</v>
      </c>
      <c r="AE123" s="32">
        <f>SUM(O123:R123)</f>
        <v>0</v>
      </c>
      <c r="AF123" s="32">
        <f>SUM(P123:S123)</f>
        <v>0</v>
      </c>
      <c r="AG123" s="32">
        <f>SUM(Q123:T123)</f>
        <v>0</v>
      </c>
      <c r="AH123" s="32">
        <f>SUM(R123:U123)</f>
        <v>0</v>
      </c>
      <c r="AI123" s="66"/>
      <c r="AJ123" s="45"/>
    </row>
    <row r="124" spans="2:36" ht="12.75" customHeight="1">
      <c r="B124" s="8" t="s">
        <v>109</v>
      </c>
      <c r="C124" s="82"/>
      <c r="D124" s="82"/>
      <c r="E124" s="82"/>
      <c r="F124" s="82"/>
      <c r="G124" s="82"/>
      <c r="H124" s="82"/>
      <c r="I124" s="82"/>
      <c r="J124" s="32"/>
      <c r="K124" s="82"/>
      <c r="L124" s="82"/>
      <c r="M124" s="82"/>
      <c r="N124" s="32">
        <f t="shared" si="162"/>
        <v>0</v>
      </c>
      <c r="O124" s="82"/>
      <c r="P124" s="82"/>
      <c r="Q124" s="82"/>
      <c r="R124" s="32">
        <f t="shared" si="163"/>
        <v>0</v>
      </c>
      <c r="S124" s="82"/>
      <c r="T124" s="82"/>
      <c r="U124" s="82"/>
      <c r="V124" s="82"/>
      <c r="W124" s="82"/>
      <c r="X124" s="82"/>
      <c r="Y124" s="82"/>
      <c r="Z124" s="32"/>
      <c r="AA124" s="32">
        <f>SUM(K124:N124)</f>
        <v>0</v>
      </c>
      <c r="AB124" s="32">
        <f>SUM(L124:O124)</f>
        <v>0</v>
      </c>
      <c r="AC124" s="32">
        <f>SUM(M124:P124)</f>
        <v>0</v>
      </c>
      <c r="AD124" s="32">
        <f>SUM(N124:Q124)</f>
        <v>0</v>
      </c>
      <c r="AE124" s="32">
        <f>SUM(O124:R124)</f>
        <v>0</v>
      </c>
      <c r="AF124" s="32">
        <f>SUM(P124:S124)</f>
        <v>0</v>
      </c>
      <c r="AG124" s="32">
        <f>SUM(Q124:T124)</f>
        <v>0</v>
      </c>
      <c r="AH124" s="32">
        <f>SUM(R124:U124)</f>
        <v>0</v>
      </c>
      <c r="AI124" s="11"/>
      <c r="AJ124" s="45"/>
    </row>
    <row r="125" spans="2:36" ht="5.0999999999999996" customHeight="1" thickBot="1">
      <c r="B125" s="73"/>
      <c r="C125" s="74"/>
      <c r="D125" s="74"/>
      <c r="E125" s="74"/>
      <c r="F125" s="74"/>
      <c r="G125" s="74"/>
      <c r="H125" s="74"/>
      <c r="I125" s="74"/>
      <c r="J125" s="73"/>
      <c r="K125" s="73"/>
      <c r="L125" s="73"/>
      <c r="M125" s="73"/>
      <c r="N125" s="73"/>
      <c r="O125" s="73"/>
      <c r="P125" s="73"/>
      <c r="Q125" s="73"/>
      <c r="R125" s="73"/>
      <c r="S125" s="73"/>
      <c r="T125" s="73"/>
      <c r="U125" s="73"/>
      <c r="V125" s="73"/>
      <c r="W125" s="73"/>
      <c r="X125" s="73"/>
      <c r="Y125" s="73"/>
      <c r="Z125" s="73"/>
      <c r="AA125" s="73"/>
      <c r="AB125" s="73"/>
      <c r="AC125" s="73"/>
      <c r="AD125" s="73"/>
      <c r="AE125" s="73"/>
      <c r="AF125" s="73"/>
      <c r="AG125" s="73"/>
      <c r="AH125" s="73"/>
      <c r="AJ125" s="45"/>
    </row>
    <row r="126" spans="2:36" ht="12.75" customHeight="1">
      <c r="B126" s="53"/>
      <c r="C126" s="67"/>
      <c r="D126" s="67"/>
      <c r="E126" s="67"/>
      <c r="F126" s="67"/>
      <c r="G126" s="67"/>
      <c r="H126" s="67"/>
      <c r="I126" s="67"/>
    </row>
    <row r="127" spans="2:36" ht="12.75" customHeight="1">
      <c r="C127" s="56"/>
      <c r="D127" s="56"/>
      <c r="E127" s="56"/>
      <c r="F127" s="56"/>
      <c r="G127" s="56"/>
      <c r="H127" s="56"/>
      <c r="I127" s="56"/>
    </row>
    <row r="128" spans="2:36" ht="12.75" customHeight="1"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</row>
    <row r="129" spans="3:16" ht="12.75" customHeight="1"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</row>
    <row r="130" spans="3:16" ht="12.75" customHeight="1"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</row>
    <row r="131" spans="3:16" ht="12.75" customHeight="1"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</row>
    <row r="132" spans="3:16" ht="12.75" customHeight="1"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86"/>
    </row>
    <row r="133" spans="3:16" ht="12.75" customHeight="1"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</row>
    <row r="134" spans="3:16" ht="12.75" customHeight="1"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86"/>
    </row>
    <row r="135" spans="3:16"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86"/>
    </row>
    <row r="136" spans="3:16"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86"/>
    </row>
    <row r="137" spans="3:16">
      <c r="F137" s="56"/>
      <c r="G137" s="56"/>
      <c r="H137" s="56"/>
      <c r="I137" s="56"/>
      <c r="J137" s="56"/>
      <c r="K137" s="56"/>
      <c r="L137" s="56"/>
      <c r="M137" s="56"/>
      <c r="N137" s="56"/>
      <c r="O137" s="56"/>
    </row>
    <row r="138" spans="3:16"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86"/>
    </row>
    <row r="139" spans="3:16"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86"/>
    </row>
    <row r="140" spans="3:16">
      <c r="F140" s="56"/>
      <c r="G140" s="56"/>
      <c r="H140" s="56"/>
      <c r="I140" s="56"/>
      <c r="J140" s="56"/>
      <c r="K140" s="56"/>
      <c r="L140" s="56"/>
      <c r="M140" s="56"/>
      <c r="N140" s="56"/>
      <c r="O140" s="56"/>
    </row>
    <row r="141" spans="3:16">
      <c r="F141" s="56"/>
      <c r="G141" s="56"/>
      <c r="H141" s="56"/>
      <c r="I141" s="56"/>
      <c r="J141" s="56"/>
      <c r="K141" s="56"/>
      <c r="L141" s="56"/>
      <c r="M141" s="56"/>
      <c r="N141" s="56"/>
      <c r="O141" s="56"/>
    </row>
  </sheetData>
  <mergeCells count="3">
    <mergeCell ref="AJ6:AJ8"/>
    <mergeCell ref="AJ39:AJ41"/>
    <mergeCell ref="AJ82:AJ84"/>
  </mergeCells>
  <dataValidations count="1">
    <dataValidation type="list" allowBlank="1" showInputMessage="1" showErrorMessage="1" sqref="B4" xr:uid="{95A5AB56-0215-4703-953B-CB353CAB6883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AG15:AG16 AG31 J49 AA21:AE22 AA27:AE27 AA26:AC26" formulaRange="1"/>
    <ignoredError sqref="E15:H16 E21:H22 K15:U16 K20:U22 K27:U27 E27:H27 AH103:AJ105 AH96:AJ97 AI102 K31:U31 E31:H31 AH98:AI98 AI106:AJ106" evalError="1"/>
    <ignoredError sqref="AA116:AH116 AA115:AH115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177D2-8829-42BE-A7B1-460B1A987ED3}">
  <sheetPr>
    <tabColor rgb="FFC00000"/>
  </sheetPr>
  <dimension ref="A2:AJ47"/>
  <sheetViews>
    <sheetView showGridLines="0" zoomScaleNormal="100" workbookViewId="0">
      <selection activeCell="B29" sqref="B29"/>
    </sheetView>
  </sheetViews>
  <sheetFormatPr defaultRowHeight="12" outlineLevelRow="1" outlineLevelCol="1"/>
  <cols>
    <col min="1" max="1" width="1.5" style="8" customWidth="1"/>
    <col min="2" max="2" width="46.5" style="8" bestFit="1" customWidth="1"/>
    <col min="3" max="9" width="8.625" style="8" bestFit="1" customWidth="1"/>
    <col min="10" max="10" width="1.5" style="8" customWidth="1"/>
    <col min="11" max="12" width="8" style="8" customWidth="1" outlineLevel="1"/>
    <col min="13" max="14" width="8.75" style="8" customWidth="1" outlineLevel="1"/>
    <col min="15" max="15" width="8.5" style="8" customWidth="1" outlineLevel="1"/>
    <col min="16" max="16" width="8.25" style="8" customWidth="1" outlineLevel="1"/>
    <col min="17" max="17" width="8.5" style="8" bestFit="1" customWidth="1"/>
    <col min="18" max="25" width="9.125" style="8" bestFit="1" customWidth="1"/>
    <col min="26" max="26" width="1.5" style="8" customWidth="1"/>
    <col min="27" max="31" width="8.75" style="8" customWidth="1" outlineLevel="1"/>
    <col min="32" max="32" width="8.75" style="8" customWidth="1"/>
    <col min="33" max="35" width="8.75" style="8" customWidth="1" outlineLevel="1"/>
    <col min="36" max="36" width="8.75" style="8" customWidth="1"/>
    <col min="37" max="16384" width="9" style="8"/>
  </cols>
  <sheetData>
    <row r="2" spans="1:36" s="5" customFormat="1" ht="12.75" customHeight="1">
      <c r="B2" s="1" t="str">
        <f>'Historical Financials'!B2</f>
        <v>NVIDIA Corporation (NASDAQ: NVDA)</v>
      </c>
      <c r="C2" s="2" t="s">
        <v>0</v>
      </c>
      <c r="D2" s="2" t="s">
        <v>0</v>
      </c>
      <c r="E2" s="2" t="s">
        <v>0</v>
      </c>
      <c r="F2" s="2" t="s">
        <v>0</v>
      </c>
      <c r="G2" s="2"/>
      <c r="H2" s="2"/>
      <c r="I2" s="2"/>
      <c r="J2" s="3"/>
      <c r="K2" s="2"/>
      <c r="L2" s="2"/>
      <c r="M2" s="2"/>
      <c r="N2" s="2"/>
      <c r="O2" s="2"/>
      <c r="P2" s="2"/>
      <c r="Q2" s="2" t="s">
        <v>1</v>
      </c>
      <c r="R2" s="2"/>
      <c r="S2" s="2"/>
      <c r="T2" s="2"/>
      <c r="U2" s="2"/>
      <c r="V2" s="2"/>
      <c r="W2" s="2"/>
      <c r="X2" s="2"/>
      <c r="Y2" s="2"/>
      <c r="Z2" s="3"/>
      <c r="AA2" s="2"/>
      <c r="AB2" s="2"/>
      <c r="AC2" s="2"/>
      <c r="AD2" s="2"/>
      <c r="AE2" s="2"/>
      <c r="AF2" s="2" t="s">
        <v>10</v>
      </c>
      <c r="AG2" s="2"/>
      <c r="AH2" s="2"/>
      <c r="AI2" s="2"/>
      <c r="AJ2" s="2"/>
    </row>
    <row r="3" spans="1:36" s="5" customFormat="1" ht="12.75" customHeight="1">
      <c r="B3" s="6" t="s">
        <v>64</v>
      </c>
      <c r="C3" s="7">
        <f>'Historical Financials'!C7</f>
        <v>2019</v>
      </c>
      <c r="D3" s="7">
        <f>'Historical Financials'!D7</f>
        <v>2020</v>
      </c>
      <c r="E3" s="7">
        <f>'Historical Financials'!E7</f>
        <v>2021</v>
      </c>
      <c r="F3" s="7">
        <f>'Historical Financials'!F7</f>
        <v>2022</v>
      </c>
      <c r="G3" s="7">
        <f>'Historical Financials'!G7</f>
        <v>2023</v>
      </c>
      <c r="H3" s="7">
        <f>'Historical Financials'!H7</f>
        <v>2024</v>
      </c>
      <c r="I3" s="7">
        <f>'Historical Financials'!I7</f>
        <v>2025</v>
      </c>
      <c r="J3" s="3"/>
      <c r="K3" s="7" t="str">
        <f>'Historical Financials'!K7</f>
        <v>1Q23</v>
      </c>
      <c r="L3" s="7" t="str">
        <f>'Historical Financials'!L7</f>
        <v>2Q23</v>
      </c>
      <c r="M3" s="7" t="str">
        <f>'Historical Financials'!M7</f>
        <v>3Q23</v>
      </c>
      <c r="N3" s="7" t="str">
        <f>'Historical Financials'!N7</f>
        <v>4Q23</v>
      </c>
      <c r="O3" s="7" t="str">
        <f>'Historical Financials'!O7</f>
        <v>1Q24</v>
      </c>
      <c r="P3" s="7" t="str">
        <f>'Historical Financials'!P7</f>
        <v>2Q24</v>
      </c>
      <c r="Q3" s="7" t="str">
        <f>'Historical Financials'!Q7</f>
        <v>3Q24</v>
      </c>
      <c r="R3" s="7" t="str">
        <f>'Historical Financials'!R7</f>
        <v>4Q24</v>
      </c>
      <c r="S3" s="7" t="str">
        <f>'Historical Financials'!S7</f>
        <v>1Q25</v>
      </c>
      <c r="T3" s="7" t="str">
        <f>'Historical Financials'!T7</f>
        <v>2Q25</v>
      </c>
      <c r="U3" s="7" t="str">
        <f>'Historical Financials'!U7</f>
        <v>3Q25</v>
      </c>
      <c r="V3" s="7" t="str">
        <f>'Historical Financials'!V7</f>
        <v>4Q25</v>
      </c>
      <c r="W3" s="7" t="str">
        <f>'Historical Financials'!W7</f>
        <v>1Q26</v>
      </c>
      <c r="X3" s="7" t="str">
        <f>'Historical Financials'!X7</f>
        <v>2Q26</v>
      </c>
      <c r="Y3" s="7" t="str">
        <f>'Historical Financials'!Y7</f>
        <v>3Q26</v>
      </c>
      <c r="Z3" s="4"/>
      <c r="AA3" s="4" t="str">
        <f>N3</f>
        <v>4Q23</v>
      </c>
      <c r="AB3" s="4" t="str">
        <f>O3</f>
        <v>1Q24</v>
      </c>
      <c r="AC3" s="4" t="str">
        <f>P3</f>
        <v>2Q24</v>
      </c>
      <c r="AD3" s="4" t="str">
        <f>Q3</f>
        <v>3Q24</v>
      </c>
      <c r="AE3" s="4" t="str">
        <f>R3</f>
        <v>4Q24</v>
      </c>
      <c r="AF3" s="4" t="str">
        <f>S3</f>
        <v>1Q25</v>
      </c>
      <c r="AG3" s="4" t="str">
        <f>T3</f>
        <v>2Q25</v>
      </c>
      <c r="AH3" s="4" t="str">
        <f>U3</f>
        <v>3Q25</v>
      </c>
      <c r="AI3" s="4" t="str">
        <f>V3</f>
        <v>4Q25</v>
      </c>
      <c r="AJ3" s="4" t="str">
        <f>W3</f>
        <v>1Q26</v>
      </c>
    </row>
    <row r="4" spans="1:36" s="5" customFormat="1" ht="12.75" customHeight="1">
      <c r="B4" s="6" t="s">
        <v>182</v>
      </c>
      <c r="C4" s="3">
        <f>'Historical Financials'!C8</f>
        <v>0</v>
      </c>
      <c r="D4" s="3">
        <f>'Historical Financials'!D8</f>
        <v>0</v>
      </c>
      <c r="E4" s="3">
        <f>'Historical Financials'!E8</f>
        <v>0</v>
      </c>
      <c r="F4" s="3">
        <f>'Historical Financials'!F8</f>
        <v>0</v>
      </c>
      <c r="G4" s="3">
        <f>'Historical Financials'!G8</f>
        <v>0</v>
      </c>
      <c r="H4" s="3">
        <f>'Historical Financials'!H8</f>
        <v>0</v>
      </c>
      <c r="I4" s="3">
        <f>'Historical Financials'!I8</f>
        <v>0</v>
      </c>
      <c r="J4" s="3"/>
      <c r="K4" s="3">
        <f>'Historical Financials'!K8</f>
        <v>0</v>
      </c>
      <c r="L4" s="3">
        <f>'Historical Financials'!L8</f>
        <v>0</v>
      </c>
      <c r="M4" s="3">
        <f>'Historical Financials'!M8</f>
        <v>0</v>
      </c>
      <c r="N4" s="3">
        <f>'Historical Financials'!N8</f>
        <v>0</v>
      </c>
      <c r="O4" s="3">
        <f>'Historical Financials'!O8</f>
        <v>0</v>
      </c>
      <c r="P4" s="3">
        <f>'Historical Financials'!P8</f>
        <v>0</v>
      </c>
      <c r="Q4" s="3">
        <f>'Historical Financials'!Q8</f>
        <v>0</v>
      </c>
      <c r="R4" s="3">
        <f>'Historical Financials'!R8</f>
        <v>0</v>
      </c>
      <c r="S4" s="3">
        <f>'Historical Financials'!S8</f>
        <v>0</v>
      </c>
      <c r="T4" s="3">
        <f>'Historical Financials'!T8</f>
        <v>0</v>
      </c>
      <c r="U4" s="3">
        <f>'Historical Financials'!U8</f>
        <v>0</v>
      </c>
      <c r="V4" s="3">
        <f>'Historical Financials'!V8</f>
        <v>0</v>
      </c>
      <c r="W4" s="3">
        <f>'Historical Financials'!W8</f>
        <v>0</v>
      </c>
      <c r="X4" s="3">
        <f>'Historical Financials'!X8</f>
        <v>0</v>
      </c>
      <c r="Y4" s="3">
        <f>'Historical Financials'!Y8</f>
        <v>0</v>
      </c>
      <c r="Z4" s="3"/>
      <c r="AA4" s="3">
        <f>N4</f>
        <v>0</v>
      </c>
      <c r="AB4" s="3">
        <f>O4</f>
        <v>0</v>
      </c>
      <c r="AC4" s="3">
        <f>P4</f>
        <v>0</v>
      </c>
      <c r="AD4" s="3">
        <f>Q4</f>
        <v>0</v>
      </c>
      <c r="AE4" s="3">
        <f>R4</f>
        <v>0</v>
      </c>
      <c r="AF4" s="3">
        <f>S4</f>
        <v>0</v>
      </c>
      <c r="AG4" s="3">
        <f>T4</f>
        <v>0</v>
      </c>
      <c r="AH4" s="3">
        <f>U4</f>
        <v>0</v>
      </c>
      <c r="AI4" s="3">
        <f>V4</f>
        <v>0</v>
      </c>
      <c r="AJ4" s="3">
        <f>W4</f>
        <v>0</v>
      </c>
    </row>
    <row r="5" spans="1:36" ht="5.0999999999999996" customHeight="1"/>
    <row r="6" spans="1:36">
      <c r="A6" s="36" t="s">
        <v>16</v>
      </c>
      <c r="B6" s="1" t="s">
        <v>183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</row>
    <row r="7" spans="1:36" ht="5.0999999999999996" customHeight="1"/>
    <row r="8" spans="1:36" ht="12.75" customHeight="1">
      <c r="A8" s="80" t="s">
        <v>16</v>
      </c>
      <c r="B8" s="78" t="s">
        <v>184</v>
      </c>
      <c r="C8" s="10"/>
      <c r="D8" s="10"/>
      <c r="E8" s="10"/>
      <c r="F8" s="10"/>
      <c r="G8" s="10"/>
      <c r="H8" s="10"/>
      <c r="I8" s="10"/>
      <c r="J8" s="10"/>
      <c r="K8" s="95"/>
      <c r="L8" s="95"/>
      <c r="M8" s="95"/>
      <c r="N8" s="32"/>
      <c r="O8" s="95"/>
      <c r="P8" s="95"/>
      <c r="Q8" s="95"/>
      <c r="R8" s="32"/>
      <c r="S8" s="95"/>
      <c r="T8" s="95"/>
      <c r="U8" s="95"/>
      <c r="V8" s="95"/>
      <c r="W8" s="95"/>
      <c r="X8" s="95"/>
      <c r="Y8" s="95"/>
      <c r="Z8" s="5"/>
      <c r="AA8" s="11"/>
      <c r="AB8" s="11"/>
      <c r="AC8" s="11"/>
      <c r="AD8" s="11"/>
      <c r="AE8" s="11"/>
      <c r="AF8" s="11"/>
      <c r="AG8" s="11"/>
      <c r="AH8" s="11"/>
      <c r="AI8" s="11"/>
      <c r="AJ8" s="11"/>
    </row>
    <row r="9" spans="1:36" ht="12.75" customHeight="1">
      <c r="A9" s="80"/>
      <c r="B9" s="9" t="s">
        <v>110</v>
      </c>
      <c r="C9" s="81">
        <v>5518</v>
      </c>
      <c r="D9" s="81">
        <v>7759</v>
      </c>
      <c r="E9" s="81">
        <v>10613</v>
      </c>
      <c r="F9" s="81">
        <v>15005</v>
      </c>
      <c r="G9" s="81">
        <v>47525</v>
      </c>
      <c r="H9" s="81">
        <v>115186</v>
      </c>
      <c r="I9" s="81"/>
      <c r="J9" s="10"/>
      <c r="K9" s="81">
        <v>4284</v>
      </c>
      <c r="L9" s="81">
        <v>10323</v>
      </c>
      <c r="M9" s="81">
        <v>14514</v>
      </c>
      <c r="N9" s="32">
        <v>18404</v>
      </c>
      <c r="O9" s="81">
        <v>22563</v>
      </c>
      <c r="P9" s="81">
        <v>26272</v>
      </c>
      <c r="Q9" s="81">
        <v>30771</v>
      </c>
      <c r="R9" s="32">
        <v>35580</v>
      </c>
      <c r="S9" s="81">
        <v>39112</v>
      </c>
      <c r="T9" s="81">
        <v>41096</v>
      </c>
      <c r="U9" s="81">
        <v>51215</v>
      </c>
      <c r="V9" s="32">
        <f>SUM(I9-SUM(S9:U9))</f>
        <v>-131423</v>
      </c>
      <c r="W9" s="81"/>
      <c r="X9" s="81"/>
      <c r="Y9" s="81"/>
      <c r="Z9" s="5"/>
      <c r="AA9" s="32">
        <f>SUM(K9:N9)</f>
        <v>47525</v>
      </c>
      <c r="AB9" s="32">
        <f>SUM(L9:O9)</f>
        <v>65804</v>
      </c>
      <c r="AC9" s="32">
        <f>SUM(M9:P9)</f>
        <v>81753</v>
      </c>
      <c r="AD9" s="32">
        <f>SUM(N9:Q9)</f>
        <v>98010</v>
      </c>
      <c r="AE9" s="32">
        <f>SUM(O9:R9)</f>
        <v>115186</v>
      </c>
      <c r="AF9" s="32">
        <f>SUM(P9:S9)</f>
        <v>131735</v>
      </c>
      <c r="AG9" s="32">
        <f>SUM(Q9:T9)</f>
        <v>146559</v>
      </c>
      <c r="AH9" s="32">
        <f>SUM(R9:U9)</f>
        <v>167003</v>
      </c>
      <c r="AI9" s="32">
        <f>SUM(S9:V9)</f>
        <v>0</v>
      </c>
      <c r="AJ9" s="32">
        <f>SUM(T9:W9)</f>
        <v>-39112</v>
      </c>
    </row>
    <row r="10" spans="1:36" ht="12.75" customHeight="1">
      <c r="A10" s="80"/>
      <c r="B10" s="9" t="s">
        <v>189</v>
      </c>
      <c r="C10" s="81">
        <v>1212</v>
      </c>
      <c r="D10" s="81">
        <v>6696</v>
      </c>
      <c r="E10" s="81">
        <v>12462</v>
      </c>
      <c r="F10" s="81">
        <v>9067</v>
      </c>
      <c r="G10" s="81">
        <v>10447</v>
      </c>
      <c r="H10" s="81">
        <v>11350</v>
      </c>
      <c r="I10" s="81"/>
      <c r="J10" s="10"/>
      <c r="K10" s="81">
        <v>2240</v>
      </c>
      <c r="L10" s="81">
        <v>2486</v>
      </c>
      <c r="M10" s="81">
        <v>2856</v>
      </c>
      <c r="N10" s="32">
        <v>2865</v>
      </c>
      <c r="O10" s="81">
        <v>2647</v>
      </c>
      <c r="P10" s="81">
        <v>2880</v>
      </c>
      <c r="Q10" s="81">
        <v>3279</v>
      </c>
      <c r="R10" s="32">
        <v>2544</v>
      </c>
      <c r="S10" s="81">
        <v>3763</v>
      </c>
      <c r="T10" s="81">
        <v>4287</v>
      </c>
      <c r="U10" s="81">
        <v>4265</v>
      </c>
      <c r="V10" s="32">
        <f t="shared" ref="V10:V12" si="0">SUM(I10-SUM(S10:U10))</f>
        <v>-12315</v>
      </c>
      <c r="W10" s="81"/>
      <c r="X10" s="81"/>
      <c r="Y10" s="81"/>
      <c r="Z10" s="5"/>
      <c r="AA10" s="32">
        <f t="shared" ref="AA10:AA12" si="1">SUM(K10:N10)</f>
        <v>10447</v>
      </c>
      <c r="AB10" s="32">
        <f>SUM(L10:O10)</f>
        <v>10854</v>
      </c>
      <c r="AC10" s="32">
        <f>SUM(M10:P10)</f>
        <v>11248</v>
      </c>
      <c r="AD10" s="32">
        <f>SUM(N10:Q10)</f>
        <v>11671</v>
      </c>
      <c r="AE10" s="32">
        <f>SUM(O10:R10)</f>
        <v>11350</v>
      </c>
      <c r="AF10" s="32">
        <f>SUM(P10:S10)</f>
        <v>12466</v>
      </c>
      <c r="AG10" s="32">
        <f>SUM(Q10:T10)</f>
        <v>13873</v>
      </c>
      <c r="AH10" s="32">
        <f>SUM(R10:U10)</f>
        <v>14859</v>
      </c>
      <c r="AI10" s="32">
        <f>SUM(S10:V10)</f>
        <v>0</v>
      </c>
      <c r="AJ10" s="32">
        <f>SUM(T10:W10)</f>
        <v>-3763</v>
      </c>
    </row>
    <row r="11" spans="1:36" ht="12.75" customHeight="1">
      <c r="A11" s="80"/>
      <c r="B11" s="9" t="s">
        <v>190</v>
      </c>
      <c r="C11" s="81">
        <v>2983</v>
      </c>
      <c r="D11" s="81">
        <v>1053</v>
      </c>
      <c r="E11" s="81">
        <v>2111</v>
      </c>
      <c r="F11" s="81">
        <v>1544</v>
      </c>
      <c r="G11" s="81">
        <v>1553</v>
      </c>
      <c r="H11" s="81">
        <v>1878</v>
      </c>
      <c r="I11" s="81"/>
      <c r="J11" s="10"/>
      <c r="K11" s="81">
        <v>295</v>
      </c>
      <c r="L11" s="81">
        <v>379</v>
      </c>
      <c r="M11" s="81">
        <v>416</v>
      </c>
      <c r="N11" s="32">
        <v>463</v>
      </c>
      <c r="O11" s="81">
        <v>427</v>
      </c>
      <c r="P11" s="81">
        <v>454</v>
      </c>
      <c r="Q11" s="81">
        <v>486</v>
      </c>
      <c r="R11" s="32">
        <v>511</v>
      </c>
      <c r="S11" s="81">
        <v>509</v>
      </c>
      <c r="T11" s="81">
        <v>601</v>
      </c>
      <c r="U11" s="81">
        <v>760</v>
      </c>
      <c r="V11" s="32">
        <f t="shared" ref="V11" si="2">SUM(I11-SUM(S11:U11))</f>
        <v>-1870</v>
      </c>
      <c r="W11" s="81"/>
      <c r="X11" s="81"/>
      <c r="Y11" s="81"/>
      <c r="Z11" s="5"/>
      <c r="AA11" s="32">
        <f t="shared" ref="AA11" si="3">SUM(K11:N11)</f>
        <v>1553</v>
      </c>
      <c r="AB11" s="32">
        <f>SUM(L11:O11)</f>
        <v>1685</v>
      </c>
      <c r="AC11" s="32">
        <f>SUM(M11:P11)</f>
        <v>1760</v>
      </c>
      <c r="AD11" s="32">
        <f>SUM(N11:Q11)</f>
        <v>1830</v>
      </c>
      <c r="AE11" s="32">
        <f>SUM(O11:R11)</f>
        <v>1878</v>
      </c>
      <c r="AF11" s="32">
        <f>SUM(P11:S11)</f>
        <v>1960</v>
      </c>
      <c r="AG11" s="32">
        <f>SUM(Q11:T11)</f>
        <v>2107</v>
      </c>
      <c r="AH11" s="32">
        <f>SUM(R11:U11)</f>
        <v>2381</v>
      </c>
      <c r="AI11" s="32">
        <f>SUM(S11:V11)</f>
        <v>0</v>
      </c>
      <c r="AJ11" s="32">
        <f>SUM(T11:W11)</f>
        <v>-509</v>
      </c>
    </row>
    <row r="12" spans="1:36" ht="12.75" customHeight="1">
      <c r="A12" s="80"/>
      <c r="B12" s="9" t="s">
        <v>191</v>
      </c>
      <c r="C12" s="81">
        <v>700</v>
      </c>
      <c r="D12" s="81">
        <v>536</v>
      </c>
      <c r="E12" s="81">
        <v>566</v>
      </c>
      <c r="F12" s="81">
        <v>903</v>
      </c>
      <c r="G12" s="81">
        <v>1091</v>
      </c>
      <c r="H12" s="81">
        <v>1694</v>
      </c>
      <c r="I12" s="81"/>
      <c r="J12" s="10"/>
      <c r="K12" s="81">
        <v>296</v>
      </c>
      <c r="L12" s="81">
        <v>253</v>
      </c>
      <c r="M12" s="81">
        <v>261</v>
      </c>
      <c r="N12" s="32">
        <v>281</v>
      </c>
      <c r="O12" s="81">
        <v>329</v>
      </c>
      <c r="P12" s="81">
        <v>346</v>
      </c>
      <c r="Q12" s="81">
        <v>449</v>
      </c>
      <c r="R12" s="32">
        <v>570</v>
      </c>
      <c r="S12" s="81">
        <v>567</v>
      </c>
      <c r="T12" s="81">
        <v>586</v>
      </c>
      <c r="U12" s="81">
        <v>592</v>
      </c>
      <c r="V12" s="32">
        <f t="shared" si="0"/>
        <v>-1745</v>
      </c>
      <c r="W12" s="81"/>
      <c r="X12" s="81"/>
      <c r="Y12" s="81"/>
      <c r="Z12" s="5"/>
      <c r="AA12" s="32">
        <f t="shared" si="1"/>
        <v>1091</v>
      </c>
      <c r="AB12" s="32">
        <f>SUM(L12:O12)</f>
        <v>1124</v>
      </c>
      <c r="AC12" s="32">
        <f>SUM(M12:P12)</f>
        <v>1217</v>
      </c>
      <c r="AD12" s="32">
        <f>SUM(N12:Q12)</f>
        <v>1405</v>
      </c>
      <c r="AE12" s="32">
        <f>SUM(O12:R12)</f>
        <v>1694</v>
      </c>
      <c r="AF12" s="32">
        <f>SUM(P12:S12)</f>
        <v>1932</v>
      </c>
      <c r="AG12" s="32">
        <f>SUM(Q12:T12)</f>
        <v>2172</v>
      </c>
      <c r="AH12" s="32">
        <f>SUM(R12:U12)</f>
        <v>2315</v>
      </c>
      <c r="AI12" s="32">
        <f>SUM(S12:V12)</f>
        <v>0</v>
      </c>
      <c r="AJ12" s="32">
        <f>SUM(T12:W12)</f>
        <v>-567</v>
      </c>
    </row>
    <row r="13" spans="1:36">
      <c r="B13" s="9" t="s">
        <v>192</v>
      </c>
      <c r="C13" s="81">
        <v>505</v>
      </c>
      <c r="D13" s="81">
        <v>631</v>
      </c>
      <c r="E13" s="81">
        <v>1162</v>
      </c>
      <c r="F13" s="81">
        <v>455</v>
      </c>
      <c r="G13" s="81">
        <v>306</v>
      </c>
      <c r="H13" s="81">
        <v>389</v>
      </c>
      <c r="I13" s="81"/>
      <c r="J13" s="81"/>
      <c r="K13" s="81">
        <v>77</v>
      </c>
      <c r="L13" s="81">
        <v>66</v>
      </c>
      <c r="M13" s="81">
        <v>73</v>
      </c>
      <c r="N13" s="32">
        <v>90</v>
      </c>
      <c r="O13" s="81">
        <v>78</v>
      </c>
      <c r="P13" s="81">
        <v>88</v>
      </c>
      <c r="Q13" s="81">
        <v>97</v>
      </c>
      <c r="R13" s="32">
        <v>126</v>
      </c>
      <c r="S13" s="81">
        <v>111</v>
      </c>
      <c r="T13" s="81">
        <v>173</v>
      </c>
      <c r="U13" s="81">
        <v>174</v>
      </c>
      <c r="V13" s="32">
        <f>SUM(I13-SUM(S13:U13))</f>
        <v>-458</v>
      </c>
      <c r="W13" s="81"/>
      <c r="X13" s="81"/>
      <c r="Y13" s="81"/>
      <c r="Z13" s="5"/>
      <c r="AA13" s="32">
        <f t="shared" ref="AA13" si="4">SUM(K13:N13)</f>
        <v>306</v>
      </c>
      <c r="AB13" s="32">
        <f>SUM(L13:O13)</f>
        <v>307</v>
      </c>
      <c r="AC13" s="32">
        <f>SUM(M13:P13)</f>
        <v>329</v>
      </c>
      <c r="AD13" s="32">
        <f>SUM(N13:Q13)</f>
        <v>353</v>
      </c>
      <c r="AE13" s="32">
        <f>SUM(O13:R13)</f>
        <v>389</v>
      </c>
      <c r="AF13" s="32">
        <f>SUM(P13:S13)</f>
        <v>422</v>
      </c>
      <c r="AG13" s="32">
        <f>SUM(Q13:T13)</f>
        <v>507</v>
      </c>
      <c r="AH13" s="32">
        <f>SUM(R13:U13)</f>
        <v>584</v>
      </c>
      <c r="AI13" s="32">
        <f>SUM(S13:V13)</f>
        <v>0</v>
      </c>
      <c r="AJ13" s="32">
        <f>SUM(T13:W13)</f>
        <v>-111</v>
      </c>
    </row>
    <row r="14" spans="1:36">
      <c r="B14" s="13" t="s">
        <v>65</v>
      </c>
      <c r="C14" s="14">
        <f t="shared" ref="C14:E14" si="5">SUM(C9:C13)</f>
        <v>10918</v>
      </c>
      <c r="D14" s="14">
        <f t="shared" si="5"/>
        <v>16675</v>
      </c>
      <c r="E14" s="14">
        <f t="shared" si="5"/>
        <v>26914</v>
      </c>
      <c r="F14" s="14">
        <f>SUM(F9:F13)</f>
        <v>26974</v>
      </c>
      <c r="G14" s="14">
        <f>SUM(G9:G13)</f>
        <v>60922</v>
      </c>
      <c r="H14" s="14">
        <f>SUM(H9:H13)</f>
        <v>130497</v>
      </c>
      <c r="I14" s="14">
        <f>SUM(I9:I13)</f>
        <v>0</v>
      </c>
      <c r="J14" s="11"/>
      <c r="K14" s="14">
        <f t="shared" ref="K14:W14" si="6">SUM(K9:K13)</f>
        <v>7192</v>
      </c>
      <c r="L14" s="14">
        <f t="shared" si="6"/>
        <v>13507</v>
      </c>
      <c r="M14" s="14">
        <f t="shared" si="6"/>
        <v>18120</v>
      </c>
      <c r="N14" s="14">
        <f t="shared" si="6"/>
        <v>22103</v>
      </c>
      <c r="O14" s="14">
        <f t="shared" si="6"/>
        <v>26044</v>
      </c>
      <c r="P14" s="14">
        <f t="shared" si="6"/>
        <v>30040</v>
      </c>
      <c r="Q14" s="14">
        <f t="shared" si="6"/>
        <v>35082</v>
      </c>
      <c r="R14" s="14">
        <f t="shared" si="6"/>
        <v>39331</v>
      </c>
      <c r="S14" s="14">
        <f t="shared" si="6"/>
        <v>44062</v>
      </c>
      <c r="T14" s="14">
        <f t="shared" si="6"/>
        <v>46743</v>
      </c>
      <c r="U14" s="14">
        <f t="shared" si="6"/>
        <v>57006</v>
      </c>
      <c r="V14" s="14">
        <f t="shared" si="6"/>
        <v>-147811</v>
      </c>
      <c r="W14" s="14">
        <f t="shared" si="6"/>
        <v>0</v>
      </c>
      <c r="X14" s="14">
        <f t="shared" ref="X14" si="7">SUM(X9:X13)</f>
        <v>0</v>
      </c>
      <c r="Y14" s="14">
        <f t="shared" ref="Y14" si="8">SUM(Y9:Y13)</f>
        <v>0</v>
      </c>
      <c r="Z14" s="5"/>
      <c r="AA14" s="14">
        <f t="shared" ref="AA14:AJ14" si="9">SUM(AA9:AA13)</f>
        <v>60922</v>
      </c>
      <c r="AB14" s="14">
        <f t="shared" si="9"/>
        <v>79774</v>
      </c>
      <c r="AC14" s="14">
        <f t="shared" si="9"/>
        <v>96307</v>
      </c>
      <c r="AD14" s="14">
        <f t="shared" si="9"/>
        <v>113269</v>
      </c>
      <c r="AE14" s="14">
        <f t="shared" si="9"/>
        <v>130497</v>
      </c>
      <c r="AF14" s="14">
        <f t="shared" si="9"/>
        <v>148515</v>
      </c>
      <c r="AG14" s="14">
        <f t="shared" si="9"/>
        <v>165218</v>
      </c>
      <c r="AH14" s="14">
        <f t="shared" si="9"/>
        <v>187142</v>
      </c>
      <c r="AI14" s="14">
        <f t="shared" si="9"/>
        <v>0</v>
      </c>
      <c r="AJ14" s="14">
        <f t="shared" si="9"/>
        <v>-44062</v>
      </c>
    </row>
    <row r="15" spans="1:36" outlineLevel="1">
      <c r="B15" s="131" t="s">
        <v>199</v>
      </c>
      <c r="C15" s="79">
        <f>C14-'Historical Financials'!C11</f>
        <v>0</v>
      </c>
      <c r="D15" s="79">
        <f>D14-'Historical Financials'!D11</f>
        <v>0</v>
      </c>
      <c r="E15" s="79">
        <f>E14-'Historical Financials'!E11</f>
        <v>0</v>
      </c>
      <c r="F15" s="79">
        <f>F14-'Historical Financials'!F11</f>
        <v>0</v>
      </c>
      <c r="G15" s="79">
        <f>G14-'Historical Financials'!G11</f>
        <v>0</v>
      </c>
      <c r="H15" s="79">
        <f>H14-'Historical Financials'!H11</f>
        <v>0</v>
      </c>
      <c r="I15" s="79">
        <f>I14-'Historical Financials'!I11</f>
        <v>0</v>
      </c>
      <c r="J15" s="11"/>
      <c r="K15" s="79">
        <f>K14-'Historical Financials'!K11</f>
        <v>0</v>
      </c>
      <c r="L15" s="79">
        <f>L14-'Historical Financials'!L11</f>
        <v>0</v>
      </c>
      <c r="M15" s="79">
        <f>M14-'Historical Financials'!M11</f>
        <v>0</v>
      </c>
      <c r="N15" s="79">
        <f>N14-'Historical Financials'!N11</f>
        <v>0</v>
      </c>
      <c r="O15" s="79">
        <f>O14-'Historical Financials'!O11</f>
        <v>0</v>
      </c>
      <c r="P15" s="79">
        <f>P14-'Historical Financials'!P11</f>
        <v>0</v>
      </c>
      <c r="Q15" s="79">
        <f>Q14-'Historical Financials'!Q11</f>
        <v>0</v>
      </c>
      <c r="R15" s="79">
        <f>R14-'Historical Financials'!R11</f>
        <v>0</v>
      </c>
      <c r="S15" s="79">
        <f>S14-'Historical Financials'!S11</f>
        <v>0</v>
      </c>
      <c r="T15" s="79">
        <f>T14-'Historical Financials'!T11</f>
        <v>0</v>
      </c>
      <c r="U15" s="79">
        <f>U14-'Historical Financials'!U11</f>
        <v>0</v>
      </c>
      <c r="V15" s="79">
        <f>V14-'Historical Financials'!V11</f>
        <v>0</v>
      </c>
      <c r="W15" s="79">
        <f>W14-'Historical Financials'!W11</f>
        <v>0</v>
      </c>
      <c r="X15" s="79">
        <f>X14-'Historical Financials'!X11</f>
        <v>0</v>
      </c>
      <c r="Y15" s="79">
        <f>Y14-'Historical Financials'!Y11</f>
        <v>0</v>
      </c>
      <c r="Z15" s="79"/>
      <c r="AA15" s="79">
        <f>AA14-'Historical Financials'!AA11</f>
        <v>0</v>
      </c>
      <c r="AB15" s="79">
        <f>AB14-'Historical Financials'!AB11</f>
        <v>0</v>
      </c>
      <c r="AC15" s="79">
        <f>AC14-'Historical Financials'!AC11</f>
        <v>0</v>
      </c>
      <c r="AD15" s="79">
        <f>AD14-'Historical Financials'!AD11</f>
        <v>0</v>
      </c>
      <c r="AE15" s="79">
        <f>AE14-'Historical Financials'!AE11</f>
        <v>0</v>
      </c>
      <c r="AF15" s="79">
        <f>AF14-'Historical Financials'!AF11</f>
        <v>0</v>
      </c>
      <c r="AG15" s="79">
        <f>AG14-'Historical Financials'!AG11</f>
        <v>0</v>
      </c>
      <c r="AH15" s="79">
        <f>AH14-'Historical Financials'!AH11</f>
        <v>0</v>
      </c>
      <c r="AI15" s="79">
        <f>AI14-'Historical Financials'!AI11</f>
        <v>0</v>
      </c>
      <c r="AJ15" s="79">
        <f>AJ14-'Historical Financials'!AJ11</f>
        <v>-44062.65219080243</v>
      </c>
    </row>
    <row r="16" spans="1:36">
      <c r="B16" s="18"/>
      <c r="C16" s="19"/>
      <c r="D16" s="19"/>
      <c r="E16" s="19"/>
      <c r="F16" s="19"/>
      <c r="G16" s="19"/>
      <c r="H16" s="19"/>
      <c r="I16" s="19"/>
      <c r="J16" s="20"/>
      <c r="K16" s="21"/>
      <c r="L16" s="21"/>
      <c r="M16" s="21"/>
      <c r="N16" s="22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</row>
    <row r="17" spans="1:36">
      <c r="B17" s="156" t="str">
        <f>B9&amp;"(%)"</f>
        <v>Data Center(%)</v>
      </c>
      <c r="C17" s="157">
        <f t="shared" ref="C17" si="10">SUM(C9/C$14)</f>
        <v>0.50540392013189228</v>
      </c>
      <c r="D17" s="157">
        <f t="shared" ref="D17:E17" si="11">SUM(D9/D$14)</f>
        <v>0.46530734632683657</v>
      </c>
      <c r="E17" s="157">
        <f t="shared" si="11"/>
        <v>0.39433008842981349</v>
      </c>
      <c r="F17" s="157">
        <f>SUM(F9/F$14)</f>
        <v>0.55627641432490549</v>
      </c>
      <c r="G17" s="157">
        <f>SUM(G9/G$14)</f>
        <v>0.78009586028035849</v>
      </c>
      <c r="H17" s="157">
        <f>SUM(H9/H$14)</f>
        <v>0.88267163229806045</v>
      </c>
      <c r="I17" s="157" t="e">
        <f>SUM(I9/I$14)</f>
        <v>#DIV/0!</v>
      </c>
      <c r="J17" s="158"/>
      <c r="K17" s="157">
        <f>SUM(K9/K$14)</f>
        <v>0.59566184649610676</v>
      </c>
      <c r="L17" s="157">
        <f>SUM(L9/L$14)</f>
        <v>0.76427037832235134</v>
      </c>
      <c r="M17" s="157">
        <f>SUM(M9/M$14)</f>
        <v>0.80099337748344368</v>
      </c>
      <c r="N17" s="157">
        <f>SUM(N9/N$14)</f>
        <v>0.8326471519703208</v>
      </c>
      <c r="O17" s="157">
        <f>SUM(O9/O$14)</f>
        <v>0.86634157579480875</v>
      </c>
      <c r="P17" s="157">
        <f>SUM(P9/P$14)</f>
        <v>0.87456724367509986</v>
      </c>
      <c r="Q17" s="157">
        <f>SUM(Q9/Q$14)</f>
        <v>0.87711646998460746</v>
      </c>
      <c r="R17" s="157">
        <f>SUM(R9/R$14)</f>
        <v>0.90462993567415018</v>
      </c>
      <c r="S17" s="157">
        <f>SUM(S9/S$14)</f>
        <v>0.88765829966864873</v>
      </c>
      <c r="T17" s="157">
        <f>SUM(T9/T$14)</f>
        <v>0.87919046702180004</v>
      </c>
      <c r="U17" s="157">
        <f>SUM(U9/U$14)</f>
        <v>0.89841420201382316</v>
      </c>
      <c r="V17" s="157">
        <f>SUM(V9/V$14)</f>
        <v>0.88912868460398753</v>
      </c>
      <c r="W17" s="157" t="e">
        <f>SUM(W9/W$14)</f>
        <v>#DIV/0!</v>
      </c>
      <c r="X17" s="157" t="e">
        <f t="shared" ref="X17:Y17" si="12">SUM(X9/X$14)</f>
        <v>#DIV/0!</v>
      </c>
      <c r="Y17" s="157" t="e">
        <f t="shared" si="12"/>
        <v>#DIV/0!</v>
      </c>
      <c r="Z17" s="158"/>
      <c r="AA17" s="159">
        <f>L17</f>
        <v>0.76427037832235134</v>
      </c>
      <c r="AB17" s="159">
        <f>M17</f>
        <v>0.80099337748344368</v>
      </c>
      <c r="AC17" s="159">
        <f>N17</f>
        <v>0.8326471519703208</v>
      </c>
      <c r="AD17" s="159">
        <f>O17</f>
        <v>0.86634157579480875</v>
      </c>
      <c r="AE17" s="159">
        <f>P17</f>
        <v>0.87456724367509986</v>
      </c>
      <c r="AF17" s="159">
        <f>Q17</f>
        <v>0.87711646998460746</v>
      </c>
      <c r="AG17" s="159">
        <f>R17</f>
        <v>0.90462993567415018</v>
      </c>
      <c r="AH17" s="159">
        <f>S17</f>
        <v>0.88765829966864873</v>
      </c>
      <c r="AI17" s="159">
        <f>T17</f>
        <v>0.87919046702180004</v>
      </c>
      <c r="AJ17" s="160">
        <f>U17</f>
        <v>0.89841420201382316</v>
      </c>
    </row>
    <row r="18" spans="1:36">
      <c r="B18" s="161" t="str">
        <f>B10&amp;"(%)"</f>
        <v>Gaming (%)</v>
      </c>
      <c r="C18" s="162">
        <f t="shared" ref="C18" si="13">SUM(C10/C$14)</f>
        <v>0.11100934237039752</v>
      </c>
      <c r="D18" s="162">
        <f t="shared" ref="D18:E18" si="14">SUM(D10/D$14)</f>
        <v>0.40155922038980507</v>
      </c>
      <c r="E18" s="162">
        <f t="shared" si="14"/>
        <v>0.46303039310396077</v>
      </c>
      <c r="F18" s="162">
        <f>SUM(F10/F$14)</f>
        <v>0.3361385037443464</v>
      </c>
      <c r="G18" s="162">
        <f>SUM(G10/G$14)</f>
        <v>0.17148156659334887</v>
      </c>
      <c r="H18" s="162">
        <f>SUM(H10/H$14)</f>
        <v>8.6975179506042291E-2</v>
      </c>
      <c r="I18" s="162" t="e">
        <f>SUM(I10/I$14)</f>
        <v>#DIV/0!</v>
      </c>
      <c r="J18" s="163"/>
      <c r="K18" s="162">
        <f>SUM(K10/K$14)</f>
        <v>0.31145717463848721</v>
      </c>
      <c r="L18" s="162">
        <f>SUM(L10/L$14)</f>
        <v>0.18405271340786258</v>
      </c>
      <c r="M18" s="162">
        <f>SUM(M10/M$14)</f>
        <v>0.15761589403973511</v>
      </c>
      <c r="N18" s="162">
        <f>SUM(N10/N$14)</f>
        <v>0.12962041351852691</v>
      </c>
      <c r="O18" s="162">
        <f>SUM(O10/O$14)</f>
        <v>0.10163569344186761</v>
      </c>
      <c r="P18" s="162">
        <f>SUM(P10/P$14)</f>
        <v>9.5872170439414109E-2</v>
      </c>
      <c r="Q18" s="162">
        <f>SUM(Q10/Q$14)</f>
        <v>9.3466735077817678E-2</v>
      </c>
      <c r="R18" s="162">
        <f>SUM(R10/R$14)</f>
        <v>6.4681803157814452E-2</v>
      </c>
      <c r="S18" s="162">
        <f>SUM(S10/S$14)</f>
        <v>8.5402387544823211E-2</v>
      </c>
      <c r="T18" s="162">
        <f>SUM(T10/T$14)</f>
        <v>9.1714267376933445E-2</v>
      </c>
      <c r="U18" s="162">
        <f>SUM(U10/U$14)</f>
        <v>7.4816685962881102E-2</v>
      </c>
      <c r="V18" s="162">
        <f>SUM(V10/V$14)</f>
        <v>8.3315856059427235E-2</v>
      </c>
      <c r="W18" s="162" t="e">
        <f>SUM(W10/W$14)</f>
        <v>#DIV/0!</v>
      </c>
      <c r="X18" s="162" t="e">
        <f t="shared" ref="X18:Y18" si="15">SUM(X10/X$14)</f>
        <v>#DIV/0!</v>
      </c>
      <c r="Y18" s="162" t="e">
        <f t="shared" si="15"/>
        <v>#DIV/0!</v>
      </c>
      <c r="Z18" s="163"/>
      <c r="AA18" s="164">
        <f>L18</f>
        <v>0.18405271340786258</v>
      </c>
      <c r="AB18" s="164">
        <f>M18</f>
        <v>0.15761589403973511</v>
      </c>
      <c r="AC18" s="164">
        <f>N18</f>
        <v>0.12962041351852691</v>
      </c>
      <c r="AD18" s="164">
        <f>O18</f>
        <v>0.10163569344186761</v>
      </c>
      <c r="AE18" s="164">
        <f>P18</f>
        <v>9.5872170439414109E-2</v>
      </c>
      <c r="AF18" s="164">
        <f>Q18</f>
        <v>9.3466735077817678E-2</v>
      </c>
      <c r="AG18" s="164">
        <f>R18</f>
        <v>6.4681803157814452E-2</v>
      </c>
      <c r="AH18" s="164">
        <f>S18</f>
        <v>8.5402387544823211E-2</v>
      </c>
      <c r="AI18" s="164">
        <f>T18</f>
        <v>9.1714267376933445E-2</v>
      </c>
      <c r="AJ18" s="165">
        <f>U18</f>
        <v>7.4816685962881102E-2</v>
      </c>
    </row>
    <row r="19" spans="1:36">
      <c r="B19" s="161" t="str">
        <f>B11&amp;"(%)"</f>
        <v>Professional Visualization (%)</v>
      </c>
      <c r="C19" s="162">
        <f t="shared" ref="C19" si="16">SUM(C11/C$14)</f>
        <v>0.27321853819380837</v>
      </c>
      <c r="D19" s="162">
        <f t="shared" ref="D19:E20" si="17">SUM(D11/D$14)</f>
        <v>6.3148425787106444E-2</v>
      </c>
      <c r="E19" s="162">
        <f t="shared" si="17"/>
        <v>7.843501523370737E-2</v>
      </c>
      <c r="F19" s="162">
        <f>SUM(F11/F$14)</f>
        <v>5.7240305479350488E-2</v>
      </c>
      <c r="G19" s="162">
        <f>SUM(G11/G$14)</f>
        <v>2.5491612225468634E-2</v>
      </c>
      <c r="H19" s="162">
        <f>SUM(H11/H$14)</f>
        <v>1.4391135428400653E-2</v>
      </c>
      <c r="I19" s="162" t="e">
        <f>SUM(I11/I$14)</f>
        <v>#DIV/0!</v>
      </c>
      <c r="J19" s="163"/>
      <c r="K19" s="162">
        <f>SUM(K11/K$14)</f>
        <v>4.1017797552836487E-2</v>
      </c>
      <c r="L19" s="162">
        <f>SUM(L11/L$14)</f>
        <v>2.8059524690901016E-2</v>
      </c>
      <c r="M19" s="162">
        <f>SUM(M11/M$14)</f>
        <v>2.2958057395143488E-2</v>
      </c>
      <c r="N19" s="162">
        <f>SUM(N11/N$14)</f>
        <v>2.0947382708229653E-2</v>
      </c>
      <c r="O19" s="162">
        <f>SUM(O11/O$14)</f>
        <v>1.6395330978344339E-2</v>
      </c>
      <c r="P19" s="162">
        <f>SUM(P11/P$14)</f>
        <v>1.511318242343542E-2</v>
      </c>
      <c r="Q19" s="162">
        <f>SUM(Q11/Q$14)</f>
        <v>1.3853258081067214E-2</v>
      </c>
      <c r="R19" s="162">
        <f>SUM(R11/R$14)</f>
        <v>1.2992296153161628E-2</v>
      </c>
      <c r="S19" s="162">
        <f>SUM(S11/S$14)</f>
        <v>1.1551904135082385E-2</v>
      </c>
      <c r="T19" s="162">
        <f>SUM(T11/T$14)</f>
        <v>1.2857540166442034E-2</v>
      </c>
      <c r="U19" s="162">
        <f>SUM(U11/U$14)</f>
        <v>1.3331929972283619E-2</v>
      </c>
      <c r="V19" s="162">
        <f>SUM(V11/V$14)</f>
        <v>1.265129117589354E-2</v>
      </c>
      <c r="W19" s="162" t="e">
        <f>SUM(W11/W$14)</f>
        <v>#DIV/0!</v>
      </c>
      <c r="X19" s="162" t="e">
        <f t="shared" ref="X19:Y20" si="18">SUM(X11/X$14)</f>
        <v>#DIV/0!</v>
      </c>
      <c r="Y19" s="162" t="e">
        <f t="shared" si="18"/>
        <v>#DIV/0!</v>
      </c>
      <c r="Z19" s="163"/>
      <c r="AA19" s="164">
        <f>L19</f>
        <v>2.8059524690901016E-2</v>
      </c>
      <c r="AB19" s="164">
        <f>M19</f>
        <v>2.2958057395143488E-2</v>
      </c>
      <c r="AC19" s="164">
        <f>N19</f>
        <v>2.0947382708229653E-2</v>
      </c>
      <c r="AD19" s="164">
        <f>O19</f>
        <v>1.6395330978344339E-2</v>
      </c>
      <c r="AE19" s="164">
        <f>P19</f>
        <v>1.511318242343542E-2</v>
      </c>
      <c r="AF19" s="164">
        <f>Q19</f>
        <v>1.3853258081067214E-2</v>
      </c>
      <c r="AG19" s="164">
        <f>R19</f>
        <v>1.2992296153161628E-2</v>
      </c>
      <c r="AH19" s="164">
        <f>S19</f>
        <v>1.1551904135082385E-2</v>
      </c>
      <c r="AI19" s="164">
        <f>T19</f>
        <v>1.2857540166442034E-2</v>
      </c>
      <c r="AJ19" s="165">
        <f>U19</f>
        <v>1.3331929972283619E-2</v>
      </c>
    </row>
    <row r="20" spans="1:36">
      <c r="B20" s="161" t="str">
        <f>B12&amp;"(%)"</f>
        <v>Automotive(%)</v>
      </c>
      <c r="C20" s="162">
        <f t="shared" ref="C20" si="19">SUM(C12/C$14)</f>
        <v>6.4114306649569519E-2</v>
      </c>
      <c r="D20" s="162">
        <f t="shared" si="17"/>
        <v>3.2143928035982011E-2</v>
      </c>
      <c r="E20" s="162">
        <f t="shared" si="17"/>
        <v>2.1029947239354984E-2</v>
      </c>
      <c r="F20" s="162">
        <f>SUM(F12/F$14)</f>
        <v>3.3476681248609773E-2</v>
      </c>
      <c r="G20" s="162">
        <f>SUM(G12/G$14)</f>
        <v>1.7908144840944159E-2</v>
      </c>
      <c r="H20" s="162">
        <f>SUM(H12/H$14)</f>
        <v>1.2981141328919438E-2</v>
      </c>
      <c r="I20" s="162" t="e">
        <f>SUM(I12/I$14)</f>
        <v>#DIV/0!</v>
      </c>
      <c r="J20" s="163"/>
      <c r="K20" s="162">
        <f>SUM(K12/K$14)</f>
        <v>4.1156840934371525E-2</v>
      </c>
      <c r="L20" s="162">
        <f>SUM(L12/L$14)</f>
        <v>1.8731028355667433E-2</v>
      </c>
      <c r="M20" s="162">
        <f>SUM(M12/M$14)</f>
        <v>1.4403973509933774E-2</v>
      </c>
      <c r="N20" s="162">
        <f>SUM(N12/N$14)</f>
        <v>1.2713206352078904E-2</v>
      </c>
      <c r="O20" s="162">
        <f>SUM(O12/O$14)</f>
        <v>1.2632468130855475E-2</v>
      </c>
      <c r="P20" s="162">
        <f>SUM(P12/P$14)</f>
        <v>1.1517976031957391E-2</v>
      </c>
      <c r="Q20" s="162">
        <f>SUM(Q12/Q$14)</f>
        <v>1.2798586169545635E-2</v>
      </c>
      <c r="R20" s="162">
        <f>SUM(R12/R$14)</f>
        <v>1.4492385141491444E-2</v>
      </c>
      <c r="S20" s="162">
        <f>SUM(S12/S$14)</f>
        <v>1.2868231128863874E-2</v>
      </c>
      <c r="T20" s="162">
        <f>SUM(T12/T$14)</f>
        <v>1.2536636501722183E-2</v>
      </c>
      <c r="U20" s="162">
        <f>SUM(U12/U$14)</f>
        <v>1.0384871767884083E-2</v>
      </c>
      <c r="V20" s="162">
        <f>SUM(V12/V$14)</f>
        <v>1.1805616632050389E-2</v>
      </c>
      <c r="W20" s="162" t="e">
        <f>SUM(W12/W$14)</f>
        <v>#DIV/0!</v>
      </c>
      <c r="X20" s="162" t="e">
        <f t="shared" si="18"/>
        <v>#DIV/0!</v>
      </c>
      <c r="Y20" s="162" t="e">
        <f t="shared" si="18"/>
        <v>#DIV/0!</v>
      </c>
      <c r="Z20" s="163"/>
      <c r="AA20" s="164">
        <f>L20</f>
        <v>1.8731028355667433E-2</v>
      </c>
      <c r="AB20" s="164">
        <f>M20</f>
        <v>1.4403973509933774E-2</v>
      </c>
      <c r="AC20" s="164">
        <f>N20</f>
        <v>1.2713206352078904E-2</v>
      </c>
      <c r="AD20" s="164">
        <f>O20</f>
        <v>1.2632468130855475E-2</v>
      </c>
      <c r="AE20" s="164">
        <f>P20</f>
        <v>1.1517976031957391E-2</v>
      </c>
      <c r="AF20" s="164">
        <f>Q20</f>
        <v>1.2798586169545635E-2</v>
      </c>
      <c r="AG20" s="164">
        <f>R20</f>
        <v>1.4492385141491444E-2</v>
      </c>
      <c r="AH20" s="164">
        <f>S20</f>
        <v>1.2868231128863874E-2</v>
      </c>
      <c r="AI20" s="164">
        <f>T20</f>
        <v>1.2536636501722183E-2</v>
      </c>
      <c r="AJ20" s="165">
        <f>U20</f>
        <v>1.0384871767884083E-2</v>
      </c>
    </row>
    <row r="21" spans="1:36" ht="12.75" customHeight="1">
      <c r="B21" s="166" t="str">
        <f>B13&amp;"(%)"</f>
        <v>OEM &amp; Other (%)</v>
      </c>
      <c r="C21" s="167">
        <f t="shared" ref="C21" si="20">SUM(C13/C$14)</f>
        <v>4.6253892654332295E-2</v>
      </c>
      <c r="D21" s="167">
        <f t="shared" ref="D21:E21" si="21">SUM(D13/D$14)</f>
        <v>3.7841079460269864E-2</v>
      </c>
      <c r="E21" s="167">
        <f t="shared" si="21"/>
        <v>4.3174555993163409E-2</v>
      </c>
      <c r="F21" s="167">
        <f>SUM(F13/F$14)</f>
        <v>1.6868095202787869E-2</v>
      </c>
      <c r="G21" s="167">
        <f>SUM(G13/G$14)</f>
        <v>5.0228160598798461E-3</v>
      </c>
      <c r="H21" s="167">
        <f>SUM(H13/H$14)</f>
        <v>2.9809114385771322E-3</v>
      </c>
      <c r="I21" s="167" t="e">
        <f>SUM(I13/I$14)</f>
        <v>#DIV/0!</v>
      </c>
      <c r="J21" s="168"/>
      <c r="K21" s="167">
        <f>SUM(K13/K$14)</f>
        <v>1.0706340378197997E-2</v>
      </c>
      <c r="L21" s="167">
        <f>SUM(L13/L$14)</f>
        <v>4.8863552232175905E-3</v>
      </c>
      <c r="M21" s="167">
        <f>SUM(M13/M$14)</f>
        <v>4.0286975717439295E-3</v>
      </c>
      <c r="N21" s="167">
        <f>SUM(N13/N$14)</f>
        <v>4.0718454508437765E-3</v>
      </c>
      <c r="O21" s="167">
        <f>SUM(O13/O$14)</f>
        <v>2.9949316541237904E-3</v>
      </c>
      <c r="P21" s="167">
        <f>SUM(P13/P$14)</f>
        <v>2.9294274300932089E-3</v>
      </c>
      <c r="Q21" s="167">
        <f>SUM(Q13/Q$14)</f>
        <v>2.7649506869619747E-3</v>
      </c>
      <c r="R21" s="167">
        <f>SUM(R13/R$14)</f>
        <v>3.2035798733823194E-3</v>
      </c>
      <c r="S21" s="167">
        <f>SUM(S13/S$14)</f>
        <v>2.5191775225818164E-3</v>
      </c>
      <c r="T21" s="167">
        <f>SUM(T13/T$14)</f>
        <v>3.7010889331022829E-3</v>
      </c>
      <c r="U21" s="167">
        <f>SUM(U13/U$14)</f>
        <v>3.0523102831280916E-3</v>
      </c>
      <c r="V21" s="167">
        <f>SUM(V13/V$14)</f>
        <v>3.0985515286413054E-3</v>
      </c>
      <c r="W21" s="167" t="e">
        <f>SUM(W13/W$14)</f>
        <v>#DIV/0!</v>
      </c>
      <c r="X21" s="167" t="e">
        <f t="shared" ref="X21:Y21" si="22">SUM(X13/X$14)</f>
        <v>#DIV/0!</v>
      </c>
      <c r="Y21" s="167" t="e">
        <f t="shared" si="22"/>
        <v>#DIV/0!</v>
      </c>
      <c r="Z21" s="168"/>
      <c r="AA21" s="169">
        <f>L21</f>
        <v>4.8863552232175905E-3</v>
      </c>
      <c r="AB21" s="169">
        <f>M21</f>
        <v>4.0286975717439295E-3</v>
      </c>
      <c r="AC21" s="169">
        <f>N21</f>
        <v>4.0718454508437765E-3</v>
      </c>
      <c r="AD21" s="169">
        <f>O21</f>
        <v>2.9949316541237904E-3</v>
      </c>
      <c r="AE21" s="169">
        <f>P21</f>
        <v>2.9294274300932089E-3</v>
      </c>
      <c r="AF21" s="169">
        <f>Q21</f>
        <v>2.7649506869619747E-3</v>
      </c>
      <c r="AG21" s="169">
        <f>R21</f>
        <v>3.2035798733823194E-3</v>
      </c>
      <c r="AH21" s="169">
        <f>S21</f>
        <v>2.5191775225818164E-3</v>
      </c>
      <c r="AI21" s="169">
        <f>T21</f>
        <v>3.7010889331022829E-3</v>
      </c>
      <c r="AJ21" s="170">
        <f>U21</f>
        <v>3.0523102831280916E-3</v>
      </c>
    </row>
    <row r="22" spans="1:36">
      <c r="B22" s="18"/>
      <c r="C22" s="19"/>
      <c r="D22" s="19"/>
      <c r="E22" s="19"/>
      <c r="F22" s="19"/>
      <c r="G22" s="19"/>
      <c r="H22" s="19"/>
      <c r="I22" s="19"/>
      <c r="J22" s="20"/>
      <c r="K22" s="21"/>
      <c r="L22" s="21"/>
      <c r="M22" s="21"/>
      <c r="N22" s="22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0"/>
      <c r="AA22" s="20"/>
      <c r="AB22" s="20"/>
      <c r="AC22" s="20"/>
      <c r="AD22" s="20"/>
      <c r="AE22" s="20"/>
      <c r="AF22" s="20"/>
      <c r="AG22" s="20"/>
      <c r="AH22" s="20"/>
      <c r="AI22" s="20"/>
      <c r="AJ22" s="20"/>
    </row>
    <row r="23" spans="1:36" ht="12.75" customHeight="1">
      <c r="A23" s="80" t="s">
        <v>16</v>
      </c>
      <c r="B23" s="78" t="s">
        <v>185</v>
      </c>
      <c r="C23" s="10"/>
      <c r="D23" s="10"/>
      <c r="E23" s="10"/>
      <c r="F23" s="10"/>
      <c r="G23" s="10"/>
      <c r="H23" s="10"/>
      <c r="I23" s="10"/>
      <c r="J23" s="10"/>
      <c r="K23" s="95"/>
      <c r="L23" s="95"/>
      <c r="M23" s="95"/>
      <c r="N23" s="32"/>
      <c r="O23" s="95"/>
      <c r="P23" s="95"/>
      <c r="Q23" s="95"/>
      <c r="R23" s="32"/>
      <c r="S23" s="95"/>
      <c r="T23" s="95"/>
      <c r="U23" s="95"/>
      <c r="V23" s="95"/>
      <c r="W23" s="95"/>
      <c r="X23" s="95"/>
      <c r="Y23" s="95"/>
      <c r="Z23" s="5"/>
      <c r="AA23" s="11"/>
      <c r="AB23" s="11"/>
      <c r="AC23" s="11"/>
      <c r="AD23" s="11"/>
      <c r="AE23" s="11"/>
      <c r="AF23" s="11"/>
      <c r="AG23" s="11"/>
      <c r="AH23" s="11"/>
      <c r="AI23" s="11"/>
      <c r="AJ23" s="11"/>
    </row>
    <row r="24" spans="1:36" ht="12.75" customHeight="1">
      <c r="A24" s="80"/>
      <c r="B24" s="9" t="s">
        <v>186</v>
      </c>
      <c r="C24" s="81"/>
      <c r="D24" s="81"/>
      <c r="E24" s="81"/>
      <c r="F24" s="81"/>
      <c r="G24" s="81">
        <v>38950</v>
      </c>
      <c r="H24" s="81">
        <v>102196</v>
      </c>
      <c r="I24" s="81"/>
      <c r="J24" s="10"/>
      <c r="K24" s="81">
        <v>3357</v>
      </c>
      <c r="L24" s="81">
        <v>8612</v>
      </c>
      <c r="M24" s="81">
        <v>11908</v>
      </c>
      <c r="N24" s="32">
        <f t="shared" ref="N24:N25" si="23">SUM(G24-SUM(K24:M24))</f>
        <v>15073</v>
      </c>
      <c r="O24" s="81">
        <v>19392</v>
      </c>
      <c r="P24" s="81">
        <v>22604</v>
      </c>
      <c r="Q24" s="81">
        <v>27644</v>
      </c>
      <c r="R24" s="32">
        <f t="shared" ref="R24:R25" si="24">SUM(H24-SUM(O24:Q24))</f>
        <v>32556</v>
      </c>
      <c r="S24" s="81">
        <v>34155</v>
      </c>
      <c r="T24" s="81">
        <v>33844</v>
      </c>
      <c r="U24" s="81">
        <v>43028</v>
      </c>
      <c r="V24" s="32">
        <f t="shared" ref="V24:V25" si="25">SUM(I24-SUM(S24:U24))</f>
        <v>-111027</v>
      </c>
      <c r="W24" s="81"/>
      <c r="X24" s="81"/>
      <c r="Y24" s="81"/>
      <c r="Z24" s="5"/>
      <c r="AA24" s="32">
        <f>SUM(K24:N24)</f>
        <v>38950</v>
      </c>
      <c r="AB24" s="32">
        <f>SUM(L24:O24)</f>
        <v>54985</v>
      </c>
      <c r="AC24" s="32">
        <f>SUM(M24:P24)</f>
        <v>68977</v>
      </c>
      <c r="AD24" s="32">
        <f>SUM(N24:Q24)</f>
        <v>84713</v>
      </c>
      <c r="AE24" s="32">
        <f>SUM(O24:R24)</f>
        <v>102196</v>
      </c>
      <c r="AF24" s="32">
        <f>SUM(P24:S24)</f>
        <v>116959</v>
      </c>
      <c r="AG24" s="32">
        <f>SUM(Q24:T24)</f>
        <v>128199</v>
      </c>
      <c r="AH24" s="32">
        <f>SUM(R24:U24)</f>
        <v>143583</v>
      </c>
      <c r="AI24" s="32">
        <f>SUM(S24:V24)</f>
        <v>0</v>
      </c>
      <c r="AJ24" s="32">
        <f>SUM(T24:W24)</f>
        <v>-34155</v>
      </c>
    </row>
    <row r="25" spans="1:36">
      <c r="B25" s="9" t="s">
        <v>187</v>
      </c>
      <c r="C25" s="81"/>
      <c r="D25" s="81"/>
      <c r="E25" s="81"/>
      <c r="F25" s="81"/>
      <c r="G25" s="81">
        <v>8575</v>
      </c>
      <c r="H25" s="81">
        <v>12990</v>
      </c>
      <c r="I25" s="81"/>
      <c r="J25" s="81"/>
      <c r="K25" s="81">
        <v>927</v>
      </c>
      <c r="L25" s="81">
        <v>1711</v>
      </c>
      <c r="M25" s="81">
        <v>2606</v>
      </c>
      <c r="N25" s="32">
        <f t="shared" si="23"/>
        <v>3331</v>
      </c>
      <c r="O25" s="81">
        <v>3171</v>
      </c>
      <c r="P25" s="81">
        <v>3668</v>
      </c>
      <c r="Q25" s="81">
        <v>3127</v>
      </c>
      <c r="R25" s="32">
        <f t="shared" si="24"/>
        <v>3024</v>
      </c>
      <c r="S25" s="81">
        <v>4957</v>
      </c>
      <c r="T25" s="81">
        <v>7252</v>
      </c>
      <c r="U25" s="81">
        <v>8187</v>
      </c>
      <c r="V25" s="32">
        <f t="shared" si="25"/>
        <v>-20396</v>
      </c>
      <c r="W25" s="81"/>
      <c r="X25" s="81"/>
      <c r="Y25" s="81"/>
      <c r="Z25" s="5"/>
      <c r="AA25" s="32">
        <f t="shared" ref="AA25" si="26">SUM(K25:N25)</f>
        <v>8575</v>
      </c>
      <c r="AB25" s="32">
        <f>SUM(L25:O25)</f>
        <v>10819</v>
      </c>
      <c r="AC25" s="32">
        <f>SUM(M25:P25)</f>
        <v>12776</v>
      </c>
      <c r="AD25" s="32">
        <f>SUM(N25:Q25)</f>
        <v>13297</v>
      </c>
      <c r="AE25" s="32">
        <f>SUM(O25:R25)</f>
        <v>12990</v>
      </c>
      <c r="AF25" s="32">
        <f>SUM(P25:S25)</f>
        <v>14776</v>
      </c>
      <c r="AG25" s="32">
        <f>SUM(Q25:T25)</f>
        <v>18360</v>
      </c>
      <c r="AH25" s="32">
        <f>SUM(R25:U25)</f>
        <v>23420</v>
      </c>
      <c r="AI25" s="32">
        <f>SUM(S25:V25)</f>
        <v>0</v>
      </c>
      <c r="AJ25" s="32">
        <f>SUM(T25:W25)</f>
        <v>-4957</v>
      </c>
    </row>
    <row r="26" spans="1:36">
      <c r="B26" s="13" t="s">
        <v>188</v>
      </c>
      <c r="C26" s="14">
        <f>SUM(C24:C25)</f>
        <v>0</v>
      </c>
      <c r="D26" s="14">
        <f>SUM(D24:D25)</f>
        <v>0</v>
      </c>
      <c r="E26" s="14">
        <f>SUM(E24:E25)</f>
        <v>0</v>
      </c>
      <c r="F26" s="14">
        <f>SUM(F24:F25)</f>
        <v>0</v>
      </c>
      <c r="G26" s="14">
        <f>SUM(G24:G25)</f>
        <v>47525</v>
      </c>
      <c r="H26" s="14">
        <f>SUM(H24:H25)</f>
        <v>115186</v>
      </c>
      <c r="I26" s="14">
        <f>SUM(I24:I25)</f>
        <v>0</v>
      </c>
      <c r="J26" s="11"/>
      <c r="K26" s="14">
        <f>SUM(K24:K25)</f>
        <v>4284</v>
      </c>
      <c r="L26" s="14">
        <f>SUM(L24:L25)</f>
        <v>10323</v>
      </c>
      <c r="M26" s="14">
        <f>SUM(M24:M25)</f>
        <v>14514</v>
      </c>
      <c r="N26" s="14">
        <f>SUM(N24:N25)</f>
        <v>18404</v>
      </c>
      <c r="O26" s="14">
        <f>SUM(O24:O25)</f>
        <v>22563</v>
      </c>
      <c r="P26" s="14">
        <f>SUM(P24:P25)</f>
        <v>26272</v>
      </c>
      <c r="Q26" s="14">
        <f>SUM(Q24:Q25)</f>
        <v>30771</v>
      </c>
      <c r="R26" s="14">
        <f>SUM(R24:R25)</f>
        <v>35580</v>
      </c>
      <c r="S26" s="14">
        <f>SUM(S24:S25)</f>
        <v>39112</v>
      </c>
      <c r="T26" s="14">
        <f>SUM(T24:T25)</f>
        <v>41096</v>
      </c>
      <c r="U26" s="14">
        <f>SUM(U24:U25)</f>
        <v>51215</v>
      </c>
      <c r="V26" s="14">
        <f>SUM(V24:V25)</f>
        <v>-131423</v>
      </c>
      <c r="W26" s="14">
        <f>SUM(W24:W25)</f>
        <v>0</v>
      </c>
      <c r="X26" s="14">
        <f>SUM(X24:X25)</f>
        <v>0</v>
      </c>
      <c r="Y26" s="14">
        <f>SUM(Y24:Y25)</f>
        <v>0</v>
      </c>
      <c r="Z26" s="5"/>
      <c r="AA26" s="14">
        <f>SUM(AA24:AA25)</f>
        <v>47525</v>
      </c>
      <c r="AB26" s="14">
        <f>SUM(AB24:AB25)</f>
        <v>65804</v>
      </c>
      <c r="AC26" s="14">
        <f>SUM(AC24:AC25)</f>
        <v>81753</v>
      </c>
      <c r="AD26" s="14">
        <f>SUM(AD24:AD25)</f>
        <v>98010</v>
      </c>
      <c r="AE26" s="14">
        <f>SUM(AE24:AE25)</f>
        <v>115186</v>
      </c>
      <c r="AF26" s="14">
        <f>SUM(AF24:AF25)</f>
        <v>131735</v>
      </c>
      <c r="AG26" s="14">
        <f>SUM(AG24:AG25)</f>
        <v>146559</v>
      </c>
      <c r="AH26" s="14">
        <f>SUM(AH24:AH25)</f>
        <v>167003</v>
      </c>
      <c r="AI26" s="14">
        <f>SUM(AI24:AI25)</f>
        <v>0</v>
      </c>
      <c r="AJ26" s="14">
        <f>SUM(AJ24:AJ25)</f>
        <v>-39112</v>
      </c>
    </row>
    <row r="27" spans="1:36" outlineLevel="1">
      <c r="B27" s="131" t="s">
        <v>199</v>
      </c>
      <c r="C27" s="79">
        <f>C26-C9</f>
        <v>-5518</v>
      </c>
      <c r="D27" s="79">
        <f>D26-D9</f>
        <v>-7759</v>
      </c>
      <c r="E27" s="79">
        <f t="shared" ref="E27:I27" si="27">E26-E9</f>
        <v>-10613</v>
      </c>
      <c r="F27" s="79">
        <f t="shared" si="27"/>
        <v>-15005</v>
      </c>
      <c r="G27" s="79">
        <f t="shared" si="27"/>
        <v>0</v>
      </c>
      <c r="H27" s="79">
        <f t="shared" si="27"/>
        <v>0</v>
      </c>
      <c r="I27" s="79">
        <f t="shared" si="27"/>
        <v>0</v>
      </c>
      <c r="J27" s="11"/>
      <c r="K27" s="79">
        <f t="shared" ref="K27" si="28">K26-K9</f>
        <v>0</v>
      </c>
      <c r="L27" s="79">
        <f t="shared" ref="L27" si="29">L26-L9</f>
        <v>0</v>
      </c>
      <c r="M27" s="79">
        <f t="shared" ref="M27" si="30">M26-M9</f>
        <v>0</v>
      </c>
      <c r="N27" s="79">
        <f t="shared" ref="N27" si="31">N26-N9</f>
        <v>0</v>
      </c>
      <c r="O27" s="79">
        <f t="shared" ref="O27" si="32">O26-O9</f>
        <v>0</v>
      </c>
      <c r="P27" s="79">
        <f t="shared" ref="P27" si="33">P26-P9</f>
        <v>0</v>
      </c>
      <c r="Q27" s="79">
        <f t="shared" ref="Q27" si="34">Q26-Q9</f>
        <v>0</v>
      </c>
      <c r="R27" s="79">
        <f t="shared" ref="R27" si="35">R26-R9</f>
        <v>0</v>
      </c>
      <c r="S27" s="79">
        <f t="shared" ref="S27" si="36">S26-S9</f>
        <v>0</v>
      </c>
      <c r="T27" s="79">
        <f t="shared" ref="T27" si="37">T26-T9</f>
        <v>0</v>
      </c>
      <c r="U27" s="79">
        <f t="shared" ref="U27" si="38">U26-U9</f>
        <v>0</v>
      </c>
      <c r="V27" s="79">
        <f t="shared" ref="V27" si="39">V26-V9</f>
        <v>0</v>
      </c>
      <c r="W27" s="79">
        <f t="shared" ref="W27" si="40">W26-W9</f>
        <v>0</v>
      </c>
      <c r="X27" s="79">
        <f t="shared" ref="X27" si="41">X26-X9</f>
        <v>0</v>
      </c>
      <c r="Y27" s="79">
        <f t="shared" ref="Y27" si="42">Y26-Y9</f>
        <v>0</v>
      </c>
      <c r="Z27" s="79"/>
      <c r="AA27" s="79">
        <f t="shared" ref="AA27" si="43">AA26-AA9</f>
        <v>0</v>
      </c>
      <c r="AB27" s="79">
        <f t="shared" ref="AB27" si="44">AB26-AB9</f>
        <v>0</v>
      </c>
      <c r="AC27" s="79">
        <f t="shared" ref="AC27" si="45">AC26-AC9</f>
        <v>0</v>
      </c>
      <c r="AD27" s="79">
        <f t="shared" ref="AD27" si="46">AD26-AD9</f>
        <v>0</v>
      </c>
      <c r="AE27" s="79">
        <f t="shared" ref="AE27" si="47">AE26-AE9</f>
        <v>0</v>
      </c>
      <c r="AF27" s="79">
        <f t="shared" ref="AF27" si="48">AF26-AF9</f>
        <v>0</v>
      </c>
      <c r="AG27" s="79">
        <f t="shared" ref="AG27" si="49">AG26-AG9</f>
        <v>0</v>
      </c>
      <c r="AH27" s="79">
        <f t="shared" ref="AH27" si="50">AH26-AH9</f>
        <v>0</v>
      </c>
      <c r="AI27" s="79">
        <f t="shared" ref="AI27" si="51">AI26-AI9</f>
        <v>0</v>
      </c>
      <c r="AJ27" s="79">
        <f t="shared" ref="AJ27" si="52">AJ26-AJ9</f>
        <v>0</v>
      </c>
    </row>
    <row r="28" spans="1:36">
      <c r="B28" s="18"/>
      <c r="C28" s="19"/>
      <c r="D28" s="19"/>
      <c r="E28" s="19"/>
      <c r="F28" s="19"/>
      <c r="G28" s="19"/>
      <c r="H28" s="19"/>
      <c r="I28" s="19"/>
      <c r="J28" s="20"/>
      <c r="K28" s="21"/>
      <c r="L28" s="21"/>
      <c r="M28" s="21"/>
      <c r="N28" s="22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0"/>
      <c r="AA28" s="20"/>
      <c r="AB28" s="20"/>
      <c r="AC28" s="20"/>
      <c r="AD28" s="20"/>
      <c r="AE28" s="20"/>
      <c r="AF28" s="20"/>
      <c r="AG28" s="20"/>
      <c r="AH28" s="20"/>
      <c r="AI28" s="20"/>
      <c r="AJ28" s="20"/>
    </row>
    <row r="29" spans="1:36">
      <c r="B29" s="156" t="str">
        <f>B24&amp;"(%)"</f>
        <v>Compute(%)</v>
      </c>
      <c r="C29" s="157" t="e">
        <f t="shared" ref="C29:H29" si="53">SUM(C24/C$26)</f>
        <v>#DIV/0!</v>
      </c>
      <c r="D29" s="157" t="e">
        <f t="shared" si="53"/>
        <v>#DIV/0!</v>
      </c>
      <c r="E29" s="157" t="e">
        <f t="shared" si="53"/>
        <v>#DIV/0!</v>
      </c>
      <c r="F29" s="157" t="e">
        <f t="shared" si="53"/>
        <v>#DIV/0!</v>
      </c>
      <c r="G29" s="157">
        <f t="shared" si="53"/>
        <v>0.81956864807995788</v>
      </c>
      <c r="H29" s="157">
        <f t="shared" si="53"/>
        <v>0.88722587814491349</v>
      </c>
      <c r="I29" s="157" t="e">
        <f>SUM(I24/I$26)</f>
        <v>#DIV/0!</v>
      </c>
      <c r="J29" s="158"/>
      <c r="K29" s="157">
        <f>SUM(K24/K$26)</f>
        <v>0.78361344537815125</v>
      </c>
      <c r="L29" s="157">
        <f t="shared" ref="L29:Y29" si="54">SUM(L24/L$26)</f>
        <v>0.83425360844715679</v>
      </c>
      <c r="M29" s="157">
        <f t="shared" si="54"/>
        <v>0.820449221441367</v>
      </c>
      <c r="N29" s="157">
        <f t="shared" si="54"/>
        <v>0.81900673766572485</v>
      </c>
      <c r="O29" s="157">
        <f t="shared" si="54"/>
        <v>0.85946017816779685</v>
      </c>
      <c r="P29" s="157">
        <f t="shared" si="54"/>
        <v>0.86038367844092567</v>
      </c>
      <c r="Q29" s="157">
        <f t="shared" si="54"/>
        <v>0.89837834324526344</v>
      </c>
      <c r="R29" s="157">
        <f t="shared" si="54"/>
        <v>0.91500843170320401</v>
      </c>
      <c r="S29" s="157">
        <f t="shared" si="54"/>
        <v>0.87326140314992839</v>
      </c>
      <c r="T29" s="157">
        <f t="shared" si="54"/>
        <v>0.82353513723963401</v>
      </c>
      <c r="U29" s="157">
        <f t="shared" si="54"/>
        <v>0.84014448891926197</v>
      </c>
      <c r="V29" s="157">
        <f t="shared" si="54"/>
        <v>0.84480646462186981</v>
      </c>
      <c r="W29" s="157" t="e">
        <f t="shared" si="54"/>
        <v>#DIV/0!</v>
      </c>
      <c r="X29" s="157" t="e">
        <f t="shared" si="54"/>
        <v>#DIV/0!</v>
      </c>
      <c r="Y29" s="157" t="e">
        <f t="shared" si="54"/>
        <v>#DIV/0!</v>
      </c>
      <c r="Z29" s="158"/>
      <c r="AA29" s="159">
        <f>L29</f>
        <v>0.83425360844715679</v>
      </c>
      <c r="AB29" s="159">
        <f>M29</f>
        <v>0.820449221441367</v>
      </c>
      <c r="AC29" s="159">
        <f>N29</f>
        <v>0.81900673766572485</v>
      </c>
      <c r="AD29" s="159">
        <f>O29</f>
        <v>0.85946017816779685</v>
      </c>
      <c r="AE29" s="159">
        <f>P29</f>
        <v>0.86038367844092567</v>
      </c>
      <c r="AF29" s="159">
        <f>Q29</f>
        <v>0.89837834324526344</v>
      </c>
      <c r="AG29" s="159">
        <f>R29</f>
        <v>0.91500843170320401</v>
      </c>
      <c r="AH29" s="159">
        <f>S29</f>
        <v>0.87326140314992839</v>
      </c>
      <c r="AI29" s="159">
        <f>T29</f>
        <v>0.82353513723963401</v>
      </c>
      <c r="AJ29" s="160">
        <f>U29</f>
        <v>0.84014448891926197</v>
      </c>
    </row>
    <row r="30" spans="1:36" ht="12.75" customHeight="1">
      <c r="B30" s="166" t="str">
        <f>B25&amp;"(%)"</f>
        <v>Networking(%)</v>
      </c>
      <c r="C30" s="167" t="e">
        <f t="shared" ref="C30:H30" si="55">SUM(C25/C$26)</f>
        <v>#DIV/0!</v>
      </c>
      <c r="D30" s="167" t="e">
        <f t="shared" si="55"/>
        <v>#DIV/0!</v>
      </c>
      <c r="E30" s="167" t="e">
        <f t="shared" si="55"/>
        <v>#DIV/0!</v>
      </c>
      <c r="F30" s="167" t="e">
        <f t="shared" si="55"/>
        <v>#DIV/0!</v>
      </c>
      <c r="G30" s="167">
        <f t="shared" si="55"/>
        <v>0.18043135192004209</v>
      </c>
      <c r="H30" s="167">
        <f t="shared" si="55"/>
        <v>0.11277412185508656</v>
      </c>
      <c r="I30" s="167" t="e">
        <f>SUM(I25/I$26)</f>
        <v>#DIV/0!</v>
      </c>
      <c r="J30" s="168"/>
      <c r="K30" s="167">
        <f>SUM(K25/K$26)</f>
        <v>0.21638655462184875</v>
      </c>
      <c r="L30" s="167">
        <f t="shared" ref="L30:Y30" si="56">SUM(L25/L$26)</f>
        <v>0.16574639155284315</v>
      </c>
      <c r="M30" s="167">
        <f t="shared" si="56"/>
        <v>0.17955077855863305</v>
      </c>
      <c r="N30" s="167">
        <f t="shared" si="56"/>
        <v>0.18099326233427515</v>
      </c>
      <c r="O30" s="167">
        <f t="shared" si="56"/>
        <v>0.14053982183220318</v>
      </c>
      <c r="P30" s="167">
        <f t="shared" si="56"/>
        <v>0.1396163215590743</v>
      </c>
      <c r="Q30" s="167">
        <f t="shared" si="56"/>
        <v>0.1016216567547366</v>
      </c>
      <c r="R30" s="167">
        <f t="shared" si="56"/>
        <v>8.4991568296795952E-2</v>
      </c>
      <c r="S30" s="167">
        <f t="shared" si="56"/>
        <v>0.12673859685007158</v>
      </c>
      <c r="T30" s="167">
        <f t="shared" si="56"/>
        <v>0.17646486276036596</v>
      </c>
      <c r="U30" s="167">
        <f t="shared" si="56"/>
        <v>0.15985551108073806</v>
      </c>
      <c r="V30" s="167">
        <f t="shared" si="56"/>
        <v>0.15519353537813016</v>
      </c>
      <c r="W30" s="167" t="e">
        <f t="shared" si="56"/>
        <v>#DIV/0!</v>
      </c>
      <c r="X30" s="167" t="e">
        <f t="shared" si="56"/>
        <v>#DIV/0!</v>
      </c>
      <c r="Y30" s="167" t="e">
        <f t="shared" si="56"/>
        <v>#DIV/0!</v>
      </c>
      <c r="Z30" s="168"/>
      <c r="AA30" s="169">
        <f>L30</f>
        <v>0.16574639155284315</v>
      </c>
      <c r="AB30" s="169">
        <f>M30</f>
        <v>0.17955077855863305</v>
      </c>
      <c r="AC30" s="169">
        <f>N30</f>
        <v>0.18099326233427515</v>
      </c>
      <c r="AD30" s="169">
        <f>O30</f>
        <v>0.14053982183220318</v>
      </c>
      <c r="AE30" s="169">
        <f>P30</f>
        <v>0.1396163215590743</v>
      </c>
      <c r="AF30" s="169">
        <f>Q30</f>
        <v>0.1016216567547366</v>
      </c>
      <c r="AG30" s="169">
        <f>R30</f>
        <v>8.4991568296795952E-2</v>
      </c>
      <c r="AH30" s="169">
        <f>S30</f>
        <v>0.12673859685007158</v>
      </c>
      <c r="AI30" s="169">
        <f>T30</f>
        <v>0.17646486276036596</v>
      </c>
      <c r="AJ30" s="170">
        <f>U30</f>
        <v>0.15985551108073806</v>
      </c>
    </row>
    <row r="31" spans="1:36">
      <c r="B31" s="18"/>
      <c r="C31" s="19"/>
      <c r="D31" s="19"/>
      <c r="E31" s="19"/>
      <c r="F31" s="19"/>
      <c r="G31" s="19"/>
      <c r="H31" s="19"/>
      <c r="I31" s="19"/>
      <c r="J31" s="20"/>
      <c r="K31" s="21"/>
      <c r="L31" s="21"/>
      <c r="M31" s="21"/>
      <c r="N31" s="22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</row>
    <row r="32" spans="1:36">
      <c r="A32" s="36" t="s">
        <v>16</v>
      </c>
      <c r="B32" s="1" t="s">
        <v>193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</row>
    <row r="33" spans="1:36" ht="5.0999999999999996" customHeight="1"/>
    <row r="34" spans="1:36" ht="12.75" customHeight="1">
      <c r="A34" s="80" t="s">
        <v>16</v>
      </c>
      <c r="B34" s="78" t="s">
        <v>193</v>
      </c>
      <c r="C34" s="10"/>
      <c r="D34" s="10"/>
      <c r="E34" s="10"/>
      <c r="F34" s="10"/>
      <c r="G34" s="10"/>
      <c r="H34" s="10"/>
      <c r="I34" s="10"/>
      <c r="J34" s="10"/>
      <c r="K34" s="95"/>
      <c r="L34" s="95"/>
      <c r="M34" s="95"/>
      <c r="N34" s="32"/>
      <c r="O34" s="95"/>
      <c r="P34" s="95"/>
      <c r="Q34" s="95"/>
      <c r="R34" s="32"/>
      <c r="S34" s="95"/>
      <c r="T34" s="95"/>
      <c r="U34" s="95"/>
      <c r="V34" s="95"/>
      <c r="W34" s="95"/>
      <c r="X34" s="95"/>
      <c r="Y34" s="95"/>
      <c r="Z34" s="5"/>
      <c r="AA34" s="11"/>
      <c r="AB34" s="11"/>
      <c r="AC34" s="11"/>
      <c r="AD34" s="11"/>
      <c r="AE34" s="11"/>
      <c r="AF34" s="11"/>
      <c r="AG34" s="11"/>
      <c r="AH34" s="11"/>
      <c r="AI34" s="11"/>
      <c r="AJ34" s="11"/>
    </row>
    <row r="35" spans="1:36" ht="12.75" customHeight="1">
      <c r="A35" s="80"/>
      <c r="B35" s="9" t="s">
        <v>194</v>
      </c>
      <c r="C35" s="81">
        <v>886</v>
      </c>
      <c r="D35" s="81">
        <v>3214</v>
      </c>
      <c r="E35" s="81">
        <v>4349</v>
      </c>
      <c r="F35" s="81">
        <v>8292</v>
      </c>
      <c r="G35" s="81">
        <v>26966</v>
      </c>
      <c r="H35" s="81">
        <v>61257</v>
      </c>
      <c r="I35" s="81"/>
      <c r="J35" s="10"/>
      <c r="K35" s="81">
        <v>2385</v>
      </c>
      <c r="L35" s="81">
        <v>6043</v>
      </c>
      <c r="M35" s="81">
        <v>6302</v>
      </c>
      <c r="N35" s="32">
        <f t="shared" ref="N35:N39" si="57">SUM(G35-SUM(K35:M35))</f>
        <v>12236</v>
      </c>
      <c r="O35" s="81">
        <v>13496</v>
      </c>
      <c r="P35" s="81">
        <v>13022</v>
      </c>
      <c r="Q35" s="81">
        <v>14800</v>
      </c>
      <c r="R35" s="32">
        <f t="shared" ref="R35:R39" si="58">SUM(H35-SUM(O35:Q35))</f>
        <v>19939</v>
      </c>
      <c r="S35" s="81">
        <v>20739</v>
      </c>
      <c r="T35" s="81">
        <v>23470</v>
      </c>
      <c r="U35" s="81">
        <v>39177</v>
      </c>
      <c r="V35" s="32">
        <f t="shared" ref="V35:V39" si="59">SUM(I35-SUM(S35:U35))</f>
        <v>-83386</v>
      </c>
      <c r="W35" s="81"/>
      <c r="X35" s="81"/>
      <c r="Y35" s="81"/>
      <c r="Z35" s="5"/>
      <c r="AA35" s="32">
        <f t="shared" ref="AA35:AA39" si="60">SUM(K35:N35)</f>
        <v>26966</v>
      </c>
      <c r="AB35" s="32">
        <f>SUM(L35:O35)</f>
        <v>38077</v>
      </c>
      <c r="AC35" s="32">
        <f>SUM(M35:P35)</f>
        <v>45056</v>
      </c>
      <c r="AD35" s="32">
        <f>SUM(N35:Q35)</f>
        <v>53554</v>
      </c>
      <c r="AE35" s="32">
        <f>SUM(O35:R35)</f>
        <v>61257</v>
      </c>
      <c r="AF35" s="32">
        <f>SUM(P35:S35)</f>
        <v>68500</v>
      </c>
      <c r="AG35" s="32">
        <f>SUM(Q35:T35)</f>
        <v>78948</v>
      </c>
      <c r="AH35" s="32">
        <f>SUM(R35:U35)</f>
        <v>103325</v>
      </c>
      <c r="AI35" s="32">
        <f>SUM(S35:V35)</f>
        <v>0</v>
      </c>
      <c r="AJ35" s="32">
        <f>SUM(T35:W35)</f>
        <v>-20739</v>
      </c>
    </row>
    <row r="36" spans="1:36" ht="12.75" customHeight="1">
      <c r="A36" s="80"/>
      <c r="B36" s="9" t="s">
        <v>195</v>
      </c>
      <c r="C36" s="81">
        <v>0</v>
      </c>
      <c r="D36" s="81">
        <v>0</v>
      </c>
      <c r="E36" s="81">
        <v>0</v>
      </c>
      <c r="F36" s="81">
        <v>2288</v>
      </c>
      <c r="G36" s="81">
        <v>6831</v>
      </c>
      <c r="H36" s="81">
        <v>23684</v>
      </c>
      <c r="I36" s="81"/>
      <c r="J36" s="10"/>
      <c r="K36" s="81">
        <v>762</v>
      </c>
      <c r="L36" s="81">
        <v>2839</v>
      </c>
      <c r="M36" s="81">
        <v>2702</v>
      </c>
      <c r="N36" s="32">
        <f t="shared" si="57"/>
        <v>528</v>
      </c>
      <c r="O36" s="81">
        <v>4037</v>
      </c>
      <c r="P36" s="81">
        <v>5740</v>
      </c>
      <c r="Q36" s="81">
        <v>7697</v>
      </c>
      <c r="R36" s="32">
        <f t="shared" si="58"/>
        <v>6210</v>
      </c>
      <c r="S36" s="81">
        <v>9017</v>
      </c>
      <c r="T36" s="81">
        <v>10156</v>
      </c>
      <c r="U36" s="81">
        <v>0</v>
      </c>
      <c r="V36" s="32">
        <f t="shared" si="59"/>
        <v>-19173</v>
      </c>
      <c r="W36" s="81"/>
      <c r="X36" s="81"/>
      <c r="Y36" s="81"/>
      <c r="Z36" s="5"/>
      <c r="AA36" s="32">
        <f t="shared" si="60"/>
        <v>6831</v>
      </c>
      <c r="AB36" s="32">
        <f>SUM(L36:O36)</f>
        <v>10106</v>
      </c>
      <c r="AC36" s="32">
        <f>SUM(M36:P36)</f>
        <v>13007</v>
      </c>
      <c r="AD36" s="32">
        <f>SUM(N36:Q36)</f>
        <v>18002</v>
      </c>
      <c r="AE36" s="32">
        <f>SUM(O36:R36)</f>
        <v>23684</v>
      </c>
      <c r="AF36" s="32">
        <f>SUM(P36:S36)</f>
        <v>28664</v>
      </c>
      <c r="AG36" s="32">
        <f>SUM(Q36:T36)</f>
        <v>33080</v>
      </c>
      <c r="AH36" s="32">
        <f>SUM(R36:U36)</f>
        <v>25383</v>
      </c>
      <c r="AI36" s="32">
        <f>SUM(S36:V36)</f>
        <v>0</v>
      </c>
      <c r="AJ36" s="32">
        <f>SUM(T36:W36)</f>
        <v>-9017</v>
      </c>
    </row>
    <row r="37" spans="1:36" ht="12.75" customHeight="1">
      <c r="A37" s="80"/>
      <c r="B37" s="9" t="s">
        <v>196</v>
      </c>
      <c r="C37" s="81">
        <v>3025</v>
      </c>
      <c r="D37" s="81">
        <v>4531</v>
      </c>
      <c r="E37" s="81">
        <v>8544</v>
      </c>
      <c r="F37" s="81">
        <v>6986</v>
      </c>
      <c r="G37" s="81">
        <v>13405</v>
      </c>
      <c r="H37" s="81">
        <v>20573</v>
      </c>
      <c r="I37" s="81"/>
      <c r="J37" s="10"/>
      <c r="K37" s="81">
        <v>1796</v>
      </c>
      <c r="L37" s="81">
        <v>1042</v>
      </c>
      <c r="M37" s="81">
        <v>4030</v>
      </c>
      <c r="N37" s="32">
        <f t="shared" si="57"/>
        <v>6537</v>
      </c>
      <c r="O37" s="81">
        <v>4373</v>
      </c>
      <c r="P37" s="81">
        <v>5622</v>
      </c>
      <c r="Q37" s="81">
        <v>5416</v>
      </c>
      <c r="R37" s="32">
        <f t="shared" si="58"/>
        <v>5162</v>
      </c>
      <c r="S37" s="81">
        <v>7158</v>
      </c>
      <c r="T37" s="81">
        <v>8529</v>
      </c>
      <c r="U37" s="81">
        <v>13751</v>
      </c>
      <c r="V37" s="32">
        <f t="shared" si="59"/>
        <v>-29438</v>
      </c>
      <c r="W37" s="81"/>
      <c r="X37" s="81"/>
      <c r="Y37" s="81"/>
      <c r="Z37" s="5"/>
      <c r="AA37" s="32">
        <f t="shared" ref="AA37" si="61">SUM(K37:N37)</f>
        <v>13405</v>
      </c>
      <c r="AB37" s="32">
        <f>SUM(L37:O37)</f>
        <v>15982</v>
      </c>
      <c r="AC37" s="32">
        <f>SUM(M37:P37)</f>
        <v>20562</v>
      </c>
      <c r="AD37" s="32">
        <f>SUM(N37:Q37)</f>
        <v>21948</v>
      </c>
      <c r="AE37" s="32">
        <f>SUM(O37:R37)</f>
        <v>20573</v>
      </c>
      <c r="AF37" s="32">
        <f>SUM(P37:S37)</f>
        <v>23358</v>
      </c>
      <c r="AG37" s="32">
        <f>SUM(Q37:T37)</f>
        <v>26265</v>
      </c>
      <c r="AH37" s="32">
        <f>SUM(R37:U37)</f>
        <v>34600</v>
      </c>
      <c r="AI37" s="32">
        <f>SUM(S37:V37)</f>
        <v>0</v>
      </c>
      <c r="AJ37" s="32">
        <f>SUM(T37:W37)</f>
        <v>-7158</v>
      </c>
    </row>
    <row r="38" spans="1:36" ht="12.75" customHeight="1">
      <c r="A38" s="80"/>
      <c r="B38" s="9" t="s">
        <v>197</v>
      </c>
      <c r="C38" s="81">
        <v>2731</v>
      </c>
      <c r="D38" s="81">
        <v>3886</v>
      </c>
      <c r="E38" s="81">
        <v>7111</v>
      </c>
      <c r="F38" s="81">
        <v>5785</v>
      </c>
      <c r="G38" s="81">
        <v>10306</v>
      </c>
      <c r="H38" s="81">
        <v>17108</v>
      </c>
      <c r="I38" s="81"/>
      <c r="J38" s="10"/>
      <c r="K38" s="81">
        <v>1590</v>
      </c>
      <c r="L38" s="81">
        <v>2740</v>
      </c>
      <c r="M38" s="81">
        <v>4333</v>
      </c>
      <c r="N38" s="32">
        <f t="shared" si="57"/>
        <v>1643</v>
      </c>
      <c r="O38" s="81">
        <v>2491</v>
      </c>
      <c r="P38" s="81">
        <v>3667</v>
      </c>
      <c r="Q38" s="81">
        <v>5153</v>
      </c>
      <c r="R38" s="32">
        <f t="shared" si="58"/>
        <v>5797</v>
      </c>
      <c r="S38" s="81">
        <v>5522</v>
      </c>
      <c r="T38" s="81">
        <v>2769</v>
      </c>
      <c r="U38" s="81">
        <v>2973</v>
      </c>
      <c r="V38" s="32">
        <f t="shared" si="59"/>
        <v>-11264</v>
      </c>
      <c r="W38" s="81"/>
      <c r="X38" s="81"/>
      <c r="Y38" s="81"/>
      <c r="Z38" s="5"/>
      <c r="AA38" s="32">
        <f t="shared" si="60"/>
        <v>10306</v>
      </c>
      <c r="AB38" s="32">
        <f>SUM(L38:O38)</f>
        <v>11207</v>
      </c>
      <c r="AC38" s="32">
        <f>SUM(M38:P38)</f>
        <v>12134</v>
      </c>
      <c r="AD38" s="32">
        <f>SUM(N38:Q38)</f>
        <v>12954</v>
      </c>
      <c r="AE38" s="32">
        <f>SUM(O38:R38)</f>
        <v>17108</v>
      </c>
      <c r="AF38" s="32">
        <f>SUM(P38:S38)</f>
        <v>20139</v>
      </c>
      <c r="AG38" s="32">
        <f>SUM(Q38:T38)</f>
        <v>19241</v>
      </c>
      <c r="AH38" s="32">
        <f>SUM(R38:U38)</f>
        <v>17061</v>
      </c>
      <c r="AI38" s="32">
        <f>SUM(S38:V38)</f>
        <v>0</v>
      </c>
      <c r="AJ38" s="32">
        <f>SUM(T38:W38)</f>
        <v>-5522</v>
      </c>
    </row>
    <row r="39" spans="1:36">
      <c r="B39" s="9" t="s">
        <v>198</v>
      </c>
      <c r="C39" s="81">
        <v>4276</v>
      </c>
      <c r="D39" s="81">
        <v>5044</v>
      </c>
      <c r="E39" s="81">
        <v>6910</v>
      </c>
      <c r="F39" s="81">
        <v>3623</v>
      </c>
      <c r="G39" s="81">
        <v>3414</v>
      </c>
      <c r="H39" s="81">
        <v>7875</v>
      </c>
      <c r="I39" s="81"/>
      <c r="J39" s="81"/>
      <c r="K39" s="81">
        <v>659</v>
      </c>
      <c r="L39" s="81">
        <v>843</v>
      </c>
      <c r="M39" s="81">
        <v>753</v>
      </c>
      <c r="N39" s="32">
        <f t="shared" si="57"/>
        <v>1159</v>
      </c>
      <c r="O39" s="81">
        <v>1647</v>
      </c>
      <c r="P39" s="81">
        <v>1989</v>
      </c>
      <c r="Q39" s="81">
        <v>2016</v>
      </c>
      <c r="R39" s="32">
        <f t="shared" si="58"/>
        <v>2223</v>
      </c>
      <c r="S39" s="81">
        <v>1626</v>
      </c>
      <c r="T39" s="81">
        <v>1819</v>
      </c>
      <c r="U39" s="81">
        <v>1105</v>
      </c>
      <c r="V39" s="32">
        <f t="shared" si="59"/>
        <v>-4550</v>
      </c>
      <c r="W39" s="81"/>
      <c r="X39" s="81"/>
      <c r="Y39" s="81"/>
      <c r="Z39" s="5"/>
      <c r="AA39" s="32">
        <f t="shared" si="60"/>
        <v>3414</v>
      </c>
      <c r="AB39" s="32">
        <f>SUM(L39:O39)</f>
        <v>4402</v>
      </c>
      <c r="AC39" s="32">
        <f>SUM(M39:P39)</f>
        <v>5548</v>
      </c>
      <c r="AD39" s="32">
        <f>SUM(N39:Q39)</f>
        <v>6811</v>
      </c>
      <c r="AE39" s="32">
        <f>SUM(O39:R39)</f>
        <v>7875</v>
      </c>
      <c r="AF39" s="32">
        <f>SUM(P39:S39)</f>
        <v>7854</v>
      </c>
      <c r="AG39" s="32">
        <f>SUM(Q39:T39)</f>
        <v>7684</v>
      </c>
      <c r="AH39" s="32">
        <f>SUM(R39:U39)</f>
        <v>6773</v>
      </c>
      <c r="AI39" s="32">
        <f>SUM(S39:V39)</f>
        <v>0</v>
      </c>
      <c r="AJ39" s="32">
        <f>SUM(T39:W39)</f>
        <v>-1626</v>
      </c>
    </row>
    <row r="40" spans="1:36">
      <c r="B40" s="13" t="s">
        <v>65</v>
      </c>
      <c r="C40" s="14">
        <f t="shared" ref="C40:E40" si="62">SUM(C35:C39)</f>
        <v>10918</v>
      </c>
      <c r="D40" s="14">
        <f t="shared" si="62"/>
        <v>16675</v>
      </c>
      <c r="E40" s="14">
        <f t="shared" si="62"/>
        <v>26914</v>
      </c>
      <c r="F40" s="14">
        <f>SUM(F35:F39)</f>
        <v>26974</v>
      </c>
      <c r="G40" s="14">
        <f>SUM(G35:G39)</f>
        <v>60922</v>
      </c>
      <c r="H40" s="14">
        <f>SUM(H35:H39)</f>
        <v>130497</v>
      </c>
      <c r="I40" s="14">
        <f>SUM(I35:I39)</f>
        <v>0</v>
      </c>
      <c r="J40" s="11"/>
      <c r="K40" s="14">
        <f t="shared" ref="K40:W40" si="63">SUM(K35:K39)</f>
        <v>7192</v>
      </c>
      <c r="L40" s="14">
        <f t="shared" si="63"/>
        <v>13507</v>
      </c>
      <c r="M40" s="14">
        <f t="shared" si="63"/>
        <v>18120</v>
      </c>
      <c r="N40" s="14">
        <f t="shared" si="63"/>
        <v>22103</v>
      </c>
      <c r="O40" s="14">
        <f t="shared" si="63"/>
        <v>26044</v>
      </c>
      <c r="P40" s="14">
        <f t="shared" si="63"/>
        <v>30040</v>
      </c>
      <c r="Q40" s="14">
        <f t="shared" si="63"/>
        <v>35082</v>
      </c>
      <c r="R40" s="14">
        <f t="shared" si="63"/>
        <v>39331</v>
      </c>
      <c r="S40" s="14">
        <f t="shared" si="63"/>
        <v>44062</v>
      </c>
      <c r="T40" s="14">
        <f t="shared" si="63"/>
        <v>46743</v>
      </c>
      <c r="U40" s="14">
        <f t="shared" si="63"/>
        <v>57006</v>
      </c>
      <c r="V40" s="14">
        <f t="shared" si="63"/>
        <v>-147811</v>
      </c>
      <c r="W40" s="14">
        <f t="shared" si="63"/>
        <v>0</v>
      </c>
      <c r="X40" s="14">
        <f t="shared" ref="X40" si="64">SUM(X35:X39)</f>
        <v>0</v>
      </c>
      <c r="Y40" s="14">
        <f t="shared" ref="Y40" si="65">SUM(Y35:Y39)</f>
        <v>0</v>
      </c>
      <c r="Z40" s="5"/>
      <c r="AA40" s="14">
        <f t="shared" ref="AA40:AJ40" si="66">SUM(AA35:AA39)</f>
        <v>60922</v>
      </c>
      <c r="AB40" s="14">
        <f t="shared" si="66"/>
        <v>79774</v>
      </c>
      <c r="AC40" s="14">
        <f t="shared" si="66"/>
        <v>96307</v>
      </c>
      <c r="AD40" s="14">
        <f t="shared" si="66"/>
        <v>113269</v>
      </c>
      <c r="AE40" s="14">
        <f t="shared" si="66"/>
        <v>130497</v>
      </c>
      <c r="AF40" s="14">
        <f t="shared" si="66"/>
        <v>148515</v>
      </c>
      <c r="AG40" s="14">
        <f t="shared" si="66"/>
        <v>165218</v>
      </c>
      <c r="AH40" s="14">
        <f t="shared" si="66"/>
        <v>187142</v>
      </c>
      <c r="AI40" s="14">
        <f t="shared" si="66"/>
        <v>0</v>
      </c>
      <c r="AJ40" s="14">
        <f t="shared" si="66"/>
        <v>-44062</v>
      </c>
    </row>
    <row r="41" spans="1:36" outlineLevel="1">
      <c r="B41" s="131" t="s">
        <v>199</v>
      </c>
      <c r="C41" s="79">
        <f>C40-C14</f>
        <v>0</v>
      </c>
      <c r="D41" s="79">
        <f t="shared" ref="D41:I41" si="67">D40-D14</f>
        <v>0</v>
      </c>
      <c r="E41" s="79">
        <f t="shared" si="67"/>
        <v>0</v>
      </c>
      <c r="F41" s="79">
        <f t="shared" si="67"/>
        <v>0</v>
      </c>
      <c r="G41" s="79">
        <f t="shared" si="67"/>
        <v>0</v>
      </c>
      <c r="H41" s="79">
        <f t="shared" si="67"/>
        <v>0</v>
      </c>
      <c r="I41" s="79">
        <f t="shared" si="67"/>
        <v>0</v>
      </c>
      <c r="J41" s="11"/>
      <c r="K41" s="79">
        <f t="shared" ref="K41" si="68">K40-K14</f>
        <v>0</v>
      </c>
      <c r="L41" s="79">
        <f t="shared" ref="L41" si="69">L40-L14</f>
        <v>0</v>
      </c>
      <c r="M41" s="79">
        <f t="shared" ref="M41" si="70">M40-M14</f>
        <v>0</v>
      </c>
      <c r="N41" s="79">
        <f t="shared" ref="N41" si="71">N40-N14</f>
        <v>0</v>
      </c>
      <c r="O41" s="79">
        <f t="shared" ref="O41" si="72">O40-O14</f>
        <v>0</v>
      </c>
      <c r="P41" s="79">
        <f t="shared" ref="P41" si="73">P40-P14</f>
        <v>0</v>
      </c>
      <c r="Q41" s="79">
        <f t="shared" ref="Q41" si="74">Q40-Q14</f>
        <v>0</v>
      </c>
      <c r="R41" s="79">
        <f t="shared" ref="R41" si="75">R40-R14</f>
        <v>0</v>
      </c>
      <c r="S41" s="79">
        <f t="shared" ref="S41" si="76">S40-S14</f>
        <v>0</v>
      </c>
      <c r="T41" s="79">
        <f t="shared" ref="T41" si="77">T40-T14</f>
        <v>0</v>
      </c>
      <c r="U41" s="79">
        <f t="shared" ref="U41" si="78">U40-U14</f>
        <v>0</v>
      </c>
      <c r="V41" s="79">
        <f t="shared" ref="V41" si="79">V40-V14</f>
        <v>0</v>
      </c>
      <c r="W41" s="79">
        <f t="shared" ref="W41" si="80">W40-W14</f>
        <v>0</v>
      </c>
      <c r="X41" s="79">
        <f t="shared" ref="X41" si="81">X40-X14</f>
        <v>0</v>
      </c>
      <c r="Y41" s="79">
        <f t="shared" ref="Y41" si="82">Y40-Y14</f>
        <v>0</v>
      </c>
      <c r="Z41" s="79"/>
      <c r="AA41" s="79">
        <f t="shared" ref="AA41" si="83">AA40-AA23</f>
        <v>60922</v>
      </c>
      <c r="AB41" s="79">
        <f t="shared" ref="AB41" si="84">AB40-AB23</f>
        <v>79774</v>
      </c>
      <c r="AC41" s="79">
        <f t="shared" ref="AC41" si="85">AC40-AC23</f>
        <v>96307</v>
      </c>
      <c r="AD41" s="79">
        <f t="shared" ref="AD41" si="86">AD40-AD23</f>
        <v>113269</v>
      </c>
      <c r="AE41" s="79">
        <f t="shared" ref="AE41" si="87">AE40-AE23</f>
        <v>130497</v>
      </c>
      <c r="AF41" s="79">
        <f t="shared" ref="AF41" si="88">AF40-AF23</f>
        <v>148515</v>
      </c>
      <c r="AG41" s="79">
        <f t="shared" ref="AG41" si="89">AG40-AG23</f>
        <v>165218</v>
      </c>
      <c r="AH41" s="79">
        <f t="shared" ref="AH41" si="90">AH40-AH23</f>
        <v>187142</v>
      </c>
      <c r="AI41" s="79">
        <f t="shared" ref="AI41" si="91">AI40-AI23</f>
        <v>0</v>
      </c>
      <c r="AJ41" s="79">
        <f t="shared" ref="AJ41" si="92">AJ40-AJ23</f>
        <v>-44062</v>
      </c>
    </row>
    <row r="42" spans="1:36">
      <c r="B42" s="18"/>
      <c r="C42" s="19"/>
      <c r="D42" s="19"/>
      <c r="E42" s="19"/>
      <c r="F42" s="19"/>
      <c r="G42" s="19"/>
      <c r="H42" s="19"/>
      <c r="I42" s="19"/>
      <c r="J42" s="20"/>
      <c r="K42" s="21"/>
      <c r="L42" s="21"/>
      <c r="M42" s="21"/>
      <c r="N42" s="22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</row>
    <row r="43" spans="1:36">
      <c r="B43" s="156" t="str">
        <f>B35&amp;"(%)"</f>
        <v>U.S. Revenue(%)</v>
      </c>
      <c r="C43" s="157">
        <f t="shared" ref="C43" si="93">SUM(C35/C$40)</f>
        <v>8.1150393845026564E-2</v>
      </c>
      <c r="D43" s="157">
        <f t="shared" ref="D43:F43" si="94">SUM(D35/D$40)</f>
        <v>0.19274362818590704</v>
      </c>
      <c r="E43" s="157">
        <f t="shared" si="94"/>
        <v>0.1615887642119343</v>
      </c>
      <c r="F43" s="157">
        <f>SUM(F35/F$40)</f>
        <v>0.3074071327945429</v>
      </c>
      <c r="G43" s="157">
        <f t="shared" ref="G43:I43" si="95">SUM(G35/G$40)</f>
        <v>0.4426315616690194</v>
      </c>
      <c r="H43" s="157">
        <f t="shared" si="95"/>
        <v>0.46941308995609093</v>
      </c>
      <c r="I43" s="157" t="e">
        <f t="shared" si="95"/>
        <v>#DIV/0!</v>
      </c>
      <c r="J43" s="158"/>
      <c r="K43" s="157">
        <f>SUM(K35/K$40)</f>
        <v>0.33161846496106784</v>
      </c>
      <c r="L43" s="157">
        <f>SUM(L35/L$40)</f>
        <v>0.44739764566521062</v>
      </c>
      <c r="M43" s="157">
        <f>SUM(M35/M$40)</f>
        <v>0.34779249448123623</v>
      </c>
      <c r="N43" s="157">
        <f>SUM(N35/N$40)</f>
        <v>0.55359001040582723</v>
      </c>
      <c r="O43" s="157">
        <f>SUM(O35/O$40)</f>
        <v>0.51819996928275225</v>
      </c>
      <c r="P43" s="157">
        <f>SUM(P35/P$40)</f>
        <v>0.43348868175765648</v>
      </c>
      <c r="Q43" s="157">
        <f>SUM(Q35/Q$40)</f>
        <v>0.42186876460863121</v>
      </c>
      <c r="R43" s="157">
        <f>SUM(R35/R$40)</f>
        <v>0.50695380234420684</v>
      </c>
      <c r="S43" s="157">
        <f>SUM(S35/S$40)</f>
        <v>0.47067768144886751</v>
      </c>
      <c r="T43" s="157">
        <f>SUM(T35/T$40)</f>
        <v>0.50210726739832701</v>
      </c>
      <c r="U43" s="157">
        <f>SUM(U35/U$40)</f>
        <v>0.68724344805809912</v>
      </c>
      <c r="V43" s="157">
        <f>SUM(V35/V$40)</f>
        <v>0.56413934010323996</v>
      </c>
      <c r="W43" s="157" t="e">
        <f>SUM(W35/W$40)</f>
        <v>#DIV/0!</v>
      </c>
      <c r="X43" s="157" t="e">
        <f t="shared" ref="X43:Y43" si="96">SUM(X35/X$40)</f>
        <v>#DIV/0!</v>
      </c>
      <c r="Y43" s="157" t="e">
        <f t="shared" si="96"/>
        <v>#DIV/0!</v>
      </c>
      <c r="Z43" s="158"/>
      <c r="AA43" s="159">
        <f t="shared" ref="AA43:AJ47" si="97">L43</f>
        <v>0.44739764566521062</v>
      </c>
      <c r="AB43" s="159">
        <f t="shared" si="97"/>
        <v>0.34779249448123623</v>
      </c>
      <c r="AC43" s="159">
        <f t="shared" si="97"/>
        <v>0.55359001040582723</v>
      </c>
      <c r="AD43" s="159">
        <f t="shared" si="97"/>
        <v>0.51819996928275225</v>
      </c>
      <c r="AE43" s="159">
        <f t="shared" si="97"/>
        <v>0.43348868175765648</v>
      </c>
      <c r="AF43" s="159">
        <f t="shared" si="97"/>
        <v>0.42186876460863121</v>
      </c>
      <c r="AG43" s="159">
        <f t="shared" si="97"/>
        <v>0.50695380234420684</v>
      </c>
      <c r="AH43" s="159">
        <f t="shared" si="97"/>
        <v>0.47067768144886751</v>
      </c>
      <c r="AI43" s="159">
        <f t="shared" si="97"/>
        <v>0.50210726739832701</v>
      </c>
      <c r="AJ43" s="160">
        <f t="shared" si="97"/>
        <v>0.68724344805809912</v>
      </c>
    </row>
    <row r="44" spans="1:36">
      <c r="B44" s="161" t="str">
        <f>B36&amp;"(%)"</f>
        <v>Singapore Revenue(%)</v>
      </c>
      <c r="C44" s="162">
        <f t="shared" ref="C44" si="98">SUM(C36/C$40)</f>
        <v>0</v>
      </c>
      <c r="D44" s="162">
        <f t="shared" ref="D44:F44" si="99">SUM(D36/D$40)</f>
        <v>0</v>
      </c>
      <c r="E44" s="162">
        <f t="shared" si="99"/>
        <v>0</v>
      </c>
      <c r="F44" s="162">
        <f>SUM(F36/F$40)</f>
        <v>8.4822421591161865E-2</v>
      </c>
      <c r="G44" s="162">
        <f>SUM(G36/G$40)</f>
        <v>0.11212698204261186</v>
      </c>
      <c r="H44" s="162">
        <f>SUM(H36/H$40)</f>
        <v>0.18149076223974497</v>
      </c>
      <c r="I44" s="162" t="e">
        <f>SUM(I36/I$40)</f>
        <v>#DIV/0!</v>
      </c>
      <c r="J44" s="163"/>
      <c r="K44" s="162">
        <f>SUM(K36/K$40)</f>
        <v>0.10595105672969966</v>
      </c>
      <c r="L44" s="162">
        <f>SUM(L36/L$40)</f>
        <v>0.21018731028355667</v>
      </c>
      <c r="M44" s="162">
        <f>SUM(M36/M$40)</f>
        <v>0.14911699779249449</v>
      </c>
      <c r="N44" s="162">
        <f>SUM(N36/N$40)</f>
        <v>2.3888159978283491E-2</v>
      </c>
      <c r="O44" s="162">
        <f>SUM(O36/O$40)</f>
        <v>0.1550069113807403</v>
      </c>
      <c r="P44" s="162">
        <f>SUM(P36/P$40)</f>
        <v>0.19107856191744341</v>
      </c>
      <c r="Q44" s="162">
        <f>SUM(Q36/Q$40)</f>
        <v>0.21940026224274556</v>
      </c>
      <c r="R44" s="162">
        <f>SUM(R36/R$40)</f>
        <v>0.15789072233098575</v>
      </c>
      <c r="S44" s="162">
        <f>SUM(S36/S$40)</f>
        <v>0.20464345694702918</v>
      </c>
      <c r="T44" s="162">
        <f>SUM(T36/T$40)</f>
        <v>0.21727317459298717</v>
      </c>
      <c r="U44" s="162">
        <f>SUM(U36/U$40)</f>
        <v>0</v>
      </c>
      <c r="V44" s="162">
        <f>SUM(V36/V$40)</f>
        <v>0.12971294423283788</v>
      </c>
      <c r="W44" s="162" t="e">
        <f>SUM(W36/W$40)</f>
        <v>#DIV/0!</v>
      </c>
      <c r="X44" s="162" t="e">
        <f t="shared" ref="X44:Y44" si="100">SUM(X36/X$40)</f>
        <v>#DIV/0!</v>
      </c>
      <c r="Y44" s="162" t="e">
        <f t="shared" si="100"/>
        <v>#DIV/0!</v>
      </c>
      <c r="Z44" s="163"/>
      <c r="AA44" s="164">
        <f t="shared" si="97"/>
        <v>0.21018731028355667</v>
      </c>
      <c r="AB44" s="164">
        <f t="shared" si="97"/>
        <v>0.14911699779249449</v>
      </c>
      <c r="AC44" s="164">
        <f t="shared" si="97"/>
        <v>2.3888159978283491E-2</v>
      </c>
      <c r="AD44" s="164">
        <f t="shared" si="97"/>
        <v>0.1550069113807403</v>
      </c>
      <c r="AE44" s="164">
        <f t="shared" si="97"/>
        <v>0.19107856191744341</v>
      </c>
      <c r="AF44" s="164">
        <f t="shared" si="97"/>
        <v>0.21940026224274556</v>
      </c>
      <c r="AG44" s="164">
        <f t="shared" si="97"/>
        <v>0.15789072233098575</v>
      </c>
      <c r="AH44" s="164">
        <f t="shared" si="97"/>
        <v>0.20464345694702918</v>
      </c>
      <c r="AI44" s="164">
        <f t="shared" si="97"/>
        <v>0.21727317459298717</v>
      </c>
      <c r="AJ44" s="165">
        <f t="shared" si="97"/>
        <v>0</v>
      </c>
    </row>
    <row r="45" spans="1:36">
      <c r="B45" s="161" t="str">
        <f>B37&amp;"(%)"</f>
        <v>Taiwan Revenue(%)</v>
      </c>
      <c r="C45" s="162">
        <f t="shared" ref="C45:C46" si="101">SUM(C37/C$40)</f>
        <v>0.27706539659278256</v>
      </c>
      <c r="D45" s="162">
        <f t="shared" ref="D45:F46" si="102">SUM(D37/D$40)</f>
        <v>0.2717241379310345</v>
      </c>
      <c r="E45" s="162">
        <f t="shared" si="102"/>
        <v>0.31745559931634093</v>
      </c>
      <c r="F45" s="162">
        <f>SUM(F37/F$40)</f>
        <v>0.2589901386520353</v>
      </c>
      <c r="G45" s="162">
        <f>SUM(G37/G$40)</f>
        <v>0.22003545517218739</v>
      </c>
      <c r="H45" s="162">
        <f>SUM(H37/H$40)</f>
        <v>0.15765113374253814</v>
      </c>
      <c r="I45" s="162" t="e">
        <f>SUM(I37/I$40)</f>
        <v>#DIV/0!</v>
      </c>
      <c r="J45" s="163"/>
      <c r="K45" s="162">
        <f>SUM(K37/K$40)</f>
        <v>0.24972191323692991</v>
      </c>
      <c r="L45" s="162">
        <f>SUM(L37/L$40)</f>
        <v>7.7145183978677728E-2</v>
      </c>
      <c r="M45" s="162">
        <f>SUM(M37/M$40)</f>
        <v>0.22240618101545254</v>
      </c>
      <c r="N45" s="162">
        <f>SUM(N37/N$40)</f>
        <v>0.29575170791295297</v>
      </c>
      <c r="O45" s="162">
        <f>SUM(O37/O$40)</f>
        <v>0.16790815542927354</v>
      </c>
      <c r="P45" s="162">
        <f>SUM(P37/P$40)</f>
        <v>0.18715046604527297</v>
      </c>
      <c r="Q45" s="162">
        <f>SUM(Q37/Q$40)</f>
        <v>0.15438116412975314</v>
      </c>
      <c r="R45" s="162">
        <f>SUM(R37/R$40)</f>
        <v>0.13124507386031375</v>
      </c>
      <c r="S45" s="162">
        <f>SUM(S37/S$40)</f>
        <v>0.16245290726703282</v>
      </c>
      <c r="T45" s="162">
        <f>SUM(T37/T$40)</f>
        <v>0.18246582375970732</v>
      </c>
      <c r="U45" s="162">
        <f>SUM(U37/U$40)</f>
        <v>0.24122022243272637</v>
      </c>
      <c r="V45" s="162">
        <f>SUM(V37/V$40)</f>
        <v>0.19915973777323745</v>
      </c>
      <c r="W45" s="162" t="e">
        <f>SUM(W37/W$40)</f>
        <v>#DIV/0!</v>
      </c>
      <c r="X45" s="162" t="e">
        <f t="shared" ref="X45:Y46" si="103">SUM(X37/X$40)</f>
        <v>#DIV/0!</v>
      </c>
      <c r="Y45" s="162" t="e">
        <f t="shared" si="103"/>
        <v>#DIV/0!</v>
      </c>
      <c r="Z45" s="163"/>
      <c r="AA45" s="164">
        <f t="shared" ref="AA45" si="104">L45</f>
        <v>7.7145183978677728E-2</v>
      </c>
      <c r="AB45" s="164">
        <f t="shared" ref="AB45" si="105">M45</f>
        <v>0.22240618101545254</v>
      </c>
      <c r="AC45" s="164">
        <f t="shared" ref="AC45" si="106">N45</f>
        <v>0.29575170791295297</v>
      </c>
      <c r="AD45" s="164">
        <f t="shared" ref="AD45" si="107">O45</f>
        <v>0.16790815542927354</v>
      </c>
      <c r="AE45" s="164">
        <f t="shared" ref="AE45" si="108">P45</f>
        <v>0.18715046604527297</v>
      </c>
      <c r="AF45" s="164">
        <f t="shared" ref="AF45" si="109">Q45</f>
        <v>0.15438116412975314</v>
      </c>
      <c r="AG45" s="164">
        <f t="shared" ref="AG45" si="110">R45</f>
        <v>0.13124507386031375</v>
      </c>
      <c r="AH45" s="164">
        <f t="shared" ref="AH45" si="111">S45</f>
        <v>0.16245290726703282</v>
      </c>
      <c r="AI45" s="164">
        <f t="shared" ref="AI45" si="112">T45</f>
        <v>0.18246582375970732</v>
      </c>
      <c r="AJ45" s="165">
        <f t="shared" ref="AJ45" si="113">U45</f>
        <v>0.24122022243272637</v>
      </c>
    </row>
    <row r="46" spans="1:36">
      <c r="B46" s="161" t="str">
        <f>B38&amp;"(%)"</f>
        <v>China (Incl. Hong Kong) Revenue(%)</v>
      </c>
      <c r="C46" s="162">
        <f t="shared" si="101"/>
        <v>0.25013738779996336</v>
      </c>
      <c r="D46" s="162">
        <f t="shared" si="102"/>
        <v>0.23304347826086957</v>
      </c>
      <c r="E46" s="162">
        <f t="shared" si="102"/>
        <v>0.26421193430928142</v>
      </c>
      <c r="F46" s="162">
        <f>SUM(F38/F$40)</f>
        <v>0.21446578186401721</v>
      </c>
      <c r="G46" s="162">
        <f>SUM(G38/G$40)</f>
        <v>0.16916713174222778</v>
      </c>
      <c r="H46" s="162">
        <f>SUM(H38/H$40)</f>
        <v>0.131098799206112</v>
      </c>
      <c r="I46" s="162" t="e">
        <f>SUM(I38/I$40)</f>
        <v>#DIV/0!</v>
      </c>
      <c r="J46" s="163"/>
      <c r="K46" s="162">
        <f>SUM(K38/K$40)</f>
        <v>0.22107897664071191</v>
      </c>
      <c r="L46" s="162">
        <f>SUM(L38/L$40)</f>
        <v>0.20285777744873029</v>
      </c>
      <c r="M46" s="162">
        <f>SUM(M38/M$40)</f>
        <v>0.23912803532008831</v>
      </c>
      <c r="N46" s="162">
        <f>SUM(N38/N$40)</f>
        <v>7.4333800841514724E-2</v>
      </c>
      <c r="O46" s="162">
        <f>SUM(O38/O$40)</f>
        <v>9.5645830133620033E-2</v>
      </c>
      <c r="P46" s="162">
        <f>SUM(P38/P$40)</f>
        <v>0.12207057256990679</v>
      </c>
      <c r="Q46" s="162">
        <f>SUM(Q38/Q$40)</f>
        <v>0.14688444216407273</v>
      </c>
      <c r="R46" s="162">
        <f>SUM(R38/R$40)</f>
        <v>0.14739009941267703</v>
      </c>
      <c r="S46" s="162">
        <f>SUM(S38/S$40)</f>
        <v>0.12532340792519631</v>
      </c>
      <c r="T46" s="162">
        <f>SUM(T38/T$40)</f>
        <v>5.9238816507284513E-2</v>
      </c>
      <c r="U46" s="162">
        <f>SUM(U38/U$40)</f>
        <v>5.2152405009998945E-2</v>
      </c>
      <c r="V46" s="162">
        <f>SUM(V38/V$40)</f>
        <v>7.6205424494794033E-2</v>
      </c>
      <c r="W46" s="162" t="e">
        <f>SUM(W38/W$40)</f>
        <v>#DIV/0!</v>
      </c>
      <c r="X46" s="162" t="e">
        <f t="shared" si="103"/>
        <v>#DIV/0!</v>
      </c>
      <c r="Y46" s="162" t="e">
        <f t="shared" si="103"/>
        <v>#DIV/0!</v>
      </c>
      <c r="Z46" s="163"/>
      <c r="AA46" s="164">
        <f t="shared" si="97"/>
        <v>0.20285777744873029</v>
      </c>
      <c r="AB46" s="164">
        <f t="shared" si="97"/>
        <v>0.23912803532008831</v>
      </c>
      <c r="AC46" s="164">
        <f t="shared" si="97"/>
        <v>7.4333800841514724E-2</v>
      </c>
      <c r="AD46" s="164">
        <f t="shared" si="97"/>
        <v>9.5645830133620033E-2</v>
      </c>
      <c r="AE46" s="164">
        <f t="shared" si="97"/>
        <v>0.12207057256990679</v>
      </c>
      <c r="AF46" s="164">
        <f t="shared" si="97"/>
        <v>0.14688444216407273</v>
      </c>
      <c r="AG46" s="164">
        <f t="shared" si="97"/>
        <v>0.14739009941267703</v>
      </c>
      <c r="AH46" s="164">
        <f t="shared" si="97"/>
        <v>0.12532340792519631</v>
      </c>
      <c r="AI46" s="164">
        <f t="shared" si="97"/>
        <v>5.9238816507284513E-2</v>
      </c>
      <c r="AJ46" s="165">
        <f t="shared" si="97"/>
        <v>5.2152405009998945E-2</v>
      </c>
    </row>
    <row r="47" spans="1:36" ht="12.75" customHeight="1">
      <c r="B47" s="166" t="str">
        <f>B39&amp;"(%)"</f>
        <v>Other Revenue(%)</v>
      </c>
      <c r="C47" s="167">
        <f t="shared" ref="C47" si="114">SUM(C39/C$40)</f>
        <v>0.39164682176222754</v>
      </c>
      <c r="D47" s="167">
        <f t="shared" ref="D47:F47" si="115">SUM(D39/D$40)</f>
        <v>0.30248875562218891</v>
      </c>
      <c r="E47" s="167">
        <f t="shared" si="115"/>
        <v>0.25674370216244335</v>
      </c>
      <c r="F47" s="167">
        <f>SUM(F39/F$40)</f>
        <v>0.13431452509824277</v>
      </c>
      <c r="G47" s="167">
        <f>SUM(G39/G$40)</f>
        <v>5.6038869373953581E-2</v>
      </c>
      <c r="H47" s="167">
        <f>SUM(H39/H$40)</f>
        <v>6.0346214855513919E-2</v>
      </c>
      <c r="I47" s="167" t="e">
        <f>SUM(I39/I$40)</f>
        <v>#DIV/0!</v>
      </c>
      <c r="J47" s="168"/>
      <c r="K47" s="167">
        <f>SUM(K39/K$40)</f>
        <v>9.162958843159065E-2</v>
      </c>
      <c r="L47" s="167">
        <f>SUM(L39/L$40)</f>
        <v>6.241208262382468E-2</v>
      </c>
      <c r="M47" s="167">
        <f>SUM(M39/M$40)</f>
        <v>4.1556291390728479E-2</v>
      </c>
      <c r="N47" s="167">
        <f>SUM(N39/N$40)</f>
        <v>5.2436320861421526E-2</v>
      </c>
      <c r="O47" s="167">
        <f>SUM(O39/O$40)</f>
        <v>6.3239133773613884E-2</v>
      </c>
      <c r="P47" s="167">
        <f>SUM(P39/P$40)</f>
        <v>6.6211717709720369E-2</v>
      </c>
      <c r="Q47" s="167">
        <f>SUM(Q39/Q$40)</f>
        <v>5.7465366854797334E-2</v>
      </c>
      <c r="R47" s="167">
        <f>SUM(R39/R$40)</f>
        <v>5.6520302051816636E-2</v>
      </c>
      <c r="S47" s="167">
        <f>SUM(S39/S$40)</f>
        <v>3.6902546411874175E-2</v>
      </c>
      <c r="T47" s="167">
        <f>SUM(T39/T$40)</f>
        <v>3.8914917741693943E-2</v>
      </c>
      <c r="U47" s="167">
        <f>SUM(U39/U$40)</f>
        <v>1.9383924499175524E-2</v>
      </c>
      <c r="V47" s="167">
        <f>SUM(V39/V$40)</f>
        <v>3.0782553395890699E-2</v>
      </c>
      <c r="W47" s="167" t="e">
        <f>SUM(W39/W$40)</f>
        <v>#DIV/0!</v>
      </c>
      <c r="X47" s="167" t="e">
        <f t="shared" ref="X47:Y47" si="116">SUM(X39/X$40)</f>
        <v>#DIV/0!</v>
      </c>
      <c r="Y47" s="167" t="e">
        <f t="shared" si="116"/>
        <v>#DIV/0!</v>
      </c>
      <c r="Z47" s="168"/>
      <c r="AA47" s="169">
        <f t="shared" si="97"/>
        <v>6.241208262382468E-2</v>
      </c>
      <c r="AB47" s="169">
        <f t="shared" si="97"/>
        <v>4.1556291390728479E-2</v>
      </c>
      <c r="AC47" s="169">
        <f t="shared" si="97"/>
        <v>5.2436320861421526E-2</v>
      </c>
      <c r="AD47" s="169">
        <f t="shared" si="97"/>
        <v>6.3239133773613884E-2</v>
      </c>
      <c r="AE47" s="169">
        <f t="shared" si="97"/>
        <v>6.6211717709720369E-2</v>
      </c>
      <c r="AF47" s="169">
        <f t="shared" si="97"/>
        <v>5.7465366854797334E-2</v>
      </c>
      <c r="AG47" s="169">
        <f t="shared" si="97"/>
        <v>5.6520302051816636E-2</v>
      </c>
      <c r="AH47" s="169">
        <f t="shared" si="97"/>
        <v>3.6902546411874175E-2</v>
      </c>
      <c r="AI47" s="169">
        <f t="shared" si="97"/>
        <v>3.8914917741693943E-2</v>
      </c>
      <c r="AJ47" s="170">
        <f t="shared" si="97"/>
        <v>1.9383924499175524E-2</v>
      </c>
    </row>
  </sheetData>
  <dataValidations disablePrompts="1" count="1">
    <dataValidation type="list" allowBlank="1" showInputMessage="1" showErrorMessage="1" sqref="B4" xr:uid="{62176FD9-E514-4BEC-85E1-6C6963572068}">
      <formula1>"$ bns except per share, $ mm except per share,$ in thousands except per share"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6C0D2-A617-43BF-9493-F1D2AA08251E}">
  <sheetPr>
    <tabColor theme="6" tint="-0.249977111117893"/>
  </sheetPr>
  <dimension ref="A2:AC98"/>
  <sheetViews>
    <sheetView showGridLines="0" zoomScale="115" zoomScaleNormal="115" workbookViewId="0">
      <selection activeCell="B7" sqref="B7"/>
    </sheetView>
  </sheetViews>
  <sheetFormatPr defaultRowHeight="12" outlineLevelRow="1" outlineLevelCol="1"/>
  <cols>
    <col min="1" max="1" width="1.5" style="8" customWidth="1"/>
    <col min="2" max="2" width="41.625" style="8" customWidth="1"/>
    <col min="3" max="3" width="8.625" style="8" hidden="1" customWidth="1" outlineLevel="1"/>
    <col min="4" max="4" width="9" style="8" bestFit="1" customWidth="1" collapsed="1"/>
    <col min="5" max="5" width="9.25" style="8" bestFit="1" customWidth="1"/>
    <col min="6" max="6" width="9" style="8"/>
    <col min="7" max="7" width="1.5" style="8" customWidth="1"/>
    <col min="8" max="9" width="8" style="8" hidden="1" customWidth="1" outlineLevel="1"/>
    <col min="10" max="13" width="8.875" style="8" hidden="1" customWidth="1" outlineLevel="1"/>
    <col min="14" max="14" width="8.875" style="8" bestFit="1" customWidth="1" collapsed="1"/>
    <col min="15" max="18" width="8.875" style="8" bestFit="1" customWidth="1"/>
    <col min="19" max="19" width="1.625" style="8" customWidth="1"/>
    <col min="20" max="20" width="9.25" style="8" hidden="1" customWidth="1" outlineLevel="1"/>
    <col min="21" max="21" width="9.75" style="8" hidden="1" customWidth="1" outlineLevel="1"/>
    <col min="22" max="22" width="9" style="8" hidden="1" customWidth="1" outlineLevel="1"/>
    <col min="23" max="23" width="9" style="8" customWidth="1" collapsed="1"/>
    <col min="24" max="25" width="9" style="8" hidden="1" customWidth="1" outlineLevel="1"/>
    <col min="26" max="26" width="8.5" style="8" hidden="1" customWidth="1" outlineLevel="1"/>
    <col min="27" max="27" width="8.5" style="8" bestFit="1" customWidth="1" collapsed="1"/>
    <col min="28" max="28" width="1.5" style="8" customWidth="1"/>
    <col min="29" max="29" width="9.375" style="129" bestFit="1" customWidth="1"/>
    <col min="30" max="16384" width="9" style="8"/>
  </cols>
  <sheetData>
    <row r="2" spans="2:29" s="5" customFormat="1" ht="12.75" customHeight="1">
      <c r="B2" s="1" t="str">
        <f>'Historical Financials'!B2</f>
        <v>NVIDIA Corporation (NASDAQ: NVDA)</v>
      </c>
      <c r="C2" s="2"/>
      <c r="D2" s="2" t="s">
        <v>0</v>
      </c>
      <c r="E2" s="2"/>
      <c r="F2" s="2"/>
      <c r="G2" s="3"/>
      <c r="H2" s="2" t="s">
        <v>1</v>
      </c>
      <c r="I2" s="2"/>
      <c r="J2" s="2"/>
      <c r="K2" s="2"/>
      <c r="L2" s="2"/>
      <c r="M2" s="2"/>
      <c r="N2" s="2" t="s">
        <v>1</v>
      </c>
      <c r="O2" s="2"/>
      <c r="P2" s="2"/>
      <c r="Q2" s="2"/>
      <c r="R2" s="2"/>
      <c r="S2" s="3"/>
      <c r="T2" s="2"/>
      <c r="U2" s="2"/>
      <c r="V2" s="2" t="s">
        <v>10</v>
      </c>
      <c r="W2" s="2" t="s">
        <v>10</v>
      </c>
      <c r="X2" s="2"/>
      <c r="Y2" s="2"/>
      <c r="Z2" s="2"/>
      <c r="AA2" s="2"/>
      <c r="AB2" s="3"/>
      <c r="AC2" s="155" t="s">
        <v>22</v>
      </c>
    </row>
    <row r="3" spans="2:29" s="5" customFormat="1" ht="12.75" customHeight="1">
      <c r="B3" s="6" t="s">
        <v>23</v>
      </c>
      <c r="C3" s="7">
        <f>'Historical Financials'!E7</f>
        <v>2021</v>
      </c>
      <c r="D3" s="7">
        <f>'Historical Financials'!F7</f>
        <v>2022</v>
      </c>
      <c r="E3" s="7">
        <f>'Historical Financials'!G7</f>
        <v>2023</v>
      </c>
      <c r="F3" s="7">
        <f>'Historical Financials'!H7</f>
        <v>2024</v>
      </c>
      <c r="G3" s="3"/>
      <c r="H3" s="7" t="str">
        <f>'Historical Financials'!K7</f>
        <v>1Q23</v>
      </c>
      <c r="I3" s="7" t="str">
        <f>'Historical Financials'!L7</f>
        <v>2Q23</v>
      </c>
      <c r="J3" s="7" t="str">
        <f>'Historical Financials'!M7</f>
        <v>3Q23</v>
      </c>
      <c r="K3" s="7" t="str">
        <f>'Historical Financials'!N7</f>
        <v>4Q23</v>
      </c>
      <c r="L3" s="7" t="str">
        <f>'Historical Financials'!O7</f>
        <v>1Q24</v>
      </c>
      <c r="M3" s="7" t="str">
        <f>'Historical Financials'!P7</f>
        <v>2Q24</v>
      </c>
      <c r="N3" s="7" t="str">
        <f>'Historical Financials'!Q7</f>
        <v>3Q24</v>
      </c>
      <c r="O3" s="7" t="str">
        <f>'Historical Financials'!R7</f>
        <v>4Q24</v>
      </c>
      <c r="P3" s="7" t="str">
        <f>'Historical Financials'!S7</f>
        <v>1Q25</v>
      </c>
      <c r="Q3" s="7" t="str">
        <f>'Historical Financials'!T7</f>
        <v>2Q25</v>
      </c>
      <c r="R3" s="7" t="str">
        <f>'Historical Financials'!U7</f>
        <v>3Q25</v>
      </c>
      <c r="S3" s="3"/>
      <c r="T3" s="4" t="str">
        <f t="shared" ref="T3:AA4" si="0">K3</f>
        <v>4Q23</v>
      </c>
      <c r="U3" s="4" t="str">
        <f t="shared" si="0"/>
        <v>1Q24</v>
      </c>
      <c r="V3" s="4" t="str">
        <f t="shared" si="0"/>
        <v>2Q24</v>
      </c>
      <c r="W3" s="4" t="str">
        <f t="shared" si="0"/>
        <v>3Q24</v>
      </c>
      <c r="X3" s="4" t="str">
        <f t="shared" si="0"/>
        <v>4Q24</v>
      </c>
      <c r="Y3" s="4" t="str">
        <f t="shared" si="0"/>
        <v>1Q25</v>
      </c>
      <c r="Z3" s="4" t="str">
        <f t="shared" si="0"/>
        <v>2Q25</v>
      </c>
      <c r="AA3" s="4" t="str">
        <f t="shared" si="0"/>
        <v>3Q25</v>
      </c>
      <c r="AB3" s="3"/>
      <c r="AC3" s="155"/>
    </row>
    <row r="4" spans="2:29" s="5" customFormat="1" ht="12.75" customHeight="1">
      <c r="B4" s="6" t="s">
        <v>71</v>
      </c>
      <c r="C4" s="3">
        <f>'Historical Financials'!E8</f>
        <v>0</v>
      </c>
      <c r="D4" s="3">
        <f>'Historical Financials'!F8</f>
        <v>0</v>
      </c>
      <c r="E4" s="3">
        <f>'Historical Financials'!G8</f>
        <v>0</v>
      </c>
      <c r="F4" s="3">
        <f>'Historical Financials'!H8</f>
        <v>0</v>
      </c>
      <c r="G4" s="3"/>
      <c r="H4" s="3">
        <f>'Historical Financials'!K8</f>
        <v>0</v>
      </c>
      <c r="I4" s="3">
        <f>'Historical Financials'!L8</f>
        <v>0</v>
      </c>
      <c r="J4" s="3">
        <f>'Historical Financials'!M8</f>
        <v>0</v>
      </c>
      <c r="K4" s="3">
        <f>'Historical Financials'!N8</f>
        <v>0</v>
      </c>
      <c r="L4" s="3">
        <f>'Historical Financials'!O8</f>
        <v>0</v>
      </c>
      <c r="M4" s="3">
        <f>'Historical Financials'!P8</f>
        <v>0</v>
      </c>
      <c r="N4" s="3">
        <f>'Historical Financials'!Q8</f>
        <v>0</v>
      </c>
      <c r="O4" s="3">
        <f>'Historical Financials'!R8</f>
        <v>0</v>
      </c>
      <c r="P4" s="3">
        <f>'Historical Financials'!S8</f>
        <v>0</v>
      </c>
      <c r="Q4" s="3">
        <f>'Historical Financials'!T8</f>
        <v>0</v>
      </c>
      <c r="R4" s="3">
        <f>'Historical Financials'!U8</f>
        <v>0</v>
      </c>
      <c r="S4" s="3"/>
      <c r="T4" s="3">
        <f t="shared" si="0"/>
        <v>0</v>
      </c>
      <c r="U4" s="3">
        <f t="shared" si="0"/>
        <v>0</v>
      </c>
      <c r="V4" s="3">
        <f t="shared" si="0"/>
        <v>0</v>
      </c>
      <c r="W4" s="3">
        <f t="shared" si="0"/>
        <v>0</v>
      </c>
      <c r="X4" s="3">
        <f t="shared" si="0"/>
        <v>0</v>
      </c>
      <c r="Y4" s="3">
        <f t="shared" si="0"/>
        <v>0</v>
      </c>
      <c r="Z4" s="3">
        <f t="shared" si="0"/>
        <v>0</v>
      </c>
      <c r="AA4" s="3">
        <f t="shared" si="0"/>
        <v>0</v>
      </c>
      <c r="AB4" s="3"/>
      <c r="AC4" s="155"/>
    </row>
    <row r="5" spans="2:29" ht="5.0999999999999996" customHeight="1">
      <c r="AC5" s="125"/>
    </row>
    <row r="6" spans="2:29" ht="12.75" customHeight="1">
      <c r="B6" s="9" t="str">
        <f>'Revenue Drivers'!B9</f>
        <v>Data Center</v>
      </c>
      <c r="C6" s="94">
        <f>'Revenue Drivers'!F9</f>
        <v>15005</v>
      </c>
      <c r="D6" s="94">
        <f>'Revenue Drivers'!G9</f>
        <v>47525</v>
      </c>
      <c r="E6" s="94">
        <f>'Revenue Drivers'!H9</f>
        <v>115186</v>
      </c>
      <c r="F6" s="94">
        <f>'Revenue Drivers'!I9</f>
        <v>0</v>
      </c>
      <c r="G6" s="10"/>
      <c r="H6" s="94">
        <f>'Revenue Drivers'!K9</f>
        <v>4284</v>
      </c>
      <c r="I6" s="94">
        <f>'Revenue Drivers'!L9</f>
        <v>10323</v>
      </c>
      <c r="J6" s="94">
        <f>'Revenue Drivers'!M9</f>
        <v>14514</v>
      </c>
      <c r="K6" s="94">
        <f>'Revenue Drivers'!N9</f>
        <v>18404</v>
      </c>
      <c r="L6" s="94">
        <f>'Revenue Drivers'!O9</f>
        <v>22563</v>
      </c>
      <c r="M6" s="94">
        <f>'Revenue Drivers'!P9</f>
        <v>26272</v>
      </c>
      <c r="N6" s="94">
        <f>'Revenue Drivers'!Q9</f>
        <v>30771</v>
      </c>
      <c r="O6" s="94">
        <f>'Revenue Drivers'!R9</f>
        <v>35580</v>
      </c>
      <c r="P6" s="94">
        <f>'Revenue Drivers'!S9</f>
        <v>39112</v>
      </c>
      <c r="Q6" s="94">
        <f>'Revenue Drivers'!T9</f>
        <v>41096</v>
      </c>
      <c r="R6" s="94">
        <f>'Revenue Drivers'!U9</f>
        <v>51215</v>
      </c>
      <c r="S6" s="5"/>
      <c r="T6" s="142">
        <f t="shared" ref="T6:Z9" si="1">SUM(H6:K6)</f>
        <v>47525</v>
      </c>
      <c r="U6" s="142">
        <f t="shared" si="1"/>
        <v>65804</v>
      </c>
      <c r="V6" s="142">
        <f t="shared" si="1"/>
        <v>81753</v>
      </c>
      <c r="W6" s="142">
        <f t="shared" si="1"/>
        <v>98010</v>
      </c>
      <c r="X6" s="142">
        <f t="shared" si="1"/>
        <v>115186</v>
      </c>
      <c r="Y6" s="142">
        <f t="shared" si="1"/>
        <v>131735</v>
      </c>
      <c r="Z6" s="142">
        <f t="shared" si="1"/>
        <v>146559</v>
      </c>
      <c r="AA6" s="142">
        <f>SUM(O6:R6)</f>
        <v>167003</v>
      </c>
      <c r="AC6" s="126">
        <f t="shared" ref="AC6:AC10" si="2">SUM(AA6/W6)-1</f>
        <v>0.70393837363534328</v>
      </c>
    </row>
    <row r="7" spans="2:29" ht="12.75" customHeight="1">
      <c r="B7" s="9" t="str">
        <f>'Revenue Drivers'!B10</f>
        <v xml:space="preserve">Gaming </v>
      </c>
      <c r="C7" s="94">
        <f>'Revenue Drivers'!F10</f>
        <v>9067</v>
      </c>
      <c r="D7" s="94">
        <f>'Revenue Drivers'!G10</f>
        <v>10447</v>
      </c>
      <c r="E7" s="94">
        <f>'Revenue Drivers'!H10</f>
        <v>11350</v>
      </c>
      <c r="F7" s="94">
        <f>'Revenue Drivers'!I10</f>
        <v>0</v>
      </c>
      <c r="G7" s="10"/>
      <c r="H7" s="94">
        <f>'Revenue Drivers'!K10</f>
        <v>2240</v>
      </c>
      <c r="I7" s="94">
        <f>'Revenue Drivers'!L10</f>
        <v>2486</v>
      </c>
      <c r="J7" s="94">
        <f>'Revenue Drivers'!M10</f>
        <v>2856</v>
      </c>
      <c r="K7" s="94">
        <f>'Revenue Drivers'!N10</f>
        <v>2865</v>
      </c>
      <c r="L7" s="94">
        <f>'Revenue Drivers'!O10</f>
        <v>2647</v>
      </c>
      <c r="M7" s="94">
        <f>'Revenue Drivers'!P10</f>
        <v>2880</v>
      </c>
      <c r="N7" s="94">
        <f>'Revenue Drivers'!Q10</f>
        <v>3279</v>
      </c>
      <c r="O7" s="94">
        <f>'Revenue Drivers'!R10</f>
        <v>2544</v>
      </c>
      <c r="P7" s="94">
        <f>'Revenue Drivers'!S10</f>
        <v>3763</v>
      </c>
      <c r="Q7" s="94">
        <f>'Revenue Drivers'!T10</f>
        <v>4287</v>
      </c>
      <c r="R7" s="94">
        <f>'Revenue Drivers'!U10</f>
        <v>4265</v>
      </c>
      <c r="S7" s="5"/>
      <c r="T7" s="142">
        <f t="shared" si="1"/>
        <v>10447</v>
      </c>
      <c r="U7" s="142">
        <f t="shared" si="1"/>
        <v>10854</v>
      </c>
      <c r="V7" s="142">
        <f t="shared" si="1"/>
        <v>11248</v>
      </c>
      <c r="W7" s="142">
        <f t="shared" si="1"/>
        <v>11671</v>
      </c>
      <c r="X7" s="142">
        <f t="shared" si="1"/>
        <v>11350</v>
      </c>
      <c r="Y7" s="142">
        <f t="shared" si="1"/>
        <v>12466</v>
      </c>
      <c r="Z7" s="142">
        <f t="shared" si="1"/>
        <v>13873</v>
      </c>
      <c r="AA7" s="142">
        <f>SUM(O7:R7)</f>
        <v>14859</v>
      </c>
      <c r="AC7" s="126">
        <f t="shared" si="2"/>
        <v>0.27315568503127419</v>
      </c>
    </row>
    <row r="8" spans="2:29" ht="12.75" customHeight="1">
      <c r="B8" s="9" t="str">
        <f>'Revenue Drivers'!B12</f>
        <v>Automotive</v>
      </c>
      <c r="C8" s="94">
        <f>'Revenue Drivers'!F12</f>
        <v>903</v>
      </c>
      <c r="D8" s="94">
        <f>'Revenue Drivers'!G12</f>
        <v>1091</v>
      </c>
      <c r="E8" s="94">
        <f>'Revenue Drivers'!H12</f>
        <v>1694</v>
      </c>
      <c r="F8" s="94">
        <f>'Revenue Drivers'!I12</f>
        <v>0</v>
      </c>
      <c r="G8" s="10"/>
      <c r="H8" s="94">
        <f>'Revenue Drivers'!K12</f>
        <v>296</v>
      </c>
      <c r="I8" s="94">
        <f>'Revenue Drivers'!L12</f>
        <v>253</v>
      </c>
      <c r="J8" s="94">
        <f>'Revenue Drivers'!M12</f>
        <v>261</v>
      </c>
      <c r="K8" s="94">
        <f>'Revenue Drivers'!N12</f>
        <v>281</v>
      </c>
      <c r="L8" s="94">
        <f>'Revenue Drivers'!O12</f>
        <v>329</v>
      </c>
      <c r="M8" s="94">
        <f>'Revenue Drivers'!P12</f>
        <v>346</v>
      </c>
      <c r="N8" s="94">
        <f>'Revenue Drivers'!Q12</f>
        <v>449</v>
      </c>
      <c r="O8" s="94">
        <f>'Revenue Drivers'!R12</f>
        <v>570</v>
      </c>
      <c r="P8" s="94">
        <f>'Revenue Drivers'!S12</f>
        <v>567</v>
      </c>
      <c r="Q8" s="94">
        <f>'Revenue Drivers'!T12</f>
        <v>586</v>
      </c>
      <c r="R8" s="94">
        <f>'Revenue Drivers'!U12</f>
        <v>592</v>
      </c>
      <c r="S8" s="5"/>
      <c r="T8" s="142">
        <f t="shared" si="1"/>
        <v>1091</v>
      </c>
      <c r="U8" s="142">
        <f t="shared" si="1"/>
        <v>1124</v>
      </c>
      <c r="V8" s="142">
        <f t="shared" si="1"/>
        <v>1217</v>
      </c>
      <c r="W8" s="142">
        <f t="shared" si="1"/>
        <v>1405</v>
      </c>
      <c r="X8" s="142">
        <f t="shared" si="1"/>
        <v>1694</v>
      </c>
      <c r="Y8" s="142">
        <f t="shared" si="1"/>
        <v>1932</v>
      </c>
      <c r="Z8" s="142">
        <f t="shared" si="1"/>
        <v>2172</v>
      </c>
      <c r="AA8" s="142">
        <f>SUM(O8:R8)</f>
        <v>2315</v>
      </c>
      <c r="AC8" s="126">
        <f t="shared" si="2"/>
        <v>0.64768683274021344</v>
      </c>
    </row>
    <row r="9" spans="2:29" ht="12.75" customHeight="1">
      <c r="B9" s="9" t="str">
        <f>'Revenue Drivers'!B13</f>
        <v xml:space="preserve">OEM &amp; Other </v>
      </c>
      <c r="C9" s="94">
        <f>'Revenue Drivers'!F13</f>
        <v>455</v>
      </c>
      <c r="D9" s="94">
        <f>'Revenue Drivers'!G13</f>
        <v>306</v>
      </c>
      <c r="E9" s="94">
        <f>'Revenue Drivers'!H13</f>
        <v>389</v>
      </c>
      <c r="F9" s="94">
        <f>'Revenue Drivers'!I13</f>
        <v>0</v>
      </c>
      <c r="G9" s="10"/>
      <c r="H9" s="94">
        <f>'Revenue Drivers'!K13</f>
        <v>77</v>
      </c>
      <c r="I9" s="94">
        <f>'Revenue Drivers'!L13</f>
        <v>66</v>
      </c>
      <c r="J9" s="94">
        <f>'Revenue Drivers'!M13</f>
        <v>73</v>
      </c>
      <c r="K9" s="94">
        <f>'Revenue Drivers'!N13</f>
        <v>90</v>
      </c>
      <c r="L9" s="94">
        <f>'Revenue Drivers'!O13</f>
        <v>78</v>
      </c>
      <c r="M9" s="94">
        <f>'Revenue Drivers'!P13</f>
        <v>88</v>
      </c>
      <c r="N9" s="94">
        <f>'Revenue Drivers'!Q13</f>
        <v>97</v>
      </c>
      <c r="O9" s="94">
        <f>'Revenue Drivers'!R13</f>
        <v>126</v>
      </c>
      <c r="P9" s="94">
        <f>'Revenue Drivers'!S13</f>
        <v>111</v>
      </c>
      <c r="Q9" s="94">
        <f>'Revenue Drivers'!T13</f>
        <v>173</v>
      </c>
      <c r="R9" s="94">
        <f>'Revenue Drivers'!U13</f>
        <v>174</v>
      </c>
      <c r="S9" s="5"/>
      <c r="T9" s="142">
        <f t="shared" si="1"/>
        <v>306</v>
      </c>
      <c r="U9" s="142">
        <f t="shared" si="1"/>
        <v>307</v>
      </c>
      <c r="V9" s="142">
        <f t="shared" si="1"/>
        <v>329</v>
      </c>
      <c r="W9" s="142">
        <f t="shared" si="1"/>
        <v>353</v>
      </c>
      <c r="X9" s="142">
        <f t="shared" si="1"/>
        <v>389</v>
      </c>
      <c r="Y9" s="142">
        <f t="shared" si="1"/>
        <v>422</v>
      </c>
      <c r="Z9" s="142">
        <f t="shared" si="1"/>
        <v>507</v>
      </c>
      <c r="AA9" s="142">
        <f>SUM(O9:R9)</f>
        <v>584</v>
      </c>
      <c r="AC9" s="126">
        <f t="shared" si="2"/>
        <v>0.65439093484419253</v>
      </c>
    </row>
    <row r="10" spans="2:29" ht="12.75" customHeight="1">
      <c r="B10" s="13" t="s">
        <v>12</v>
      </c>
      <c r="C10" s="14">
        <f>SUM(C6:C9)</f>
        <v>25430</v>
      </c>
      <c r="D10" s="14">
        <f>SUM(D6:D9)</f>
        <v>59369</v>
      </c>
      <c r="E10" s="14">
        <f>SUM(E6:E9)</f>
        <v>128619</v>
      </c>
      <c r="F10" s="14">
        <f>SUM(F6:F9)</f>
        <v>0</v>
      </c>
      <c r="G10" s="10"/>
      <c r="H10" s="14">
        <f t="shared" ref="H10:R10" si="3">SUM(H6:H9)</f>
        <v>6897</v>
      </c>
      <c r="I10" s="14">
        <f t="shared" si="3"/>
        <v>13128</v>
      </c>
      <c r="J10" s="14">
        <f t="shared" si="3"/>
        <v>17704</v>
      </c>
      <c r="K10" s="14">
        <f t="shared" si="3"/>
        <v>21640</v>
      </c>
      <c r="L10" s="14">
        <f t="shared" si="3"/>
        <v>25617</v>
      </c>
      <c r="M10" s="14">
        <f t="shared" si="3"/>
        <v>29586</v>
      </c>
      <c r="N10" s="14">
        <f t="shared" si="3"/>
        <v>34596</v>
      </c>
      <c r="O10" s="14">
        <f t="shared" si="3"/>
        <v>38820</v>
      </c>
      <c r="P10" s="14">
        <f t="shared" si="3"/>
        <v>43553</v>
      </c>
      <c r="Q10" s="14">
        <f t="shared" si="3"/>
        <v>46142</v>
      </c>
      <c r="R10" s="14">
        <f t="shared" si="3"/>
        <v>56246</v>
      </c>
      <c r="S10" s="5"/>
      <c r="T10" s="14">
        <f t="shared" ref="T10:AA10" si="4">SUM(T6:T9)</f>
        <v>59369</v>
      </c>
      <c r="U10" s="14">
        <f t="shared" si="4"/>
        <v>78089</v>
      </c>
      <c r="V10" s="14">
        <f t="shared" si="4"/>
        <v>94547</v>
      </c>
      <c r="W10" s="14">
        <f t="shared" si="4"/>
        <v>111439</v>
      </c>
      <c r="X10" s="14">
        <f t="shared" si="4"/>
        <v>128619</v>
      </c>
      <c r="Y10" s="14">
        <f t="shared" si="4"/>
        <v>146555</v>
      </c>
      <c r="Z10" s="14">
        <f t="shared" si="4"/>
        <v>163111</v>
      </c>
      <c r="AA10" s="14">
        <f t="shared" si="4"/>
        <v>184761</v>
      </c>
      <c r="AC10" s="127">
        <f t="shared" si="2"/>
        <v>0.65795637074991697</v>
      </c>
    </row>
    <row r="11" spans="2:29" ht="12.75" customHeight="1">
      <c r="B11" s="16" t="s">
        <v>26</v>
      </c>
      <c r="C11" s="115"/>
      <c r="D11" s="17">
        <f>SUM(D10/C10)-1</f>
        <v>1.3346047974832875</v>
      </c>
      <c r="E11" s="17">
        <f>SUM(E10/D10)-1</f>
        <v>1.1664336606646568</v>
      </c>
      <c r="F11" s="17">
        <f>SUM(F10/E10)-1</f>
        <v>-1</v>
      </c>
      <c r="G11" s="11"/>
      <c r="H11" s="115"/>
      <c r="I11" s="115"/>
      <c r="J11" s="115"/>
      <c r="K11" s="115"/>
      <c r="L11" s="17">
        <f t="shared" ref="L11:R11" si="5">SUM(L10/H10)-1</f>
        <v>2.7142235754675945</v>
      </c>
      <c r="M11" s="17">
        <f t="shared" si="5"/>
        <v>1.2536563071297988</v>
      </c>
      <c r="N11" s="17">
        <f t="shared" si="5"/>
        <v>0.95413465883416171</v>
      </c>
      <c r="O11" s="17">
        <f t="shared" si="5"/>
        <v>0.79390018484288349</v>
      </c>
      <c r="P11" s="17">
        <f t="shared" si="5"/>
        <v>0.70016004996681902</v>
      </c>
      <c r="Q11" s="17">
        <f t="shared" si="5"/>
        <v>0.55958899479483537</v>
      </c>
      <c r="R11" s="17">
        <f t="shared" si="5"/>
        <v>0.62579488958261065</v>
      </c>
      <c r="S11" s="5"/>
      <c r="T11" s="115"/>
      <c r="U11" s="115"/>
      <c r="V11" s="115"/>
      <c r="W11" s="115"/>
      <c r="X11" s="17">
        <f t="shared" ref="X11:AA11" si="6">SUM(X10/T10)-1</f>
        <v>1.1664336606646568</v>
      </c>
      <c r="Y11" s="17">
        <f t="shared" si="6"/>
        <v>0.87676881506998416</v>
      </c>
      <c r="Z11" s="17">
        <f t="shared" si="6"/>
        <v>0.72518429987202127</v>
      </c>
      <c r="AA11" s="17">
        <f t="shared" si="6"/>
        <v>0.65795637074991697</v>
      </c>
      <c r="AC11" s="128">
        <f>SUM(AA11-W11)*10000</f>
        <v>6579.5637074991701</v>
      </c>
    </row>
    <row r="12" spans="2:29" ht="12.75" customHeight="1">
      <c r="B12" s="16" t="s">
        <v>27</v>
      </c>
      <c r="C12" s="17" t="s">
        <v>28</v>
      </c>
      <c r="D12" s="17" t="s">
        <v>28</v>
      </c>
      <c r="E12" s="17" t="s">
        <v>28</v>
      </c>
      <c r="F12" s="17" t="s">
        <v>28</v>
      </c>
      <c r="G12" s="11"/>
      <c r="H12" s="115"/>
      <c r="I12" s="17">
        <f t="shared" ref="I12:R12" si="7">SUM(I10/H10)-1</f>
        <v>0.90343627664201831</v>
      </c>
      <c r="J12" s="17">
        <f t="shared" si="7"/>
        <v>0.348567946374162</v>
      </c>
      <c r="K12" s="17">
        <f t="shared" si="7"/>
        <v>0.22232263895164928</v>
      </c>
      <c r="L12" s="17">
        <f t="shared" si="7"/>
        <v>0.1837800369685767</v>
      </c>
      <c r="M12" s="17">
        <f t="shared" si="7"/>
        <v>0.15493617519615888</v>
      </c>
      <c r="N12" s="17">
        <f t="shared" si="7"/>
        <v>0.1693368485094302</v>
      </c>
      <c r="O12" s="17">
        <f t="shared" si="7"/>
        <v>0.12209503988900461</v>
      </c>
      <c r="P12" s="17">
        <f t="shared" si="7"/>
        <v>0.12192168985059237</v>
      </c>
      <c r="Q12" s="17">
        <f t="shared" si="7"/>
        <v>5.9444814364108201E-2</v>
      </c>
      <c r="R12" s="17">
        <f t="shared" si="7"/>
        <v>0.21897620389233241</v>
      </c>
      <c r="S12" s="5"/>
      <c r="T12" s="17" t="s">
        <v>28</v>
      </c>
      <c r="U12" s="17" t="s">
        <v>28</v>
      </c>
      <c r="V12" s="17" t="s">
        <v>28</v>
      </c>
      <c r="W12" s="17" t="s">
        <v>28</v>
      </c>
      <c r="X12" s="17" t="s">
        <v>28</v>
      </c>
      <c r="Y12" s="17" t="s">
        <v>28</v>
      </c>
      <c r="Z12" s="17" t="s">
        <v>28</v>
      </c>
      <c r="AA12" s="17" t="s">
        <v>28</v>
      </c>
      <c r="AC12" s="125"/>
    </row>
    <row r="13" spans="2:29" ht="5.0999999999999996" customHeight="1">
      <c r="B13" s="18"/>
      <c r="C13" s="19"/>
      <c r="D13" s="19"/>
      <c r="E13" s="19"/>
      <c r="F13" s="19"/>
      <c r="G13" s="20"/>
      <c r="H13" s="21"/>
      <c r="I13" s="21"/>
      <c r="J13" s="21"/>
      <c r="K13" s="22"/>
      <c r="L13" s="21"/>
      <c r="M13" s="21"/>
      <c r="N13" s="21"/>
      <c r="O13" s="21"/>
      <c r="P13" s="21"/>
      <c r="Q13" s="21"/>
      <c r="R13" s="21"/>
      <c r="S13" s="20"/>
      <c r="T13" s="20"/>
      <c r="U13" s="20"/>
      <c r="V13" s="20"/>
      <c r="W13" s="20"/>
      <c r="X13" s="20"/>
      <c r="Y13" s="20"/>
      <c r="Z13" s="20"/>
      <c r="AA13" s="20"/>
      <c r="AC13" s="125"/>
    </row>
    <row r="14" spans="2:29" ht="12.75" customHeight="1">
      <c r="B14" s="23" t="s">
        <v>117</v>
      </c>
      <c r="C14" s="94">
        <f>'Historical Financials'!E13</f>
        <v>-9439</v>
      </c>
      <c r="D14" s="94">
        <f>'Historical Financials'!F13</f>
        <v>-11618</v>
      </c>
      <c r="E14" s="94">
        <f>'Historical Financials'!G13</f>
        <v>-16621</v>
      </c>
      <c r="F14" s="94">
        <f>'Historical Financials'!H13</f>
        <v>-32639</v>
      </c>
      <c r="G14" s="10"/>
      <c r="H14" s="94">
        <f>'Historical Financials'!K13</f>
        <v>-2544</v>
      </c>
      <c r="I14" s="94">
        <f>'Historical Financials'!L13</f>
        <v>-4045</v>
      </c>
      <c r="J14" s="94">
        <f>'Historical Financials'!M13</f>
        <v>-4720</v>
      </c>
      <c r="K14" s="94">
        <f>'Historical Financials'!N13</f>
        <v>-5312</v>
      </c>
      <c r="L14" s="94">
        <f>'Historical Financials'!O13</f>
        <v>-5638</v>
      </c>
      <c r="M14" s="94">
        <f>'Historical Financials'!P13</f>
        <v>-7466</v>
      </c>
      <c r="N14" s="94">
        <f>'Historical Financials'!Q13</f>
        <v>-8926</v>
      </c>
      <c r="O14" s="94">
        <f>'Historical Financials'!R13</f>
        <v>-10609</v>
      </c>
      <c r="P14" s="94">
        <f>'Historical Financials'!S13</f>
        <v>-17394</v>
      </c>
      <c r="Q14" s="94">
        <f>'Historical Financials'!T13</f>
        <v>-12890</v>
      </c>
      <c r="R14" s="94">
        <f>'Historical Financials'!U13</f>
        <v>-15157</v>
      </c>
      <c r="S14" s="5"/>
      <c r="T14" s="142">
        <f t="shared" ref="T14:Z15" si="8">SUM(H14:K14)</f>
        <v>-16621</v>
      </c>
      <c r="U14" s="142">
        <f t="shared" si="8"/>
        <v>-19715</v>
      </c>
      <c r="V14" s="142">
        <f t="shared" si="8"/>
        <v>-23136</v>
      </c>
      <c r="W14" s="142">
        <f t="shared" si="8"/>
        <v>-27342</v>
      </c>
      <c r="X14" s="142">
        <f t="shared" si="8"/>
        <v>-32639</v>
      </c>
      <c r="Y14" s="142">
        <f t="shared" si="8"/>
        <v>-44395</v>
      </c>
      <c r="Z14" s="142">
        <f t="shared" si="8"/>
        <v>-49819</v>
      </c>
      <c r="AA14" s="142">
        <f>SUM(O14:R14)</f>
        <v>-56050</v>
      </c>
      <c r="AC14" s="126">
        <f t="shared" ref="AC14:AC15" si="9">SUM(AA14/W14)-1</f>
        <v>1.0499597688537783</v>
      </c>
    </row>
    <row r="15" spans="2:29" ht="12.75" customHeight="1">
      <c r="B15" s="23" t="s">
        <v>118</v>
      </c>
      <c r="C15" s="94" t="e">
        <f>'Historical Financials'!#REF!</f>
        <v>#REF!</v>
      </c>
      <c r="D15" s="94" t="e">
        <f>'Historical Financials'!#REF!</f>
        <v>#REF!</v>
      </c>
      <c r="E15" s="94" t="e">
        <f>'Historical Financials'!#REF!</f>
        <v>#REF!</v>
      </c>
      <c r="F15" s="94" t="e">
        <f>'Historical Financials'!#REF!</f>
        <v>#REF!</v>
      </c>
      <c r="G15" s="10"/>
      <c r="H15" s="94" t="e">
        <f>'Historical Financials'!#REF!</f>
        <v>#REF!</v>
      </c>
      <c r="I15" s="94" t="e">
        <f>'Historical Financials'!#REF!</f>
        <v>#REF!</v>
      </c>
      <c r="J15" s="94" t="e">
        <f>'Historical Financials'!#REF!</f>
        <v>#REF!</v>
      </c>
      <c r="K15" s="94" t="e">
        <f>'Historical Financials'!#REF!</f>
        <v>#REF!</v>
      </c>
      <c r="L15" s="94" t="e">
        <f>'Historical Financials'!#REF!</f>
        <v>#REF!</v>
      </c>
      <c r="M15" s="94" t="e">
        <f>'Historical Financials'!#REF!</f>
        <v>#REF!</v>
      </c>
      <c r="N15" s="94" t="e">
        <f>'Historical Financials'!#REF!</f>
        <v>#REF!</v>
      </c>
      <c r="O15" s="94" t="e">
        <f>'Historical Financials'!#REF!</f>
        <v>#REF!</v>
      </c>
      <c r="P15" s="94" t="e">
        <f>'Historical Financials'!#REF!</f>
        <v>#REF!</v>
      </c>
      <c r="Q15" s="94" t="e">
        <f>'Historical Financials'!#REF!</f>
        <v>#REF!</v>
      </c>
      <c r="R15" s="94" t="e">
        <f>'Historical Financials'!#REF!</f>
        <v>#REF!</v>
      </c>
      <c r="S15" s="5"/>
      <c r="T15" s="142" t="e">
        <f t="shared" si="8"/>
        <v>#REF!</v>
      </c>
      <c r="U15" s="142" t="e">
        <f t="shared" si="8"/>
        <v>#REF!</v>
      </c>
      <c r="V15" s="142" t="e">
        <f t="shared" si="8"/>
        <v>#REF!</v>
      </c>
      <c r="W15" s="142" t="e">
        <f t="shared" si="8"/>
        <v>#REF!</v>
      </c>
      <c r="X15" s="142" t="e">
        <f t="shared" si="8"/>
        <v>#REF!</v>
      </c>
      <c r="Y15" s="142" t="e">
        <f t="shared" si="8"/>
        <v>#REF!</v>
      </c>
      <c r="Z15" s="142" t="e">
        <f t="shared" si="8"/>
        <v>#REF!</v>
      </c>
      <c r="AA15" s="142" t="e">
        <f>SUM(O15:R15)</f>
        <v>#REF!</v>
      </c>
      <c r="AC15" s="126" t="e">
        <f t="shared" si="9"/>
        <v>#REF!</v>
      </c>
    </row>
    <row r="16" spans="2:29" ht="12.75" customHeight="1">
      <c r="B16" s="25" t="s">
        <v>20</v>
      </c>
      <c r="C16" s="26" t="e">
        <f>SUM(C10+SUM(C14:C15))</f>
        <v>#REF!</v>
      </c>
      <c r="D16" s="26" t="e">
        <f t="shared" ref="D16:F16" si="10">SUM(D10+SUM(D14:D15))</f>
        <v>#REF!</v>
      </c>
      <c r="E16" s="26" t="e">
        <f t="shared" si="10"/>
        <v>#REF!</v>
      </c>
      <c r="F16" s="26" t="e">
        <f t="shared" si="10"/>
        <v>#REF!</v>
      </c>
      <c r="G16" s="5"/>
      <c r="H16" s="26" t="e">
        <f t="shared" ref="H16" si="11">SUM(H10+SUM(H14:H15))</f>
        <v>#REF!</v>
      </c>
      <c r="I16" s="26" t="e">
        <f t="shared" ref="I16" si="12">SUM(I10+SUM(I14:I15))</f>
        <v>#REF!</v>
      </c>
      <c r="J16" s="26" t="e">
        <f t="shared" ref="J16" si="13">SUM(J10+SUM(J14:J15))</f>
        <v>#REF!</v>
      </c>
      <c r="K16" s="26" t="e">
        <f t="shared" ref="K16" si="14">SUM(K10+SUM(K14:K15))</f>
        <v>#REF!</v>
      </c>
      <c r="L16" s="26" t="e">
        <f t="shared" ref="L16" si="15">SUM(L10+SUM(L14:L15))</f>
        <v>#REF!</v>
      </c>
      <c r="M16" s="26" t="e">
        <f t="shared" ref="M16" si="16">SUM(M10+SUM(M14:M15))</f>
        <v>#REF!</v>
      </c>
      <c r="N16" s="26" t="e">
        <f t="shared" ref="N16" si="17">SUM(N10+SUM(N14:N15))</f>
        <v>#REF!</v>
      </c>
      <c r="O16" s="26" t="e">
        <f t="shared" ref="O16" si="18">SUM(O10+SUM(O14:O15))</f>
        <v>#REF!</v>
      </c>
      <c r="P16" s="26" t="e">
        <f t="shared" ref="P16" si="19">SUM(P10+SUM(P14:P15))</f>
        <v>#REF!</v>
      </c>
      <c r="Q16" s="26" t="e">
        <f t="shared" ref="Q16" si="20">SUM(Q10+SUM(Q14:Q15))</f>
        <v>#REF!</v>
      </c>
      <c r="R16" s="26" t="e">
        <f t="shared" ref="R16" si="21">SUM(R10+SUM(R14:R15))</f>
        <v>#REF!</v>
      </c>
      <c r="S16" s="5"/>
      <c r="T16" s="26" t="e">
        <f t="shared" ref="T16" si="22">SUM(T10+SUM(T14:T15))</f>
        <v>#REF!</v>
      </c>
      <c r="U16" s="26" t="e">
        <f t="shared" ref="U16" si="23">SUM(U10+SUM(U14:U15))</f>
        <v>#REF!</v>
      </c>
      <c r="V16" s="26" t="e">
        <f t="shared" ref="V16" si="24">SUM(V10+SUM(V14:V15))</f>
        <v>#REF!</v>
      </c>
      <c r="W16" s="26" t="e">
        <f t="shared" ref="W16" si="25">SUM(W10+SUM(W14:W15))</f>
        <v>#REF!</v>
      </c>
      <c r="X16" s="26" t="e">
        <f t="shared" ref="X16" si="26">SUM(X10+SUM(X14:X15))</f>
        <v>#REF!</v>
      </c>
      <c r="Y16" s="26" t="e">
        <f t="shared" ref="Y16" si="27">SUM(Y10+SUM(Y14:Y15))</f>
        <v>#REF!</v>
      </c>
      <c r="Z16" s="26" t="e">
        <f t="shared" ref="Z16" si="28">SUM(Z10+SUM(Z14:Z15))</f>
        <v>#REF!</v>
      </c>
      <c r="AA16" s="26" t="e">
        <f t="shared" ref="AA16" si="29">SUM(AA10+SUM(AA14:AA15))</f>
        <v>#REF!</v>
      </c>
      <c r="AC16" s="127" t="e">
        <f>SUM(AA16/W16)-1</f>
        <v>#REF!</v>
      </c>
    </row>
    <row r="17" spans="2:29" ht="12.75" customHeight="1">
      <c r="B17" s="16" t="s">
        <v>29</v>
      </c>
      <c r="C17" s="17" t="e">
        <f>C16/C10</f>
        <v>#REF!</v>
      </c>
      <c r="D17" s="17" t="e">
        <f>D16/D10</f>
        <v>#REF!</v>
      </c>
      <c r="E17" s="17" t="e">
        <f>E16/E10</f>
        <v>#REF!</v>
      </c>
      <c r="F17" s="17" t="e">
        <f>F16/F10</f>
        <v>#REF!</v>
      </c>
      <c r="G17" s="27"/>
      <c r="H17" s="17" t="e">
        <f t="shared" ref="H17:R17" si="30">H16/H10</f>
        <v>#REF!</v>
      </c>
      <c r="I17" s="17" t="e">
        <f t="shared" si="30"/>
        <v>#REF!</v>
      </c>
      <c r="J17" s="17" t="e">
        <f t="shared" si="30"/>
        <v>#REF!</v>
      </c>
      <c r="K17" s="17" t="e">
        <f t="shared" si="30"/>
        <v>#REF!</v>
      </c>
      <c r="L17" s="17" t="e">
        <f t="shared" si="30"/>
        <v>#REF!</v>
      </c>
      <c r="M17" s="17" t="e">
        <f t="shared" si="30"/>
        <v>#REF!</v>
      </c>
      <c r="N17" s="17" t="e">
        <f t="shared" si="30"/>
        <v>#REF!</v>
      </c>
      <c r="O17" s="17" t="e">
        <f t="shared" si="30"/>
        <v>#REF!</v>
      </c>
      <c r="P17" s="17" t="e">
        <f t="shared" si="30"/>
        <v>#REF!</v>
      </c>
      <c r="Q17" s="17" t="e">
        <f t="shared" si="30"/>
        <v>#REF!</v>
      </c>
      <c r="R17" s="17" t="e">
        <f t="shared" si="30"/>
        <v>#REF!</v>
      </c>
      <c r="S17" s="28"/>
      <c r="T17" s="17" t="e">
        <f t="shared" ref="T17:AA17" si="31">T16/T10</f>
        <v>#REF!</v>
      </c>
      <c r="U17" s="17" t="e">
        <f t="shared" si="31"/>
        <v>#REF!</v>
      </c>
      <c r="V17" s="17" t="e">
        <f t="shared" si="31"/>
        <v>#REF!</v>
      </c>
      <c r="W17" s="17" t="e">
        <f t="shared" si="31"/>
        <v>#REF!</v>
      </c>
      <c r="X17" s="17" t="e">
        <f t="shared" si="31"/>
        <v>#REF!</v>
      </c>
      <c r="Y17" s="17" t="e">
        <f t="shared" si="31"/>
        <v>#REF!</v>
      </c>
      <c r="Z17" s="17" t="e">
        <f t="shared" si="31"/>
        <v>#REF!</v>
      </c>
      <c r="AA17" s="17" t="e">
        <f t="shared" si="31"/>
        <v>#REF!</v>
      </c>
      <c r="AC17" s="128" t="e">
        <f>SUM(AA17-W17)*10000</f>
        <v>#REF!</v>
      </c>
    </row>
    <row r="18" spans="2:29" ht="5.0999999999999996" customHeight="1">
      <c r="B18" s="29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5"/>
      <c r="T18" s="30"/>
      <c r="U18" s="30"/>
      <c r="V18" s="30"/>
      <c r="W18" s="30"/>
      <c r="X18" s="30"/>
      <c r="Y18" s="30"/>
      <c r="Z18" s="30"/>
      <c r="AA18" s="30"/>
      <c r="AC18" s="125"/>
    </row>
    <row r="19" spans="2:29" ht="12.75" customHeight="1">
      <c r="B19" s="23" t="s">
        <v>121</v>
      </c>
      <c r="C19" s="141">
        <f>'Historical Financials'!E17</f>
        <v>-5268</v>
      </c>
      <c r="D19" s="141">
        <f>'Historical Financials'!F17</f>
        <v>-7339</v>
      </c>
      <c r="E19" s="141">
        <f>'Historical Financials'!G17</f>
        <v>-8675</v>
      </c>
      <c r="F19" s="141">
        <f>'Historical Financials'!H17</f>
        <v>-12914</v>
      </c>
      <c r="G19" s="94"/>
      <c r="H19" s="141">
        <f>'Historical Financials'!K17</f>
        <v>-1875</v>
      </c>
      <c r="I19" s="141">
        <f>'Historical Financials'!L17</f>
        <v>-2040</v>
      </c>
      <c r="J19" s="141">
        <f>'Historical Financials'!M17</f>
        <v>-2294</v>
      </c>
      <c r="K19" s="141">
        <f>'Historical Financials'!N17</f>
        <v>-2466</v>
      </c>
      <c r="L19" s="141">
        <f>'Historical Financials'!O17</f>
        <v>-2720</v>
      </c>
      <c r="M19" s="141">
        <f>'Historical Financials'!P17</f>
        <v>-3090</v>
      </c>
      <c r="N19" s="141">
        <f>'Historical Financials'!Q17</f>
        <v>-3390</v>
      </c>
      <c r="O19" s="141">
        <f>'Historical Financials'!R17</f>
        <v>-3714</v>
      </c>
      <c r="P19" s="141">
        <f>'Historical Financials'!S17</f>
        <v>-3989</v>
      </c>
      <c r="Q19" s="141">
        <f>'Historical Financials'!T17</f>
        <v>-4291</v>
      </c>
      <c r="R19" s="141">
        <f>'Historical Financials'!U17</f>
        <v>-4705</v>
      </c>
      <c r="S19" s="5"/>
      <c r="T19" s="142">
        <f t="shared" ref="T19:Z23" si="32">SUM(H19:K19)</f>
        <v>-8675</v>
      </c>
      <c r="U19" s="142">
        <f t="shared" si="32"/>
        <v>-9520</v>
      </c>
      <c r="V19" s="142">
        <f t="shared" si="32"/>
        <v>-10570</v>
      </c>
      <c r="W19" s="142">
        <f t="shared" si="32"/>
        <v>-11666</v>
      </c>
      <c r="X19" s="142">
        <f t="shared" si="32"/>
        <v>-12914</v>
      </c>
      <c r="Y19" s="142">
        <f t="shared" si="32"/>
        <v>-14183</v>
      </c>
      <c r="Z19" s="142">
        <f t="shared" si="32"/>
        <v>-15384</v>
      </c>
      <c r="AA19" s="142">
        <f>SUM(O19:R19)</f>
        <v>-16699</v>
      </c>
      <c r="AC19" s="126">
        <f t="shared" ref="AC19:AC23" si="33">SUM(AA19/W19)-1</f>
        <v>0.43142465283730491</v>
      </c>
    </row>
    <row r="20" spans="2:29" ht="12.75" customHeight="1">
      <c r="B20" s="23" t="s">
        <v>122</v>
      </c>
      <c r="C20" s="141">
        <f>'Historical Financials'!E18</f>
        <v>-2166</v>
      </c>
      <c r="D20" s="141">
        <f>'Historical Financials'!F18</f>
        <v>-2440</v>
      </c>
      <c r="E20" s="141">
        <f>'Historical Financials'!G18</f>
        <v>-2654</v>
      </c>
      <c r="F20" s="141">
        <f>'Historical Financials'!H18</f>
        <v>-3491</v>
      </c>
      <c r="G20" s="94"/>
      <c r="H20" s="141">
        <f>'Historical Financials'!K18</f>
        <v>-633</v>
      </c>
      <c r="I20" s="141">
        <f>'Historical Financials'!L18</f>
        <v>-622</v>
      </c>
      <c r="J20" s="141">
        <f>'Historical Financials'!M18</f>
        <v>-689</v>
      </c>
      <c r="K20" s="141">
        <f>'Historical Financials'!N18</f>
        <v>-710</v>
      </c>
      <c r="L20" s="141">
        <f>'Historical Financials'!O18</f>
        <v>-777</v>
      </c>
      <c r="M20" s="141">
        <f>'Historical Financials'!P18</f>
        <v>-842</v>
      </c>
      <c r="N20" s="141">
        <f>'Historical Financials'!Q18</f>
        <v>-897</v>
      </c>
      <c r="O20" s="141">
        <f>'Historical Financials'!R18</f>
        <v>-975</v>
      </c>
      <c r="P20" s="141">
        <f>'Historical Financials'!S18</f>
        <v>-1041</v>
      </c>
      <c r="Q20" s="141">
        <f>'Historical Financials'!T18</f>
        <v>-1122</v>
      </c>
      <c r="R20" s="141">
        <f>'Historical Financials'!U18</f>
        <v>-1134</v>
      </c>
      <c r="S20" s="5"/>
      <c r="T20" s="142">
        <f t="shared" si="32"/>
        <v>-2654</v>
      </c>
      <c r="U20" s="142">
        <f t="shared" si="32"/>
        <v>-2798</v>
      </c>
      <c r="V20" s="142">
        <f t="shared" si="32"/>
        <v>-3018</v>
      </c>
      <c r="W20" s="142">
        <f t="shared" si="32"/>
        <v>-3226</v>
      </c>
      <c r="X20" s="142">
        <f t="shared" si="32"/>
        <v>-3491</v>
      </c>
      <c r="Y20" s="142">
        <f t="shared" si="32"/>
        <v>-3755</v>
      </c>
      <c r="Z20" s="142">
        <f t="shared" si="32"/>
        <v>-4035</v>
      </c>
      <c r="AA20" s="142">
        <f>SUM(O20:R20)</f>
        <v>-4272</v>
      </c>
      <c r="AC20" s="126">
        <f t="shared" si="33"/>
        <v>0.32424054556726589</v>
      </c>
    </row>
    <row r="21" spans="2:29" ht="12.75" customHeight="1">
      <c r="B21" s="23" t="s">
        <v>118</v>
      </c>
      <c r="C21" s="141" t="e">
        <f>'Historical Financials'!#REF!</f>
        <v>#REF!</v>
      </c>
      <c r="D21" s="141" t="e">
        <f>'Historical Financials'!#REF!</f>
        <v>#REF!</v>
      </c>
      <c r="E21" s="141" t="e">
        <f>'Historical Financials'!#REF!</f>
        <v>#REF!</v>
      </c>
      <c r="F21" s="141" t="e">
        <f>'Historical Financials'!#REF!</f>
        <v>#REF!</v>
      </c>
      <c r="G21" s="94"/>
      <c r="H21" s="141" t="e">
        <f>'Historical Financials'!#REF!</f>
        <v>#REF!</v>
      </c>
      <c r="I21" s="141" t="e">
        <f>'Historical Financials'!#REF!</f>
        <v>#REF!</v>
      </c>
      <c r="J21" s="141" t="e">
        <f>'Historical Financials'!#REF!</f>
        <v>#REF!</v>
      </c>
      <c r="K21" s="141" t="e">
        <f>'Historical Financials'!#REF!</f>
        <v>#REF!</v>
      </c>
      <c r="L21" s="141" t="e">
        <f>'Historical Financials'!#REF!</f>
        <v>#REF!</v>
      </c>
      <c r="M21" s="141" t="e">
        <f>'Historical Financials'!#REF!</f>
        <v>#REF!</v>
      </c>
      <c r="N21" s="141" t="e">
        <f>'Historical Financials'!#REF!</f>
        <v>#REF!</v>
      </c>
      <c r="O21" s="141" t="e">
        <f>'Historical Financials'!#REF!</f>
        <v>#REF!</v>
      </c>
      <c r="P21" s="141" t="e">
        <f>'Historical Financials'!#REF!</f>
        <v>#REF!</v>
      </c>
      <c r="Q21" s="141" t="e">
        <f>'Historical Financials'!#REF!</f>
        <v>#REF!</v>
      </c>
      <c r="R21" s="141" t="e">
        <f>'Historical Financials'!#REF!</f>
        <v>#REF!</v>
      </c>
      <c r="S21" s="5"/>
      <c r="T21" s="142" t="e">
        <f t="shared" si="32"/>
        <v>#REF!</v>
      </c>
      <c r="U21" s="142" t="e">
        <f t="shared" si="32"/>
        <v>#REF!</v>
      </c>
      <c r="V21" s="142" t="e">
        <f t="shared" si="32"/>
        <v>#REF!</v>
      </c>
      <c r="W21" s="142" t="e">
        <f t="shared" si="32"/>
        <v>#REF!</v>
      </c>
      <c r="X21" s="142" t="e">
        <f t="shared" si="32"/>
        <v>#REF!</v>
      </c>
      <c r="Y21" s="142" t="e">
        <f t="shared" si="32"/>
        <v>#REF!</v>
      </c>
      <c r="Z21" s="142" t="e">
        <f t="shared" si="32"/>
        <v>#REF!</v>
      </c>
      <c r="AA21" s="142" t="e">
        <f>SUM(O21:R21)</f>
        <v>#REF!</v>
      </c>
      <c r="AC21" s="126" t="e">
        <f t="shared" si="33"/>
        <v>#REF!</v>
      </c>
    </row>
    <row r="22" spans="2:29" ht="12.75" customHeight="1">
      <c r="B22" s="23" t="s">
        <v>119</v>
      </c>
      <c r="C22" s="141" t="e">
        <f>'Historical Financials'!#REF!</f>
        <v>#REF!</v>
      </c>
      <c r="D22" s="141" t="e">
        <f>'Historical Financials'!#REF!</f>
        <v>#REF!</v>
      </c>
      <c r="E22" s="141" t="e">
        <f>'Historical Financials'!#REF!</f>
        <v>#REF!</v>
      </c>
      <c r="F22" s="141" t="e">
        <f>'Historical Financials'!#REF!</f>
        <v>#REF!</v>
      </c>
      <c r="G22" s="94"/>
      <c r="H22" s="141" t="e">
        <f>'Historical Financials'!#REF!</f>
        <v>#REF!</v>
      </c>
      <c r="I22" s="141" t="e">
        <f>'Historical Financials'!#REF!</f>
        <v>#REF!</v>
      </c>
      <c r="J22" s="141" t="e">
        <f>'Historical Financials'!#REF!</f>
        <v>#REF!</v>
      </c>
      <c r="K22" s="141" t="e">
        <f>'Historical Financials'!#REF!</f>
        <v>#REF!</v>
      </c>
      <c r="L22" s="141" t="e">
        <f>'Historical Financials'!#REF!</f>
        <v>#REF!</v>
      </c>
      <c r="M22" s="141" t="e">
        <f>'Historical Financials'!#REF!</f>
        <v>#REF!</v>
      </c>
      <c r="N22" s="141" t="e">
        <f>'Historical Financials'!#REF!</f>
        <v>#REF!</v>
      </c>
      <c r="O22" s="141" t="e">
        <f>'Historical Financials'!#REF!</f>
        <v>#REF!</v>
      </c>
      <c r="P22" s="141" t="e">
        <f>'Historical Financials'!#REF!</f>
        <v>#REF!</v>
      </c>
      <c r="Q22" s="141" t="e">
        <f>'Historical Financials'!#REF!</f>
        <v>#REF!</v>
      </c>
      <c r="R22" s="141" t="e">
        <f>'Historical Financials'!#REF!</f>
        <v>#REF!</v>
      </c>
      <c r="S22" s="5"/>
      <c r="T22" s="142" t="e">
        <f t="shared" si="32"/>
        <v>#REF!</v>
      </c>
      <c r="U22" s="142" t="e">
        <f t="shared" si="32"/>
        <v>#REF!</v>
      </c>
      <c r="V22" s="142" t="e">
        <f t="shared" si="32"/>
        <v>#REF!</v>
      </c>
      <c r="W22" s="142" t="e">
        <f t="shared" si="32"/>
        <v>#REF!</v>
      </c>
      <c r="X22" s="142" t="e">
        <f t="shared" si="32"/>
        <v>#REF!</v>
      </c>
      <c r="Y22" s="142" t="e">
        <f t="shared" si="32"/>
        <v>#REF!</v>
      </c>
      <c r="Z22" s="142" t="e">
        <f t="shared" si="32"/>
        <v>#REF!</v>
      </c>
      <c r="AA22" s="142" t="e">
        <f>SUM(O22:R22)</f>
        <v>#REF!</v>
      </c>
      <c r="AC22" s="126" t="e">
        <f t="shared" si="33"/>
        <v>#REF!</v>
      </c>
    </row>
    <row r="23" spans="2:29" ht="12.75" customHeight="1">
      <c r="B23" s="23" t="s">
        <v>120</v>
      </c>
      <c r="C23" s="141" t="e">
        <f>'Historical Financials'!#REF!</f>
        <v>#REF!</v>
      </c>
      <c r="D23" s="141" t="e">
        <f>'Historical Financials'!#REF!</f>
        <v>#REF!</v>
      </c>
      <c r="E23" s="141" t="e">
        <f>'Historical Financials'!#REF!</f>
        <v>#REF!</v>
      </c>
      <c r="F23" s="141" t="e">
        <f>'Historical Financials'!#REF!</f>
        <v>#REF!</v>
      </c>
      <c r="G23" s="94"/>
      <c r="H23" s="141" t="e">
        <f>'Historical Financials'!#REF!</f>
        <v>#REF!</v>
      </c>
      <c r="I23" s="141" t="e">
        <f>'Historical Financials'!#REF!</f>
        <v>#REF!</v>
      </c>
      <c r="J23" s="141" t="e">
        <f>'Historical Financials'!#REF!</f>
        <v>#REF!</v>
      </c>
      <c r="K23" s="141" t="e">
        <f>'Historical Financials'!#REF!</f>
        <v>#REF!</v>
      </c>
      <c r="L23" s="141" t="e">
        <f>'Historical Financials'!#REF!</f>
        <v>#REF!</v>
      </c>
      <c r="M23" s="141" t="e">
        <f>'Historical Financials'!#REF!</f>
        <v>#REF!</v>
      </c>
      <c r="N23" s="141" t="e">
        <f>'Historical Financials'!#REF!</f>
        <v>#REF!</v>
      </c>
      <c r="O23" s="141" t="e">
        <f>'Historical Financials'!#REF!</f>
        <v>#REF!</v>
      </c>
      <c r="P23" s="141" t="e">
        <f>'Historical Financials'!#REF!</f>
        <v>#REF!</v>
      </c>
      <c r="Q23" s="141" t="e">
        <f>'Historical Financials'!#REF!</f>
        <v>#REF!</v>
      </c>
      <c r="R23" s="141" t="e">
        <f>'Historical Financials'!#REF!</f>
        <v>#REF!</v>
      </c>
      <c r="S23" s="5"/>
      <c r="T23" s="142" t="e">
        <f t="shared" si="32"/>
        <v>#REF!</v>
      </c>
      <c r="U23" s="142" t="e">
        <f t="shared" si="32"/>
        <v>#REF!</v>
      </c>
      <c r="V23" s="142" t="e">
        <f t="shared" si="32"/>
        <v>#REF!</v>
      </c>
      <c r="W23" s="142" t="e">
        <f t="shared" si="32"/>
        <v>#REF!</v>
      </c>
      <c r="X23" s="142" t="e">
        <f t="shared" si="32"/>
        <v>#REF!</v>
      </c>
      <c r="Y23" s="142" t="e">
        <f t="shared" si="32"/>
        <v>#REF!</v>
      </c>
      <c r="Z23" s="142" t="e">
        <f t="shared" si="32"/>
        <v>#REF!</v>
      </c>
      <c r="AA23" s="142" t="e">
        <f>SUM(O23:R23)</f>
        <v>#REF!</v>
      </c>
      <c r="AC23" s="126" t="e">
        <f t="shared" si="33"/>
        <v>#REF!</v>
      </c>
    </row>
    <row r="24" spans="2:29" ht="12.75" customHeight="1">
      <c r="B24" s="13" t="s">
        <v>30</v>
      </c>
      <c r="C24" s="14" t="e">
        <f>SUM(C16+SUM(C19:C23))</f>
        <v>#REF!</v>
      </c>
      <c r="D24" s="14" t="e">
        <f>SUM(D16+SUM(D19:D23))</f>
        <v>#REF!</v>
      </c>
      <c r="E24" s="14" t="e">
        <f>SUM(E16+SUM(E19:E23))</f>
        <v>#REF!</v>
      </c>
      <c r="F24" s="14" t="e">
        <f>SUM(F16+SUM(F19:F23))</f>
        <v>#REF!</v>
      </c>
      <c r="G24" s="11"/>
      <c r="H24" s="14" t="e">
        <f t="shared" ref="H24:R24" si="34">SUM(H16+SUM(H19:H23))</f>
        <v>#REF!</v>
      </c>
      <c r="I24" s="14" t="e">
        <f t="shared" si="34"/>
        <v>#REF!</v>
      </c>
      <c r="J24" s="14" t="e">
        <f t="shared" si="34"/>
        <v>#REF!</v>
      </c>
      <c r="K24" s="14" t="e">
        <f t="shared" si="34"/>
        <v>#REF!</v>
      </c>
      <c r="L24" s="14" t="e">
        <f t="shared" si="34"/>
        <v>#REF!</v>
      </c>
      <c r="M24" s="14" t="e">
        <f t="shared" si="34"/>
        <v>#REF!</v>
      </c>
      <c r="N24" s="14" t="e">
        <f t="shared" si="34"/>
        <v>#REF!</v>
      </c>
      <c r="O24" s="14" t="e">
        <f t="shared" si="34"/>
        <v>#REF!</v>
      </c>
      <c r="P24" s="14" t="e">
        <f t="shared" si="34"/>
        <v>#REF!</v>
      </c>
      <c r="Q24" s="14" t="e">
        <f t="shared" si="34"/>
        <v>#REF!</v>
      </c>
      <c r="R24" s="14" t="e">
        <f t="shared" si="34"/>
        <v>#REF!</v>
      </c>
      <c r="S24" s="5"/>
      <c r="T24" s="14" t="e">
        <f t="shared" ref="T24:AA24" si="35">SUM(T16+SUM(T19:T23))</f>
        <v>#REF!</v>
      </c>
      <c r="U24" s="14" t="e">
        <f t="shared" si="35"/>
        <v>#REF!</v>
      </c>
      <c r="V24" s="14" t="e">
        <f t="shared" si="35"/>
        <v>#REF!</v>
      </c>
      <c r="W24" s="14" t="e">
        <f t="shared" si="35"/>
        <v>#REF!</v>
      </c>
      <c r="X24" s="14" t="e">
        <f t="shared" si="35"/>
        <v>#REF!</v>
      </c>
      <c r="Y24" s="14" t="e">
        <f t="shared" si="35"/>
        <v>#REF!</v>
      </c>
      <c r="Z24" s="14" t="e">
        <f t="shared" si="35"/>
        <v>#REF!</v>
      </c>
      <c r="AA24" s="14" t="e">
        <f t="shared" si="35"/>
        <v>#REF!</v>
      </c>
      <c r="AC24" s="127" t="e">
        <f>SUM(AA24/W24)-1</f>
        <v>#REF!</v>
      </c>
    </row>
    <row r="25" spans="2:29" ht="12.75" customHeight="1">
      <c r="B25" s="16" t="s">
        <v>31</v>
      </c>
      <c r="C25" s="17" t="e">
        <f>C24/C10</f>
        <v>#REF!</v>
      </c>
      <c r="D25" s="17" t="e">
        <f>D24/D10</f>
        <v>#REF!</v>
      </c>
      <c r="E25" s="17" t="e">
        <f>E24/E10</f>
        <v>#REF!</v>
      </c>
      <c r="F25" s="17" t="e">
        <f>F24/F10</f>
        <v>#REF!</v>
      </c>
      <c r="G25" s="27"/>
      <c r="H25" s="17" t="e">
        <f t="shared" ref="H25:R25" si="36">H24/H10</f>
        <v>#REF!</v>
      </c>
      <c r="I25" s="17" t="e">
        <f t="shared" si="36"/>
        <v>#REF!</v>
      </c>
      <c r="J25" s="17" t="e">
        <f t="shared" si="36"/>
        <v>#REF!</v>
      </c>
      <c r="K25" s="17" t="e">
        <f t="shared" si="36"/>
        <v>#REF!</v>
      </c>
      <c r="L25" s="17" t="e">
        <f t="shared" si="36"/>
        <v>#REF!</v>
      </c>
      <c r="M25" s="17" t="e">
        <f t="shared" si="36"/>
        <v>#REF!</v>
      </c>
      <c r="N25" s="17" t="e">
        <f t="shared" si="36"/>
        <v>#REF!</v>
      </c>
      <c r="O25" s="17" t="e">
        <f t="shared" si="36"/>
        <v>#REF!</v>
      </c>
      <c r="P25" s="17" t="e">
        <f t="shared" si="36"/>
        <v>#REF!</v>
      </c>
      <c r="Q25" s="17" t="e">
        <f t="shared" si="36"/>
        <v>#REF!</v>
      </c>
      <c r="R25" s="17" t="e">
        <f t="shared" si="36"/>
        <v>#REF!</v>
      </c>
      <c r="S25" s="28"/>
      <c r="T25" s="17" t="e">
        <f t="shared" ref="T25:AA25" si="37">T24/T10</f>
        <v>#REF!</v>
      </c>
      <c r="U25" s="17" t="e">
        <f t="shared" si="37"/>
        <v>#REF!</v>
      </c>
      <c r="V25" s="17" t="e">
        <f t="shared" si="37"/>
        <v>#REF!</v>
      </c>
      <c r="W25" s="17" t="e">
        <f t="shared" si="37"/>
        <v>#REF!</v>
      </c>
      <c r="X25" s="17" t="e">
        <f t="shared" si="37"/>
        <v>#REF!</v>
      </c>
      <c r="Y25" s="17" t="e">
        <f t="shared" si="37"/>
        <v>#REF!</v>
      </c>
      <c r="Z25" s="17" t="e">
        <f t="shared" si="37"/>
        <v>#REF!</v>
      </c>
      <c r="AA25" s="17" t="e">
        <f t="shared" si="37"/>
        <v>#REF!</v>
      </c>
      <c r="AC25" s="128" t="e">
        <f>SUM(AA25-W25)*10000</f>
        <v>#REF!</v>
      </c>
    </row>
    <row r="26" spans="2:29" ht="5.0999999999999996" customHeight="1">
      <c r="AC26" s="125"/>
    </row>
    <row r="27" spans="2:29" ht="12.75" customHeight="1">
      <c r="B27" s="31" t="s">
        <v>102</v>
      </c>
      <c r="C27" s="141">
        <f>'Historical Financials'!E90</f>
        <v>0</v>
      </c>
      <c r="D27" s="141">
        <f>'Historical Financials'!F90</f>
        <v>0</v>
      </c>
      <c r="E27" s="141">
        <f>'Historical Financials'!G90</f>
        <v>0</v>
      </c>
      <c r="F27" s="141">
        <f>'Historical Financials'!H90</f>
        <v>0</v>
      </c>
      <c r="H27" s="141">
        <f>'Historical Financials'!K90</f>
        <v>0</v>
      </c>
      <c r="I27" s="141">
        <f>'Historical Financials'!L90</f>
        <v>0</v>
      </c>
      <c r="J27" s="141">
        <f>'Historical Financials'!M90</f>
        <v>0</v>
      </c>
      <c r="K27" s="141">
        <f>'Historical Financials'!N90</f>
        <v>0</v>
      </c>
      <c r="L27" s="141">
        <f>'Historical Financials'!O90</f>
        <v>0</v>
      </c>
      <c r="M27" s="141">
        <f>'Historical Financials'!P90</f>
        <v>0</v>
      </c>
      <c r="N27" s="141">
        <f>'Historical Financials'!Q90</f>
        <v>0</v>
      </c>
      <c r="O27" s="141">
        <f>'Historical Financials'!R90</f>
        <v>0</v>
      </c>
      <c r="P27" s="141">
        <f>'Historical Financials'!S90</f>
        <v>0</v>
      </c>
      <c r="Q27" s="141">
        <f>'Historical Financials'!T90</f>
        <v>0</v>
      </c>
      <c r="R27" s="141">
        <f>'Historical Financials'!U90</f>
        <v>0</v>
      </c>
      <c r="T27" s="10">
        <f t="shared" ref="T27:Z28" si="38">SUM(H27:K27)</f>
        <v>0</v>
      </c>
      <c r="U27" s="10">
        <f t="shared" si="38"/>
        <v>0</v>
      </c>
      <c r="V27" s="10">
        <f t="shared" si="38"/>
        <v>0</v>
      </c>
      <c r="W27" s="10">
        <f t="shared" si="38"/>
        <v>0</v>
      </c>
      <c r="X27" s="10">
        <f t="shared" si="38"/>
        <v>0</v>
      </c>
      <c r="Y27" s="10">
        <f t="shared" si="38"/>
        <v>0</v>
      </c>
      <c r="Z27" s="10">
        <f t="shared" si="38"/>
        <v>0</v>
      </c>
      <c r="AA27" s="10">
        <f>SUM(O27:R27)</f>
        <v>0</v>
      </c>
      <c r="AC27" s="126" t="e">
        <f>SUM(AA27/W27)-1</f>
        <v>#DIV/0!</v>
      </c>
    </row>
    <row r="28" spans="2:29" ht="12.75" customHeight="1">
      <c r="B28" s="23" t="s">
        <v>123</v>
      </c>
      <c r="C28" s="148" t="e">
        <f>-C21-C15</f>
        <v>#REF!</v>
      </c>
      <c r="D28" s="148" t="e">
        <f t="shared" ref="D28:R28" si="39">-D21-D15</f>
        <v>#REF!</v>
      </c>
      <c r="E28" s="148" t="e">
        <f t="shared" si="39"/>
        <v>#REF!</v>
      </c>
      <c r="F28" s="148" t="e">
        <f t="shared" si="39"/>
        <v>#REF!</v>
      </c>
      <c r="H28" s="148" t="e">
        <f t="shared" si="39"/>
        <v>#REF!</v>
      </c>
      <c r="I28" s="148" t="e">
        <f t="shared" si="39"/>
        <v>#REF!</v>
      </c>
      <c r="J28" s="148" t="e">
        <f t="shared" si="39"/>
        <v>#REF!</v>
      </c>
      <c r="K28" s="148" t="e">
        <f t="shared" si="39"/>
        <v>#REF!</v>
      </c>
      <c r="L28" s="148" t="e">
        <f t="shared" si="39"/>
        <v>#REF!</v>
      </c>
      <c r="M28" s="148" t="e">
        <f t="shared" si="39"/>
        <v>#REF!</v>
      </c>
      <c r="N28" s="148" t="e">
        <f t="shared" si="39"/>
        <v>#REF!</v>
      </c>
      <c r="O28" s="148" t="e">
        <f t="shared" si="39"/>
        <v>#REF!</v>
      </c>
      <c r="P28" s="148" t="e">
        <f t="shared" si="39"/>
        <v>#REF!</v>
      </c>
      <c r="Q28" s="148" t="e">
        <f t="shared" si="39"/>
        <v>#REF!</v>
      </c>
      <c r="R28" s="148" t="e">
        <f t="shared" si="39"/>
        <v>#REF!</v>
      </c>
      <c r="T28" s="10" t="e">
        <f t="shared" si="38"/>
        <v>#REF!</v>
      </c>
      <c r="U28" s="10" t="e">
        <f t="shared" si="38"/>
        <v>#REF!</v>
      </c>
      <c r="V28" s="10" t="e">
        <f t="shared" si="38"/>
        <v>#REF!</v>
      </c>
      <c r="W28" s="10" t="e">
        <f t="shared" si="38"/>
        <v>#REF!</v>
      </c>
      <c r="X28" s="10" t="e">
        <f t="shared" si="38"/>
        <v>#REF!</v>
      </c>
      <c r="Y28" s="10" t="e">
        <f t="shared" si="38"/>
        <v>#REF!</v>
      </c>
      <c r="Z28" s="10" t="e">
        <f t="shared" si="38"/>
        <v>#REF!</v>
      </c>
      <c r="AA28" s="10" t="e">
        <f>SUM(O28:R28)</f>
        <v>#REF!</v>
      </c>
      <c r="AC28" s="126" t="e">
        <f t="shared" ref="AC28" si="40">SUM(AA28/W28)-1</f>
        <v>#REF!</v>
      </c>
    </row>
    <row r="29" spans="2:29" ht="12.75" customHeight="1">
      <c r="B29" s="25" t="s">
        <v>11</v>
      </c>
      <c r="C29" s="26" t="e">
        <f>SUM(C24+SUM(C27:C28))</f>
        <v>#REF!</v>
      </c>
      <c r="D29" s="26" t="e">
        <f t="shared" ref="D29:F29" si="41">SUM(D24+SUM(D27:D28))</f>
        <v>#REF!</v>
      </c>
      <c r="E29" s="26" t="e">
        <f t="shared" si="41"/>
        <v>#REF!</v>
      </c>
      <c r="F29" s="26" t="e">
        <f t="shared" si="41"/>
        <v>#REF!</v>
      </c>
      <c r="H29" s="26" t="e">
        <f t="shared" ref="H29" si="42">SUM(H24+SUM(H27:H28))</f>
        <v>#REF!</v>
      </c>
      <c r="I29" s="26" t="e">
        <f t="shared" ref="I29" si="43">SUM(I24+SUM(I27:I28))</f>
        <v>#REF!</v>
      </c>
      <c r="J29" s="26" t="e">
        <f t="shared" ref="J29" si="44">SUM(J24+SUM(J27:J28))</f>
        <v>#REF!</v>
      </c>
      <c r="K29" s="26" t="e">
        <f t="shared" ref="K29" si="45">SUM(K24+SUM(K27:K28))</f>
        <v>#REF!</v>
      </c>
      <c r="L29" s="26" t="e">
        <f t="shared" ref="L29" si="46">SUM(L24+SUM(L27:L28))</f>
        <v>#REF!</v>
      </c>
      <c r="M29" s="26" t="e">
        <f t="shared" ref="M29" si="47">SUM(M24+SUM(M27:M28))</f>
        <v>#REF!</v>
      </c>
      <c r="N29" s="26" t="e">
        <f t="shared" ref="N29" si="48">SUM(N24+SUM(N27:N28))</f>
        <v>#REF!</v>
      </c>
      <c r="O29" s="26" t="e">
        <f t="shared" ref="O29" si="49">SUM(O24+SUM(O27:O28))</f>
        <v>#REF!</v>
      </c>
      <c r="P29" s="26" t="e">
        <f t="shared" ref="P29" si="50">SUM(P24+SUM(P27:P28))</f>
        <v>#REF!</v>
      </c>
      <c r="Q29" s="26" t="e">
        <f t="shared" ref="Q29" si="51">SUM(Q24+SUM(Q27:Q28))</f>
        <v>#REF!</v>
      </c>
      <c r="R29" s="26" t="e">
        <f t="shared" ref="R29" si="52">SUM(R24+SUM(R27:R28))</f>
        <v>#REF!</v>
      </c>
      <c r="T29" s="26" t="e">
        <f t="shared" ref="T29" si="53">SUM(T24+SUM(T27:T28))</f>
        <v>#REF!</v>
      </c>
      <c r="U29" s="26" t="e">
        <f t="shared" ref="U29" si="54">SUM(U24+SUM(U27:U28))</f>
        <v>#REF!</v>
      </c>
      <c r="V29" s="26" t="e">
        <f t="shared" ref="V29" si="55">SUM(V24+SUM(V27:V28))</f>
        <v>#REF!</v>
      </c>
      <c r="W29" s="26" t="e">
        <f t="shared" ref="W29" si="56">SUM(W24+SUM(W27:W28))</f>
        <v>#REF!</v>
      </c>
      <c r="X29" s="26" t="e">
        <f t="shared" ref="X29" si="57">SUM(X24+SUM(X27:X28))</f>
        <v>#REF!</v>
      </c>
      <c r="Y29" s="26" t="e">
        <f t="shared" ref="Y29" si="58">SUM(Y24+SUM(Y27:Y28))</f>
        <v>#REF!</v>
      </c>
      <c r="Z29" s="26" t="e">
        <f t="shared" ref="Z29" si="59">SUM(Z24+SUM(Z27:Z28))</f>
        <v>#REF!</v>
      </c>
      <c r="AA29" s="26" t="e">
        <f t="shared" ref="AA29" si="60">SUM(AA24+SUM(AA27:AA28))</f>
        <v>#REF!</v>
      </c>
      <c r="AC29" s="127" t="e">
        <f>SUM(AA29/W29)-1</f>
        <v>#REF!</v>
      </c>
    </row>
    <row r="30" spans="2:29" ht="12.75" customHeight="1">
      <c r="B30" s="16" t="s">
        <v>32</v>
      </c>
      <c r="C30" s="17" t="e">
        <f>C29/C10</f>
        <v>#REF!</v>
      </c>
      <c r="D30" s="17" t="e">
        <f>D29/D10</f>
        <v>#REF!</v>
      </c>
      <c r="E30" s="17" t="e">
        <f>E29/E10</f>
        <v>#REF!</v>
      </c>
      <c r="F30" s="17" t="e">
        <f>F29/F10</f>
        <v>#REF!</v>
      </c>
      <c r="H30" s="17" t="e">
        <f t="shared" ref="H30:R30" si="61">H29/H10</f>
        <v>#REF!</v>
      </c>
      <c r="I30" s="17" t="e">
        <f t="shared" si="61"/>
        <v>#REF!</v>
      </c>
      <c r="J30" s="17" t="e">
        <f t="shared" si="61"/>
        <v>#REF!</v>
      </c>
      <c r="K30" s="17" t="e">
        <f t="shared" si="61"/>
        <v>#REF!</v>
      </c>
      <c r="L30" s="17" t="e">
        <f t="shared" si="61"/>
        <v>#REF!</v>
      </c>
      <c r="M30" s="17" t="e">
        <f t="shared" si="61"/>
        <v>#REF!</v>
      </c>
      <c r="N30" s="17" t="e">
        <f t="shared" si="61"/>
        <v>#REF!</v>
      </c>
      <c r="O30" s="17" t="e">
        <f t="shared" si="61"/>
        <v>#REF!</v>
      </c>
      <c r="P30" s="17" t="e">
        <f t="shared" si="61"/>
        <v>#REF!</v>
      </c>
      <c r="Q30" s="17" t="e">
        <f t="shared" si="61"/>
        <v>#REF!</v>
      </c>
      <c r="R30" s="17" t="e">
        <f t="shared" si="61"/>
        <v>#REF!</v>
      </c>
      <c r="T30" s="17" t="e">
        <f t="shared" ref="T30:AA30" si="62">T29/T10</f>
        <v>#REF!</v>
      </c>
      <c r="U30" s="17" t="e">
        <f t="shared" si="62"/>
        <v>#REF!</v>
      </c>
      <c r="V30" s="17" t="e">
        <f t="shared" si="62"/>
        <v>#REF!</v>
      </c>
      <c r="W30" s="17" t="e">
        <f t="shared" si="62"/>
        <v>#REF!</v>
      </c>
      <c r="X30" s="17" t="e">
        <f t="shared" si="62"/>
        <v>#REF!</v>
      </c>
      <c r="Y30" s="17" t="e">
        <f t="shared" si="62"/>
        <v>#REF!</v>
      </c>
      <c r="Z30" s="17" t="e">
        <f t="shared" si="62"/>
        <v>#REF!</v>
      </c>
      <c r="AA30" s="17" t="e">
        <f t="shared" si="62"/>
        <v>#REF!</v>
      </c>
      <c r="AC30" s="128" t="e">
        <f>SUM(AA30-W30)*10000</f>
        <v>#REF!</v>
      </c>
    </row>
    <row r="31" spans="2:29" ht="5.0999999999999996" customHeight="1">
      <c r="AC31" s="125"/>
    </row>
    <row r="32" spans="2:29" ht="12.75" customHeight="1">
      <c r="B32" s="31" t="s">
        <v>124</v>
      </c>
      <c r="C32" s="141">
        <f>'Historical Financials'!E92</f>
        <v>0</v>
      </c>
      <c r="D32" s="141">
        <f>'Historical Financials'!F92</f>
        <v>0</v>
      </c>
      <c r="E32" s="141">
        <f>'Historical Financials'!G92</f>
        <v>0</v>
      </c>
      <c r="F32" s="141">
        <f>'Historical Financials'!H92</f>
        <v>0</v>
      </c>
      <c r="H32" s="141">
        <f>'Historical Financials'!K92</f>
        <v>0</v>
      </c>
      <c r="I32" s="141">
        <f>'Historical Financials'!L92</f>
        <v>0</v>
      </c>
      <c r="J32" s="141">
        <f>'Historical Financials'!M92</f>
        <v>0</v>
      </c>
      <c r="K32" s="141">
        <f>'Historical Financials'!N92</f>
        <v>0</v>
      </c>
      <c r="L32" s="141">
        <f>'Historical Financials'!O92</f>
        <v>0</v>
      </c>
      <c r="M32" s="141">
        <f>'Historical Financials'!P92</f>
        <v>0</v>
      </c>
      <c r="N32" s="141">
        <f>'Historical Financials'!Q92</f>
        <v>0</v>
      </c>
      <c r="O32" s="141">
        <f>'Historical Financials'!R92</f>
        <v>0</v>
      </c>
      <c r="P32" s="141">
        <f>'Historical Financials'!S92</f>
        <v>0</v>
      </c>
      <c r="Q32" s="141">
        <f>'Historical Financials'!T92</f>
        <v>0</v>
      </c>
      <c r="R32" s="141">
        <f>'Historical Financials'!U92</f>
        <v>0</v>
      </c>
      <c r="T32" s="142">
        <f t="shared" ref="T32:Z34" si="63">SUM(H32:K32)</f>
        <v>0</v>
      </c>
      <c r="U32" s="142">
        <f t="shared" si="63"/>
        <v>0</v>
      </c>
      <c r="V32" s="142">
        <f t="shared" si="63"/>
        <v>0</v>
      </c>
      <c r="W32" s="142">
        <f t="shared" si="63"/>
        <v>0</v>
      </c>
      <c r="X32" s="142">
        <f t="shared" si="63"/>
        <v>0</v>
      </c>
      <c r="Y32" s="142">
        <f t="shared" si="63"/>
        <v>0</v>
      </c>
      <c r="Z32" s="142">
        <f t="shared" si="63"/>
        <v>0</v>
      </c>
      <c r="AA32" s="142">
        <f>SUM(O32:R32)</f>
        <v>0</v>
      </c>
      <c r="AC32" s="126" t="e">
        <f t="shared" ref="AC32:AC34" si="64">SUM(AA32/W32)-1</f>
        <v>#DIV/0!</v>
      </c>
    </row>
    <row r="33" spans="2:29" ht="12.75" customHeight="1">
      <c r="B33" s="23" t="s">
        <v>125</v>
      </c>
      <c r="C33" s="148" t="e">
        <f>-C22</f>
        <v>#REF!</v>
      </c>
      <c r="D33" s="148" t="e">
        <f t="shared" ref="D33:F33" si="65">-D22</f>
        <v>#REF!</v>
      </c>
      <c r="E33" s="148" t="e">
        <f t="shared" si="65"/>
        <v>#REF!</v>
      </c>
      <c r="F33" s="148" t="e">
        <f t="shared" si="65"/>
        <v>#REF!</v>
      </c>
      <c r="H33" s="148" t="e">
        <f t="shared" ref="H33:R33" si="66">-H22</f>
        <v>#REF!</v>
      </c>
      <c r="I33" s="148" t="e">
        <f t="shared" si="66"/>
        <v>#REF!</v>
      </c>
      <c r="J33" s="148" t="e">
        <f t="shared" si="66"/>
        <v>#REF!</v>
      </c>
      <c r="K33" s="148" t="e">
        <f t="shared" si="66"/>
        <v>#REF!</v>
      </c>
      <c r="L33" s="148" t="e">
        <f t="shared" si="66"/>
        <v>#REF!</v>
      </c>
      <c r="M33" s="148" t="e">
        <f t="shared" si="66"/>
        <v>#REF!</v>
      </c>
      <c r="N33" s="148" t="e">
        <f t="shared" si="66"/>
        <v>#REF!</v>
      </c>
      <c r="O33" s="148" t="e">
        <f t="shared" si="66"/>
        <v>#REF!</v>
      </c>
      <c r="P33" s="148" t="e">
        <f t="shared" si="66"/>
        <v>#REF!</v>
      </c>
      <c r="Q33" s="148" t="e">
        <f t="shared" si="66"/>
        <v>#REF!</v>
      </c>
      <c r="R33" s="148" t="e">
        <f t="shared" si="66"/>
        <v>#REF!</v>
      </c>
      <c r="T33" s="142" t="e">
        <f t="shared" si="63"/>
        <v>#REF!</v>
      </c>
      <c r="U33" s="142" t="e">
        <f t="shared" si="63"/>
        <v>#REF!</v>
      </c>
      <c r="V33" s="142" t="e">
        <f t="shared" si="63"/>
        <v>#REF!</v>
      </c>
      <c r="W33" s="142" t="e">
        <f t="shared" si="63"/>
        <v>#REF!</v>
      </c>
      <c r="X33" s="142" t="e">
        <f t="shared" si="63"/>
        <v>#REF!</v>
      </c>
      <c r="Y33" s="142" t="e">
        <f t="shared" si="63"/>
        <v>#REF!</v>
      </c>
      <c r="Z33" s="142" t="e">
        <f t="shared" si="63"/>
        <v>#REF!</v>
      </c>
      <c r="AA33" s="142" t="e">
        <f>SUM(O33:R33)</f>
        <v>#REF!</v>
      </c>
      <c r="AC33" s="126" t="e">
        <f t="shared" si="64"/>
        <v>#REF!</v>
      </c>
    </row>
    <row r="34" spans="2:29" ht="12.75" customHeight="1">
      <c r="B34" s="23" t="s">
        <v>126</v>
      </c>
      <c r="C34" s="148" t="e">
        <f>-C23</f>
        <v>#REF!</v>
      </c>
      <c r="D34" s="148" t="e">
        <f t="shared" ref="D34:F34" si="67">-D23</f>
        <v>#REF!</v>
      </c>
      <c r="E34" s="148" t="e">
        <f t="shared" si="67"/>
        <v>#REF!</v>
      </c>
      <c r="F34" s="148" t="e">
        <f t="shared" si="67"/>
        <v>#REF!</v>
      </c>
      <c r="H34" s="148" t="e">
        <f t="shared" ref="H34:R34" si="68">-H23</f>
        <v>#REF!</v>
      </c>
      <c r="I34" s="148" t="e">
        <f t="shared" si="68"/>
        <v>#REF!</v>
      </c>
      <c r="J34" s="148" t="e">
        <f t="shared" si="68"/>
        <v>#REF!</v>
      </c>
      <c r="K34" s="148" t="e">
        <f t="shared" si="68"/>
        <v>#REF!</v>
      </c>
      <c r="L34" s="148" t="e">
        <f t="shared" si="68"/>
        <v>#REF!</v>
      </c>
      <c r="M34" s="148" t="e">
        <f t="shared" si="68"/>
        <v>#REF!</v>
      </c>
      <c r="N34" s="148" t="e">
        <f t="shared" si="68"/>
        <v>#REF!</v>
      </c>
      <c r="O34" s="148" t="e">
        <f t="shared" si="68"/>
        <v>#REF!</v>
      </c>
      <c r="P34" s="148" t="e">
        <f t="shared" si="68"/>
        <v>#REF!</v>
      </c>
      <c r="Q34" s="148" t="e">
        <f t="shared" si="68"/>
        <v>#REF!</v>
      </c>
      <c r="R34" s="148" t="e">
        <f t="shared" si="68"/>
        <v>#REF!</v>
      </c>
      <c r="T34" s="142" t="e">
        <f t="shared" si="63"/>
        <v>#REF!</v>
      </c>
      <c r="U34" s="142" t="e">
        <f t="shared" si="63"/>
        <v>#REF!</v>
      </c>
      <c r="V34" s="142" t="e">
        <f t="shared" si="63"/>
        <v>#REF!</v>
      </c>
      <c r="W34" s="142" t="e">
        <f t="shared" si="63"/>
        <v>#REF!</v>
      </c>
      <c r="X34" s="142" t="e">
        <f t="shared" si="63"/>
        <v>#REF!</v>
      </c>
      <c r="Y34" s="142" t="e">
        <f t="shared" si="63"/>
        <v>#REF!</v>
      </c>
      <c r="Z34" s="142" t="e">
        <f t="shared" si="63"/>
        <v>#REF!</v>
      </c>
      <c r="AA34" s="142" t="e">
        <f>SUM(O34:R34)</f>
        <v>#REF!</v>
      </c>
      <c r="AC34" s="126" t="e">
        <f t="shared" si="64"/>
        <v>#REF!</v>
      </c>
    </row>
    <row r="35" spans="2:29" ht="12.75" customHeight="1">
      <c r="B35" s="13" t="s">
        <v>33</v>
      </c>
      <c r="C35" s="14" t="e">
        <f>+SUM(C29+SUM(C32:C34))</f>
        <v>#REF!</v>
      </c>
      <c r="D35" s="14" t="e">
        <f t="shared" ref="D35:F35" si="69">+SUM(D29+SUM(D32:D34))</f>
        <v>#REF!</v>
      </c>
      <c r="E35" s="14" t="e">
        <f t="shared" si="69"/>
        <v>#REF!</v>
      </c>
      <c r="F35" s="14" t="e">
        <f t="shared" si="69"/>
        <v>#REF!</v>
      </c>
      <c r="G35" s="11"/>
      <c r="H35" s="14" t="e">
        <f t="shared" ref="H35" si="70">+SUM(H29+SUM(H32:H34))</f>
        <v>#REF!</v>
      </c>
      <c r="I35" s="14" t="e">
        <f t="shared" ref="I35" si="71">+SUM(I29+SUM(I32:I34))</f>
        <v>#REF!</v>
      </c>
      <c r="J35" s="14" t="e">
        <f t="shared" ref="J35" si="72">+SUM(J29+SUM(J32:J34))</f>
        <v>#REF!</v>
      </c>
      <c r="K35" s="14" t="e">
        <f t="shared" ref="K35" si="73">+SUM(K29+SUM(K32:K34))</f>
        <v>#REF!</v>
      </c>
      <c r="L35" s="14" t="e">
        <f t="shared" ref="L35" si="74">+SUM(L29+SUM(L32:L34))</f>
        <v>#REF!</v>
      </c>
      <c r="M35" s="14" t="e">
        <f t="shared" ref="M35" si="75">+SUM(M29+SUM(M32:M34))</f>
        <v>#REF!</v>
      </c>
      <c r="N35" s="14" t="e">
        <f t="shared" ref="N35" si="76">+SUM(N29+SUM(N32:N34))</f>
        <v>#REF!</v>
      </c>
      <c r="O35" s="14" t="e">
        <f t="shared" ref="O35" si="77">+SUM(O29+SUM(O32:O34))</f>
        <v>#REF!</v>
      </c>
      <c r="P35" s="14" t="e">
        <f t="shared" ref="P35" si="78">+SUM(P29+SUM(P32:P34))</f>
        <v>#REF!</v>
      </c>
      <c r="Q35" s="14" t="e">
        <f t="shared" ref="Q35" si="79">+SUM(Q29+SUM(Q32:Q34))</f>
        <v>#REF!</v>
      </c>
      <c r="R35" s="14" t="e">
        <f t="shared" ref="R35" si="80">+SUM(R29+SUM(R32:R34))</f>
        <v>#REF!</v>
      </c>
      <c r="T35" s="14" t="e">
        <f t="shared" ref="T35" si="81">+SUM(T29+SUM(T32:T34))</f>
        <v>#REF!</v>
      </c>
      <c r="U35" s="14" t="e">
        <f t="shared" ref="U35" si="82">+SUM(U29+SUM(U32:U34))</f>
        <v>#REF!</v>
      </c>
      <c r="V35" s="14" t="e">
        <f t="shared" ref="V35" si="83">+SUM(V29+SUM(V32:V34))</f>
        <v>#REF!</v>
      </c>
      <c r="W35" s="14" t="e">
        <f t="shared" ref="W35" si="84">+SUM(W29+SUM(W32:W34))</f>
        <v>#REF!</v>
      </c>
      <c r="X35" s="14" t="e">
        <f t="shared" ref="X35" si="85">+SUM(X29+SUM(X32:X34))</f>
        <v>#REF!</v>
      </c>
      <c r="Y35" s="14" t="e">
        <f t="shared" ref="Y35" si="86">+SUM(Y29+SUM(Y32:Y34))</f>
        <v>#REF!</v>
      </c>
      <c r="Z35" s="14" t="e">
        <f t="shared" ref="Z35" si="87">+SUM(Z29+SUM(Z32:Z34))</f>
        <v>#REF!</v>
      </c>
      <c r="AA35" s="14" t="e">
        <f t="shared" ref="AA35" si="88">+SUM(AA29+SUM(AA32:AA34))</f>
        <v>#REF!</v>
      </c>
      <c r="AC35" s="127" t="e">
        <f>SUM(AA35/W35)-1</f>
        <v>#REF!</v>
      </c>
    </row>
    <row r="36" spans="2:29" ht="12.75" customHeight="1">
      <c r="B36" s="16" t="s">
        <v>34</v>
      </c>
      <c r="C36" s="17" t="e">
        <f>C35/C10</f>
        <v>#REF!</v>
      </c>
      <c r="D36" s="17" t="e">
        <f>D35/D10</f>
        <v>#REF!</v>
      </c>
      <c r="E36" s="17" t="e">
        <f>E35/E10</f>
        <v>#REF!</v>
      </c>
      <c r="F36" s="17" t="e">
        <f>F35/F10</f>
        <v>#REF!</v>
      </c>
      <c r="H36" s="17" t="e">
        <f t="shared" ref="H36:R36" si="89">H35/H10</f>
        <v>#REF!</v>
      </c>
      <c r="I36" s="17" t="e">
        <f t="shared" si="89"/>
        <v>#REF!</v>
      </c>
      <c r="J36" s="17" t="e">
        <f t="shared" si="89"/>
        <v>#REF!</v>
      </c>
      <c r="K36" s="17" t="e">
        <f t="shared" si="89"/>
        <v>#REF!</v>
      </c>
      <c r="L36" s="17" t="e">
        <f t="shared" si="89"/>
        <v>#REF!</v>
      </c>
      <c r="M36" s="17" t="e">
        <f t="shared" si="89"/>
        <v>#REF!</v>
      </c>
      <c r="N36" s="17" t="e">
        <f t="shared" si="89"/>
        <v>#REF!</v>
      </c>
      <c r="O36" s="17" t="e">
        <f t="shared" si="89"/>
        <v>#REF!</v>
      </c>
      <c r="P36" s="17" t="e">
        <f t="shared" si="89"/>
        <v>#REF!</v>
      </c>
      <c r="Q36" s="17" t="e">
        <f t="shared" si="89"/>
        <v>#REF!</v>
      </c>
      <c r="R36" s="17" t="e">
        <f t="shared" si="89"/>
        <v>#REF!</v>
      </c>
      <c r="T36" s="17" t="e">
        <f t="shared" ref="T36:AA36" si="90">T35/T10</f>
        <v>#REF!</v>
      </c>
      <c r="U36" s="17" t="e">
        <f t="shared" si="90"/>
        <v>#REF!</v>
      </c>
      <c r="V36" s="17" t="e">
        <f t="shared" si="90"/>
        <v>#REF!</v>
      </c>
      <c r="W36" s="17" t="e">
        <f t="shared" si="90"/>
        <v>#REF!</v>
      </c>
      <c r="X36" s="17" t="e">
        <f t="shared" si="90"/>
        <v>#REF!</v>
      </c>
      <c r="Y36" s="17" t="e">
        <f t="shared" si="90"/>
        <v>#REF!</v>
      </c>
      <c r="Z36" s="17" t="e">
        <f t="shared" si="90"/>
        <v>#REF!</v>
      </c>
      <c r="AA36" s="17" t="e">
        <f t="shared" si="90"/>
        <v>#REF!</v>
      </c>
      <c r="AC36" s="128" t="e">
        <f>SUM(AA36-W36)*10000</f>
        <v>#REF!</v>
      </c>
    </row>
    <row r="37" spans="2:29" ht="5.0999999999999996" customHeight="1">
      <c r="AC37" s="125"/>
    </row>
    <row r="38" spans="2:29" ht="12.75" customHeight="1">
      <c r="B38" s="23" t="s">
        <v>35</v>
      </c>
      <c r="C38" s="141">
        <f>'Historical Financials'!E99</f>
        <v>0</v>
      </c>
      <c r="D38" s="141">
        <f>'Historical Financials'!F99</f>
        <v>0</v>
      </c>
      <c r="E38" s="141">
        <f>'Historical Financials'!G99</f>
        <v>0</v>
      </c>
      <c r="F38" s="141">
        <f>'Historical Financials'!H99</f>
        <v>0</v>
      </c>
      <c r="H38" s="141">
        <f>'Historical Financials'!K99</f>
        <v>0</v>
      </c>
      <c r="I38" s="141">
        <f>'Historical Financials'!L99</f>
        <v>0</v>
      </c>
      <c r="J38" s="141">
        <f>'Historical Financials'!M99</f>
        <v>0</v>
      </c>
      <c r="K38" s="141">
        <f>'Historical Financials'!N99</f>
        <v>0</v>
      </c>
      <c r="L38" s="141">
        <f>'Historical Financials'!O99</f>
        <v>0</v>
      </c>
      <c r="M38" s="141">
        <f>'Historical Financials'!P99</f>
        <v>0</v>
      </c>
      <c r="N38" s="141">
        <f>'Historical Financials'!Q99</f>
        <v>0</v>
      </c>
      <c r="O38" s="141">
        <f>'Historical Financials'!R99</f>
        <v>0</v>
      </c>
      <c r="P38" s="141">
        <f>'Historical Financials'!S99</f>
        <v>0</v>
      </c>
      <c r="Q38" s="141">
        <f>'Historical Financials'!T99</f>
        <v>0</v>
      </c>
      <c r="R38" s="141">
        <f>'Historical Financials'!U99</f>
        <v>0</v>
      </c>
      <c r="T38" s="10">
        <f t="shared" ref="T38:AA41" si="91">SUM(H38:K38)</f>
        <v>0</v>
      </c>
      <c r="U38" s="10">
        <f t="shared" si="91"/>
        <v>0</v>
      </c>
      <c r="V38" s="10">
        <f t="shared" si="91"/>
        <v>0</v>
      </c>
      <c r="W38" s="142">
        <f t="shared" si="91"/>
        <v>0</v>
      </c>
      <c r="X38" s="142">
        <f t="shared" si="91"/>
        <v>0</v>
      </c>
      <c r="Y38" s="142">
        <f t="shared" si="91"/>
        <v>0</v>
      </c>
      <c r="Z38" s="142">
        <f t="shared" si="91"/>
        <v>0</v>
      </c>
      <c r="AA38" s="142">
        <f t="shared" si="91"/>
        <v>0</v>
      </c>
      <c r="AC38" s="126" t="e">
        <f>SUM(AA38/W38)-1</f>
        <v>#DIV/0!</v>
      </c>
    </row>
    <row r="39" spans="2:29" ht="12.75" customHeight="1">
      <c r="B39" s="23" t="s">
        <v>36</v>
      </c>
      <c r="C39" s="141">
        <f>-'Historical Financials'!E124</f>
        <v>0</v>
      </c>
      <c r="D39" s="141">
        <f>-'Historical Financials'!F124</f>
        <v>0</v>
      </c>
      <c r="E39" s="141">
        <f>-'Historical Financials'!G124</f>
        <v>0</v>
      </c>
      <c r="F39" s="141">
        <f>-'Historical Financials'!H124</f>
        <v>0</v>
      </c>
      <c r="H39" s="141">
        <f>-'Historical Financials'!K124</f>
        <v>0</v>
      </c>
      <c r="I39" s="141">
        <f>-'Historical Financials'!L124</f>
        <v>0</v>
      </c>
      <c r="J39" s="141">
        <f>-'Historical Financials'!M124</f>
        <v>0</v>
      </c>
      <c r="K39" s="141">
        <f>-'Historical Financials'!N124</f>
        <v>0</v>
      </c>
      <c r="L39" s="141">
        <f>-'Historical Financials'!O124</f>
        <v>0</v>
      </c>
      <c r="M39" s="141">
        <f>-'Historical Financials'!P124</f>
        <v>0</v>
      </c>
      <c r="N39" s="141">
        <f>-'Historical Financials'!Q124</f>
        <v>0</v>
      </c>
      <c r="O39" s="141">
        <f>-'Historical Financials'!R124</f>
        <v>0</v>
      </c>
      <c r="P39" s="141">
        <f>-'Historical Financials'!S124</f>
        <v>0</v>
      </c>
      <c r="Q39" s="141">
        <f>-'Historical Financials'!T124</f>
        <v>0</v>
      </c>
      <c r="R39" s="141">
        <f>-'Historical Financials'!U124</f>
        <v>0</v>
      </c>
      <c r="T39" s="10">
        <f t="shared" si="91"/>
        <v>0</v>
      </c>
      <c r="U39" s="10">
        <f t="shared" si="91"/>
        <v>0</v>
      </c>
      <c r="V39" s="10">
        <f t="shared" si="91"/>
        <v>0</v>
      </c>
      <c r="W39" s="142">
        <f t="shared" si="91"/>
        <v>0</v>
      </c>
      <c r="X39" s="142">
        <f t="shared" si="91"/>
        <v>0</v>
      </c>
      <c r="Y39" s="142">
        <f t="shared" si="91"/>
        <v>0</v>
      </c>
      <c r="Z39" s="142">
        <f t="shared" si="91"/>
        <v>0</v>
      </c>
      <c r="AA39" s="142">
        <f t="shared" si="91"/>
        <v>0</v>
      </c>
      <c r="AC39" s="126" t="e">
        <f>SUM(AA39/W39)-1</f>
        <v>#DIV/0!</v>
      </c>
    </row>
    <row r="40" spans="2:29" ht="12.75" customHeight="1">
      <c r="B40" s="23" t="s">
        <v>70</v>
      </c>
      <c r="C40" s="141">
        <f>-'Historical Financials'!E123</f>
        <v>0</v>
      </c>
      <c r="D40" s="141">
        <f>-'Historical Financials'!F123</f>
        <v>0</v>
      </c>
      <c r="E40" s="141">
        <f>-'Historical Financials'!G123</f>
        <v>0</v>
      </c>
      <c r="F40" s="141">
        <f>-'Historical Financials'!H123</f>
        <v>0</v>
      </c>
      <c r="H40" s="148">
        <f>$E$40/4</f>
        <v>0</v>
      </c>
      <c r="I40" s="148">
        <f t="shared" ref="I40:K40" si="92">$E$40/4</f>
        <v>0</v>
      </c>
      <c r="J40" s="148">
        <f t="shared" si="92"/>
        <v>0</v>
      </c>
      <c r="K40" s="148">
        <f t="shared" si="92"/>
        <v>0</v>
      </c>
      <c r="L40" s="148">
        <f>$F$40/4</f>
        <v>0</v>
      </c>
      <c r="M40" s="148">
        <f t="shared" ref="M40:O40" si="93">$F$40/4</f>
        <v>0</v>
      </c>
      <c r="N40" s="148">
        <f t="shared" si="93"/>
        <v>0</v>
      </c>
      <c r="O40" s="148">
        <f t="shared" si="93"/>
        <v>0</v>
      </c>
      <c r="P40" s="148">
        <f>O40</f>
        <v>0</v>
      </c>
      <c r="Q40" s="148">
        <f t="shared" ref="Q40:R40" si="94">P40</f>
        <v>0</v>
      </c>
      <c r="R40" s="148">
        <f t="shared" si="94"/>
        <v>0</v>
      </c>
      <c r="T40" s="10">
        <f t="shared" si="91"/>
        <v>0</v>
      </c>
      <c r="U40" s="10">
        <f t="shared" si="91"/>
        <v>0</v>
      </c>
      <c r="V40" s="10">
        <f t="shared" si="91"/>
        <v>0</v>
      </c>
      <c r="W40" s="142">
        <f t="shared" si="91"/>
        <v>0</v>
      </c>
      <c r="X40" s="142">
        <f t="shared" si="91"/>
        <v>0</v>
      </c>
      <c r="Y40" s="142">
        <f t="shared" si="91"/>
        <v>0</v>
      </c>
      <c r="Z40" s="142">
        <f t="shared" si="91"/>
        <v>0</v>
      </c>
      <c r="AA40" s="142">
        <f t="shared" si="91"/>
        <v>0</v>
      </c>
      <c r="AC40" s="126" t="e">
        <f>SUM(AA40/W40)-1</f>
        <v>#DIV/0!</v>
      </c>
    </row>
    <row r="41" spans="2:29" ht="12.75" customHeight="1">
      <c r="B41" s="23" t="s">
        <v>37</v>
      </c>
      <c r="C41" s="141" t="e">
        <f>SUM('Historical Financials'!#REF!)</f>
        <v>#REF!</v>
      </c>
      <c r="D41" s="141" t="e">
        <f>SUM('Historical Financials'!#REF!)</f>
        <v>#REF!</v>
      </c>
      <c r="E41" s="141" t="e">
        <f>SUM('Historical Financials'!#REF!)</f>
        <v>#REF!</v>
      </c>
      <c r="F41" s="141" t="e">
        <f>SUM('Historical Financials'!#REF!)</f>
        <v>#REF!</v>
      </c>
      <c r="H41" s="141" t="e">
        <f>SUM('Historical Financials'!#REF!)</f>
        <v>#REF!</v>
      </c>
      <c r="I41" s="141" t="e">
        <f>SUM('Historical Financials'!#REF!)</f>
        <v>#REF!</v>
      </c>
      <c r="J41" s="141" t="e">
        <f>SUM('Historical Financials'!#REF!)</f>
        <v>#REF!</v>
      </c>
      <c r="K41" s="141" t="e">
        <f>SUM('Historical Financials'!#REF!)</f>
        <v>#REF!</v>
      </c>
      <c r="L41" s="141" t="e">
        <f>SUM('Historical Financials'!#REF!)</f>
        <v>#REF!</v>
      </c>
      <c r="M41" s="141" t="e">
        <f>SUM('Historical Financials'!#REF!)</f>
        <v>#REF!</v>
      </c>
      <c r="N41" s="141" t="e">
        <f>SUM('Historical Financials'!#REF!)</f>
        <v>#REF!</v>
      </c>
      <c r="O41" s="141" t="e">
        <f>SUM('Historical Financials'!#REF!)</f>
        <v>#REF!</v>
      </c>
      <c r="P41" s="141" t="e">
        <f>SUM('Historical Financials'!#REF!)</f>
        <v>#REF!</v>
      </c>
      <c r="Q41" s="141" t="e">
        <f>SUM('Historical Financials'!#REF!)</f>
        <v>#REF!</v>
      </c>
      <c r="R41" s="141" t="e">
        <f>SUM('Historical Financials'!#REF!)</f>
        <v>#REF!</v>
      </c>
      <c r="T41" s="10" t="e">
        <f t="shared" si="91"/>
        <v>#REF!</v>
      </c>
      <c r="U41" s="10" t="e">
        <f t="shared" si="91"/>
        <v>#REF!</v>
      </c>
      <c r="V41" s="10" t="e">
        <f t="shared" si="91"/>
        <v>#REF!</v>
      </c>
      <c r="W41" s="142" t="e">
        <f t="shared" si="91"/>
        <v>#REF!</v>
      </c>
      <c r="X41" s="142" t="e">
        <f t="shared" si="91"/>
        <v>#REF!</v>
      </c>
      <c r="Y41" s="142" t="e">
        <f t="shared" si="91"/>
        <v>#REF!</v>
      </c>
      <c r="Z41" s="142" t="e">
        <f t="shared" si="91"/>
        <v>#REF!</v>
      </c>
      <c r="AA41" s="142" t="e">
        <f t="shared" si="91"/>
        <v>#REF!</v>
      </c>
      <c r="AC41" s="126" t="e">
        <f>SUM(AA41/W41)-1</f>
        <v>#REF!</v>
      </c>
    </row>
    <row r="42" spans="2:29" ht="12.75" customHeight="1">
      <c r="B42" s="13" t="s">
        <v>38</v>
      </c>
      <c r="C42" s="14" t="e">
        <f>SUM(C35+SUM(C38:C41))</f>
        <v>#REF!</v>
      </c>
      <c r="D42" s="14" t="e">
        <f>SUM(D35+SUM(D38:D41))</f>
        <v>#REF!</v>
      </c>
      <c r="E42" s="14" t="e">
        <f>SUM(E35+SUM(E38:E41))</f>
        <v>#REF!</v>
      </c>
      <c r="F42" s="14" t="e">
        <f>SUM(F35+SUM(F38:F41))</f>
        <v>#REF!</v>
      </c>
      <c r="H42" s="14" t="e">
        <f t="shared" ref="H42:Q42" si="95">SUM(H35+SUM(H38:H41))</f>
        <v>#REF!</v>
      </c>
      <c r="I42" s="14" t="e">
        <f t="shared" si="95"/>
        <v>#REF!</v>
      </c>
      <c r="J42" s="14" t="e">
        <f t="shared" si="95"/>
        <v>#REF!</v>
      </c>
      <c r="K42" s="14" t="e">
        <f t="shared" si="95"/>
        <v>#REF!</v>
      </c>
      <c r="L42" s="14" t="e">
        <f t="shared" si="95"/>
        <v>#REF!</v>
      </c>
      <c r="M42" s="14" t="e">
        <f t="shared" si="95"/>
        <v>#REF!</v>
      </c>
      <c r="N42" s="14" t="e">
        <f t="shared" si="95"/>
        <v>#REF!</v>
      </c>
      <c r="O42" s="14" t="e">
        <f t="shared" si="95"/>
        <v>#REF!</v>
      </c>
      <c r="P42" s="14" t="e">
        <f t="shared" si="95"/>
        <v>#REF!</v>
      </c>
      <c r="Q42" s="14" t="e">
        <f t="shared" si="95"/>
        <v>#REF!</v>
      </c>
      <c r="R42" s="14" t="e">
        <f>SUM(R35+SUM(R38:R41))</f>
        <v>#REF!</v>
      </c>
      <c r="T42" s="14" t="e">
        <f t="shared" ref="T42:AA42" si="96">SUM(T35+SUM(T38:T41))</f>
        <v>#REF!</v>
      </c>
      <c r="U42" s="14" t="e">
        <f t="shared" si="96"/>
        <v>#REF!</v>
      </c>
      <c r="V42" s="14" t="e">
        <f t="shared" si="96"/>
        <v>#REF!</v>
      </c>
      <c r="W42" s="14" t="e">
        <f t="shared" si="96"/>
        <v>#REF!</v>
      </c>
      <c r="X42" s="14" t="e">
        <f t="shared" si="96"/>
        <v>#REF!</v>
      </c>
      <c r="Y42" s="14" t="e">
        <f t="shared" si="96"/>
        <v>#REF!</v>
      </c>
      <c r="Z42" s="14" t="e">
        <f t="shared" si="96"/>
        <v>#REF!</v>
      </c>
      <c r="AA42" s="14" t="e">
        <f t="shared" si="96"/>
        <v>#REF!</v>
      </c>
      <c r="AC42" s="127" t="e">
        <f>SUM(AA42/W42)-1</f>
        <v>#REF!</v>
      </c>
    </row>
    <row r="43" spans="2:29" ht="5.0999999999999996" customHeight="1"/>
    <row r="44" spans="2:29" ht="12.75" customHeight="1">
      <c r="B44" s="31" t="s">
        <v>95</v>
      </c>
      <c r="C44" s="141">
        <f>'Historical Financials'!E100</f>
        <v>0</v>
      </c>
      <c r="D44" s="141">
        <f>'Historical Financials'!F100</f>
        <v>0</v>
      </c>
      <c r="E44" s="141">
        <f>'Historical Financials'!G100</f>
        <v>0</v>
      </c>
      <c r="F44" s="141">
        <f>'Historical Financials'!H100</f>
        <v>0</v>
      </c>
      <c r="G44" s="32"/>
      <c r="H44" s="141">
        <f>'Historical Financials'!K100</f>
        <v>0</v>
      </c>
      <c r="I44" s="141">
        <f>'Historical Financials'!L100</f>
        <v>0</v>
      </c>
      <c r="J44" s="141">
        <f>'Historical Financials'!M100</f>
        <v>0</v>
      </c>
      <c r="K44" s="141">
        <f>'Historical Financials'!N100</f>
        <v>0</v>
      </c>
      <c r="L44" s="141">
        <f>'Historical Financials'!O100</f>
        <v>0</v>
      </c>
      <c r="M44" s="141">
        <f>'Historical Financials'!P100</f>
        <v>0</v>
      </c>
      <c r="N44" s="141">
        <f>'Historical Financials'!Q100</f>
        <v>0</v>
      </c>
      <c r="O44" s="141">
        <f>'Historical Financials'!R100</f>
        <v>0</v>
      </c>
      <c r="P44" s="141">
        <f>'Historical Financials'!S100</f>
        <v>0</v>
      </c>
      <c r="Q44" s="141">
        <f>'Historical Financials'!T100</f>
        <v>0</v>
      </c>
      <c r="R44" s="141">
        <f>'Historical Financials'!U100</f>
        <v>0</v>
      </c>
      <c r="T44" s="142">
        <f t="shared" ref="T44:Z50" si="97">SUM(H44:K44)</f>
        <v>0</v>
      </c>
      <c r="U44" s="142">
        <f t="shared" si="97"/>
        <v>0</v>
      </c>
      <c r="V44" s="142">
        <f t="shared" si="97"/>
        <v>0</v>
      </c>
      <c r="W44" s="142">
        <f t="shared" si="97"/>
        <v>0</v>
      </c>
      <c r="X44" s="142">
        <f t="shared" si="97"/>
        <v>0</v>
      </c>
      <c r="Y44" s="142">
        <f t="shared" si="97"/>
        <v>0</v>
      </c>
      <c r="Z44" s="142">
        <f t="shared" si="97"/>
        <v>0</v>
      </c>
      <c r="AA44" s="142">
        <f t="shared" ref="AA44:AA50" si="98">SUM(O44:R44)</f>
        <v>0</v>
      </c>
    </row>
    <row r="45" spans="2:29" ht="12.75" customHeight="1">
      <c r="B45" s="31" t="s">
        <v>86</v>
      </c>
      <c r="C45" s="141">
        <f>'Historical Financials'!E102</f>
        <v>0</v>
      </c>
      <c r="D45" s="141">
        <f>'Historical Financials'!F102</f>
        <v>0</v>
      </c>
      <c r="E45" s="141">
        <f>'Historical Financials'!G102</f>
        <v>0</v>
      </c>
      <c r="F45" s="141">
        <f>'Historical Financials'!H102</f>
        <v>0</v>
      </c>
      <c r="G45" s="32"/>
      <c r="H45" s="141">
        <f>'Historical Financials'!K102</f>
        <v>0</v>
      </c>
      <c r="I45" s="141">
        <f>'Historical Financials'!L102</f>
        <v>0</v>
      </c>
      <c r="J45" s="141">
        <f>'Historical Financials'!M102</f>
        <v>0</v>
      </c>
      <c r="K45" s="141">
        <f>'Historical Financials'!N102</f>
        <v>0</v>
      </c>
      <c r="L45" s="141">
        <f>'Historical Financials'!O102</f>
        <v>0</v>
      </c>
      <c r="M45" s="141">
        <f>'Historical Financials'!P102</f>
        <v>0</v>
      </c>
      <c r="N45" s="141">
        <f>'Historical Financials'!Q102</f>
        <v>0</v>
      </c>
      <c r="O45" s="141">
        <f>'Historical Financials'!R102</f>
        <v>0</v>
      </c>
      <c r="P45" s="141">
        <f>'Historical Financials'!S102</f>
        <v>0</v>
      </c>
      <c r="Q45" s="141">
        <f>'Historical Financials'!T102</f>
        <v>0</v>
      </c>
      <c r="R45" s="141">
        <f>'Historical Financials'!U102</f>
        <v>0</v>
      </c>
      <c r="T45" s="142">
        <f t="shared" si="97"/>
        <v>0</v>
      </c>
      <c r="U45" s="142">
        <f t="shared" si="97"/>
        <v>0</v>
      </c>
      <c r="V45" s="142">
        <f t="shared" si="97"/>
        <v>0</v>
      </c>
      <c r="W45" s="142">
        <f t="shared" si="97"/>
        <v>0</v>
      </c>
      <c r="X45" s="142">
        <f t="shared" si="97"/>
        <v>0</v>
      </c>
      <c r="Y45" s="142">
        <f t="shared" si="97"/>
        <v>0</v>
      </c>
      <c r="Z45" s="142">
        <f t="shared" si="97"/>
        <v>0</v>
      </c>
      <c r="AA45" s="142">
        <f t="shared" si="98"/>
        <v>0</v>
      </c>
    </row>
    <row r="46" spans="2:29" ht="12.75" customHeight="1">
      <c r="B46" s="31" t="s">
        <v>127</v>
      </c>
      <c r="C46" s="141">
        <f>'Historical Financials'!E101</f>
        <v>0</v>
      </c>
      <c r="D46" s="141">
        <f>'Historical Financials'!F101</f>
        <v>0</v>
      </c>
      <c r="E46" s="141">
        <f>'Historical Financials'!G101</f>
        <v>0</v>
      </c>
      <c r="F46" s="141">
        <f>'Historical Financials'!H101</f>
        <v>0</v>
      </c>
      <c r="G46" s="32"/>
      <c r="H46" s="141">
        <f>'Historical Financials'!K101</f>
        <v>0</v>
      </c>
      <c r="I46" s="141">
        <f>'Historical Financials'!L101</f>
        <v>0</v>
      </c>
      <c r="J46" s="141">
        <f>'Historical Financials'!M101</f>
        <v>0</v>
      </c>
      <c r="K46" s="141">
        <f>'Historical Financials'!N101</f>
        <v>0</v>
      </c>
      <c r="L46" s="141">
        <f>'Historical Financials'!O101</f>
        <v>0</v>
      </c>
      <c r="M46" s="141">
        <f>'Historical Financials'!P101</f>
        <v>0</v>
      </c>
      <c r="N46" s="141">
        <f>'Historical Financials'!Q101</f>
        <v>0</v>
      </c>
      <c r="O46" s="141">
        <f>'Historical Financials'!R101</f>
        <v>0</v>
      </c>
      <c r="P46" s="141">
        <f>'Historical Financials'!S101</f>
        <v>0</v>
      </c>
      <c r="Q46" s="141">
        <f>'Historical Financials'!T101</f>
        <v>0</v>
      </c>
      <c r="R46" s="141">
        <f>'Historical Financials'!U101</f>
        <v>0</v>
      </c>
      <c r="T46" s="142">
        <f t="shared" si="97"/>
        <v>0</v>
      </c>
      <c r="U46" s="142">
        <f t="shared" si="97"/>
        <v>0</v>
      </c>
      <c r="V46" s="142">
        <f t="shared" si="97"/>
        <v>0</v>
      </c>
      <c r="W46" s="142">
        <f t="shared" si="97"/>
        <v>0</v>
      </c>
      <c r="X46" s="142">
        <f t="shared" si="97"/>
        <v>0</v>
      </c>
      <c r="Y46" s="142">
        <f t="shared" si="97"/>
        <v>0</v>
      </c>
      <c r="Z46" s="142">
        <f t="shared" si="97"/>
        <v>0</v>
      </c>
      <c r="AA46" s="142">
        <f t="shared" si="98"/>
        <v>0</v>
      </c>
    </row>
    <row r="47" spans="2:29" ht="12.75" customHeight="1">
      <c r="B47" s="31" t="s">
        <v>96</v>
      </c>
      <c r="C47" s="141">
        <f>'Historical Financials'!E106</f>
        <v>0</v>
      </c>
      <c r="D47" s="141">
        <f>'Historical Financials'!F106</f>
        <v>0</v>
      </c>
      <c r="E47" s="141">
        <f>'Historical Financials'!G106</f>
        <v>0</v>
      </c>
      <c r="F47" s="141">
        <f>'Historical Financials'!H106</f>
        <v>0</v>
      </c>
      <c r="G47" s="32"/>
      <c r="H47" s="141">
        <f>'Historical Financials'!K106</f>
        <v>0</v>
      </c>
      <c r="I47" s="141">
        <f>'Historical Financials'!L106</f>
        <v>0</v>
      </c>
      <c r="J47" s="141">
        <f>'Historical Financials'!M106</f>
        <v>0</v>
      </c>
      <c r="K47" s="141">
        <f>'Historical Financials'!N106</f>
        <v>0</v>
      </c>
      <c r="L47" s="141">
        <f>'Historical Financials'!O106</f>
        <v>0</v>
      </c>
      <c r="M47" s="141">
        <f>'Historical Financials'!P106</f>
        <v>0</v>
      </c>
      <c r="N47" s="141">
        <f>'Historical Financials'!Q106</f>
        <v>0</v>
      </c>
      <c r="O47" s="141">
        <f>'Historical Financials'!R106</f>
        <v>0</v>
      </c>
      <c r="P47" s="141">
        <f>'Historical Financials'!S106</f>
        <v>0</v>
      </c>
      <c r="Q47" s="141">
        <f>'Historical Financials'!T106</f>
        <v>0</v>
      </c>
      <c r="R47" s="141">
        <f>'Historical Financials'!U106</f>
        <v>0</v>
      </c>
      <c r="T47" s="142">
        <f t="shared" si="97"/>
        <v>0</v>
      </c>
      <c r="U47" s="142">
        <f t="shared" si="97"/>
        <v>0</v>
      </c>
      <c r="V47" s="142">
        <f t="shared" si="97"/>
        <v>0</v>
      </c>
      <c r="W47" s="142">
        <f t="shared" si="97"/>
        <v>0</v>
      </c>
      <c r="X47" s="142">
        <f t="shared" si="97"/>
        <v>0</v>
      </c>
      <c r="Y47" s="142">
        <f t="shared" si="97"/>
        <v>0</v>
      </c>
      <c r="Z47" s="142">
        <f t="shared" si="97"/>
        <v>0</v>
      </c>
      <c r="AA47" s="142">
        <f t="shared" si="98"/>
        <v>0</v>
      </c>
    </row>
    <row r="48" spans="2:29" ht="12.75" customHeight="1">
      <c r="B48" s="31" t="s">
        <v>128</v>
      </c>
      <c r="C48" s="141">
        <f>'Historical Financials'!E107</f>
        <v>0</v>
      </c>
      <c r="D48" s="141">
        <f>'Historical Financials'!F107</f>
        <v>0</v>
      </c>
      <c r="E48" s="141">
        <f>'Historical Financials'!G107</f>
        <v>0</v>
      </c>
      <c r="F48" s="141">
        <f>'Historical Financials'!H107</f>
        <v>0</v>
      </c>
      <c r="G48" s="32"/>
      <c r="H48" s="141">
        <f>'Historical Financials'!K107</f>
        <v>0</v>
      </c>
      <c r="I48" s="141">
        <f>'Historical Financials'!L107</f>
        <v>0</v>
      </c>
      <c r="J48" s="141">
        <f>'Historical Financials'!M107</f>
        <v>0</v>
      </c>
      <c r="K48" s="141">
        <f>'Historical Financials'!N107</f>
        <v>0</v>
      </c>
      <c r="L48" s="141">
        <f>'Historical Financials'!O107</f>
        <v>0</v>
      </c>
      <c r="M48" s="141">
        <f>'Historical Financials'!P107</f>
        <v>0</v>
      </c>
      <c r="N48" s="141">
        <f>'Historical Financials'!Q107</f>
        <v>0</v>
      </c>
      <c r="O48" s="141">
        <f>'Historical Financials'!R107</f>
        <v>0</v>
      </c>
      <c r="P48" s="141">
        <f>'Historical Financials'!S107</f>
        <v>0</v>
      </c>
      <c r="Q48" s="141">
        <f>'Historical Financials'!T107</f>
        <v>0</v>
      </c>
      <c r="R48" s="141">
        <f>'Historical Financials'!U107</f>
        <v>0</v>
      </c>
      <c r="T48" s="142">
        <f t="shared" si="97"/>
        <v>0</v>
      </c>
      <c r="U48" s="142">
        <f t="shared" si="97"/>
        <v>0</v>
      </c>
      <c r="V48" s="142">
        <f t="shared" si="97"/>
        <v>0</v>
      </c>
      <c r="W48" s="142">
        <f t="shared" si="97"/>
        <v>0</v>
      </c>
      <c r="X48" s="142">
        <f t="shared" si="97"/>
        <v>0</v>
      </c>
      <c r="Y48" s="142">
        <f t="shared" si="97"/>
        <v>0</v>
      </c>
      <c r="Z48" s="142">
        <f t="shared" si="97"/>
        <v>0</v>
      </c>
      <c r="AA48" s="142">
        <f t="shared" si="98"/>
        <v>0</v>
      </c>
    </row>
    <row r="49" spans="1:27" ht="12.75" customHeight="1">
      <c r="B49" s="31" t="s">
        <v>97</v>
      </c>
      <c r="C49" s="141">
        <f>SUM('Historical Financials'!E108:E108)</f>
        <v>0</v>
      </c>
      <c r="D49" s="141">
        <f>SUM('Historical Financials'!F108:F108)</f>
        <v>0</v>
      </c>
      <c r="E49" s="141">
        <f>SUM('Historical Financials'!G108:G108)</f>
        <v>0</v>
      </c>
      <c r="F49" s="141">
        <f>SUM('Historical Financials'!H108:H108)</f>
        <v>0</v>
      </c>
      <c r="G49" s="32"/>
      <c r="H49" s="141">
        <f>SUM('Historical Financials'!K108:K108)</f>
        <v>0</v>
      </c>
      <c r="I49" s="141">
        <f>SUM('Historical Financials'!L108:L108)</f>
        <v>0</v>
      </c>
      <c r="J49" s="141">
        <f>SUM('Historical Financials'!M108:M108)</f>
        <v>0</v>
      </c>
      <c r="K49" s="141">
        <f>SUM('Historical Financials'!N108:N108)</f>
        <v>0</v>
      </c>
      <c r="L49" s="141">
        <f>SUM('Historical Financials'!O108:O108)</f>
        <v>0</v>
      </c>
      <c r="M49" s="141">
        <f>SUM('Historical Financials'!P108:P108)</f>
        <v>0</v>
      </c>
      <c r="N49" s="141">
        <f>SUM('Historical Financials'!Q108:Q108)</f>
        <v>0</v>
      </c>
      <c r="O49" s="141">
        <f>SUM('Historical Financials'!R108:R108)</f>
        <v>0</v>
      </c>
      <c r="P49" s="141">
        <f>SUM('Historical Financials'!S108:S108)</f>
        <v>0</v>
      </c>
      <c r="Q49" s="141">
        <f>SUM('Historical Financials'!T108:T108)</f>
        <v>0</v>
      </c>
      <c r="R49" s="141">
        <f>SUM('Historical Financials'!U108:U108)</f>
        <v>0</v>
      </c>
      <c r="T49" s="142">
        <f t="shared" si="97"/>
        <v>0</v>
      </c>
      <c r="U49" s="142">
        <f t="shared" si="97"/>
        <v>0</v>
      </c>
      <c r="V49" s="142">
        <f t="shared" si="97"/>
        <v>0</v>
      </c>
      <c r="W49" s="142">
        <f t="shared" si="97"/>
        <v>0</v>
      </c>
      <c r="X49" s="142">
        <f t="shared" si="97"/>
        <v>0</v>
      </c>
      <c r="Y49" s="142">
        <f t="shared" si="97"/>
        <v>0</v>
      </c>
      <c r="Z49" s="142">
        <f t="shared" si="97"/>
        <v>0</v>
      </c>
      <c r="AA49" s="142">
        <f t="shared" si="98"/>
        <v>0</v>
      </c>
    </row>
    <row r="50" spans="1:27" ht="12.75" customHeight="1">
      <c r="B50" s="31" t="s">
        <v>66</v>
      </c>
      <c r="C50" s="96"/>
      <c r="D50" s="96" t="e">
        <f>SUM(D55-C55)-SUM(D42:D49)</f>
        <v>#REF!</v>
      </c>
      <c r="E50" s="96" t="e">
        <f>SUM(E55-D55)-SUM(E42:E49)</f>
        <v>#REF!</v>
      </c>
      <c r="F50" s="96" t="e">
        <f>SUM(F55-E55)-SUM(F42:F49)</f>
        <v>#REF!</v>
      </c>
      <c r="G50" s="32"/>
      <c r="H50" s="96"/>
      <c r="I50" s="96" t="e">
        <f t="shared" ref="I50:R50" si="99">SUM(I55-H55)-SUM(I42:I49)</f>
        <v>#REF!</v>
      </c>
      <c r="J50" s="96" t="e">
        <f t="shared" si="99"/>
        <v>#REF!</v>
      </c>
      <c r="K50" s="96" t="e">
        <f t="shared" si="99"/>
        <v>#REF!</v>
      </c>
      <c r="L50" s="96" t="e">
        <f t="shared" si="99"/>
        <v>#REF!</v>
      </c>
      <c r="M50" s="96" t="e">
        <f t="shared" si="99"/>
        <v>#REF!</v>
      </c>
      <c r="N50" s="96" t="e">
        <f t="shared" si="99"/>
        <v>#REF!</v>
      </c>
      <c r="O50" s="96" t="e">
        <f t="shared" si="99"/>
        <v>#REF!</v>
      </c>
      <c r="P50" s="96" t="e">
        <f t="shared" si="99"/>
        <v>#REF!</v>
      </c>
      <c r="Q50" s="96" t="e">
        <f t="shared" si="99"/>
        <v>#REF!</v>
      </c>
      <c r="R50" s="96" t="e">
        <f t="shared" si="99"/>
        <v>#REF!</v>
      </c>
      <c r="T50" s="142" t="e">
        <f t="shared" si="97"/>
        <v>#REF!</v>
      </c>
      <c r="U50" s="142" t="e">
        <f t="shared" si="97"/>
        <v>#REF!</v>
      </c>
      <c r="V50" s="142" t="e">
        <f t="shared" si="97"/>
        <v>#REF!</v>
      </c>
      <c r="W50" s="142" t="e">
        <f t="shared" si="97"/>
        <v>#REF!</v>
      </c>
      <c r="X50" s="142" t="e">
        <f t="shared" si="97"/>
        <v>#REF!</v>
      </c>
      <c r="Y50" s="142" t="e">
        <f t="shared" si="97"/>
        <v>#REF!</v>
      </c>
      <c r="Z50" s="142" t="e">
        <f t="shared" si="97"/>
        <v>#REF!</v>
      </c>
      <c r="AA50" s="142" t="e">
        <f t="shared" si="98"/>
        <v>#REF!</v>
      </c>
    </row>
    <row r="51" spans="1:27" ht="12.75" customHeight="1">
      <c r="B51" s="13" t="s">
        <v>39</v>
      </c>
      <c r="C51" s="14" t="e">
        <f>SUM(C42+SUM(C44:C50))</f>
        <v>#REF!</v>
      </c>
      <c r="D51" s="14" t="e">
        <f>SUM(D42+SUM(D44:D50))</f>
        <v>#REF!</v>
      </c>
      <c r="E51" s="14" t="e">
        <f>SUM(E42+SUM(E44:E50))</f>
        <v>#REF!</v>
      </c>
      <c r="F51" s="14" t="e">
        <f>SUM(F42+SUM(F44:F50))</f>
        <v>#REF!</v>
      </c>
      <c r="H51" s="14" t="e">
        <f t="shared" ref="H51:R51" si="100">SUM(H42+SUM(H44:H50))</f>
        <v>#REF!</v>
      </c>
      <c r="I51" s="14" t="e">
        <f t="shared" si="100"/>
        <v>#REF!</v>
      </c>
      <c r="J51" s="14" t="e">
        <f t="shared" si="100"/>
        <v>#REF!</v>
      </c>
      <c r="K51" s="14" t="e">
        <f t="shared" si="100"/>
        <v>#REF!</v>
      </c>
      <c r="L51" s="14" t="e">
        <f t="shared" si="100"/>
        <v>#REF!</v>
      </c>
      <c r="M51" s="14" t="e">
        <f t="shared" si="100"/>
        <v>#REF!</v>
      </c>
      <c r="N51" s="14" t="e">
        <f t="shared" si="100"/>
        <v>#REF!</v>
      </c>
      <c r="O51" s="14" t="e">
        <f t="shared" si="100"/>
        <v>#REF!</v>
      </c>
      <c r="P51" s="14" t="e">
        <f t="shared" si="100"/>
        <v>#REF!</v>
      </c>
      <c r="Q51" s="14" t="e">
        <f t="shared" si="100"/>
        <v>#REF!</v>
      </c>
      <c r="R51" s="14" t="e">
        <f t="shared" si="100"/>
        <v>#REF!</v>
      </c>
      <c r="T51" s="14" t="e">
        <f t="shared" ref="T51:AA51" si="101">SUM(T42+SUM(T44:T50))</f>
        <v>#REF!</v>
      </c>
      <c r="U51" s="14" t="e">
        <f t="shared" si="101"/>
        <v>#REF!</v>
      </c>
      <c r="V51" s="14" t="e">
        <f t="shared" si="101"/>
        <v>#REF!</v>
      </c>
      <c r="W51" s="14" t="e">
        <f t="shared" si="101"/>
        <v>#REF!</v>
      </c>
      <c r="X51" s="14" t="e">
        <f t="shared" si="101"/>
        <v>#REF!</v>
      </c>
      <c r="Y51" s="14" t="e">
        <f t="shared" si="101"/>
        <v>#REF!</v>
      </c>
      <c r="Z51" s="14" t="e">
        <f t="shared" si="101"/>
        <v>#REF!</v>
      </c>
      <c r="AA51" s="14" t="e">
        <f t="shared" si="101"/>
        <v>#REF!</v>
      </c>
    </row>
    <row r="52" spans="1:27" ht="5.0999999999999996" customHeight="1"/>
    <row r="53" spans="1:27" ht="12.75" customHeight="1">
      <c r="A53" s="5"/>
      <c r="B53" s="33" t="s">
        <v>40</v>
      </c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</row>
    <row r="54" spans="1:27" ht="5.0999999999999996" customHeight="1"/>
    <row r="55" spans="1:27" ht="12.75" customHeight="1">
      <c r="B55" s="8" t="s">
        <v>41</v>
      </c>
      <c r="C55" s="94">
        <f>'Historical Financials'!E44</f>
        <v>1990</v>
      </c>
      <c r="D55" s="94">
        <f>'Historical Financials'!F44</f>
        <v>3839</v>
      </c>
      <c r="E55" s="94">
        <f>'Historical Financials'!G44</f>
        <v>7280</v>
      </c>
      <c r="F55" s="94">
        <f>'Historical Financials'!H44</f>
        <v>8589</v>
      </c>
      <c r="G55" s="32"/>
      <c r="H55" s="94">
        <f>'Historical Financials'!K44</f>
        <v>5079</v>
      </c>
      <c r="I55" s="94">
        <f>'Historical Financials'!L44</f>
        <v>5783</v>
      </c>
      <c r="J55" s="94">
        <f>'Historical Financials'!M44</f>
        <v>5519</v>
      </c>
      <c r="K55" s="94">
        <f>'Historical Financials'!N44</f>
        <v>7280</v>
      </c>
      <c r="L55" s="94">
        <f>'Historical Financials'!O44</f>
        <v>7587</v>
      </c>
      <c r="M55" s="94">
        <f>'Historical Financials'!P44</f>
        <v>8563</v>
      </c>
      <c r="N55" s="94">
        <f>'Historical Financials'!Q44</f>
        <v>9107</v>
      </c>
      <c r="O55" s="94">
        <f>'Historical Financials'!R44</f>
        <v>8589</v>
      </c>
      <c r="P55" s="94">
        <f>'Historical Financials'!S44</f>
        <v>15234</v>
      </c>
      <c r="Q55" s="94">
        <f>'Historical Financials'!T44</f>
        <v>11639</v>
      </c>
      <c r="R55" s="94">
        <f>'Historical Financials'!U44</f>
        <v>11486</v>
      </c>
      <c r="T55" s="10">
        <f t="shared" ref="T55:Z57" si="102">K55</f>
        <v>7280</v>
      </c>
      <c r="U55" s="10">
        <f t="shared" si="102"/>
        <v>7587</v>
      </c>
      <c r="V55" s="10">
        <f t="shared" si="102"/>
        <v>8563</v>
      </c>
      <c r="W55" s="10">
        <f t="shared" si="102"/>
        <v>9107</v>
      </c>
      <c r="X55" s="10">
        <f t="shared" si="102"/>
        <v>8589</v>
      </c>
      <c r="Y55" s="10">
        <f t="shared" si="102"/>
        <v>15234</v>
      </c>
      <c r="Z55" s="10">
        <f t="shared" si="102"/>
        <v>11639</v>
      </c>
      <c r="AA55" s="10">
        <f>R55</f>
        <v>11486</v>
      </c>
    </row>
    <row r="56" spans="1:27" ht="12.75" customHeight="1">
      <c r="B56" s="8" t="s">
        <v>129</v>
      </c>
      <c r="C56" s="94">
        <f>'Historical Financials'!E45</f>
        <v>19218</v>
      </c>
      <c r="D56" s="94">
        <f>'Historical Financials'!F45</f>
        <v>9907</v>
      </c>
      <c r="E56" s="94">
        <f>'Historical Financials'!G45</f>
        <v>18704</v>
      </c>
      <c r="F56" s="94">
        <f>'Historical Financials'!H45</f>
        <v>34621</v>
      </c>
      <c r="G56" s="32"/>
      <c r="H56" s="94">
        <f>'Historical Financials'!K45</f>
        <v>10241</v>
      </c>
      <c r="I56" s="94">
        <f>'Historical Financials'!L45</f>
        <v>10240</v>
      </c>
      <c r="J56" s="94">
        <f>'Historical Financials'!M45</f>
        <v>12762</v>
      </c>
      <c r="K56" s="94">
        <f>'Historical Financials'!N45</f>
        <v>18704</v>
      </c>
      <c r="L56" s="94">
        <f>'Historical Financials'!O45</f>
        <v>23851</v>
      </c>
      <c r="M56" s="94">
        <f>'Historical Financials'!P45</f>
        <v>26237</v>
      </c>
      <c r="N56" s="94">
        <f>'Historical Financials'!Q45</f>
        <v>29380</v>
      </c>
      <c r="O56" s="94">
        <f>'Historical Financials'!R45</f>
        <v>34621</v>
      </c>
      <c r="P56" s="94">
        <f>'Historical Financials'!S45</f>
        <v>38457</v>
      </c>
      <c r="Q56" s="94">
        <f>'Historical Financials'!T45</f>
        <v>45152</v>
      </c>
      <c r="R56" s="94">
        <f>'Historical Financials'!U45</f>
        <v>49122</v>
      </c>
      <c r="T56" s="10">
        <f t="shared" si="102"/>
        <v>18704</v>
      </c>
      <c r="U56" s="10">
        <f t="shared" si="102"/>
        <v>23851</v>
      </c>
      <c r="V56" s="10">
        <f t="shared" si="102"/>
        <v>26237</v>
      </c>
      <c r="W56" s="10">
        <f t="shared" si="102"/>
        <v>29380</v>
      </c>
      <c r="X56" s="10">
        <f t="shared" si="102"/>
        <v>34621</v>
      </c>
      <c r="Y56" s="10">
        <f t="shared" si="102"/>
        <v>38457</v>
      </c>
      <c r="Z56" s="10">
        <f t="shared" si="102"/>
        <v>45152</v>
      </c>
      <c r="AA56" s="10">
        <f>R56</f>
        <v>49122</v>
      </c>
    </row>
    <row r="57" spans="1:27" ht="12.75" customHeight="1">
      <c r="B57" s="31" t="s">
        <v>136</v>
      </c>
      <c r="C57" s="81">
        <f>500-C75</f>
        <v>486</v>
      </c>
      <c r="D57" s="81">
        <v>3000</v>
      </c>
      <c r="E57" s="81">
        <v>3000</v>
      </c>
      <c r="F57" s="81">
        <v>3000</v>
      </c>
      <c r="G57" s="94"/>
      <c r="H57" s="81">
        <f t="shared" ref="H57:N57" si="103">3000-H75-H76</f>
        <v>3000</v>
      </c>
      <c r="I57" s="81">
        <f t="shared" si="103"/>
        <v>3000</v>
      </c>
      <c r="J57" s="81">
        <f t="shared" si="103"/>
        <v>3000</v>
      </c>
      <c r="K57" s="10">
        <f>E57</f>
        <v>3000</v>
      </c>
      <c r="L57" s="81">
        <f t="shared" si="103"/>
        <v>3000</v>
      </c>
      <c r="M57" s="81">
        <f t="shared" si="103"/>
        <v>3000</v>
      </c>
      <c r="N57" s="81">
        <f t="shared" si="103"/>
        <v>3000</v>
      </c>
      <c r="O57" s="10">
        <f>F57</f>
        <v>3000</v>
      </c>
      <c r="P57" s="81">
        <f>3000-P75-P76</f>
        <v>2050</v>
      </c>
      <c r="Q57" s="81">
        <f>3000-Q75-Q76</f>
        <v>3000</v>
      </c>
      <c r="R57" s="81">
        <f>3000-R75-R76</f>
        <v>3000</v>
      </c>
      <c r="T57" s="10">
        <f t="shared" si="102"/>
        <v>3000</v>
      </c>
      <c r="U57" s="10">
        <f t="shared" si="102"/>
        <v>3000</v>
      </c>
      <c r="V57" s="10">
        <f t="shared" si="102"/>
        <v>3000</v>
      </c>
      <c r="W57" s="10">
        <f t="shared" si="102"/>
        <v>3000</v>
      </c>
      <c r="X57" s="10">
        <f t="shared" si="102"/>
        <v>3000</v>
      </c>
      <c r="Y57" s="10">
        <f t="shared" si="102"/>
        <v>2050</v>
      </c>
      <c r="Z57" s="10">
        <f t="shared" si="102"/>
        <v>3000</v>
      </c>
      <c r="AA57" s="10">
        <f>R57</f>
        <v>3000</v>
      </c>
    </row>
    <row r="58" spans="1:27" ht="12.75" customHeight="1">
      <c r="B58" s="13" t="s">
        <v>42</v>
      </c>
      <c r="C58" s="14">
        <f>SUM(C55:C57)</f>
        <v>21694</v>
      </c>
      <c r="D58" s="14">
        <f>SUM(D55:D57)</f>
        <v>16746</v>
      </c>
      <c r="E58" s="14">
        <f>SUM(E55:E57)</f>
        <v>28984</v>
      </c>
      <c r="F58" s="14">
        <f>SUM(F55:F57)</f>
        <v>46210</v>
      </c>
      <c r="G58" s="32"/>
      <c r="H58" s="14">
        <f t="shared" ref="H58:R58" si="104">SUM(H55:H57)</f>
        <v>18320</v>
      </c>
      <c r="I58" s="14">
        <f t="shared" si="104"/>
        <v>19023</v>
      </c>
      <c r="J58" s="14">
        <f t="shared" si="104"/>
        <v>21281</v>
      </c>
      <c r="K58" s="14">
        <f t="shared" si="104"/>
        <v>28984</v>
      </c>
      <c r="L58" s="14">
        <f t="shared" si="104"/>
        <v>34438</v>
      </c>
      <c r="M58" s="14">
        <f t="shared" si="104"/>
        <v>37800</v>
      </c>
      <c r="N58" s="14">
        <f t="shared" si="104"/>
        <v>41487</v>
      </c>
      <c r="O58" s="14">
        <f t="shared" si="104"/>
        <v>46210</v>
      </c>
      <c r="P58" s="14">
        <f t="shared" si="104"/>
        <v>55741</v>
      </c>
      <c r="Q58" s="14">
        <f t="shared" si="104"/>
        <v>59791</v>
      </c>
      <c r="R58" s="14">
        <f t="shared" si="104"/>
        <v>63608</v>
      </c>
      <c r="T58" s="14">
        <f t="shared" ref="T58:V58" si="105">SUM(T55:T55)</f>
        <v>7280</v>
      </c>
      <c r="U58" s="14">
        <f t="shared" si="105"/>
        <v>7587</v>
      </c>
      <c r="V58" s="14">
        <f t="shared" si="105"/>
        <v>8563</v>
      </c>
      <c r="W58" s="14">
        <f>SUM(W55:W57)</f>
        <v>41487</v>
      </c>
      <c r="X58" s="14">
        <f>SUM(X55:X57)</f>
        <v>46210</v>
      </c>
      <c r="Y58" s="14">
        <f>SUM(Y55:Y57)</f>
        <v>55741</v>
      </c>
      <c r="Z58" s="14">
        <f>SUM(Z55:Z57)</f>
        <v>59791</v>
      </c>
      <c r="AA58" s="14">
        <f>SUM(AA55:AA57)</f>
        <v>63608</v>
      </c>
    </row>
    <row r="59" spans="1:27" ht="12.75" hidden="1" customHeight="1" outlineLevel="1">
      <c r="B59" s="150" t="s">
        <v>133</v>
      </c>
      <c r="C59" s="149">
        <f>75-C75</f>
        <v>61</v>
      </c>
      <c r="D59" s="151"/>
      <c r="E59" s="151"/>
      <c r="F59" s="151"/>
      <c r="G59" s="32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T59" s="151"/>
      <c r="U59" s="151"/>
      <c r="V59" s="151"/>
      <c r="W59" s="151"/>
      <c r="X59" s="151"/>
      <c r="Y59" s="151"/>
      <c r="Z59" s="151"/>
      <c r="AA59" s="151"/>
    </row>
    <row r="60" spans="1:27" ht="12.75" hidden="1" customHeight="1" outlineLevel="1">
      <c r="B60" s="150" t="s">
        <v>134</v>
      </c>
      <c r="C60" s="149">
        <v>50</v>
      </c>
      <c r="D60" s="151"/>
      <c r="E60" s="151"/>
      <c r="F60" s="151"/>
      <c r="G60" s="32"/>
      <c r="H60" s="151"/>
      <c r="I60" s="151"/>
      <c r="J60" s="151"/>
      <c r="K60" s="151"/>
      <c r="L60" s="151"/>
      <c r="M60" s="151"/>
      <c r="N60" s="151"/>
      <c r="O60" s="151"/>
      <c r="P60" s="151"/>
      <c r="Q60" s="151"/>
      <c r="R60" s="151"/>
      <c r="T60" s="151"/>
      <c r="U60" s="151"/>
      <c r="V60" s="151"/>
      <c r="W60" s="151"/>
      <c r="X60" s="151"/>
      <c r="Y60" s="151"/>
      <c r="Z60" s="151"/>
      <c r="AA60" s="151"/>
    </row>
    <row r="61" spans="1:27" ht="5.0999999999999996" customHeight="1" collapsed="1"/>
    <row r="62" spans="1:27" ht="12.75" customHeight="1">
      <c r="B62" s="35" t="s">
        <v>43</v>
      </c>
    </row>
    <row r="63" spans="1:27" ht="12.75" customHeight="1">
      <c r="B63" s="8" t="s">
        <v>138</v>
      </c>
      <c r="C63" s="94">
        <f>'Historical Financials'!E47</f>
        <v>2605</v>
      </c>
      <c r="D63" s="94">
        <f>'Historical Financials'!F47</f>
        <v>5159</v>
      </c>
      <c r="E63" s="94">
        <f>'Historical Financials'!G47</f>
        <v>5282</v>
      </c>
      <c r="F63" s="94">
        <f>'Historical Financials'!H47</f>
        <v>10080</v>
      </c>
      <c r="H63" s="94">
        <f>'Historical Financials'!K47</f>
        <v>4611</v>
      </c>
      <c r="I63" s="94">
        <f>'Historical Financials'!L47</f>
        <v>4319</v>
      </c>
      <c r="J63" s="94">
        <f>'Historical Financials'!M47</f>
        <v>4779</v>
      </c>
      <c r="K63" s="94">
        <f>'Historical Financials'!N47</f>
        <v>5282</v>
      </c>
      <c r="L63" s="94">
        <f>'Historical Financials'!O47</f>
        <v>5864</v>
      </c>
      <c r="M63" s="94">
        <f>'Historical Financials'!P47</f>
        <v>6675</v>
      </c>
      <c r="N63" s="94">
        <f>'Historical Financials'!Q47</f>
        <v>7654</v>
      </c>
      <c r="O63" s="94">
        <f>'Historical Financials'!R47</f>
        <v>10080</v>
      </c>
      <c r="P63" s="94">
        <f>'Historical Financials'!S47</f>
        <v>11333</v>
      </c>
      <c r="Q63" s="94">
        <f>'Historical Financials'!T47</f>
        <v>14962</v>
      </c>
      <c r="R63" s="94">
        <f>'Historical Financials'!U47</f>
        <v>19784</v>
      </c>
      <c r="S63" s="10"/>
      <c r="T63" s="10">
        <f t="shared" ref="T63:Z69" si="106">K63</f>
        <v>5282</v>
      </c>
      <c r="U63" s="10">
        <f t="shared" si="106"/>
        <v>5864</v>
      </c>
      <c r="V63" s="10">
        <f t="shared" si="106"/>
        <v>6675</v>
      </c>
      <c r="W63" s="10">
        <f t="shared" si="106"/>
        <v>7654</v>
      </c>
      <c r="X63" s="10">
        <f t="shared" si="106"/>
        <v>10080</v>
      </c>
      <c r="Y63" s="10">
        <f t="shared" si="106"/>
        <v>11333</v>
      </c>
      <c r="Z63" s="10">
        <f t="shared" si="106"/>
        <v>14962</v>
      </c>
      <c r="AA63" s="10">
        <f t="shared" ref="AA63:AA69" si="107">R63</f>
        <v>19784</v>
      </c>
    </row>
    <row r="64" spans="1:27" ht="12.75" customHeight="1">
      <c r="B64" s="8" t="s">
        <v>106</v>
      </c>
      <c r="C64" s="94" t="e">
        <f>'Historical Financials'!#REF!</f>
        <v>#REF!</v>
      </c>
      <c r="D64" s="94" t="e">
        <f>'Historical Financials'!#REF!</f>
        <v>#REF!</v>
      </c>
      <c r="E64" s="94" t="e">
        <f>'Historical Financials'!#REF!</f>
        <v>#REF!</v>
      </c>
      <c r="F64" s="94" t="e">
        <f>'Historical Financials'!#REF!</f>
        <v>#REF!</v>
      </c>
      <c r="G64" s="94"/>
      <c r="H64" s="94" t="e">
        <f>'Historical Financials'!#REF!</f>
        <v>#REF!</v>
      </c>
      <c r="I64" s="94" t="e">
        <f>'Historical Financials'!#REF!</f>
        <v>#REF!</v>
      </c>
      <c r="J64" s="94" t="e">
        <f>'Historical Financials'!#REF!</f>
        <v>#REF!</v>
      </c>
      <c r="K64" s="94" t="e">
        <f>'Historical Financials'!#REF!</f>
        <v>#REF!</v>
      </c>
      <c r="L64" s="94" t="e">
        <f>'Historical Financials'!#REF!</f>
        <v>#REF!</v>
      </c>
      <c r="M64" s="94" t="e">
        <f>'Historical Financials'!#REF!</f>
        <v>#REF!</v>
      </c>
      <c r="N64" s="94" t="e">
        <f>'Historical Financials'!#REF!</f>
        <v>#REF!</v>
      </c>
      <c r="O64" s="94" t="e">
        <f>'Historical Financials'!#REF!</f>
        <v>#REF!</v>
      </c>
      <c r="P64" s="94" t="e">
        <f>'Historical Financials'!#REF!</f>
        <v>#REF!</v>
      </c>
      <c r="Q64" s="94" t="e">
        <f>'Historical Financials'!#REF!</f>
        <v>#REF!</v>
      </c>
      <c r="R64" s="94" t="e">
        <f>'Historical Financials'!#REF!</f>
        <v>#REF!</v>
      </c>
      <c r="T64" s="10" t="e">
        <f t="shared" si="106"/>
        <v>#REF!</v>
      </c>
      <c r="U64" s="10" t="e">
        <f t="shared" si="106"/>
        <v>#REF!</v>
      </c>
      <c r="V64" s="10" t="e">
        <f t="shared" si="106"/>
        <v>#REF!</v>
      </c>
      <c r="W64" s="10" t="e">
        <f t="shared" si="106"/>
        <v>#REF!</v>
      </c>
      <c r="X64" s="10" t="e">
        <f t="shared" si="106"/>
        <v>#REF!</v>
      </c>
      <c r="Y64" s="10" t="e">
        <f t="shared" si="106"/>
        <v>#REF!</v>
      </c>
      <c r="Z64" s="10" t="e">
        <f t="shared" si="106"/>
        <v>#REF!</v>
      </c>
      <c r="AA64" s="10" t="e">
        <f t="shared" si="107"/>
        <v>#REF!</v>
      </c>
    </row>
    <row r="65" spans="2:27" ht="12.75" customHeight="1">
      <c r="B65" s="8" t="s">
        <v>101</v>
      </c>
      <c r="C65" s="94">
        <f>'Historical Financials'!E52</f>
        <v>2778</v>
      </c>
      <c r="D65" s="94">
        <f>'Historical Financials'!F52</f>
        <v>3807</v>
      </c>
      <c r="E65" s="94">
        <f>'Historical Financials'!G52</f>
        <v>3914</v>
      </c>
      <c r="F65" s="94">
        <f>'Historical Financials'!H52</f>
        <v>6283</v>
      </c>
      <c r="H65" s="94">
        <f>'Historical Financials'!K52</f>
        <v>3740</v>
      </c>
      <c r="I65" s="94">
        <f>'Historical Financials'!L52</f>
        <v>3799</v>
      </c>
      <c r="J65" s="94">
        <f>'Historical Financials'!M52</f>
        <v>3844</v>
      </c>
      <c r="K65" s="94">
        <f>'Historical Financials'!N52</f>
        <v>3914</v>
      </c>
      <c r="L65" s="94">
        <f>'Historical Financials'!O52</f>
        <v>4006</v>
      </c>
      <c r="M65" s="94">
        <f>'Historical Financials'!P52</f>
        <v>4885</v>
      </c>
      <c r="N65" s="94">
        <f>'Historical Financials'!Q52</f>
        <v>5343</v>
      </c>
      <c r="O65" s="94">
        <f>'Historical Financials'!R52</f>
        <v>6283</v>
      </c>
      <c r="P65" s="94">
        <f>'Historical Financials'!S52</f>
        <v>7136</v>
      </c>
      <c r="Q65" s="94">
        <f>'Historical Financials'!T52</f>
        <v>9141</v>
      </c>
      <c r="R65" s="94">
        <f>'Historical Financials'!U52</f>
        <v>9780</v>
      </c>
      <c r="S65" s="10"/>
      <c r="T65" s="10">
        <f t="shared" si="106"/>
        <v>3914</v>
      </c>
      <c r="U65" s="10">
        <f t="shared" si="106"/>
        <v>4006</v>
      </c>
      <c r="V65" s="10">
        <f t="shared" si="106"/>
        <v>4885</v>
      </c>
      <c r="W65" s="10">
        <f t="shared" si="106"/>
        <v>5343</v>
      </c>
      <c r="X65" s="10">
        <f t="shared" si="106"/>
        <v>6283</v>
      </c>
      <c r="Y65" s="10">
        <f t="shared" si="106"/>
        <v>7136</v>
      </c>
      <c r="Z65" s="10">
        <f t="shared" si="106"/>
        <v>9141</v>
      </c>
      <c r="AA65" s="10">
        <f t="shared" si="107"/>
        <v>9780</v>
      </c>
    </row>
    <row r="66" spans="2:27" ht="12.75" customHeight="1">
      <c r="B66" s="8" t="s">
        <v>108</v>
      </c>
      <c r="C66" s="94">
        <f>'Historical Financials'!E56</f>
        <v>1222</v>
      </c>
      <c r="D66" s="94">
        <f>'Historical Financials'!F56</f>
        <v>3396</v>
      </c>
      <c r="E66" s="94">
        <f>'Historical Financials'!G56</f>
        <v>6081</v>
      </c>
      <c r="F66" s="94">
        <f>'Historical Financials'!H56</f>
        <v>10979</v>
      </c>
      <c r="H66" s="94">
        <f>'Historical Financials'!K56</f>
        <v>4568</v>
      </c>
      <c r="I66" s="94">
        <f>'Historical Financials'!L56</f>
        <v>5398</v>
      </c>
      <c r="J66" s="94">
        <f>'Historical Financials'!M56</f>
        <v>5982</v>
      </c>
      <c r="K66" s="94">
        <f>'Historical Financials'!N56</f>
        <v>6081</v>
      </c>
      <c r="L66" s="94">
        <f>'Historical Financials'!O56</f>
        <v>7798</v>
      </c>
      <c r="M66" s="94">
        <f>'Historical Financials'!P56</f>
        <v>9578</v>
      </c>
      <c r="N66" s="94">
        <f>'Historical Financials'!Q56</f>
        <v>10276</v>
      </c>
      <c r="O66" s="94">
        <f>'Historical Financials'!R56</f>
        <v>10979</v>
      </c>
      <c r="P66" s="94">
        <f>'Historical Financials'!S56</f>
        <v>13318</v>
      </c>
      <c r="Q66" s="94">
        <f>'Historical Financials'!T56</f>
        <v>13570</v>
      </c>
      <c r="R66" s="94">
        <f>'Historical Financials'!U56</f>
        <v>13674</v>
      </c>
      <c r="S66" s="10"/>
      <c r="T66" s="10">
        <f t="shared" si="106"/>
        <v>6081</v>
      </c>
      <c r="U66" s="10">
        <f t="shared" si="106"/>
        <v>7798</v>
      </c>
      <c r="V66" s="10">
        <f t="shared" si="106"/>
        <v>9578</v>
      </c>
      <c r="W66" s="10">
        <f t="shared" si="106"/>
        <v>10276</v>
      </c>
      <c r="X66" s="10">
        <f t="shared" si="106"/>
        <v>10979</v>
      </c>
      <c r="Y66" s="10">
        <f t="shared" si="106"/>
        <v>13318</v>
      </c>
      <c r="Z66" s="10">
        <f t="shared" si="106"/>
        <v>13570</v>
      </c>
      <c r="AA66" s="10">
        <f t="shared" si="107"/>
        <v>13674</v>
      </c>
    </row>
    <row r="67" spans="2:27" ht="12.75" customHeight="1">
      <c r="B67" s="8" t="s">
        <v>44</v>
      </c>
      <c r="C67" s="94">
        <f>'Historical Financials'!E61</f>
        <v>1783</v>
      </c>
      <c r="D67" s="94">
        <f>'Historical Financials'!F61</f>
        <v>1193</v>
      </c>
      <c r="E67" s="94">
        <f>'Historical Financials'!G61</f>
        <v>2699</v>
      </c>
      <c r="F67" s="94">
        <f>'Historical Financials'!H61</f>
        <v>6310</v>
      </c>
      <c r="G67" s="94"/>
      <c r="H67" s="94">
        <f>'Historical Financials'!K61</f>
        <v>1141</v>
      </c>
      <c r="I67" s="94">
        <f>'Historical Financials'!L61</f>
        <v>1929</v>
      </c>
      <c r="J67" s="94">
        <f>'Historical Financials'!M61</f>
        <v>2380</v>
      </c>
      <c r="K67" s="94">
        <f>'Historical Financials'!N61</f>
        <v>2699</v>
      </c>
      <c r="L67" s="94">
        <f>'Historical Financials'!O61</f>
        <v>2715</v>
      </c>
      <c r="M67" s="94">
        <f>'Historical Financials'!P61</f>
        <v>3680</v>
      </c>
      <c r="N67" s="94">
        <f>'Historical Financials'!Q61</f>
        <v>5353</v>
      </c>
      <c r="O67" s="94">
        <f>'Historical Financials'!R61</f>
        <v>6310</v>
      </c>
      <c r="P67" s="94">
        <f>'Historical Financials'!S61</f>
        <v>7331</v>
      </c>
      <c r="Q67" s="94">
        <f>'Historical Financials'!T61</f>
        <v>9064</v>
      </c>
      <c r="R67" s="94">
        <f>'Historical Financials'!U61</f>
        <v>8624</v>
      </c>
      <c r="T67" s="10">
        <f t="shared" si="106"/>
        <v>2699</v>
      </c>
      <c r="U67" s="10">
        <f t="shared" si="106"/>
        <v>2715</v>
      </c>
      <c r="V67" s="10">
        <f t="shared" si="106"/>
        <v>3680</v>
      </c>
      <c r="W67" s="10">
        <f t="shared" si="106"/>
        <v>5353</v>
      </c>
      <c r="X67" s="10">
        <f t="shared" si="106"/>
        <v>6310</v>
      </c>
      <c r="Y67" s="10">
        <f t="shared" si="106"/>
        <v>7331</v>
      </c>
      <c r="Z67" s="10">
        <f t="shared" si="106"/>
        <v>9064</v>
      </c>
      <c r="AA67" s="10">
        <f t="shared" si="107"/>
        <v>8624</v>
      </c>
    </row>
    <row r="68" spans="2:27" ht="12.75" customHeight="1">
      <c r="B68" s="8" t="s">
        <v>45</v>
      </c>
      <c r="C68" s="94">
        <f>'Historical Financials'!E64</f>
        <v>4335</v>
      </c>
      <c r="D68" s="94">
        <f>'Historical Financials'!F64</f>
        <v>6563</v>
      </c>
      <c r="E68" s="94">
        <f>'Historical Financials'!G64</f>
        <v>10631</v>
      </c>
      <c r="F68" s="94">
        <f>'Historical Financials'!H64</f>
        <v>18047</v>
      </c>
      <c r="G68" s="94"/>
      <c r="H68" s="94">
        <f>'Historical Financials'!K64</f>
        <v>7260</v>
      </c>
      <c r="I68" s="94">
        <f>'Historical Financials'!L64</f>
        <v>10334</v>
      </c>
      <c r="J68" s="94">
        <f>'Historical Financials'!M64</f>
        <v>9101</v>
      </c>
      <c r="K68" s="94">
        <f>'Historical Financials'!N64</f>
        <v>10631</v>
      </c>
      <c r="L68" s="94">
        <f>'Historical Financials'!O64</f>
        <v>15223</v>
      </c>
      <c r="M68" s="94">
        <f>'Historical Financials'!P64</f>
        <v>13969</v>
      </c>
      <c r="N68" s="94">
        <f>'Historical Financials'!Q64</f>
        <v>16479</v>
      </c>
      <c r="O68" s="94">
        <f>'Historical Financials'!R64</f>
        <v>18047</v>
      </c>
      <c r="P68" s="94">
        <f>'Historical Financials'!S64</f>
        <v>26542</v>
      </c>
      <c r="Q68" s="94">
        <f>'Historical Financials'!T64</f>
        <v>24257</v>
      </c>
      <c r="R68" s="94">
        <f>'Historical Financials'!U64</f>
        <v>26075</v>
      </c>
      <c r="T68" s="10">
        <f t="shared" si="106"/>
        <v>10631</v>
      </c>
      <c r="U68" s="10">
        <f t="shared" si="106"/>
        <v>15223</v>
      </c>
      <c r="V68" s="10">
        <f t="shared" si="106"/>
        <v>13969</v>
      </c>
      <c r="W68" s="10">
        <f t="shared" si="106"/>
        <v>16479</v>
      </c>
      <c r="X68" s="10">
        <f t="shared" si="106"/>
        <v>18047</v>
      </c>
      <c r="Y68" s="10">
        <f t="shared" si="106"/>
        <v>26542</v>
      </c>
      <c r="Z68" s="10">
        <f t="shared" si="106"/>
        <v>24257</v>
      </c>
      <c r="AA68" s="10">
        <f t="shared" si="107"/>
        <v>26075</v>
      </c>
    </row>
    <row r="69" spans="2:27" ht="12.75" customHeight="1">
      <c r="B69" s="8" t="s">
        <v>15</v>
      </c>
      <c r="C69" s="94">
        <f>'Historical Financials'!E70</f>
        <v>17575</v>
      </c>
      <c r="D69" s="94">
        <f>'Historical Financials'!F70</f>
        <v>19081</v>
      </c>
      <c r="E69" s="94">
        <f>'Historical Financials'!G70</f>
        <v>22750</v>
      </c>
      <c r="F69" s="94">
        <f>'Historical Financials'!H70</f>
        <v>32274</v>
      </c>
      <c r="G69" s="94"/>
      <c r="H69" s="94">
        <f>'Historical Financials'!K70</f>
        <v>19940</v>
      </c>
      <c r="I69" s="94">
        <f>'Historical Financials'!L70</f>
        <v>22054</v>
      </c>
      <c r="J69" s="94">
        <f>'Historical Financials'!M70</f>
        <v>20883</v>
      </c>
      <c r="K69" s="94">
        <f>'Historical Financials'!N70</f>
        <v>22750</v>
      </c>
      <c r="L69" s="94">
        <f>'Historical Financials'!O70</f>
        <v>27930</v>
      </c>
      <c r="M69" s="94">
        <f>'Historical Financials'!P70</f>
        <v>27070</v>
      </c>
      <c r="N69" s="94">
        <f>'Historical Financials'!Q70</f>
        <v>30114</v>
      </c>
      <c r="O69" s="94">
        <f>'Historical Financials'!R70</f>
        <v>32274</v>
      </c>
      <c r="P69" s="94">
        <f>'Historical Financials'!S70</f>
        <v>41411</v>
      </c>
      <c r="Q69" s="94">
        <f>'Historical Financials'!T70</f>
        <v>40609</v>
      </c>
      <c r="R69" s="94">
        <f>'Historical Financials'!U70</f>
        <v>42251</v>
      </c>
      <c r="T69" s="10">
        <f t="shared" si="106"/>
        <v>22750</v>
      </c>
      <c r="U69" s="10">
        <f t="shared" si="106"/>
        <v>27930</v>
      </c>
      <c r="V69" s="10">
        <f t="shared" si="106"/>
        <v>27070</v>
      </c>
      <c r="W69" s="10">
        <f t="shared" si="106"/>
        <v>30114</v>
      </c>
      <c r="X69" s="10">
        <f t="shared" si="106"/>
        <v>32274</v>
      </c>
      <c r="Y69" s="10">
        <f t="shared" si="106"/>
        <v>41411</v>
      </c>
      <c r="Z69" s="10">
        <f t="shared" si="106"/>
        <v>40609</v>
      </c>
      <c r="AA69" s="10">
        <f t="shared" si="107"/>
        <v>42251</v>
      </c>
    </row>
    <row r="70" spans="2:27" ht="5.0999999999999996" customHeight="1">
      <c r="F70" s="10"/>
    </row>
    <row r="71" spans="2:27">
      <c r="B71" s="35" t="s">
        <v>98</v>
      </c>
      <c r="F71" s="10"/>
    </row>
    <row r="72" spans="2:27">
      <c r="B72" s="8" t="s">
        <v>99</v>
      </c>
      <c r="C72" s="94" t="e">
        <f>'Historical Financials'!#REF!</f>
        <v>#REF!</v>
      </c>
      <c r="D72" s="94" t="e">
        <f>'Historical Financials'!#REF!</f>
        <v>#REF!</v>
      </c>
      <c r="E72" s="94" t="e">
        <f>'Historical Financials'!#REF!</f>
        <v>#REF!</v>
      </c>
      <c r="F72" s="94" t="e">
        <f>'Historical Financials'!#REF!</f>
        <v>#REF!</v>
      </c>
      <c r="H72" s="94" t="e">
        <f>'Historical Financials'!#REF!</f>
        <v>#REF!</v>
      </c>
      <c r="I72" s="94" t="e">
        <f>'Historical Financials'!#REF!</f>
        <v>#REF!</v>
      </c>
      <c r="J72" s="94" t="e">
        <f>'Historical Financials'!#REF!</f>
        <v>#REF!</v>
      </c>
      <c r="K72" s="94" t="e">
        <f>'Historical Financials'!#REF!</f>
        <v>#REF!</v>
      </c>
      <c r="L72" s="94" t="e">
        <f>'Historical Financials'!#REF!</f>
        <v>#REF!</v>
      </c>
      <c r="M72" s="94" t="e">
        <f>'Historical Financials'!#REF!</f>
        <v>#REF!</v>
      </c>
      <c r="N72" s="94" t="e">
        <f>'Historical Financials'!#REF!</f>
        <v>#REF!</v>
      </c>
      <c r="O72" s="94" t="e">
        <f>'Historical Financials'!#REF!</f>
        <v>#REF!</v>
      </c>
      <c r="P72" s="94" t="e">
        <f>'Historical Financials'!#REF!</f>
        <v>#REF!</v>
      </c>
      <c r="Q72" s="94" t="e">
        <f>'Historical Financials'!#REF!</f>
        <v>#REF!</v>
      </c>
      <c r="R72" s="94" t="e">
        <f>'Historical Financials'!#REF!</f>
        <v>#REF!</v>
      </c>
      <c r="T72" s="10" t="e">
        <f t="shared" ref="T72:Z73" si="108">K72</f>
        <v>#REF!</v>
      </c>
      <c r="U72" s="10" t="e">
        <f t="shared" si="108"/>
        <v>#REF!</v>
      </c>
      <c r="V72" s="10" t="e">
        <f t="shared" si="108"/>
        <v>#REF!</v>
      </c>
      <c r="W72" s="10" t="e">
        <f t="shared" si="108"/>
        <v>#REF!</v>
      </c>
      <c r="X72" s="10" t="e">
        <f t="shared" si="108"/>
        <v>#REF!</v>
      </c>
      <c r="Y72" s="10" t="e">
        <f t="shared" si="108"/>
        <v>#REF!</v>
      </c>
      <c r="Z72" s="10" t="e">
        <f t="shared" si="108"/>
        <v>#REF!</v>
      </c>
      <c r="AA72" s="10" t="e">
        <f>R72</f>
        <v>#REF!</v>
      </c>
    </row>
    <row r="73" spans="2:27">
      <c r="B73" s="8" t="s">
        <v>100</v>
      </c>
      <c r="C73" s="94">
        <f>'Historical Financials'!E67</f>
        <v>10946</v>
      </c>
      <c r="D73" s="94">
        <f>'Historical Financials'!F67</f>
        <v>9703</v>
      </c>
      <c r="E73" s="94">
        <f>'Historical Financials'!G67</f>
        <v>8459</v>
      </c>
      <c r="F73" s="94">
        <f>'Historical Financials'!H67</f>
        <v>8463</v>
      </c>
      <c r="H73" s="94">
        <f>'Historical Financials'!K67</f>
        <v>9704</v>
      </c>
      <c r="I73" s="94">
        <f>'Historical Financials'!L67</f>
        <v>8456</v>
      </c>
      <c r="J73" s="94">
        <f>'Historical Financials'!M67</f>
        <v>8457</v>
      </c>
      <c r="K73" s="94">
        <f>'Historical Financials'!N67</f>
        <v>8459</v>
      </c>
      <c r="L73" s="94">
        <f>'Historical Financials'!O67</f>
        <v>8460</v>
      </c>
      <c r="M73" s="94">
        <f>'Historical Financials'!P67</f>
        <v>8461</v>
      </c>
      <c r="N73" s="94">
        <f>'Historical Financials'!Q67</f>
        <v>8462</v>
      </c>
      <c r="O73" s="94">
        <f>'Historical Financials'!R67</f>
        <v>8463</v>
      </c>
      <c r="P73" s="94">
        <f>'Historical Financials'!S67</f>
        <v>8464</v>
      </c>
      <c r="Q73" s="94">
        <f>'Historical Financials'!T67</f>
        <v>8466</v>
      </c>
      <c r="R73" s="94">
        <f>'Historical Financials'!U67</f>
        <v>7468</v>
      </c>
      <c r="T73" s="10">
        <f t="shared" si="108"/>
        <v>8459</v>
      </c>
      <c r="U73" s="10">
        <f t="shared" si="108"/>
        <v>8460</v>
      </c>
      <c r="V73" s="10">
        <f t="shared" si="108"/>
        <v>8461</v>
      </c>
      <c r="W73" s="10">
        <f t="shared" si="108"/>
        <v>8462</v>
      </c>
      <c r="X73" s="10">
        <f t="shared" si="108"/>
        <v>8463</v>
      </c>
      <c r="Y73" s="10">
        <f t="shared" si="108"/>
        <v>8464</v>
      </c>
      <c r="Z73" s="10">
        <f t="shared" si="108"/>
        <v>8466</v>
      </c>
      <c r="AA73" s="10">
        <f>R73</f>
        <v>7468</v>
      </c>
    </row>
    <row r="74" spans="2:27">
      <c r="F74" s="10"/>
    </row>
    <row r="75" spans="2:27">
      <c r="B75" s="8" t="s">
        <v>137</v>
      </c>
      <c r="C75" s="81">
        <v>14</v>
      </c>
      <c r="D75" s="81">
        <v>0</v>
      </c>
      <c r="E75" s="81">
        <v>0</v>
      </c>
      <c r="F75" s="81">
        <v>0</v>
      </c>
      <c r="H75" s="81">
        <v>0</v>
      </c>
      <c r="I75" s="81">
        <v>0</v>
      </c>
      <c r="J75" s="81">
        <v>0</v>
      </c>
      <c r="K75" s="10">
        <f>E75</f>
        <v>0</v>
      </c>
      <c r="L75" s="81">
        <v>0</v>
      </c>
      <c r="M75" s="81">
        <v>0</v>
      </c>
      <c r="N75" s="81">
        <v>0</v>
      </c>
      <c r="O75" s="10">
        <f>F75</f>
        <v>0</v>
      </c>
      <c r="P75" s="81">
        <v>0</v>
      </c>
      <c r="Q75" s="81">
        <v>0</v>
      </c>
      <c r="R75" s="81">
        <v>0</v>
      </c>
      <c r="T75" s="10">
        <f t="shared" ref="T75:Z84" si="109">K75</f>
        <v>0</v>
      </c>
      <c r="U75" s="10">
        <f t="shared" si="109"/>
        <v>0</v>
      </c>
      <c r="V75" s="10">
        <f t="shared" si="109"/>
        <v>0</v>
      </c>
      <c r="W75" s="10">
        <f t="shared" si="109"/>
        <v>0</v>
      </c>
      <c r="X75" s="10">
        <f t="shared" si="109"/>
        <v>0</v>
      </c>
      <c r="Y75" s="10">
        <f t="shared" si="109"/>
        <v>0</v>
      </c>
      <c r="Z75" s="10">
        <f t="shared" si="109"/>
        <v>0</v>
      </c>
      <c r="AA75" s="10">
        <f t="shared" ref="AA75:AA84" si="110">R75</f>
        <v>0</v>
      </c>
    </row>
    <row r="76" spans="2:27">
      <c r="B76" s="8" t="s">
        <v>135</v>
      </c>
      <c r="C76" s="81">
        <v>0</v>
      </c>
      <c r="D76" s="81">
        <v>0</v>
      </c>
      <c r="E76" s="81">
        <v>0</v>
      </c>
      <c r="F76" s="81">
        <v>0</v>
      </c>
      <c r="H76" s="81">
        <v>0</v>
      </c>
      <c r="I76" s="81">
        <v>0</v>
      </c>
      <c r="J76" s="81">
        <v>0</v>
      </c>
      <c r="K76" s="10">
        <f>E76</f>
        <v>0</v>
      </c>
      <c r="L76" s="81">
        <v>0</v>
      </c>
      <c r="M76" s="81">
        <v>0</v>
      </c>
      <c r="N76" s="81">
        <v>0</v>
      </c>
      <c r="O76" s="10">
        <f>F76</f>
        <v>0</v>
      </c>
      <c r="P76" s="81">
        <v>950</v>
      </c>
      <c r="Q76" s="81">
        <v>0</v>
      </c>
      <c r="R76" s="81">
        <v>0</v>
      </c>
      <c r="T76" s="10">
        <f t="shared" si="109"/>
        <v>0</v>
      </c>
      <c r="U76" s="10">
        <f t="shared" si="109"/>
        <v>0</v>
      </c>
      <c r="V76" s="10">
        <f t="shared" si="109"/>
        <v>0</v>
      </c>
      <c r="W76" s="10">
        <f t="shared" si="109"/>
        <v>0</v>
      </c>
      <c r="X76" s="10">
        <f t="shared" si="109"/>
        <v>0</v>
      </c>
      <c r="Y76" s="10">
        <f t="shared" si="109"/>
        <v>950</v>
      </c>
      <c r="Z76" s="10">
        <f t="shared" si="109"/>
        <v>0</v>
      </c>
      <c r="AA76" s="10">
        <f t="shared" si="110"/>
        <v>0</v>
      </c>
    </row>
    <row r="77" spans="2:27">
      <c r="B77" s="31" t="s">
        <v>130</v>
      </c>
      <c r="C77" s="81">
        <v>312</v>
      </c>
      <c r="D77" s="81">
        <v>0</v>
      </c>
      <c r="E77" s="81">
        <v>0</v>
      </c>
      <c r="F77" s="81">
        <v>0</v>
      </c>
      <c r="H77" s="81">
        <v>0</v>
      </c>
      <c r="I77" s="81">
        <v>0</v>
      </c>
      <c r="J77" s="81">
        <v>0</v>
      </c>
      <c r="K77" s="10">
        <f>E77</f>
        <v>0</v>
      </c>
      <c r="L77" s="81">
        <v>0</v>
      </c>
      <c r="M77" s="81">
        <v>0</v>
      </c>
      <c r="N77" s="81">
        <v>0</v>
      </c>
      <c r="O77" s="10">
        <f>F77</f>
        <v>0</v>
      </c>
      <c r="P77" s="81">
        <v>0</v>
      </c>
      <c r="Q77" s="81">
        <v>0</v>
      </c>
      <c r="R77" s="81">
        <v>0</v>
      </c>
      <c r="T77" s="10">
        <f t="shared" si="109"/>
        <v>0</v>
      </c>
      <c r="U77" s="10">
        <f t="shared" si="109"/>
        <v>0</v>
      </c>
      <c r="V77" s="10">
        <f t="shared" si="109"/>
        <v>0</v>
      </c>
      <c r="W77" s="10">
        <f t="shared" si="109"/>
        <v>0</v>
      </c>
      <c r="X77" s="10">
        <f t="shared" si="109"/>
        <v>0</v>
      </c>
      <c r="Y77" s="10">
        <f t="shared" si="109"/>
        <v>0</v>
      </c>
      <c r="Z77" s="10">
        <f t="shared" si="109"/>
        <v>0</v>
      </c>
      <c r="AA77" s="10">
        <f t="shared" si="110"/>
        <v>0</v>
      </c>
    </row>
    <row r="78" spans="2:27">
      <c r="B78" s="31" t="s">
        <v>115</v>
      </c>
      <c r="C78" s="81">
        <v>1</v>
      </c>
      <c r="D78" s="81">
        <v>1</v>
      </c>
      <c r="E78" s="81">
        <v>0</v>
      </c>
      <c r="F78" s="81">
        <v>0</v>
      </c>
      <c r="H78" s="81">
        <v>0</v>
      </c>
      <c r="I78" s="81">
        <v>0</v>
      </c>
      <c r="J78" s="81">
        <v>0</v>
      </c>
      <c r="K78" s="10">
        <f>E78</f>
        <v>0</v>
      </c>
      <c r="L78" s="81">
        <v>0</v>
      </c>
      <c r="M78" s="81">
        <v>0</v>
      </c>
      <c r="N78" s="81">
        <v>0</v>
      </c>
      <c r="O78" s="10">
        <f>F78</f>
        <v>0</v>
      </c>
      <c r="P78" s="81">
        <v>0</v>
      </c>
      <c r="Q78" s="81">
        <v>0</v>
      </c>
      <c r="R78" s="81">
        <v>0</v>
      </c>
      <c r="T78" s="10">
        <f t="shared" si="109"/>
        <v>0</v>
      </c>
      <c r="U78" s="10">
        <f t="shared" si="109"/>
        <v>0</v>
      </c>
      <c r="V78" s="10">
        <f t="shared" si="109"/>
        <v>0</v>
      </c>
      <c r="W78" s="10">
        <f t="shared" si="109"/>
        <v>0</v>
      </c>
      <c r="X78" s="10">
        <f t="shared" si="109"/>
        <v>0</v>
      </c>
      <c r="Y78" s="10">
        <f t="shared" si="109"/>
        <v>0</v>
      </c>
      <c r="Z78" s="10">
        <f t="shared" si="109"/>
        <v>0</v>
      </c>
      <c r="AA78" s="10">
        <f t="shared" si="110"/>
        <v>0</v>
      </c>
    </row>
    <row r="79" spans="2:27">
      <c r="B79" s="31" t="s">
        <v>114</v>
      </c>
      <c r="C79" s="81">
        <v>0</v>
      </c>
      <c r="D79" s="81">
        <v>750</v>
      </c>
      <c r="E79" s="81">
        <v>750</v>
      </c>
      <c r="F79" s="81">
        <v>0</v>
      </c>
      <c r="H79" s="81">
        <v>750</v>
      </c>
      <c r="I79" s="81">
        <v>750</v>
      </c>
      <c r="J79" s="81">
        <v>750</v>
      </c>
      <c r="K79" s="10">
        <f>E79</f>
        <v>750</v>
      </c>
      <c r="L79" s="81">
        <v>750</v>
      </c>
      <c r="M79" s="81">
        <v>0</v>
      </c>
      <c r="N79" s="81"/>
      <c r="O79" s="10">
        <f>F79</f>
        <v>0</v>
      </c>
      <c r="P79" s="81">
        <v>0</v>
      </c>
      <c r="Q79" s="81">
        <v>0</v>
      </c>
      <c r="R79" s="81">
        <v>0</v>
      </c>
      <c r="T79" s="10">
        <f t="shared" si="109"/>
        <v>750</v>
      </c>
      <c r="U79" s="10">
        <f t="shared" si="109"/>
        <v>750</v>
      </c>
      <c r="V79" s="10">
        <f t="shared" si="109"/>
        <v>0</v>
      </c>
      <c r="W79" s="10">
        <f t="shared" si="109"/>
        <v>0</v>
      </c>
      <c r="X79" s="10">
        <f t="shared" si="109"/>
        <v>0</v>
      </c>
      <c r="Y79" s="10">
        <f t="shared" si="109"/>
        <v>0</v>
      </c>
      <c r="Z79" s="10">
        <f t="shared" si="109"/>
        <v>0</v>
      </c>
      <c r="AA79" s="10">
        <f t="shared" si="110"/>
        <v>0</v>
      </c>
    </row>
    <row r="80" spans="2:27">
      <c r="B80" s="31" t="s">
        <v>113</v>
      </c>
      <c r="C80" s="81">
        <v>0</v>
      </c>
      <c r="D80" s="81">
        <v>750</v>
      </c>
      <c r="E80" s="81">
        <v>750</v>
      </c>
      <c r="F80" s="81">
        <v>750</v>
      </c>
      <c r="H80" s="81">
        <v>750</v>
      </c>
      <c r="I80" s="81">
        <v>750</v>
      </c>
      <c r="J80" s="81">
        <v>750</v>
      </c>
      <c r="K80" s="10">
        <f t="shared" ref="K80:K82" si="111">E80</f>
        <v>750</v>
      </c>
      <c r="L80" s="81">
        <v>750</v>
      </c>
      <c r="M80" s="81">
        <v>750</v>
      </c>
      <c r="N80" s="81">
        <v>750</v>
      </c>
      <c r="O80" s="10">
        <f t="shared" ref="O80:O82" si="112">F80</f>
        <v>750</v>
      </c>
      <c r="P80" s="81">
        <v>750</v>
      </c>
      <c r="Q80" s="81">
        <v>750</v>
      </c>
      <c r="R80" s="81">
        <v>750</v>
      </c>
      <c r="T80" s="10">
        <f t="shared" si="109"/>
        <v>750</v>
      </c>
      <c r="U80" s="10">
        <f t="shared" si="109"/>
        <v>750</v>
      </c>
      <c r="V80" s="10">
        <f t="shared" si="109"/>
        <v>750</v>
      </c>
      <c r="W80" s="10">
        <f t="shared" si="109"/>
        <v>750</v>
      </c>
      <c r="X80" s="10">
        <f t="shared" si="109"/>
        <v>750</v>
      </c>
      <c r="Y80" s="10">
        <f t="shared" si="109"/>
        <v>750</v>
      </c>
      <c r="Z80" s="10">
        <f t="shared" si="109"/>
        <v>750</v>
      </c>
      <c r="AA80" s="10">
        <f t="shared" si="110"/>
        <v>750</v>
      </c>
    </row>
    <row r="81" spans="1:27">
      <c r="B81" s="31" t="s">
        <v>112</v>
      </c>
      <c r="C81" s="81">
        <v>0</v>
      </c>
      <c r="D81" s="81">
        <v>500</v>
      </c>
      <c r="E81" s="81">
        <v>500</v>
      </c>
      <c r="F81" s="81">
        <v>500</v>
      </c>
      <c r="H81" s="81">
        <v>500</v>
      </c>
      <c r="I81" s="81">
        <v>500</v>
      </c>
      <c r="J81" s="81">
        <v>500</v>
      </c>
      <c r="K81" s="10">
        <f t="shared" si="111"/>
        <v>500</v>
      </c>
      <c r="L81" s="81">
        <v>500</v>
      </c>
      <c r="M81" s="81">
        <v>500</v>
      </c>
      <c r="N81" s="81">
        <v>500</v>
      </c>
      <c r="O81" s="10">
        <f t="shared" si="112"/>
        <v>500</v>
      </c>
      <c r="P81" s="81">
        <v>500</v>
      </c>
      <c r="Q81" s="81">
        <v>500</v>
      </c>
      <c r="R81" s="81">
        <v>500</v>
      </c>
      <c r="T81" s="10">
        <f t="shared" si="109"/>
        <v>500</v>
      </c>
      <c r="U81" s="10">
        <f t="shared" si="109"/>
        <v>500</v>
      </c>
      <c r="V81" s="10">
        <f t="shared" si="109"/>
        <v>500</v>
      </c>
      <c r="W81" s="10">
        <f t="shared" si="109"/>
        <v>500</v>
      </c>
      <c r="X81" s="10">
        <f t="shared" si="109"/>
        <v>500</v>
      </c>
      <c r="Y81" s="10">
        <f t="shared" si="109"/>
        <v>500</v>
      </c>
      <c r="Z81" s="10">
        <f t="shared" si="109"/>
        <v>500</v>
      </c>
      <c r="AA81" s="10">
        <f t="shared" si="110"/>
        <v>500</v>
      </c>
    </row>
    <row r="82" spans="1:27">
      <c r="B82" s="31" t="s">
        <v>111</v>
      </c>
      <c r="C82" s="81">
        <v>0</v>
      </c>
      <c r="D82" s="81">
        <v>500</v>
      </c>
      <c r="E82" s="81">
        <v>500</v>
      </c>
      <c r="F82" s="81">
        <v>500</v>
      </c>
      <c r="H82" s="81">
        <v>500</v>
      </c>
      <c r="I82" s="81">
        <v>500</v>
      </c>
      <c r="J82" s="81">
        <v>500</v>
      </c>
      <c r="K82" s="10">
        <f t="shared" si="111"/>
        <v>500</v>
      </c>
      <c r="L82" s="81">
        <v>500</v>
      </c>
      <c r="M82" s="81">
        <v>500</v>
      </c>
      <c r="N82" s="81">
        <v>500</v>
      </c>
      <c r="O82" s="10">
        <f t="shared" si="112"/>
        <v>500</v>
      </c>
      <c r="P82" s="81">
        <v>500</v>
      </c>
      <c r="Q82" s="81">
        <v>500</v>
      </c>
      <c r="R82" s="81">
        <v>500</v>
      </c>
      <c r="T82" s="10">
        <f t="shared" si="109"/>
        <v>500</v>
      </c>
      <c r="U82" s="10">
        <f t="shared" si="109"/>
        <v>500</v>
      </c>
      <c r="V82" s="10">
        <f t="shared" si="109"/>
        <v>500</v>
      </c>
      <c r="W82" s="10">
        <f t="shared" si="109"/>
        <v>500</v>
      </c>
      <c r="X82" s="10">
        <f t="shared" si="109"/>
        <v>500</v>
      </c>
      <c r="Y82" s="10">
        <f t="shared" si="109"/>
        <v>500</v>
      </c>
      <c r="Z82" s="10">
        <f t="shared" si="109"/>
        <v>500</v>
      </c>
      <c r="AA82" s="10">
        <f t="shared" si="110"/>
        <v>500</v>
      </c>
    </row>
    <row r="83" spans="1:27">
      <c r="B83" s="31" t="s">
        <v>131</v>
      </c>
      <c r="C83" s="81">
        <v>0</v>
      </c>
      <c r="D83" s="81">
        <v>0</v>
      </c>
      <c r="E83" s="81">
        <v>0</v>
      </c>
      <c r="F83" s="81">
        <v>0</v>
      </c>
      <c r="H83" s="81">
        <v>0</v>
      </c>
      <c r="I83" s="81">
        <v>0</v>
      </c>
      <c r="J83" s="81">
        <v>0</v>
      </c>
      <c r="K83" s="10">
        <f>E83</f>
        <v>0</v>
      </c>
      <c r="L83" s="81">
        <v>0</v>
      </c>
      <c r="M83" s="81">
        <v>0</v>
      </c>
      <c r="N83" s="81">
        <v>0</v>
      </c>
      <c r="O83" s="10">
        <f>F83</f>
        <v>0</v>
      </c>
      <c r="P83" s="81">
        <v>875</v>
      </c>
      <c r="Q83" s="81">
        <v>875</v>
      </c>
      <c r="R83" s="81">
        <v>875</v>
      </c>
      <c r="T83" s="10">
        <f t="shared" si="109"/>
        <v>0</v>
      </c>
      <c r="U83" s="10">
        <f t="shared" si="109"/>
        <v>0</v>
      </c>
      <c r="V83" s="10">
        <f t="shared" si="109"/>
        <v>0</v>
      </c>
      <c r="W83" s="10">
        <f t="shared" si="109"/>
        <v>0</v>
      </c>
      <c r="X83" s="10">
        <f t="shared" si="109"/>
        <v>0</v>
      </c>
      <c r="Y83" s="10">
        <f t="shared" si="109"/>
        <v>875</v>
      </c>
      <c r="Z83" s="10">
        <f t="shared" si="109"/>
        <v>875</v>
      </c>
      <c r="AA83" s="10">
        <f t="shared" si="110"/>
        <v>875</v>
      </c>
    </row>
    <row r="84" spans="1:27">
      <c r="B84" s="31" t="s">
        <v>132</v>
      </c>
      <c r="C84" s="81">
        <v>0</v>
      </c>
      <c r="D84" s="81">
        <v>0</v>
      </c>
      <c r="E84" s="81">
        <v>0</v>
      </c>
      <c r="F84" s="81">
        <v>0</v>
      </c>
      <c r="H84" s="81">
        <v>0</v>
      </c>
      <c r="I84" s="81">
        <v>0</v>
      </c>
      <c r="J84" s="81">
        <v>0</v>
      </c>
      <c r="K84" s="10">
        <f>E84</f>
        <v>0</v>
      </c>
      <c r="L84" s="81">
        <v>0</v>
      </c>
      <c r="M84" s="81">
        <v>0</v>
      </c>
      <c r="N84" s="81">
        <v>0</v>
      </c>
      <c r="O84" s="10">
        <f>F84</f>
        <v>0</v>
      </c>
      <c r="P84" s="81">
        <v>625</v>
      </c>
      <c r="Q84" s="81">
        <v>625</v>
      </c>
      <c r="R84" s="81">
        <v>625</v>
      </c>
      <c r="T84" s="10">
        <f t="shared" si="109"/>
        <v>0</v>
      </c>
      <c r="U84" s="10">
        <f t="shared" si="109"/>
        <v>0</v>
      </c>
      <c r="V84" s="10">
        <f t="shared" si="109"/>
        <v>0</v>
      </c>
      <c r="W84" s="10">
        <f t="shared" si="109"/>
        <v>0</v>
      </c>
      <c r="X84" s="10">
        <f t="shared" si="109"/>
        <v>0</v>
      </c>
      <c r="Y84" s="10">
        <f t="shared" si="109"/>
        <v>625</v>
      </c>
      <c r="Z84" s="10">
        <f t="shared" si="109"/>
        <v>625</v>
      </c>
      <c r="AA84" s="10">
        <f t="shared" si="110"/>
        <v>625</v>
      </c>
    </row>
    <row r="85" spans="1:27" ht="12.75" customHeight="1">
      <c r="B85" s="13" t="s">
        <v>21</v>
      </c>
      <c r="C85" s="14">
        <f>SUM(C75:C84)</f>
        <v>327</v>
      </c>
      <c r="D85" s="14">
        <f t="shared" ref="D85:F85" si="113">SUM(D75:D84)</f>
        <v>2501</v>
      </c>
      <c r="E85" s="14">
        <f t="shared" si="113"/>
        <v>2500</v>
      </c>
      <c r="F85" s="14">
        <f t="shared" si="113"/>
        <v>1750</v>
      </c>
      <c r="H85" s="14">
        <f t="shared" ref="H85" si="114">SUM(H75:H84)</f>
        <v>2500</v>
      </c>
      <c r="I85" s="14">
        <f t="shared" ref="I85" si="115">SUM(I75:I84)</f>
        <v>2500</v>
      </c>
      <c r="J85" s="14">
        <f t="shared" ref="J85" si="116">SUM(J75:J84)</f>
        <v>2500</v>
      </c>
      <c r="K85" s="14">
        <f t="shared" ref="K85" si="117">SUM(K75:K84)</f>
        <v>2500</v>
      </c>
      <c r="L85" s="14">
        <f t="shared" ref="L85" si="118">SUM(L75:L84)</f>
        <v>2500</v>
      </c>
      <c r="M85" s="14">
        <f t="shared" ref="M85" si="119">SUM(M75:M84)</f>
        <v>1750</v>
      </c>
      <c r="N85" s="14">
        <f t="shared" ref="N85" si="120">SUM(N75:N84)</f>
        <v>1750</v>
      </c>
      <c r="O85" s="14">
        <f t="shared" ref="O85" si="121">SUM(O75:O84)</f>
        <v>1750</v>
      </c>
      <c r="P85" s="14">
        <f t="shared" ref="P85" si="122">SUM(P75:P84)</f>
        <v>4200</v>
      </c>
      <c r="Q85" s="14">
        <f t="shared" ref="Q85" si="123">SUM(Q75:Q84)</f>
        <v>3250</v>
      </c>
      <c r="R85" s="14">
        <f t="shared" ref="R85" si="124">SUM(R75:R84)</f>
        <v>3250</v>
      </c>
      <c r="T85" s="14">
        <f>SUM(T77:T82)</f>
        <v>2500</v>
      </c>
      <c r="U85" s="14">
        <f>SUM(U77:U82)</f>
        <v>2500</v>
      </c>
      <c r="V85" s="14">
        <f>SUM(V77:V82)</f>
        <v>1750</v>
      </c>
      <c r="W85" s="14">
        <f t="shared" ref="W85" si="125">SUM(W75:W84)</f>
        <v>1750</v>
      </c>
      <c r="X85" s="14">
        <f t="shared" ref="X85" si="126">SUM(X75:X84)</f>
        <v>1750</v>
      </c>
      <c r="Y85" s="14">
        <f t="shared" ref="Y85" si="127">SUM(Y75:Y84)</f>
        <v>4200</v>
      </c>
      <c r="Z85" s="14">
        <f t="shared" ref="Z85" si="128">SUM(Z75:Z84)</f>
        <v>3250</v>
      </c>
      <c r="AA85" s="14">
        <f t="shared" ref="AA85" si="129">SUM(AA75:AA84)</f>
        <v>3250</v>
      </c>
    </row>
    <row r="86" spans="1:27" ht="5.0999999999999996" customHeight="1"/>
    <row r="87" spans="1:27" ht="12.75" customHeight="1">
      <c r="B87" s="8" t="s">
        <v>46</v>
      </c>
      <c r="C87" s="94">
        <f>'Historical Financials'!E76</f>
        <v>22101</v>
      </c>
      <c r="D87" s="94">
        <f>'Historical Financials'!F76</f>
        <v>22101</v>
      </c>
      <c r="E87" s="94">
        <f>'Historical Financials'!G76</f>
        <v>42978</v>
      </c>
      <c r="F87" s="94">
        <f>'Historical Financials'!H76</f>
        <v>79327</v>
      </c>
      <c r="H87" s="94">
        <f>'Historical Financials'!K76</f>
        <v>24520</v>
      </c>
      <c r="I87" s="94">
        <f>'Historical Financials'!L76</f>
        <v>24501</v>
      </c>
      <c r="J87" s="94">
        <f>'Historical Financials'!M76</f>
        <v>33265</v>
      </c>
      <c r="K87" s="94">
        <f>'Historical Financials'!N76</f>
        <v>42978</v>
      </c>
      <c r="L87" s="94">
        <f>'Historical Financials'!O76</f>
        <v>49142</v>
      </c>
      <c r="M87" s="94">
        <f>'Historical Financials'!P76</f>
        <v>58157</v>
      </c>
      <c r="N87" s="94">
        <f>'Historical Financials'!Q76</f>
        <v>65899</v>
      </c>
      <c r="O87" s="94">
        <f>'Historical Financials'!R76</f>
        <v>79327</v>
      </c>
      <c r="P87" s="94">
        <f>'Historical Financials'!S76</f>
        <v>83843</v>
      </c>
      <c r="Q87" s="94">
        <f>'Historical Financials'!T76</f>
        <v>100131</v>
      </c>
      <c r="R87" s="94">
        <f>'Historical Financials'!U76</f>
        <v>118897</v>
      </c>
      <c r="T87" s="10">
        <f t="shared" ref="T87:AA87" si="130">K87</f>
        <v>42978</v>
      </c>
      <c r="U87" s="10">
        <f t="shared" si="130"/>
        <v>49142</v>
      </c>
      <c r="V87" s="10">
        <f t="shared" si="130"/>
        <v>58157</v>
      </c>
      <c r="W87" s="142">
        <f t="shared" si="130"/>
        <v>65899</v>
      </c>
      <c r="X87" s="142">
        <f t="shared" si="130"/>
        <v>79327</v>
      </c>
      <c r="Y87" s="142">
        <f t="shared" si="130"/>
        <v>83843</v>
      </c>
      <c r="Z87" s="142">
        <f t="shared" si="130"/>
        <v>100131</v>
      </c>
      <c r="AA87" s="142">
        <f t="shared" si="130"/>
        <v>118897</v>
      </c>
    </row>
    <row r="88" spans="1:27" ht="12.75" customHeight="1">
      <c r="B88" s="13" t="s">
        <v>47</v>
      </c>
      <c r="C88" s="14">
        <f>SUM(C85:C87)</f>
        <v>22428</v>
      </c>
      <c r="D88" s="14">
        <f>SUM(D85:D87)</f>
        <v>24602</v>
      </c>
      <c r="E88" s="14">
        <f>SUM(E85:E87)</f>
        <v>45478</v>
      </c>
      <c r="F88" s="14">
        <f>SUM(F85:F87)</f>
        <v>81077</v>
      </c>
      <c r="H88" s="14">
        <f t="shared" ref="H88:M88" si="131">SUM(H85:H87)</f>
        <v>27020</v>
      </c>
      <c r="I88" s="14">
        <f t="shared" si="131"/>
        <v>27001</v>
      </c>
      <c r="J88" s="14">
        <f t="shared" si="131"/>
        <v>35765</v>
      </c>
      <c r="K88" s="14">
        <f t="shared" si="131"/>
        <v>45478</v>
      </c>
      <c r="L88" s="14">
        <f t="shared" si="131"/>
        <v>51642</v>
      </c>
      <c r="M88" s="14">
        <f t="shared" si="131"/>
        <v>59907</v>
      </c>
      <c r="N88" s="14">
        <f>SUM(N85:N87)</f>
        <v>67649</v>
      </c>
      <c r="O88" s="14">
        <f>SUM(O85:O87)</f>
        <v>81077</v>
      </c>
      <c r="P88" s="14">
        <f>SUM(P85:P87)</f>
        <v>88043</v>
      </c>
      <c r="Q88" s="14">
        <f>SUM(Q85:Q87)</f>
        <v>103381</v>
      </c>
      <c r="R88" s="14">
        <f>SUM(R85:R87)</f>
        <v>122147</v>
      </c>
      <c r="T88" s="14">
        <f t="shared" ref="T88:Y88" si="132">SUM(T85:T87)</f>
        <v>45478</v>
      </c>
      <c r="U88" s="14">
        <f t="shared" si="132"/>
        <v>51642</v>
      </c>
      <c r="V88" s="14">
        <f t="shared" si="132"/>
        <v>59907</v>
      </c>
      <c r="W88" s="14">
        <f t="shared" si="132"/>
        <v>67649</v>
      </c>
      <c r="X88" s="14">
        <f t="shared" si="132"/>
        <v>81077</v>
      </c>
      <c r="Y88" s="14">
        <f t="shared" si="132"/>
        <v>88043</v>
      </c>
      <c r="Z88" s="14">
        <f>SUM(Z85:Z87)</f>
        <v>103381</v>
      </c>
      <c r="AA88" s="14">
        <f>SUM(AA85:AA87)</f>
        <v>122147</v>
      </c>
    </row>
    <row r="89" spans="1:27" ht="5.0999999999999996" customHeight="1"/>
    <row r="90" spans="1:27" ht="12.75" customHeight="1">
      <c r="A90" s="5"/>
      <c r="B90" s="33" t="s">
        <v>67</v>
      </c>
      <c r="C90" s="33"/>
      <c r="D90" s="33"/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</row>
    <row r="91" spans="1:27" ht="5.0999999999999996" customHeight="1"/>
    <row r="92" spans="1:27" ht="12.75" customHeight="1">
      <c r="B92" s="31" t="s">
        <v>87</v>
      </c>
      <c r="C92" s="83" t="e">
        <f>C85/C35</f>
        <v>#REF!</v>
      </c>
      <c r="D92" s="83" t="e">
        <f>D85/D35</f>
        <v>#REF!</v>
      </c>
      <c r="E92" s="83" t="e">
        <f>E85/E35</f>
        <v>#REF!</v>
      </c>
      <c r="F92" s="83" t="e">
        <f>F85/F35</f>
        <v>#REF!</v>
      </c>
      <c r="H92" s="83" t="e">
        <f>SUM(H85/SUM(H35:H35))</f>
        <v>#REF!</v>
      </c>
      <c r="I92" s="83" t="e">
        <f>SUM(I85/SUM(H35:I35))</f>
        <v>#REF!</v>
      </c>
      <c r="J92" s="83" t="e">
        <f>SUM(J85/SUM(H35:J35))</f>
        <v>#REF!</v>
      </c>
      <c r="K92" s="83" t="e">
        <f t="shared" ref="K92:R92" si="133">SUM(K85/SUM(H35:K35))</f>
        <v>#REF!</v>
      </c>
      <c r="L92" s="83" t="e">
        <f t="shared" si="133"/>
        <v>#REF!</v>
      </c>
      <c r="M92" s="83" t="e">
        <f t="shared" si="133"/>
        <v>#REF!</v>
      </c>
      <c r="N92" s="83" t="e">
        <f t="shared" si="133"/>
        <v>#REF!</v>
      </c>
      <c r="O92" s="83" t="e">
        <f t="shared" si="133"/>
        <v>#REF!</v>
      </c>
      <c r="P92" s="83" t="e">
        <f t="shared" si="133"/>
        <v>#REF!</v>
      </c>
      <c r="Q92" s="83" t="e">
        <f t="shared" si="133"/>
        <v>#REF!</v>
      </c>
      <c r="R92" s="83" t="e">
        <f t="shared" si="133"/>
        <v>#REF!</v>
      </c>
      <c r="S92" s="83"/>
      <c r="T92" s="83" t="e">
        <f t="shared" ref="T92:AA92" si="134">T85/T35</f>
        <v>#REF!</v>
      </c>
      <c r="U92" s="83" t="e">
        <f t="shared" si="134"/>
        <v>#REF!</v>
      </c>
      <c r="V92" s="83" t="e">
        <f t="shared" si="134"/>
        <v>#REF!</v>
      </c>
      <c r="W92" s="83" t="e">
        <f t="shared" si="134"/>
        <v>#REF!</v>
      </c>
      <c r="X92" s="83" t="e">
        <f t="shared" si="134"/>
        <v>#REF!</v>
      </c>
      <c r="Y92" s="83" t="e">
        <f t="shared" si="134"/>
        <v>#REF!</v>
      </c>
      <c r="Z92" s="83" t="e">
        <f t="shared" si="134"/>
        <v>#REF!</v>
      </c>
      <c r="AA92" s="83" t="e">
        <f t="shared" si="134"/>
        <v>#REF!</v>
      </c>
    </row>
    <row r="93" spans="1:27" ht="12.75" customHeight="1">
      <c r="B93" s="31" t="s">
        <v>88</v>
      </c>
      <c r="C93" s="83" t="e">
        <f>SUM(C85-C55)/C35</f>
        <v>#REF!</v>
      </c>
      <c r="D93" s="83" t="e">
        <f>SUM(D85-D55)/D35</f>
        <v>#REF!</v>
      </c>
      <c r="E93" s="83" t="e">
        <f>SUM(E85-E55)/E35</f>
        <v>#REF!</v>
      </c>
      <c r="F93" s="83" t="e">
        <f>SUM(F85-F55)/F35</f>
        <v>#REF!</v>
      </c>
      <c r="H93" s="83" t="e">
        <f>SUM(H85-H55)/SUM(H35:H35)</f>
        <v>#REF!</v>
      </c>
      <c r="I93" s="83" t="e">
        <f>SUM(I85-I55)/SUM(H35:I35)</f>
        <v>#REF!</v>
      </c>
      <c r="J93" s="83" t="e">
        <f>SUM(J85-J55)/SUM(H35:J35)</f>
        <v>#REF!</v>
      </c>
      <c r="K93" s="83" t="e">
        <f t="shared" ref="K93:R93" si="135">SUM(K85-K55)/SUM(H35:K35)</f>
        <v>#REF!</v>
      </c>
      <c r="L93" s="83" t="e">
        <f t="shared" si="135"/>
        <v>#REF!</v>
      </c>
      <c r="M93" s="83" t="e">
        <f t="shared" si="135"/>
        <v>#REF!</v>
      </c>
      <c r="N93" s="83" t="e">
        <f t="shared" si="135"/>
        <v>#REF!</v>
      </c>
      <c r="O93" s="83" t="e">
        <f t="shared" si="135"/>
        <v>#REF!</v>
      </c>
      <c r="P93" s="83" t="e">
        <f t="shared" si="135"/>
        <v>#REF!</v>
      </c>
      <c r="Q93" s="83" t="e">
        <f t="shared" si="135"/>
        <v>#REF!</v>
      </c>
      <c r="R93" s="83" t="e">
        <f t="shared" si="135"/>
        <v>#REF!</v>
      </c>
      <c r="S93" s="83"/>
      <c r="T93" s="83" t="e">
        <f t="shared" ref="T93:AA93" si="136">SUM(T85-T55)/T35</f>
        <v>#REF!</v>
      </c>
      <c r="U93" s="83" t="e">
        <f t="shared" si="136"/>
        <v>#REF!</v>
      </c>
      <c r="V93" s="83" t="e">
        <f t="shared" si="136"/>
        <v>#REF!</v>
      </c>
      <c r="W93" s="83" t="e">
        <f t="shared" si="136"/>
        <v>#REF!</v>
      </c>
      <c r="X93" s="83" t="e">
        <f t="shared" si="136"/>
        <v>#REF!</v>
      </c>
      <c r="Y93" s="83" t="e">
        <f t="shared" si="136"/>
        <v>#REF!</v>
      </c>
      <c r="Z93" s="83" t="e">
        <f t="shared" si="136"/>
        <v>#REF!</v>
      </c>
      <c r="AA93" s="83" t="e">
        <f t="shared" si="136"/>
        <v>#REF!</v>
      </c>
    </row>
    <row r="94" spans="1:27" ht="12.75" customHeight="1">
      <c r="B94" s="31" t="s">
        <v>89</v>
      </c>
      <c r="C94" s="83" t="e">
        <f>C35/-C40</f>
        <v>#REF!</v>
      </c>
      <c r="D94" s="83" t="e">
        <f>D35/-D40</f>
        <v>#REF!</v>
      </c>
      <c r="E94" s="83" t="e">
        <f>E35/-E40</f>
        <v>#REF!</v>
      </c>
      <c r="F94" s="83" t="e">
        <f>F35/-F40</f>
        <v>#REF!</v>
      </c>
      <c r="H94" s="83" t="e" cm="1">
        <f t="array" ref="H94">SUM(H35:H35)/SUM(-H40:H40)</f>
        <v>#REF!</v>
      </c>
      <c r="I94" s="83" t="e" cm="1">
        <f t="array" ref="I94">SUM(H35:I35)/SUM(-H40:I40)</f>
        <v>#REF!</v>
      </c>
      <c r="J94" s="83" t="e" cm="1">
        <f t="array" ref="J94">SUM(H35:J35)/SUM(-H40:J40)</f>
        <v>#REF!</v>
      </c>
      <c r="K94" s="83" t="e" cm="1">
        <f t="array" ref="K94">SUM(H35:K35)/SUM(-H40:K40)</f>
        <v>#REF!</v>
      </c>
      <c r="L94" s="83" t="e" cm="1">
        <f t="array" ref="L94">SUM(I35:L35)/SUM(-I40:L40)</f>
        <v>#REF!</v>
      </c>
      <c r="M94" s="83" t="e" cm="1">
        <f t="array" ref="M94">SUM(J35:M35)/SUM(-J40:M40)</f>
        <v>#REF!</v>
      </c>
      <c r="N94" s="83" t="e" cm="1">
        <f t="array" ref="N94">SUM(K35:N35)/SUM(-K40:N40)</f>
        <v>#REF!</v>
      </c>
      <c r="O94" s="83" t="e" cm="1">
        <f t="array" ref="O94">SUM(L35:O35)/SUM(-L40:O40)</f>
        <v>#REF!</v>
      </c>
      <c r="P94" s="83" t="e" cm="1">
        <f t="array" ref="P94">SUM(M35:P35)/SUM(-M40:P40)</f>
        <v>#REF!</v>
      </c>
      <c r="Q94" s="83" t="e" cm="1">
        <f t="array" ref="Q94">SUM(N35:Q35)/SUM(-N40:Q40)</f>
        <v>#REF!</v>
      </c>
      <c r="R94" s="83" t="e" cm="1">
        <f t="array" ref="R94">SUM(O35:R35)/SUM(-O40:R40)</f>
        <v>#REF!</v>
      </c>
      <c r="S94" s="83"/>
      <c r="T94" s="83" t="e">
        <f t="shared" ref="T94:AA94" si="137">T35/-T40</f>
        <v>#REF!</v>
      </c>
      <c r="U94" s="83" t="e">
        <f t="shared" si="137"/>
        <v>#REF!</v>
      </c>
      <c r="V94" s="83" t="e">
        <f t="shared" si="137"/>
        <v>#REF!</v>
      </c>
      <c r="W94" s="83" t="e">
        <f t="shared" si="137"/>
        <v>#REF!</v>
      </c>
      <c r="X94" s="83" t="e">
        <f t="shared" si="137"/>
        <v>#REF!</v>
      </c>
      <c r="Y94" s="83" t="e">
        <f t="shared" si="137"/>
        <v>#REF!</v>
      </c>
      <c r="Z94" s="83" t="e">
        <f t="shared" si="137"/>
        <v>#REF!</v>
      </c>
      <c r="AA94" s="83" t="e">
        <f t="shared" si="137"/>
        <v>#REF!</v>
      </c>
    </row>
    <row r="95" spans="1:27" ht="12.75" customHeight="1">
      <c r="B95" s="31" t="s">
        <v>90</v>
      </c>
      <c r="C95" s="83" t="e" cm="1">
        <f t="array" ref="C95">SUM(C35+C38)/SUM(-C39:C40)</f>
        <v>#REF!</v>
      </c>
      <c r="D95" s="83" t="e" cm="1">
        <f t="array" ref="D95">SUM(D35+D38)/SUM(-D39:D40)</f>
        <v>#REF!</v>
      </c>
      <c r="E95" s="83" t="e" cm="1">
        <f t="array" ref="E95">SUM(E35+E38)/SUM(-E39:E40)</f>
        <v>#REF!</v>
      </c>
      <c r="F95" s="83" t="e" cm="1">
        <f t="array" ref="F95">SUM(F35+F38)/SUM(-F39:F40)</f>
        <v>#REF!</v>
      </c>
      <c r="H95" s="83" t="e" cm="1">
        <f t="array" ref="H95">SUM(H35:H35+H38:H38)/SUM(-H39:H40)</f>
        <v>#REF!</v>
      </c>
      <c r="I95" s="83" t="e" cm="1">
        <f t="array" ref="I95">SUM(H35:I35+H38:I38)/SUM(-H39:I40)</f>
        <v>#REF!</v>
      </c>
      <c r="J95" s="83" t="e" cm="1">
        <f t="array" ref="J95">SUM(H35:J35+H38:J38)/SUM(-H39:J40)</f>
        <v>#REF!</v>
      </c>
      <c r="K95" s="83" t="e" cm="1">
        <f t="array" ref="K95">SUM(H35:K35+H38:K38)/SUM(-H39:K40)</f>
        <v>#REF!</v>
      </c>
      <c r="L95" s="83" t="e" cm="1">
        <f t="array" ref="L95">SUM(I35:L35+I38:L38)/SUM(-I39:L40)</f>
        <v>#REF!</v>
      </c>
      <c r="M95" s="83" t="e" cm="1">
        <f t="array" ref="M95">SUM(J35:M35+J38:M38)/SUM(-J39:M40)</f>
        <v>#REF!</v>
      </c>
      <c r="N95" s="83" t="e" cm="1">
        <f t="array" ref="N95">SUM(K35:N35+K38:N38)/SUM(-K39:N40)</f>
        <v>#REF!</v>
      </c>
      <c r="O95" s="83" t="e" cm="1">
        <f t="array" ref="O95">SUM(L35:O35+L38:O38)/SUM(-L39:O40)</f>
        <v>#REF!</v>
      </c>
      <c r="P95" s="83" t="e" cm="1">
        <f t="array" ref="P95">SUM(M35:P35+M38:P38)/SUM(-M39:P40)</f>
        <v>#REF!</v>
      </c>
      <c r="Q95" s="83" t="e" cm="1">
        <f t="array" ref="Q95">SUM(N35:Q35+N38:Q38)/SUM(-N39:Q40)</f>
        <v>#REF!</v>
      </c>
      <c r="R95" s="83" t="e" cm="1">
        <f t="array" ref="R95">SUM(O35:R35+O38:R38)/SUM(-O39:R40)</f>
        <v>#REF!</v>
      </c>
      <c r="S95" s="83"/>
      <c r="T95" s="83" t="e" cm="1">
        <f t="array" ref="T95">SUM(T35+T38)/SUM(-T39:T40)</f>
        <v>#REF!</v>
      </c>
      <c r="U95" s="83" t="e" cm="1">
        <f t="array" ref="U95">SUM(U35+U38)/SUM(-U39:U40)</f>
        <v>#REF!</v>
      </c>
      <c r="V95" s="83" t="e" cm="1">
        <f t="array" ref="V95">SUM(V35+V38)/SUM(-V39:V40)</f>
        <v>#REF!</v>
      </c>
      <c r="W95" s="83" t="e" cm="1">
        <f t="array" ref="W95">SUM(W35+W38)/SUM(-W39:W40)</f>
        <v>#REF!</v>
      </c>
      <c r="X95" s="83" t="e" cm="1">
        <f t="array" ref="X95">SUM(X35+X38)/SUM(-X39:X40)</f>
        <v>#REF!</v>
      </c>
      <c r="Y95" s="83" t="e" cm="1">
        <f t="array" ref="Y95">SUM(Y35+Y38)/SUM(-Y39:Y40)</f>
        <v>#REF!</v>
      </c>
      <c r="Z95" s="83" t="e" cm="1">
        <f t="array" ref="Z95">SUM(Z35+Z38)/SUM(-Z39:Z40)</f>
        <v>#REF!</v>
      </c>
      <c r="AA95" s="83" t="e" cm="1">
        <f t="array" ref="AA95">SUM(AA35+AA38)/SUM(-AA39:AA40)</f>
        <v>#REF!</v>
      </c>
    </row>
    <row r="96" spans="1:27" ht="12.75" customHeight="1">
      <c r="B96" s="31" t="s">
        <v>91</v>
      </c>
      <c r="C96" s="83" t="e" cm="1">
        <f t="array" ref="C96">SUM(C35)/SUM(-C38:C40)</f>
        <v>#REF!</v>
      </c>
      <c r="D96" s="83" t="e" cm="1">
        <f t="array" ref="D96">SUM(D35)/SUM(-D38:D40)</f>
        <v>#REF!</v>
      </c>
      <c r="E96" s="83" t="e" cm="1">
        <f t="array" ref="E96">SUM(E35)/SUM(-E38:E40)</f>
        <v>#REF!</v>
      </c>
      <c r="F96" s="83" t="e" cm="1">
        <f t="array" ref="F96">SUM(F35)/SUM(-F38:F40)</f>
        <v>#REF!</v>
      </c>
      <c r="H96" s="83" t="e" cm="1">
        <f t="array" ref="H96">SUM(H35:H35)/SUM(-H38:H40)</f>
        <v>#REF!</v>
      </c>
      <c r="I96" s="83" t="e" cm="1">
        <f t="array" ref="I96">SUM(H35:I35)/SUM(-H38:I40)</f>
        <v>#REF!</v>
      </c>
      <c r="J96" s="83" t="e" cm="1">
        <f t="array" ref="J96">SUM(H35:J35)/SUM(-H38:J40)</f>
        <v>#REF!</v>
      </c>
      <c r="K96" s="83" t="e" cm="1">
        <f t="array" ref="K96">SUM(H35:K35)/SUM(-H38:K40)</f>
        <v>#REF!</v>
      </c>
      <c r="L96" s="83" t="e" cm="1">
        <f t="array" ref="L96">SUM(I35:L35)/SUM(-I38:L40)</f>
        <v>#REF!</v>
      </c>
      <c r="M96" s="83" t="e" cm="1">
        <f t="array" ref="M96">SUM(J35:M35)/SUM(-J38:M40)</f>
        <v>#REF!</v>
      </c>
      <c r="N96" s="83" t="e" cm="1">
        <f t="array" ref="N96">SUM(K35:N35)/SUM(-K38:N40)</f>
        <v>#REF!</v>
      </c>
      <c r="O96" s="83" t="e" cm="1">
        <f t="array" ref="O96">SUM(L35:O35)/SUM(-L38:O40)</f>
        <v>#REF!</v>
      </c>
      <c r="P96" s="83" t="e" cm="1">
        <f t="array" ref="P96">SUM(M35:P35)/SUM(-M38:P40)</f>
        <v>#REF!</v>
      </c>
      <c r="Q96" s="83" t="e" cm="1">
        <f t="array" ref="Q96">SUM(N35:Q35)/SUM(-N38:Q40)</f>
        <v>#REF!</v>
      </c>
      <c r="R96" s="83" t="e" cm="1">
        <f t="array" ref="R96">SUM(O35:R35)/SUM(-O38:R40)</f>
        <v>#REF!</v>
      </c>
      <c r="S96" s="83"/>
      <c r="T96" s="83" t="e" cm="1">
        <f t="array" ref="T96">SUM(T35)/SUM(-T38:T40)</f>
        <v>#REF!</v>
      </c>
      <c r="U96" s="83" t="e" cm="1">
        <f t="array" ref="U96">SUM(U35)/SUM(-U38:U40)</f>
        <v>#REF!</v>
      </c>
      <c r="V96" s="83" t="e" cm="1">
        <f t="array" ref="V96">SUM(V35)/SUM(-V38:V40)</f>
        <v>#REF!</v>
      </c>
      <c r="W96" s="83" t="e" cm="1">
        <f t="array" ref="W96">SUM(W35)/SUM(-W38:W40)</f>
        <v>#REF!</v>
      </c>
      <c r="X96" s="83" t="e" cm="1">
        <f t="array" ref="X96">SUM(X35)/SUM(-X38:X40)</f>
        <v>#REF!</v>
      </c>
      <c r="Y96" s="83" t="e" cm="1">
        <f t="array" ref="Y96">SUM(Y35)/SUM(-Y38:Y40)</f>
        <v>#REF!</v>
      </c>
      <c r="Z96" s="83" t="e" cm="1">
        <f t="array" ref="Z96">SUM(Z35)/SUM(-Z38:Z40)</f>
        <v>#REF!</v>
      </c>
      <c r="AA96" s="83" t="e" cm="1">
        <f t="array" ref="AA96">SUM(AA35)/SUM(-AA38:AA40)</f>
        <v>#REF!</v>
      </c>
    </row>
    <row r="97" spans="2:27" ht="12.75" customHeight="1">
      <c r="B97" s="8" t="s">
        <v>48</v>
      </c>
      <c r="C97" s="83">
        <f>C88/C85</f>
        <v>68.587155963302749</v>
      </c>
      <c r="D97" s="83">
        <f>D88/D85</f>
        <v>9.8368652538984414</v>
      </c>
      <c r="E97" s="83">
        <f>E88/E85</f>
        <v>18.191199999999998</v>
      </c>
      <c r="F97" s="83">
        <f>F88/F85</f>
        <v>46.329714285714289</v>
      </c>
      <c r="H97" s="83">
        <f t="shared" ref="H97:Q97" si="138">H88/H85</f>
        <v>10.808</v>
      </c>
      <c r="I97" s="83">
        <f t="shared" si="138"/>
        <v>10.8004</v>
      </c>
      <c r="J97" s="83">
        <f t="shared" si="138"/>
        <v>14.305999999999999</v>
      </c>
      <c r="K97" s="83">
        <f t="shared" si="138"/>
        <v>18.191199999999998</v>
      </c>
      <c r="L97" s="83">
        <f t="shared" si="138"/>
        <v>20.6568</v>
      </c>
      <c r="M97" s="83">
        <f t="shared" si="138"/>
        <v>34.232571428571426</v>
      </c>
      <c r="N97" s="83">
        <f t="shared" si="138"/>
        <v>38.656571428571425</v>
      </c>
      <c r="O97" s="83">
        <f t="shared" si="138"/>
        <v>46.329714285714289</v>
      </c>
      <c r="P97" s="83">
        <f t="shared" si="138"/>
        <v>20.962619047619047</v>
      </c>
      <c r="Q97" s="83">
        <f t="shared" si="138"/>
        <v>31.809538461538462</v>
      </c>
      <c r="R97" s="83">
        <f>R88/R85</f>
        <v>37.58369230769231</v>
      </c>
      <c r="S97" s="83"/>
      <c r="T97" s="83">
        <f t="shared" ref="T97:Y97" si="139">T88/T85</f>
        <v>18.191199999999998</v>
      </c>
      <c r="U97" s="83">
        <f t="shared" si="139"/>
        <v>20.6568</v>
      </c>
      <c r="V97" s="83">
        <f t="shared" si="139"/>
        <v>34.232571428571426</v>
      </c>
      <c r="W97" s="83">
        <f t="shared" si="139"/>
        <v>38.656571428571425</v>
      </c>
      <c r="X97" s="83">
        <f t="shared" si="139"/>
        <v>46.329714285714289</v>
      </c>
      <c r="Y97" s="83">
        <f t="shared" si="139"/>
        <v>20.962619047619047</v>
      </c>
      <c r="Z97" s="83">
        <f>Z88/Z85</f>
        <v>31.809538461538462</v>
      </c>
      <c r="AA97" s="83">
        <f>AA88/AA85</f>
        <v>37.58369230769231</v>
      </c>
    </row>
    <row r="98" spans="2:27" ht="5.0999999999999996" customHeight="1" thickBot="1">
      <c r="B98" s="37"/>
      <c r="C98" s="37"/>
      <c r="D98" s="37"/>
      <c r="E98" s="37"/>
      <c r="F98" s="37"/>
      <c r="G98" s="37"/>
      <c r="H98" s="37"/>
      <c r="I98" s="37"/>
      <c r="J98" s="37"/>
      <c r="K98" s="37"/>
      <c r="L98" s="37"/>
      <c r="M98" s="37"/>
      <c r="N98" s="37"/>
      <c r="O98" s="37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  <c r="AA98" s="37"/>
    </row>
  </sheetData>
  <mergeCells count="1">
    <mergeCell ref="AC2:AC4"/>
  </mergeCells>
  <dataValidations disablePrompts="1" count="1">
    <dataValidation type="list" allowBlank="1" showInputMessage="1" showErrorMessage="1" sqref="B4" xr:uid="{060857CB-86CD-4220-87C0-9A83C6E53284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C42:G43 AB43:AC43 G38:G40 G45 AB45:AC45 AB41 AB42 G41 AB44:AC44 G44 H42:Q43" formulaRange="1"/>
    <ignoredError sqref="C12:G13 G24 G27 S27 G32 AC35:AC42 S32 AC10:AC13 G16 AC24:AC27 G29 AC16:AC18 S19 G19 C93:S97 H13:S13 C25:S26 C17:S18 C30:S31 C36:S36 D11:G11 I12:S12 L11:S11 S21 G21 AC29:AC31 G35 T92:AA97 T13:AA13 T25:AA26 T17:AA18 T30:AA31 T36:AA36 T12:AA12 X11:AA11 C92:Q92 S92" evalError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itus xmlns="http://schemas.titus.com/TitusProperties/">
  <TitusGUID xmlns="">b07cb572-0833-4348-88b4-a0fa7ea20e4a</TitusGUID>
  <TitusMetadata xmlns="">eyJucyI6Imh0dHA6XC9cL3d3dy50aXR1cy5jb21cL25zXC9CYW5rIG9mIEFtZXJpY2EiLCJwcm9wcyI6W3sibiI6IkNsYXNzaWZpY2F0aW9uIiwidmFscyI6W3sidmFsdWUiOiJVbmNsYXNzaWZpZWQifV19LHsibiI6IkF1ZGllbmNlIiwidmFscyI6W119LHsibiI6IkNvbmZpZGVudGlhbFR5cGUiLCJ2YWxzIjpbXX1dfQ==</TitusMetadata>
</titus>
</file>

<file path=customXml/itemProps1.xml><?xml version="1.0" encoding="utf-8"?>
<ds:datastoreItem xmlns:ds="http://schemas.openxmlformats.org/officeDocument/2006/customXml" ds:itemID="{AC203626-EEC5-451D-B6D3-0C3E06066648}">
  <ds:schemaRefs>
    <ds:schemaRef ds:uri="http://schemas.titus.com/TitusProperties/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Historical Financials</vt:lpstr>
      <vt:lpstr>Revenue Drivers</vt:lpstr>
      <vt:lpstr>FCF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Garcia</dc:creator>
  <cp:lastModifiedBy>Felix Garcia</cp:lastModifiedBy>
  <dcterms:created xsi:type="dcterms:W3CDTF">2024-08-10T06:01:52Z</dcterms:created>
  <dcterms:modified xsi:type="dcterms:W3CDTF">2025-12-25T20:53:35Z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b07cb572-0833-4348-88b4-a0fa7ea20e4a</vt:lpwstr>
  </property>
  <property fmtid="{D5CDD505-2E9C-101B-9397-08002B2CF9AE}" pid="3" name="Classification">
    <vt:lpwstr>Unclassified</vt:lpwstr>
  </property>
  <property fmtid="{D5CDD505-2E9C-101B-9397-08002B2CF9AE}" pid="4" name="BAC">
    <vt:lpwstr>B!bac@C</vt:lpwstr>
  </property>
</Properties>
</file>