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4EC79F5E-23E8-4EFE-8BAE-4940A4B40964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1" i="9" l="1"/>
  <c r="Z51" i="9"/>
  <c r="Y51" i="9"/>
  <c r="X51" i="9"/>
  <c r="W51" i="9"/>
  <c r="V51" i="9"/>
  <c r="U51" i="9"/>
  <c r="T51" i="9"/>
  <c r="AA42" i="9"/>
  <c r="Z42" i="9"/>
  <c r="Y42" i="9"/>
  <c r="X42" i="9"/>
  <c r="W42" i="9"/>
  <c r="V42" i="9"/>
  <c r="U42" i="9"/>
  <c r="T42" i="9"/>
  <c r="AA35" i="9"/>
  <c r="Z35" i="9"/>
  <c r="Y35" i="9"/>
  <c r="X35" i="9"/>
  <c r="W35" i="9"/>
  <c r="V35" i="9"/>
  <c r="U35" i="9"/>
  <c r="T35" i="9"/>
  <c r="AA29" i="9"/>
  <c r="Z29" i="9"/>
  <c r="Y29" i="9"/>
  <c r="X29" i="9"/>
  <c r="W29" i="9"/>
  <c r="V29" i="9"/>
  <c r="U29" i="9"/>
  <c r="T29" i="9"/>
  <c r="AA24" i="9"/>
  <c r="Z24" i="9"/>
  <c r="Y24" i="9"/>
  <c r="X24" i="9"/>
  <c r="W24" i="9"/>
  <c r="V24" i="9"/>
  <c r="U24" i="9"/>
  <c r="T24" i="9"/>
  <c r="AA16" i="9"/>
  <c r="Z16" i="9"/>
  <c r="Y16" i="9"/>
  <c r="X16" i="9"/>
  <c r="W16" i="9"/>
  <c r="V16" i="9"/>
  <c r="U16" i="9"/>
  <c r="T16" i="9"/>
  <c r="AA10" i="9"/>
  <c r="Z10" i="9"/>
  <c r="Y10" i="9"/>
  <c r="X10" i="9"/>
  <c r="W10" i="9"/>
  <c r="V10" i="9"/>
  <c r="U10" i="9"/>
  <c r="T10" i="9"/>
  <c r="R92" i="9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73" i="9"/>
  <c r="Y73" i="9"/>
  <c r="X73" i="9"/>
  <c r="W73" i="9"/>
  <c r="V73" i="9"/>
  <c r="U73" i="9"/>
  <c r="T73" i="9"/>
  <c r="Z72" i="9"/>
  <c r="Y72" i="9"/>
  <c r="X72" i="9"/>
  <c r="W72" i="9"/>
  <c r="V72" i="9"/>
  <c r="U72" i="9"/>
  <c r="T72" i="9"/>
  <c r="Z69" i="9"/>
  <c r="Y69" i="9"/>
  <c r="X69" i="9"/>
  <c r="W69" i="9"/>
  <c r="V69" i="9"/>
  <c r="U69" i="9"/>
  <c r="T69" i="9"/>
  <c r="Z68" i="9"/>
  <c r="Y68" i="9"/>
  <c r="X68" i="9"/>
  <c r="W68" i="9"/>
  <c r="V68" i="9"/>
  <c r="U68" i="9"/>
  <c r="T68" i="9"/>
  <c r="Z67" i="9"/>
  <c r="Y67" i="9"/>
  <c r="X67" i="9"/>
  <c r="W67" i="9"/>
  <c r="V67" i="9"/>
  <c r="U67" i="9"/>
  <c r="T67" i="9"/>
  <c r="Z66" i="9"/>
  <c r="Y66" i="9"/>
  <c r="X66" i="9"/>
  <c r="W66" i="9"/>
  <c r="V66" i="9"/>
  <c r="U66" i="9"/>
  <c r="T66" i="9"/>
  <c r="Z65" i="9"/>
  <c r="Y65" i="9"/>
  <c r="X65" i="9"/>
  <c r="W65" i="9"/>
  <c r="V65" i="9"/>
  <c r="U65" i="9"/>
  <c r="T65" i="9"/>
  <c r="Z64" i="9"/>
  <c r="Y64" i="9"/>
  <c r="X64" i="9"/>
  <c r="W64" i="9"/>
  <c r="V64" i="9"/>
  <c r="U64" i="9"/>
  <c r="T64" i="9"/>
  <c r="Z63" i="9"/>
  <c r="Y63" i="9"/>
  <c r="X63" i="9"/>
  <c r="W63" i="9"/>
  <c r="V63" i="9"/>
  <c r="U63" i="9"/>
  <c r="T63" i="9"/>
  <c r="Z57" i="9"/>
  <c r="Y57" i="9"/>
  <c r="X57" i="9"/>
  <c r="W57" i="9"/>
  <c r="V57" i="9"/>
  <c r="U57" i="9"/>
  <c r="T57" i="9"/>
  <c r="Z56" i="9"/>
  <c r="Y56" i="9"/>
  <c r="X56" i="9"/>
  <c r="W56" i="9"/>
  <c r="V56" i="9"/>
  <c r="U56" i="9"/>
  <c r="T56" i="9"/>
  <c r="Z55" i="9"/>
  <c r="Y55" i="9"/>
  <c r="X55" i="9"/>
  <c r="W55" i="9"/>
  <c r="V55" i="9"/>
  <c r="U55" i="9"/>
  <c r="T55" i="9"/>
  <c r="Z50" i="9"/>
  <c r="Y50" i="9"/>
  <c r="X50" i="9"/>
  <c r="W50" i="9"/>
  <c r="V50" i="9"/>
  <c r="U50" i="9"/>
  <c r="T50" i="9"/>
  <c r="Z49" i="9"/>
  <c r="Y49" i="9"/>
  <c r="X49" i="9"/>
  <c r="W49" i="9"/>
  <c r="V49" i="9"/>
  <c r="U49" i="9"/>
  <c r="T49" i="9"/>
  <c r="Z48" i="9"/>
  <c r="Y48" i="9"/>
  <c r="X48" i="9"/>
  <c r="W48" i="9"/>
  <c r="V48" i="9"/>
  <c r="U48" i="9"/>
  <c r="T48" i="9"/>
  <c r="Z47" i="9"/>
  <c r="Y47" i="9"/>
  <c r="X47" i="9"/>
  <c r="W47" i="9"/>
  <c r="V47" i="9"/>
  <c r="U47" i="9"/>
  <c r="T47" i="9"/>
  <c r="Z46" i="9"/>
  <c r="Y46" i="9"/>
  <c r="X46" i="9"/>
  <c r="W46" i="9"/>
  <c r="V46" i="9"/>
  <c r="U46" i="9"/>
  <c r="T46" i="9"/>
  <c r="Z45" i="9"/>
  <c r="Y45" i="9"/>
  <c r="X45" i="9"/>
  <c r="W45" i="9"/>
  <c r="V45" i="9"/>
  <c r="U45" i="9"/>
  <c r="T45" i="9"/>
  <c r="Z44" i="9"/>
  <c r="Y44" i="9"/>
  <c r="X44" i="9"/>
  <c r="W44" i="9"/>
  <c r="V44" i="9"/>
  <c r="U44" i="9"/>
  <c r="T44" i="9"/>
  <c r="Z34" i="9"/>
  <c r="Y34" i="9"/>
  <c r="X34" i="9"/>
  <c r="W34" i="9"/>
  <c r="V34" i="9"/>
  <c r="U34" i="9"/>
  <c r="T34" i="9"/>
  <c r="Z33" i="9"/>
  <c r="Y33" i="9"/>
  <c r="X33" i="9"/>
  <c r="W33" i="9"/>
  <c r="V33" i="9"/>
  <c r="U33" i="9"/>
  <c r="T33" i="9"/>
  <c r="Z32" i="9"/>
  <c r="Y32" i="9"/>
  <c r="X32" i="9"/>
  <c r="W32" i="9"/>
  <c r="V32" i="9"/>
  <c r="U32" i="9"/>
  <c r="T32" i="9"/>
  <c r="Z28" i="9"/>
  <c r="Y28" i="9"/>
  <c r="X28" i="9"/>
  <c r="W28" i="9"/>
  <c r="V28" i="9"/>
  <c r="U28" i="9"/>
  <c r="T28" i="9"/>
  <c r="Z27" i="9"/>
  <c r="Y27" i="9"/>
  <c r="X27" i="9"/>
  <c r="W27" i="9"/>
  <c r="V27" i="9"/>
  <c r="U27" i="9"/>
  <c r="T27" i="9"/>
  <c r="Z23" i="9"/>
  <c r="Y23" i="9"/>
  <c r="X23" i="9"/>
  <c r="W23" i="9"/>
  <c r="V23" i="9"/>
  <c r="U23" i="9"/>
  <c r="T23" i="9"/>
  <c r="Z22" i="9"/>
  <c r="Y22" i="9"/>
  <c r="X22" i="9"/>
  <c r="W22" i="9"/>
  <c r="V22" i="9"/>
  <c r="U22" i="9"/>
  <c r="T22" i="9"/>
  <c r="Z21" i="9"/>
  <c r="Y21" i="9"/>
  <c r="X21" i="9"/>
  <c r="W21" i="9"/>
  <c r="V21" i="9"/>
  <c r="U21" i="9"/>
  <c r="T21" i="9"/>
  <c r="Z20" i="9"/>
  <c r="Y20" i="9"/>
  <c r="X20" i="9"/>
  <c r="W20" i="9"/>
  <c r="V20" i="9"/>
  <c r="U20" i="9"/>
  <c r="T20" i="9"/>
  <c r="Z19" i="9"/>
  <c r="Y19" i="9"/>
  <c r="X19" i="9"/>
  <c r="W19" i="9"/>
  <c r="V19" i="9"/>
  <c r="U19" i="9"/>
  <c r="T19" i="9"/>
  <c r="Z15" i="9"/>
  <c r="Y15" i="9"/>
  <c r="X15" i="9"/>
  <c r="W15" i="9"/>
  <c r="V15" i="9"/>
  <c r="U15" i="9"/>
  <c r="T15" i="9"/>
  <c r="Z14" i="9"/>
  <c r="Y14" i="9"/>
  <c r="X14" i="9"/>
  <c r="W14" i="9"/>
  <c r="V14" i="9"/>
  <c r="U14" i="9"/>
  <c r="T14" i="9"/>
  <c r="Z9" i="9"/>
  <c r="Y9" i="9"/>
  <c r="X9" i="9"/>
  <c r="W9" i="9"/>
  <c r="V9" i="9"/>
  <c r="U9" i="9"/>
  <c r="T9" i="9"/>
  <c r="Z8" i="9"/>
  <c r="Y8" i="9"/>
  <c r="X8" i="9"/>
  <c r="W8" i="9"/>
  <c r="V8" i="9"/>
  <c r="U8" i="9"/>
  <c r="T8" i="9"/>
  <c r="Z7" i="9"/>
  <c r="Y7" i="9"/>
  <c r="X7" i="9"/>
  <c r="W7" i="9"/>
  <c r="V7" i="9"/>
  <c r="U7" i="9"/>
  <c r="T7" i="9"/>
  <c r="Z6" i="9"/>
  <c r="Y6" i="9"/>
  <c r="X6" i="9"/>
  <c r="W6" i="9"/>
  <c r="V6" i="9"/>
  <c r="U6" i="9"/>
  <c r="T6" i="9"/>
  <c r="R6" i="9"/>
  <c r="R7" i="9"/>
  <c r="R8" i="9"/>
  <c r="R9" i="9"/>
  <c r="T131" i="8"/>
  <c r="T130" i="8"/>
  <c r="Z127" i="8"/>
  <c r="Y127" i="8"/>
  <c r="X127" i="8"/>
  <c r="W127" i="8"/>
  <c r="V127" i="8"/>
  <c r="U127" i="8"/>
  <c r="T127" i="8"/>
  <c r="Z126" i="8"/>
  <c r="Y126" i="8"/>
  <c r="X126" i="8"/>
  <c r="W126" i="8"/>
  <c r="V126" i="8"/>
  <c r="U126" i="8"/>
  <c r="T126" i="8"/>
  <c r="Z125" i="8"/>
  <c r="Y125" i="8"/>
  <c r="X125" i="8"/>
  <c r="W125" i="8"/>
  <c r="V125" i="8"/>
  <c r="U125" i="8"/>
  <c r="T125" i="8"/>
  <c r="Z124" i="8"/>
  <c r="Y124" i="8"/>
  <c r="X124" i="8"/>
  <c r="W124" i="8"/>
  <c r="V124" i="8"/>
  <c r="U124" i="8"/>
  <c r="T124" i="8"/>
  <c r="Z123" i="8"/>
  <c r="Y123" i="8"/>
  <c r="X123" i="8"/>
  <c r="W123" i="8"/>
  <c r="V123" i="8"/>
  <c r="U123" i="8"/>
  <c r="T123" i="8"/>
  <c r="Z119" i="8"/>
  <c r="Y119" i="8"/>
  <c r="X119" i="8"/>
  <c r="W119" i="8"/>
  <c r="V119" i="8"/>
  <c r="U119" i="8"/>
  <c r="T119" i="8"/>
  <c r="Z118" i="8"/>
  <c r="Y118" i="8"/>
  <c r="X118" i="8"/>
  <c r="W118" i="8"/>
  <c r="V118" i="8"/>
  <c r="U118" i="8"/>
  <c r="T118" i="8"/>
  <c r="Z117" i="8"/>
  <c r="Y117" i="8"/>
  <c r="X117" i="8"/>
  <c r="W117" i="8"/>
  <c r="V117" i="8"/>
  <c r="U117" i="8"/>
  <c r="T117" i="8"/>
  <c r="Z116" i="8"/>
  <c r="Y116" i="8"/>
  <c r="X116" i="8"/>
  <c r="W116" i="8"/>
  <c r="V116" i="8"/>
  <c r="U116" i="8"/>
  <c r="T116" i="8"/>
  <c r="Z115" i="8"/>
  <c r="Y115" i="8"/>
  <c r="X115" i="8"/>
  <c r="W115" i="8"/>
  <c r="V115" i="8"/>
  <c r="U115" i="8"/>
  <c r="T115" i="8"/>
  <c r="Z114" i="8"/>
  <c r="Y114" i="8"/>
  <c r="X114" i="8"/>
  <c r="W114" i="8"/>
  <c r="V114" i="8"/>
  <c r="U114" i="8"/>
  <c r="T114" i="8"/>
  <c r="Z110" i="8"/>
  <c r="Y110" i="8"/>
  <c r="X110" i="8"/>
  <c r="W110" i="8"/>
  <c r="V110" i="8"/>
  <c r="U110" i="8"/>
  <c r="T110" i="8"/>
  <c r="Z109" i="8"/>
  <c r="Y109" i="8"/>
  <c r="X109" i="8"/>
  <c r="W109" i="8"/>
  <c r="V109" i="8"/>
  <c r="U109" i="8"/>
  <c r="T109" i="8"/>
  <c r="Z108" i="8"/>
  <c r="Y108" i="8"/>
  <c r="X108" i="8"/>
  <c r="W108" i="8"/>
  <c r="V108" i="8"/>
  <c r="U108" i="8"/>
  <c r="T108" i="8"/>
  <c r="Z107" i="8"/>
  <c r="Y107" i="8"/>
  <c r="X107" i="8"/>
  <c r="W107" i="8"/>
  <c r="V107" i="8"/>
  <c r="U107" i="8"/>
  <c r="T107" i="8"/>
  <c r="Z106" i="8"/>
  <c r="Y106" i="8"/>
  <c r="X106" i="8"/>
  <c r="W106" i="8"/>
  <c r="V106" i="8"/>
  <c r="U106" i="8"/>
  <c r="T106" i="8"/>
  <c r="Z104" i="8"/>
  <c r="Y104" i="8"/>
  <c r="X104" i="8"/>
  <c r="W104" i="8"/>
  <c r="V104" i="8"/>
  <c r="U104" i="8"/>
  <c r="T104" i="8"/>
  <c r="Z103" i="8"/>
  <c r="Y103" i="8"/>
  <c r="X103" i="8"/>
  <c r="W103" i="8"/>
  <c r="V103" i="8"/>
  <c r="U103" i="8"/>
  <c r="T103" i="8"/>
  <c r="Z102" i="8"/>
  <c r="Y102" i="8"/>
  <c r="X102" i="8"/>
  <c r="W102" i="8"/>
  <c r="V102" i="8"/>
  <c r="U102" i="8"/>
  <c r="T102" i="8"/>
  <c r="Z101" i="8"/>
  <c r="Y101" i="8"/>
  <c r="X101" i="8"/>
  <c r="W101" i="8"/>
  <c r="V101" i="8"/>
  <c r="U101" i="8"/>
  <c r="T101" i="8"/>
  <c r="Z100" i="8"/>
  <c r="Y100" i="8"/>
  <c r="X100" i="8"/>
  <c r="W100" i="8"/>
  <c r="V100" i="8"/>
  <c r="U100" i="8"/>
  <c r="T100" i="8"/>
  <c r="Z99" i="8"/>
  <c r="Y99" i="8"/>
  <c r="X99" i="8"/>
  <c r="W99" i="8"/>
  <c r="V99" i="8"/>
  <c r="U99" i="8"/>
  <c r="T99" i="8"/>
  <c r="Z84" i="8"/>
  <c r="Y84" i="8"/>
  <c r="X84" i="8"/>
  <c r="W84" i="8"/>
  <c r="V84" i="8"/>
  <c r="U84" i="8"/>
  <c r="T84" i="8"/>
  <c r="Z83" i="8"/>
  <c r="Y83" i="8"/>
  <c r="X83" i="8"/>
  <c r="W83" i="8"/>
  <c r="V83" i="8"/>
  <c r="U83" i="8"/>
  <c r="T83" i="8"/>
  <c r="Z82" i="8"/>
  <c r="Y82" i="8"/>
  <c r="X82" i="8"/>
  <c r="W82" i="8"/>
  <c r="V82" i="8"/>
  <c r="U82" i="8"/>
  <c r="T82" i="8"/>
  <c r="Z81" i="8"/>
  <c r="Y81" i="8"/>
  <c r="X81" i="8"/>
  <c r="W81" i="8"/>
  <c r="V81" i="8"/>
  <c r="U81" i="8"/>
  <c r="T81" i="8"/>
  <c r="Z80" i="8"/>
  <c r="Y80" i="8"/>
  <c r="X80" i="8"/>
  <c r="W80" i="8"/>
  <c r="V80" i="8"/>
  <c r="U80" i="8"/>
  <c r="T80" i="8"/>
  <c r="Z77" i="8"/>
  <c r="Y77" i="8"/>
  <c r="X77" i="8"/>
  <c r="W77" i="8"/>
  <c r="V77" i="8"/>
  <c r="U77" i="8"/>
  <c r="T77" i="8"/>
  <c r="Z76" i="8"/>
  <c r="Y76" i="8"/>
  <c r="X76" i="8"/>
  <c r="W76" i="8"/>
  <c r="V76" i="8"/>
  <c r="U76" i="8"/>
  <c r="T76" i="8"/>
  <c r="Z75" i="8"/>
  <c r="Y75" i="8"/>
  <c r="X75" i="8"/>
  <c r="W75" i="8"/>
  <c r="V75" i="8"/>
  <c r="U75" i="8"/>
  <c r="T75" i="8"/>
  <c r="Z74" i="8"/>
  <c r="Y74" i="8"/>
  <c r="X74" i="8"/>
  <c r="W74" i="8"/>
  <c r="V74" i="8"/>
  <c r="U74" i="8"/>
  <c r="T74" i="8"/>
  <c r="Z70" i="8"/>
  <c r="Y70" i="8"/>
  <c r="X70" i="8"/>
  <c r="W70" i="8"/>
  <c r="V70" i="8"/>
  <c r="U70" i="8"/>
  <c r="T70" i="8"/>
  <c r="Z69" i="8"/>
  <c r="Y69" i="8"/>
  <c r="X69" i="8"/>
  <c r="W69" i="8"/>
  <c r="V69" i="8"/>
  <c r="U69" i="8"/>
  <c r="T69" i="8"/>
  <c r="Z68" i="8"/>
  <c r="Y68" i="8"/>
  <c r="X68" i="8"/>
  <c r="W68" i="8"/>
  <c r="V68" i="8"/>
  <c r="U68" i="8"/>
  <c r="T68" i="8"/>
  <c r="Z67" i="8"/>
  <c r="Y67" i="8"/>
  <c r="X67" i="8"/>
  <c r="W67" i="8"/>
  <c r="V67" i="8"/>
  <c r="U67" i="8"/>
  <c r="T67" i="8"/>
  <c r="Z63" i="8"/>
  <c r="Y63" i="8"/>
  <c r="X63" i="8"/>
  <c r="W63" i="8"/>
  <c r="V63" i="8"/>
  <c r="U63" i="8"/>
  <c r="T63" i="8"/>
  <c r="Z62" i="8"/>
  <c r="Y62" i="8"/>
  <c r="X62" i="8"/>
  <c r="W62" i="8"/>
  <c r="V62" i="8"/>
  <c r="U62" i="8"/>
  <c r="T62" i="8"/>
  <c r="Z61" i="8"/>
  <c r="Y61" i="8"/>
  <c r="X61" i="8"/>
  <c r="W61" i="8"/>
  <c r="V61" i="8"/>
  <c r="U61" i="8"/>
  <c r="T61" i="8"/>
  <c r="Z60" i="8"/>
  <c r="Y60" i="8"/>
  <c r="X60" i="8"/>
  <c r="W60" i="8"/>
  <c r="V60" i="8"/>
  <c r="U60" i="8"/>
  <c r="T60" i="8"/>
  <c r="Z59" i="8"/>
  <c r="Y59" i="8"/>
  <c r="X59" i="8"/>
  <c r="W59" i="8"/>
  <c r="V59" i="8"/>
  <c r="U59" i="8"/>
  <c r="T59" i="8"/>
  <c r="Z55" i="8"/>
  <c r="Y55" i="8"/>
  <c r="X55" i="8"/>
  <c r="W55" i="8"/>
  <c r="V55" i="8"/>
  <c r="U55" i="8"/>
  <c r="T55" i="8"/>
  <c r="Z54" i="8"/>
  <c r="Y54" i="8"/>
  <c r="X54" i="8"/>
  <c r="W54" i="8"/>
  <c r="V54" i="8"/>
  <c r="U54" i="8"/>
  <c r="T54" i="8"/>
  <c r="Z53" i="8"/>
  <c r="Y53" i="8"/>
  <c r="X53" i="8"/>
  <c r="W53" i="8"/>
  <c r="V53" i="8"/>
  <c r="U53" i="8"/>
  <c r="T53" i="8"/>
  <c r="Z52" i="8"/>
  <c r="Y52" i="8"/>
  <c r="X52" i="8"/>
  <c r="W52" i="8"/>
  <c r="V52" i="8"/>
  <c r="U52" i="8"/>
  <c r="T52" i="8"/>
  <c r="Z51" i="8"/>
  <c r="Y51" i="8"/>
  <c r="X51" i="8"/>
  <c r="W51" i="8"/>
  <c r="V51" i="8"/>
  <c r="U51" i="8"/>
  <c r="T51" i="8"/>
  <c r="T36" i="8"/>
  <c r="U21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Q124" i="8"/>
  <c r="R124" i="8" s="1"/>
  <c r="R48" i="9" s="1"/>
  <c r="M124" i="8"/>
  <c r="M48" i="9" s="1"/>
  <c r="I124" i="8"/>
  <c r="I48" i="9" s="1"/>
  <c r="O57" i="9"/>
  <c r="K57" i="9"/>
  <c r="R67" i="9"/>
  <c r="AA67" i="9" s="1"/>
  <c r="Q67" i="9"/>
  <c r="P67" i="9"/>
  <c r="R66" i="9"/>
  <c r="AA66" i="9" s="1"/>
  <c r="Q66" i="9"/>
  <c r="P66" i="9"/>
  <c r="N66" i="9"/>
  <c r="M66" i="9"/>
  <c r="L66" i="9"/>
  <c r="J66" i="9"/>
  <c r="I66" i="9"/>
  <c r="R65" i="9"/>
  <c r="AA65" i="9" s="1"/>
  <c r="Q65" i="9"/>
  <c r="P65" i="9"/>
  <c r="N65" i="9"/>
  <c r="M65" i="9"/>
  <c r="L65" i="9"/>
  <c r="J65" i="9"/>
  <c r="I65" i="9"/>
  <c r="R64" i="9"/>
  <c r="AA64" i="9" s="1"/>
  <c r="Q64" i="9"/>
  <c r="P64" i="9"/>
  <c r="N64" i="9"/>
  <c r="M64" i="9"/>
  <c r="L64" i="9"/>
  <c r="J64" i="9"/>
  <c r="I64" i="9"/>
  <c r="R63" i="9"/>
  <c r="AA63" i="9" s="1"/>
  <c r="Q63" i="9"/>
  <c r="P63" i="9"/>
  <c r="N63" i="9"/>
  <c r="M63" i="9"/>
  <c r="L63" i="9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P73" i="9"/>
  <c r="N73" i="9"/>
  <c r="M73" i="9"/>
  <c r="L73" i="9"/>
  <c r="J73" i="9"/>
  <c r="I73" i="9"/>
  <c r="R72" i="9"/>
  <c r="Q72" i="9"/>
  <c r="P72" i="9"/>
  <c r="N72" i="9"/>
  <c r="M72" i="9"/>
  <c r="L72" i="9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109" i="8"/>
  <c r="F41" i="9" s="1"/>
  <c r="H109" i="8"/>
  <c r="I109" i="8" s="1"/>
  <c r="J109" i="8" s="1"/>
  <c r="D108" i="8"/>
  <c r="D109" i="8"/>
  <c r="C109" i="8"/>
  <c r="C108" i="8"/>
  <c r="E108" i="8"/>
  <c r="F55" i="8"/>
  <c r="E109" i="8"/>
  <c r="R56" i="9"/>
  <c r="Q56" i="9"/>
  <c r="P56" i="9"/>
  <c r="N56" i="9"/>
  <c r="M56" i="9"/>
  <c r="L56" i="9"/>
  <c r="J56" i="9"/>
  <c r="I56" i="9"/>
  <c r="H56" i="9"/>
  <c r="F56" i="9"/>
  <c r="E56" i="9"/>
  <c r="D56" i="9"/>
  <c r="C56" i="9"/>
  <c r="R55" i="9"/>
  <c r="Q55" i="9"/>
  <c r="P55" i="9"/>
  <c r="N55" i="9"/>
  <c r="M55" i="9"/>
  <c r="L55" i="9"/>
  <c r="J55" i="9"/>
  <c r="I55" i="9"/>
  <c r="H55" i="9"/>
  <c r="F55" i="9"/>
  <c r="E55" i="9"/>
  <c r="D55" i="9"/>
  <c r="C55" i="9"/>
  <c r="L47" i="9"/>
  <c r="H47" i="9"/>
  <c r="F47" i="9"/>
  <c r="E47" i="9"/>
  <c r="C47" i="9"/>
  <c r="M123" i="8"/>
  <c r="N123" i="8" s="1"/>
  <c r="N47" i="9" s="1"/>
  <c r="I123" i="8"/>
  <c r="J123" i="8" s="1"/>
  <c r="K123" i="8" s="1"/>
  <c r="K47" i="9" s="1"/>
  <c r="D123" i="8"/>
  <c r="D47" i="9" s="1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P115" i="8"/>
  <c r="Q115" i="8" s="1"/>
  <c r="R115" i="8" s="1"/>
  <c r="R44" i="9" s="1"/>
  <c r="L115" i="8"/>
  <c r="M115" i="8" s="1"/>
  <c r="N115" i="8" s="1"/>
  <c r="N44" i="9" s="1"/>
  <c r="H115" i="8"/>
  <c r="I115" i="8" s="1"/>
  <c r="F115" i="8"/>
  <c r="F44" i="9" s="1"/>
  <c r="E115" i="8"/>
  <c r="E44" i="9" s="1"/>
  <c r="D115" i="8"/>
  <c r="D44" i="9" s="1"/>
  <c r="C115" i="8"/>
  <c r="C44" i="9" s="1"/>
  <c r="F119" i="8"/>
  <c r="Q104" i="8"/>
  <c r="R104" i="8" s="1"/>
  <c r="H104" i="8"/>
  <c r="I104" i="8" s="1"/>
  <c r="J104" i="8" s="1"/>
  <c r="L104" i="8"/>
  <c r="M104" i="8" s="1"/>
  <c r="N104" i="8" s="1"/>
  <c r="F104" i="8"/>
  <c r="E104" i="8"/>
  <c r="D104" i="8"/>
  <c r="C104" i="8"/>
  <c r="Q103" i="8"/>
  <c r="R103" i="8" s="1"/>
  <c r="O103" i="8"/>
  <c r="K103" i="8"/>
  <c r="K143" i="8"/>
  <c r="J127" i="8"/>
  <c r="I101" i="8"/>
  <c r="J101" i="8" s="1"/>
  <c r="K101" i="8" s="1"/>
  <c r="K32" i="9" s="1"/>
  <c r="I102" i="8"/>
  <c r="J102" i="8" s="1"/>
  <c r="I99" i="8"/>
  <c r="J99" i="8" s="1"/>
  <c r="J27" i="9" s="1"/>
  <c r="J100" i="8"/>
  <c r="I100" i="8"/>
  <c r="H100" i="8"/>
  <c r="L100" i="8"/>
  <c r="I126" i="8"/>
  <c r="J126" i="8" s="1"/>
  <c r="I125" i="8"/>
  <c r="J125" i="8" s="1"/>
  <c r="I119" i="8"/>
  <c r="J119" i="8" s="1"/>
  <c r="I114" i="8"/>
  <c r="J114" i="8" s="1"/>
  <c r="J38" i="9" s="1"/>
  <c r="I106" i="8"/>
  <c r="J106" i="8" s="1"/>
  <c r="K106" i="8" s="1"/>
  <c r="I107" i="8"/>
  <c r="J107" i="8" s="1"/>
  <c r="K107" i="8" s="1"/>
  <c r="I108" i="8"/>
  <c r="J108" i="8" s="1"/>
  <c r="I110" i="8"/>
  <c r="J110" i="8" s="1"/>
  <c r="K110" i="8" s="1"/>
  <c r="K135" i="8"/>
  <c r="W135" i="8" s="1"/>
  <c r="O135" i="8"/>
  <c r="AA135" i="8" s="1"/>
  <c r="R100" i="8"/>
  <c r="Q100" i="8"/>
  <c r="P100" i="8"/>
  <c r="N100" i="8"/>
  <c r="M100" i="8"/>
  <c r="C100" i="8"/>
  <c r="F100" i="8"/>
  <c r="E100" i="8"/>
  <c r="D100" i="8"/>
  <c r="K14" i="8"/>
  <c r="V14" i="8" s="1"/>
  <c r="O14" i="8"/>
  <c r="AA14" i="8" s="1"/>
  <c r="Q118" i="8"/>
  <c r="R118" i="8" s="1"/>
  <c r="Q126" i="8"/>
  <c r="R126" i="8" s="1"/>
  <c r="Q125" i="8"/>
  <c r="R125" i="8" s="1"/>
  <c r="Q117" i="8"/>
  <c r="R117" i="8" s="1"/>
  <c r="R45" i="9" s="1"/>
  <c r="Q116" i="8"/>
  <c r="R116" i="8" s="1"/>
  <c r="R46" i="9" s="1"/>
  <c r="Q114" i="8"/>
  <c r="R114" i="8" s="1"/>
  <c r="R38" i="9" s="1"/>
  <c r="Q110" i="8"/>
  <c r="R110" i="8" s="1"/>
  <c r="Q109" i="8"/>
  <c r="R109" i="8" s="1"/>
  <c r="Q108" i="8"/>
  <c r="R108" i="8" s="1"/>
  <c r="Q107" i="8"/>
  <c r="R107" i="8" s="1"/>
  <c r="Q106" i="8"/>
  <c r="R106" i="8" s="1"/>
  <c r="Q102" i="8"/>
  <c r="R102" i="8" s="1"/>
  <c r="Q101" i="8"/>
  <c r="R101" i="8" s="1"/>
  <c r="R32" i="9" s="1"/>
  <c r="Q99" i="8"/>
  <c r="R99" i="8" s="1"/>
  <c r="R27" i="9" s="1"/>
  <c r="N117" i="8"/>
  <c r="O117" i="8" s="1"/>
  <c r="O45" i="9" s="1"/>
  <c r="M127" i="8"/>
  <c r="N127" i="8" s="1"/>
  <c r="M126" i="8"/>
  <c r="N126" i="8" s="1"/>
  <c r="M125" i="8"/>
  <c r="N125" i="8" s="1"/>
  <c r="M119" i="8"/>
  <c r="N119" i="8" s="1"/>
  <c r="M116" i="8"/>
  <c r="M46" i="9" s="1"/>
  <c r="M114" i="8"/>
  <c r="N114" i="8" s="1"/>
  <c r="N38" i="9" s="1"/>
  <c r="M110" i="8"/>
  <c r="M109" i="8"/>
  <c r="N109" i="8" s="1"/>
  <c r="M108" i="8"/>
  <c r="N108" i="8" s="1"/>
  <c r="M107" i="8"/>
  <c r="N107" i="8" s="1"/>
  <c r="O107" i="8" s="1"/>
  <c r="M106" i="8"/>
  <c r="N106" i="8" s="1"/>
  <c r="M102" i="8"/>
  <c r="N102" i="8" s="1"/>
  <c r="O102" i="8" s="1"/>
  <c r="M101" i="8"/>
  <c r="N101" i="8" s="1"/>
  <c r="N32" i="9" s="1"/>
  <c r="M99" i="8"/>
  <c r="N99" i="8" s="1"/>
  <c r="N27" i="9" s="1"/>
  <c r="O118" i="8"/>
  <c r="K118" i="8"/>
  <c r="K116" i="8"/>
  <c r="K46" i="9" s="1"/>
  <c r="O36" i="8"/>
  <c r="Z36" i="8" s="1"/>
  <c r="K36" i="8"/>
  <c r="U36" i="8" s="1"/>
  <c r="P123" i="8"/>
  <c r="P47" i="9" s="1"/>
  <c r="R70" i="8"/>
  <c r="R55" i="8"/>
  <c r="Q70" i="8"/>
  <c r="Q55" i="8"/>
  <c r="N67" i="8"/>
  <c r="M67" i="8"/>
  <c r="M67" i="9" s="1"/>
  <c r="L67" i="8"/>
  <c r="L67" i="9" s="1"/>
  <c r="J67" i="8"/>
  <c r="J67" i="9" s="1"/>
  <c r="I67" i="8"/>
  <c r="I67" i="9" s="1"/>
  <c r="H67" i="8"/>
  <c r="H67" i="9" s="1"/>
  <c r="C67" i="8"/>
  <c r="C67" i="9" s="1"/>
  <c r="D67" i="8"/>
  <c r="D67" i="9" s="1"/>
  <c r="E67" i="8"/>
  <c r="K67" i="8" s="1"/>
  <c r="K67" i="9" s="1"/>
  <c r="F67" i="8"/>
  <c r="O67" i="8" s="1"/>
  <c r="N63" i="8"/>
  <c r="M63" i="8"/>
  <c r="L63" i="8"/>
  <c r="J63" i="8"/>
  <c r="I63" i="8"/>
  <c r="H63" i="8"/>
  <c r="C63" i="8"/>
  <c r="D63" i="8"/>
  <c r="E63" i="8"/>
  <c r="K63" i="8" s="1"/>
  <c r="F63" i="8"/>
  <c r="O63" i="8" s="1"/>
  <c r="C55" i="8"/>
  <c r="D55" i="8"/>
  <c r="E55" i="8"/>
  <c r="K55" i="8" s="1"/>
  <c r="H55" i="8"/>
  <c r="I55" i="8"/>
  <c r="J55" i="8"/>
  <c r="L55" i="8"/>
  <c r="M55" i="8"/>
  <c r="N55" i="8"/>
  <c r="O13" i="8"/>
  <c r="O14" i="9" s="1"/>
  <c r="O78" i="9"/>
  <c r="K78" i="9"/>
  <c r="O82" i="9"/>
  <c r="O81" i="9"/>
  <c r="O80" i="9"/>
  <c r="O79" i="9"/>
  <c r="K82" i="9"/>
  <c r="K81" i="9"/>
  <c r="K80" i="9"/>
  <c r="K79" i="9"/>
  <c r="K144" i="8"/>
  <c r="K39" i="9" s="1"/>
  <c r="O144" i="8"/>
  <c r="O39" i="9" s="1"/>
  <c r="O143" i="8"/>
  <c r="O136" i="8"/>
  <c r="O134" i="8"/>
  <c r="X134" i="8" s="1"/>
  <c r="K136" i="8"/>
  <c r="K134" i="8"/>
  <c r="W134" i="8" s="1"/>
  <c r="AA81" i="8"/>
  <c r="AA80" i="8"/>
  <c r="AA76" i="8"/>
  <c r="AA75" i="8"/>
  <c r="AA74" i="8"/>
  <c r="AA67" i="8"/>
  <c r="AA62" i="8"/>
  <c r="AA61" i="8"/>
  <c r="AA60" i="8"/>
  <c r="AA59" i="8"/>
  <c r="AA54" i="8"/>
  <c r="AA53" i="8"/>
  <c r="AA52" i="8"/>
  <c r="AA51" i="8"/>
  <c r="O21" i="8"/>
  <c r="AA21" i="8" s="1"/>
  <c r="K21" i="8"/>
  <c r="T21" i="8" s="1"/>
  <c r="K13" i="8"/>
  <c r="K14" i="9" s="1"/>
  <c r="D117" i="8"/>
  <c r="D45" i="9" s="1"/>
  <c r="O19" i="8"/>
  <c r="X19" i="8" s="1"/>
  <c r="K19" i="8"/>
  <c r="W19" i="8" s="1"/>
  <c r="O18" i="8"/>
  <c r="AA18" i="8" s="1"/>
  <c r="K18" i="8"/>
  <c r="W18" i="8" s="1"/>
  <c r="K117" i="8"/>
  <c r="O54" i="8"/>
  <c r="K54" i="8"/>
  <c r="K64" i="9" s="1"/>
  <c r="O53" i="8"/>
  <c r="K53" i="8"/>
  <c r="K63" i="9" s="1"/>
  <c r="O52" i="8"/>
  <c r="K52" i="8"/>
  <c r="K56" i="9" s="1"/>
  <c r="O51" i="8"/>
  <c r="K51" i="8"/>
  <c r="K55" i="9" s="1"/>
  <c r="O62" i="8"/>
  <c r="K62" i="8"/>
  <c r="O61" i="8"/>
  <c r="K61" i="8"/>
  <c r="K66" i="9" s="1"/>
  <c r="O60" i="8"/>
  <c r="K60" i="8"/>
  <c r="O59" i="8"/>
  <c r="K59" i="8"/>
  <c r="K65" i="9" s="1"/>
  <c r="O76" i="8"/>
  <c r="K76" i="8"/>
  <c r="O75" i="8"/>
  <c r="K75" i="8"/>
  <c r="O74" i="8"/>
  <c r="K74" i="8"/>
  <c r="K73" i="9" s="1"/>
  <c r="O81" i="8"/>
  <c r="K81" i="8"/>
  <c r="O80" i="8"/>
  <c r="K80" i="8"/>
  <c r="O32" i="8"/>
  <c r="AA32" i="8" s="1"/>
  <c r="K32" i="8"/>
  <c r="W32" i="8" s="1"/>
  <c r="O31" i="8"/>
  <c r="Z31" i="8" s="1"/>
  <c r="K31" i="8"/>
  <c r="T31" i="8" s="1"/>
  <c r="B2" i="10"/>
  <c r="O43" i="8"/>
  <c r="X43" i="8" s="1"/>
  <c r="K43" i="8"/>
  <c r="T43" i="8" s="1"/>
  <c r="K40" i="8"/>
  <c r="T40" i="8" s="1"/>
  <c r="O27" i="8"/>
  <c r="K27" i="8"/>
  <c r="O26" i="8"/>
  <c r="K26" i="8"/>
  <c r="O22" i="8"/>
  <c r="O23" i="9" s="1"/>
  <c r="O34" i="9" s="1"/>
  <c r="K22" i="8"/>
  <c r="K23" i="9" s="1"/>
  <c r="K34" i="9" s="1"/>
  <c r="O20" i="8"/>
  <c r="O21" i="9" s="1"/>
  <c r="K20" i="8"/>
  <c r="K21" i="9" s="1"/>
  <c r="O70" i="8"/>
  <c r="K70" i="8"/>
  <c r="O69" i="8"/>
  <c r="O72" i="9" s="1"/>
  <c r="K69" i="8"/>
  <c r="K72" i="9" s="1"/>
  <c r="O68" i="8"/>
  <c r="K68" i="8"/>
  <c r="O77" i="8"/>
  <c r="K77" i="8"/>
  <c r="Z40" i="8"/>
  <c r="Y40" i="8"/>
  <c r="W40" i="8"/>
  <c r="V40" i="8"/>
  <c r="U40" i="8"/>
  <c r="AA40" i="8"/>
  <c r="Z43" i="8"/>
  <c r="Y43" i="8"/>
  <c r="W43" i="8"/>
  <c r="V43" i="8"/>
  <c r="U43" i="8"/>
  <c r="AA43" i="8"/>
  <c r="O40" i="8"/>
  <c r="X40" i="8" s="1"/>
  <c r="V36" i="8" l="1"/>
  <c r="N49" i="9"/>
  <c r="Y19" i="8"/>
  <c r="W36" i="8"/>
  <c r="X36" i="8"/>
  <c r="U31" i="8"/>
  <c r="Y36" i="8"/>
  <c r="V31" i="8"/>
  <c r="T32" i="8"/>
  <c r="W31" i="8"/>
  <c r="U32" i="8"/>
  <c r="X31" i="8"/>
  <c r="V32" i="8"/>
  <c r="AC53" i="8"/>
  <c r="AC61" i="8"/>
  <c r="Y31" i="8"/>
  <c r="J49" i="9"/>
  <c r="X32" i="8"/>
  <c r="Y32" i="8"/>
  <c r="Z32" i="8"/>
  <c r="T18" i="8"/>
  <c r="Z19" i="8"/>
  <c r="X20" i="8"/>
  <c r="V21" i="8"/>
  <c r="T22" i="8"/>
  <c r="AC32" i="8"/>
  <c r="AC76" i="8"/>
  <c r="AC81" i="8"/>
  <c r="U18" i="8"/>
  <c r="Y20" i="8"/>
  <c r="W21" i="8"/>
  <c r="AC21" i="8" s="1"/>
  <c r="U22" i="8"/>
  <c r="AC52" i="8"/>
  <c r="AC54" i="8"/>
  <c r="AC60" i="8"/>
  <c r="AC62" i="8"/>
  <c r="AC75" i="8"/>
  <c r="V18" i="8"/>
  <c r="T19" i="8"/>
  <c r="Z20" i="8"/>
  <c r="X21" i="8"/>
  <c r="V22" i="8"/>
  <c r="U19" i="8"/>
  <c r="Y21" i="8"/>
  <c r="W22" i="8"/>
  <c r="W20" i="8"/>
  <c r="X18" i="8"/>
  <c r="V19" i="8"/>
  <c r="T20" i="8"/>
  <c r="Z21" i="8"/>
  <c r="X22" i="8"/>
  <c r="Y18" i="8"/>
  <c r="U20" i="8"/>
  <c r="Y22" i="8"/>
  <c r="R49" i="9"/>
  <c r="Z18" i="8"/>
  <c r="V20" i="8"/>
  <c r="Z22" i="8"/>
  <c r="M49" i="9"/>
  <c r="P120" i="8"/>
  <c r="E41" i="9"/>
  <c r="I49" i="9"/>
  <c r="Q49" i="9"/>
  <c r="C41" i="9"/>
  <c r="Q48" i="9"/>
  <c r="D41" i="9"/>
  <c r="R41" i="9"/>
  <c r="J124" i="8"/>
  <c r="J48" i="9" s="1"/>
  <c r="K124" i="8"/>
  <c r="K48" i="9" s="1"/>
  <c r="N124" i="8"/>
  <c r="N48" i="9" s="1"/>
  <c r="I41" i="9"/>
  <c r="Q41" i="9"/>
  <c r="J41" i="9"/>
  <c r="O66" i="9"/>
  <c r="N67" i="9"/>
  <c r="O63" i="9"/>
  <c r="O67" i="9"/>
  <c r="M41" i="9"/>
  <c r="O73" i="9"/>
  <c r="O64" i="9"/>
  <c r="E67" i="9"/>
  <c r="C120" i="8"/>
  <c r="H41" i="9"/>
  <c r="F67" i="9"/>
  <c r="O65" i="9"/>
  <c r="Y85" i="9"/>
  <c r="AA85" i="9"/>
  <c r="W85" i="9"/>
  <c r="K85" i="9"/>
  <c r="X85" i="9"/>
  <c r="Z85" i="9"/>
  <c r="O85" i="9"/>
  <c r="F120" i="8"/>
  <c r="Q123" i="8"/>
  <c r="R123" i="8" s="1"/>
  <c r="R47" i="9" s="1"/>
  <c r="M47" i="9"/>
  <c r="K22" i="9"/>
  <c r="K33" i="9" s="1"/>
  <c r="M32" i="9"/>
  <c r="O20" i="9"/>
  <c r="R28" i="9"/>
  <c r="Q44" i="9"/>
  <c r="K45" i="9"/>
  <c r="I47" i="9"/>
  <c r="O56" i="9"/>
  <c r="J47" i="9"/>
  <c r="O55" i="9"/>
  <c r="O109" i="8"/>
  <c r="O55" i="8"/>
  <c r="O108" i="8"/>
  <c r="J115" i="8"/>
  <c r="J44" i="9" s="1"/>
  <c r="I44" i="9"/>
  <c r="I27" i="9"/>
  <c r="Q27" i="9"/>
  <c r="K15" i="9"/>
  <c r="K28" i="9" s="1"/>
  <c r="H44" i="9"/>
  <c r="P44" i="9"/>
  <c r="Q45" i="9"/>
  <c r="K19" i="9"/>
  <c r="M38" i="9"/>
  <c r="M27" i="9"/>
  <c r="O15" i="9"/>
  <c r="L44" i="9"/>
  <c r="L120" i="8"/>
  <c r="K20" i="9"/>
  <c r="O22" i="9"/>
  <c r="AA22" i="9" s="1"/>
  <c r="I32" i="9"/>
  <c r="Q32" i="9"/>
  <c r="M44" i="9"/>
  <c r="N45" i="9"/>
  <c r="J32" i="9"/>
  <c r="O19" i="9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D120" i="8"/>
  <c r="H120" i="8"/>
  <c r="E120" i="8"/>
  <c r="O119" i="8"/>
  <c r="AA119" i="8" s="1"/>
  <c r="K104" i="8"/>
  <c r="O104" i="8"/>
  <c r="AA103" i="8"/>
  <c r="AC103" i="8" s="1"/>
  <c r="AA118" i="8"/>
  <c r="AC118" i="8" s="1"/>
  <c r="K102" i="8"/>
  <c r="K109" i="8"/>
  <c r="K119" i="8"/>
  <c r="K114" i="8"/>
  <c r="K108" i="8"/>
  <c r="K99" i="8"/>
  <c r="T135" i="8"/>
  <c r="U135" i="8"/>
  <c r="V135" i="8"/>
  <c r="X135" i="8"/>
  <c r="Y135" i="8"/>
  <c r="Z135" i="8"/>
  <c r="O100" i="8"/>
  <c r="K100" i="8"/>
  <c r="Z14" i="8"/>
  <c r="X14" i="8"/>
  <c r="Y14" i="8"/>
  <c r="T14" i="8"/>
  <c r="U14" i="8"/>
  <c r="W14" i="8"/>
  <c r="N110" i="8"/>
  <c r="O110" i="8" s="1"/>
  <c r="R120" i="8"/>
  <c r="O106" i="8"/>
  <c r="O101" i="8"/>
  <c r="O114" i="8"/>
  <c r="N116" i="8"/>
  <c r="O115" i="8"/>
  <c r="O99" i="8"/>
  <c r="AA107" i="8"/>
  <c r="AA36" i="8"/>
  <c r="AC36" i="8" s="1"/>
  <c r="U134" i="8"/>
  <c r="AA102" i="8"/>
  <c r="AA19" i="8"/>
  <c r="AC19" i="8" s="1"/>
  <c r="AA134" i="8"/>
  <c r="Z134" i="8"/>
  <c r="Y134" i="8"/>
  <c r="V134" i="8"/>
  <c r="T134" i="8"/>
  <c r="AA117" i="8"/>
  <c r="AA31" i="8"/>
  <c r="AC43" i="8"/>
  <c r="Q47" i="9" l="1"/>
  <c r="AC23" i="9"/>
  <c r="AC21" i="9"/>
  <c r="AC117" i="8"/>
  <c r="AC34" i="9"/>
  <c r="K41" i="9"/>
  <c r="AC107" i="8"/>
  <c r="O41" i="9"/>
  <c r="O124" i="8"/>
  <c r="O48" i="9" s="1"/>
  <c r="N41" i="9"/>
  <c r="AA20" i="9"/>
  <c r="AC20" i="9" s="1"/>
  <c r="AC22" i="9"/>
  <c r="O33" i="9"/>
  <c r="AA33" i="9" s="1"/>
  <c r="AC33" i="9" s="1"/>
  <c r="O116" i="8"/>
  <c r="O46" i="9" s="1"/>
  <c r="AA46" i="9" s="1"/>
  <c r="N46" i="9"/>
  <c r="AA99" i="8"/>
  <c r="O27" i="9"/>
  <c r="O32" i="9"/>
  <c r="K38" i="9"/>
  <c r="J120" i="8"/>
  <c r="K115" i="8"/>
  <c r="K120" i="8" s="1"/>
  <c r="O28" i="9"/>
  <c r="O44" i="9"/>
  <c r="K27" i="9"/>
  <c r="AA15" i="9"/>
  <c r="O38" i="9"/>
  <c r="AC102" i="8"/>
  <c r="I120" i="8"/>
  <c r="AA100" i="8"/>
  <c r="AC100" i="8" s="1"/>
  <c r="AA101" i="8"/>
  <c r="AC101" i="8" s="1"/>
  <c r="Q120" i="8"/>
  <c r="AA115" i="8"/>
  <c r="N120" i="8"/>
  <c r="AA114" i="8"/>
  <c r="M120" i="8"/>
  <c r="AC31" i="8"/>
  <c r="AA73" i="9"/>
  <c r="AA72" i="9"/>
  <c r="O12" i="10"/>
  <c r="O11" i="10"/>
  <c r="O10" i="10"/>
  <c r="O7" i="9" s="1"/>
  <c r="O9" i="10"/>
  <c r="O6" i="9" s="1"/>
  <c r="K12" i="10"/>
  <c r="K11" i="10"/>
  <c r="K10" i="10"/>
  <c r="K9" i="10"/>
  <c r="AA136" i="8"/>
  <c r="R131" i="8"/>
  <c r="Y136" i="8"/>
  <c r="AA131" i="8"/>
  <c r="N131" i="8"/>
  <c r="M131" i="8"/>
  <c r="K131" i="8"/>
  <c r="J131" i="8"/>
  <c r="H128" i="8"/>
  <c r="I128" i="8"/>
  <c r="J128" i="8"/>
  <c r="I131" i="8"/>
  <c r="P131" i="8"/>
  <c r="L131" i="8"/>
  <c r="O126" i="8"/>
  <c r="AA126" i="8" s="1"/>
  <c r="K126" i="8"/>
  <c r="O125" i="8"/>
  <c r="K125" i="8"/>
  <c r="O123" i="8"/>
  <c r="AA104" i="8"/>
  <c r="O83" i="8"/>
  <c r="K83" i="8"/>
  <c r="O82" i="8"/>
  <c r="K82" i="8"/>
  <c r="O127" i="8"/>
  <c r="AA127" i="8" s="1"/>
  <c r="K127" i="8"/>
  <c r="AC15" i="9" l="1"/>
  <c r="K49" i="9"/>
  <c r="O49" i="9"/>
  <c r="AC114" i="8"/>
  <c r="AA124" i="8"/>
  <c r="AC124" i="8" s="1"/>
  <c r="AA116" i="8"/>
  <c r="AC116" i="8" s="1"/>
  <c r="Z12" i="10"/>
  <c r="O9" i="9"/>
  <c r="Z11" i="10"/>
  <c r="O8" i="9"/>
  <c r="AA123" i="8"/>
  <c r="O47" i="9"/>
  <c r="AA28" i="9"/>
  <c r="AC28" i="9" s="1"/>
  <c r="AC115" i="8"/>
  <c r="K44" i="9"/>
  <c r="O120" i="8"/>
  <c r="T9" i="10"/>
  <c r="U9" i="10"/>
  <c r="U10" i="10"/>
  <c r="T10" i="10"/>
  <c r="V11" i="10"/>
  <c r="U11" i="10"/>
  <c r="T11" i="10"/>
  <c r="V12" i="10"/>
  <c r="U12" i="10"/>
  <c r="T12" i="10"/>
  <c r="Q131" i="8"/>
  <c r="AC126" i="8"/>
  <c r="T143" i="8"/>
  <c r="AC104" i="8"/>
  <c r="V131" i="8"/>
  <c r="X131" i="8"/>
  <c r="AC127" i="8"/>
  <c r="U136" i="8"/>
  <c r="AA125" i="8"/>
  <c r="AC125" i="8" s="1"/>
  <c r="V136" i="8"/>
  <c r="X136" i="8"/>
  <c r="U131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X12" i="10"/>
  <c r="W12" i="10"/>
  <c r="Y12" i="10"/>
  <c r="W11" i="10"/>
  <c r="X11" i="10"/>
  <c r="Y11" i="10"/>
  <c r="T136" i="8"/>
  <c r="W136" i="8"/>
  <c r="W131" i="8"/>
  <c r="Y131" i="8"/>
  <c r="Z136" i="8"/>
  <c r="Z131" i="8"/>
  <c r="D131" i="8"/>
  <c r="E131" i="8"/>
  <c r="F131" i="8"/>
  <c r="O131" i="8"/>
  <c r="AA14" i="9"/>
  <c r="V13" i="8"/>
  <c r="AB11" i="10" l="1"/>
  <c r="O10" i="9"/>
  <c r="O16" i="9" s="1"/>
  <c r="AB12" i="10"/>
  <c r="AA47" i="9"/>
  <c r="Y143" i="8"/>
  <c r="Z143" i="8"/>
  <c r="W143" i="8"/>
  <c r="V143" i="8"/>
  <c r="U143" i="8"/>
  <c r="AA143" i="8"/>
  <c r="X143" i="8"/>
  <c r="X13" i="8"/>
  <c r="T13" i="8"/>
  <c r="U13" i="8"/>
  <c r="W13" i="8"/>
  <c r="AC14" i="9"/>
  <c r="Y13" i="8"/>
  <c r="AA13" i="8"/>
  <c r="Z13" i="8"/>
  <c r="AC13" i="8" l="1"/>
  <c r="U27" i="8"/>
  <c r="T27" i="8"/>
  <c r="V27" i="8"/>
  <c r="W27" i="8"/>
  <c r="AA27" i="8"/>
  <c r="Z27" i="8"/>
  <c r="Y27" i="8"/>
  <c r="X27" i="8"/>
  <c r="V26" i="8"/>
  <c r="U26" i="8"/>
  <c r="T26" i="8"/>
  <c r="W26" i="8"/>
  <c r="AA26" i="8"/>
  <c r="Y26" i="8"/>
  <c r="Z26" i="8"/>
  <c r="X26" i="8"/>
  <c r="AA57" i="9" l="1"/>
  <c r="AA56" i="9"/>
  <c r="O8" i="8"/>
  <c r="K8" i="8"/>
  <c r="E58" i="9" l="1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J56" i="8" l="1"/>
  <c r="B2" i="9"/>
  <c r="R71" i="8"/>
  <c r="R68" i="9" s="1"/>
  <c r="Q71" i="8"/>
  <c r="Q68" i="9" s="1"/>
  <c r="P71" i="8"/>
  <c r="P68" i="9" s="1"/>
  <c r="N71" i="8"/>
  <c r="N68" i="9" s="1"/>
  <c r="M71" i="8"/>
  <c r="M68" i="9" s="1"/>
  <c r="L71" i="8"/>
  <c r="L68" i="9" s="1"/>
  <c r="J71" i="8"/>
  <c r="J68" i="9" s="1"/>
  <c r="I71" i="8"/>
  <c r="I68" i="9" s="1"/>
  <c r="H71" i="8"/>
  <c r="H68" i="9" s="1"/>
  <c r="F71" i="8"/>
  <c r="F68" i="9" s="1"/>
  <c r="E71" i="8"/>
  <c r="E68" i="9" s="1"/>
  <c r="D71" i="8"/>
  <c r="D68" i="9" s="1"/>
  <c r="C71" i="8"/>
  <c r="C68" i="9" s="1"/>
  <c r="W10" i="10"/>
  <c r="AA55" i="9"/>
  <c r="AA58" i="9" s="1"/>
  <c r="R4" i="9"/>
  <c r="AA4" i="9" s="1"/>
  <c r="R3" i="9"/>
  <c r="AA3" i="9" s="1"/>
  <c r="AA77" i="8"/>
  <c r="AC77" i="8" s="1"/>
  <c r="AA84" i="8"/>
  <c r="AA83" i="8"/>
  <c r="AA82" i="8"/>
  <c r="AA70" i="8"/>
  <c r="AA69" i="8"/>
  <c r="AA68" i="8"/>
  <c r="AA63" i="8"/>
  <c r="AA55" i="8"/>
  <c r="AA8" i="8"/>
  <c r="AA93" i="8" s="1"/>
  <c r="AA7" i="8"/>
  <c r="AA92" i="8" s="1"/>
  <c r="Q4" i="10"/>
  <c r="Y4" i="10" s="1"/>
  <c r="P4" i="10"/>
  <c r="X4" i="10" s="1"/>
  <c r="O4" i="10"/>
  <c r="W4" i="10" s="1"/>
  <c r="N4" i="10"/>
  <c r="V4" i="10" s="1"/>
  <c r="M4" i="10"/>
  <c r="U4" i="10" s="1"/>
  <c r="L4" i="10"/>
  <c r="T4" i="10" s="1"/>
  <c r="K4" i="10"/>
  <c r="J4" i="10"/>
  <c r="I4" i="10"/>
  <c r="H4" i="10"/>
  <c r="Q3" i="10"/>
  <c r="Y3" i="10" s="1"/>
  <c r="P3" i="10"/>
  <c r="X3" i="10" s="1"/>
  <c r="O3" i="10"/>
  <c r="W3" i="10" s="1"/>
  <c r="N3" i="10"/>
  <c r="V3" i="10" s="1"/>
  <c r="M3" i="10"/>
  <c r="U3" i="10" s="1"/>
  <c r="L3" i="10"/>
  <c r="T3" i="10" s="1"/>
  <c r="K3" i="10"/>
  <c r="J3" i="10"/>
  <c r="I3" i="10"/>
  <c r="H3" i="10"/>
  <c r="R4" i="10"/>
  <c r="Z4" i="10" s="1"/>
  <c r="R3" i="10"/>
  <c r="Z3" i="10" s="1"/>
  <c r="R93" i="8"/>
  <c r="R92" i="8"/>
  <c r="R85" i="8"/>
  <c r="R87" i="9" s="1"/>
  <c r="R48" i="8"/>
  <c r="R47" i="8"/>
  <c r="R11" i="8"/>
  <c r="R15" i="8" s="1"/>
  <c r="P128" i="8"/>
  <c r="F128" i="8"/>
  <c r="E128" i="8"/>
  <c r="D128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O10" i="8"/>
  <c r="K10" i="8"/>
  <c r="O84" i="8"/>
  <c r="K84" i="8"/>
  <c r="J85" i="8"/>
  <c r="J87" i="9" s="1"/>
  <c r="Q93" i="8"/>
  <c r="P93" i="8"/>
  <c r="O93" i="8"/>
  <c r="N93" i="8"/>
  <c r="M93" i="8"/>
  <c r="L93" i="8"/>
  <c r="K93" i="8"/>
  <c r="J93" i="8"/>
  <c r="I93" i="8"/>
  <c r="H93" i="8"/>
  <c r="Q92" i="8"/>
  <c r="P92" i="8"/>
  <c r="O92" i="8"/>
  <c r="N92" i="8"/>
  <c r="M92" i="8"/>
  <c r="L92" i="8"/>
  <c r="K92" i="8"/>
  <c r="J92" i="8"/>
  <c r="I92" i="8"/>
  <c r="H92" i="8"/>
  <c r="N85" i="8"/>
  <c r="N87" i="9" s="1"/>
  <c r="M85" i="8"/>
  <c r="M87" i="9" s="1"/>
  <c r="L85" i="8"/>
  <c r="L87" i="9" s="1"/>
  <c r="I85" i="8"/>
  <c r="I87" i="9" s="1"/>
  <c r="H85" i="8"/>
  <c r="H87" i="9" s="1"/>
  <c r="Q48" i="8"/>
  <c r="P48" i="8"/>
  <c r="O48" i="8"/>
  <c r="N48" i="8"/>
  <c r="M48" i="8"/>
  <c r="L48" i="8"/>
  <c r="K48" i="8"/>
  <c r="J48" i="8"/>
  <c r="I48" i="8"/>
  <c r="H48" i="8"/>
  <c r="Q47" i="8"/>
  <c r="P47" i="8"/>
  <c r="O47" i="8"/>
  <c r="N47" i="8"/>
  <c r="M47" i="8"/>
  <c r="L47" i="8"/>
  <c r="K47" i="8"/>
  <c r="J47" i="8"/>
  <c r="I47" i="8"/>
  <c r="H47" i="8"/>
  <c r="F48" i="8"/>
  <c r="E48" i="8"/>
  <c r="D48" i="8"/>
  <c r="C48" i="8"/>
  <c r="F47" i="8"/>
  <c r="E47" i="8"/>
  <c r="D47" i="8"/>
  <c r="C47" i="8"/>
  <c r="M11" i="8"/>
  <c r="M15" i="8" s="1"/>
  <c r="L11" i="8"/>
  <c r="L15" i="8" s="1"/>
  <c r="J11" i="8"/>
  <c r="J15" i="8" s="1"/>
  <c r="I11" i="8"/>
  <c r="I15" i="8" s="1"/>
  <c r="H11" i="8"/>
  <c r="H15" i="8" s="1"/>
  <c r="Q11" i="8"/>
  <c r="Q15" i="8" s="1"/>
  <c r="U8" i="8"/>
  <c r="T8" i="8"/>
  <c r="U7" i="8"/>
  <c r="T7" i="8"/>
  <c r="Y8" i="8"/>
  <c r="X8" i="8"/>
  <c r="W8" i="8"/>
  <c r="V8" i="8"/>
  <c r="Y7" i="8"/>
  <c r="X7" i="8"/>
  <c r="W7" i="8"/>
  <c r="V7" i="8"/>
  <c r="Z8" i="8"/>
  <c r="Z7" i="8"/>
  <c r="E4" i="10"/>
  <c r="D4" i="10"/>
  <c r="C4" i="10"/>
  <c r="E3" i="10"/>
  <c r="D3" i="10"/>
  <c r="C3" i="10"/>
  <c r="F4" i="10"/>
  <c r="F3" i="10"/>
  <c r="AC55" i="8" l="1"/>
  <c r="AC63" i="8"/>
  <c r="AC82" i="8"/>
  <c r="V10" i="10"/>
  <c r="X10" i="10"/>
  <c r="T10" i="8"/>
  <c r="V10" i="8"/>
  <c r="W10" i="8"/>
  <c r="U10" i="8"/>
  <c r="Z10" i="8"/>
  <c r="Y10" i="8"/>
  <c r="X10" i="8"/>
  <c r="J16" i="8"/>
  <c r="L23" i="8"/>
  <c r="I16" i="8"/>
  <c r="H16" i="8"/>
  <c r="M23" i="8"/>
  <c r="R23" i="8"/>
  <c r="AC51" i="8"/>
  <c r="AC69" i="8"/>
  <c r="AC70" i="8"/>
  <c r="AC80" i="8"/>
  <c r="AC59" i="8"/>
  <c r="AC83" i="8"/>
  <c r="AC84" i="8"/>
  <c r="AC67" i="8"/>
  <c r="AC68" i="8"/>
  <c r="AC74" i="8"/>
  <c r="R78" i="8"/>
  <c r="R69" i="9" s="1"/>
  <c r="U87" i="9"/>
  <c r="AA87" i="9"/>
  <c r="Y144" i="8"/>
  <c r="V87" i="9"/>
  <c r="W87" i="9"/>
  <c r="K58" i="9"/>
  <c r="J64" i="8"/>
  <c r="Y71" i="8"/>
  <c r="Y10" i="10"/>
  <c r="Z10" i="10"/>
  <c r="AB10" i="10" s="1"/>
  <c r="Z71" i="8"/>
  <c r="AA71" i="8"/>
  <c r="W71" i="8"/>
  <c r="K71" i="8"/>
  <c r="K68" i="9" s="1"/>
  <c r="O71" i="8"/>
  <c r="O68" i="9" s="1"/>
  <c r="AA109" i="8"/>
  <c r="J78" i="8"/>
  <c r="J69" i="9" s="1"/>
  <c r="AA106" i="8"/>
  <c r="AA22" i="8"/>
  <c r="R56" i="8"/>
  <c r="AA85" i="8"/>
  <c r="AA56" i="8"/>
  <c r="AA10" i="8"/>
  <c r="I78" i="8"/>
  <c r="I69" i="9" s="1"/>
  <c r="AA20" i="8"/>
  <c r="AC20" i="8" s="1"/>
  <c r="AA108" i="8"/>
  <c r="AA47" i="8"/>
  <c r="AA48" i="8"/>
  <c r="H78" i="8"/>
  <c r="H69" i="9" s="1"/>
  <c r="I56" i="8"/>
  <c r="I64" i="8" s="1"/>
  <c r="C128" i="8"/>
  <c r="Q128" i="8"/>
  <c r="L128" i="8"/>
  <c r="M128" i="8"/>
  <c r="Q56" i="8"/>
  <c r="Q64" i="8" s="1"/>
  <c r="N56" i="8"/>
  <c r="N64" i="8" s="1"/>
  <c r="H56" i="8"/>
  <c r="H64" i="8" s="1"/>
  <c r="M56" i="8"/>
  <c r="M64" i="8" s="1"/>
  <c r="L56" i="8"/>
  <c r="L64" i="8" s="1"/>
  <c r="F78" i="8"/>
  <c r="F69" i="9" s="1"/>
  <c r="W144" i="8"/>
  <c r="V58" i="9"/>
  <c r="U58" i="9"/>
  <c r="X144" i="8"/>
  <c r="U144" i="8"/>
  <c r="V144" i="8"/>
  <c r="T144" i="8"/>
  <c r="K11" i="8"/>
  <c r="K15" i="8" s="1"/>
  <c r="K85" i="8"/>
  <c r="K87" i="9" s="1"/>
  <c r="K56" i="8"/>
  <c r="K64" i="8" s="1"/>
  <c r="O56" i="8"/>
  <c r="O64" i="8" s="1"/>
  <c r="AC108" i="8" l="1"/>
  <c r="L28" i="8"/>
  <c r="K23" i="8"/>
  <c r="J23" i="8"/>
  <c r="R86" i="8"/>
  <c r="AA69" i="9"/>
  <c r="AA9" i="9"/>
  <c r="AC9" i="9" s="1"/>
  <c r="AA8" i="9"/>
  <c r="AC8" i="9" s="1"/>
  <c r="AA7" i="9"/>
  <c r="AC7" i="9" s="1"/>
  <c r="R13" i="10"/>
  <c r="R14" i="10" s="1"/>
  <c r="R16" i="8"/>
  <c r="I23" i="8"/>
  <c r="M16" i="8"/>
  <c r="L16" i="8"/>
  <c r="R24" i="8"/>
  <c r="R28" i="8"/>
  <c r="R33" i="8" s="1"/>
  <c r="H23" i="8"/>
  <c r="X71" i="8"/>
  <c r="AC18" i="8"/>
  <c r="AC123" i="8"/>
  <c r="AA48" i="9"/>
  <c r="AA64" i="8"/>
  <c r="AA78" i="8"/>
  <c r="AA86" i="8" s="1"/>
  <c r="AC71" i="8"/>
  <c r="AC119" i="8"/>
  <c r="AC106" i="8"/>
  <c r="AC26" i="8"/>
  <c r="AC22" i="8"/>
  <c r="AA11" i="8"/>
  <c r="AA15" i="8" s="1"/>
  <c r="AC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I86" i="8"/>
  <c r="I88" i="8" s="1"/>
  <c r="AA88" i="9"/>
  <c r="AA97" i="9" s="1"/>
  <c r="T87" i="9"/>
  <c r="T88" i="9" s="1"/>
  <c r="T97" i="9" s="1"/>
  <c r="AA19" i="9"/>
  <c r="R64" i="8"/>
  <c r="AA68" i="9"/>
  <c r="AA38" i="9"/>
  <c r="J86" i="8"/>
  <c r="J88" i="8" s="1"/>
  <c r="AC109" i="8"/>
  <c r="R128" i="8"/>
  <c r="AA110" i="8"/>
  <c r="AC110" i="8" s="1"/>
  <c r="H86" i="8"/>
  <c r="H88" i="8" s="1"/>
  <c r="N128" i="8"/>
  <c r="AA44" i="9"/>
  <c r="T58" i="9"/>
  <c r="M78" i="8"/>
  <c r="M69" i="9" s="1"/>
  <c r="L78" i="8"/>
  <c r="L69" i="9" s="1"/>
  <c r="K78" i="8"/>
  <c r="K69" i="9" s="1"/>
  <c r="N78" i="8"/>
  <c r="N69" i="9" s="1"/>
  <c r="U39" i="9"/>
  <c r="X39" i="9"/>
  <c r="Y38" i="9"/>
  <c r="AA41" i="9"/>
  <c r="V39" i="9"/>
  <c r="Z38" i="9"/>
  <c r="W39" i="9"/>
  <c r="X38" i="9"/>
  <c r="T39" i="9"/>
  <c r="M24" i="8"/>
  <c r="M28" i="8"/>
  <c r="M33" i="8" s="1"/>
  <c r="L24" i="8"/>
  <c r="AC19" i="9" l="1"/>
  <c r="M37" i="8"/>
  <c r="M38" i="8" s="1"/>
  <c r="M96" i="8"/>
  <c r="R37" i="8"/>
  <c r="R44" i="8" s="1"/>
  <c r="R96" i="8"/>
  <c r="L33" i="8"/>
  <c r="L96" i="8" s="1"/>
  <c r="I28" i="8"/>
  <c r="I33" i="8" s="1"/>
  <c r="J28" i="8"/>
  <c r="J29" i="8" s="1"/>
  <c r="J24" i="8"/>
  <c r="AA16" i="8"/>
  <c r="I24" i="8"/>
  <c r="R88" i="8"/>
  <c r="R24" i="9"/>
  <c r="R29" i="9" s="1"/>
  <c r="R35" i="9" s="1"/>
  <c r="R29" i="8"/>
  <c r="H28" i="8"/>
  <c r="H33" i="8" s="1"/>
  <c r="H24" i="8"/>
  <c r="AC27" i="8"/>
  <c r="AA88" i="8"/>
  <c r="Y40" i="9"/>
  <c r="Z40" i="9"/>
  <c r="X40" i="9"/>
  <c r="AC40" i="9"/>
  <c r="U40" i="9"/>
  <c r="V40" i="9"/>
  <c r="T40" i="9"/>
  <c r="Z39" i="9"/>
  <c r="Z144" i="8"/>
  <c r="L86" i="8"/>
  <c r="L88" i="8" s="1"/>
  <c r="Y39" i="9"/>
  <c r="M86" i="8"/>
  <c r="M88" i="8" s="1"/>
  <c r="K16" i="8"/>
  <c r="X120" i="8"/>
  <c r="Z120" i="8"/>
  <c r="Y120" i="8"/>
  <c r="AA120" i="8"/>
  <c r="Z41" i="9"/>
  <c r="M29" i="8"/>
  <c r="Z128" i="8"/>
  <c r="AA128" i="8"/>
  <c r="V120" i="8"/>
  <c r="X128" i="8"/>
  <c r="V128" i="8"/>
  <c r="Y128" i="8"/>
  <c r="O128" i="8"/>
  <c r="N86" i="8"/>
  <c r="N88" i="8" s="1"/>
  <c r="K86" i="8"/>
  <c r="K88" i="8" s="1"/>
  <c r="Y41" i="9"/>
  <c r="AC99" i="8"/>
  <c r="X41" i="9"/>
  <c r="W120" i="8"/>
  <c r="U120" i="8"/>
  <c r="T120" i="8"/>
  <c r="V38" i="9"/>
  <c r="U38" i="9"/>
  <c r="W38" i="9"/>
  <c r="AC38" i="9" s="1"/>
  <c r="T38" i="9"/>
  <c r="W41" i="9"/>
  <c r="AC41" i="9" s="1"/>
  <c r="T41" i="9"/>
  <c r="U41" i="9"/>
  <c r="V41" i="9"/>
  <c r="K24" i="8"/>
  <c r="K28" i="8"/>
  <c r="K33" i="8" s="1"/>
  <c r="L29" i="8"/>
  <c r="M44" i="8" l="1"/>
  <c r="M41" i="8"/>
  <c r="R41" i="8"/>
  <c r="R38" i="8"/>
  <c r="H37" i="8"/>
  <c r="H41" i="8" s="1"/>
  <c r="H96" i="8"/>
  <c r="K37" i="8"/>
  <c r="K38" i="8" s="1"/>
  <c r="K96" i="8"/>
  <c r="I37" i="8"/>
  <c r="I38" i="8" s="1"/>
  <c r="I96" i="8"/>
  <c r="I111" i="8" s="1"/>
  <c r="I137" i="8" s="1"/>
  <c r="L37" i="8"/>
  <c r="L111" i="8" s="1"/>
  <c r="L137" i="8" s="1"/>
  <c r="J33" i="8"/>
  <c r="J96" i="8" s="1"/>
  <c r="I29" i="8"/>
  <c r="AA23" i="8"/>
  <c r="R34" i="8"/>
  <c r="M111" i="8"/>
  <c r="M137" i="8" s="1"/>
  <c r="R17" i="9"/>
  <c r="R25" i="9"/>
  <c r="Y9" i="10"/>
  <c r="H29" i="8"/>
  <c r="AC40" i="8"/>
  <c r="AC120" i="8"/>
  <c r="AA39" i="9"/>
  <c r="AC39" i="9" s="1"/>
  <c r="AA144" i="8"/>
  <c r="Z9" i="10"/>
  <c r="W9" i="10"/>
  <c r="X9" i="10"/>
  <c r="V9" i="10"/>
  <c r="AA32" i="9"/>
  <c r="AC32" i="9" s="1"/>
  <c r="AA27" i="9"/>
  <c r="AA45" i="9"/>
  <c r="R30" i="9"/>
  <c r="I34" i="8"/>
  <c r="K29" i="8"/>
  <c r="R111" i="8"/>
  <c r="R137" i="8" s="1"/>
  <c r="T128" i="8"/>
  <c r="K128" i="8"/>
  <c r="W128" i="8"/>
  <c r="AC128" i="8" s="1"/>
  <c r="U128" i="8"/>
  <c r="M34" i="8"/>
  <c r="L34" i="8"/>
  <c r="H44" i="8" l="1"/>
  <c r="H38" i="8"/>
  <c r="I44" i="8"/>
  <c r="K44" i="8"/>
  <c r="K41" i="8"/>
  <c r="I41" i="8"/>
  <c r="J37" i="8"/>
  <c r="J111" i="8" s="1"/>
  <c r="J137" i="8" s="1"/>
  <c r="L38" i="8"/>
  <c r="L41" i="8"/>
  <c r="L44" i="8"/>
  <c r="J34" i="8"/>
  <c r="AA24" i="8"/>
  <c r="AA28" i="8"/>
  <c r="AA33" i="8" s="1"/>
  <c r="AA96" i="8" s="1"/>
  <c r="AC27" i="9"/>
  <c r="AA6" i="9"/>
  <c r="H111" i="8"/>
  <c r="H137" i="8" s="1"/>
  <c r="H34" i="8"/>
  <c r="V17" i="9"/>
  <c r="R36" i="9"/>
  <c r="R42" i="9"/>
  <c r="R50" i="9" s="1"/>
  <c r="K34" i="8"/>
  <c r="AA34" i="8" l="1"/>
  <c r="AA37" i="8"/>
  <c r="J38" i="8"/>
  <c r="J44" i="8"/>
  <c r="J41" i="8"/>
  <c r="AA29" i="8"/>
  <c r="U17" i="9"/>
  <c r="W25" i="9"/>
  <c r="W17" i="9"/>
  <c r="T17" i="9"/>
  <c r="V25" i="9"/>
  <c r="T25" i="9"/>
  <c r="Y11" i="9"/>
  <c r="AC6" i="9"/>
  <c r="R51" i="9"/>
  <c r="T30" i="9"/>
  <c r="K111" i="8"/>
  <c r="K137" i="8" s="1"/>
  <c r="U95" i="9" l="1" a="1"/>
  <c r="U95" i="9" s="1"/>
  <c r="V94" i="9"/>
  <c r="AA38" i="8"/>
  <c r="AA44" i="8"/>
  <c r="AA41" i="8"/>
  <c r="U25" i="9"/>
  <c r="X11" i="9"/>
  <c r="Y17" i="9"/>
  <c r="X17" i="9"/>
  <c r="AC10" i="9"/>
  <c r="AA11" i="9"/>
  <c r="AC11" i="9" s="1"/>
  <c r="U30" i="9"/>
  <c r="V30" i="9"/>
  <c r="Y25" i="9"/>
  <c r="U137" i="8"/>
  <c r="V137" i="8"/>
  <c r="T137" i="8"/>
  <c r="T96" i="9" a="1"/>
  <c r="T96" i="9" s="1"/>
  <c r="T94" i="9"/>
  <c r="T95" i="9" a="1"/>
  <c r="T95" i="9" s="1"/>
  <c r="T93" i="9"/>
  <c r="T36" i="9"/>
  <c r="T92" i="9"/>
  <c r="B93" i="8"/>
  <c r="B92" i="8"/>
  <c r="F93" i="8"/>
  <c r="E93" i="8"/>
  <c r="D93" i="8"/>
  <c r="C93" i="8"/>
  <c r="F92" i="8"/>
  <c r="E92" i="8"/>
  <c r="D92" i="8"/>
  <c r="C92" i="8"/>
  <c r="B48" i="8"/>
  <c r="B47" i="8"/>
  <c r="Z48" i="8"/>
  <c r="Y48" i="8"/>
  <c r="X48" i="8"/>
  <c r="V48" i="8"/>
  <c r="U48" i="8"/>
  <c r="T48" i="8"/>
  <c r="W48" i="8"/>
  <c r="Z47" i="8"/>
  <c r="Y47" i="8"/>
  <c r="X47" i="8"/>
  <c r="W47" i="8"/>
  <c r="V47" i="8"/>
  <c r="U47" i="8"/>
  <c r="T47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T92" i="8"/>
  <c r="T93" i="8"/>
  <c r="W92" i="8"/>
  <c r="X92" i="8"/>
  <c r="X93" i="8"/>
  <c r="Y93" i="8"/>
  <c r="V92" i="8"/>
  <c r="Y92" i="8"/>
  <c r="V93" i="8"/>
  <c r="U93" i="8"/>
  <c r="Z92" i="8"/>
  <c r="W93" i="8"/>
  <c r="U92" i="8"/>
  <c r="Z93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E13" i="10" l="1"/>
  <c r="D13" i="10"/>
  <c r="C13" i="10"/>
  <c r="Q13" i="10"/>
  <c r="Q14" i="10" s="1"/>
  <c r="P13" i="10"/>
  <c r="O13" i="10"/>
  <c r="N13" i="10"/>
  <c r="M13" i="10"/>
  <c r="M14" i="10" s="1"/>
  <c r="L13" i="10"/>
  <c r="L14" i="10" s="1"/>
  <c r="K13" i="10"/>
  <c r="K14" i="10" s="1"/>
  <c r="J13" i="10"/>
  <c r="J14" i="10" s="1"/>
  <c r="I13" i="10"/>
  <c r="I14" i="10" s="1"/>
  <c r="H13" i="10"/>
  <c r="H14" i="10" s="1"/>
  <c r="F13" i="10"/>
  <c r="O85" i="8"/>
  <c r="O87" i="9" s="1"/>
  <c r="Q85" i="8"/>
  <c r="Q87" i="9" s="1"/>
  <c r="Z87" i="9" l="1"/>
  <c r="X87" i="9"/>
  <c r="X88" i="9" s="1"/>
  <c r="X97" i="9" s="1"/>
  <c r="P56" i="8"/>
  <c r="P64" i="8" s="1"/>
  <c r="P85" i="8"/>
  <c r="P87" i="9" s="1"/>
  <c r="R11" i="9" l="1"/>
  <c r="R12" i="9"/>
  <c r="Y87" i="9"/>
  <c r="Y88" i="9" s="1"/>
  <c r="Y97" i="9" s="1"/>
  <c r="Z88" i="9"/>
  <c r="Z97" i="9" s="1"/>
  <c r="U11" i="8" l="1"/>
  <c r="U15" i="8" s="1"/>
  <c r="E56" i="8"/>
  <c r="E64" i="8" s="1"/>
  <c r="D56" i="8"/>
  <c r="D64" i="8" s="1"/>
  <c r="C56" i="8"/>
  <c r="C64" i="8" s="1"/>
  <c r="F56" i="8"/>
  <c r="F64" i="8" s="1"/>
  <c r="V11" i="8" l="1"/>
  <c r="V15" i="8" s="1"/>
  <c r="V56" i="8"/>
  <c r="V64" i="8" s="1"/>
  <c r="V85" i="8"/>
  <c r="T56" i="8"/>
  <c r="T64" i="8" s="1"/>
  <c r="V71" i="8"/>
  <c r="V78" i="8" s="1"/>
  <c r="U71" i="8"/>
  <c r="U78" i="8" s="1"/>
  <c r="U56" i="8"/>
  <c r="U64" i="8" s="1"/>
  <c r="T85" i="8"/>
  <c r="T11" i="8"/>
  <c r="T15" i="8" s="1"/>
  <c r="T71" i="8"/>
  <c r="T78" i="8" s="1"/>
  <c r="U85" i="8"/>
  <c r="X85" i="8"/>
  <c r="X56" i="8"/>
  <c r="X64" i="8" s="1"/>
  <c r="Y85" i="8"/>
  <c r="X11" i="8"/>
  <c r="X15" i="8" s="1"/>
  <c r="X78" i="8"/>
  <c r="Y78" i="8"/>
  <c r="W11" i="8"/>
  <c r="W15" i="8" s="1"/>
  <c r="Y11" i="8"/>
  <c r="Y15" i="8" s="1"/>
  <c r="Y56" i="8"/>
  <c r="Y64" i="8" s="1"/>
  <c r="AC15" i="8" l="1"/>
  <c r="AC11" i="8"/>
  <c r="U23" i="8"/>
  <c r="V13" i="10"/>
  <c r="V14" i="10" s="1"/>
  <c r="W13" i="10"/>
  <c r="W14" i="10" s="1"/>
  <c r="V86" i="8"/>
  <c r="V88" i="8" s="1"/>
  <c r="T86" i="8"/>
  <c r="T88" i="8" s="1"/>
  <c r="U86" i="8"/>
  <c r="U88" i="8" s="1"/>
  <c r="U16" i="8"/>
  <c r="X86" i="8"/>
  <c r="X88" i="8" s="1"/>
  <c r="Y86" i="8"/>
  <c r="Y88" i="8" s="1"/>
  <c r="U28" i="8" l="1"/>
  <c r="W23" i="8"/>
  <c r="X23" i="8"/>
  <c r="T23" i="8"/>
  <c r="T24" i="8" s="1"/>
  <c r="V23" i="8"/>
  <c r="U24" i="8"/>
  <c r="Y23" i="8"/>
  <c r="X16" i="8"/>
  <c r="W16" i="8"/>
  <c r="AC16" i="8" s="1"/>
  <c r="T16" i="8"/>
  <c r="Y16" i="8"/>
  <c r="V16" i="8"/>
  <c r="Z17" i="9"/>
  <c r="T13" i="10"/>
  <c r="T14" i="10" s="1"/>
  <c r="U13" i="10"/>
  <c r="U14" i="10" s="1"/>
  <c r="X13" i="10"/>
  <c r="X14" i="10" s="1"/>
  <c r="Z13" i="10"/>
  <c r="Z14" i="10" s="1"/>
  <c r="U33" i="8" l="1"/>
  <c r="U37" i="8" s="1"/>
  <c r="U96" i="8" s="1"/>
  <c r="U41" i="8"/>
  <c r="U38" i="8"/>
  <c r="U44" i="8"/>
  <c r="U29" i="8"/>
  <c r="Y24" i="8"/>
  <c r="X28" i="8"/>
  <c r="X33" i="8" s="1"/>
  <c r="X37" i="8" s="1"/>
  <c r="V28" i="8"/>
  <c r="W28" i="8"/>
  <c r="W33" i="8" s="1"/>
  <c r="W37" i="8" s="1"/>
  <c r="AC23" i="8"/>
  <c r="X24" i="8"/>
  <c r="W24" i="8"/>
  <c r="AC24" i="8" s="1"/>
  <c r="V24" i="8"/>
  <c r="T28" i="8"/>
  <c r="Y28" i="8"/>
  <c r="Y33" i="8" s="1"/>
  <c r="Y37" i="8" s="1"/>
  <c r="Z94" i="9"/>
  <c r="Z25" i="9"/>
  <c r="Y13" i="10"/>
  <c r="AB13" i="10"/>
  <c r="AB9" i="10"/>
  <c r="U34" i="8"/>
  <c r="T33" i="8" l="1"/>
  <c r="T37" i="8" s="1"/>
  <c r="T96" i="8" s="1"/>
  <c r="V33" i="8"/>
  <c r="V37" i="8" s="1"/>
  <c r="V41" i="8" s="1"/>
  <c r="W96" i="8"/>
  <c r="Y38" i="8"/>
  <c r="Y96" i="8"/>
  <c r="X38" i="8"/>
  <c r="X96" i="8"/>
  <c r="T44" i="8"/>
  <c r="T41" i="8"/>
  <c r="T38" i="8"/>
  <c r="X29" i="8"/>
  <c r="V29" i="8"/>
  <c r="W29" i="8"/>
  <c r="AC29" i="8" s="1"/>
  <c r="T34" i="8"/>
  <c r="AC28" i="8"/>
  <c r="T29" i="8"/>
  <c r="Y29" i="8"/>
  <c r="Z30" i="9"/>
  <c r="V34" i="8"/>
  <c r="X34" i="8"/>
  <c r="Y34" i="8"/>
  <c r="V44" i="8" l="1"/>
  <c r="V38" i="8"/>
  <c r="V96" i="8"/>
  <c r="W38" i="8"/>
  <c r="AC38" i="8" s="1"/>
  <c r="AC37" i="8"/>
  <c r="Y44" i="8"/>
  <c r="Y41" i="8"/>
  <c r="W44" i="8"/>
  <c r="AC44" i="8" s="1"/>
  <c r="W41" i="8"/>
  <c r="AC41" i="8" s="1"/>
  <c r="X44" i="8"/>
  <c r="X41" i="8"/>
  <c r="AC33" i="8"/>
  <c r="W34" i="8"/>
  <c r="AC34" i="8" s="1"/>
  <c r="Z96" i="9" a="1"/>
  <c r="Z96" i="9" s="1"/>
  <c r="Z36" i="9"/>
  <c r="Z95" i="9" a="1"/>
  <c r="Z95" i="9" s="1"/>
  <c r="Z92" i="9"/>
  <c r="Z93" i="9"/>
  <c r="W78" i="8" l="1"/>
  <c r="AC78" i="8" s="1"/>
  <c r="N11" i="8" l="1"/>
  <c r="N15" i="8" s="1"/>
  <c r="F11" i="8"/>
  <c r="F15" i="8" s="1"/>
  <c r="E11" i="8"/>
  <c r="E15" i="8" s="1"/>
  <c r="D11" i="8"/>
  <c r="D15" i="8" s="1"/>
  <c r="C11" i="8"/>
  <c r="C15" i="8" s="1"/>
  <c r="F85" i="8"/>
  <c r="F87" i="9" s="1"/>
  <c r="E85" i="8"/>
  <c r="E87" i="9" s="1"/>
  <c r="D85" i="8"/>
  <c r="D87" i="9" s="1"/>
  <c r="C85" i="8"/>
  <c r="C87" i="9" s="1"/>
  <c r="Q78" i="8"/>
  <c r="Q69" i="9" s="1"/>
  <c r="O78" i="8"/>
  <c r="O69" i="9" s="1"/>
  <c r="Z11" i="8"/>
  <c r="Z15" i="8" s="1"/>
  <c r="P88" i="9"/>
  <c r="P97" i="9" s="1"/>
  <c r="H88" i="9"/>
  <c r="H97" i="9" s="1"/>
  <c r="C23" i="8" l="1"/>
  <c r="D23" i="8"/>
  <c r="E23" i="8"/>
  <c r="F23" i="8"/>
  <c r="N23" i="8"/>
  <c r="Y14" i="10"/>
  <c r="D14" i="10"/>
  <c r="N14" i="10"/>
  <c r="F14" i="10"/>
  <c r="E14" i="10"/>
  <c r="C14" i="10"/>
  <c r="C78" i="8"/>
  <c r="C69" i="9" s="1"/>
  <c r="E78" i="8"/>
  <c r="E69" i="9" s="1"/>
  <c r="D78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W85" i="8"/>
  <c r="Q23" i="8"/>
  <c r="P78" i="8"/>
  <c r="P69" i="9" s="1"/>
  <c r="Z78" i="8"/>
  <c r="Z85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W86" i="8" l="1"/>
  <c r="AC86" i="8" s="1"/>
  <c r="AC85" i="8"/>
  <c r="D86" i="8"/>
  <c r="D88" i="8" s="1"/>
  <c r="Q28" i="8"/>
  <c r="Q33" i="8" s="1"/>
  <c r="F28" i="8"/>
  <c r="F33" i="8" s="1"/>
  <c r="N24" i="8"/>
  <c r="C28" i="8"/>
  <c r="C33" i="8" s="1"/>
  <c r="D28" i="8"/>
  <c r="D33" i="8" s="1"/>
  <c r="E24" i="8"/>
  <c r="C86" i="8"/>
  <c r="C88" i="8" s="1"/>
  <c r="N16" i="8"/>
  <c r="C16" i="8"/>
  <c r="O88" i="9"/>
  <c r="O97" i="9" s="1"/>
  <c r="O86" i="8"/>
  <c r="O88" i="8" s="1"/>
  <c r="W56" i="8"/>
  <c r="AC56" i="8" s="1"/>
  <c r="Q86" i="8"/>
  <c r="Q88" i="8" s="1"/>
  <c r="E86" i="8"/>
  <c r="E88" i="8" s="1"/>
  <c r="F86" i="8"/>
  <c r="F88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Z56" i="8"/>
  <c r="Z64" i="8" s="1"/>
  <c r="E16" i="8"/>
  <c r="F16" i="8"/>
  <c r="D16" i="8"/>
  <c r="Z23" i="8"/>
  <c r="Q16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D37" i="8" l="1"/>
  <c r="D38" i="8" s="1"/>
  <c r="D96" i="8"/>
  <c r="F37" i="8"/>
  <c r="F41" i="8" s="1"/>
  <c r="F96" i="8"/>
  <c r="F111" i="8" s="1"/>
  <c r="F137" i="8" s="1"/>
  <c r="C37" i="8"/>
  <c r="C38" i="8" s="1"/>
  <c r="C96" i="8"/>
  <c r="Q37" i="8"/>
  <c r="Q41" i="8" s="1"/>
  <c r="Q96" i="8"/>
  <c r="M17" i="9"/>
  <c r="M25" i="9"/>
  <c r="Q24" i="8"/>
  <c r="F24" i="8"/>
  <c r="C24" i="8"/>
  <c r="E28" i="8"/>
  <c r="E33" i="8" s="1"/>
  <c r="N28" i="8"/>
  <c r="N33" i="8" s="1"/>
  <c r="D24" i="8"/>
  <c r="W64" i="8"/>
  <c r="Z28" i="8"/>
  <c r="Z33" i="8" s="1"/>
  <c r="Z37" i="8" s="1"/>
  <c r="D29" i="8"/>
  <c r="Q29" i="8"/>
  <c r="Z24" i="8"/>
  <c r="F29" i="8"/>
  <c r="Z86" i="8"/>
  <c r="P86" i="8"/>
  <c r="P88" i="8" s="1"/>
  <c r="O17" i="9"/>
  <c r="K17" i="9"/>
  <c r="F34" i="8"/>
  <c r="C29" i="8"/>
  <c r="Z16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F44" i="8" l="1"/>
  <c r="F38" i="8"/>
  <c r="D41" i="8"/>
  <c r="D44" i="8"/>
  <c r="Q44" i="8"/>
  <c r="C44" i="8"/>
  <c r="Q38" i="8"/>
  <c r="Z41" i="8"/>
  <c r="Z96" i="8"/>
  <c r="C41" i="8"/>
  <c r="E37" i="8"/>
  <c r="E41" i="8" s="1"/>
  <c r="E96" i="8"/>
  <c r="E111" i="8" s="1"/>
  <c r="E137" i="8" s="1"/>
  <c r="N37" i="8"/>
  <c r="N38" i="8" s="1"/>
  <c r="N96" i="8"/>
  <c r="W88" i="8"/>
  <c r="AC64" i="8"/>
  <c r="E29" i="8"/>
  <c r="E34" i="8"/>
  <c r="N29" i="8"/>
  <c r="D34" i="8"/>
  <c r="Q111" i="8"/>
  <c r="Q137" i="8" s="1"/>
  <c r="Q34" i="8"/>
  <c r="C111" i="8"/>
  <c r="C34" i="8"/>
  <c r="Z88" i="8"/>
  <c r="Z29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Z44" i="8" l="1"/>
  <c r="Z38" i="8"/>
  <c r="E44" i="8"/>
  <c r="N44" i="8"/>
  <c r="E38" i="8"/>
  <c r="N41" i="8"/>
  <c r="N34" i="8"/>
  <c r="N111" i="8"/>
  <c r="N137" i="8" s="1"/>
  <c r="W137" i="8" s="1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D111" i="8"/>
  <c r="D137" i="8" s="1"/>
  <c r="C137" i="8"/>
  <c r="V111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W111" i="8" l="1"/>
  <c r="T111" i="8"/>
  <c r="U111" i="8"/>
  <c r="Z34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AA50" i="9" l="1"/>
  <c r="P51" i="9"/>
  <c r="Q51" i="9"/>
  <c r="N51" i="9"/>
  <c r="M51" i="9"/>
  <c r="H51" i="9"/>
  <c r="J51" i="9"/>
  <c r="K51" i="9"/>
  <c r="I51" i="9" l="1"/>
  <c r="L51" i="9"/>
  <c r="C132" i="8" l="1"/>
  <c r="C138" i="8" s="1"/>
  <c r="C140" i="8" s="1"/>
  <c r="D130" i="8" l="1"/>
  <c r="D132" i="8" s="1"/>
  <c r="D138" i="8" s="1"/>
  <c r="D140" i="8" s="1"/>
  <c r="E130" i="8" l="1"/>
  <c r="E132" i="8" s="1"/>
  <c r="E138" i="8" l="1"/>
  <c r="E140" i="8" s="1"/>
  <c r="H130" i="8"/>
  <c r="F130" i="8" l="1"/>
  <c r="F132" i="8" s="1"/>
  <c r="F138" i="8" s="1"/>
  <c r="F140" i="8" s="1"/>
  <c r="H132" i="8" l="1"/>
  <c r="H138" i="8" s="1"/>
  <c r="H140" i="8" s="1"/>
  <c r="U130" i="8" l="1"/>
  <c r="I130" i="8"/>
  <c r="I132" i="8" s="1"/>
  <c r="I138" i="8" s="1"/>
  <c r="I140" i="8" s="1"/>
  <c r="V130" i="8" l="1"/>
  <c r="J130" i="8"/>
  <c r="J132" i="8" s="1"/>
  <c r="J138" i="8" s="1"/>
  <c r="J140" i="8" s="1"/>
  <c r="W130" i="8" l="1"/>
  <c r="K130" i="8"/>
  <c r="K132" i="8" s="1"/>
  <c r="K138" i="8" s="1"/>
  <c r="K140" i="8" s="1"/>
  <c r="X130" i="8" l="1"/>
  <c r="L130" i="8"/>
  <c r="L132" i="8" s="1"/>
  <c r="L138" i="8" s="1"/>
  <c r="L140" i="8" s="1"/>
  <c r="Y130" i="8" l="1"/>
  <c r="U132" i="8"/>
  <c r="U138" i="8" s="1"/>
  <c r="U140" i="8" s="1"/>
  <c r="M130" i="8"/>
  <c r="M132" i="8" s="1"/>
  <c r="M138" i="8" s="1"/>
  <c r="M140" i="8" s="1"/>
  <c r="Z130" i="8" l="1"/>
  <c r="V132" i="8"/>
  <c r="V138" i="8" s="1"/>
  <c r="V140" i="8" s="1"/>
  <c r="N130" i="8"/>
  <c r="N132" i="8" s="1"/>
  <c r="N138" i="8" s="1"/>
  <c r="N140" i="8" s="1"/>
  <c r="AA130" i="8" l="1"/>
  <c r="W132" i="8"/>
  <c r="W138" i="8" s="1"/>
  <c r="W140" i="8" s="1"/>
  <c r="O130" i="8"/>
  <c r="O132" i="8" s="1"/>
  <c r="P11" i="8" l="1"/>
  <c r="P15" i="8" s="1"/>
  <c r="P23" i="8" l="1"/>
  <c r="P14" i="10"/>
  <c r="P28" i="8" l="1"/>
  <c r="P33" i="8" s="1"/>
  <c r="P16" i="8"/>
  <c r="P37" i="8" l="1"/>
  <c r="P96" i="8"/>
  <c r="P38" i="8"/>
  <c r="P44" i="8"/>
  <c r="P41" i="8"/>
  <c r="P24" i="8"/>
  <c r="P29" i="8"/>
  <c r="P34" i="8" l="1"/>
  <c r="P111" i="8" l="1"/>
  <c r="P137" i="8" s="1"/>
  <c r="O11" i="8"/>
  <c r="O15" i="8" s="1"/>
  <c r="O23" i="8" l="1"/>
  <c r="O14" i="10"/>
  <c r="O16" i="8" l="1"/>
  <c r="O28" i="8"/>
  <c r="O33" i="8" s="1"/>
  <c r="O37" i="8" l="1"/>
  <c r="O41" i="8" s="1"/>
  <c r="O96" i="8"/>
  <c r="O38" i="8"/>
  <c r="O44" i="8"/>
  <c r="O24" i="8"/>
  <c r="O29" i="8"/>
  <c r="O34" i="8" l="1"/>
  <c r="AA111" i="8" l="1"/>
  <c r="AC111" i="8" s="1"/>
  <c r="AC96" i="8"/>
  <c r="X111" i="8"/>
  <c r="Y111" i="8"/>
  <c r="O111" i="8"/>
  <c r="O137" i="8" s="1"/>
  <c r="O138" i="8" l="1"/>
  <c r="O140" i="8" s="1"/>
  <c r="AA137" i="8"/>
  <c r="Z137" i="8"/>
  <c r="Y137" i="8"/>
  <c r="X137" i="8"/>
  <c r="X132" i="8"/>
  <c r="Z111" i="8"/>
  <c r="P130" i="8" l="1"/>
  <c r="P132" i="8" s="1"/>
  <c r="P138" i="8" s="1"/>
  <c r="P140" i="8" s="1"/>
  <c r="X138" i="8"/>
  <c r="X140" i="8" s="1"/>
  <c r="Y132" i="8"/>
  <c r="Y138" i="8" s="1"/>
  <c r="Y140" i="8" s="1"/>
  <c r="Q130" i="8" l="1"/>
  <c r="Q132" i="8" s="1"/>
  <c r="Q138" i="8" s="1"/>
  <c r="Q140" i="8" s="1"/>
  <c r="Z132" i="8"/>
  <c r="Z138" i="8" s="1"/>
  <c r="Z140" i="8" s="1"/>
  <c r="T132" i="8"/>
  <c r="T138" i="8" s="1"/>
  <c r="T140" i="8" s="1"/>
  <c r="R130" i="8" l="1"/>
  <c r="R132" i="8" s="1"/>
  <c r="R138" i="8" s="1"/>
  <c r="R140" i="8" s="1"/>
  <c r="AA132" i="8"/>
  <c r="AA138" i="8" s="1"/>
  <c r="AA140" i="8" s="1"/>
  <c r="C88" i="9" l="1"/>
  <c r="C97" i="9" s="1"/>
  <c r="C92" i="9"/>
  <c r="C9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<sst xmlns="http://schemas.openxmlformats.org/spreadsheetml/2006/main" count="256" uniqueCount="197">
  <si>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</si>
  <si>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</si>
  <si>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</si>
  <si>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</si>
  <si>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</si>
  <si>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</si>
  <si>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</si>
  <si>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</si>
  <si>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</si>
  <si>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</si>
  <si>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</si>
  <si>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</si>
  <si>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</si>
  <si>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Accounts payable</t>
  </si>
  <si>
    <t>Changes in assets and liabilities: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</si>
  <si>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</si>
  <si>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</si>
  <si>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</si>
  <si>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</si>
  <si>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</si>
  <si>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</si>
  <si>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</si>
  <si>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</si>
  <si>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</si>
  <si>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</si>
  <si>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</si>
  <si>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</si>
  <si>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</si>
  <si>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</si>
  <si>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</si>
  <si>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</si>
  <si>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</si>
  <si>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</si>
  <si>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</si>
  <si>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</si>
  <si>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</si>
  <si>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</si>
  <si>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</si>
  <si>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</si>
  <si>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</si>
  <si>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</si>
  <si>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</si>
  <si>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</si>
  <si>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</si>
  <si>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</si>
  <si>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</si>
  <si>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</si>
  <si>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</si>
  <si>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</si>
  <si>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</si>
  <si>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</si>
  <si>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</si>
  <si>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</si>
  <si>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</si>
  <si>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</si>
  <si>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</si>
  <si>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</si>
  <si>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</si>
  <si>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</si>
  <si>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</si>
  <si>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</si>
  <si>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</si>
  <si>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</si>
  <si>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</si>
  <si>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</si>
  <si>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</si>
  <si>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</si>
  <si>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</si>
  <si>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</si>
  <si>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</si>
  <si>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</si>
  <si>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</si>
  <si>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</si>
  <si>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</si>
  <si>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</si>
  <si>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</si>
  <si>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</si>
  <si>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</si>
  <si>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</si>
  <si>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</si>
  <si>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</si>
  <si>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</si>
  <si>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</si>
  <si>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</si>
  <si>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</si>
  <si>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Other non-current assets</t>
  </si>
  <si>
    <t>Property and equipment, net</t>
  </si>
  <si>
    <t>Deferred income taxes</t>
  </si>
  <si>
    <t>Purchases of property and equipment</t>
  </si>
  <si>
    <t>Disaggregated Revenues</t>
  </si>
  <si>
    <t>Offerings Drivers</t>
  </si>
  <si>
    <t>Variance Check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</si>
  <si>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</si>
  <si>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</si>
  <si>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</si>
  <si>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</si>
  <si>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</si>
  <si>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</si>
  <si>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</si>
  <si>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</si>
  <si>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</si>
  <si>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Cash and cash equivalents</t>
  </si>
  <si>
    <t>Short-term investments</t>
  </si>
  <si>
    <t>Repurchases of common stock</t>
  </si>
  <si>
    <t>EOP Restricted Cash Adjustment</t>
  </si>
  <si>
    <t>Interest paid</t>
  </si>
  <si>
    <t>BOP Restricted Cash Adjustment</t>
  </si>
  <si>
    <t>$ in thousands except per share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</si>
  <si>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</si>
  <si>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</si>
  <si>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</si>
  <si>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</si>
  <si>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</si>
  <si>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</si>
  <si>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</si>
  <si>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</si>
  <si>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Research and development</t>
  </si>
  <si>
    <t>Marketing, general and administrative</t>
  </si>
  <si>
    <t>Amortization of acquisition-related intangibles</t>
  </si>
  <si>
    <t>Licensing gain</t>
  </si>
  <si>
    <t>Interest expense</t>
  </si>
  <si>
    <t>Other income (expense), net</t>
  </si>
  <si>
    <t>Income before income taxes and equity income</t>
  </si>
  <si>
    <t>Margin (%)</t>
  </si>
  <si>
    <t>Equity income in investee</t>
  </si>
  <si>
    <t>Income tax provision (benefit)</t>
  </si>
  <si>
    <t>Net Income</t>
  </si>
  <si>
    <t>Accounts receivable, net</t>
  </si>
  <si>
    <t>Inventories</t>
  </si>
  <si>
    <t>Prepaid expenses and other current assets</t>
  </si>
  <si>
    <t>Goodwill</t>
  </si>
  <si>
    <t>Acquisition-related intangibles</t>
  </si>
  <si>
    <t>Deferred tax assets</t>
  </si>
  <si>
    <t>Accrued liabilities</t>
  </si>
  <si>
    <t>Current portion of long-term debt, net</t>
  </si>
  <si>
    <t>Other current liabilities</t>
  </si>
  <si>
    <t>Long-term debt, net of current portion</t>
  </si>
  <si>
    <t>Long-term operating lease liabilities</t>
  </si>
  <si>
    <t>Deferred tax liabilities</t>
  </si>
  <si>
    <t>Other long-term liabilities</t>
  </si>
  <si>
    <t>Additional paid-in capital</t>
  </si>
  <si>
    <t>Treasury Stock, Value</t>
  </si>
  <si>
    <t>Retained earnings (Accumulated deficit)</t>
  </si>
  <si>
    <t>Accumulated other comprehensive loss</t>
  </si>
  <si>
    <t>Common Stock</t>
  </si>
  <si>
    <t>Depreciation and amortization</t>
  </si>
  <si>
    <t>Stock-based compensation</t>
  </si>
  <si>
    <t>Other</t>
  </si>
  <si>
    <t>Prepaid expenses and other assets</t>
  </si>
  <si>
    <t>Accrued and other liabilities</t>
  </si>
  <si>
    <t>Proceeds from sales of common stock through employee equity plans</t>
  </si>
  <si>
    <t>Common stock repurchases for tax withholding on employee equity plans</t>
  </si>
  <si>
    <t xml:space="preserve">Income taxes paid </t>
  </si>
  <si>
    <t>Advanced Micro Devices Inc. (NASDAQ: AMD)</t>
  </si>
  <si>
    <t xml:space="preserve">Acquisitions, net of cash acquired	</t>
  </si>
  <si>
    <t>Restructuring charges</t>
  </si>
  <si>
    <t>Purchases of strategic investments</t>
  </si>
  <si>
    <t>Data Center</t>
  </si>
  <si>
    <t>Gaming</t>
  </si>
  <si>
    <t>Client</t>
  </si>
  <si>
    <t>Embedded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</si>
  <si>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</si>
  <si>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</si>
  <si>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</si>
  <si>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</si>
  <si>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</si>
  <si>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Income from continuing operations, net of tax</t>
  </si>
  <si>
    <t xml:space="preserve">Income from discontinued operations, net of tax	</t>
  </si>
  <si>
    <t>Cash-Flows From Discountinued Operations</t>
  </si>
  <si>
    <t xml:space="preserve">Amortization of acquisition-related intangibles	</t>
  </si>
  <si>
    <t>Cost of Sales</t>
  </si>
  <si>
    <r>
      <t xml:space="preserve">Rounding Adjustments </t>
    </r>
    <r>
      <rPr>
        <i/>
        <vertAlign val="superscript"/>
        <sz val="9"/>
        <color theme="1"/>
        <rFont val="Calibri"/>
        <family val="2"/>
      </rPr>
      <t>(1)</t>
    </r>
  </si>
  <si>
    <t>1) Rounding adjustments include variance between Amortization of acquisition-related intangibles on I/S &amp; CFs recon between fillings.</t>
  </si>
  <si>
    <t xml:space="preserve">Proceeds &amp; Maturity / (Purchases) of ST investments	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</si>
  <si>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</si>
  <si>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</si>
  <si>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</si>
  <si>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</si>
  <si>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</si>
  <si>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</si>
  <si>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</si>
  <si>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</si>
  <si>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</si>
  <si>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</si>
  <si>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</si>
  <si>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Proceeds from Debt / (Repayment)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</si>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</sst>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3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vertAlign val="superscript"/>
      <sz val="9"/>
      <color theme="1"/>
      <name val="Calibri"/>
      <family val="2"/>
    </font>
    <font>
      <i/>
      <sz val="8"/>
      <color rgb="FF0000CC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63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6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8" fillId="5" borderId="9" xfId="0" applyFont="1" applyFill="1" applyBorder="1" applyAlignment="1">
      <alignment horizontal="right" vertical="center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4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7" fillId="0" borderId="9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10" xfId="0" applyNumberFormat="1" applyFont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7" fillId="0" borderId="8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16" fillId="0" borderId="9" xfId="0" quotePrefix="1" applyFont="1" applyBorder="1" applyAlignment="1">
      <alignment horizontal="right" indent="1"/>
    </xf>
    <xf numFmtId="0" fontId="8" fillId="5" borderId="9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5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0" fontId="4" fillId="0" borderId="0" xfId="0" applyFont="1" applyFill="1"/>
    <xf numFmtId="41" fontId="6" fillId="0" borderId="0" xfId="0" applyNumberFormat="1" applyFont="1" applyFill="1" applyAlignment="1">
      <alignment horizontal="right" vertical="top" wrapText="1"/>
    </xf>
    <xf numFmtId="0" fontId="14" fillId="0" borderId="0" xfId="0" applyFont="1" applyFill="1"/>
    <xf numFmtId="41" fontId="32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2" fillId="8" borderId="0" xfId="0" applyNumberFormat="1" applyFont="1" applyFill="1" applyAlignment="1">
      <alignment vertical="center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C162"/>
  <sheetViews>
    <sheetView showGridLines="0" tabSelected="1" zoomScale="115" zoomScaleNormal="115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3" width="9" style="5" customWidth="1" outlineLevel="1"/>
    <col min="4" max="6" width="9" style="5" bestFit="1" customWidth="1"/>
    <col min="7" max="7" width="1.5" style="5" customWidth="1"/>
    <col min="8" max="11" width="8.875" style="5" hidden="1" customWidth="1" outlineLevel="2"/>
    <col min="12" max="13" width="8.875" style="5" hidden="1" customWidth="1" outlineLevel="1"/>
    <col min="14" max="14" width="8.875" style="5" bestFit="1" customWidth="1" collapsed="1"/>
    <col min="15" max="18" width="8.875" style="5" bestFit="1" customWidth="1"/>
    <col min="19" max="19" width="1.5" style="5" customWidth="1"/>
    <col min="20" max="22" width="8.75" style="5" hidden="1" customWidth="1" outlineLevel="1"/>
    <col min="23" max="23" width="9" style="5" bestFit="1" customWidth="1" collapsed="1"/>
    <col min="24" max="26" width="9" style="5" hidden="1" customWidth="1" outlineLevel="1"/>
    <col min="27" max="27" width="9" style="5" bestFit="1" customWidth="1" collapsed="1"/>
    <col min="28" max="28" width="1.25" style="5" customWidth="1"/>
    <col min="29" max="29" width="8" style="5" bestFit="1" customWidth="1"/>
    <col min="30" max="30" width="1.375" style="5" customWidth="1"/>
    <col min="31" max="16384" width="9" style="5"/>
  </cols>
  <sheetData>
    <row r="2" spans="1:29" ht="12.75" customHeight="1">
      <c r="B2" s="1" t="s">
        <v>153</v>
      </c>
      <c r="C2" s="101"/>
      <c r="D2" s="101"/>
      <c r="E2" s="101"/>
      <c r="F2" s="101"/>
      <c r="G2" s="3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3"/>
      <c r="T2" s="101"/>
      <c r="U2" s="101"/>
      <c r="V2" s="101"/>
      <c r="W2" s="101"/>
      <c r="X2" s="101"/>
      <c r="Y2" s="101"/>
      <c r="Z2" s="101"/>
      <c r="AA2" s="101"/>
      <c r="AB2" s="3"/>
      <c r="AC2" s="1"/>
    </row>
    <row r="3" spans="1:29" ht="12.75" customHeight="1">
      <c r="B3" s="6" t="s">
        <v>76</v>
      </c>
      <c r="C3" s="7"/>
      <c r="D3" s="7"/>
      <c r="E3" s="7"/>
      <c r="F3" s="7"/>
      <c r="G3" s="3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4"/>
      <c r="U3" s="4"/>
      <c r="V3" s="4"/>
      <c r="W3" s="4"/>
      <c r="X3" s="4"/>
      <c r="Y3" s="4"/>
      <c r="Z3" s="4"/>
      <c r="AA3" s="4"/>
      <c r="AB3" s="3"/>
      <c r="AC3" s="1"/>
    </row>
    <row r="4" spans="1:29" ht="12.75" customHeight="1">
      <c r="B4" s="6" t="s">
        <v>107</v>
      </c>
      <c r="C4" s="3"/>
      <c r="D4" s="3"/>
      <c r="E4" s="85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"/>
    </row>
    <row r="6" spans="1:29" ht="12.75" customHeight="1">
      <c r="A6" s="5" t="s">
        <v>18</v>
      </c>
      <c r="B6" s="1" t="s">
        <v>74</v>
      </c>
      <c r="C6" s="2" t="s">
        <v>0</v>
      </c>
      <c r="D6" s="2"/>
      <c r="E6" s="2"/>
      <c r="F6" s="2"/>
      <c r="G6" s="3"/>
      <c r="H6" s="2" t="s">
        <v>1</v>
      </c>
      <c r="I6" s="2"/>
      <c r="J6" s="2"/>
      <c r="K6" s="2"/>
      <c r="L6" s="2"/>
      <c r="M6" s="2"/>
      <c r="N6" s="2" t="s">
        <v>1</v>
      </c>
      <c r="O6" s="2"/>
      <c r="P6" s="2"/>
      <c r="Q6" s="2"/>
      <c r="R6" s="2"/>
      <c r="S6" s="3"/>
      <c r="T6" s="2"/>
      <c r="U6" s="2"/>
      <c r="V6" s="2" t="s">
        <v>10</v>
      </c>
      <c r="W6" s="2" t="s">
        <v>10</v>
      </c>
      <c r="X6" s="2"/>
      <c r="Y6" s="2"/>
      <c r="Z6" s="2"/>
      <c r="AA6" s="2"/>
      <c r="AB6" s="38"/>
      <c r="AC6" s="148" t="s">
        <v>24</v>
      </c>
    </row>
    <row r="7" spans="1:29" ht="12.75" customHeight="1">
      <c r="B7" s="6" t="s">
        <v>77</v>
      </c>
      <c r="C7" s="7">
        <v>2021</v>
      </c>
      <c r="D7" s="7">
        <v>2022</v>
      </c>
      <c r="E7" s="7">
        <v>2023</v>
      </c>
      <c r="F7" s="7">
        <v>2024</v>
      </c>
      <c r="G7" s="3"/>
      <c r="H7" s="4" t="s">
        <v>6</v>
      </c>
      <c r="I7" s="4" t="s">
        <v>7</v>
      </c>
      <c r="J7" s="4" t="s">
        <v>8</v>
      </c>
      <c r="K7" s="4" t="s">
        <v>9</v>
      </c>
      <c r="L7" s="4" t="s">
        <v>2</v>
      </c>
      <c r="M7" s="4" t="s">
        <v>3</v>
      </c>
      <c r="N7" s="4" t="s">
        <v>4</v>
      </c>
      <c r="O7" s="4" t="s">
        <v>5</v>
      </c>
      <c r="P7" s="4" t="s">
        <v>26</v>
      </c>
      <c r="Q7" s="4" t="s">
        <v>27</v>
      </c>
      <c r="R7" s="4" t="s">
        <v>63</v>
      </c>
      <c r="S7" s="3"/>
      <c r="T7" s="4" t="str">
        <f>K7</f>
        <v>4Q23</v>
      </c>
      <c r="U7" s="4" t="str">
        <f>L7</f>
        <v>1Q24</v>
      </c>
      <c r="V7" s="4" t="str">
        <f>M7</f>
        <v>2Q24</v>
      </c>
      <c r="W7" s="4" t="str">
        <f>N7</f>
        <v>3Q24</v>
      </c>
      <c r="X7" s="4" t="str">
        <f>O7</f>
        <v>4Q24</v>
      </c>
      <c r="Y7" s="4" t="str">
        <f>P7</f>
        <v>1Q25</v>
      </c>
      <c r="Z7" s="4" t="str">
        <f>Q7</f>
        <v>2Q25</v>
      </c>
      <c r="AA7" s="4" t="str">
        <f>R7</f>
        <v>3Q25</v>
      </c>
      <c r="AB7" s="38"/>
      <c r="AC7" s="148"/>
    </row>
    <row r="8" spans="1:29" ht="12.75" customHeight="1">
      <c r="B8" s="6" t="s">
        <v>78</v>
      </c>
      <c r="C8" s="3">
        <v>44555</v>
      </c>
      <c r="D8" s="3">
        <v>44926</v>
      </c>
      <c r="E8" s="85">
        <v>45290</v>
      </c>
      <c r="F8" s="85">
        <v>45654</v>
      </c>
      <c r="G8" s="3"/>
      <c r="H8" s="3">
        <v>45017</v>
      </c>
      <c r="I8" s="3">
        <v>45108</v>
      </c>
      <c r="J8" s="3">
        <v>45199</v>
      </c>
      <c r="K8" s="3">
        <f>E8</f>
        <v>45290</v>
      </c>
      <c r="L8" s="3">
        <v>45381</v>
      </c>
      <c r="M8" s="3">
        <v>45472</v>
      </c>
      <c r="N8" s="3">
        <v>45563</v>
      </c>
      <c r="O8" s="3">
        <f>F8</f>
        <v>45654</v>
      </c>
      <c r="P8" s="3">
        <v>45745</v>
      </c>
      <c r="Q8" s="3">
        <v>45836</v>
      </c>
      <c r="R8" s="3">
        <v>45927</v>
      </c>
      <c r="S8" s="3"/>
      <c r="T8" s="3">
        <f>K8</f>
        <v>45290</v>
      </c>
      <c r="U8" s="3">
        <f>L8</f>
        <v>45381</v>
      </c>
      <c r="V8" s="3">
        <f>M8</f>
        <v>45472</v>
      </c>
      <c r="W8" s="3">
        <f>N8</f>
        <v>45563</v>
      </c>
      <c r="X8" s="3">
        <f>O8</f>
        <v>45654</v>
      </c>
      <c r="Y8" s="3">
        <f>P8</f>
        <v>45745</v>
      </c>
      <c r="Z8" s="3">
        <f>Q8</f>
        <v>45836</v>
      </c>
      <c r="AA8" s="3">
        <f>R8</f>
        <v>45927</v>
      </c>
      <c r="AB8" s="38"/>
      <c r="AC8" s="148"/>
    </row>
    <row r="9" spans="1:29" ht="5.0999999999999996" customHeight="1">
      <c r="AC9" s="100"/>
    </row>
    <row r="10" spans="1:29" ht="12.75" customHeight="1">
      <c r="B10" s="9" t="s">
        <v>58</v>
      </c>
      <c r="C10" s="95">
        <v>16434</v>
      </c>
      <c r="D10" s="95">
        <v>23601</v>
      </c>
      <c r="E10" s="95">
        <v>22680</v>
      </c>
      <c r="F10" s="95">
        <v>25785</v>
      </c>
      <c r="G10" s="11"/>
      <c r="H10" s="95">
        <v>5353</v>
      </c>
      <c r="I10" s="95">
        <v>5359</v>
      </c>
      <c r="J10" s="95">
        <v>5800</v>
      </c>
      <c r="K10" s="32">
        <f>SUM(E10-SUM(H10:J10))</f>
        <v>6168</v>
      </c>
      <c r="L10" s="95">
        <v>5473</v>
      </c>
      <c r="M10" s="95">
        <v>5835</v>
      </c>
      <c r="N10" s="95">
        <v>6819</v>
      </c>
      <c r="O10" s="32">
        <f>SUM(F10-SUM(L10:N10))</f>
        <v>7658</v>
      </c>
      <c r="P10" s="82">
        <v>7438</v>
      </c>
      <c r="Q10" s="82">
        <v>7685</v>
      </c>
      <c r="R10" s="82">
        <v>9246</v>
      </c>
      <c r="T10" s="32">
        <f>SUM(H10:K10)</f>
        <v>22680</v>
      </c>
      <c r="U10" s="32">
        <f>SUM(I10:L10)</f>
        <v>22800</v>
      </c>
      <c r="V10" s="32">
        <f>SUM(J10:M10)</f>
        <v>23276</v>
      </c>
      <c r="W10" s="32">
        <f>SUM(K10:N10)</f>
        <v>24295</v>
      </c>
      <c r="X10" s="32">
        <f>SUM(L10:O10)</f>
        <v>25785</v>
      </c>
      <c r="Y10" s="32">
        <f>SUM(M10:P10)</f>
        <v>27750</v>
      </c>
      <c r="Z10" s="32">
        <f>SUM(N10:Q10)</f>
        <v>29600</v>
      </c>
      <c r="AA10" s="32">
        <f>SUM(O10:R10)</f>
        <v>32027</v>
      </c>
      <c r="AB10" s="40"/>
      <c r="AC10" s="12">
        <f>SUM(AA10/W10)-1</f>
        <v>0.31825478493517179</v>
      </c>
    </row>
    <row r="11" spans="1:29" ht="12.75" customHeight="1">
      <c r="B11" s="13" t="s">
        <v>12</v>
      </c>
      <c r="C11" s="14">
        <f t="shared" ref="C11:F11" si="0">+SUM(C10:C10)</f>
        <v>16434</v>
      </c>
      <c r="D11" s="14">
        <f t="shared" si="0"/>
        <v>23601</v>
      </c>
      <c r="E11" s="14">
        <f t="shared" si="0"/>
        <v>22680</v>
      </c>
      <c r="F11" s="14">
        <f t="shared" si="0"/>
        <v>25785</v>
      </c>
      <c r="G11" s="11"/>
      <c r="H11" s="14">
        <f t="shared" ref="H11:Q11" si="1">+SUM(H10:H10)</f>
        <v>5353</v>
      </c>
      <c r="I11" s="14">
        <f t="shared" si="1"/>
        <v>5359</v>
      </c>
      <c r="J11" s="14">
        <f t="shared" si="1"/>
        <v>5800</v>
      </c>
      <c r="K11" s="14">
        <f t="shared" si="1"/>
        <v>6168</v>
      </c>
      <c r="L11" s="14">
        <f t="shared" si="1"/>
        <v>5473</v>
      </c>
      <c r="M11" s="14">
        <f t="shared" si="1"/>
        <v>5835</v>
      </c>
      <c r="N11" s="14">
        <f t="shared" si="1"/>
        <v>6819</v>
      </c>
      <c r="O11" s="14">
        <f t="shared" si="1"/>
        <v>7658</v>
      </c>
      <c r="P11" s="14">
        <f t="shared" si="1"/>
        <v>7438</v>
      </c>
      <c r="Q11" s="14">
        <f t="shared" si="1"/>
        <v>7685</v>
      </c>
      <c r="R11" s="14">
        <f>+SUM(R10:R10)</f>
        <v>9246</v>
      </c>
      <c r="T11" s="14">
        <f t="shared" ref="T11:Z11" si="2">+SUM(T10:T10)</f>
        <v>22680</v>
      </c>
      <c r="U11" s="14">
        <f t="shared" si="2"/>
        <v>22800</v>
      </c>
      <c r="V11" s="14">
        <f t="shared" si="2"/>
        <v>23276</v>
      </c>
      <c r="W11" s="14">
        <f t="shared" si="2"/>
        <v>24295</v>
      </c>
      <c r="X11" s="14">
        <f t="shared" si="2"/>
        <v>25785</v>
      </c>
      <c r="Y11" s="14">
        <f t="shared" si="2"/>
        <v>27750</v>
      </c>
      <c r="Z11" s="14">
        <f t="shared" si="2"/>
        <v>29600</v>
      </c>
      <c r="AA11" s="14">
        <f>+SUM(AA10:AA10)</f>
        <v>32027</v>
      </c>
      <c r="AB11" s="40"/>
      <c r="AC11" s="15">
        <f>SUM(AA11/W11)-1</f>
        <v>0.31825478493517179</v>
      </c>
    </row>
    <row r="12" spans="1:29" s="20" customFormat="1" ht="5.0999999999999996" customHeight="1">
      <c r="B12" s="18"/>
      <c r="C12" s="19"/>
      <c r="D12" s="19"/>
      <c r="E12" s="19"/>
      <c r="F12" s="19"/>
      <c r="H12" s="21"/>
      <c r="I12" s="21"/>
      <c r="J12" s="21"/>
      <c r="K12" s="21"/>
      <c r="L12" s="21"/>
      <c r="M12" s="21"/>
      <c r="N12" s="21"/>
      <c r="O12" s="21"/>
      <c r="P12" s="22"/>
      <c r="Q12" s="21"/>
      <c r="R12" s="21"/>
      <c r="AC12" s="75"/>
    </row>
    <row r="13" spans="1:29" ht="12.75" customHeight="1">
      <c r="B13" s="9" t="s">
        <v>170</v>
      </c>
      <c r="C13" s="82">
        <v>-8505</v>
      </c>
      <c r="D13" s="82">
        <v>-11550</v>
      </c>
      <c r="E13" s="82">
        <v>-11278</v>
      </c>
      <c r="F13" s="82">
        <v>-12114</v>
      </c>
      <c r="G13" s="24"/>
      <c r="H13" s="82">
        <v>-2689</v>
      </c>
      <c r="I13" s="82">
        <v>-2704</v>
      </c>
      <c r="J13" s="82">
        <v>-2843</v>
      </c>
      <c r="K13" s="32">
        <f>SUM(E13-SUM(H13:J13))</f>
        <v>-3042</v>
      </c>
      <c r="L13" s="82">
        <v>-2683</v>
      </c>
      <c r="M13" s="82">
        <v>-2740</v>
      </c>
      <c r="N13" s="82">
        <v>-3167</v>
      </c>
      <c r="O13" s="32">
        <f>SUM(F13-SUM(L13:N13))</f>
        <v>-3524</v>
      </c>
      <c r="P13" s="82">
        <v>-3451</v>
      </c>
      <c r="Q13" s="82">
        <v>-4366</v>
      </c>
      <c r="R13" s="82">
        <v>-4206</v>
      </c>
      <c r="T13" s="32">
        <f>SUM(H13:K13)</f>
        <v>-11278</v>
      </c>
      <c r="U13" s="32">
        <f>SUM(I13:L13)</f>
        <v>-11272</v>
      </c>
      <c r="V13" s="32">
        <f>SUM(J13:M13)</f>
        <v>-11308</v>
      </c>
      <c r="W13" s="32">
        <f>SUM(K13:N13)</f>
        <v>-11632</v>
      </c>
      <c r="X13" s="32">
        <f>SUM(L13:O13)</f>
        <v>-12114</v>
      </c>
      <c r="Y13" s="32">
        <f>SUM(M13:P13)</f>
        <v>-12882</v>
      </c>
      <c r="Z13" s="32">
        <f>SUM(N13:Q13)</f>
        <v>-14508</v>
      </c>
      <c r="AA13" s="32">
        <f>SUM(O13:R13)</f>
        <v>-15547</v>
      </c>
      <c r="AB13" s="11"/>
      <c r="AC13" s="12">
        <f t="shared" ref="AC13" si="3">SUM(AA13/W13)-1</f>
        <v>0.33657152682255842</v>
      </c>
    </row>
    <row r="14" spans="1:29" ht="12.75" customHeight="1">
      <c r="B14" s="9" t="s">
        <v>169</v>
      </c>
      <c r="C14" s="82">
        <v>0</v>
      </c>
      <c r="D14" s="82">
        <v>-1448</v>
      </c>
      <c r="E14" s="82">
        <v>-942</v>
      </c>
      <c r="F14" s="82">
        <v>-946</v>
      </c>
      <c r="G14" s="24"/>
      <c r="H14" s="82">
        <v>-305</v>
      </c>
      <c r="I14" s="82">
        <v>-212</v>
      </c>
      <c r="J14" s="82">
        <v>-210</v>
      </c>
      <c r="K14" s="32">
        <f>SUM(E14-SUM(H14:J14))</f>
        <v>-215</v>
      </c>
      <c r="L14" s="82">
        <v>-230</v>
      </c>
      <c r="M14" s="82">
        <v>-231</v>
      </c>
      <c r="N14" s="82">
        <v>-233</v>
      </c>
      <c r="O14" s="32">
        <f>SUM(F14-SUM(L14:N14))</f>
        <v>-252</v>
      </c>
      <c r="P14" s="82">
        <v>-251</v>
      </c>
      <c r="Q14" s="82">
        <v>-260</v>
      </c>
      <c r="R14" s="82">
        <v>-260</v>
      </c>
      <c r="T14" s="32">
        <f>SUM(H14:K14)</f>
        <v>-942</v>
      </c>
      <c r="U14" s="32">
        <f>SUM(I14:L14)</f>
        <v>-867</v>
      </c>
      <c r="V14" s="32">
        <f>SUM(J14:M14)</f>
        <v>-886</v>
      </c>
      <c r="W14" s="32">
        <f>SUM(K14:N14)</f>
        <v>-909</v>
      </c>
      <c r="X14" s="32">
        <f>SUM(L14:O14)</f>
        <v>-946</v>
      </c>
      <c r="Y14" s="32">
        <f>SUM(M14:P14)</f>
        <v>-967</v>
      </c>
      <c r="Z14" s="32">
        <f>SUM(N14:Q14)</f>
        <v>-996</v>
      </c>
      <c r="AA14" s="32">
        <f>SUM(O14:R14)</f>
        <v>-1023</v>
      </c>
      <c r="AB14" s="11"/>
      <c r="AC14" s="12"/>
    </row>
    <row r="15" spans="1:29" ht="12.75" customHeight="1">
      <c r="B15" s="25" t="s">
        <v>22</v>
      </c>
      <c r="C15" s="26">
        <f t="shared" ref="C15:E15" si="4">+SUM(C11+SUM(C13:C14))</f>
        <v>7929</v>
      </c>
      <c r="D15" s="26">
        <f t="shared" si="4"/>
        <v>10603</v>
      </c>
      <c r="E15" s="26">
        <f t="shared" si="4"/>
        <v>10460</v>
      </c>
      <c r="F15" s="26">
        <f>+SUM(F11+SUM(F13:F14))</f>
        <v>12725</v>
      </c>
      <c r="H15" s="26">
        <f t="shared" ref="H15:R15" si="5">+SUM(H11+SUM(H13:H14))</f>
        <v>2359</v>
      </c>
      <c r="I15" s="26">
        <f t="shared" si="5"/>
        <v>2443</v>
      </c>
      <c r="J15" s="26">
        <f t="shared" si="5"/>
        <v>2747</v>
      </c>
      <c r="K15" s="26">
        <f t="shared" si="5"/>
        <v>2911</v>
      </c>
      <c r="L15" s="26">
        <f t="shared" si="5"/>
        <v>2560</v>
      </c>
      <c r="M15" s="26">
        <f t="shared" si="5"/>
        <v>2864</v>
      </c>
      <c r="N15" s="26">
        <f t="shared" si="5"/>
        <v>3419</v>
      </c>
      <c r="O15" s="26">
        <f t="shared" si="5"/>
        <v>3882</v>
      </c>
      <c r="P15" s="26">
        <f t="shared" si="5"/>
        <v>3736</v>
      </c>
      <c r="Q15" s="26">
        <f t="shared" si="5"/>
        <v>3059</v>
      </c>
      <c r="R15" s="26">
        <f t="shared" si="5"/>
        <v>4780</v>
      </c>
      <c r="T15" s="26">
        <f t="shared" ref="T15" si="6">+SUM(T11+SUM(T13:T14))</f>
        <v>10460</v>
      </c>
      <c r="U15" s="26">
        <f t="shared" ref="U15" si="7">+SUM(U11+SUM(U13:U14))</f>
        <v>10661</v>
      </c>
      <c r="V15" s="26">
        <f t="shared" ref="V15" si="8">+SUM(V11+SUM(V13:V14))</f>
        <v>11082</v>
      </c>
      <c r="W15" s="26">
        <f t="shared" ref="W15" si="9">+SUM(W11+SUM(W13:W14))</f>
        <v>11754</v>
      </c>
      <c r="X15" s="26">
        <f t="shared" ref="X15" si="10">+SUM(X11+SUM(X13:X14))</f>
        <v>12725</v>
      </c>
      <c r="Y15" s="26">
        <f t="shared" ref="Y15" si="11">+SUM(Y11+SUM(Y13:Y14))</f>
        <v>13901</v>
      </c>
      <c r="Z15" s="26">
        <f t="shared" ref="Z15" si="12">+SUM(Z11+SUM(Z13:Z14))</f>
        <v>14096</v>
      </c>
      <c r="AA15" s="26">
        <f t="shared" ref="AA15" si="13">+SUM(AA11+SUM(AA13:AA14))</f>
        <v>15457</v>
      </c>
      <c r="AB15" s="42"/>
      <c r="AC15" s="76">
        <f>SUM(AA15/W15)-1</f>
        <v>0.31504168793602183</v>
      </c>
    </row>
    <row r="16" spans="1:29" ht="12.75" customHeight="1">
      <c r="B16" s="16" t="s">
        <v>31</v>
      </c>
      <c r="C16" s="17">
        <f>C15/C11</f>
        <v>0.48247535596933189</v>
      </c>
      <c r="D16" s="17">
        <f>D15/D11</f>
        <v>0.4492606245498072</v>
      </c>
      <c r="E16" s="17">
        <f>E15/E11</f>
        <v>0.46119929453262787</v>
      </c>
      <c r="F16" s="17">
        <f>F15/F11</f>
        <v>0.49350397517936784</v>
      </c>
      <c r="G16" s="27"/>
      <c r="H16" s="17">
        <f t="shared" ref="H16:R16" si="14">H15/H11</f>
        <v>0.44068746497291239</v>
      </c>
      <c r="I16" s="17">
        <f t="shared" si="14"/>
        <v>0.4558686322075014</v>
      </c>
      <c r="J16" s="17">
        <f t="shared" si="14"/>
        <v>0.4736206896551724</v>
      </c>
      <c r="K16" s="17">
        <f t="shared" si="14"/>
        <v>0.47195201037613488</v>
      </c>
      <c r="L16" s="17">
        <f t="shared" si="14"/>
        <v>0.46775077653937513</v>
      </c>
      <c r="M16" s="17">
        <f t="shared" si="14"/>
        <v>0.49083119108826051</v>
      </c>
      <c r="N16" s="17">
        <f t="shared" si="14"/>
        <v>0.50139316615339491</v>
      </c>
      <c r="O16" s="17">
        <f t="shared" si="14"/>
        <v>0.50692086706711936</v>
      </c>
      <c r="P16" s="17">
        <f t="shared" si="14"/>
        <v>0.50228556063457919</v>
      </c>
      <c r="Q16" s="17">
        <f t="shared" si="14"/>
        <v>0.39804814573845154</v>
      </c>
      <c r="R16" s="17">
        <f t="shared" si="14"/>
        <v>0.51698031581224313</v>
      </c>
      <c r="S16" s="28"/>
      <c r="T16" s="17">
        <f t="shared" ref="T16:AA16" si="15">T15/T11</f>
        <v>0.46119929453262787</v>
      </c>
      <c r="U16" s="17">
        <f t="shared" si="15"/>
        <v>0.46758771929824561</v>
      </c>
      <c r="V16" s="17">
        <f t="shared" si="15"/>
        <v>0.47611273414676059</v>
      </c>
      <c r="W16" s="17">
        <f t="shared" si="15"/>
        <v>0.48380325169788024</v>
      </c>
      <c r="X16" s="17">
        <f t="shared" si="15"/>
        <v>0.49350397517936784</v>
      </c>
      <c r="Y16" s="17">
        <f t="shared" si="15"/>
        <v>0.50093693693693697</v>
      </c>
      <c r="Z16" s="17">
        <f t="shared" si="15"/>
        <v>0.47621621621621624</v>
      </c>
      <c r="AA16" s="17">
        <f t="shared" si="15"/>
        <v>0.48262403596965059</v>
      </c>
      <c r="AB16" s="42"/>
      <c r="AC16" s="77">
        <f>SUM(AA16-W16)*1000</f>
        <v>-1.1792157282296545</v>
      </c>
    </row>
    <row r="17" spans="2:29" ht="5.0999999999999996" customHeight="1">
      <c r="B17" s="29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T17" s="30"/>
      <c r="U17" s="30"/>
      <c r="V17" s="30"/>
      <c r="W17" s="30"/>
      <c r="X17" s="30"/>
      <c r="Y17" s="30"/>
      <c r="Z17" s="30"/>
      <c r="AA17" s="30"/>
      <c r="AB17" s="42"/>
      <c r="AC17" s="75"/>
    </row>
    <row r="18" spans="2:29" ht="12.75" customHeight="1">
      <c r="B18" s="9" t="s">
        <v>116</v>
      </c>
      <c r="C18" s="82">
        <v>-2845</v>
      </c>
      <c r="D18" s="82">
        <v>-5005</v>
      </c>
      <c r="E18" s="82">
        <v>-5872</v>
      </c>
      <c r="F18" s="82">
        <v>-6456</v>
      </c>
      <c r="G18" s="32"/>
      <c r="H18" s="82">
        <v>-1411</v>
      </c>
      <c r="I18" s="82">
        <v>-1443</v>
      </c>
      <c r="J18" s="82">
        <v>-1507</v>
      </c>
      <c r="K18" s="32">
        <f t="shared" ref="K18:K19" si="16">SUM(E18-SUM(H18:J18))</f>
        <v>-1511</v>
      </c>
      <c r="L18" s="82">
        <v>-1525</v>
      </c>
      <c r="M18" s="82">
        <v>-1583</v>
      </c>
      <c r="N18" s="82">
        <v>-1636</v>
      </c>
      <c r="O18" s="32">
        <f t="shared" ref="O18:O19" si="17">SUM(F18-SUM(L18:N18))</f>
        <v>-1712</v>
      </c>
      <c r="P18" s="82">
        <v>-1728</v>
      </c>
      <c r="Q18" s="82">
        <v>-1894</v>
      </c>
      <c r="R18" s="82">
        <v>-2139</v>
      </c>
      <c r="T18" s="32">
        <f>SUM(H18:K18)</f>
        <v>-5872</v>
      </c>
      <c r="U18" s="32">
        <f>SUM(I18:L18)</f>
        <v>-5986</v>
      </c>
      <c r="V18" s="32">
        <f>SUM(J18:M18)</f>
        <v>-6126</v>
      </c>
      <c r="W18" s="32">
        <f>SUM(K18:N18)</f>
        <v>-6255</v>
      </c>
      <c r="X18" s="32">
        <f>SUM(L18:O18)</f>
        <v>-6456</v>
      </c>
      <c r="Y18" s="32">
        <f>SUM(M18:P18)</f>
        <v>-6659</v>
      </c>
      <c r="Z18" s="32">
        <f>SUM(N18:Q18)</f>
        <v>-6970</v>
      </c>
      <c r="AA18" s="32">
        <f>SUM(O18:R18)</f>
        <v>-7473</v>
      </c>
      <c r="AB18" s="11"/>
      <c r="AC18" s="75">
        <f>SUM(AA18/W18)-1</f>
        <v>0.19472422062350114</v>
      </c>
    </row>
    <row r="19" spans="2:29" ht="12.75" customHeight="1">
      <c r="B19" s="9" t="s">
        <v>117</v>
      </c>
      <c r="C19" s="82">
        <v>-1448</v>
      </c>
      <c r="D19" s="82">
        <v>-2336</v>
      </c>
      <c r="E19" s="82">
        <v>-2352</v>
      </c>
      <c r="F19" s="82">
        <v>-2783</v>
      </c>
      <c r="G19" s="32"/>
      <c r="H19" s="82">
        <v>-585</v>
      </c>
      <c r="I19" s="82">
        <v>-547</v>
      </c>
      <c r="J19" s="82">
        <v>-576</v>
      </c>
      <c r="K19" s="32">
        <f t="shared" si="16"/>
        <v>-644</v>
      </c>
      <c r="L19" s="82">
        <v>-620</v>
      </c>
      <c r="M19" s="82">
        <v>-650</v>
      </c>
      <c r="N19" s="82">
        <v>-721</v>
      </c>
      <c r="O19" s="32">
        <f t="shared" si="17"/>
        <v>-792</v>
      </c>
      <c r="P19" s="82">
        <v>-886</v>
      </c>
      <c r="Q19" s="82">
        <v>-991</v>
      </c>
      <c r="R19" s="82">
        <v>-1069</v>
      </c>
      <c r="T19" s="32">
        <f>SUM(H19:K19)</f>
        <v>-2352</v>
      </c>
      <c r="U19" s="32">
        <f>SUM(I19:L19)</f>
        <v>-2387</v>
      </c>
      <c r="V19" s="32">
        <f>SUM(J19:M19)</f>
        <v>-2490</v>
      </c>
      <c r="W19" s="32">
        <f>SUM(K19:N19)</f>
        <v>-2635</v>
      </c>
      <c r="X19" s="32">
        <f>SUM(L19:O19)</f>
        <v>-2783</v>
      </c>
      <c r="Y19" s="32">
        <f>SUM(M19:P19)</f>
        <v>-3049</v>
      </c>
      <c r="Z19" s="32">
        <f>SUM(N19:Q19)</f>
        <v>-3390</v>
      </c>
      <c r="AA19" s="32">
        <f>SUM(O19:R19)</f>
        <v>-3738</v>
      </c>
      <c r="AB19" s="11"/>
      <c r="AC19" s="75">
        <f t="shared" ref="AC19:AC21" si="18">SUM(AA19/W19)-1</f>
        <v>0.41859582542694507</v>
      </c>
    </row>
    <row r="20" spans="2:29" ht="12.75" customHeight="1">
      <c r="B20" s="9" t="s">
        <v>118</v>
      </c>
      <c r="C20" s="82">
        <v>0</v>
      </c>
      <c r="D20" s="82">
        <v>-2100</v>
      </c>
      <c r="E20" s="82">
        <v>-1869</v>
      </c>
      <c r="F20" s="82">
        <v>-1448</v>
      </c>
      <c r="G20" s="32"/>
      <c r="H20" s="82">
        <v>-518</v>
      </c>
      <c r="I20" s="82">
        <v>-481</v>
      </c>
      <c r="J20" s="82">
        <v>-450</v>
      </c>
      <c r="K20" s="32">
        <f t="shared" ref="K20:K22" si="19">SUM(E20-SUM(H20:J20))</f>
        <v>-420</v>
      </c>
      <c r="L20" s="82">
        <v>-392</v>
      </c>
      <c r="M20" s="82">
        <v>-372</v>
      </c>
      <c r="N20" s="82">
        <v>-352</v>
      </c>
      <c r="O20" s="32">
        <f>SUM(F20-SUM(L20:N20))</f>
        <v>-332</v>
      </c>
      <c r="P20" s="82">
        <v>-316</v>
      </c>
      <c r="Q20" s="82">
        <v>-308</v>
      </c>
      <c r="R20" s="82">
        <v>-302</v>
      </c>
      <c r="T20" s="32">
        <f>SUM(H20:K20)</f>
        <v>-1869</v>
      </c>
      <c r="U20" s="32">
        <f>SUM(I20:L20)</f>
        <v>-1743</v>
      </c>
      <c r="V20" s="32">
        <f>SUM(J20:M20)</f>
        <v>-1634</v>
      </c>
      <c r="W20" s="32">
        <f>SUM(K20:N20)</f>
        <v>-1536</v>
      </c>
      <c r="X20" s="32">
        <f>SUM(L20:O20)</f>
        <v>-1448</v>
      </c>
      <c r="Y20" s="32">
        <f>SUM(M20:P20)</f>
        <v>-1372</v>
      </c>
      <c r="Z20" s="32">
        <f>SUM(N20:Q20)</f>
        <v>-1308</v>
      </c>
      <c r="AA20" s="32">
        <f>SUM(O20:R20)</f>
        <v>-1258</v>
      </c>
      <c r="AB20" s="11"/>
      <c r="AC20" s="75">
        <f t="shared" si="18"/>
        <v>-0.18098958333333337</v>
      </c>
    </row>
    <row r="21" spans="2:29" ht="12.75" customHeight="1">
      <c r="B21" s="9" t="s">
        <v>155</v>
      </c>
      <c r="C21" s="82">
        <v>0</v>
      </c>
      <c r="D21" s="82">
        <v>0</v>
      </c>
      <c r="E21" s="82">
        <v>0</v>
      </c>
      <c r="F21" s="82">
        <v>-186</v>
      </c>
      <c r="G21" s="32"/>
      <c r="H21" s="82">
        <v>0</v>
      </c>
      <c r="I21" s="82">
        <v>0</v>
      </c>
      <c r="J21" s="82">
        <v>0</v>
      </c>
      <c r="K21" s="32">
        <f t="shared" si="19"/>
        <v>0</v>
      </c>
      <c r="L21" s="82">
        <v>0</v>
      </c>
      <c r="M21" s="82">
        <v>0</v>
      </c>
      <c r="N21" s="82">
        <v>0</v>
      </c>
      <c r="O21" s="32">
        <f>SUM(F21-SUM(L21:N21))</f>
        <v>-186</v>
      </c>
      <c r="P21" s="82">
        <v>0</v>
      </c>
      <c r="Q21" s="82">
        <v>0</v>
      </c>
      <c r="R21" s="82">
        <v>0</v>
      </c>
      <c r="T21" s="32">
        <f>SUM(H21:K21)</f>
        <v>0</v>
      </c>
      <c r="U21" s="32">
        <f>SUM(I21:L21)</f>
        <v>0</v>
      </c>
      <c r="V21" s="32">
        <f>SUM(J21:M21)</f>
        <v>0</v>
      </c>
      <c r="W21" s="32">
        <f>SUM(K21:N21)</f>
        <v>0</v>
      </c>
      <c r="X21" s="32">
        <f>SUM(L21:O21)</f>
        <v>-186</v>
      </c>
      <c r="Y21" s="32">
        <f>SUM(M21:P21)</f>
        <v>-186</v>
      </c>
      <c r="Z21" s="32">
        <f>SUM(N21:Q21)</f>
        <v>-186</v>
      </c>
      <c r="AA21" s="32">
        <f>SUM(O21:R21)</f>
        <v>-186</v>
      </c>
      <c r="AB21" s="11"/>
      <c r="AC21" s="75" t="e">
        <f t="shared" si="18"/>
        <v>#DIV/0!</v>
      </c>
    </row>
    <row r="22" spans="2:29" ht="12.75" customHeight="1">
      <c r="B22" s="9" t="s">
        <v>119</v>
      </c>
      <c r="C22" s="82">
        <v>12</v>
      </c>
      <c r="D22" s="82">
        <v>102</v>
      </c>
      <c r="E22" s="82">
        <v>34</v>
      </c>
      <c r="F22" s="82">
        <v>48</v>
      </c>
      <c r="G22" s="32"/>
      <c r="H22" s="82">
        <v>10</v>
      </c>
      <c r="I22" s="82">
        <v>8</v>
      </c>
      <c r="J22" s="82">
        <v>10</v>
      </c>
      <c r="K22" s="32">
        <f t="shared" si="19"/>
        <v>6</v>
      </c>
      <c r="L22" s="82">
        <v>13</v>
      </c>
      <c r="M22" s="82">
        <v>10</v>
      </c>
      <c r="N22" s="82">
        <v>14</v>
      </c>
      <c r="O22" s="32">
        <f t="shared" ref="O22" si="20">SUM(F22-SUM(L22:N22))</f>
        <v>11</v>
      </c>
      <c r="P22" s="82">
        <v>0</v>
      </c>
      <c r="Q22" s="82">
        <v>0</v>
      </c>
      <c r="R22" s="82">
        <v>0</v>
      </c>
      <c r="T22" s="32">
        <f>SUM(H22:K22)</f>
        <v>34</v>
      </c>
      <c r="U22" s="32">
        <f>SUM(I22:L22)</f>
        <v>37</v>
      </c>
      <c r="V22" s="32">
        <f>SUM(J22:M22)</f>
        <v>39</v>
      </c>
      <c r="W22" s="32">
        <f>SUM(K22:N22)</f>
        <v>43</v>
      </c>
      <c r="X22" s="32">
        <f>SUM(L22:O22)</f>
        <v>48</v>
      </c>
      <c r="Y22" s="32">
        <f>SUM(M22:P22)</f>
        <v>35</v>
      </c>
      <c r="Z22" s="32">
        <f>SUM(N22:Q22)</f>
        <v>25</v>
      </c>
      <c r="AA22" s="32">
        <f>SUM(O22:R22)</f>
        <v>11</v>
      </c>
      <c r="AB22" s="11"/>
      <c r="AC22" s="75">
        <f>SUM(AA22/W22)-1</f>
        <v>-0.7441860465116279</v>
      </c>
    </row>
    <row r="23" spans="2:29" ht="12.75" customHeight="1">
      <c r="B23" s="25" t="s">
        <v>79</v>
      </c>
      <c r="C23" s="26">
        <f t="shared" ref="C23:F23" si="21">+SUM(C15+SUM(C18:C22))</f>
        <v>3648</v>
      </c>
      <c r="D23" s="26">
        <f t="shared" si="21"/>
        <v>1264</v>
      </c>
      <c r="E23" s="26">
        <f t="shared" si="21"/>
        <v>401</v>
      </c>
      <c r="F23" s="26">
        <f t="shared" si="21"/>
        <v>1900</v>
      </c>
      <c r="G23" s="32"/>
      <c r="H23" s="26">
        <f t="shared" ref="H23:R23" si="22">+SUM(H15+SUM(H18:H22))</f>
        <v>-145</v>
      </c>
      <c r="I23" s="26">
        <f t="shared" si="22"/>
        <v>-20</v>
      </c>
      <c r="J23" s="26">
        <f t="shared" si="22"/>
        <v>224</v>
      </c>
      <c r="K23" s="26">
        <f t="shared" si="22"/>
        <v>342</v>
      </c>
      <c r="L23" s="26">
        <f t="shared" si="22"/>
        <v>36</v>
      </c>
      <c r="M23" s="26">
        <f t="shared" si="22"/>
        <v>269</v>
      </c>
      <c r="N23" s="26">
        <f t="shared" si="22"/>
        <v>724</v>
      </c>
      <c r="O23" s="26">
        <f t="shared" si="22"/>
        <v>871</v>
      </c>
      <c r="P23" s="26">
        <f t="shared" si="22"/>
        <v>806</v>
      </c>
      <c r="Q23" s="26">
        <f t="shared" si="22"/>
        <v>-134</v>
      </c>
      <c r="R23" s="26">
        <f t="shared" si="22"/>
        <v>1270</v>
      </c>
      <c r="T23" s="26">
        <f t="shared" ref="T23:AA23" si="23">+SUM(T15+SUM(T18:T22))</f>
        <v>401</v>
      </c>
      <c r="U23" s="26">
        <f t="shared" si="23"/>
        <v>582</v>
      </c>
      <c r="V23" s="26">
        <f t="shared" si="23"/>
        <v>871</v>
      </c>
      <c r="W23" s="26">
        <f t="shared" si="23"/>
        <v>1371</v>
      </c>
      <c r="X23" s="26">
        <f t="shared" si="23"/>
        <v>1900</v>
      </c>
      <c r="Y23" s="26">
        <f t="shared" si="23"/>
        <v>2670</v>
      </c>
      <c r="Z23" s="26">
        <f t="shared" si="23"/>
        <v>2267</v>
      </c>
      <c r="AA23" s="26">
        <f t="shared" si="23"/>
        <v>2813</v>
      </c>
      <c r="AB23" s="11"/>
      <c r="AC23" s="76">
        <f>SUM(AA23/W23)-1</f>
        <v>1.0517870167760757</v>
      </c>
    </row>
    <row r="24" spans="2:29" ht="12.75" customHeight="1">
      <c r="B24" s="16" t="s">
        <v>33</v>
      </c>
      <c r="C24" s="17">
        <f>C23/C11</f>
        <v>0.22197882438846295</v>
      </c>
      <c r="D24" s="17">
        <f>D23/D11</f>
        <v>5.3557052667259859E-2</v>
      </c>
      <c r="E24" s="17">
        <f>E23/E11</f>
        <v>1.7680776014109348E-2</v>
      </c>
      <c r="F24" s="17">
        <f>F23/F11</f>
        <v>7.3686251696722896E-2</v>
      </c>
      <c r="G24" s="32"/>
      <c r="H24" s="17">
        <f t="shared" ref="H24:R24" si="24">H23/H11</f>
        <v>-2.7087614421819541E-2</v>
      </c>
      <c r="I24" s="17">
        <f t="shared" si="24"/>
        <v>-3.7320395596193321E-3</v>
      </c>
      <c r="J24" s="17">
        <f t="shared" si="24"/>
        <v>3.8620689655172416E-2</v>
      </c>
      <c r="K24" s="17">
        <f t="shared" si="24"/>
        <v>5.544747081712062E-2</v>
      </c>
      <c r="L24" s="17">
        <f t="shared" si="24"/>
        <v>6.5777452950849628E-3</v>
      </c>
      <c r="M24" s="17">
        <f t="shared" si="24"/>
        <v>4.6101113967437872E-2</v>
      </c>
      <c r="N24" s="17">
        <f t="shared" si="24"/>
        <v>0.10617392579557119</v>
      </c>
      <c r="O24" s="17">
        <f t="shared" si="24"/>
        <v>0.11373726821624446</v>
      </c>
      <c r="P24" s="17">
        <f t="shared" si="24"/>
        <v>0.10836246302769562</v>
      </c>
      <c r="Q24" s="17">
        <f t="shared" si="24"/>
        <v>-1.7436564736499675E-2</v>
      </c>
      <c r="R24" s="17">
        <f t="shared" si="24"/>
        <v>0.13735669478693488</v>
      </c>
      <c r="T24" s="17">
        <f t="shared" ref="T24:AA24" si="25">T23/T11</f>
        <v>1.7680776014109348E-2</v>
      </c>
      <c r="U24" s="17">
        <f t="shared" si="25"/>
        <v>2.5526315789473685E-2</v>
      </c>
      <c r="V24" s="17">
        <f t="shared" si="25"/>
        <v>3.74205189895171E-2</v>
      </c>
      <c r="W24" s="17">
        <f t="shared" si="25"/>
        <v>5.6431364478287713E-2</v>
      </c>
      <c r="X24" s="17">
        <f t="shared" si="25"/>
        <v>7.3686251696722896E-2</v>
      </c>
      <c r="Y24" s="17">
        <f t="shared" si="25"/>
        <v>9.6216216216216219E-2</v>
      </c>
      <c r="Z24" s="17">
        <f t="shared" si="25"/>
        <v>7.6587837837837833E-2</v>
      </c>
      <c r="AA24" s="17">
        <f t="shared" si="25"/>
        <v>8.7832141630499266E-2</v>
      </c>
      <c r="AB24" s="11"/>
      <c r="AC24" s="77">
        <f>SUM(AA24-W24)*1000</f>
        <v>31.400777152211553</v>
      </c>
    </row>
    <row r="25" spans="2:29" ht="5.0999999999999996" customHeight="1">
      <c r="B25" s="16"/>
      <c r="C25" s="17"/>
      <c r="D25" s="17"/>
      <c r="E25" s="17"/>
      <c r="F25" s="17"/>
      <c r="G25" s="32"/>
      <c r="H25" s="82"/>
      <c r="I25" s="82"/>
      <c r="J25" s="82"/>
      <c r="K25" s="82"/>
      <c r="L25" s="82"/>
      <c r="M25" s="82"/>
      <c r="N25" s="82"/>
      <c r="O25" s="82"/>
      <c r="P25" s="32"/>
      <c r="Q25" s="82"/>
      <c r="R25" s="82"/>
      <c r="T25" s="32"/>
      <c r="U25" s="32"/>
      <c r="V25" s="32"/>
      <c r="W25" s="32"/>
      <c r="X25" s="32"/>
      <c r="Y25" s="32"/>
      <c r="Z25" s="32"/>
      <c r="AA25" s="32"/>
      <c r="AB25" s="11"/>
      <c r="AC25" s="75"/>
    </row>
    <row r="26" spans="2:29" ht="12.75" customHeight="1">
      <c r="B26" s="9" t="s">
        <v>120</v>
      </c>
      <c r="C26" s="82">
        <v>-34</v>
      </c>
      <c r="D26" s="82">
        <v>-88</v>
      </c>
      <c r="E26" s="82">
        <v>-106</v>
      </c>
      <c r="F26" s="82">
        <v>-92</v>
      </c>
      <c r="G26" s="32"/>
      <c r="H26" s="95">
        <v>-25</v>
      </c>
      <c r="I26" s="95">
        <v>-28</v>
      </c>
      <c r="J26" s="95">
        <v>-26</v>
      </c>
      <c r="K26" s="32">
        <f t="shared" ref="K26:K27" si="26">SUM(E26-SUM(H26:J26))</f>
        <v>-27</v>
      </c>
      <c r="L26" s="95">
        <v>-25</v>
      </c>
      <c r="M26" s="95">
        <v>-25</v>
      </c>
      <c r="N26" s="95">
        <v>-23</v>
      </c>
      <c r="O26" s="32">
        <f t="shared" ref="O26:O27" si="27">SUM(F26-SUM(L26:N26))</f>
        <v>-19</v>
      </c>
      <c r="P26" s="82">
        <v>-20</v>
      </c>
      <c r="Q26" s="82">
        <v>-38</v>
      </c>
      <c r="R26" s="82">
        <v>-37</v>
      </c>
      <c r="T26" s="32">
        <f>SUM(H26:K26)</f>
        <v>-106</v>
      </c>
      <c r="U26" s="32">
        <f>SUM(I26:L26)</f>
        <v>-106</v>
      </c>
      <c r="V26" s="32">
        <f>SUM(J26:M26)</f>
        <v>-103</v>
      </c>
      <c r="W26" s="32">
        <f>SUM(K26:N26)</f>
        <v>-100</v>
      </c>
      <c r="X26" s="32">
        <f>SUM(L26:O26)</f>
        <v>-92</v>
      </c>
      <c r="Y26" s="32">
        <f>SUM(M26:P26)</f>
        <v>-87</v>
      </c>
      <c r="Z26" s="32">
        <f>SUM(N26:Q26)</f>
        <v>-100</v>
      </c>
      <c r="AA26" s="32">
        <f>SUM(O26:R26)</f>
        <v>-114</v>
      </c>
      <c r="AB26" s="11"/>
      <c r="AC26" s="75">
        <f>SUM(AA26/W26)-1</f>
        <v>0.1399999999999999</v>
      </c>
    </row>
    <row r="27" spans="2:29" ht="12.75" customHeight="1">
      <c r="B27" s="9" t="s">
        <v>121</v>
      </c>
      <c r="C27" s="82">
        <v>55</v>
      </c>
      <c r="D27" s="82">
        <v>8</v>
      </c>
      <c r="E27" s="82">
        <v>197</v>
      </c>
      <c r="F27" s="82">
        <v>181</v>
      </c>
      <c r="G27" s="32"/>
      <c r="H27" s="95">
        <v>43</v>
      </c>
      <c r="I27" s="95">
        <v>46</v>
      </c>
      <c r="J27" s="95">
        <v>59</v>
      </c>
      <c r="K27" s="32">
        <f t="shared" si="26"/>
        <v>49</v>
      </c>
      <c r="L27" s="95">
        <v>53</v>
      </c>
      <c r="M27" s="95">
        <v>55</v>
      </c>
      <c r="N27" s="95">
        <v>36</v>
      </c>
      <c r="O27" s="32">
        <f t="shared" si="27"/>
        <v>37</v>
      </c>
      <c r="P27" s="82">
        <v>39</v>
      </c>
      <c r="Q27" s="82">
        <v>98</v>
      </c>
      <c r="R27" s="82">
        <v>82</v>
      </c>
      <c r="T27" s="32">
        <f>SUM(H27:K27)</f>
        <v>197</v>
      </c>
      <c r="U27" s="32">
        <f>SUM(I27:L27)</f>
        <v>207</v>
      </c>
      <c r="V27" s="32">
        <f>SUM(J27:M27)</f>
        <v>216</v>
      </c>
      <c r="W27" s="32">
        <f>SUM(K27:N27)</f>
        <v>193</v>
      </c>
      <c r="X27" s="32">
        <f>SUM(L27:O27)</f>
        <v>181</v>
      </c>
      <c r="Y27" s="32">
        <f>SUM(M27:P27)</f>
        <v>167</v>
      </c>
      <c r="Z27" s="32">
        <f>SUM(N27:Q27)</f>
        <v>210</v>
      </c>
      <c r="AA27" s="32">
        <f>SUM(O27:R27)</f>
        <v>256</v>
      </c>
      <c r="AB27" s="11"/>
      <c r="AC27" s="75">
        <f>SUM(AA27/W27)-1</f>
        <v>0.32642487046632129</v>
      </c>
    </row>
    <row r="28" spans="2:29" ht="12.75" customHeight="1">
      <c r="B28" s="25" t="s">
        <v>122</v>
      </c>
      <c r="C28" s="26">
        <f>SUM(C23+SUM(C26:C27))</f>
        <v>3669</v>
      </c>
      <c r="D28" s="26">
        <f>SUM(D23+SUM(D26:D27))</f>
        <v>1184</v>
      </c>
      <c r="E28" s="26">
        <f>SUM(E23+SUM(E26:E27))</f>
        <v>492</v>
      </c>
      <c r="F28" s="26">
        <f>SUM(F23+SUM(F26:F27))</f>
        <v>1989</v>
      </c>
      <c r="H28" s="26">
        <f>SUM(H23+SUM(H26:H27))</f>
        <v>-127</v>
      </c>
      <c r="I28" s="26">
        <f>SUM(I23+SUM(I26:I27))</f>
        <v>-2</v>
      </c>
      <c r="J28" s="26">
        <f>SUM(J23+SUM(J26:J27))</f>
        <v>257</v>
      </c>
      <c r="K28" s="26">
        <f>SUM(K23+SUM(K26:K27))</f>
        <v>364</v>
      </c>
      <c r="L28" s="26">
        <f>SUM(L23+SUM(L26:L27))</f>
        <v>64</v>
      </c>
      <c r="M28" s="26">
        <f>SUM(M23+SUM(M26:M27))</f>
        <v>299</v>
      </c>
      <c r="N28" s="26">
        <f>SUM(N23+SUM(N26:N27))</f>
        <v>737</v>
      </c>
      <c r="O28" s="26">
        <f>SUM(O23+SUM(O26:O27))</f>
        <v>889</v>
      </c>
      <c r="P28" s="26">
        <f>SUM(P23+SUM(P26:P27))</f>
        <v>825</v>
      </c>
      <c r="Q28" s="26">
        <f>SUM(Q23+SUM(Q26:Q27))</f>
        <v>-74</v>
      </c>
      <c r="R28" s="26">
        <f>SUM(R23+SUM(R26:R27))</f>
        <v>1315</v>
      </c>
      <c r="T28" s="26">
        <f>SUM(T23+SUM(T26:T27))</f>
        <v>492</v>
      </c>
      <c r="U28" s="26">
        <f>SUM(U23+SUM(U26:U27))</f>
        <v>683</v>
      </c>
      <c r="V28" s="26">
        <f>SUM(V23+SUM(V26:V27))</f>
        <v>984</v>
      </c>
      <c r="W28" s="26">
        <f>SUM(W23+SUM(W26:W27))</f>
        <v>1464</v>
      </c>
      <c r="X28" s="26">
        <f>SUM(X23+SUM(X26:X27))</f>
        <v>1989</v>
      </c>
      <c r="Y28" s="26">
        <f>SUM(Y23+SUM(Y26:Y27))</f>
        <v>2750</v>
      </c>
      <c r="Z28" s="26">
        <f>SUM(Z23+SUM(Z26:Z27))</f>
        <v>2377</v>
      </c>
      <c r="AA28" s="26">
        <f>SUM(AA23+SUM(AA26:AA27))</f>
        <v>2955</v>
      </c>
      <c r="AB28" s="42"/>
      <c r="AC28" s="76">
        <f>SUM(AA28/W28)-1</f>
        <v>1.0184426229508197</v>
      </c>
    </row>
    <row r="29" spans="2:29" ht="12.75" customHeight="1">
      <c r="B29" s="16" t="s">
        <v>123</v>
      </c>
      <c r="C29" s="17">
        <f>C28/C11</f>
        <v>0.22325666301569916</v>
      </c>
      <c r="D29" s="17">
        <f>D28/D11</f>
        <v>5.0167365789585187E-2</v>
      </c>
      <c r="E29" s="17">
        <f>E28/E11</f>
        <v>2.1693121693121695E-2</v>
      </c>
      <c r="F29" s="17">
        <f>F28/F11</f>
        <v>7.7137870855148338E-2</v>
      </c>
      <c r="G29" s="27"/>
      <c r="H29" s="17">
        <f>H28/H11</f>
        <v>-2.3725014010835047E-2</v>
      </c>
      <c r="I29" s="17">
        <f>I28/I11</f>
        <v>-3.7320395596193321E-4</v>
      </c>
      <c r="J29" s="17">
        <f>J28/J11</f>
        <v>4.4310344827586209E-2</v>
      </c>
      <c r="K29" s="17">
        <f>K28/K11</f>
        <v>5.901426718547341E-2</v>
      </c>
      <c r="L29" s="17">
        <f>L28/L11</f>
        <v>1.1693769413484378E-2</v>
      </c>
      <c r="M29" s="17">
        <f>M28/M11</f>
        <v>5.1242502142245072E-2</v>
      </c>
      <c r="N29" s="17">
        <f>N28/N11</f>
        <v>0.10808036368969057</v>
      </c>
      <c r="O29" s="17">
        <f>O28/O11</f>
        <v>0.11608775137111517</v>
      </c>
      <c r="P29" s="17">
        <f>P28/P11</f>
        <v>0.11091691314869588</v>
      </c>
      <c r="Q29" s="17">
        <f>Q28/Q11</f>
        <v>-9.6291476903057911E-3</v>
      </c>
      <c r="R29" s="17">
        <f>R28/R11</f>
        <v>0.14222366428725935</v>
      </c>
      <c r="S29" s="28"/>
      <c r="T29" s="17">
        <f>T28/T11</f>
        <v>2.1693121693121695E-2</v>
      </c>
      <c r="U29" s="17">
        <f>U28/U11</f>
        <v>2.9956140350877195E-2</v>
      </c>
      <c r="V29" s="17">
        <f>V28/V11</f>
        <v>4.2275305035229423E-2</v>
      </c>
      <c r="W29" s="17">
        <f>W28/W11</f>
        <v>6.025931261576456E-2</v>
      </c>
      <c r="X29" s="17">
        <f>X28/X11</f>
        <v>7.7137870855148338E-2</v>
      </c>
      <c r="Y29" s="17">
        <f>Y28/Y11</f>
        <v>9.90990990990991E-2</v>
      </c>
      <c r="Z29" s="17">
        <f>Z28/Z11</f>
        <v>8.0304054054054053E-2</v>
      </c>
      <c r="AA29" s="17">
        <f>AA28/AA11</f>
        <v>9.2265900646329654E-2</v>
      </c>
      <c r="AB29" s="43"/>
      <c r="AC29" s="77">
        <f>SUM(AA29-W29)*1000</f>
        <v>32.006588030565098</v>
      </c>
    </row>
    <row r="30" spans="2:29" ht="5.0999999999999996" customHeight="1">
      <c r="B30" s="16"/>
      <c r="C30" s="17"/>
      <c r="D30" s="17"/>
      <c r="E30" s="17"/>
      <c r="F30" s="17"/>
      <c r="G30" s="2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28"/>
      <c r="T30" s="17"/>
      <c r="U30" s="17"/>
      <c r="V30" s="17"/>
      <c r="W30" s="17"/>
      <c r="X30" s="17"/>
      <c r="Y30" s="17"/>
      <c r="Z30" s="17"/>
      <c r="AA30" s="17"/>
      <c r="AB30" s="43"/>
      <c r="AC30" s="77"/>
    </row>
    <row r="31" spans="2:29" ht="12.75" customHeight="1">
      <c r="B31" s="9" t="s">
        <v>125</v>
      </c>
      <c r="C31" s="82">
        <v>-513</v>
      </c>
      <c r="D31" s="82">
        <v>122</v>
      </c>
      <c r="E31" s="82">
        <v>346</v>
      </c>
      <c r="F31" s="82">
        <v>-381</v>
      </c>
      <c r="G31" s="32"/>
      <c r="H31" s="95">
        <v>-13</v>
      </c>
      <c r="I31" s="95">
        <v>23</v>
      </c>
      <c r="J31" s="95">
        <v>39</v>
      </c>
      <c r="K31" s="32">
        <f t="shared" ref="K31" si="28">SUM(E31-SUM(H31:J31))</f>
        <v>297</v>
      </c>
      <c r="L31" s="95">
        <v>52</v>
      </c>
      <c r="M31" s="95">
        <v>-41</v>
      </c>
      <c r="N31" s="95">
        <v>27</v>
      </c>
      <c r="O31" s="32">
        <f t="shared" ref="O31" si="29">SUM(F31-SUM(L31:N31))</f>
        <v>-419</v>
      </c>
      <c r="P31" s="82">
        <v>-123</v>
      </c>
      <c r="Q31" s="82">
        <v>834</v>
      </c>
      <c r="R31" s="82">
        <v>-153</v>
      </c>
      <c r="T31" s="32">
        <f>SUM(H31:K31)</f>
        <v>346</v>
      </c>
      <c r="U31" s="32">
        <f>SUM(I31:L31)</f>
        <v>411</v>
      </c>
      <c r="V31" s="32">
        <f>SUM(J31:M31)</f>
        <v>347</v>
      </c>
      <c r="W31" s="32">
        <f>SUM(K31:N31)</f>
        <v>335</v>
      </c>
      <c r="X31" s="32">
        <f>SUM(L31:O31)</f>
        <v>-381</v>
      </c>
      <c r="Y31" s="32">
        <f>SUM(M31:P31)</f>
        <v>-556</v>
      </c>
      <c r="Z31" s="32">
        <f>SUM(N31:Q31)</f>
        <v>319</v>
      </c>
      <c r="AA31" s="32">
        <f>SUM(O31:R31)</f>
        <v>139</v>
      </c>
      <c r="AB31" s="11"/>
      <c r="AC31" s="75">
        <f>SUM(AA31/W31)-1</f>
        <v>-0.58507462686567169</v>
      </c>
    </row>
    <row r="32" spans="2:29" ht="12.75" customHeight="1">
      <c r="B32" s="9" t="s">
        <v>124</v>
      </c>
      <c r="C32" s="82">
        <v>6</v>
      </c>
      <c r="D32" s="82">
        <v>14</v>
      </c>
      <c r="E32" s="82">
        <v>16</v>
      </c>
      <c r="F32" s="82">
        <v>33</v>
      </c>
      <c r="G32" s="32"/>
      <c r="H32" s="95">
        <v>1</v>
      </c>
      <c r="I32" s="95">
        <v>6</v>
      </c>
      <c r="J32" s="95">
        <v>3</v>
      </c>
      <c r="K32" s="32">
        <f t="shared" ref="K32" si="30">SUM(E32-SUM(H32:J32))</f>
        <v>6</v>
      </c>
      <c r="L32" s="95">
        <v>7</v>
      </c>
      <c r="M32" s="95">
        <v>7</v>
      </c>
      <c r="N32" s="95">
        <v>7</v>
      </c>
      <c r="O32" s="32">
        <f t="shared" ref="O32" si="31">SUM(F32-SUM(L32:N32))</f>
        <v>12</v>
      </c>
      <c r="P32" s="82">
        <v>7</v>
      </c>
      <c r="Q32" s="82">
        <v>8</v>
      </c>
      <c r="R32" s="82">
        <v>10</v>
      </c>
      <c r="T32" s="32">
        <f>SUM(H32:K32)</f>
        <v>16</v>
      </c>
      <c r="U32" s="32">
        <f>SUM(I32:L32)</f>
        <v>22</v>
      </c>
      <c r="V32" s="32">
        <f>SUM(J32:M32)</f>
        <v>23</v>
      </c>
      <c r="W32" s="32">
        <f>SUM(K32:N32)</f>
        <v>27</v>
      </c>
      <c r="X32" s="32">
        <f>SUM(L32:O32)</f>
        <v>33</v>
      </c>
      <c r="Y32" s="32">
        <f>SUM(M32:P32)</f>
        <v>33</v>
      </c>
      <c r="Z32" s="32">
        <f>SUM(N32:Q32)</f>
        <v>34</v>
      </c>
      <c r="AA32" s="32">
        <f>SUM(O32:R32)</f>
        <v>37</v>
      </c>
      <c r="AB32" s="11"/>
      <c r="AC32" s="75">
        <f>SUM(AA32/W32)-1</f>
        <v>0.37037037037037046</v>
      </c>
    </row>
    <row r="33" spans="1:29" ht="12.75" customHeight="1">
      <c r="B33" s="13" t="s">
        <v>166</v>
      </c>
      <c r="C33" s="14">
        <f>SUM(C28+SUM(C31:C32))</f>
        <v>3162</v>
      </c>
      <c r="D33" s="14">
        <f t="shared" ref="D33:F33" si="32">SUM(D28+SUM(D31:D32))</f>
        <v>1320</v>
      </c>
      <c r="E33" s="14">
        <f t="shared" si="32"/>
        <v>854</v>
      </c>
      <c r="F33" s="14">
        <f t="shared" si="32"/>
        <v>1641</v>
      </c>
      <c r="G33" s="11"/>
      <c r="H33" s="14">
        <f t="shared" ref="H33" si="33">SUM(H28+SUM(H31:H32))</f>
        <v>-139</v>
      </c>
      <c r="I33" s="14">
        <f t="shared" ref="I33" si="34">SUM(I28+SUM(I31:I32))</f>
        <v>27</v>
      </c>
      <c r="J33" s="14">
        <f t="shared" ref="J33" si="35">SUM(J28+SUM(J31:J32))</f>
        <v>299</v>
      </c>
      <c r="K33" s="14">
        <f t="shared" ref="K33" si="36">SUM(K28+SUM(K31:K32))</f>
        <v>667</v>
      </c>
      <c r="L33" s="14">
        <f t="shared" ref="L33" si="37">SUM(L28+SUM(L31:L32))</f>
        <v>123</v>
      </c>
      <c r="M33" s="14">
        <f t="shared" ref="M33" si="38">SUM(M28+SUM(M31:M32))</f>
        <v>265</v>
      </c>
      <c r="N33" s="14">
        <f t="shared" ref="N33" si="39">SUM(N28+SUM(N31:N32))</f>
        <v>771</v>
      </c>
      <c r="O33" s="14">
        <f t="shared" ref="O33" si="40">SUM(O28+SUM(O31:O32))</f>
        <v>482</v>
      </c>
      <c r="P33" s="14">
        <f t="shared" ref="P33" si="41">SUM(P28+SUM(P31:P32))</f>
        <v>709</v>
      </c>
      <c r="Q33" s="14">
        <f t="shared" ref="Q33" si="42">SUM(Q28+SUM(Q31:Q32))</f>
        <v>768</v>
      </c>
      <c r="R33" s="14">
        <f t="shared" ref="R33" si="43">SUM(R28+SUM(R31:R32))</f>
        <v>1172</v>
      </c>
      <c r="S33" s="32"/>
      <c r="T33" s="14">
        <f t="shared" ref="T33" si="44">SUM(T28+SUM(T31:T32))</f>
        <v>854</v>
      </c>
      <c r="U33" s="14">
        <f t="shared" ref="U33" si="45">SUM(U28+SUM(U31:U32))</f>
        <v>1116</v>
      </c>
      <c r="V33" s="14">
        <f t="shared" ref="V33" si="46">SUM(V28+SUM(V31:V32))</f>
        <v>1354</v>
      </c>
      <c r="W33" s="14">
        <f t="shared" ref="W33" si="47">SUM(W28+SUM(W31:W32))</f>
        <v>1826</v>
      </c>
      <c r="X33" s="14">
        <f t="shared" ref="X33" si="48">SUM(X28+SUM(X31:X32))</f>
        <v>1641</v>
      </c>
      <c r="Y33" s="14">
        <f t="shared" ref="Y33" si="49">SUM(Y28+SUM(Y31:Y32))</f>
        <v>2227</v>
      </c>
      <c r="Z33" s="14">
        <f t="shared" ref="Z33" si="50">SUM(Z28+SUM(Z31:Z32))</f>
        <v>2730</v>
      </c>
      <c r="AA33" s="14">
        <f t="shared" ref="AA33" si="51">SUM(AA28+SUM(AA31:AA32))</f>
        <v>3131</v>
      </c>
      <c r="AB33" s="36"/>
      <c r="AC33" s="76">
        <f>SUM(AA33/W33)-1</f>
        <v>0.71467688937568452</v>
      </c>
    </row>
    <row r="34" spans="1:29" ht="12.75" customHeight="1">
      <c r="B34" s="16" t="s">
        <v>123</v>
      </c>
      <c r="C34" s="17">
        <f>C33/C11</f>
        <v>0.19240598758671049</v>
      </c>
      <c r="D34" s="17">
        <f>D33/D11</f>
        <v>5.5929833481632135E-2</v>
      </c>
      <c r="E34" s="17">
        <f>E33/E11</f>
        <v>3.7654320987654324E-2</v>
      </c>
      <c r="F34" s="17">
        <f>F33/F11</f>
        <v>6.3641652123327522E-2</v>
      </c>
      <c r="G34" s="27"/>
      <c r="H34" s="17">
        <f>H33/H11</f>
        <v>-2.5966747618158044E-2</v>
      </c>
      <c r="I34" s="17">
        <f>I33/I11</f>
        <v>5.0382534054860982E-3</v>
      </c>
      <c r="J34" s="17">
        <f>J33/J11</f>
        <v>5.1551724137931035E-2</v>
      </c>
      <c r="K34" s="17">
        <f>K33/K11</f>
        <v>0.10813878080415046</v>
      </c>
      <c r="L34" s="17">
        <f>L33/L11</f>
        <v>2.2473963091540289E-2</v>
      </c>
      <c r="M34" s="17">
        <f>M33/M11</f>
        <v>4.5415595544130251E-2</v>
      </c>
      <c r="N34" s="17">
        <f>N33/N11</f>
        <v>0.11306643202815662</v>
      </c>
      <c r="O34" s="17">
        <f>O33/O11</f>
        <v>6.2940715591538257E-2</v>
      </c>
      <c r="P34" s="17">
        <f>P33/P11</f>
        <v>9.5321322936273198E-2</v>
      </c>
      <c r="Q34" s="17">
        <f>Q33/Q11</f>
        <v>9.9934938191281714E-2</v>
      </c>
      <c r="R34" s="17">
        <f>R33/R11</f>
        <v>0.12675751676400607</v>
      </c>
      <c r="S34" s="28"/>
      <c r="T34" s="17">
        <f>T33/T11</f>
        <v>3.7654320987654324E-2</v>
      </c>
      <c r="U34" s="17">
        <f>U33/U11</f>
        <v>4.8947368421052628E-2</v>
      </c>
      <c r="V34" s="17">
        <f>V33/V11</f>
        <v>5.8171507131809588E-2</v>
      </c>
      <c r="W34" s="17">
        <f>W33/W11</f>
        <v>7.5159497839061534E-2</v>
      </c>
      <c r="X34" s="17">
        <f>X33/X11</f>
        <v>6.3641652123327522E-2</v>
      </c>
      <c r="Y34" s="17">
        <f>Y33/Y11</f>
        <v>8.0252252252252257E-2</v>
      </c>
      <c r="Z34" s="17">
        <f>Z33/Z11</f>
        <v>9.2229729729729731E-2</v>
      </c>
      <c r="AA34" s="17">
        <f>AA33/AA11</f>
        <v>9.7761263933556067E-2</v>
      </c>
      <c r="AB34" s="43"/>
      <c r="AC34" s="77">
        <f>SUM(AA34-W34)*1000</f>
        <v>22.601766094494533</v>
      </c>
    </row>
    <row r="35" spans="1:29" ht="5.0999999999999996" customHeight="1">
      <c r="B35" s="16"/>
      <c r="C35" s="17"/>
      <c r="D35" s="17"/>
      <c r="E35" s="17"/>
      <c r="F35" s="17"/>
      <c r="G35" s="2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28"/>
      <c r="T35" s="17"/>
      <c r="U35" s="17"/>
      <c r="V35" s="17"/>
      <c r="W35" s="17"/>
      <c r="X35" s="17"/>
      <c r="Y35" s="17"/>
      <c r="Z35" s="17"/>
      <c r="AA35" s="17"/>
      <c r="AB35" s="43"/>
      <c r="AC35" s="77"/>
    </row>
    <row r="36" spans="1:29" ht="12.75" customHeight="1">
      <c r="B36" s="9" t="s">
        <v>167</v>
      </c>
      <c r="C36" s="82">
        <v>0</v>
      </c>
      <c r="D36" s="82">
        <v>0</v>
      </c>
      <c r="E36" s="82">
        <v>0</v>
      </c>
      <c r="F36" s="82">
        <v>0</v>
      </c>
      <c r="G36" s="32"/>
      <c r="H36" s="82">
        <v>0</v>
      </c>
      <c r="I36" s="82">
        <v>0</v>
      </c>
      <c r="J36" s="82">
        <v>0</v>
      </c>
      <c r="K36" s="32">
        <f t="shared" ref="K36" si="52">SUM(E36-SUM(H36:J36))</f>
        <v>0</v>
      </c>
      <c r="L36" s="82">
        <v>0</v>
      </c>
      <c r="M36" s="82">
        <v>0</v>
      </c>
      <c r="N36" s="82">
        <v>0</v>
      </c>
      <c r="O36" s="32">
        <f t="shared" ref="O36" si="53">SUM(F36-SUM(L36:N36))</f>
        <v>0</v>
      </c>
      <c r="P36" s="82">
        <v>0</v>
      </c>
      <c r="Q36" s="82">
        <v>104</v>
      </c>
      <c r="R36" s="82">
        <v>71</v>
      </c>
      <c r="T36" s="32">
        <f>SUM(H36:K36)</f>
        <v>0</v>
      </c>
      <c r="U36" s="32">
        <f>SUM(I36:L36)</f>
        <v>0</v>
      </c>
      <c r="V36" s="32">
        <f>SUM(J36:M36)</f>
        <v>0</v>
      </c>
      <c r="W36" s="32">
        <f>SUM(K36:N36)</f>
        <v>0</v>
      </c>
      <c r="X36" s="32">
        <f>SUM(L36:O36)</f>
        <v>0</v>
      </c>
      <c r="Y36" s="32">
        <f>SUM(M36:P36)</f>
        <v>0</v>
      </c>
      <c r="Z36" s="32">
        <f>SUM(N36:Q36)</f>
        <v>104</v>
      </c>
      <c r="AA36" s="32">
        <f>SUM(O36:R36)</f>
        <v>175</v>
      </c>
      <c r="AB36" s="11"/>
      <c r="AC36" s="75" t="e">
        <f>SUM(AA36/W36)-1</f>
        <v>#DIV/0!</v>
      </c>
    </row>
    <row r="37" spans="1:29" ht="12.75" customHeight="1">
      <c r="B37" s="13" t="s">
        <v>126</v>
      </c>
      <c r="C37" s="14">
        <f>SUM(C33+C36)</f>
        <v>3162</v>
      </c>
      <c r="D37" s="14">
        <f t="shared" ref="D37:F37" si="54">SUM(D33+D36)</f>
        <v>1320</v>
      </c>
      <c r="E37" s="14">
        <f t="shared" si="54"/>
        <v>854</v>
      </c>
      <c r="F37" s="14">
        <f t="shared" si="54"/>
        <v>1641</v>
      </c>
      <c r="G37" s="11"/>
      <c r="H37" s="14">
        <f t="shared" ref="H37" si="55">SUM(H33+H36)</f>
        <v>-139</v>
      </c>
      <c r="I37" s="14">
        <f t="shared" ref="I37" si="56">SUM(I33+I36)</f>
        <v>27</v>
      </c>
      <c r="J37" s="14">
        <f t="shared" ref="J37" si="57">SUM(J33+J36)</f>
        <v>299</v>
      </c>
      <c r="K37" s="14">
        <f t="shared" ref="K37" si="58">SUM(K33+K36)</f>
        <v>667</v>
      </c>
      <c r="L37" s="14">
        <f t="shared" ref="L37" si="59">SUM(L33+L36)</f>
        <v>123</v>
      </c>
      <c r="M37" s="14">
        <f t="shared" ref="M37" si="60">SUM(M33+M36)</f>
        <v>265</v>
      </c>
      <c r="N37" s="14">
        <f t="shared" ref="N37" si="61">SUM(N33+N36)</f>
        <v>771</v>
      </c>
      <c r="O37" s="14">
        <f t="shared" ref="O37" si="62">SUM(O33+O36)</f>
        <v>482</v>
      </c>
      <c r="P37" s="14">
        <f t="shared" ref="P37" si="63">SUM(P33+P36)</f>
        <v>709</v>
      </c>
      <c r="Q37" s="14">
        <f t="shared" ref="Q37" si="64">SUM(Q33+Q36)</f>
        <v>872</v>
      </c>
      <c r="R37" s="14">
        <f t="shared" ref="R37" si="65">SUM(R33+R36)</f>
        <v>1243</v>
      </c>
      <c r="T37" s="14">
        <f t="shared" ref="T37" si="66">SUM(T33+T36)</f>
        <v>854</v>
      </c>
      <c r="U37" s="14">
        <f t="shared" ref="U37" si="67">SUM(U33+U36)</f>
        <v>1116</v>
      </c>
      <c r="V37" s="14">
        <f t="shared" ref="V37" si="68">SUM(V33+V36)</f>
        <v>1354</v>
      </c>
      <c r="W37" s="14">
        <f t="shared" ref="W37" si="69">SUM(W33+W36)</f>
        <v>1826</v>
      </c>
      <c r="X37" s="14">
        <f t="shared" ref="X37" si="70">SUM(X33+X36)</f>
        <v>1641</v>
      </c>
      <c r="Y37" s="14">
        <f t="shared" ref="Y37" si="71">SUM(Y33+Y36)</f>
        <v>2227</v>
      </c>
      <c r="Z37" s="14">
        <f t="shared" ref="Z37" si="72">SUM(Z33+Z36)</f>
        <v>2834</v>
      </c>
      <c r="AA37" s="14">
        <f t="shared" ref="AA37" si="73">SUM(AA33+AA36)</f>
        <v>3306</v>
      </c>
      <c r="AB37" s="43"/>
      <c r="AC37" s="76">
        <f>SUM(AA37/W37)-1</f>
        <v>0.8105147864184008</v>
      </c>
    </row>
    <row r="38" spans="1:29" ht="12.75" customHeight="1">
      <c r="B38" s="16" t="s">
        <v>123</v>
      </c>
      <c r="C38" s="17">
        <f>C37/C11</f>
        <v>0.19240598758671049</v>
      </c>
      <c r="D38" s="17">
        <f t="shared" ref="D38:F38" si="74">D37/D11</f>
        <v>5.5929833481632135E-2</v>
      </c>
      <c r="E38" s="17">
        <f t="shared" si="74"/>
        <v>3.7654320987654324E-2</v>
      </c>
      <c r="F38" s="17">
        <f t="shared" si="74"/>
        <v>6.3641652123327522E-2</v>
      </c>
      <c r="G38" s="27"/>
      <c r="H38" s="17">
        <f t="shared" ref="H38" si="75">H37/H11</f>
        <v>-2.5966747618158044E-2</v>
      </c>
      <c r="I38" s="17">
        <f t="shared" ref="I38" si="76">I37/I11</f>
        <v>5.0382534054860982E-3</v>
      </c>
      <c r="J38" s="17">
        <f t="shared" ref="J38" si="77">J37/J11</f>
        <v>5.1551724137931035E-2</v>
      </c>
      <c r="K38" s="17">
        <f t="shared" ref="K38" si="78">K37/K11</f>
        <v>0.10813878080415046</v>
      </c>
      <c r="L38" s="17">
        <f t="shared" ref="L38" si="79">L37/L11</f>
        <v>2.2473963091540289E-2</v>
      </c>
      <c r="M38" s="17">
        <f t="shared" ref="M38" si="80">M37/M11</f>
        <v>4.5415595544130251E-2</v>
      </c>
      <c r="N38" s="17">
        <f t="shared" ref="N38" si="81">N37/N11</f>
        <v>0.11306643202815662</v>
      </c>
      <c r="O38" s="17">
        <f t="shared" ref="O38" si="82">O37/O11</f>
        <v>6.2940715591538257E-2</v>
      </c>
      <c r="P38" s="17">
        <f t="shared" ref="P38" si="83">P37/P11</f>
        <v>9.5321322936273198E-2</v>
      </c>
      <c r="Q38" s="17">
        <f t="shared" ref="Q38" si="84">Q37/Q11</f>
        <v>0.11346779440468445</v>
      </c>
      <c r="R38" s="17">
        <f t="shared" ref="R38" si="85">R37/R11</f>
        <v>0.13443651308674021</v>
      </c>
      <c r="T38" s="17">
        <f t="shared" ref="T38" si="86">T37/T11</f>
        <v>3.7654320987654324E-2</v>
      </c>
      <c r="U38" s="17">
        <f t="shared" ref="U38" si="87">U37/U11</f>
        <v>4.8947368421052628E-2</v>
      </c>
      <c r="V38" s="17">
        <f t="shared" ref="V38" si="88">V37/V11</f>
        <v>5.8171507131809588E-2</v>
      </c>
      <c r="W38" s="17">
        <f t="shared" ref="W38" si="89">W37/W11</f>
        <v>7.5159497839061534E-2</v>
      </c>
      <c r="X38" s="17">
        <f t="shared" ref="X38" si="90">X37/X11</f>
        <v>6.3641652123327522E-2</v>
      </c>
      <c r="Y38" s="17">
        <f t="shared" ref="Y38" si="91">Y37/Y11</f>
        <v>8.0252252252252257E-2</v>
      </c>
      <c r="Z38" s="17">
        <f t="shared" ref="Z38" si="92">Z37/Z11</f>
        <v>9.5743243243243237E-2</v>
      </c>
      <c r="AA38" s="17">
        <f t="shared" ref="AA38" si="93">AA37/AA11</f>
        <v>0.10322540356574141</v>
      </c>
      <c r="AB38" s="43"/>
      <c r="AC38" s="77">
        <f>SUM(AA38-W38)*1000</f>
        <v>28.065905726679873</v>
      </c>
    </row>
    <row r="39" spans="1:29" ht="5.0999999999999996" customHeight="1">
      <c r="B39" s="16"/>
      <c r="C39" s="17"/>
      <c r="D39" s="17"/>
      <c r="E39" s="17"/>
      <c r="F39" s="17"/>
      <c r="G39" s="2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28"/>
      <c r="T39" s="17"/>
      <c r="U39" s="17"/>
      <c r="V39" s="17"/>
      <c r="W39" s="17"/>
      <c r="X39" s="17"/>
      <c r="Y39" s="17"/>
      <c r="Z39" s="17"/>
      <c r="AA39" s="17"/>
      <c r="AB39" s="43"/>
      <c r="AC39" s="77"/>
    </row>
    <row r="40" spans="1:29" ht="12.75" customHeight="1">
      <c r="B40" s="44" t="s">
        <v>93</v>
      </c>
      <c r="C40" s="82">
        <v>1213</v>
      </c>
      <c r="D40" s="82">
        <v>1561</v>
      </c>
      <c r="E40" s="82">
        <v>1614</v>
      </c>
      <c r="F40" s="82">
        <v>1620</v>
      </c>
      <c r="G40" s="27"/>
      <c r="H40" s="82">
        <v>1611</v>
      </c>
      <c r="I40" s="82">
        <v>1612</v>
      </c>
      <c r="J40" s="82">
        <v>1616</v>
      </c>
      <c r="K40" s="32">
        <f>E40</f>
        <v>1614</v>
      </c>
      <c r="L40" s="82">
        <v>1617</v>
      </c>
      <c r="M40" s="82">
        <v>1618</v>
      </c>
      <c r="N40" s="82">
        <v>1620</v>
      </c>
      <c r="O40" s="32">
        <f>F40</f>
        <v>1620</v>
      </c>
      <c r="P40" s="82">
        <v>1620</v>
      </c>
      <c r="Q40" s="82">
        <v>1623</v>
      </c>
      <c r="R40" s="82">
        <v>1626</v>
      </c>
      <c r="S40" s="134"/>
      <c r="T40" s="32">
        <f>K40</f>
        <v>1614</v>
      </c>
      <c r="U40" s="32">
        <f>L40</f>
        <v>1617</v>
      </c>
      <c r="V40" s="32">
        <f>M40</f>
        <v>1618</v>
      </c>
      <c r="W40" s="32">
        <f>N40</f>
        <v>1620</v>
      </c>
      <c r="X40" s="32">
        <f>O40</f>
        <v>1620</v>
      </c>
      <c r="Y40" s="32">
        <f>P40</f>
        <v>1620</v>
      </c>
      <c r="Z40" s="32">
        <f>Q40</f>
        <v>1623</v>
      </c>
      <c r="AA40" s="32">
        <f>R40</f>
        <v>1626</v>
      </c>
      <c r="AB40" s="43"/>
      <c r="AC40" s="75">
        <f>SUM(AA40/W40)-1</f>
        <v>3.7037037037037646E-3</v>
      </c>
    </row>
    <row r="41" spans="1:29" ht="12.75" customHeight="1">
      <c r="B41" s="13" t="s">
        <v>64</v>
      </c>
      <c r="C41" s="146">
        <f>C37/C40</f>
        <v>2.6067600989282771</v>
      </c>
      <c r="D41" s="146">
        <f>D37/D40</f>
        <v>0.8456117873158232</v>
      </c>
      <c r="E41" s="146">
        <f>E37/E40</f>
        <v>0.52912019826517964</v>
      </c>
      <c r="F41" s="146">
        <f>F37/F40</f>
        <v>1.0129629629629631</v>
      </c>
      <c r="G41" s="27"/>
      <c r="H41" s="146">
        <f>H37/H40</f>
        <v>-8.6281812538795785E-2</v>
      </c>
      <c r="I41" s="146">
        <f>I37/I40</f>
        <v>1.6749379652605458E-2</v>
      </c>
      <c r="J41" s="146">
        <f>J37/J40</f>
        <v>0.18502475247524752</v>
      </c>
      <c r="K41" s="146">
        <f>K37/K40</f>
        <v>0.41325898389095417</v>
      </c>
      <c r="L41" s="146">
        <f>L37/L40</f>
        <v>7.6066790352504632E-2</v>
      </c>
      <c r="M41" s="146">
        <f>M37/M40</f>
        <v>0.16378244746600742</v>
      </c>
      <c r="N41" s="146">
        <f>N37/N40</f>
        <v>0.47592592592592592</v>
      </c>
      <c r="O41" s="146">
        <f>O37/O40</f>
        <v>0.29753086419753089</v>
      </c>
      <c r="P41" s="146">
        <f>P37/P40</f>
        <v>0.43765432098765433</v>
      </c>
      <c r="Q41" s="146">
        <f>Q37/Q40</f>
        <v>0.5372766481823783</v>
      </c>
      <c r="R41" s="146">
        <f>R37/R40</f>
        <v>0.76445264452644524</v>
      </c>
      <c r="S41" s="134"/>
      <c r="T41" s="146">
        <f>T37/T40</f>
        <v>0.52912019826517964</v>
      </c>
      <c r="U41" s="146">
        <f>U37/U40</f>
        <v>0.69016697588126164</v>
      </c>
      <c r="V41" s="146">
        <f>V37/V40</f>
        <v>0.83683559950556241</v>
      </c>
      <c r="W41" s="146">
        <f>W37/W40</f>
        <v>1.1271604938271604</v>
      </c>
      <c r="X41" s="146">
        <f>X37/X40</f>
        <v>1.0129629629629631</v>
      </c>
      <c r="Y41" s="146">
        <f>Y37/Y40</f>
        <v>1.3746913580246913</v>
      </c>
      <c r="Z41" s="146">
        <f>Z37/Z40</f>
        <v>1.7461491065927295</v>
      </c>
      <c r="AA41" s="146">
        <f>AA37/AA40</f>
        <v>2.0332103321033212</v>
      </c>
      <c r="AB41" s="43"/>
      <c r="AC41" s="76">
        <f>SUM(AA41/W41)-1</f>
        <v>0.80383392004785348</v>
      </c>
    </row>
    <row r="42" spans="1:29" ht="12.75" customHeight="1">
      <c r="B42" s="25"/>
      <c r="C42" s="48"/>
      <c r="D42" s="48"/>
      <c r="E42" s="48"/>
      <c r="F42" s="48"/>
      <c r="G42" s="145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43"/>
      <c r="AC42" s="75"/>
    </row>
    <row r="43" spans="1:29" ht="12.75" customHeight="1">
      <c r="B43" s="44" t="s">
        <v>65</v>
      </c>
      <c r="C43" s="82">
        <v>1229</v>
      </c>
      <c r="D43" s="82">
        <v>1571</v>
      </c>
      <c r="E43" s="82">
        <v>1625</v>
      </c>
      <c r="F43" s="82">
        <v>1637</v>
      </c>
      <c r="G43" s="145"/>
      <c r="H43" s="82">
        <v>1611</v>
      </c>
      <c r="I43" s="82">
        <v>1627</v>
      </c>
      <c r="J43" s="82">
        <v>1629</v>
      </c>
      <c r="K43" s="32">
        <f>E43</f>
        <v>1625</v>
      </c>
      <c r="L43" s="82">
        <v>1639</v>
      </c>
      <c r="M43" s="82">
        <v>1637</v>
      </c>
      <c r="N43" s="82">
        <v>1636</v>
      </c>
      <c r="O43" s="32">
        <f>F43</f>
        <v>1637</v>
      </c>
      <c r="P43" s="82">
        <v>1626</v>
      </c>
      <c r="Q43" s="82">
        <v>1630</v>
      </c>
      <c r="R43" s="82">
        <v>1641</v>
      </c>
      <c r="S43" s="134"/>
      <c r="T43" s="32">
        <f>K43</f>
        <v>1625</v>
      </c>
      <c r="U43" s="32">
        <f>L43</f>
        <v>1639</v>
      </c>
      <c r="V43" s="32">
        <f>M43</f>
        <v>1637</v>
      </c>
      <c r="W43" s="32">
        <f>N43</f>
        <v>1636</v>
      </c>
      <c r="X43" s="32">
        <f>O43</f>
        <v>1637</v>
      </c>
      <c r="Y43" s="32">
        <f>P43</f>
        <v>1626</v>
      </c>
      <c r="Z43" s="32">
        <f>Q43</f>
        <v>1630</v>
      </c>
      <c r="AA43" s="32">
        <f>R43</f>
        <v>1641</v>
      </c>
      <c r="AB43" s="43"/>
      <c r="AC43" s="75">
        <f>SUM(AA43/W43)-1</f>
        <v>3.0562347188263228E-3</v>
      </c>
    </row>
    <row r="44" spans="1:29" ht="12.75" customHeight="1">
      <c r="B44" s="13" t="s">
        <v>92</v>
      </c>
      <c r="C44" s="146">
        <f>C37/C43</f>
        <v>2.5728234336859237</v>
      </c>
      <c r="D44" s="146">
        <f>D37/D43</f>
        <v>0.84022915340547422</v>
      </c>
      <c r="E44" s="146">
        <f>E37/E43</f>
        <v>0.52553846153846151</v>
      </c>
      <c r="F44" s="146">
        <f>F37/F43</f>
        <v>1.0024434941967013</v>
      </c>
      <c r="G44" s="27"/>
      <c r="H44" s="146">
        <f>H37/H43</f>
        <v>-8.6281812538795785E-2</v>
      </c>
      <c r="I44" s="146">
        <f>I37/I43</f>
        <v>1.6594960049170254E-2</v>
      </c>
      <c r="J44" s="146">
        <f>J37/J43</f>
        <v>0.18354818907305095</v>
      </c>
      <c r="K44" s="146">
        <f>K37/K43</f>
        <v>0.41046153846153849</v>
      </c>
      <c r="L44" s="146">
        <f>L37/L43</f>
        <v>7.5045759609517995E-2</v>
      </c>
      <c r="M44" s="146">
        <f>M37/M43</f>
        <v>0.16188149053145998</v>
      </c>
      <c r="N44" s="146">
        <f>N37/N43</f>
        <v>0.47127139364303178</v>
      </c>
      <c r="O44" s="146">
        <f>O37/O43</f>
        <v>0.29444105070250459</v>
      </c>
      <c r="P44" s="146">
        <f>P37/P43</f>
        <v>0.43603936039360391</v>
      </c>
      <c r="Q44" s="146">
        <f>Q37/Q43</f>
        <v>0.53496932515337425</v>
      </c>
      <c r="R44" s="146">
        <f>R37/R43</f>
        <v>0.7574649603900061</v>
      </c>
      <c r="S44" s="134"/>
      <c r="T44" s="146">
        <f>T37/T43</f>
        <v>0.52553846153846151</v>
      </c>
      <c r="U44" s="146">
        <f>U37/U43</f>
        <v>0.68090298962782181</v>
      </c>
      <c r="V44" s="146">
        <f>V37/V43</f>
        <v>0.82712278558338426</v>
      </c>
      <c r="W44" s="146">
        <f>W37/W43</f>
        <v>1.1161369193154034</v>
      </c>
      <c r="X44" s="146">
        <f>X37/X43</f>
        <v>1.0024434941967013</v>
      </c>
      <c r="Y44" s="146">
        <f>Y37/Y43</f>
        <v>1.3696186961869619</v>
      </c>
      <c r="Z44" s="146">
        <f>Z37/Z43</f>
        <v>1.7386503067484662</v>
      </c>
      <c r="AA44" s="146">
        <f>AA37/AA43</f>
        <v>2.0146252285191957</v>
      </c>
      <c r="AB44" s="43"/>
      <c r="AC44" s="76">
        <f>SUM(AA44/W44)-1</f>
        <v>0.80499828798324446</v>
      </c>
    </row>
    <row r="45" spans="1:29">
      <c r="B45" s="16"/>
      <c r="C45" s="17"/>
      <c r="D45" s="17"/>
      <c r="E45" s="17"/>
      <c r="F45" s="17"/>
      <c r="G45" s="2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28"/>
      <c r="T45" s="17"/>
      <c r="U45" s="17"/>
      <c r="V45" s="17"/>
      <c r="W45" s="17"/>
      <c r="X45" s="17"/>
      <c r="Y45" s="17"/>
      <c r="Z45" s="17"/>
      <c r="AA45" s="17"/>
      <c r="AB45" s="43"/>
    </row>
    <row r="46" spans="1:29" ht="12.75" customHeight="1">
      <c r="A46" s="5" t="s">
        <v>18</v>
      </c>
      <c r="B46" s="106" t="s">
        <v>75</v>
      </c>
      <c r="C46" s="107"/>
      <c r="D46" s="107"/>
      <c r="E46" s="107"/>
      <c r="F46" s="107"/>
      <c r="G46" s="108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6"/>
      <c r="T46" s="107"/>
      <c r="U46" s="107"/>
      <c r="V46" s="107" t="s">
        <v>10</v>
      </c>
      <c r="W46" s="107"/>
      <c r="X46" s="107"/>
      <c r="Y46" s="107"/>
      <c r="Z46" s="107"/>
      <c r="AA46" s="107"/>
      <c r="AB46" s="108"/>
      <c r="AC46" s="149" t="s">
        <v>24</v>
      </c>
    </row>
    <row r="47" spans="1:29" ht="12.75" customHeight="1">
      <c r="B47" s="110" t="str">
        <f>B7</f>
        <v>Fiscal Period</v>
      </c>
      <c r="C47" s="109">
        <f>C7</f>
        <v>2021</v>
      </c>
      <c r="D47" s="109">
        <f>D7</f>
        <v>2022</v>
      </c>
      <c r="E47" s="109">
        <f>E7</f>
        <v>2023</v>
      </c>
      <c r="F47" s="109">
        <f>F7</f>
        <v>2024</v>
      </c>
      <c r="G47" s="108"/>
      <c r="H47" s="109" t="str">
        <f>H7</f>
        <v>1Q23</v>
      </c>
      <c r="I47" s="109" t="str">
        <f>I7</f>
        <v>2Q23</v>
      </c>
      <c r="J47" s="109" t="str">
        <f>J7</f>
        <v>3Q23</v>
      </c>
      <c r="K47" s="109" t="str">
        <f>K7</f>
        <v>4Q23</v>
      </c>
      <c r="L47" s="109" t="str">
        <f>L7</f>
        <v>1Q24</v>
      </c>
      <c r="M47" s="109" t="str">
        <f>M7</f>
        <v>2Q24</v>
      </c>
      <c r="N47" s="109" t="str">
        <f>N7</f>
        <v>3Q24</v>
      </c>
      <c r="O47" s="109" t="str">
        <f>O7</f>
        <v>4Q24</v>
      </c>
      <c r="P47" s="109" t="str">
        <f>P7</f>
        <v>1Q25</v>
      </c>
      <c r="Q47" s="109" t="str">
        <f>Q7</f>
        <v>2Q25</v>
      </c>
      <c r="R47" s="109" t="str">
        <f>R7</f>
        <v>3Q25</v>
      </c>
      <c r="S47" s="111"/>
      <c r="T47" s="109" t="str">
        <f>T7</f>
        <v>4Q23</v>
      </c>
      <c r="U47" s="109" t="str">
        <f>U7</f>
        <v>1Q24</v>
      </c>
      <c r="V47" s="109" t="str">
        <f>V7</f>
        <v>2Q24</v>
      </c>
      <c r="W47" s="109" t="str">
        <f>W7</f>
        <v>3Q24</v>
      </c>
      <c r="X47" s="109" t="str">
        <f>X7</f>
        <v>4Q24</v>
      </c>
      <c r="Y47" s="109" t="str">
        <f>Y7</f>
        <v>1Q25</v>
      </c>
      <c r="Z47" s="109" t="str">
        <f>Z7</f>
        <v>2Q25</v>
      </c>
      <c r="AA47" s="109" t="str">
        <f>AA7</f>
        <v>3Q25</v>
      </c>
      <c r="AB47" s="108"/>
      <c r="AC47" s="149"/>
    </row>
    <row r="48" spans="1:29" ht="12.75" customHeight="1">
      <c r="B48" s="110" t="str">
        <f>B8</f>
        <v>Fiscal Period End Date</v>
      </c>
      <c r="C48" s="112">
        <f>C8</f>
        <v>44555</v>
      </c>
      <c r="D48" s="112">
        <f>D8</f>
        <v>44926</v>
      </c>
      <c r="E48" s="112">
        <f>E8</f>
        <v>45290</v>
      </c>
      <c r="F48" s="112">
        <f>F8</f>
        <v>45654</v>
      </c>
      <c r="G48" s="108"/>
      <c r="H48" s="112">
        <f>H8</f>
        <v>45017</v>
      </c>
      <c r="I48" s="112">
        <f>I8</f>
        <v>45108</v>
      </c>
      <c r="J48" s="112">
        <f>J8</f>
        <v>45199</v>
      </c>
      <c r="K48" s="112">
        <f>K8</f>
        <v>45290</v>
      </c>
      <c r="L48" s="112">
        <f>L8</f>
        <v>45381</v>
      </c>
      <c r="M48" s="112">
        <f>M8</f>
        <v>45472</v>
      </c>
      <c r="N48" s="112">
        <f>N8</f>
        <v>45563</v>
      </c>
      <c r="O48" s="112">
        <f>O8</f>
        <v>45654</v>
      </c>
      <c r="P48" s="112">
        <f>P8</f>
        <v>45745</v>
      </c>
      <c r="Q48" s="112">
        <f>Q8</f>
        <v>45836</v>
      </c>
      <c r="R48" s="112">
        <f>R8</f>
        <v>45927</v>
      </c>
      <c r="S48" s="113"/>
      <c r="T48" s="112">
        <f>T8</f>
        <v>45290</v>
      </c>
      <c r="U48" s="112">
        <f>U8</f>
        <v>45381</v>
      </c>
      <c r="V48" s="112">
        <f>V8</f>
        <v>45472</v>
      </c>
      <c r="W48" s="112">
        <f>W8</f>
        <v>45563</v>
      </c>
      <c r="X48" s="112">
        <f>X8</f>
        <v>45654</v>
      </c>
      <c r="Y48" s="112">
        <f>Y8</f>
        <v>45745</v>
      </c>
      <c r="Z48" s="112">
        <f>Z8</f>
        <v>45836</v>
      </c>
      <c r="AA48" s="112">
        <f>AA8</f>
        <v>45927</v>
      </c>
      <c r="AB48" s="108"/>
      <c r="AC48" s="149"/>
    </row>
    <row r="49" spans="2:29" ht="5.0999999999999996" customHeight="1">
      <c r="B49" s="46"/>
      <c r="C49" s="47"/>
      <c r="D49" s="47"/>
      <c r="E49" s="47"/>
      <c r="F49" s="47"/>
    </row>
    <row r="50" spans="2:29">
      <c r="B50" s="78" t="s">
        <v>80</v>
      </c>
      <c r="C50" s="47"/>
      <c r="D50" s="47"/>
      <c r="E50" s="47"/>
      <c r="F50" s="47"/>
    </row>
    <row r="51" spans="2:29" s="122" customFormat="1" ht="12.75" customHeight="1">
      <c r="B51" s="114" t="s">
        <v>101</v>
      </c>
      <c r="C51" s="123">
        <v>2535</v>
      </c>
      <c r="D51" s="123">
        <v>4835</v>
      </c>
      <c r="E51" s="123">
        <v>3933</v>
      </c>
      <c r="F51" s="123">
        <v>3787</v>
      </c>
      <c r="H51" s="82">
        <v>3825</v>
      </c>
      <c r="I51" s="82">
        <v>3841</v>
      </c>
      <c r="J51" s="82">
        <v>3561</v>
      </c>
      <c r="K51" s="32">
        <f t="shared" ref="K51:K54" si="94">E51</f>
        <v>3933</v>
      </c>
      <c r="L51" s="82">
        <v>4190</v>
      </c>
      <c r="M51" s="82">
        <v>4113</v>
      </c>
      <c r="N51" s="82">
        <v>3897</v>
      </c>
      <c r="O51" s="32">
        <f t="shared" ref="O51:O54" si="95">F51</f>
        <v>3787</v>
      </c>
      <c r="P51" s="82">
        <v>6049</v>
      </c>
      <c r="Q51" s="82">
        <v>4442</v>
      </c>
      <c r="R51" s="82">
        <v>4808</v>
      </c>
      <c r="T51" s="96">
        <f t="shared" ref="T51:Z55" si="96">K51</f>
        <v>3933</v>
      </c>
      <c r="U51" s="96">
        <f t="shared" si="96"/>
        <v>4190</v>
      </c>
      <c r="V51" s="96">
        <f t="shared" si="96"/>
        <v>4113</v>
      </c>
      <c r="W51" s="96">
        <f t="shared" si="96"/>
        <v>3897</v>
      </c>
      <c r="X51" s="96">
        <f t="shared" si="96"/>
        <v>3787</v>
      </c>
      <c r="Y51" s="96">
        <f t="shared" si="96"/>
        <v>6049</v>
      </c>
      <c r="Z51" s="96">
        <f t="shared" si="96"/>
        <v>4442</v>
      </c>
      <c r="AA51" s="96">
        <f>R51</f>
        <v>4808</v>
      </c>
      <c r="AB51" s="124"/>
      <c r="AC51" s="75">
        <f>SUM(AA51/W51)-1</f>
        <v>0.23376956633307677</v>
      </c>
    </row>
    <row r="52" spans="2:29" s="122" customFormat="1" ht="12.75" customHeight="1">
      <c r="B52" s="114" t="s">
        <v>102</v>
      </c>
      <c r="C52" s="123">
        <v>1073</v>
      </c>
      <c r="D52" s="123">
        <v>1020</v>
      </c>
      <c r="E52" s="123">
        <v>1840</v>
      </c>
      <c r="F52" s="123">
        <v>1345</v>
      </c>
      <c r="H52" s="82">
        <v>2114</v>
      </c>
      <c r="I52" s="82">
        <v>2444</v>
      </c>
      <c r="J52" s="82">
        <v>2224</v>
      </c>
      <c r="K52" s="32">
        <f t="shared" si="94"/>
        <v>1840</v>
      </c>
      <c r="L52" s="82">
        <v>1845</v>
      </c>
      <c r="M52" s="82">
        <v>1227</v>
      </c>
      <c r="N52" s="82">
        <v>647</v>
      </c>
      <c r="O52" s="32">
        <f t="shared" si="95"/>
        <v>1345</v>
      </c>
      <c r="P52" s="82">
        <v>1261</v>
      </c>
      <c r="Q52" s="82">
        <v>1425</v>
      </c>
      <c r="R52" s="82">
        <v>2435</v>
      </c>
      <c r="T52" s="96">
        <f t="shared" si="96"/>
        <v>1840</v>
      </c>
      <c r="U52" s="96">
        <f t="shared" si="96"/>
        <v>1845</v>
      </c>
      <c r="V52" s="96">
        <f t="shared" si="96"/>
        <v>1227</v>
      </c>
      <c r="W52" s="96">
        <f t="shared" si="96"/>
        <v>647</v>
      </c>
      <c r="X52" s="96">
        <f t="shared" si="96"/>
        <v>1345</v>
      </c>
      <c r="Y52" s="96">
        <f t="shared" si="96"/>
        <v>1261</v>
      </c>
      <c r="Z52" s="96">
        <f t="shared" si="96"/>
        <v>1425</v>
      </c>
      <c r="AA52" s="96">
        <f>R52</f>
        <v>2435</v>
      </c>
      <c r="AB52" s="124"/>
      <c r="AC52" s="75">
        <f t="shared" ref="AC52:AC55" si="97">SUM(AA52/W52)-1</f>
        <v>2.7635239567233385</v>
      </c>
    </row>
    <row r="53" spans="2:29" s="122" customFormat="1" ht="12.75" customHeight="1">
      <c r="B53" s="114" t="s">
        <v>127</v>
      </c>
      <c r="C53" s="123">
        <v>2706</v>
      </c>
      <c r="D53" s="123">
        <v>4126</v>
      </c>
      <c r="E53" s="123">
        <v>5376</v>
      </c>
      <c r="F53" s="123">
        <v>6192</v>
      </c>
      <c r="H53" s="82">
        <v>4040</v>
      </c>
      <c r="I53" s="82">
        <v>4312</v>
      </c>
      <c r="J53" s="82">
        <v>5054</v>
      </c>
      <c r="K53" s="32">
        <f t="shared" si="94"/>
        <v>5376</v>
      </c>
      <c r="L53" s="82">
        <v>5038</v>
      </c>
      <c r="M53" s="82">
        <v>5749</v>
      </c>
      <c r="N53" s="82">
        <v>7241</v>
      </c>
      <c r="O53" s="32">
        <f t="shared" si="95"/>
        <v>6192</v>
      </c>
      <c r="P53" s="82">
        <v>5443</v>
      </c>
      <c r="Q53" s="82">
        <v>5115</v>
      </c>
      <c r="R53" s="82">
        <v>6201</v>
      </c>
      <c r="T53" s="96">
        <f t="shared" si="96"/>
        <v>5376</v>
      </c>
      <c r="U53" s="96">
        <f t="shared" si="96"/>
        <v>5038</v>
      </c>
      <c r="V53" s="96">
        <f t="shared" si="96"/>
        <v>5749</v>
      </c>
      <c r="W53" s="96">
        <f t="shared" si="96"/>
        <v>7241</v>
      </c>
      <c r="X53" s="96">
        <f t="shared" si="96"/>
        <v>6192</v>
      </c>
      <c r="Y53" s="96">
        <f t="shared" si="96"/>
        <v>5443</v>
      </c>
      <c r="Z53" s="96">
        <f t="shared" si="96"/>
        <v>5115</v>
      </c>
      <c r="AA53" s="96">
        <f>R53</f>
        <v>6201</v>
      </c>
      <c r="AB53" s="124"/>
      <c r="AC53" s="75">
        <f t="shared" si="97"/>
        <v>-0.14362657091561937</v>
      </c>
    </row>
    <row r="54" spans="2:29" s="122" customFormat="1" ht="12.75" customHeight="1">
      <c r="B54" s="114" t="s">
        <v>128</v>
      </c>
      <c r="C54" s="123">
        <v>1955</v>
      </c>
      <c r="D54" s="123">
        <v>3771</v>
      </c>
      <c r="E54" s="123">
        <v>4351</v>
      </c>
      <c r="F54" s="123">
        <v>5734</v>
      </c>
      <c r="H54" s="82">
        <v>4235</v>
      </c>
      <c r="I54" s="82">
        <v>4567</v>
      </c>
      <c r="J54" s="82">
        <v>4445</v>
      </c>
      <c r="K54" s="32">
        <f t="shared" si="94"/>
        <v>4351</v>
      </c>
      <c r="L54" s="82">
        <v>4652</v>
      </c>
      <c r="M54" s="82">
        <v>4991</v>
      </c>
      <c r="N54" s="82">
        <v>5374</v>
      </c>
      <c r="O54" s="32">
        <f t="shared" si="95"/>
        <v>5734</v>
      </c>
      <c r="P54" s="82">
        <v>6416</v>
      </c>
      <c r="Q54" s="82">
        <v>6677</v>
      </c>
      <c r="R54" s="82">
        <v>7313</v>
      </c>
      <c r="T54" s="96">
        <f t="shared" si="96"/>
        <v>4351</v>
      </c>
      <c r="U54" s="96">
        <f t="shared" si="96"/>
        <v>4652</v>
      </c>
      <c r="V54" s="96">
        <f t="shared" si="96"/>
        <v>4991</v>
      </c>
      <c r="W54" s="96">
        <f t="shared" si="96"/>
        <v>5374</v>
      </c>
      <c r="X54" s="96">
        <f t="shared" si="96"/>
        <v>5734</v>
      </c>
      <c r="Y54" s="96">
        <f t="shared" si="96"/>
        <v>6416</v>
      </c>
      <c r="Z54" s="96">
        <f t="shared" si="96"/>
        <v>6677</v>
      </c>
      <c r="AA54" s="96">
        <f>R54</f>
        <v>7313</v>
      </c>
      <c r="AB54" s="124"/>
      <c r="AC54" s="75">
        <f t="shared" si="97"/>
        <v>0.36081131373278752</v>
      </c>
    </row>
    <row r="55" spans="2:29" s="122" customFormat="1" ht="12.75" customHeight="1">
      <c r="B55" s="114" t="s">
        <v>129</v>
      </c>
      <c r="C55" s="123">
        <f>312+2</f>
        <v>314</v>
      </c>
      <c r="D55" s="123">
        <f>1265+2</f>
        <v>1267</v>
      </c>
      <c r="E55" s="123">
        <f>1259+9</f>
        <v>1268</v>
      </c>
      <c r="F55" s="123">
        <f>1878+113</f>
        <v>1991</v>
      </c>
      <c r="H55" s="82">
        <f>1442+2</f>
        <v>1444</v>
      </c>
      <c r="I55" s="82">
        <f>1339+2</f>
        <v>1341</v>
      </c>
      <c r="J55" s="82">
        <f>1403+1</f>
        <v>1404</v>
      </c>
      <c r="K55" s="32">
        <f t="shared" ref="K55" si="98">E55</f>
        <v>1268</v>
      </c>
      <c r="L55" s="82">
        <f>1328+31</f>
        <v>1359</v>
      </c>
      <c r="M55" s="82">
        <f>1361+24</f>
        <v>1385</v>
      </c>
      <c r="N55" s="82">
        <f>1547+29</f>
        <v>1576</v>
      </c>
      <c r="O55" s="32">
        <f t="shared" ref="O55" si="99">F55</f>
        <v>1991</v>
      </c>
      <c r="P55" s="82">
        <v>2426</v>
      </c>
      <c r="Q55" s="82">
        <f>4326+2534</f>
        <v>6860</v>
      </c>
      <c r="R55" s="82">
        <f>3990+2253</f>
        <v>6243</v>
      </c>
      <c r="T55" s="96">
        <f t="shared" si="96"/>
        <v>1268</v>
      </c>
      <c r="U55" s="96">
        <f t="shared" si="96"/>
        <v>1359</v>
      </c>
      <c r="V55" s="96">
        <f t="shared" si="96"/>
        <v>1385</v>
      </c>
      <c r="W55" s="96">
        <f t="shared" si="96"/>
        <v>1576</v>
      </c>
      <c r="X55" s="96">
        <f t="shared" si="96"/>
        <v>1991</v>
      </c>
      <c r="Y55" s="96">
        <f t="shared" si="96"/>
        <v>2426</v>
      </c>
      <c r="Z55" s="96">
        <f t="shared" si="96"/>
        <v>6860</v>
      </c>
      <c r="AA55" s="96">
        <f>R55</f>
        <v>6243</v>
      </c>
      <c r="AB55" s="124"/>
      <c r="AC55" s="75">
        <f t="shared" si="97"/>
        <v>2.9612944162436547</v>
      </c>
    </row>
    <row r="56" spans="2:29" ht="12.75" customHeight="1">
      <c r="B56" s="25" t="s">
        <v>20</v>
      </c>
      <c r="C56" s="26">
        <f>SUM(C51:C55)</f>
        <v>8583</v>
      </c>
      <c r="D56" s="26">
        <f>SUM(D51:D55)</f>
        <v>15019</v>
      </c>
      <c r="E56" s="26">
        <f>SUM(E51:E55)</f>
        <v>16768</v>
      </c>
      <c r="F56" s="26">
        <f>SUM(F51:F55)</f>
        <v>19049</v>
      </c>
      <c r="G56" s="48"/>
      <c r="H56" s="26">
        <f>SUM(H51:H55)</f>
        <v>15658</v>
      </c>
      <c r="I56" s="26">
        <f>SUM(I51:I55)</f>
        <v>16505</v>
      </c>
      <c r="J56" s="26">
        <f>SUM(J51:J55)</f>
        <v>16688</v>
      </c>
      <c r="K56" s="26">
        <f>SUM(K51:K55)</f>
        <v>16768</v>
      </c>
      <c r="L56" s="26">
        <f>SUM(L51:L55)</f>
        <v>17084</v>
      </c>
      <c r="M56" s="26">
        <f>SUM(M51:M55)</f>
        <v>17465</v>
      </c>
      <c r="N56" s="26">
        <f>SUM(N51:N55)</f>
        <v>18735</v>
      </c>
      <c r="O56" s="26">
        <f>SUM(O51:O55)</f>
        <v>19049</v>
      </c>
      <c r="P56" s="26">
        <f>SUM(P51:P55)</f>
        <v>21595</v>
      </c>
      <c r="Q56" s="26">
        <f>SUM(Q51:Q55)</f>
        <v>24519</v>
      </c>
      <c r="R56" s="26">
        <f>SUM(R51:R55)</f>
        <v>27000</v>
      </c>
      <c r="S56" s="48"/>
      <c r="T56" s="26">
        <f>SUM(T51:T55)</f>
        <v>16768</v>
      </c>
      <c r="U56" s="26">
        <f>SUM(U51:U55)</f>
        <v>17084</v>
      </c>
      <c r="V56" s="26">
        <f>SUM(V51:V55)</f>
        <v>17465</v>
      </c>
      <c r="W56" s="26">
        <f>SUM(W51:W55)</f>
        <v>18735</v>
      </c>
      <c r="X56" s="26">
        <f>SUM(X51:X55)</f>
        <v>19049</v>
      </c>
      <c r="Y56" s="26">
        <f>SUM(Y51:Y55)</f>
        <v>21595</v>
      </c>
      <c r="Z56" s="26">
        <f>SUM(Z51:Z55)</f>
        <v>24519</v>
      </c>
      <c r="AA56" s="26">
        <f>SUM(AA51:AA55)</f>
        <v>27000</v>
      </c>
      <c r="AB56" s="42"/>
      <c r="AC56" s="76">
        <f>SUM(AA56/W56)-1</f>
        <v>0.44115292233787029</v>
      </c>
    </row>
    <row r="57" spans="2:29" ht="5.0999999999999996" customHeight="1">
      <c r="B57" s="25"/>
      <c r="C57" s="49"/>
      <c r="D57" s="49"/>
      <c r="E57" s="41"/>
      <c r="F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T57" s="42"/>
      <c r="U57" s="42"/>
      <c r="V57" s="42"/>
      <c r="W57" s="42"/>
      <c r="X57" s="42"/>
      <c r="Y57" s="42"/>
      <c r="Z57" s="42"/>
      <c r="AA57" s="42"/>
      <c r="AB57" s="42"/>
      <c r="AC57" s="39"/>
    </row>
    <row r="58" spans="2:29" ht="12.75" customHeight="1">
      <c r="B58" s="78" t="s">
        <v>81</v>
      </c>
      <c r="C58" s="82"/>
      <c r="D58" s="82"/>
      <c r="E58" s="82"/>
      <c r="F58" s="82"/>
      <c r="H58" s="82"/>
      <c r="I58" s="82"/>
      <c r="J58" s="82"/>
      <c r="K58" s="82"/>
      <c r="L58" s="82"/>
      <c r="M58" s="82"/>
      <c r="N58" s="82"/>
      <c r="O58" s="82"/>
      <c r="P58" s="32"/>
      <c r="Q58" s="82"/>
      <c r="R58" s="82"/>
      <c r="T58" s="32"/>
      <c r="U58" s="32"/>
      <c r="V58" s="32"/>
      <c r="W58" s="32"/>
      <c r="X58" s="32"/>
      <c r="Y58" s="32"/>
      <c r="Z58" s="32"/>
      <c r="AA58" s="32"/>
      <c r="AB58" s="11"/>
      <c r="AC58" s="75"/>
    </row>
    <row r="59" spans="2:29" ht="12.75" customHeight="1">
      <c r="B59" s="9" t="s">
        <v>86</v>
      </c>
      <c r="C59" s="82">
        <v>702</v>
      </c>
      <c r="D59" s="82">
        <v>1513</v>
      </c>
      <c r="E59" s="82">
        <v>1589</v>
      </c>
      <c r="F59" s="82">
        <v>1802</v>
      </c>
      <c r="H59" s="82">
        <v>1500</v>
      </c>
      <c r="I59" s="82">
        <v>1541</v>
      </c>
      <c r="J59" s="82">
        <v>1566</v>
      </c>
      <c r="K59" s="32">
        <f t="shared" ref="K59:K62" si="100">E59</f>
        <v>1589</v>
      </c>
      <c r="L59" s="82">
        <v>1624</v>
      </c>
      <c r="M59" s="82">
        <v>1666</v>
      </c>
      <c r="N59" s="82">
        <v>1669</v>
      </c>
      <c r="O59" s="32">
        <f t="shared" ref="O59:O62" si="101">F59</f>
        <v>1802</v>
      </c>
      <c r="P59" s="82">
        <v>1921</v>
      </c>
      <c r="Q59" s="82">
        <v>2128</v>
      </c>
      <c r="R59" s="82">
        <v>2205</v>
      </c>
      <c r="T59" s="32">
        <f t="shared" ref="T59:Z63" si="102">K59</f>
        <v>1589</v>
      </c>
      <c r="U59" s="32">
        <f t="shared" si="102"/>
        <v>1624</v>
      </c>
      <c r="V59" s="32">
        <f t="shared" si="102"/>
        <v>1666</v>
      </c>
      <c r="W59" s="32">
        <f t="shared" si="102"/>
        <v>1669</v>
      </c>
      <c r="X59" s="32">
        <f t="shared" si="102"/>
        <v>1802</v>
      </c>
      <c r="Y59" s="32">
        <f t="shared" si="102"/>
        <v>1921</v>
      </c>
      <c r="Z59" s="32">
        <f t="shared" si="102"/>
        <v>2128</v>
      </c>
      <c r="AA59" s="32">
        <f>R59</f>
        <v>2205</v>
      </c>
      <c r="AB59" s="11"/>
      <c r="AC59" s="75">
        <f t="shared" ref="AC59:AC64" si="103">SUM(AA59/W59)-1</f>
        <v>0.32115038945476337</v>
      </c>
    </row>
    <row r="60" spans="2:29" ht="12.75" customHeight="1">
      <c r="B60" s="9" t="s">
        <v>130</v>
      </c>
      <c r="C60" s="82">
        <v>289</v>
      </c>
      <c r="D60" s="82">
        <v>24177</v>
      </c>
      <c r="E60" s="82">
        <v>24262</v>
      </c>
      <c r="F60" s="82">
        <v>24839</v>
      </c>
      <c r="H60" s="82">
        <v>24177</v>
      </c>
      <c r="I60" s="82">
        <v>24177</v>
      </c>
      <c r="J60" s="82">
        <v>24186</v>
      </c>
      <c r="K60" s="32">
        <f t="shared" si="100"/>
        <v>24262</v>
      </c>
      <c r="L60" s="82">
        <v>24262</v>
      </c>
      <c r="M60" s="82">
        <v>24262</v>
      </c>
      <c r="N60" s="82">
        <v>24839</v>
      </c>
      <c r="O60" s="32">
        <f t="shared" si="101"/>
        <v>24839</v>
      </c>
      <c r="P60" s="82">
        <v>24839</v>
      </c>
      <c r="Q60" s="82">
        <v>25083</v>
      </c>
      <c r="R60" s="82">
        <v>25083</v>
      </c>
      <c r="T60" s="32">
        <f t="shared" si="102"/>
        <v>24262</v>
      </c>
      <c r="U60" s="32">
        <f t="shared" si="102"/>
        <v>24262</v>
      </c>
      <c r="V60" s="32">
        <f t="shared" si="102"/>
        <v>24262</v>
      </c>
      <c r="W60" s="32">
        <f t="shared" si="102"/>
        <v>24839</v>
      </c>
      <c r="X60" s="32">
        <f t="shared" si="102"/>
        <v>24839</v>
      </c>
      <c r="Y60" s="32">
        <f t="shared" si="102"/>
        <v>24839</v>
      </c>
      <c r="Z60" s="32">
        <f t="shared" si="102"/>
        <v>25083</v>
      </c>
      <c r="AA60" s="32">
        <f>R60</f>
        <v>25083</v>
      </c>
      <c r="AB60" s="11"/>
      <c r="AC60" s="75">
        <f t="shared" si="103"/>
        <v>9.8232618060307697E-3</v>
      </c>
    </row>
    <row r="61" spans="2:29" ht="12.75" customHeight="1">
      <c r="B61" s="9" t="s">
        <v>131</v>
      </c>
      <c r="C61" s="82">
        <v>0</v>
      </c>
      <c r="D61" s="82">
        <v>24118</v>
      </c>
      <c r="E61" s="82">
        <v>21363</v>
      </c>
      <c r="F61" s="82">
        <v>18930</v>
      </c>
      <c r="H61" s="82">
        <v>23291</v>
      </c>
      <c r="I61" s="82">
        <v>22598</v>
      </c>
      <c r="J61" s="82">
        <v>21950</v>
      </c>
      <c r="K61" s="32">
        <f t="shared" si="100"/>
        <v>21363</v>
      </c>
      <c r="L61" s="82">
        <v>20741</v>
      </c>
      <c r="M61" s="82">
        <v>20138</v>
      </c>
      <c r="N61" s="82">
        <v>19572</v>
      </c>
      <c r="O61" s="32">
        <f t="shared" si="101"/>
        <v>18930</v>
      </c>
      <c r="P61" s="82">
        <v>18363</v>
      </c>
      <c r="Q61" s="82">
        <v>17812</v>
      </c>
      <c r="R61" s="82">
        <v>17250</v>
      </c>
      <c r="T61" s="32">
        <f t="shared" si="102"/>
        <v>21363</v>
      </c>
      <c r="U61" s="32">
        <f t="shared" si="102"/>
        <v>20741</v>
      </c>
      <c r="V61" s="32">
        <f t="shared" si="102"/>
        <v>20138</v>
      </c>
      <c r="W61" s="32">
        <f t="shared" si="102"/>
        <v>19572</v>
      </c>
      <c r="X61" s="32">
        <f t="shared" si="102"/>
        <v>18930</v>
      </c>
      <c r="Y61" s="32">
        <f t="shared" si="102"/>
        <v>18363</v>
      </c>
      <c r="Z61" s="32">
        <f t="shared" si="102"/>
        <v>17812</v>
      </c>
      <c r="AA61" s="32">
        <f>R61</f>
        <v>17250</v>
      </c>
      <c r="AB61" s="11"/>
      <c r="AC61" s="75">
        <f t="shared" si="103"/>
        <v>-0.11863887185775601</v>
      </c>
    </row>
    <row r="62" spans="2:29" ht="12.75" customHeight="1">
      <c r="B62" s="9" t="s">
        <v>132</v>
      </c>
      <c r="C62" s="82">
        <v>931</v>
      </c>
      <c r="D62" s="82">
        <v>58</v>
      </c>
      <c r="E62" s="82">
        <v>366</v>
      </c>
      <c r="F62" s="82">
        <v>688</v>
      </c>
      <c r="H62" s="82">
        <v>67</v>
      </c>
      <c r="I62" s="82">
        <v>68</v>
      </c>
      <c r="J62" s="82">
        <v>76</v>
      </c>
      <c r="K62" s="32">
        <f t="shared" si="100"/>
        <v>366</v>
      </c>
      <c r="L62" s="82">
        <v>433</v>
      </c>
      <c r="M62" s="82">
        <v>617</v>
      </c>
      <c r="N62" s="82">
        <v>1183</v>
      </c>
      <c r="O62" s="32">
        <f t="shared" si="101"/>
        <v>688</v>
      </c>
      <c r="P62" s="82">
        <v>845</v>
      </c>
      <c r="Q62" s="82">
        <v>860</v>
      </c>
      <c r="R62" s="82">
        <v>633</v>
      </c>
      <c r="T62" s="32">
        <f t="shared" si="102"/>
        <v>366</v>
      </c>
      <c r="U62" s="32">
        <f t="shared" si="102"/>
        <v>433</v>
      </c>
      <c r="V62" s="32">
        <f t="shared" si="102"/>
        <v>617</v>
      </c>
      <c r="W62" s="32">
        <f t="shared" si="102"/>
        <v>1183</v>
      </c>
      <c r="X62" s="32">
        <f t="shared" si="102"/>
        <v>688</v>
      </c>
      <c r="Y62" s="32">
        <f t="shared" si="102"/>
        <v>845</v>
      </c>
      <c r="Z62" s="32">
        <f t="shared" si="102"/>
        <v>860</v>
      </c>
      <c r="AA62" s="32">
        <f>R62</f>
        <v>633</v>
      </c>
      <c r="AB62" s="11"/>
      <c r="AC62" s="75">
        <f t="shared" si="103"/>
        <v>-0.46491969568892644</v>
      </c>
    </row>
    <row r="63" spans="2:29" ht="12.75" customHeight="1">
      <c r="B63" s="9" t="s">
        <v>85</v>
      </c>
      <c r="C63" s="82">
        <f>1478+69+367</f>
        <v>1914</v>
      </c>
      <c r="D63" s="82">
        <f>2152+83+460</f>
        <v>2695</v>
      </c>
      <c r="E63" s="82">
        <f>2805+99+633</f>
        <v>3537</v>
      </c>
      <c r="F63" s="82">
        <f>3146+149+623</f>
        <v>3918</v>
      </c>
      <c r="H63" s="82">
        <f>2410+84+447</f>
        <v>2941</v>
      </c>
      <c r="I63" s="82">
        <f>2527+90+461</f>
        <v>3078</v>
      </c>
      <c r="J63" s="82">
        <f>2560+93+507</f>
        <v>3160</v>
      </c>
      <c r="K63" s="32">
        <f t="shared" ref="K63" si="104">E63</f>
        <v>3537</v>
      </c>
      <c r="L63" s="82">
        <f>3013+106+632</f>
        <v>3751</v>
      </c>
      <c r="M63" s="82">
        <f>2990+113+635</f>
        <v>3738</v>
      </c>
      <c r="N63" s="82">
        <f>2854+137+647</f>
        <v>3638</v>
      </c>
      <c r="O63" s="32">
        <f t="shared" ref="O63" si="105">F63</f>
        <v>3918</v>
      </c>
      <c r="P63" s="82">
        <v>3987</v>
      </c>
      <c r="Q63" s="82">
        <v>4418</v>
      </c>
      <c r="R63" s="82">
        <v>4720</v>
      </c>
      <c r="T63" s="32">
        <f t="shared" si="102"/>
        <v>3537</v>
      </c>
      <c r="U63" s="32">
        <f t="shared" si="102"/>
        <v>3751</v>
      </c>
      <c r="V63" s="32">
        <f t="shared" si="102"/>
        <v>3738</v>
      </c>
      <c r="W63" s="32">
        <f t="shared" si="102"/>
        <v>3638</v>
      </c>
      <c r="X63" s="32">
        <f t="shared" si="102"/>
        <v>3918</v>
      </c>
      <c r="Y63" s="32">
        <f t="shared" si="102"/>
        <v>3987</v>
      </c>
      <c r="Z63" s="32">
        <f t="shared" si="102"/>
        <v>4418</v>
      </c>
      <c r="AA63" s="32">
        <f>R63</f>
        <v>4720</v>
      </c>
      <c r="AB63" s="11"/>
      <c r="AC63" s="75">
        <f t="shared" si="103"/>
        <v>0.29741616272677285</v>
      </c>
    </row>
    <row r="64" spans="2:29" ht="12.75" customHeight="1">
      <c r="B64" s="13" t="s">
        <v>21</v>
      </c>
      <c r="C64" s="14">
        <f>SUM(C59:C63)+C56</f>
        <v>12419</v>
      </c>
      <c r="D64" s="14">
        <f>SUM(D59:D63)+D56</f>
        <v>67580</v>
      </c>
      <c r="E64" s="14">
        <f>SUM(E59:E63)+E56</f>
        <v>67885</v>
      </c>
      <c r="F64" s="14">
        <f>SUM(F59:F63)+F56</f>
        <v>69226</v>
      </c>
      <c r="H64" s="14">
        <f>SUM(H59:H63)+H56</f>
        <v>67634</v>
      </c>
      <c r="I64" s="14">
        <f>SUM(I59:I63)+I56</f>
        <v>67967</v>
      </c>
      <c r="J64" s="14">
        <f>SUM(J59:J63)+J56</f>
        <v>67626</v>
      </c>
      <c r="K64" s="14">
        <f>SUM(K59:K63)+K56</f>
        <v>67885</v>
      </c>
      <c r="L64" s="14">
        <f>SUM(L59:L63)+L56</f>
        <v>67895</v>
      </c>
      <c r="M64" s="14">
        <f>SUM(M59:M63)+M56</f>
        <v>67886</v>
      </c>
      <c r="N64" s="14">
        <f>SUM(N59:N63)+N56</f>
        <v>69636</v>
      </c>
      <c r="O64" s="14">
        <f>SUM(O59:O63)+O56</f>
        <v>69226</v>
      </c>
      <c r="P64" s="14">
        <f>SUM(P59:P63)+P56</f>
        <v>71550</v>
      </c>
      <c r="Q64" s="14">
        <f>SUM(Q59:Q63)+Q56</f>
        <v>74820</v>
      </c>
      <c r="R64" s="14">
        <f>SUM(R59:R63)+R56</f>
        <v>76891</v>
      </c>
      <c r="T64" s="14">
        <f>SUM(T59:T63)+T56</f>
        <v>67885</v>
      </c>
      <c r="U64" s="14">
        <f>SUM(U59:U63)+U56</f>
        <v>67895</v>
      </c>
      <c r="V64" s="14">
        <f>SUM(V59:V63)+V56</f>
        <v>67886</v>
      </c>
      <c r="W64" s="14">
        <f>SUM(W59:W63)+W56</f>
        <v>69636</v>
      </c>
      <c r="X64" s="14">
        <f>SUM(X59:X63)+X56</f>
        <v>69226</v>
      </c>
      <c r="Y64" s="14">
        <f>SUM(Y59:Y63)+Y56</f>
        <v>71550</v>
      </c>
      <c r="Z64" s="14">
        <f>SUM(Z59:Z63)+Z56</f>
        <v>74820</v>
      </c>
      <c r="AA64" s="34">
        <f>SUM(AA59:AA63)+AA56</f>
        <v>76891</v>
      </c>
      <c r="AB64" s="42"/>
      <c r="AC64" s="76">
        <f t="shared" si="103"/>
        <v>0.10418461715204774</v>
      </c>
    </row>
    <row r="65" spans="2:29" ht="12.75" customHeight="1">
      <c r="B65" s="25"/>
      <c r="C65" s="50"/>
      <c r="D65" s="50"/>
      <c r="E65" s="41"/>
      <c r="F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T65" s="42"/>
      <c r="U65" s="42"/>
      <c r="V65" s="42"/>
      <c r="W65" s="42"/>
      <c r="X65" s="42"/>
      <c r="Y65" s="42"/>
      <c r="Z65" s="42"/>
      <c r="AA65" s="42"/>
      <c r="AB65" s="42"/>
      <c r="AC65" s="39"/>
    </row>
    <row r="66" spans="2:29" ht="12.75" customHeight="1">
      <c r="B66" s="78" t="s">
        <v>47</v>
      </c>
      <c r="C66" s="50"/>
      <c r="D66" s="50"/>
      <c r="E66" s="41"/>
      <c r="F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T66" s="42"/>
      <c r="U66" s="42"/>
      <c r="V66" s="42"/>
      <c r="W66" s="42"/>
      <c r="X66" s="42"/>
      <c r="Y66" s="42"/>
      <c r="Z66" s="42"/>
      <c r="AA66" s="42"/>
      <c r="AB66" s="42"/>
      <c r="AC66" s="39"/>
    </row>
    <row r="67" spans="2:29" ht="12.75" customHeight="1">
      <c r="B67" s="120" t="s">
        <v>13</v>
      </c>
      <c r="C67" s="121">
        <f>1321+85</f>
        <v>1406</v>
      </c>
      <c r="D67" s="121">
        <f>2493+463</f>
        <v>2956</v>
      </c>
      <c r="E67" s="121">
        <f>2055+363</f>
        <v>2418</v>
      </c>
      <c r="F67" s="121">
        <f>1990+476</f>
        <v>2466</v>
      </c>
      <c r="H67" s="82">
        <f>2518+353</f>
        <v>2871</v>
      </c>
      <c r="I67" s="82">
        <f>2779+313</f>
        <v>3092</v>
      </c>
      <c r="J67" s="82">
        <f>2245+325</f>
        <v>2570</v>
      </c>
      <c r="K67" s="32">
        <f t="shared" ref="K67" si="106">E67</f>
        <v>2418</v>
      </c>
      <c r="L67" s="82">
        <f>1418+438</f>
        <v>1856</v>
      </c>
      <c r="M67" s="82">
        <f>1699+420</f>
        <v>2119</v>
      </c>
      <c r="N67" s="82">
        <f>2530+461</f>
        <v>2991</v>
      </c>
      <c r="O67" s="32">
        <f t="shared" ref="O67" si="107">F67</f>
        <v>2466</v>
      </c>
      <c r="P67" s="82">
        <v>2206</v>
      </c>
      <c r="Q67" s="82">
        <v>3080</v>
      </c>
      <c r="R67" s="82">
        <v>3483</v>
      </c>
      <c r="T67" s="97">
        <f t="shared" ref="T67:Z70" si="108">K67</f>
        <v>2418</v>
      </c>
      <c r="U67" s="97">
        <f t="shared" si="108"/>
        <v>1856</v>
      </c>
      <c r="V67" s="97">
        <f t="shared" si="108"/>
        <v>2119</v>
      </c>
      <c r="W67" s="97">
        <f t="shared" si="108"/>
        <v>2991</v>
      </c>
      <c r="X67" s="97">
        <f t="shared" si="108"/>
        <v>2466</v>
      </c>
      <c r="Y67" s="97">
        <f t="shared" si="108"/>
        <v>2206</v>
      </c>
      <c r="Z67" s="97">
        <f t="shared" si="108"/>
        <v>3080</v>
      </c>
      <c r="AA67" s="97">
        <f>R67</f>
        <v>3483</v>
      </c>
      <c r="AB67" s="11"/>
      <c r="AC67" s="75">
        <f t="shared" ref="AC67:AC71" si="109">SUM(AA67/W67)-1</f>
        <v>0.16449348044132406</v>
      </c>
    </row>
    <row r="68" spans="2:29" ht="12.75" customHeight="1">
      <c r="B68" s="120" t="s">
        <v>133</v>
      </c>
      <c r="C68" s="121">
        <v>2424</v>
      </c>
      <c r="D68" s="121">
        <v>3077</v>
      </c>
      <c r="E68" s="121">
        <v>3082</v>
      </c>
      <c r="F68" s="121">
        <v>4260</v>
      </c>
      <c r="H68" s="82">
        <v>3167</v>
      </c>
      <c r="I68" s="82">
        <v>2971</v>
      </c>
      <c r="J68" s="82">
        <v>3376</v>
      </c>
      <c r="K68" s="32">
        <f t="shared" ref="K68:K70" si="110">E68</f>
        <v>3082</v>
      </c>
      <c r="L68" s="82">
        <v>3444</v>
      </c>
      <c r="M68" s="82">
        <v>3629</v>
      </c>
      <c r="N68" s="82">
        <v>4120</v>
      </c>
      <c r="O68" s="32">
        <f t="shared" ref="O68:O70" si="111">F68</f>
        <v>4260</v>
      </c>
      <c r="P68" s="82">
        <v>3876</v>
      </c>
      <c r="Q68" s="82">
        <v>4479</v>
      </c>
      <c r="R68" s="82">
        <v>5112</v>
      </c>
      <c r="T68" s="97">
        <f t="shared" si="108"/>
        <v>3082</v>
      </c>
      <c r="U68" s="97">
        <f t="shared" si="108"/>
        <v>3444</v>
      </c>
      <c r="V68" s="97">
        <f t="shared" si="108"/>
        <v>3629</v>
      </c>
      <c r="W68" s="97">
        <f t="shared" si="108"/>
        <v>4120</v>
      </c>
      <c r="X68" s="97">
        <f t="shared" si="108"/>
        <v>4260</v>
      </c>
      <c r="Y68" s="97">
        <f t="shared" si="108"/>
        <v>3876</v>
      </c>
      <c r="Z68" s="97">
        <f t="shared" si="108"/>
        <v>4479</v>
      </c>
      <c r="AA68" s="97">
        <f>R68</f>
        <v>5112</v>
      </c>
      <c r="AB68" s="11"/>
      <c r="AC68" s="75">
        <f t="shared" si="109"/>
        <v>0.24077669902912624</v>
      </c>
    </row>
    <row r="69" spans="2:29" ht="12.75" customHeight="1">
      <c r="B69" s="120" t="s">
        <v>134</v>
      </c>
      <c r="C69" s="121">
        <v>312</v>
      </c>
      <c r="D69" s="121">
        <v>0</v>
      </c>
      <c r="E69" s="121">
        <v>751</v>
      </c>
      <c r="F69" s="121">
        <v>0</v>
      </c>
      <c r="H69" s="82">
        <v>0</v>
      </c>
      <c r="I69" s="82">
        <v>753</v>
      </c>
      <c r="J69" s="82">
        <v>752</v>
      </c>
      <c r="K69" s="32">
        <f t="shared" si="110"/>
        <v>751</v>
      </c>
      <c r="L69" s="82">
        <v>750</v>
      </c>
      <c r="M69" s="82">
        <v>0</v>
      </c>
      <c r="N69" s="82">
        <v>0</v>
      </c>
      <c r="O69" s="32">
        <f t="shared" si="111"/>
        <v>0</v>
      </c>
      <c r="P69" s="82">
        <v>947</v>
      </c>
      <c r="Q69" s="82">
        <v>0</v>
      </c>
      <c r="R69" s="82">
        <v>873</v>
      </c>
      <c r="T69" s="97">
        <f t="shared" si="108"/>
        <v>751</v>
      </c>
      <c r="U69" s="97">
        <f t="shared" si="108"/>
        <v>750</v>
      </c>
      <c r="V69" s="97">
        <f t="shared" si="108"/>
        <v>0</v>
      </c>
      <c r="W69" s="97">
        <f t="shared" si="108"/>
        <v>0</v>
      </c>
      <c r="X69" s="97">
        <f t="shared" si="108"/>
        <v>0</v>
      </c>
      <c r="Y69" s="97">
        <f t="shared" si="108"/>
        <v>947</v>
      </c>
      <c r="Z69" s="97">
        <f t="shared" si="108"/>
        <v>0</v>
      </c>
      <c r="AA69" s="97">
        <f>R69</f>
        <v>873</v>
      </c>
      <c r="AB69" s="11"/>
      <c r="AC69" s="75" t="e">
        <f t="shared" si="109"/>
        <v>#DIV/0!</v>
      </c>
    </row>
    <row r="70" spans="2:29" ht="12.75" customHeight="1">
      <c r="B70" s="120" t="s">
        <v>135</v>
      </c>
      <c r="C70" s="121">
        <v>98</v>
      </c>
      <c r="D70" s="121">
        <v>336</v>
      </c>
      <c r="E70" s="121">
        <v>438</v>
      </c>
      <c r="F70" s="121">
        <v>555</v>
      </c>
      <c r="H70" s="82">
        <v>539</v>
      </c>
      <c r="I70" s="82">
        <v>756</v>
      </c>
      <c r="J70" s="82">
        <v>929</v>
      </c>
      <c r="K70" s="32">
        <f t="shared" si="110"/>
        <v>438</v>
      </c>
      <c r="L70" s="82">
        <v>424</v>
      </c>
      <c r="M70" s="82">
        <v>447</v>
      </c>
      <c r="N70" s="82">
        <v>389</v>
      </c>
      <c r="O70" s="32">
        <f t="shared" si="111"/>
        <v>555</v>
      </c>
      <c r="P70" s="82">
        <v>674</v>
      </c>
      <c r="Q70" s="82">
        <f>1968+316</f>
        <v>2284</v>
      </c>
      <c r="R70" s="82">
        <f>1908+324</f>
        <v>2232</v>
      </c>
      <c r="T70" s="97">
        <f t="shared" si="108"/>
        <v>438</v>
      </c>
      <c r="U70" s="97">
        <f t="shared" si="108"/>
        <v>424</v>
      </c>
      <c r="V70" s="97">
        <f t="shared" si="108"/>
        <v>447</v>
      </c>
      <c r="W70" s="97">
        <f t="shared" si="108"/>
        <v>389</v>
      </c>
      <c r="X70" s="97">
        <f t="shared" si="108"/>
        <v>555</v>
      </c>
      <c r="Y70" s="97">
        <f t="shared" si="108"/>
        <v>674</v>
      </c>
      <c r="Z70" s="97">
        <f t="shared" si="108"/>
        <v>2284</v>
      </c>
      <c r="AA70" s="97">
        <f>R70</f>
        <v>2232</v>
      </c>
      <c r="AB70" s="11"/>
      <c r="AC70" s="75">
        <f t="shared" si="109"/>
        <v>4.7377892030848328</v>
      </c>
    </row>
    <row r="71" spans="2:29" ht="12.75" customHeight="1">
      <c r="B71" s="25" t="s">
        <v>19</v>
      </c>
      <c r="C71" s="26">
        <f>SUM(C67:C70)</f>
        <v>4240</v>
      </c>
      <c r="D71" s="26">
        <f>SUM(D67:D70)</f>
        <v>6369</v>
      </c>
      <c r="E71" s="26">
        <f>SUM(E67:E70)</f>
        <v>6689</v>
      </c>
      <c r="F71" s="26">
        <f>SUM(F67:F70)</f>
        <v>7281</v>
      </c>
      <c r="H71" s="26">
        <f>SUM(H67:H70)</f>
        <v>6577</v>
      </c>
      <c r="I71" s="26">
        <f>SUM(I67:I70)</f>
        <v>7572</v>
      </c>
      <c r="J71" s="26">
        <f>SUM(J67:J70)</f>
        <v>7627</v>
      </c>
      <c r="K71" s="26">
        <f>SUM(K67:K70)</f>
        <v>6689</v>
      </c>
      <c r="L71" s="26">
        <f>SUM(L67:L70)</f>
        <v>6474</v>
      </c>
      <c r="M71" s="26">
        <f>SUM(M67:M70)</f>
        <v>6195</v>
      </c>
      <c r="N71" s="26">
        <f>SUM(N67:N70)</f>
        <v>7500</v>
      </c>
      <c r="O71" s="26">
        <f>SUM(O67:O70)</f>
        <v>7281</v>
      </c>
      <c r="P71" s="26">
        <f>SUM(P67:P70)</f>
        <v>7703</v>
      </c>
      <c r="Q71" s="26">
        <f>SUM(Q67:Q70)</f>
        <v>9843</v>
      </c>
      <c r="R71" s="26">
        <f>SUM(R67:R70)</f>
        <v>11700</v>
      </c>
      <c r="S71" s="48"/>
      <c r="T71" s="26">
        <f>SUM(T67:T70)</f>
        <v>6689</v>
      </c>
      <c r="U71" s="26">
        <f>SUM(U67:U70)</f>
        <v>6474</v>
      </c>
      <c r="V71" s="26">
        <f>SUM(V67:V70)</f>
        <v>6195</v>
      </c>
      <c r="W71" s="26">
        <f>SUM(W67:W70)</f>
        <v>7500</v>
      </c>
      <c r="X71" s="26">
        <f>SUM(X67:X70)</f>
        <v>7281</v>
      </c>
      <c r="Y71" s="26">
        <f>SUM(Y67:Y70)</f>
        <v>7703</v>
      </c>
      <c r="Z71" s="26">
        <f>SUM(Z67:Z70)</f>
        <v>9843</v>
      </c>
      <c r="AA71" s="26">
        <f>SUM(AA67:AA70)</f>
        <v>11700</v>
      </c>
      <c r="AB71" s="42"/>
      <c r="AC71" s="76">
        <f t="shared" si="109"/>
        <v>0.56000000000000005</v>
      </c>
    </row>
    <row r="72" spans="2:29" ht="5.0999999999999996" customHeight="1">
      <c r="B72" s="25"/>
      <c r="C72" s="50"/>
      <c r="D72" s="50"/>
      <c r="E72" s="41"/>
      <c r="F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T72" s="42"/>
      <c r="U72" s="42"/>
      <c r="V72" s="42"/>
      <c r="W72" s="42"/>
      <c r="X72" s="42"/>
      <c r="Y72" s="42"/>
      <c r="Z72" s="42"/>
      <c r="AA72" s="42"/>
      <c r="AB72" s="42"/>
      <c r="AC72" s="39"/>
    </row>
    <row r="73" spans="2:29">
      <c r="B73" s="78" t="s">
        <v>82</v>
      </c>
      <c r="C73" s="50"/>
      <c r="D73" s="50"/>
      <c r="E73" s="41"/>
      <c r="F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T73" s="42"/>
      <c r="U73" s="42"/>
      <c r="V73" s="42"/>
      <c r="W73" s="42"/>
      <c r="X73" s="42"/>
      <c r="Y73" s="42"/>
      <c r="Z73" s="42"/>
      <c r="AA73" s="42"/>
      <c r="AB73" s="42"/>
      <c r="AC73" s="39"/>
    </row>
    <row r="74" spans="2:29" ht="12.75" customHeight="1">
      <c r="B74" s="120" t="s">
        <v>136</v>
      </c>
      <c r="C74" s="121">
        <v>1</v>
      </c>
      <c r="D74" s="121">
        <v>2467</v>
      </c>
      <c r="E74" s="121">
        <v>1717</v>
      </c>
      <c r="F74" s="121">
        <v>1721</v>
      </c>
      <c r="G74" s="51"/>
      <c r="H74" s="82">
        <v>2467</v>
      </c>
      <c r="I74" s="82">
        <v>1714</v>
      </c>
      <c r="J74" s="82">
        <v>1715</v>
      </c>
      <c r="K74" s="32">
        <f t="shared" ref="K74:K76" si="112">E74</f>
        <v>1717</v>
      </c>
      <c r="L74" s="82">
        <v>1718</v>
      </c>
      <c r="M74" s="82">
        <v>1719</v>
      </c>
      <c r="N74" s="82">
        <v>1720</v>
      </c>
      <c r="O74" s="32">
        <f t="shared" ref="O74:O76" si="113">F74</f>
        <v>1721</v>
      </c>
      <c r="P74" s="82">
        <v>3217</v>
      </c>
      <c r="Q74" s="82">
        <v>3218</v>
      </c>
      <c r="R74" s="82">
        <v>2347</v>
      </c>
      <c r="S74" s="121"/>
      <c r="T74" s="97">
        <f t="shared" ref="T74:Z77" si="114">K74</f>
        <v>1717</v>
      </c>
      <c r="U74" s="97">
        <f t="shared" si="114"/>
        <v>1718</v>
      </c>
      <c r="V74" s="97">
        <f t="shared" si="114"/>
        <v>1719</v>
      </c>
      <c r="W74" s="97">
        <f t="shared" si="114"/>
        <v>1720</v>
      </c>
      <c r="X74" s="97">
        <f t="shared" si="114"/>
        <v>1721</v>
      </c>
      <c r="Y74" s="97">
        <f t="shared" si="114"/>
        <v>3217</v>
      </c>
      <c r="Z74" s="97">
        <f t="shared" si="114"/>
        <v>3218</v>
      </c>
      <c r="AA74" s="97">
        <f>R74</f>
        <v>2347</v>
      </c>
      <c r="AB74" s="42"/>
      <c r="AC74" s="75">
        <f t="shared" ref="AC74:AC86" si="115">SUM(AA74/W74)-1</f>
        <v>0.36453488372093013</v>
      </c>
    </row>
    <row r="75" spans="2:29" ht="12.75" customHeight="1">
      <c r="B75" s="120" t="s">
        <v>137</v>
      </c>
      <c r="C75" s="121">
        <v>348</v>
      </c>
      <c r="D75" s="121">
        <v>396</v>
      </c>
      <c r="E75" s="121">
        <v>535</v>
      </c>
      <c r="F75" s="121">
        <v>491</v>
      </c>
      <c r="G75" s="51"/>
      <c r="H75" s="82">
        <v>381</v>
      </c>
      <c r="I75" s="82">
        <v>393</v>
      </c>
      <c r="J75" s="82">
        <v>395</v>
      </c>
      <c r="K75" s="32">
        <f t="shared" si="112"/>
        <v>535</v>
      </c>
      <c r="L75" s="82">
        <v>530</v>
      </c>
      <c r="M75" s="82">
        <v>526</v>
      </c>
      <c r="N75" s="82">
        <v>518</v>
      </c>
      <c r="O75" s="32">
        <f t="shared" si="113"/>
        <v>491</v>
      </c>
      <c r="P75" s="82">
        <v>567</v>
      </c>
      <c r="Q75" s="82">
        <v>668</v>
      </c>
      <c r="R75" s="82">
        <v>650</v>
      </c>
      <c r="S75" s="121"/>
      <c r="T75" s="97">
        <f t="shared" si="114"/>
        <v>535</v>
      </c>
      <c r="U75" s="97">
        <f t="shared" si="114"/>
        <v>530</v>
      </c>
      <c r="V75" s="97">
        <f t="shared" si="114"/>
        <v>526</v>
      </c>
      <c r="W75" s="97">
        <f t="shared" si="114"/>
        <v>518</v>
      </c>
      <c r="X75" s="97">
        <f t="shared" si="114"/>
        <v>491</v>
      </c>
      <c r="Y75" s="97">
        <f t="shared" si="114"/>
        <v>567</v>
      </c>
      <c r="Z75" s="97">
        <f t="shared" si="114"/>
        <v>668</v>
      </c>
      <c r="AA75" s="97">
        <f>R75</f>
        <v>650</v>
      </c>
      <c r="AB75" s="42"/>
      <c r="AC75" s="75">
        <f t="shared" si="115"/>
        <v>0.25482625482625476</v>
      </c>
    </row>
    <row r="76" spans="2:29" ht="12.75" customHeight="1">
      <c r="B76" s="120" t="s">
        <v>138</v>
      </c>
      <c r="C76" s="121"/>
      <c r="D76" s="121">
        <v>1934</v>
      </c>
      <c r="E76" s="121">
        <v>1202</v>
      </c>
      <c r="F76" s="121">
        <v>349</v>
      </c>
      <c r="G76" s="51"/>
      <c r="H76" s="82">
        <v>1641</v>
      </c>
      <c r="I76" s="82">
        <v>1365</v>
      </c>
      <c r="J76" s="82">
        <v>1152</v>
      </c>
      <c r="K76" s="32">
        <f t="shared" si="112"/>
        <v>1202</v>
      </c>
      <c r="L76" s="82">
        <v>1199</v>
      </c>
      <c r="M76" s="82">
        <v>1192</v>
      </c>
      <c r="N76" s="82">
        <v>1162</v>
      </c>
      <c r="O76" s="32">
        <f t="shared" si="113"/>
        <v>349</v>
      </c>
      <c r="P76" s="82">
        <v>343</v>
      </c>
      <c r="Q76" s="82">
        <v>341</v>
      </c>
      <c r="R76" s="82">
        <v>326</v>
      </c>
      <c r="S76" s="121"/>
      <c r="T76" s="97">
        <f t="shared" si="114"/>
        <v>1202</v>
      </c>
      <c r="U76" s="97">
        <f t="shared" si="114"/>
        <v>1199</v>
      </c>
      <c r="V76" s="97">
        <f t="shared" si="114"/>
        <v>1192</v>
      </c>
      <c r="W76" s="97">
        <f t="shared" si="114"/>
        <v>1162</v>
      </c>
      <c r="X76" s="97">
        <f t="shared" si="114"/>
        <v>349</v>
      </c>
      <c r="Y76" s="97">
        <f t="shared" si="114"/>
        <v>343</v>
      </c>
      <c r="Z76" s="97">
        <f t="shared" si="114"/>
        <v>341</v>
      </c>
      <c r="AA76" s="97">
        <f>R76</f>
        <v>326</v>
      </c>
      <c r="AB76" s="42"/>
      <c r="AC76" s="75">
        <f t="shared" si="115"/>
        <v>-0.7194492254733218</v>
      </c>
    </row>
    <row r="77" spans="2:29" ht="12.75" customHeight="1">
      <c r="B77" s="120" t="s">
        <v>139</v>
      </c>
      <c r="C77" s="121">
        <v>333</v>
      </c>
      <c r="D77" s="121">
        <v>1664</v>
      </c>
      <c r="E77" s="121">
        <v>1850</v>
      </c>
      <c r="F77" s="121">
        <v>1816</v>
      </c>
      <c r="G77" s="51"/>
      <c r="H77" s="82">
        <v>1874</v>
      </c>
      <c r="I77" s="82">
        <v>1787</v>
      </c>
      <c r="J77" s="82">
        <v>1767</v>
      </c>
      <c r="K77" s="32">
        <f t="shared" ref="K77" si="116">E77</f>
        <v>1850</v>
      </c>
      <c r="L77" s="82">
        <v>1776</v>
      </c>
      <c r="M77" s="82">
        <v>1716</v>
      </c>
      <c r="N77" s="82">
        <v>1751</v>
      </c>
      <c r="O77" s="32">
        <f t="shared" ref="O77" si="117">F77</f>
        <v>1816</v>
      </c>
      <c r="P77" s="82">
        <v>1839</v>
      </c>
      <c r="Q77" s="82">
        <v>1085</v>
      </c>
      <c r="R77" s="82">
        <v>1078</v>
      </c>
      <c r="S77" s="121"/>
      <c r="T77" s="97">
        <f t="shared" si="114"/>
        <v>1850</v>
      </c>
      <c r="U77" s="97">
        <f t="shared" si="114"/>
        <v>1776</v>
      </c>
      <c r="V77" s="97">
        <f t="shared" si="114"/>
        <v>1716</v>
      </c>
      <c r="W77" s="97">
        <f t="shared" si="114"/>
        <v>1751</v>
      </c>
      <c r="X77" s="97">
        <f t="shared" si="114"/>
        <v>1816</v>
      </c>
      <c r="Y77" s="97">
        <f t="shared" si="114"/>
        <v>1839</v>
      </c>
      <c r="Z77" s="97">
        <f t="shared" si="114"/>
        <v>1085</v>
      </c>
      <c r="AA77" s="97">
        <f>R77</f>
        <v>1078</v>
      </c>
      <c r="AB77" s="42"/>
      <c r="AC77" s="75">
        <f t="shared" si="115"/>
        <v>-0.38435179897201599</v>
      </c>
    </row>
    <row r="78" spans="2:29" ht="12.75" customHeight="1">
      <c r="B78" s="13" t="s">
        <v>17</v>
      </c>
      <c r="C78" s="14">
        <f>SUM(C74:C77)+C71</f>
        <v>4922</v>
      </c>
      <c r="D78" s="14">
        <f>SUM(D74:D77)+D71</f>
        <v>12830</v>
      </c>
      <c r="E78" s="14">
        <f>SUM(E74:E77)+E71</f>
        <v>11993</v>
      </c>
      <c r="F78" s="14">
        <f>SUM(F74:F77)+F71</f>
        <v>11658</v>
      </c>
      <c r="H78" s="14">
        <f>SUM(H74:H77)+H71</f>
        <v>12940</v>
      </c>
      <c r="I78" s="14">
        <f>SUM(I74:I77)+I71</f>
        <v>12831</v>
      </c>
      <c r="J78" s="14">
        <f>SUM(J74:J77)+J71</f>
        <v>12656</v>
      </c>
      <c r="K78" s="14">
        <f>SUM(K74:K77)+K71</f>
        <v>11993</v>
      </c>
      <c r="L78" s="14">
        <f>SUM(L74:L77)+L71</f>
        <v>11697</v>
      </c>
      <c r="M78" s="14">
        <f>SUM(M74:M77)+M71</f>
        <v>11348</v>
      </c>
      <c r="N78" s="14">
        <f>SUM(N74:N77)+N71</f>
        <v>12651</v>
      </c>
      <c r="O78" s="14">
        <f>SUM(O74:O77)+O71</f>
        <v>11658</v>
      </c>
      <c r="P78" s="14">
        <f>SUM(P74:P77)+P71</f>
        <v>13669</v>
      </c>
      <c r="Q78" s="14">
        <f>SUM(Q74:Q77)+Q71</f>
        <v>15155</v>
      </c>
      <c r="R78" s="14">
        <f>SUM(R74:R77)+R71</f>
        <v>16101</v>
      </c>
      <c r="T78" s="14">
        <f>SUM(T74:T77)+T71</f>
        <v>11993</v>
      </c>
      <c r="U78" s="14">
        <f>SUM(U74:U77)+U71</f>
        <v>11697</v>
      </c>
      <c r="V78" s="14">
        <f>SUM(V74:V77)+V71</f>
        <v>11348</v>
      </c>
      <c r="W78" s="14">
        <f>SUM(W74:W77)+W71</f>
        <v>12651</v>
      </c>
      <c r="X78" s="14">
        <f>SUM(X74:X77)+X71</f>
        <v>11658</v>
      </c>
      <c r="Y78" s="14">
        <f>SUM(Y74:Y77)+Y71</f>
        <v>13669</v>
      </c>
      <c r="Z78" s="14">
        <f>SUM(Z74:Z77)+Z71</f>
        <v>15155</v>
      </c>
      <c r="AA78" s="14">
        <f>SUM(AA74:AA77)+AA71</f>
        <v>16101</v>
      </c>
      <c r="AB78" s="42"/>
      <c r="AC78" s="76">
        <f t="shared" si="115"/>
        <v>0.27270571496324392</v>
      </c>
    </row>
    <row r="79" spans="2:29" ht="5.0999999999999996" customHeight="1">
      <c r="B79" s="25"/>
      <c r="C79" s="49"/>
      <c r="D79" s="49"/>
      <c r="E79" s="41"/>
      <c r="F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T79" s="42"/>
      <c r="U79" s="42"/>
      <c r="V79" s="42"/>
      <c r="W79" s="42"/>
      <c r="X79" s="42"/>
      <c r="Y79" s="42"/>
      <c r="Z79" s="42"/>
      <c r="AA79" s="42"/>
      <c r="AB79" s="42"/>
      <c r="AC79" s="39"/>
    </row>
    <row r="80" spans="2:29" ht="12.75" customHeight="1">
      <c r="B80" s="9" t="s">
        <v>144</v>
      </c>
      <c r="C80" s="82">
        <v>12</v>
      </c>
      <c r="D80" s="82">
        <v>16</v>
      </c>
      <c r="E80" s="82">
        <v>17</v>
      </c>
      <c r="F80" s="82">
        <v>17</v>
      </c>
      <c r="G80" s="32"/>
      <c r="H80" s="82">
        <v>16</v>
      </c>
      <c r="I80" s="82">
        <v>16</v>
      </c>
      <c r="J80" s="82">
        <v>17</v>
      </c>
      <c r="K80" s="32">
        <f t="shared" ref="K80:K81" si="118">E80</f>
        <v>17</v>
      </c>
      <c r="L80" s="82">
        <v>17</v>
      </c>
      <c r="M80" s="82">
        <v>17</v>
      </c>
      <c r="N80" s="82">
        <v>17</v>
      </c>
      <c r="O80" s="32">
        <f t="shared" ref="O80:O81" si="119">F80</f>
        <v>17</v>
      </c>
      <c r="P80" s="82">
        <v>17</v>
      </c>
      <c r="Q80" s="82">
        <v>17</v>
      </c>
      <c r="R80" s="82">
        <v>17</v>
      </c>
      <c r="T80" s="32">
        <f t="shared" ref="T80:Z84" si="120">K80</f>
        <v>17</v>
      </c>
      <c r="U80" s="32">
        <f t="shared" si="120"/>
        <v>17</v>
      </c>
      <c r="V80" s="32">
        <f t="shared" si="120"/>
        <v>17</v>
      </c>
      <c r="W80" s="32">
        <f t="shared" si="120"/>
        <v>17</v>
      </c>
      <c r="X80" s="32">
        <f t="shared" si="120"/>
        <v>17</v>
      </c>
      <c r="Y80" s="32">
        <f t="shared" si="120"/>
        <v>17</v>
      </c>
      <c r="Z80" s="32">
        <f t="shared" si="120"/>
        <v>17</v>
      </c>
      <c r="AA80" s="32">
        <f>R80</f>
        <v>17</v>
      </c>
      <c r="AB80" s="11"/>
      <c r="AC80" s="75">
        <f t="shared" si="115"/>
        <v>0</v>
      </c>
    </row>
    <row r="81" spans="1:29" ht="12.75" customHeight="1">
      <c r="B81" s="9" t="s">
        <v>140</v>
      </c>
      <c r="C81" s="82">
        <v>11069</v>
      </c>
      <c r="D81" s="82">
        <v>58005</v>
      </c>
      <c r="E81" s="82">
        <v>59676</v>
      </c>
      <c r="F81" s="82">
        <v>61362</v>
      </c>
      <c r="G81" s="32"/>
      <c r="H81" s="82">
        <v>58331</v>
      </c>
      <c r="I81" s="82">
        <v>58825</v>
      </c>
      <c r="J81" s="82">
        <v>59182</v>
      </c>
      <c r="K81" s="32">
        <f t="shared" si="118"/>
        <v>59676</v>
      </c>
      <c r="L81" s="82">
        <v>60053</v>
      </c>
      <c r="M81" s="82">
        <v>60542</v>
      </c>
      <c r="N81" s="82">
        <v>60896</v>
      </c>
      <c r="O81" s="32">
        <f t="shared" si="119"/>
        <v>61362</v>
      </c>
      <c r="P81" s="82">
        <v>61730</v>
      </c>
      <c r="Q81" s="82">
        <v>62228</v>
      </c>
      <c r="R81" s="82">
        <v>62657</v>
      </c>
      <c r="T81" s="32">
        <f t="shared" si="120"/>
        <v>59676</v>
      </c>
      <c r="U81" s="32">
        <f t="shared" si="120"/>
        <v>60053</v>
      </c>
      <c r="V81" s="32">
        <f t="shared" si="120"/>
        <v>60542</v>
      </c>
      <c r="W81" s="32">
        <f t="shared" si="120"/>
        <v>60896</v>
      </c>
      <c r="X81" s="32">
        <f t="shared" si="120"/>
        <v>61362</v>
      </c>
      <c r="Y81" s="32">
        <f t="shared" si="120"/>
        <v>61730</v>
      </c>
      <c r="Z81" s="32">
        <f t="shared" si="120"/>
        <v>62228</v>
      </c>
      <c r="AA81" s="32">
        <f>R81</f>
        <v>62657</v>
      </c>
      <c r="AB81" s="11"/>
      <c r="AC81" s="75">
        <f t="shared" si="115"/>
        <v>2.8918155543877999E-2</v>
      </c>
    </row>
    <row r="82" spans="1:29" ht="12.75" customHeight="1">
      <c r="B82" s="9" t="s">
        <v>141</v>
      </c>
      <c r="C82" s="82">
        <v>-2130</v>
      </c>
      <c r="D82" s="82">
        <v>-3099</v>
      </c>
      <c r="E82" s="82">
        <v>-4514</v>
      </c>
      <c r="F82" s="82">
        <v>-6106</v>
      </c>
      <c r="G82" s="32"/>
      <c r="H82" s="82">
        <v>-3362</v>
      </c>
      <c r="I82" s="82">
        <v>-3430</v>
      </c>
      <c r="J82" s="82">
        <v>-4235</v>
      </c>
      <c r="K82" s="32">
        <f>E82</f>
        <v>-4514</v>
      </c>
      <c r="L82" s="82">
        <v>-4690</v>
      </c>
      <c r="M82" s="82">
        <v>-5103</v>
      </c>
      <c r="N82" s="82">
        <v>-5812</v>
      </c>
      <c r="O82" s="32">
        <f>F82</f>
        <v>-6106</v>
      </c>
      <c r="P82" s="82">
        <v>-6899</v>
      </c>
      <c r="Q82" s="82">
        <v>-6535</v>
      </c>
      <c r="R82" s="82">
        <v>-7059</v>
      </c>
      <c r="T82" s="32">
        <f t="shared" si="120"/>
        <v>-4514</v>
      </c>
      <c r="U82" s="32">
        <f t="shared" si="120"/>
        <v>-4690</v>
      </c>
      <c r="V82" s="32">
        <f t="shared" si="120"/>
        <v>-5103</v>
      </c>
      <c r="W82" s="32">
        <f t="shared" si="120"/>
        <v>-5812</v>
      </c>
      <c r="X82" s="32">
        <f t="shared" si="120"/>
        <v>-6106</v>
      </c>
      <c r="Y82" s="32">
        <f t="shared" si="120"/>
        <v>-6899</v>
      </c>
      <c r="Z82" s="32">
        <f t="shared" si="120"/>
        <v>-6535</v>
      </c>
      <c r="AA82" s="32">
        <f>R82</f>
        <v>-7059</v>
      </c>
      <c r="AB82" s="11"/>
      <c r="AC82" s="75">
        <f t="shared" si="115"/>
        <v>0.21455609084652449</v>
      </c>
    </row>
    <row r="83" spans="1:29" ht="12.75" customHeight="1">
      <c r="B83" s="9" t="s">
        <v>142</v>
      </c>
      <c r="C83" s="82">
        <v>-1451</v>
      </c>
      <c r="D83" s="82">
        <v>-131</v>
      </c>
      <c r="E83" s="82">
        <v>723</v>
      </c>
      <c r="F83" s="82">
        <v>2364</v>
      </c>
      <c r="G83" s="32"/>
      <c r="H83" s="82">
        <v>-270</v>
      </c>
      <c r="I83" s="82">
        <v>-243</v>
      </c>
      <c r="J83" s="82">
        <v>56</v>
      </c>
      <c r="K83" s="32">
        <f>E83</f>
        <v>723</v>
      </c>
      <c r="L83" s="82">
        <v>846</v>
      </c>
      <c r="M83" s="82">
        <v>1111</v>
      </c>
      <c r="N83" s="82">
        <v>1882</v>
      </c>
      <c r="O83" s="32">
        <f>F83</f>
        <v>2364</v>
      </c>
      <c r="P83" s="82">
        <v>3073</v>
      </c>
      <c r="Q83" s="82">
        <v>3945</v>
      </c>
      <c r="R83" s="82">
        <v>5188</v>
      </c>
      <c r="T83" s="32">
        <f t="shared" si="120"/>
        <v>723</v>
      </c>
      <c r="U83" s="32">
        <f t="shared" si="120"/>
        <v>846</v>
      </c>
      <c r="V83" s="32">
        <f t="shared" si="120"/>
        <v>1111</v>
      </c>
      <c r="W83" s="32">
        <f t="shared" si="120"/>
        <v>1882</v>
      </c>
      <c r="X83" s="32">
        <f t="shared" si="120"/>
        <v>2364</v>
      </c>
      <c r="Y83" s="32">
        <f t="shared" si="120"/>
        <v>3073</v>
      </c>
      <c r="Z83" s="32">
        <f t="shared" si="120"/>
        <v>3945</v>
      </c>
      <c r="AA83" s="32">
        <f>R83</f>
        <v>5188</v>
      </c>
      <c r="AB83" s="11"/>
      <c r="AC83" s="75">
        <f t="shared" si="115"/>
        <v>1.7566418703506907</v>
      </c>
    </row>
    <row r="84" spans="1:29" ht="12.75" customHeight="1">
      <c r="B84" s="9" t="s">
        <v>143</v>
      </c>
      <c r="C84" s="82">
        <v>-3</v>
      </c>
      <c r="D84" s="82">
        <v>-41</v>
      </c>
      <c r="E84" s="82">
        <v>-10</v>
      </c>
      <c r="F84" s="82">
        <v>-69</v>
      </c>
      <c r="G84" s="32"/>
      <c r="H84" s="82">
        <v>-21</v>
      </c>
      <c r="I84" s="82">
        <v>-32</v>
      </c>
      <c r="J84" s="82">
        <v>-50</v>
      </c>
      <c r="K84" s="32">
        <f>E84</f>
        <v>-10</v>
      </c>
      <c r="L84" s="82">
        <v>-28</v>
      </c>
      <c r="M84" s="82">
        <v>-29</v>
      </c>
      <c r="N84" s="82">
        <v>2</v>
      </c>
      <c r="O84" s="32">
        <f>F84</f>
        <v>-69</v>
      </c>
      <c r="P84" s="82">
        <v>-40</v>
      </c>
      <c r="Q84" s="82">
        <v>10</v>
      </c>
      <c r="R84" s="82">
        <v>-13</v>
      </c>
      <c r="T84" s="32">
        <f t="shared" si="120"/>
        <v>-10</v>
      </c>
      <c r="U84" s="32">
        <f t="shared" si="120"/>
        <v>-28</v>
      </c>
      <c r="V84" s="32">
        <f t="shared" si="120"/>
        <v>-29</v>
      </c>
      <c r="W84" s="32">
        <f t="shared" si="120"/>
        <v>2</v>
      </c>
      <c r="X84" s="32">
        <f t="shared" si="120"/>
        <v>-69</v>
      </c>
      <c r="Y84" s="32">
        <f t="shared" si="120"/>
        <v>-40</v>
      </c>
      <c r="Z84" s="32">
        <f t="shared" si="120"/>
        <v>10</v>
      </c>
      <c r="AA84" s="32">
        <f>R84</f>
        <v>-13</v>
      </c>
      <c r="AB84" s="11"/>
      <c r="AC84" s="75">
        <f t="shared" si="115"/>
        <v>-7.5</v>
      </c>
    </row>
    <row r="85" spans="1:29" ht="12.75" customHeight="1">
      <c r="B85" s="13" t="s">
        <v>16</v>
      </c>
      <c r="C85" s="14">
        <f>SUM(C80:C84)</f>
        <v>7497</v>
      </c>
      <c r="D85" s="14">
        <f>SUM(D80:D84)</f>
        <v>54750</v>
      </c>
      <c r="E85" s="14">
        <f>SUM(E80:E84)</f>
        <v>55892</v>
      </c>
      <c r="F85" s="14">
        <f>SUM(F80:F84)</f>
        <v>57568</v>
      </c>
      <c r="G85" s="52"/>
      <c r="H85" s="14">
        <f>SUM(H80:H84)</f>
        <v>54694</v>
      </c>
      <c r="I85" s="14">
        <f>SUM(I80:I84)</f>
        <v>55136</v>
      </c>
      <c r="J85" s="14">
        <f>SUM(J80:J84)</f>
        <v>54970</v>
      </c>
      <c r="K85" s="14">
        <f>SUM(K80:K84)</f>
        <v>55892</v>
      </c>
      <c r="L85" s="14">
        <f>SUM(L80:L84)</f>
        <v>56198</v>
      </c>
      <c r="M85" s="14">
        <f>SUM(M80:M84)</f>
        <v>56538</v>
      </c>
      <c r="N85" s="14">
        <f>SUM(N80:N84)</f>
        <v>56985</v>
      </c>
      <c r="O85" s="14">
        <f>SUM(O80:O84)</f>
        <v>57568</v>
      </c>
      <c r="P85" s="14">
        <f>SUM(P80:P84)</f>
        <v>57881</v>
      </c>
      <c r="Q85" s="14">
        <f>SUM(Q80:Q84)</f>
        <v>59665</v>
      </c>
      <c r="R85" s="14">
        <f>SUM(R80:R84)</f>
        <v>60790</v>
      </c>
      <c r="T85" s="14">
        <f>SUM(T80:T84)</f>
        <v>55892</v>
      </c>
      <c r="U85" s="14">
        <f>SUM(U80:U84)</f>
        <v>56198</v>
      </c>
      <c r="V85" s="14">
        <f>SUM(V80:V84)</f>
        <v>56538</v>
      </c>
      <c r="W85" s="14">
        <f>SUM(W80:W84)</f>
        <v>56985</v>
      </c>
      <c r="X85" s="14">
        <f>SUM(X80:X84)</f>
        <v>57568</v>
      </c>
      <c r="Y85" s="14">
        <f>SUM(Y80:Y84)</f>
        <v>57881</v>
      </c>
      <c r="Z85" s="14">
        <f>SUM(Z80:Z84)</f>
        <v>59665</v>
      </c>
      <c r="AA85" s="14">
        <f>SUM(AA80:AA84)</f>
        <v>60790</v>
      </c>
      <c r="AB85" s="42"/>
      <c r="AC85" s="75">
        <f t="shared" si="115"/>
        <v>6.6771957532683945E-2</v>
      </c>
    </row>
    <row r="86" spans="1:29" ht="12.75" customHeight="1">
      <c r="B86" s="25" t="s">
        <v>51</v>
      </c>
      <c r="C86" s="32">
        <f>SUM(C85+C78)</f>
        <v>12419</v>
      </c>
      <c r="D86" s="32">
        <f>SUM(D85+D78)</f>
        <v>67580</v>
      </c>
      <c r="E86" s="32">
        <f>SUM(E85+E78)</f>
        <v>67885</v>
      </c>
      <c r="F86" s="32">
        <f>SUM(F85+F78)</f>
        <v>69226</v>
      </c>
      <c r="G86" s="32"/>
      <c r="H86" s="32">
        <f>SUM(H85+H78)</f>
        <v>67634</v>
      </c>
      <c r="I86" s="32">
        <f>SUM(I85+I78)</f>
        <v>67967</v>
      </c>
      <c r="J86" s="32">
        <f>SUM(J85+J78)</f>
        <v>67626</v>
      </c>
      <c r="K86" s="32">
        <f>SUM(K85+K78)</f>
        <v>67885</v>
      </c>
      <c r="L86" s="32">
        <f>SUM(L85+L78)</f>
        <v>67895</v>
      </c>
      <c r="M86" s="32">
        <f>SUM(M85+M78)</f>
        <v>67886</v>
      </c>
      <c r="N86" s="32">
        <f>SUM(N85+N78)</f>
        <v>69636</v>
      </c>
      <c r="O86" s="32">
        <f>SUM(O85+O78)</f>
        <v>69226</v>
      </c>
      <c r="P86" s="32">
        <f>SUM(P85+P78)</f>
        <v>71550</v>
      </c>
      <c r="Q86" s="32">
        <f>SUM(Q85+Q78)</f>
        <v>74820</v>
      </c>
      <c r="R86" s="32">
        <f>SUM(R85+R78)</f>
        <v>76891</v>
      </c>
      <c r="S86" s="32"/>
      <c r="T86" s="32">
        <f>SUM(T85+T78)</f>
        <v>67885</v>
      </c>
      <c r="U86" s="32">
        <f>SUM(U85+U78)</f>
        <v>67895</v>
      </c>
      <c r="V86" s="32">
        <f>SUM(V85+V78)</f>
        <v>67886</v>
      </c>
      <c r="W86" s="32">
        <f>SUM(W85+W78)</f>
        <v>69636</v>
      </c>
      <c r="X86" s="32">
        <f>SUM(X85+X78)</f>
        <v>69226</v>
      </c>
      <c r="Y86" s="32">
        <f>SUM(Y85+Y78)</f>
        <v>71550</v>
      </c>
      <c r="Z86" s="32">
        <f>SUM(Z85+Z78)</f>
        <v>74820</v>
      </c>
      <c r="AA86" s="32">
        <f>SUM(AA85+AA78)</f>
        <v>76891</v>
      </c>
      <c r="AB86" s="11"/>
      <c r="AC86" s="76">
        <f t="shared" si="115"/>
        <v>0.10418461715204774</v>
      </c>
    </row>
    <row r="87" spans="1:29" ht="5.0999999999999996" customHeight="1">
      <c r="B87" s="25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11"/>
    </row>
    <row r="88" spans="1:29" ht="12.75" customHeight="1">
      <c r="B88" s="141" t="s">
        <v>60</v>
      </c>
      <c r="C88" s="69">
        <f>C86-C64</f>
        <v>0</v>
      </c>
      <c r="D88" s="69">
        <f>D86-D64</f>
        <v>0</v>
      </c>
      <c r="E88" s="69">
        <f>E86-E64</f>
        <v>0</v>
      </c>
      <c r="F88" s="69">
        <f>F86-F64</f>
        <v>0</v>
      </c>
      <c r="G88" s="70"/>
      <c r="H88" s="69">
        <f>H86-H64</f>
        <v>0</v>
      </c>
      <c r="I88" s="69">
        <f>I86-I64</f>
        <v>0</v>
      </c>
      <c r="J88" s="69">
        <f>J86-J64</f>
        <v>0</v>
      </c>
      <c r="K88" s="69">
        <f>K86-K64</f>
        <v>0</v>
      </c>
      <c r="L88" s="69">
        <f>L86-L64</f>
        <v>0</v>
      </c>
      <c r="M88" s="69">
        <f>M86-M64</f>
        <v>0</v>
      </c>
      <c r="N88" s="69">
        <f>N86-N64</f>
        <v>0</v>
      </c>
      <c r="O88" s="69">
        <f>O86-O64</f>
        <v>0</v>
      </c>
      <c r="P88" s="69">
        <f>P86-P64</f>
        <v>0</v>
      </c>
      <c r="Q88" s="69">
        <f>Q86-Q64</f>
        <v>0</v>
      </c>
      <c r="R88" s="69">
        <f>R86-R64</f>
        <v>0</v>
      </c>
      <c r="S88" s="28"/>
      <c r="T88" s="69">
        <f>T86-T64</f>
        <v>0</v>
      </c>
      <c r="U88" s="69">
        <f>U86-U64</f>
        <v>0</v>
      </c>
      <c r="V88" s="69">
        <f>V86-V64</f>
        <v>0</v>
      </c>
      <c r="W88" s="69">
        <f>W86-W64</f>
        <v>0</v>
      </c>
      <c r="X88" s="69">
        <f>X86-X64</f>
        <v>0</v>
      </c>
      <c r="Y88" s="69">
        <f>Y86-Y64</f>
        <v>0</v>
      </c>
      <c r="Z88" s="69">
        <f>Z86-Z64</f>
        <v>0</v>
      </c>
      <c r="AA88" s="69">
        <f>AA86-AA64</f>
        <v>0</v>
      </c>
    </row>
    <row r="89" spans="1:29" ht="5.0999999999999996" customHeight="1" thickBot="1">
      <c r="B89" s="116"/>
      <c r="C89" s="117"/>
      <c r="D89" s="117"/>
      <c r="E89" s="117"/>
      <c r="F89" s="117"/>
      <c r="G89" s="118"/>
      <c r="H89" s="117"/>
      <c r="I89" s="117"/>
      <c r="J89" s="117"/>
      <c r="K89" s="117"/>
      <c r="L89" s="117"/>
      <c r="M89" s="117"/>
      <c r="N89" s="117"/>
      <c r="O89" s="117"/>
      <c r="P89" s="117"/>
      <c r="Q89" s="117"/>
      <c r="R89" s="117"/>
      <c r="S89" s="119"/>
      <c r="T89" s="117"/>
      <c r="U89" s="117"/>
      <c r="V89" s="117"/>
      <c r="W89" s="117"/>
      <c r="X89" s="117"/>
      <c r="Y89" s="117"/>
      <c r="Z89" s="117"/>
      <c r="AA89" s="117"/>
      <c r="AB89" s="73"/>
      <c r="AC89" s="73"/>
    </row>
    <row r="90" spans="1:29">
      <c r="B90" s="68"/>
      <c r="C90" s="53"/>
      <c r="D90" s="24"/>
      <c r="E90" s="24"/>
      <c r="F90" s="24"/>
      <c r="G90" s="53"/>
    </row>
    <row r="91" spans="1:29" ht="12.75" customHeight="1">
      <c r="A91" s="5" t="s">
        <v>18</v>
      </c>
      <c r="B91" s="98" t="s">
        <v>15</v>
      </c>
      <c r="C91" s="102"/>
      <c r="D91" s="102"/>
      <c r="E91" s="102"/>
      <c r="F91" s="102"/>
      <c r="G91" s="103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98"/>
      <c r="T91" s="102"/>
      <c r="U91" s="102"/>
      <c r="V91" s="102" t="s">
        <v>10</v>
      </c>
      <c r="W91" s="102"/>
      <c r="X91" s="102"/>
      <c r="Y91" s="102"/>
      <c r="Z91" s="102"/>
      <c r="AA91" s="102"/>
      <c r="AB91" s="103"/>
      <c r="AC91" s="150" t="s">
        <v>24</v>
      </c>
    </row>
    <row r="92" spans="1:29" ht="12.75" customHeight="1">
      <c r="B92" s="99" t="str">
        <f>B7</f>
        <v>Fiscal Period</v>
      </c>
      <c r="C92" s="104">
        <f>C7</f>
        <v>2021</v>
      </c>
      <c r="D92" s="104">
        <f>D7</f>
        <v>2022</v>
      </c>
      <c r="E92" s="104">
        <f>E7</f>
        <v>2023</v>
      </c>
      <c r="F92" s="104">
        <f>F7</f>
        <v>2024</v>
      </c>
      <c r="G92" s="103"/>
      <c r="H92" s="104" t="str">
        <f>H7</f>
        <v>1Q23</v>
      </c>
      <c r="I92" s="104" t="str">
        <f>I7</f>
        <v>2Q23</v>
      </c>
      <c r="J92" s="104" t="str">
        <f>J7</f>
        <v>3Q23</v>
      </c>
      <c r="K92" s="104" t="str">
        <f>K7</f>
        <v>4Q23</v>
      </c>
      <c r="L92" s="104" t="str">
        <f>L7</f>
        <v>1Q24</v>
      </c>
      <c r="M92" s="104" t="str">
        <f>M7</f>
        <v>2Q24</v>
      </c>
      <c r="N92" s="104" t="str">
        <f>N7</f>
        <v>3Q24</v>
      </c>
      <c r="O92" s="104" t="str">
        <f>O7</f>
        <v>4Q24</v>
      </c>
      <c r="P92" s="104" t="str">
        <f>P7</f>
        <v>1Q25</v>
      </c>
      <c r="Q92" s="104" t="str">
        <f>Q7</f>
        <v>2Q25</v>
      </c>
      <c r="R92" s="104" t="str">
        <f>R7</f>
        <v>3Q25</v>
      </c>
      <c r="S92" s="104"/>
      <c r="T92" s="104" t="str">
        <f>T7</f>
        <v>4Q23</v>
      </c>
      <c r="U92" s="104" t="str">
        <f>U7</f>
        <v>1Q24</v>
      </c>
      <c r="V92" s="104" t="str">
        <f>V7</f>
        <v>2Q24</v>
      </c>
      <c r="W92" s="104" t="str">
        <f>W7</f>
        <v>3Q24</v>
      </c>
      <c r="X92" s="104" t="str">
        <f>X7</f>
        <v>4Q24</v>
      </c>
      <c r="Y92" s="104" t="str">
        <f>Y7</f>
        <v>1Q25</v>
      </c>
      <c r="Z92" s="104" t="str">
        <f>Z7</f>
        <v>2Q25</v>
      </c>
      <c r="AA92" s="104" t="str">
        <f>AA7</f>
        <v>3Q25</v>
      </c>
      <c r="AB92" s="103"/>
      <c r="AC92" s="150"/>
    </row>
    <row r="93" spans="1:29" ht="12.75" customHeight="1">
      <c r="B93" s="99" t="str">
        <f>B8</f>
        <v>Fiscal Period End Date</v>
      </c>
      <c r="C93" s="105">
        <f>C8</f>
        <v>44555</v>
      </c>
      <c r="D93" s="105">
        <f>D8</f>
        <v>44926</v>
      </c>
      <c r="E93" s="105">
        <f>E8</f>
        <v>45290</v>
      </c>
      <c r="F93" s="105">
        <f>F8</f>
        <v>45654</v>
      </c>
      <c r="G93" s="103"/>
      <c r="H93" s="105">
        <f>H8</f>
        <v>45017</v>
      </c>
      <c r="I93" s="105">
        <f>I8</f>
        <v>45108</v>
      </c>
      <c r="J93" s="105">
        <f>J8</f>
        <v>45199</v>
      </c>
      <c r="K93" s="105">
        <f>K8</f>
        <v>45290</v>
      </c>
      <c r="L93" s="105">
        <f>L8</f>
        <v>45381</v>
      </c>
      <c r="M93" s="105">
        <f>M8</f>
        <v>45472</v>
      </c>
      <c r="N93" s="105">
        <f>N8</f>
        <v>45563</v>
      </c>
      <c r="O93" s="105">
        <f>O8</f>
        <v>45654</v>
      </c>
      <c r="P93" s="105">
        <f>P8</f>
        <v>45745</v>
      </c>
      <c r="Q93" s="105">
        <f>Q8</f>
        <v>45836</v>
      </c>
      <c r="R93" s="105">
        <f>R8</f>
        <v>45927</v>
      </c>
      <c r="S93" s="105"/>
      <c r="T93" s="105">
        <f>T8</f>
        <v>45290</v>
      </c>
      <c r="U93" s="105">
        <f>U8</f>
        <v>45381</v>
      </c>
      <c r="V93" s="105">
        <f>V8</f>
        <v>45472</v>
      </c>
      <c r="W93" s="105">
        <f>W8</f>
        <v>45563</v>
      </c>
      <c r="X93" s="105">
        <f>X8</f>
        <v>45654</v>
      </c>
      <c r="Y93" s="105">
        <f>Y8</f>
        <v>45745</v>
      </c>
      <c r="Z93" s="105">
        <f>Z8</f>
        <v>45836</v>
      </c>
      <c r="AA93" s="105">
        <f>AA8</f>
        <v>45927</v>
      </c>
      <c r="AB93" s="103"/>
      <c r="AC93" s="150"/>
    </row>
    <row r="94" spans="1:29" ht="5.0999999999999996" customHeight="1">
      <c r="B94" s="54"/>
      <c r="C94" s="47"/>
      <c r="D94" s="47"/>
      <c r="E94" s="47"/>
      <c r="F94" s="47"/>
    </row>
    <row r="95" spans="1:29" ht="12.75" customHeight="1">
      <c r="B95" s="55" t="s">
        <v>52</v>
      </c>
      <c r="C95" s="56"/>
      <c r="D95" s="56"/>
      <c r="E95" s="56"/>
      <c r="F95" s="56"/>
    </row>
    <row r="96" spans="1:29" ht="12.75" customHeight="1">
      <c r="B96" s="57" t="s">
        <v>166</v>
      </c>
      <c r="C96" s="32">
        <f>C33</f>
        <v>3162</v>
      </c>
      <c r="D96" s="32">
        <f t="shared" ref="D96:R96" si="121">D33</f>
        <v>1320</v>
      </c>
      <c r="E96" s="32">
        <f t="shared" si="121"/>
        <v>854</v>
      </c>
      <c r="F96" s="32">
        <f t="shared" si="121"/>
        <v>1641</v>
      </c>
      <c r="G96" s="32"/>
      <c r="H96" s="32">
        <f t="shared" si="121"/>
        <v>-139</v>
      </c>
      <c r="I96" s="32">
        <f t="shared" si="121"/>
        <v>27</v>
      </c>
      <c r="J96" s="32">
        <f t="shared" si="121"/>
        <v>299</v>
      </c>
      <c r="K96" s="32">
        <f t="shared" si="121"/>
        <v>667</v>
      </c>
      <c r="L96" s="32">
        <f t="shared" si="121"/>
        <v>123</v>
      </c>
      <c r="M96" s="32">
        <f t="shared" si="121"/>
        <v>265</v>
      </c>
      <c r="N96" s="32">
        <f t="shared" si="121"/>
        <v>771</v>
      </c>
      <c r="O96" s="32">
        <f t="shared" si="121"/>
        <v>482</v>
      </c>
      <c r="P96" s="32">
        <f t="shared" si="121"/>
        <v>709</v>
      </c>
      <c r="Q96" s="32">
        <f t="shared" si="121"/>
        <v>768</v>
      </c>
      <c r="R96" s="32">
        <f t="shared" si="121"/>
        <v>1172</v>
      </c>
      <c r="T96" s="32">
        <f t="shared" ref="T96:V96" si="122">T37</f>
        <v>854</v>
      </c>
      <c r="U96" s="32">
        <f t="shared" si="122"/>
        <v>1116</v>
      </c>
      <c r="V96" s="32">
        <f t="shared" si="122"/>
        <v>1354</v>
      </c>
      <c r="W96" s="32">
        <f t="shared" ref="W96:AA96" si="123">W33</f>
        <v>1826</v>
      </c>
      <c r="X96" s="32">
        <f t="shared" si="123"/>
        <v>1641</v>
      </c>
      <c r="Y96" s="32">
        <f t="shared" si="123"/>
        <v>2227</v>
      </c>
      <c r="Z96" s="32">
        <f t="shared" si="123"/>
        <v>2730</v>
      </c>
      <c r="AA96" s="32">
        <f t="shared" si="123"/>
        <v>3131</v>
      </c>
      <c r="AB96" s="11"/>
      <c r="AC96" s="75">
        <f>SUM(AA96/W96)-1</f>
        <v>0.71467688937568452</v>
      </c>
    </row>
    <row r="97" spans="2:29" ht="5.0999999999999996" customHeight="1"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T97" s="32"/>
      <c r="U97" s="32"/>
      <c r="V97" s="32"/>
      <c r="W97" s="32"/>
      <c r="X97" s="32"/>
      <c r="Y97" s="32"/>
      <c r="Z97" s="32"/>
      <c r="AA97" s="32"/>
      <c r="AB97" s="11"/>
      <c r="AC97" s="75"/>
    </row>
    <row r="98" spans="2:29" ht="12.75" customHeight="1">
      <c r="B98" s="36" t="s">
        <v>59</v>
      </c>
      <c r="C98" s="32"/>
      <c r="D98" s="32"/>
      <c r="E98" s="32"/>
      <c r="F98" s="32"/>
      <c r="G98" s="32"/>
      <c r="H98" s="82"/>
      <c r="I98" s="82"/>
      <c r="J98" s="82"/>
      <c r="K98" s="32"/>
      <c r="L98" s="82"/>
      <c r="M98" s="82"/>
      <c r="N98" s="82"/>
      <c r="O98" s="32"/>
      <c r="P98" s="82"/>
      <c r="Q98" s="82"/>
      <c r="R98" s="82"/>
      <c r="T98" s="32"/>
      <c r="U98" s="32"/>
      <c r="V98" s="32"/>
      <c r="W98" s="32"/>
      <c r="X98" s="32"/>
      <c r="Y98" s="32"/>
      <c r="Z98" s="32"/>
      <c r="AA98" s="32"/>
      <c r="AB98" s="59"/>
      <c r="AC98" s="75"/>
    </row>
    <row r="99" spans="2:29" ht="12.75" customHeight="1">
      <c r="B99" s="60" t="s">
        <v>145</v>
      </c>
      <c r="C99" s="82">
        <v>407</v>
      </c>
      <c r="D99" s="82">
        <v>626</v>
      </c>
      <c r="E99" s="82">
        <v>642</v>
      </c>
      <c r="F99" s="82">
        <v>671</v>
      </c>
      <c r="G99" s="32"/>
      <c r="H99" s="82">
        <v>159</v>
      </c>
      <c r="I99" s="82">
        <f>315-H99</f>
        <v>156</v>
      </c>
      <c r="J99" s="82">
        <f>478-I99-H99</f>
        <v>163</v>
      </c>
      <c r="K99" s="32">
        <f t="shared" ref="K99:K102" si="124">SUM(E99-SUM(H99:J99))</f>
        <v>164</v>
      </c>
      <c r="L99" s="82">
        <v>162</v>
      </c>
      <c r="M99" s="82">
        <f>328-L99</f>
        <v>166</v>
      </c>
      <c r="N99" s="82">
        <f>499-M99-L99</f>
        <v>171</v>
      </c>
      <c r="O99" s="32">
        <f t="shared" ref="O99:O102" si="125">SUM(F99-SUM(L99:N99))</f>
        <v>172</v>
      </c>
      <c r="P99" s="82">
        <v>175</v>
      </c>
      <c r="Q99" s="82">
        <f>364-P99</f>
        <v>189</v>
      </c>
      <c r="R99" s="82">
        <f>556-Q99-P99</f>
        <v>192</v>
      </c>
      <c r="T99" s="32">
        <f t="shared" ref="T99:Z104" si="126">SUM(H99:K99)</f>
        <v>642</v>
      </c>
      <c r="U99" s="32">
        <f t="shared" si="126"/>
        <v>645</v>
      </c>
      <c r="V99" s="32">
        <f t="shared" si="126"/>
        <v>655</v>
      </c>
      <c r="W99" s="32">
        <f t="shared" si="126"/>
        <v>663</v>
      </c>
      <c r="X99" s="32">
        <f t="shared" si="126"/>
        <v>671</v>
      </c>
      <c r="Y99" s="32">
        <f t="shared" si="126"/>
        <v>684</v>
      </c>
      <c r="Z99" s="32">
        <f t="shared" si="126"/>
        <v>707</v>
      </c>
      <c r="AA99" s="32">
        <f>SUM(O99:R99)</f>
        <v>728</v>
      </c>
      <c r="AB99" s="11"/>
      <c r="AC99" s="75">
        <f t="shared" ref="AC99:AC111" si="127">SUM(AA99/W99)-1</f>
        <v>9.8039215686274606E-2</v>
      </c>
    </row>
    <row r="100" spans="2:29" ht="12.75" customHeight="1">
      <c r="B100" s="60" t="s">
        <v>118</v>
      </c>
      <c r="C100" s="32">
        <f>-SUM(C14,C20)</f>
        <v>0</v>
      </c>
      <c r="D100" s="32">
        <f>-SUM(D14,D20)</f>
        <v>3548</v>
      </c>
      <c r="E100" s="32">
        <f>-SUM(E14,E20)</f>
        <v>2811</v>
      </c>
      <c r="F100" s="32">
        <f>-SUM(F14,F20)</f>
        <v>2394</v>
      </c>
      <c r="G100" s="32"/>
      <c r="H100" s="32">
        <f>-SUM(H14,H20)</f>
        <v>823</v>
      </c>
      <c r="I100" s="32">
        <f t="shared" ref="I100:J100" si="128">-SUM(I14,I20)</f>
        <v>693</v>
      </c>
      <c r="J100" s="32">
        <f t="shared" si="128"/>
        <v>660</v>
      </c>
      <c r="K100" s="32">
        <f t="shared" ref="K100:R100" si="129">-SUM(K14,K20)</f>
        <v>635</v>
      </c>
      <c r="L100" s="32">
        <f>-SUM(L14,L20)</f>
        <v>622</v>
      </c>
      <c r="M100" s="32">
        <f t="shared" si="129"/>
        <v>603</v>
      </c>
      <c r="N100" s="32">
        <f t="shared" si="129"/>
        <v>585</v>
      </c>
      <c r="O100" s="32">
        <f t="shared" si="129"/>
        <v>584</v>
      </c>
      <c r="P100" s="32">
        <f t="shared" si="129"/>
        <v>567</v>
      </c>
      <c r="Q100" s="32">
        <f t="shared" si="129"/>
        <v>568</v>
      </c>
      <c r="R100" s="32">
        <f t="shared" si="129"/>
        <v>562</v>
      </c>
      <c r="T100" s="32">
        <f t="shared" si="126"/>
        <v>2811</v>
      </c>
      <c r="U100" s="32">
        <f t="shared" si="126"/>
        <v>2610</v>
      </c>
      <c r="V100" s="32">
        <f t="shared" si="126"/>
        <v>2520</v>
      </c>
      <c r="W100" s="32">
        <f t="shared" si="126"/>
        <v>2445</v>
      </c>
      <c r="X100" s="32">
        <f t="shared" si="126"/>
        <v>2394</v>
      </c>
      <c r="Y100" s="32">
        <f t="shared" si="126"/>
        <v>2339</v>
      </c>
      <c r="Z100" s="32">
        <f t="shared" si="126"/>
        <v>2304</v>
      </c>
      <c r="AA100" s="32">
        <f>SUM(O100:R100)</f>
        <v>2281</v>
      </c>
      <c r="AB100" s="11"/>
      <c r="AC100" s="75">
        <f t="shared" si="127"/>
        <v>-6.7075664621676911E-2</v>
      </c>
    </row>
    <row r="101" spans="2:29" ht="12.75" customHeight="1">
      <c r="B101" s="60" t="s">
        <v>146</v>
      </c>
      <c r="C101" s="82">
        <v>379</v>
      </c>
      <c r="D101" s="82">
        <v>1081</v>
      </c>
      <c r="E101" s="82">
        <v>1384</v>
      </c>
      <c r="F101" s="82">
        <v>1407</v>
      </c>
      <c r="G101" s="32"/>
      <c r="H101" s="82">
        <v>309</v>
      </c>
      <c r="I101" s="82">
        <f>657-H101</f>
        <v>348</v>
      </c>
      <c r="J101" s="82">
        <f>1010-I101-H101</f>
        <v>353</v>
      </c>
      <c r="K101" s="32">
        <f t="shared" si="124"/>
        <v>374</v>
      </c>
      <c r="L101" s="82">
        <v>371</v>
      </c>
      <c r="M101" s="82">
        <f>717-L101</f>
        <v>346</v>
      </c>
      <c r="N101" s="82">
        <f>1068-M101-L101</f>
        <v>351</v>
      </c>
      <c r="O101" s="32">
        <f t="shared" si="125"/>
        <v>339</v>
      </c>
      <c r="P101" s="82">
        <v>364</v>
      </c>
      <c r="Q101" s="82">
        <f>733-P101</f>
        <v>369</v>
      </c>
      <c r="R101" s="82">
        <f>1152-Q101-P101</f>
        <v>419</v>
      </c>
      <c r="T101" s="32">
        <f t="shared" si="126"/>
        <v>1384</v>
      </c>
      <c r="U101" s="32">
        <f t="shared" si="126"/>
        <v>1446</v>
      </c>
      <c r="V101" s="32">
        <f t="shared" si="126"/>
        <v>1444</v>
      </c>
      <c r="W101" s="32">
        <f t="shared" si="126"/>
        <v>1442</v>
      </c>
      <c r="X101" s="32">
        <f t="shared" si="126"/>
        <v>1407</v>
      </c>
      <c r="Y101" s="32">
        <f t="shared" si="126"/>
        <v>1400</v>
      </c>
      <c r="Z101" s="32">
        <f t="shared" si="126"/>
        <v>1423</v>
      </c>
      <c r="AA101" s="32">
        <f>SUM(O101:R101)</f>
        <v>1491</v>
      </c>
      <c r="AB101" s="11"/>
      <c r="AC101" s="75">
        <f t="shared" si="127"/>
        <v>3.398058252427183E-2</v>
      </c>
    </row>
    <row r="102" spans="2:29" ht="12.75" customHeight="1">
      <c r="B102" s="60" t="s">
        <v>87</v>
      </c>
      <c r="C102" s="82">
        <v>308</v>
      </c>
      <c r="D102" s="82">
        <v>-1505</v>
      </c>
      <c r="E102" s="82">
        <v>-1019</v>
      </c>
      <c r="F102" s="82">
        <v>-1163</v>
      </c>
      <c r="G102" s="32"/>
      <c r="H102" s="82">
        <v>-308</v>
      </c>
      <c r="I102" s="82">
        <f>-582-H102</f>
        <v>-274</v>
      </c>
      <c r="J102" s="82">
        <f>-800-I102-H102</f>
        <v>-218</v>
      </c>
      <c r="K102" s="32">
        <f t="shared" si="124"/>
        <v>-219</v>
      </c>
      <c r="L102" s="82">
        <v>-66</v>
      </c>
      <c r="M102" s="82">
        <f>-256-L102</f>
        <v>-190</v>
      </c>
      <c r="N102" s="82">
        <f>-863-M102-L102</f>
        <v>-607</v>
      </c>
      <c r="O102" s="32">
        <f t="shared" si="125"/>
        <v>-300</v>
      </c>
      <c r="P102" s="82">
        <v>-167</v>
      </c>
      <c r="Q102" s="82">
        <f>-200-P102</f>
        <v>-33</v>
      </c>
      <c r="R102" s="82">
        <f>18-Q102-P102</f>
        <v>218</v>
      </c>
      <c r="T102" s="32">
        <f t="shared" si="126"/>
        <v>-1019</v>
      </c>
      <c r="U102" s="32">
        <f t="shared" si="126"/>
        <v>-777</v>
      </c>
      <c r="V102" s="32">
        <f t="shared" si="126"/>
        <v>-693</v>
      </c>
      <c r="W102" s="32">
        <f t="shared" si="126"/>
        <v>-1082</v>
      </c>
      <c r="X102" s="32">
        <f t="shared" si="126"/>
        <v>-1163</v>
      </c>
      <c r="Y102" s="32">
        <f t="shared" si="126"/>
        <v>-1264</v>
      </c>
      <c r="Z102" s="32">
        <f t="shared" si="126"/>
        <v>-1107</v>
      </c>
      <c r="AA102" s="32">
        <f>SUM(O102:R102)</f>
        <v>-282</v>
      </c>
      <c r="AB102" s="11"/>
      <c r="AC102" s="75">
        <f t="shared" si="127"/>
        <v>-0.73937153419593349</v>
      </c>
    </row>
    <row r="103" spans="2:29" ht="12.75" customHeight="1">
      <c r="B103" s="60" t="s">
        <v>168</v>
      </c>
      <c r="C103" s="82">
        <v>0</v>
      </c>
      <c r="D103" s="82">
        <v>0</v>
      </c>
      <c r="E103" s="82">
        <v>0</v>
      </c>
      <c r="F103" s="82">
        <v>0</v>
      </c>
      <c r="G103" s="32"/>
      <c r="H103" s="82">
        <v>0</v>
      </c>
      <c r="I103" s="82">
        <v>0</v>
      </c>
      <c r="J103" s="82">
        <v>0</v>
      </c>
      <c r="K103" s="32">
        <f t="shared" ref="K103" si="130">SUM(E103-SUM(H103:J103))</f>
        <v>0</v>
      </c>
      <c r="L103" s="82">
        <v>0</v>
      </c>
      <c r="M103" s="82">
        <v>0</v>
      </c>
      <c r="N103" s="82">
        <v>0</v>
      </c>
      <c r="O103" s="32">
        <f t="shared" ref="O103" si="131">SUM(F103-SUM(L103:N103))</f>
        <v>0</v>
      </c>
      <c r="P103" s="82">
        <v>0</v>
      </c>
      <c r="Q103" s="82">
        <f>549-P103</f>
        <v>549</v>
      </c>
      <c r="R103" s="82">
        <f>920-Q103-P103</f>
        <v>371</v>
      </c>
      <c r="T103" s="32">
        <f t="shared" si="126"/>
        <v>0</v>
      </c>
      <c r="U103" s="32">
        <f t="shared" si="126"/>
        <v>0</v>
      </c>
      <c r="V103" s="32">
        <f t="shared" si="126"/>
        <v>0</v>
      </c>
      <c r="W103" s="32">
        <f t="shared" si="126"/>
        <v>0</v>
      </c>
      <c r="X103" s="32">
        <f t="shared" si="126"/>
        <v>0</v>
      </c>
      <c r="Y103" s="32">
        <f t="shared" si="126"/>
        <v>0</v>
      </c>
      <c r="Z103" s="32">
        <f t="shared" si="126"/>
        <v>549</v>
      </c>
      <c r="AA103" s="32">
        <f>SUM(O103:R103)</f>
        <v>920</v>
      </c>
      <c r="AB103" s="11"/>
      <c r="AC103" s="75" t="e">
        <f t="shared" si="127"/>
        <v>#DIV/0!</v>
      </c>
    </row>
    <row r="104" spans="2:29" ht="12.75" customHeight="1">
      <c r="B104" s="60" t="s">
        <v>147</v>
      </c>
      <c r="C104" s="82">
        <f>-7+5+7+34-56+56</f>
        <v>39</v>
      </c>
      <c r="D104" s="82">
        <f>64+88+189</f>
        <v>341</v>
      </c>
      <c r="E104" s="82">
        <f>-57+98+3</f>
        <v>44</v>
      </c>
      <c r="F104" s="82">
        <f>12+113+65</f>
        <v>190</v>
      </c>
      <c r="G104" s="32"/>
      <c r="H104" s="82">
        <f>5+24</f>
        <v>29</v>
      </c>
      <c r="I104" s="82">
        <f>-8+48-H104</f>
        <v>11</v>
      </c>
      <c r="J104" s="82">
        <f>-31+73-I104-H104</f>
        <v>2</v>
      </c>
      <c r="K104" s="32">
        <f t="shared" ref="K104" si="132">SUM(E104-SUM(H104:J104))</f>
        <v>2</v>
      </c>
      <c r="L104" s="82">
        <f>4+65</f>
        <v>69</v>
      </c>
      <c r="M104" s="82">
        <f>15+65-L104</f>
        <v>11</v>
      </c>
      <c r="N104" s="82">
        <f>32+65-M104-L104</f>
        <v>17</v>
      </c>
      <c r="O104" s="32">
        <f t="shared" ref="O104" si="133">SUM(F104-SUM(L104:N104))</f>
        <v>93</v>
      </c>
      <c r="P104" s="82">
        <v>39</v>
      </c>
      <c r="Q104" s="82">
        <f>29-853-P104</f>
        <v>-863</v>
      </c>
      <c r="R104" s="82">
        <f>29-67-853-Q104-P104</f>
        <v>-67</v>
      </c>
      <c r="T104" s="32">
        <f t="shared" si="126"/>
        <v>44</v>
      </c>
      <c r="U104" s="32">
        <f t="shared" si="126"/>
        <v>84</v>
      </c>
      <c r="V104" s="32">
        <f t="shared" si="126"/>
        <v>84</v>
      </c>
      <c r="W104" s="32">
        <f t="shared" si="126"/>
        <v>99</v>
      </c>
      <c r="X104" s="32">
        <f t="shared" si="126"/>
        <v>190</v>
      </c>
      <c r="Y104" s="32">
        <f t="shared" si="126"/>
        <v>160</v>
      </c>
      <c r="Z104" s="32">
        <f t="shared" si="126"/>
        <v>-714</v>
      </c>
      <c r="AA104" s="32">
        <f>SUM(O104:R104)</f>
        <v>-798</v>
      </c>
      <c r="AB104" s="11"/>
      <c r="AC104" s="75">
        <f t="shared" si="127"/>
        <v>-9.0606060606060606</v>
      </c>
    </row>
    <row r="105" spans="2:29" ht="12.75" customHeight="1">
      <c r="B105" s="36" t="s">
        <v>14</v>
      </c>
      <c r="C105" s="82"/>
      <c r="D105" s="82"/>
      <c r="E105" s="82"/>
      <c r="F105" s="82"/>
      <c r="G105" s="32"/>
      <c r="H105" s="82"/>
      <c r="I105" s="82"/>
      <c r="J105" s="82"/>
      <c r="K105" s="32"/>
      <c r="L105" s="82"/>
      <c r="M105" s="82"/>
      <c r="N105" s="82"/>
      <c r="O105" s="32"/>
      <c r="P105" s="82"/>
      <c r="Q105" s="82"/>
      <c r="R105" s="82"/>
      <c r="T105" s="32"/>
      <c r="U105" s="32"/>
      <c r="V105" s="32"/>
      <c r="W105" s="32"/>
      <c r="X105" s="32"/>
      <c r="Y105" s="32"/>
      <c r="Z105" s="32"/>
      <c r="AA105" s="32"/>
      <c r="AB105" s="59"/>
      <c r="AC105" s="75"/>
    </row>
    <row r="106" spans="2:29" ht="12.75" customHeight="1">
      <c r="B106" s="60" t="s">
        <v>127</v>
      </c>
      <c r="C106" s="82">
        <v>-640</v>
      </c>
      <c r="D106" s="82">
        <v>-278</v>
      </c>
      <c r="E106" s="82">
        <v>-1339</v>
      </c>
      <c r="F106" s="82">
        <v>-1865</v>
      </c>
      <c r="G106" s="32"/>
      <c r="H106" s="82">
        <v>86</v>
      </c>
      <c r="I106" s="82">
        <f>-186-H106</f>
        <v>-272</v>
      </c>
      <c r="J106" s="82">
        <f>-929-I106-H106</f>
        <v>-743</v>
      </c>
      <c r="K106" s="32">
        <f t="shared" ref="K106:K107" si="134">SUM(E106-SUM(H106:J106))</f>
        <v>-410</v>
      </c>
      <c r="L106" s="82">
        <v>913</v>
      </c>
      <c r="M106" s="82">
        <f>252-L106</f>
        <v>-661</v>
      </c>
      <c r="N106" s="82">
        <f>-1961-M106-L106</f>
        <v>-2213</v>
      </c>
      <c r="O106" s="32">
        <f t="shared" ref="O106:O107" si="135">SUM(F106-SUM(L106:N106))</f>
        <v>96</v>
      </c>
      <c r="P106" s="82">
        <v>748</v>
      </c>
      <c r="Q106" s="82">
        <f>1078-P106</f>
        <v>330</v>
      </c>
      <c r="R106" s="82">
        <f>-7-Q106-P106</f>
        <v>-1085</v>
      </c>
      <c r="T106" s="32">
        <f t="shared" ref="T106:Z110" si="136">SUM(H106:K106)</f>
        <v>-1339</v>
      </c>
      <c r="U106" s="32">
        <f t="shared" si="136"/>
        <v>-512</v>
      </c>
      <c r="V106" s="32">
        <f t="shared" si="136"/>
        <v>-901</v>
      </c>
      <c r="W106" s="32">
        <f t="shared" si="136"/>
        <v>-2371</v>
      </c>
      <c r="X106" s="32">
        <f t="shared" si="136"/>
        <v>-1865</v>
      </c>
      <c r="Y106" s="32">
        <f t="shared" si="136"/>
        <v>-2030</v>
      </c>
      <c r="Z106" s="32">
        <f t="shared" si="136"/>
        <v>-1039</v>
      </c>
      <c r="AA106" s="32">
        <f>SUM(O106:R106)</f>
        <v>89</v>
      </c>
      <c r="AB106" s="59"/>
      <c r="AC106" s="75">
        <f t="shared" si="127"/>
        <v>-1.0375369042598059</v>
      </c>
    </row>
    <row r="107" spans="2:29" ht="12.75" customHeight="1">
      <c r="B107" s="60" t="s">
        <v>128</v>
      </c>
      <c r="C107" s="82">
        <v>-556</v>
      </c>
      <c r="D107" s="82">
        <v>-1401</v>
      </c>
      <c r="E107" s="82">
        <v>-580</v>
      </c>
      <c r="F107" s="82">
        <v>-1458</v>
      </c>
      <c r="G107" s="32"/>
      <c r="H107" s="82">
        <v>-464</v>
      </c>
      <c r="I107" s="82">
        <f>-796-H107</f>
        <v>-332</v>
      </c>
      <c r="J107" s="82">
        <f>-674-I107-H107</f>
        <v>122</v>
      </c>
      <c r="K107" s="32">
        <f t="shared" si="134"/>
        <v>94</v>
      </c>
      <c r="L107" s="82">
        <v>-368</v>
      </c>
      <c r="M107" s="82">
        <f>-710-L107</f>
        <v>-342</v>
      </c>
      <c r="N107" s="82">
        <f>-1096-M107-L107</f>
        <v>-386</v>
      </c>
      <c r="O107" s="32">
        <f t="shared" si="135"/>
        <v>-362</v>
      </c>
      <c r="P107" s="82">
        <v>-682</v>
      </c>
      <c r="Q107" s="82">
        <f>-943-P107</f>
        <v>-261</v>
      </c>
      <c r="R107" s="82">
        <f>-1579-Q107-P107</f>
        <v>-636</v>
      </c>
      <c r="T107" s="32">
        <f t="shared" si="136"/>
        <v>-580</v>
      </c>
      <c r="U107" s="32">
        <f t="shared" si="136"/>
        <v>-484</v>
      </c>
      <c r="V107" s="32">
        <f t="shared" si="136"/>
        <v>-494</v>
      </c>
      <c r="W107" s="32">
        <f t="shared" si="136"/>
        <v>-1002</v>
      </c>
      <c r="X107" s="32">
        <f t="shared" si="136"/>
        <v>-1458</v>
      </c>
      <c r="Y107" s="32">
        <f t="shared" si="136"/>
        <v>-1772</v>
      </c>
      <c r="Z107" s="32">
        <f t="shared" si="136"/>
        <v>-1691</v>
      </c>
      <c r="AA107" s="32">
        <f>SUM(O107:R107)</f>
        <v>-1941</v>
      </c>
      <c r="AB107" s="59"/>
      <c r="AC107" s="75">
        <f t="shared" si="127"/>
        <v>0.93712574850299402</v>
      </c>
    </row>
    <row r="108" spans="2:29" ht="12.75" customHeight="1">
      <c r="B108" s="60" t="s">
        <v>148</v>
      </c>
      <c r="C108" s="82">
        <f>-920+8</f>
        <v>-912</v>
      </c>
      <c r="D108" s="82">
        <f>-2010-13</f>
        <v>-2023</v>
      </c>
      <c r="E108" s="82">
        <f>-383-7</f>
        <v>-390</v>
      </c>
      <c r="F108" s="82">
        <v>343</v>
      </c>
      <c r="G108" s="32"/>
      <c r="H108" s="82">
        <v>-191</v>
      </c>
      <c r="I108" s="82">
        <f>-237-H108</f>
        <v>-46</v>
      </c>
      <c r="J108" s="82">
        <f>-380+1-I108-H108</f>
        <v>-142</v>
      </c>
      <c r="K108" s="32">
        <f t="shared" ref="K108:K110" si="137">SUM(E108-SUM(H108:J108))</f>
        <v>-11</v>
      </c>
      <c r="L108" s="82">
        <v>-919</v>
      </c>
      <c r="M108" s="82">
        <f>-874-L108</f>
        <v>45</v>
      </c>
      <c r="N108" s="82">
        <f>-171-M108-L108</f>
        <v>703</v>
      </c>
      <c r="O108" s="32">
        <f t="shared" ref="O108:O110" si="138">SUM(F108-SUM(L108:N108))</f>
        <v>514</v>
      </c>
      <c r="P108" s="82">
        <v>-237</v>
      </c>
      <c r="Q108" s="82">
        <f>-377-P108</f>
        <v>-140</v>
      </c>
      <c r="R108" s="82">
        <f>-259-Q108-P108</f>
        <v>118</v>
      </c>
      <c r="T108" s="32">
        <f t="shared" si="136"/>
        <v>-390</v>
      </c>
      <c r="U108" s="32">
        <f t="shared" si="136"/>
        <v>-1118</v>
      </c>
      <c r="V108" s="32">
        <f t="shared" si="136"/>
        <v>-1027</v>
      </c>
      <c r="W108" s="32">
        <f t="shared" si="136"/>
        <v>-182</v>
      </c>
      <c r="X108" s="32">
        <f t="shared" si="136"/>
        <v>343</v>
      </c>
      <c r="Y108" s="32">
        <f t="shared" si="136"/>
        <v>1025</v>
      </c>
      <c r="Z108" s="32">
        <f t="shared" si="136"/>
        <v>840</v>
      </c>
      <c r="AA108" s="32">
        <f>SUM(O108:R108)</f>
        <v>255</v>
      </c>
      <c r="AB108" s="59"/>
      <c r="AC108" s="75">
        <f t="shared" si="127"/>
        <v>-2.401098901098901</v>
      </c>
    </row>
    <row r="109" spans="2:29" ht="12.75" customHeight="1">
      <c r="B109" s="60" t="s">
        <v>13</v>
      </c>
      <c r="C109" s="82">
        <f>801+7</f>
        <v>808</v>
      </c>
      <c r="D109" s="82">
        <f>931+379</f>
        <v>1310</v>
      </c>
      <c r="E109" s="82">
        <f>-419-100</f>
        <v>-519</v>
      </c>
      <c r="F109" s="82">
        <f>-109+108</f>
        <v>-1</v>
      </c>
      <c r="G109" s="32"/>
      <c r="H109" s="82">
        <f>73-109</f>
        <v>-36</v>
      </c>
      <c r="I109" s="82">
        <f>309-150-H109</f>
        <v>195</v>
      </c>
      <c r="J109" s="82">
        <f>-238-137-I109-H109</f>
        <v>-534</v>
      </c>
      <c r="K109" s="32">
        <f t="shared" si="137"/>
        <v>-144</v>
      </c>
      <c r="L109" s="82">
        <v>-561</v>
      </c>
      <c r="M109" s="82">
        <f>-299-L109</f>
        <v>262</v>
      </c>
      <c r="N109" s="82">
        <f>574-M109-L109</f>
        <v>873</v>
      </c>
      <c r="O109" s="32">
        <f t="shared" si="138"/>
        <v>-575</v>
      </c>
      <c r="P109" s="82">
        <v>-289</v>
      </c>
      <c r="Q109" s="82">
        <f>547-P109</f>
        <v>836</v>
      </c>
      <c r="R109" s="82">
        <f>998-Q109-P109</f>
        <v>451</v>
      </c>
      <c r="T109" s="32">
        <f t="shared" si="136"/>
        <v>-519</v>
      </c>
      <c r="U109" s="32">
        <f t="shared" si="136"/>
        <v>-1044</v>
      </c>
      <c r="V109" s="32">
        <f t="shared" si="136"/>
        <v>-977</v>
      </c>
      <c r="W109" s="32">
        <f t="shared" si="136"/>
        <v>430</v>
      </c>
      <c r="X109" s="32">
        <f t="shared" si="136"/>
        <v>-1</v>
      </c>
      <c r="Y109" s="32">
        <f t="shared" si="136"/>
        <v>271</v>
      </c>
      <c r="Z109" s="32">
        <f t="shared" si="136"/>
        <v>845</v>
      </c>
      <c r="AA109" s="32">
        <f>SUM(O109:R109)</f>
        <v>423</v>
      </c>
      <c r="AB109" s="59"/>
      <c r="AC109" s="75">
        <f t="shared" si="127"/>
        <v>-1.6279069767441867E-2</v>
      </c>
    </row>
    <row r="110" spans="2:29" ht="12.75" customHeight="1">
      <c r="B110" s="60" t="s">
        <v>149</v>
      </c>
      <c r="C110" s="82">
        <v>526</v>
      </c>
      <c r="D110" s="82">
        <v>546</v>
      </c>
      <c r="E110" s="82">
        <v>-221</v>
      </c>
      <c r="F110" s="82">
        <v>883</v>
      </c>
      <c r="G110" s="32"/>
      <c r="H110" s="82">
        <v>218</v>
      </c>
      <c r="I110" s="82">
        <f>91-H110</f>
        <v>-127</v>
      </c>
      <c r="J110" s="82">
        <f>550-I110-H110</f>
        <v>459</v>
      </c>
      <c r="K110" s="32">
        <f t="shared" si="137"/>
        <v>-771</v>
      </c>
      <c r="L110" s="82">
        <v>175</v>
      </c>
      <c r="M110" s="82">
        <f>263-L110</f>
        <v>88</v>
      </c>
      <c r="N110" s="82">
        <f>626-M110-L110</f>
        <v>363</v>
      </c>
      <c r="O110" s="32">
        <f t="shared" si="138"/>
        <v>257</v>
      </c>
      <c r="P110" s="82">
        <v>-288</v>
      </c>
      <c r="Q110" s="82">
        <f>-589-P110</f>
        <v>-301</v>
      </c>
      <c r="R110" s="82">
        <f>-145-Q110-P110</f>
        <v>444</v>
      </c>
      <c r="T110" s="32">
        <f t="shared" si="136"/>
        <v>-221</v>
      </c>
      <c r="U110" s="32">
        <f t="shared" si="136"/>
        <v>-264</v>
      </c>
      <c r="V110" s="32">
        <f t="shared" si="136"/>
        <v>-49</v>
      </c>
      <c r="W110" s="32">
        <f t="shared" si="136"/>
        <v>-145</v>
      </c>
      <c r="X110" s="32">
        <f t="shared" si="136"/>
        <v>883</v>
      </c>
      <c r="Y110" s="32">
        <f t="shared" si="136"/>
        <v>420</v>
      </c>
      <c r="Z110" s="32">
        <f t="shared" si="136"/>
        <v>31</v>
      </c>
      <c r="AA110" s="32">
        <f>SUM(O110:R110)</f>
        <v>112</v>
      </c>
      <c r="AB110" s="59"/>
      <c r="AC110" s="75">
        <f t="shared" si="127"/>
        <v>-1.7724137931034483</v>
      </c>
    </row>
    <row r="111" spans="2:29" ht="12.75" customHeight="1">
      <c r="B111" s="13" t="s">
        <v>53</v>
      </c>
      <c r="C111" s="14">
        <f>SUM(C96:C110)</f>
        <v>3521</v>
      </c>
      <c r="D111" s="14">
        <f>SUM(D96:D110)</f>
        <v>3565</v>
      </c>
      <c r="E111" s="14">
        <f>SUM(E96:E110)</f>
        <v>1667</v>
      </c>
      <c r="F111" s="14">
        <f>SUM(F96:F110)</f>
        <v>3042</v>
      </c>
      <c r="H111" s="14">
        <f>SUM(H96:H110)</f>
        <v>486</v>
      </c>
      <c r="I111" s="14">
        <f>SUM(I96:I110)</f>
        <v>379</v>
      </c>
      <c r="J111" s="14">
        <f>SUM(J96:J110)</f>
        <v>421</v>
      </c>
      <c r="K111" s="14">
        <f>SUM(K96:K110)</f>
        <v>381</v>
      </c>
      <c r="L111" s="14">
        <f>SUM(L96:L110)</f>
        <v>521</v>
      </c>
      <c r="M111" s="14">
        <f>SUM(M96:M110)</f>
        <v>593</v>
      </c>
      <c r="N111" s="14">
        <f>SUM(N96:N110)</f>
        <v>628</v>
      </c>
      <c r="O111" s="14">
        <f>SUM(O96:O110)</f>
        <v>1300</v>
      </c>
      <c r="P111" s="14">
        <f>SUM(P96:P110)</f>
        <v>939</v>
      </c>
      <c r="Q111" s="14">
        <f>SUM(Q96:Q110)</f>
        <v>2011</v>
      </c>
      <c r="R111" s="14">
        <f>SUM(R96:R110)</f>
        <v>2159</v>
      </c>
      <c r="T111" s="14">
        <f>SUM(T96:T110)</f>
        <v>1667</v>
      </c>
      <c r="U111" s="14">
        <f>SUM(U96:U110)</f>
        <v>1702</v>
      </c>
      <c r="V111" s="14">
        <f>SUM(V96:V110)</f>
        <v>1916</v>
      </c>
      <c r="W111" s="14">
        <f>SUM(W96:W110)</f>
        <v>2123</v>
      </c>
      <c r="X111" s="14">
        <f>SUM(X96:X110)</f>
        <v>3042</v>
      </c>
      <c r="Y111" s="14">
        <f>SUM(Y96:Y110)</f>
        <v>3460</v>
      </c>
      <c r="Z111" s="14">
        <f>SUM(Z96:Z110)</f>
        <v>4878</v>
      </c>
      <c r="AA111" s="14">
        <f>SUM(AA96:AA110)</f>
        <v>6409</v>
      </c>
      <c r="AB111" s="42"/>
      <c r="AC111" s="76">
        <f t="shared" si="127"/>
        <v>2.0188412623645786</v>
      </c>
    </row>
    <row r="112" spans="2:29" ht="12.75" customHeight="1">
      <c r="B112" s="53"/>
      <c r="C112" s="61"/>
      <c r="D112" s="61"/>
      <c r="E112" s="61"/>
      <c r="F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T112" s="42"/>
      <c r="U112" s="42"/>
      <c r="V112" s="42"/>
      <c r="W112" s="42"/>
      <c r="X112" s="42"/>
      <c r="Y112" s="42"/>
      <c r="Z112" s="42"/>
      <c r="AA112" s="42"/>
      <c r="AB112" s="42"/>
      <c r="AC112" s="39"/>
    </row>
    <row r="113" spans="2:29" ht="12.75" customHeight="1">
      <c r="B113" s="53" t="s">
        <v>54</v>
      </c>
      <c r="C113" s="58"/>
      <c r="D113" s="58"/>
      <c r="E113" s="58"/>
      <c r="F113" s="58"/>
      <c r="H113" s="82"/>
      <c r="I113" s="82"/>
      <c r="J113" s="82"/>
      <c r="K113" s="32"/>
      <c r="L113" s="82"/>
      <c r="M113" s="82"/>
      <c r="N113" s="82"/>
      <c r="O113" s="32"/>
      <c r="P113" s="58"/>
      <c r="Q113" s="58"/>
      <c r="R113" s="58"/>
      <c r="T113" s="58"/>
      <c r="U113" s="58"/>
      <c r="V113" s="58"/>
      <c r="W113" s="58"/>
      <c r="X113" s="58"/>
      <c r="Y113" s="58"/>
      <c r="Z113" s="58"/>
      <c r="AA113" s="58"/>
      <c r="AB113" s="59"/>
      <c r="AC113" s="75"/>
    </row>
    <row r="114" spans="2:29" ht="12.75" customHeight="1">
      <c r="B114" s="60" t="s">
        <v>88</v>
      </c>
      <c r="C114" s="82">
        <v>-301</v>
      </c>
      <c r="D114" s="82">
        <v>-450</v>
      </c>
      <c r="E114" s="82">
        <v>-546</v>
      </c>
      <c r="F114" s="82">
        <v>-636</v>
      </c>
      <c r="G114" s="32"/>
      <c r="H114" s="82">
        <v>-158</v>
      </c>
      <c r="I114" s="82">
        <f>-283-H114</f>
        <v>-125</v>
      </c>
      <c r="J114" s="82">
        <f>-407-I114-H114</f>
        <v>-124</v>
      </c>
      <c r="K114" s="32">
        <f t="shared" ref="K114" si="139">SUM(E114-SUM(H114:J114))</f>
        <v>-139</v>
      </c>
      <c r="L114" s="82">
        <v>-142</v>
      </c>
      <c r="M114" s="82">
        <f>-296-L114</f>
        <v>-154</v>
      </c>
      <c r="N114" s="82">
        <f>-428-M114-L114</f>
        <v>-132</v>
      </c>
      <c r="O114" s="32">
        <f t="shared" ref="O114" si="140">SUM(F114-SUM(L114:N114))</f>
        <v>-208</v>
      </c>
      <c r="P114" s="82">
        <v>-212</v>
      </c>
      <c r="Q114" s="82">
        <f>-494-P114</f>
        <v>-282</v>
      </c>
      <c r="R114" s="82">
        <f>-752-Q114-P114</f>
        <v>-258</v>
      </c>
      <c r="S114" s="32"/>
      <c r="T114" s="32">
        <f t="shared" ref="T114:Z119" si="141">SUM(H114:K114)</f>
        <v>-546</v>
      </c>
      <c r="U114" s="32">
        <f t="shared" si="141"/>
        <v>-530</v>
      </c>
      <c r="V114" s="32">
        <f t="shared" si="141"/>
        <v>-559</v>
      </c>
      <c r="W114" s="32">
        <f t="shared" si="141"/>
        <v>-567</v>
      </c>
      <c r="X114" s="32">
        <f t="shared" si="141"/>
        <v>-636</v>
      </c>
      <c r="Y114" s="32">
        <f t="shared" si="141"/>
        <v>-706</v>
      </c>
      <c r="Z114" s="32">
        <f t="shared" si="141"/>
        <v>-834</v>
      </c>
      <c r="AA114" s="32">
        <f>SUM(O114:R114)</f>
        <v>-960</v>
      </c>
      <c r="AB114" s="59"/>
      <c r="AC114" s="75">
        <f t="shared" ref="AC114:AC118" si="142">SUM(AA114/W114)-1</f>
        <v>0.69312169312169303</v>
      </c>
    </row>
    <row r="115" spans="2:29" ht="12.75" customHeight="1">
      <c r="B115" s="60" t="s">
        <v>173</v>
      </c>
      <c r="C115" s="82">
        <f>-2056+1678</f>
        <v>-378</v>
      </c>
      <c r="D115" s="82">
        <f>-2667+4310</f>
        <v>1643</v>
      </c>
      <c r="E115" s="82">
        <f>-3722+300+2687</f>
        <v>-735</v>
      </c>
      <c r="F115" s="82">
        <f>-1493+1416+616</f>
        <v>539</v>
      </c>
      <c r="G115" s="32"/>
      <c r="H115" s="82">
        <f>-1703+473 +145</f>
        <v>-1085</v>
      </c>
      <c r="I115" s="82">
        <f>-2816+1171+248-H115</f>
        <v>-312</v>
      </c>
      <c r="J115" s="82">
        <f>-3312+1917+248-I115-H115</f>
        <v>250</v>
      </c>
      <c r="K115" s="32">
        <f t="shared" ref="K115" si="143">SUM(E115-SUM(H115:J115))</f>
        <v>412</v>
      </c>
      <c r="L115" s="82">
        <f>-433+441+2</f>
        <v>10</v>
      </c>
      <c r="M115" s="82">
        <f>-565+1202+2-L115</f>
        <v>629</v>
      </c>
      <c r="N115" s="82">
        <f>-707+1351+591-M115-L115</f>
        <v>596</v>
      </c>
      <c r="O115" s="32">
        <f t="shared" ref="O115" si="144">SUM(F115-SUM(L115:N115))</f>
        <v>-696</v>
      </c>
      <c r="P115" s="82">
        <f>-304+365+33</f>
        <v>94</v>
      </c>
      <c r="Q115" s="82">
        <f>-796+683+48-P115</f>
        <v>-159</v>
      </c>
      <c r="R115" s="82">
        <f>-2110+982+66-Q115-P115</f>
        <v>-997</v>
      </c>
      <c r="S115" s="32"/>
      <c r="T115" s="32">
        <f t="shared" si="141"/>
        <v>-735</v>
      </c>
      <c r="U115" s="32">
        <f t="shared" si="141"/>
        <v>360</v>
      </c>
      <c r="V115" s="32">
        <f t="shared" si="141"/>
        <v>1301</v>
      </c>
      <c r="W115" s="32">
        <f t="shared" si="141"/>
        <v>1647</v>
      </c>
      <c r="X115" s="32">
        <f t="shared" si="141"/>
        <v>539</v>
      </c>
      <c r="Y115" s="32">
        <f t="shared" si="141"/>
        <v>623</v>
      </c>
      <c r="Z115" s="32">
        <f t="shared" si="141"/>
        <v>-165</v>
      </c>
      <c r="AA115" s="32">
        <f>SUM(O115:R115)</f>
        <v>-1758</v>
      </c>
      <c r="AB115" s="59"/>
      <c r="AC115" s="75">
        <f t="shared" si="142"/>
        <v>-2.0673952641165756</v>
      </c>
    </row>
    <row r="116" spans="2:29" ht="12.75" customHeight="1">
      <c r="B116" s="60" t="s">
        <v>156</v>
      </c>
      <c r="C116" s="82">
        <v>0</v>
      </c>
      <c r="D116" s="82">
        <v>-5</v>
      </c>
      <c r="E116" s="82">
        <v>-11</v>
      </c>
      <c r="F116" s="82">
        <v>-341</v>
      </c>
      <c r="G116" s="32"/>
      <c r="H116" s="82">
        <v>0</v>
      </c>
      <c r="I116" s="82">
        <v>0</v>
      </c>
      <c r="J116" s="82">
        <v>0</v>
      </c>
      <c r="K116" s="32">
        <f t="shared" ref="K116:K117" si="145">SUM(E116-SUM(H116:J116))</f>
        <v>-11</v>
      </c>
      <c r="L116" s="82">
        <v>-4</v>
      </c>
      <c r="M116" s="82">
        <f>-94-L116</f>
        <v>-90</v>
      </c>
      <c r="N116" s="82">
        <f>-131-M116-L116</f>
        <v>-37</v>
      </c>
      <c r="O116" s="32">
        <f t="shared" ref="O116:O118" si="146">SUM(F116-SUM(L116:N116))</f>
        <v>-210</v>
      </c>
      <c r="P116" s="82">
        <v>-239</v>
      </c>
      <c r="Q116" s="82">
        <f>-358-P116</f>
        <v>-119</v>
      </c>
      <c r="R116" s="82">
        <f>-432-Q116-P116</f>
        <v>-74</v>
      </c>
      <c r="S116" s="32"/>
      <c r="T116" s="32">
        <f t="shared" si="141"/>
        <v>-11</v>
      </c>
      <c r="U116" s="32">
        <f t="shared" si="141"/>
        <v>-15</v>
      </c>
      <c r="V116" s="32">
        <f t="shared" si="141"/>
        <v>-105</v>
      </c>
      <c r="W116" s="32">
        <f t="shared" si="141"/>
        <v>-142</v>
      </c>
      <c r="X116" s="32">
        <f t="shared" si="141"/>
        <v>-341</v>
      </c>
      <c r="Y116" s="32">
        <f t="shared" si="141"/>
        <v>-576</v>
      </c>
      <c r="Z116" s="32">
        <f t="shared" si="141"/>
        <v>-605</v>
      </c>
      <c r="AA116" s="32">
        <f>SUM(O116:R116)</f>
        <v>-642</v>
      </c>
      <c r="AB116" s="59"/>
      <c r="AC116" s="75">
        <f t="shared" si="142"/>
        <v>3.52112676056338</v>
      </c>
    </row>
    <row r="117" spans="2:29" ht="12.75" customHeight="1">
      <c r="B117" s="60" t="s">
        <v>154</v>
      </c>
      <c r="C117" s="82">
        <v>0</v>
      </c>
      <c r="D117" s="82">
        <f>-1544+2366</f>
        <v>822</v>
      </c>
      <c r="E117" s="82">
        <v>-131</v>
      </c>
      <c r="F117" s="82">
        <v>-548</v>
      </c>
      <c r="G117" s="32"/>
      <c r="H117" s="82">
        <v>0</v>
      </c>
      <c r="I117" s="82">
        <v>0</v>
      </c>
      <c r="J117" s="82">
        <v>-14</v>
      </c>
      <c r="K117" s="32">
        <f t="shared" si="145"/>
        <v>-117</v>
      </c>
      <c r="L117" s="82">
        <v>0</v>
      </c>
      <c r="M117" s="82">
        <v>0</v>
      </c>
      <c r="N117" s="82">
        <f>-548-M117-L117</f>
        <v>-548</v>
      </c>
      <c r="O117" s="32">
        <f t="shared" si="146"/>
        <v>0</v>
      </c>
      <c r="P117" s="82">
        <v>0</v>
      </c>
      <c r="Q117" s="82">
        <f>-1716-P117</f>
        <v>-1716</v>
      </c>
      <c r="R117" s="82">
        <f>-1716-Q117-P117</f>
        <v>0</v>
      </c>
      <c r="S117" s="32"/>
      <c r="T117" s="32">
        <f t="shared" si="141"/>
        <v>-131</v>
      </c>
      <c r="U117" s="32">
        <f t="shared" si="141"/>
        <v>-131</v>
      </c>
      <c r="V117" s="32">
        <f t="shared" si="141"/>
        <v>-131</v>
      </c>
      <c r="W117" s="32">
        <f t="shared" si="141"/>
        <v>-665</v>
      </c>
      <c r="X117" s="32">
        <f t="shared" si="141"/>
        <v>-548</v>
      </c>
      <c r="Y117" s="32">
        <f t="shared" si="141"/>
        <v>-548</v>
      </c>
      <c r="Z117" s="32">
        <f t="shared" si="141"/>
        <v>-2264</v>
      </c>
      <c r="AA117" s="32">
        <f>SUM(O117:R117)</f>
        <v>-1716</v>
      </c>
      <c r="AB117" s="59"/>
      <c r="AC117" s="75">
        <f t="shared" si="142"/>
        <v>1.5804511278195488</v>
      </c>
    </row>
    <row r="118" spans="2:29" ht="12.75" customHeight="1">
      <c r="B118" s="60" t="s">
        <v>168</v>
      </c>
      <c r="C118" s="82">
        <v>0</v>
      </c>
      <c r="D118" s="82">
        <v>0</v>
      </c>
      <c r="E118" s="82">
        <v>0</v>
      </c>
      <c r="F118" s="82">
        <v>0</v>
      </c>
      <c r="G118" s="32"/>
      <c r="H118" s="82">
        <v>0</v>
      </c>
      <c r="I118" s="82">
        <v>0</v>
      </c>
      <c r="J118" s="82">
        <v>0</v>
      </c>
      <c r="K118" s="32">
        <f t="shared" ref="K118" si="147">SUM(E118-SUM(H118:J118))</f>
        <v>0</v>
      </c>
      <c r="L118" s="82">
        <v>0</v>
      </c>
      <c r="M118" s="82">
        <v>0</v>
      </c>
      <c r="N118" s="82">
        <v>0</v>
      </c>
      <c r="O118" s="32">
        <f t="shared" si="146"/>
        <v>0</v>
      </c>
      <c r="P118" s="82">
        <v>0</v>
      </c>
      <c r="Q118" s="82">
        <f>-22-P118</f>
        <v>-22</v>
      </c>
      <c r="R118" s="82">
        <f>-30-Q118-P118</f>
        <v>-8</v>
      </c>
      <c r="T118" s="32">
        <f t="shared" si="141"/>
        <v>0</v>
      </c>
      <c r="U118" s="32">
        <f t="shared" si="141"/>
        <v>0</v>
      </c>
      <c r="V118" s="32">
        <f t="shared" si="141"/>
        <v>0</v>
      </c>
      <c r="W118" s="32">
        <f t="shared" si="141"/>
        <v>0</v>
      </c>
      <c r="X118" s="32">
        <f t="shared" si="141"/>
        <v>0</v>
      </c>
      <c r="Y118" s="32">
        <f t="shared" si="141"/>
        <v>0</v>
      </c>
      <c r="Z118" s="32">
        <f t="shared" si="141"/>
        <v>-22</v>
      </c>
      <c r="AA118" s="32">
        <f>SUM(O118:R118)</f>
        <v>-30</v>
      </c>
      <c r="AB118" s="11"/>
      <c r="AC118" s="75" t="e">
        <f t="shared" si="142"/>
        <v>#DIV/0!</v>
      </c>
    </row>
    <row r="119" spans="2:29" ht="12.75" customHeight="1">
      <c r="B119" s="60" t="s">
        <v>147</v>
      </c>
      <c r="C119" s="82">
        <v>-7</v>
      </c>
      <c r="D119" s="82">
        <v>-11</v>
      </c>
      <c r="E119" s="82">
        <v>0</v>
      </c>
      <c r="F119" s="82">
        <f>2-100-17</f>
        <v>-115</v>
      </c>
      <c r="G119" s="32"/>
      <c r="H119" s="82">
        <v>6</v>
      </c>
      <c r="I119" s="82">
        <f>5-H119</f>
        <v>-1</v>
      </c>
      <c r="J119" s="82">
        <f>-5-I119-H119</f>
        <v>-10</v>
      </c>
      <c r="K119" s="32">
        <f t="shared" ref="K119" si="148">SUM(E119-SUM(H119:J119))</f>
        <v>5</v>
      </c>
      <c r="L119" s="82">
        <v>1</v>
      </c>
      <c r="M119" s="82">
        <f>2-L119</f>
        <v>1</v>
      </c>
      <c r="N119" s="82">
        <f>-15-M119-L119</f>
        <v>-17</v>
      </c>
      <c r="O119" s="32">
        <f t="shared" ref="O119" si="149">SUM(F119-SUM(L119:N119))</f>
        <v>-100</v>
      </c>
      <c r="P119" s="82">
        <v>0</v>
      </c>
      <c r="Q119" s="82">
        <v>0</v>
      </c>
      <c r="R119" s="82">
        <v>0</v>
      </c>
      <c r="S119" s="32"/>
      <c r="T119" s="32">
        <f t="shared" si="141"/>
        <v>0</v>
      </c>
      <c r="U119" s="32">
        <f t="shared" si="141"/>
        <v>-5</v>
      </c>
      <c r="V119" s="32">
        <f t="shared" si="141"/>
        <v>-3</v>
      </c>
      <c r="W119" s="32">
        <f t="shared" si="141"/>
        <v>-10</v>
      </c>
      <c r="X119" s="32">
        <f t="shared" si="141"/>
        <v>-115</v>
      </c>
      <c r="Y119" s="32">
        <f t="shared" si="141"/>
        <v>-116</v>
      </c>
      <c r="Z119" s="32">
        <f t="shared" si="141"/>
        <v>-117</v>
      </c>
      <c r="AA119" s="32">
        <f>SUM(O119:R119)</f>
        <v>-100</v>
      </c>
      <c r="AB119" s="59"/>
      <c r="AC119" s="75">
        <f t="shared" ref="AC119:AC128" si="150">SUM(AA119/W119)-1</f>
        <v>9</v>
      </c>
    </row>
    <row r="120" spans="2:29" ht="12.75" customHeight="1">
      <c r="B120" s="13" t="s">
        <v>55</v>
      </c>
      <c r="C120" s="14">
        <f>SUM(C114:C119)</f>
        <v>-686</v>
      </c>
      <c r="D120" s="14">
        <f>SUM(D114:D119)</f>
        <v>1999</v>
      </c>
      <c r="E120" s="14">
        <f>SUM(E114:E119)</f>
        <v>-1423</v>
      </c>
      <c r="F120" s="14">
        <f>SUM(F114:F119)</f>
        <v>-1101</v>
      </c>
      <c r="H120" s="14">
        <f>SUM(H114:H119)</f>
        <v>-1237</v>
      </c>
      <c r="I120" s="14">
        <f>SUM(I114:I119)</f>
        <v>-438</v>
      </c>
      <c r="J120" s="14">
        <f>SUM(J114:J119)</f>
        <v>102</v>
      </c>
      <c r="K120" s="14">
        <f>SUM(K114:K119)</f>
        <v>150</v>
      </c>
      <c r="L120" s="14">
        <f>SUM(L114:L119)</f>
        <v>-135</v>
      </c>
      <c r="M120" s="14">
        <f>SUM(M114:M119)</f>
        <v>386</v>
      </c>
      <c r="N120" s="14">
        <f>SUM(N114:N119)</f>
        <v>-138</v>
      </c>
      <c r="O120" s="14">
        <f>SUM(O114:O119)</f>
        <v>-1214</v>
      </c>
      <c r="P120" s="14">
        <f>SUM(P114:P119)</f>
        <v>-357</v>
      </c>
      <c r="Q120" s="14">
        <f>SUM(Q114:Q119)</f>
        <v>-2298</v>
      </c>
      <c r="R120" s="14">
        <f>SUM(R114:R119)</f>
        <v>-1337</v>
      </c>
      <c r="T120" s="14">
        <f>SUM(T117:T119)</f>
        <v>-131</v>
      </c>
      <c r="U120" s="14">
        <f>SUM(U117:U119)</f>
        <v>-136</v>
      </c>
      <c r="V120" s="14">
        <f>SUM(V117:V119)</f>
        <v>-134</v>
      </c>
      <c r="W120" s="14">
        <f>SUM(W117:W119)</f>
        <v>-675</v>
      </c>
      <c r="X120" s="14">
        <f>SUM(X117:X119)</f>
        <v>-663</v>
      </c>
      <c r="Y120" s="14">
        <f>SUM(Y117:Y119)</f>
        <v>-664</v>
      </c>
      <c r="Z120" s="14">
        <f>SUM(Z117:Z119)</f>
        <v>-2403</v>
      </c>
      <c r="AA120" s="14">
        <f>SUM(AA117:AA119)</f>
        <v>-1846</v>
      </c>
      <c r="AB120" s="42"/>
      <c r="AC120" s="76">
        <f t="shared" si="150"/>
        <v>1.7348148148148148</v>
      </c>
    </row>
    <row r="121" spans="2:29" ht="5.0999999999999996" customHeight="1">
      <c r="B121" s="52"/>
      <c r="C121" s="61"/>
      <c r="D121" s="61"/>
      <c r="E121" s="61"/>
      <c r="F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T121" s="42"/>
      <c r="U121" s="42"/>
      <c r="V121" s="42"/>
      <c r="W121" s="42"/>
      <c r="X121" s="42"/>
      <c r="Y121" s="42"/>
      <c r="Z121" s="42"/>
      <c r="AA121" s="42"/>
      <c r="AB121" s="42"/>
      <c r="AC121" s="39"/>
    </row>
    <row r="122" spans="2:29" ht="12.75" customHeight="1">
      <c r="B122" s="53" t="s">
        <v>56</v>
      </c>
      <c r="C122" s="63"/>
      <c r="D122" s="63"/>
      <c r="E122" s="63"/>
      <c r="F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32"/>
      <c r="T122" s="32"/>
      <c r="U122" s="32"/>
      <c r="V122" s="32"/>
      <c r="W122" s="32"/>
      <c r="X122" s="32"/>
      <c r="Y122" s="32"/>
      <c r="Z122" s="32"/>
      <c r="AA122" s="32"/>
      <c r="AB122" s="64"/>
      <c r="AC122" s="75"/>
    </row>
    <row r="123" spans="2:29" ht="12.75" customHeight="1">
      <c r="B123" s="84" t="s">
        <v>185</v>
      </c>
      <c r="C123" s="82">
        <v>0</v>
      </c>
      <c r="D123" s="82">
        <f>991-312</f>
        <v>679</v>
      </c>
      <c r="E123" s="82">
        <v>0</v>
      </c>
      <c r="F123" s="82">
        <v>-750</v>
      </c>
      <c r="H123" s="82">
        <v>0</v>
      </c>
      <c r="I123" s="82">
        <f>144-H123</f>
        <v>144</v>
      </c>
      <c r="J123" s="82">
        <f>0-I123-H123</f>
        <v>-144</v>
      </c>
      <c r="K123" s="32">
        <f t="shared" ref="K123:K124" si="151">SUM(E123-SUM(H123:J123))</f>
        <v>0</v>
      </c>
      <c r="L123" s="82">
        <v>0</v>
      </c>
      <c r="M123" s="82">
        <f>-750-L123</f>
        <v>-750</v>
      </c>
      <c r="N123" s="82">
        <f>-750-M123-L123</f>
        <v>0</v>
      </c>
      <c r="O123" s="32">
        <f t="shared" ref="O123:O127" si="152">SUM(F123-SUM(L123:N123))</f>
        <v>0</v>
      </c>
      <c r="P123" s="82">
        <f>1494+947</f>
        <v>2441</v>
      </c>
      <c r="Q123" s="82">
        <f>-950+2441-P123</f>
        <v>-950</v>
      </c>
      <c r="R123" s="82">
        <f>-950+2441-Q123-P123</f>
        <v>0</v>
      </c>
      <c r="S123" s="32"/>
      <c r="T123" s="32">
        <f t="shared" ref="T123:Z127" si="153">SUM(H123:K123)</f>
        <v>0</v>
      </c>
      <c r="U123" s="32">
        <f t="shared" si="153"/>
        <v>0</v>
      </c>
      <c r="V123" s="32">
        <f t="shared" si="153"/>
        <v>-894</v>
      </c>
      <c r="W123" s="32">
        <f t="shared" si="153"/>
        <v>-750</v>
      </c>
      <c r="X123" s="32">
        <f t="shared" si="153"/>
        <v>-750</v>
      </c>
      <c r="Y123" s="32">
        <f t="shared" si="153"/>
        <v>1691</v>
      </c>
      <c r="Z123" s="32">
        <f t="shared" si="153"/>
        <v>1491</v>
      </c>
      <c r="AA123" s="32">
        <f>SUM(O123:R123)</f>
        <v>1491</v>
      </c>
      <c r="AB123" s="64"/>
      <c r="AC123" s="75">
        <f t="shared" si="150"/>
        <v>-2.988</v>
      </c>
    </row>
    <row r="124" spans="2:29" ht="12.75" customHeight="1">
      <c r="B124" s="84" t="s">
        <v>103</v>
      </c>
      <c r="C124" s="82">
        <v>-1762</v>
      </c>
      <c r="D124" s="82">
        <v>-3702</v>
      </c>
      <c r="E124" s="82">
        <v>-985</v>
      </c>
      <c r="F124" s="82">
        <v>-862</v>
      </c>
      <c r="H124" s="82">
        <v>-241</v>
      </c>
      <c r="I124" s="82">
        <f>-241-H124</f>
        <v>0</v>
      </c>
      <c r="J124" s="82">
        <f>-752-I124-H124</f>
        <v>-511</v>
      </c>
      <c r="K124" s="32">
        <f t="shared" si="151"/>
        <v>-233</v>
      </c>
      <c r="L124" s="82">
        <v>-4</v>
      </c>
      <c r="M124" s="82">
        <f>-356-L124</f>
        <v>-352</v>
      </c>
      <c r="N124" s="82">
        <f>-606-M124-L124</f>
        <v>-250</v>
      </c>
      <c r="O124" s="32">
        <f t="shared" ref="O124" si="154">SUM(F124-SUM(L124:N124))</f>
        <v>-256</v>
      </c>
      <c r="P124" s="82">
        <v>-749</v>
      </c>
      <c r="Q124" s="82">
        <f>-1227-P124</f>
        <v>-478</v>
      </c>
      <c r="R124" s="82">
        <f>-1316-Q124-P124</f>
        <v>-89</v>
      </c>
      <c r="S124" s="32"/>
      <c r="T124" s="32">
        <f t="shared" si="153"/>
        <v>-985</v>
      </c>
      <c r="U124" s="32">
        <f t="shared" si="153"/>
        <v>-748</v>
      </c>
      <c r="V124" s="32">
        <f t="shared" si="153"/>
        <v>-1100</v>
      </c>
      <c r="W124" s="32">
        <f t="shared" si="153"/>
        <v>-839</v>
      </c>
      <c r="X124" s="32">
        <f t="shared" si="153"/>
        <v>-862</v>
      </c>
      <c r="Y124" s="32">
        <f t="shared" si="153"/>
        <v>-1607</v>
      </c>
      <c r="Z124" s="32">
        <f t="shared" si="153"/>
        <v>-1733</v>
      </c>
      <c r="AA124" s="32">
        <f>SUM(O124:R124)</f>
        <v>-1572</v>
      </c>
      <c r="AB124" s="64"/>
      <c r="AC124" s="75">
        <f t="shared" ref="AC124" si="155">SUM(AA124/W124)-1</f>
        <v>0.87365911799761631</v>
      </c>
    </row>
    <row r="125" spans="2:29" ht="12.75" customHeight="1">
      <c r="B125" s="84" t="s">
        <v>150</v>
      </c>
      <c r="C125" s="82">
        <v>104</v>
      </c>
      <c r="D125" s="82">
        <v>167</v>
      </c>
      <c r="E125" s="82">
        <v>268</v>
      </c>
      <c r="F125" s="82">
        <v>279</v>
      </c>
      <c r="H125" s="82">
        <v>3</v>
      </c>
      <c r="I125" s="82">
        <f>0-H125</f>
        <v>-3</v>
      </c>
      <c r="J125" s="82">
        <f>148-I125-H125</f>
        <v>148</v>
      </c>
      <c r="K125" s="32">
        <f t="shared" ref="K125:K127" si="156">SUM(E125-SUM(H125:J125))</f>
        <v>120</v>
      </c>
      <c r="L125" s="82">
        <v>5</v>
      </c>
      <c r="M125" s="82">
        <f>148-L125</f>
        <v>143</v>
      </c>
      <c r="N125" s="82">
        <f>152-M125-L125</f>
        <v>4</v>
      </c>
      <c r="O125" s="32">
        <f t="shared" si="152"/>
        <v>127</v>
      </c>
      <c r="P125" s="82">
        <v>4</v>
      </c>
      <c r="Q125" s="82">
        <f>159-P125</f>
        <v>155</v>
      </c>
      <c r="R125" s="82">
        <f>169-Q125-P125</f>
        <v>10</v>
      </c>
      <c r="S125" s="32"/>
      <c r="T125" s="32">
        <f t="shared" si="153"/>
        <v>268</v>
      </c>
      <c r="U125" s="32">
        <f t="shared" si="153"/>
        <v>270</v>
      </c>
      <c r="V125" s="32">
        <f t="shared" si="153"/>
        <v>416</v>
      </c>
      <c r="W125" s="32">
        <f t="shared" si="153"/>
        <v>272</v>
      </c>
      <c r="X125" s="32">
        <f t="shared" si="153"/>
        <v>279</v>
      </c>
      <c r="Y125" s="32">
        <f t="shared" si="153"/>
        <v>278</v>
      </c>
      <c r="Z125" s="32">
        <f t="shared" si="153"/>
        <v>290</v>
      </c>
      <c r="AA125" s="32">
        <f>SUM(O125:R125)</f>
        <v>296</v>
      </c>
      <c r="AB125" s="64"/>
      <c r="AC125" s="75">
        <f t="shared" si="150"/>
        <v>8.8235294117646967E-2</v>
      </c>
    </row>
    <row r="126" spans="2:29" ht="12.75" customHeight="1">
      <c r="B126" s="84" t="s">
        <v>151</v>
      </c>
      <c r="C126" s="82">
        <v>-237</v>
      </c>
      <c r="D126" s="82">
        <v>-406</v>
      </c>
      <c r="E126" s="82">
        <v>-427</v>
      </c>
      <c r="F126" s="82">
        <v>-728</v>
      </c>
      <c r="H126" s="82">
        <v>-21</v>
      </c>
      <c r="I126" s="82">
        <f>-87-H126</f>
        <v>-66</v>
      </c>
      <c r="J126" s="82">
        <f>-382-I126-H126</f>
        <v>-295</v>
      </c>
      <c r="K126" s="32">
        <f t="shared" si="156"/>
        <v>-45</v>
      </c>
      <c r="L126" s="82">
        <v>-129</v>
      </c>
      <c r="M126" s="82">
        <f>-226-L126</f>
        <v>-97</v>
      </c>
      <c r="N126" s="82">
        <f>-686-M126-L126</f>
        <v>-460</v>
      </c>
      <c r="O126" s="32">
        <f t="shared" si="152"/>
        <v>-42</v>
      </c>
      <c r="P126" s="82">
        <v>-30</v>
      </c>
      <c r="Q126" s="82">
        <f>-76-P126</f>
        <v>-46</v>
      </c>
      <c r="R126" s="82">
        <f>-447-Q126-P126</f>
        <v>-371</v>
      </c>
      <c r="S126" s="32"/>
      <c r="T126" s="32">
        <f t="shared" si="153"/>
        <v>-427</v>
      </c>
      <c r="U126" s="32">
        <f t="shared" si="153"/>
        <v>-535</v>
      </c>
      <c r="V126" s="32">
        <f t="shared" si="153"/>
        <v>-566</v>
      </c>
      <c r="W126" s="32">
        <f t="shared" si="153"/>
        <v>-731</v>
      </c>
      <c r="X126" s="32">
        <f t="shared" si="153"/>
        <v>-728</v>
      </c>
      <c r="Y126" s="32">
        <f t="shared" si="153"/>
        <v>-629</v>
      </c>
      <c r="Z126" s="32">
        <f t="shared" si="153"/>
        <v>-578</v>
      </c>
      <c r="AA126" s="32">
        <f>SUM(O126:R126)</f>
        <v>-489</v>
      </c>
      <c r="AB126" s="64"/>
      <c r="AC126" s="75">
        <f t="shared" si="150"/>
        <v>-0.33105335157318738</v>
      </c>
    </row>
    <row r="127" spans="2:29" ht="12.75" customHeight="1">
      <c r="B127" s="84" t="s">
        <v>147</v>
      </c>
      <c r="C127" s="82">
        <v>0</v>
      </c>
      <c r="D127" s="82">
        <v>-2</v>
      </c>
      <c r="E127" s="82">
        <v>-2</v>
      </c>
      <c r="F127" s="82">
        <v>-1</v>
      </c>
      <c r="H127" s="82">
        <v>0</v>
      </c>
      <c r="I127" s="82">
        <v>0</v>
      </c>
      <c r="J127" s="82">
        <f>-1-I127-H127</f>
        <v>-1</v>
      </c>
      <c r="K127" s="32">
        <f t="shared" si="156"/>
        <v>-1</v>
      </c>
      <c r="L127" s="82">
        <v>-1</v>
      </c>
      <c r="M127" s="82">
        <f>-1-L127</f>
        <v>0</v>
      </c>
      <c r="N127" s="82">
        <f>-1-M127-L127</f>
        <v>0</v>
      </c>
      <c r="O127" s="32">
        <f t="shared" si="152"/>
        <v>0</v>
      </c>
      <c r="P127" s="82">
        <v>0</v>
      </c>
      <c r="Q127" s="82">
        <v>0</v>
      </c>
      <c r="R127" s="82">
        <v>0</v>
      </c>
      <c r="S127" s="32"/>
      <c r="T127" s="32">
        <f t="shared" si="153"/>
        <v>-2</v>
      </c>
      <c r="U127" s="32">
        <f t="shared" si="153"/>
        <v>-3</v>
      </c>
      <c r="V127" s="32">
        <f t="shared" si="153"/>
        <v>-3</v>
      </c>
      <c r="W127" s="32">
        <f t="shared" si="153"/>
        <v>-2</v>
      </c>
      <c r="X127" s="32">
        <f t="shared" si="153"/>
        <v>-1</v>
      </c>
      <c r="Y127" s="32">
        <f t="shared" si="153"/>
        <v>0</v>
      </c>
      <c r="Z127" s="32">
        <f t="shared" si="153"/>
        <v>0</v>
      </c>
      <c r="AA127" s="32">
        <f>SUM(O127:R127)</f>
        <v>0</v>
      </c>
      <c r="AB127" s="64"/>
      <c r="AC127" s="75">
        <f t="shared" si="150"/>
        <v>-1</v>
      </c>
    </row>
    <row r="128" spans="2:29" ht="12.75" customHeight="1">
      <c r="B128" s="13" t="s">
        <v>57</v>
      </c>
      <c r="C128" s="14">
        <f>SUM(C123:C127)</f>
        <v>-1895</v>
      </c>
      <c r="D128" s="14">
        <f>SUM(D123:D127)</f>
        <v>-3264</v>
      </c>
      <c r="E128" s="14">
        <f>SUM(E123:E127)</f>
        <v>-1146</v>
      </c>
      <c r="F128" s="14">
        <f>SUM(F123:F127)</f>
        <v>-2062</v>
      </c>
      <c r="H128" s="14">
        <f>SUM(H123:H127)</f>
        <v>-259</v>
      </c>
      <c r="I128" s="14">
        <f>SUM(I123:I127)</f>
        <v>75</v>
      </c>
      <c r="J128" s="14">
        <f>SUM(J123:J127)</f>
        <v>-803</v>
      </c>
      <c r="K128" s="14">
        <f>SUM(K123:K127)</f>
        <v>-159</v>
      </c>
      <c r="L128" s="14">
        <f>SUM(L123:L127)</f>
        <v>-129</v>
      </c>
      <c r="M128" s="14">
        <f>SUM(M123:M127)</f>
        <v>-1056</v>
      </c>
      <c r="N128" s="14">
        <f>SUM(N123:N127)</f>
        <v>-706</v>
      </c>
      <c r="O128" s="14">
        <f>SUM(O123:O127)</f>
        <v>-171</v>
      </c>
      <c r="P128" s="14">
        <f>SUM(P123:P127)</f>
        <v>1666</v>
      </c>
      <c r="Q128" s="14">
        <f>SUM(Q123:Q127)</f>
        <v>-1319</v>
      </c>
      <c r="R128" s="14">
        <f>SUM(R123:R127)</f>
        <v>-450</v>
      </c>
      <c r="T128" s="14">
        <f>SUM(T123:T127)</f>
        <v>-1146</v>
      </c>
      <c r="U128" s="14">
        <f>SUM(U123:U127)</f>
        <v>-1016</v>
      </c>
      <c r="V128" s="14">
        <f>SUM(V123:V127)</f>
        <v>-2147</v>
      </c>
      <c r="W128" s="14">
        <f>SUM(W123:W127)</f>
        <v>-2050</v>
      </c>
      <c r="X128" s="14">
        <f>SUM(X123:X127)</f>
        <v>-2062</v>
      </c>
      <c r="Y128" s="14">
        <f>SUM(Y123:Y127)</f>
        <v>-267</v>
      </c>
      <c r="Z128" s="14">
        <f>SUM(Z123:Z127)</f>
        <v>-530</v>
      </c>
      <c r="AA128" s="14">
        <f>SUM(AA123:AA127)</f>
        <v>-274</v>
      </c>
      <c r="AB128" s="42"/>
      <c r="AC128" s="76">
        <f t="shared" si="150"/>
        <v>-0.86634146341463414</v>
      </c>
    </row>
    <row r="129" spans="2:29" ht="5.0999999999999996" customHeight="1">
      <c r="B129" s="71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11"/>
      <c r="AC129" s="45"/>
    </row>
    <row r="130" spans="2:29">
      <c r="B130" s="92" t="s">
        <v>83</v>
      </c>
      <c r="C130" s="93">
        <v>1595</v>
      </c>
      <c r="D130" s="93">
        <f t="shared" ref="D130:F130" si="157">C138</f>
        <v>2535</v>
      </c>
      <c r="E130" s="93">
        <f t="shared" si="157"/>
        <v>4835</v>
      </c>
      <c r="F130" s="93">
        <f t="shared" si="157"/>
        <v>3933</v>
      </c>
      <c r="G130" s="93"/>
      <c r="H130" s="93">
        <f>E132</f>
        <v>4835</v>
      </c>
      <c r="I130" s="93">
        <f t="shared" ref="I130:R130" si="158">H138</f>
        <v>3825</v>
      </c>
      <c r="J130" s="93">
        <f t="shared" si="158"/>
        <v>3841</v>
      </c>
      <c r="K130" s="93">
        <f t="shared" si="158"/>
        <v>3561</v>
      </c>
      <c r="L130" s="93">
        <f t="shared" si="158"/>
        <v>3933</v>
      </c>
      <c r="M130" s="93">
        <f t="shared" si="158"/>
        <v>4190</v>
      </c>
      <c r="N130" s="93">
        <f t="shared" si="158"/>
        <v>4113</v>
      </c>
      <c r="O130" s="93">
        <f t="shared" si="158"/>
        <v>3897</v>
      </c>
      <c r="P130" s="93">
        <f t="shared" si="158"/>
        <v>3787</v>
      </c>
      <c r="Q130" s="93">
        <f t="shared" si="158"/>
        <v>6049</v>
      </c>
      <c r="R130" s="93">
        <f t="shared" si="158"/>
        <v>4442</v>
      </c>
      <c r="S130" s="93"/>
      <c r="T130" s="93">
        <f>E130</f>
        <v>4835</v>
      </c>
      <c r="U130" s="93">
        <f>H138</f>
        <v>3825</v>
      </c>
      <c r="V130" s="93">
        <f>I138</f>
        <v>3841</v>
      </c>
      <c r="W130" s="93">
        <f>J138</f>
        <v>3561</v>
      </c>
      <c r="X130" s="93">
        <f>K138</f>
        <v>3933</v>
      </c>
      <c r="Y130" s="93">
        <f>L138</f>
        <v>4190</v>
      </c>
      <c r="Z130" s="93">
        <f>M138</f>
        <v>4113</v>
      </c>
      <c r="AA130" s="142">
        <f>N138</f>
        <v>3897</v>
      </c>
      <c r="AB130" s="11"/>
      <c r="AC130" s="45"/>
    </row>
    <row r="131" spans="2:29">
      <c r="B131" s="132" t="s">
        <v>106</v>
      </c>
      <c r="C131" s="32"/>
      <c r="D131" s="32">
        <f t="shared" ref="D131:F131" si="159">-C136</f>
        <v>0</v>
      </c>
      <c r="E131" s="32">
        <f t="shared" si="159"/>
        <v>0</v>
      </c>
      <c r="F131" s="32">
        <f t="shared" si="159"/>
        <v>0</v>
      </c>
      <c r="G131" s="32"/>
      <c r="H131" s="32"/>
      <c r="I131" s="32">
        <f t="shared" ref="I131:R131" si="160">-H136</f>
        <v>0</v>
      </c>
      <c r="J131" s="32">
        <f t="shared" si="160"/>
        <v>0</v>
      </c>
      <c r="K131" s="32">
        <f t="shared" si="160"/>
        <v>0</v>
      </c>
      <c r="L131" s="32">
        <f t="shared" si="160"/>
        <v>0</v>
      </c>
      <c r="M131" s="32">
        <f t="shared" si="160"/>
        <v>0</v>
      </c>
      <c r="N131" s="32">
        <f t="shared" si="160"/>
        <v>0</v>
      </c>
      <c r="O131" s="32">
        <f t="shared" si="160"/>
        <v>0</v>
      </c>
      <c r="P131" s="32">
        <f t="shared" si="160"/>
        <v>24</v>
      </c>
      <c r="Q131" s="32">
        <f t="shared" si="160"/>
        <v>10</v>
      </c>
      <c r="R131" s="32">
        <f t="shared" si="160"/>
        <v>11</v>
      </c>
      <c r="S131" s="32"/>
      <c r="T131" s="32">
        <f>E131</f>
        <v>0</v>
      </c>
      <c r="U131" s="32">
        <f>-H136</f>
        <v>0</v>
      </c>
      <c r="V131" s="32">
        <f>-I136</f>
        <v>0</v>
      </c>
      <c r="W131" s="32">
        <f>-J136</f>
        <v>0</v>
      </c>
      <c r="X131" s="32">
        <f>-K136</f>
        <v>0</v>
      </c>
      <c r="Y131" s="32">
        <f>-L136</f>
        <v>0</v>
      </c>
      <c r="Z131" s="32">
        <f>-M136</f>
        <v>0</v>
      </c>
      <c r="AA131" s="136">
        <f>-N136</f>
        <v>0</v>
      </c>
      <c r="AB131" s="11"/>
      <c r="AC131" s="45"/>
    </row>
    <row r="132" spans="2:29">
      <c r="B132" s="153" t="s">
        <v>70</v>
      </c>
      <c r="C132" s="154">
        <f t="shared" ref="C132:F132" si="161">SUM(C130:C131)</f>
        <v>1595</v>
      </c>
      <c r="D132" s="154">
        <f t="shared" si="161"/>
        <v>2535</v>
      </c>
      <c r="E132" s="154">
        <f t="shared" si="161"/>
        <v>4835</v>
      </c>
      <c r="F132" s="154">
        <f t="shared" si="161"/>
        <v>3933</v>
      </c>
      <c r="G132" s="32"/>
      <c r="H132" s="154">
        <f t="shared" ref="H132:R132" si="162">SUM(H130:H131)</f>
        <v>4835</v>
      </c>
      <c r="I132" s="154">
        <f t="shared" si="162"/>
        <v>3825</v>
      </c>
      <c r="J132" s="154">
        <f t="shared" si="162"/>
        <v>3841</v>
      </c>
      <c r="K132" s="154">
        <f t="shared" si="162"/>
        <v>3561</v>
      </c>
      <c r="L132" s="154">
        <f t="shared" si="162"/>
        <v>3933</v>
      </c>
      <c r="M132" s="154">
        <f t="shared" si="162"/>
        <v>4190</v>
      </c>
      <c r="N132" s="154">
        <f t="shared" si="162"/>
        <v>4113</v>
      </c>
      <c r="O132" s="154">
        <f t="shared" si="162"/>
        <v>3897</v>
      </c>
      <c r="P132" s="154">
        <f t="shared" si="162"/>
        <v>3811</v>
      </c>
      <c r="Q132" s="154">
        <f t="shared" si="162"/>
        <v>6059</v>
      </c>
      <c r="R132" s="154">
        <f t="shared" si="162"/>
        <v>4453</v>
      </c>
      <c r="S132" s="32"/>
      <c r="T132" s="135">
        <f t="shared" ref="T132:AA132" si="163">SUM(T130:T131)</f>
        <v>4835</v>
      </c>
      <c r="U132" s="135">
        <f t="shared" si="163"/>
        <v>3825</v>
      </c>
      <c r="V132" s="135">
        <f t="shared" si="163"/>
        <v>3841</v>
      </c>
      <c r="W132" s="154">
        <f t="shared" si="163"/>
        <v>3561</v>
      </c>
      <c r="X132" s="154">
        <f t="shared" si="163"/>
        <v>3933</v>
      </c>
      <c r="Y132" s="154">
        <f t="shared" si="163"/>
        <v>4190</v>
      </c>
      <c r="Z132" s="154">
        <f t="shared" si="163"/>
        <v>4113</v>
      </c>
      <c r="AA132" s="155">
        <f t="shared" si="163"/>
        <v>3897</v>
      </c>
      <c r="AB132" s="11"/>
      <c r="AC132" s="45"/>
    </row>
    <row r="133" spans="2:29" ht="5.0999999999999996" customHeight="1">
      <c r="B133" s="139"/>
      <c r="C133" s="71"/>
      <c r="D133" s="71"/>
      <c r="E133" s="71"/>
      <c r="F133" s="71"/>
      <c r="G133" s="32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32"/>
      <c r="T133" s="71"/>
      <c r="U133" s="71"/>
      <c r="V133" s="71"/>
      <c r="W133" s="71"/>
      <c r="X133" s="71"/>
      <c r="Y133" s="71"/>
      <c r="Z133" s="71"/>
      <c r="AA133" s="137"/>
      <c r="AB133" s="11"/>
      <c r="AC133" s="45"/>
    </row>
    <row r="134" spans="2:29">
      <c r="B134" s="132" t="s">
        <v>84</v>
      </c>
      <c r="C134" s="82">
        <v>0</v>
      </c>
      <c r="D134" s="82">
        <v>0</v>
      </c>
      <c r="E134" s="82">
        <v>0</v>
      </c>
      <c r="F134" s="82">
        <v>0</v>
      </c>
      <c r="G134" s="32"/>
      <c r="H134" s="82">
        <v>0</v>
      </c>
      <c r="I134" s="82">
        <v>0</v>
      </c>
      <c r="J134" s="82">
        <v>0</v>
      </c>
      <c r="K134" s="32">
        <f t="shared" ref="K134:K135" si="164">SUM(E134-SUM(H134:J134))</f>
        <v>0</v>
      </c>
      <c r="L134" s="82">
        <v>0</v>
      </c>
      <c r="M134" s="82">
        <v>0</v>
      </c>
      <c r="N134" s="82">
        <v>0</v>
      </c>
      <c r="O134" s="32">
        <f t="shared" ref="O134:O135" si="165">SUM(F134-SUM(L134:N134))</f>
        <v>0</v>
      </c>
      <c r="P134" s="82">
        <v>0</v>
      </c>
      <c r="Q134" s="82">
        <v>0</v>
      </c>
      <c r="R134" s="82">
        <v>0</v>
      </c>
      <c r="S134" s="32"/>
      <c r="T134" s="32">
        <f>SUM(H134:K134)</f>
        <v>0</v>
      </c>
      <c r="U134" s="32">
        <f>SUM(I134:L134)</f>
        <v>0</v>
      </c>
      <c r="V134" s="32">
        <f>SUM(J134:M134)</f>
        <v>0</v>
      </c>
      <c r="W134" s="32">
        <f>SUM(K134:N134)</f>
        <v>0</v>
      </c>
      <c r="X134" s="32">
        <f>SUM(L134:O134)</f>
        <v>0</v>
      </c>
      <c r="Y134" s="32">
        <f>SUM(M134:P134)</f>
        <v>0</v>
      </c>
      <c r="Z134" s="32">
        <f>SUM(N134:Q134)</f>
        <v>0</v>
      </c>
      <c r="AA134" s="136">
        <f>SUM(O134:R134)</f>
        <v>0</v>
      </c>
      <c r="AB134" s="11"/>
      <c r="AC134" s="45"/>
    </row>
    <row r="135" spans="2:29" ht="14.25">
      <c r="B135" s="152" t="s">
        <v>171</v>
      </c>
      <c r="C135" s="82">
        <v>0</v>
      </c>
      <c r="D135" s="82">
        <v>0</v>
      </c>
      <c r="E135" s="82">
        <v>0</v>
      </c>
      <c r="F135" s="82">
        <v>-1</v>
      </c>
      <c r="G135" s="32"/>
      <c r="H135" s="82">
        <v>0</v>
      </c>
      <c r="I135" s="82">
        <v>0</v>
      </c>
      <c r="J135" s="82">
        <v>0</v>
      </c>
      <c r="K135" s="32">
        <f t="shared" si="164"/>
        <v>0</v>
      </c>
      <c r="L135" s="82">
        <v>0</v>
      </c>
      <c r="M135" s="82">
        <v>0</v>
      </c>
      <c r="N135" s="82">
        <v>0</v>
      </c>
      <c r="O135" s="32">
        <f t="shared" si="165"/>
        <v>-1</v>
      </c>
      <c r="P135" s="82">
        <v>0</v>
      </c>
      <c r="Q135" s="82">
        <v>0</v>
      </c>
      <c r="R135" s="82">
        <v>0</v>
      </c>
      <c r="S135" s="32"/>
      <c r="T135" s="32">
        <f>SUM(H135:K135)</f>
        <v>0</v>
      </c>
      <c r="U135" s="32">
        <f>SUM(I135:L135)</f>
        <v>0</v>
      </c>
      <c r="V135" s="32">
        <f>SUM(J135:M135)</f>
        <v>0</v>
      </c>
      <c r="W135" s="32">
        <f>SUM(K135:N135)</f>
        <v>0</v>
      </c>
      <c r="X135" s="32">
        <f>SUM(L135:O135)</f>
        <v>-1</v>
      </c>
      <c r="Y135" s="32">
        <f>SUM(M135:P135)</f>
        <v>-1</v>
      </c>
      <c r="Z135" s="32">
        <f>SUM(N135:Q135)</f>
        <v>-1</v>
      </c>
      <c r="AA135" s="136">
        <f>SUM(O135:R135)</f>
        <v>-1</v>
      </c>
      <c r="AB135" s="11"/>
      <c r="AC135" s="45"/>
    </row>
    <row r="136" spans="2:29">
      <c r="B136" s="132" t="s">
        <v>104</v>
      </c>
      <c r="C136" s="82">
        <v>0</v>
      </c>
      <c r="D136" s="82">
        <v>0</v>
      </c>
      <c r="E136" s="82">
        <v>0</v>
      </c>
      <c r="F136" s="82">
        <v>-24</v>
      </c>
      <c r="G136" s="32"/>
      <c r="H136" s="82">
        <v>0</v>
      </c>
      <c r="I136" s="82">
        <v>0</v>
      </c>
      <c r="J136" s="82">
        <v>0</v>
      </c>
      <c r="K136" s="32">
        <f>E136</f>
        <v>0</v>
      </c>
      <c r="L136" s="82">
        <v>0</v>
      </c>
      <c r="M136" s="82">
        <v>0</v>
      </c>
      <c r="N136" s="82">
        <v>0</v>
      </c>
      <c r="O136" s="32">
        <f>F136</f>
        <v>-24</v>
      </c>
      <c r="P136" s="82">
        <v>-10</v>
      </c>
      <c r="Q136" s="82">
        <v>-11</v>
      </c>
      <c r="R136" s="82">
        <v>-17</v>
      </c>
      <c r="S136" s="32"/>
      <c r="T136" s="32">
        <f>K136</f>
        <v>0</v>
      </c>
      <c r="U136" s="32">
        <f>L136</f>
        <v>0</v>
      </c>
      <c r="V136" s="32">
        <f>M136</f>
        <v>0</v>
      </c>
      <c r="W136" s="32">
        <f>N136</f>
        <v>0</v>
      </c>
      <c r="X136" s="32">
        <f>O136</f>
        <v>-24</v>
      </c>
      <c r="Y136" s="32">
        <f>P136</f>
        <v>-10</v>
      </c>
      <c r="Z136" s="32">
        <f>Q136</f>
        <v>-11</v>
      </c>
      <c r="AA136" s="136">
        <f>R136</f>
        <v>-17</v>
      </c>
      <c r="AB136" s="11"/>
      <c r="AC136" s="45"/>
    </row>
    <row r="137" spans="2:29">
      <c r="B137" s="132" t="s">
        <v>61</v>
      </c>
      <c r="C137" s="32">
        <f>+C128+C120+C111</f>
        <v>940</v>
      </c>
      <c r="D137" s="32">
        <f>+D128+D120+D111</f>
        <v>2300</v>
      </c>
      <c r="E137" s="32">
        <f>+E128+E120+E111</f>
        <v>-902</v>
      </c>
      <c r="F137" s="32">
        <f>+F128+F120+F111</f>
        <v>-121</v>
      </c>
      <c r="G137" s="32"/>
      <c r="H137" s="32">
        <f>+H128+H120+H111</f>
        <v>-1010</v>
      </c>
      <c r="I137" s="32">
        <f>+I128+I120+I111</f>
        <v>16</v>
      </c>
      <c r="J137" s="32">
        <f>+J128+J120+J111</f>
        <v>-280</v>
      </c>
      <c r="K137" s="32">
        <f>+K128+K120+K111</f>
        <v>372</v>
      </c>
      <c r="L137" s="32">
        <f>+L128+L120+L111</f>
        <v>257</v>
      </c>
      <c r="M137" s="32">
        <f>+M128+M120+M111</f>
        <v>-77</v>
      </c>
      <c r="N137" s="32">
        <f>+N128+N120+N111</f>
        <v>-216</v>
      </c>
      <c r="O137" s="32">
        <f>+O128+O120+O111</f>
        <v>-85</v>
      </c>
      <c r="P137" s="32">
        <f>+P128+P120+P111</f>
        <v>2248</v>
      </c>
      <c r="Q137" s="32">
        <f>+Q128+Q120+Q111</f>
        <v>-1606</v>
      </c>
      <c r="R137" s="32">
        <f>+R128+R120+R111</f>
        <v>372</v>
      </c>
      <c r="S137" s="32"/>
      <c r="T137" s="32">
        <f>SUM(H137:K137)</f>
        <v>-902</v>
      </c>
      <c r="U137" s="32">
        <f>SUM(I137:L137)</f>
        <v>365</v>
      </c>
      <c r="V137" s="32">
        <f>SUM(J137:M137)</f>
        <v>272</v>
      </c>
      <c r="W137" s="32">
        <f>SUM(K137:N137)</f>
        <v>336</v>
      </c>
      <c r="X137" s="32">
        <f>SUM(L137:O137)</f>
        <v>-121</v>
      </c>
      <c r="Y137" s="32">
        <f>SUM(M137:P137)</f>
        <v>1870</v>
      </c>
      <c r="Z137" s="32">
        <f>SUM(N137:Q137)</f>
        <v>341</v>
      </c>
      <c r="AA137" s="136">
        <f>SUM(O137:R137)</f>
        <v>929</v>
      </c>
      <c r="AB137" s="11"/>
      <c r="AC137" s="45"/>
    </row>
    <row r="138" spans="2:29">
      <c r="B138" s="89" t="s">
        <v>71</v>
      </c>
      <c r="C138" s="154">
        <f>SUM(C132:C137)</f>
        <v>2535</v>
      </c>
      <c r="D138" s="154">
        <f>SUM(D132:D137)</f>
        <v>4835</v>
      </c>
      <c r="E138" s="154">
        <f>SUM(E132:E137)</f>
        <v>3933</v>
      </c>
      <c r="F138" s="154">
        <f>SUM(F132:F137)</f>
        <v>3787</v>
      </c>
      <c r="G138" s="32"/>
      <c r="H138" s="154">
        <f>SUM(H132:H137)</f>
        <v>3825</v>
      </c>
      <c r="I138" s="154">
        <f>SUM(I132:I137)</f>
        <v>3841</v>
      </c>
      <c r="J138" s="154">
        <f>SUM(J132:J137)</f>
        <v>3561</v>
      </c>
      <c r="K138" s="154">
        <f>SUM(K132:K137)</f>
        <v>3933</v>
      </c>
      <c r="L138" s="154">
        <f>SUM(L132:L137)</f>
        <v>4190</v>
      </c>
      <c r="M138" s="154">
        <f>SUM(M132:M137)</f>
        <v>4113</v>
      </c>
      <c r="N138" s="154">
        <f>SUM(N132:N137)</f>
        <v>3897</v>
      </c>
      <c r="O138" s="154">
        <f>SUM(O132:O137)</f>
        <v>3787</v>
      </c>
      <c r="P138" s="154">
        <f>SUM(P132:P137)</f>
        <v>6049</v>
      </c>
      <c r="Q138" s="154">
        <f>SUM(Q132:Q137)</f>
        <v>4442</v>
      </c>
      <c r="R138" s="154">
        <f>SUM(R132:R137)</f>
        <v>4808</v>
      </c>
      <c r="S138" s="32"/>
      <c r="T138" s="135">
        <f>SUM(T132:T137)</f>
        <v>3933</v>
      </c>
      <c r="U138" s="135">
        <f>SUM(U132:U137)</f>
        <v>4190</v>
      </c>
      <c r="V138" s="135">
        <f>SUM(V132:V137)</f>
        <v>4113</v>
      </c>
      <c r="W138" s="154">
        <f>SUM(W132:W137)</f>
        <v>3897</v>
      </c>
      <c r="X138" s="154">
        <f>SUM(X132:X137)</f>
        <v>3787</v>
      </c>
      <c r="Y138" s="154">
        <f>SUM(Y132:Y137)</f>
        <v>6049</v>
      </c>
      <c r="Z138" s="154">
        <f>SUM(Z132:Z137)</f>
        <v>4442</v>
      </c>
      <c r="AA138" s="155">
        <f>SUM(AA132:AA137)</f>
        <v>4808</v>
      </c>
      <c r="AB138" s="11"/>
      <c r="AC138" s="45"/>
    </row>
    <row r="139" spans="2:29" ht="5.0999999999999996" customHeight="1">
      <c r="B139" s="90"/>
      <c r="C139" s="65"/>
      <c r="D139" s="65"/>
      <c r="E139" s="65"/>
      <c r="F139" s="65"/>
      <c r="G139" s="32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T139" s="11"/>
      <c r="U139" s="11"/>
      <c r="V139" s="11"/>
      <c r="W139" s="11"/>
      <c r="X139" s="11"/>
      <c r="Y139" s="11"/>
      <c r="Z139" s="11"/>
      <c r="AA139" s="91"/>
      <c r="AB139" s="11"/>
      <c r="AC139" s="45"/>
    </row>
    <row r="140" spans="2:29">
      <c r="B140" s="140" t="s">
        <v>94</v>
      </c>
      <c r="C140" s="87">
        <f>ROUND(C138-C51,1)</f>
        <v>0</v>
      </c>
      <c r="D140" s="87">
        <f>ROUND(D138-D51,1)</f>
        <v>0</v>
      </c>
      <c r="E140" s="87">
        <f>ROUND(E138-E51,1)</f>
        <v>0</v>
      </c>
      <c r="F140" s="87">
        <f>ROUND(F138-F51,1)</f>
        <v>0</v>
      </c>
      <c r="G140" s="88"/>
      <c r="H140" s="87">
        <f>H138-H51</f>
        <v>0</v>
      </c>
      <c r="I140" s="87">
        <f>I138-I51</f>
        <v>0</v>
      </c>
      <c r="J140" s="87">
        <f>J138-J51</f>
        <v>0</v>
      </c>
      <c r="K140" s="87">
        <f>K138-K51</f>
        <v>0</v>
      </c>
      <c r="L140" s="87">
        <f>L138-L51</f>
        <v>0</v>
      </c>
      <c r="M140" s="87">
        <f>M138-M51</f>
        <v>0</v>
      </c>
      <c r="N140" s="87">
        <f>N138-N51</f>
        <v>0</v>
      </c>
      <c r="O140" s="87">
        <f>O138-O51</f>
        <v>0</v>
      </c>
      <c r="P140" s="87">
        <f>P138-P51</f>
        <v>0</v>
      </c>
      <c r="Q140" s="87">
        <f>Q138-Q51</f>
        <v>0</v>
      </c>
      <c r="R140" s="87">
        <f>R138-R51</f>
        <v>0</v>
      </c>
      <c r="S140" s="87"/>
      <c r="T140" s="87">
        <f>T138-T51</f>
        <v>0</v>
      </c>
      <c r="U140" s="87">
        <f>U138-U51</f>
        <v>0</v>
      </c>
      <c r="V140" s="87">
        <f>V138-V51</f>
        <v>0</v>
      </c>
      <c r="W140" s="87">
        <f>W138-W51</f>
        <v>0</v>
      </c>
      <c r="X140" s="87">
        <f>X138-X51</f>
        <v>0</v>
      </c>
      <c r="Y140" s="87">
        <f>Y138-Y51</f>
        <v>0</v>
      </c>
      <c r="Z140" s="87">
        <f>Z138-Z51</f>
        <v>0</v>
      </c>
      <c r="AA140" s="138">
        <f>AA138-AA51</f>
        <v>0</v>
      </c>
      <c r="AB140" s="11"/>
      <c r="AC140" s="45"/>
    </row>
    <row r="141" spans="2:29" ht="5.0999999999999996" customHeight="1">
      <c r="B141" s="8"/>
      <c r="C141" s="65"/>
      <c r="D141" s="65"/>
      <c r="E141" s="65"/>
      <c r="F141" s="65"/>
      <c r="G141" s="32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T141" s="11"/>
      <c r="U141" s="11"/>
      <c r="V141" s="11"/>
      <c r="W141" s="11"/>
      <c r="X141" s="11"/>
      <c r="Y141" s="11"/>
      <c r="Z141" s="11"/>
      <c r="AA141" s="11"/>
      <c r="AB141" s="11"/>
      <c r="AC141" s="45"/>
    </row>
    <row r="142" spans="2:29" ht="12.75" customHeight="1">
      <c r="B142" s="72" t="s">
        <v>62</v>
      </c>
      <c r="C142" s="62"/>
      <c r="D142" s="62"/>
      <c r="E142" s="62"/>
      <c r="F142" s="62"/>
      <c r="G142" s="11"/>
      <c r="H142" s="62"/>
      <c r="I142" s="62"/>
      <c r="J142" s="62"/>
      <c r="K142" s="62"/>
      <c r="L142" s="62"/>
      <c r="M142" s="62"/>
      <c r="N142" s="62"/>
      <c r="O142" s="62"/>
      <c r="P142" s="82"/>
      <c r="Q142" s="62"/>
      <c r="R142" s="62"/>
      <c r="T142" s="62"/>
      <c r="U142" s="62"/>
      <c r="V142" s="62"/>
      <c r="W142" s="62"/>
      <c r="X142" s="62"/>
      <c r="Y142" s="62"/>
      <c r="Z142" s="62"/>
      <c r="AA142" s="62"/>
      <c r="AB142" s="66"/>
      <c r="AC142" s="45"/>
    </row>
    <row r="143" spans="2:29" ht="12.75" customHeight="1">
      <c r="B143" s="8" t="s">
        <v>105</v>
      </c>
      <c r="C143" s="82">
        <v>25</v>
      </c>
      <c r="D143" s="82">
        <v>85</v>
      </c>
      <c r="E143" s="82">
        <v>84</v>
      </c>
      <c r="F143" s="82">
        <v>72</v>
      </c>
      <c r="G143" s="11"/>
      <c r="H143" s="82">
        <v>0</v>
      </c>
      <c r="I143" s="82">
        <v>0</v>
      </c>
      <c r="J143" s="82">
        <v>0</v>
      </c>
      <c r="K143" s="32">
        <f t="shared" ref="K143:K144" si="166">SUM(E143-SUM(H143:J143))</f>
        <v>84</v>
      </c>
      <c r="L143" s="82">
        <v>0</v>
      </c>
      <c r="M143" s="82">
        <v>0</v>
      </c>
      <c r="N143" s="82">
        <v>0</v>
      </c>
      <c r="O143" s="32">
        <f t="shared" ref="O143:O144" si="167">SUM(F143-SUM(L143:N143))</f>
        <v>72</v>
      </c>
      <c r="P143" s="82">
        <v>0</v>
      </c>
      <c r="Q143" s="82">
        <v>0</v>
      </c>
      <c r="R143" s="82">
        <v>0</v>
      </c>
      <c r="T143" s="32">
        <f>SUM(H143:K143)</f>
        <v>84</v>
      </c>
      <c r="U143" s="32">
        <f>SUM(I143:L143)</f>
        <v>84</v>
      </c>
      <c r="V143" s="32">
        <f>SUM(J143:M143)</f>
        <v>84</v>
      </c>
      <c r="W143" s="32">
        <f>SUM(K143:N143)</f>
        <v>84</v>
      </c>
      <c r="X143" s="32">
        <f>SUM(L143:O143)</f>
        <v>72</v>
      </c>
      <c r="Y143" s="32">
        <f>SUM(M143:P143)</f>
        <v>72</v>
      </c>
      <c r="Z143" s="32">
        <f>SUM(N143:Q143)</f>
        <v>72</v>
      </c>
      <c r="AA143" s="32">
        <f>SUM(O143:R143)</f>
        <v>72</v>
      </c>
      <c r="AB143" s="66"/>
      <c r="AC143" s="45"/>
    </row>
    <row r="144" spans="2:29" ht="12.75" customHeight="1">
      <c r="B144" s="8" t="s">
        <v>152</v>
      </c>
      <c r="C144" s="82">
        <v>35</v>
      </c>
      <c r="D144" s="82">
        <v>685</v>
      </c>
      <c r="E144" s="82">
        <v>523</v>
      </c>
      <c r="F144" s="82">
        <v>1386</v>
      </c>
      <c r="G144" s="32"/>
      <c r="H144" s="82">
        <v>21</v>
      </c>
      <c r="I144" s="82">
        <v>46</v>
      </c>
      <c r="J144" s="82">
        <v>34</v>
      </c>
      <c r="K144" s="32">
        <f t="shared" si="166"/>
        <v>422</v>
      </c>
      <c r="L144" s="82">
        <v>87</v>
      </c>
      <c r="M144" s="82">
        <v>311</v>
      </c>
      <c r="N144" s="82">
        <v>1011</v>
      </c>
      <c r="O144" s="32">
        <f t="shared" si="167"/>
        <v>-23</v>
      </c>
      <c r="P144" s="82">
        <v>128</v>
      </c>
      <c r="Q144" s="82">
        <v>760</v>
      </c>
      <c r="R144" s="82">
        <v>818</v>
      </c>
      <c r="S144" s="32"/>
      <c r="T144" s="32">
        <f>SUM(H144:K144)</f>
        <v>523</v>
      </c>
      <c r="U144" s="32">
        <f>SUM(I144:L144)</f>
        <v>589</v>
      </c>
      <c r="V144" s="32">
        <f>SUM(J144:M144)</f>
        <v>854</v>
      </c>
      <c r="W144" s="32">
        <f>SUM(K144:N144)</f>
        <v>1831</v>
      </c>
      <c r="X144" s="32">
        <f>SUM(L144:O144)</f>
        <v>1386</v>
      </c>
      <c r="Y144" s="32">
        <f>SUM(M144:P144)</f>
        <v>1427</v>
      </c>
      <c r="Z144" s="32">
        <f>SUM(N144:Q144)</f>
        <v>1876</v>
      </c>
      <c r="AA144" s="32">
        <f>SUM(O144:R144)</f>
        <v>1683</v>
      </c>
      <c r="AB144" s="11"/>
      <c r="AC144" s="45"/>
    </row>
    <row r="145" spans="2:29" ht="5.0999999999999996" customHeight="1" thickBot="1">
      <c r="B145" s="73"/>
      <c r="C145" s="74"/>
      <c r="D145" s="74"/>
      <c r="E145" s="74"/>
      <c r="F145" s="74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C145" s="45"/>
    </row>
    <row r="146" spans="2:29" ht="12.75" customHeight="1">
      <c r="B146" s="147" t="s">
        <v>172</v>
      </c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31"/>
      <c r="AC146" s="45"/>
    </row>
    <row r="147" spans="2:29" ht="12.75" customHeight="1">
      <c r="B147" s="53"/>
      <c r="C147" s="67"/>
      <c r="D147" s="67"/>
      <c r="E147" s="67"/>
      <c r="F147" s="67"/>
    </row>
    <row r="148" spans="2:29" ht="12.75" customHeight="1">
      <c r="C148" s="56"/>
      <c r="D148" s="56"/>
      <c r="E148" s="56"/>
      <c r="F148" s="56"/>
    </row>
    <row r="149" spans="2:29" ht="12.75" customHeight="1"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2:29" ht="12.75" customHeight="1"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2:29" ht="12.75" customHeight="1"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2:29" ht="12.75" customHeight="1"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2:29" ht="12.75" customHeight="1"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86"/>
    </row>
    <row r="154" spans="2:29" ht="12.75" customHeight="1"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2:29" ht="12.75" customHeight="1"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86"/>
    </row>
    <row r="156" spans="2:29">
      <c r="D156" s="56"/>
      <c r="E156" s="56"/>
      <c r="F156" s="56"/>
      <c r="G156" s="56"/>
      <c r="H156" s="56"/>
      <c r="I156" s="56"/>
      <c r="J156" s="56"/>
      <c r="K156" s="56"/>
      <c r="L156" s="56"/>
      <c r="M156" s="86"/>
    </row>
    <row r="157" spans="2:29">
      <c r="D157" s="56"/>
      <c r="E157" s="56"/>
      <c r="F157" s="56"/>
      <c r="G157" s="56"/>
      <c r="H157" s="56"/>
      <c r="I157" s="56"/>
      <c r="J157" s="56"/>
      <c r="K157" s="56"/>
      <c r="L157" s="56"/>
      <c r="M157" s="86"/>
    </row>
    <row r="158" spans="2:29"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2:29">
      <c r="D159" s="56"/>
      <c r="E159" s="56"/>
      <c r="F159" s="56"/>
      <c r="G159" s="56"/>
      <c r="H159" s="56"/>
      <c r="I159" s="56"/>
      <c r="J159" s="56"/>
      <c r="K159" s="56"/>
      <c r="L159" s="56"/>
      <c r="M159" s="86"/>
    </row>
    <row r="160" spans="2:29">
      <c r="D160" s="56"/>
      <c r="E160" s="56"/>
      <c r="F160" s="56"/>
      <c r="G160" s="56"/>
      <c r="H160" s="56"/>
      <c r="I160" s="56"/>
      <c r="J160" s="56"/>
      <c r="K160" s="56"/>
      <c r="L160" s="56"/>
      <c r="M160" s="86"/>
    </row>
    <row r="161" spans="4:12"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4:12">
      <c r="D162" s="56"/>
      <c r="E162" s="56"/>
      <c r="F162" s="56"/>
      <c r="G162" s="56"/>
      <c r="H162" s="56"/>
      <c r="I162" s="56"/>
      <c r="J162" s="56"/>
      <c r="K162" s="56"/>
      <c r="L162" s="56"/>
    </row>
  </sheetData>
  <mergeCells count="4">
    <mergeCell ref="B146:Z146"/>
    <mergeCell ref="AC6:AC8"/>
    <mergeCell ref="AC46:AC48"/>
    <mergeCell ref="AC91:AC93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Z16:Z17 Z34 G56 T24:X25 T28:X29" formulaRange="1"/>
    <ignoredError sqref="C16:F17 C24:F25 C39:F39 H16:R17 H23:R25 H39:R39 H28:R29 C28:F29 AA120:AC122 AA111:AC112 AB117 AB119:AC119 H34:R34 C34:F34 AA113:AB113 AB123:AC123" evalError="1"/>
    <ignoredError sqref="T136:AA136 T134:AA13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B15"/>
  <sheetViews>
    <sheetView showGridLines="0" zoomScale="115" zoomScaleNormal="115" workbookViewId="0">
      <selection activeCell="A9" sqref="A9"/>
    </sheetView>
  </sheetViews>
  <sheetFormatPr defaultRowHeight="12" outlineLevelCol="1"/>
  <cols>
    <col min="1" max="1" width="1.5" style="8" customWidth="1"/>
    <col min="2" max="2" width="46.5" style="8" bestFit="1" customWidth="1"/>
    <col min="3" max="3" width="8.625" style="8" customWidth="1" outlineLevel="1"/>
    <col min="4" max="6" width="8.625" style="8" bestFit="1" customWidth="1"/>
    <col min="7" max="7" width="1.5" style="8" customWidth="1"/>
    <col min="8" max="10" width="8" style="8" hidden="1" customWidth="1" outlineLevel="1"/>
    <col min="11" max="11" width="8.75" style="8" hidden="1" customWidth="1" outlineLevel="1"/>
    <col min="12" max="12" width="8.5" style="8" customWidth="1" collapsed="1"/>
    <col min="13" max="13" width="8.25" style="8" bestFit="1" customWidth="1"/>
    <col min="14" max="14" width="8.5" style="8" bestFit="1" customWidth="1"/>
    <col min="15" max="18" width="9.125" style="8" bestFit="1" customWidth="1"/>
    <col min="19" max="19" width="1.5" style="8" customWidth="1"/>
    <col min="20" max="21" width="8.75" style="8" hidden="1" customWidth="1" outlineLevel="1"/>
    <col min="22" max="22" width="8.75" style="8" bestFit="1" customWidth="1" collapsed="1"/>
    <col min="23" max="25" width="8.75" style="8" hidden="1" customWidth="1" outlineLevel="1"/>
    <col min="26" max="26" width="8.75" style="8" bestFit="1" customWidth="1" collapsed="1"/>
    <col min="27" max="27" width="1.5" style="8" customWidth="1"/>
    <col min="28" max="28" width="9.875" style="8" bestFit="1" customWidth="1"/>
    <col min="29" max="16384" width="9" style="8"/>
  </cols>
  <sheetData>
    <row r="2" spans="1:28" s="5" customFormat="1" ht="12.75" customHeight="1">
      <c r="B2" s="1" t="str">
        <f>'Historical Financials'!B2</f>
        <v>Advanced Micro Devices Inc. (NASDAQ: AMD)</v>
      </c>
      <c r="C2" s="2"/>
      <c r="D2" s="2" t="s">
        <v>0</v>
      </c>
      <c r="E2" s="2"/>
      <c r="F2" s="2"/>
      <c r="G2" s="3"/>
      <c r="H2" s="2"/>
      <c r="I2" s="2"/>
      <c r="J2" s="2"/>
      <c r="K2" s="2"/>
      <c r="L2" s="2" t="s">
        <v>1</v>
      </c>
      <c r="M2" s="2" t="s">
        <v>1</v>
      </c>
      <c r="N2" s="2"/>
      <c r="O2" s="2"/>
      <c r="P2" s="2"/>
      <c r="Q2" s="2"/>
      <c r="R2" s="2"/>
      <c r="S2" s="3"/>
      <c r="T2" s="2" t="s">
        <v>10</v>
      </c>
      <c r="U2" s="2"/>
      <c r="V2" s="2" t="s">
        <v>10</v>
      </c>
      <c r="W2" s="2"/>
      <c r="X2" s="2"/>
      <c r="Y2" s="2"/>
      <c r="Z2" s="2"/>
      <c r="AA2" s="3"/>
      <c r="AB2" s="148" t="s">
        <v>24</v>
      </c>
    </row>
    <row r="3" spans="1:28" s="5" customFormat="1" ht="12.75" customHeight="1">
      <c r="B3" s="6" t="s">
        <v>66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1Q23</v>
      </c>
      <c r="I3" s="7" t="str">
        <f>'Historical Financials'!I7</f>
        <v>2Q23</v>
      </c>
      <c r="J3" s="7" t="str">
        <f>'Historical Financials'!J7</f>
        <v>3Q23</v>
      </c>
      <c r="K3" s="7" t="str">
        <f>'Historical Financials'!K7</f>
        <v>4Q23</v>
      </c>
      <c r="L3" s="7" t="str">
        <f>'Historical Financials'!L7</f>
        <v>1Q24</v>
      </c>
      <c r="M3" s="7" t="str">
        <f>'Historical Financials'!M7</f>
        <v>2Q24</v>
      </c>
      <c r="N3" s="7" t="str">
        <f>'Historical Financials'!N7</f>
        <v>3Q24</v>
      </c>
      <c r="O3" s="7" t="str">
        <f>'Historical Financials'!O7</f>
        <v>4Q24</v>
      </c>
      <c r="P3" s="7" t="str">
        <f>'Historical Financials'!P7</f>
        <v>1Q25</v>
      </c>
      <c r="Q3" s="7" t="str">
        <f>'Historical Financials'!Q7</f>
        <v>2Q25</v>
      </c>
      <c r="R3" s="7" t="str">
        <f>'Historical Financials'!R7</f>
        <v>3Q25</v>
      </c>
      <c r="S3" s="4"/>
      <c r="T3" s="4" t="str">
        <f t="shared" ref="T3:Z4" si="0">L3</f>
        <v>1Q24</v>
      </c>
      <c r="U3" s="4" t="str">
        <f t="shared" si="0"/>
        <v>2Q24</v>
      </c>
      <c r="V3" s="4" t="str">
        <f t="shared" si="0"/>
        <v>3Q24</v>
      </c>
      <c r="W3" s="4" t="str">
        <f t="shared" si="0"/>
        <v>4Q24</v>
      </c>
      <c r="X3" s="4" t="str">
        <f t="shared" si="0"/>
        <v>1Q25</v>
      </c>
      <c r="Y3" s="4" t="str">
        <f t="shared" si="0"/>
        <v>2Q25</v>
      </c>
      <c r="Z3" s="4" t="str">
        <f t="shared" si="0"/>
        <v>3Q25</v>
      </c>
      <c r="AA3" s="3"/>
      <c r="AB3" s="148"/>
    </row>
    <row r="4" spans="1:28" s="5" customFormat="1" ht="12.75" customHeight="1">
      <c r="B4" s="6" t="s">
        <v>107</v>
      </c>
      <c r="C4" s="3">
        <f>'Historical Financials'!C8</f>
        <v>44555</v>
      </c>
      <c r="D4" s="3">
        <f>'Historical Financials'!D8</f>
        <v>44926</v>
      </c>
      <c r="E4" s="3">
        <f>'Historical Financials'!E8</f>
        <v>45290</v>
      </c>
      <c r="F4" s="3">
        <f>'Historical Financials'!F8</f>
        <v>45654</v>
      </c>
      <c r="G4" s="3"/>
      <c r="H4" s="3">
        <f>'Historical Financials'!H8</f>
        <v>45017</v>
      </c>
      <c r="I4" s="3">
        <f>'Historical Financials'!I8</f>
        <v>45108</v>
      </c>
      <c r="J4" s="3">
        <f>'Historical Financials'!J8</f>
        <v>45199</v>
      </c>
      <c r="K4" s="3">
        <f>'Historical Financials'!K8</f>
        <v>45290</v>
      </c>
      <c r="L4" s="3">
        <f>'Historical Financials'!L8</f>
        <v>45381</v>
      </c>
      <c r="M4" s="3">
        <f>'Historical Financials'!M8</f>
        <v>45472</v>
      </c>
      <c r="N4" s="3">
        <f>'Historical Financials'!N8</f>
        <v>45563</v>
      </c>
      <c r="O4" s="3">
        <f>'Historical Financials'!O8</f>
        <v>45654</v>
      </c>
      <c r="P4" s="3">
        <f>'Historical Financials'!P8</f>
        <v>45745</v>
      </c>
      <c r="Q4" s="3">
        <f>'Historical Financials'!Q8</f>
        <v>45836</v>
      </c>
      <c r="R4" s="3">
        <f>'Historical Financials'!R8</f>
        <v>45927</v>
      </c>
      <c r="S4" s="3"/>
      <c r="T4" s="3">
        <f t="shared" si="0"/>
        <v>45381</v>
      </c>
      <c r="U4" s="3">
        <f t="shared" si="0"/>
        <v>45472</v>
      </c>
      <c r="V4" s="3">
        <f t="shared" si="0"/>
        <v>45563</v>
      </c>
      <c r="W4" s="3">
        <f t="shared" si="0"/>
        <v>45654</v>
      </c>
      <c r="X4" s="3">
        <f t="shared" si="0"/>
        <v>45745</v>
      </c>
      <c r="Y4" s="3">
        <f t="shared" si="0"/>
        <v>45836</v>
      </c>
      <c r="Z4" s="3">
        <f t="shared" si="0"/>
        <v>45927</v>
      </c>
      <c r="AA4" s="3"/>
      <c r="AB4" s="148"/>
    </row>
    <row r="5" spans="1:28" ht="5.0999999999999996" customHeight="1"/>
    <row r="6" spans="1:28">
      <c r="A6" s="36" t="s">
        <v>18</v>
      </c>
      <c r="B6" s="1" t="s">
        <v>90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5.0999999999999996" customHeight="1"/>
    <row r="8" spans="1:28" ht="12.75" customHeight="1">
      <c r="A8" s="80"/>
      <c r="B8" s="78" t="s">
        <v>89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5"/>
      <c r="T8" s="11"/>
      <c r="U8" s="11"/>
      <c r="V8" s="11"/>
      <c r="W8" s="11"/>
      <c r="X8" s="11"/>
      <c r="Y8" s="11"/>
      <c r="AB8" s="12"/>
    </row>
    <row r="9" spans="1:28" ht="12.75" customHeight="1">
      <c r="B9" s="9" t="s">
        <v>157</v>
      </c>
      <c r="C9" s="81">
        <v>3694</v>
      </c>
      <c r="D9" s="81">
        <v>6043</v>
      </c>
      <c r="E9" s="81">
        <v>6496</v>
      </c>
      <c r="F9" s="81">
        <v>12579</v>
      </c>
      <c r="G9" s="81"/>
      <c r="H9" s="81">
        <v>1295</v>
      </c>
      <c r="I9" s="81">
        <v>1321</v>
      </c>
      <c r="J9" s="81">
        <v>1598</v>
      </c>
      <c r="K9" s="125">
        <f>SUM(E9-SUM(H9:J9))</f>
        <v>2282</v>
      </c>
      <c r="L9" s="81">
        <v>2337</v>
      </c>
      <c r="M9" s="81">
        <v>2834</v>
      </c>
      <c r="N9" s="81">
        <v>3549</v>
      </c>
      <c r="O9" s="125">
        <f>SUM(F9-SUM(L9:N9))</f>
        <v>3859</v>
      </c>
      <c r="P9" s="81">
        <v>3674</v>
      </c>
      <c r="Q9" s="81">
        <v>3240</v>
      </c>
      <c r="R9" s="81">
        <v>4341</v>
      </c>
      <c r="S9" s="11"/>
      <c r="T9" s="125">
        <f t="shared" ref="T9:Z12" si="1">SUM(I9:L9)</f>
        <v>7538</v>
      </c>
      <c r="U9" s="125">
        <f t="shared" si="1"/>
        <v>9051</v>
      </c>
      <c r="V9" s="125">
        <f t="shared" si="1"/>
        <v>11002</v>
      </c>
      <c r="W9" s="125">
        <f t="shared" si="1"/>
        <v>12579</v>
      </c>
      <c r="X9" s="125">
        <f t="shared" si="1"/>
        <v>13916</v>
      </c>
      <c r="Y9" s="125">
        <f t="shared" si="1"/>
        <v>14322</v>
      </c>
      <c r="Z9" s="125">
        <f t="shared" si="1"/>
        <v>15114</v>
      </c>
      <c r="AB9" s="12">
        <f t="shared" ref="AB9:AB13" si="2">SUM(Z9/V9)-1</f>
        <v>0.37375022723141238</v>
      </c>
    </row>
    <row r="10" spans="1:28" ht="12.75" customHeight="1">
      <c r="B10" s="9" t="s">
        <v>159</v>
      </c>
      <c r="C10" s="81">
        <v>6887</v>
      </c>
      <c r="D10" s="81">
        <v>6201</v>
      </c>
      <c r="E10" s="81">
        <v>4651</v>
      </c>
      <c r="F10" s="81">
        <v>7054</v>
      </c>
      <c r="G10" s="81"/>
      <c r="H10" s="81">
        <v>739</v>
      </c>
      <c r="I10" s="81">
        <v>998</v>
      </c>
      <c r="J10" s="81">
        <v>1453</v>
      </c>
      <c r="K10" s="125">
        <f>SUM(E10-SUM(H10:J10))</f>
        <v>1461</v>
      </c>
      <c r="L10" s="81">
        <v>1368</v>
      </c>
      <c r="M10" s="81">
        <v>1492</v>
      </c>
      <c r="N10" s="81">
        <v>1881</v>
      </c>
      <c r="O10" s="125">
        <f>SUM(F10-SUM(L10:N10))</f>
        <v>2313</v>
      </c>
      <c r="P10" s="81">
        <v>2294</v>
      </c>
      <c r="Q10" s="81">
        <v>2499</v>
      </c>
      <c r="R10" s="81">
        <v>2750</v>
      </c>
      <c r="S10" s="11"/>
      <c r="T10" s="125">
        <f t="shared" si="1"/>
        <v>5280</v>
      </c>
      <c r="U10" s="125">
        <f t="shared" si="1"/>
        <v>5774</v>
      </c>
      <c r="V10" s="125">
        <f t="shared" si="1"/>
        <v>6202</v>
      </c>
      <c r="W10" s="125">
        <f t="shared" si="1"/>
        <v>7054</v>
      </c>
      <c r="X10" s="125">
        <f t="shared" si="1"/>
        <v>7980</v>
      </c>
      <c r="Y10" s="125">
        <f t="shared" si="1"/>
        <v>8987</v>
      </c>
      <c r="Z10" s="125">
        <f t="shared" si="1"/>
        <v>9856</v>
      </c>
      <c r="AB10" s="12">
        <f t="shared" si="2"/>
        <v>0.5891647855530473</v>
      </c>
    </row>
    <row r="11" spans="1:28" ht="12.75" customHeight="1">
      <c r="B11" s="9" t="s">
        <v>158</v>
      </c>
      <c r="C11" s="81">
        <v>5607</v>
      </c>
      <c r="D11" s="81">
        <v>6805</v>
      </c>
      <c r="E11" s="81">
        <v>6212</v>
      </c>
      <c r="F11" s="81">
        <v>2595</v>
      </c>
      <c r="G11" s="81"/>
      <c r="H11" s="81">
        <v>1757</v>
      </c>
      <c r="I11" s="81">
        <v>1581</v>
      </c>
      <c r="J11" s="81">
        <v>1506</v>
      </c>
      <c r="K11" s="125">
        <f>SUM(E11-SUM(H11:J11))</f>
        <v>1368</v>
      </c>
      <c r="L11" s="81">
        <v>922</v>
      </c>
      <c r="M11" s="81">
        <v>648</v>
      </c>
      <c r="N11" s="81">
        <v>462</v>
      </c>
      <c r="O11" s="125">
        <f>SUM(F11-SUM(L11:N11))</f>
        <v>563</v>
      </c>
      <c r="P11" s="81">
        <v>647</v>
      </c>
      <c r="Q11" s="81">
        <v>1122</v>
      </c>
      <c r="R11" s="81">
        <v>1298</v>
      </c>
      <c r="S11" s="11"/>
      <c r="T11" s="125">
        <f t="shared" si="1"/>
        <v>5377</v>
      </c>
      <c r="U11" s="125">
        <f t="shared" si="1"/>
        <v>4444</v>
      </c>
      <c r="V11" s="125">
        <f t="shared" si="1"/>
        <v>3400</v>
      </c>
      <c r="W11" s="125">
        <f t="shared" si="1"/>
        <v>2595</v>
      </c>
      <c r="X11" s="125">
        <f t="shared" si="1"/>
        <v>2320</v>
      </c>
      <c r="Y11" s="125">
        <f t="shared" si="1"/>
        <v>2794</v>
      </c>
      <c r="Z11" s="125">
        <f t="shared" si="1"/>
        <v>3630</v>
      </c>
      <c r="AB11" s="12">
        <f t="shared" si="2"/>
        <v>6.7647058823529393E-2</v>
      </c>
    </row>
    <row r="12" spans="1:28" ht="12.75" customHeight="1">
      <c r="B12" s="9" t="s">
        <v>160</v>
      </c>
      <c r="C12" s="81">
        <v>246</v>
      </c>
      <c r="D12" s="81">
        <v>4552</v>
      </c>
      <c r="E12" s="81">
        <v>5321</v>
      </c>
      <c r="F12" s="81">
        <v>3557</v>
      </c>
      <c r="G12" s="81"/>
      <c r="H12" s="81">
        <v>1562</v>
      </c>
      <c r="I12" s="81">
        <v>1459</v>
      </c>
      <c r="J12" s="81">
        <v>1243</v>
      </c>
      <c r="K12" s="125">
        <f>SUM(E12-SUM(H12:J12))</f>
        <v>1057</v>
      </c>
      <c r="L12" s="81">
        <v>846</v>
      </c>
      <c r="M12" s="81">
        <v>861</v>
      </c>
      <c r="N12" s="81">
        <v>927</v>
      </c>
      <c r="O12" s="125">
        <f>SUM(F12-SUM(L12:N12))</f>
        <v>923</v>
      </c>
      <c r="P12" s="81">
        <v>823</v>
      </c>
      <c r="Q12" s="81">
        <v>824</v>
      </c>
      <c r="R12" s="81">
        <v>857</v>
      </c>
      <c r="S12" s="11"/>
      <c r="T12" s="125">
        <f t="shared" si="1"/>
        <v>4605</v>
      </c>
      <c r="U12" s="125">
        <f t="shared" si="1"/>
        <v>4007</v>
      </c>
      <c r="V12" s="125">
        <f t="shared" si="1"/>
        <v>3691</v>
      </c>
      <c r="W12" s="125">
        <f t="shared" si="1"/>
        <v>3557</v>
      </c>
      <c r="X12" s="125">
        <f t="shared" si="1"/>
        <v>3534</v>
      </c>
      <c r="Y12" s="125">
        <f t="shared" si="1"/>
        <v>3497</v>
      </c>
      <c r="Z12" s="125">
        <f t="shared" si="1"/>
        <v>3427</v>
      </c>
      <c r="AB12" s="12">
        <f t="shared" si="2"/>
        <v>-7.1525331888377175E-2</v>
      </c>
    </row>
    <row r="13" spans="1:28" ht="12.75" customHeight="1">
      <c r="B13" s="13" t="s">
        <v>67</v>
      </c>
      <c r="C13" s="34">
        <f>SUM(C9:C12)</f>
        <v>16434</v>
      </c>
      <c r="D13" s="34">
        <f>SUM(D9:D12)</f>
        <v>23601</v>
      </c>
      <c r="E13" s="34">
        <f>SUM(E9:E12)</f>
        <v>22680</v>
      </c>
      <c r="F13" s="34">
        <f>SUM(F9:F12)</f>
        <v>25785</v>
      </c>
      <c r="G13" s="11"/>
      <c r="H13" s="34">
        <f>SUM(H9:H12)</f>
        <v>5353</v>
      </c>
      <c r="I13" s="34">
        <f>SUM(I9:I12)</f>
        <v>5359</v>
      </c>
      <c r="J13" s="34">
        <f>SUM(J9:J12)</f>
        <v>5800</v>
      </c>
      <c r="K13" s="34">
        <f>SUM(K9:K12)</f>
        <v>6168</v>
      </c>
      <c r="L13" s="34">
        <f>SUM(L9:L12)</f>
        <v>5473</v>
      </c>
      <c r="M13" s="34">
        <f>SUM(M9:M12)</f>
        <v>5835</v>
      </c>
      <c r="N13" s="34">
        <f>SUM(N9:N12)</f>
        <v>6819</v>
      </c>
      <c r="O13" s="34">
        <f>SUM(O9:O12)</f>
        <v>7658</v>
      </c>
      <c r="P13" s="34">
        <f>SUM(P9:P12)</f>
        <v>7438</v>
      </c>
      <c r="Q13" s="34">
        <f>SUM(Q9:Q12)</f>
        <v>7685</v>
      </c>
      <c r="R13" s="34">
        <f>SUM(R9:R12)</f>
        <v>9246</v>
      </c>
      <c r="S13" s="5"/>
      <c r="T13" s="34">
        <f>SUM(T9:T12)</f>
        <v>22800</v>
      </c>
      <c r="U13" s="34">
        <f>SUM(U9:U12)</f>
        <v>23276</v>
      </c>
      <c r="V13" s="34">
        <f>SUM(V9:V12)</f>
        <v>24295</v>
      </c>
      <c r="W13" s="34">
        <f>SUM(W9:W12)</f>
        <v>25785</v>
      </c>
      <c r="X13" s="34">
        <f>SUM(X9:X12)</f>
        <v>27750</v>
      </c>
      <c r="Y13" s="34">
        <f>SUM(Y9:Y12)</f>
        <v>29600</v>
      </c>
      <c r="Z13" s="34">
        <f>SUM(Z9:Z12)</f>
        <v>32027</v>
      </c>
      <c r="AB13" s="15">
        <f t="shared" si="2"/>
        <v>0.31825478493517179</v>
      </c>
    </row>
    <row r="14" spans="1:28">
      <c r="B14" s="133" t="s">
        <v>91</v>
      </c>
      <c r="C14" s="79">
        <f>+C13-'Historical Financials'!C11</f>
        <v>0</v>
      </c>
      <c r="D14" s="79">
        <f>+D13-'Historical Financials'!D11</f>
        <v>0</v>
      </c>
      <c r="E14" s="79">
        <f>+E13-'Historical Financials'!E11</f>
        <v>0</v>
      </c>
      <c r="F14" s="79">
        <f>+F13-'Historical Financials'!F11</f>
        <v>0</v>
      </c>
      <c r="G14" s="11"/>
      <c r="H14" s="79">
        <f>H13-'Historical Financials'!H11</f>
        <v>0</v>
      </c>
      <c r="I14" s="79">
        <f>I13-'Historical Financials'!I11</f>
        <v>0</v>
      </c>
      <c r="J14" s="79">
        <f>J13-'Historical Financials'!J11</f>
        <v>0</v>
      </c>
      <c r="K14" s="79">
        <f>K13-'Historical Financials'!K11</f>
        <v>0</v>
      </c>
      <c r="L14" s="79">
        <f>L13-'Historical Financials'!L11</f>
        <v>0</v>
      </c>
      <c r="M14" s="79">
        <f>M13-'Historical Financials'!M11</f>
        <v>0</v>
      </c>
      <c r="N14" s="79">
        <f>N13-'Historical Financials'!N11</f>
        <v>0</v>
      </c>
      <c r="O14" s="79">
        <f>O13-'Historical Financials'!O11</f>
        <v>0</v>
      </c>
      <c r="P14" s="79">
        <f>P13-'Historical Financials'!P11</f>
        <v>0</v>
      </c>
      <c r="Q14" s="79">
        <f>Q13-'Historical Financials'!Q11</f>
        <v>0</v>
      </c>
      <c r="R14" s="79">
        <f>R13-'Historical Financials'!R11</f>
        <v>0</v>
      </c>
      <c r="S14" s="79"/>
      <c r="T14" s="79">
        <f>+T13-'Historical Financials'!U11</f>
        <v>0</v>
      </c>
      <c r="U14" s="79">
        <f>+U13-'Historical Financials'!V11</f>
        <v>0</v>
      </c>
      <c r="V14" s="79">
        <f>+V13-'Historical Financials'!W11</f>
        <v>0</v>
      </c>
      <c r="W14" s="79">
        <f>+W13-'Historical Financials'!X11</f>
        <v>0</v>
      </c>
      <c r="X14" s="79">
        <f>+X13-'Historical Financials'!Y11</f>
        <v>0</v>
      </c>
      <c r="Y14" s="79">
        <f>+Y13-'Historical Financials'!Z11</f>
        <v>0</v>
      </c>
      <c r="Z14" s="79">
        <f>Z13-'Historical Financials'!AA11</f>
        <v>0</v>
      </c>
    </row>
    <row r="15" spans="1:28" ht="5.0999999999999996" customHeight="1">
      <c r="B15" s="18"/>
      <c r="C15" s="19"/>
      <c r="D15" s="19"/>
      <c r="E15" s="19"/>
      <c r="F15" s="19"/>
      <c r="G15" s="20"/>
      <c r="H15" s="21"/>
      <c r="I15" s="21"/>
      <c r="J15" s="21"/>
      <c r="K15" s="22"/>
      <c r="L15" s="21"/>
      <c r="M15" s="21"/>
      <c r="N15" s="21"/>
      <c r="O15" s="21"/>
      <c r="P15" s="21"/>
      <c r="Q15" s="21"/>
      <c r="R15" s="21"/>
      <c r="S15" s="20"/>
      <c r="T15" s="20"/>
      <c r="U15" s="20"/>
      <c r="V15" s="20"/>
      <c r="W15" s="20"/>
      <c r="X15" s="20"/>
      <c r="Y15" s="20"/>
      <c r="Z15" s="20"/>
    </row>
  </sheetData>
  <mergeCells count="1">
    <mergeCell ref="AB2:AB4"/>
  </mergeCells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B9:AB12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E98"/>
  <sheetViews>
    <sheetView showGridLines="0" zoomScale="115" zoomScaleNormal="115" workbookViewId="0">
      <selection activeCell="B2" sqref="B2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30" bestFit="1" customWidth="1"/>
    <col min="30" max="16384" width="9" style="8"/>
  </cols>
  <sheetData>
    <row r="2" spans="2:29" s="5" customFormat="1" ht="12.75" customHeight="1">
      <c r="B2" s="1" t="str">
        <f>'Historical Financials'!B2</f>
        <v>Advanced Micro Devices Inc. (NASDAQ: AMD)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51" t="s">
        <v>24</v>
      </c>
    </row>
    <row r="3" spans="2:29" s="5" customFormat="1" ht="12.75" customHeight="1">
      <c r="B3" s="6" t="s">
        <v>25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1Q23</v>
      </c>
      <c r="I3" s="7" t="str">
        <f>'Historical Financials'!I7</f>
        <v>2Q23</v>
      </c>
      <c r="J3" s="7" t="str">
        <f>'Historical Financials'!J7</f>
        <v>3Q23</v>
      </c>
      <c r="K3" s="7" t="str">
        <f>'Historical Financials'!K7</f>
        <v>4Q23</v>
      </c>
      <c r="L3" s="7" t="str">
        <f>'Historical Financials'!L7</f>
        <v>1Q24</v>
      </c>
      <c r="M3" s="7" t="str">
        <f>'Historical Financials'!M7</f>
        <v>2Q24</v>
      </c>
      <c r="N3" s="7" t="str">
        <f>'Historical Financials'!N7</f>
        <v>3Q24</v>
      </c>
      <c r="O3" s="7" t="str">
        <f>'Historical Financials'!O7</f>
        <v>4Q24</v>
      </c>
      <c r="P3" s="7" t="str">
        <f>'Historical Financials'!P7</f>
        <v>1Q25</v>
      </c>
      <c r="Q3" s="7" t="str">
        <f>'Historical Financials'!Q7</f>
        <v>2Q25</v>
      </c>
      <c r="R3" s="7" t="str">
        <f>'Historical Financials'!R7</f>
        <v>3Q25</v>
      </c>
      <c r="S3" s="3"/>
      <c r="T3" s="4" t="str">
        <f>K3</f>
        <v>4Q23</v>
      </c>
      <c r="U3" s="4" t="str">
        <f>L3</f>
        <v>1Q24</v>
      </c>
      <c r="V3" s="4" t="str">
        <f>M3</f>
        <v>2Q24</v>
      </c>
      <c r="W3" s="4" t="str">
        <f>N3</f>
        <v>3Q24</v>
      </c>
      <c r="X3" s="4" t="str">
        <f>O3</f>
        <v>4Q24</v>
      </c>
      <c r="Y3" s="4" t="str">
        <f>P3</f>
        <v>1Q25</v>
      </c>
      <c r="Z3" s="4" t="str">
        <f>Q3</f>
        <v>2Q25</v>
      </c>
      <c r="AA3" s="4" t="str">
        <f>R3</f>
        <v>3Q25</v>
      </c>
      <c r="AB3" s="3"/>
      <c r="AC3" s="151"/>
    </row>
    <row r="4" spans="2:29" s="5" customFormat="1" ht="12.75" customHeight="1">
      <c r="B4" s="6" t="s">
        <v>73</v>
      </c>
      <c r="C4" s="3">
        <f>'Historical Financials'!C8</f>
        <v>44555</v>
      </c>
      <c r="D4" s="3">
        <f>'Historical Financials'!D8</f>
        <v>44926</v>
      </c>
      <c r="E4" s="3">
        <f>'Historical Financials'!E8</f>
        <v>45290</v>
      </c>
      <c r="F4" s="3">
        <f>'Historical Financials'!F8</f>
        <v>45654</v>
      </c>
      <c r="G4" s="3"/>
      <c r="H4" s="3">
        <f>'Historical Financials'!H8</f>
        <v>45017</v>
      </c>
      <c r="I4" s="3">
        <f>'Historical Financials'!I8</f>
        <v>45108</v>
      </c>
      <c r="J4" s="3">
        <f>'Historical Financials'!J8</f>
        <v>45199</v>
      </c>
      <c r="K4" s="3">
        <f>'Historical Financials'!K8</f>
        <v>45290</v>
      </c>
      <c r="L4" s="3">
        <f>'Historical Financials'!L8</f>
        <v>45381</v>
      </c>
      <c r="M4" s="3">
        <f>'Historical Financials'!M8</f>
        <v>45472</v>
      </c>
      <c r="N4" s="3">
        <f>'Historical Financials'!N8</f>
        <v>45563</v>
      </c>
      <c r="O4" s="3">
        <f>'Historical Financials'!O8</f>
        <v>45654</v>
      </c>
      <c r="P4" s="3">
        <f>'Historical Financials'!P8</f>
        <v>45745</v>
      </c>
      <c r="Q4" s="3">
        <f>'Historical Financials'!Q8</f>
        <v>45836</v>
      </c>
      <c r="R4" s="3">
        <f>'Historical Financials'!R8</f>
        <v>45927</v>
      </c>
      <c r="S4" s="3"/>
      <c r="T4" s="3">
        <f>K4</f>
        <v>45290</v>
      </c>
      <c r="U4" s="3">
        <f>L4</f>
        <v>45381</v>
      </c>
      <c r="V4" s="3">
        <f>M4</f>
        <v>45472</v>
      </c>
      <c r="W4" s="3">
        <f>N4</f>
        <v>45563</v>
      </c>
      <c r="X4" s="3">
        <f>O4</f>
        <v>45654</v>
      </c>
      <c r="Y4" s="3">
        <f>P4</f>
        <v>45745</v>
      </c>
      <c r="Z4" s="3">
        <f>Q4</f>
        <v>45836</v>
      </c>
      <c r="AA4" s="3">
        <f>R4</f>
        <v>45927</v>
      </c>
      <c r="AB4" s="3"/>
      <c r="AC4" s="151"/>
    </row>
    <row r="5" spans="2:29" ht="5.0999999999999996" customHeight="1">
      <c r="AC5" s="126"/>
    </row>
    <row r="6" spans="2:29" ht="12.75" customHeight="1">
      <c r="B6" s="9" t="str">
        <f>'Revenue Drivers'!B9</f>
        <v>Data Center</v>
      </c>
      <c r="C6" s="94">
        <f>'Revenue Drivers'!C9</f>
        <v>3694</v>
      </c>
      <c r="D6" s="94">
        <f>'Revenue Drivers'!D9</f>
        <v>6043</v>
      </c>
      <c r="E6" s="94">
        <f>'Revenue Drivers'!E9</f>
        <v>6496</v>
      </c>
      <c r="F6" s="94">
        <f>'Revenue Drivers'!F9</f>
        <v>12579</v>
      </c>
      <c r="G6" s="10"/>
      <c r="H6" s="94">
        <f>'Revenue Drivers'!H9</f>
        <v>1295</v>
      </c>
      <c r="I6" s="94">
        <f>'Revenue Drivers'!I9</f>
        <v>1321</v>
      </c>
      <c r="J6" s="94">
        <f>'Revenue Drivers'!J9</f>
        <v>1598</v>
      </c>
      <c r="K6" s="94">
        <f>'Revenue Drivers'!K9</f>
        <v>2282</v>
      </c>
      <c r="L6" s="94">
        <f>'Revenue Drivers'!L9</f>
        <v>2337</v>
      </c>
      <c r="M6" s="94">
        <f>'Revenue Drivers'!M9</f>
        <v>2834</v>
      </c>
      <c r="N6" s="94">
        <f>'Revenue Drivers'!N9</f>
        <v>3549</v>
      </c>
      <c r="O6" s="94">
        <f>'Revenue Drivers'!O9</f>
        <v>3859</v>
      </c>
      <c r="P6" s="94">
        <f>'Revenue Drivers'!P9</f>
        <v>3674</v>
      </c>
      <c r="Q6" s="94">
        <f>'Revenue Drivers'!Q9</f>
        <v>3240</v>
      </c>
      <c r="R6" s="94">
        <f>'Revenue Drivers'!R9</f>
        <v>4341</v>
      </c>
      <c r="S6" s="5"/>
      <c r="T6" s="144">
        <f t="shared" ref="T6:Z9" si="0">SUM(H6:K6)</f>
        <v>6496</v>
      </c>
      <c r="U6" s="144">
        <f t="shared" si="0"/>
        <v>7538</v>
      </c>
      <c r="V6" s="144">
        <f t="shared" si="0"/>
        <v>9051</v>
      </c>
      <c r="W6" s="144">
        <f t="shared" si="0"/>
        <v>11002</v>
      </c>
      <c r="X6" s="144">
        <f t="shared" si="0"/>
        <v>12579</v>
      </c>
      <c r="Y6" s="144">
        <f t="shared" si="0"/>
        <v>13916</v>
      </c>
      <c r="Z6" s="144">
        <f t="shared" si="0"/>
        <v>14322</v>
      </c>
      <c r="AA6" s="144">
        <f>SUM(O6:R6)</f>
        <v>15114</v>
      </c>
      <c r="AC6" s="127">
        <f t="shared" ref="AC6:AC10" si="1">SUM(AA6/W6)-1</f>
        <v>0.37375022723141238</v>
      </c>
    </row>
    <row r="7" spans="2:29" ht="12.75" customHeight="1">
      <c r="B7" s="9" t="str">
        <f>'Revenue Drivers'!B10</f>
        <v>Client</v>
      </c>
      <c r="C7" s="94">
        <f>'Revenue Drivers'!C10</f>
        <v>6887</v>
      </c>
      <c r="D7" s="94">
        <f>'Revenue Drivers'!D10</f>
        <v>6201</v>
      </c>
      <c r="E7" s="94">
        <f>'Revenue Drivers'!E10</f>
        <v>4651</v>
      </c>
      <c r="F7" s="94">
        <f>'Revenue Drivers'!F10</f>
        <v>7054</v>
      </c>
      <c r="G7" s="10"/>
      <c r="H7" s="94">
        <f>'Revenue Drivers'!H10</f>
        <v>739</v>
      </c>
      <c r="I7" s="94">
        <f>'Revenue Drivers'!I10</f>
        <v>998</v>
      </c>
      <c r="J7" s="94">
        <f>'Revenue Drivers'!J10</f>
        <v>1453</v>
      </c>
      <c r="K7" s="94">
        <f>'Revenue Drivers'!K10</f>
        <v>1461</v>
      </c>
      <c r="L7" s="94">
        <f>'Revenue Drivers'!L10</f>
        <v>1368</v>
      </c>
      <c r="M7" s="94">
        <f>'Revenue Drivers'!M10</f>
        <v>1492</v>
      </c>
      <c r="N7" s="94">
        <f>'Revenue Drivers'!N10</f>
        <v>1881</v>
      </c>
      <c r="O7" s="94">
        <f>'Revenue Drivers'!O10</f>
        <v>2313</v>
      </c>
      <c r="P7" s="94">
        <f>'Revenue Drivers'!P10</f>
        <v>2294</v>
      </c>
      <c r="Q7" s="94">
        <f>'Revenue Drivers'!Q10</f>
        <v>2499</v>
      </c>
      <c r="R7" s="94">
        <f>'Revenue Drivers'!R10</f>
        <v>2750</v>
      </c>
      <c r="S7" s="5"/>
      <c r="T7" s="144">
        <f t="shared" si="0"/>
        <v>4651</v>
      </c>
      <c r="U7" s="144">
        <f t="shared" si="0"/>
        <v>5280</v>
      </c>
      <c r="V7" s="144">
        <f t="shared" si="0"/>
        <v>5774</v>
      </c>
      <c r="W7" s="144">
        <f t="shared" si="0"/>
        <v>6202</v>
      </c>
      <c r="X7" s="144">
        <f t="shared" si="0"/>
        <v>7054</v>
      </c>
      <c r="Y7" s="144">
        <f t="shared" si="0"/>
        <v>7980</v>
      </c>
      <c r="Z7" s="144">
        <f t="shared" si="0"/>
        <v>8987</v>
      </c>
      <c r="AA7" s="144">
        <f>SUM(O7:R7)</f>
        <v>9856</v>
      </c>
      <c r="AC7" s="127">
        <f t="shared" si="1"/>
        <v>0.5891647855530473</v>
      </c>
    </row>
    <row r="8" spans="2:29" ht="12.75" customHeight="1">
      <c r="B8" s="9" t="str">
        <f>'Revenue Drivers'!B11</f>
        <v>Gaming</v>
      </c>
      <c r="C8" s="94">
        <f>'Revenue Drivers'!C11</f>
        <v>5607</v>
      </c>
      <c r="D8" s="94">
        <f>'Revenue Drivers'!D11</f>
        <v>6805</v>
      </c>
      <c r="E8" s="94">
        <f>'Revenue Drivers'!E11</f>
        <v>6212</v>
      </c>
      <c r="F8" s="94">
        <f>'Revenue Drivers'!F11</f>
        <v>2595</v>
      </c>
      <c r="G8" s="10"/>
      <c r="H8" s="94">
        <f>'Revenue Drivers'!H11</f>
        <v>1757</v>
      </c>
      <c r="I8" s="94">
        <f>'Revenue Drivers'!I11</f>
        <v>1581</v>
      </c>
      <c r="J8" s="94">
        <f>'Revenue Drivers'!J11</f>
        <v>1506</v>
      </c>
      <c r="K8" s="94">
        <f>'Revenue Drivers'!K11</f>
        <v>1368</v>
      </c>
      <c r="L8" s="94">
        <f>'Revenue Drivers'!L11</f>
        <v>922</v>
      </c>
      <c r="M8" s="94">
        <f>'Revenue Drivers'!M11</f>
        <v>648</v>
      </c>
      <c r="N8" s="94">
        <f>'Revenue Drivers'!N11</f>
        <v>462</v>
      </c>
      <c r="O8" s="94">
        <f>'Revenue Drivers'!O11</f>
        <v>563</v>
      </c>
      <c r="P8" s="94">
        <f>'Revenue Drivers'!P11</f>
        <v>647</v>
      </c>
      <c r="Q8" s="94">
        <f>'Revenue Drivers'!Q11</f>
        <v>1122</v>
      </c>
      <c r="R8" s="94">
        <f>'Revenue Drivers'!R11</f>
        <v>1298</v>
      </c>
      <c r="S8" s="5"/>
      <c r="T8" s="144">
        <f t="shared" si="0"/>
        <v>6212</v>
      </c>
      <c r="U8" s="144">
        <f t="shared" si="0"/>
        <v>5377</v>
      </c>
      <c r="V8" s="144">
        <f t="shared" si="0"/>
        <v>4444</v>
      </c>
      <c r="W8" s="144">
        <f t="shared" si="0"/>
        <v>3400</v>
      </c>
      <c r="X8" s="144">
        <f t="shared" si="0"/>
        <v>2595</v>
      </c>
      <c r="Y8" s="144">
        <f t="shared" si="0"/>
        <v>2320</v>
      </c>
      <c r="Z8" s="144">
        <f t="shared" si="0"/>
        <v>2794</v>
      </c>
      <c r="AA8" s="144">
        <f>SUM(O8:R8)</f>
        <v>3630</v>
      </c>
      <c r="AC8" s="127">
        <f t="shared" si="1"/>
        <v>6.7647058823529393E-2</v>
      </c>
    </row>
    <row r="9" spans="2:29" ht="12.75" customHeight="1">
      <c r="B9" s="9" t="str">
        <f>'Revenue Drivers'!B12</f>
        <v>Embedded</v>
      </c>
      <c r="C9" s="94">
        <f>'Revenue Drivers'!C12</f>
        <v>246</v>
      </c>
      <c r="D9" s="94">
        <f>'Revenue Drivers'!D12</f>
        <v>4552</v>
      </c>
      <c r="E9" s="94">
        <f>'Revenue Drivers'!E12</f>
        <v>5321</v>
      </c>
      <c r="F9" s="94">
        <f>'Revenue Drivers'!F12</f>
        <v>3557</v>
      </c>
      <c r="G9" s="10"/>
      <c r="H9" s="94">
        <f>'Revenue Drivers'!H12</f>
        <v>1562</v>
      </c>
      <c r="I9" s="94">
        <f>'Revenue Drivers'!I12</f>
        <v>1459</v>
      </c>
      <c r="J9" s="94">
        <f>'Revenue Drivers'!J12</f>
        <v>1243</v>
      </c>
      <c r="K9" s="94">
        <f>'Revenue Drivers'!K12</f>
        <v>1057</v>
      </c>
      <c r="L9" s="94">
        <f>'Revenue Drivers'!L12</f>
        <v>846</v>
      </c>
      <c r="M9" s="94">
        <f>'Revenue Drivers'!M12</f>
        <v>861</v>
      </c>
      <c r="N9" s="94">
        <f>'Revenue Drivers'!N12</f>
        <v>927</v>
      </c>
      <c r="O9" s="94">
        <f>'Revenue Drivers'!O12</f>
        <v>923</v>
      </c>
      <c r="P9" s="94">
        <f>'Revenue Drivers'!P12</f>
        <v>823</v>
      </c>
      <c r="Q9" s="94">
        <f>'Revenue Drivers'!Q12</f>
        <v>824</v>
      </c>
      <c r="R9" s="94">
        <f>'Revenue Drivers'!R12</f>
        <v>857</v>
      </c>
      <c r="S9" s="5"/>
      <c r="T9" s="144">
        <f t="shared" si="0"/>
        <v>5321</v>
      </c>
      <c r="U9" s="144">
        <f t="shared" si="0"/>
        <v>4605</v>
      </c>
      <c r="V9" s="144">
        <f t="shared" si="0"/>
        <v>4007</v>
      </c>
      <c r="W9" s="144">
        <f t="shared" si="0"/>
        <v>3691</v>
      </c>
      <c r="X9" s="144">
        <f t="shared" si="0"/>
        <v>3557</v>
      </c>
      <c r="Y9" s="144">
        <f t="shared" si="0"/>
        <v>3534</v>
      </c>
      <c r="Z9" s="144">
        <f t="shared" si="0"/>
        <v>3497</v>
      </c>
      <c r="AA9" s="144">
        <f>SUM(O9:R9)</f>
        <v>3427</v>
      </c>
      <c r="AC9" s="127">
        <f t="shared" si="1"/>
        <v>-7.1525331888377175E-2</v>
      </c>
    </row>
    <row r="10" spans="2:29" ht="12.75" customHeight="1">
      <c r="B10" s="13" t="s">
        <v>12</v>
      </c>
      <c r="C10" s="14">
        <f>SUM(C6:C9)</f>
        <v>16434</v>
      </c>
      <c r="D10" s="14">
        <f>SUM(D6:D9)</f>
        <v>23601</v>
      </c>
      <c r="E10" s="14">
        <f>SUM(E6:E9)</f>
        <v>22680</v>
      </c>
      <c r="F10" s="14">
        <f>SUM(F6:F9)</f>
        <v>25785</v>
      </c>
      <c r="G10" s="10"/>
      <c r="H10" s="14">
        <f>SUM(H6:H9)</f>
        <v>5353</v>
      </c>
      <c r="I10" s="14">
        <f>SUM(I6:I9)</f>
        <v>5359</v>
      </c>
      <c r="J10" s="14">
        <f>SUM(J6:J9)</f>
        <v>5800</v>
      </c>
      <c r="K10" s="14">
        <f>SUM(K6:K9)</f>
        <v>6168</v>
      </c>
      <c r="L10" s="14">
        <f>SUM(L6:L9)</f>
        <v>5473</v>
      </c>
      <c r="M10" s="14">
        <f>SUM(M6:M9)</f>
        <v>5835</v>
      </c>
      <c r="N10" s="14">
        <f>SUM(N6:N9)</f>
        <v>6819</v>
      </c>
      <c r="O10" s="14">
        <f>SUM(O6:O9)</f>
        <v>7658</v>
      </c>
      <c r="P10" s="14">
        <f>SUM(P6:P9)</f>
        <v>7438</v>
      </c>
      <c r="Q10" s="14">
        <f>SUM(Q6:Q9)</f>
        <v>7685</v>
      </c>
      <c r="R10" s="14">
        <f>SUM(R6:R9)</f>
        <v>9246</v>
      </c>
      <c r="S10" s="5"/>
      <c r="T10" s="14">
        <f t="shared" ref="T10:AA10" si="2">SUM(T6:T9)</f>
        <v>22680</v>
      </c>
      <c r="U10" s="14">
        <f t="shared" si="2"/>
        <v>22800</v>
      </c>
      <c r="V10" s="14">
        <f t="shared" si="2"/>
        <v>23276</v>
      </c>
      <c r="W10" s="14">
        <f t="shared" si="2"/>
        <v>24295</v>
      </c>
      <c r="X10" s="14">
        <f t="shared" si="2"/>
        <v>25785</v>
      </c>
      <c r="Y10" s="14">
        <f t="shared" si="2"/>
        <v>27750</v>
      </c>
      <c r="Z10" s="14">
        <f t="shared" si="2"/>
        <v>29600</v>
      </c>
      <c r="AA10" s="14">
        <f t="shared" si="2"/>
        <v>32027</v>
      </c>
      <c r="AC10" s="128">
        <f t="shared" si="1"/>
        <v>0.31825478493517179</v>
      </c>
    </row>
    <row r="11" spans="2:29" ht="12.75" customHeight="1">
      <c r="B11" s="16" t="s">
        <v>28</v>
      </c>
      <c r="C11" s="115"/>
      <c r="D11" s="17">
        <f>SUM(D10/C10)-1</f>
        <v>0.43610806863818907</v>
      </c>
      <c r="E11" s="17">
        <f>SUM(E10/D10)-1</f>
        <v>-3.9023770179229644E-2</v>
      </c>
      <c r="F11" s="17">
        <f>SUM(F10/E10)-1</f>
        <v>0.13690476190476186</v>
      </c>
      <c r="G11" s="11"/>
      <c r="H11" s="115"/>
      <c r="I11" s="115"/>
      <c r="J11" s="115"/>
      <c r="K11" s="115"/>
      <c r="L11" s="17">
        <f t="shared" ref="L11:R11" si="3">SUM(L10/H10)-1</f>
        <v>2.2417336073230043E-2</v>
      </c>
      <c r="M11" s="17">
        <f t="shared" si="3"/>
        <v>8.882254151894009E-2</v>
      </c>
      <c r="N11" s="17">
        <f t="shared" si="3"/>
        <v>0.17568965517241386</v>
      </c>
      <c r="O11" s="17">
        <f t="shared" si="3"/>
        <v>0.24156939040207526</v>
      </c>
      <c r="P11" s="17">
        <f t="shared" si="3"/>
        <v>0.35903526402338759</v>
      </c>
      <c r="Q11" s="17">
        <f t="shared" si="3"/>
        <v>0.31705227077977716</v>
      </c>
      <c r="R11" s="17">
        <f t="shared" si="3"/>
        <v>0.35591728992520899</v>
      </c>
      <c r="S11" s="5"/>
      <c r="T11" s="115"/>
      <c r="U11" s="115"/>
      <c r="V11" s="115"/>
      <c r="W11" s="115"/>
      <c r="X11" s="17">
        <f t="shared" ref="X11:AA11" si="4">SUM(X10/T10)-1</f>
        <v>0.13690476190476186</v>
      </c>
      <c r="Y11" s="17">
        <f t="shared" si="4"/>
        <v>0.21710526315789469</v>
      </c>
      <c r="Z11" s="17">
        <f t="shared" si="4"/>
        <v>0.27169616772641336</v>
      </c>
      <c r="AA11" s="17">
        <f t="shared" si="4"/>
        <v>0.31825478493517179</v>
      </c>
      <c r="AC11" s="129">
        <f>SUM(AA11-W11)*10000</f>
        <v>3182.547849351718</v>
      </c>
    </row>
    <row r="12" spans="2:29" ht="12.75" customHeight="1">
      <c r="B12" s="16" t="s">
        <v>29</v>
      </c>
      <c r="C12" s="17" t="s">
        <v>30</v>
      </c>
      <c r="D12" s="17" t="s">
        <v>30</v>
      </c>
      <c r="E12" s="17" t="s">
        <v>30</v>
      </c>
      <c r="F12" s="17" t="s">
        <v>30</v>
      </c>
      <c r="G12" s="11"/>
      <c r="H12" s="115"/>
      <c r="I12" s="17">
        <f t="shared" ref="I12:R12" si="5">SUM(I10/H10)-1</f>
        <v>1.1208668036615244E-3</v>
      </c>
      <c r="J12" s="17">
        <f t="shared" si="5"/>
        <v>8.2291472289606205E-2</v>
      </c>
      <c r="K12" s="17">
        <f t="shared" si="5"/>
        <v>6.3448275862068915E-2</v>
      </c>
      <c r="L12" s="17">
        <f t="shared" si="5"/>
        <v>-0.11267833981841768</v>
      </c>
      <c r="M12" s="17">
        <f t="shared" si="5"/>
        <v>6.6142883245021045E-2</v>
      </c>
      <c r="N12" s="17">
        <f t="shared" si="5"/>
        <v>0.16863753213367616</v>
      </c>
      <c r="O12" s="17">
        <f t="shared" si="5"/>
        <v>0.12303856870508878</v>
      </c>
      <c r="P12" s="17">
        <f t="shared" si="5"/>
        <v>-2.8728127448419905E-2</v>
      </c>
      <c r="Q12" s="17">
        <f t="shared" si="5"/>
        <v>3.3207851573003433E-2</v>
      </c>
      <c r="R12" s="17">
        <f t="shared" si="5"/>
        <v>0.20312296681847752</v>
      </c>
      <c r="S12" s="5"/>
      <c r="T12" s="17" t="s">
        <v>30</v>
      </c>
      <c r="U12" s="17" t="s">
        <v>30</v>
      </c>
      <c r="V12" s="17" t="s">
        <v>30</v>
      </c>
      <c r="W12" s="17" t="s">
        <v>30</v>
      </c>
      <c r="X12" s="17" t="s">
        <v>30</v>
      </c>
      <c r="Y12" s="17" t="s">
        <v>30</v>
      </c>
      <c r="Z12" s="17" t="s">
        <v>30</v>
      </c>
      <c r="AA12" s="17" t="s">
        <v>30</v>
      </c>
      <c r="AC12" s="126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6"/>
    </row>
    <row r="14" spans="2:29" ht="12.75" customHeight="1">
      <c r="B14" s="23" t="s">
        <v>174</v>
      </c>
      <c r="C14" s="94">
        <f>'Historical Financials'!C13</f>
        <v>-8505</v>
      </c>
      <c r="D14" s="94">
        <f>'Historical Financials'!D13</f>
        <v>-11550</v>
      </c>
      <c r="E14" s="94">
        <f>'Historical Financials'!E13</f>
        <v>-11278</v>
      </c>
      <c r="F14" s="94">
        <f>'Historical Financials'!F13</f>
        <v>-12114</v>
      </c>
      <c r="G14" s="10"/>
      <c r="H14" s="94">
        <f>'Historical Financials'!H13</f>
        <v>-2689</v>
      </c>
      <c r="I14" s="94">
        <f>'Historical Financials'!I13</f>
        <v>-2704</v>
      </c>
      <c r="J14" s="94">
        <f>'Historical Financials'!J13</f>
        <v>-2843</v>
      </c>
      <c r="K14" s="94">
        <f>'Historical Financials'!K13</f>
        <v>-3042</v>
      </c>
      <c r="L14" s="94">
        <f>'Historical Financials'!L13</f>
        <v>-2683</v>
      </c>
      <c r="M14" s="94">
        <f>'Historical Financials'!M13</f>
        <v>-2740</v>
      </c>
      <c r="N14" s="94">
        <f>'Historical Financials'!N13</f>
        <v>-3167</v>
      </c>
      <c r="O14" s="94">
        <f>'Historical Financials'!O13</f>
        <v>-3524</v>
      </c>
      <c r="P14" s="94">
        <f>'Historical Financials'!P13</f>
        <v>-3451</v>
      </c>
      <c r="Q14" s="94">
        <f>'Historical Financials'!Q13</f>
        <v>-4366</v>
      </c>
      <c r="R14" s="94">
        <f>'Historical Financials'!R13</f>
        <v>-4206</v>
      </c>
      <c r="S14" s="5"/>
      <c r="T14" s="144">
        <f t="shared" ref="T14:Z15" si="6">SUM(H14:K14)</f>
        <v>-11278</v>
      </c>
      <c r="U14" s="144">
        <f t="shared" si="6"/>
        <v>-11272</v>
      </c>
      <c r="V14" s="144">
        <f t="shared" si="6"/>
        <v>-11308</v>
      </c>
      <c r="W14" s="144">
        <f t="shared" si="6"/>
        <v>-11632</v>
      </c>
      <c r="X14" s="144">
        <f t="shared" si="6"/>
        <v>-12114</v>
      </c>
      <c r="Y14" s="144">
        <f t="shared" si="6"/>
        <v>-12882</v>
      </c>
      <c r="Z14" s="144">
        <f t="shared" si="6"/>
        <v>-14508</v>
      </c>
      <c r="AA14" s="144">
        <f>SUM(O14:R14)</f>
        <v>-15547</v>
      </c>
      <c r="AC14" s="127">
        <f t="shared" ref="AC14:AC15" si="7">SUM(AA14/W14)-1</f>
        <v>0.33657152682255842</v>
      </c>
    </row>
    <row r="15" spans="2:29" ht="12.75" customHeight="1">
      <c r="B15" s="23" t="s">
        <v>175</v>
      </c>
      <c r="C15" s="94">
        <f>'Historical Financials'!C14</f>
        <v>0</v>
      </c>
      <c r="D15" s="94">
        <f>'Historical Financials'!D14</f>
        <v>-1448</v>
      </c>
      <c r="E15" s="94">
        <f>'Historical Financials'!E14</f>
        <v>-942</v>
      </c>
      <c r="F15" s="94">
        <f>'Historical Financials'!F14</f>
        <v>-946</v>
      </c>
      <c r="G15" s="10"/>
      <c r="H15" s="94">
        <f>'Historical Financials'!H14</f>
        <v>-305</v>
      </c>
      <c r="I15" s="94">
        <f>'Historical Financials'!I14</f>
        <v>-212</v>
      </c>
      <c r="J15" s="94">
        <f>'Historical Financials'!J14</f>
        <v>-210</v>
      </c>
      <c r="K15" s="94">
        <f>'Historical Financials'!K14</f>
        <v>-215</v>
      </c>
      <c r="L15" s="94">
        <f>'Historical Financials'!L14</f>
        <v>-230</v>
      </c>
      <c r="M15" s="94">
        <f>'Historical Financials'!M14</f>
        <v>-231</v>
      </c>
      <c r="N15" s="94">
        <f>'Historical Financials'!N14</f>
        <v>-233</v>
      </c>
      <c r="O15" s="94">
        <f>'Historical Financials'!O14</f>
        <v>-252</v>
      </c>
      <c r="P15" s="94">
        <f>'Historical Financials'!P14</f>
        <v>-251</v>
      </c>
      <c r="Q15" s="94">
        <f>'Historical Financials'!Q14</f>
        <v>-260</v>
      </c>
      <c r="R15" s="94">
        <f>'Historical Financials'!R14</f>
        <v>-260</v>
      </c>
      <c r="S15" s="5"/>
      <c r="T15" s="144">
        <f t="shared" si="6"/>
        <v>-942</v>
      </c>
      <c r="U15" s="144">
        <f t="shared" si="6"/>
        <v>-867</v>
      </c>
      <c r="V15" s="144">
        <f t="shared" si="6"/>
        <v>-886</v>
      </c>
      <c r="W15" s="144">
        <f t="shared" si="6"/>
        <v>-909</v>
      </c>
      <c r="X15" s="144">
        <f t="shared" si="6"/>
        <v>-946</v>
      </c>
      <c r="Y15" s="144">
        <f t="shared" si="6"/>
        <v>-967</v>
      </c>
      <c r="Z15" s="144">
        <f t="shared" si="6"/>
        <v>-996</v>
      </c>
      <c r="AA15" s="144">
        <f>SUM(O15:R15)</f>
        <v>-1023</v>
      </c>
      <c r="AC15" s="127">
        <f t="shared" si="7"/>
        <v>0.12541254125412538</v>
      </c>
    </row>
    <row r="16" spans="2:29" ht="12.75" customHeight="1">
      <c r="B16" s="25" t="s">
        <v>22</v>
      </c>
      <c r="C16" s="26">
        <f>SUM(C10+SUM(C14:C15))</f>
        <v>7929</v>
      </c>
      <c r="D16" s="26">
        <f t="shared" ref="D16:F16" si="8">SUM(D10+SUM(D14:D15))</f>
        <v>10603</v>
      </c>
      <c r="E16" s="26">
        <f t="shared" si="8"/>
        <v>10460</v>
      </c>
      <c r="F16" s="26">
        <f t="shared" si="8"/>
        <v>12725</v>
      </c>
      <c r="G16" s="5"/>
      <c r="H16" s="26">
        <f t="shared" ref="H16" si="9">SUM(H10+SUM(H14:H15))</f>
        <v>2359</v>
      </c>
      <c r="I16" s="26">
        <f t="shared" ref="I16" si="10">SUM(I10+SUM(I14:I15))</f>
        <v>2443</v>
      </c>
      <c r="J16" s="26">
        <f t="shared" ref="J16" si="11">SUM(J10+SUM(J14:J15))</f>
        <v>2747</v>
      </c>
      <c r="K16" s="26">
        <f t="shared" ref="K16" si="12">SUM(K10+SUM(K14:K15))</f>
        <v>2911</v>
      </c>
      <c r="L16" s="26">
        <f t="shared" ref="L16" si="13">SUM(L10+SUM(L14:L15))</f>
        <v>2560</v>
      </c>
      <c r="M16" s="26">
        <f t="shared" ref="M16" si="14">SUM(M10+SUM(M14:M15))</f>
        <v>2864</v>
      </c>
      <c r="N16" s="26">
        <f t="shared" ref="N16" si="15">SUM(N10+SUM(N14:N15))</f>
        <v>3419</v>
      </c>
      <c r="O16" s="26">
        <f t="shared" ref="O16" si="16">SUM(O10+SUM(O14:O15))</f>
        <v>3882</v>
      </c>
      <c r="P16" s="26">
        <f t="shared" ref="P16" si="17">SUM(P10+SUM(P14:P15))</f>
        <v>3736</v>
      </c>
      <c r="Q16" s="26">
        <f t="shared" ref="Q16" si="18">SUM(Q10+SUM(Q14:Q15))</f>
        <v>3059</v>
      </c>
      <c r="R16" s="26">
        <f t="shared" ref="R16" si="19">SUM(R10+SUM(R14:R15))</f>
        <v>4780</v>
      </c>
      <c r="S16" s="5"/>
      <c r="T16" s="26">
        <f t="shared" ref="T16" si="20">SUM(T10+SUM(T14:T15))</f>
        <v>10460</v>
      </c>
      <c r="U16" s="26">
        <f t="shared" ref="U16" si="21">SUM(U10+SUM(U14:U15))</f>
        <v>10661</v>
      </c>
      <c r="V16" s="26">
        <f t="shared" ref="V16" si="22">SUM(V10+SUM(V14:V15))</f>
        <v>11082</v>
      </c>
      <c r="W16" s="26">
        <f t="shared" ref="W16" si="23">SUM(W10+SUM(W14:W15))</f>
        <v>11754</v>
      </c>
      <c r="X16" s="26">
        <f t="shared" ref="X16" si="24">SUM(X10+SUM(X14:X15))</f>
        <v>12725</v>
      </c>
      <c r="Y16" s="26">
        <f t="shared" ref="Y16" si="25">SUM(Y10+SUM(Y14:Y15))</f>
        <v>13901</v>
      </c>
      <c r="Z16" s="26">
        <f t="shared" ref="Z16" si="26">SUM(Z10+SUM(Z14:Z15))</f>
        <v>14096</v>
      </c>
      <c r="AA16" s="26">
        <f t="shared" ref="AA16" si="27">SUM(AA10+SUM(AA14:AA15))</f>
        <v>15457</v>
      </c>
      <c r="AC16" s="128">
        <f>SUM(AA16/W16)-1</f>
        <v>0.31504168793602183</v>
      </c>
    </row>
    <row r="17" spans="2:29" ht="12.75" customHeight="1">
      <c r="B17" s="16" t="s">
        <v>31</v>
      </c>
      <c r="C17" s="17">
        <f>C16/C10</f>
        <v>0.48247535596933189</v>
      </c>
      <c r="D17" s="17">
        <f>D16/D10</f>
        <v>0.4492606245498072</v>
      </c>
      <c r="E17" s="17">
        <f>E16/E10</f>
        <v>0.46119929453262787</v>
      </c>
      <c r="F17" s="17">
        <f>F16/F10</f>
        <v>0.49350397517936784</v>
      </c>
      <c r="G17" s="27"/>
      <c r="H17" s="17">
        <f t="shared" ref="H17:R17" si="28">H16/H10</f>
        <v>0.44068746497291239</v>
      </c>
      <c r="I17" s="17">
        <f t="shared" si="28"/>
        <v>0.4558686322075014</v>
      </c>
      <c r="J17" s="17">
        <f t="shared" si="28"/>
        <v>0.4736206896551724</v>
      </c>
      <c r="K17" s="17">
        <f t="shared" si="28"/>
        <v>0.47195201037613488</v>
      </c>
      <c r="L17" s="17">
        <f t="shared" si="28"/>
        <v>0.46775077653937513</v>
      </c>
      <c r="M17" s="17">
        <f t="shared" si="28"/>
        <v>0.49083119108826051</v>
      </c>
      <c r="N17" s="17">
        <f t="shared" si="28"/>
        <v>0.50139316615339491</v>
      </c>
      <c r="O17" s="17">
        <f t="shared" si="28"/>
        <v>0.50692086706711936</v>
      </c>
      <c r="P17" s="17">
        <f t="shared" si="28"/>
        <v>0.50228556063457919</v>
      </c>
      <c r="Q17" s="17">
        <f t="shared" si="28"/>
        <v>0.39804814573845154</v>
      </c>
      <c r="R17" s="17">
        <f t="shared" si="28"/>
        <v>0.51698031581224313</v>
      </c>
      <c r="S17" s="28"/>
      <c r="T17" s="17">
        <f t="shared" ref="T17:AA17" si="29">T16/T10</f>
        <v>0.46119929453262787</v>
      </c>
      <c r="U17" s="17">
        <f t="shared" si="29"/>
        <v>0.46758771929824561</v>
      </c>
      <c r="V17" s="17">
        <f t="shared" si="29"/>
        <v>0.47611273414676059</v>
      </c>
      <c r="W17" s="17">
        <f t="shared" si="29"/>
        <v>0.48380325169788024</v>
      </c>
      <c r="X17" s="17">
        <f t="shared" si="29"/>
        <v>0.49350397517936784</v>
      </c>
      <c r="Y17" s="17">
        <f t="shared" si="29"/>
        <v>0.50093693693693697</v>
      </c>
      <c r="Z17" s="17">
        <f t="shared" si="29"/>
        <v>0.47621621621621624</v>
      </c>
      <c r="AA17" s="17">
        <f t="shared" si="29"/>
        <v>0.48262403596965059</v>
      </c>
      <c r="AC17" s="129">
        <f>SUM(AA17-W17)*10000</f>
        <v>-11.792157282296545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6"/>
    </row>
    <row r="19" spans="2:29" ht="12.75" customHeight="1">
      <c r="B19" s="23" t="s">
        <v>178</v>
      </c>
      <c r="C19" s="143">
        <f>'Historical Financials'!C18</f>
        <v>-2845</v>
      </c>
      <c r="D19" s="143">
        <f>'Historical Financials'!D18</f>
        <v>-5005</v>
      </c>
      <c r="E19" s="143">
        <f>'Historical Financials'!E18</f>
        <v>-5872</v>
      </c>
      <c r="F19" s="143">
        <f>'Historical Financials'!F18</f>
        <v>-6456</v>
      </c>
      <c r="G19" s="94"/>
      <c r="H19" s="143">
        <f>'Historical Financials'!H18</f>
        <v>-1411</v>
      </c>
      <c r="I19" s="143">
        <f>'Historical Financials'!I18</f>
        <v>-1443</v>
      </c>
      <c r="J19" s="143">
        <f>'Historical Financials'!J18</f>
        <v>-1507</v>
      </c>
      <c r="K19" s="143">
        <f>'Historical Financials'!K18</f>
        <v>-1511</v>
      </c>
      <c r="L19" s="143">
        <f>'Historical Financials'!L18</f>
        <v>-1525</v>
      </c>
      <c r="M19" s="143">
        <f>'Historical Financials'!M18</f>
        <v>-1583</v>
      </c>
      <c r="N19" s="143">
        <f>'Historical Financials'!N18</f>
        <v>-1636</v>
      </c>
      <c r="O19" s="143">
        <f>'Historical Financials'!O18</f>
        <v>-1712</v>
      </c>
      <c r="P19" s="143">
        <f>'Historical Financials'!P18</f>
        <v>-1728</v>
      </c>
      <c r="Q19" s="143">
        <f>'Historical Financials'!Q18</f>
        <v>-1894</v>
      </c>
      <c r="R19" s="143">
        <f>'Historical Financials'!R18</f>
        <v>-2139</v>
      </c>
      <c r="S19" s="5"/>
      <c r="T19" s="144">
        <f t="shared" ref="T19:Z23" si="30">SUM(H19:K19)</f>
        <v>-5872</v>
      </c>
      <c r="U19" s="144">
        <f t="shared" si="30"/>
        <v>-5986</v>
      </c>
      <c r="V19" s="144">
        <f t="shared" si="30"/>
        <v>-6126</v>
      </c>
      <c r="W19" s="144">
        <f t="shared" si="30"/>
        <v>-6255</v>
      </c>
      <c r="X19" s="144">
        <f t="shared" si="30"/>
        <v>-6456</v>
      </c>
      <c r="Y19" s="144">
        <f t="shared" si="30"/>
        <v>-6659</v>
      </c>
      <c r="Z19" s="144">
        <f t="shared" si="30"/>
        <v>-6970</v>
      </c>
      <c r="AA19" s="144">
        <f>SUM(O19:R19)</f>
        <v>-7473</v>
      </c>
      <c r="AC19" s="127">
        <f t="shared" ref="AC19:AC23" si="31">SUM(AA19/W19)-1</f>
        <v>0.19472422062350114</v>
      </c>
    </row>
    <row r="20" spans="2:29" ht="12.75" customHeight="1">
      <c r="B20" s="23" t="s">
        <v>179</v>
      </c>
      <c r="C20" s="143">
        <f>'Historical Financials'!C19</f>
        <v>-1448</v>
      </c>
      <c r="D20" s="143">
        <f>'Historical Financials'!D19</f>
        <v>-2336</v>
      </c>
      <c r="E20" s="143">
        <f>'Historical Financials'!E19</f>
        <v>-2352</v>
      </c>
      <c r="F20" s="143">
        <f>'Historical Financials'!F19</f>
        <v>-2783</v>
      </c>
      <c r="G20" s="94"/>
      <c r="H20" s="143">
        <f>'Historical Financials'!H19</f>
        <v>-585</v>
      </c>
      <c r="I20" s="143">
        <f>'Historical Financials'!I19</f>
        <v>-547</v>
      </c>
      <c r="J20" s="143">
        <f>'Historical Financials'!J19</f>
        <v>-576</v>
      </c>
      <c r="K20" s="143">
        <f>'Historical Financials'!K19</f>
        <v>-644</v>
      </c>
      <c r="L20" s="143">
        <f>'Historical Financials'!L19</f>
        <v>-620</v>
      </c>
      <c r="M20" s="143">
        <f>'Historical Financials'!M19</f>
        <v>-650</v>
      </c>
      <c r="N20" s="143">
        <f>'Historical Financials'!N19</f>
        <v>-721</v>
      </c>
      <c r="O20" s="143">
        <f>'Historical Financials'!O19</f>
        <v>-792</v>
      </c>
      <c r="P20" s="143">
        <f>'Historical Financials'!P19</f>
        <v>-886</v>
      </c>
      <c r="Q20" s="143">
        <f>'Historical Financials'!Q19</f>
        <v>-991</v>
      </c>
      <c r="R20" s="143">
        <f>'Historical Financials'!R19</f>
        <v>-1069</v>
      </c>
      <c r="S20" s="5"/>
      <c r="T20" s="144">
        <f t="shared" si="30"/>
        <v>-2352</v>
      </c>
      <c r="U20" s="144">
        <f t="shared" si="30"/>
        <v>-2387</v>
      </c>
      <c r="V20" s="144">
        <f t="shared" si="30"/>
        <v>-2490</v>
      </c>
      <c r="W20" s="144">
        <f t="shared" si="30"/>
        <v>-2635</v>
      </c>
      <c r="X20" s="144">
        <f t="shared" si="30"/>
        <v>-2783</v>
      </c>
      <c r="Y20" s="144">
        <f t="shared" si="30"/>
        <v>-3049</v>
      </c>
      <c r="Z20" s="144">
        <f t="shared" si="30"/>
        <v>-3390</v>
      </c>
      <c r="AA20" s="144">
        <f>SUM(O20:R20)</f>
        <v>-3738</v>
      </c>
      <c r="AC20" s="127">
        <f t="shared" si="31"/>
        <v>0.41859582542694507</v>
      </c>
    </row>
    <row r="21" spans="2:29" ht="12.75" customHeight="1">
      <c r="B21" s="23" t="s">
        <v>175</v>
      </c>
      <c r="C21" s="143">
        <f>'Historical Financials'!C20</f>
        <v>0</v>
      </c>
      <c r="D21" s="143">
        <f>'Historical Financials'!D20</f>
        <v>-2100</v>
      </c>
      <c r="E21" s="143">
        <f>'Historical Financials'!E20</f>
        <v>-1869</v>
      </c>
      <c r="F21" s="143">
        <f>'Historical Financials'!F20</f>
        <v>-1448</v>
      </c>
      <c r="G21" s="94"/>
      <c r="H21" s="143">
        <f>'Historical Financials'!H20</f>
        <v>-518</v>
      </c>
      <c r="I21" s="143">
        <f>'Historical Financials'!I20</f>
        <v>-481</v>
      </c>
      <c r="J21" s="143">
        <f>'Historical Financials'!J20</f>
        <v>-450</v>
      </c>
      <c r="K21" s="143">
        <f>'Historical Financials'!K20</f>
        <v>-420</v>
      </c>
      <c r="L21" s="143">
        <f>'Historical Financials'!L20</f>
        <v>-392</v>
      </c>
      <c r="M21" s="143">
        <f>'Historical Financials'!M20</f>
        <v>-372</v>
      </c>
      <c r="N21" s="143">
        <f>'Historical Financials'!N20</f>
        <v>-352</v>
      </c>
      <c r="O21" s="143">
        <f>'Historical Financials'!O20</f>
        <v>-332</v>
      </c>
      <c r="P21" s="143">
        <f>'Historical Financials'!P20</f>
        <v>-316</v>
      </c>
      <c r="Q21" s="143">
        <f>'Historical Financials'!Q20</f>
        <v>-308</v>
      </c>
      <c r="R21" s="143">
        <f>'Historical Financials'!R20</f>
        <v>-302</v>
      </c>
      <c r="S21" s="5"/>
      <c r="T21" s="144">
        <f t="shared" si="30"/>
        <v>-1869</v>
      </c>
      <c r="U21" s="144">
        <f t="shared" si="30"/>
        <v>-1743</v>
      </c>
      <c r="V21" s="144">
        <f t="shared" si="30"/>
        <v>-1634</v>
      </c>
      <c r="W21" s="144">
        <f t="shared" si="30"/>
        <v>-1536</v>
      </c>
      <c r="X21" s="144">
        <f t="shared" si="30"/>
        <v>-1448</v>
      </c>
      <c r="Y21" s="144">
        <f t="shared" si="30"/>
        <v>-1372</v>
      </c>
      <c r="Z21" s="144">
        <f t="shared" si="30"/>
        <v>-1308</v>
      </c>
      <c r="AA21" s="144">
        <f>SUM(O21:R21)</f>
        <v>-1258</v>
      </c>
      <c r="AC21" s="127">
        <f t="shared" si="31"/>
        <v>-0.18098958333333337</v>
      </c>
    </row>
    <row r="22" spans="2:29" ht="12.75" customHeight="1">
      <c r="B22" s="23" t="s">
        <v>176</v>
      </c>
      <c r="C22" s="143">
        <f>'Historical Financials'!C21</f>
        <v>0</v>
      </c>
      <c r="D22" s="143">
        <f>'Historical Financials'!D21</f>
        <v>0</v>
      </c>
      <c r="E22" s="143">
        <f>'Historical Financials'!E21</f>
        <v>0</v>
      </c>
      <c r="F22" s="143">
        <f>'Historical Financials'!F21</f>
        <v>-186</v>
      </c>
      <c r="G22" s="94"/>
      <c r="H22" s="143">
        <f>'Historical Financials'!H21</f>
        <v>0</v>
      </c>
      <c r="I22" s="143">
        <f>'Historical Financials'!I21</f>
        <v>0</v>
      </c>
      <c r="J22" s="143">
        <f>'Historical Financials'!J21</f>
        <v>0</v>
      </c>
      <c r="K22" s="143">
        <f>'Historical Financials'!K21</f>
        <v>0</v>
      </c>
      <c r="L22" s="143">
        <f>'Historical Financials'!L21</f>
        <v>0</v>
      </c>
      <c r="M22" s="143">
        <f>'Historical Financials'!M21</f>
        <v>0</v>
      </c>
      <c r="N22" s="143">
        <f>'Historical Financials'!N21</f>
        <v>0</v>
      </c>
      <c r="O22" s="143">
        <f>'Historical Financials'!O21</f>
        <v>-186</v>
      </c>
      <c r="P22" s="143">
        <f>'Historical Financials'!P21</f>
        <v>0</v>
      </c>
      <c r="Q22" s="143">
        <f>'Historical Financials'!Q21</f>
        <v>0</v>
      </c>
      <c r="R22" s="143">
        <f>'Historical Financials'!R21</f>
        <v>0</v>
      </c>
      <c r="S22" s="5"/>
      <c r="T22" s="144">
        <f t="shared" si="30"/>
        <v>0</v>
      </c>
      <c r="U22" s="144">
        <f t="shared" si="30"/>
        <v>0</v>
      </c>
      <c r="V22" s="144">
        <f t="shared" si="30"/>
        <v>0</v>
      </c>
      <c r="W22" s="144">
        <f t="shared" si="30"/>
        <v>0</v>
      </c>
      <c r="X22" s="144">
        <f t="shared" si="30"/>
        <v>-186</v>
      </c>
      <c r="Y22" s="144">
        <f t="shared" si="30"/>
        <v>-186</v>
      </c>
      <c r="Z22" s="144">
        <f t="shared" si="30"/>
        <v>-186</v>
      </c>
      <c r="AA22" s="144">
        <f>SUM(O22:R22)</f>
        <v>-186</v>
      </c>
      <c r="AC22" s="127" t="e">
        <f t="shared" si="31"/>
        <v>#DIV/0!</v>
      </c>
    </row>
    <row r="23" spans="2:29" ht="12.75" customHeight="1">
      <c r="B23" s="23" t="s">
        <v>177</v>
      </c>
      <c r="C23" s="143">
        <f>'Historical Financials'!C22</f>
        <v>12</v>
      </c>
      <c r="D23" s="143">
        <f>'Historical Financials'!D22</f>
        <v>102</v>
      </c>
      <c r="E23" s="143">
        <f>'Historical Financials'!E22</f>
        <v>34</v>
      </c>
      <c r="F23" s="143">
        <f>'Historical Financials'!F22</f>
        <v>48</v>
      </c>
      <c r="G23" s="94"/>
      <c r="H23" s="143">
        <f>'Historical Financials'!H22</f>
        <v>10</v>
      </c>
      <c r="I23" s="143">
        <f>'Historical Financials'!I22</f>
        <v>8</v>
      </c>
      <c r="J23" s="143">
        <f>'Historical Financials'!J22</f>
        <v>10</v>
      </c>
      <c r="K23" s="143">
        <f>'Historical Financials'!K22</f>
        <v>6</v>
      </c>
      <c r="L23" s="143">
        <f>'Historical Financials'!L22</f>
        <v>13</v>
      </c>
      <c r="M23" s="143">
        <f>'Historical Financials'!M22</f>
        <v>10</v>
      </c>
      <c r="N23" s="143">
        <f>'Historical Financials'!N22</f>
        <v>14</v>
      </c>
      <c r="O23" s="143">
        <f>'Historical Financials'!O22</f>
        <v>11</v>
      </c>
      <c r="P23" s="143">
        <f>'Historical Financials'!P22</f>
        <v>0</v>
      </c>
      <c r="Q23" s="143">
        <f>'Historical Financials'!Q22</f>
        <v>0</v>
      </c>
      <c r="R23" s="143">
        <f>'Historical Financials'!R22</f>
        <v>0</v>
      </c>
      <c r="S23" s="5"/>
      <c r="T23" s="144">
        <f t="shared" si="30"/>
        <v>34</v>
      </c>
      <c r="U23" s="144">
        <f t="shared" si="30"/>
        <v>37</v>
      </c>
      <c r="V23" s="144">
        <f t="shared" si="30"/>
        <v>39</v>
      </c>
      <c r="W23" s="144">
        <f t="shared" si="30"/>
        <v>43</v>
      </c>
      <c r="X23" s="144">
        <f t="shared" si="30"/>
        <v>48</v>
      </c>
      <c r="Y23" s="144">
        <f t="shared" si="30"/>
        <v>35</v>
      </c>
      <c r="Z23" s="144">
        <f t="shared" si="30"/>
        <v>25</v>
      </c>
      <c r="AA23" s="144">
        <f>SUM(O23:R23)</f>
        <v>11</v>
      </c>
      <c r="AC23" s="127">
        <f t="shared" si="31"/>
        <v>-0.7441860465116279</v>
      </c>
    </row>
    <row r="24" spans="2:29" ht="12.75" customHeight="1">
      <c r="B24" s="13" t="s">
        <v>32</v>
      </c>
      <c r="C24" s="14">
        <f>SUM(C16+SUM(C19:C23))</f>
        <v>3648</v>
      </c>
      <c r="D24" s="14">
        <f>SUM(D16+SUM(D19:D23))</f>
        <v>1264</v>
      </c>
      <c r="E24" s="14">
        <f>SUM(E16+SUM(E19:E23))</f>
        <v>401</v>
      </c>
      <c r="F24" s="14">
        <f>SUM(F16+SUM(F19:F23))</f>
        <v>1900</v>
      </c>
      <c r="G24" s="11"/>
      <c r="H24" s="14">
        <f>SUM(H16+SUM(H19:H23))</f>
        <v>-145</v>
      </c>
      <c r="I24" s="14">
        <f>SUM(I16+SUM(I19:I23))</f>
        <v>-20</v>
      </c>
      <c r="J24" s="14">
        <f>SUM(J16+SUM(J19:J23))</f>
        <v>224</v>
      </c>
      <c r="K24" s="14">
        <f>SUM(K16+SUM(K19:K23))</f>
        <v>342</v>
      </c>
      <c r="L24" s="14">
        <f>SUM(L16+SUM(L19:L23))</f>
        <v>36</v>
      </c>
      <c r="M24" s="14">
        <f>SUM(M16+SUM(M19:M23))</f>
        <v>269</v>
      </c>
      <c r="N24" s="14">
        <f>SUM(N16+SUM(N19:N23))</f>
        <v>724</v>
      </c>
      <c r="O24" s="14">
        <f>SUM(O16+SUM(O19:O23))</f>
        <v>871</v>
      </c>
      <c r="P24" s="14">
        <f>SUM(P16+SUM(P19:P23))</f>
        <v>806</v>
      </c>
      <c r="Q24" s="14">
        <f>SUM(Q16+SUM(Q19:Q23))</f>
        <v>-134</v>
      </c>
      <c r="R24" s="14">
        <f>SUM(R16+SUM(R19:R23))</f>
        <v>1270</v>
      </c>
      <c r="S24" s="5"/>
      <c r="T24" s="14">
        <f t="shared" ref="T24:AA24" si="32">SUM(T16+SUM(T19:T23))</f>
        <v>401</v>
      </c>
      <c r="U24" s="14">
        <f t="shared" si="32"/>
        <v>582</v>
      </c>
      <c r="V24" s="14">
        <f t="shared" si="32"/>
        <v>871</v>
      </c>
      <c r="W24" s="14">
        <f t="shared" si="32"/>
        <v>1371</v>
      </c>
      <c r="X24" s="14">
        <f t="shared" si="32"/>
        <v>1900</v>
      </c>
      <c r="Y24" s="14">
        <f t="shared" si="32"/>
        <v>2670</v>
      </c>
      <c r="Z24" s="14">
        <f t="shared" si="32"/>
        <v>2267</v>
      </c>
      <c r="AA24" s="14">
        <f t="shared" si="32"/>
        <v>2813</v>
      </c>
      <c r="AC24" s="128">
        <f>SUM(AA24/W24)-1</f>
        <v>1.0517870167760757</v>
      </c>
    </row>
    <row r="25" spans="2:29" ht="12.75" customHeight="1">
      <c r="B25" s="16" t="s">
        <v>33</v>
      </c>
      <c r="C25" s="17">
        <f>C24/C10</f>
        <v>0.22197882438846295</v>
      </c>
      <c r="D25" s="17">
        <f>D24/D10</f>
        <v>5.3557052667259859E-2</v>
      </c>
      <c r="E25" s="17">
        <f>E24/E10</f>
        <v>1.7680776014109348E-2</v>
      </c>
      <c r="F25" s="17">
        <f>F24/F10</f>
        <v>7.3686251696722896E-2</v>
      </c>
      <c r="G25" s="27"/>
      <c r="H25" s="17">
        <f>H24/H10</f>
        <v>-2.7087614421819541E-2</v>
      </c>
      <c r="I25" s="17">
        <f>I24/I10</f>
        <v>-3.7320395596193321E-3</v>
      </c>
      <c r="J25" s="17">
        <f>J24/J10</f>
        <v>3.8620689655172416E-2</v>
      </c>
      <c r="K25" s="17">
        <f>K24/K10</f>
        <v>5.544747081712062E-2</v>
      </c>
      <c r="L25" s="17">
        <f>L24/L10</f>
        <v>6.5777452950849628E-3</v>
      </c>
      <c r="M25" s="17">
        <f>M24/M10</f>
        <v>4.6101113967437872E-2</v>
      </c>
      <c r="N25" s="17">
        <f>N24/N10</f>
        <v>0.10617392579557119</v>
      </c>
      <c r="O25" s="17">
        <f>O24/O10</f>
        <v>0.11373726821624446</v>
      </c>
      <c r="P25" s="17">
        <f>P24/P10</f>
        <v>0.10836246302769562</v>
      </c>
      <c r="Q25" s="17">
        <f>Q24/Q10</f>
        <v>-1.7436564736499675E-2</v>
      </c>
      <c r="R25" s="17">
        <f>R24/R10</f>
        <v>0.13735669478693488</v>
      </c>
      <c r="S25" s="28"/>
      <c r="T25" s="17">
        <f>T24/T10</f>
        <v>1.7680776014109348E-2</v>
      </c>
      <c r="U25" s="17">
        <f>U24/U10</f>
        <v>2.5526315789473685E-2</v>
      </c>
      <c r="V25" s="17">
        <f>V24/V10</f>
        <v>3.74205189895171E-2</v>
      </c>
      <c r="W25" s="17">
        <f>W24/W10</f>
        <v>5.6431364478287713E-2</v>
      </c>
      <c r="X25" s="17">
        <f>X24/X10</f>
        <v>7.3686251696722896E-2</v>
      </c>
      <c r="Y25" s="17">
        <f>Y24/Y10</f>
        <v>9.6216216216216219E-2</v>
      </c>
      <c r="Z25" s="17">
        <f>Z24/Z10</f>
        <v>7.6587837837837833E-2</v>
      </c>
      <c r="AA25" s="17">
        <f>AA24/AA10</f>
        <v>8.7832141630499266E-2</v>
      </c>
      <c r="AC25" s="129">
        <f>SUM(AA25-W25)*10000</f>
        <v>314.00777152211555</v>
      </c>
    </row>
    <row r="26" spans="2:29" ht="5.0999999999999996" customHeight="1">
      <c r="AC26" s="126"/>
    </row>
    <row r="27" spans="2:29" ht="12.75" customHeight="1">
      <c r="B27" s="31" t="s">
        <v>115</v>
      </c>
      <c r="C27" s="143">
        <f>'Historical Financials'!C99</f>
        <v>407</v>
      </c>
      <c r="D27" s="143">
        <f>'Historical Financials'!D99</f>
        <v>626</v>
      </c>
      <c r="E27" s="143">
        <f>'Historical Financials'!E99</f>
        <v>642</v>
      </c>
      <c r="F27" s="143">
        <f>'Historical Financials'!F99</f>
        <v>671</v>
      </c>
      <c r="H27" s="143">
        <f>'Historical Financials'!H99</f>
        <v>159</v>
      </c>
      <c r="I27" s="143">
        <f>'Historical Financials'!I99</f>
        <v>156</v>
      </c>
      <c r="J27" s="143">
        <f>'Historical Financials'!J99</f>
        <v>163</v>
      </c>
      <c r="K27" s="143">
        <f>'Historical Financials'!K99</f>
        <v>164</v>
      </c>
      <c r="L27" s="143">
        <f>'Historical Financials'!L99</f>
        <v>162</v>
      </c>
      <c r="M27" s="143">
        <f>'Historical Financials'!M99</f>
        <v>166</v>
      </c>
      <c r="N27" s="143">
        <f>'Historical Financials'!N99</f>
        <v>171</v>
      </c>
      <c r="O27" s="143">
        <f>'Historical Financials'!O99</f>
        <v>172</v>
      </c>
      <c r="P27" s="143">
        <f>'Historical Financials'!P99</f>
        <v>175</v>
      </c>
      <c r="Q27" s="143">
        <f>'Historical Financials'!Q99</f>
        <v>189</v>
      </c>
      <c r="R27" s="143">
        <f>'Historical Financials'!R99</f>
        <v>192</v>
      </c>
      <c r="T27" s="10">
        <f t="shared" ref="T27:Z28" si="33">SUM(H27:K27)</f>
        <v>642</v>
      </c>
      <c r="U27" s="10">
        <f t="shared" si="33"/>
        <v>645</v>
      </c>
      <c r="V27" s="10">
        <f t="shared" si="33"/>
        <v>655</v>
      </c>
      <c r="W27" s="10">
        <f t="shared" si="33"/>
        <v>663</v>
      </c>
      <c r="X27" s="10">
        <f t="shared" si="33"/>
        <v>671</v>
      </c>
      <c r="Y27" s="10">
        <f t="shared" si="33"/>
        <v>684</v>
      </c>
      <c r="Z27" s="10">
        <f t="shared" si="33"/>
        <v>707</v>
      </c>
      <c r="AA27" s="10">
        <f>SUM(O27:R27)</f>
        <v>728</v>
      </c>
      <c r="AC27" s="127">
        <f>SUM(AA27/W27)-1</f>
        <v>9.8039215686274606E-2</v>
      </c>
    </row>
    <row r="28" spans="2:29" ht="12.75" customHeight="1">
      <c r="B28" s="23" t="s">
        <v>180</v>
      </c>
      <c r="C28" s="156">
        <f>-C21-C15</f>
        <v>0</v>
      </c>
      <c r="D28" s="156">
        <f t="shared" ref="D28:R28" si="34">-D21-D15</f>
        <v>3548</v>
      </c>
      <c r="E28" s="156">
        <f t="shared" si="34"/>
        <v>2811</v>
      </c>
      <c r="F28" s="156">
        <f t="shared" si="34"/>
        <v>2394</v>
      </c>
      <c r="H28" s="156">
        <f t="shared" si="34"/>
        <v>823</v>
      </c>
      <c r="I28" s="156">
        <f t="shared" si="34"/>
        <v>693</v>
      </c>
      <c r="J28" s="156">
        <f t="shared" si="34"/>
        <v>660</v>
      </c>
      <c r="K28" s="156">
        <f t="shared" si="34"/>
        <v>635</v>
      </c>
      <c r="L28" s="156">
        <f t="shared" si="34"/>
        <v>622</v>
      </c>
      <c r="M28" s="156">
        <f t="shared" si="34"/>
        <v>603</v>
      </c>
      <c r="N28" s="156">
        <f t="shared" si="34"/>
        <v>585</v>
      </c>
      <c r="O28" s="156">
        <f t="shared" si="34"/>
        <v>584</v>
      </c>
      <c r="P28" s="156">
        <f t="shared" si="34"/>
        <v>567</v>
      </c>
      <c r="Q28" s="156">
        <f t="shared" si="34"/>
        <v>568</v>
      </c>
      <c r="R28" s="156">
        <f t="shared" si="34"/>
        <v>562</v>
      </c>
      <c r="T28" s="10">
        <f t="shared" si="33"/>
        <v>2811</v>
      </c>
      <c r="U28" s="10">
        <f t="shared" si="33"/>
        <v>2610</v>
      </c>
      <c r="V28" s="10">
        <f t="shared" si="33"/>
        <v>2520</v>
      </c>
      <c r="W28" s="10">
        <f t="shared" si="33"/>
        <v>2445</v>
      </c>
      <c r="X28" s="10">
        <f t="shared" si="33"/>
        <v>2394</v>
      </c>
      <c r="Y28" s="10">
        <f t="shared" si="33"/>
        <v>2339</v>
      </c>
      <c r="Z28" s="10">
        <f t="shared" si="33"/>
        <v>2304</v>
      </c>
      <c r="AA28" s="10">
        <f>SUM(O28:R28)</f>
        <v>2281</v>
      </c>
      <c r="AC28" s="127">
        <f t="shared" ref="AC28" si="35">SUM(AA28/W28)-1</f>
        <v>-6.7075664621676911E-2</v>
      </c>
    </row>
    <row r="29" spans="2:29" ht="12.75" customHeight="1">
      <c r="B29" s="25" t="s">
        <v>11</v>
      </c>
      <c r="C29" s="26">
        <f>SUM(C24+SUM(C27:C28))</f>
        <v>4055</v>
      </c>
      <c r="D29" s="26">
        <f t="shared" ref="D29:F29" si="36">SUM(D24+SUM(D27:D28))</f>
        <v>5438</v>
      </c>
      <c r="E29" s="26">
        <f t="shared" si="36"/>
        <v>3854</v>
      </c>
      <c r="F29" s="26">
        <f t="shared" si="36"/>
        <v>4965</v>
      </c>
      <c r="H29" s="26">
        <f t="shared" ref="H29" si="37">SUM(H24+SUM(H27:H28))</f>
        <v>837</v>
      </c>
      <c r="I29" s="26">
        <f t="shared" ref="I29" si="38">SUM(I24+SUM(I27:I28))</f>
        <v>829</v>
      </c>
      <c r="J29" s="26">
        <f t="shared" ref="J29" si="39">SUM(J24+SUM(J27:J28))</f>
        <v>1047</v>
      </c>
      <c r="K29" s="26">
        <f t="shared" ref="K29" si="40">SUM(K24+SUM(K27:K28))</f>
        <v>1141</v>
      </c>
      <c r="L29" s="26">
        <f t="shared" ref="L29" si="41">SUM(L24+SUM(L27:L28))</f>
        <v>820</v>
      </c>
      <c r="M29" s="26">
        <f t="shared" ref="M29" si="42">SUM(M24+SUM(M27:M28))</f>
        <v>1038</v>
      </c>
      <c r="N29" s="26">
        <f t="shared" ref="N29" si="43">SUM(N24+SUM(N27:N28))</f>
        <v>1480</v>
      </c>
      <c r="O29" s="26">
        <f t="shared" ref="O29" si="44">SUM(O24+SUM(O27:O28))</f>
        <v>1627</v>
      </c>
      <c r="P29" s="26">
        <f t="shared" ref="P29" si="45">SUM(P24+SUM(P27:P28))</f>
        <v>1548</v>
      </c>
      <c r="Q29" s="26">
        <f t="shared" ref="Q29" si="46">SUM(Q24+SUM(Q27:Q28))</f>
        <v>623</v>
      </c>
      <c r="R29" s="26">
        <f t="shared" ref="R29" si="47">SUM(R24+SUM(R27:R28))</f>
        <v>2024</v>
      </c>
      <c r="T29" s="26">
        <f t="shared" ref="T29" si="48">SUM(T24+SUM(T27:T28))</f>
        <v>3854</v>
      </c>
      <c r="U29" s="26">
        <f t="shared" ref="U29" si="49">SUM(U24+SUM(U27:U28))</f>
        <v>3837</v>
      </c>
      <c r="V29" s="26">
        <f t="shared" ref="V29" si="50">SUM(V24+SUM(V27:V28))</f>
        <v>4046</v>
      </c>
      <c r="W29" s="26">
        <f t="shared" ref="W29" si="51">SUM(W24+SUM(W27:W28))</f>
        <v>4479</v>
      </c>
      <c r="X29" s="26">
        <f t="shared" ref="X29" si="52">SUM(X24+SUM(X27:X28))</f>
        <v>4965</v>
      </c>
      <c r="Y29" s="26">
        <f t="shared" ref="Y29" si="53">SUM(Y24+SUM(Y27:Y28))</f>
        <v>5693</v>
      </c>
      <c r="Z29" s="26">
        <f t="shared" ref="Z29" si="54">SUM(Z24+SUM(Z27:Z28))</f>
        <v>5278</v>
      </c>
      <c r="AA29" s="26">
        <f t="shared" ref="AA29" si="55">SUM(AA24+SUM(AA27:AA28))</f>
        <v>5822</v>
      </c>
      <c r="AC29" s="128">
        <f>SUM(AA29/W29)-1</f>
        <v>0.29984371511498109</v>
      </c>
    </row>
    <row r="30" spans="2:29" ht="12.75" customHeight="1">
      <c r="B30" s="16" t="s">
        <v>34</v>
      </c>
      <c r="C30" s="17">
        <f>C29/C10</f>
        <v>0.24674455397346964</v>
      </c>
      <c r="D30" s="17">
        <f>D29/D10</f>
        <v>0.23041396550993601</v>
      </c>
      <c r="E30" s="17">
        <f>E29/E10</f>
        <v>0.16992945326278661</v>
      </c>
      <c r="F30" s="17">
        <f>F29/F10</f>
        <v>0.19255381035485747</v>
      </c>
      <c r="H30" s="17">
        <f>H29/H10</f>
        <v>0.15636091911077901</v>
      </c>
      <c r="I30" s="17">
        <f>I29/I10</f>
        <v>0.15469303974622131</v>
      </c>
      <c r="J30" s="17">
        <f>J29/J10</f>
        <v>0.18051724137931036</v>
      </c>
      <c r="K30" s="17">
        <f>K29/K10</f>
        <v>0.18498702983138782</v>
      </c>
      <c r="L30" s="17">
        <f>L29/L10</f>
        <v>0.1498264206102686</v>
      </c>
      <c r="M30" s="17">
        <f>M29/M10</f>
        <v>0.17789203084832905</v>
      </c>
      <c r="N30" s="17">
        <f>N29/N10</f>
        <v>0.21704062179205161</v>
      </c>
      <c r="O30" s="17">
        <f>O29/O10</f>
        <v>0.21245756072081484</v>
      </c>
      <c r="P30" s="17">
        <f>P29/P10</f>
        <v>0.20812046248991664</v>
      </c>
      <c r="Q30" s="17">
        <f>Q29/Q10</f>
        <v>8.1067013662979831E-2</v>
      </c>
      <c r="R30" s="17">
        <f>R29/R10</f>
        <v>0.21890547263681592</v>
      </c>
      <c r="T30" s="17">
        <f>T29/T10</f>
        <v>0.16992945326278661</v>
      </c>
      <c r="U30" s="17">
        <f>U29/U10</f>
        <v>0.16828947368421052</v>
      </c>
      <c r="V30" s="17">
        <f>V29/V10</f>
        <v>0.1738271180615226</v>
      </c>
      <c r="W30" s="17">
        <f>W29/W10</f>
        <v>0.18435892158880429</v>
      </c>
      <c r="X30" s="17">
        <f>X29/X10</f>
        <v>0.19255381035485747</v>
      </c>
      <c r="Y30" s="17">
        <f>Y29/Y10</f>
        <v>0.20515315315315316</v>
      </c>
      <c r="Z30" s="17">
        <f>Z29/Z10</f>
        <v>0.17831081081081082</v>
      </c>
      <c r="AA30" s="17">
        <f>AA29/AA10</f>
        <v>0.18178411964904612</v>
      </c>
      <c r="AC30" s="129">
        <f>SUM(AA30-W30)*10000</f>
        <v>-25.748019397581757</v>
      </c>
    </row>
    <row r="31" spans="2:29" ht="5.0999999999999996" customHeight="1">
      <c r="AC31" s="126"/>
    </row>
    <row r="32" spans="2:29" ht="12.75" customHeight="1">
      <c r="B32" s="31" t="s">
        <v>181</v>
      </c>
      <c r="C32" s="143">
        <f>'Historical Financials'!C101</f>
        <v>379</v>
      </c>
      <c r="D32" s="143">
        <f>'Historical Financials'!D101</f>
        <v>1081</v>
      </c>
      <c r="E32" s="143">
        <f>'Historical Financials'!E101</f>
        <v>1384</v>
      </c>
      <c r="F32" s="143">
        <f>'Historical Financials'!F101</f>
        <v>1407</v>
      </c>
      <c r="H32" s="143">
        <f>'Historical Financials'!H101</f>
        <v>309</v>
      </c>
      <c r="I32" s="143">
        <f>'Historical Financials'!I101</f>
        <v>348</v>
      </c>
      <c r="J32" s="143">
        <f>'Historical Financials'!J101</f>
        <v>353</v>
      </c>
      <c r="K32" s="143">
        <f>'Historical Financials'!K101</f>
        <v>374</v>
      </c>
      <c r="L32" s="143">
        <f>'Historical Financials'!L101</f>
        <v>371</v>
      </c>
      <c r="M32" s="143">
        <f>'Historical Financials'!M101</f>
        <v>346</v>
      </c>
      <c r="N32" s="143">
        <f>'Historical Financials'!N101</f>
        <v>351</v>
      </c>
      <c r="O32" s="143">
        <f>'Historical Financials'!O101</f>
        <v>339</v>
      </c>
      <c r="P32" s="143">
        <f>'Historical Financials'!P101</f>
        <v>364</v>
      </c>
      <c r="Q32" s="143">
        <f>'Historical Financials'!Q101</f>
        <v>369</v>
      </c>
      <c r="R32" s="143">
        <f>'Historical Financials'!R101</f>
        <v>419</v>
      </c>
      <c r="T32" s="144">
        <f t="shared" ref="T32:Z34" si="56">SUM(H32:K32)</f>
        <v>1384</v>
      </c>
      <c r="U32" s="144">
        <f t="shared" si="56"/>
        <v>1446</v>
      </c>
      <c r="V32" s="144">
        <f t="shared" si="56"/>
        <v>1444</v>
      </c>
      <c r="W32" s="144">
        <f t="shared" si="56"/>
        <v>1442</v>
      </c>
      <c r="X32" s="144">
        <f t="shared" si="56"/>
        <v>1407</v>
      </c>
      <c r="Y32" s="144">
        <f t="shared" si="56"/>
        <v>1400</v>
      </c>
      <c r="Z32" s="144">
        <f t="shared" si="56"/>
        <v>1423</v>
      </c>
      <c r="AA32" s="144">
        <f>SUM(O32:R32)</f>
        <v>1491</v>
      </c>
      <c r="AC32" s="127">
        <f t="shared" ref="AC32:AC34" si="57">SUM(AA32/W32)-1</f>
        <v>3.398058252427183E-2</v>
      </c>
    </row>
    <row r="33" spans="2:29" ht="12.75" customHeight="1">
      <c r="B33" s="23" t="s">
        <v>182</v>
      </c>
      <c r="C33" s="156">
        <f>-C22</f>
        <v>0</v>
      </c>
      <c r="D33" s="156">
        <f t="shared" ref="D33:F33" si="58">-D22</f>
        <v>0</v>
      </c>
      <c r="E33" s="156">
        <f t="shared" si="58"/>
        <v>0</v>
      </c>
      <c r="F33" s="156">
        <f t="shared" si="58"/>
        <v>186</v>
      </c>
      <c r="H33" s="156">
        <f t="shared" ref="H33:R33" si="59">-H22</f>
        <v>0</v>
      </c>
      <c r="I33" s="156">
        <f t="shared" si="59"/>
        <v>0</v>
      </c>
      <c r="J33" s="156">
        <f t="shared" si="59"/>
        <v>0</v>
      </c>
      <c r="K33" s="156">
        <f t="shared" si="59"/>
        <v>0</v>
      </c>
      <c r="L33" s="156">
        <f t="shared" si="59"/>
        <v>0</v>
      </c>
      <c r="M33" s="156">
        <f t="shared" si="59"/>
        <v>0</v>
      </c>
      <c r="N33" s="156">
        <f t="shared" si="59"/>
        <v>0</v>
      </c>
      <c r="O33" s="156">
        <f t="shared" si="59"/>
        <v>186</v>
      </c>
      <c r="P33" s="156">
        <f t="shared" si="59"/>
        <v>0</v>
      </c>
      <c r="Q33" s="156">
        <f t="shared" si="59"/>
        <v>0</v>
      </c>
      <c r="R33" s="156">
        <f t="shared" si="59"/>
        <v>0</v>
      </c>
      <c r="T33" s="144">
        <f t="shared" si="56"/>
        <v>0</v>
      </c>
      <c r="U33" s="144">
        <f t="shared" si="56"/>
        <v>0</v>
      </c>
      <c r="V33" s="144">
        <f t="shared" si="56"/>
        <v>0</v>
      </c>
      <c r="W33" s="144">
        <f t="shared" si="56"/>
        <v>0</v>
      </c>
      <c r="X33" s="144">
        <f t="shared" si="56"/>
        <v>186</v>
      </c>
      <c r="Y33" s="144">
        <f t="shared" si="56"/>
        <v>186</v>
      </c>
      <c r="Z33" s="144">
        <f t="shared" si="56"/>
        <v>186</v>
      </c>
      <c r="AA33" s="144">
        <f>SUM(O33:R33)</f>
        <v>186</v>
      </c>
      <c r="AC33" s="127" t="e">
        <f t="shared" si="57"/>
        <v>#DIV/0!</v>
      </c>
    </row>
    <row r="34" spans="2:29" ht="12.75" customHeight="1">
      <c r="B34" s="23" t="s">
        <v>183</v>
      </c>
      <c r="C34" s="156">
        <f>-C23</f>
        <v>-12</v>
      </c>
      <c r="D34" s="156">
        <f t="shared" ref="D34:F34" si="60">-D23</f>
        <v>-102</v>
      </c>
      <c r="E34" s="156">
        <f t="shared" si="60"/>
        <v>-34</v>
      </c>
      <c r="F34" s="156">
        <f t="shared" si="60"/>
        <v>-48</v>
      </c>
      <c r="H34" s="156">
        <f t="shared" ref="H34:R34" si="61">-H23</f>
        <v>-10</v>
      </c>
      <c r="I34" s="156">
        <f t="shared" si="61"/>
        <v>-8</v>
      </c>
      <c r="J34" s="156">
        <f t="shared" si="61"/>
        <v>-10</v>
      </c>
      <c r="K34" s="156">
        <f t="shared" si="61"/>
        <v>-6</v>
      </c>
      <c r="L34" s="156">
        <f t="shared" si="61"/>
        <v>-13</v>
      </c>
      <c r="M34" s="156">
        <f t="shared" si="61"/>
        <v>-10</v>
      </c>
      <c r="N34" s="156">
        <f t="shared" si="61"/>
        <v>-14</v>
      </c>
      <c r="O34" s="156">
        <f t="shared" si="61"/>
        <v>-11</v>
      </c>
      <c r="P34" s="156">
        <f t="shared" si="61"/>
        <v>0</v>
      </c>
      <c r="Q34" s="156">
        <f t="shared" si="61"/>
        <v>0</v>
      </c>
      <c r="R34" s="156">
        <f t="shared" si="61"/>
        <v>0</v>
      </c>
      <c r="T34" s="144">
        <f t="shared" si="56"/>
        <v>-34</v>
      </c>
      <c r="U34" s="144">
        <f t="shared" si="56"/>
        <v>-37</v>
      </c>
      <c r="V34" s="144">
        <f t="shared" si="56"/>
        <v>-39</v>
      </c>
      <c r="W34" s="144">
        <f t="shared" si="56"/>
        <v>-43</v>
      </c>
      <c r="X34" s="144">
        <f t="shared" si="56"/>
        <v>-48</v>
      </c>
      <c r="Y34" s="144">
        <f t="shared" si="56"/>
        <v>-35</v>
      </c>
      <c r="Z34" s="144">
        <f t="shared" si="56"/>
        <v>-25</v>
      </c>
      <c r="AA34" s="144">
        <f>SUM(O34:R34)</f>
        <v>-11</v>
      </c>
      <c r="AC34" s="127">
        <f t="shared" si="57"/>
        <v>-0.7441860465116279</v>
      </c>
    </row>
    <row r="35" spans="2:29" ht="12.75" customHeight="1">
      <c r="B35" s="13" t="s">
        <v>35</v>
      </c>
      <c r="C35" s="14">
        <f>+SUM(C29+SUM(C32:C34))</f>
        <v>4422</v>
      </c>
      <c r="D35" s="14">
        <f t="shared" ref="D35:F35" si="62">+SUM(D29+SUM(D32:D34))</f>
        <v>6417</v>
      </c>
      <c r="E35" s="14">
        <f t="shared" si="62"/>
        <v>5204</v>
      </c>
      <c r="F35" s="14">
        <f t="shared" si="62"/>
        <v>6510</v>
      </c>
      <c r="G35" s="11"/>
      <c r="H35" s="14">
        <f t="shared" ref="H35" si="63">+SUM(H29+SUM(H32:H34))</f>
        <v>1136</v>
      </c>
      <c r="I35" s="14">
        <f t="shared" ref="I35" si="64">+SUM(I29+SUM(I32:I34))</f>
        <v>1169</v>
      </c>
      <c r="J35" s="14">
        <f t="shared" ref="J35" si="65">+SUM(J29+SUM(J32:J34))</f>
        <v>1390</v>
      </c>
      <c r="K35" s="14">
        <f t="shared" ref="K35" si="66">+SUM(K29+SUM(K32:K34))</f>
        <v>1509</v>
      </c>
      <c r="L35" s="14">
        <f t="shared" ref="L35" si="67">+SUM(L29+SUM(L32:L34))</f>
        <v>1178</v>
      </c>
      <c r="M35" s="14">
        <f t="shared" ref="M35" si="68">+SUM(M29+SUM(M32:M34))</f>
        <v>1374</v>
      </c>
      <c r="N35" s="14">
        <f t="shared" ref="N35" si="69">+SUM(N29+SUM(N32:N34))</f>
        <v>1817</v>
      </c>
      <c r="O35" s="14">
        <f t="shared" ref="O35" si="70">+SUM(O29+SUM(O32:O34))</f>
        <v>2141</v>
      </c>
      <c r="P35" s="14">
        <f t="shared" ref="P35" si="71">+SUM(P29+SUM(P32:P34))</f>
        <v>1912</v>
      </c>
      <c r="Q35" s="14">
        <f t="shared" ref="Q35" si="72">+SUM(Q29+SUM(Q32:Q34))</f>
        <v>992</v>
      </c>
      <c r="R35" s="14">
        <f t="shared" ref="R35" si="73">+SUM(R29+SUM(R32:R34))</f>
        <v>2443</v>
      </c>
      <c r="T35" s="14">
        <f t="shared" ref="T35" si="74">+SUM(T29+SUM(T32:T34))</f>
        <v>5204</v>
      </c>
      <c r="U35" s="14">
        <f t="shared" ref="U35" si="75">+SUM(U29+SUM(U32:U34))</f>
        <v>5246</v>
      </c>
      <c r="V35" s="14">
        <f t="shared" ref="V35" si="76">+SUM(V29+SUM(V32:V34))</f>
        <v>5451</v>
      </c>
      <c r="W35" s="14">
        <f t="shared" ref="W35" si="77">+SUM(W29+SUM(W32:W34))</f>
        <v>5878</v>
      </c>
      <c r="X35" s="14">
        <f t="shared" ref="X35" si="78">+SUM(X29+SUM(X32:X34))</f>
        <v>6510</v>
      </c>
      <c r="Y35" s="14">
        <f t="shared" ref="Y35" si="79">+SUM(Y29+SUM(Y32:Y34))</f>
        <v>7244</v>
      </c>
      <c r="Z35" s="14">
        <f t="shared" ref="Z35" si="80">+SUM(Z29+SUM(Z32:Z34))</f>
        <v>6862</v>
      </c>
      <c r="AA35" s="14">
        <f t="shared" ref="AA35" si="81">+SUM(AA29+SUM(AA32:AA34))</f>
        <v>7488</v>
      </c>
      <c r="AC35" s="128">
        <f>SUM(AA35/W35)-1</f>
        <v>0.27390268798911199</v>
      </c>
    </row>
    <row r="36" spans="2:29" ht="12.75" customHeight="1">
      <c r="B36" s="16" t="s">
        <v>36</v>
      </c>
      <c r="C36" s="17">
        <f>C35/C10</f>
        <v>0.26907630522088355</v>
      </c>
      <c r="D36" s="17">
        <f>D35/D10</f>
        <v>0.27189525867547987</v>
      </c>
      <c r="E36" s="17">
        <f>E35/E10</f>
        <v>0.22945326278659611</v>
      </c>
      <c r="F36" s="17">
        <f>F35/F10</f>
        <v>0.25247236765561371</v>
      </c>
      <c r="H36" s="17">
        <f>H35/H10</f>
        <v>0.21221744815991034</v>
      </c>
      <c r="I36" s="17">
        <f>I35/I10</f>
        <v>0.21813771225974996</v>
      </c>
      <c r="J36" s="17">
        <f>J35/J10</f>
        <v>0.23965517241379311</v>
      </c>
      <c r="K36" s="17">
        <f>K35/K10</f>
        <v>0.24464980544747081</v>
      </c>
      <c r="L36" s="17">
        <f>L35/L10</f>
        <v>0.21523844326694683</v>
      </c>
      <c r="M36" s="17">
        <f>M35/M10</f>
        <v>0.23547557840616967</v>
      </c>
      <c r="N36" s="17">
        <f>N35/N10</f>
        <v>0.2664613579703769</v>
      </c>
      <c r="O36" s="17">
        <f>O35/O10</f>
        <v>0.27957691303212329</v>
      </c>
      <c r="P36" s="17">
        <f>P35/P10</f>
        <v>0.2570583490185534</v>
      </c>
      <c r="Q36" s="17">
        <f>Q35/Q10</f>
        <v>0.12908262849707222</v>
      </c>
      <c r="R36" s="17">
        <f>R35/R10</f>
        <v>0.26422236642872593</v>
      </c>
      <c r="T36" s="17">
        <f>T35/T10</f>
        <v>0.22945326278659611</v>
      </c>
      <c r="U36" s="17">
        <f>U35/U10</f>
        <v>0.23008771929824562</v>
      </c>
      <c r="V36" s="17">
        <f>V35/V10</f>
        <v>0.23418972332015811</v>
      </c>
      <c r="W36" s="17">
        <f>W35/W10</f>
        <v>0.24194278658160115</v>
      </c>
      <c r="X36" s="17">
        <f>X35/X10</f>
        <v>0.25247236765561371</v>
      </c>
      <c r="Y36" s="17">
        <f>Y35/Y10</f>
        <v>0.26104504504504505</v>
      </c>
      <c r="Z36" s="17">
        <f>Z35/Z10</f>
        <v>0.23182432432432432</v>
      </c>
      <c r="AA36" s="17">
        <f>AA35/AA10</f>
        <v>0.23380272894745058</v>
      </c>
      <c r="AC36" s="129">
        <f>SUM(AA36-W36)*10000</f>
        <v>-81.400576341505712</v>
      </c>
    </row>
    <row r="37" spans="2:29" ht="5.0999999999999996" customHeight="1">
      <c r="AC37" s="126"/>
    </row>
    <row r="38" spans="2:29" ht="12.75" customHeight="1">
      <c r="B38" s="23" t="s">
        <v>37</v>
      </c>
      <c r="C38" s="143">
        <f>'Historical Financials'!C114</f>
        <v>-301</v>
      </c>
      <c r="D38" s="143">
        <f>'Historical Financials'!D114</f>
        <v>-450</v>
      </c>
      <c r="E38" s="143">
        <f>'Historical Financials'!E114</f>
        <v>-546</v>
      </c>
      <c r="F38" s="143">
        <f>'Historical Financials'!F114</f>
        <v>-636</v>
      </c>
      <c r="H38" s="143">
        <f>'Historical Financials'!H114</f>
        <v>-158</v>
      </c>
      <c r="I38" s="143">
        <f>'Historical Financials'!I114</f>
        <v>-125</v>
      </c>
      <c r="J38" s="143">
        <f>'Historical Financials'!J114</f>
        <v>-124</v>
      </c>
      <c r="K38" s="143">
        <f>'Historical Financials'!K114</f>
        <v>-139</v>
      </c>
      <c r="L38" s="143">
        <f>'Historical Financials'!L114</f>
        <v>-142</v>
      </c>
      <c r="M38" s="143">
        <f>'Historical Financials'!M114</f>
        <v>-154</v>
      </c>
      <c r="N38" s="143">
        <f>'Historical Financials'!N114</f>
        <v>-132</v>
      </c>
      <c r="O38" s="143">
        <f>'Historical Financials'!O114</f>
        <v>-208</v>
      </c>
      <c r="P38" s="143">
        <f>'Historical Financials'!P114</f>
        <v>-212</v>
      </c>
      <c r="Q38" s="143">
        <f>'Historical Financials'!Q114</f>
        <v>-282</v>
      </c>
      <c r="R38" s="143">
        <f>'Historical Financials'!R114</f>
        <v>-258</v>
      </c>
      <c r="T38" s="10">
        <f>SUM(H38:K38)</f>
        <v>-546</v>
      </c>
      <c r="U38" s="10">
        <f>SUM(I38:L38)</f>
        <v>-530</v>
      </c>
      <c r="V38" s="10">
        <f>SUM(J38:M38)</f>
        <v>-559</v>
      </c>
      <c r="W38" s="144">
        <f>SUM(K38:N38)</f>
        <v>-567</v>
      </c>
      <c r="X38" s="144">
        <f>SUM(L38:O38)</f>
        <v>-636</v>
      </c>
      <c r="Y38" s="144">
        <f>SUM(M38:P38)</f>
        <v>-706</v>
      </c>
      <c r="Z38" s="144">
        <f>SUM(N38:Q38)</f>
        <v>-834</v>
      </c>
      <c r="AA38" s="144">
        <f>SUM(O38:R38)</f>
        <v>-960</v>
      </c>
      <c r="AC38" s="127">
        <f>SUM(AA38/W38)-1</f>
        <v>0.69312169312169303</v>
      </c>
    </row>
    <row r="39" spans="2:29" ht="12.75" customHeight="1">
      <c r="B39" s="23" t="s">
        <v>38</v>
      </c>
      <c r="C39" s="143">
        <f>-'Historical Financials'!C144</f>
        <v>-35</v>
      </c>
      <c r="D39" s="143">
        <f>-'Historical Financials'!D144</f>
        <v>-685</v>
      </c>
      <c r="E39" s="143">
        <f>-'Historical Financials'!E144</f>
        <v>-523</v>
      </c>
      <c r="F39" s="143">
        <f>-'Historical Financials'!F144</f>
        <v>-1386</v>
      </c>
      <c r="H39" s="143">
        <f>-'Historical Financials'!H144</f>
        <v>-21</v>
      </c>
      <c r="I39" s="143">
        <f>-'Historical Financials'!I144</f>
        <v>-46</v>
      </c>
      <c r="J39" s="143">
        <f>-'Historical Financials'!J144</f>
        <v>-34</v>
      </c>
      <c r="K39" s="143">
        <f>-'Historical Financials'!K144</f>
        <v>-422</v>
      </c>
      <c r="L39" s="143">
        <f>-'Historical Financials'!L144</f>
        <v>-87</v>
      </c>
      <c r="M39" s="143">
        <f>-'Historical Financials'!M144</f>
        <v>-311</v>
      </c>
      <c r="N39" s="143">
        <f>-'Historical Financials'!N144</f>
        <v>-1011</v>
      </c>
      <c r="O39" s="143">
        <f>-'Historical Financials'!O144</f>
        <v>23</v>
      </c>
      <c r="P39" s="143">
        <f>-'Historical Financials'!P144</f>
        <v>-128</v>
      </c>
      <c r="Q39" s="143">
        <f>-'Historical Financials'!Q144</f>
        <v>-760</v>
      </c>
      <c r="R39" s="143">
        <f>-'Historical Financials'!R144</f>
        <v>-818</v>
      </c>
      <c r="T39" s="10">
        <f>SUM(H39:K39)</f>
        <v>-523</v>
      </c>
      <c r="U39" s="10">
        <f>SUM(I39:L39)</f>
        <v>-589</v>
      </c>
      <c r="V39" s="10">
        <f>SUM(J39:M39)</f>
        <v>-854</v>
      </c>
      <c r="W39" s="144">
        <f>SUM(K39:N39)</f>
        <v>-1831</v>
      </c>
      <c r="X39" s="144">
        <f>SUM(L39:O39)</f>
        <v>-1386</v>
      </c>
      <c r="Y39" s="144">
        <f>SUM(M39:P39)</f>
        <v>-1427</v>
      </c>
      <c r="Z39" s="144">
        <f>SUM(N39:Q39)</f>
        <v>-1876</v>
      </c>
      <c r="AA39" s="144">
        <f>SUM(O39:R39)</f>
        <v>-1683</v>
      </c>
      <c r="AC39" s="127">
        <f>SUM(AA39/W39)-1</f>
        <v>-8.0830147460404178E-2</v>
      </c>
    </row>
    <row r="40" spans="2:29" ht="12.75" customHeight="1">
      <c r="B40" s="23" t="s">
        <v>72</v>
      </c>
      <c r="C40" s="143">
        <f>-'Historical Financials'!C143</f>
        <v>-25</v>
      </c>
      <c r="D40" s="143">
        <f>-'Historical Financials'!D143</f>
        <v>-85</v>
      </c>
      <c r="E40" s="143">
        <f>-'Historical Financials'!E143</f>
        <v>-84</v>
      </c>
      <c r="F40" s="143">
        <f>-'Historical Financials'!F143</f>
        <v>-72</v>
      </c>
      <c r="H40" s="156">
        <f>$E$40/4</f>
        <v>-21</v>
      </c>
      <c r="I40" s="156">
        <f t="shared" ref="I40:K40" si="82">$E$40/4</f>
        <v>-21</v>
      </c>
      <c r="J40" s="156">
        <f t="shared" si="82"/>
        <v>-21</v>
      </c>
      <c r="K40" s="156">
        <f t="shared" si="82"/>
        <v>-21</v>
      </c>
      <c r="L40" s="156">
        <f>$F$40/4</f>
        <v>-18</v>
      </c>
      <c r="M40" s="156">
        <f t="shared" ref="M40:O40" si="83">$F$40/4</f>
        <v>-18</v>
      </c>
      <c r="N40" s="156">
        <f t="shared" si="83"/>
        <v>-18</v>
      </c>
      <c r="O40" s="156">
        <f t="shared" si="83"/>
        <v>-18</v>
      </c>
      <c r="P40" s="156">
        <f>O40</f>
        <v>-18</v>
      </c>
      <c r="Q40" s="156">
        <f t="shared" ref="Q40:R40" si="84">P40</f>
        <v>-18</v>
      </c>
      <c r="R40" s="156">
        <f t="shared" si="84"/>
        <v>-18</v>
      </c>
      <c r="T40" s="10">
        <f>SUM(H40:K40)</f>
        <v>-84</v>
      </c>
      <c r="U40" s="10">
        <f>SUM(I40:L40)</f>
        <v>-81</v>
      </c>
      <c r="V40" s="10">
        <f>SUM(J40:M40)</f>
        <v>-78</v>
      </c>
      <c r="W40" s="144">
        <f>SUM(K40:N40)</f>
        <v>-75</v>
      </c>
      <c r="X40" s="144">
        <f>SUM(L40:O40)</f>
        <v>-72</v>
      </c>
      <c r="Y40" s="144">
        <f>SUM(M40:P40)</f>
        <v>-72</v>
      </c>
      <c r="Z40" s="144">
        <f>SUM(N40:Q40)</f>
        <v>-72</v>
      </c>
      <c r="AA40" s="144">
        <f>SUM(O40:R40)</f>
        <v>-72</v>
      </c>
      <c r="AC40" s="127">
        <f>SUM(AA40/W40)-1</f>
        <v>-4.0000000000000036E-2</v>
      </c>
    </row>
    <row r="41" spans="2:29" ht="12.75" customHeight="1">
      <c r="B41" s="23" t="s">
        <v>39</v>
      </c>
      <c r="C41" s="143">
        <f>SUM('Historical Financials'!C106:C110)</f>
        <v>-774</v>
      </c>
      <c r="D41" s="143">
        <f>SUM('Historical Financials'!D106:D110)</f>
        <v>-1846</v>
      </c>
      <c r="E41" s="143">
        <f>SUM('Historical Financials'!E106:E110)</f>
        <v>-3049</v>
      </c>
      <c r="F41" s="143">
        <f>SUM('Historical Financials'!F106:F110)</f>
        <v>-2098</v>
      </c>
      <c r="H41" s="143">
        <f>SUM('Historical Financials'!H106:H110)</f>
        <v>-387</v>
      </c>
      <c r="I41" s="143">
        <f>SUM('Historical Financials'!I106:I110)</f>
        <v>-582</v>
      </c>
      <c r="J41" s="143">
        <f>SUM('Historical Financials'!J106:J110)</f>
        <v>-838</v>
      </c>
      <c r="K41" s="143">
        <f>SUM('Historical Financials'!K106:K110)</f>
        <v>-1242</v>
      </c>
      <c r="L41" s="143">
        <f>SUM('Historical Financials'!L106:L110)</f>
        <v>-760</v>
      </c>
      <c r="M41" s="143">
        <f>SUM('Historical Financials'!M106:M110)</f>
        <v>-608</v>
      </c>
      <c r="N41" s="143">
        <f>SUM('Historical Financials'!N106:N110)</f>
        <v>-660</v>
      </c>
      <c r="O41" s="143">
        <f>SUM('Historical Financials'!O106:O110)</f>
        <v>-70</v>
      </c>
      <c r="P41" s="143">
        <f>SUM('Historical Financials'!P106:P110)</f>
        <v>-748</v>
      </c>
      <c r="Q41" s="143">
        <f>SUM('Historical Financials'!Q106:Q110)</f>
        <v>464</v>
      </c>
      <c r="R41" s="143">
        <f>SUM('Historical Financials'!R106:R110)</f>
        <v>-708</v>
      </c>
      <c r="T41" s="10">
        <f>SUM(H41:K41)</f>
        <v>-3049</v>
      </c>
      <c r="U41" s="10">
        <f>SUM(I41:L41)</f>
        <v>-3422</v>
      </c>
      <c r="V41" s="10">
        <f>SUM(J41:M41)</f>
        <v>-3448</v>
      </c>
      <c r="W41" s="144">
        <f>SUM(K41:N41)</f>
        <v>-3270</v>
      </c>
      <c r="X41" s="144">
        <f>SUM(L41:O41)</f>
        <v>-2098</v>
      </c>
      <c r="Y41" s="144">
        <f>SUM(M41:P41)</f>
        <v>-2086</v>
      </c>
      <c r="Z41" s="144">
        <f>SUM(N41:Q41)</f>
        <v>-1014</v>
      </c>
      <c r="AA41" s="144">
        <f>SUM(O41:R41)</f>
        <v>-1062</v>
      </c>
      <c r="AC41" s="127">
        <f>SUM(AA41/W41)-1</f>
        <v>-0.67522935779816518</v>
      </c>
    </row>
    <row r="42" spans="2:29" ht="12.75" customHeight="1">
      <c r="B42" s="13" t="s">
        <v>40</v>
      </c>
      <c r="C42" s="14">
        <f>SUM(C35+SUM(C38:C41))</f>
        <v>3287</v>
      </c>
      <c r="D42" s="14">
        <f>SUM(D35+SUM(D38:D41))</f>
        <v>3351</v>
      </c>
      <c r="E42" s="14">
        <f>SUM(E35+SUM(E38:E41))</f>
        <v>1002</v>
      </c>
      <c r="F42" s="14">
        <f>SUM(F35+SUM(F38:F41))</f>
        <v>2318</v>
      </c>
      <c r="H42" s="14">
        <f t="shared" ref="H42:Q42" si="85">SUM(H35+SUM(H38:H41))</f>
        <v>549</v>
      </c>
      <c r="I42" s="14">
        <f t="shared" si="85"/>
        <v>395</v>
      </c>
      <c r="J42" s="14">
        <f t="shared" si="85"/>
        <v>373</v>
      </c>
      <c r="K42" s="14">
        <f t="shared" si="85"/>
        <v>-315</v>
      </c>
      <c r="L42" s="14">
        <f t="shared" si="85"/>
        <v>171</v>
      </c>
      <c r="M42" s="14">
        <f t="shared" si="85"/>
        <v>283</v>
      </c>
      <c r="N42" s="14">
        <f t="shared" si="85"/>
        <v>-4</v>
      </c>
      <c r="O42" s="14">
        <f t="shared" si="85"/>
        <v>1868</v>
      </c>
      <c r="P42" s="14">
        <f t="shared" si="85"/>
        <v>806</v>
      </c>
      <c r="Q42" s="14">
        <f t="shared" si="85"/>
        <v>396</v>
      </c>
      <c r="R42" s="14">
        <f>SUM(R35+SUM(R38:R41))</f>
        <v>641</v>
      </c>
      <c r="T42" s="14">
        <f t="shared" ref="T42:AA42" si="86">SUM(T35+SUM(T38:T41))</f>
        <v>1002</v>
      </c>
      <c r="U42" s="14">
        <f t="shared" si="86"/>
        <v>624</v>
      </c>
      <c r="V42" s="14">
        <f t="shared" si="86"/>
        <v>512</v>
      </c>
      <c r="W42" s="14">
        <f t="shared" si="86"/>
        <v>135</v>
      </c>
      <c r="X42" s="14">
        <f t="shared" si="86"/>
        <v>2318</v>
      </c>
      <c r="Y42" s="14">
        <f t="shared" si="86"/>
        <v>2953</v>
      </c>
      <c r="Z42" s="14">
        <f t="shared" si="86"/>
        <v>3066</v>
      </c>
      <c r="AA42" s="14">
        <f t="shared" si="86"/>
        <v>3711</v>
      </c>
      <c r="AC42" s="128">
        <f>SUM(AA42/W42)-1</f>
        <v>26.488888888888887</v>
      </c>
    </row>
    <row r="43" spans="2:29" ht="5.0999999999999996" customHeight="1"/>
    <row r="44" spans="2:29" ht="12.75" customHeight="1">
      <c r="B44" s="31" t="s">
        <v>108</v>
      </c>
      <c r="C44" s="143">
        <f>'Historical Financials'!C115</f>
        <v>-378</v>
      </c>
      <c r="D44" s="143">
        <f>'Historical Financials'!D115</f>
        <v>1643</v>
      </c>
      <c r="E44" s="143">
        <f>'Historical Financials'!E115</f>
        <v>-735</v>
      </c>
      <c r="F44" s="143">
        <f>'Historical Financials'!F115</f>
        <v>539</v>
      </c>
      <c r="G44" s="32"/>
      <c r="H44" s="143">
        <f>'Historical Financials'!H115</f>
        <v>-1085</v>
      </c>
      <c r="I44" s="143">
        <f>'Historical Financials'!I115</f>
        <v>-312</v>
      </c>
      <c r="J44" s="143">
        <f>'Historical Financials'!J115</f>
        <v>250</v>
      </c>
      <c r="K44" s="143">
        <f>'Historical Financials'!K115</f>
        <v>412</v>
      </c>
      <c r="L44" s="143">
        <f>'Historical Financials'!L115</f>
        <v>10</v>
      </c>
      <c r="M44" s="143">
        <f>'Historical Financials'!M115</f>
        <v>629</v>
      </c>
      <c r="N44" s="143">
        <f>'Historical Financials'!N115</f>
        <v>596</v>
      </c>
      <c r="O44" s="143">
        <f>'Historical Financials'!O115</f>
        <v>-696</v>
      </c>
      <c r="P44" s="143">
        <f>'Historical Financials'!P115</f>
        <v>94</v>
      </c>
      <c r="Q44" s="143">
        <f>'Historical Financials'!Q115</f>
        <v>-159</v>
      </c>
      <c r="R44" s="143">
        <f>'Historical Financials'!R115</f>
        <v>-997</v>
      </c>
      <c r="T44" s="144">
        <f t="shared" ref="T44:Z50" si="87">SUM(H44:K44)</f>
        <v>-735</v>
      </c>
      <c r="U44" s="144">
        <f t="shared" si="87"/>
        <v>360</v>
      </c>
      <c r="V44" s="144">
        <f t="shared" si="87"/>
        <v>1301</v>
      </c>
      <c r="W44" s="144">
        <f t="shared" si="87"/>
        <v>1647</v>
      </c>
      <c r="X44" s="144">
        <f t="shared" si="87"/>
        <v>539</v>
      </c>
      <c r="Y44" s="144">
        <f t="shared" si="87"/>
        <v>623</v>
      </c>
      <c r="Z44" s="144">
        <f t="shared" si="87"/>
        <v>-165</v>
      </c>
      <c r="AA44" s="144">
        <f>SUM(O44:R44)</f>
        <v>-1758</v>
      </c>
    </row>
    <row r="45" spans="2:29" ht="12.75" customHeight="1">
      <c r="B45" s="31" t="s">
        <v>95</v>
      </c>
      <c r="C45" s="143">
        <f>'Historical Financials'!C117</f>
        <v>0</v>
      </c>
      <c r="D45" s="143">
        <f>'Historical Financials'!D117</f>
        <v>822</v>
      </c>
      <c r="E45" s="143">
        <f>'Historical Financials'!E117</f>
        <v>-131</v>
      </c>
      <c r="F45" s="143">
        <f>'Historical Financials'!F117</f>
        <v>-548</v>
      </c>
      <c r="G45" s="32"/>
      <c r="H45" s="143">
        <f>'Historical Financials'!H117</f>
        <v>0</v>
      </c>
      <c r="I45" s="143">
        <f>'Historical Financials'!I117</f>
        <v>0</v>
      </c>
      <c r="J45" s="143">
        <f>'Historical Financials'!J117</f>
        <v>-14</v>
      </c>
      <c r="K45" s="143">
        <f>'Historical Financials'!K117</f>
        <v>-117</v>
      </c>
      <c r="L45" s="143">
        <f>'Historical Financials'!L117</f>
        <v>0</v>
      </c>
      <c r="M45" s="143">
        <f>'Historical Financials'!M117</f>
        <v>0</v>
      </c>
      <c r="N45" s="143">
        <f>'Historical Financials'!N117</f>
        <v>-548</v>
      </c>
      <c r="O45" s="143">
        <f>'Historical Financials'!O117</f>
        <v>0</v>
      </c>
      <c r="P45" s="143">
        <f>'Historical Financials'!P117</f>
        <v>0</v>
      </c>
      <c r="Q45" s="143">
        <f>'Historical Financials'!Q117</f>
        <v>-1716</v>
      </c>
      <c r="R45" s="143">
        <f>'Historical Financials'!R117</f>
        <v>0</v>
      </c>
      <c r="T45" s="144">
        <f t="shared" si="87"/>
        <v>-131</v>
      </c>
      <c r="U45" s="144">
        <f t="shared" si="87"/>
        <v>-131</v>
      </c>
      <c r="V45" s="144">
        <f t="shared" si="87"/>
        <v>-131</v>
      </c>
      <c r="W45" s="144">
        <f t="shared" si="87"/>
        <v>-665</v>
      </c>
      <c r="X45" s="144">
        <f t="shared" si="87"/>
        <v>-548</v>
      </c>
      <c r="Y45" s="144">
        <f t="shared" si="87"/>
        <v>-548</v>
      </c>
      <c r="Z45" s="144">
        <f t="shared" si="87"/>
        <v>-2264</v>
      </c>
      <c r="AA45" s="144">
        <f>SUM(O45:R45)</f>
        <v>-1716</v>
      </c>
    </row>
    <row r="46" spans="2:29" ht="12.75" customHeight="1">
      <c r="B46" s="31" t="s">
        <v>184</v>
      </c>
      <c r="C46" s="143">
        <f>'Historical Financials'!C116</f>
        <v>0</v>
      </c>
      <c r="D46" s="143">
        <f>'Historical Financials'!D116</f>
        <v>-5</v>
      </c>
      <c r="E46" s="143">
        <f>'Historical Financials'!E116</f>
        <v>-11</v>
      </c>
      <c r="F46" s="143">
        <f>'Historical Financials'!F116</f>
        <v>-341</v>
      </c>
      <c r="G46" s="32"/>
      <c r="H46" s="143">
        <f>'Historical Financials'!H116</f>
        <v>0</v>
      </c>
      <c r="I46" s="143">
        <f>'Historical Financials'!I116</f>
        <v>0</v>
      </c>
      <c r="J46" s="143">
        <f>'Historical Financials'!J116</f>
        <v>0</v>
      </c>
      <c r="K46" s="143">
        <f>'Historical Financials'!K116</f>
        <v>-11</v>
      </c>
      <c r="L46" s="143">
        <f>'Historical Financials'!L116</f>
        <v>-4</v>
      </c>
      <c r="M46" s="143">
        <f>'Historical Financials'!M116</f>
        <v>-90</v>
      </c>
      <c r="N46" s="143">
        <f>'Historical Financials'!N116</f>
        <v>-37</v>
      </c>
      <c r="O46" s="143">
        <f>'Historical Financials'!O116</f>
        <v>-210</v>
      </c>
      <c r="P46" s="143">
        <f>'Historical Financials'!P116</f>
        <v>-239</v>
      </c>
      <c r="Q46" s="143">
        <f>'Historical Financials'!Q116</f>
        <v>-119</v>
      </c>
      <c r="R46" s="143">
        <f>'Historical Financials'!R116</f>
        <v>-74</v>
      </c>
      <c r="T46" s="144">
        <f t="shared" si="87"/>
        <v>-11</v>
      </c>
      <c r="U46" s="144">
        <f t="shared" si="87"/>
        <v>-15</v>
      </c>
      <c r="V46" s="144">
        <f t="shared" si="87"/>
        <v>-105</v>
      </c>
      <c r="W46" s="144">
        <f t="shared" si="87"/>
        <v>-142</v>
      </c>
      <c r="X46" s="144">
        <f t="shared" si="87"/>
        <v>-341</v>
      </c>
      <c r="Y46" s="144">
        <f t="shared" si="87"/>
        <v>-576</v>
      </c>
      <c r="Z46" s="144">
        <f t="shared" si="87"/>
        <v>-605</v>
      </c>
      <c r="AA46" s="144">
        <f>SUM(O46:R46)</f>
        <v>-642</v>
      </c>
    </row>
    <row r="47" spans="2:29" ht="12.75" customHeight="1">
      <c r="B47" s="31" t="s">
        <v>109</v>
      </c>
      <c r="C47" s="143">
        <f>'Historical Financials'!C123</f>
        <v>0</v>
      </c>
      <c r="D47" s="143">
        <f>'Historical Financials'!D123</f>
        <v>679</v>
      </c>
      <c r="E47" s="143">
        <f>'Historical Financials'!E123</f>
        <v>0</v>
      </c>
      <c r="F47" s="143">
        <f>'Historical Financials'!F123</f>
        <v>-750</v>
      </c>
      <c r="G47" s="32"/>
      <c r="H47" s="143">
        <f>'Historical Financials'!H123</f>
        <v>0</v>
      </c>
      <c r="I47" s="143">
        <f>'Historical Financials'!I123</f>
        <v>144</v>
      </c>
      <c r="J47" s="143">
        <f>'Historical Financials'!J123</f>
        <v>-144</v>
      </c>
      <c r="K47" s="143">
        <f>'Historical Financials'!K123</f>
        <v>0</v>
      </c>
      <c r="L47" s="143">
        <f>'Historical Financials'!L123</f>
        <v>0</v>
      </c>
      <c r="M47" s="143">
        <f>'Historical Financials'!M123</f>
        <v>-750</v>
      </c>
      <c r="N47" s="143">
        <f>'Historical Financials'!N123</f>
        <v>0</v>
      </c>
      <c r="O47" s="143">
        <f>'Historical Financials'!O123</f>
        <v>0</v>
      </c>
      <c r="P47" s="143">
        <f>'Historical Financials'!P123</f>
        <v>2441</v>
      </c>
      <c r="Q47" s="143">
        <f>'Historical Financials'!Q123</f>
        <v>-950</v>
      </c>
      <c r="R47" s="143">
        <f>'Historical Financials'!R123</f>
        <v>0</v>
      </c>
      <c r="T47" s="144">
        <f t="shared" si="87"/>
        <v>0</v>
      </c>
      <c r="U47" s="144">
        <f t="shared" si="87"/>
        <v>0</v>
      </c>
      <c r="V47" s="144">
        <f t="shared" si="87"/>
        <v>-894</v>
      </c>
      <c r="W47" s="144">
        <f t="shared" si="87"/>
        <v>-750</v>
      </c>
      <c r="X47" s="144">
        <f t="shared" si="87"/>
        <v>-750</v>
      </c>
      <c r="Y47" s="144">
        <f t="shared" si="87"/>
        <v>1691</v>
      </c>
      <c r="Z47" s="144">
        <f t="shared" si="87"/>
        <v>1491</v>
      </c>
      <c r="AA47" s="144">
        <f>SUM(O47:R47)</f>
        <v>1491</v>
      </c>
    </row>
    <row r="48" spans="2:29" ht="12.75" customHeight="1">
      <c r="B48" s="31" t="s">
        <v>186</v>
      </c>
      <c r="C48" s="143">
        <f>'Historical Financials'!C124</f>
        <v>-1762</v>
      </c>
      <c r="D48" s="143">
        <f>'Historical Financials'!D124</f>
        <v>-3702</v>
      </c>
      <c r="E48" s="143">
        <f>'Historical Financials'!E124</f>
        <v>-985</v>
      </c>
      <c r="F48" s="143">
        <f>'Historical Financials'!F124</f>
        <v>-862</v>
      </c>
      <c r="G48" s="32"/>
      <c r="H48" s="143">
        <f>'Historical Financials'!H124</f>
        <v>-241</v>
      </c>
      <c r="I48" s="143">
        <f>'Historical Financials'!I124</f>
        <v>0</v>
      </c>
      <c r="J48" s="143">
        <f>'Historical Financials'!J124</f>
        <v>-511</v>
      </c>
      <c r="K48" s="143">
        <f>'Historical Financials'!K124</f>
        <v>-233</v>
      </c>
      <c r="L48" s="143">
        <f>'Historical Financials'!L124</f>
        <v>-4</v>
      </c>
      <c r="M48" s="143">
        <f>'Historical Financials'!M124</f>
        <v>-352</v>
      </c>
      <c r="N48" s="143">
        <f>'Historical Financials'!N124</f>
        <v>-250</v>
      </c>
      <c r="O48" s="143">
        <f>'Historical Financials'!O124</f>
        <v>-256</v>
      </c>
      <c r="P48" s="143">
        <f>'Historical Financials'!P124</f>
        <v>-749</v>
      </c>
      <c r="Q48" s="143">
        <f>'Historical Financials'!Q124</f>
        <v>-478</v>
      </c>
      <c r="R48" s="143">
        <f>'Historical Financials'!R124</f>
        <v>-89</v>
      </c>
      <c r="T48" s="144">
        <f t="shared" si="87"/>
        <v>-985</v>
      </c>
      <c r="U48" s="144">
        <f t="shared" si="87"/>
        <v>-748</v>
      </c>
      <c r="V48" s="144">
        <f t="shared" si="87"/>
        <v>-1100</v>
      </c>
      <c r="W48" s="144">
        <f t="shared" si="87"/>
        <v>-839</v>
      </c>
      <c r="X48" s="144">
        <f t="shared" si="87"/>
        <v>-862</v>
      </c>
      <c r="Y48" s="144">
        <f t="shared" si="87"/>
        <v>-1607</v>
      </c>
      <c r="Z48" s="144">
        <f t="shared" si="87"/>
        <v>-1733</v>
      </c>
      <c r="AA48" s="144">
        <f>SUM(O48:R48)</f>
        <v>-1572</v>
      </c>
    </row>
    <row r="49" spans="1:29" ht="12.75" customHeight="1">
      <c r="B49" s="31" t="s">
        <v>110</v>
      </c>
      <c r="C49" s="143">
        <f>SUM('Historical Financials'!C125:C127)</f>
        <v>-133</v>
      </c>
      <c r="D49" s="143">
        <f>SUM('Historical Financials'!D125:D127)</f>
        <v>-241</v>
      </c>
      <c r="E49" s="143">
        <f>SUM('Historical Financials'!E125:E127)</f>
        <v>-161</v>
      </c>
      <c r="F49" s="143">
        <f>SUM('Historical Financials'!F125:F127)</f>
        <v>-450</v>
      </c>
      <c r="G49" s="32"/>
      <c r="H49" s="143">
        <f>SUM('Historical Financials'!H125:H127)</f>
        <v>-18</v>
      </c>
      <c r="I49" s="143">
        <f>SUM('Historical Financials'!I125:I127)</f>
        <v>-69</v>
      </c>
      <c r="J49" s="143">
        <f>SUM('Historical Financials'!J125:J127)</f>
        <v>-148</v>
      </c>
      <c r="K49" s="143">
        <f>SUM('Historical Financials'!K125:K127)</f>
        <v>74</v>
      </c>
      <c r="L49" s="143">
        <f>SUM('Historical Financials'!L125:L127)</f>
        <v>-125</v>
      </c>
      <c r="M49" s="143">
        <f>SUM('Historical Financials'!M125:M127)</f>
        <v>46</v>
      </c>
      <c r="N49" s="143">
        <f>SUM('Historical Financials'!N125:N127)</f>
        <v>-456</v>
      </c>
      <c r="O49" s="143">
        <f>SUM('Historical Financials'!O125:O127)</f>
        <v>85</v>
      </c>
      <c r="P49" s="143">
        <f>SUM('Historical Financials'!P125:P127)</f>
        <v>-26</v>
      </c>
      <c r="Q49" s="143">
        <f>SUM('Historical Financials'!Q125:Q127)</f>
        <v>109</v>
      </c>
      <c r="R49" s="143">
        <f>SUM('Historical Financials'!R125:R127)</f>
        <v>-361</v>
      </c>
      <c r="T49" s="144">
        <f t="shared" si="87"/>
        <v>-161</v>
      </c>
      <c r="U49" s="144">
        <f t="shared" si="87"/>
        <v>-268</v>
      </c>
      <c r="V49" s="144">
        <f t="shared" si="87"/>
        <v>-153</v>
      </c>
      <c r="W49" s="144">
        <f t="shared" si="87"/>
        <v>-461</v>
      </c>
      <c r="X49" s="144">
        <f t="shared" si="87"/>
        <v>-450</v>
      </c>
      <c r="Y49" s="144">
        <f t="shared" si="87"/>
        <v>-351</v>
      </c>
      <c r="Z49" s="144">
        <f t="shared" si="87"/>
        <v>-288</v>
      </c>
      <c r="AA49" s="144">
        <f>SUM(O49:R49)</f>
        <v>-193</v>
      </c>
    </row>
    <row r="50" spans="1:29" ht="12.75" customHeight="1">
      <c r="B50" s="31" t="s">
        <v>68</v>
      </c>
      <c r="C50" s="96"/>
      <c r="D50" s="96">
        <f>SUM(D55-C55)-SUM(D42:D49)</f>
        <v>-247</v>
      </c>
      <c r="E50" s="96">
        <f>SUM(E55-D55)-SUM(E42:E49)</f>
        <v>119</v>
      </c>
      <c r="F50" s="96">
        <f>SUM(F55-E55)-SUM(F42:F49)</f>
        <v>-52</v>
      </c>
      <c r="G50" s="32"/>
      <c r="H50" s="96"/>
      <c r="I50" s="96">
        <f>SUM(I55-H55)-SUM(I42:I49)</f>
        <v>-142</v>
      </c>
      <c r="J50" s="96">
        <f>SUM(J55-I55)-SUM(J42:J49)</f>
        <v>-86</v>
      </c>
      <c r="K50" s="96">
        <f>SUM(K55-J55)-SUM(K42:K49)</f>
        <v>562</v>
      </c>
      <c r="L50" s="96">
        <f>SUM(L55-K55)-SUM(L42:L49)</f>
        <v>209</v>
      </c>
      <c r="M50" s="96">
        <f>SUM(M55-L55)-SUM(M42:M49)</f>
        <v>157</v>
      </c>
      <c r="N50" s="96">
        <f>SUM(N55-M55)-SUM(N42:N49)</f>
        <v>483</v>
      </c>
      <c r="O50" s="96">
        <f>SUM(O55-N55)-SUM(O42:O49)</f>
        <v>-901</v>
      </c>
      <c r="P50" s="96">
        <f>SUM(P55-O55)-SUM(P42:P49)</f>
        <v>-65</v>
      </c>
      <c r="Q50" s="96">
        <f>SUM(Q55-P55)-SUM(Q42:Q49)</f>
        <v>1310</v>
      </c>
      <c r="R50" s="96">
        <f>SUM(R55-Q55)-SUM(R42:R49)</f>
        <v>1246</v>
      </c>
      <c r="T50" s="144">
        <f t="shared" si="87"/>
        <v>334</v>
      </c>
      <c r="U50" s="144">
        <f t="shared" si="87"/>
        <v>543</v>
      </c>
      <c r="V50" s="144">
        <f t="shared" si="87"/>
        <v>842</v>
      </c>
      <c r="W50" s="144">
        <f t="shared" si="87"/>
        <v>1411</v>
      </c>
      <c r="X50" s="144">
        <f t="shared" si="87"/>
        <v>-52</v>
      </c>
      <c r="Y50" s="144">
        <f t="shared" si="87"/>
        <v>-326</v>
      </c>
      <c r="Z50" s="144">
        <f t="shared" si="87"/>
        <v>827</v>
      </c>
      <c r="AA50" s="144">
        <f>SUM(O50:R50)</f>
        <v>1590</v>
      </c>
    </row>
    <row r="51" spans="1:29" ht="12.75" customHeight="1">
      <c r="B51" s="13" t="s">
        <v>41</v>
      </c>
      <c r="C51" s="14">
        <f>SUM(C42+SUM(C44:C50))</f>
        <v>1014</v>
      </c>
      <c r="D51" s="14">
        <f>SUM(D42+SUM(D44:D50))</f>
        <v>2300</v>
      </c>
      <c r="E51" s="14">
        <f>SUM(E42+SUM(E44:E50))</f>
        <v>-902</v>
      </c>
      <c r="F51" s="14">
        <f>SUM(F42+SUM(F44:F50))</f>
        <v>-146</v>
      </c>
      <c r="H51" s="14">
        <f>SUM(H42+SUM(H44:H50))</f>
        <v>-795</v>
      </c>
      <c r="I51" s="14">
        <f>SUM(I42+SUM(I44:I50))</f>
        <v>16</v>
      </c>
      <c r="J51" s="14">
        <f>SUM(J42+SUM(J44:J50))</f>
        <v>-280</v>
      </c>
      <c r="K51" s="14">
        <f>SUM(K42+SUM(K44:K50))</f>
        <v>372</v>
      </c>
      <c r="L51" s="14">
        <f>SUM(L42+SUM(L44:L50))</f>
        <v>257</v>
      </c>
      <c r="M51" s="14">
        <f>SUM(M42+SUM(M44:M50))</f>
        <v>-77</v>
      </c>
      <c r="N51" s="14">
        <f>SUM(N42+SUM(N44:N50))</f>
        <v>-216</v>
      </c>
      <c r="O51" s="14">
        <f>SUM(O42+SUM(O44:O50))</f>
        <v>-110</v>
      </c>
      <c r="P51" s="14">
        <f>SUM(P42+SUM(P44:P50))</f>
        <v>2262</v>
      </c>
      <c r="Q51" s="14">
        <f>SUM(Q42+SUM(Q44:Q50))</f>
        <v>-1607</v>
      </c>
      <c r="R51" s="14">
        <f>SUM(R42+SUM(R44:R50))</f>
        <v>366</v>
      </c>
      <c r="T51" s="14">
        <f t="shared" ref="T51:AA51" si="88">SUM(T42+SUM(T44:T50))</f>
        <v>-687</v>
      </c>
      <c r="U51" s="14">
        <f t="shared" si="88"/>
        <v>365</v>
      </c>
      <c r="V51" s="14">
        <f t="shared" si="88"/>
        <v>272</v>
      </c>
      <c r="W51" s="14">
        <f t="shared" si="88"/>
        <v>336</v>
      </c>
      <c r="X51" s="14">
        <f t="shared" si="88"/>
        <v>-146</v>
      </c>
      <c r="Y51" s="14">
        <f t="shared" si="88"/>
        <v>1859</v>
      </c>
      <c r="Z51" s="14">
        <f t="shared" si="88"/>
        <v>329</v>
      </c>
      <c r="AA51" s="14">
        <f t="shared" si="88"/>
        <v>911</v>
      </c>
    </row>
    <row r="52" spans="1:29" ht="5.0999999999999996" customHeight="1"/>
    <row r="53" spans="1:29" ht="12.75" customHeight="1">
      <c r="A53" s="5"/>
      <c r="B53" s="33" t="s">
        <v>42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9" ht="5.0999999999999996" customHeight="1"/>
    <row r="55" spans="1:29" ht="12.75" customHeight="1">
      <c r="B55" s="8" t="s">
        <v>43</v>
      </c>
      <c r="C55" s="94">
        <f>'Historical Financials'!C51</f>
        <v>2535</v>
      </c>
      <c r="D55" s="94">
        <f>'Historical Financials'!D51</f>
        <v>4835</v>
      </c>
      <c r="E55" s="94">
        <f>'Historical Financials'!E51</f>
        <v>3933</v>
      </c>
      <c r="F55" s="94">
        <f>'Historical Financials'!F51</f>
        <v>3787</v>
      </c>
      <c r="G55" s="32"/>
      <c r="H55" s="94">
        <f>'Historical Financials'!H51</f>
        <v>3825</v>
      </c>
      <c r="I55" s="94">
        <f>'Historical Financials'!I51</f>
        <v>3841</v>
      </c>
      <c r="J55" s="94">
        <f>'Historical Financials'!J51</f>
        <v>3561</v>
      </c>
      <c r="K55" s="94">
        <f>'Historical Financials'!K51</f>
        <v>3933</v>
      </c>
      <c r="L55" s="94">
        <f>'Historical Financials'!L51</f>
        <v>4190</v>
      </c>
      <c r="M55" s="94">
        <f>'Historical Financials'!M51</f>
        <v>4113</v>
      </c>
      <c r="N55" s="94">
        <f>'Historical Financials'!N51</f>
        <v>3897</v>
      </c>
      <c r="O55" s="94">
        <f>'Historical Financials'!O51</f>
        <v>3787</v>
      </c>
      <c r="P55" s="94">
        <f>'Historical Financials'!P51</f>
        <v>6049</v>
      </c>
      <c r="Q55" s="94">
        <f>'Historical Financials'!Q51</f>
        <v>4442</v>
      </c>
      <c r="R55" s="94">
        <f>'Historical Financials'!R51</f>
        <v>4808</v>
      </c>
      <c r="T55" s="10">
        <f t="shared" ref="T55:Z57" si="89">K55</f>
        <v>3933</v>
      </c>
      <c r="U55" s="10">
        <f t="shared" si="89"/>
        <v>4190</v>
      </c>
      <c r="V55" s="10">
        <f t="shared" si="89"/>
        <v>4113</v>
      </c>
      <c r="W55" s="10">
        <f t="shared" si="89"/>
        <v>3897</v>
      </c>
      <c r="X55" s="10">
        <f t="shared" si="89"/>
        <v>3787</v>
      </c>
      <c r="Y55" s="10">
        <f t="shared" si="89"/>
        <v>6049</v>
      </c>
      <c r="Z55" s="10">
        <f t="shared" si="89"/>
        <v>4442</v>
      </c>
      <c r="AA55" s="10">
        <f>R55</f>
        <v>4808</v>
      </c>
    </row>
    <row r="56" spans="1:29" ht="12.75" customHeight="1">
      <c r="B56" s="8" t="s">
        <v>187</v>
      </c>
      <c r="C56" s="94">
        <f>'Historical Financials'!C52</f>
        <v>1073</v>
      </c>
      <c r="D56" s="94">
        <f>'Historical Financials'!D52</f>
        <v>1020</v>
      </c>
      <c r="E56" s="94">
        <f>'Historical Financials'!E52</f>
        <v>1840</v>
      </c>
      <c r="F56" s="94">
        <f>'Historical Financials'!F52</f>
        <v>1345</v>
      </c>
      <c r="G56" s="32"/>
      <c r="H56" s="94">
        <f>'Historical Financials'!H52</f>
        <v>2114</v>
      </c>
      <c r="I56" s="94">
        <f>'Historical Financials'!I52</f>
        <v>2444</v>
      </c>
      <c r="J56" s="94">
        <f>'Historical Financials'!J52</f>
        <v>2224</v>
      </c>
      <c r="K56" s="94">
        <f>'Historical Financials'!K52</f>
        <v>1840</v>
      </c>
      <c r="L56" s="94">
        <f>'Historical Financials'!L52</f>
        <v>1845</v>
      </c>
      <c r="M56" s="94">
        <f>'Historical Financials'!M52</f>
        <v>1227</v>
      </c>
      <c r="N56" s="94">
        <f>'Historical Financials'!N52</f>
        <v>647</v>
      </c>
      <c r="O56" s="94">
        <f>'Historical Financials'!O52</f>
        <v>1345</v>
      </c>
      <c r="P56" s="94">
        <f>'Historical Financials'!P52</f>
        <v>1261</v>
      </c>
      <c r="Q56" s="94">
        <f>'Historical Financials'!Q52</f>
        <v>1425</v>
      </c>
      <c r="R56" s="94">
        <f>'Historical Financials'!R52</f>
        <v>2435</v>
      </c>
      <c r="T56" s="10">
        <f t="shared" si="89"/>
        <v>1840</v>
      </c>
      <c r="U56" s="10">
        <f t="shared" si="89"/>
        <v>1845</v>
      </c>
      <c r="V56" s="10">
        <f t="shared" si="89"/>
        <v>1227</v>
      </c>
      <c r="W56" s="10">
        <f t="shared" si="89"/>
        <v>647</v>
      </c>
      <c r="X56" s="10">
        <f t="shared" si="89"/>
        <v>1345</v>
      </c>
      <c r="Y56" s="10">
        <f t="shared" si="89"/>
        <v>1261</v>
      </c>
      <c r="Z56" s="10">
        <f t="shared" si="89"/>
        <v>1425</v>
      </c>
      <c r="AA56" s="10">
        <f>R56</f>
        <v>2435</v>
      </c>
    </row>
    <row r="57" spans="1:29" ht="12.75" customHeight="1">
      <c r="B57" s="31" t="s">
        <v>194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90">3000-H75-H76</f>
        <v>3000</v>
      </c>
      <c r="I57" s="81">
        <f t="shared" si="90"/>
        <v>3000</v>
      </c>
      <c r="J57" s="81">
        <f t="shared" si="90"/>
        <v>3000</v>
      </c>
      <c r="K57" s="10">
        <f>E57</f>
        <v>3000</v>
      </c>
      <c r="L57" s="81">
        <f t="shared" si="90"/>
        <v>3000</v>
      </c>
      <c r="M57" s="81">
        <f t="shared" si="90"/>
        <v>3000</v>
      </c>
      <c r="N57" s="81">
        <f t="shared" si="90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89"/>
        <v>3000</v>
      </c>
      <c r="U57" s="10">
        <f t="shared" si="89"/>
        <v>3000</v>
      </c>
      <c r="V57" s="10">
        <f t="shared" si="89"/>
        <v>3000</v>
      </c>
      <c r="W57" s="10">
        <f t="shared" si="89"/>
        <v>3000</v>
      </c>
      <c r="X57" s="10">
        <f t="shared" si="89"/>
        <v>3000</v>
      </c>
      <c r="Y57" s="10">
        <f t="shared" si="89"/>
        <v>2050</v>
      </c>
      <c r="Z57" s="10">
        <f t="shared" si="89"/>
        <v>3000</v>
      </c>
      <c r="AA57" s="10">
        <f>R57</f>
        <v>3000</v>
      </c>
    </row>
    <row r="58" spans="1:29" ht="12.75" customHeight="1">
      <c r="B58" s="13" t="s">
        <v>44</v>
      </c>
      <c r="C58" s="14">
        <f>SUM(C55:C57)</f>
        <v>4094</v>
      </c>
      <c r="D58" s="14">
        <f>SUM(D55:D57)</f>
        <v>8855</v>
      </c>
      <c r="E58" s="14">
        <f>SUM(E55:E57)</f>
        <v>8773</v>
      </c>
      <c r="F58" s="14">
        <f>SUM(F55:F57)</f>
        <v>8132</v>
      </c>
      <c r="G58" s="32"/>
      <c r="H58" s="14">
        <f t="shared" ref="H58:R58" si="91">SUM(H55:H57)</f>
        <v>8939</v>
      </c>
      <c r="I58" s="14">
        <f t="shared" si="91"/>
        <v>9285</v>
      </c>
      <c r="J58" s="14">
        <f t="shared" si="91"/>
        <v>8785</v>
      </c>
      <c r="K58" s="14">
        <f t="shared" si="91"/>
        <v>8773</v>
      </c>
      <c r="L58" s="14">
        <f t="shared" si="91"/>
        <v>9035</v>
      </c>
      <c r="M58" s="14">
        <f t="shared" si="91"/>
        <v>8340</v>
      </c>
      <c r="N58" s="14">
        <f t="shared" si="91"/>
        <v>7544</v>
      </c>
      <c r="O58" s="14">
        <f t="shared" si="91"/>
        <v>8132</v>
      </c>
      <c r="P58" s="14">
        <f t="shared" si="91"/>
        <v>9360</v>
      </c>
      <c r="Q58" s="14">
        <f t="shared" si="91"/>
        <v>8867</v>
      </c>
      <c r="R58" s="14">
        <f t="shared" si="91"/>
        <v>10243</v>
      </c>
      <c r="T58" s="14">
        <f t="shared" ref="T58:V58" si="92">SUM(T55:T55)</f>
        <v>3933</v>
      </c>
      <c r="U58" s="14">
        <f t="shared" si="92"/>
        <v>4190</v>
      </c>
      <c r="V58" s="14">
        <f t="shared" si="92"/>
        <v>4113</v>
      </c>
      <c r="W58" s="14">
        <f>SUM(W55:W57)</f>
        <v>7544</v>
      </c>
      <c r="X58" s="14">
        <f>SUM(X55:X57)</f>
        <v>8132</v>
      </c>
      <c r="Y58" s="14">
        <f>SUM(Y55:Y57)</f>
        <v>9360</v>
      </c>
      <c r="Z58" s="14">
        <f>SUM(Z55:Z57)</f>
        <v>8867</v>
      </c>
      <c r="AA58" s="14">
        <f>SUM(AA55:AA57)</f>
        <v>10243</v>
      </c>
    </row>
    <row r="59" spans="1:29" s="157" customFormat="1" ht="12.75" hidden="1" customHeight="1" outlineLevel="1">
      <c r="B59" s="161" t="s">
        <v>191</v>
      </c>
      <c r="C59" s="160">
        <f>75-C75</f>
        <v>61</v>
      </c>
      <c r="D59" s="162"/>
      <c r="E59" s="162"/>
      <c r="F59" s="162"/>
      <c r="G59" s="158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8"/>
      <c r="T59" s="162"/>
      <c r="U59" s="162"/>
      <c r="V59" s="162"/>
      <c r="W59" s="162"/>
      <c r="X59" s="162"/>
      <c r="Y59" s="162"/>
      <c r="Z59" s="162"/>
      <c r="AA59" s="162"/>
      <c r="AC59" s="159"/>
    </row>
    <row r="60" spans="1:29" s="157" customFormat="1" ht="12.75" hidden="1" customHeight="1" outlineLevel="1">
      <c r="B60" s="161" t="s">
        <v>192</v>
      </c>
      <c r="C60" s="160">
        <v>50</v>
      </c>
      <c r="D60" s="162"/>
      <c r="E60" s="162"/>
      <c r="F60" s="162"/>
      <c r="G60" s="158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8"/>
      <c r="T60" s="162"/>
      <c r="U60" s="162"/>
      <c r="V60" s="162"/>
      <c r="W60" s="162"/>
      <c r="X60" s="162"/>
      <c r="Y60" s="162"/>
      <c r="Z60" s="162"/>
      <c r="AA60" s="162"/>
      <c r="AC60" s="159"/>
    </row>
    <row r="61" spans="1:29" ht="5.0999999999999996" customHeight="1" collapsed="1"/>
    <row r="62" spans="1:29" ht="12.75" customHeight="1">
      <c r="B62" s="35" t="s">
        <v>45</v>
      </c>
    </row>
    <row r="63" spans="1:29" ht="12.75" customHeight="1">
      <c r="B63" s="8" t="s">
        <v>196</v>
      </c>
      <c r="C63" s="94">
        <f>'Historical Financials'!C53</f>
        <v>2706</v>
      </c>
      <c r="D63" s="94">
        <f>'Historical Financials'!D53</f>
        <v>4126</v>
      </c>
      <c r="E63" s="94">
        <f>'Historical Financials'!E53</f>
        <v>5376</v>
      </c>
      <c r="F63" s="94">
        <f>'Historical Financials'!F53</f>
        <v>6192</v>
      </c>
      <c r="H63" s="94">
        <f>'Historical Financials'!H53</f>
        <v>4040</v>
      </c>
      <c r="I63" s="94">
        <f>'Historical Financials'!I53</f>
        <v>4312</v>
      </c>
      <c r="J63" s="94">
        <f>'Historical Financials'!J53</f>
        <v>5054</v>
      </c>
      <c r="K63" s="94">
        <f>'Historical Financials'!K53</f>
        <v>5376</v>
      </c>
      <c r="L63" s="94">
        <f>'Historical Financials'!L53</f>
        <v>5038</v>
      </c>
      <c r="M63" s="94">
        <f>'Historical Financials'!M53</f>
        <v>5749</v>
      </c>
      <c r="N63" s="94">
        <f>'Historical Financials'!N53</f>
        <v>7241</v>
      </c>
      <c r="O63" s="94">
        <f>'Historical Financials'!O53</f>
        <v>6192</v>
      </c>
      <c r="P63" s="94">
        <f>'Historical Financials'!P53</f>
        <v>5443</v>
      </c>
      <c r="Q63" s="94">
        <f>'Historical Financials'!Q53</f>
        <v>5115</v>
      </c>
      <c r="R63" s="94">
        <f>'Historical Financials'!R53</f>
        <v>6201</v>
      </c>
      <c r="S63" s="10"/>
      <c r="T63" s="10">
        <f t="shared" ref="T63:Z69" si="93">K63</f>
        <v>5376</v>
      </c>
      <c r="U63" s="10">
        <f t="shared" si="93"/>
        <v>5038</v>
      </c>
      <c r="V63" s="10">
        <f t="shared" si="93"/>
        <v>5749</v>
      </c>
      <c r="W63" s="10">
        <f t="shared" si="93"/>
        <v>7241</v>
      </c>
      <c r="X63" s="10">
        <f t="shared" si="93"/>
        <v>6192</v>
      </c>
      <c r="Y63" s="10">
        <f t="shared" si="93"/>
        <v>5443</v>
      </c>
      <c r="Z63" s="10">
        <f t="shared" si="93"/>
        <v>5115</v>
      </c>
      <c r="AA63" s="10">
        <f>R63</f>
        <v>6201</v>
      </c>
    </row>
    <row r="64" spans="1:29" ht="12.75" customHeight="1">
      <c r="B64" s="8" t="s">
        <v>128</v>
      </c>
      <c r="C64" s="94">
        <f>'Historical Financials'!C54</f>
        <v>1955</v>
      </c>
      <c r="D64" s="94">
        <f>'Historical Financials'!D54</f>
        <v>3771</v>
      </c>
      <c r="E64" s="94">
        <f>'Historical Financials'!E54</f>
        <v>4351</v>
      </c>
      <c r="F64" s="94">
        <f>'Historical Financials'!F54</f>
        <v>5734</v>
      </c>
      <c r="G64" s="94"/>
      <c r="H64" s="94">
        <f>'Historical Financials'!H54</f>
        <v>4235</v>
      </c>
      <c r="I64" s="94">
        <f>'Historical Financials'!I54</f>
        <v>4567</v>
      </c>
      <c r="J64" s="94">
        <f>'Historical Financials'!J54</f>
        <v>4445</v>
      </c>
      <c r="K64" s="94">
        <f>'Historical Financials'!K54</f>
        <v>4351</v>
      </c>
      <c r="L64" s="94">
        <f>'Historical Financials'!L54</f>
        <v>4652</v>
      </c>
      <c r="M64" s="94">
        <f>'Historical Financials'!M54</f>
        <v>4991</v>
      </c>
      <c r="N64" s="94">
        <f>'Historical Financials'!N54</f>
        <v>5374</v>
      </c>
      <c r="O64" s="94">
        <f>'Historical Financials'!O54</f>
        <v>5734</v>
      </c>
      <c r="P64" s="94">
        <f>'Historical Financials'!P54</f>
        <v>6416</v>
      </c>
      <c r="Q64" s="94">
        <f>'Historical Financials'!Q54</f>
        <v>6677</v>
      </c>
      <c r="R64" s="94">
        <f>'Historical Financials'!R54</f>
        <v>7313</v>
      </c>
      <c r="T64" s="10">
        <f t="shared" si="93"/>
        <v>4351</v>
      </c>
      <c r="U64" s="10">
        <f t="shared" si="93"/>
        <v>4652</v>
      </c>
      <c r="V64" s="10">
        <f t="shared" si="93"/>
        <v>4991</v>
      </c>
      <c r="W64" s="10">
        <f t="shared" si="93"/>
        <v>5374</v>
      </c>
      <c r="X64" s="10">
        <f t="shared" si="93"/>
        <v>5734</v>
      </c>
      <c r="Y64" s="10">
        <f t="shared" si="93"/>
        <v>6416</v>
      </c>
      <c r="Z64" s="10">
        <f t="shared" si="93"/>
        <v>6677</v>
      </c>
      <c r="AA64" s="10">
        <f>R64</f>
        <v>7313</v>
      </c>
    </row>
    <row r="65" spans="2:27" ht="12.75" customHeight="1">
      <c r="B65" s="8" t="s">
        <v>114</v>
      </c>
      <c r="C65" s="94">
        <f>'Historical Financials'!C59</f>
        <v>702</v>
      </c>
      <c r="D65" s="94">
        <f>'Historical Financials'!D59</f>
        <v>1513</v>
      </c>
      <c r="E65" s="94">
        <f>'Historical Financials'!E59</f>
        <v>1589</v>
      </c>
      <c r="F65" s="94">
        <f>'Historical Financials'!F59</f>
        <v>1802</v>
      </c>
      <c r="H65" s="94">
        <f>'Historical Financials'!H59</f>
        <v>1500</v>
      </c>
      <c r="I65" s="94">
        <f>'Historical Financials'!I59</f>
        <v>1541</v>
      </c>
      <c r="J65" s="94">
        <f>'Historical Financials'!J59</f>
        <v>1566</v>
      </c>
      <c r="K65" s="94">
        <f>'Historical Financials'!K59</f>
        <v>1589</v>
      </c>
      <c r="L65" s="94">
        <f>'Historical Financials'!L59</f>
        <v>1624</v>
      </c>
      <c r="M65" s="94">
        <f>'Historical Financials'!M59</f>
        <v>1666</v>
      </c>
      <c r="N65" s="94">
        <f>'Historical Financials'!N59</f>
        <v>1669</v>
      </c>
      <c r="O65" s="94">
        <f>'Historical Financials'!O59</f>
        <v>1802</v>
      </c>
      <c r="P65" s="94">
        <f>'Historical Financials'!P59</f>
        <v>1921</v>
      </c>
      <c r="Q65" s="94">
        <f>'Historical Financials'!Q59</f>
        <v>2128</v>
      </c>
      <c r="R65" s="94">
        <f>'Historical Financials'!R59</f>
        <v>2205</v>
      </c>
      <c r="S65" s="10"/>
      <c r="T65" s="10">
        <f t="shared" si="93"/>
        <v>1589</v>
      </c>
      <c r="U65" s="10">
        <f t="shared" si="93"/>
        <v>1624</v>
      </c>
      <c r="V65" s="10">
        <f t="shared" si="93"/>
        <v>1666</v>
      </c>
      <c r="W65" s="10">
        <f t="shared" si="93"/>
        <v>1669</v>
      </c>
      <c r="X65" s="10">
        <f t="shared" si="93"/>
        <v>1802</v>
      </c>
      <c r="Y65" s="10">
        <f t="shared" si="93"/>
        <v>1921</v>
      </c>
      <c r="Z65" s="10">
        <f t="shared" si="93"/>
        <v>2128</v>
      </c>
      <c r="AA65" s="10">
        <f>R65</f>
        <v>2205</v>
      </c>
    </row>
    <row r="66" spans="2:27" ht="12.75" customHeight="1">
      <c r="B66" s="8" t="s">
        <v>131</v>
      </c>
      <c r="C66" s="94">
        <f>'Historical Financials'!C61</f>
        <v>0</v>
      </c>
      <c r="D66" s="94">
        <f>'Historical Financials'!D61</f>
        <v>24118</v>
      </c>
      <c r="E66" s="94">
        <f>'Historical Financials'!E61</f>
        <v>21363</v>
      </c>
      <c r="F66" s="94">
        <f>'Historical Financials'!F61</f>
        <v>18930</v>
      </c>
      <c r="H66" s="94">
        <f>'Historical Financials'!H61</f>
        <v>23291</v>
      </c>
      <c r="I66" s="94">
        <f>'Historical Financials'!I61</f>
        <v>22598</v>
      </c>
      <c r="J66" s="94">
        <f>'Historical Financials'!J61</f>
        <v>21950</v>
      </c>
      <c r="K66" s="94">
        <f>'Historical Financials'!K61</f>
        <v>21363</v>
      </c>
      <c r="L66" s="94">
        <f>'Historical Financials'!L61</f>
        <v>20741</v>
      </c>
      <c r="M66" s="94">
        <f>'Historical Financials'!M61</f>
        <v>20138</v>
      </c>
      <c r="N66" s="94">
        <f>'Historical Financials'!N61</f>
        <v>19572</v>
      </c>
      <c r="O66" s="94">
        <f>'Historical Financials'!O61</f>
        <v>18930</v>
      </c>
      <c r="P66" s="94">
        <f>'Historical Financials'!P61</f>
        <v>18363</v>
      </c>
      <c r="Q66" s="94">
        <f>'Historical Financials'!Q61</f>
        <v>17812</v>
      </c>
      <c r="R66" s="94">
        <f>'Historical Financials'!R61</f>
        <v>17250</v>
      </c>
      <c r="S66" s="10"/>
      <c r="T66" s="10">
        <f t="shared" si="93"/>
        <v>21363</v>
      </c>
      <c r="U66" s="10">
        <f t="shared" si="93"/>
        <v>20741</v>
      </c>
      <c r="V66" s="10">
        <f t="shared" si="93"/>
        <v>20138</v>
      </c>
      <c r="W66" s="10">
        <f t="shared" si="93"/>
        <v>19572</v>
      </c>
      <c r="X66" s="10">
        <f t="shared" si="93"/>
        <v>18930</v>
      </c>
      <c r="Y66" s="10">
        <f t="shared" si="93"/>
        <v>18363</v>
      </c>
      <c r="Z66" s="10">
        <f t="shared" si="93"/>
        <v>17812</v>
      </c>
      <c r="AA66" s="10">
        <f>R66</f>
        <v>17250</v>
      </c>
    </row>
    <row r="67" spans="2:27" ht="12.75" customHeight="1">
      <c r="B67" s="8" t="s">
        <v>46</v>
      </c>
      <c r="C67" s="94">
        <f>'Historical Financials'!C67</f>
        <v>1406</v>
      </c>
      <c r="D67" s="94">
        <f>'Historical Financials'!D67</f>
        <v>2956</v>
      </c>
      <c r="E67" s="94">
        <f>'Historical Financials'!E67</f>
        <v>2418</v>
      </c>
      <c r="F67" s="94">
        <f>'Historical Financials'!F67</f>
        <v>2466</v>
      </c>
      <c r="G67" s="94"/>
      <c r="H67" s="94">
        <f>'Historical Financials'!H67</f>
        <v>2871</v>
      </c>
      <c r="I67" s="94">
        <f>'Historical Financials'!I67</f>
        <v>3092</v>
      </c>
      <c r="J67" s="94">
        <f>'Historical Financials'!J67</f>
        <v>2570</v>
      </c>
      <c r="K67" s="94">
        <f>'Historical Financials'!K67</f>
        <v>2418</v>
      </c>
      <c r="L67" s="94">
        <f>'Historical Financials'!L67</f>
        <v>1856</v>
      </c>
      <c r="M67" s="94">
        <f>'Historical Financials'!M67</f>
        <v>2119</v>
      </c>
      <c r="N67" s="94">
        <f>'Historical Financials'!N67</f>
        <v>2991</v>
      </c>
      <c r="O67" s="94">
        <f>'Historical Financials'!O67</f>
        <v>2466</v>
      </c>
      <c r="P67" s="94">
        <f>'Historical Financials'!P67</f>
        <v>2206</v>
      </c>
      <c r="Q67" s="94">
        <f>'Historical Financials'!Q67</f>
        <v>3080</v>
      </c>
      <c r="R67" s="94">
        <f>'Historical Financials'!R67</f>
        <v>3483</v>
      </c>
      <c r="T67" s="10">
        <f t="shared" si="93"/>
        <v>2418</v>
      </c>
      <c r="U67" s="10">
        <f t="shared" si="93"/>
        <v>1856</v>
      </c>
      <c r="V67" s="10">
        <f t="shared" si="93"/>
        <v>2119</v>
      </c>
      <c r="W67" s="10">
        <f t="shared" si="93"/>
        <v>2991</v>
      </c>
      <c r="X67" s="10">
        <f t="shared" si="93"/>
        <v>2466</v>
      </c>
      <c r="Y67" s="10">
        <f t="shared" si="93"/>
        <v>2206</v>
      </c>
      <c r="Z67" s="10">
        <f t="shared" si="93"/>
        <v>3080</v>
      </c>
      <c r="AA67" s="10">
        <f>R67</f>
        <v>3483</v>
      </c>
    </row>
    <row r="68" spans="2:27" ht="12.75" customHeight="1">
      <c r="B68" s="8" t="s">
        <v>47</v>
      </c>
      <c r="C68" s="94">
        <f>'Historical Financials'!C71</f>
        <v>4240</v>
      </c>
      <c r="D68" s="94">
        <f>'Historical Financials'!D71</f>
        <v>6369</v>
      </c>
      <c r="E68" s="94">
        <f>'Historical Financials'!E71</f>
        <v>6689</v>
      </c>
      <c r="F68" s="94">
        <f>'Historical Financials'!F71</f>
        <v>7281</v>
      </c>
      <c r="G68" s="94"/>
      <c r="H68" s="94">
        <f>'Historical Financials'!H71</f>
        <v>6577</v>
      </c>
      <c r="I68" s="94">
        <f>'Historical Financials'!I71</f>
        <v>7572</v>
      </c>
      <c r="J68" s="94">
        <f>'Historical Financials'!J71</f>
        <v>7627</v>
      </c>
      <c r="K68" s="94">
        <f>'Historical Financials'!K71</f>
        <v>6689</v>
      </c>
      <c r="L68" s="94">
        <f>'Historical Financials'!L71</f>
        <v>6474</v>
      </c>
      <c r="M68" s="94">
        <f>'Historical Financials'!M71</f>
        <v>6195</v>
      </c>
      <c r="N68" s="94">
        <f>'Historical Financials'!N71</f>
        <v>7500</v>
      </c>
      <c r="O68" s="94">
        <f>'Historical Financials'!O71</f>
        <v>7281</v>
      </c>
      <c r="P68" s="94">
        <f>'Historical Financials'!P71</f>
        <v>7703</v>
      </c>
      <c r="Q68" s="94">
        <f>'Historical Financials'!Q71</f>
        <v>9843</v>
      </c>
      <c r="R68" s="94">
        <f>'Historical Financials'!R71</f>
        <v>11700</v>
      </c>
      <c r="T68" s="10">
        <f t="shared" si="93"/>
        <v>6689</v>
      </c>
      <c r="U68" s="10">
        <f t="shared" si="93"/>
        <v>6474</v>
      </c>
      <c r="V68" s="10">
        <f t="shared" si="93"/>
        <v>6195</v>
      </c>
      <c r="W68" s="10">
        <f t="shared" si="93"/>
        <v>7500</v>
      </c>
      <c r="X68" s="10">
        <f t="shared" si="93"/>
        <v>7281</v>
      </c>
      <c r="Y68" s="10">
        <f t="shared" si="93"/>
        <v>7703</v>
      </c>
      <c r="Z68" s="10">
        <f t="shared" si="93"/>
        <v>9843</v>
      </c>
      <c r="AA68" s="10">
        <f>R68</f>
        <v>11700</v>
      </c>
    </row>
    <row r="69" spans="2:27" ht="12.75" customHeight="1">
      <c r="B69" s="8" t="s">
        <v>17</v>
      </c>
      <c r="C69" s="94">
        <f>'Historical Financials'!C78</f>
        <v>4922</v>
      </c>
      <c r="D69" s="94">
        <f>'Historical Financials'!D78</f>
        <v>12830</v>
      </c>
      <c r="E69" s="94">
        <f>'Historical Financials'!E78</f>
        <v>11993</v>
      </c>
      <c r="F69" s="94">
        <f>'Historical Financials'!F78</f>
        <v>11658</v>
      </c>
      <c r="G69" s="94"/>
      <c r="H69" s="94">
        <f>'Historical Financials'!H78</f>
        <v>12940</v>
      </c>
      <c r="I69" s="94">
        <f>'Historical Financials'!I78</f>
        <v>12831</v>
      </c>
      <c r="J69" s="94">
        <f>'Historical Financials'!J78</f>
        <v>12656</v>
      </c>
      <c r="K69" s="94">
        <f>'Historical Financials'!K78</f>
        <v>11993</v>
      </c>
      <c r="L69" s="94">
        <f>'Historical Financials'!L78</f>
        <v>11697</v>
      </c>
      <c r="M69" s="94">
        <f>'Historical Financials'!M78</f>
        <v>11348</v>
      </c>
      <c r="N69" s="94">
        <f>'Historical Financials'!N78</f>
        <v>12651</v>
      </c>
      <c r="O69" s="94">
        <f>'Historical Financials'!O78</f>
        <v>11658</v>
      </c>
      <c r="P69" s="94">
        <f>'Historical Financials'!P78</f>
        <v>13669</v>
      </c>
      <c r="Q69" s="94">
        <f>'Historical Financials'!Q78</f>
        <v>15155</v>
      </c>
      <c r="R69" s="94">
        <f>'Historical Financials'!R78</f>
        <v>16101</v>
      </c>
      <c r="T69" s="10">
        <f t="shared" si="93"/>
        <v>11993</v>
      </c>
      <c r="U69" s="10">
        <f t="shared" si="93"/>
        <v>11697</v>
      </c>
      <c r="V69" s="10">
        <f t="shared" si="93"/>
        <v>11348</v>
      </c>
      <c r="W69" s="10">
        <f t="shared" si="93"/>
        <v>12651</v>
      </c>
      <c r="X69" s="10">
        <f t="shared" si="93"/>
        <v>11658</v>
      </c>
      <c r="Y69" s="10">
        <f t="shared" si="93"/>
        <v>13669</v>
      </c>
      <c r="Z69" s="10">
        <f t="shared" si="93"/>
        <v>15155</v>
      </c>
      <c r="AA69" s="10">
        <f>R69</f>
        <v>16101</v>
      </c>
    </row>
    <row r="70" spans="2:27" ht="5.0999999999999996" customHeight="1">
      <c r="F70" s="10"/>
    </row>
    <row r="71" spans="2:27">
      <c r="B71" s="35" t="s">
        <v>111</v>
      </c>
      <c r="F71" s="10"/>
    </row>
    <row r="72" spans="2:27">
      <c r="B72" s="8" t="s">
        <v>112</v>
      </c>
      <c r="C72" s="94">
        <f>'Historical Financials'!C69</f>
        <v>312</v>
      </c>
      <c r="D72" s="94">
        <f>'Historical Financials'!D69</f>
        <v>0</v>
      </c>
      <c r="E72" s="94">
        <f>'Historical Financials'!E69</f>
        <v>751</v>
      </c>
      <c r="F72" s="94">
        <f>'Historical Financials'!F69</f>
        <v>0</v>
      </c>
      <c r="H72" s="94">
        <f>'Historical Financials'!H69</f>
        <v>0</v>
      </c>
      <c r="I72" s="94">
        <f>'Historical Financials'!I69</f>
        <v>753</v>
      </c>
      <c r="J72" s="94">
        <f>'Historical Financials'!J69</f>
        <v>752</v>
      </c>
      <c r="K72" s="94">
        <f>'Historical Financials'!K69</f>
        <v>751</v>
      </c>
      <c r="L72" s="94">
        <f>'Historical Financials'!L69</f>
        <v>750</v>
      </c>
      <c r="M72" s="94">
        <f>'Historical Financials'!M69</f>
        <v>0</v>
      </c>
      <c r="N72" s="94">
        <f>'Historical Financials'!N69</f>
        <v>0</v>
      </c>
      <c r="O72" s="94">
        <f>'Historical Financials'!O69</f>
        <v>0</v>
      </c>
      <c r="P72" s="94">
        <f>'Historical Financials'!P69</f>
        <v>947</v>
      </c>
      <c r="Q72" s="94">
        <f>'Historical Financials'!Q69</f>
        <v>0</v>
      </c>
      <c r="R72" s="94">
        <f>'Historical Financials'!R69</f>
        <v>873</v>
      </c>
      <c r="T72" s="10">
        <f t="shared" ref="T72:Z73" si="94">K72</f>
        <v>751</v>
      </c>
      <c r="U72" s="10">
        <f t="shared" si="94"/>
        <v>750</v>
      </c>
      <c r="V72" s="10">
        <f t="shared" si="94"/>
        <v>0</v>
      </c>
      <c r="W72" s="10">
        <f t="shared" si="94"/>
        <v>0</v>
      </c>
      <c r="X72" s="10">
        <f t="shared" si="94"/>
        <v>0</v>
      </c>
      <c r="Y72" s="10">
        <f t="shared" si="94"/>
        <v>947</v>
      </c>
      <c r="Z72" s="10">
        <f t="shared" si="94"/>
        <v>0</v>
      </c>
      <c r="AA72" s="10">
        <f>R72</f>
        <v>873</v>
      </c>
    </row>
    <row r="73" spans="2:27">
      <c r="B73" s="8" t="s">
        <v>113</v>
      </c>
      <c r="C73" s="94">
        <f>'Historical Financials'!C74</f>
        <v>1</v>
      </c>
      <c r="D73" s="94">
        <f>'Historical Financials'!D74</f>
        <v>2467</v>
      </c>
      <c r="E73" s="94">
        <f>'Historical Financials'!E74</f>
        <v>1717</v>
      </c>
      <c r="F73" s="94">
        <f>'Historical Financials'!F74</f>
        <v>1721</v>
      </c>
      <c r="H73" s="94">
        <f>'Historical Financials'!H74</f>
        <v>2467</v>
      </c>
      <c r="I73" s="94">
        <f>'Historical Financials'!I74</f>
        <v>1714</v>
      </c>
      <c r="J73" s="94">
        <f>'Historical Financials'!J74</f>
        <v>1715</v>
      </c>
      <c r="K73" s="94">
        <f>'Historical Financials'!K74</f>
        <v>1717</v>
      </c>
      <c r="L73" s="94">
        <f>'Historical Financials'!L74</f>
        <v>1718</v>
      </c>
      <c r="M73" s="94">
        <f>'Historical Financials'!M74</f>
        <v>1719</v>
      </c>
      <c r="N73" s="94">
        <f>'Historical Financials'!N74</f>
        <v>1720</v>
      </c>
      <c r="O73" s="94">
        <f>'Historical Financials'!O74</f>
        <v>1721</v>
      </c>
      <c r="P73" s="94">
        <f>'Historical Financials'!P74</f>
        <v>3217</v>
      </c>
      <c r="Q73" s="94">
        <f>'Historical Financials'!Q74</f>
        <v>3218</v>
      </c>
      <c r="R73" s="94">
        <f>'Historical Financials'!R74</f>
        <v>2347</v>
      </c>
      <c r="T73" s="10">
        <f t="shared" si="94"/>
        <v>1717</v>
      </c>
      <c r="U73" s="10">
        <f t="shared" si="94"/>
        <v>1718</v>
      </c>
      <c r="V73" s="10">
        <f t="shared" si="94"/>
        <v>1719</v>
      </c>
      <c r="W73" s="10">
        <f t="shared" si="94"/>
        <v>1720</v>
      </c>
      <c r="X73" s="10">
        <f t="shared" si="94"/>
        <v>1721</v>
      </c>
      <c r="Y73" s="10">
        <f t="shared" si="94"/>
        <v>3217</v>
      </c>
      <c r="Z73" s="10">
        <f t="shared" si="94"/>
        <v>3218</v>
      </c>
      <c r="AA73" s="10">
        <f>R73</f>
        <v>2347</v>
      </c>
    </row>
    <row r="74" spans="2:27">
      <c r="F74" s="10"/>
    </row>
    <row r="75" spans="2:27">
      <c r="B75" s="8" t="s">
        <v>195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95">K75</f>
        <v>0</v>
      </c>
      <c r="U75" s="10">
        <f t="shared" si="95"/>
        <v>0</v>
      </c>
      <c r="V75" s="10">
        <f t="shared" si="95"/>
        <v>0</v>
      </c>
      <c r="W75" s="10">
        <f t="shared" si="95"/>
        <v>0</v>
      </c>
      <c r="X75" s="10">
        <f t="shared" si="95"/>
        <v>0</v>
      </c>
      <c r="Y75" s="10">
        <f t="shared" si="95"/>
        <v>0</v>
      </c>
      <c r="Z75" s="10">
        <f t="shared" si="95"/>
        <v>0</v>
      </c>
      <c r="AA75" s="10">
        <f>R75</f>
        <v>0</v>
      </c>
    </row>
    <row r="76" spans="2:27">
      <c r="B76" s="8" t="s">
        <v>193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95"/>
        <v>0</v>
      </c>
      <c r="U76" s="10">
        <f t="shared" si="95"/>
        <v>0</v>
      </c>
      <c r="V76" s="10">
        <f t="shared" si="95"/>
        <v>0</v>
      </c>
      <c r="W76" s="10">
        <f t="shared" si="95"/>
        <v>0</v>
      </c>
      <c r="X76" s="10">
        <f t="shared" si="95"/>
        <v>0</v>
      </c>
      <c r="Y76" s="10">
        <f t="shared" si="95"/>
        <v>950</v>
      </c>
      <c r="Z76" s="10">
        <f t="shared" si="95"/>
        <v>0</v>
      </c>
      <c r="AA76" s="10">
        <f>R76</f>
        <v>0</v>
      </c>
    </row>
    <row r="77" spans="2:27">
      <c r="B77" s="31" t="s">
        <v>188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95"/>
        <v>0</v>
      </c>
      <c r="U77" s="10">
        <f t="shared" si="95"/>
        <v>0</v>
      </c>
      <c r="V77" s="10">
        <f t="shared" si="95"/>
        <v>0</v>
      </c>
      <c r="W77" s="10">
        <f t="shared" si="95"/>
        <v>0</v>
      </c>
      <c r="X77" s="10">
        <f t="shared" si="95"/>
        <v>0</v>
      </c>
      <c r="Y77" s="10">
        <f t="shared" si="95"/>
        <v>0</v>
      </c>
      <c r="Z77" s="10">
        <f t="shared" si="95"/>
        <v>0</v>
      </c>
      <c r="AA77" s="10">
        <f>R77</f>
        <v>0</v>
      </c>
    </row>
    <row r="78" spans="2:27">
      <c r="B78" s="31" t="s">
        <v>165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95"/>
        <v>0</v>
      </c>
      <c r="U78" s="10">
        <f t="shared" si="95"/>
        <v>0</v>
      </c>
      <c r="V78" s="10">
        <f t="shared" si="95"/>
        <v>0</v>
      </c>
      <c r="W78" s="10">
        <f t="shared" si="95"/>
        <v>0</v>
      </c>
      <c r="X78" s="10">
        <f t="shared" si="95"/>
        <v>0</v>
      </c>
      <c r="Y78" s="10">
        <f t="shared" si="95"/>
        <v>0</v>
      </c>
      <c r="Z78" s="10">
        <f t="shared" si="95"/>
        <v>0</v>
      </c>
      <c r="AA78" s="10">
        <f>R78</f>
        <v>0</v>
      </c>
    </row>
    <row r="79" spans="2:27">
      <c r="B79" s="31" t="s">
        <v>164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95"/>
        <v>750</v>
      </c>
      <c r="U79" s="10">
        <f t="shared" si="95"/>
        <v>750</v>
      </c>
      <c r="V79" s="10">
        <f t="shared" si="95"/>
        <v>0</v>
      </c>
      <c r="W79" s="10">
        <f t="shared" si="95"/>
        <v>0</v>
      </c>
      <c r="X79" s="10">
        <f t="shared" si="95"/>
        <v>0</v>
      </c>
      <c r="Y79" s="10">
        <f t="shared" si="95"/>
        <v>0</v>
      </c>
      <c r="Z79" s="10">
        <f t="shared" si="95"/>
        <v>0</v>
      </c>
      <c r="AA79" s="10">
        <f>R79</f>
        <v>0</v>
      </c>
    </row>
    <row r="80" spans="2:27">
      <c r="B80" s="31" t="s">
        <v>163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96">E80</f>
        <v>750</v>
      </c>
      <c r="L80" s="81">
        <v>750</v>
      </c>
      <c r="M80" s="81">
        <v>750</v>
      </c>
      <c r="N80" s="81">
        <v>750</v>
      </c>
      <c r="O80" s="10">
        <f t="shared" ref="O80:O82" si="97">F80</f>
        <v>750</v>
      </c>
      <c r="P80" s="81">
        <v>750</v>
      </c>
      <c r="Q80" s="81">
        <v>750</v>
      </c>
      <c r="R80" s="81">
        <v>750</v>
      </c>
      <c r="T80" s="10">
        <f t="shared" si="95"/>
        <v>750</v>
      </c>
      <c r="U80" s="10">
        <f t="shared" si="95"/>
        <v>750</v>
      </c>
      <c r="V80" s="10">
        <f t="shared" si="95"/>
        <v>750</v>
      </c>
      <c r="W80" s="10">
        <f t="shared" si="95"/>
        <v>750</v>
      </c>
      <c r="X80" s="10">
        <f t="shared" si="95"/>
        <v>750</v>
      </c>
      <c r="Y80" s="10">
        <f t="shared" si="95"/>
        <v>750</v>
      </c>
      <c r="Z80" s="10">
        <f t="shared" si="95"/>
        <v>750</v>
      </c>
      <c r="AA80" s="10">
        <f>R80</f>
        <v>750</v>
      </c>
    </row>
    <row r="81" spans="1:27">
      <c r="B81" s="31" t="s">
        <v>162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96"/>
        <v>500</v>
      </c>
      <c r="L81" s="81">
        <v>500</v>
      </c>
      <c r="M81" s="81">
        <v>500</v>
      </c>
      <c r="N81" s="81">
        <v>500</v>
      </c>
      <c r="O81" s="10">
        <f t="shared" si="97"/>
        <v>500</v>
      </c>
      <c r="P81" s="81">
        <v>500</v>
      </c>
      <c r="Q81" s="81">
        <v>500</v>
      </c>
      <c r="R81" s="81">
        <v>500</v>
      </c>
      <c r="T81" s="10">
        <f t="shared" si="95"/>
        <v>500</v>
      </c>
      <c r="U81" s="10">
        <f t="shared" si="95"/>
        <v>500</v>
      </c>
      <c r="V81" s="10">
        <f t="shared" si="95"/>
        <v>500</v>
      </c>
      <c r="W81" s="10">
        <f t="shared" si="95"/>
        <v>500</v>
      </c>
      <c r="X81" s="10">
        <f t="shared" si="95"/>
        <v>500</v>
      </c>
      <c r="Y81" s="10">
        <f t="shared" si="95"/>
        <v>500</v>
      </c>
      <c r="Z81" s="10">
        <f t="shared" si="95"/>
        <v>500</v>
      </c>
      <c r="AA81" s="10">
        <f>R81</f>
        <v>500</v>
      </c>
    </row>
    <row r="82" spans="1:27">
      <c r="B82" s="31" t="s">
        <v>161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96"/>
        <v>500</v>
      </c>
      <c r="L82" s="81">
        <v>500</v>
      </c>
      <c r="M82" s="81">
        <v>500</v>
      </c>
      <c r="N82" s="81">
        <v>500</v>
      </c>
      <c r="O82" s="10">
        <f t="shared" si="97"/>
        <v>500</v>
      </c>
      <c r="P82" s="81">
        <v>500</v>
      </c>
      <c r="Q82" s="81">
        <v>500</v>
      </c>
      <c r="R82" s="81">
        <v>500</v>
      </c>
      <c r="T82" s="10">
        <f t="shared" si="95"/>
        <v>500</v>
      </c>
      <c r="U82" s="10">
        <f t="shared" si="95"/>
        <v>500</v>
      </c>
      <c r="V82" s="10">
        <f t="shared" si="95"/>
        <v>500</v>
      </c>
      <c r="W82" s="10">
        <f t="shared" si="95"/>
        <v>500</v>
      </c>
      <c r="X82" s="10">
        <f t="shared" si="95"/>
        <v>500</v>
      </c>
      <c r="Y82" s="10">
        <f t="shared" si="95"/>
        <v>500</v>
      </c>
      <c r="Z82" s="10">
        <f t="shared" si="95"/>
        <v>500</v>
      </c>
      <c r="AA82" s="10">
        <f>R82</f>
        <v>500</v>
      </c>
    </row>
    <row r="83" spans="1:27">
      <c r="B83" s="31" t="s">
        <v>189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95"/>
        <v>0</v>
      </c>
      <c r="U83" s="10">
        <f t="shared" si="95"/>
        <v>0</v>
      </c>
      <c r="V83" s="10">
        <f t="shared" si="95"/>
        <v>0</v>
      </c>
      <c r="W83" s="10">
        <f t="shared" si="95"/>
        <v>0</v>
      </c>
      <c r="X83" s="10">
        <f t="shared" si="95"/>
        <v>0</v>
      </c>
      <c r="Y83" s="10">
        <f t="shared" si="95"/>
        <v>875</v>
      </c>
      <c r="Z83" s="10">
        <f t="shared" si="95"/>
        <v>875</v>
      </c>
      <c r="AA83" s="10">
        <f>R83</f>
        <v>875</v>
      </c>
    </row>
    <row r="84" spans="1:27">
      <c r="B84" s="31" t="s">
        <v>190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95"/>
        <v>0</v>
      </c>
      <c r="U84" s="10">
        <f t="shared" si="95"/>
        <v>0</v>
      </c>
      <c r="V84" s="10">
        <f t="shared" si="95"/>
        <v>0</v>
      </c>
      <c r="W84" s="10">
        <f t="shared" si="95"/>
        <v>0</v>
      </c>
      <c r="X84" s="10">
        <f t="shared" si="95"/>
        <v>0</v>
      </c>
      <c r="Y84" s="10">
        <f t="shared" si="95"/>
        <v>625</v>
      </c>
      <c r="Z84" s="10">
        <f t="shared" si="95"/>
        <v>625</v>
      </c>
      <c r="AA84" s="10">
        <f>R84</f>
        <v>625</v>
      </c>
    </row>
    <row r="85" spans="1:27" ht="12.75" customHeight="1">
      <c r="B85" s="13" t="s">
        <v>23</v>
      </c>
      <c r="C85" s="14">
        <f>SUM(C75:C84)</f>
        <v>327</v>
      </c>
      <c r="D85" s="14">
        <f t="shared" ref="D85:F85" si="98">SUM(D75:D84)</f>
        <v>2501</v>
      </c>
      <c r="E85" s="14">
        <f t="shared" si="98"/>
        <v>2500</v>
      </c>
      <c r="F85" s="14">
        <f t="shared" si="98"/>
        <v>1750</v>
      </c>
      <c r="H85" s="14">
        <f t="shared" ref="H85" si="99">SUM(H75:H84)</f>
        <v>2500</v>
      </c>
      <c r="I85" s="14">
        <f t="shared" ref="I85" si="100">SUM(I75:I84)</f>
        <v>2500</v>
      </c>
      <c r="J85" s="14">
        <f t="shared" ref="J85" si="101">SUM(J75:J84)</f>
        <v>2500</v>
      </c>
      <c r="K85" s="14">
        <f t="shared" ref="K85" si="102">SUM(K75:K84)</f>
        <v>2500</v>
      </c>
      <c r="L85" s="14">
        <f t="shared" ref="L85" si="103">SUM(L75:L84)</f>
        <v>2500</v>
      </c>
      <c r="M85" s="14">
        <f t="shared" ref="M85" si="104">SUM(M75:M84)</f>
        <v>1750</v>
      </c>
      <c r="N85" s="14">
        <f t="shared" ref="N85" si="105">SUM(N75:N84)</f>
        <v>1750</v>
      </c>
      <c r="O85" s="14">
        <f t="shared" ref="O85" si="106">SUM(O75:O84)</f>
        <v>1750</v>
      </c>
      <c r="P85" s="14">
        <f t="shared" ref="P85" si="107">SUM(P75:P84)</f>
        <v>4200</v>
      </c>
      <c r="Q85" s="14">
        <f t="shared" ref="Q85" si="108">SUM(Q75:Q84)</f>
        <v>3250</v>
      </c>
      <c r="R85" s="14">
        <f t="shared" ref="R85" si="109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10">SUM(W75:W84)</f>
        <v>1750</v>
      </c>
      <c r="X85" s="14">
        <f t="shared" ref="X85" si="111">SUM(X75:X84)</f>
        <v>1750</v>
      </c>
      <c r="Y85" s="14">
        <f t="shared" ref="Y85" si="112">SUM(Y75:Y84)</f>
        <v>4200</v>
      </c>
      <c r="Z85" s="14">
        <f t="shared" ref="Z85" si="113">SUM(Z75:Z84)</f>
        <v>3250</v>
      </c>
      <c r="AA85" s="14">
        <f t="shared" ref="AA85" si="114">SUM(AA75:AA84)</f>
        <v>3250</v>
      </c>
    </row>
    <row r="86" spans="1:27" ht="5.0999999999999996" customHeight="1"/>
    <row r="87" spans="1:27" ht="12.75" customHeight="1">
      <c r="B87" s="8" t="s">
        <v>48</v>
      </c>
      <c r="C87" s="94">
        <f>'Historical Financials'!C85</f>
        <v>7497</v>
      </c>
      <c r="D87" s="94">
        <f>'Historical Financials'!D85</f>
        <v>54750</v>
      </c>
      <c r="E87" s="94">
        <f>'Historical Financials'!E85</f>
        <v>55892</v>
      </c>
      <c r="F87" s="94">
        <f>'Historical Financials'!F85</f>
        <v>57568</v>
      </c>
      <c r="H87" s="94">
        <f>'Historical Financials'!H85</f>
        <v>54694</v>
      </c>
      <c r="I87" s="94">
        <f>'Historical Financials'!I85</f>
        <v>55136</v>
      </c>
      <c r="J87" s="94">
        <f>'Historical Financials'!J85</f>
        <v>54970</v>
      </c>
      <c r="K87" s="94">
        <f>'Historical Financials'!K85</f>
        <v>55892</v>
      </c>
      <c r="L87" s="94">
        <f>'Historical Financials'!L85</f>
        <v>56198</v>
      </c>
      <c r="M87" s="94">
        <f>'Historical Financials'!M85</f>
        <v>56538</v>
      </c>
      <c r="N87" s="94">
        <f>'Historical Financials'!N85</f>
        <v>56985</v>
      </c>
      <c r="O87" s="94">
        <f>'Historical Financials'!O85</f>
        <v>57568</v>
      </c>
      <c r="P87" s="94">
        <f>'Historical Financials'!P85</f>
        <v>57881</v>
      </c>
      <c r="Q87" s="94">
        <f>'Historical Financials'!Q85</f>
        <v>59665</v>
      </c>
      <c r="R87" s="94">
        <f>'Historical Financials'!R85</f>
        <v>60790</v>
      </c>
      <c r="T87" s="10">
        <f>K87</f>
        <v>55892</v>
      </c>
      <c r="U87" s="10">
        <f>L87</f>
        <v>56198</v>
      </c>
      <c r="V87" s="10">
        <f>M87</f>
        <v>56538</v>
      </c>
      <c r="W87" s="144">
        <f>N87</f>
        <v>56985</v>
      </c>
      <c r="X87" s="144">
        <f>O87</f>
        <v>57568</v>
      </c>
      <c r="Y87" s="144">
        <f>P87</f>
        <v>57881</v>
      </c>
      <c r="Z87" s="144">
        <f>Q87</f>
        <v>59665</v>
      </c>
      <c r="AA87" s="144">
        <f>R87</f>
        <v>60790</v>
      </c>
    </row>
    <row r="88" spans="1:27" ht="12.75" customHeight="1">
      <c r="B88" s="13" t="s">
        <v>49</v>
      </c>
      <c r="C88" s="14">
        <f>SUM(C85:C87)</f>
        <v>7824</v>
      </c>
      <c r="D88" s="14">
        <f>SUM(D85:D87)</f>
        <v>57251</v>
      </c>
      <c r="E88" s="14">
        <f>SUM(E85:E87)</f>
        <v>58392</v>
      </c>
      <c r="F88" s="14">
        <f>SUM(F85:F87)</f>
        <v>59318</v>
      </c>
      <c r="H88" s="14">
        <f t="shared" ref="H88:M88" si="115">SUM(H85:H87)</f>
        <v>57194</v>
      </c>
      <c r="I88" s="14">
        <f t="shared" si="115"/>
        <v>57636</v>
      </c>
      <c r="J88" s="14">
        <f t="shared" si="115"/>
        <v>57470</v>
      </c>
      <c r="K88" s="14">
        <f t="shared" si="115"/>
        <v>58392</v>
      </c>
      <c r="L88" s="14">
        <f t="shared" si="115"/>
        <v>58698</v>
      </c>
      <c r="M88" s="14">
        <f t="shared" si="115"/>
        <v>58288</v>
      </c>
      <c r="N88" s="14">
        <f>SUM(N85:N87)</f>
        <v>58735</v>
      </c>
      <c r="O88" s="14">
        <f>SUM(O85:O87)</f>
        <v>59318</v>
      </c>
      <c r="P88" s="14">
        <f>SUM(P85:P87)</f>
        <v>62081</v>
      </c>
      <c r="Q88" s="14">
        <f>SUM(Q85:Q87)</f>
        <v>62915</v>
      </c>
      <c r="R88" s="14">
        <f>SUM(R85:R87)</f>
        <v>64040</v>
      </c>
      <c r="T88" s="14">
        <f t="shared" ref="T88:Y88" si="116">SUM(T85:T87)</f>
        <v>58392</v>
      </c>
      <c r="U88" s="14">
        <f t="shared" si="116"/>
        <v>58698</v>
      </c>
      <c r="V88" s="14">
        <f t="shared" si="116"/>
        <v>58288</v>
      </c>
      <c r="W88" s="14">
        <f t="shared" si="116"/>
        <v>58735</v>
      </c>
      <c r="X88" s="14">
        <f t="shared" si="116"/>
        <v>59318</v>
      </c>
      <c r="Y88" s="14">
        <f t="shared" si="116"/>
        <v>62081</v>
      </c>
      <c r="Z88" s="14">
        <f>SUM(Z85:Z87)</f>
        <v>62915</v>
      </c>
      <c r="AA88" s="14">
        <f>SUM(AA85:AA87)</f>
        <v>64040</v>
      </c>
    </row>
    <row r="89" spans="1:27" ht="5.0999999999999996" customHeight="1"/>
    <row r="90" spans="1:27" ht="12.75" customHeight="1">
      <c r="A90" s="5"/>
      <c r="B90" s="33" t="s">
        <v>69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96</v>
      </c>
      <c r="C92" s="83">
        <f>C85/C35</f>
        <v>7.3948439620081408E-2</v>
      </c>
      <c r="D92" s="83">
        <f>D85/D35</f>
        <v>0.38974598722144305</v>
      </c>
      <c r="E92" s="83">
        <f>E85/E35</f>
        <v>0.48039969254419679</v>
      </c>
      <c r="F92" s="83">
        <f>F85/F35</f>
        <v>0.26881720430107525</v>
      </c>
      <c r="H92" s="83">
        <f>SUM(H85/SUM(H35:H35))</f>
        <v>2.2007042253521125</v>
      </c>
      <c r="I92" s="83">
        <f>SUM(I85/SUM(H35:I35))</f>
        <v>1.0845986984815619</v>
      </c>
      <c r="J92" s="83">
        <f>SUM(J85/SUM(H35:J35))</f>
        <v>0.67658998646820023</v>
      </c>
      <c r="K92" s="83">
        <f>SUM(K85/SUM(H35:K35))</f>
        <v>0.48039969254419679</v>
      </c>
      <c r="L92" s="83">
        <f>SUM(L85/SUM(I35:L35))</f>
        <v>0.47655356462066334</v>
      </c>
      <c r="M92" s="83">
        <f>SUM(M85/SUM(J35:M35))</f>
        <v>0.32104201064024951</v>
      </c>
      <c r="N92" s="83">
        <f>SUM(N85/SUM(K35:N35))</f>
        <v>0.29772031303164342</v>
      </c>
      <c r="O92" s="83">
        <f>SUM(O85/SUM(L35:O35))</f>
        <v>0.26881720430107525</v>
      </c>
      <c r="P92" s="83">
        <f>SUM(P85/SUM(M35:P35))</f>
        <v>0.57979017117614573</v>
      </c>
      <c r="Q92" s="83">
        <f>SUM(Q85/SUM(N35:Q35))</f>
        <v>0.47362285048090935</v>
      </c>
      <c r="R92" s="83">
        <f>SUM(R85/SUM(O35:R35))</f>
        <v>0.43402777777777779</v>
      </c>
      <c r="S92" s="83"/>
      <c r="T92" s="83">
        <f>T85/T35</f>
        <v>0.48039969254419679</v>
      </c>
      <c r="U92" s="83">
        <f>U85/U35</f>
        <v>0.47655356462066334</v>
      </c>
      <c r="V92" s="83">
        <f>V85/V35</f>
        <v>0.32104201064024951</v>
      </c>
      <c r="W92" s="83">
        <f>W85/W35</f>
        <v>0.29772031303164342</v>
      </c>
      <c r="X92" s="83">
        <f>X85/X35</f>
        <v>0.26881720430107525</v>
      </c>
      <c r="Y92" s="83">
        <f>Y85/Y35</f>
        <v>0.57979017117614573</v>
      </c>
      <c r="Z92" s="83">
        <f>Z85/Z35</f>
        <v>0.47362285048090935</v>
      </c>
      <c r="AA92" s="83">
        <f>AA85/AA35</f>
        <v>0.43402777777777779</v>
      </c>
    </row>
    <row r="93" spans="1:27" ht="12.75" customHeight="1">
      <c r="B93" s="31" t="s">
        <v>97</v>
      </c>
      <c r="C93" s="83">
        <f>SUM(C85-C55)/C35</f>
        <v>-0.49932157394843962</v>
      </c>
      <c r="D93" s="83">
        <f>SUM(D85-D55)/D35</f>
        <v>-0.36372136512388969</v>
      </c>
      <c r="E93" s="83">
        <f>SUM(E85-E55)/E35</f>
        <v>-0.27536510376633361</v>
      </c>
      <c r="F93" s="83">
        <f>SUM(F85-F55)/F35</f>
        <v>-0.31290322580645163</v>
      </c>
      <c r="H93" s="83">
        <f>SUM(H85-H55)/SUM(H35:H35)</f>
        <v>-1.1663732394366197</v>
      </c>
      <c r="I93" s="83">
        <f>SUM(I85-I55)/SUM(H35:I35)</f>
        <v>-0.58177874186550971</v>
      </c>
      <c r="J93" s="83">
        <f>SUM(J85-J55)/SUM(H35:J35)</f>
        <v>-0.28714479025710421</v>
      </c>
      <c r="K93" s="83">
        <f>SUM(K85-K55)/SUM(H35:K35)</f>
        <v>-0.27536510376633361</v>
      </c>
      <c r="L93" s="83">
        <f>SUM(L85-L55)/SUM(I35:L35)</f>
        <v>-0.32215020968356844</v>
      </c>
      <c r="M93" s="83">
        <f>SUM(M85-M55)/SUM(J35:M35)</f>
        <v>-0.43349844065309118</v>
      </c>
      <c r="N93" s="83">
        <f>SUM(N85-N55)/SUM(K35:N35)</f>
        <v>-0.36526029261653625</v>
      </c>
      <c r="O93" s="83">
        <f>SUM(O85-O55)/SUM(L35:O35)</f>
        <v>-0.31290322580645163</v>
      </c>
      <c r="P93" s="83">
        <f>SUM(P85-P55)/SUM(M35:P35)</f>
        <v>-0.25524572059635559</v>
      </c>
      <c r="Q93" s="83">
        <f>SUM(Q85-Q55)/SUM(N35:Q35)</f>
        <v>-0.17371028854561352</v>
      </c>
      <c r="R93" s="83">
        <f>SUM(R85-R55)/SUM(O35:R35)</f>
        <v>-0.20806623931623933</v>
      </c>
      <c r="S93" s="83"/>
      <c r="T93" s="83">
        <f>SUM(T85-T55)/T35</f>
        <v>-0.27536510376633361</v>
      </c>
      <c r="U93" s="83">
        <f>SUM(U85-U55)/U35</f>
        <v>-0.32215020968356844</v>
      </c>
      <c r="V93" s="83">
        <f>SUM(V85-V55)/V35</f>
        <v>-0.43349844065309118</v>
      </c>
      <c r="W93" s="83">
        <f>SUM(W85-W55)/W35</f>
        <v>-0.36526029261653625</v>
      </c>
      <c r="X93" s="83">
        <f>SUM(X85-X55)/X35</f>
        <v>-0.31290322580645163</v>
      </c>
      <c r="Y93" s="83">
        <f>SUM(Y85-Y55)/Y35</f>
        <v>-0.25524572059635559</v>
      </c>
      <c r="Z93" s="83">
        <f>SUM(Z85-Z55)/Z35</f>
        <v>-0.17371028854561352</v>
      </c>
      <c r="AA93" s="83">
        <f>SUM(AA85-AA55)/AA35</f>
        <v>-0.20806623931623933</v>
      </c>
    </row>
    <row r="94" spans="1:27" ht="12.75" customHeight="1">
      <c r="B94" s="31" t="s">
        <v>98</v>
      </c>
      <c r="C94" s="83">
        <f>C35/-C40</f>
        <v>176.88</v>
      </c>
      <c r="D94" s="83">
        <f>D35/-D40</f>
        <v>75.494117647058829</v>
      </c>
      <c r="E94" s="83">
        <f>E35/-E40</f>
        <v>61.952380952380949</v>
      </c>
      <c r="F94" s="83">
        <f>F35/-F40</f>
        <v>90.416666666666671</v>
      </c>
      <c r="H94" s="83" cm="1">
        <f t="array" ref="H94">SUM(H35:H35)/SUM(-H40:H40)</f>
        <v>54.095238095238095</v>
      </c>
      <c r="I94" s="83" cm="1">
        <f t="array" ref="I94">SUM(H35:I35)/SUM(-H40:I40)</f>
        <v>54.88095238095238</v>
      </c>
      <c r="J94" s="83" cm="1">
        <f t="array" ref="J94">SUM(H35:J35)/SUM(-H40:J40)</f>
        <v>58.650793650793652</v>
      </c>
      <c r="K94" s="83" cm="1">
        <f t="array" ref="K94">SUM(H35:K35)/SUM(-H40:K40)</f>
        <v>61.952380952380949</v>
      </c>
      <c r="L94" s="83" cm="1">
        <f t="array" ref="L94">SUM(I35:L35)/SUM(-I40:L40)</f>
        <v>64.76543209876543</v>
      </c>
      <c r="M94" s="83" cm="1">
        <f t="array" ref="M94">SUM(J35:M35)/SUM(-J40:M40)</f>
        <v>69.884615384615387</v>
      </c>
      <c r="N94" s="83" cm="1">
        <f t="array" ref="N94">SUM(K35:N35)/SUM(-K40:N40)</f>
        <v>78.373333333333335</v>
      </c>
      <c r="O94" s="83" cm="1">
        <f t="array" ref="O94">SUM(L35:O35)/SUM(-L40:O40)</f>
        <v>90.416666666666671</v>
      </c>
      <c r="P94" s="83" cm="1">
        <f t="array" ref="P94">SUM(M35:P35)/SUM(-M40:P40)</f>
        <v>100.61111111111111</v>
      </c>
      <c r="Q94" s="83" cm="1">
        <f t="array" ref="Q94">SUM(N35:Q35)/SUM(-N40:Q40)</f>
        <v>95.305555555555557</v>
      </c>
      <c r="R94" s="83" cm="1">
        <f t="array" ref="R94">SUM(O35:R35)/SUM(-O40:R40)</f>
        <v>104</v>
      </c>
      <c r="S94" s="83"/>
      <c r="T94" s="83">
        <f>T35/-T40</f>
        <v>61.952380952380949</v>
      </c>
      <c r="U94" s="83">
        <f>U35/-U40</f>
        <v>64.76543209876543</v>
      </c>
      <c r="V94" s="83">
        <f>V35/-V40</f>
        <v>69.884615384615387</v>
      </c>
      <c r="W94" s="83">
        <f>W35/-W40</f>
        <v>78.373333333333335</v>
      </c>
      <c r="X94" s="83">
        <f>X35/-X40</f>
        <v>90.416666666666671</v>
      </c>
      <c r="Y94" s="83">
        <f>Y35/-Y40</f>
        <v>100.61111111111111</v>
      </c>
      <c r="Z94" s="83">
        <f>Z35/-Z40</f>
        <v>95.305555555555557</v>
      </c>
      <c r="AA94" s="83">
        <f>AA35/-AA40</f>
        <v>104</v>
      </c>
    </row>
    <row r="95" spans="1:27" ht="12.75" customHeight="1">
      <c r="B95" s="31" t="s">
        <v>99</v>
      </c>
      <c r="C95" s="83" cm="1">
        <f t="array" ref="C95">SUM(C35+C38)/SUM(-C39:C40)</f>
        <v>68.683333333333337</v>
      </c>
      <c r="D95" s="83" cm="1">
        <f t="array" ref="D95">SUM(D35+D38)/SUM(-D39:D40)</f>
        <v>7.7493506493506494</v>
      </c>
      <c r="E95" s="83" cm="1">
        <f t="array" ref="E95">SUM(E35+E38)/SUM(-E39:E40)</f>
        <v>7.673805601317957</v>
      </c>
      <c r="F95" s="83" cm="1">
        <f t="array" ref="F95">SUM(F35+F38)/SUM(-F39:F40)</f>
        <v>4.0288065843621403</v>
      </c>
      <c r="H95" s="83" cm="1">
        <f t="array" ref="H95">SUM(H35:H35+H38:H38)/SUM(-H39:H40)</f>
        <v>23.285714285714285</v>
      </c>
      <c r="I95" s="83" cm="1">
        <f t="array" ref="I95">SUM(H35:I35+H38:I38)/SUM(-H39:I40)</f>
        <v>18.550458715596331</v>
      </c>
      <c r="J95" s="83" cm="1">
        <f t="array" ref="J95">SUM(H35:J35+H38:J38)/SUM(-H39:J40)</f>
        <v>20.048780487804876</v>
      </c>
      <c r="K95" s="83" cm="1">
        <f t="array" ref="K95">SUM(H35:K35+H38:K38)/SUM(-H39:K40)</f>
        <v>7.673805601317957</v>
      </c>
      <c r="L95" s="83" cm="1">
        <f t="array" ref="L95">SUM(I35:L35+I38:L38)/SUM(-I39:L40)</f>
        <v>7.0388059701492534</v>
      </c>
      <c r="M95" s="83" cm="1">
        <f t="array" ref="M95">SUM(J35:M35+J38:M38)/SUM(-J39:M40)</f>
        <v>5.2489270386266096</v>
      </c>
      <c r="N95" s="83" cm="1">
        <f t="array" ref="N95">SUM(K35:N35+K38:N38)/SUM(-K39:N40)</f>
        <v>2.786463798530955</v>
      </c>
      <c r="O95" s="83" cm="1">
        <f t="array" ref="O95">SUM(L35:O35+L38:O38)/SUM(-L39:O40)</f>
        <v>4.0288065843621403</v>
      </c>
      <c r="P95" s="83" cm="1">
        <f t="array" ref="P95">SUM(M35:P35+M38:P38)/SUM(-M39:P40)</f>
        <v>4.3615743829219475</v>
      </c>
      <c r="Q95" s="83" cm="1">
        <f t="array" ref="Q95">SUM(N35:Q35+N38:Q38)/SUM(-N39:Q40)</f>
        <v>3.0944558521560577</v>
      </c>
      <c r="R95" s="83" cm="1">
        <f t="array" ref="R95">SUM(O35:R35+O38:R38)/SUM(-O39:R40)</f>
        <v>3.7196581196581198</v>
      </c>
      <c r="S95" s="83"/>
      <c r="T95" s="83" cm="1">
        <f t="array" ref="T95">SUM(T35+T38)/SUM(-T39:T40)</f>
        <v>7.673805601317957</v>
      </c>
      <c r="U95" s="83" cm="1">
        <f t="array" ref="U95">SUM(U35+U38)/SUM(-U39:U40)</f>
        <v>7.0388059701492534</v>
      </c>
      <c r="V95" s="83" cm="1">
        <f t="array" ref="V95">SUM(V35+V38)/SUM(-V39:V40)</f>
        <v>5.2489270386266096</v>
      </c>
      <c r="W95" s="83" cm="1">
        <f t="array" ref="W95">SUM(W35+W38)/SUM(-W39:W40)</f>
        <v>2.786463798530955</v>
      </c>
      <c r="X95" s="83" cm="1">
        <f t="array" ref="X95">SUM(X35+X38)/SUM(-X39:X40)</f>
        <v>4.0288065843621403</v>
      </c>
      <c r="Y95" s="83" cm="1">
        <f t="array" ref="Y95">SUM(Y35+Y38)/SUM(-Y39:Y40)</f>
        <v>4.3615743829219475</v>
      </c>
      <c r="Z95" s="83" cm="1">
        <f t="array" ref="Z95">SUM(Z35+Z38)/SUM(-Z39:Z40)</f>
        <v>3.0944558521560577</v>
      </c>
      <c r="AA95" s="83" cm="1">
        <f t="array" ref="AA95">SUM(AA35+AA38)/SUM(-AA39:AA40)</f>
        <v>3.7196581196581198</v>
      </c>
    </row>
    <row r="96" spans="1:27" ht="12.75" customHeight="1">
      <c r="B96" s="31" t="s">
        <v>100</v>
      </c>
      <c r="C96" s="83" cm="1">
        <f t="array" ref="C96">SUM(C35)/SUM(-C38:C40)</f>
        <v>12.249307479224377</v>
      </c>
      <c r="D96" s="83" cm="1">
        <f t="array" ref="D96">SUM(D35)/SUM(-D38:D40)</f>
        <v>5.2598360655737704</v>
      </c>
      <c r="E96" s="83" cm="1">
        <f t="array" ref="E96">SUM(E35)/SUM(-E38:E40)</f>
        <v>4.5134431916738942</v>
      </c>
      <c r="F96" s="83" cm="1">
        <f t="array" ref="F96">SUM(F35)/SUM(-F38:F40)</f>
        <v>3.1088825214899711</v>
      </c>
      <c r="H96" s="83" cm="1">
        <f t="array" ref="H96">SUM(H35:H35)/SUM(-H38:H40)</f>
        <v>5.68</v>
      </c>
      <c r="I96" s="83" cm="1">
        <f t="array" ref="I96">SUM(H35:I35)/SUM(-H38:I40)</f>
        <v>5.8801020408163263</v>
      </c>
      <c r="J96" s="83" cm="1">
        <f t="array" ref="J96">SUM(H35:J35)/SUM(-H38:J40)</f>
        <v>6.471103327495622</v>
      </c>
      <c r="K96" s="83" cm="1">
        <f t="array" ref="K96">SUM(H35:K35)/SUM(-H38:K40)</f>
        <v>4.5134431916738942</v>
      </c>
      <c r="L96" s="83" cm="1">
        <f t="array" ref="L96">SUM(I35:L35)/SUM(-I38:L40)</f>
        <v>4.371666666666667</v>
      </c>
      <c r="M96" s="83" cm="1">
        <f t="array" ref="M96">SUM(J35:M35)/SUM(-J38:M40)</f>
        <v>3.6559356136820926</v>
      </c>
      <c r="N96" s="83" cm="1">
        <f t="array" ref="N96">SUM(K35:N35)/SUM(-K38:N40)</f>
        <v>2.376870198139911</v>
      </c>
      <c r="O96" s="83" cm="1">
        <f t="array" ref="O96">SUM(L35:O35)/SUM(-L38:O40)</f>
        <v>3.1088825214899711</v>
      </c>
      <c r="P96" s="83" cm="1">
        <f t="array" ref="P96">SUM(M35:P35)/SUM(-M38:P40)</f>
        <v>3.2852607709750568</v>
      </c>
      <c r="Q96" s="83" cm="1">
        <f t="array" ref="Q96">SUM(N35:Q35)/SUM(-N38:Q40)</f>
        <v>2.4665708123652048</v>
      </c>
      <c r="R96" s="83" cm="1">
        <f t="array" ref="R96">SUM(O35:R35)/SUM(-O38:R40)</f>
        <v>2.7580110497237569</v>
      </c>
      <c r="S96" s="83"/>
      <c r="T96" s="83" cm="1">
        <f t="array" ref="T96">SUM(T35)/SUM(-T38:T40)</f>
        <v>4.5134431916738942</v>
      </c>
      <c r="U96" s="83" cm="1">
        <f t="array" ref="U96">SUM(U35)/SUM(-U38:U40)</f>
        <v>4.371666666666667</v>
      </c>
      <c r="V96" s="83" cm="1">
        <f t="array" ref="V96">SUM(V35)/SUM(-V38:V40)</f>
        <v>3.6559356136820926</v>
      </c>
      <c r="W96" s="83" cm="1">
        <f t="array" ref="W96">SUM(W35)/SUM(-W38:W40)</f>
        <v>2.376870198139911</v>
      </c>
      <c r="X96" s="83" cm="1">
        <f t="array" ref="X96">SUM(X35)/SUM(-X38:X40)</f>
        <v>3.1088825214899711</v>
      </c>
      <c r="Y96" s="83" cm="1">
        <f t="array" ref="Y96">SUM(Y35)/SUM(-Y38:Y40)</f>
        <v>3.2852607709750568</v>
      </c>
      <c r="Z96" s="83" cm="1">
        <f t="array" ref="Z96">SUM(Z35)/SUM(-Z38:Z40)</f>
        <v>2.4665708123652048</v>
      </c>
      <c r="AA96" s="83" cm="1">
        <f t="array" ref="AA96">SUM(AA35)/SUM(-AA38:AA40)</f>
        <v>2.7580110497237569</v>
      </c>
    </row>
    <row r="97" spans="2:27" ht="12.75" customHeight="1">
      <c r="B97" s="8" t="s">
        <v>50</v>
      </c>
      <c r="C97" s="83">
        <f>C88/C85</f>
        <v>23.926605504587155</v>
      </c>
      <c r="D97" s="83">
        <f>D88/D85</f>
        <v>22.891243502598961</v>
      </c>
      <c r="E97" s="83">
        <f>E88/E85</f>
        <v>23.3568</v>
      </c>
      <c r="F97" s="83">
        <f>F88/F85</f>
        <v>33.896000000000001</v>
      </c>
      <c r="H97" s="83">
        <f t="shared" ref="H97:Q97" si="117">H88/H85</f>
        <v>22.877600000000001</v>
      </c>
      <c r="I97" s="83">
        <f t="shared" si="117"/>
        <v>23.054400000000001</v>
      </c>
      <c r="J97" s="83">
        <f t="shared" si="117"/>
        <v>22.988</v>
      </c>
      <c r="K97" s="83">
        <f t="shared" si="117"/>
        <v>23.3568</v>
      </c>
      <c r="L97" s="83">
        <f t="shared" si="117"/>
        <v>23.479199999999999</v>
      </c>
      <c r="M97" s="83">
        <f t="shared" si="117"/>
        <v>33.307428571428574</v>
      </c>
      <c r="N97" s="83">
        <f t="shared" si="117"/>
        <v>33.562857142857141</v>
      </c>
      <c r="O97" s="83">
        <f t="shared" si="117"/>
        <v>33.896000000000001</v>
      </c>
      <c r="P97" s="83">
        <f t="shared" si="117"/>
        <v>14.781190476190476</v>
      </c>
      <c r="Q97" s="83">
        <f t="shared" si="117"/>
        <v>19.358461538461537</v>
      </c>
      <c r="R97" s="83">
        <f>R88/R85</f>
        <v>19.704615384615384</v>
      </c>
      <c r="S97" s="83"/>
      <c r="T97" s="83">
        <f t="shared" ref="T97:Y97" si="118">T88/T85</f>
        <v>23.3568</v>
      </c>
      <c r="U97" s="83">
        <f t="shared" si="118"/>
        <v>23.479199999999999</v>
      </c>
      <c r="V97" s="83">
        <f t="shared" si="118"/>
        <v>33.307428571428574</v>
      </c>
      <c r="W97" s="83">
        <f t="shared" si="118"/>
        <v>33.562857142857141</v>
      </c>
      <c r="X97" s="83">
        <f t="shared" si="118"/>
        <v>33.896000000000001</v>
      </c>
      <c r="Y97" s="83">
        <f t="shared" si="118"/>
        <v>14.781190476190476</v>
      </c>
      <c r="Z97" s="83">
        <f>Z88/Z85</f>
        <v>19.358461538461537</v>
      </c>
      <c r="AA97" s="83">
        <f>AA88/AA85</f>
        <v>19.704615384615384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2025-12-20T23:35:51Z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