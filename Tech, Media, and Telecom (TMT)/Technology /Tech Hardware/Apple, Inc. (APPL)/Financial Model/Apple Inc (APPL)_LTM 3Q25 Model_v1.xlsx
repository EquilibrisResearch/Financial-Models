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Felix\Downloads\"/>
    </mc:Choice>
  </mc:AlternateContent>
  <xr:revisionPtr revIDLastSave="0" documentId="13_ncr:1_{DEB86308-402A-4513-8B0D-BE64AF9614C0}" xr6:coauthVersionLast="47" xr6:coauthVersionMax="47" xr10:uidLastSave="{00000000-0000-0000-0000-000000000000}"/>
  <bookViews>
    <workbookView xWindow="-28920" yWindow="-120" windowWidth="29040" windowHeight="15720" activeTab="3" xr2:uid="{BC9106CE-9107-4097-8948-317996376CB5}"/>
  </bookViews>
  <sheets>
    <sheet name="Historical Financials" sheetId="8" r:id="rId1"/>
    <sheet name="Revenue Drivers" sheetId="10" r:id="rId2"/>
    <sheet name="FCF" sheetId="9" r:id="rId3"/>
    <sheet name="3-Statement Model" sheetId="14" r:id="rId4"/>
    <sheet name="DCF" sheetId="12" r:id="rId5"/>
    <sheet name="Street Consensus" sheetId="19" r:id="rId6"/>
    <sheet name="WACC" sheetId="16" r:id="rId7"/>
    <sheet name="Shares" sheetId="17" r:id="rId8"/>
  </sheets>
  <externalReferences>
    <externalReference r:id="rId9"/>
  </externalReferenc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4" i="14" l="1"/>
  <c r="H6" i="12"/>
  <c r="I63" i="12"/>
  <c r="B2" i="17"/>
  <c r="K67" i="14"/>
  <c r="J67" i="14"/>
  <c r="I67" i="14"/>
  <c r="H67" i="14"/>
  <c r="G67" i="14"/>
  <c r="K66" i="14"/>
  <c r="J66" i="14"/>
  <c r="I66" i="14"/>
  <c r="H66" i="14"/>
  <c r="G66" i="14"/>
  <c r="K129" i="14"/>
  <c r="J129" i="14"/>
  <c r="I129" i="14"/>
  <c r="H129" i="14"/>
  <c r="G129" i="14"/>
  <c r="O206" i="19"/>
  <c r="P206" i="19" s="1"/>
  <c r="Q206" i="19" s="1"/>
  <c r="Q207" i="19" s="1"/>
  <c r="L205" i="19"/>
  <c r="M205" i="19"/>
  <c r="N205" i="19"/>
  <c r="O205" i="19"/>
  <c r="P204" i="19"/>
  <c r="Q204" i="19" s="1"/>
  <c r="Q205" i="19" s="1"/>
  <c r="M209" i="19"/>
  <c r="N207" i="19"/>
  <c r="M207" i="19"/>
  <c r="N197" i="19"/>
  <c r="O197" i="19" s="1"/>
  <c r="P197" i="19" s="1"/>
  <c r="Q197" i="19" s="1"/>
  <c r="O186" i="19"/>
  <c r="P186" i="19" s="1"/>
  <c r="Q186" i="19" s="1"/>
  <c r="O184" i="19"/>
  <c r="P184" i="19" s="1"/>
  <c r="Q184" i="19" s="1"/>
  <c r="H31" i="19"/>
  <c r="G31" i="19"/>
  <c r="F31" i="19"/>
  <c r="E31" i="19"/>
  <c r="D31" i="19"/>
  <c r="C31" i="19"/>
  <c r="M198" i="19"/>
  <c r="M212" i="19" s="1"/>
  <c r="Q196" i="19"/>
  <c r="P196" i="19"/>
  <c r="O196" i="19"/>
  <c r="N196" i="19"/>
  <c r="M196" i="19"/>
  <c r="Q194" i="19"/>
  <c r="P194" i="19"/>
  <c r="O194" i="19"/>
  <c r="N194" i="19"/>
  <c r="M194" i="19"/>
  <c r="Q181" i="19"/>
  <c r="P181" i="19"/>
  <c r="O181" i="19"/>
  <c r="N181" i="19"/>
  <c r="M181" i="19"/>
  <c r="Q183" i="19"/>
  <c r="P183" i="19"/>
  <c r="O183" i="19"/>
  <c r="N183" i="19"/>
  <c r="M183" i="19"/>
  <c r="N185" i="19"/>
  <c r="O185" i="19" s="1"/>
  <c r="P185" i="19" s="1"/>
  <c r="Q185" i="19" s="1"/>
  <c r="M185" i="19"/>
  <c r="N187" i="19"/>
  <c r="O187" i="19" s="1"/>
  <c r="P187" i="19" s="1"/>
  <c r="Q187" i="19" s="1"/>
  <c r="M187" i="19"/>
  <c r="M175" i="19"/>
  <c r="L175" i="19"/>
  <c r="M174" i="19"/>
  <c r="H64" i="14" s="1"/>
  <c r="L174" i="19"/>
  <c r="G64" i="14" s="1"/>
  <c r="L21" i="19"/>
  <c r="M21" i="19" s="1"/>
  <c r="N21" i="19" s="1"/>
  <c r="O21" i="19" s="1"/>
  <c r="P21" i="19" s="1"/>
  <c r="Q21" i="19" s="1"/>
  <c r="N172" i="19"/>
  <c r="O172" i="19" s="1"/>
  <c r="P172" i="19" s="1"/>
  <c r="Q172" i="19" s="1"/>
  <c r="N171" i="19"/>
  <c r="O171" i="19" s="1"/>
  <c r="P171" i="19" s="1"/>
  <c r="Q171" i="19" s="1"/>
  <c r="O42" i="19"/>
  <c r="P42" i="19" s="1"/>
  <c r="Q42" i="19" s="1"/>
  <c r="N43" i="19"/>
  <c r="O43" i="19" s="1"/>
  <c r="P43" i="19" s="1"/>
  <c r="Q43" i="19" s="1"/>
  <c r="M43" i="19"/>
  <c r="O169" i="19"/>
  <c r="P169" i="19" s="1"/>
  <c r="Q169" i="19" s="1"/>
  <c r="O170" i="19"/>
  <c r="P170" i="19" s="1"/>
  <c r="Q170" i="19" s="1"/>
  <c r="O167" i="19"/>
  <c r="P167" i="19" s="1"/>
  <c r="Q167" i="19" s="1"/>
  <c r="O168" i="19"/>
  <c r="P168" i="19" s="1"/>
  <c r="Q168" i="19" s="1"/>
  <c r="Q45" i="19"/>
  <c r="P45" i="19"/>
  <c r="M45" i="19"/>
  <c r="O45" i="19"/>
  <c r="N45" i="19"/>
  <c r="L22" i="19"/>
  <c r="M22" i="19" s="1"/>
  <c r="N22" i="19" s="1"/>
  <c r="O22" i="19" s="1"/>
  <c r="P22" i="19" s="1"/>
  <c r="Q22" i="19" s="1"/>
  <c r="H28" i="19"/>
  <c r="L209" i="19" s="1"/>
  <c r="G28" i="19"/>
  <c r="F28" i="19"/>
  <c r="E28" i="19"/>
  <c r="D28" i="19"/>
  <c r="C28" i="19"/>
  <c r="H25" i="19"/>
  <c r="G25" i="19"/>
  <c r="F25" i="19"/>
  <c r="E25" i="19"/>
  <c r="D25" i="19"/>
  <c r="C25" i="19"/>
  <c r="H17" i="19"/>
  <c r="G17" i="19"/>
  <c r="F17" i="19"/>
  <c r="E17" i="19"/>
  <c r="D17" i="19"/>
  <c r="C17" i="19"/>
  <c r="H16" i="19"/>
  <c r="G16" i="19"/>
  <c r="F16" i="19"/>
  <c r="E16" i="19"/>
  <c r="D16" i="19"/>
  <c r="C16" i="19"/>
  <c r="H13" i="19"/>
  <c r="G13" i="19"/>
  <c r="F13" i="19"/>
  <c r="E13" i="19"/>
  <c r="D13" i="19"/>
  <c r="C13" i="19"/>
  <c r="J22" i="19"/>
  <c r="J21" i="19"/>
  <c r="J20" i="19"/>
  <c r="G10" i="19"/>
  <c r="F10" i="19"/>
  <c r="E10" i="19"/>
  <c r="D10" i="19"/>
  <c r="C10" i="19"/>
  <c r="G9" i="19"/>
  <c r="F9" i="19"/>
  <c r="E9" i="19"/>
  <c r="D9" i="19"/>
  <c r="C9" i="19"/>
  <c r="G8" i="19"/>
  <c r="F8" i="19"/>
  <c r="E8" i="19"/>
  <c r="D8" i="19"/>
  <c r="C8" i="19"/>
  <c r="G7" i="19"/>
  <c r="F7" i="19"/>
  <c r="E7" i="19"/>
  <c r="D7" i="19"/>
  <c r="C7" i="19"/>
  <c r="G6" i="19"/>
  <c r="F6" i="19"/>
  <c r="E6" i="19"/>
  <c r="D6" i="19"/>
  <c r="C6" i="19"/>
  <c r="J4" i="19"/>
  <c r="O156" i="19"/>
  <c r="P156" i="19" s="1"/>
  <c r="O154" i="19"/>
  <c r="P154" i="19" s="1"/>
  <c r="Q154" i="19" s="1"/>
  <c r="N144" i="19"/>
  <c r="M144" i="19"/>
  <c r="L144" i="19"/>
  <c r="O143" i="19"/>
  <c r="P143" i="19" s="1"/>
  <c r="O141" i="19"/>
  <c r="P141" i="19" s="1"/>
  <c r="Q141" i="19" s="1"/>
  <c r="N138" i="19"/>
  <c r="M138" i="19"/>
  <c r="L138" i="19"/>
  <c r="O129" i="19"/>
  <c r="P129" i="19" s="1"/>
  <c r="Q129" i="19" s="1"/>
  <c r="P125" i="19"/>
  <c r="Q125" i="19" s="1"/>
  <c r="N48" i="19"/>
  <c r="N157" i="19" s="1"/>
  <c r="M48" i="19"/>
  <c r="M157" i="19" s="1"/>
  <c r="L48" i="19"/>
  <c r="L157" i="19" s="1"/>
  <c r="N46" i="19"/>
  <c r="N142" i="19" s="1"/>
  <c r="O142" i="19" s="1"/>
  <c r="P142" i="19" s="1"/>
  <c r="Q142" i="19" s="1"/>
  <c r="M46" i="19"/>
  <c r="M142" i="19" s="1"/>
  <c r="L46" i="19"/>
  <c r="L142" i="19" s="1"/>
  <c r="O40" i="19"/>
  <c r="O124" i="19" s="1"/>
  <c r="P124" i="19" s="1"/>
  <c r="Q124" i="19" s="1"/>
  <c r="N40" i="19"/>
  <c r="N124" i="19" s="1"/>
  <c r="M40" i="19"/>
  <c r="M124" i="19" s="1"/>
  <c r="L40" i="19"/>
  <c r="L124" i="19" s="1"/>
  <c r="N38" i="19"/>
  <c r="M38" i="19"/>
  <c r="M151" i="19" s="1"/>
  <c r="L38" i="19"/>
  <c r="L151" i="19" s="1"/>
  <c r="O55" i="19"/>
  <c r="P55" i="19" s="1"/>
  <c r="Q55" i="19" s="1"/>
  <c r="O130" i="19"/>
  <c r="P130" i="19" s="1"/>
  <c r="Q130" i="19" s="1"/>
  <c r="F22" i="14"/>
  <c r="E22" i="14"/>
  <c r="D22" i="14"/>
  <c r="F21" i="14"/>
  <c r="E21" i="14"/>
  <c r="D21" i="14"/>
  <c r="F20" i="14"/>
  <c r="E20" i="14"/>
  <c r="D20" i="14"/>
  <c r="F19" i="14"/>
  <c r="E19" i="14"/>
  <c r="D19" i="14"/>
  <c r="F18" i="14"/>
  <c r="E18" i="14"/>
  <c r="D18" i="14"/>
  <c r="C22" i="14"/>
  <c r="C21" i="14"/>
  <c r="C20" i="14"/>
  <c r="C19" i="14"/>
  <c r="C18" i="14"/>
  <c r="B22" i="14"/>
  <c r="B21" i="14"/>
  <c r="B20" i="14"/>
  <c r="B19" i="14"/>
  <c r="B18" i="14"/>
  <c r="O107" i="19"/>
  <c r="P107" i="19" s="1"/>
  <c r="Q107" i="19" s="1"/>
  <c r="N108" i="19"/>
  <c r="O108" i="19" s="1"/>
  <c r="P108" i="19" s="1"/>
  <c r="Q108" i="19" s="1"/>
  <c r="O68" i="19"/>
  <c r="P68" i="19" s="1"/>
  <c r="Q68" i="19" s="1"/>
  <c r="N69" i="19"/>
  <c r="O69" i="19" s="1"/>
  <c r="P69" i="19" s="1"/>
  <c r="Q69" i="19" s="1"/>
  <c r="N82" i="19"/>
  <c r="O82" i="19" s="1"/>
  <c r="P82" i="19" s="1"/>
  <c r="Q82" i="19" s="1"/>
  <c r="O81" i="19"/>
  <c r="P81" i="19" s="1"/>
  <c r="Q81" i="19" s="1"/>
  <c r="O94" i="19"/>
  <c r="P94" i="19" s="1"/>
  <c r="Q94" i="19" s="1"/>
  <c r="N95" i="19"/>
  <c r="O95" i="19" s="1"/>
  <c r="P95" i="19" s="1"/>
  <c r="Q95" i="19" s="1"/>
  <c r="N101" i="19"/>
  <c r="O101" i="19" s="1"/>
  <c r="P101" i="19" s="1"/>
  <c r="Q101" i="19" s="1"/>
  <c r="N114" i="19"/>
  <c r="O114" i="19" s="1"/>
  <c r="P114" i="19" s="1"/>
  <c r="Q114" i="19" s="1"/>
  <c r="N75" i="19"/>
  <c r="P75" i="19" s="1"/>
  <c r="Q75" i="19" s="1"/>
  <c r="N88" i="19"/>
  <c r="O88" i="19" s="1"/>
  <c r="P88" i="19" s="1"/>
  <c r="Q88" i="19" s="1"/>
  <c r="N62" i="19"/>
  <c r="O62" i="19" s="1"/>
  <c r="P62" i="19" s="1"/>
  <c r="Q62" i="19" s="1"/>
  <c r="M62" i="19"/>
  <c r="O113" i="19"/>
  <c r="P113" i="19" s="1"/>
  <c r="Q113" i="19" s="1"/>
  <c r="O100" i="19"/>
  <c r="P100" i="19" s="1"/>
  <c r="Q100" i="19" s="1"/>
  <c r="O87" i="19"/>
  <c r="P87" i="19" s="1"/>
  <c r="Q87" i="19" s="1"/>
  <c r="O74" i="19"/>
  <c r="P74" i="19" s="1"/>
  <c r="Q74" i="19" s="1"/>
  <c r="O61" i="19"/>
  <c r="P61" i="19" s="1"/>
  <c r="Q61" i="19" s="1"/>
  <c r="N112" i="19"/>
  <c r="O112" i="19" s="1"/>
  <c r="P112" i="19" s="1"/>
  <c r="Q112" i="19" s="1"/>
  <c r="O111" i="19"/>
  <c r="P111" i="19" s="1"/>
  <c r="Q111" i="19" s="1"/>
  <c r="N99" i="19"/>
  <c r="O99" i="19" s="1"/>
  <c r="P99" i="19" s="1"/>
  <c r="Q99" i="19" s="1"/>
  <c r="O98" i="19"/>
  <c r="P98" i="19" s="1"/>
  <c r="Q98" i="19" s="1"/>
  <c r="N86" i="19"/>
  <c r="O86" i="19" s="1"/>
  <c r="P86" i="19" s="1"/>
  <c r="Q86" i="19" s="1"/>
  <c r="O85" i="19"/>
  <c r="P85" i="19" s="1"/>
  <c r="Q85" i="19" s="1"/>
  <c r="O72" i="19"/>
  <c r="P72" i="19" s="1"/>
  <c r="Q72" i="19" s="1"/>
  <c r="N73" i="19"/>
  <c r="O73" i="19" s="1"/>
  <c r="P73" i="19" s="1"/>
  <c r="Q73" i="19" s="1"/>
  <c r="N60" i="19"/>
  <c r="O60" i="19" s="1"/>
  <c r="P60" i="19" s="1"/>
  <c r="Q60" i="19" s="1"/>
  <c r="M60" i="19"/>
  <c r="O59" i="19"/>
  <c r="P59" i="19" s="1"/>
  <c r="Q59" i="19" s="1"/>
  <c r="N58" i="19"/>
  <c r="H9" i="19"/>
  <c r="L97" i="19" s="1"/>
  <c r="H10" i="19"/>
  <c r="L110" i="19" s="1"/>
  <c r="H7" i="19"/>
  <c r="H39" i="19" s="1"/>
  <c r="H8" i="19"/>
  <c r="L84" i="19" s="1"/>
  <c r="H6" i="19"/>
  <c r="M114" i="19"/>
  <c r="M112" i="19"/>
  <c r="O110" i="19"/>
  <c r="P110" i="19" s="1"/>
  <c r="Q110" i="19" s="1"/>
  <c r="N110" i="19"/>
  <c r="M110" i="19"/>
  <c r="P109" i="19"/>
  <c r="Q109" i="19" s="1"/>
  <c r="M108" i="19"/>
  <c r="M101" i="19"/>
  <c r="M99" i="19"/>
  <c r="O97" i="19"/>
  <c r="P97" i="19" s="1"/>
  <c r="Q97" i="19" s="1"/>
  <c r="N97" i="19"/>
  <c r="M97" i="19"/>
  <c r="P96" i="19"/>
  <c r="Q96" i="19" s="1"/>
  <c r="M95" i="19"/>
  <c r="M88" i="19"/>
  <c r="M86" i="19"/>
  <c r="O84" i="19"/>
  <c r="P84" i="19" s="1"/>
  <c r="Q84" i="19" s="1"/>
  <c r="N84" i="19"/>
  <c r="M84" i="19"/>
  <c r="P83" i="19"/>
  <c r="Q83" i="19" s="1"/>
  <c r="M82" i="19"/>
  <c r="M73" i="19"/>
  <c r="M75" i="19"/>
  <c r="M69" i="19"/>
  <c r="O71" i="19"/>
  <c r="P71" i="19" s="1"/>
  <c r="Q71" i="19" s="1"/>
  <c r="N71" i="19"/>
  <c r="M71" i="19"/>
  <c r="P70" i="19"/>
  <c r="Q70" i="19" s="1"/>
  <c r="O58" i="19"/>
  <c r="M58" i="19"/>
  <c r="P57" i="19"/>
  <c r="Q57" i="19" s="1"/>
  <c r="Q58" i="19" s="1"/>
  <c r="S4" i="19"/>
  <c r="F12" i="10"/>
  <c r="F13" i="10" s="1"/>
  <c r="E12" i="10"/>
  <c r="E13" i="10" s="1"/>
  <c r="D12" i="10"/>
  <c r="D13" i="10" s="1"/>
  <c r="C12" i="10"/>
  <c r="C13" i="10" s="1"/>
  <c r="J4" i="10"/>
  <c r="I4" i="10"/>
  <c r="H4" i="10"/>
  <c r="G4" i="10"/>
  <c r="F4" i="10"/>
  <c r="E4" i="10"/>
  <c r="D4" i="10"/>
  <c r="C4" i="10"/>
  <c r="J3" i="10"/>
  <c r="I3" i="10"/>
  <c r="H3" i="10"/>
  <c r="G3" i="10"/>
  <c r="F3" i="10"/>
  <c r="E3" i="10"/>
  <c r="D3" i="10"/>
  <c r="C3" i="10"/>
  <c r="K4" i="10"/>
  <c r="K3" i="10"/>
  <c r="E57" i="14" l="1"/>
  <c r="E55" i="14"/>
  <c r="D55" i="14"/>
  <c r="O207" i="19"/>
  <c r="P205" i="19"/>
  <c r="M211" i="19"/>
  <c r="N209" i="19"/>
  <c r="L207" i="19"/>
  <c r="M201" i="19"/>
  <c r="P207" i="19"/>
  <c r="O209" i="19"/>
  <c r="L25" i="19"/>
  <c r="M25" i="19" s="1"/>
  <c r="M189" i="19"/>
  <c r="N189" i="19"/>
  <c r="Q190" i="19"/>
  <c r="O189" i="19"/>
  <c r="M200" i="19"/>
  <c r="P190" i="19"/>
  <c r="Q189" i="19"/>
  <c r="P189" i="19"/>
  <c r="M190" i="19"/>
  <c r="N190" i="19"/>
  <c r="O190" i="19"/>
  <c r="F56" i="14"/>
  <c r="E59" i="14"/>
  <c r="D57" i="14"/>
  <c r="F57" i="14"/>
  <c r="D58" i="14"/>
  <c r="F55" i="14"/>
  <c r="E58" i="14"/>
  <c r="E56" i="14"/>
  <c r="D59" i="14"/>
  <c r="D56" i="14"/>
  <c r="J31" i="19"/>
  <c r="L198" i="19"/>
  <c r="L185" i="19"/>
  <c r="N174" i="19"/>
  <c r="I64" i="14" s="1"/>
  <c r="O174" i="19"/>
  <c r="J64" i="14" s="1"/>
  <c r="L183" i="19"/>
  <c r="P175" i="19"/>
  <c r="Q175" i="19"/>
  <c r="P174" i="19"/>
  <c r="K64" i="14" s="1"/>
  <c r="Q174" i="19"/>
  <c r="L196" i="19"/>
  <c r="L187" i="19"/>
  <c r="L194" i="19"/>
  <c r="N175" i="19"/>
  <c r="L181" i="19"/>
  <c r="O175" i="19"/>
  <c r="N198" i="19"/>
  <c r="N200" i="19" s="1"/>
  <c r="O198" i="19"/>
  <c r="O201" i="19" s="1"/>
  <c r="G37" i="19"/>
  <c r="E41" i="19"/>
  <c r="H37" i="19"/>
  <c r="H47" i="19"/>
  <c r="J17" i="19"/>
  <c r="E47" i="19"/>
  <c r="F41" i="19"/>
  <c r="D49" i="19"/>
  <c r="D39" i="19"/>
  <c r="G41" i="19"/>
  <c r="E49" i="19"/>
  <c r="J9" i="19"/>
  <c r="F39" i="19"/>
  <c r="D47" i="19"/>
  <c r="G49" i="19"/>
  <c r="D37" i="19"/>
  <c r="G39" i="19"/>
  <c r="E37" i="19"/>
  <c r="F47" i="19"/>
  <c r="F37" i="19"/>
  <c r="G47" i="19"/>
  <c r="H41" i="19"/>
  <c r="J6" i="19"/>
  <c r="J7" i="19"/>
  <c r="J10" i="19"/>
  <c r="E39" i="19"/>
  <c r="F49" i="19"/>
  <c r="H49" i="19"/>
  <c r="J13" i="19"/>
  <c r="J8" i="19"/>
  <c r="D41" i="19"/>
  <c r="J28" i="19"/>
  <c r="J25" i="19"/>
  <c r="J16" i="19"/>
  <c r="C11" i="19"/>
  <c r="C50" i="19" s="1"/>
  <c r="D11" i="19"/>
  <c r="D50" i="19" s="1"/>
  <c r="E11" i="19"/>
  <c r="E50" i="19" s="1"/>
  <c r="F11" i="19"/>
  <c r="F46" i="19" s="1"/>
  <c r="L155" i="19"/>
  <c r="L159" i="19" s="1"/>
  <c r="G11" i="19"/>
  <c r="G46" i="19" s="1"/>
  <c r="L123" i="19"/>
  <c r="N49" i="19"/>
  <c r="N131" i="19"/>
  <c r="M146" i="19"/>
  <c r="L128" i="19"/>
  <c r="M131" i="19"/>
  <c r="Q46" i="19"/>
  <c r="Q155" i="19" s="1"/>
  <c r="Q38" i="19"/>
  <c r="Q123" i="19" s="1"/>
  <c r="N39" i="19"/>
  <c r="O39" i="19" s="1"/>
  <c r="P39" i="19" s="1"/>
  <c r="Q39" i="19" s="1"/>
  <c r="Q48" i="19"/>
  <c r="Q131" i="19" s="1"/>
  <c r="M123" i="19"/>
  <c r="N41" i="19"/>
  <c r="L131" i="19"/>
  <c r="O38" i="19"/>
  <c r="Q40" i="19"/>
  <c r="M128" i="19"/>
  <c r="O41" i="19"/>
  <c r="P41" i="19" s="1"/>
  <c r="Q41" i="19" s="1"/>
  <c r="P38" i="19"/>
  <c r="N128" i="19"/>
  <c r="O128" i="19" s="1"/>
  <c r="P128" i="19" s="1"/>
  <c r="Q128" i="19" s="1"/>
  <c r="O48" i="19"/>
  <c r="O131" i="19" s="1"/>
  <c r="L146" i="19"/>
  <c r="N151" i="19"/>
  <c r="P48" i="19"/>
  <c r="P131" i="19" s="1"/>
  <c r="M147" i="19"/>
  <c r="N123" i="19"/>
  <c r="O46" i="19"/>
  <c r="O155" i="19" s="1"/>
  <c r="N146" i="19"/>
  <c r="M155" i="19"/>
  <c r="P40" i="19"/>
  <c r="P46" i="19"/>
  <c r="P155" i="19" s="1"/>
  <c r="N155" i="19"/>
  <c r="N47" i="19"/>
  <c r="O47" i="19" s="1"/>
  <c r="P47" i="19" s="1"/>
  <c r="Q47" i="19" s="1"/>
  <c r="L147" i="19"/>
  <c r="N147" i="19"/>
  <c r="O138" i="19"/>
  <c r="Q156" i="19"/>
  <c r="Q143" i="19"/>
  <c r="Q144" i="19" s="1"/>
  <c r="P144" i="19"/>
  <c r="P138" i="19"/>
  <c r="Q138" i="19"/>
  <c r="O144" i="19"/>
  <c r="M47" i="19"/>
  <c r="M49" i="19"/>
  <c r="M41" i="19"/>
  <c r="M39" i="19"/>
  <c r="M103" i="19"/>
  <c r="Q103" i="19"/>
  <c r="Q116" i="19"/>
  <c r="M116" i="19"/>
  <c r="H58" i="14" s="1"/>
  <c r="F58" i="14"/>
  <c r="F59" i="14"/>
  <c r="D23" i="14"/>
  <c r="F23" i="14"/>
  <c r="E23" i="14"/>
  <c r="C23" i="14"/>
  <c r="N116" i="19"/>
  <c r="I58" i="14" s="1"/>
  <c r="P117" i="19"/>
  <c r="M104" i="19"/>
  <c r="H59" i="14" s="1"/>
  <c r="O116" i="19"/>
  <c r="J58" i="14" s="1"/>
  <c r="Q117" i="19"/>
  <c r="N104" i="19"/>
  <c r="I59" i="14" s="1"/>
  <c r="P116" i="19"/>
  <c r="K58" i="14" s="1"/>
  <c r="P58" i="19"/>
  <c r="O104" i="19"/>
  <c r="J59" i="14" s="1"/>
  <c r="N103" i="19"/>
  <c r="P104" i="19"/>
  <c r="K59" i="14" s="1"/>
  <c r="O103" i="19"/>
  <c r="Q104" i="19"/>
  <c r="M117" i="19"/>
  <c r="P103" i="19"/>
  <c r="N117" i="19"/>
  <c r="O117" i="19"/>
  <c r="Q90" i="19"/>
  <c r="M90" i="19"/>
  <c r="H56" i="14" s="1"/>
  <c r="Q91" i="19"/>
  <c r="P90" i="19"/>
  <c r="K56" i="14" s="1"/>
  <c r="O90" i="19"/>
  <c r="J56" i="14" s="1"/>
  <c r="M91" i="19"/>
  <c r="N91" i="19"/>
  <c r="O91" i="19"/>
  <c r="P91" i="19"/>
  <c r="N90" i="19"/>
  <c r="I56" i="14" s="1"/>
  <c r="Q78" i="19"/>
  <c r="Q77" i="19"/>
  <c r="M77" i="19"/>
  <c r="O77" i="19"/>
  <c r="P77" i="19"/>
  <c r="M78" i="19"/>
  <c r="H57" i="14" s="1"/>
  <c r="N78" i="19"/>
  <c r="I57" i="14" s="1"/>
  <c r="O78" i="19"/>
  <c r="J57" i="14" s="1"/>
  <c r="N77" i="19"/>
  <c r="P78" i="19"/>
  <c r="K57" i="14" s="1"/>
  <c r="L95" i="19"/>
  <c r="L108" i="19"/>
  <c r="L86" i="19"/>
  <c r="L99" i="19"/>
  <c r="L101" i="19"/>
  <c r="L82" i="19"/>
  <c r="L71" i="19"/>
  <c r="L88" i="19"/>
  <c r="L69" i="19"/>
  <c r="L112" i="19"/>
  <c r="L73" i="19"/>
  <c r="L114" i="19"/>
  <c r="L75" i="19"/>
  <c r="H11" i="19"/>
  <c r="L43" i="19" s="1"/>
  <c r="L60" i="19"/>
  <c r="L62" i="19"/>
  <c r="L58" i="19"/>
  <c r="S22" i="19"/>
  <c r="S21" i="19"/>
  <c r="E24" i="14" l="1"/>
  <c r="F24" i="14"/>
  <c r="D24" i="14"/>
  <c r="O212" i="19"/>
  <c r="N211" i="19"/>
  <c r="N212" i="19"/>
  <c r="L212" i="19"/>
  <c r="L211" i="19"/>
  <c r="O211" i="19"/>
  <c r="Q209" i="19"/>
  <c r="P209" i="19"/>
  <c r="O200" i="19"/>
  <c r="N201" i="19"/>
  <c r="L190" i="19"/>
  <c r="L189" i="19"/>
  <c r="L28" i="19" s="1"/>
  <c r="M28" i="19" s="1"/>
  <c r="N28" i="19" s="1"/>
  <c r="O28" i="19" s="1"/>
  <c r="P28" i="19" s="1"/>
  <c r="Q28" i="19" s="1"/>
  <c r="S28" i="19" s="1"/>
  <c r="L200" i="19"/>
  <c r="L31" i="19" s="1"/>
  <c r="M31" i="19" s="1"/>
  <c r="N31" i="19" s="1"/>
  <c r="O31" i="19" s="1"/>
  <c r="L201" i="19"/>
  <c r="N25" i="19"/>
  <c r="O25" i="19" s="1"/>
  <c r="P25" i="19" s="1"/>
  <c r="Q25" i="19" s="1"/>
  <c r="S25" i="19" s="1"/>
  <c r="E54" i="14"/>
  <c r="Q198" i="19"/>
  <c r="P198" i="19"/>
  <c r="M51" i="19"/>
  <c r="H54" i="14" s="1"/>
  <c r="M52" i="19"/>
  <c r="N51" i="19"/>
  <c r="I54" i="14" s="1"/>
  <c r="N52" i="19"/>
  <c r="D40" i="19"/>
  <c r="H50" i="19"/>
  <c r="L45" i="19"/>
  <c r="O49" i="19"/>
  <c r="M159" i="19"/>
  <c r="H63" i="14" s="1"/>
  <c r="F40" i="19"/>
  <c r="H40" i="19"/>
  <c r="G14" i="19"/>
  <c r="G18" i="19" s="1"/>
  <c r="G23" i="19" s="1"/>
  <c r="G26" i="19" s="1"/>
  <c r="G48" i="19"/>
  <c r="G38" i="19"/>
  <c r="G40" i="19"/>
  <c r="H46" i="19"/>
  <c r="C38" i="19"/>
  <c r="H38" i="19"/>
  <c r="G63" i="14"/>
  <c r="F14" i="19"/>
  <c r="F18" i="19" s="1"/>
  <c r="F23" i="19" s="1"/>
  <c r="F26" i="19" s="1"/>
  <c r="F48" i="19"/>
  <c r="F38" i="19"/>
  <c r="G50" i="19"/>
  <c r="F50" i="19"/>
  <c r="G62" i="14"/>
  <c r="E14" i="19"/>
  <c r="E18" i="19" s="1"/>
  <c r="E29" i="19" s="1"/>
  <c r="E32" i="19" s="1"/>
  <c r="E46" i="19"/>
  <c r="E38" i="19"/>
  <c r="E48" i="19"/>
  <c r="C40" i="19"/>
  <c r="C48" i="19"/>
  <c r="H48" i="19"/>
  <c r="H62" i="14"/>
  <c r="D14" i="19"/>
  <c r="D18" i="19" s="1"/>
  <c r="D23" i="19" s="1"/>
  <c r="D26" i="19" s="1"/>
  <c r="D46" i="19"/>
  <c r="D48" i="19"/>
  <c r="D38" i="19"/>
  <c r="E40" i="19"/>
  <c r="I62" i="14"/>
  <c r="C14" i="19"/>
  <c r="C18" i="19" s="1"/>
  <c r="C46" i="19"/>
  <c r="L49" i="19"/>
  <c r="J11" i="19"/>
  <c r="P157" i="19"/>
  <c r="L160" i="19"/>
  <c r="Q133" i="19"/>
  <c r="Q134" i="19"/>
  <c r="M134" i="19"/>
  <c r="M133" i="19"/>
  <c r="H61" i="14" s="1"/>
  <c r="Q157" i="19"/>
  <c r="N133" i="19"/>
  <c r="I61" i="14" s="1"/>
  <c r="N134" i="19"/>
  <c r="L134" i="19"/>
  <c r="L133" i="19"/>
  <c r="G61" i="14" s="1"/>
  <c r="Q151" i="19"/>
  <c r="M160" i="19"/>
  <c r="O157" i="19"/>
  <c r="L47" i="19"/>
  <c r="N159" i="19"/>
  <c r="O123" i="19"/>
  <c r="O133" i="19" s="1"/>
  <c r="J61" i="14" s="1"/>
  <c r="O151" i="19"/>
  <c r="P123" i="19"/>
  <c r="P133" i="19" s="1"/>
  <c r="K61" i="14" s="1"/>
  <c r="P151" i="19"/>
  <c r="N160" i="19"/>
  <c r="Q147" i="19"/>
  <c r="Q146" i="19"/>
  <c r="P146" i="19"/>
  <c r="P147" i="19"/>
  <c r="O146" i="19"/>
  <c r="O147" i="19"/>
  <c r="H14" i="19"/>
  <c r="H18" i="19" s="1"/>
  <c r="H29" i="19" s="1"/>
  <c r="H32" i="19" s="1"/>
  <c r="L41" i="19"/>
  <c r="L39" i="19"/>
  <c r="F54" i="14"/>
  <c r="D54" i="14"/>
  <c r="L116" i="19"/>
  <c r="L117" i="19"/>
  <c r="L103" i="19"/>
  <c r="L104" i="19"/>
  <c r="L9" i="19" s="1"/>
  <c r="M9" i="19" s="1"/>
  <c r="N9" i="19" s="1"/>
  <c r="O9" i="19" s="1"/>
  <c r="P9" i="19" s="1"/>
  <c r="Q9" i="19" s="1"/>
  <c r="L91" i="19"/>
  <c r="L90" i="19"/>
  <c r="L77" i="19"/>
  <c r="L78" i="19"/>
  <c r="G57" i="14" s="1"/>
  <c r="Q212" i="19" l="1"/>
  <c r="Q211" i="19"/>
  <c r="P211" i="19"/>
  <c r="P212" i="19"/>
  <c r="Q200" i="19"/>
  <c r="Q201" i="19"/>
  <c r="P200" i="19"/>
  <c r="P31" i="19" s="1"/>
  <c r="P201" i="19"/>
  <c r="O52" i="19"/>
  <c r="O51" i="19"/>
  <c r="J54" i="14" s="1"/>
  <c r="G58" i="14"/>
  <c r="G21" i="14" s="1"/>
  <c r="H21" i="14" s="1"/>
  <c r="I21" i="14" s="1"/>
  <c r="J21" i="14" s="1"/>
  <c r="K21" i="14" s="1"/>
  <c r="L10" i="19"/>
  <c r="M10" i="19" s="1"/>
  <c r="N10" i="19" s="1"/>
  <c r="O10" i="19" s="1"/>
  <c r="P10" i="19" s="1"/>
  <c r="Q10" i="19" s="1"/>
  <c r="S10" i="19" s="1"/>
  <c r="G20" i="14"/>
  <c r="H20" i="14" s="1"/>
  <c r="I20" i="14" s="1"/>
  <c r="J20" i="14" s="1"/>
  <c r="K20" i="14" s="1"/>
  <c r="L7" i="19"/>
  <c r="M7" i="19" s="1"/>
  <c r="N7" i="19" s="1"/>
  <c r="O7" i="19" s="1"/>
  <c r="P7" i="19" s="1"/>
  <c r="Q7" i="19" s="1"/>
  <c r="S7" i="19" s="1"/>
  <c r="L51" i="19"/>
  <c r="L20" i="19" s="1"/>
  <c r="M20" i="19" s="1"/>
  <c r="N20" i="19" s="1"/>
  <c r="L52" i="19"/>
  <c r="G56" i="14"/>
  <c r="G19" i="14" s="1"/>
  <c r="H19" i="14" s="1"/>
  <c r="I19" i="14" s="1"/>
  <c r="J19" i="14" s="1"/>
  <c r="K19" i="14" s="1"/>
  <c r="L8" i="19"/>
  <c r="M8" i="19" s="1"/>
  <c r="N8" i="19" s="1"/>
  <c r="O8" i="19" s="1"/>
  <c r="P8" i="19" s="1"/>
  <c r="Q8" i="19" s="1"/>
  <c r="S8" i="19" s="1"/>
  <c r="P49" i="19"/>
  <c r="F29" i="19"/>
  <c r="F32" i="19" s="1"/>
  <c r="E23" i="19"/>
  <c r="E26" i="19" s="1"/>
  <c r="K62" i="14"/>
  <c r="I63" i="14"/>
  <c r="G29" i="19"/>
  <c r="G32" i="19" s="1"/>
  <c r="J62" i="14"/>
  <c r="D29" i="19"/>
  <c r="D32" i="19" s="1"/>
  <c r="J14" i="19"/>
  <c r="C29" i="19"/>
  <c r="C32" i="19" s="1"/>
  <c r="J18" i="19"/>
  <c r="C23" i="19"/>
  <c r="O134" i="19"/>
  <c r="P134" i="19"/>
  <c r="H23" i="19"/>
  <c r="H26" i="19" s="1"/>
  <c r="S9" i="19"/>
  <c r="G59" i="14"/>
  <c r="G22" i="14" s="1"/>
  <c r="H22" i="14" s="1"/>
  <c r="I22" i="14" s="1"/>
  <c r="J22" i="14" s="1"/>
  <c r="K22" i="14" s="1"/>
  <c r="Q31" i="19" l="1"/>
  <c r="S31" i="19" s="1"/>
  <c r="J32" i="19"/>
  <c r="O20" i="19"/>
  <c r="P52" i="19"/>
  <c r="P51" i="19"/>
  <c r="G54" i="14"/>
  <c r="Q49" i="19"/>
  <c r="J29" i="19"/>
  <c r="C26" i="19"/>
  <c r="J26" i="19" s="1"/>
  <c r="J23" i="19"/>
  <c r="P20" i="19" l="1"/>
  <c r="K54" i="14"/>
  <c r="Q51" i="19"/>
  <c r="Q52" i="19"/>
  <c r="Q20" i="19" l="1"/>
  <c r="S20" i="19" s="1"/>
  <c r="B2" i="16" l="1"/>
  <c r="H10" i="12"/>
  <c r="B2" i="12"/>
  <c r="C8" i="12"/>
  <c r="C59" i="12" s="1"/>
  <c r="C6" i="12"/>
  <c r="D14" i="12" s="1"/>
  <c r="E14" i="12" s="1"/>
  <c r="F14" i="12" s="1"/>
  <c r="C11" i="14"/>
  <c r="B77" i="8"/>
  <c r="B76" i="8"/>
  <c r="AM77" i="8"/>
  <c r="AL77" i="8"/>
  <c r="AK77" i="8"/>
  <c r="AJ77" i="8"/>
  <c r="AI77" i="8"/>
  <c r="AH77" i="8"/>
  <c r="AG77" i="8"/>
  <c r="AF77" i="8"/>
  <c r="AE77" i="8"/>
  <c r="AD77" i="8"/>
  <c r="AC77" i="8"/>
  <c r="AM76" i="8"/>
  <c r="AL76" i="8"/>
  <c r="AK76" i="8"/>
  <c r="AJ76" i="8"/>
  <c r="AI76" i="8"/>
  <c r="AH76" i="8"/>
  <c r="AG76" i="8"/>
  <c r="AF76" i="8"/>
  <c r="AE76" i="8"/>
  <c r="AD76" i="8"/>
  <c r="AC76" i="8"/>
  <c r="AA77" i="8"/>
  <c r="Z77" i="8"/>
  <c r="Y77" i="8"/>
  <c r="X77" i="8"/>
  <c r="W77" i="8"/>
  <c r="V77" i="8"/>
  <c r="U77" i="8"/>
  <c r="T77" i="8"/>
  <c r="S77" i="8"/>
  <c r="R77" i="8"/>
  <c r="Q77" i="8"/>
  <c r="P77" i="8"/>
  <c r="O77" i="8"/>
  <c r="N77" i="8"/>
  <c r="M77" i="8"/>
  <c r="AA76" i="8"/>
  <c r="Z76" i="8"/>
  <c r="Y76" i="8"/>
  <c r="X76" i="8"/>
  <c r="W76" i="8"/>
  <c r="V76" i="8"/>
  <c r="U76" i="8"/>
  <c r="T76" i="8"/>
  <c r="S76" i="8"/>
  <c r="R76" i="8"/>
  <c r="Q76" i="8"/>
  <c r="P76" i="8"/>
  <c r="O76" i="8"/>
  <c r="N76" i="8"/>
  <c r="M76" i="8"/>
  <c r="K77" i="8"/>
  <c r="J77" i="8"/>
  <c r="I77" i="8"/>
  <c r="H77" i="8"/>
  <c r="G77" i="8"/>
  <c r="F77" i="8"/>
  <c r="E77" i="8"/>
  <c r="D77" i="8"/>
  <c r="K76" i="8"/>
  <c r="J76" i="8"/>
  <c r="I76" i="8"/>
  <c r="H76" i="8"/>
  <c r="G76" i="8"/>
  <c r="F76" i="8"/>
  <c r="E76" i="8"/>
  <c r="D76" i="8"/>
  <c r="C77" i="8"/>
  <c r="C76" i="8"/>
  <c r="B41" i="8"/>
  <c r="B40" i="8"/>
  <c r="AM40" i="8"/>
  <c r="AA41" i="8"/>
  <c r="Z41" i="8"/>
  <c r="Y41" i="8"/>
  <c r="W41" i="8"/>
  <c r="V41" i="8"/>
  <c r="U41" i="8"/>
  <c r="S41" i="8"/>
  <c r="R41" i="8"/>
  <c r="Q41" i="8"/>
  <c r="O41" i="8"/>
  <c r="N41" i="8"/>
  <c r="AA40" i="8"/>
  <c r="Z40" i="8"/>
  <c r="Y40" i="8"/>
  <c r="X40" i="8"/>
  <c r="W40" i="8"/>
  <c r="V40" i="8"/>
  <c r="U40" i="8"/>
  <c r="T40" i="8"/>
  <c r="S40" i="8"/>
  <c r="R40" i="8"/>
  <c r="Q40" i="8"/>
  <c r="P40" i="8"/>
  <c r="O40" i="8"/>
  <c r="N40" i="8"/>
  <c r="M41" i="8"/>
  <c r="M40" i="8"/>
  <c r="K41" i="8"/>
  <c r="J41" i="8"/>
  <c r="I41" i="8"/>
  <c r="H41" i="8"/>
  <c r="G41" i="8"/>
  <c r="F41" i="8"/>
  <c r="E41" i="8"/>
  <c r="D41" i="8"/>
  <c r="K40" i="8"/>
  <c r="J40" i="8"/>
  <c r="I40" i="8"/>
  <c r="H40" i="8"/>
  <c r="G40" i="8"/>
  <c r="F40" i="8"/>
  <c r="E40" i="8"/>
  <c r="D40" i="8"/>
  <c r="C41" i="8"/>
  <c r="C40" i="8"/>
  <c r="AM12" i="8"/>
  <c r="AM41" i="8" s="1"/>
  <c r="AL12" i="8"/>
  <c r="AL41" i="8" s="1"/>
  <c r="AK12" i="8"/>
  <c r="AK41" i="8" s="1"/>
  <c r="AI12" i="8"/>
  <c r="AI41" i="8" s="1"/>
  <c r="AH12" i="8"/>
  <c r="AH41" i="8" s="1"/>
  <c r="AG12" i="8"/>
  <c r="AG41" i="8" s="1"/>
  <c r="AE12" i="8"/>
  <c r="AE41" i="8" s="1"/>
  <c r="AD12" i="8"/>
  <c r="AD41" i="8" s="1"/>
  <c r="AC12" i="8"/>
  <c r="AC41" i="8" s="1"/>
  <c r="X12" i="8"/>
  <c r="AJ12" i="8" s="1"/>
  <c r="AJ41" i="8" s="1"/>
  <c r="T12" i="8"/>
  <c r="AF12" i="8" s="1"/>
  <c r="AF41" i="8" s="1"/>
  <c r="P12" i="8"/>
  <c r="P41" i="8" s="1"/>
  <c r="AM11" i="8"/>
  <c r="AL11" i="8"/>
  <c r="AL40" i="8" s="1"/>
  <c r="AK11" i="8"/>
  <c r="AK40" i="8" s="1"/>
  <c r="AJ11" i="8"/>
  <c r="AJ40" i="8" s="1"/>
  <c r="AI11" i="8"/>
  <c r="AI40" i="8" s="1"/>
  <c r="AH11" i="8"/>
  <c r="AH40" i="8" s="1"/>
  <c r="AG11" i="8"/>
  <c r="AG40" i="8" s="1"/>
  <c r="AF11" i="8"/>
  <c r="AF40" i="8" s="1"/>
  <c r="AE11" i="8"/>
  <c r="AE40" i="8" s="1"/>
  <c r="AD11" i="8"/>
  <c r="AD40" i="8" s="1"/>
  <c r="AC11" i="8"/>
  <c r="AC40" i="8" s="1"/>
  <c r="B2" i="14"/>
  <c r="AO88" i="8"/>
  <c r="AO82" i="8"/>
  <c r="P36" i="8"/>
  <c r="T36" i="8"/>
  <c r="X36" i="8"/>
  <c r="X33" i="8"/>
  <c r="T33" i="8"/>
  <c r="P33" i="8"/>
  <c r="W51" i="9"/>
  <c r="AJ51" i="9" s="1"/>
  <c r="V51" i="9"/>
  <c r="AI51" i="9" s="1"/>
  <c r="U51" i="9"/>
  <c r="S51" i="9"/>
  <c r="AF51" i="9" s="1"/>
  <c r="R51" i="9"/>
  <c r="AE51" i="9" s="1"/>
  <c r="Q51" i="9"/>
  <c r="AD51" i="9" s="1"/>
  <c r="O51" i="9"/>
  <c r="AB51" i="9" s="1"/>
  <c r="N51" i="9"/>
  <c r="AA51" i="9" s="1"/>
  <c r="M51" i="9"/>
  <c r="Z51" i="9" s="1"/>
  <c r="K51" i="9"/>
  <c r="J51" i="9"/>
  <c r="I51" i="9"/>
  <c r="G51" i="9"/>
  <c r="F51" i="9"/>
  <c r="E51" i="9"/>
  <c r="D51" i="9"/>
  <c r="C51" i="9"/>
  <c r="G50" i="9"/>
  <c r="F50" i="9"/>
  <c r="E50" i="9"/>
  <c r="D50" i="9"/>
  <c r="E6" i="17"/>
  <c r="E12" i="17" s="1"/>
  <c r="H60" i="12"/>
  <c r="E115" i="14"/>
  <c r="D115" i="14"/>
  <c r="E114" i="14"/>
  <c r="D114" i="14"/>
  <c r="E113" i="14"/>
  <c r="D113" i="14"/>
  <c r="E24" i="12"/>
  <c r="D104" i="14"/>
  <c r="F104" i="14"/>
  <c r="E104" i="14"/>
  <c r="Q134" i="12"/>
  <c r="O134" i="12"/>
  <c r="D134" i="12"/>
  <c r="Q133" i="12"/>
  <c r="O133" i="12"/>
  <c r="G133" i="12"/>
  <c r="E133" i="12"/>
  <c r="C133" i="12"/>
  <c r="Q132" i="12"/>
  <c r="O132" i="12"/>
  <c r="E132" i="12"/>
  <c r="C132" i="12"/>
  <c r="D132" i="12" s="1"/>
  <c r="L107" i="12"/>
  <c r="L108" i="12" s="1"/>
  <c r="D107" i="12"/>
  <c r="D108" i="12" s="1"/>
  <c r="L105" i="12"/>
  <c r="L104" i="12" s="1"/>
  <c r="D105" i="12"/>
  <c r="D104" i="12" s="1"/>
  <c r="P103" i="12"/>
  <c r="Q103" i="12" s="1"/>
  <c r="N103" i="12"/>
  <c r="M103" i="12" s="1"/>
  <c r="H103" i="12"/>
  <c r="I103" i="12" s="1"/>
  <c r="F103" i="12"/>
  <c r="E103" i="12" s="1"/>
  <c r="B132" i="12" s="1"/>
  <c r="L98" i="12"/>
  <c r="L99" i="12" s="1"/>
  <c r="D98" i="12"/>
  <c r="D99" i="12" s="1"/>
  <c r="L96" i="12"/>
  <c r="L95" i="12" s="1"/>
  <c r="D96" i="12"/>
  <c r="D95" i="12" s="1"/>
  <c r="P94" i="12"/>
  <c r="Q94" i="12" s="1"/>
  <c r="N94" i="12"/>
  <c r="M94" i="12"/>
  <c r="H94" i="12"/>
  <c r="I94" i="12" s="1"/>
  <c r="F94" i="12"/>
  <c r="E94" i="12" s="1"/>
  <c r="C63" i="12"/>
  <c r="C62" i="12"/>
  <c r="D40" i="12"/>
  <c r="B37" i="12"/>
  <c r="C14" i="12"/>
  <c r="E40" i="17"/>
  <c r="E41" i="17" s="1"/>
  <c r="E31" i="17"/>
  <c r="E30" i="17" s="1"/>
  <c r="C19" i="17"/>
  <c r="B48" i="16"/>
  <c r="C45" i="16"/>
  <c r="G44" i="16"/>
  <c r="F44" i="16"/>
  <c r="G43" i="16"/>
  <c r="F43" i="16"/>
  <c r="G42" i="16"/>
  <c r="F42" i="16"/>
  <c r="C31" i="16"/>
  <c r="C32" i="16" s="1"/>
  <c r="C29" i="16"/>
  <c r="C28" i="16" s="1"/>
  <c r="F27" i="16"/>
  <c r="D27" i="16"/>
  <c r="D21" i="16"/>
  <c r="C20" i="16"/>
  <c r="F45" i="16" s="1"/>
  <c r="C13" i="16"/>
  <c r="C15" i="16" s="1"/>
  <c r="C9" i="16"/>
  <c r="C10" i="16" s="1"/>
  <c r="E33" i="17" l="1"/>
  <c r="E34" i="17" s="1"/>
  <c r="E43" i="17"/>
  <c r="E44" i="17" s="1"/>
  <c r="D133" i="12"/>
  <c r="C7" i="12"/>
  <c r="C10" i="12" s="1"/>
  <c r="C41" i="12" s="1"/>
  <c r="P134" i="12"/>
  <c r="P132" i="12"/>
  <c r="B133" i="12"/>
  <c r="G132" i="12"/>
  <c r="G134" i="12"/>
  <c r="P133" i="12"/>
  <c r="I42" i="16"/>
  <c r="I43" i="16"/>
  <c r="I44" i="16"/>
  <c r="T41" i="8"/>
  <c r="X41" i="8"/>
  <c r="AH51" i="9"/>
  <c r="G14" i="12"/>
  <c r="F40" i="12"/>
  <c r="E40" i="12"/>
  <c r="E16" i="17"/>
  <c r="E17" i="17"/>
  <c r="E13" i="17"/>
  <c r="E14" i="17"/>
  <c r="E15" i="17"/>
  <c r="E18" i="17"/>
  <c r="H45" i="16"/>
  <c r="E21" i="17" l="1"/>
  <c r="E22" i="17" s="1"/>
  <c r="E19" i="17"/>
  <c r="I62" i="12" s="1"/>
  <c r="I65" i="12" s="1"/>
  <c r="C76" i="12" s="1"/>
  <c r="D76" i="12" s="1"/>
  <c r="G40" i="12"/>
  <c r="H14" i="12"/>
  <c r="E23" i="17" l="1"/>
  <c r="H40" i="12"/>
  <c r="I14" i="12"/>
  <c r="B48" i="12" l="1"/>
  <c r="B47" i="12"/>
  <c r="E48" i="12"/>
  <c r="I40" i="12"/>
  <c r="W64" i="9" l="1"/>
  <c r="AJ64" i="9" s="1"/>
  <c r="V64" i="9"/>
  <c r="U64" i="9"/>
  <c r="S64" i="9"/>
  <c r="R64" i="9"/>
  <c r="Q64" i="9"/>
  <c r="O64" i="9"/>
  <c r="N64" i="9"/>
  <c r="M64" i="9"/>
  <c r="K64" i="9"/>
  <c r="J64" i="9"/>
  <c r="W63" i="9"/>
  <c r="V63" i="9"/>
  <c r="U63" i="9"/>
  <c r="T63" i="9"/>
  <c r="S63" i="9"/>
  <c r="R63" i="9"/>
  <c r="Q63" i="9"/>
  <c r="P63" i="9"/>
  <c r="O63" i="9"/>
  <c r="N63" i="9"/>
  <c r="M63" i="9"/>
  <c r="L63" i="9"/>
  <c r="K63" i="9"/>
  <c r="J63" i="9"/>
  <c r="I64" i="9"/>
  <c r="I63" i="9"/>
  <c r="W68" i="9"/>
  <c r="V68" i="9"/>
  <c r="U68" i="9"/>
  <c r="S68" i="9"/>
  <c r="R68" i="9"/>
  <c r="Q68" i="9"/>
  <c r="O68" i="9"/>
  <c r="N68" i="9"/>
  <c r="M68" i="9"/>
  <c r="K68" i="9"/>
  <c r="J68" i="9"/>
  <c r="I68" i="9"/>
  <c r="W67" i="9"/>
  <c r="AJ67" i="9" s="1"/>
  <c r="V67" i="9"/>
  <c r="AI67" i="9" s="1"/>
  <c r="U67" i="9"/>
  <c r="AH67" i="9" s="1"/>
  <c r="T67" i="9"/>
  <c r="AG67" i="9" s="1"/>
  <c r="S67" i="9"/>
  <c r="AF67" i="9" s="1"/>
  <c r="R67" i="9"/>
  <c r="Q67" i="9"/>
  <c r="P67" i="9"/>
  <c r="O67" i="9"/>
  <c r="N67" i="9"/>
  <c r="M67" i="9"/>
  <c r="L67" i="9"/>
  <c r="K67" i="9"/>
  <c r="J67" i="9"/>
  <c r="I67" i="9"/>
  <c r="W66" i="9"/>
  <c r="AJ66" i="9" s="1"/>
  <c r="V66" i="9"/>
  <c r="AI66" i="9" s="1"/>
  <c r="U66" i="9"/>
  <c r="AH66" i="9" s="1"/>
  <c r="T66" i="9"/>
  <c r="AG66" i="9" s="1"/>
  <c r="S66" i="9"/>
  <c r="AF66" i="9" s="1"/>
  <c r="R66" i="9"/>
  <c r="AE66" i="9" s="1"/>
  <c r="Q66" i="9"/>
  <c r="AD66" i="9" s="1"/>
  <c r="P66" i="9"/>
  <c r="AC66" i="9" s="1"/>
  <c r="O66" i="9"/>
  <c r="AB66" i="9" s="1"/>
  <c r="N66" i="9"/>
  <c r="AA66" i="9" s="1"/>
  <c r="M66" i="9"/>
  <c r="Z66" i="9" s="1"/>
  <c r="L66" i="9"/>
  <c r="Y66" i="9" s="1"/>
  <c r="K66" i="9"/>
  <c r="J66" i="9"/>
  <c r="I66" i="9"/>
  <c r="G64" i="9"/>
  <c r="F64" i="9"/>
  <c r="E64" i="9"/>
  <c r="D64" i="9"/>
  <c r="G63" i="9"/>
  <c r="F63" i="9"/>
  <c r="E63" i="9"/>
  <c r="D63" i="9"/>
  <c r="G68" i="9"/>
  <c r="F68" i="9"/>
  <c r="E68" i="9"/>
  <c r="D68" i="9"/>
  <c r="G67" i="9"/>
  <c r="F67" i="9"/>
  <c r="E67" i="9"/>
  <c r="D67" i="9"/>
  <c r="G66" i="9"/>
  <c r="F66" i="9"/>
  <c r="E66" i="9"/>
  <c r="D66" i="9"/>
  <c r="C68" i="9"/>
  <c r="C67" i="9"/>
  <c r="C66" i="9"/>
  <c r="C63" i="9"/>
  <c r="E85" i="14"/>
  <c r="D85" i="14"/>
  <c r="C85" i="14"/>
  <c r="C183" i="14" s="1"/>
  <c r="F85" i="14"/>
  <c r="E76" i="14"/>
  <c r="D76" i="14"/>
  <c r="C76" i="14"/>
  <c r="F76" i="14"/>
  <c r="F91" i="14"/>
  <c r="G91" i="14" s="1"/>
  <c r="H91" i="14" s="1"/>
  <c r="I91" i="14" s="1"/>
  <c r="J91" i="14" s="1"/>
  <c r="K91" i="14" s="1"/>
  <c r="E91" i="14"/>
  <c r="D91" i="14"/>
  <c r="C91" i="14"/>
  <c r="F90" i="14"/>
  <c r="F152" i="14" s="1"/>
  <c r="E90" i="14"/>
  <c r="D90" i="14"/>
  <c r="C90" i="14"/>
  <c r="E89" i="14"/>
  <c r="D89" i="14"/>
  <c r="C89" i="14"/>
  <c r="F89" i="14"/>
  <c r="E86" i="14"/>
  <c r="D86" i="14"/>
  <c r="C86" i="14"/>
  <c r="F86" i="14"/>
  <c r="E84" i="14"/>
  <c r="E179" i="14" s="1"/>
  <c r="D84" i="14"/>
  <c r="C84" i="14"/>
  <c r="F84" i="14"/>
  <c r="F179" i="14" s="1"/>
  <c r="E129" i="14"/>
  <c r="D129" i="14"/>
  <c r="D108" i="14" s="1"/>
  <c r="D109" i="14" s="1"/>
  <c r="C129" i="14"/>
  <c r="C133" i="14" s="1"/>
  <c r="F129" i="14"/>
  <c r="F108" i="14" s="1"/>
  <c r="F109" i="14" s="1"/>
  <c r="C81" i="14"/>
  <c r="D81" i="14"/>
  <c r="E81" i="14"/>
  <c r="F81" i="14"/>
  <c r="C82" i="14"/>
  <c r="D82" i="14"/>
  <c r="E82" i="14"/>
  <c r="F82" i="14"/>
  <c r="C83" i="14"/>
  <c r="D83" i="14"/>
  <c r="E83" i="14"/>
  <c r="F83" i="14"/>
  <c r="D47" i="8"/>
  <c r="D48" i="8" s="1"/>
  <c r="D53" i="8" s="1"/>
  <c r="F118" i="8"/>
  <c r="F119" i="8" s="1"/>
  <c r="E60" i="8"/>
  <c r="E65" i="8" s="1"/>
  <c r="AM58" i="8"/>
  <c r="AL58" i="8"/>
  <c r="AK58" i="8"/>
  <c r="AJ58" i="8"/>
  <c r="AI58" i="8"/>
  <c r="C52" i="8"/>
  <c r="C119" i="8"/>
  <c r="C114" i="8"/>
  <c r="C103" i="8"/>
  <c r="C70" i="8"/>
  <c r="C60" i="8"/>
  <c r="C65" i="8" s="1"/>
  <c r="C48" i="8"/>
  <c r="C15" i="8"/>
  <c r="C18" i="8" s="1"/>
  <c r="E119" i="8"/>
  <c r="D119" i="8"/>
  <c r="F114" i="8"/>
  <c r="E114" i="8"/>
  <c r="D114" i="8"/>
  <c r="F103" i="8"/>
  <c r="E103" i="8"/>
  <c r="D103" i="8"/>
  <c r="F70" i="8"/>
  <c r="E70" i="8"/>
  <c r="D70" i="8"/>
  <c r="F60" i="8"/>
  <c r="F65" i="8" s="1"/>
  <c r="D60" i="8"/>
  <c r="D65" i="8" s="1"/>
  <c r="F48" i="8"/>
  <c r="F53" i="8" s="1"/>
  <c r="E48" i="8"/>
  <c r="E53" i="8" s="1"/>
  <c r="F15" i="8"/>
  <c r="F18" i="8" s="1"/>
  <c r="E15" i="8"/>
  <c r="E18" i="8" s="1"/>
  <c r="D15" i="8"/>
  <c r="D18" i="8" s="1"/>
  <c r="F151" i="14"/>
  <c r="D188" i="14"/>
  <c r="E188" i="14" s="1"/>
  <c r="F188" i="14" s="1"/>
  <c r="G188" i="14" s="1"/>
  <c r="H188" i="14" s="1"/>
  <c r="F199" i="14"/>
  <c r="E199" i="14"/>
  <c r="D199" i="14"/>
  <c r="C199" i="14"/>
  <c r="G204" i="14"/>
  <c r="F196" i="14"/>
  <c r="E196" i="14"/>
  <c r="D196" i="14"/>
  <c r="C196" i="14"/>
  <c r="F78" i="14"/>
  <c r="F145" i="14" s="1"/>
  <c r="G142" i="14" s="1"/>
  <c r="E78" i="14"/>
  <c r="E145" i="14" s="1"/>
  <c r="D78" i="14"/>
  <c r="D145" i="14" s="1"/>
  <c r="C78" i="14"/>
  <c r="F77" i="14"/>
  <c r="F131" i="14" s="1"/>
  <c r="G128" i="14" s="1"/>
  <c r="E77" i="14"/>
  <c r="E131" i="14" s="1"/>
  <c r="F128" i="14" s="1"/>
  <c r="D77" i="14"/>
  <c r="D131" i="14" s="1"/>
  <c r="E128" i="14" s="1"/>
  <c r="C77" i="14"/>
  <c r="C131" i="14" s="1"/>
  <c r="D128" i="14" s="1"/>
  <c r="F75" i="14"/>
  <c r="E75" i="14"/>
  <c r="D75" i="14"/>
  <c r="C75" i="14"/>
  <c r="F74" i="14"/>
  <c r="E74" i="14"/>
  <c r="D74" i="14"/>
  <c r="C74" i="14"/>
  <c r="F73" i="14"/>
  <c r="E73" i="14"/>
  <c r="D73" i="14"/>
  <c r="C73" i="14"/>
  <c r="F48" i="14"/>
  <c r="E48" i="14"/>
  <c r="D48" i="14"/>
  <c r="C48" i="14"/>
  <c r="F44" i="14"/>
  <c r="E44" i="14"/>
  <c r="D44" i="14"/>
  <c r="C44" i="14"/>
  <c r="C139" i="14" s="1"/>
  <c r="C137" i="14" s="1"/>
  <c r="F40" i="14"/>
  <c r="E40" i="14"/>
  <c r="D40" i="14"/>
  <c r="C40" i="14"/>
  <c r="F31" i="14"/>
  <c r="E31" i="14"/>
  <c r="D31" i="14"/>
  <c r="C31" i="14"/>
  <c r="F30" i="14"/>
  <c r="E30" i="14"/>
  <c r="D30" i="14"/>
  <c r="C30" i="14"/>
  <c r="F26" i="14"/>
  <c r="F27" i="14" s="1"/>
  <c r="E26" i="14"/>
  <c r="E27" i="14" s="1"/>
  <c r="D26" i="14"/>
  <c r="D27" i="14" s="1"/>
  <c r="C26" i="14"/>
  <c r="C27" i="14" s="1"/>
  <c r="F16" i="14"/>
  <c r="E16" i="14" s="1"/>
  <c r="E193" i="14" s="1"/>
  <c r="C10" i="14"/>
  <c r="K236" i="14"/>
  <c r="J236" i="14"/>
  <c r="I236" i="14"/>
  <c r="H236" i="14"/>
  <c r="G236" i="14"/>
  <c r="K234" i="14"/>
  <c r="K219" i="14" s="1"/>
  <c r="J234" i="14"/>
  <c r="J219" i="14" s="1"/>
  <c r="I234" i="14"/>
  <c r="I219" i="14" s="1"/>
  <c r="H234" i="14"/>
  <c r="H219" i="14" s="1"/>
  <c r="G234" i="14"/>
  <c r="K232" i="14"/>
  <c r="J232" i="14"/>
  <c r="I232" i="14"/>
  <c r="H232" i="14"/>
  <c r="G232" i="14"/>
  <c r="K230" i="14"/>
  <c r="K218" i="14" s="1"/>
  <c r="J230" i="14"/>
  <c r="J218" i="14" s="1"/>
  <c r="I230" i="14"/>
  <c r="H230" i="14"/>
  <c r="H218" i="14" s="1"/>
  <c r="G230" i="14"/>
  <c r="G218" i="14" s="1"/>
  <c r="K228" i="14"/>
  <c r="J228" i="14"/>
  <c r="I228" i="14"/>
  <c r="H228" i="14"/>
  <c r="G228" i="14"/>
  <c r="K226" i="14"/>
  <c r="J226" i="14"/>
  <c r="J217" i="14" s="1"/>
  <c r="I226" i="14"/>
  <c r="I217" i="14" s="1"/>
  <c r="H226" i="14"/>
  <c r="H217" i="14" s="1"/>
  <c r="G226" i="14"/>
  <c r="G217" i="14" s="1"/>
  <c r="H224" i="14"/>
  <c r="G224" i="14"/>
  <c r="I223" i="14"/>
  <c r="I224" i="14" s="1"/>
  <c r="H222" i="14"/>
  <c r="G222" i="14"/>
  <c r="G216" i="14" s="1"/>
  <c r="G219" i="14"/>
  <c r="F219" i="14"/>
  <c r="I218" i="14"/>
  <c r="F218" i="14"/>
  <c r="K217" i="14"/>
  <c r="F217" i="14"/>
  <c r="H216" i="14"/>
  <c r="F216" i="14"/>
  <c r="C214" i="14"/>
  <c r="G207" i="14"/>
  <c r="F189" i="14"/>
  <c r="E189" i="14"/>
  <c r="D189" i="14"/>
  <c r="C189" i="14"/>
  <c r="G178" i="14"/>
  <c r="H178" i="14" s="1"/>
  <c r="I178" i="14" s="1"/>
  <c r="J178" i="14" s="1"/>
  <c r="K178" i="14" s="1"/>
  <c r="F175" i="14"/>
  <c r="E175" i="14"/>
  <c r="D175" i="14"/>
  <c r="C175" i="14"/>
  <c r="B173" i="14"/>
  <c r="B172" i="14"/>
  <c r="B156" i="14"/>
  <c r="B155" i="14"/>
  <c r="B126" i="14"/>
  <c r="B125" i="14"/>
  <c r="B97" i="14"/>
  <c r="B96" i="14"/>
  <c r="B71" i="14"/>
  <c r="B70" i="14"/>
  <c r="C64" i="9"/>
  <c r="AJ63" i="9"/>
  <c r="W58" i="9"/>
  <c r="AJ58" i="9" s="1"/>
  <c r="V58" i="9"/>
  <c r="U58" i="9"/>
  <c r="S58" i="9"/>
  <c r="R58" i="9"/>
  <c r="Q58" i="9"/>
  <c r="O58" i="9"/>
  <c r="N58" i="9"/>
  <c r="M58" i="9"/>
  <c r="K58" i="9"/>
  <c r="J58" i="9"/>
  <c r="I58" i="9"/>
  <c r="G58" i="9"/>
  <c r="F58" i="9"/>
  <c r="E58" i="9"/>
  <c r="D58" i="9"/>
  <c r="C58" i="9"/>
  <c r="W57" i="9"/>
  <c r="AJ57" i="9" s="1"/>
  <c r="V57" i="9"/>
  <c r="U57" i="9"/>
  <c r="S57" i="9"/>
  <c r="R57" i="9"/>
  <c r="Q57" i="9"/>
  <c r="O57" i="9"/>
  <c r="N57" i="9"/>
  <c r="M57" i="9"/>
  <c r="K57" i="9"/>
  <c r="J57" i="9"/>
  <c r="I57" i="9"/>
  <c r="G57" i="9"/>
  <c r="F57" i="9"/>
  <c r="E57" i="9"/>
  <c r="D57" i="9"/>
  <c r="C57" i="9"/>
  <c r="W56" i="9"/>
  <c r="AJ56" i="9" s="1"/>
  <c r="V56" i="9"/>
  <c r="U56" i="9"/>
  <c r="S56" i="9"/>
  <c r="R56" i="9"/>
  <c r="Q56" i="9"/>
  <c r="O56" i="9"/>
  <c r="N56" i="9"/>
  <c r="M56" i="9"/>
  <c r="K56" i="9"/>
  <c r="J56" i="9"/>
  <c r="I56" i="9"/>
  <c r="G56" i="9"/>
  <c r="F56" i="9"/>
  <c r="E56" i="9"/>
  <c r="D56" i="9"/>
  <c r="C56" i="9"/>
  <c r="W55" i="9"/>
  <c r="AJ55" i="9" s="1"/>
  <c r="V55" i="9"/>
  <c r="U55" i="9"/>
  <c r="S55" i="9"/>
  <c r="R55" i="9"/>
  <c r="Q55" i="9"/>
  <c r="O55" i="9"/>
  <c r="N55" i="9"/>
  <c r="M55" i="9"/>
  <c r="K55" i="9"/>
  <c r="J55" i="9"/>
  <c r="I55" i="9"/>
  <c r="G55" i="9"/>
  <c r="F55" i="9"/>
  <c r="E55" i="9"/>
  <c r="D55" i="9"/>
  <c r="C55" i="9"/>
  <c r="W50" i="9"/>
  <c r="AJ50" i="9" s="1"/>
  <c r="V50" i="9"/>
  <c r="U50" i="9"/>
  <c r="S50" i="9"/>
  <c r="R50" i="9"/>
  <c r="Q50" i="9"/>
  <c r="O50" i="9"/>
  <c r="N50" i="9"/>
  <c r="M50" i="9"/>
  <c r="K50" i="9"/>
  <c r="J50" i="9"/>
  <c r="I50" i="9"/>
  <c r="W49" i="9"/>
  <c r="V49" i="9"/>
  <c r="U49" i="9"/>
  <c r="U52" i="9" s="1"/>
  <c r="S49" i="9"/>
  <c r="R49" i="9"/>
  <c r="Q49" i="9"/>
  <c r="O49" i="9"/>
  <c r="N49" i="9"/>
  <c r="M49" i="9"/>
  <c r="K49" i="9"/>
  <c r="J49" i="9"/>
  <c r="J52" i="9" s="1"/>
  <c r="I49" i="9"/>
  <c r="G49" i="9"/>
  <c r="G52" i="9" s="1"/>
  <c r="F49" i="9"/>
  <c r="F52" i="9" s="1"/>
  <c r="E49" i="9"/>
  <c r="E52" i="9" s="1"/>
  <c r="D49" i="9"/>
  <c r="D52" i="9" s="1"/>
  <c r="C50" i="9"/>
  <c r="C49" i="9"/>
  <c r="U43" i="9"/>
  <c r="Q43" i="9"/>
  <c r="O43" i="9"/>
  <c r="M43" i="9"/>
  <c r="I43" i="9"/>
  <c r="G43" i="9"/>
  <c r="F150" i="14" s="1"/>
  <c r="F114" i="14" s="1"/>
  <c r="F43" i="9"/>
  <c r="E43" i="9"/>
  <c r="D43" i="9"/>
  <c r="C43" i="9"/>
  <c r="U42" i="9"/>
  <c r="Q42" i="9"/>
  <c r="O42" i="9"/>
  <c r="M42" i="9"/>
  <c r="I42" i="9"/>
  <c r="G42" i="9"/>
  <c r="F42" i="9"/>
  <c r="E42" i="9"/>
  <c r="D42" i="9"/>
  <c r="C42" i="9"/>
  <c r="U41" i="9"/>
  <c r="Q41" i="9"/>
  <c r="O41" i="9"/>
  <c r="M41" i="9"/>
  <c r="I41" i="9"/>
  <c r="G41" i="9"/>
  <c r="F41" i="9"/>
  <c r="E41" i="9"/>
  <c r="D41" i="9"/>
  <c r="C41" i="9"/>
  <c r="U40" i="9"/>
  <c r="S40" i="9"/>
  <c r="R40" i="9"/>
  <c r="Q40" i="9"/>
  <c r="O40" i="9"/>
  <c r="N40" i="9"/>
  <c r="M40" i="9"/>
  <c r="K40" i="9"/>
  <c r="J40" i="9"/>
  <c r="I40" i="9"/>
  <c r="G40" i="9"/>
  <c r="F40" i="9"/>
  <c r="E40" i="9"/>
  <c r="D40" i="9"/>
  <c r="C40" i="9"/>
  <c r="U39" i="9"/>
  <c r="Q39" i="9"/>
  <c r="O39" i="9"/>
  <c r="M39" i="9"/>
  <c r="I39" i="9"/>
  <c r="G39" i="9"/>
  <c r="F39" i="9"/>
  <c r="E39" i="9"/>
  <c r="D39" i="9"/>
  <c r="C39" i="9"/>
  <c r="U38" i="9"/>
  <c r="O38" i="9"/>
  <c r="G38" i="9"/>
  <c r="F38" i="9"/>
  <c r="E38" i="9"/>
  <c r="D38" i="9"/>
  <c r="C38" i="9"/>
  <c r="U35" i="9"/>
  <c r="O35" i="9"/>
  <c r="G35" i="9"/>
  <c r="F35" i="9"/>
  <c r="E35" i="9"/>
  <c r="D35" i="9"/>
  <c r="C35" i="9"/>
  <c r="W34" i="9"/>
  <c r="V34" i="9"/>
  <c r="U34" i="9"/>
  <c r="S34" i="9"/>
  <c r="R34" i="9"/>
  <c r="Q34" i="9"/>
  <c r="M34" i="9"/>
  <c r="U33" i="9"/>
  <c r="Q33" i="9"/>
  <c r="M33" i="9"/>
  <c r="I34" i="9"/>
  <c r="I33" i="9"/>
  <c r="G34" i="9"/>
  <c r="F34" i="9"/>
  <c r="E34" i="9"/>
  <c r="D34" i="9"/>
  <c r="G33" i="9"/>
  <c r="F33" i="9"/>
  <c r="E33" i="9"/>
  <c r="D33" i="9"/>
  <c r="C34" i="9"/>
  <c r="C33" i="9"/>
  <c r="U32" i="9"/>
  <c r="Q32" i="9"/>
  <c r="O32" i="9"/>
  <c r="M32" i="9"/>
  <c r="I32" i="9"/>
  <c r="G32" i="9"/>
  <c r="F32" i="9"/>
  <c r="E32" i="9"/>
  <c r="D32" i="9"/>
  <c r="C32" i="9"/>
  <c r="U28" i="9"/>
  <c r="Q28" i="9"/>
  <c r="O28" i="9"/>
  <c r="M28" i="9"/>
  <c r="I28" i="9"/>
  <c r="G28" i="9"/>
  <c r="F28" i="9"/>
  <c r="E28" i="9"/>
  <c r="D28" i="9"/>
  <c r="C28" i="9"/>
  <c r="U24" i="9"/>
  <c r="Q24" i="9"/>
  <c r="O24" i="9"/>
  <c r="M24" i="9"/>
  <c r="I24" i="9"/>
  <c r="G24" i="9"/>
  <c r="F24" i="9"/>
  <c r="E24" i="9"/>
  <c r="D24" i="9"/>
  <c r="C24" i="9"/>
  <c r="W20" i="9"/>
  <c r="V20" i="9"/>
  <c r="U20" i="9"/>
  <c r="S20" i="9"/>
  <c r="R20" i="9"/>
  <c r="Q20" i="9"/>
  <c r="O20" i="9"/>
  <c r="N20" i="9"/>
  <c r="M20" i="9"/>
  <c r="K20" i="9"/>
  <c r="J20" i="9"/>
  <c r="I20" i="9"/>
  <c r="G20" i="9"/>
  <c r="F20" i="9"/>
  <c r="E20" i="9"/>
  <c r="D20" i="9"/>
  <c r="W19" i="9"/>
  <c r="V19" i="9"/>
  <c r="U19" i="9"/>
  <c r="S19" i="9"/>
  <c r="R19" i="9"/>
  <c r="Q19" i="9"/>
  <c r="O19" i="9"/>
  <c r="N19" i="9"/>
  <c r="M19" i="9"/>
  <c r="K19" i="9"/>
  <c r="J19" i="9"/>
  <c r="I19" i="9"/>
  <c r="G19" i="9"/>
  <c r="F19" i="9"/>
  <c r="E19" i="9"/>
  <c r="D19" i="9"/>
  <c r="C20" i="9"/>
  <c r="C19" i="9"/>
  <c r="W15" i="9"/>
  <c r="V15" i="9"/>
  <c r="U15" i="9"/>
  <c r="S15" i="9"/>
  <c r="R15" i="9"/>
  <c r="Q15" i="9"/>
  <c r="O15" i="9"/>
  <c r="N15" i="9"/>
  <c r="M15" i="9"/>
  <c r="K15" i="9"/>
  <c r="J15" i="9"/>
  <c r="I15" i="9"/>
  <c r="G15" i="9"/>
  <c r="F15" i="9"/>
  <c r="E15" i="9"/>
  <c r="D15" i="9"/>
  <c r="C15" i="9"/>
  <c r="W10" i="9"/>
  <c r="V10" i="9"/>
  <c r="U10" i="9"/>
  <c r="T10" i="9"/>
  <c r="S10" i="9"/>
  <c r="R10" i="9"/>
  <c r="Q10" i="9"/>
  <c r="P10" i="9"/>
  <c r="O10" i="9"/>
  <c r="N10" i="9"/>
  <c r="M10" i="9"/>
  <c r="L10" i="9"/>
  <c r="K10" i="9"/>
  <c r="J10" i="9"/>
  <c r="W9" i="9"/>
  <c r="V9" i="9"/>
  <c r="U9" i="9"/>
  <c r="T9" i="9"/>
  <c r="S9" i="9"/>
  <c r="R9" i="9"/>
  <c r="Q9" i="9"/>
  <c r="P9" i="9"/>
  <c r="O9" i="9"/>
  <c r="N9" i="9"/>
  <c r="M9" i="9"/>
  <c r="L9" i="9"/>
  <c r="K9" i="9"/>
  <c r="J9" i="9"/>
  <c r="W8" i="9"/>
  <c r="V8" i="9"/>
  <c r="U8" i="9"/>
  <c r="T8" i="9"/>
  <c r="S8" i="9"/>
  <c r="R8" i="9"/>
  <c r="Q8" i="9"/>
  <c r="P8" i="9"/>
  <c r="AF8" i="9" s="1"/>
  <c r="O8" i="9"/>
  <c r="N8" i="9"/>
  <c r="M8" i="9"/>
  <c r="L8" i="9"/>
  <c r="K8" i="9"/>
  <c r="J8" i="9"/>
  <c r="W7" i="9"/>
  <c r="V7" i="9"/>
  <c r="U7" i="9"/>
  <c r="T7" i="9"/>
  <c r="S7" i="9"/>
  <c r="R7" i="9"/>
  <c r="Q7" i="9"/>
  <c r="P7" i="9"/>
  <c r="O7" i="9"/>
  <c r="N7" i="9"/>
  <c r="M7" i="9"/>
  <c r="L7" i="9"/>
  <c r="K7" i="9"/>
  <c r="J7" i="9"/>
  <c r="W6" i="9"/>
  <c r="V6" i="9"/>
  <c r="U6" i="9"/>
  <c r="T6" i="9"/>
  <c r="S6" i="9"/>
  <c r="R6" i="9"/>
  <c r="Q6" i="9"/>
  <c r="P6" i="9"/>
  <c r="O6" i="9"/>
  <c r="N6" i="9"/>
  <c r="M6" i="9"/>
  <c r="L6" i="9"/>
  <c r="K6" i="9"/>
  <c r="J6" i="9"/>
  <c r="I10" i="9"/>
  <c r="I9" i="9"/>
  <c r="I8" i="9"/>
  <c r="I7" i="9"/>
  <c r="I6" i="9"/>
  <c r="G10" i="9"/>
  <c r="F10" i="9"/>
  <c r="E10" i="9"/>
  <c r="D10" i="9"/>
  <c r="C10" i="9"/>
  <c r="G9" i="9"/>
  <c r="F9" i="9"/>
  <c r="E9" i="9"/>
  <c r="D9" i="9"/>
  <c r="C9" i="9"/>
  <c r="G8" i="9"/>
  <c r="F8" i="9"/>
  <c r="E8" i="9"/>
  <c r="D8" i="9"/>
  <c r="C8" i="9"/>
  <c r="G7" i="9"/>
  <c r="F7" i="9"/>
  <c r="E7" i="9"/>
  <c r="D7" i="9"/>
  <c r="C7" i="9"/>
  <c r="G6" i="9"/>
  <c r="F6" i="9"/>
  <c r="E6" i="9"/>
  <c r="D6" i="9"/>
  <c r="C6" i="9"/>
  <c r="B10" i="9"/>
  <c r="B9" i="9"/>
  <c r="B8" i="9"/>
  <c r="B7" i="9"/>
  <c r="B6" i="9"/>
  <c r="AM11" i="10"/>
  <c r="AL11" i="10"/>
  <c r="AK11" i="10"/>
  <c r="AJ11" i="10"/>
  <c r="AI11" i="10"/>
  <c r="AM10" i="10"/>
  <c r="AL10" i="10"/>
  <c r="AK10" i="10"/>
  <c r="AJ10" i="10"/>
  <c r="AI10" i="10"/>
  <c r="AM9" i="10"/>
  <c r="AL9" i="10"/>
  <c r="AK9" i="10"/>
  <c r="AJ9" i="10"/>
  <c r="AI9" i="10"/>
  <c r="J12" i="10"/>
  <c r="I12" i="10"/>
  <c r="H12" i="10"/>
  <c r="G12" i="10"/>
  <c r="AA12" i="10"/>
  <c r="Z12" i="10"/>
  <c r="Y12" i="10"/>
  <c r="X12" i="10"/>
  <c r="W12" i="10"/>
  <c r="V12" i="10"/>
  <c r="U12" i="10"/>
  <c r="T12" i="10"/>
  <c r="S12" i="10"/>
  <c r="R12" i="10"/>
  <c r="Q12" i="10"/>
  <c r="P12" i="10"/>
  <c r="O12" i="10"/>
  <c r="N12" i="10"/>
  <c r="M12" i="10"/>
  <c r="K12" i="10"/>
  <c r="AL118" i="8"/>
  <c r="AK118" i="8"/>
  <c r="AJ118" i="8"/>
  <c r="AI118" i="8"/>
  <c r="AH118" i="8"/>
  <c r="AG118" i="8"/>
  <c r="AF118" i="8"/>
  <c r="AE118" i="8"/>
  <c r="AD118" i="8"/>
  <c r="AC118" i="8"/>
  <c r="AM118" i="8"/>
  <c r="AL121" i="8"/>
  <c r="AK121" i="8"/>
  <c r="AJ121" i="8"/>
  <c r="AI121" i="8"/>
  <c r="AH121" i="8"/>
  <c r="AG121" i="8"/>
  <c r="AF121" i="8"/>
  <c r="AE121" i="8"/>
  <c r="AD121" i="8"/>
  <c r="AC121" i="8"/>
  <c r="AM121" i="8"/>
  <c r="Z128" i="8"/>
  <c r="V33" i="9" s="1"/>
  <c r="V128" i="8"/>
  <c r="R33" i="9" s="1"/>
  <c r="R129" i="8"/>
  <c r="N34" i="9" s="1"/>
  <c r="R128" i="8"/>
  <c r="N33" i="9" s="1"/>
  <c r="N129" i="8"/>
  <c r="J34" i="9" s="1"/>
  <c r="N128" i="8"/>
  <c r="O128" i="8" s="1"/>
  <c r="K33" i="9" s="1"/>
  <c r="X129" i="8"/>
  <c r="T34" i="9" s="1"/>
  <c r="Z86" i="8"/>
  <c r="AA86" i="8" s="1"/>
  <c r="V86" i="8"/>
  <c r="W86" i="8" s="1"/>
  <c r="R86" i="8"/>
  <c r="T86" i="8" s="1"/>
  <c r="N86" i="8"/>
  <c r="O86" i="8" s="1"/>
  <c r="R85" i="8"/>
  <c r="T85" i="8" s="1"/>
  <c r="U85" i="8" s="1"/>
  <c r="X85" i="8" s="1"/>
  <c r="Y85" i="8" s="1"/>
  <c r="Z85" i="8" s="1"/>
  <c r="N85" i="8"/>
  <c r="O85" i="8" s="1"/>
  <c r="P85" i="8" s="1"/>
  <c r="Z84" i="8"/>
  <c r="V28" i="9" s="1"/>
  <c r="V84" i="8"/>
  <c r="R28" i="9" s="1"/>
  <c r="R84" i="8"/>
  <c r="N28" i="9" s="1"/>
  <c r="N84" i="8"/>
  <c r="O84" i="8" s="1"/>
  <c r="K28" i="9" s="1"/>
  <c r="Z83" i="8"/>
  <c r="AA83" i="8" s="1"/>
  <c r="W24" i="9" s="1"/>
  <c r="V83" i="8"/>
  <c r="W83" i="8" s="1"/>
  <c r="S24" i="9" s="1"/>
  <c r="R83" i="8"/>
  <c r="T83" i="8" s="1"/>
  <c r="P24" i="9" s="1"/>
  <c r="N83" i="8"/>
  <c r="O83" i="8" s="1"/>
  <c r="K24" i="9" s="1"/>
  <c r="M118" i="8"/>
  <c r="G121" i="8"/>
  <c r="AA118" i="8"/>
  <c r="Z118" i="8"/>
  <c r="Y118" i="8"/>
  <c r="X118" i="8"/>
  <c r="W118" i="8"/>
  <c r="V118" i="8"/>
  <c r="U118" i="8"/>
  <c r="T118" i="8"/>
  <c r="S118" i="8"/>
  <c r="R118" i="8"/>
  <c r="Q118" i="8"/>
  <c r="P118" i="8"/>
  <c r="O118" i="8"/>
  <c r="N118" i="8"/>
  <c r="K118" i="8"/>
  <c r="J118" i="8"/>
  <c r="I118" i="8"/>
  <c r="G118" i="8"/>
  <c r="G119" i="8" s="1"/>
  <c r="AM33" i="8"/>
  <c r="AL33" i="8"/>
  <c r="AK33" i="8"/>
  <c r="AJ33" i="8"/>
  <c r="AI33" i="8"/>
  <c r="AH33" i="8"/>
  <c r="AG33" i="8"/>
  <c r="AF33" i="8"/>
  <c r="AE33" i="8"/>
  <c r="AD33" i="8"/>
  <c r="AC33" i="8"/>
  <c r="P22" i="8"/>
  <c r="L20" i="9" s="1"/>
  <c r="P21" i="8"/>
  <c r="L19" i="9" s="1"/>
  <c r="X111" i="8"/>
  <c r="X108" i="8"/>
  <c r="X107" i="8"/>
  <c r="X106" i="8"/>
  <c r="T111" i="8"/>
  <c r="T108" i="8"/>
  <c r="T107" i="8"/>
  <c r="T106" i="8"/>
  <c r="P111" i="8"/>
  <c r="P108" i="8"/>
  <c r="P107" i="8"/>
  <c r="P106" i="8"/>
  <c r="Z113" i="8"/>
  <c r="AA113" i="8" s="1"/>
  <c r="W43" i="9" s="1"/>
  <c r="V113" i="8"/>
  <c r="W113" i="8" s="1"/>
  <c r="S43" i="9" s="1"/>
  <c r="R113" i="8"/>
  <c r="T113" i="8" s="1"/>
  <c r="P43" i="9" s="1"/>
  <c r="N113" i="8"/>
  <c r="O113" i="8" s="1"/>
  <c r="K43" i="9" s="1"/>
  <c r="Y112" i="8"/>
  <c r="Z112" i="8" s="1"/>
  <c r="AA112" i="8" s="1"/>
  <c r="U112" i="8"/>
  <c r="V112" i="8" s="1"/>
  <c r="W112" i="8" s="1"/>
  <c r="Q112" i="8"/>
  <c r="R112" i="8" s="1"/>
  <c r="M112" i="8"/>
  <c r="N112" i="8" s="1"/>
  <c r="O112" i="8" s="1"/>
  <c r="Z110" i="8"/>
  <c r="AA110" i="8" s="1"/>
  <c r="W42" i="9" s="1"/>
  <c r="V110" i="8"/>
  <c r="W110" i="8" s="1"/>
  <c r="S42" i="9" s="1"/>
  <c r="R110" i="8"/>
  <c r="T110" i="8" s="1"/>
  <c r="P42" i="9" s="1"/>
  <c r="N110" i="8"/>
  <c r="O110" i="8" s="1"/>
  <c r="K42" i="9" s="1"/>
  <c r="Z109" i="8"/>
  <c r="AA109" i="8" s="1"/>
  <c r="W41" i="9" s="1"/>
  <c r="V109" i="8"/>
  <c r="W109" i="8" s="1"/>
  <c r="S41" i="9" s="1"/>
  <c r="R109" i="8"/>
  <c r="T109" i="8" s="1"/>
  <c r="N109" i="8"/>
  <c r="O109" i="8" s="1"/>
  <c r="P109" i="8" s="1"/>
  <c r="Z107" i="8"/>
  <c r="AA107" i="8" s="1"/>
  <c r="AA106" i="8"/>
  <c r="X101" i="8"/>
  <c r="T101" i="8"/>
  <c r="Z102" i="8"/>
  <c r="AA102" i="8" s="1"/>
  <c r="W39" i="9" s="1"/>
  <c r="V102" i="8"/>
  <c r="W102" i="8" s="1"/>
  <c r="S39" i="9" s="1"/>
  <c r="R102" i="8"/>
  <c r="T102" i="8" s="1"/>
  <c r="P39" i="9" s="1"/>
  <c r="N102" i="8"/>
  <c r="O102" i="8" s="1"/>
  <c r="P102" i="8" s="1"/>
  <c r="L39" i="9" s="1"/>
  <c r="O101" i="8"/>
  <c r="P101" i="8" s="1"/>
  <c r="Z100" i="8"/>
  <c r="AA100" i="8" s="1"/>
  <c r="V100" i="8"/>
  <c r="R100" i="8"/>
  <c r="T100" i="8" s="1"/>
  <c r="N100" i="8"/>
  <c r="O100" i="8" s="1"/>
  <c r="Z99" i="8"/>
  <c r="AA99" i="8" s="1"/>
  <c r="U99" i="8"/>
  <c r="V99" i="8" s="1"/>
  <c r="W99" i="8" s="1"/>
  <c r="Q99" i="8"/>
  <c r="M38" i="9" s="1"/>
  <c r="M99" i="8"/>
  <c r="I38" i="9" s="1"/>
  <c r="Z98" i="8"/>
  <c r="AA98" i="8" s="1"/>
  <c r="W32" i="9" s="1"/>
  <c r="V98" i="8"/>
  <c r="W98" i="8" s="1"/>
  <c r="S32" i="9" s="1"/>
  <c r="R98" i="8"/>
  <c r="T98" i="8" s="1"/>
  <c r="P32" i="9" s="1"/>
  <c r="N98" i="8"/>
  <c r="O98" i="8" s="1"/>
  <c r="P98" i="8" s="1"/>
  <c r="L32" i="9" s="1"/>
  <c r="X93" i="8"/>
  <c r="Z94" i="8"/>
  <c r="AA94" i="8" s="1"/>
  <c r="V94" i="8"/>
  <c r="W94" i="8" s="1"/>
  <c r="R94" i="8"/>
  <c r="T94" i="8" s="1"/>
  <c r="N94" i="8"/>
  <c r="O94" i="8" s="1"/>
  <c r="P94" i="8" s="1"/>
  <c r="R93" i="8"/>
  <c r="T93" i="8" s="1"/>
  <c r="N93" i="8"/>
  <c r="O93" i="8" s="1"/>
  <c r="Z92" i="8"/>
  <c r="AA92" i="8" s="1"/>
  <c r="V92" i="8"/>
  <c r="W92" i="8" s="1"/>
  <c r="R92" i="8"/>
  <c r="T92" i="8" s="1"/>
  <c r="N92" i="8"/>
  <c r="O92" i="8" s="1"/>
  <c r="Z91" i="8"/>
  <c r="AA91" i="8" s="1"/>
  <c r="U91" i="8"/>
  <c r="V91" i="8" s="1"/>
  <c r="Q91" i="8"/>
  <c r="M35" i="9" s="1"/>
  <c r="M91" i="8"/>
  <c r="N91" i="8" s="1"/>
  <c r="O91" i="8" s="1"/>
  <c r="Z90" i="8"/>
  <c r="AA90" i="8" s="1"/>
  <c r="V90" i="8"/>
  <c r="W90" i="8" s="1"/>
  <c r="R90" i="8"/>
  <c r="T90" i="8" s="1"/>
  <c r="N90" i="8"/>
  <c r="Z89" i="8"/>
  <c r="AA89" i="8" s="1"/>
  <c r="V89" i="8"/>
  <c r="W89" i="8" s="1"/>
  <c r="R89" i="8"/>
  <c r="T89" i="8" s="1"/>
  <c r="N89" i="8"/>
  <c r="O89" i="8" s="1"/>
  <c r="X69" i="8"/>
  <c r="X68" i="8"/>
  <c r="X67" i="8"/>
  <c r="X64" i="8"/>
  <c r="X63" i="8"/>
  <c r="AJ63" i="8" s="1"/>
  <c r="X62" i="8"/>
  <c r="T68" i="9" s="1"/>
  <c r="X57" i="8"/>
  <c r="X56" i="8"/>
  <c r="X55" i="8"/>
  <c r="T56" i="9" s="1"/>
  <c r="T69" i="8"/>
  <c r="T68" i="8"/>
  <c r="T67" i="8"/>
  <c r="T64" i="8"/>
  <c r="T63" i="8"/>
  <c r="AF63" i="8" s="1"/>
  <c r="T62" i="8"/>
  <c r="P64" i="9" s="1"/>
  <c r="T57" i="8"/>
  <c r="T56" i="8"/>
  <c r="T55" i="8"/>
  <c r="P56" i="9" s="1"/>
  <c r="P69" i="8"/>
  <c r="P68" i="8"/>
  <c r="P67" i="8"/>
  <c r="P64" i="8"/>
  <c r="P63" i="8"/>
  <c r="P62" i="8"/>
  <c r="L68" i="9" s="1"/>
  <c r="P57" i="8"/>
  <c r="P56" i="8"/>
  <c r="P55" i="8"/>
  <c r="L56" i="9" s="1"/>
  <c r="M70" i="8"/>
  <c r="I71" i="9" s="1"/>
  <c r="N70" i="8"/>
  <c r="J71" i="9" s="1"/>
  <c r="O70" i="8"/>
  <c r="K71" i="9" s="1"/>
  <c r="Q70" i="8"/>
  <c r="M71" i="9" s="1"/>
  <c r="R70" i="8"/>
  <c r="N71" i="9" s="1"/>
  <c r="S70" i="8"/>
  <c r="O71" i="9" s="1"/>
  <c r="U70" i="8"/>
  <c r="Q71" i="9" s="1"/>
  <c r="V70" i="8"/>
  <c r="R71" i="9" s="1"/>
  <c r="W70" i="8"/>
  <c r="S71" i="9" s="1"/>
  <c r="Y70" i="8"/>
  <c r="U71" i="9" s="1"/>
  <c r="Z70" i="8"/>
  <c r="V71" i="9" s="1"/>
  <c r="AA70" i="8"/>
  <c r="W71" i="9" s="1"/>
  <c r="AJ71" i="9" s="1"/>
  <c r="AM63" i="8"/>
  <c r="AL63" i="8"/>
  <c r="AK63" i="8"/>
  <c r="AI63" i="8"/>
  <c r="AH63" i="8"/>
  <c r="AG63" i="8"/>
  <c r="AE63" i="8"/>
  <c r="AD63" i="8"/>
  <c r="AC63" i="8"/>
  <c r="X47" i="8"/>
  <c r="X46" i="8"/>
  <c r="T57" i="9" s="1"/>
  <c r="X45" i="8"/>
  <c r="T55" i="9" s="1"/>
  <c r="X44" i="8"/>
  <c r="T50" i="9" s="1"/>
  <c r="X43" i="8"/>
  <c r="T49" i="9" s="1"/>
  <c r="X52" i="8"/>
  <c r="X51" i="8"/>
  <c r="T51" i="9" s="1"/>
  <c r="AG51" i="9" s="1"/>
  <c r="X50" i="8"/>
  <c r="T58" i="9" s="1"/>
  <c r="T47" i="8"/>
  <c r="T46" i="8"/>
  <c r="P57" i="9" s="1"/>
  <c r="T45" i="8"/>
  <c r="P55" i="9" s="1"/>
  <c r="T44" i="8"/>
  <c r="P50" i="9" s="1"/>
  <c r="T43" i="8"/>
  <c r="P49" i="9" s="1"/>
  <c r="T52" i="8"/>
  <c r="T51" i="8"/>
  <c r="P51" i="9" s="1"/>
  <c r="T50" i="8"/>
  <c r="P58" i="9" s="1"/>
  <c r="P47" i="8"/>
  <c r="P46" i="8"/>
  <c r="L57" i="9" s="1"/>
  <c r="P45" i="8"/>
  <c r="L55" i="9" s="1"/>
  <c r="P44" i="8"/>
  <c r="L50" i="9" s="1"/>
  <c r="P43" i="8"/>
  <c r="L49" i="9" s="1"/>
  <c r="P52" i="8"/>
  <c r="P51" i="8"/>
  <c r="L51" i="9" s="1"/>
  <c r="Y51" i="9" s="1"/>
  <c r="P50" i="8"/>
  <c r="L58" i="9" s="1"/>
  <c r="Y15" i="8"/>
  <c r="Y18" i="8" s="1"/>
  <c r="Y48" i="8"/>
  <c r="Y53" i="8" s="1"/>
  <c r="Y60" i="8"/>
  <c r="Y65" i="8" s="1"/>
  <c r="U60" i="9" s="1"/>
  <c r="Y103" i="8"/>
  <c r="F66" i="14" l="1"/>
  <c r="E61" i="14"/>
  <c r="E28" i="14"/>
  <c r="F61" i="14"/>
  <c r="F28" i="14"/>
  <c r="C61" i="14"/>
  <c r="C28" i="14"/>
  <c r="D61" i="14"/>
  <c r="D28" i="14"/>
  <c r="E100" i="14"/>
  <c r="E66" i="14"/>
  <c r="D101" i="14"/>
  <c r="D67" i="14"/>
  <c r="E101" i="14"/>
  <c r="E67" i="14"/>
  <c r="F101" i="14"/>
  <c r="F67" i="14"/>
  <c r="G48" i="14"/>
  <c r="H48" i="14" s="1"/>
  <c r="I48" i="14" s="1"/>
  <c r="J48" i="14" s="1"/>
  <c r="K48" i="14" s="1"/>
  <c r="D100" i="14"/>
  <c r="D66" i="14"/>
  <c r="G89" i="14"/>
  <c r="D23" i="12"/>
  <c r="AJ7" i="9"/>
  <c r="F133" i="14"/>
  <c r="I52" i="9"/>
  <c r="F168" i="14"/>
  <c r="G165" i="14" s="1"/>
  <c r="S52" i="9"/>
  <c r="Q52" i="9"/>
  <c r="R52" i="9"/>
  <c r="E168" i="14"/>
  <c r="F112" i="14"/>
  <c r="F111" i="14"/>
  <c r="F105" i="14"/>
  <c r="J223" i="14"/>
  <c r="K223" i="14" s="1"/>
  <c r="M52" i="9"/>
  <c r="D112" i="14"/>
  <c r="D111" i="14"/>
  <c r="C52" i="9"/>
  <c r="D102" i="14"/>
  <c r="D139" i="14"/>
  <c r="D137" i="14" s="1"/>
  <c r="D138" i="14" s="1"/>
  <c r="O52" i="9"/>
  <c r="F102" i="14"/>
  <c r="E105" i="14"/>
  <c r="E102" i="14"/>
  <c r="E112" i="14"/>
  <c r="E111" i="14"/>
  <c r="D179" i="14"/>
  <c r="D180" i="14" s="1"/>
  <c r="D185" i="14" s="1"/>
  <c r="K52" i="9"/>
  <c r="V52" i="9"/>
  <c r="F103" i="14"/>
  <c r="D34" i="12" s="1"/>
  <c r="D105" i="14"/>
  <c r="P52" i="9"/>
  <c r="AC51" i="9"/>
  <c r="AJ49" i="9"/>
  <c r="AJ52" i="9" s="1"/>
  <c r="C66" i="12" s="1"/>
  <c r="W52" i="9"/>
  <c r="E103" i="14"/>
  <c r="N52" i="9"/>
  <c r="D103" i="14"/>
  <c r="P68" i="9"/>
  <c r="AC68" i="9" s="1"/>
  <c r="L52" i="9"/>
  <c r="T52" i="9"/>
  <c r="G151" i="14"/>
  <c r="H151" i="14" s="1"/>
  <c r="H115" i="14" s="1"/>
  <c r="F113" i="14"/>
  <c r="F115" i="14"/>
  <c r="E133" i="14"/>
  <c r="E108" i="14"/>
  <c r="E109" i="14" s="1"/>
  <c r="G108" i="14"/>
  <c r="F100" i="14"/>
  <c r="D27" i="12"/>
  <c r="AB7" i="9"/>
  <c r="AD8" i="9"/>
  <c r="AF9" i="9"/>
  <c r="Z10" i="9"/>
  <c r="AH10" i="9"/>
  <c r="F11" i="9"/>
  <c r="Y10" i="9"/>
  <c r="Q11" i="9"/>
  <c r="AA7" i="9"/>
  <c r="AI7" i="9"/>
  <c r="AC8" i="9"/>
  <c r="O11" i="9"/>
  <c r="W11" i="9"/>
  <c r="AG10" i="9"/>
  <c r="L64" i="9"/>
  <c r="T64" i="9"/>
  <c r="J11" i="9"/>
  <c r="R11" i="9"/>
  <c r="K11" i="9"/>
  <c r="S11" i="9"/>
  <c r="AC7" i="9"/>
  <c r="AG9" i="9"/>
  <c r="AA10" i="9"/>
  <c r="AI10" i="9"/>
  <c r="C11" i="9"/>
  <c r="L11" i="9"/>
  <c r="AJ6" i="9"/>
  <c r="AD7" i="9"/>
  <c r="Z9" i="9"/>
  <c r="AH9" i="9"/>
  <c r="AB10" i="9"/>
  <c r="AJ10" i="9"/>
  <c r="D11" i="9"/>
  <c r="I11" i="9"/>
  <c r="M11" i="9"/>
  <c r="U11" i="9"/>
  <c r="AE7" i="9"/>
  <c r="AG8" i="9"/>
  <c r="AC10" i="9"/>
  <c r="Y7" i="9"/>
  <c r="AF7" i="9"/>
  <c r="AL7" i="9" s="1"/>
  <c r="Z8" i="9"/>
  <c r="AH8" i="9"/>
  <c r="AD10" i="9"/>
  <c r="Y8" i="9"/>
  <c r="AG7" i="9"/>
  <c r="AA8" i="9"/>
  <c r="AI8" i="9"/>
  <c r="AC9" i="9"/>
  <c r="AE8" i="9"/>
  <c r="G11" i="9"/>
  <c r="D16" i="12" s="1"/>
  <c r="E11" i="9"/>
  <c r="Y9" i="9"/>
  <c r="AE6" i="9"/>
  <c r="Z7" i="9"/>
  <c r="AH7" i="9"/>
  <c r="AB8" i="9"/>
  <c r="AJ8" i="9"/>
  <c r="AL8" i="9" s="1"/>
  <c r="AB9" i="9"/>
  <c r="AJ9" i="9"/>
  <c r="AL9" i="9" s="1"/>
  <c r="AE10" i="9"/>
  <c r="W40" i="9"/>
  <c r="F139" i="14"/>
  <c r="F137" i="14" s="1"/>
  <c r="C53" i="8"/>
  <c r="D62" i="14"/>
  <c r="L40" i="9"/>
  <c r="I35" i="9"/>
  <c r="C92" i="14"/>
  <c r="C71" i="8"/>
  <c r="C19" i="8"/>
  <c r="C23" i="8"/>
  <c r="P41" i="9"/>
  <c r="L41" i="9"/>
  <c r="E139" i="14"/>
  <c r="E137" i="14" s="1"/>
  <c r="F71" i="8"/>
  <c r="F73" i="8" s="1"/>
  <c r="E71" i="8"/>
  <c r="E73" i="8" s="1"/>
  <c r="D71" i="8"/>
  <c r="D73" i="8" s="1"/>
  <c r="D19" i="8"/>
  <c r="D23" i="8"/>
  <c r="E19" i="8"/>
  <c r="E23" i="8"/>
  <c r="F19" i="8"/>
  <c r="F23" i="8"/>
  <c r="C32" i="14"/>
  <c r="W38" i="9"/>
  <c r="C62" i="14"/>
  <c r="U59" i="9"/>
  <c r="E62" i="14"/>
  <c r="AI68" i="9"/>
  <c r="P83" i="8"/>
  <c r="L24" i="9" s="1"/>
  <c r="W84" i="8"/>
  <c r="S28" i="9" s="1"/>
  <c r="D63" i="14"/>
  <c r="Y68" i="9"/>
  <c r="AA68" i="9"/>
  <c r="G82" i="14"/>
  <c r="H82" i="14" s="1"/>
  <c r="T40" i="9"/>
  <c r="AA84" i="8"/>
  <c r="W28" i="9" s="1"/>
  <c r="R24" i="9"/>
  <c r="AJ34" i="9"/>
  <c r="W35" i="9"/>
  <c r="P40" i="9"/>
  <c r="X83" i="8"/>
  <c r="T24" i="9" s="1"/>
  <c r="F63" i="14"/>
  <c r="T84" i="8"/>
  <c r="P28" i="9" s="1"/>
  <c r="X86" i="8"/>
  <c r="Q38" i="9"/>
  <c r="C87" i="14"/>
  <c r="Z68" i="9"/>
  <c r="AH68" i="9"/>
  <c r="J24" i="9"/>
  <c r="J32" i="9"/>
  <c r="R32" i="9"/>
  <c r="V35" i="9"/>
  <c r="R38" i="9"/>
  <c r="N39" i="9"/>
  <c r="V39" i="9"/>
  <c r="N41" i="9"/>
  <c r="V41" i="9"/>
  <c r="J42" i="9"/>
  <c r="R42" i="9"/>
  <c r="N43" i="9"/>
  <c r="V43" i="9"/>
  <c r="S129" i="8"/>
  <c r="K32" i="9"/>
  <c r="P128" i="8"/>
  <c r="L33" i="9" s="1"/>
  <c r="S128" i="8"/>
  <c r="J33" i="9"/>
  <c r="W128" i="8"/>
  <c r="S33" i="9" s="1"/>
  <c r="N24" i="9"/>
  <c r="V24" i="9"/>
  <c r="J28" i="9"/>
  <c r="N32" i="9"/>
  <c r="V32" i="9"/>
  <c r="J35" i="9"/>
  <c r="R35" i="9"/>
  <c r="V38" i="9"/>
  <c r="J39" i="9"/>
  <c r="R39" i="9"/>
  <c r="V40" i="9"/>
  <c r="J41" i="9"/>
  <c r="R41" i="9"/>
  <c r="N42" i="9"/>
  <c r="V42" i="9"/>
  <c r="J43" i="9"/>
  <c r="R43" i="9"/>
  <c r="Q35" i="9"/>
  <c r="P86" i="8"/>
  <c r="O129" i="8"/>
  <c r="K34" i="9" s="1"/>
  <c r="K39" i="9"/>
  <c r="K41" i="9"/>
  <c r="AF68" i="9"/>
  <c r="P84" i="8"/>
  <c r="L28" i="9" s="1"/>
  <c r="AA128" i="8"/>
  <c r="W33" i="9" s="1"/>
  <c r="Y13" i="10"/>
  <c r="C69" i="9"/>
  <c r="E173" i="14"/>
  <c r="D16" i="14"/>
  <c r="C16" i="14" s="1"/>
  <c r="C193" i="14" s="1"/>
  <c r="E71" i="14"/>
  <c r="E97" i="14" s="1"/>
  <c r="E126" i="14"/>
  <c r="E156" i="14"/>
  <c r="D168" i="14"/>
  <c r="F62" i="14"/>
  <c r="D133" i="14"/>
  <c r="I188" i="14"/>
  <c r="J188" i="14" s="1"/>
  <c r="K188" i="14" s="1"/>
  <c r="E92" i="14"/>
  <c r="F92" i="14"/>
  <c r="D79" i="14"/>
  <c r="C79" i="14"/>
  <c r="F180" i="14"/>
  <c r="F185" i="14" s="1"/>
  <c r="C138" i="14"/>
  <c r="E63" i="14"/>
  <c r="C63" i="14"/>
  <c r="F173" i="14"/>
  <c r="F71" i="14"/>
  <c r="F97" i="14" s="1"/>
  <c r="F15" i="14"/>
  <c r="F125" i="14" s="1"/>
  <c r="G203" i="14"/>
  <c r="G86" i="14"/>
  <c r="G105" i="14" s="1"/>
  <c r="G76" i="14"/>
  <c r="H76" i="14" s="1"/>
  <c r="F156" i="14"/>
  <c r="G148" i="14"/>
  <c r="D92" i="14"/>
  <c r="E79" i="14"/>
  <c r="G16" i="14"/>
  <c r="F193" i="14"/>
  <c r="F126" i="14"/>
  <c r="G159" i="14"/>
  <c r="F79" i="14"/>
  <c r="G74" i="14"/>
  <c r="G83" i="14"/>
  <c r="H83" i="14" s="1"/>
  <c r="G78" i="14"/>
  <c r="I222" i="14"/>
  <c r="I216" i="14" s="1"/>
  <c r="V11" i="9"/>
  <c r="AF10" i="9"/>
  <c r="AE68" i="9"/>
  <c r="AB6" i="9"/>
  <c r="T11" i="9"/>
  <c r="AD6" i="9"/>
  <c r="AI9" i="9"/>
  <c r="AC6" i="9"/>
  <c r="AA9" i="9"/>
  <c r="D183" i="14"/>
  <c r="AF6" i="9"/>
  <c r="AG68" i="9"/>
  <c r="P11" i="9"/>
  <c r="N11" i="9"/>
  <c r="E87" i="14"/>
  <c r="AB68" i="9"/>
  <c r="AJ68" i="9"/>
  <c r="AJ69" i="9" s="1"/>
  <c r="Y6" i="9"/>
  <c r="Y11" i="9" s="1"/>
  <c r="AG6" i="9"/>
  <c r="AD9" i="9"/>
  <c r="G85" i="14"/>
  <c r="G183" i="14" s="1"/>
  <c r="Z6" i="9"/>
  <c r="AH6" i="9"/>
  <c r="AE9" i="9"/>
  <c r="AD68" i="9"/>
  <c r="AA6" i="9"/>
  <c r="AI6" i="9"/>
  <c r="R99" i="8"/>
  <c r="X109" i="8"/>
  <c r="T41" i="9" s="1"/>
  <c r="X112" i="8"/>
  <c r="P110" i="8"/>
  <c r="L42" i="9" s="1"/>
  <c r="P112" i="8"/>
  <c r="X110" i="8"/>
  <c r="T42" i="9" s="1"/>
  <c r="X99" i="8"/>
  <c r="P113" i="8"/>
  <c r="L43" i="9" s="1"/>
  <c r="T112" i="8"/>
  <c r="Y114" i="8"/>
  <c r="X113" i="8"/>
  <c r="T43" i="9" s="1"/>
  <c r="W100" i="8"/>
  <c r="X100" i="8" s="1"/>
  <c r="X102" i="8"/>
  <c r="T39" i="9" s="1"/>
  <c r="P100" i="8"/>
  <c r="X98" i="8"/>
  <c r="T32" i="9" s="1"/>
  <c r="N99" i="8"/>
  <c r="X92" i="8"/>
  <c r="X90" i="8"/>
  <c r="X94" i="8"/>
  <c r="W91" i="8"/>
  <c r="X91" i="8" s="1"/>
  <c r="P70" i="8"/>
  <c r="L71" i="9" s="1"/>
  <c r="O90" i="8"/>
  <c r="P90" i="8" s="1"/>
  <c r="R91" i="8"/>
  <c r="T91" i="8" s="1"/>
  <c r="P35" i="9" s="1"/>
  <c r="P91" i="8"/>
  <c r="P92" i="8"/>
  <c r="P93" i="8"/>
  <c r="X89" i="8"/>
  <c r="P89" i="8"/>
  <c r="T70" i="8"/>
  <c r="P71" i="9" s="1"/>
  <c r="X70" i="8"/>
  <c r="T71" i="9" s="1"/>
  <c r="Y71" i="8"/>
  <c r="Y73" i="8" s="1"/>
  <c r="Y19" i="8"/>
  <c r="Y23" i="8"/>
  <c r="Y27" i="8" s="1"/>
  <c r="C33" i="14" l="1"/>
  <c r="C38" i="14" s="1"/>
  <c r="F116" i="14"/>
  <c r="G133" i="14"/>
  <c r="H133" i="14" s="1"/>
  <c r="I133" i="14" s="1"/>
  <c r="J133" i="14" s="1"/>
  <c r="K133" i="14" s="1"/>
  <c r="I151" i="14"/>
  <c r="J151" i="14" s="1"/>
  <c r="J113" i="14" s="1"/>
  <c r="J202" i="14" s="1"/>
  <c r="D116" i="14"/>
  <c r="J222" i="14"/>
  <c r="J216" i="14" s="1"/>
  <c r="J224" i="14"/>
  <c r="G113" i="14"/>
  <c r="E180" i="14"/>
  <c r="E185" i="14" s="1"/>
  <c r="AE11" i="9"/>
  <c r="C73" i="8"/>
  <c r="E32" i="14"/>
  <c r="AJ72" i="9"/>
  <c r="AJ81" i="9" s="1"/>
  <c r="C61" i="12"/>
  <c r="E116" i="14"/>
  <c r="X84" i="8"/>
  <c r="T28" i="9" s="1"/>
  <c r="AJ28" i="9" s="1"/>
  <c r="G115" i="14"/>
  <c r="H113" i="14"/>
  <c r="H202" i="14" s="1"/>
  <c r="G109" i="14"/>
  <c r="E29" i="12"/>
  <c r="Z11" i="9"/>
  <c r="AB11" i="9"/>
  <c r="AG11" i="9"/>
  <c r="AJ11" i="9"/>
  <c r="C16" i="12" s="1"/>
  <c r="AL6" i="9"/>
  <c r="AC11" i="9"/>
  <c r="AJ40" i="9"/>
  <c r="AL10" i="9"/>
  <c r="AH11" i="9"/>
  <c r="F138" i="14"/>
  <c r="G138" i="14" s="1"/>
  <c r="H138" i="14" s="1"/>
  <c r="I138" i="14" s="1"/>
  <c r="F32" i="14"/>
  <c r="C45" i="14"/>
  <c r="C46" i="14" s="1"/>
  <c r="C27" i="8"/>
  <c r="C30" i="8" s="1"/>
  <c r="C24" i="8"/>
  <c r="C93" i="14"/>
  <c r="AJ42" i="9"/>
  <c r="E138" i="14"/>
  <c r="E27" i="8"/>
  <c r="E30" i="8" s="1"/>
  <c r="E24" i="8"/>
  <c r="D27" i="8"/>
  <c r="D30" i="8" s="1"/>
  <c r="D24" i="8"/>
  <c r="F24" i="8"/>
  <c r="F27" i="8"/>
  <c r="F30" i="8" s="1"/>
  <c r="D32" i="14"/>
  <c r="AJ24" i="9"/>
  <c r="D193" i="14"/>
  <c r="N35" i="9"/>
  <c r="D87" i="14"/>
  <c r="D93" i="14" s="1"/>
  <c r="F192" i="14"/>
  <c r="F172" i="14"/>
  <c r="D184" i="14"/>
  <c r="AJ41" i="9"/>
  <c r="D173" i="14"/>
  <c r="T99" i="8"/>
  <c r="P38" i="9" s="1"/>
  <c r="N38" i="9"/>
  <c r="G111" i="14"/>
  <c r="H85" i="14"/>
  <c r="H183" i="14" s="1"/>
  <c r="O99" i="8"/>
  <c r="K38" i="9" s="1"/>
  <c r="J38" i="9"/>
  <c r="T128" i="8"/>
  <c r="P33" i="9" s="1"/>
  <c r="O33" i="9"/>
  <c r="AJ32" i="9"/>
  <c r="T38" i="9"/>
  <c r="AJ38" i="9" s="1"/>
  <c r="F183" i="14"/>
  <c r="E183" i="14"/>
  <c r="F87" i="14"/>
  <c r="F93" i="14" s="1"/>
  <c r="P129" i="8"/>
  <c r="L34" i="9" s="1"/>
  <c r="S35" i="9"/>
  <c r="AJ39" i="9"/>
  <c r="G15" i="14"/>
  <c r="G96" i="14" s="1"/>
  <c r="D126" i="14"/>
  <c r="C71" i="14"/>
  <c r="C97" i="14" s="1"/>
  <c r="X128" i="8"/>
  <c r="T33" i="9" s="1"/>
  <c r="AJ33" i="9" s="1"/>
  <c r="S38" i="9"/>
  <c r="L35" i="9"/>
  <c r="T35" i="9"/>
  <c r="AJ35" i="9" s="1"/>
  <c r="AJ43" i="9"/>
  <c r="D71" i="14"/>
  <c r="D97" i="14" s="1"/>
  <c r="O34" i="9"/>
  <c r="T129" i="8"/>
  <c r="P34" i="9" s="1"/>
  <c r="K35" i="9"/>
  <c r="F155" i="14"/>
  <c r="D156" i="14"/>
  <c r="F70" i="14"/>
  <c r="F96" i="14" s="1"/>
  <c r="E15" i="14"/>
  <c r="H86" i="14"/>
  <c r="H105" i="14" s="1"/>
  <c r="G101" i="14"/>
  <c r="H101" i="14"/>
  <c r="I82" i="14"/>
  <c r="G97" i="14"/>
  <c r="G193" i="14"/>
  <c r="G126" i="14"/>
  <c r="G215" i="14"/>
  <c r="H16" i="14"/>
  <c r="G173" i="14"/>
  <c r="G156" i="14"/>
  <c r="G71" i="14"/>
  <c r="K224" i="14"/>
  <c r="K222" i="14"/>
  <c r="K216" i="14" s="1"/>
  <c r="E93" i="14"/>
  <c r="H78" i="14"/>
  <c r="G145" i="14"/>
  <c r="I83" i="14"/>
  <c r="H74" i="14"/>
  <c r="I76" i="14"/>
  <c r="AI11" i="9"/>
  <c r="AA11" i="9"/>
  <c r="AF11" i="9"/>
  <c r="AD11" i="9"/>
  <c r="Y24" i="8"/>
  <c r="Y30" i="8"/>
  <c r="C49" i="14" l="1"/>
  <c r="C50" i="14" s="1"/>
  <c r="C64" i="14"/>
  <c r="C41" i="14"/>
  <c r="D33" i="14"/>
  <c r="D38" i="14" s="1"/>
  <c r="E45" i="14"/>
  <c r="E46" i="14" s="1"/>
  <c r="E33" i="14"/>
  <c r="E38" i="14" s="1"/>
  <c r="E64" i="14" s="1"/>
  <c r="F45" i="14"/>
  <c r="F46" i="14" s="1"/>
  <c r="F33" i="14"/>
  <c r="G202" i="14"/>
  <c r="G196" i="14" s="1"/>
  <c r="G199" i="14" s="1"/>
  <c r="C68" i="12"/>
  <c r="C74" i="12" s="1"/>
  <c r="D74" i="12" s="1"/>
  <c r="C21" i="16"/>
  <c r="G130" i="14"/>
  <c r="G131" i="14" s="1"/>
  <c r="H128" i="14" s="1"/>
  <c r="I115" i="14"/>
  <c r="I113" i="14"/>
  <c r="I202" i="14" s="1"/>
  <c r="J82" i="14"/>
  <c r="K82" i="14" s="1"/>
  <c r="J83" i="14"/>
  <c r="K83" i="14" s="1"/>
  <c r="J76" i="14"/>
  <c r="K76" i="14" s="1"/>
  <c r="E184" i="14"/>
  <c r="H108" i="14"/>
  <c r="H109" i="14" s="1"/>
  <c r="H130" i="14"/>
  <c r="AL11" i="9"/>
  <c r="G70" i="14"/>
  <c r="G125" i="14"/>
  <c r="G192" i="14"/>
  <c r="C80" i="8"/>
  <c r="C95" i="8" s="1"/>
  <c r="C122" i="8" s="1"/>
  <c r="C123" i="8" s="1"/>
  <c r="C125" i="8" s="1"/>
  <c r="C37" i="8"/>
  <c r="C34" i="8"/>
  <c r="C31" i="8"/>
  <c r="D45" i="14"/>
  <c r="D46" i="14" s="1"/>
  <c r="I85" i="14"/>
  <c r="I183" i="14" s="1"/>
  <c r="F184" i="14"/>
  <c r="G185" i="14" s="1"/>
  <c r="F31" i="8"/>
  <c r="F80" i="8"/>
  <c r="F95" i="8" s="1"/>
  <c r="F122" i="8" s="1"/>
  <c r="F123" i="8" s="1"/>
  <c r="F125" i="8" s="1"/>
  <c r="F37" i="8"/>
  <c r="F34" i="8"/>
  <c r="D34" i="8"/>
  <c r="D31" i="8"/>
  <c r="D80" i="8"/>
  <c r="D95" i="8" s="1"/>
  <c r="D122" i="8" s="1"/>
  <c r="D123" i="8" s="1"/>
  <c r="D125" i="8" s="1"/>
  <c r="D37" i="8"/>
  <c r="E31" i="8"/>
  <c r="E80" i="8"/>
  <c r="E95" i="8" s="1"/>
  <c r="E122" i="8" s="1"/>
  <c r="E123" i="8" s="1"/>
  <c r="E125" i="8" s="1"/>
  <c r="E37" i="8"/>
  <c r="E34" i="8"/>
  <c r="G214" i="14"/>
  <c r="G172" i="14"/>
  <c r="H15" i="14"/>
  <c r="H125" i="14" s="1"/>
  <c r="H111" i="14"/>
  <c r="G155" i="14"/>
  <c r="P99" i="8"/>
  <c r="L38" i="9" s="1"/>
  <c r="K151" i="14"/>
  <c r="J115" i="14"/>
  <c r="I130" i="14"/>
  <c r="D15" i="14"/>
  <c r="E155" i="14"/>
  <c r="E125" i="14"/>
  <c r="E192" i="14"/>
  <c r="E70" i="14"/>
  <c r="E96" i="14" s="1"/>
  <c r="E172" i="14"/>
  <c r="I86" i="14"/>
  <c r="H89" i="14"/>
  <c r="I203" i="14"/>
  <c r="H203" i="14"/>
  <c r="I108" i="14"/>
  <c r="H142" i="14"/>
  <c r="I74" i="14"/>
  <c r="J138" i="14"/>
  <c r="H126" i="14"/>
  <c r="H215" i="14"/>
  <c r="H97" i="14"/>
  <c r="H193" i="14"/>
  <c r="I16" i="14"/>
  <c r="H173" i="14"/>
  <c r="H156" i="14"/>
  <c r="H71" i="14"/>
  <c r="H145" i="14"/>
  <c r="I78" i="14"/>
  <c r="Y34" i="8"/>
  <c r="Y37" i="8"/>
  <c r="Y80" i="8"/>
  <c r="Y95" i="8" s="1"/>
  <c r="Y122" i="8" s="1"/>
  <c r="Y31" i="8"/>
  <c r="D49" i="14" l="1"/>
  <c r="D50" i="14" s="1"/>
  <c r="F49" i="14"/>
  <c r="F50" i="14" s="1"/>
  <c r="E49" i="14"/>
  <c r="E50" i="14" s="1"/>
  <c r="G208" i="14"/>
  <c r="G209" i="14" s="1"/>
  <c r="H207" i="14" s="1"/>
  <c r="C195" i="14"/>
  <c r="C42" i="14"/>
  <c r="D64" i="14"/>
  <c r="D41" i="14"/>
  <c r="D42" i="14" s="1"/>
  <c r="G45" i="16"/>
  <c r="I45" i="16" s="1"/>
  <c r="C47" i="16" s="1"/>
  <c r="C48" i="16" s="1"/>
  <c r="C37" i="16" s="1"/>
  <c r="E20" i="16"/>
  <c r="E21" i="16" s="1"/>
  <c r="E23" i="16" s="1"/>
  <c r="C27" i="16" s="1"/>
  <c r="G77" i="14"/>
  <c r="G210" i="14"/>
  <c r="E41" i="14"/>
  <c r="H131" i="14"/>
  <c r="I128" i="14" s="1"/>
  <c r="I131" i="14" s="1"/>
  <c r="F29" i="12"/>
  <c r="I109" i="14"/>
  <c r="G29" i="12"/>
  <c r="H184" i="14"/>
  <c r="H185" i="14" s="1"/>
  <c r="H96" i="14"/>
  <c r="I111" i="14"/>
  <c r="J85" i="14"/>
  <c r="K85" i="14" s="1"/>
  <c r="I15" i="14"/>
  <c r="I70" i="14" s="1"/>
  <c r="H155" i="14"/>
  <c r="H192" i="14"/>
  <c r="H214" i="14"/>
  <c r="H70" i="14"/>
  <c r="H172" i="14"/>
  <c r="K113" i="14"/>
  <c r="K202" i="14" s="1"/>
  <c r="K115" i="14"/>
  <c r="D70" i="14"/>
  <c r="D96" i="14" s="1"/>
  <c r="D172" i="14"/>
  <c r="D192" i="14"/>
  <c r="D155" i="14"/>
  <c r="D125" i="14"/>
  <c r="C15" i="14"/>
  <c r="I101" i="14"/>
  <c r="I89" i="14"/>
  <c r="I105" i="14"/>
  <c r="J86" i="14"/>
  <c r="I142" i="14"/>
  <c r="J74" i="14"/>
  <c r="J108" i="14"/>
  <c r="K108" i="14"/>
  <c r="J130" i="14"/>
  <c r="J78" i="14"/>
  <c r="I145" i="14"/>
  <c r="I71" i="14"/>
  <c r="I215" i="14"/>
  <c r="I97" i="14"/>
  <c r="I173" i="14"/>
  <c r="I156" i="14"/>
  <c r="I126" i="14"/>
  <c r="I193" i="14"/>
  <c r="J16" i="14"/>
  <c r="K138" i="14"/>
  <c r="D99" i="14" l="1"/>
  <c r="D106" i="14" s="1"/>
  <c r="D118" i="14" s="1"/>
  <c r="E99" i="14"/>
  <c r="E106" i="14" s="1"/>
  <c r="E118" i="14" s="1"/>
  <c r="E42" i="14"/>
  <c r="C200" i="14"/>
  <c r="C197" i="14"/>
  <c r="D195" i="14"/>
  <c r="D197" i="14" s="1"/>
  <c r="E195" i="14"/>
  <c r="E197" i="14" s="1"/>
  <c r="H77" i="14"/>
  <c r="J109" i="14"/>
  <c r="H29" i="12"/>
  <c r="K109" i="14"/>
  <c r="I29" i="12"/>
  <c r="I184" i="14"/>
  <c r="J184" i="14" s="1"/>
  <c r="K184" i="14" s="1"/>
  <c r="J111" i="14"/>
  <c r="J15" i="14"/>
  <c r="K15" i="14" s="1"/>
  <c r="I172" i="14"/>
  <c r="I125" i="14"/>
  <c r="I192" i="14"/>
  <c r="I214" i="14"/>
  <c r="I96" i="14"/>
  <c r="I155" i="14"/>
  <c r="J183" i="14"/>
  <c r="C192" i="14"/>
  <c r="C70" i="14"/>
  <c r="C96" i="14" s="1"/>
  <c r="J203" i="14"/>
  <c r="J101" i="14"/>
  <c r="J89" i="14"/>
  <c r="K89" i="14" s="1"/>
  <c r="K86" i="14"/>
  <c r="K105" i="14" s="1"/>
  <c r="J105" i="14"/>
  <c r="K130" i="14"/>
  <c r="K111" i="14"/>
  <c r="K183" i="14"/>
  <c r="J173" i="14"/>
  <c r="J156" i="14"/>
  <c r="J97" i="14"/>
  <c r="J71" i="14"/>
  <c r="J215" i="14"/>
  <c r="J126" i="14"/>
  <c r="J193" i="14"/>
  <c r="K16" i="14"/>
  <c r="J128" i="14"/>
  <c r="J131" i="14" s="1"/>
  <c r="I77" i="14"/>
  <c r="K101" i="14"/>
  <c r="K203" i="14"/>
  <c r="J142" i="14"/>
  <c r="K78" i="14"/>
  <c r="K145" i="14" s="1"/>
  <c r="J145" i="14"/>
  <c r="K74" i="14"/>
  <c r="D200" i="14" l="1"/>
  <c r="E200" i="14"/>
  <c r="J70" i="14"/>
  <c r="J192" i="14"/>
  <c r="J214" i="14"/>
  <c r="J96" i="14"/>
  <c r="J125" i="14"/>
  <c r="J155" i="14"/>
  <c r="J172" i="14"/>
  <c r="J185" i="14"/>
  <c r="I185" i="14"/>
  <c r="K185" i="14"/>
  <c r="K142" i="14"/>
  <c r="J77" i="14"/>
  <c r="K128" i="14"/>
  <c r="K131" i="14" s="1"/>
  <c r="K77" i="14" s="1"/>
  <c r="K71" i="14"/>
  <c r="K173" i="14"/>
  <c r="K156" i="14"/>
  <c r="K215" i="14"/>
  <c r="K126" i="14"/>
  <c r="K193" i="14"/>
  <c r="K97" i="14"/>
  <c r="K214" i="14"/>
  <c r="K172" i="14"/>
  <c r="K155" i="14"/>
  <c r="K70" i="14"/>
  <c r="K125" i="14"/>
  <c r="K96" i="14"/>
  <c r="K192" i="14"/>
  <c r="AJ17" i="10" l="1"/>
  <c r="AJ16" i="10"/>
  <c r="AI16" i="10"/>
  <c r="AE16" i="10"/>
  <c r="AC69" i="8"/>
  <c r="AC68" i="8"/>
  <c r="AC67" i="8"/>
  <c r="AC64" i="8"/>
  <c r="AC62" i="8"/>
  <c r="AC59" i="8"/>
  <c r="AC57" i="8"/>
  <c r="AC56" i="8"/>
  <c r="AC55" i="8"/>
  <c r="AC52" i="8"/>
  <c r="AC51" i="8"/>
  <c r="AC50" i="8"/>
  <c r="AC47" i="8"/>
  <c r="AC46" i="8"/>
  <c r="AC45" i="8"/>
  <c r="AC44" i="8"/>
  <c r="AC43" i="8"/>
  <c r="AC36" i="8"/>
  <c r="AJ8" i="10"/>
  <c r="AI57" i="9"/>
  <c r="AH57" i="9"/>
  <c r="AG57" i="9"/>
  <c r="AF57" i="9"/>
  <c r="AE57" i="9"/>
  <c r="AC107" i="8"/>
  <c r="AI99" i="8"/>
  <c r="J18" i="10"/>
  <c r="J19" i="10" s="1"/>
  <c r="AA18" i="10"/>
  <c r="AA19" i="10" s="1"/>
  <c r="Z18" i="10"/>
  <c r="Z19" i="10" s="1"/>
  <c r="Y18" i="10"/>
  <c r="Y19" i="10" s="1"/>
  <c r="W18" i="10"/>
  <c r="W19" i="10" s="1"/>
  <c r="V18" i="10"/>
  <c r="V19" i="10" s="1"/>
  <c r="U18" i="10"/>
  <c r="U19" i="10" s="1"/>
  <c r="S18" i="10"/>
  <c r="S19" i="10" s="1"/>
  <c r="R18" i="10"/>
  <c r="R19" i="10" s="1"/>
  <c r="Q18" i="10"/>
  <c r="Q19" i="10" s="1"/>
  <c r="O18" i="10"/>
  <c r="O19" i="10" s="1"/>
  <c r="N18" i="10"/>
  <c r="N19" i="10" s="1"/>
  <c r="AL36" i="8"/>
  <c r="AK36" i="8"/>
  <c r="AJ36" i="8"/>
  <c r="AI36" i="8"/>
  <c r="AH36" i="8"/>
  <c r="AG36" i="8"/>
  <c r="AF36" i="8"/>
  <c r="AE36" i="8"/>
  <c r="AD36" i="8"/>
  <c r="AM36" i="8"/>
  <c r="AI69" i="8"/>
  <c r="AH69" i="8"/>
  <c r="AG69" i="8"/>
  <c r="AE69" i="8"/>
  <c r="AD69" i="8"/>
  <c r="AI68" i="8"/>
  <c r="AH68" i="8"/>
  <c r="AG68" i="8"/>
  <c r="AE68" i="8"/>
  <c r="AD68" i="8"/>
  <c r="AI67" i="8"/>
  <c r="AH67" i="8"/>
  <c r="AG67" i="8"/>
  <c r="AE67" i="8"/>
  <c r="AD67" i="8"/>
  <c r="AI64" i="8"/>
  <c r="AH64" i="8"/>
  <c r="AG64" i="8"/>
  <c r="AE64" i="8"/>
  <c r="AD64" i="8"/>
  <c r="AI62" i="8"/>
  <c r="AH62" i="8"/>
  <c r="AG62" i="8"/>
  <c r="AE62" i="8"/>
  <c r="AD62" i="8"/>
  <c r="AI59" i="8"/>
  <c r="AH59" i="8"/>
  <c r="AG59" i="8"/>
  <c r="AE59" i="8"/>
  <c r="AD59" i="8"/>
  <c r="AI57" i="8"/>
  <c r="AH57" i="8"/>
  <c r="AG57" i="8"/>
  <c r="AE57" i="8"/>
  <c r="AD57" i="8"/>
  <c r="AI56" i="8"/>
  <c r="AH56" i="8"/>
  <c r="AG56" i="8"/>
  <c r="AE56" i="8"/>
  <c r="AD56" i="8"/>
  <c r="AI55" i="8"/>
  <c r="AH55" i="8"/>
  <c r="AG55" i="8"/>
  <c r="AE55" i="8"/>
  <c r="AD55" i="8"/>
  <c r="AI52" i="8"/>
  <c r="AH52" i="8"/>
  <c r="AG52" i="8"/>
  <c r="AE52" i="8"/>
  <c r="AD52" i="8"/>
  <c r="AI51" i="8"/>
  <c r="AH51" i="8"/>
  <c r="AG51" i="8"/>
  <c r="AE51" i="8"/>
  <c r="AD51" i="8"/>
  <c r="AI50" i="8"/>
  <c r="AH50" i="8"/>
  <c r="AG50" i="8"/>
  <c r="AE50" i="8"/>
  <c r="AD50" i="8"/>
  <c r="AI47" i="8"/>
  <c r="AH47" i="8"/>
  <c r="AG47" i="8"/>
  <c r="AE47" i="8"/>
  <c r="AD47" i="8"/>
  <c r="AI46" i="8"/>
  <c r="AH46" i="8"/>
  <c r="AG46" i="8"/>
  <c r="AF46" i="8"/>
  <c r="AE46" i="8"/>
  <c r="AD46" i="8"/>
  <c r="AI45" i="8"/>
  <c r="AH45" i="8"/>
  <c r="AG45" i="8"/>
  <c r="AE45" i="8"/>
  <c r="AD45" i="8"/>
  <c r="AI44" i="8"/>
  <c r="AH44" i="8"/>
  <c r="AG44" i="8"/>
  <c r="AE44" i="8"/>
  <c r="AD44" i="8"/>
  <c r="AI43" i="8"/>
  <c r="AH43" i="8"/>
  <c r="AG43" i="8"/>
  <c r="AE43" i="8"/>
  <c r="AD43" i="8"/>
  <c r="AL69" i="8"/>
  <c r="AK69" i="8"/>
  <c r="AL68" i="8"/>
  <c r="AK68" i="8"/>
  <c r="AL67" i="8"/>
  <c r="AK67" i="8"/>
  <c r="AL64" i="8"/>
  <c r="AK64" i="8"/>
  <c r="AL62" i="8"/>
  <c r="AK62" i="8"/>
  <c r="AL59" i="8"/>
  <c r="AK59" i="8"/>
  <c r="AL57" i="8"/>
  <c r="AK57" i="8"/>
  <c r="AL56" i="8"/>
  <c r="AK56" i="8"/>
  <c r="AL55" i="8"/>
  <c r="AK55" i="8"/>
  <c r="AL52" i="8"/>
  <c r="AK52" i="8"/>
  <c r="AL51" i="8"/>
  <c r="AK51" i="8"/>
  <c r="AL50" i="8"/>
  <c r="AK50" i="8"/>
  <c r="AL47" i="8"/>
  <c r="AK47" i="8"/>
  <c r="AL46" i="8"/>
  <c r="AK46" i="8"/>
  <c r="AJ46" i="8"/>
  <c r="AL45" i="8"/>
  <c r="AK45" i="8"/>
  <c r="AL44" i="8"/>
  <c r="AK44" i="8"/>
  <c r="AL43" i="8"/>
  <c r="AK43" i="8"/>
  <c r="AM69" i="8"/>
  <c r="AM68" i="8"/>
  <c r="AM67" i="8"/>
  <c r="AM64" i="8"/>
  <c r="AM62" i="8"/>
  <c r="AM59" i="8"/>
  <c r="AM57" i="8"/>
  <c r="AM56" i="8"/>
  <c r="AM55" i="8"/>
  <c r="AM52" i="8"/>
  <c r="AM51" i="8"/>
  <c r="AM50" i="8"/>
  <c r="AM47" i="8"/>
  <c r="AM46" i="8"/>
  <c r="AM45" i="8"/>
  <c r="AM44" i="8"/>
  <c r="AM43" i="8"/>
  <c r="AA60" i="8"/>
  <c r="AA65" i="8" s="1"/>
  <c r="AA48" i="8"/>
  <c r="AA53" i="8" s="1"/>
  <c r="AA15" i="8"/>
  <c r="X29" i="8"/>
  <c r="AM29" i="8" s="1"/>
  <c r="X26" i="8"/>
  <c r="AM26" i="8" s="1"/>
  <c r="X22" i="8"/>
  <c r="X21" i="8"/>
  <c r="X17" i="8"/>
  <c r="X14" i="8"/>
  <c r="AM14" i="8" s="1"/>
  <c r="T29" i="8"/>
  <c r="AI29" i="8" s="1"/>
  <c r="T26" i="8"/>
  <c r="AF26" i="8" s="1"/>
  <c r="T22" i="8"/>
  <c r="T21" i="8"/>
  <c r="T17" i="8"/>
  <c r="T14" i="8"/>
  <c r="AH14" i="8" s="1"/>
  <c r="AH15" i="8" s="1"/>
  <c r="P14" i="8"/>
  <c r="AE14" i="8" s="1"/>
  <c r="AE15" i="8" s="1"/>
  <c r="P17" i="8"/>
  <c r="L15" i="9" s="1"/>
  <c r="AD22" i="8"/>
  <c r="AE21" i="8"/>
  <c r="P26" i="8"/>
  <c r="AE26" i="8" s="1"/>
  <c r="P29" i="8"/>
  <c r="AD29" i="8" s="1"/>
  <c r="AF69" i="8"/>
  <c r="AF68" i="8"/>
  <c r="AF67" i="8"/>
  <c r="Z48" i="8"/>
  <c r="W48" i="8"/>
  <c r="V48" i="8"/>
  <c r="U48" i="8"/>
  <c r="S48" i="8"/>
  <c r="R48" i="8"/>
  <c r="Q48" i="8"/>
  <c r="O48" i="8"/>
  <c r="N48" i="8"/>
  <c r="M48" i="8"/>
  <c r="J48" i="8"/>
  <c r="I48" i="8"/>
  <c r="H48" i="8"/>
  <c r="H53" i="8" s="1"/>
  <c r="G48" i="8"/>
  <c r="K48" i="8"/>
  <c r="AH21" i="8" l="1"/>
  <c r="P19" i="9"/>
  <c r="AK17" i="8"/>
  <c r="T15" i="9"/>
  <c r="AJ15" i="9" s="1"/>
  <c r="AG17" i="8"/>
  <c r="P15" i="9"/>
  <c r="AL22" i="8"/>
  <c r="T20" i="9"/>
  <c r="AJ20" i="9" s="1"/>
  <c r="AI22" i="8"/>
  <c r="P20" i="9"/>
  <c r="AA18" i="8"/>
  <c r="AA19" i="8" s="1"/>
  <c r="AA13" i="10"/>
  <c r="AJ21" i="8"/>
  <c r="T19" i="9"/>
  <c r="AJ19" i="9" s="1"/>
  <c r="W59" i="9"/>
  <c r="AJ59" i="9" s="1"/>
  <c r="W60" i="9"/>
  <c r="AJ60" i="9" s="1"/>
  <c r="AH16" i="10"/>
  <c r="AC16" i="10"/>
  <c r="AK16" i="10"/>
  <c r="AH7" i="10"/>
  <c r="AL16" i="10"/>
  <c r="AM16" i="10"/>
  <c r="AE9" i="10"/>
  <c r="AC17" i="10"/>
  <c r="AC18" i="10" s="1"/>
  <c r="P18" i="10"/>
  <c r="P19" i="10" s="1"/>
  <c r="AK8" i="10"/>
  <c r="AM8" i="10"/>
  <c r="AL8" i="10"/>
  <c r="AJ18" i="10"/>
  <c r="AK17" i="10"/>
  <c r="AM17" i="10"/>
  <c r="X18" i="10"/>
  <c r="X19" i="10" s="1"/>
  <c r="AO46" i="8"/>
  <c r="AO44" i="8"/>
  <c r="AO55" i="8"/>
  <c r="AO68" i="8"/>
  <c r="AO67" i="8"/>
  <c r="AO47" i="8"/>
  <c r="AO62" i="8"/>
  <c r="AO51" i="8"/>
  <c r="AO64" i="8"/>
  <c r="AO45" i="8"/>
  <c r="AO56" i="8"/>
  <c r="AO69" i="8"/>
  <c r="AC60" i="8"/>
  <c r="AC65" i="8" s="1"/>
  <c r="AC48" i="8"/>
  <c r="AC53" i="8" s="1"/>
  <c r="AO52" i="8"/>
  <c r="AC70" i="8"/>
  <c r="AO59" i="8"/>
  <c r="AO57" i="8"/>
  <c r="AO50" i="8"/>
  <c r="AO43" i="8"/>
  <c r="AC29" i="8"/>
  <c r="AC26" i="8"/>
  <c r="AC21" i="8"/>
  <c r="AC22" i="8"/>
  <c r="AC17" i="8"/>
  <c r="AC14" i="8"/>
  <c r="AC15" i="8" s="1"/>
  <c r="AC9" i="10"/>
  <c r="AD17" i="10"/>
  <c r="AD16" i="10"/>
  <c r="AL17" i="10"/>
  <c r="AF16" i="10"/>
  <c r="AG16" i="10"/>
  <c r="AE17" i="10"/>
  <c r="AF7" i="10"/>
  <c r="AG7" i="10"/>
  <c r="AI7" i="10"/>
  <c r="W69" i="9"/>
  <c r="W72" i="9" s="1"/>
  <c r="W81" i="9" s="1"/>
  <c r="AE107" i="8"/>
  <c r="AI107" i="8"/>
  <c r="AL107" i="8"/>
  <c r="AG108" i="8"/>
  <c r="AD107" i="8"/>
  <c r="AM108" i="8"/>
  <c r="AM99" i="8"/>
  <c r="AO99" i="8" s="1"/>
  <c r="AF99" i="8"/>
  <c r="AH99" i="8"/>
  <c r="AG99" i="8"/>
  <c r="AJ99" i="8"/>
  <c r="AK99" i="8"/>
  <c r="AL99" i="8"/>
  <c r="W16" i="9"/>
  <c r="AO9" i="10"/>
  <c r="AI8" i="10"/>
  <c r="M18" i="10"/>
  <c r="M19" i="10" s="1"/>
  <c r="G18" i="10"/>
  <c r="H18" i="10"/>
  <c r="H19" i="10" s="1"/>
  <c r="I18" i="10"/>
  <c r="I19" i="10" s="1"/>
  <c r="K18" i="10"/>
  <c r="K19" i="10" s="1"/>
  <c r="AE70" i="8"/>
  <c r="AI14" i="8"/>
  <c r="AI15" i="8" s="1"/>
  <c r="AG26" i="8"/>
  <c r="AH17" i="8"/>
  <c r="AH18" i="8" s="1"/>
  <c r="AI48" i="8"/>
  <c r="AI53" i="8" s="1"/>
  <c r="AD21" i="8"/>
  <c r="AI21" i="8"/>
  <c r="AG29" i="8"/>
  <c r="AI70" i="8"/>
  <c r="AI26" i="8"/>
  <c r="AO26" i="8" s="1"/>
  <c r="AI128" i="8"/>
  <c r="AO29" i="8"/>
  <c r="AF22" i="8"/>
  <c r="AH29" i="8"/>
  <c r="AH128" i="8"/>
  <c r="AD14" i="8"/>
  <c r="AD15" i="8" s="1"/>
  <c r="AE22" i="8"/>
  <c r="AE17" i="8"/>
  <c r="AE18" i="8" s="1"/>
  <c r="AD17" i="8"/>
  <c r="AE29" i="8"/>
  <c r="AF70" i="8"/>
  <c r="AI129" i="8"/>
  <c r="AG48" i="8"/>
  <c r="AG53" i="8" s="1"/>
  <c r="AI60" i="8"/>
  <c r="AI65" i="8" s="1"/>
  <c r="AI17" i="8"/>
  <c r="AH26" i="8"/>
  <c r="AF29" i="8"/>
  <c r="AH60" i="8"/>
  <c r="AH65" i="8" s="1"/>
  <c r="AD60" i="8"/>
  <c r="AD65" i="8" s="1"/>
  <c r="AG22" i="8"/>
  <c r="AF129" i="8"/>
  <c r="AF14" i="8"/>
  <c r="AF15" i="8" s="1"/>
  <c r="AF21" i="8"/>
  <c r="AH22" i="8"/>
  <c r="AD26" i="8"/>
  <c r="AD48" i="8"/>
  <c r="AD53" i="8" s="1"/>
  <c r="AH48" i="8"/>
  <c r="AH53" i="8" s="1"/>
  <c r="AG70" i="8"/>
  <c r="AG129" i="8"/>
  <c r="AG14" i="8"/>
  <c r="AG15" i="8" s="1"/>
  <c r="AG18" i="8" s="1"/>
  <c r="AG19" i="8" s="1"/>
  <c r="AF17" i="8"/>
  <c r="AG21" i="8"/>
  <c r="AE48" i="8"/>
  <c r="AE53" i="8" s="1"/>
  <c r="AE60" i="8"/>
  <c r="AE65" i="8" s="1"/>
  <c r="AG60" i="8"/>
  <c r="AG65" i="8" s="1"/>
  <c r="AH70" i="8"/>
  <c r="AD70" i="8"/>
  <c r="AF128" i="8"/>
  <c r="AH129" i="8"/>
  <c r="AG128" i="8"/>
  <c r="AJ26" i="8"/>
  <c r="AM129" i="8"/>
  <c r="AM17" i="8"/>
  <c r="AK26" i="8"/>
  <c r="AK70" i="8"/>
  <c r="AL17" i="8"/>
  <c r="AK21" i="8"/>
  <c r="AJ29" i="8"/>
  <c r="AK48" i="8"/>
  <c r="AK53" i="8" s="1"/>
  <c r="AL70" i="8"/>
  <c r="AM22" i="8"/>
  <c r="AK14" i="8"/>
  <c r="AK15" i="8" s="1"/>
  <c r="AJ22" i="8"/>
  <c r="AL26" i="8"/>
  <c r="AK29" i="8"/>
  <c r="AK60" i="8"/>
  <c r="AK65" i="8" s="1"/>
  <c r="AM21" i="8"/>
  <c r="AL21" i="8"/>
  <c r="AK22" i="8"/>
  <c r="AL29" i="8"/>
  <c r="AL60" i="8"/>
  <c r="AL65" i="8" s="1"/>
  <c r="AJ17" i="8"/>
  <c r="AJ14" i="8"/>
  <c r="AJ15" i="8" s="1"/>
  <c r="AL14" i="8"/>
  <c r="AL15" i="8" s="1"/>
  <c r="AL48" i="8"/>
  <c r="AL53" i="8" s="1"/>
  <c r="AJ129" i="8"/>
  <c r="AK129" i="8"/>
  <c r="AL129" i="8"/>
  <c r="AA71" i="8"/>
  <c r="AA73" i="8" s="1"/>
  <c r="AC128" i="8"/>
  <c r="AO22" i="8" l="1"/>
  <c r="AA23" i="8"/>
  <c r="AA27" i="8" s="1"/>
  <c r="AA30" i="8" s="1"/>
  <c r="AJ16" i="9"/>
  <c r="AM18" i="10"/>
  <c r="G19" i="10"/>
  <c r="AO16" i="10"/>
  <c r="AI12" i="10"/>
  <c r="AI13" i="10" s="1"/>
  <c r="AK18" i="10"/>
  <c r="AD9" i="10"/>
  <c r="AD18" i="10"/>
  <c r="AO8" i="10"/>
  <c r="AJ7" i="10"/>
  <c r="AJ12" i="10" s="1"/>
  <c r="AF8" i="10"/>
  <c r="AG9" i="10"/>
  <c r="AH9" i="10"/>
  <c r="AG8" i="10"/>
  <c r="AH8" i="10"/>
  <c r="AF17" i="10"/>
  <c r="T18" i="10"/>
  <c r="T19" i="10" s="1"/>
  <c r="AG17" i="10"/>
  <c r="AI17" i="10"/>
  <c r="AH17" i="10"/>
  <c r="AF9" i="10"/>
  <c r="AC71" i="8"/>
  <c r="AC73" i="8" s="1"/>
  <c r="AG107" i="8"/>
  <c r="AC18" i="8"/>
  <c r="AC129" i="8"/>
  <c r="AE108" i="8"/>
  <c r="AC108" i="8"/>
  <c r="AE99" i="8"/>
  <c r="AC99" i="8"/>
  <c r="AE18" i="10"/>
  <c r="AL18" i="10"/>
  <c r="C16" i="9"/>
  <c r="C21" i="9" s="1"/>
  <c r="C25" i="9" s="1"/>
  <c r="AH108" i="8"/>
  <c r="AK18" i="8"/>
  <c r="AK19" i="8" s="1"/>
  <c r="AF108" i="8"/>
  <c r="AH107" i="8"/>
  <c r="AF43" i="9"/>
  <c r="AC113" i="8"/>
  <c r="AF107" i="8"/>
  <c r="AJ108" i="8"/>
  <c r="AD108" i="8"/>
  <c r="AL108" i="8"/>
  <c r="AK108" i="8"/>
  <c r="AI108" i="8"/>
  <c r="AO108" i="8" s="1"/>
  <c r="AM107" i="8"/>
  <c r="AO107" i="8" s="1"/>
  <c r="AJ107" i="8"/>
  <c r="AK107" i="8"/>
  <c r="AO14" i="8"/>
  <c r="AD99" i="8"/>
  <c r="AM128" i="8"/>
  <c r="AE128" i="8"/>
  <c r="W17" i="9"/>
  <c r="W21" i="9"/>
  <c r="AI71" i="8"/>
  <c r="AI73" i="8" s="1"/>
  <c r="AG71" i="8"/>
  <c r="AG73" i="8" s="1"/>
  <c r="AE71" i="8"/>
  <c r="AE73" i="8" s="1"/>
  <c r="AO21" i="8"/>
  <c r="AH71" i="8"/>
  <c r="AH73" i="8" s="1"/>
  <c r="AI18" i="8"/>
  <c r="AI19" i="8" s="1"/>
  <c r="AH23" i="8"/>
  <c r="AD71" i="8"/>
  <c r="AD73" i="8" s="1"/>
  <c r="AG23" i="8"/>
  <c r="AF18" i="8"/>
  <c r="AF23" i="8" s="1"/>
  <c r="AH19" i="8"/>
  <c r="AO17" i="8"/>
  <c r="AE23" i="8"/>
  <c r="AE27" i="8" s="1"/>
  <c r="AE19" i="8"/>
  <c r="AD18" i="8"/>
  <c r="AE129" i="8"/>
  <c r="AD129" i="8"/>
  <c r="AD128" i="8"/>
  <c r="AK71" i="8"/>
  <c r="AK73" i="8" s="1"/>
  <c r="AL18" i="8"/>
  <c r="AL19" i="8" s="1"/>
  <c r="AJ18" i="8"/>
  <c r="AJ19" i="8" s="1"/>
  <c r="AJ128" i="8"/>
  <c r="AL71" i="8"/>
  <c r="AL73" i="8" s="1"/>
  <c r="AK128" i="8"/>
  <c r="AL128" i="8"/>
  <c r="AA24" i="8" l="1"/>
  <c r="AJ17" i="9"/>
  <c r="AJ21" i="9"/>
  <c r="C20" i="12" s="1"/>
  <c r="AG12" i="10"/>
  <c r="AG13" i="10" s="1"/>
  <c r="AH12" i="10"/>
  <c r="AH13" i="10" s="1"/>
  <c r="AJ19" i="10"/>
  <c r="AJ13" i="10"/>
  <c r="AG18" i="10"/>
  <c r="AG19" i="10" s="1"/>
  <c r="AK7" i="10"/>
  <c r="AK12" i="10" s="1"/>
  <c r="AM7" i="10"/>
  <c r="AM12" i="10" s="1"/>
  <c r="AL7" i="10"/>
  <c r="AF12" i="10"/>
  <c r="AF13" i="10" s="1"/>
  <c r="AF18" i="10"/>
  <c r="AF19" i="10" s="1"/>
  <c r="AH18" i="10"/>
  <c r="AH19" i="10" s="1"/>
  <c r="AO17" i="10"/>
  <c r="AI18" i="10"/>
  <c r="AD8" i="10"/>
  <c r="AC8" i="10"/>
  <c r="AE8" i="10"/>
  <c r="AF27" i="8"/>
  <c r="AF30" i="8" s="1"/>
  <c r="AG27" i="8"/>
  <c r="AG30" i="8" s="1"/>
  <c r="AH27" i="8"/>
  <c r="AH30" i="8" s="1"/>
  <c r="AC23" i="8"/>
  <c r="AC27" i="8" s="1"/>
  <c r="AC19" i="8"/>
  <c r="AK23" i="8"/>
  <c r="AK24" i="8" s="1"/>
  <c r="AD7" i="10"/>
  <c r="AD12" i="10" s="1"/>
  <c r="AD13" i="10" s="1"/>
  <c r="AE7" i="10"/>
  <c r="AE12" i="10" s="1"/>
  <c r="AE13" i="10" s="1"/>
  <c r="AC7" i="10"/>
  <c r="C17" i="9"/>
  <c r="C22" i="9"/>
  <c r="AE113" i="8"/>
  <c r="AM113" i="8"/>
  <c r="AE43" i="9"/>
  <c r="AJ113" i="8"/>
  <c r="AI113" i="8"/>
  <c r="AG113" i="8"/>
  <c r="AF113" i="8"/>
  <c r="AH113" i="8"/>
  <c r="AD113" i="8"/>
  <c r="AL113" i="8"/>
  <c r="AK113" i="8"/>
  <c r="AA80" i="8"/>
  <c r="AA37" i="8"/>
  <c r="AA34" i="8"/>
  <c r="AI23" i="8"/>
  <c r="W22" i="9"/>
  <c r="C26" i="9"/>
  <c r="C29" i="9"/>
  <c r="AH24" i="8"/>
  <c r="AF24" i="8"/>
  <c r="AL23" i="8"/>
  <c r="AF19" i="8"/>
  <c r="AG24" i="8"/>
  <c r="AD19" i="8"/>
  <c r="AD23" i="8"/>
  <c r="AD27" i="8" s="1"/>
  <c r="AE24" i="8"/>
  <c r="AE30" i="8"/>
  <c r="AJ23" i="8"/>
  <c r="AA31" i="8"/>
  <c r="AO113" i="8" l="1"/>
  <c r="AJ25" i="9"/>
  <c r="C18" i="12" s="1"/>
  <c r="AJ22" i="9"/>
  <c r="AC12" i="10"/>
  <c r="AC13" i="10" s="1"/>
  <c r="AL12" i="10"/>
  <c r="AL13" i="10" s="1"/>
  <c r="AL19" i="10"/>
  <c r="AO12" i="10"/>
  <c r="AM19" i="10"/>
  <c r="AO7" i="10"/>
  <c r="AK19" i="10"/>
  <c r="AK13" i="10"/>
  <c r="AO18" i="10"/>
  <c r="AI19" i="10"/>
  <c r="AH31" i="8"/>
  <c r="AH34" i="8"/>
  <c r="AH37" i="8"/>
  <c r="AG31" i="8"/>
  <c r="AG34" i="8"/>
  <c r="AG37" i="8"/>
  <c r="AF34" i="8"/>
  <c r="AF37" i="8"/>
  <c r="AF31" i="8"/>
  <c r="AI27" i="8"/>
  <c r="AI30" i="8" s="1"/>
  <c r="AL24" i="8"/>
  <c r="AL27" i="8"/>
  <c r="AL30" i="8" s="1"/>
  <c r="AJ27" i="8"/>
  <c r="AJ30" i="8" s="1"/>
  <c r="AK27" i="8"/>
  <c r="AK30" i="8" s="1"/>
  <c r="AC24" i="8"/>
  <c r="AC30" i="8"/>
  <c r="AE19" i="10"/>
  <c r="AC19" i="10"/>
  <c r="AD19" i="10"/>
  <c r="AH43" i="9"/>
  <c r="AG43" i="9"/>
  <c r="AI43" i="9"/>
  <c r="AI24" i="8"/>
  <c r="AE31" i="8"/>
  <c r="AE34" i="8"/>
  <c r="AE37" i="8"/>
  <c r="C80" i="9" a="1"/>
  <c r="C80" i="9" s="1"/>
  <c r="C79" i="9" a="1"/>
  <c r="C79" i="9" s="1"/>
  <c r="C78" i="9"/>
  <c r="C30" i="9"/>
  <c r="C76" i="9"/>
  <c r="C36" i="9"/>
  <c r="C45" i="9" s="1"/>
  <c r="C77" i="9"/>
  <c r="AJ24" i="8"/>
  <c r="AD30" i="8"/>
  <c r="AD24" i="8"/>
  <c r="AJ29" i="9" l="1"/>
  <c r="AJ26" i="9"/>
  <c r="AJ31" i="8"/>
  <c r="AJ37" i="8"/>
  <c r="AJ34" i="8"/>
  <c r="AI37" i="8"/>
  <c r="AI31" i="8"/>
  <c r="AI34" i="8"/>
  <c r="AK31" i="8"/>
  <c r="AK34" i="8"/>
  <c r="AK37" i="8"/>
  <c r="AC34" i="8"/>
  <c r="AC31" i="8"/>
  <c r="AC37" i="8"/>
  <c r="AD31" i="8"/>
  <c r="AD34" i="8"/>
  <c r="AD37" i="8"/>
  <c r="AL31" i="8"/>
  <c r="AL34" i="8"/>
  <c r="AL37" i="8"/>
  <c r="AJ80" i="9" l="1" a="1"/>
  <c r="AJ80" i="9" s="1"/>
  <c r="AJ30" i="9"/>
  <c r="AJ79" i="9" a="1"/>
  <c r="AJ79" i="9" s="1"/>
  <c r="AJ78" i="9"/>
  <c r="AJ76" i="9"/>
  <c r="AJ77" i="9"/>
  <c r="AJ36" i="9"/>
  <c r="AC110" i="8" l="1"/>
  <c r="AC100" i="8"/>
  <c r="AC84" i="8"/>
  <c r="AC83" i="8"/>
  <c r="AC89" i="8"/>
  <c r="AJ67" i="8"/>
  <c r="AJ64" i="8"/>
  <c r="AF64" i="8"/>
  <c r="AJ59" i="8"/>
  <c r="AJ57" i="8"/>
  <c r="AF59" i="8"/>
  <c r="AF57" i="8"/>
  <c r="AJ52" i="8"/>
  <c r="AJ51" i="8"/>
  <c r="AJ50" i="8"/>
  <c r="AF52" i="8"/>
  <c r="AF51" i="8"/>
  <c r="AF50" i="8"/>
  <c r="AJ47" i="8"/>
  <c r="AF47" i="8"/>
  <c r="AC106" i="8" l="1"/>
  <c r="AC109" i="8"/>
  <c r="AC112" i="8"/>
  <c r="AJ62" i="8"/>
  <c r="AF56" i="8"/>
  <c r="AF62" i="8"/>
  <c r="AJ55" i="8"/>
  <c r="AF55" i="8"/>
  <c r="AJ56" i="8"/>
  <c r="W25" i="9"/>
  <c r="AG112" i="8"/>
  <c r="AF112" i="8"/>
  <c r="AI112" i="8"/>
  <c r="AH112" i="8"/>
  <c r="AD106" i="8"/>
  <c r="AD100" i="8"/>
  <c r="AE83" i="8"/>
  <c r="AD83" i="8"/>
  <c r="AI83" i="8"/>
  <c r="AH83" i="8"/>
  <c r="AG83" i="8"/>
  <c r="AF83" i="8"/>
  <c r="AD109" i="8"/>
  <c r="AI94" i="8"/>
  <c r="AG94" i="8"/>
  <c r="AF94" i="8"/>
  <c r="AH94" i="8"/>
  <c r="AE84" i="8"/>
  <c r="AD84" i="8"/>
  <c r="AI84" i="8"/>
  <c r="AH84" i="8"/>
  <c r="AG84" i="8"/>
  <c r="AF84" i="8"/>
  <c r="AE110" i="8"/>
  <c r="AD110" i="8"/>
  <c r="AE89" i="8"/>
  <c r="AD89" i="8"/>
  <c r="AE112" i="8"/>
  <c r="AD112" i="8"/>
  <c r="AG89" i="8"/>
  <c r="AI89" i="8"/>
  <c r="AH89" i="8"/>
  <c r="AF89" i="8"/>
  <c r="AG102" i="8"/>
  <c r="AI102" i="8"/>
  <c r="AH102" i="8"/>
  <c r="AF102" i="8"/>
  <c r="AG110" i="8"/>
  <c r="AF110" i="8"/>
  <c r="AI110" i="8"/>
  <c r="AH110" i="8"/>
  <c r="AM92" i="8"/>
  <c r="AL94" i="8"/>
  <c r="AK94" i="8"/>
  <c r="AJ94" i="8"/>
  <c r="AM94" i="8"/>
  <c r="AO94" i="8" s="1"/>
  <c r="AA114" i="8"/>
  <c r="AJ83" i="8"/>
  <c r="AM83" i="8"/>
  <c r="AO83" i="8" s="1"/>
  <c r="AK83" i="8"/>
  <c r="AL83" i="8"/>
  <c r="AM101" i="8"/>
  <c r="AM84" i="8"/>
  <c r="AO84" i="8" s="1"/>
  <c r="AL84" i="8"/>
  <c r="AK84" i="8"/>
  <c r="AJ84" i="8"/>
  <c r="AJ110" i="8"/>
  <c r="AL110" i="8"/>
  <c r="AK110" i="8"/>
  <c r="AM110" i="8"/>
  <c r="AO110" i="8" s="1"/>
  <c r="AM91" i="8"/>
  <c r="AM93" i="8"/>
  <c r="AL112" i="8"/>
  <c r="AK112" i="8"/>
  <c r="AM112" i="8"/>
  <c r="AJ112" i="8"/>
  <c r="AL89" i="8"/>
  <c r="AK89" i="8"/>
  <c r="AJ89" i="8"/>
  <c r="AM89" i="8"/>
  <c r="AM102" i="8"/>
  <c r="AL102" i="8"/>
  <c r="AK102" i="8"/>
  <c r="AJ102" i="8"/>
  <c r="Z114" i="8"/>
  <c r="AC102" i="8"/>
  <c r="AC93" i="8"/>
  <c r="AC91" i="8"/>
  <c r="AC92" i="8"/>
  <c r="AO102" i="8" l="1"/>
  <c r="AO112" i="8"/>
  <c r="AO89" i="8"/>
  <c r="AO92" i="8"/>
  <c r="AF60" i="8"/>
  <c r="AF65" i="8" s="1"/>
  <c r="AF71" i="8" s="1"/>
  <c r="AJ60" i="8"/>
  <c r="AJ65" i="8" s="1"/>
  <c r="AC111" i="8"/>
  <c r="AC114" i="8" s="1"/>
  <c r="AE94" i="8"/>
  <c r="AC94" i="8"/>
  <c r="AC85" i="8"/>
  <c r="AC86" i="8"/>
  <c r="AL111" i="8"/>
  <c r="AE109" i="8"/>
  <c r="AE91" i="8"/>
  <c r="AA95" i="8"/>
  <c r="AE102" i="8"/>
  <c r="AA103" i="8"/>
  <c r="AJ90" i="8"/>
  <c r="W26" i="9"/>
  <c r="W29" i="9"/>
  <c r="AK86" i="8"/>
  <c r="AI85" i="8"/>
  <c r="AE86" i="8"/>
  <c r="AI91" i="8"/>
  <c r="AO91" i="8" s="1"/>
  <c r="AI92" i="8"/>
  <c r="AE92" i="8"/>
  <c r="AI101" i="8"/>
  <c r="AO101" i="8" s="1"/>
  <c r="AE111" i="8"/>
  <c r="AE85" i="8"/>
  <c r="AD91" i="8"/>
  <c r="AF91" i="8"/>
  <c r="AF101" i="8"/>
  <c r="AD94" i="8"/>
  <c r="AG101" i="8"/>
  <c r="AD92" i="8"/>
  <c r="AD111" i="8"/>
  <c r="AD102" i="8"/>
  <c r="AG91" i="8"/>
  <c r="AE100" i="8"/>
  <c r="AH101" i="8"/>
  <c r="AD85" i="8"/>
  <c r="AH91" i="8"/>
  <c r="AD86" i="8"/>
  <c r="AE106" i="8"/>
  <c r="AF92" i="8"/>
  <c r="AI93" i="8"/>
  <c r="AO93" i="8" s="1"/>
  <c r="AE93" i="8"/>
  <c r="AG92" i="8"/>
  <c r="AD93" i="8"/>
  <c r="AH92" i="8"/>
  <c r="AJ91" i="8"/>
  <c r="AJ93" i="8"/>
  <c r="AL93" i="8"/>
  <c r="AJ92" i="8"/>
  <c r="AJ101" i="8"/>
  <c r="AK92" i="8"/>
  <c r="AK93" i="8"/>
  <c r="AK91" i="8"/>
  <c r="AK101" i="8"/>
  <c r="AL92" i="8"/>
  <c r="AL91" i="8"/>
  <c r="AL101" i="8"/>
  <c r="AA122" i="8" l="1"/>
  <c r="AG106" i="8"/>
  <c r="AJ111" i="8"/>
  <c r="AH111" i="8"/>
  <c r="AK111" i="8"/>
  <c r="AI111" i="8"/>
  <c r="AC90" i="8"/>
  <c r="AC101" i="8"/>
  <c r="AC98" i="8"/>
  <c r="AH106" i="8"/>
  <c r="AE101" i="8"/>
  <c r="AM106" i="8"/>
  <c r="AG109" i="8"/>
  <c r="AI109" i="8"/>
  <c r="AL106" i="8"/>
  <c r="AD101" i="8"/>
  <c r="AF111" i="8"/>
  <c r="AM109" i="8"/>
  <c r="AF106" i="8"/>
  <c r="AM111" i="8"/>
  <c r="AK106" i="8"/>
  <c r="AJ106" i="8"/>
  <c r="AG111" i="8"/>
  <c r="AI106" i="8"/>
  <c r="AD98" i="8"/>
  <c r="AE98" i="8"/>
  <c r="AH109" i="8"/>
  <c r="AJ86" i="8"/>
  <c r="AL90" i="8"/>
  <c r="AK90" i="8"/>
  <c r="AL86" i="8"/>
  <c r="AF86" i="8"/>
  <c r="AM100" i="8"/>
  <c r="AI100" i="8"/>
  <c r="AH86" i="8"/>
  <c r="AE90" i="8"/>
  <c r="AD90" i="8"/>
  <c r="AG85" i="8"/>
  <c r="AL85" i="8"/>
  <c r="AM98" i="8"/>
  <c r="AH90" i="8"/>
  <c r="AM86" i="8"/>
  <c r="AM90" i="8"/>
  <c r="AF85" i="8"/>
  <c r="AG86" i="8"/>
  <c r="W36" i="9"/>
  <c r="W44" i="9" s="1"/>
  <c r="W30" i="9"/>
  <c r="AH85" i="8"/>
  <c r="AI98" i="8"/>
  <c r="AI86" i="8"/>
  <c r="AF109" i="8"/>
  <c r="AF93" i="8"/>
  <c r="AG93" i="8"/>
  <c r="AF100" i="8"/>
  <c r="AD114" i="8"/>
  <c r="AG100" i="8"/>
  <c r="AG98" i="8"/>
  <c r="AH93" i="8"/>
  <c r="AH98" i="8"/>
  <c r="AI90" i="8"/>
  <c r="AG90" i="8"/>
  <c r="AF90" i="8"/>
  <c r="AH100" i="8"/>
  <c r="AF98" i="8"/>
  <c r="AE114" i="8"/>
  <c r="AL109" i="8"/>
  <c r="AL98" i="8"/>
  <c r="AJ98" i="8"/>
  <c r="AK98" i="8"/>
  <c r="AJ109" i="8"/>
  <c r="AK109" i="8"/>
  <c r="AK100" i="8"/>
  <c r="AM85" i="8"/>
  <c r="AO85" i="8" s="1"/>
  <c r="AJ85" i="8"/>
  <c r="AJ100" i="8"/>
  <c r="AL100" i="8"/>
  <c r="AK85" i="8"/>
  <c r="AO100" i="8" l="1"/>
  <c r="AO98" i="8"/>
  <c r="AO106" i="8"/>
  <c r="AO111" i="8"/>
  <c r="AO90" i="8"/>
  <c r="AO86" i="8"/>
  <c r="AO109" i="8"/>
  <c r="AI114" i="8"/>
  <c r="AH114" i="8"/>
  <c r="AD103" i="8"/>
  <c r="AE103" i="8"/>
  <c r="AC103" i="8"/>
  <c r="AI103" i="8"/>
  <c r="AG114" i="8"/>
  <c r="AL114" i="8"/>
  <c r="AF114" i="8"/>
  <c r="AF103" i="8"/>
  <c r="AG103" i="8"/>
  <c r="AH103" i="8"/>
  <c r="AJ114" i="8"/>
  <c r="AJ103" i="8"/>
  <c r="AK114" i="8"/>
  <c r="AL103" i="8"/>
  <c r="AK103" i="8"/>
  <c r="G103" i="8" l="1"/>
  <c r="G70" i="8"/>
  <c r="G60" i="8"/>
  <c r="G65" i="8" s="1"/>
  <c r="G53" i="8"/>
  <c r="G15" i="8"/>
  <c r="G13" i="10" s="1"/>
  <c r="AF44" i="8"/>
  <c r="AJ44" i="8"/>
  <c r="Y50" i="9"/>
  <c r="Y55" i="9"/>
  <c r="W15" i="8"/>
  <c r="W13" i="10" s="1"/>
  <c r="V15" i="8"/>
  <c r="V13" i="10" s="1"/>
  <c r="U15" i="8"/>
  <c r="U13" i="10" s="1"/>
  <c r="S15" i="8"/>
  <c r="S13" i="10" s="1"/>
  <c r="R15" i="8"/>
  <c r="R13" i="10" s="1"/>
  <c r="Q15" i="8"/>
  <c r="Q13" i="10" s="1"/>
  <c r="O15" i="8"/>
  <c r="O13" i="10" s="1"/>
  <c r="N15" i="8"/>
  <c r="N13" i="10" s="1"/>
  <c r="M15" i="8"/>
  <c r="M13" i="10" s="1"/>
  <c r="Z15" i="8"/>
  <c r="Z13" i="10" s="1"/>
  <c r="K15" i="8"/>
  <c r="K13" i="10" s="1"/>
  <c r="J15" i="8"/>
  <c r="J13" i="10" s="1"/>
  <c r="I15" i="8"/>
  <c r="I13" i="10" s="1"/>
  <c r="H15" i="8"/>
  <c r="H13" i="10" s="1"/>
  <c r="M114" i="8"/>
  <c r="U103" i="8"/>
  <c r="Q103" i="8"/>
  <c r="M103" i="8"/>
  <c r="K103" i="8"/>
  <c r="J103" i="8"/>
  <c r="I103" i="8"/>
  <c r="H103" i="8"/>
  <c r="AI71" i="9"/>
  <c r="AH71" i="9"/>
  <c r="AF71" i="9"/>
  <c r="AE71" i="9"/>
  <c r="AD71" i="9"/>
  <c r="AB71" i="9"/>
  <c r="AA71" i="9"/>
  <c r="Z71" i="9"/>
  <c r="K70" i="8"/>
  <c r="G71" i="9" s="1"/>
  <c r="J70" i="8"/>
  <c r="F71" i="9" s="1"/>
  <c r="I70" i="8"/>
  <c r="E71" i="9" s="1"/>
  <c r="H70" i="8"/>
  <c r="D71" i="9" s="1"/>
  <c r="AJ69" i="8"/>
  <c r="AJ68" i="8"/>
  <c r="Z60" i="8"/>
  <c r="W60" i="8"/>
  <c r="V60" i="8"/>
  <c r="U60" i="8"/>
  <c r="S60" i="8"/>
  <c r="R60" i="8"/>
  <c r="Q60" i="8"/>
  <c r="O60" i="8"/>
  <c r="N60" i="8"/>
  <c r="M60" i="8"/>
  <c r="K60" i="8"/>
  <c r="K65" i="8" s="1"/>
  <c r="J60" i="8"/>
  <c r="J65" i="8" s="1"/>
  <c r="I60" i="8"/>
  <c r="I65" i="8" s="1"/>
  <c r="H60" i="8"/>
  <c r="H65" i="8" s="1"/>
  <c r="Z53" i="8"/>
  <c r="W53" i="8"/>
  <c r="V53" i="8"/>
  <c r="U53" i="8"/>
  <c r="S53" i="8"/>
  <c r="R53" i="8"/>
  <c r="Q53" i="8"/>
  <c r="O53" i="8"/>
  <c r="N53" i="8"/>
  <c r="M53" i="8"/>
  <c r="K53" i="8"/>
  <c r="J53" i="8"/>
  <c r="I53" i="8"/>
  <c r="X15" i="8"/>
  <c r="X13" i="10" s="1"/>
  <c r="AM15" i="8"/>
  <c r="AM13" i="10" s="1"/>
  <c r="V69" i="9"/>
  <c r="U69" i="9"/>
  <c r="U72" i="9" s="1"/>
  <c r="U81" i="9" s="1"/>
  <c r="S69" i="9"/>
  <c r="R69" i="9"/>
  <c r="Q69" i="9"/>
  <c r="O69" i="9"/>
  <c r="N69" i="9"/>
  <c r="M69" i="9"/>
  <c r="M72" i="9" s="1"/>
  <c r="M81" i="9" s="1"/>
  <c r="K69" i="9"/>
  <c r="J69" i="9"/>
  <c r="I69" i="9"/>
  <c r="G69" i="9"/>
  <c r="F69" i="9"/>
  <c r="E69" i="9"/>
  <c r="D69" i="9"/>
  <c r="AI64" i="9"/>
  <c r="AH64" i="9"/>
  <c r="AG64" i="9"/>
  <c r="AF64" i="9"/>
  <c r="AE64" i="9"/>
  <c r="AD64" i="9"/>
  <c r="AC64" i="9"/>
  <c r="AB64" i="9"/>
  <c r="AA64" i="9"/>
  <c r="Z64" i="9"/>
  <c r="Y64" i="9"/>
  <c r="AI63" i="9"/>
  <c r="AH63" i="9"/>
  <c r="AG63" i="9"/>
  <c r="AF63" i="9"/>
  <c r="AE63" i="9"/>
  <c r="AD63" i="9"/>
  <c r="AC63" i="9"/>
  <c r="AB63" i="9"/>
  <c r="AA63" i="9"/>
  <c r="Z63" i="9"/>
  <c r="Y63" i="9"/>
  <c r="AI58" i="9"/>
  <c r="AH58" i="9"/>
  <c r="AG58" i="9"/>
  <c r="AF58" i="9"/>
  <c r="AE58" i="9"/>
  <c r="AD58" i="9"/>
  <c r="AC58" i="9"/>
  <c r="AB58" i="9"/>
  <c r="AA58" i="9"/>
  <c r="Z58" i="9"/>
  <c r="Y58" i="9"/>
  <c r="AI56" i="9"/>
  <c r="AH56" i="9"/>
  <c r="AG56" i="9"/>
  <c r="AF56" i="9"/>
  <c r="AE56" i="9"/>
  <c r="AD56" i="9"/>
  <c r="AC56" i="9"/>
  <c r="AB56" i="9"/>
  <c r="AA56" i="9"/>
  <c r="Z56" i="9"/>
  <c r="Y56" i="9"/>
  <c r="AI55" i="9"/>
  <c r="AH55" i="9"/>
  <c r="AF55" i="9"/>
  <c r="AE55" i="9"/>
  <c r="AD55" i="9"/>
  <c r="AB55" i="9"/>
  <c r="AA55" i="9"/>
  <c r="Z55" i="9"/>
  <c r="AI50" i="9"/>
  <c r="AH50" i="9"/>
  <c r="AD50" i="9"/>
  <c r="AB50" i="9"/>
  <c r="AA50" i="9"/>
  <c r="Z50" i="9"/>
  <c r="AH49" i="9"/>
  <c r="AF49" i="9"/>
  <c r="AE49" i="9"/>
  <c r="AD49" i="9"/>
  <c r="AA49" i="9"/>
  <c r="AF35" i="9"/>
  <c r="AL35" i="9" s="1"/>
  <c r="AD35" i="9"/>
  <c r="AC32" i="9"/>
  <c r="AF28" i="9"/>
  <c r="AL28" i="9" s="1"/>
  <c r="AE28" i="9"/>
  <c r="AG24" i="9"/>
  <c r="Y24" i="9"/>
  <c r="AD20" i="9"/>
  <c r="AG19" i="9"/>
  <c r="Y19" i="9"/>
  <c r="D12" i="9"/>
  <c r="AD52" i="9" l="1"/>
  <c r="AA52" i="9"/>
  <c r="AH52" i="9"/>
  <c r="D59" i="9"/>
  <c r="D60" i="9"/>
  <c r="E59" i="9"/>
  <c r="E60" i="9"/>
  <c r="C60" i="9"/>
  <c r="C59" i="9"/>
  <c r="F59" i="9"/>
  <c r="F60" i="9"/>
  <c r="C71" i="9"/>
  <c r="C72" i="9" s="1"/>
  <c r="C81" i="9" s="1"/>
  <c r="G59" i="9"/>
  <c r="G60" i="9"/>
  <c r="N72" i="9"/>
  <c r="N81" i="9" s="1"/>
  <c r="V72" i="9"/>
  <c r="V81" i="9" s="1"/>
  <c r="R65" i="8"/>
  <c r="AF43" i="8"/>
  <c r="AC49" i="9"/>
  <c r="S65" i="8"/>
  <c r="AJ45" i="8"/>
  <c r="AG50" i="9"/>
  <c r="U65" i="8"/>
  <c r="AF45" i="8"/>
  <c r="AC50" i="9"/>
  <c r="V65" i="8"/>
  <c r="M65" i="8"/>
  <c r="W65" i="8"/>
  <c r="N65" i="8"/>
  <c r="AH60" i="9"/>
  <c r="AH59" i="9"/>
  <c r="E72" i="9"/>
  <c r="E81" i="9" s="1"/>
  <c r="O72" i="9"/>
  <c r="O81" i="9" s="1"/>
  <c r="O65" i="8"/>
  <c r="Z65" i="8"/>
  <c r="AG55" i="9"/>
  <c r="AO15" i="8"/>
  <c r="Q65" i="8"/>
  <c r="AC55" i="9"/>
  <c r="AJ43" i="8"/>
  <c r="AG49" i="9"/>
  <c r="Y69" i="9"/>
  <c r="G18" i="8"/>
  <c r="G19" i="8" s="1"/>
  <c r="K72" i="9"/>
  <c r="AF40" i="9"/>
  <c r="AD41" i="9"/>
  <c r="AB41" i="9"/>
  <c r="AI49" i="9"/>
  <c r="AI52" i="9" s="1"/>
  <c r="W45" i="9"/>
  <c r="AC42" i="9"/>
  <c r="AB39" i="9"/>
  <c r="Z40" i="9"/>
  <c r="AH40" i="9"/>
  <c r="AD42" i="9"/>
  <c r="AF24" i="9"/>
  <c r="AL24" i="9" s="1"/>
  <c r="AD28" i="9"/>
  <c r="AB32" i="9"/>
  <c r="AE35" i="9"/>
  <c r="AE40" i="9"/>
  <c r="AA69" i="9"/>
  <c r="AA72" i="9" s="1"/>
  <c r="AA81" i="9" s="1"/>
  <c r="G72" i="9"/>
  <c r="G81" i="9" s="1"/>
  <c r="J72" i="9"/>
  <c r="AF20" i="9"/>
  <c r="AL20" i="9" s="1"/>
  <c r="AF19" i="9"/>
  <c r="AL19" i="9" s="1"/>
  <c r="Y49" i="9"/>
  <c r="Y52" i="9" s="1"/>
  <c r="O16" i="9"/>
  <c r="Z49" i="9"/>
  <c r="Z52" i="9" s="1"/>
  <c r="AD32" i="9"/>
  <c r="AA39" i="9"/>
  <c r="AI39" i="9"/>
  <c r="AE41" i="9"/>
  <c r="M12" i="9"/>
  <c r="U12" i="9"/>
  <c r="Y20" i="9"/>
  <c r="AG20" i="9"/>
  <c r="AA28" i="9"/>
  <c r="AI28" i="9"/>
  <c r="AC39" i="9"/>
  <c r="AE42" i="9"/>
  <c r="AI69" i="9"/>
  <c r="AI72" i="9" s="1"/>
  <c r="AI81" i="9" s="1"/>
  <c r="Z20" i="9"/>
  <c r="AH20" i="9"/>
  <c r="AD39" i="9"/>
  <c r="Z41" i="9"/>
  <c r="AH41" i="9"/>
  <c r="AF42" i="9"/>
  <c r="AE39" i="9"/>
  <c r="AA41" i="9"/>
  <c r="AI41" i="9"/>
  <c r="Y42" i="9"/>
  <c r="AG42" i="9"/>
  <c r="F72" i="9"/>
  <c r="F81" i="9" s="1"/>
  <c r="AA20" i="9"/>
  <c r="AI20" i="9"/>
  <c r="Y39" i="9"/>
  <c r="AG39" i="9"/>
  <c r="AC40" i="9"/>
  <c r="Y41" i="9"/>
  <c r="AG41" i="9"/>
  <c r="AA42" i="9"/>
  <c r="AI42" i="9"/>
  <c r="AH69" i="9"/>
  <c r="AH72" i="9" s="1"/>
  <c r="AH81" i="9" s="1"/>
  <c r="Z19" i="9"/>
  <c r="AH19" i="9"/>
  <c r="Z32" i="9"/>
  <c r="AH32" i="9"/>
  <c r="AB38" i="9"/>
  <c r="Z39" i="9"/>
  <c r="AH39" i="9"/>
  <c r="AD40" i="9"/>
  <c r="AB42" i="9"/>
  <c r="Z69" i="9"/>
  <c r="Z72" i="9" s="1"/>
  <c r="Z81" i="9" s="1"/>
  <c r="I72" i="9"/>
  <c r="AI24" i="9"/>
  <c r="AC19" i="9"/>
  <c r="AE24" i="9"/>
  <c r="AE38" i="9"/>
  <c r="Y40" i="9"/>
  <c r="AG40" i="9"/>
  <c r="AC41" i="9"/>
  <c r="AI19" i="9"/>
  <c r="U13" i="9"/>
  <c r="AE19" i="9"/>
  <c r="AE32" i="9"/>
  <c r="AE69" i="9"/>
  <c r="AE72" i="9" s="1"/>
  <c r="AE81" i="9" s="1"/>
  <c r="Z24" i="9"/>
  <c r="AH24" i="9"/>
  <c r="AC28" i="9"/>
  <c r="Y35" i="9"/>
  <c r="AG35" i="9"/>
  <c r="AF39" i="9"/>
  <c r="AF41" i="9"/>
  <c r="AF69" i="9"/>
  <c r="AF72" i="9" s="1"/>
  <c r="AF81" i="9" s="1"/>
  <c r="AJ70" i="8"/>
  <c r="AJ71" i="8" s="1"/>
  <c r="X48" i="8"/>
  <c r="X53" i="8" s="1"/>
  <c r="T48" i="8"/>
  <c r="T53" i="8" s="1"/>
  <c r="P48" i="8"/>
  <c r="P53" i="8" s="1"/>
  <c r="G114" i="8"/>
  <c r="J18" i="8"/>
  <c r="J23" i="8" s="1"/>
  <c r="J27" i="8" s="1"/>
  <c r="I18" i="8"/>
  <c r="I23" i="8" s="1"/>
  <c r="I27" i="8" s="1"/>
  <c r="U18" i="8"/>
  <c r="U19" i="8" s="1"/>
  <c r="N18" i="8"/>
  <c r="N19" i="8" s="1"/>
  <c r="T15" i="8"/>
  <c r="T13" i="10" s="1"/>
  <c r="P15" i="8"/>
  <c r="P13" i="10" s="1"/>
  <c r="K18" i="8"/>
  <c r="K23" i="8" s="1"/>
  <c r="K27" i="8" s="1"/>
  <c r="V18" i="8"/>
  <c r="V19" i="8" s="1"/>
  <c r="M18" i="8"/>
  <c r="M19" i="8" s="1"/>
  <c r="W18" i="8"/>
  <c r="W19" i="8" s="1"/>
  <c r="U114" i="8"/>
  <c r="O18" i="8"/>
  <c r="O23" i="8" s="1"/>
  <c r="O27" i="8" s="1"/>
  <c r="Z18" i="8"/>
  <c r="Z19" i="8" s="1"/>
  <c r="K114" i="8"/>
  <c r="R114" i="8"/>
  <c r="Q18" i="8"/>
  <c r="Q23" i="8" s="1"/>
  <c r="Q27" i="8" s="1"/>
  <c r="H18" i="8"/>
  <c r="H19" i="8" s="1"/>
  <c r="R18" i="8"/>
  <c r="R19" i="8" s="1"/>
  <c r="H114" i="8"/>
  <c r="X18" i="8"/>
  <c r="I71" i="8"/>
  <c r="I73" i="8" s="1"/>
  <c r="X60" i="8"/>
  <c r="Y71" i="9"/>
  <c r="N103" i="8"/>
  <c r="J114" i="8"/>
  <c r="P60" i="8"/>
  <c r="AC71" i="9"/>
  <c r="Z103" i="8"/>
  <c r="W114" i="8"/>
  <c r="I114" i="8"/>
  <c r="T60" i="8"/>
  <c r="AG71" i="9"/>
  <c r="N114" i="8"/>
  <c r="S18" i="8"/>
  <c r="S23" i="8" s="1"/>
  <c r="S27" i="8" s="1"/>
  <c r="AM60" i="8"/>
  <c r="R103" i="8"/>
  <c r="H71" i="8"/>
  <c r="H73" i="8" s="1"/>
  <c r="O103" i="8"/>
  <c r="Q114" i="8"/>
  <c r="V103" i="8"/>
  <c r="AM70" i="8"/>
  <c r="AO70" i="8" s="1"/>
  <c r="G16" i="9"/>
  <c r="G12" i="9"/>
  <c r="E16" i="9"/>
  <c r="E12" i="9"/>
  <c r="F16" i="9"/>
  <c r="F12" i="9"/>
  <c r="M13" i="9"/>
  <c r="AE20" i="9"/>
  <c r="AC20" i="9"/>
  <c r="AB20" i="9"/>
  <c r="AB28" i="9"/>
  <c r="Z28" i="9"/>
  <c r="Y28" i="9"/>
  <c r="AH28" i="9"/>
  <c r="AG28" i="9"/>
  <c r="Y15" i="9"/>
  <c r="AD19" i="9"/>
  <c r="AB19" i="9"/>
  <c r="AA19" i="9"/>
  <c r="AA32" i="9"/>
  <c r="Y32" i="9"/>
  <c r="AI32" i="9"/>
  <c r="AG32" i="9"/>
  <c r="AF32" i="9"/>
  <c r="AL32" i="9" s="1"/>
  <c r="AB35" i="9"/>
  <c r="W12" i="9"/>
  <c r="W13" i="9"/>
  <c r="AC35" i="9"/>
  <c r="AA35" i="9"/>
  <c r="Z35" i="9"/>
  <c r="AI35" i="9"/>
  <c r="AH35" i="9"/>
  <c r="AG15" i="9"/>
  <c r="Y34" i="9"/>
  <c r="AE50" i="9"/>
  <c r="AE52" i="9" s="1"/>
  <c r="Q72" i="9"/>
  <c r="Q81" i="9" s="1"/>
  <c r="D16" i="9"/>
  <c r="AC24" i="9"/>
  <c r="AI34" i="9"/>
  <c r="AD15" i="9"/>
  <c r="AD24" i="9"/>
  <c r="AB24" i="9"/>
  <c r="AA24" i="9"/>
  <c r="AA38" i="9"/>
  <c r="Z38" i="9"/>
  <c r="Y38" i="9"/>
  <c r="AI38" i="9"/>
  <c r="AH38" i="9"/>
  <c r="AG38" i="9"/>
  <c r="AC38" i="9"/>
  <c r="AA40" i="9"/>
  <c r="AI40" i="9"/>
  <c r="AD38" i="9"/>
  <c r="AB40" i="9"/>
  <c r="Z42" i="9"/>
  <c r="AH42" i="9"/>
  <c r="AB69" i="9"/>
  <c r="AF38" i="9"/>
  <c r="AI33" i="9"/>
  <c r="AD69" i="9"/>
  <c r="AB49" i="9"/>
  <c r="AB52" i="9" s="1"/>
  <c r="R72" i="9"/>
  <c r="R81" i="9" s="1"/>
  <c r="AF50" i="9"/>
  <c r="AF52" i="9" s="1"/>
  <c r="S72" i="9"/>
  <c r="S81" i="9" s="1"/>
  <c r="D72" i="9"/>
  <c r="D81" i="9" s="1"/>
  <c r="AC52" i="9" l="1"/>
  <c r="AG52" i="9"/>
  <c r="M59" i="9"/>
  <c r="Z59" i="9" s="1"/>
  <c r="M60" i="9"/>
  <c r="Z60" i="9" s="1"/>
  <c r="R60" i="9"/>
  <c r="AE60" i="9" s="1"/>
  <c r="R59" i="9"/>
  <c r="AE59" i="9" s="1"/>
  <c r="O59" i="9"/>
  <c r="AB59" i="9" s="1"/>
  <c r="O60" i="9"/>
  <c r="AB60" i="9" s="1"/>
  <c r="K60" i="9"/>
  <c r="K59" i="9"/>
  <c r="J60" i="9"/>
  <c r="J59" i="9"/>
  <c r="Q60" i="9"/>
  <c r="AD60" i="9" s="1"/>
  <c r="Q59" i="9"/>
  <c r="AD59" i="9" s="1"/>
  <c r="N59" i="9"/>
  <c r="AA59" i="9" s="1"/>
  <c r="N60" i="9"/>
  <c r="AA60" i="9" s="1"/>
  <c r="I60" i="9"/>
  <c r="I59" i="9"/>
  <c r="V59" i="9"/>
  <c r="AI59" i="9" s="1"/>
  <c r="V60" i="9"/>
  <c r="AI60" i="9" s="1"/>
  <c r="S60" i="9"/>
  <c r="AF60" i="9" s="1"/>
  <c r="S59" i="9"/>
  <c r="AF59" i="9" s="1"/>
  <c r="AG69" i="9"/>
  <c r="AG72" i="9" s="1"/>
  <c r="AG81" i="9" s="1"/>
  <c r="AC69" i="9"/>
  <c r="AC72" i="9" s="1"/>
  <c r="AC81" i="9" s="1"/>
  <c r="W71" i="8"/>
  <c r="W73" i="8" s="1"/>
  <c r="S71" i="8"/>
  <c r="S73" i="8" s="1"/>
  <c r="U71" i="8"/>
  <c r="U73" i="8" s="1"/>
  <c r="T69" i="9"/>
  <c r="T72" i="9" s="1"/>
  <c r="T81" i="9" s="1"/>
  <c r="O71" i="8"/>
  <c r="O73" i="8" s="1"/>
  <c r="G23" i="8"/>
  <c r="G27" i="8" s="1"/>
  <c r="G30" i="8" s="1"/>
  <c r="G80" i="8" s="1"/>
  <c r="AJ48" i="8"/>
  <c r="AJ53" i="8" s="1"/>
  <c r="AJ73" i="8" s="1"/>
  <c r="M71" i="8"/>
  <c r="M73" i="8" s="1"/>
  <c r="AF48" i="8"/>
  <c r="AF53" i="8" s="1"/>
  <c r="AF73" i="8" s="1"/>
  <c r="Z71" i="8"/>
  <c r="Z73" i="8" s="1"/>
  <c r="V71" i="8"/>
  <c r="V73" i="8" s="1"/>
  <c r="Q71" i="8"/>
  <c r="Q73" i="8" s="1"/>
  <c r="R71" i="8"/>
  <c r="R73" i="8" s="1"/>
  <c r="N71" i="8"/>
  <c r="N73" i="8" s="1"/>
  <c r="J71" i="8"/>
  <c r="J73" i="8" s="1"/>
  <c r="K71" i="8"/>
  <c r="K73" i="8" s="1"/>
  <c r="G71" i="8"/>
  <c r="G73" i="8" s="1"/>
  <c r="P65" i="8"/>
  <c r="T65" i="8"/>
  <c r="P69" i="9"/>
  <c r="P72" i="9" s="1"/>
  <c r="P81" i="9" s="1"/>
  <c r="AM65" i="8"/>
  <c r="AO65" i="8" s="1"/>
  <c r="AO60" i="8"/>
  <c r="L69" i="9"/>
  <c r="L72" i="9" s="1"/>
  <c r="L81" i="9" s="1"/>
  <c r="X65" i="8"/>
  <c r="P13" i="9"/>
  <c r="T12" i="9"/>
  <c r="Q12" i="9"/>
  <c r="R13" i="9"/>
  <c r="T16" i="9"/>
  <c r="T21" i="9" s="1"/>
  <c r="O13" i="9"/>
  <c r="Q13" i="9"/>
  <c r="N13" i="9"/>
  <c r="R16" i="9"/>
  <c r="R17" i="9" s="1"/>
  <c r="P16" i="9"/>
  <c r="P21" i="9" s="1"/>
  <c r="AC33" i="9"/>
  <c r="AG16" i="9"/>
  <c r="AA34" i="9"/>
  <c r="J13" i="9"/>
  <c r="AA33" i="9"/>
  <c r="AB34" i="9"/>
  <c r="Z34" i="9"/>
  <c r="R12" i="9"/>
  <c r="AD16" i="9"/>
  <c r="AE34" i="9"/>
  <c r="Y33" i="9"/>
  <c r="N12" i="9"/>
  <c r="Z33" i="9"/>
  <c r="Y16" i="9"/>
  <c r="J16" i="9"/>
  <c r="J17" i="9" s="1"/>
  <c r="AF33" i="9"/>
  <c r="AL33" i="9" s="1"/>
  <c r="AC34" i="9"/>
  <c r="P12" i="9"/>
  <c r="AM48" i="8"/>
  <c r="J19" i="8"/>
  <c r="K19" i="8"/>
  <c r="I19" i="8"/>
  <c r="N23" i="8"/>
  <c r="U23" i="8"/>
  <c r="V23" i="8"/>
  <c r="T18" i="8"/>
  <c r="T23" i="8" s="1"/>
  <c r="O19" i="8"/>
  <c r="H23" i="8"/>
  <c r="W23" i="8"/>
  <c r="R23" i="8"/>
  <c r="R27" i="8" s="1"/>
  <c r="P18" i="8"/>
  <c r="P23" i="8" s="1"/>
  <c r="Z23" i="8"/>
  <c r="M23" i="8"/>
  <c r="X114" i="8"/>
  <c r="S19" i="8"/>
  <c r="AM18" i="8"/>
  <c r="AM114" i="8"/>
  <c r="V114" i="8"/>
  <c r="Q19" i="8"/>
  <c r="S103" i="8"/>
  <c r="T103" i="8"/>
  <c r="T114" i="8"/>
  <c r="P103" i="8"/>
  <c r="X103" i="8"/>
  <c r="S30" i="8"/>
  <c r="S24" i="8"/>
  <c r="O24" i="8"/>
  <c r="O30" i="8"/>
  <c r="O80" i="8" s="1"/>
  <c r="J30" i="8"/>
  <c r="J80" i="8" s="1"/>
  <c r="J24" i="8"/>
  <c r="Q24" i="8"/>
  <c r="Q30" i="8"/>
  <c r="S114" i="8"/>
  <c r="O114" i="8"/>
  <c r="X23" i="8"/>
  <c r="X27" i="8" s="1"/>
  <c r="X19" i="8"/>
  <c r="I30" i="8"/>
  <c r="I80" i="8" s="1"/>
  <c r="I24" i="8"/>
  <c r="W103" i="8"/>
  <c r="K30" i="8"/>
  <c r="K80" i="8" s="1"/>
  <c r="K24" i="8"/>
  <c r="O21" i="9"/>
  <c r="O17" i="9"/>
  <c r="AF34" i="9"/>
  <c r="AL34" i="9" s="1"/>
  <c r="AH33" i="9"/>
  <c r="AG33" i="9"/>
  <c r="AI15" i="9"/>
  <c r="AE15" i="9"/>
  <c r="F21" i="9"/>
  <c r="F17" i="9"/>
  <c r="Y72" i="9"/>
  <c r="Y81" i="9" s="1"/>
  <c r="AC15" i="9"/>
  <c r="S12" i="9"/>
  <c r="S16" i="9"/>
  <c r="S13" i="9"/>
  <c r="K16" i="9"/>
  <c r="K13" i="9"/>
  <c r="AA15" i="9"/>
  <c r="U16" i="9"/>
  <c r="AB72" i="9"/>
  <c r="AB81" i="9" s="1"/>
  <c r="Z15" i="9"/>
  <c r="AB15" i="9"/>
  <c r="AE33" i="9"/>
  <c r="AH15" i="9"/>
  <c r="AJ12" i="9"/>
  <c r="AF15" i="9"/>
  <c r="AL15" i="9" s="1"/>
  <c r="N16" i="9"/>
  <c r="T13" i="9"/>
  <c r="AD72" i="9"/>
  <c r="AD81" i="9" s="1"/>
  <c r="D21" i="9"/>
  <c r="D17" i="9"/>
  <c r="AG34" i="9"/>
  <c r="AD34" i="9"/>
  <c r="V12" i="9"/>
  <c r="V16" i="9"/>
  <c r="V13" i="9"/>
  <c r="L16" i="9"/>
  <c r="L13" i="9"/>
  <c r="O12" i="9"/>
  <c r="M16" i="9"/>
  <c r="G21" i="9"/>
  <c r="D20" i="12" s="1"/>
  <c r="G17" i="9"/>
  <c r="Q16" i="9"/>
  <c r="E21" i="9"/>
  <c r="E17" i="9"/>
  <c r="AH34" i="9"/>
  <c r="AD33" i="9"/>
  <c r="AB33" i="9"/>
  <c r="I16" i="9"/>
  <c r="D21" i="12" l="1"/>
  <c r="D24" i="12"/>
  <c r="D25" i="12"/>
  <c r="G24" i="8"/>
  <c r="P59" i="9"/>
  <c r="AC59" i="9" s="1"/>
  <c r="P60" i="9"/>
  <c r="AC60" i="9" s="1"/>
  <c r="T60" i="9"/>
  <c r="AG60" i="9" s="1"/>
  <c r="T59" i="9"/>
  <c r="AG59" i="9" s="1"/>
  <c r="L60" i="9"/>
  <c r="Y60" i="9" s="1"/>
  <c r="L59" i="9"/>
  <c r="Y59" i="9" s="1"/>
  <c r="AO114" i="8"/>
  <c r="AH16" i="9"/>
  <c r="AH21" i="9" s="1"/>
  <c r="H27" i="8"/>
  <c r="H30" i="8" s="1"/>
  <c r="T27" i="8"/>
  <c r="T30" i="8" s="1"/>
  <c r="M27" i="8"/>
  <c r="M30" i="8" s="1"/>
  <c r="V27" i="8"/>
  <c r="V30" i="8" s="1"/>
  <c r="Z27" i="8"/>
  <c r="Z30" i="8" s="1"/>
  <c r="U27" i="8"/>
  <c r="U30" i="8" s="1"/>
  <c r="P24" i="8"/>
  <c r="P27" i="8"/>
  <c r="P30" i="8" s="1"/>
  <c r="N24" i="8"/>
  <c r="N27" i="8"/>
  <c r="N30" i="8" s="1"/>
  <c r="N80" i="8" s="1"/>
  <c r="W27" i="8"/>
  <c r="W30" i="8" s="1"/>
  <c r="AM71" i="8"/>
  <c r="AO71" i="8" s="1"/>
  <c r="R30" i="8"/>
  <c r="T71" i="8"/>
  <c r="T73" i="8" s="1"/>
  <c r="P71" i="8"/>
  <c r="P73" i="8" s="1"/>
  <c r="X71" i="8"/>
  <c r="X73" i="8" s="1"/>
  <c r="AM53" i="8"/>
  <c r="AO53" i="8" s="1"/>
  <c r="AO48" i="8"/>
  <c r="T17" i="9"/>
  <c r="P17" i="9"/>
  <c r="K34" i="8"/>
  <c r="K37" i="8"/>
  <c r="I34" i="8"/>
  <c r="I37" i="8"/>
  <c r="J37" i="8"/>
  <c r="J34" i="8"/>
  <c r="Q34" i="8"/>
  <c r="Q37" i="8"/>
  <c r="O34" i="8"/>
  <c r="O37" i="8"/>
  <c r="S37" i="8"/>
  <c r="S34" i="8"/>
  <c r="G95" i="8"/>
  <c r="G122" i="8" s="1"/>
  <c r="G37" i="8"/>
  <c r="G34" i="8"/>
  <c r="R21" i="9"/>
  <c r="R22" i="9" s="1"/>
  <c r="Z16" i="9"/>
  <c r="Z17" i="9" s="1"/>
  <c r="AG12" i="9"/>
  <c r="AC12" i="9"/>
  <c r="AE12" i="9"/>
  <c r="AE16" i="9"/>
  <c r="AE17" i="9" s="1"/>
  <c r="AI12" i="9"/>
  <c r="AD12" i="9"/>
  <c r="AA16" i="9"/>
  <c r="AA17" i="9" s="1"/>
  <c r="AH12" i="9"/>
  <c r="AB16" i="9"/>
  <c r="AB17" i="9" s="1"/>
  <c r="AC16" i="9"/>
  <c r="AC21" i="9" s="1"/>
  <c r="J21" i="9"/>
  <c r="J22" i="9" s="1"/>
  <c r="AM23" i="8"/>
  <c r="AO18" i="8"/>
  <c r="S31" i="8"/>
  <c r="S80" i="8"/>
  <c r="K31" i="8"/>
  <c r="K95" i="8"/>
  <c r="K122" i="8" s="1"/>
  <c r="I31" i="8"/>
  <c r="I95" i="8"/>
  <c r="I122" i="8" s="1"/>
  <c r="J31" i="8"/>
  <c r="J95" i="8"/>
  <c r="J122" i="8" s="1"/>
  <c r="Q31" i="8"/>
  <c r="Q80" i="8"/>
  <c r="O31" i="8"/>
  <c r="G31" i="8"/>
  <c r="U24" i="8"/>
  <c r="V24" i="8"/>
  <c r="W24" i="8"/>
  <c r="H24" i="8"/>
  <c r="M24" i="8"/>
  <c r="T19" i="8"/>
  <c r="R24" i="8"/>
  <c r="Z24" i="8"/>
  <c r="P19" i="8"/>
  <c r="AM103" i="8"/>
  <c r="AO103" i="8" s="1"/>
  <c r="AM19" i="8"/>
  <c r="AO19" i="8" s="1"/>
  <c r="T24" i="8"/>
  <c r="X24" i="8"/>
  <c r="X30" i="8"/>
  <c r="P114" i="8"/>
  <c r="I21" i="9"/>
  <c r="I17" i="9"/>
  <c r="E25" i="9"/>
  <c r="E22" i="9"/>
  <c r="D25" i="9"/>
  <c r="D22" i="9"/>
  <c r="AF16" i="9"/>
  <c r="AL16" i="9" s="1"/>
  <c r="AF12" i="9"/>
  <c r="AL12" i="9" s="1"/>
  <c r="K17" i="9"/>
  <c r="K21" i="9"/>
  <c r="AG21" i="9"/>
  <c r="AG17" i="9"/>
  <c r="Q21" i="9"/>
  <c r="Q17" i="9"/>
  <c r="L17" i="9"/>
  <c r="L21" i="9"/>
  <c r="F25" i="9"/>
  <c r="F22" i="9"/>
  <c r="O25" i="9"/>
  <c r="O22" i="9"/>
  <c r="V21" i="9"/>
  <c r="V17" i="9"/>
  <c r="S17" i="9"/>
  <c r="S21" i="9"/>
  <c r="T25" i="9"/>
  <c r="T22" i="9"/>
  <c r="P22" i="9"/>
  <c r="P25" i="9"/>
  <c r="AD17" i="9"/>
  <c r="AD21" i="9"/>
  <c r="AI16" i="9"/>
  <c r="G22" i="9"/>
  <c r="G25" i="9"/>
  <c r="D18" i="12" s="1"/>
  <c r="D19" i="12" s="1"/>
  <c r="U21" i="9"/>
  <c r="U17" i="9"/>
  <c r="M21" i="9"/>
  <c r="M17" i="9"/>
  <c r="N21" i="9"/>
  <c r="N17" i="9"/>
  <c r="Y21" i="9"/>
  <c r="Y17" i="9"/>
  <c r="AH17" i="9" l="1"/>
  <c r="Z31" i="8"/>
  <c r="Z80" i="8"/>
  <c r="Z95" i="8" s="1"/>
  <c r="Z122" i="8" s="1"/>
  <c r="Z37" i="8"/>
  <c r="Z34" i="8"/>
  <c r="V34" i="8"/>
  <c r="V31" i="8"/>
  <c r="V37" i="8"/>
  <c r="V80" i="8"/>
  <c r="V95" i="8" s="1"/>
  <c r="V122" i="8" s="1"/>
  <c r="W34" i="8"/>
  <c r="W37" i="8"/>
  <c r="W31" i="8"/>
  <c r="W80" i="8"/>
  <c r="M80" i="8"/>
  <c r="M95" i="8" s="1"/>
  <c r="M34" i="8"/>
  <c r="M31" i="8"/>
  <c r="M37" i="8"/>
  <c r="U31" i="8"/>
  <c r="U34" i="8"/>
  <c r="U80" i="8"/>
  <c r="U95" i="8" s="1"/>
  <c r="U122" i="8" s="1"/>
  <c r="U37" i="8"/>
  <c r="T31" i="8"/>
  <c r="T80" i="8"/>
  <c r="T95" i="8" s="1"/>
  <c r="T122" i="8" s="1"/>
  <c r="T34" i="8"/>
  <c r="T37" i="8"/>
  <c r="H80" i="8"/>
  <c r="H95" i="8" s="1"/>
  <c r="H122" i="8" s="1"/>
  <c r="H31" i="8"/>
  <c r="H37" i="8"/>
  <c r="H34" i="8"/>
  <c r="AO23" i="8"/>
  <c r="AM27" i="8"/>
  <c r="AO27" i="8" s="1"/>
  <c r="R31" i="8"/>
  <c r="R80" i="8"/>
  <c r="R34" i="8"/>
  <c r="R37" i="8"/>
  <c r="AM73" i="8"/>
  <c r="Z21" i="9"/>
  <c r="Z25" i="9" s="1"/>
  <c r="AC17" i="9"/>
  <c r="R25" i="9"/>
  <c r="R29" i="9" s="1"/>
  <c r="AA21" i="9"/>
  <c r="AA22" i="9" s="1"/>
  <c r="P34" i="8"/>
  <c r="P37" i="8"/>
  <c r="N34" i="8"/>
  <c r="N37" i="8"/>
  <c r="X37" i="8"/>
  <c r="X34" i="8"/>
  <c r="AE21" i="9"/>
  <c r="AE25" i="9" s="1"/>
  <c r="J25" i="9"/>
  <c r="J29" i="9" s="1"/>
  <c r="AB21" i="9"/>
  <c r="AB22" i="9" s="1"/>
  <c r="AM24" i="8"/>
  <c r="AO24" i="8" s="1"/>
  <c r="O95" i="8"/>
  <c r="O122" i="8" s="1"/>
  <c r="S95" i="8"/>
  <c r="S122" i="8" s="1"/>
  <c r="Q95" i="8"/>
  <c r="Q122" i="8" s="1"/>
  <c r="W95" i="8"/>
  <c r="W122" i="8" s="1"/>
  <c r="X31" i="8"/>
  <c r="X80" i="8"/>
  <c r="N31" i="8"/>
  <c r="N95" i="8"/>
  <c r="N122" i="8" s="1"/>
  <c r="P31" i="8"/>
  <c r="P80" i="8"/>
  <c r="G26" i="9"/>
  <c r="G29" i="9"/>
  <c r="N25" i="9"/>
  <c r="N22" i="9"/>
  <c r="T29" i="9"/>
  <c r="T26" i="9"/>
  <c r="F26" i="9"/>
  <c r="F29" i="9"/>
  <c r="AG25" i="9"/>
  <c r="AG22" i="9"/>
  <c r="D29" i="9"/>
  <c r="D26" i="9"/>
  <c r="AH22" i="9"/>
  <c r="AH25" i="9"/>
  <c r="AF21" i="9"/>
  <c r="AL21" i="9" s="1"/>
  <c r="AF17" i="9"/>
  <c r="AL17" i="9" s="1"/>
  <c r="AD25" i="9"/>
  <c r="AD22" i="9"/>
  <c r="AC22" i="9"/>
  <c r="AC25" i="9"/>
  <c r="O26" i="9"/>
  <c r="O29" i="9"/>
  <c r="S22" i="9"/>
  <c r="S25" i="9"/>
  <c r="E29" i="9"/>
  <c r="E26" i="9"/>
  <c r="U25" i="9"/>
  <c r="U22" i="9"/>
  <c r="Q22" i="9"/>
  <c r="Q25" i="9"/>
  <c r="M25" i="9"/>
  <c r="M22" i="9"/>
  <c r="P26" i="9"/>
  <c r="P29" i="9"/>
  <c r="L25" i="9"/>
  <c r="L22" i="9"/>
  <c r="AI21" i="9"/>
  <c r="AI17" i="9"/>
  <c r="K22" i="9"/>
  <c r="K25" i="9"/>
  <c r="Y25" i="9"/>
  <c r="Y22" i="9"/>
  <c r="V25" i="9"/>
  <c r="V22" i="9"/>
  <c r="I22" i="9"/>
  <c r="I25" i="9"/>
  <c r="M122" i="8" l="1"/>
  <c r="AL80" i="8"/>
  <c r="AL95" i="8" s="1"/>
  <c r="AL122" i="8" s="1"/>
  <c r="AF80" i="8"/>
  <c r="AF95" i="8" s="1"/>
  <c r="AF122" i="8" s="1"/>
  <c r="AH80" i="8"/>
  <c r="AH95" i="8" s="1"/>
  <c r="AH122" i="8" s="1"/>
  <c r="AG80" i="8"/>
  <c r="AG95" i="8" s="1"/>
  <c r="AG122" i="8" s="1"/>
  <c r="R95" i="8"/>
  <c r="R122" i="8" s="1"/>
  <c r="AI80" i="8"/>
  <c r="AI95" i="8" s="1"/>
  <c r="AI122" i="8" s="1"/>
  <c r="AA25" i="9"/>
  <c r="AA26" i="9" s="1"/>
  <c r="AM30" i="8"/>
  <c r="AM37" i="8" s="1"/>
  <c r="AE80" i="8"/>
  <c r="AE95" i="8" s="1"/>
  <c r="AE122" i="8" s="1"/>
  <c r="AC80" i="8"/>
  <c r="AC95" i="8" s="1"/>
  <c r="AC122" i="8" s="1"/>
  <c r="Z22" i="9"/>
  <c r="R26" i="9"/>
  <c r="AE22" i="9"/>
  <c r="J26" i="9"/>
  <c r="AB25" i="9"/>
  <c r="AB29" i="9" s="1"/>
  <c r="AD80" i="8"/>
  <c r="AD95" i="8" s="1"/>
  <c r="AD122" i="8" s="1"/>
  <c r="AJ80" i="8"/>
  <c r="AJ95" i="8" s="1"/>
  <c r="AJ122" i="8" s="1"/>
  <c r="X95" i="8"/>
  <c r="X122" i="8" s="1"/>
  <c r="AM80" i="8"/>
  <c r="AK80" i="8"/>
  <c r="AK95" i="8" s="1"/>
  <c r="AK122" i="8" s="1"/>
  <c r="P95" i="8"/>
  <c r="P122" i="8" s="1"/>
  <c r="M29" i="9"/>
  <c r="M26" i="9"/>
  <c r="AE29" i="9"/>
  <c r="AE26" i="9"/>
  <c r="Q26" i="9"/>
  <c r="Q29" i="9"/>
  <c r="R80" i="9" s="1" a="1"/>
  <c r="R80" i="9" s="1"/>
  <c r="AI22" i="9"/>
  <c r="AI25" i="9"/>
  <c r="J36" i="9"/>
  <c r="J44" i="9" s="1"/>
  <c r="J30" i="9"/>
  <c r="AD29" i="9"/>
  <c r="AD26" i="9"/>
  <c r="AG26" i="9"/>
  <c r="AG29" i="9"/>
  <c r="N29" i="9"/>
  <c r="N26" i="9"/>
  <c r="D79" i="9" a="1"/>
  <c r="D79" i="9" s="1"/>
  <c r="D80" i="9" a="1"/>
  <c r="D80" i="9" s="1"/>
  <c r="D78" i="9"/>
  <c r="D36" i="9"/>
  <c r="D30" i="9"/>
  <c r="D77" i="9"/>
  <c r="D76" i="9"/>
  <c r="F80" i="9" a="1"/>
  <c r="F80" i="9" s="1"/>
  <c r="F78" i="9"/>
  <c r="F79" i="9" a="1"/>
  <c r="F79" i="9" s="1"/>
  <c r="F30" i="9"/>
  <c r="F36" i="9"/>
  <c r="F44" i="9" s="1"/>
  <c r="F76" i="9"/>
  <c r="F77" i="9"/>
  <c r="G79" i="9" a="1"/>
  <c r="G79" i="9" s="1"/>
  <c r="G78" i="9"/>
  <c r="G80" i="9" a="1"/>
  <c r="G80" i="9" s="1"/>
  <c r="G30" i="9"/>
  <c r="G77" i="9"/>
  <c r="G36" i="9"/>
  <c r="G44" i="9" s="1"/>
  <c r="G76" i="9"/>
  <c r="R30" i="9"/>
  <c r="R36" i="9"/>
  <c r="R44" i="9" s="1"/>
  <c r="V29" i="9"/>
  <c r="V26" i="9"/>
  <c r="Z26" i="9"/>
  <c r="Z29" i="9"/>
  <c r="L29" i="9"/>
  <c r="L26" i="9"/>
  <c r="U29" i="9"/>
  <c r="U26" i="9"/>
  <c r="AF25" i="9"/>
  <c r="AL25" i="9" s="1"/>
  <c r="AF22" i="9"/>
  <c r="AL22" i="9" s="1"/>
  <c r="AC29" i="9"/>
  <c r="AC26" i="9"/>
  <c r="Y26" i="9"/>
  <c r="Y29" i="9"/>
  <c r="P36" i="9"/>
  <c r="P44" i="9" s="1"/>
  <c r="P30" i="9"/>
  <c r="O36" i="9"/>
  <c r="O44" i="9" s="1"/>
  <c r="O30" i="9"/>
  <c r="AH26" i="9"/>
  <c r="AH29" i="9"/>
  <c r="S29" i="9"/>
  <c r="S26" i="9"/>
  <c r="I26" i="9"/>
  <c r="I29" i="9"/>
  <c r="K29" i="9"/>
  <c r="K26" i="9"/>
  <c r="E80" i="9" a="1"/>
  <c r="E80" i="9" s="1"/>
  <c r="E78" i="9"/>
  <c r="E36" i="9"/>
  <c r="E44" i="9" s="1"/>
  <c r="E30" i="9"/>
  <c r="E79" i="9" a="1"/>
  <c r="E79" i="9" s="1"/>
  <c r="E77" i="9"/>
  <c r="E76" i="9"/>
  <c r="T30" i="9"/>
  <c r="T36" i="9"/>
  <c r="T44" i="9" s="1"/>
  <c r="AM95" i="8" l="1"/>
  <c r="AO80" i="8"/>
  <c r="AO95" i="8"/>
  <c r="AM122" i="8"/>
  <c r="AA29" i="9"/>
  <c r="AO30" i="8"/>
  <c r="AM34" i="8"/>
  <c r="AM31" i="8"/>
  <c r="AO31" i="8" s="1"/>
  <c r="R79" i="9" a="1"/>
  <c r="R79" i="9" s="1"/>
  <c r="D44" i="9"/>
  <c r="D45" i="9" s="1"/>
  <c r="U79" i="9" a="1"/>
  <c r="U79" i="9" s="1"/>
  <c r="W77" i="9"/>
  <c r="W79" i="9" a="1"/>
  <c r="W79" i="9" s="1"/>
  <c r="W76" i="9"/>
  <c r="W78" i="9" a="1"/>
  <c r="W78" i="9" s="1"/>
  <c r="AB26" i="9"/>
  <c r="W80" i="9" a="1"/>
  <c r="W80" i="9" s="1"/>
  <c r="S79" i="9" a="1"/>
  <c r="S79" i="9" s="1"/>
  <c r="U77" i="9"/>
  <c r="N80" i="9" a="1"/>
  <c r="N80" i="9" s="1"/>
  <c r="N79" i="9" a="1"/>
  <c r="N79" i="9" s="1"/>
  <c r="N78" i="9" a="1"/>
  <c r="N78" i="9" s="1"/>
  <c r="N76" i="9"/>
  <c r="K36" i="9"/>
  <c r="K44" i="9" s="1"/>
  <c r="K30" i="9"/>
  <c r="N77" i="9"/>
  <c r="M79" i="9" a="1"/>
  <c r="M79" i="9" s="1"/>
  <c r="Q36" i="9"/>
  <c r="Q44" i="9" s="1"/>
  <c r="T79" i="9" a="1"/>
  <c r="T79" i="9" s="1"/>
  <c r="T78" i="9" a="1"/>
  <c r="T78" i="9" s="1"/>
  <c r="T80" i="9" a="1"/>
  <c r="T80" i="9" s="1"/>
  <c r="Q30" i="9"/>
  <c r="T76" i="9"/>
  <c r="T77" i="9"/>
  <c r="I36" i="9"/>
  <c r="L79" i="9" a="1"/>
  <c r="L79" i="9" s="1"/>
  <c r="L78" i="9" a="1"/>
  <c r="L78" i="9" s="1"/>
  <c r="L80" i="9" a="1"/>
  <c r="L80" i="9" s="1"/>
  <c r="I30" i="9"/>
  <c r="L76" i="9"/>
  <c r="L77" i="9"/>
  <c r="R77" i="9"/>
  <c r="S76" i="9"/>
  <c r="Y36" i="9"/>
  <c r="Y79" i="9" a="1"/>
  <c r="Y79" i="9" s="1"/>
  <c r="Y78" i="9"/>
  <c r="Y30" i="9"/>
  <c r="Y80" i="9" a="1"/>
  <c r="Y80" i="9" s="1"/>
  <c r="Y77" i="9"/>
  <c r="Y76" i="9"/>
  <c r="G45" i="9"/>
  <c r="AG36" i="9"/>
  <c r="AG79" i="9" a="1"/>
  <c r="AG79" i="9" s="1"/>
  <c r="AG78" i="9"/>
  <c r="AG30" i="9"/>
  <c r="AG80" i="9" a="1"/>
  <c r="AG80" i="9" s="1"/>
  <c r="AG77" i="9"/>
  <c r="AG76" i="9"/>
  <c r="J45" i="9"/>
  <c r="R76" i="9"/>
  <c r="O79" i="9" a="1"/>
  <c r="O79" i="9" s="1"/>
  <c r="O78" i="9" a="1"/>
  <c r="O78" i="9" s="1"/>
  <c r="L36" i="9"/>
  <c r="L44" i="9" s="1"/>
  <c r="L30" i="9"/>
  <c r="O80" i="9" a="1"/>
  <c r="O80" i="9" s="1"/>
  <c r="O76" i="9"/>
  <c r="O77" i="9"/>
  <c r="F45" i="9"/>
  <c r="M76" i="9"/>
  <c r="U36" i="9"/>
  <c r="U44" i="9" s="1"/>
  <c r="U30" i="9"/>
  <c r="Q78" i="9" a="1"/>
  <c r="Q78" i="9" s="1"/>
  <c r="Q80" i="9" a="1"/>
  <c r="Q80" i="9" s="1"/>
  <c r="N36" i="9"/>
  <c r="N44" i="9" s="1"/>
  <c r="N30" i="9"/>
  <c r="Q79" i="9" a="1"/>
  <c r="Q79" i="9" s="1"/>
  <c r="Q76" i="9"/>
  <c r="Q77" i="9"/>
  <c r="S80" i="9" a="1"/>
  <c r="S80" i="9" s="1"/>
  <c r="Z79" i="9" a="1"/>
  <c r="Z79" i="9" s="1"/>
  <c r="Z78" i="9"/>
  <c r="Z80" i="9" a="1"/>
  <c r="Z80" i="9" s="1"/>
  <c r="Z30" i="9"/>
  <c r="Z36" i="9"/>
  <c r="Z77" i="9"/>
  <c r="Z76" i="9"/>
  <c r="U76" i="9"/>
  <c r="M80" i="9" a="1"/>
  <c r="M80" i="9" s="1"/>
  <c r="AE80" i="9" a="1"/>
  <c r="AE80" i="9" s="1"/>
  <c r="AE36" i="9"/>
  <c r="AE78" i="9"/>
  <c r="AE79" i="9" a="1"/>
  <c r="AE79" i="9" s="1"/>
  <c r="AE76" i="9"/>
  <c r="AE30" i="9"/>
  <c r="AE77" i="9"/>
  <c r="E45" i="9"/>
  <c r="AC78" i="9"/>
  <c r="AC79" i="9" a="1"/>
  <c r="AC79" i="9" s="1"/>
  <c r="AC36" i="9"/>
  <c r="AC80" i="9" a="1"/>
  <c r="AC80" i="9" s="1"/>
  <c r="AC30" i="9"/>
  <c r="AC76" i="9"/>
  <c r="AC77" i="9"/>
  <c r="AD79" i="9" a="1"/>
  <c r="AD79" i="9" s="1"/>
  <c r="AD80" i="9" a="1"/>
  <c r="AD80" i="9" s="1"/>
  <c r="AD78" i="9"/>
  <c r="AD36" i="9"/>
  <c r="AD30" i="9"/>
  <c r="AD76" i="9"/>
  <c r="AD77" i="9"/>
  <c r="M78" i="9" a="1"/>
  <c r="M78" i="9" s="1"/>
  <c r="V80" i="9" a="1"/>
  <c r="V80" i="9" s="1"/>
  <c r="V79" i="9" a="1"/>
  <c r="V79" i="9" s="1"/>
  <c r="V78" i="9" a="1"/>
  <c r="V78" i="9" s="1"/>
  <c r="V76" i="9"/>
  <c r="S30" i="9"/>
  <c r="S36" i="9"/>
  <c r="S44" i="9" s="1"/>
  <c r="V77" i="9"/>
  <c r="T45" i="9"/>
  <c r="R78" i="9" a="1"/>
  <c r="R78" i="9" s="1"/>
  <c r="U80" i="9" a="1"/>
  <c r="U80" i="9" s="1"/>
  <c r="AI26" i="9"/>
  <c r="AI29" i="9"/>
  <c r="P79" i="9" a="1"/>
  <c r="P79" i="9" s="1"/>
  <c r="P78" i="9" a="1"/>
  <c r="P78" i="9" s="1"/>
  <c r="P80" i="9" a="1"/>
  <c r="P80" i="9" s="1"/>
  <c r="M36" i="9"/>
  <c r="M44" i="9" s="1"/>
  <c r="M30" i="9"/>
  <c r="P76" i="9"/>
  <c r="P77" i="9"/>
  <c r="S77" i="9"/>
  <c r="AB80" i="9" a="1"/>
  <c r="AB80" i="9" s="1"/>
  <c r="AB78" i="9"/>
  <c r="AB79" i="9" a="1"/>
  <c r="AB79" i="9" s="1"/>
  <c r="AB36" i="9"/>
  <c r="AB30" i="9"/>
  <c r="AB76" i="9"/>
  <c r="AB77" i="9"/>
  <c r="AF29" i="9"/>
  <c r="AL29" i="9" s="1"/>
  <c r="AF26" i="9"/>
  <c r="AL26" i="9" s="1"/>
  <c r="V30" i="9"/>
  <c r="V36" i="9"/>
  <c r="V44" i="9" s="1"/>
  <c r="U78" i="9" a="1"/>
  <c r="U78" i="9" s="1"/>
  <c r="M77" i="9"/>
  <c r="AA36" i="9"/>
  <c r="AA78" i="9"/>
  <c r="AA80" i="9" a="1"/>
  <c r="AA80" i="9" s="1"/>
  <c r="AA79" i="9" a="1"/>
  <c r="AA79" i="9" s="1"/>
  <c r="AA30" i="9"/>
  <c r="AA77" i="9"/>
  <c r="AA76" i="9"/>
  <c r="AH79" i="9" a="1"/>
  <c r="AH79" i="9" s="1"/>
  <c r="AH78" i="9"/>
  <c r="AH80" i="9" a="1"/>
  <c r="AH80" i="9" s="1"/>
  <c r="AH30" i="9"/>
  <c r="AH36" i="9"/>
  <c r="AH76" i="9"/>
  <c r="AH77" i="9"/>
  <c r="S78" i="9" a="1"/>
  <c r="S78" i="9" s="1"/>
  <c r="AJ44" i="9" l="1"/>
  <c r="AJ45" i="9" s="1"/>
  <c r="I44" i="9"/>
  <c r="I45" i="9" s="1"/>
  <c r="AO34" i="8"/>
  <c r="AO37" i="8"/>
  <c r="U45" i="9"/>
  <c r="V45" i="9"/>
  <c r="AI36" i="9"/>
  <c r="AI78" i="9"/>
  <c r="AI80" i="9" a="1"/>
  <c r="AI80" i="9" s="1"/>
  <c r="AI79" i="9" a="1"/>
  <c r="AI79" i="9" s="1"/>
  <c r="AI30" i="9"/>
  <c r="AI77" i="9"/>
  <c r="AI76" i="9"/>
  <c r="S45" i="9"/>
  <c r="K45" i="9"/>
  <c r="R45" i="9"/>
  <c r="AF80" i="9" a="1"/>
  <c r="AF80" i="9" s="1"/>
  <c r="AF79" i="9" a="1"/>
  <c r="AF79" i="9" s="1"/>
  <c r="AF78" i="9"/>
  <c r="AF30" i="9"/>
  <c r="AL30" i="9" s="1"/>
  <c r="AF36" i="9"/>
  <c r="AL36" i="9" s="1"/>
  <c r="AF76" i="9"/>
  <c r="AF77" i="9"/>
  <c r="M45" i="9"/>
  <c r="AD44" i="9"/>
  <c r="AD45" i="9" s="1"/>
  <c r="AE44" i="9"/>
  <c r="AE45" i="9" s="1"/>
  <c r="O45" i="9"/>
  <c r="P45" i="9"/>
  <c r="AB44" i="9" l="1"/>
  <c r="AB45" i="9" s="1"/>
  <c r="AH44" i="9"/>
  <c r="AH45" i="9" s="1"/>
  <c r="AG44" i="9"/>
  <c r="AG45" i="9" s="1"/>
  <c r="N45" i="9"/>
  <c r="AA44" i="9"/>
  <c r="AA45" i="9" s="1"/>
  <c r="Q45" i="9"/>
  <c r="AC44" i="9"/>
  <c r="AC45" i="9" s="1"/>
  <c r="Y44" i="9"/>
  <c r="Y45" i="9" s="1"/>
  <c r="AI44" i="9"/>
  <c r="AI45" i="9" s="1"/>
  <c r="Z44" i="9"/>
  <c r="Z45" i="9" s="1"/>
  <c r="AF44" i="9"/>
  <c r="AF45" i="9" s="1"/>
  <c r="L45" i="9"/>
  <c r="H118" i="8" l="1"/>
  <c r="G123" i="8"/>
  <c r="G125" i="8" s="1"/>
  <c r="H117" i="8" l="1"/>
  <c r="H119" i="8" s="1"/>
  <c r="H123" i="8" s="1"/>
  <c r="M117" i="8" s="1"/>
  <c r="M119" i="8" s="1"/>
  <c r="M123" i="8" s="1"/>
  <c r="AC117" i="8" l="1"/>
  <c r="AC119" i="8" s="1"/>
  <c r="AC123" i="8" s="1"/>
  <c r="AC125" i="8" s="1"/>
  <c r="N117" i="8"/>
  <c r="N119" i="8" s="1"/>
  <c r="N123" i="8" s="1"/>
  <c r="M125" i="8"/>
  <c r="H125" i="8"/>
  <c r="I117" i="8"/>
  <c r="I119" i="8" s="1"/>
  <c r="I123" i="8" s="1"/>
  <c r="O117" i="8" l="1"/>
  <c r="O119" i="8" s="1"/>
  <c r="O123" i="8" s="1"/>
  <c r="AD117" i="8"/>
  <c r="AD119" i="8" s="1"/>
  <c r="AD123" i="8" s="1"/>
  <c r="AD125" i="8" s="1"/>
  <c r="N125" i="8"/>
  <c r="I125" i="8"/>
  <c r="J117" i="8"/>
  <c r="J119" i="8" s="1"/>
  <c r="J123" i="8" s="1"/>
  <c r="AE117" i="8" l="1"/>
  <c r="AE119" i="8" s="1"/>
  <c r="AE123" i="8" s="1"/>
  <c r="AE125" i="8" s="1"/>
  <c r="P117" i="8"/>
  <c r="P119" i="8" s="1"/>
  <c r="P123" i="8" s="1"/>
  <c r="O125" i="8"/>
  <c r="J125" i="8"/>
  <c r="K117" i="8"/>
  <c r="K119" i="8" s="1"/>
  <c r="K123" i="8" s="1"/>
  <c r="K125" i="8" s="1"/>
  <c r="AF117" i="8" l="1"/>
  <c r="AF119" i="8" s="1"/>
  <c r="AF123" i="8" s="1"/>
  <c r="AF125" i="8" s="1"/>
  <c r="Q117" i="8"/>
  <c r="Q119" i="8" s="1"/>
  <c r="Q123" i="8" s="1"/>
  <c r="P125" i="8"/>
  <c r="G37" i="14"/>
  <c r="H37" i="14" s="1"/>
  <c r="I37" i="14" s="1"/>
  <c r="J37" i="14" s="1"/>
  <c r="K37" i="14" s="1"/>
  <c r="F38" i="14"/>
  <c r="F41" i="14" s="1"/>
  <c r="F42" i="14" s="1"/>
  <c r="F149" i="14" l="1"/>
  <c r="F99" i="14"/>
  <c r="F106" i="14" s="1"/>
  <c r="F118" i="14" s="1"/>
  <c r="AG117" i="8"/>
  <c r="AG119" i="8" s="1"/>
  <c r="AG123" i="8" s="1"/>
  <c r="AG125" i="8" s="1"/>
  <c r="Q125" i="8"/>
  <c r="R117" i="8"/>
  <c r="R119" i="8" s="1"/>
  <c r="R123" i="8" s="1"/>
  <c r="F64" i="14"/>
  <c r="F24" i="12" s="1"/>
  <c r="F195" i="14"/>
  <c r="AH117" i="8" l="1"/>
  <c r="AH119" i="8" s="1"/>
  <c r="AH123" i="8" s="1"/>
  <c r="AH125" i="8" s="1"/>
  <c r="S117" i="8"/>
  <c r="S119" i="8" s="1"/>
  <c r="S123" i="8" s="1"/>
  <c r="R125" i="8"/>
  <c r="F197" i="14"/>
  <c r="F200" i="14"/>
  <c r="G24" i="12"/>
  <c r="AI117" i="8" l="1"/>
  <c r="AI119" i="8" s="1"/>
  <c r="AI123" i="8" s="1"/>
  <c r="AI125" i="8" s="1"/>
  <c r="T117" i="8"/>
  <c r="T119" i="8" s="1"/>
  <c r="T123" i="8" s="1"/>
  <c r="S125" i="8"/>
  <c r="H24" i="12"/>
  <c r="AJ117" i="8" l="1"/>
  <c r="AJ119" i="8" s="1"/>
  <c r="AJ123" i="8" s="1"/>
  <c r="AJ125" i="8" s="1"/>
  <c r="U117" i="8"/>
  <c r="U119" i="8" s="1"/>
  <c r="U123" i="8" s="1"/>
  <c r="T125" i="8"/>
  <c r="I24" i="12"/>
  <c r="AK117" i="8" l="1"/>
  <c r="AK119" i="8" s="1"/>
  <c r="AK123" i="8" s="1"/>
  <c r="AK125" i="8" s="1"/>
  <c r="V117" i="8"/>
  <c r="V119" i="8" s="1"/>
  <c r="V123" i="8" s="1"/>
  <c r="U125" i="8"/>
  <c r="AL117" i="8" l="1"/>
  <c r="AL119" i="8" s="1"/>
  <c r="AL123" i="8" s="1"/>
  <c r="AL125" i="8" s="1"/>
  <c r="W117" i="8"/>
  <c r="W119" i="8" s="1"/>
  <c r="W123" i="8" s="1"/>
  <c r="V125" i="8"/>
  <c r="AM117" i="8" l="1"/>
  <c r="AM119" i="8" s="1"/>
  <c r="AM123" i="8" s="1"/>
  <c r="AM125" i="8" s="1"/>
  <c r="X117" i="8"/>
  <c r="X119" i="8" s="1"/>
  <c r="X123" i="8" s="1"/>
  <c r="W125" i="8"/>
  <c r="Y117" i="8" l="1"/>
  <c r="Y119" i="8" s="1"/>
  <c r="Y123" i="8" s="1"/>
  <c r="X125" i="8"/>
  <c r="Z117" i="8" l="1"/>
  <c r="Z119" i="8" s="1"/>
  <c r="Z123" i="8" s="1"/>
  <c r="Y125" i="8"/>
  <c r="AA117" i="8" l="1"/>
  <c r="AA119" i="8" s="1"/>
  <c r="AA123" i="8" s="1"/>
  <c r="AA125" i="8" s="1"/>
  <c r="Z125" i="8"/>
  <c r="L56" i="19" l="1"/>
  <c r="M56" i="19"/>
  <c r="M64" i="19" s="1"/>
  <c r="H55" i="14" s="1"/>
  <c r="N56" i="19"/>
  <c r="O56" i="19" s="1"/>
  <c r="N64" i="19"/>
  <c r="I55" i="14" s="1"/>
  <c r="N65" i="19"/>
  <c r="M65" i="19" l="1"/>
  <c r="P56" i="19"/>
  <c r="O65" i="19"/>
  <c r="O64" i="19"/>
  <c r="J55" i="14" s="1"/>
  <c r="L65" i="19"/>
  <c r="L64" i="19"/>
  <c r="G55" i="14" l="1"/>
  <c r="G18" i="14" s="1"/>
  <c r="G30" i="14" s="1"/>
  <c r="L6" i="19"/>
  <c r="M6" i="19" s="1"/>
  <c r="N6" i="19" s="1"/>
  <c r="O6" i="19" s="1"/>
  <c r="G23" i="14"/>
  <c r="G137" i="14"/>
  <c r="H18" i="14"/>
  <c r="G31" i="14"/>
  <c r="E16" i="12"/>
  <c r="P64" i="19"/>
  <c r="K55" i="14" s="1"/>
  <c r="Q56" i="19"/>
  <c r="P65" i="19"/>
  <c r="G27" i="14" l="1"/>
  <c r="G28" i="14" s="1"/>
  <c r="G24" i="14"/>
  <c r="P6" i="19"/>
  <c r="L11" i="19"/>
  <c r="G139" i="14"/>
  <c r="G44" i="14" s="1"/>
  <c r="G143" i="14"/>
  <c r="G144" i="14" s="1"/>
  <c r="G104" i="14" s="1"/>
  <c r="E30" i="12"/>
  <c r="E17" i="12"/>
  <c r="G26" i="14"/>
  <c r="G32" i="14"/>
  <c r="G33" i="14" s="1"/>
  <c r="I18" i="14"/>
  <c r="H31" i="14"/>
  <c r="F16" i="12"/>
  <c r="H30" i="14"/>
  <c r="H23" i="14"/>
  <c r="H137" i="14"/>
  <c r="Q64" i="19"/>
  <c r="Q65" i="19"/>
  <c r="H27" i="14" l="1"/>
  <c r="H28" i="14" s="1"/>
  <c r="H24" i="14"/>
  <c r="Q6" i="19"/>
  <c r="L16" i="19"/>
  <c r="L17" i="19"/>
  <c r="L14" i="19"/>
  <c r="G75" i="14"/>
  <c r="G81" i="14"/>
  <c r="G100" i="14"/>
  <c r="E27" i="12"/>
  <c r="H143" i="14"/>
  <c r="H144" i="14" s="1"/>
  <c r="H104" i="14" s="1"/>
  <c r="H139" i="14"/>
  <c r="H44" i="14" s="1"/>
  <c r="M11" i="19"/>
  <c r="E20" i="12"/>
  <c r="G45" i="14"/>
  <c r="G46" i="14" s="1"/>
  <c r="H26" i="14"/>
  <c r="H32" i="14"/>
  <c r="H33" i="14" s="1"/>
  <c r="F30" i="12"/>
  <c r="F17" i="12"/>
  <c r="J18" i="14"/>
  <c r="I31" i="14"/>
  <c r="G16" i="12"/>
  <c r="I30" i="14"/>
  <c r="I23" i="14"/>
  <c r="I137" i="14"/>
  <c r="I27" i="14" l="1"/>
  <c r="I28" i="14" s="1"/>
  <c r="I24" i="14"/>
  <c r="L18" i="19"/>
  <c r="L13" i="19"/>
  <c r="M17" i="19"/>
  <c r="M16" i="19"/>
  <c r="L29" i="19"/>
  <c r="L32" i="19" s="1"/>
  <c r="L23" i="19"/>
  <c r="L26" i="19" s="1"/>
  <c r="M14" i="19"/>
  <c r="J137" i="14"/>
  <c r="K18" i="14"/>
  <c r="H16" i="12"/>
  <c r="J30" i="14"/>
  <c r="J23" i="14"/>
  <c r="F27" i="12"/>
  <c r="H100" i="14"/>
  <c r="I143" i="14"/>
  <c r="I144" i="14" s="1"/>
  <c r="I104" i="14" s="1"/>
  <c r="I139" i="14"/>
  <c r="I44" i="14" s="1"/>
  <c r="H45" i="14"/>
  <c r="H46" i="14" s="1"/>
  <c r="F20" i="12"/>
  <c r="E18" i="12"/>
  <c r="E19" i="12" s="1"/>
  <c r="G49" i="14"/>
  <c r="G50" i="14" s="1"/>
  <c r="N11" i="19"/>
  <c r="I26" i="14"/>
  <c r="I32" i="14"/>
  <c r="I33" i="14" s="1"/>
  <c r="G103" i="14"/>
  <c r="H81" i="14"/>
  <c r="G30" i="12"/>
  <c r="G17" i="12"/>
  <c r="E21" i="12"/>
  <c r="E25" i="12"/>
  <c r="E23" i="12"/>
  <c r="H75" i="14"/>
  <c r="H102" i="14" s="1"/>
  <c r="G102" i="14"/>
  <c r="J27" i="14" l="1"/>
  <c r="J28" i="14" s="1"/>
  <c r="J24" i="14"/>
  <c r="M18" i="19"/>
  <c r="M23" i="19" s="1"/>
  <c r="M26" i="19" s="1"/>
  <c r="M13" i="19"/>
  <c r="N16" i="19"/>
  <c r="N17" i="19"/>
  <c r="N14" i="19"/>
  <c r="N18" i="19" s="1"/>
  <c r="I75" i="14"/>
  <c r="I102" i="14" s="1"/>
  <c r="H103" i="14"/>
  <c r="F34" i="12" s="1"/>
  <c r="I81" i="14"/>
  <c r="E34" i="12"/>
  <c r="H30" i="12"/>
  <c r="H17" i="12"/>
  <c r="J26" i="14"/>
  <c r="I45" i="14"/>
  <c r="I46" i="14" s="1"/>
  <c r="G20" i="12"/>
  <c r="F18" i="12"/>
  <c r="F19" i="12" s="1"/>
  <c r="H49" i="14"/>
  <c r="H50" i="14" s="1"/>
  <c r="O11" i="19"/>
  <c r="O16" i="19" s="1"/>
  <c r="F21" i="12"/>
  <c r="F25" i="12"/>
  <c r="F23" i="12"/>
  <c r="G27" i="12"/>
  <c r="I100" i="14"/>
  <c r="K137" i="14"/>
  <c r="I16" i="12"/>
  <c r="K30" i="14"/>
  <c r="K23" i="14"/>
  <c r="J143" i="14"/>
  <c r="J144" i="14" s="1"/>
  <c r="J104" i="14" s="1"/>
  <c r="J139" i="14"/>
  <c r="J44" i="14" s="1"/>
  <c r="K27" i="14" l="1"/>
  <c r="K28" i="14" s="1"/>
  <c r="K24" i="14"/>
  <c r="M29" i="19"/>
  <c r="M32" i="19" s="1"/>
  <c r="N13" i="19"/>
  <c r="N29" i="19"/>
  <c r="N32" i="19" s="1"/>
  <c r="N23" i="19"/>
  <c r="N26" i="19" s="1"/>
  <c r="O14" i="19"/>
  <c r="O13" i="19" s="1"/>
  <c r="K143" i="14"/>
  <c r="K144" i="14" s="1"/>
  <c r="K104" i="14" s="1"/>
  <c r="K139" i="14"/>
  <c r="K44" i="14" s="1"/>
  <c r="E35" i="12"/>
  <c r="E28" i="12"/>
  <c r="E32" i="12" s="1"/>
  <c r="E41" i="12" s="1"/>
  <c r="E42" i="12" s="1"/>
  <c r="F28" i="12"/>
  <c r="F32" i="12" s="1"/>
  <c r="F41" i="12" s="1"/>
  <c r="F42" i="12" s="1"/>
  <c r="J81" i="14"/>
  <c r="I103" i="14"/>
  <c r="G34" i="12" s="1"/>
  <c r="G28" i="12" s="1"/>
  <c r="F35" i="12"/>
  <c r="G21" i="12"/>
  <c r="G25" i="12"/>
  <c r="G23" i="12"/>
  <c r="I17" i="12"/>
  <c r="I30" i="12"/>
  <c r="H27" i="12"/>
  <c r="J100" i="14"/>
  <c r="K26" i="14"/>
  <c r="G18" i="12"/>
  <c r="G19" i="12" s="1"/>
  <c r="I49" i="14"/>
  <c r="I50" i="14" s="1"/>
  <c r="P11" i="19"/>
  <c r="P16" i="19" s="1"/>
  <c r="J75" i="14"/>
  <c r="P14" i="19" l="1"/>
  <c r="K75" i="14"/>
  <c r="K102" i="14" s="1"/>
  <c r="Q11" i="19"/>
  <c r="Q16" i="19" s="1"/>
  <c r="S16" i="19" s="1"/>
  <c r="S6" i="19"/>
  <c r="I27" i="12"/>
  <c r="K100" i="14"/>
  <c r="G35" i="12"/>
  <c r="J102" i="14"/>
  <c r="K81" i="14"/>
  <c r="J103" i="14"/>
  <c r="G32" i="12"/>
  <c r="G41" i="12" s="1"/>
  <c r="G42" i="12" s="1"/>
  <c r="Q14" i="19" l="1"/>
  <c r="Q13" i="19" s="1"/>
  <c r="P13" i="19"/>
  <c r="K103" i="14"/>
  <c r="I34" i="12" s="1"/>
  <c r="I35" i="12" s="1"/>
  <c r="S11" i="19"/>
  <c r="H34" i="12"/>
  <c r="S13" i="19" l="1"/>
  <c r="S14" i="19"/>
  <c r="I28" i="12"/>
  <c r="H35" i="12"/>
  <c r="H28" i="12"/>
  <c r="O159" i="19" l="1"/>
  <c r="P159" i="19"/>
  <c r="Q159" i="19"/>
  <c r="Q17" i="19" s="1"/>
  <c r="O160" i="19"/>
  <c r="P160" i="19"/>
  <c r="Q160" i="19"/>
  <c r="Q18" i="19" l="1"/>
  <c r="K63" i="14"/>
  <c r="K31" i="14" s="1"/>
  <c r="K32" i="14" s="1"/>
  <c r="P17" i="19"/>
  <c r="P18" i="19" s="1"/>
  <c r="J63" i="14"/>
  <c r="J31" i="14" s="1"/>
  <c r="J32" i="14" s="1"/>
  <c r="O17" i="19"/>
  <c r="O18" i="19" s="1"/>
  <c r="J45" i="14" l="1"/>
  <c r="J46" i="14" s="1"/>
  <c r="J33" i="14"/>
  <c r="K45" i="14"/>
  <c r="K46" i="14" s="1"/>
  <c r="K33" i="14"/>
  <c r="H20" i="12"/>
  <c r="H25" i="12" s="1"/>
  <c r="H32" i="12" s="1"/>
  <c r="H41" i="12" s="1"/>
  <c r="H42" i="12" s="1"/>
  <c r="O23" i="19"/>
  <c r="O26" i="19" s="1"/>
  <c r="O29" i="19"/>
  <c r="O32" i="19" s="1"/>
  <c r="I20" i="12"/>
  <c r="I21" i="12" s="1"/>
  <c r="S18" i="19"/>
  <c r="Q29" i="19"/>
  <c r="Q32" i="19" s="1"/>
  <c r="S32" i="19" s="1"/>
  <c r="Q23" i="19"/>
  <c r="P23" i="19"/>
  <c r="P26" i="19" s="1"/>
  <c r="P29" i="19"/>
  <c r="P32" i="19" s="1"/>
  <c r="S17" i="19"/>
  <c r="K49" i="14"/>
  <c r="K50" i="14" s="1"/>
  <c r="H18" i="12"/>
  <c r="H19" i="12" s="1"/>
  <c r="J49" i="14"/>
  <c r="J50" i="14" s="1"/>
  <c r="I18" i="12" l="1"/>
  <c r="H21" i="12"/>
  <c r="I23" i="12"/>
  <c r="H23" i="12"/>
  <c r="I25" i="12"/>
  <c r="I32" i="12" s="1"/>
  <c r="I41" i="12" s="1"/>
  <c r="I42" i="12" s="1"/>
  <c r="C50" i="12" s="1"/>
  <c r="Q26" i="19"/>
  <c r="S26" i="19" s="1"/>
  <c r="S23" i="19"/>
  <c r="S29" i="19"/>
  <c r="I46" i="12"/>
  <c r="I48" i="12" s="1"/>
  <c r="I49" i="12" s="1"/>
  <c r="I19" i="12"/>
  <c r="C47" i="12" l="1"/>
  <c r="C48" i="12" s="1"/>
  <c r="I50" i="12"/>
  <c r="I51" i="12" s="1"/>
  <c r="D73" i="12" s="1"/>
  <c r="I55" i="12"/>
  <c r="C55" i="12"/>
  <c r="C49" i="12"/>
  <c r="I53" i="12" l="1"/>
  <c r="I54" i="12" s="1"/>
  <c r="C51" i="12"/>
  <c r="C73" i="12" s="1"/>
  <c r="D88" i="12"/>
  <c r="D75" i="12"/>
  <c r="D77" i="12" s="1"/>
  <c r="D103" i="12" s="1"/>
  <c r="D83" i="12"/>
  <c r="D86" i="12"/>
  <c r="D81" i="12"/>
  <c r="D87" i="12"/>
  <c r="D82" i="12"/>
  <c r="L103" i="12" s="1"/>
  <c r="C75" i="12" l="1"/>
  <c r="C77" i="12" s="1"/>
  <c r="D94" i="12" s="1"/>
  <c r="C83" i="12"/>
  <c r="C86" i="12"/>
  <c r="C81" i="12"/>
  <c r="C87" i="12"/>
  <c r="C82" i="12"/>
  <c r="L94" i="12" s="1"/>
  <c r="C88" i="12"/>
  <c r="C53" i="12"/>
  <c r="C54" i="12" s="1"/>
  <c r="G35" i="14"/>
  <c r="H35" i="14"/>
  <c r="I35" i="14"/>
  <c r="J35" i="14"/>
  <c r="K35" i="14"/>
  <c r="G36" i="14"/>
  <c r="H36" i="14"/>
  <c r="I36" i="14"/>
  <c r="J36" i="14"/>
  <c r="K36" i="14"/>
  <c r="G38" i="14"/>
  <c r="H38" i="14"/>
  <c r="I38" i="14"/>
  <c r="J38" i="14"/>
  <c r="K38" i="14"/>
  <c r="G40" i="14"/>
  <c r="H40" i="14"/>
  <c r="I40" i="14"/>
  <c r="J40" i="14"/>
  <c r="K40" i="14"/>
  <c r="G41" i="14"/>
  <c r="H41" i="14"/>
  <c r="I41" i="14"/>
  <c r="J41" i="14"/>
  <c r="K41" i="14"/>
  <c r="G42" i="14"/>
  <c r="H42" i="14"/>
  <c r="I42" i="14"/>
  <c r="J42" i="14"/>
  <c r="K42" i="14"/>
  <c r="G73" i="14"/>
  <c r="H73" i="14"/>
  <c r="I73" i="14"/>
  <c r="J73" i="14"/>
  <c r="K73" i="14"/>
  <c r="G79" i="14"/>
  <c r="H79" i="14"/>
  <c r="I79" i="14"/>
  <c r="J79" i="14"/>
  <c r="K79" i="14"/>
  <c r="G84" i="14"/>
  <c r="H84" i="14"/>
  <c r="I84" i="14"/>
  <c r="J84" i="14"/>
  <c r="K84" i="14"/>
  <c r="G87" i="14"/>
  <c r="H87" i="14"/>
  <c r="I87" i="14"/>
  <c r="J87" i="14"/>
  <c r="K87" i="14"/>
  <c r="G90" i="14"/>
  <c r="H90" i="14"/>
  <c r="I90" i="14"/>
  <c r="J90" i="14"/>
  <c r="K90" i="14"/>
  <c r="G92" i="14"/>
  <c r="H92" i="14"/>
  <c r="I92" i="14"/>
  <c r="J92" i="14"/>
  <c r="K92" i="14"/>
  <c r="G93" i="14"/>
  <c r="H93" i="14"/>
  <c r="I93" i="14"/>
  <c r="J93" i="14"/>
  <c r="K93" i="14"/>
  <c r="G99" i="14"/>
  <c r="H99" i="14"/>
  <c r="I99" i="14"/>
  <c r="J99" i="14"/>
  <c r="K99" i="14"/>
  <c r="G106" i="14"/>
  <c r="H106" i="14"/>
  <c r="I106" i="14"/>
  <c r="J106" i="14"/>
  <c r="K106" i="14"/>
  <c r="G112" i="14"/>
  <c r="H112" i="14"/>
  <c r="I112" i="14"/>
  <c r="J112" i="14"/>
  <c r="K112" i="14"/>
  <c r="G114" i="14"/>
  <c r="H114" i="14"/>
  <c r="I114" i="14"/>
  <c r="J114" i="14"/>
  <c r="K114" i="14"/>
  <c r="G116" i="14"/>
  <c r="H116" i="14"/>
  <c r="I116" i="14"/>
  <c r="J116" i="14"/>
  <c r="K116" i="14"/>
  <c r="G118" i="14"/>
  <c r="H118" i="14"/>
  <c r="I118" i="14"/>
  <c r="J118" i="14"/>
  <c r="K118" i="14"/>
  <c r="H148" i="14"/>
  <c r="I148" i="14"/>
  <c r="J148" i="14"/>
  <c r="K148" i="14"/>
  <c r="G149" i="14"/>
  <c r="H149" i="14"/>
  <c r="I149" i="14"/>
  <c r="J149" i="14"/>
  <c r="K149" i="14"/>
  <c r="G150" i="14"/>
  <c r="H150" i="14"/>
  <c r="I150" i="14"/>
  <c r="J150" i="14"/>
  <c r="K150" i="14"/>
  <c r="G152" i="14"/>
  <c r="H152" i="14"/>
  <c r="I152" i="14"/>
  <c r="J152" i="14"/>
  <c r="K152" i="14"/>
  <c r="H159" i="14"/>
  <c r="I159" i="14"/>
  <c r="J159" i="14"/>
  <c r="K159" i="14"/>
  <c r="G161" i="14"/>
  <c r="H161" i="14"/>
  <c r="I161" i="14"/>
  <c r="J161" i="14"/>
  <c r="K161" i="14"/>
  <c r="G162" i="14"/>
  <c r="H162" i="14"/>
  <c r="I162" i="14"/>
  <c r="J162" i="14"/>
  <c r="K162" i="14"/>
  <c r="H165" i="14"/>
  <c r="I165" i="14"/>
  <c r="J165" i="14"/>
  <c r="K165" i="14"/>
  <c r="G166" i="14"/>
  <c r="H166" i="14"/>
  <c r="I166" i="14"/>
  <c r="J166" i="14"/>
  <c r="K166" i="14"/>
  <c r="G168" i="14"/>
  <c r="H168" i="14"/>
  <c r="I168" i="14"/>
  <c r="J168" i="14"/>
  <c r="K168" i="14"/>
  <c r="G169" i="14"/>
  <c r="H169" i="14"/>
  <c r="I169" i="14"/>
  <c r="J169" i="14"/>
  <c r="K169" i="14"/>
  <c r="G175" i="14"/>
  <c r="H175" i="14"/>
  <c r="I175" i="14"/>
  <c r="J175" i="14"/>
  <c r="K175" i="14"/>
  <c r="G179" i="14"/>
  <c r="H179" i="14"/>
  <c r="I179" i="14"/>
  <c r="J179" i="14"/>
  <c r="K179" i="14"/>
  <c r="G180" i="14"/>
  <c r="H180" i="14"/>
  <c r="I180" i="14"/>
  <c r="J180" i="14"/>
  <c r="K180" i="14"/>
  <c r="G189" i="14"/>
  <c r="H189" i="14"/>
  <c r="I189" i="14"/>
  <c r="J189" i="14"/>
  <c r="K189" i="14"/>
  <c r="G195" i="14"/>
  <c r="H195" i="14"/>
  <c r="I195" i="14"/>
  <c r="J195" i="14"/>
  <c r="K195" i="14"/>
  <c r="H196" i="14"/>
  <c r="I196" i="14"/>
  <c r="J196" i="14"/>
  <c r="K196" i="14"/>
  <c r="G197" i="14"/>
  <c r="H197" i="14"/>
  <c r="I197" i="14"/>
  <c r="J197" i="14"/>
  <c r="K197" i="14"/>
  <c r="H199" i="14"/>
  <c r="I199" i="14"/>
  <c r="J199" i="14"/>
  <c r="K199" i="14"/>
  <c r="G200" i="14"/>
  <c r="H200" i="14"/>
  <c r="I200" i="14"/>
  <c r="J200" i="14"/>
  <c r="K200" i="14"/>
  <c r="H204" i="14"/>
  <c r="I204" i="14"/>
  <c r="J204" i="14"/>
  <c r="K204" i="14"/>
  <c r="H205" i="14"/>
  <c r="I205" i="14"/>
  <c r="J205" i="14"/>
  <c r="K205" i="14"/>
  <c r="I207" i="14"/>
  <c r="J207" i="14"/>
  <c r="K207" i="14"/>
  <c r="H208" i="14"/>
  <c r="I208" i="14"/>
  <c r="J208" i="14"/>
  <c r="K208" i="14"/>
  <c r="H209" i="14"/>
  <c r="I209" i="14"/>
  <c r="J209" i="14"/>
  <c r="K209" i="14"/>
  <c r="H210" i="14"/>
  <c r="I210" i="14"/>
  <c r="J210" i="14"/>
  <c r="K210"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C12" authorId="0" shapeId="0" xr:uid="{7A2FC6D1-536F-436C-91AF-4AA7C24B849D}">
      <text>
        <r>
          <rPr>
            <sz val="9"/>
            <color indexed="81"/>
            <rFont val="Tahoma"/>
            <family val="2"/>
          </rPr>
          <t>Front cover of Apple 2019 10K
As of October 18, 2019</t>
        </r>
      </text>
    </comment>
    <comment ref="B76" authorId="0" shapeId="0" xr:uid="{6439A3EF-3E3E-42F8-8BFB-2C48CCCD7462}">
      <text>
        <r>
          <rPr>
            <sz val="9"/>
            <color indexed="81"/>
            <rFont val="Tahoma"/>
            <family val="2"/>
          </rPr>
          <t>Includes vendor non-trade receivables</t>
        </r>
      </text>
    </comment>
    <comment ref="B78" authorId="0" shapeId="0" xr:uid="{CA581457-FE45-4C85-B2B1-4F81AFEE32C2}">
      <text>
        <r>
          <rPr>
            <sz val="9"/>
            <color indexed="81"/>
            <rFont val="Tahoma"/>
            <family val="2"/>
          </rPr>
          <t>AAPL started aggregating goodwill, intangible assets and other non current assets into one line item in 2018, with no footnote breakout of the individual line items. 10Ks prior to 2018 did have a breakout.</t>
        </r>
      </text>
    </comment>
    <comment ref="C134" authorId="0" shapeId="0" xr:uid="{2219FFFC-2383-4581-B375-CA03D19C612B}">
      <text>
        <r>
          <rPr>
            <sz val="9"/>
            <color indexed="81"/>
            <rFont val="Tahoma"/>
            <family val="2"/>
          </rPr>
          <t>WSP estimate</t>
        </r>
      </text>
    </comment>
    <comment ref="B150" authorId="0" shapeId="0" xr:uid="{7085AA9A-84A7-492A-B8CA-274A5CE6CD98}">
      <text>
        <r>
          <rPr>
            <sz val="9"/>
            <color indexed="81"/>
            <rFont val="Tahoma"/>
            <family val="2"/>
          </rPr>
          <t>Statement of shareholders equity schedule, p.41 Apple 2018 10K</t>
        </r>
      </text>
    </comment>
    <comment ref="B151" authorId="0" shapeId="0" xr:uid="{BBB1E183-5B22-4E4E-B78A-A975E679C8A1}">
      <text>
        <r>
          <rPr>
            <sz val="9"/>
            <color indexed="81"/>
            <rFont val="Tahoma"/>
            <family val="2"/>
          </rPr>
          <t>Statement of shareholders equity schedule, p.41 Apple 2018 10K</t>
        </r>
      </text>
    </comment>
    <comment ref="C178" authorId="0" shapeId="0" xr:uid="{110605DF-1DAD-4A6E-AB14-01845C7B5AC1}">
      <text>
        <r>
          <rPr>
            <sz val="9"/>
            <color indexed="81"/>
            <rFont val="Tahoma"/>
            <family val="2"/>
          </rPr>
          <t>2018 p.27 in the 'Other Income/(Expense), Net' section.</t>
        </r>
      </text>
    </comment>
    <comment ref="D178" authorId="0" shapeId="0" xr:uid="{AF574A06-4322-4208-A98F-41F2F29405E3}">
      <text>
        <r>
          <rPr>
            <sz val="9"/>
            <color indexed="81"/>
            <rFont val="Tahoma"/>
            <family val="2"/>
          </rPr>
          <t>2018 p.27 in the 'Other Income/(Expense), Net' section.</t>
        </r>
      </text>
    </comment>
    <comment ref="E178" authorId="0" shapeId="0" xr:uid="{BC668EE1-261D-4F6A-A05F-BD4073B2ED36}">
      <text>
        <r>
          <rPr>
            <b/>
            <sz val="9"/>
            <color indexed="81"/>
            <rFont val="Tahoma"/>
            <family val="2"/>
          </rPr>
          <t>Matan Feldman:</t>
        </r>
        <r>
          <rPr>
            <sz val="9"/>
            <color indexed="81"/>
            <rFont val="Tahoma"/>
            <family val="2"/>
          </rPr>
          <t xml:space="preserve">
2019 10k p.22</t>
        </r>
      </text>
    </comment>
    <comment ref="F178" authorId="0" shapeId="0" xr:uid="{68B86536-0C60-435E-99F6-503233BBFE42}">
      <text>
        <r>
          <rPr>
            <b/>
            <sz val="9"/>
            <color indexed="81"/>
            <rFont val="Tahoma"/>
            <family val="2"/>
          </rPr>
          <t>Matan Feldman:</t>
        </r>
        <r>
          <rPr>
            <sz val="9"/>
            <color indexed="81"/>
            <rFont val="Tahoma"/>
            <family val="2"/>
          </rPr>
          <t xml:space="preserve">
2019 10k p.22</t>
        </r>
      </text>
    </comment>
    <comment ref="B184" authorId="0" shapeId="0" xr:uid="{7F223A28-3329-4436-AFC1-8E4FCC766138}">
      <text>
        <r>
          <rPr>
            <sz val="9"/>
            <color indexed="81"/>
            <rFont val="Tahoma"/>
            <family val="2"/>
          </rPr>
          <t xml:space="preserve">We estimate the historical interest rate (though not explicitly disclosed by Apple). </t>
        </r>
      </text>
    </comment>
    <comment ref="B185" authorId="0" shapeId="0" xr:uid="{5E192335-BB77-4B46-B48D-320E298F587D}">
      <text>
        <r>
          <rPr>
            <sz val="9"/>
            <color indexed="81"/>
            <rFont val="Tahoma"/>
            <family val="2"/>
          </rPr>
          <t>Although Apple doesn't disclose interest expense specifically, it does disclose the interest rate on commercial paper which enables us to back into interest expense for LTD</t>
        </r>
      </text>
    </comment>
    <comment ref="C188" authorId="0" shapeId="0" xr:uid="{45987C27-27C8-4DBC-8746-8B0C59520E8D}">
      <text>
        <r>
          <rPr>
            <sz val="9"/>
            <color indexed="81"/>
            <rFont val="Tahoma"/>
            <family val="2"/>
          </rPr>
          <t>2018 p.27 in the 'Other Income/(Expense), Net' section.</t>
        </r>
      </text>
    </comment>
    <comment ref="D188" authorId="0" shapeId="0" xr:uid="{3A5F659A-54E2-4911-8170-88B98DAEFFEA}">
      <text>
        <r>
          <rPr>
            <sz val="9"/>
            <color indexed="81"/>
            <rFont val="Tahoma"/>
            <family val="2"/>
          </rPr>
          <t>2018 p.27 in the 'Other Income/(Expense), Net' section.</t>
        </r>
      </text>
    </comment>
    <comment ref="E188" authorId="0" shapeId="0" xr:uid="{E8924D5A-5C99-4123-8271-D32EC6E770A5}">
      <text>
        <r>
          <rPr>
            <sz val="9"/>
            <color indexed="81"/>
            <rFont val="Tahoma"/>
            <family val="2"/>
          </rPr>
          <t>2018 p.27 in the 'Other Income/(Expense), Net' section.</t>
        </r>
      </text>
    </comment>
    <comment ref="F188" authorId="0" shapeId="0" xr:uid="{40B76328-F218-4C3C-9BE2-1150DBE30A65}">
      <text>
        <r>
          <rPr>
            <sz val="9"/>
            <color indexed="81"/>
            <rFont val="Tahoma"/>
            <family val="2"/>
          </rPr>
          <t>2018 p.27 in the 'Other Income/(Expense), Net' section.</t>
        </r>
      </text>
    </comment>
    <comment ref="B199" authorId="0" shapeId="0" xr:uid="{9D4ADC58-48E6-4E77-A52F-7A873A12BC98}">
      <text>
        <r>
          <rPr>
            <sz val="9"/>
            <color indexed="81"/>
            <rFont val="Tahoma"/>
            <family val="2"/>
          </rPr>
          <t>We straight line last actual year's dilutive securities (calculated as diluted - basic shares) and add this number to the basic share count to arrive at diluted shares</t>
        </r>
      </text>
    </comment>
    <comment ref="B203" authorId="0" shapeId="0" xr:uid="{DF0AE5E3-E269-4C6C-9C1F-3C667815E761}">
      <text>
        <r>
          <rPr>
            <sz val="9"/>
            <color indexed="81"/>
            <rFont val="Tahoma"/>
            <family val="2"/>
          </rPr>
          <t>Although we are not forecasting explicit share issuances, stock based compensation will eventually increase the basic share count. We need to account for this somehow, otherwise we will be undercounting future basic shares. For simplicty, we are using the SBC expense as a proxy for the current value of common stock issuance.</t>
        </r>
      </text>
    </comment>
    <comment ref="G204" authorId="0" shapeId="0" xr:uid="{CF9C898A-EFFB-4B14-979B-94AF17CC4029}">
      <text>
        <r>
          <rPr>
            <sz val="9"/>
            <color indexed="81"/>
            <rFont val="Tahoma"/>
            <family val="2"/>
          </rPr>
          <t xml:space="preserve">Use latest share count or last 12 month average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Matan Feldman</author>
    <author>Wall Street Prep</author>
  </authors>
  <commentList>
    <comment ref="C9" authorId="0" shapeId="0" xr:uid="{CCFAC4AF-C471-4ECA-8F78-B7CC16862175}">
      <text>
        <r>
          <rPr>
            <b/>
            <sz val="9"/>
            <color indexed="81"/>
            <rFont val="Tahoma"/>
            <family val="2"/>
          </rPr>
          <t>Matan Feldman:</t>
        </r>
        <r>
          <rPr>
            <sz val="9"/>
            <color indexed="81"/>
            <rFont val="Tahoma"/>
            <family val="2"/>
          </rPr>
          <t xml:space="preserve">
In practice can use the NOW() function to keep current date active</t>
        </r>
      </text>
    </comment>
    <comment ref="H9" authorId="0" shapeId="0" xr:uid="{EC1B885B-7DD0-4515-9252-EACD042D0F99}">
      <text>
        <r>
          <rPr>
            <b/>
            <sz val="9"/>
            <color indexed="81"/>
            <rFont val="Tahoma"/>
            <family val="2"/>
          </rPr>
          <t>Matan Feldman:</t>
        </r>
        <r>
          <rPr>
            <sz val="9"/>
            <color indexed="81"/>
            <rFont val="Tahoma"/>
            <family val="2"/>
          </rPr>
          <t xml:space="preserve">
Midyear convention? (1=Yes,0=No)</t>
        </r>
      </text>
    </comment>
    <comment ref="B25" authorId="0" shapeId="0" xr:uid="{23CFCC53-FC78-4992-830A-99469A75382A}">
      <text>
        <r>
          <rPr>
            <b/>
            <sz val="9"/>
            <color indexed="81"/>
            <rFont val="Tahoma"/>
            <family val="2"/>
          </rPr>
          <t>Matan Feldman:</t>
        </r>
        <r>
          <rPr>
            <sz val="9"/>
            <color indexed="81"/>
            <rFont val="Tahoma"/>
            <family val="2"/>
          </rPr>
          <t xml:space="preserve">
NOPAT stands for net operating profit after taxes.  It represents a company's operating profits less tax expense on operations.  This means that the tax deductions due to interest expense are ignored in this buildup and are instead captured in the discount rate.</t>
        </r>
      </text>
    </comment>
    <comment ref="E41" authorId="0" shapeId="0" xr:uid="{C8FFD3DE-1737-4E21-A53D-9D63292850DC}">
      <text>
        <r>
          <rPr>
            <b/>
            <sz val="9"/>
            <color indexed="81"/>
            <rFont val="Tahoma"/>
            <family val="2"/>
          </rPr>
          <t>Matan Feldman:</t>
        </r>
        <r>
          <rPr>
            <sz val="9"/>
            <color indexed="81"/>
            <rFont val="Tahoma"/>
            <family val="2"/>
          </rPr>
          <t xml:space="preserve">
Stub year adjusted</t>
        </r>
      </text>
    </comment>
    <comment ref="I55" authorId="1" shapeId="0" xr:uid="{DA267C1E-5C09-4A7F-BEF3-AAE1C981031E}">
      <text>
        <r>
          <rPr>
            <b/>
            <sz val="9"/>
            <color indexed="81"/>
            <rFont val="Tahoma"/>
            <family val="2"/>
          </rPr>
          <t>Wall Street Prep:</t>
        </r>
        <r>
          <rPr>
            <sz val="9"/>
            <color indexed="81"/>
            <rFont val="Tahoma"/>
            <family val="2"/>
          </rPr>
          <t xml:space="preserve">
Implied g = [r -FCF(t)/TV]/(1+FCF(t)/TV)</t>
        </r>
      </text>
    </comment>
    <comment ref="I61" authorId="0" shapeId="0" xr:uid="{594A4D2E-AF95-49CA-8F35-852D78A79BD9}">
      <text>
        <r>
          <rPr>
            <b/>
            <sz val="9"/>
            <color indexed="81"/>
            <rFont val="Tahoma"/>
            <family val="2"/>
          </rPr>
          <t>Matan Feldman:</t>
        </r>
        <r>
          <rPr>
            <sz val="9"/>
            <color indexed="81"/>
            <rFont val="Tahoma"/>
            <family val="2"/>
          </rPr>
          <t xml:space="preserve">
Source: Q1 2020 10Q p.19 </t>
        </r>
      </text>
    </comment>
    <comment ref="B66" authorId="0" shapeId="0" xr:uid="{C17DAE9B-4274-49A4-B943-DEF68F2CA1A3}">
      <text>
        <r>
          <rPr>
            <b/>
            <sz val="9"/>
            <color indexed="81"/>
            <rFont val="Tahoma"/>
            <family val="2"/>
          </rPr>
          <t>Matan Feldman:</t>
        </r>
        <r>
          <rPr>
            <sz val="9"/>
            <color indexed="81"/>
            <rFont val="Tahoma"/>
            <family val="2"/>
          </rPr>
          <t xml:space="preserve">
Include cash &amp; equivalents, short term and long term marketable securites and investments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Matan Feldman</author>
    <author>Wall Street Prep</author>
  </authors>
  <commentList>
    <comment ref="C20" authorId="0" shapeId="0" xr:uid="{5E52FBF8-39B7-4852-8761-17F73CEDE1D0}">
      <text>
        <r>
          <rPr>
            <b/>
            <sz val="9"/>
            <color indexed="81"/>
            <rFont val="Tahoma"/>
            <family val="2"/>
          </rPr>
          <t>Matan Feldman:</t>
        </r>
        <r>
          <rPr>
            <sz val="9"/>
            <color indexed="81"/>
            <rFont val="Tahoma"/>
            <family val="2"/>
          </rPr>
          <t xml:space="preserve">
Equity was $1,223,044.7 in the video because we ignored the illusrative converts and options (in case you're wondering why your numbers aren't footing with the video)</t>
        </r>
      </text>
    </comment>
    <comment ref="C42" authorId="1" shapeId="0" xr:uid="{6E7AEA12-DE6C-4D5B-9B6F-D45D020CBBDB}">
      <text>
        <r>
          <rPr>
            <b/>
            <sz val="9"/>
            <color indexed="81"/>
            <rFont val="Tahoma"/>
            <family val="2"/>
          </rPr>
          <t>Wall Street Prep:</t>
        </r>
        <r>
          <rPr>
            <sz val="9"/>
            <color indexed="81"/>
            <rFont val="Tahoma"/>
            <family val="2"/>
          </rPr>
          <t xml:space="preserve">
CIQ</t>
        </r>
      </text>
    </comment>
    <comment ref="H42" authorId="1" shapeId="0" xr:uid="{67F2F7F4-8B46-4F4E-B6EE-F13A05DF3E25}">
      <text>
        <r>
          <rPr>
            <b/>
            <sz val="9"/>
            <color indexed="81"/>
            <rFont val="Tahoma"/>
            <family val="2"/>
          </rPr>
          <t>Wall Street Prep:</t>
        </r>
        <r>
          <rPr>
            <sz val="9"/>
            <color indexed="81"/>
            <rFont val="Tahoma"/>
            <family val="2"/>
          </rPr>
          <t xml:space="preserve">
Last 9 month per latest 10Q footnotes</t>
        </r>
      </text>
    </comment>
    <comment ref="C43" authorId="1" shapeId="0" xr:uid="{F3155EB1-B2BA-4E3D-81FF-748A4F6D1B36}">
      <text>
        <r>
          <rPr>
            <b/>
            <sz val="9"/>
            <color indexed="81"/>
            <rFont val="Tahoma"/>
            <family val="2"/>
          </rPr>
          <t>Wall Street Prep:</t>
        </r>
        <r>
          <rPr>
            <sz val="9"/>
            <color indexed="81"/>
            <rFont val="Tahoma"/>
            <family val="2"/>
          </rPr>
          <t xml:space="preserve">
CIQ</t>
        </r>
      </text>
    </comment>
    <comment ref="H43" authorId="1" shapeId="0" xr:uid="{4F7AC0B2-75BF-43E7-8498-2F3EF7D41B87}">
      <text>
        <r>
          <rPr>
            <b/>
            <sz val="9"/>
            <color indexed="81"/>
            <rFont val="Tahoma"/>
            <family val="2"/>
          </rPr>
          <t>Wall Street Prep:</t>
        </r>
        <r>
          <rPr>
            <sz val="9"/>
            <color indexed="81"/>
            <rFont val="Tahoma"/>
            <family val="2"/>
          </rPr>
          <t xml:space="preserve">
Non-GAAP tax rate from latest 10Q</t>
        </r>
      </text>
    </comment>
    <comment ref="C44" authorId="1" shapeId="0" xr:uid="{3A4C3D89-ACC9-456D-9D11-766055CA0097}">
      <text>
        <r>
          <rPr>
            <b/>
            <sz val="9"/>
            <color indexed="81"/>
            <rFont val="Tahoma"/>
            <family val="2"/>
          </rPr>
          <t>Wall Street Prep:</t>
        </r>
        <r>
          <rPr>
            <sz val="9"/>
            <color indexed="81"/>
            <rFont val="Tahoma"/>
            <family val="2"/>
          </rPr>
          <t xml:space="preserve">
CIQ</t>
        </r>
      </text>
    </comment>
    <comment ref="H44" authorId="1" shapeId="0" xr:uid="{109CC5B6-23EA-4B23-A92A-6FE187AE0D49}">
      <text>
        <r>
          <rPr>
            <b/>
            <sz val="9"/>
            <color indexed="81"/>
            <rFont val="Tahoma"/>
            <family val="2"/>
          </rPr>
          <t>Wall Street Prep:</t>
        </r>
        <r>
          <rPr>
            <sz val="9"/>
            <color indexed="81"/>
            <rFont val="Tahoma"/>
            <family val="2"/>
          </rPr>
          <t xml:space="preserve">
Annualized tax rate</t>
        </r>
      </text>
    </comment>
    <comment ref="C45" authorId="1" shapeId="0" xr:uid="{C61D74D3-1240-47FC-A300-42AC2AA86EA1}">
      <text>
        <r>
          <rPr>
            <b/>
            <sz val="9"/>
            <color indexed="81"/>
            <rFont val="Tahoma"/>
            <family val="2"/>
          </rPr>
          <t>Wall Street Prep:</t>
        </r>
        <r>
          <rPr>
            <sz val="9"/>
            <color indexed="81"/>
            <rFont val="Tahoma"/>
            <family val="2"/>
          </rPr>
          <t xml:space="preserve">
Bloomberg</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B28" authorId="0" shapeId="0" xr:uid="{64AAAD89-7DBF-4890-BA92-2C4C476CA80B}">
      <text>
        <r>
          <rPr>
            <b/>
            <sz val="9"/>
            <color indexed="81"/>
            <rFont val="Tahoma"/>
            <family val="2"/>
          </rPr>
          <t>Matan Feldman:</t>
        </r>
        <r>
          <rPr>
            <sz val="9"/>
            <color indexed="81"/>
            <rFont val="Tahoma"/>
            <family val="2"/>
          </rPr>
          <t xml:space="preserve">
Usually found in footnotes.  Otherwise, use latest balance sheet value as proxy 
</t>
        </r>
      </text>
    </comment>
    <comment ref="B37" authorId="0" shapeId="0" xr:uid="{A3D61012-F0B0-4CB1-A487-1658148C7EB1}">
      <text>
        <r>
          <rPr>
            <b/>
            <sz val="9"/>
            <color indexed="81"/>
            <rFont val="Tahoma"/>
            <family val="2"/>
          </rPr>
          <t>Matan Feldman:</t>
        </r>
        <r>
          <rPr>
            <sz val="9"/>
            <color indexed="81"/>
            <rFont val="Tahoma"/>
            <family val="2"/>
          </rPr>
          <t xml:space="preserve">
Usually found in footnotes.  Otherwise, use balance sheet value.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<sst xmlns="http://schemas.openxmlformats.org/spreadsheetml/2006/main" count="1034" uniqueCount="567">
  <si>
    <t>FYE</t>
  </si>
  <si>
    <t>Quarterly</t>
  </si>
  <si>
    <t>1Q24</t>
  </si>
  <si>
    <t>2Q24</t>
  </si>
  <si>
    <t>3Q24</t>
  </si>
  <si>
    <t>4Q24</t>
  </si>
  <si>
    <t>1Q23</t>
  </si>
  <si>
    <t>2Q23</t>
  </si>
  <si>
    <t>3Q23</t>
  </si>
  <si>
    <t>4Q23</t>
  </si>
  <si>
    <t>LTM</t>
  </si>
  <si>
    <t>EBITDA</t>
  </si>
  <si>
    <t>Adjusted EBITDA</t>
  </si>
  <si>
    <t>Total Revenue</t>
  </si>
  <si>
    <t>Cost of Sales</t>
  </si>
  <si>
    <t>Accounts receivable</t>
  </si>
  <si>
    <t>Inventories</t>
  </si>
  <si>
    <t>Accounts payable</t>
  </si>
  <si>
    <t>Net income</t>
  </si>
  <si>
    <t>Changes in assets and liabilities:</t>
  </si>
  <si>
    <t>Cash-Flows Statement</t>
  </si>
  <si>
    <t>Other current assets</t>
  </si>
  <si>
    <t>Debt</t>
  </si>
  <si>
    <t>Total stockholders' equity</t>
  </si>
  <si>
    <t>Total Liabilities</t>
  </si>
  <si>
    <t>X</t>
  </si>
  <si>
    <t>Total Current Liabilities</t>
  </si>
  <si>
    <t>Common stock</t>
  </si>
  <si>
    <t xml:space="preserve">Beta </t>
  </si>
  <si>
    <t>Total Current Assets</t>
  </si>
  <si>
    <t>Total Assets</t>
  </si>
  <si>
    <t>Gross Profit</t>
  </si>
  <si>
    <t>Revenue</t>
  </si>
  <si>
    <t>EBIT</t>
  </si>
  <si>
    <t>Beta</t>
  </si>
  <si>
    <t>Total Debt</t>
  </si>
  <si>
    <t>Perpetuity</t>
  </si>
  <si>
    <t>Net Debt</t>
  </si>
  <si>
    <t>Variance</t>
  </si>
  <si>
    <t>FCF Analysis</t>
  </si>
  <si>
    <t>1Q22</t>
  </si>
  <si>
    <t>2Q22</t>
  </si>
  <si>
    <t>3Q22</t>
  </si>
  <si>
    <t>4Q22</t>
  </si>
  <si>
    <t>1Q25</t>
  </si>
  <si>
    <t>2Q25</t>
  </si>
  <si>
    <t>Y/Y Growth (%)</t>
  </si>
  <si>
    <t>Q/Q Growth (%)</t>
  </si>
  <si>
    <t>N/A</t>
  </si>
  <si>
    <t>(-) Cost of Sales</t>
  </si>
  <si>
    <t>Gross Margin (%)</t>
  </si>
  <si>
    <t>Earning before Interest &amp; Taxes (EBIT)</t>
  </si>
  <si>
    <t>Operating Margin (%)</t>
  </si>
  <si>
    <t>(+) Depreciation and Amortization</t>
  </si>
  <si>
    <t>EBITDA Margin (%)</t>
  </si>
  <si>
    <t xml:space="preserve">(+) Share-based Compensation </t>
  </si>
  <si>
    <t>Adj. EBITDA</t>
  </si>
  <si>
    <t>Adj. EBITDA Margin (%)</t>
  </si>
  <si>
    <t>(-) Capital Expenditures</t>
  </si>
  <si>
    <t>(-) Cash Taxes</t>
  </si>
  <si>
    <t>(+/-) Changes in NWC</t>
  </si>
  <si>
    <t>Discretionary Cash-Flows</t>
  </si>
  <si>
    <t>Free-Cash Flows</t>
  </si>
  <si>
    <t>Capitalization</t>
  </si>
  <si>
    <t>Cash &amp; Cash Equivelants</t>
  </si>
  <si>
    <t>Total Liquidity</t>
  </si>
  <si>
    <t>Balance Sheet Metrics:</t>
  </si>
  <si>
    <t>Accounts Receivable</t>
  </si>
  <si>
    <t>Accounts Payable</t>
  </si>
  <si>
    <t>Property Plant, and Equiptment</t>
  </si>
  <si>
    <t>Current Liabilities</t>
  </si>
  <si>
    <t>Summary Debt (BS):</t>
  </si>
  <si>
    <t>CPLTD</t>
  </si>
  <si>
    <t>LTD</t>
  </si>
  <si>
    <t>Total Shareholder Equity</t>
  </si>
  <si>
    <t>Total Book Capitalization</t>
  </si>
  <si>
    <t>Total Leverage</t>
  </si>
  <si>
    <t>Net Leverage (C&amp;CE)</t>
  </si>
  <si>
    <t xml:space="preserve">Interest Coverage </t>
  </si>
  <si>
    <t>Debt Service Coverage</t>
  </si>
  <si>
    <t>Fixed Charge Coverage</t>
  </si>
  <si>
    <t>Debt-to-Book Capitalization</t>
  </si>
  <si>
    <t>Profit From Operations</t>
  </si>
  <si>
    <t>Net loss before provision for income taxes</t>
  </si>
  <si>
    <t>Net loss</t>
  </si>
  <si>
    <t>Total liabilities and stockholders' equity</t>
  </si>
  <si>
    <t>Cash-Flows From Operating Activities</t>
  </si>
  <si>
    <t>Net income (loss)</t>
  </si>
  <si>
    <t>Depreciation and amortization</t>
  </si>
  <si>
    <t>Net cash used in operating activities</t>
  </si>
  <si>
    <t>Cash flows from investing activities:</t>
  </si>
  <si>
    <t>Net cash used in investing activities</t>
  </si>
  <si>
    <t>Cash flows from financing activities:</t>
  </si>
  <si>
    <t>Net cash provided by financing activities</t>
  </si>
  <si>
    <t>Consolidated Revenue</t>
  </si>
  <si>
    <t>Common Stock</t>
  </si>
  <si>
    <t>Adjustments to reconcile net income:</t>
  </si>
  <si>
    <t>Other</t>
  </si>
  <si>
    <t>Balance Check</t>
  </si>
  <si>
    <t>Net Change in Cash</t>
  </si>
  <si>
    <t>Inventory</t>
  </si>
  <si>
    <t>Cash paid during the period for:</t>
  </si>
  <si>
    <t xml:space="preserve">Provision for taxes </t>
  </si>
  <si>
    <t>Cash BOP</t>
  </si>
  <si>
    <t xml:space="preserve">1) Includes $50MM cash recorded within other current assets on the Consolidated Condensed Balance Sheets relating to Altera cash held for sale. </t>
  </si>
  <si>
    <t>3Q25</t>
  </si>
  <si>
    <t>Net Margin (%)</t>
  </si>
  <si>
    <t>Basic shares</t>
  </si>
  <si>
    <t>Basic EPS</t>
  </si>
  <si>
    <t>Fully Diluted Shares</t>
  </si>
  <si>
    <t>Diluted EPS</t>
  </si>
  <si>
    <t>Segment Anaysis</t>
  </si>
  <si>
    <t>Total Net Revenue</t>
  </si>
  <si>
    <t>Total Intel Products Revenue</t>
  </si>
  <si>
    <t>(-) Research and Development (R&amp;D)</t>
  </si>
  <si>
    <t xml:space="preserve">(+/-) Other </t>
  </si>
  <si>
    <t>(+/-) Issuance / (Repayment) of Debt</t>
  </si>
  <si>
    <t xml:space="preserve">(+/-) Dividends </t>
  </si>
  <si>
    <t>Credit Metrics</t>
  </si>
  <si>
    <t>Company name</t>
  </si>
  <si>
    <t>Select an operating scenario:</t>
  </si>
  <si>
    <t>Base case</t>
  </si>
  <si>
    <t>Ticker</t>
  </si>
  <si>
    <t>AAPL</t>
  </si>
  <si>
    <t>Circ break 1=off, 0=on</t>
  </si>
  <si>
    <t>Latest closing share price</t>
  </si>
  <si>
    <t>Latest closing share price date</t>
  </si>
  <si>
    <t>Latest fiscal year end date</t>
  </si>
  <si>
    <t>Shares outstanding (millions)</t>
  </si>
  <si>
    <t xml:space="preserve">Fiscal year  </t>
  </si>
  <si>
    <t>Fiscal year end date</t>
  </si>
  <si>
    <t>Previous year's revenues x (1+revenue growth rate)</t>
  </si>
  <si>
    <t>Plug = Revenue - Gross Profit</t>
  </si>
  <si>
    <t>Revenue x Gross Profit Margin forecast</t>
  </si>
  <si>
    <t>Revenue x R&amp;D % of sales forecast</t>
  </si>
  <si>
    <t>Revenue x SG&amp;A % of sales forecast</t>
  </si>
  <si>
    <t>Operating profit (EBIT)</t>
  </si>
  <si>
    <t>Gross Profit - R&amp;D - SG&amp;A</t>
  </si>
  <si>
    <t>Interest income</t>
  </si>
  <si>
    <t>Reference from interest expense schedule</t>
  </si>
  <si>
    <t>Straight-line</t>
  </si>
  <si>
    <t>Pretax profit</t>
  </si>
  <si>
    <t>EBIT + interest income less interest expense less other expense</t>
  </si>
  <si>
    <t>Pre-tax Profit x Tax Rate forecast</t>
  </si>
  <si>
    <t>Pre-tax Profit less taxes</t>
  </si>
  <si>
    <t>Depreciation &amp; amortization</t>
  </si>
  <si>
    <t>Reference from D&amp;A schedule</t>
  </si>
  <si>
    <t>EBIT + D&amp;A</t>
  </si>
  <si>
    <t>Stock based compensation</t>
  </si>
  <si>
    <t>WSP assumption: grow SBC in-line with revenue growth</t>
  </si>
  <si>
    <t>EBITDA + Stock-based compensation</t>
  </si>
  <si>
    <t>Growth rates &amp; margins</t>
  </si>
  <si>
    <t>Revenue growth</t>
  </si>
  <si>
    <t>Gross profit margin</t>
  </si>
  <si>
    <t>R&amp;D % of sales</t>
  </si>
  <si>
    <t>SG&amp;A % of sales</t>
  </si>
  <si>
    <t>Tax rate</t>
  </si>
  <si>
    <t>Cash &amp; equivalents, ST and LT marketable securities</t>
  </si>
  <si>
    <t>Reference from 'net change in cash' line on the cash flow statement</t>
  </si>
  <si>
    <t>Grow in-line with revenue growth</t>
  </si>
  <si>
    <t>Grow in-line with cost of sales growth</t>
  </si>
  <si>
    <t>Property, plant &amp; equipment</t>
  </si>
  <si>
    <t>Reference from PP&amp;E schedule</t>
  </si>
  <si>
    <t>Other non current assets</t>
  </si>
  <si>
    <t>Other current liabilities</t>
  </si>
  <si>
    <t>Deferred revenue (current)</t>
  </si>
  <si>
    <t>Commercial paper / revolver</t>
  </si>
  <si>
    <t>Reference EOP balance from CP/revolver schedule</t>
  </si>
  <si>
    <t>Long term debt (includes current portion)</t>
  </si>
  <si>
    <t>WSP assumption: straight-line</t>
  </si>
  <si>
    <t>Other non current liabilities</t>
  </si>
  <si>
    <t>Total liabilities</t>
  </si>
  <si>
    <t>Increase by stock-based compensation forecasted in the I/S section</t>
  </si>
  <si>
    <t xml:space="preserve">Retained earnings </t>
  </si>
  <si>
    <t>Reference from Retained Earnings schedule</t>
  </si>
  <si>
    <t>Other comprehensive income</t>
  </si>
  <si>
    <t>Total equity</t>
  </si>
  <si>
    <t>Balance check</t>
  </si>
  <si>
    <t>Reference from the I/S</t>
  </si>
  <si>
    <t>Decreases / (Increases) in working capital assets</t>
  </si>
  <si>
    <t>Increases / (Decreases) in working capital liabilities</t>
  </si>
  <si>
    <t>Reference from schedule NOT the B/S: Only include 'Additions' (as outflow)</t>
  </si>
  <si>
    <t>Capital expenditures</t>
  </si>
  <si>
    <t>Long term debt</t>
  </si>
  <si>
    <t>Commercial paper/ Revolver</t>
  </si>
  <si>
    <t>Reference from B/S</t>
  </si>
  <si>
    <t>Share repurchases</t>
  </si>
  <si>
    <t>Common dividends</t>
  </si>
  <si>
    <t>Net change in cash during period</t>
  </si>
  <si>
    <t>PROPERTY, PLANT &amp; EQUIPMENT</t>
  </si>
  <si>
    <t>Forecast</t>
  </si>
  <si>
    <t>Beginning of period</t>
  </si>
  <si>
    <t xml:space="preserve">BOP = Previous year EOP </t>
  </si>
  <si>
    <t>Plus: Capital expenditures</t>
  </si>
  <si>
    <t>First two years - consensus estimates, then grow with revenue</t>
  </si>
  <si>
    <t>Less: Depreciation</t>
  </si>
  <si>
    <t>Capex x 'D&amp;A related to PP&amp;E as a % of capex' ratio (below)</t>
  </si>
  <si>
    <t>End of period</t>
  </si>
  <si>
    <t>BOP + Capex - Depreciation</t>
  </si>
  <si>
    <t>D&amp;A related to PP&amp;E as a % of capex</t>
  </si>
  <si>
    <t>Revenue x 'as % of revenue' assumption</t>
  </si>
  <si>
    <t>as % of revenue</t>
  </si>
  <si>
    <t>Straight line last historical % of revenue - WSP assumption</t>
  </si>
  <si>
    <t xml:space="preserve">Depreciation &amp; Amortization - Total </t>
  </si>
  <si>
    <t>D&amp;A from PP&amp;E + D&amp;A not from PP&amp;E</t>
  </si>
  <si>
    <t>OTHER NON-CURRENT ASSETS</t>
  </si>
  <si>
    <t>Less: Amortization of intangible assets</t>
  </si>
  <si>
    <t xml:space="preserve">Assume all D&amp;A not from PP&amp;E is in non-current assets </t>
  </si>
  <si>
    <t xml:space="preserve">Plus: Additions </t>
  </si>
  <si>
    <t>Because we already know the EOP balance, this is a plug: EOP - D&amp;A not from PP&amp;E - BOP</t>
  </si>
  <si>
    <t>Referenced from balance sheet</t>
  </si>
  <si>
    <t>RETAINED EARNINGS</t>
  </si>
  <si>
    <t>Plus: Net income</t>
  </si>
  <si>
    <t>Reference from income statement</t>
  </si>
  <si>
    <t>Less: Dividends</t>
  </si>
  <si>
    <t>WSP assumption: Hold last historical year's dividend payout ratio constant</t>
  </si>
  <si>
    <t>Less: Repurchases</t>
  </si>
  <si>
    <t>WSP assumption: Straight-line last historical year repurchases</t>
  </si>
  <si>
    <t>BOP + net income - dividends - repurchases</t>
  </si>
  <si>
    <t>REVOLVER (MODEL PLUG)</t>
  </si>
  <si>
    <t>Revolver needs analysis</t>
  </si>
  <si>
    <t>Cash at beginning of period (BOP)</t>
  </si>
  <si>
    <t>Reference prior period EOP from B/S</t>
  </si>
  <si>
    <t>Less: Minimum cash balance</t>
  </si>
  <si>
    <t>WSP assumption</t>
  </si>
  <si>
    <t>Plus: Free cash flows generated during period</t>
  </si>
  <si>
    <t>Equals: Cash available (needed) to pay down (draw from) revolver</t>
  </si>
  <si>
    <t>Commercial paper / Revolver</t>
  </si>
  <si>
    <t>Draw / (paydown)</t>
  </si>
  <si>
    <t xml:space="preserve">Cash (paydown) / additional borrowing from revolver. Paydown not to exceed BOP balance. </t>
  </si>
  <si>
    <t>Discretionary borrowing / (paydown)</t>
  </si>
  <si>
    <t>Debt balance:</t>
  </si>
  <si>
    <t>INTEREST EXPENSE AND INTEREST INCOME</t>
  </si>
  <si>
    <t>Total interest expense (from I/S)</t>
  </si>
  <si>
    <t>Interest expense from revolver/CP + interest expense from long term debt</t>
  </si>
  <si>
    <t>Commercial Paper / Revolver</t>
  </si>
  <si>
    <t>Weighted average interest rate</t>
  </si>
  <si>
    <t>WSP assumption: Straight-line</t>
  </si>
  <si>
    <t>End of period balance (from B/S)</t>
  </si>
  <si>
    <t>Reference from revolver / CP schedule above</t>
  </si>
  <si>
    <t>Interest expense</t>
  </si>
  <si>
    <t>Interest rate x average of BOP &amp; EOP revolver balances (circularity)</t>
  </si>
  <si>
    <t xml:space="preserve">Interest expense </t>
  </si>
  <si>
    <t>Interest rate x average of BOP &amp; EOP LTD balances</t>
  </si>
  <si>
    <t>Interest rate on cash</t>
  </si>
  <si>
    <t>Weighted average interest rate on cash</t>
  </si>
  <si>
    <t>Interest rate x average of BOP &amp; EOP cash balances (circularity)</t>
  </si>
  <si>
    <t>EARNINGS PER SHARE</t>
  </si>
  <si>
    <t>Reference from I/S</t>
  </si>
  <si>
    <t xml:space="preserve">Basic shares </t>
  </si>
  <si>
    <t>Last period basic shares + ($ shares issued - $ shares repurchased)/Current period average share price OR reference average Basic shares from schedule below</t>
  </si>
  <si>
    <t>Net income / Basic shares</t>
  </si>
  <si>
    <t>Diluted Shares</t>
  </si>
  <si>
    <t>Basic shares + Dilutive securities</t>
  </si>
  <si>
    <t>Net income/Diluted Shares</t>
  </si>
  <si>
    <t>$ amount of shares repurchased</t>
  </si>
  <si>
    <t>Reference from RE schedule - treasury repurchases (flip sign)</t>
  </si>
  <si>
    <t>$ amount of new shares issued</t>
  </si>
  <si>
    <t xml:space="preserve">Reference SBC from I/S </t>
  </si>
  <si>
    <t>Average share price</t>
  </si>
  <si>
    <t>Last period share price x (1+growth rate)</t>
  </si>
  <si>
    <t>Share price increase</t>
  </si>
  <si>
    <t>WSP assumption OR grow with net income growth rate (calculated below)</t>
  </si>
  <si>
    <t>Optional analysis for calculating weighted average basic shares</t>
  </si>
  <si>
    <t>Basic Shares - BOP</t>
  </si>
  <si>
    <t>Reference from latest share count &gt;</t>
  </si>
  <si>
    <t xml:space="preserve">Link to prior year Basic shares - EOP </t>
  </si>
  <si>
    <t>Net change in basic shares</t>
  </si>
  <si>
    <t xml:space="preserve"> ($ shares issued - $ shares repurchased)/Current period average share price</t>
  </si>
  <si>
    <t>Basic shares - EOP</t>
  </si>
  <si>
    <t>Basic Shares - BOP + Net change in basic shares</t>
  </si>
  <si>
    <t>Basic shares - average</t>
  </si>
  <si>
    <t>Average(Basic Shares BOP,Basic Shares EOP)</t>
  </si>
  <si>
    <t>SCENARIO ANALYSIS</t>
  </si>
  <si>
    <t>Active case:</t>
  </si>
  <si>
    <t xml:space="preserve">Variance from </t>
  </si>
  <si>
    <t>base case</t>
  </si>
  <si>
    <t>Best case</t>
  </si>
  <si>
    <t>NM</t>
  </si>
  <si>
    <t>Weak case</t>
  </si>
  <si>
    <r>
      <t xml:space="preserve">D&amp;A </t>
    </r>
    <r>
      <rPr>
        <u/>
        <sz val="9"/>
        <color theme="1"/>
        <rFont val="Calibri"/>
        <family val="2"/>
      </rPr>
      <t>not</t>
    </r>
    <r>
      <rPr>
        <sz val="9"/>
        <color theme="1"/>
        <rFont val="Calibri"/>
        <family val="2"/>
      </rPr>
      <t xml:space="preserve"> related to PP&amp;E</t>
    </r>
  </si>
  <si>
    <r>
      <t xml:space="preserve">CFO + CFI + CFF </t>
    </r>
    <r>
      <rPr>
        <u/>
        <sz val="9"/>
        <color theme="1"/>
        <rFont val="Calibri"/>
        <family val="2"/>
      </rPr>
      <t>except revolver</t>
    </r>
  </si>
  <si>
    <t>High</t>
  </si>
  <si>
    <t>Apple Inc. (NASDAQ: AAPL)</t>
  </si>
  <si>
    <t>Cash/Equivalents</t>
  </si>
  <si>
    <t>Other Current Assets</t>
  </si>
  <si>
    <t>PP&amp;E</t>
  </si>
  <si>
    <t>Other Assets</t>
  </si>
  <si>
    <t>Deferred Revenue - Current</t>
  </si>
  <si>
    <t>Other Current Liabilities (accrued exp)</t>
  </si>
  <si>
    <t>Deferred Revenue - Non-Current</t>
  </si>
  <si>
    <t>Other Non-Current Liabilities</t>
  </si>
  <si>
    <t>Long-Term Debt</t>
  </si>
  <si>
    <t>Retained Earnings (Deficit)</t>
  </si>
  <si>
    <t xml:space="preserve">Accumulated Other comprehensive income </t>
  </si>
  <si>
    <t>Treasury Stock</t>
  </si>
  <si>
    <t>Depreciation and Amortization</t>
  </si>
  <si>
    <t>Stock Based Compensation</t>
  </si>
  <si>
    <t>Deferred Taxes</t>
  </si>
  <si>
    <t>Other - Loss on disposition of PPE</t>
  </si>
  <si>
    <t>Deferred Revenue</t>
  </si>
  <si>
    <t xml:space="preserve">Other Asset and Other Liabilities </t>
  </si>
  <si>
    <t>Capital Expenditures</t>
  </si>
  <si>
    <t>Proceeds of investments</t>
  </si>
  <si>
    <t>Purchase of Investments</t>
  </si>
  <si>
    <t>Acquisitions/intang assets</t>
  </si>
  <si>
    <t>Other/Strategic investments</t>
  </si>
  <si>
    <t>Proceeds from the issuance of term debt, net</t>
  </si>
  <si>
    <t>Repayments of term debt</t>
  </si>
  <si>
    <t>Issuance of Common</t>
  </si>
  <si>
    <t>Change in commercial paper, net</t>
  </si>
  <si>
    <t>Preferred Stock</t>
  </si>
  <si>
    <t>Dividends</t>
  </si>
  <si>
    <t xml:space="preserve">Research &amp; Development </t>
  </si>
  <si>
    <t>Selling, General &amp; Administrative</t>
  </si>
  <si>
    <t>Other income/(expense), net</t>
  </si>
  <si>
    <t>Cash paid for income taxes, net</t>
  </si>
  <si>
    <t>Cash paid for interest</t>
  </si>
  <si>
    <t>Adjusted Cash Position BOP</t>
  </si>
  <si>
    <t>Adjusted Cash Position EOP</t>
  </si>
  <si>
    <t xml:space="preserve">EOP Restricted Cash Adjustments </t>
  </si>
  <si>
    <t xml:space="preserve">BOP Restricted Cash Adjustments </t>
  </si>
  <si>
    <t>Revenue by End Product</t>
  </si>
  <si>
    <t xml:space="preserve">Revenue by Product Offerings: Wearables, Home, and Accessories </t>
  </si>
  <si>
    <t>Accessories</t>
  </si>
  <si>
    <t>Apple Watch</t>
  </si>
  <si>
    <t>iPhone Revenue</t>
  </si>
  <si>
    <t>Mac Revenue</t>
  </si>
  <si>
    <t>iPad Revenue</t>
  </si>
  <si>
    <t>Services Revenue</t>
  </si>
  <si>
    <t>Wearables, Home, and Accessories Revenue</t>
  </si>
  <si>
    <t>(-) Selling, General &amp; Administrative (SG&amp;A)</t>
  </si>
  <si>
    <t xml:space="preserve">(-) Cash Interest </t>
  </si>
  <si>
    <t>(+/-) Proceeds / (Purchases) of Investments</t>
  </si>
  <si>
    <t>(+/-) Proceeds / (Purchases) of Other/Strategic investments</t>
  </si>
  <si>
    <t>(+/-) Issuances / (Share Repurchases)</t>
  </si>
  <si>
    <t>(+/-) Change in commercial paper, net</t>
  </si>
  <si>
    <t>Commerical Paper</t>
  </si>
  <si>
    <t>Term Debt, Current Portion</t>
  </si>
  <si>
    <r>
      <t xml:space="preserve">Reference from interest on cash schedule; </t>
    </r>
    <r>
      <rPr>
        <sz val="9"/>
        <color rgb="FFFF0000"/>
        <rFont val="Calibri"/>
        <family val="2"/>
      </rPr>
      <t>Area of Model Mess Up</t>
    </r>
  </si>
  <si>
    <t>Commercial Paper Outstanding</t>
  </si>
  <si>
    <t>Aggregate Term Debt, Current Portion</t>
  </si>
  <si>
    <t>Aggregate Term Debt, Net of Current Portion</t>
  </si>
  <si>
    <t>WACC Buildup</t>
  </si>
  <si>
    <t>Cost of capital assumptions</t>
  </si>
  <si>
    <t>Source</t>
  </si>
  <si>
    <t>Cost of debt</t>
  </si>
  <si>
    <t>Bloomberg - YTM on 2.2% 9/29 Bond</t>
  </si>
  <si>
    <t>From terminal year of UFCF forecast</t>
  </si>
  <si>
    <t>Cost of debt (after tax)</t>
  </si>
  <si>
    <t>Cost of debt x (1 - tax rate)</t>
  </si>
  <si>
    <t xml:space="preserve">Risk free rate </t>
  </si>
  <si>
    <t>WSJ: 10 Year US Treasury Yield</t>
  </si>
  <si>
    <t>Bloomberg 2 year weekly adjusted beta</t>
  </si>
  <si>
    <t>Market risk premium</t>
  </si>
  <si>
    <t>Market risk premium from D&amp;P May 1, 2019</t>
  </si>
  <si>
    <t>Cost of equity</t>
  </si>
  <si>
    <t>RfR + Beta x MRP</t>
  </si>
  <si>
    <t>Capital weights (capital structure)</t>
  </si>
  <si>
    <t xml:space="preserve">Target </t>
  </si>
  <si>
    <t xml:space="preserve">Current </t>
  </si>
  <si>
    <t>(override)</t>
  </si>
  <si>
    <t>% of total</t>
  </si>
  <si>
    <t>Equity</t>
  </si>
  <si>
    <t>Cost of capital (WACC)</t>
  </si>
  <si>
    <t>WACC sensitivity to MRP and Beta</t>
  </si>
  <si>
    <t>Market</t>
  </si>
  <si>
    <t>Risk</t>
  </si>
  <si>
    <t>Premium</t>
  </si>
  <si>
    <t>Select Beta for model</t>
  </si>
  <si>
    <t>Observed</t>
  </si>
  <si>
    <t>Industry beta</t>
  </si>
  <si>
    <t>From schedule below</t>
  </si>
  <si>
    <t>Share price</t>
  </si>
  <si>
    <t>Dil. shares</t>
  </si>
  <si>
    <t>Market cap</t>
  </si>
  <si>
    <t>Microsoft MSFT</t>
  </si>
  <si>
    <t>Alphabet (GOOG)</t>
  </si>
  <si>
    <t>Amazon (AMZN)</t>
  </si>
  <si>
    <t>Apple (AAPL)</t>
  </si>
  <si>
    <t>Industry average delevered beta</t>
  </si>
  <si>
    <t>Observed b</t>
  </si>
  <si>
    <t>Delev. b</t>
  </si>
  <si>
    <t>Shares - Options and Convertibles</t>
  </si>
  <si>
    <t>Current share price</t>
  </si>
  <si>
    <t xml:space="preserve">Stock options - Treasury stock method </t>
  </si>
  <si>
    <t>Outstanding</t>
  </si>
  <si>
    <t xml:space="preserve">Exercise </t>
  </si>
  <si>
    <t>In-the-$</t>
  </si>
  <si>
    <t>options</t>
  </si>
  <si>
    <t>price</t>
  </si>
  <si>
    <t>Tranche 1</t>
  </si>
  <si>
    <t>Tranche 2</t>
  </si>
  <si>
    <t>Tranche 3</t>
  </si>
  <si>
    <t>Tranche 4</t>
  </si>
  <si>
    <t>Tranche 5</t>
  </si>
  <si>
    <t>Tranche 6</t>
  </si>
  <si>
    <t>Tranche 7</t>
  </si>
  <si>
    <t>Total</t>
  </si>
  <si>
    <t>Total proceeds ($mm)</t>
  </si>
  <si>
    <t>Total shares repurchased (mm)</t>
  </si>
  <si>
    <t>Net dilutive impact of stock options</t>
  </si>
  <si>
    <t>Convertible securities "if-converted" test</t>
  </si>
  <si>
    <t>Convertible Debt</t>
  </si>
  <si>
    <t xml:space="preserve">Principal Outstanding </t>
  </si>
  <si>
    <t>Each $1,000 in principal convertible into (Conversion ratio)</t>
  </si>
  <si>
    <t>Conversion price</t>
  </si>
  <si>
    <t>Common shares convertible into</t>
  </si>
  <si>
    <t>Dilutive impact of convertible securities</t>
  </si>
  <si>
    <t>Elimination of liability from net debt</t>
  </si>
  <si>
    <t>Convertible Preferred Stock</t>
  </si>
  <si>
    <t>Convertible Preferred Par Value</t>
  </si>
  <si>
    <t>Preferred shares outstanding</t>
  </si>
  <si>
    <t>Conversion ratio</t>
  </si>
  <si>
    <t>Discounted Cash Flow Valuation</t>
  </si>
  <si>
    <t>Most recent fiscal year end</t>
  </si>
  <si>
    <t>Discount rate (WACC)</t>
  </si>
  <si>
    <t>Link from WACC</t>
  </si>
  <si>
    <t>End of first fiscal year</t>
  </si>
  <si>
    <t>Share price (Public Co)</t>
  </si>
  <si>
    <t>Source: CIQ</t>
  </si>
  <si>
    <t>Most recent quarter end date</t>
  </si>
  <si>
    <t>Share price date</t>
  </si>
  <si>
    <t xml:space="preserve">Valuation date </t>
  </si>
  <si>
    <t>Midyear adjustment?</t>
  </si>
  <si>
    <t>Portion of First Year Cash Flows</t>
  </si>
  <si>
    <t>Case active:</t>
  </si>
  <si>
    <t>Unlevered Free Cash Flows</t>
  </si>
  <si>
    <t>Actual</t>
  </si>
  <si>
    <t>Forecasts</t>
  </si>
  <si>
    <t>Fiscal year ended</t>
  </si>
  <si>
    <t>% growth</t>
  </si>
  <si>
    <t>% margin</t>
  </si>
  <si>
    <t>Tax on EBIT</t>
  </si>
  <si>
    <t>NOPAT (aka EBIAT)</t>
  </si>
  <si>
    <t>Changes in net working capital</t>
  </si>
  <si>
    <t>Unlevered free cash flows (UFCF)</t>
  </si>
  <si>
    <t>Net working capital (WC Assets - WC liabilities)</t>
  </si>
  <si>
    <t>Val date</t>
  </si>
  <si>
    <t xml:space="preserve">Yr 1 - Stub </t>
  </si>
  <si>
    <t>Year 2</t>
  </si>
  <si>
    <t>Year 3</t>
  </si>
  <si>
    <t>Year 4</t>
  </si>
  <si>
    <t>Year 5</t>
  </si>
  <si>
    <t>Date for discounting cash flows</t>
  </si>
  <si>
    <t>Unlevered free cash flows (UFCF) stub adjusted</t>
  </si>
  <si>
    <t>&lt;-Stub year counts first year cash flows starting at the valuation date</t>
  </si>
  <si>
    <t>Present value of of unlevered free cash flows</t>
  </si>
  <si>
    <t>Terminal value - growth in perpetuity approach</t>
  </si>
  <si>
    <t>Terminal value - EBITDA multiple approach</t>
  </si>
  <si>
    <t>Long term growth rate</t>
  </si>
  <si>
    <t>Terminal year EBITDA</t>
  </si>
  <si>
    <t>EBITDA multiple</t>
  </si>
  <si>
    <t>Present value of terminal value</t>
  </si>
  <si>
    <t>Present value of stage 1 cash flows</t>
  </si>
  <si>
    <t>Total enterprise value (TEV)</t>
  </si>
  <si>
    <t>Enterprise value (stage 1 + 2)</t>
  </si>
  <si>
    <t>Terminal value as % of TEV</t>
  </si>
  <si>
    <t>Stage 1 cash flows as % of TEV</t>
  </si>
  <si>
    <t>Cash flows as % of TEV</t>
  </si>
  <si>
    <t>Implied TV exit EBITDA multiple</t>
  </si>
  <si>
    <t>Implied terminal growth rate</t>
  </si>
  <si>
    <t>Net debt</t>
  </si>
  <si>
    <t>Shares outstanding</t>
  </si>
  <si>
    <t>Source doc</t>
  </si>
  <si>
    <t>Source date</t>
  </si>
  <si>
    <t>Date</t>
  </si>
  <si>
    <t>Shares</t>
  </si>
  <si>
    <t>Gross debt and equivalents</t>
  </si>
  <si>
    <t>Restricted stock / RSUs</t>
  </si>
  <si>
    <t>Convertible debt</t>
  </si>
  <si>
    <t>Options / warrants</t>
  </si>
  <si>
    <t>Preferred stock</t>
  </si>
  <si>
    <t>Noncontrolling (minority) interests</t>
  </si>
  <si>
    <t>Convertible preferred stock</t>
  </si>
  <si>
    <t>Nonoperating assets</t>
  </si>
  <si>
    <t>Net diluted shares outstanding</t>
  </si>
  <si>
    <t xml:space="preserve">Cash </t>
  </si>
  <si>
    <t xml:space="preserve">Equity investments </t>
  </si>
  <si>
    <t>Valuation</t>
  </si>
  <si>
    <t>Enterprise value</t>
  </si>
  <si>
    <t xml:space="preserve">Equity value </t>
  </si>
  <si>
    <t>Equity value per share</t>
  </si>
  <si>
    <t>Last twelve months (LTM)</t>
  </si>
  <si>
    <t>EV / Revenue</t>
  </si>
  <si>
    <t xml:space="preserve">EV / EBITDA </t>
  </si>
  <si>
    <t>EV / EBIT</t>
  </si>
  <si>
    <t>Year 1</t>
  </si>
  <si>
    <t>Outputs</t>
  </si>
  <si>
    <t>LTM EBITDA multiple</t>
  </si>
  <si>
    <t>Long term growth rate (g):</t>
  </si>
  <si>
    <t>WACC:</t>
  </si>
  <si>
    <t xml:space="preserve">Data </t>
  </si>
  <si>
    <t>Tables</t>
  </si>
  <si>
    <t>Exit EBITDA Multiple</t>
  </si>
  <si>
    <t>Equity value range</t>
  </si>
  <si>
    <t>Football field</t>
  </si>
  <si>
    <t>Low</t>
  </si>
  <si>
    <t>Diff.</t>
  </si>
  <si>
    <t>52 Week Market High/Low</t>
  </si>
  <si>
    <t>3Q25 10Q</t>
  </si>
  <si>
    <t>Capital IQ</t>
  </si>
  <si>
    <t>Marketable Securities, Current</t>
  </si>
  <si>
    <t>Marketable Securities, Net of Current Portion</t>
  </si>
  <si>
    <t>$ mm except per share</t>
  </si>
  <si>
    <t xml:space="preserve">Apple Inc. </t>
  </si>
  <si>
    <t>Actuals</t>
  </si>
  <si>
    <t>Commentary</t>
  </si>
  <si>
    <t>Income Statement</t>
  </si>
  <si>
    <t xml:space="preserve">Balance Sheet </t>
  </si>
  <si>
    <t>Cash from Operating Activities</t>
  </si>
  <si>
    <t>Cash from Investing Activities</t>
  </si>
  <si>
    <t>Cash from Financing Activities</t>
  </si>
  <si>
    <t>Supporting Schedules</t>
  </si>
  <si>
    <t>3-Statement Model</t>
  </si>
  <si>
    <t>Historical Financials</t>
  </si>
  <si>
    <t>Fiscal Period</t>
  </si>
  <si>
    <t>Fiscal Period End Date</t>
  </si>
  <si>
    <t>TOTAL DEPRECIATION &amp; AMORTIZATION</t>
  </si>
  <si>
    <t xml:space="preserve">$ and shares in millions, except per share data </t>
  </si>
  <si>
    <t>BofA</t>
  </si>
  <si>
    <t>Wells Fargo</t>
  </si>
  <si>
    <t>Margin (%)</t>
  </si>
  <si>
    <t>R&amp;D</t>
  </si>
  <si>
    <t>SG&amp;A</t>
  </si>
  <si>
    <t>Sum</t>
  </si>
  <si>
    <t>Average</t>
  </si>
  <si>
    <t>Running Total</t>
  </si>
  <si>
    <t>CAGR</t>
  </si>
  <si>
    <t xml:space="preserve">Cost of sales </t>
  </si>
  <si>
    <t>5-Year(A)</t>
  </si>
  <si>
    <t xml:space="preserve">Other expense, net </t>
  </si>
  <si>
    <t>Depreciation &amp; Amortization</t>
  </si>
  <si>
    <t>Street Outlook</t>
  </si>
  <si>
    <t>Revenue: iPhone Revenue</t>
  </si>
  <si>
    <t>JP Morgan</t>
  </si>
  <si>
    <t>Revenue: iPad Revenue</t>
  </si>
  <si>
    <t>Revenue: Mac Revenue</t>
  </si>
  <si>
    <t>Revenue: Services Revenue</t>
  </si>
  <si>
    <t>Jefferies</t>
  </si>
  <si>
    <t>Morgan Stanley</t>
  </si>
  <si>
    <t>Revenue: Wearables, Home and Accessories Revenue</t>
  </si>
  <si>
    <t>Median (%)</t>
  </si>
  <si>
    <t>Average (%)</t>
  </si>
  <si>
    <t>Revenue Drivers</t>
  </si>
  <si>
    <t>Operating Drivers</t>
  </si>
  <si>
    <t xml:space="preserve">Cost of Sales </t>
  </si>
  <si>
    <t>Consensus estimates through 2030</t>
  </si>
  <si>
    <t>5-Year(F)</t>
  </si>
  <si>
    <t xml:space="preserve">Taxes </t>
  </si>
  <si>
    <t>(%) of Total Revenue</t>
  </si>
  <si>
    <t>Consensus</t>
  </si>
  <si>
    <t>Interest Income</t>
  </si>
  <si>
    <t>Tax Rate</t>
  </si>
  <si>
    <t>Tax Rate (%)</t>
  </si>
  <si>
    <t>Barclays</t>
  </si>
  <si>
    <t>Evercore ISI</t>
  </si>
  <si>
    <t>D&amp;A</t>
  </si>
  <si>
    <t>Oppenheimer</t>
  </si>
  <si>
    <t>SBC</t>
  </si>
  <si>
    <t>Cash-Flow Items</t>
  </si>
  <si>
    <t>Capital Expenditure</t>
  </si>
  <si>
    <t xml:space="preserve">JP Morgan </t>
  </si>
  <si>
    <t>As of 3Q25 (period ended x/xx/xx)</t>
  </si>
  <si>
    <t>Selling, General &amp; Administrative (SG&amp;A)</t>
  </si>
  <si>
    <t>Research &amp; Development (R&amp;D)</t>
  </si>
  <si>
    <t>D&amp;A related to PP&amp;E as a % of capex Step-Up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</si>
</sst>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4">
    <numFmt numFmtId="5" formatCode="&quot;$&quot;#,##0_);\(&quot;$&quot;#,##0\)"/>
    <numFmt numFmtId="7" formatCode="&quot;$&quot;#,##0.00_);\(&quot;$&quot;#,##0.00\)"/>
    <numFmt numFmtId="8" formatCode="&quot;$&quot;#,##0.00_);[Red]\(&quot;$&quot;#,##0.00\)"/>
    <numFmt numFmtId="41" formatCode="_(* #,##0_);_(* \(#,##0\);_(* &quot;-&quot;_);_(@_)"/>
    <numFmt numFmtId="43" formatCode="_(* #,##0.00_);_(* \(#,##0.00\);_(* &quot;-&quot;??_);_(@_)"/>
    <numFmt numFmtId="164" formatCode="_(* #,##0_);_(* \(#,##0\);_(* &quot;-&quot;??_);_(@_)"/>
    <numFmt numFmtId="165" formatCode="_(&quot;$ &quot;#,##0_);_(&quot;$ &quot;\(#,##0\)"/>
    <numFmt numFmtId="166" formatCode="0.0%"/>
    <numFmt numFmtId="167" formatCode="#,##0.0%;\(#,##0.0%\)"/>
    <numFmt numFmtId="168" formatCode="#,##0.0&quot;bps&quot;_);\(#,##0.0&quot;bps&quot;\)"/>
    <numFmt numFmtId="169" formatCode="#,##0.00&quot;bps&quot;_);\(#,##0.00&quot;bps&quot;\)"/>
    <numFmt numFmtId="170" formatCode="_(* #,##0.00&quot;x&quot;_);_(* \(#,##0.00&quot;x&quot;\);_(* &quot;-&quot;_);_(@_)"/>
    <numFmt numFmtId="171" formatCode="_(#,##0_)_%;\(#,##0\)_%;_(&quot;–&quot;_)_%;_(@_)_%"/>
    <numFmt numFmtId="172" formatCode="m/d/yy;@"/>
    <numFmt numFmtId="173" formatCode="#,##0.000_);\(#,##0.000\)"/>
    <numFmt numFmtId="174" formatCode="0\A;[Red]0\A"/>
    <numFmt numFmtId="175" formatCode="0\P_);\(0\P\)"/>
    <numFmt numFmtId="176" formatCode="0.0%_);\(0.0%\);@_)"/>
    <numFmt numFmtId="177" formatCode="_(#,##0.0%_);\(#,##0.0%\);_(&quot;–&quot;_)_%;_(@_)_%"/>
    <numFmt numFmtId="178" formatCode="0.00%_);\(0.00%\);@_)"/>
    <numFmt numFmtId="179" formatCode="_(#,##0.00%_);\(#,##0.00%\);_(&quot;–&quot;_)_%;_(@_)_%"/>
    <numFmt numFmtId="180" formatCode="0%_);\(0%\);@_)"/>
    <numFmt numFmtId="181" formatCode="_(* #,##0.0000_);_(* \(#,##0.0000\);_(* &quot;-&quot;??_);_(@_)"/>
    <numFmt numFmtId="182" formatCode="_(* #,##0.00000_);_(* \(#,##0.00000\);_(* &quot;-&quot;??_);_(@_)"/>
    <numFmt numFmtId="183" formatCode="_(* #,##0.0_);_(* \(#,##0.0\);_(* &quot;-&quot;??_);_(@_)"/>
    <numFmt numFmtId="184" formatCode="#,##0.0_);\(#,##0.0\);@_)"/>
    <numFmt numFmtId="185" formatCode="0.000"/>
    <numFmt numFmtId="186" formatCode="_([$$]#,##0.00_)_%;\([$$]#,##0.00\)_%;_(&quot;–&quot;_)_%;_(@_)_%"/>
    <numFmt numFmtId="187" formatCode="_([$$]#,##0_)_%;\([$$]#,##0\)_%;_(&quot;–&quot;_)_%;_(@_)_%"/>
    <numFmt numFmtId="188" formatCode="[$$-380A]\ #,##0.00;\-[$$-380A]\ #,##0.00"/>
    <numFmt numFmtId="189" formatCode="0000\A"/>
    <numFmt numFmtId="190" formatCode="0000\P"/>
    <numFmt numFmtId="191" formatCode="#,##0_);\(#,##0\);@_)"/>
    <numFmt numFmtId="192" formatCode="0.0\x_);\(0.0\x\);@_)"/>
    <numFmt numFmtId="193" formatCode="0.000%_);\(0.000%\);@_)"/>
    <numFmt numFmtId="194" formatCode="#,##0.000_);\(#,##0.000\);@_)"/>
    <numFmt numFmtId="195" formatCode="#,##0.000"/>
    <numFmt numFmtId="196" formatCode="&quot;$&quot;#,##0.00_);\(&quot;$&quot;#,##0.00\);@_)"/>
    <numFmt numFmtId="197" formatCode="_(0.0\x_)_';_(\(0.0\x\)_';_(&quot;–&quot;_)_%;_(@_)_%"/>
    <numFmt numFmtId="198" formatCode="_(0.0_)_'_x;_(\(0.0\)_';_(&quot;–&quot;_)_%;_(@_)_%"/>
    <numFmt numFmtId="199" formatCode="#,##0.00_);\(#,##0.00\);\-_);@_)"/>
    <numFmt numFmtId="200" formatCode="#,##0.0_);\(#,##0.0\);\-_);@_)"/>
    <numFmt numFmtId="201" formatCode="General&quot;F&quot;"/>
    <numFmt numFmtId="202" formatCode="General&quot;A&quot;"/>
  </numFmts>
  <fonts count="52">
    <font>
      <sz val="11"/>
      <color theme="1"/>
      <name val="Tw Cen MT"/>
      <family val="2"/>
      <scheme val="minor"/>
    </font>
    <font>
      <sz val="11"/>
      <color theme="1"/>
      <name val="Tw Cen MT"/>
      <family val="2"/>
      <scheme val="minor"/>
    </font>
    <font>
      <b/>
      <sz val="9"/>
      <color theme="0"/>
      <name val="Calibri"/>
      <family val="2"/>
    </font>
    <font>
      <i/>
      <sz val="9"/>
      <color theme="0"/>
      <name val="Calibri"/>
      <family val="2"/>
    </font>
    <font>
      <sz val="9"/>
      <color theme="1"/>
      <name val="Calibri"/>
      <family val="2"/>
    </font>
    <font>
      <b/>
      <i/>
      <sz val="9"/>
      <color theme="0"/>
      <name val="Calibri"/>
      <family val="2"/>
    </font>
    <font>
      <sz val="9"/>
      <name val="Calibri"/>
      <family val="2"/>
    </font>
    <font>
      <i/>
      <sz val="9"/>
      <name val="Calibri"/>
      <family val="2"/>
    </font>
    <font>
      <b/>
      <sz val="9"/>
      <name val="Calibri"/>
      <family val="2"/>
    </font>
    <font>
      <b/>
      <i/>
      <sz val="9"/>
      <name val="Calibri"/>
      <family val="2"/>
    </font>
    <font>
      <i/>
      <sz val="8"/>
      <name val="Calibri"/>
      <family val="2"/>
    </font>
    <font>
      <sz val="9"/>
      <color rgb="FF0000CC"/>
      <name val="Calibri"/>
      <family val="2"/>
    </font>
    <font>
      <sz val="9"/>
      <color rgb="FF0000FF"/>
      <name val="Calibri"/>
      <family val="2"/>
    </font>
    <font>
      <sz val="8"/>
      <name val="Calibri"/>
      <family val="2"/>
    </font>
    <font>
      <sz val="8"/>
      <color theme="1"/>
      <name val="Calibri"/>
      <family val="2"/>
    </font>
    <font>
      <b/>
      <sz val="9"/>
      <color theme="1"/>
      <name val="Calibri"/>
      <family val="2"/>
    </font>
    <font>
      <i/>
      <sz val="9"/>
      <color theme="1"/>
      <name val="Calibri"/>
      <family val="2"/>
    </font>
    <font>
      <b/>
      <sz val="9"/>
      <color indexed="8"/>
      <name val="Calibri"/>
      <family val="2"/>
    </font>
    <font>
      <b/>
      <sz val="9"/>
      <color rgb="FF0000FF"/>
      <name val="Calibri"/>
      <family val="2"/>
    </font>
    <font>
      <sz val="9"/>
      <color rgb="FF0000E1"/>
      <name val="Calibri"/>
      <family val="2"/>
    </font>
    <font>
      <sz val="10"/>
      <name val="Arial"/>
      <family val="2"/>
    </font>
    <font>
      <sz val="9"/>
      <color rgb="FFFF0000"/>
      <name val="Tw Cen MT"/>
      <family val="2"/>
      <scheme val="minor"/>
    </font>
    <font>
      <sz val="9"/>
      <color rgb="FFFF0000"/>
      <name val="Calibri"/>
      <family val="2"/>
    </font>
    <font>
      <sz val="8"/>
      <color rgb="FFFF0000"/>
      <name val="Calibri"/>
      <family val="2"/>
    </font>
    <font>
      <b/>
      <sz val="8"/>
      <color theme="1"/>
      <name val="Calibri"/>
      <family val="2"/>
    </font>
    <font>
      <i/>
      <sz val="8"/>
      <color theme="1"/>
      <name val="Calibri"/>
      <family val="2"/>
    </font>
    <font>
      <sz val="9"/>
      <color indexed="81"/>
      <name val="Tahoma"/>
      <family val="2"/>
    </font>
    <font>
      <sz val="7"/>
      <color rgb="FFFF0000"/>
      <name val="Calibri"/>
      <family val="2"/>
    </font>
    <font>
      <sz val="9"/>
      <color rgb="FF00B050"/>
      <name val="Calibri"/>
      <family val="2"/>
    </font>
    <font>
      <b/>
      <sz val="9"/>
      <color indexed="81"/>
      <name val="Tahoma"/>
      <family val="2"/>
    </font>
    <font>
      <sz val="9"/>
      <color rgb="FF008000"/>
      <name val="Calibri"/>
      <family val="2"/>
    </font>
    <font>
      <i/>
      <sz val="9"/>
      <color rgb="FF000000"/>
      <name val="Calibri"/>
      <family val="2"/>
    </font>
    <font>
      <sz val="9"/>
      <color rgb="FF000000"/>
      <name val="Calibri"/>
      <family val="2"/>
    </font>
    <font>
      <i/>
      <sz val="9"/>
      <color rgb="FF0000FF"/>
      <name val="Calibri"/>
      <family val="2"/>
    </font>
    <font>
      <b/>
      <sz val="9"/>
      <color rgb="FF000000"/>
      <name val="Calibri"/>
      <family val="2"/>
    </font>
    <font>
      <u/>
      <sz val="9"/>
      <color theme="1"/>
      <name val="Calibri"/>
      <family val="2"/>
    </font>
    <font>
      <b/>
      <u/>
      <sz val="9"/>
      <color theme="1"/>
      <name val="Calibri"/>
      <family val="2"/>
    </font>
    <font>
      <sz val="10"/>
      <name val="Arial Narrow MT"/>
      <family val="2"/>
    </font>
    <font>
      <u val="singleAccounting"/>
      <sz val="9"/>
      <color rgb="FF000000"/>
      <name val="Calibri"/>
      <family val="2"/>
    </font>
    <font>
      <u val="singleAccounting"/>
      <sz val="9"/>
      <color theme="1"/>
      <name val="Calibri"/>
      <family val="2"/>
    </font>
    <font>
      <u val="singleAccounting"/>
      <sz val="9"/>
      <color rgb="FF0000FF"/>
      <name val="Calibri"/>
      <family val="2"/>
    </font>
    <font>
      <sz val="10"/>
      <name val="Times New Roman"/>
      <family val="1"/>
    </font>
    <font>
      <u/>
      <sz val="11"/>
      <color theme="10"/>
      <name val="Tw Cen MT"/>
      <family val="2"/>
      <scheme val="minor"/>
    </font>
    <font>
      <u/>
      <sz val="9"/>
      <color theme="10"/>
      <name val="Calibri"/>
      <family val="2"/>
    </font>
    <font>
      <b/>
      <u/>
      <sz val="9"/>
      <color rgb="FF0070C0"/>
      <name val="Calibri"/>
      <family val="2"/>
    </font>
    <font>
      <b/>
      <u val="singleAccounting"/>
      <sz val="9"/>
      <color theme="1"/>
      <name val="Calibri"/>
      <family val="2"/>
    </font>
    <font>
      <sz val="9"/>
      <color theme="0"/>
      <name val="Calibri"/>
      <family val="2"/>
    </font>
    <font>
      <i/>
      <sz val="8"/>
      <color rgb="FFFF0000"/>
      <name val="Calibri"/>
      <family val="2"/>
    </font>
    <font>
      <sz val="9"/>
      <color rgb="FF00B03C"/>
      <name val="Calibri"/>
      <family val="2"/>
    </font>
    <font>
      <b/>
      <sz val="9"/>
      <color rgb="FF008000"/>
      <name val="Calibri"/>
      <family val="2"/>
    </font>
    <font>
      <b/>
      <u val="singleAccounting"/>
      <sz val="9"/>
      <color rgb="FF000000"/>
      <name val="Calibri"/>
      <family val="2"/>
    </font>
    <font>
      <i/>
      <sz val="8"/>
      <color rgb="FF0000FF"/>
      <name val="Calibri"/>
      <family val="2"/>
    </font>
  </fonts>
  <fills count="21">
    <fill>
      <patternFill patternType="none"/>
    </fill>
    <fill>
      <patternFill patternType="gray125"/>
    </fill>
    <fill>
      <patternFill patternType="solid">
        <fgColor rgb="FF002060"/>
        <bgColor indexed="64"/>
      </patternFill>
    </fill>
    <fill>
      <patternFill patternType="solid">
        <fgColor theme="3" tint="0.89999084444715716"/>
        <bgColor indexed="64"/>
      </patternFill>
    </fill>
    <fill>
      <patternFill patternType="lightGray"/>
    </fill>
    <fill>
      <patternFill patternType="solid">
        <fgColor theme="9" tint="0.79998168889431442"/>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rgb="FFC9DAF8"/>
        <bgColor indexed="64"/>
      </patternFill>
    </fill>
    <fill>
      <patternFill patternType="solid">
        <fgColor rgb="FFC9DAF8"/>
        <bgColor rgb="FF000000"/>
      </patternFill>
    </fill>
    <fill>
      <patternFill patternType="solid">
        <fgColor rgb="FFD2F2FF"/>
        <bgColor rgb="FF000000"/>
      </patternFill>
    </fill>
    <fill>
      <patternFill patternType="solid">
        <fgColor rgb="FFCCFFFF"/>
        <bgColor indexed="64"/>
      </patternFill>
    </fill>
    <fill>
      <patternFill patternType="solid">
        <fgColor rgb="FFC0C0C0"/>
        <bgColor indexed="64"/>
      </patternFill>
    </fill>
    <fill>
      <patternFill patternType="solid">
        <fgColor theme="5" tint="0.79998168889431442"/>
        <bgColor indexed="64"/>
      </patternFill>
    </fill>
    <fill>
      <patternFill patternType="solid">
        <fgColor theme="9" tint="-0.249977111117893"/>
        <bgColor indexed="64"/>
      </patternFill>
    </fill>
    <fill>
      <patternFill patternType="solid">
        <fgColor rgb="FFC00000"/>
        <bgColor indexed="64"/>
      </patternFill>
    </fill>
    <fill>
      <patternFill patternType="solid">
        <fgColor theme="4" tint="-0.499984740745262"/>
        <bgColor indexed="64"/>
      </patternFill>
    </fill>
    <fill>
      <patternFill patternType="solid">
        <fgColor rgb="FF0E5672"/>
        <bgColor indexed="64"/>
      </patternFill>
    </fill>
    <fill>
      <patternFill patternType="solid">
        <fgColor rgb="FF487B79"/>
        <bgColor indexed="64"/>
      </patternFill>
    </fill>
    <fill>
      <patternFill patternType="solid">
        <fgColor theme="0" tint="-0.14999847407452621"/>
        <bgColor indexed="64"/>
      </patternFill>
    </fill>
    <fill>
      <patternFill patternType="gray0625"/>
    </fill>
  </fills>
  <borders count="53">
    <border>
      <left/>
      <right/>
      <top/>
      <bottom/>
      <diagonal/>
    </border>
    <border>
      <left/>
      <right/>
      <top/>
      <bottom style="medium">
        <color indexed="64"/>
      </bottom>
      <diagonal/>
    </border>
    <border>
      <left/>
      <right/>
      <top style="thin">
        <color indexed="64"/>
      </top>
      <bottom/>
      <diagonal/>
    </border>
    <border>
      <left/>
      <right/>
      <top style="medium">
        <color indexed="64"/>
      </top>
      <bottom/>
      <diagonal/>
    </border>
    <border>
      <left/>
      <right/>
      <top/>
      <bottom style="thin">
        <color theme="0"/>
      </bottom>
      <diagonal/>
    </border>
    <border>
      <left/>
      <right/>
      <top style="thin">
        <color theme="0"/>
      </top>
      <bottom/>
      <diagonal/>
    </border>
    <border>
      <left/>
      <right/>
      <top/>
      <bottom style="thin">
        <color indexed="64"/>
      </bottom>
      <diagonal/>
    </border>
    <border>
      <left style="hair">
        <color rgb="FF000000"/>
      </left>
      <right style="hair">
        <color rgb="FF000000"/>
      </right>
      <top style="hair">
        <color rgb="FF000000"/>
      </top>
      <bottom style="hair">
        <color rgb="FF000000"/>
      </bottom>
      <diagonal/>
    </border>
    <border>
      <left/>
      <right/>
      <top/>
      <bottom style="thin">
        <color rgb="FF000000"/>
      </bottom>
      <diagonal/>
    </border>
    <border>
      <left/>
      <right/>
      <top style="thin">
        <color rgb="FF000000"/>
      </top>
      <bottom/>
      <diagonal/>
    </border>
    <border>
      <left/>
      <right/>
      <top/>
      <bottom style="hair">
        <color rgb="FF000000"/>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top style="hair">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thin">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style="hair">
        <color indexed="64"/>
      </bottom>
      <diagonal/>
    </border>
    <border>
      <left style="hair">
        <color indexed="64"/>
      </left>
      <right/>
      <top/>
      <bottom style="hair">
        <color indexed="64"/>
      </bottom>
      <diagonal/>
    </border>
    <border>
      <left style="hair">
        <color indexed="64"/>
      </left>
      <right/>
      <top/>
      <bottom/>
      <diagonal/>
    </border>
    <border>
      <left/>
      <right style="hair">
        <color indexed="64"/>
      </right>
      <top/>
      <bottom/>
      <diagonal/>
    </border>
    <border>
      <left/>
      <right style="hair">
        <color indexed="64"/>
      </right>
      <top style="thin">
        <color indexed="64"/>
      </top>
      <bottom/>
      <diagonal/>
    </border>
    <border>
      <left/>
      <right style="hair">
        <color indexed="64"/>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hair">
        <color rgb="FF000000"/>
      </top>
      <bottom style="thin">
        <color rgb="FF000000"/>
      </bottom>
      <diagonal/>
    </border>
    <border>
      <left/>
      <right/>
      <top style="hair">
        <color rgb="FF000000"/>
      </top>
      <bottom style="thin">
        <color rgb="FF000000"/>
      </bottom>
      <diagonal/>
    </border>
    <border>
      <left style="hair">
        <color rgb="FF000000"/>
      </left>
      <right style="thin">
        <color rgb="FF000000"/>
      </right>
      <top/>
      <bottom/>
      <diagonal/>
    </border>
    <border>
      <left style="hair">
        <color rgb="FF000000"/>
      </left>
      <right/>
      <top/>
      <bottom/>
      <diagonal/>
    </border>
    <border>
      <left/>
      <right/>
      <top style="thin">
        <color rgb="FF000000"/>
      </top>
      <bottom style="medium">
        <color rgb="FF000000"/>
      </bottom>
      <diagonal/>
    </border>
    <border>
      <left/>
      <right style="hair">
        <color rgb="FF000000"/>
      </right>
      <top/>
      <bottom/>
      <diagonal/>
    </border>
    <border>
      <left style="hair">
        <color rgb="FF000000"/>
      </left>
      <right style="hair">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hair">
        <color rgb="FF000000"/>
      </left>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hair">
        <color rgb="FF000000"/>
      </left>
      <right/>
      <top/>
      <bottom style="thin">
        <color rgb="FF000000"/>
      </bottom>
      <diagonal/>
    </border>
    <border>
      <left style="hair">
        <color indexed="64"/>
      </left>
      <right style="hair">
        <color indexed="64"/>
      </right>
      <top style="hair">
        <color indexed="64"/>
      </top>
      <bottom style="hair">
        <color indexed="64"/>
      </bottom>
      <diagonal/>
    </border>
    <border>
      <left style="hair">
        <color rgb="FF000000"/>
      </left>
      <right style="hair">
        <color indexed="64"/>
      </right>
      <top style="hair">
        <color indexed="64"/>
      </top>
      <bottom style="hair">
        <color rgb="FF000000"/>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rgb="FF000000"/>
      </left>
      <right style="hair">
        <color rgb="FF000000"/>
      </right>
      <top style="hair">
        <color indexed="64"/>
      </top>
      <bottom style="hair">
        <color rgb="FF000000"/>
      </bottom>
      <diagonal/>
    </border>
  </borders>
  <cellStyleXfs count="7">
    <xf numFmtId="0" fontId="0" fillId="0" borderId="0"/>
    <xf numFmtId="9" fontId="1" fillId="0" borderId="0" applyFont="0" applyFill="0" applyBorder="0" applyAlignment="0" applyProtection="0"/>
    <xf numFmtId="43" fontId="1" fillId="0" borderId="0" applyFont="0" applyFill="0" applyBorder="0" applyAlignment="0" applyProtection="0"/>
    <xf numFmtId="0" fontId="20" fillId="0" borderId="0"/>
    <xf numFmtId="0" fontId="37" fillId="0" borderId="0" applyNumberFormat="0" applyFont="0" applyFill="0" applyBorder="0" applyAlignment="0" applyProtection="0"/>
    <xf numFmtId="37" fontId="41" fillId="0" borderId="0"/>
    <xf numFmtId="0" fontId="42" fillId="0" borderId="0" applyNumberFormat="0" applyFill="0" applyBorder="0" applyAlignment="0" applyProtection="0"/>
  </cellStyleXfs>
  <cellXfs count="593">
    <xf numFmtId="0" fontId="0" fillId="0" borderId="0" xfId="0"/>
    <xf numFmtId="0" fontId="2" fillId="2" borderId="0" xfId="0" applyFont="1" applyFill="1" applyAlignment="1">
      <alignment vertical="center" wrapText="1"/>
    </xf>
    <xf numFmtId="0" fontId="2" fillId="2" borderId="4" xfId="0" applyFont="1" applyFill="1" applyBorder="1" applyAlignment="1">
      <alignment horizontal="centerContinuous" vertical="center" wrapText="1"/>
    </xf>
    <xf numFmtId="14" fontId="3" fillId="2" borderId="0" xfId="0" applyNumberFormat="1" applyFont="1" applyFill="1" applyAlignment="1">
      <alignment horizontal="center" vertical="center" wrapText="1"/>
    </xf>
    <xf numFmtId="0" fontId="2" fillId="2" borderId="0" xfId="0" applyFont="1" applyFill="1" applyAlignment="1">
      <alignment horizontal="center" vertical="center" wrapText="1"/>
    </xf>
    <xf numFmtId="0" fontId="4" fillId="0" borderId="0" xfId="0" applyFont="1" applyAlignment="1">
      <alignment wrapText="1"/>
    </xf>
    <xf numFmtId="0" fontId="3" fillId="2" borderId="0" xfId="0" applyFont="1" applyFill="1" applyAlignment="1">
      <alignment vertical="center" wrapText="1"/>
    </xf>
    <xf numFmtId="0" fontId="5" fillId="2" borderId="0" xfId="0" applyFont="1" applyFill="1" applyAlignment="1">
      <alignment horizontal="center" vertical="center" wrapText="1"/>
    </xf>
    <xf numFmtId="0" fontId="4" fillId="0" borderId="0" xfId="0" applyFont="1"/>
    <xf numFmtId="0" fontId="4" fillId="3" borderId="0" xfId="0" applyFont="1" applyFill="1"/>
    <xf numFmtId="0" fontId="6" fillId="0" borderId="0" xfId="0" applyFont="1" applyAlignment="1">
      <alignment vertical="top" wrapText="1"/>
    </xf>
    <xf numFmtId="41" fontId="4" fillId="0" borderId="0" xfId="0" applyNumberFormat="1" applyFont="1"/>
    <xf numFmtId="37" fontId="4" fillId="0" borderId="0" xfId="0" applyNumberFormat="1" applyFont="1" applyAlignment="1">
      <alignment wrapText="1"/>
    </xf>
    <xf numFmtId="167" fontId="7" fillId="3" borderId="0" xfId="1" applyNumberFormat="1" applyFont="1" applyFill="1" applyBorder="1" applyAlignment="1">
      <alignment horizontal="right" vertical="center" wrapText="1"/>
    </xf>
    <xf numFmtId="0" fontId="8" fillId="3" borderId="5" xfId="0" applyFont="1" applyFill="1" applyBorder="1" applyAlignment="1">
      <alignment vertical="top" wrapText="1"/>
    </xf>
    <xf numFmtId="5" fontId="8" fillId="3" borderId="2" xfId="0" applyNumberFormat="1" applyFont="1" applyFill="1" applyBorder="1" applyAlignment="1">
      <alignment horizontal="right" vertical="top" wrapText="1"/>
    </xf>
    <xf numFmtId="167" fontId="9" fillId="3" borderId="0" xfId="1" applyNumberFormat="1" applyFont="1" applyFill="1" applyBorder="1" applyAlignment="1">
      <alignment horizontal="right" vertical="center" wrapText="1"/>
    </xf>
    <xf numFmtId="0" fontId="10" fillId="0" borderId="0" xfId="0" applyFont="1" applyAlignment="1">
      <alignment horizontal="left" vertical="center" wrapText="1" indent="1"/>
    </xf>
    <xf numFmtId="5" fontId="8" fillId="4" borderId="0" xfId="0" applyNumberFormat="1" applyFont="1" applyFill="1" applyAlignment="1">
      <alignment horizontal="right" vertical="top" wrapText="1"/>
    </xf>
    <xf numFmtId="167" fontId="10" fillId="0" borderId="0" xfId="1" applyNumberFormat="1" applyFont="1" applyBorder="1" applyAlignment="1">
      <alignment horizontal="right" vertical="center" wrapText="1"/>
    </xf>
    <xf numFmtId="168" fontId="9" fillId="3" borderId="0" xfId="1" applyNumberFormat="1" applyFont="1" applyFill="1" applyBorder="1" applyAlignment="1">
      <alignment horizontal="right" vertical="center" wrapText="1"/>
    </xf>
    <xf numFmtId="9" fontId="6" fillId="0" borderId="0" xfId="1" applyFont="1" applyAlignment="1">
      <alignment horizontal="left" vertical="top" wrapText="1" indent="1"/>
    </xf>
    <xf numFmtId="9" fontId="11" fillId="0" borderId="0" xfId="1" applyFont="1" applyAlignment="1">
      <alignment horizontal="right" vertical="top" wrapText="1"/>
    </xf>
    <xf numFmtId="9" fontId="4" fillId="0" borderId="0" xfId="1" applyFont="1" applyAlignment="1">
      <alignment wrapText="1"/>
    </xf>
    <xf numFmtId="9" fontId="12" fillId="0" borderId="0" xfId="1" applyFont="1" applyAlignment="1">
      <alignment horizontal="right" vertical="top" wrapText="1"/>
    </xf>
    <xf numFmtId="9" fontId="4" fillId="0" borderId="0" xfId="1" applyFont="1"/>
    <xf numFmtId="0" fontId="6" fillId="0" borderId="0" xfId="0" quotePrefix="1" applyFont="1" applyAlignment="1">
      <alignment vertical="top" wrapText="1"/>
    </xf>
    <xf numFmtId="37" fontId="6" fillId="0" borderId="0" xfId="0" applyNumberFormat="1" applyFont="1" applyAlignment="1">
      <alignment horizontal="right" vertical="top" wrapText="1"/>
    </xf>
    <xf numFmtId="0" fontId="8" fillId="0" borderId="0" xfId="0" applyFont="1" applyAlignment="1">
      <alignment vertical="top" wrapText="1"/>
    </xf>
    <xf numFmtId="5" fontId="8" fillId="0" borderId="2" xfId="0" applyNumberFormat="1" applyFont="1" applyBorder="1" applyAlignment="1">
      <alignment horizontal="right" vertical="top" wrapText="1"/>
    </xf>
    <xf numFmtId="9" fontId="13" fillId="0" borderId="0" xfId="1" applyFont="1" applyBorder="1" applyAlignment="1">
      <alignment horizontal="right" vertical="center" wrapText="1"/>
    </xf>
    <xf numFmtId="0" fontId="14" fillId="0" borderId="0" xfId="0" applyFont="1" applyAlignment="1">
      <alignment wrapText="1"/>
    </xf>
    <xf numFmtId="0" fontId="7" fillId="0" borderId="0" xfId="0" applyFont="1" applyAlignment="1">
      <alignment horizontal="left" vertical="center" wrapText="1" indent="1"/>
    </xf>
    <xf numFmtId="9" fontId="6" fillId="0" borderId="0" xfId="1" applyFont="1" applyBorder="1" applyAlignment="1">
      <alignment horizontal="right" vertical="center" wrapText="1"/>
    </xf>
    <xf numFmtId="0" fontId="4" fillId="0" borderId="0" xfId="0" quotePrefix="1" applyFont="1"/>
    <xf numFmtId="41" fontId="6" fillId="0" borderId="0" xfId="0" applyNumberFormat="1" applyFont="1" applyAlignment="1">
      <alignment horizontal="right" vertical="top" wrapText="1"/>
    </xf>
    <xf numFmtId="0" fontId="2" fillId="2" borderId="0" xfId="0" applyFont="1" applyFill="1" applyAlignment="1">
      <alignment wrapText="1"/>
    </xf>
    <xf numFmtId="41" fontId="8" fillId="3" borderId="2" xfId="0" applyNumberFormat="1" applyFont="1" applyFill="1" applyBorder="1" applyAlignment="1">
      <alignment horizontal="right" vertical="top" wrapText="1"/>
    </xf>
    <xf numFmtId="0" fontId="15" fillId="0" borderId="6" xfId="0" applyFont="1" applyBorder="1"/>
    <xf numFmtId="0" fontId="4" fillId="0" borderId="0" xfId="0" quotePrefix="1" applyFont="1" applyAlignment="1">
      <alignment wrapText="1"/>
    </xf>
    <xf numFmtId="0" fontId="15" fillId="0" borderId="0" xfId="0" applyFont="1"/>
    <xf numFmtId="0" fontId="4" fillId="4" borderId="0" xfId="0" applyFont="1" applyFill="1"/>
    <xf numFmtId="0" fontId="4" fillId="0" borderId="1" xfId="0" applyFont="1" applyBorder="1"/>
    <xf numFmtId="0" fontId="4" fillId="2" borderId="0" xfId="0" applyFont="1" applyFill="1" applyAlignment="1">
      <alignment wrapText="1"/>
    </xf>
    <xf numFmtId="0" fontId="4" fillId="3" borderId="0" xfId="0" applyFont="1" applyFill="1" applyAlignment="1">
      <alignment wrapText="1"/>
    </xf>
    <xf numFmtId="165" fontId="4" fillId="0" borderId="0" xfId="0" applyNumberFormat="1" applyFont="1" applyAlignment="1">
      <alignment wrapText="1"/>
    </xf>
    <xf numFmtId="37" fontId="8" fillId="0" borderId="0" xfId="0" applyNumberFormat="1" applyFont="1" applyAlignment="1">
      <alignment horizontal="right" vertical="top" wrapText="1"/>
    </xf>
    <xf numFmtId="165" fontId="15" fillId="0" borderId="0" xfId="0" applyNumberFormat="1" applyFont="1" applyAlignment="1">
      <alignment wrapText="1"/>
    </xf>
    <xf numFmtId="9" fontId="6" fillId="0" borderId="0" xfId="1" applyFont="1" applyFill="1" applyBorder="1" applyAlignment="1">
      <alignment horizontal="right" vertical="center" wrapText="1"/>
    </xf>
    <xf numFmtId="167" fontId="7" fillId="0" borderId="0" xfId="1" applyNumberFormat="1" applyFont="1" applyBorder="1" applyAlignment="1">
      <alignment horizontal="right" vertical="center" wrapText="1"/>
    </xf>
    <xf numFmtId="37" fontId="15" fillId="0" borderId="0" xfId="0" applyNumberFormat="1" applyFont="1"/>
    <xf numFmtId="37" fontId="6" fillId="0" borderId="0" xfId="1" applyNumberFormat="1" applyFont="1" applyBorder="1" applyAlignment="1">
      <alignment horizontal="right" vertical="center" wrapText="1"/>
    </xf>
    <xf numFmtId="0" fontId="6" fillId="0" borderId="0" xfId="0" applyFont="1" applyAlignment="1">
      <alignment horizontal="left" vertical="top" wrapText="1"/>
    </xf>
    <xf numFmtId="10" fontId="16" fillId="0" borderId="0" xfId="1" applyNumberFormat="1" applyFont="1" applyFill="1" applyAlignment="1">
      <alignment horizont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5" fontId="8" fillId="0" borderId="0" xfId="0" applyNumberFormat="1" applyFont="1" applyAlignment="1">
      <alignment horizontal="right" vertical="top" wrapText="1"/>
    </xf>
    <xf numFmtId="37" fontId="15" fillId="0" borderId="0" xfId="0" applyNumberFormat="1" applyFont="1" applyAlignment="1">
      <alignment wrapText="1"/>
    </xf>
    <xf numFmtId="37" fontId="8" fillId="0" borderId="0" xfId="0" applyNumberFormat="1" applyFont="1" applyAlignment="1">
      <alignment wrapText="1"/>
    </xf>
    <xf numFmtId="0" fontId="12" fillId="0" borderId="0" xfId="0" applyFont="1" applyAlignment="1">
      <alignment wrapText="1"/>
    </xf>
    <xf numFmtId="0" fontId="8" fillId="0" borderId="0" xfId="0" applyFont="1" applyAlignment="1">
      <alignment wrapText="1"/>
    </xf>
    <xf numFmtId="0" fontId="15" fillId="0" borderId="0" xfId="0" applyFont="1" applyAlignment="1">
      <alignment wrapText="1"/>
    </xf>
    <xf numFmtId="0" fontId="3" fillId="0" borderId="0" xfId="0" applyFont="1" applyAlignment="1">
      <alignment wrapText="1"/>
    </xf>
    <xf numFmtId="0" fontId="17" fillId="0" borderId="0" xfId="0" applyFont="1" applyAlignment="1">
      <alignment wrapText="1"/>
    </xf>
    <xf numFmtId="164" fontId="4" fillId="0" borderId="0" xfId="2" applyNumberFormat="1" applyFont="1" applyBorder="1" applyAlignment="1">
      <alignment wrapText="1"/>
    </xf>
    <xf numFmtId="0" fontId="4" fillId="0" borderId="0" xfId="0" applyFont="1" applyAlignment="1">
      <alignment horizontal="left" wrapText="1" indent="1"/>
    </xf>
    <xf numFmtId="37" fontId="11" fillId="0" borderId="0" xfId="2" applyNumberFormat="1" applyFont="1" applyBorder="1" applyAlignment="1">
      <alignment wrapText="1"/>
    </xf>
    <xf numFmtId="37" fontId="11" fillId="0" borderId="0" xfId="2" applyNumberFormat="1" applyFont="1" applyFill="1" applyBorder="1" applyAlignment="1">
      <alignment wrapText="1"/>
    </xf>
    <xf numFmtId="0" fontId="4" fillId="0" borderId="0" xfId="0" applyFont="1" applyAlignment="1">
      <alignment horizontal="left" indent="1"/>
    </xf>
    <xf numFmtId="37" fontId="8" fillId="0" borderId="0" xfId="2" applyNumberFormat="1" applyFont="1" applyBorder="1" applyAlignment="1">
      <alignment wrapText="1"/>
    </xf>
    <xf numFmtId="37" fontId="6" fillId="0" borderId="0" xfId="2" applyNumberFormat="1" applyFont="1" applyBorder="1" applyAlignment="1">
      <alignment wrapText="1"/>
    </xf>
    <xf numFmtId="37" fontId="15" fillId="0" borderId="0" xfId="2" applyNumberFormat="1" applyFont="1" applyBorder="1" applyAlignment="1">
      <alignment wrapText="1"/>
    </xf>
    <xf numFmtId="37" fontId="18" fillId="0" borderId="0" xfId="2" applyNumberFormat="1" applyFont="1" applyBorder="1" applyAlignment="1">
      <alignment wrapText="1"/>
    </xf>
    <xf numFmtId="37" fontId="15" fillId="0" borderId="0" xfId="2" applyNumberFormat="1" applyFont="1" applyFill="1" applyBorder="1" applyAlignment="1">
      <alignment wrapText="1"/>
    </xf>
    <xf numFmtId="37" fontId="4" fillId="0" borderId="0" xfId="0" applyNumberFormat="1" applyFont="1"/>
    <xf numFmtId="37" fontId="19" fillId="0" borderId="0" xfId="2" applyNumberFormat="1" applyFont="1" applyFill="1" applyBorder="1" applyAlignment="1">
      <alignment wrapText="1"/>
    </xf>
    <xf numFmtId="37" fontId="12" fillId="0" borderId="0" xfId="2" applyNumberFormat="1" applyFont="1" applyFill="1" applyBorder="1" applyAlignment="1">
      <alignment wrapText="1"/>
    </xf>
    <xf numFmtId="37" fontId="12" fillId="0" borderId="0" xfId="2" applyNumberFormat="1" applyFont="1" applyBorder="1" applyAlignment="1">
      <alignment wrapText="1"/>
    </xf>
    <xf numFmtId="37" fontId="6" fillId="0" borderId="0" xfId="2" applyNumberFormat="1" applyFont="1" applyFill="1" applyBorder="1" applyAlignment="1">
      <alignment wrapText="1"/>
    </xf>
    <xf numFmtId="164" fontId="15" fillId="0" borderId="0" xfId="2" applyNumberFormat="1" applyFont="1" applyBorder="1" applyAlignment="1">
      <alignment wrapText="1"/>
    </xf>
    <xf numFmtId="0" fontId="21" fillId="0" borderId="0" xfId="0" applyFont="1" applyAlignment="1">
      <alignment vertical="top" wrapText="1"/>
    </xf>
    <xf numFmtId="43" fontId="21" fillId="0" borderId="0" xfId="0" applyNumberFormat="1" applyFont="1" applyAlignment="1">
      <alignment wrapText="1"/>
    </xf>
    <xf numFmtId="0" fontId="23" fillId="0" borderId="0" xfId="0" applyFont="1" applyAlignment="1">
      <alignment vertical="top" wrapText="1"/>
    </xf>
    <xf numFmtId="43" fontId="23" fillId="0" borderId="0" xfId="0" applyNumberFormat="1" applyFont="1" applyAlignment="1">
      <alignment wrapText="1"/>
    </xf>
    <xf numFmtId="0" fontId="24" fillId="0" borderId="0" xfId="0" applyFont="1" applyAlignment="1">
      <alignment wrapText="1"/>
    </xf>
    <xf numFmtId="41" fontId="8" fillId="0" borderId="0" xfId="0" applyNumberFormat="1" applyFont="1" applyAlignment="1">
      <alignment horizontal="right" vertical="top" wrapText="1"/>
    </xf>
    <xf numFmtId="0" fontId="17" fillId="0" borderId="6" xfId="0" applyFont="1" applyBorder="1"/>
    <xf numFmtId="0" fontId="4" fillId="0" borderId="1" xfId="0" applyFont="1" applyBorder="1" applyAlignment="1">
      <alignment wrapText="1"/>
    </xf>
    <xf numFmtId="164" fontId="4" fillId="0" borderId="1" xfId="2" applyNumberFormat="1" applyFont="1" applyBorder="1" applyAlignment="1">
      <alignment wrapText="1"/>
    </xf>
    <xf numFmtId="167" fontId="7" fillId="5" borderId="0" xfId="1" applyNumberFormat="1" applyFont="1" applyFill="1" applyBorder="1" applyAlignment="1">
      <alignment horizontal="right" vertical="center" wrapText="1"/>
    </xf>
    <xf numFmtId="167" fontId="9" fillId="5" borderId="0" xfId="1" applyNumberFormat="1" applyFont="1" applyFill="1" applyBorder="1" applyAlignment="1">
      <alignment horizontal="right" vertical="center" wrapText="1"/>
    </xf>
    <xf numFmtId="169" fontId="9" fillId="5" borderId="0" xfId="1" applyNumberFormat="1" applyFont="1" applyFill="1" applyBorder="1" applyAlignment="1">
      <alignment horizontal="right" vertical="center" wrapText="1"/>
    </xf>
    <xf numFmtId="7" fontId="8" fillId="3" borderId="2" xfId="0" applyNumberFormat="1" applyFont="1" applyFill="1" applyBorder="1" applyAlignment="1">
      <alignment horizontal="right" vertical="top" wrapText="1"/>
    </xf>
    <xf numFmtId="0" fontId="8" fillId="0" borderId="6" xfId="0" applyFont="1" applyBorder="1" applyAlignment="1">
      <alignment vertical="top" wrapText="1"/>
    </xf>
    <xf numFmtId="0" fontId="27" fillId="0" borderId="0" xfId="0" applyFont="1" applyAlignment="1">
      <alignment horizontal="right" vertical="center" wrapText="1"/>
    </xf>
    <xf numFmtId="41" fontId="27" fillId="0" borderId="0" xfId="0" applyNumberFormat="1" applyFont="1" applyAlignment="1">
      <alignment horizontal="right" vertical="center" wrapText="1"/>
    </xf>
    <xf numFmtId="0" fontId="15" fillId="0" borderId="0" xfId="0" applyFont="1" applyAlignment="1">
      <alignment horizontal="center"/>
    </xf>
    <xf numFmtId="41" fontId="11" fillId="0" borderId="0" xfId="0" applyNumberFormat="1" applyFont="1"/>
    <xf numFmtId="9" fontId="11" fillId="0" borderId="0" xfId="1" applyFont="1" applyAlignment="1">
      <alignment wrapText="1"/>
    </xf>
    <xf numFmtId="41" fontId="11" fillId="0" borderId="0" xfId="0" applyNumberFormat="1" applyFont="1" applyAlignment="1">
      <alignment horizontal="right" vertical="top" wrapText="1"/>
    </xf>
    <xf numFmtId="170" fontId="4" fillId="0" borderId="0" xfId="0" applyNumberFormat="1" applyFont="1"/>
    <xf numFmtId="0" fontId="6" fillId="0" borderId="0" xfId="0" applyFont="1"/>
    <xf numFmtId="0" fontId="30" fillId="0" borderId="11" xfId="0" applyFont="1" applyBorder="1" applyAlignment="1">
      <alignment horizontal="left" indent="2"/>
    </xf>
    <xf numFmtId="0" fontId="30" fillId="0" borderId="12" xfId="0" applyFont="1" applyBorder="1" applyAlignment="1">
      <alignment horizontal="left" indent="2"/>
    </xf>
    <xf numFmtId="0" fontId="30" fillId="0" borderId="0" xfId="0" applyFont="1" applyAlignment="1">
      <alignment horizontal="center"/>
    </xf>
    <xf numFmtId="0" fontId="15" fillId="0" borderId="16" xfId="0" applyFont="1" applyBorder="1" applyAlignment="1">
      <alignment horizontal="center"/>
    </xf>
    <xf numFmtId="0" fontId="15" fillId="0" borderId="17" xfId="0" applyFont="1" applyBorder="1" applyAlignment="1">
      <alignment horizontal="center"/>
    </xf>
    <xf numFmtId="0" fontId="32" fillId="0" borderId="0" xfId="0" applyFont="1"/>
    <xf numFmtId="0" fontId="15" fillId="0" borderId="8" xfId="0" applyFont="1" applyBorder="1"/>
    <xf numFmtId="0" fontId="4" fillId="0" borderId="8" xfId="0" applyFont="1" applyBorder="1"/>
    <xf numFmtId="0" fontId="16" fillId="0" borderId="0" xfId="0" applyFont="1"/>
    <xf numFmtId="172" fontId="33" fillId="0" borderId="0" xfId="0" applyNumberFormat="1" applyFont="1"/>
    <xf numFmtId="172" fontId="16" fillId="0" borderId="0" xfId="0" applyNumberFormat="1" applyFont="1"/>
    <xf numFmtId="9" fontId="16" fillId="0" borderId="0" xfId="0" applyNumberFormat="1" applyFont="1"/>
    <xf numFmtId="166" fontId="16" fillId="0" borderId="0" xfId="0" applyNumberFormat="1" applyFont="1"/>
    <xf numFmtId="37" fontId="12" fillId="0" borderId="0" xfId="0" applyNumberFormat="1" applyFont="1"/>
    <xf numFmtId="37" fontId="32" fillId="0" borderId="0" xfId="0" applyNumberFormat="1" applyFont="1"/>
    <xf numFmtId="37" fontId="34" fillId="0" borderId="0" xfId="0" applyNumberFormat="1" applyFont="1"/>
    <xf numFmtId="0" fontId="4" fillId="0" borderId="0" xfId="0" applyFont="1" applyAlignment="1">
      <alignment horizontal="left"/>
    </xf>
    <xf numFmtId="0" fontId="15" fillId="0" borderId="0" xfId="0" applyFont="1" applyAlignment="1">
      <alignment horizontal="left"/>
    </xf>
    <xf numFmtId="4" fontId="4" fillId="0" borderId="0" xfId="0" applyNumberFormat="1" applyFont="1"/>
    <xf numFmtId="0" fontId="35" fillId="0" borderId="0" xfId="0" applyFont="1"/>
    <xf numFmtId="176" fontId="32" fillId="0" borderId="0" xfId="0" applyNumberFormat="1" applyFont="1"/>
    <xf numFmtId="176" fontId="12" fillId="0" borderId="0" xfId="0" applyNumberFormat="1" applyFont="1"/>
    <xf numFmtId="14" fontId="16" fillId="0" borderId="0" xfId="0" applyNumberFormat="1" applyFont="1"/>
    <xf numFmtId="174" fontId="34" fillId="0" borderId="0" xfId="0" applyNumberFormat="1" applyFont="1"/>
    <xf numFmtId="175" fontId="34" fillId="0" borderId="0" xfId="0" applyNumberFormat="1" applyFont="1"/>
    <xf numFmtId="172" fontId="31" fillId="0" borderId="8" xfId="0" applyNumberFormat="1" applyFont="1" applyBorder="1"/>
    <xf numFmtId="3" fontId="4" fillId="0" borderId="0" xfId="0" applyNumberFormat="1" applyFont="1"/>
    <xf numFmtId="0" fontId="15" fillId="0" borderId="9" xfId="0" applyFont="1" applyBorder="1" applyAlignment="1">
      <alignment horizontal="centerContinuous"/>
    </xf>
    <xf numFmtId="0" fontId="4" fillId="0" borderId="0" xfId="0" quotePrefix="1" applyFont="1" applyAlignment="1">
      <alignment horizontal="left" indent="1"/>
    </xf>
    <xf numFmtId="0" fontId="4" fillId="0" borderId="10" xfId="0" quotePrefix="1" applyFont="1" applyBorder="1" applyAlignment="1">
      <alignment horizontal="left" indent="1"/>
    </xf>
    <xf numFmtId="37" fontId="12" fillId="0" borderId="10" xfId="0" applyNumberFormat="1" applyFont="1" applyBorder="1"/>
    <xf numFmtId="37" fontId="4" fillId="0" borderId="10" xfId="0" applyNumberFormat="1" applyFont="1" applyBorder="1"/>
    <xf numFmtId="0" fontId="15" fillId="0" borderId="0" xfId="0" applyFont="1" applyAlignment="1">
      <alignment horizontal="left" indent="1"/>
    </xf>
    <xf numFmtId="176" fontId="4" fillId="0" borderId="0" xfId="0" applyNumberFormat="1" applyFont="1"/>
    <xf numFmtId="177" fontId="12" fillId="0" borderId="0" xfId="0" applyNumberFormat="1" applyFont="1"/>
    <xf numFmtId="171" fontId="4" fillId="0" borderId="0" xfId="0" applyNumberFormat="1" applyFont="1"/>
    <xf numFmtId="0" fontId="15" fillId="0" borderId="8" xfId="0" applyFont="1" applyBorder="1" applyAlignment="1">
      <alignment horizontal="left"/>
    </xf>
    <xf numFmtId="176" fontId="4" fillId="0" borderId="8" xfId="0" applyNumberFormat="1" applyFont="1" applyBorder="1"/>
    <xf numFmtId="176" fontId="32" fillId="0" borderId="8" xfId="0" applyNumberFormat="1" applyFont="1" applyBorder="1"/>
    <xf numFmtId="177" fontId="4" fillId="0" borderId="0" xfId="0" applyNumberFormat="1" applyFont="1"/>
    <xf numFmtId="37" fontId="15" fillId="0" borderId="8" xfId="0" applyNumberFormat="1" applyFont="1" applyBorder="1"/>
    <xf numFmtId="37" fontId="32" fillId="0" borderId="9" xfId="0" applyNumberFormat="1" applyFont="1" applyBorder="1"/>
    <xf numFmtId="0" fontId="4" fillId="0" borderId="10" xfId="0" applyFont="1" applyBorder="1" applyAlignment="1">
      <alignment horizontal="left" indent="1"/>
    </xf>
    <xf numFmtId="0" fontId="4" fillId="0" borderId="10" xfId="0" applyFont="1" applyBorder="1"/>
    <xf numFmtId="37" fontId="32" fillId="0" borderId="10" xfId="0" applyNumberFormat="1" applyFont="1" applyBorder="1"/>
    <xf numFmtId="37" fontId="15" fillId="0" borderId="8" xfId="0" applyNumberFormat="1" applyFont="1" applyBorder="1" applyAlignment="1">
      <alignment horizontal="left"/>
    </xf>
    <xf numFmtId="37" fontId="15" fillId="0" borderId="10" xfId="0" applyNumberFormat="1" applyFont="1" applyBorder="1"/>
    <xf numFmtId="37" fontId="4" fillId="0" borderId="12" xfId="0" applyNumberFormat="1" applyFont="1" applyBorder="1"/>
    <xf numFmtId="0" fontId="4" fillId="0" borderId="12" xfId="0" applyFont="1" applyBorder="1"/>
    <xf numFmtId="37" fontId="22" fillId="0" borderId="12" xfId="0" applyNumberFormat="1" applyFont="1" applyBorder="1" applyAlignment="1">
      <alignment horizontal="right"/>
    </xf>
    <xf numFmtId="37" fontId="22" fillId="0" borderId="0" xfId="0" applyNumberFormat="1" applyFont="1" applyAlignment="1">
      <alignment horizontal="right"/>
    </xf>
    <xf numFmtId="9" fontId="12" fillId="0" borderId="8" xfId="0" applyNumberFormat="1" applyFont="1" applyBorder="1"/>
    <xf numFmtId="3" fontId="32" fillId="0" borderId="0" xfId="0" applyNumberFormat="1" applyFont="1"/>
    <xf numFmtId="37" fontId="4" fillId="0" borderId="9" xfId="0" applyNumberFormat="1" applyFont="1" applyBorder="1"/>
    <xf numFmtId="0" fontId="35" fillId="0" borderId="0" xfId="0" applyFont="1" applyAlignment="1">
      <alignment horizontal="left" indent="1"/>
    </xf>
    <xf numFmtId="0" fontId="36" fillId="0" borderId="0" xfId="0" applyFont="1" applyAlignment="1">
      <alignment horizontal="left"/>
    </xf>
    <xf numFmtId="178" fontId="12" fillId="0" borderId="0" xfId="0" applyNumberFormat="1" applyFont="1"/>
    <xf numFmtId="0" fontId="34" fillId="0" borderId="13" xfId="0" applyFont="1" applyBorder="1" applyAlignment="1">
      <alignment horizontal="left" indent="1"/>
    </xf>
    <xf numFmtId="37" fontId="34" fillId="0" borderId="13" xfId="0" applyNumberFormat="1" applyFont="1" applyBorder="1"/>
    <xf numFmtId="0" fontId="4" fillId="0" borderId="0" xfId="0" applyFont="1" applyAlignment="1">
      <alignment horizontal="left" indent="2"/>
    </xf>
    <xf numFmtId="10" fontId="12" fillId="0" borderId="0" xfId="0" applyNumberFormat="1" applyFont="1"/>
    <xf numFmtId="179" fontId="32" fillId="0" borderId="0" xfId="0" applyNumberFormat="1" applyFont="1"/>
    <xf numFmtId="37" fontId="32" fillId="0" borderId="0" xfId="0" applyNumberFormat="1" applyFont="1" applyAlignment="1">
      <alignment horizontal="left" indent="1"/>
    </xf>
    <xf numFmtId="8" fontId="4" fillId="0" borderId="0" xfId="0" applyNumberFormat="1" applyFont="1"/>
    <xf numFmtId="9" fontId="32" fillId="0" borderId="0" xfId="0" applyNumberFormat="1" applyFont="1"/>
    <xf numFmtId="0" fontId="4" fillId="0" borderId="0" xfId="0" applyFont="1" applyAlignment="1">
      <alignment horizontal="right"/>
    </xf>
    <xf numFmtId="37" fontId="15" fillId="0" borderId="14" xfId="0" applyNumberFormat="1" applyFont="1" applyBorder="1"/>
    <xf numFmtId="171" fontId="15" fillId="0" borderId="15" xfId="0" applyNumberFormat="1" applyFont="1" applyBorder="1"/>
    <xf numFmtId="176" fontId="4" fillId="0" borderId="18" xfId="0" applyNumberFormat="1" applyFont="1" applyBorder="1" applyAlignment="1">
      <alignment horizontal="center"/>
    </xf>
    <xf numFmtId="0" fontId="4" fillId="0" borderId="18" xfId="0" applyFont="1" applyBorder="1"/>
    <xf numFmtId="177" fontId="12" fillId="0" borderId="18" xfId="0" applyNumberFormat="1" applyFont="1" applyBorder="1" applyAlignment="1">
      <alignment horizontal="center"/>
    </xf>
    <xf numFmtId="0" fontId="4" fillId="0" borderId="18" xfId="0" applyFont="1" applyBorder="1" applyAlignment="1">
      <alignment horizontal="center"/>
    </xf>
    <xf numFmtId="180" fontId="4" fillId="0" borderId="0" xfId="0" applyNumberFormat="1" applyFont="1"/>
    <xf numFmtId="177" fontId="12" fillId="0" borderId="19" xfId="0" applyNumberFormat="1" applyFont="1" applyBorder="1" applyAlignment="1">
      <alignment horizontal="center"/>
    </xf>
    <xf numFmtId="37" fontId="28" fillId="0" borderId="0" xfId="0" applyNumberFormat="1" applyFont="1"/>
    <xf numFmtId="14" fontId="3" fillId="2" borderId="0" xfId="0" quotePrefix="1" applyNumberFormat="1" applyFont="1" applyFill="1" applyAlignment="1">
      <alignment horizontal="center" vertical="center" wrapText="1"/>
    </xf>
    <xf numFmtId="41" fontId="6" fillId="6" borderId="2" xfId="0" applyNumberFormat="1" applyFont="1" applyFill="1" applyBorder="1" applyAlignment="1">
      <alignment horizontal="right" vertical="top" wrapText="1"/>
    </xf>
    <xf numFmtId="41" fontId="8" fillId="6" borderId="2" xfId="0" applyNumberFormat="1" applyFont="1" applyFill="1" applyBorder="1" applyAlignment="1">
      <alignment horizontal="right" vertical="top" wrapText="1"/>
    </xf>
    <xf numFmtId="3" fontId="4" fillId="0" borderId="0" xfId="0" applyNumberFormat="1" applyFont="1" applyAlignment="1">
      <alignment wrapText="1"/>
    </xf>
    <xf numFmtId="43" fontId="23" fillId="0" borderId="20" xfId="0" applyNumberFormat="1" applyFont="1" applyBorder="1" applyAlignment="1">
      <alignment wrapText="1"/>
    </xf>
    <xf numFmtId="182" fontId="23" fillId="0" borderId="20" xfId="0" applyNumberFormat="1" applyFont="1" applyBorder="1" applyAlignment="1">
      <alignment wrapText="1"/>
    </xf>
    <xf numFmtId="181" fontId="23" fillId="0" borderId="20" xfId="0" applyNumberFormat="1" applyFont="1" applyBorder="1" applyAlignment="1">
      <alignment wrapText="1"/>
    </xf>
    <xf numFmtId="41" fontId="6" fillId="0" borderId="20" xfId="0" applyNumberFormat="1" applyFont="1" applyBorder="1" applyAlignment="1">
      <alignment horizontal="right" vertical="top" wrapText="1"/>
    </xf>
    <xf numFmtId="183" fontId="23" fillId="0" borderId="20" xfId="0" applyNumberFormat="1" applyFont="1" applyBorder="1" applyAlignment="1">
      <alignment wrapText="1"/>
    </xf>
    <xf numFmtId="0" fontId="4" fillId="0" borderId="20" xfId="0" applyFont="1" applyBorder="1" applyAlignment="1">
      <alignment wrapText="1"/>
    </xf>
    <xf numFmtId="41" fontId="8" fillId="0" borderId="22" xfId="0" applyNumberFormat="1" applyFont="1" applyBorder="1" applyAlignment="1">
      <alignment horizontal="right" vertical="top" wrapText="1"/>
    </xf>
    <xf numFmtId="0" fontId="8" fillId="0" borderId="22" xfId="0" applyFont="1" applyBorder="1" applyAlignment="1">
      <alignment horizontal="right" vertical="center" wrapText="1"/>
    </xf>
    <xf numFmtId="0" fontId="8" fillId="6" borderId="22" xfId="0" applyFont="1" applyFill="1" applyBorder="1" applyAlignment="1">
      <alignment horizontal="right" vertical="center" wrapText="1"/>
    </xf>
    <xf numFmtId="0" fontId="4" fillId="0" borderId="22" xfId="0" applyFont="1" applyBorder="1"/>
    <xf numFmtId="0" fontId="23" fillId="0" borderId="21" xfId="0" applyFont="1" applyBorder="1" applyAlignment="1">
      <alignment horizontal="right" vertical="top" wrapText="1"/>
    </xf>
    <xf numFmtId="41" fontId="6" fillId="0" borderId="23" xfId="0" applyNumberFormat="1" applyFont="1" applyBorder="1" applyAlignment="1">
      <alignment horizontal="right" vertical="top" wrapText="1"/>
    </xf>
    <xf numFmtId="41" fontId="8" fillId="6" borderId="24" xfId="0" applyNumberFormat="1" applyFont="1" applyFill="1" applyBorder="1" applyAlignment="1">
      <alignment horizontal="right" vertical="top" wrapText="1"/>
    </xf>
    <xf numFmtId="41" fontId="6" fillId="6" borderId="24" xfId="0" applyNumberFormat="1" applyFont="1" applyFill="1" applyBorder="1" applyAlignment="1">
      <alignment horizontal="right" vertical="top" wrapText="1"/>
    </xf>
    <xf numFmtId="37" fontId="4" fillId="0" borderId="23" xfId="0" applyNumberFormat="1" applyFont="1" applyBorder="1" applyAlignment="1">
      <alignment wrapText="1"/>
    </xf>
    <xf numFmtId="183" fontId="23" fillId="0" borderId="25" xfId="0" applyNumberFormat="1" applyFont="1" applyBorder="1" applyAlignment="1">
      <alignment wrapText="1"/>
    </xf>
    <xf numFmtId="41" fontId="8" fillId="0" borderId="26" xfId="0" applyNumberFormat="1" applyFont="1" applyBorder="1" applyAlignment="1">
      <alignment horizontal="right" vertical="top" wrapText="1"/>
    </xf>
    <xf numFmtId="41" fontId="6" fillId="0" borderId="27" xfId="0" applyNumberFormat="1" applyFont="1" applyBorder="1" applyAlignment="1">
      <alignment horizontal="right" vertical="top" wrapText="1"/>
    </xf>
    <xf numFmtId="41" fontId="6" fillId="0" borderId="28" xfId="0" applyNumberFormat="1" applyFont="1" applyBorder="1" applyAlignment="1">
      <alignment horizontal="right" vertical="top" wrapText="1"/>
    </xf>
    <xf numFmtId="41" fontId="28" fillId="0" borderId="0" xfId="0" applyNumberFormat="1" applyFont="1"/>
    <xf numFmtId="0" fontId="15" fillId="0" borderId="27" xfId="0" applyFont="1" applyBorder="1" applyAlignment="1">
      <alignment horizontal="left"/>
    </xf>
    <xf numFmtId="37" fontId="34" fillId="0" borderId="27" xfId="0" applyNumberFormat="1" applyFont="1" applyBorder="1"/>
    <xf numFmtId="0" fontId="15" fillId="0" borderId="27" xfId="0" applyFont="1" applyBorder="1"/>
    <xf numFmtId="0" fontId="4" fillId="0" borderId="27" xfId="0" applyFont="1" applyBorder="1"/>
    <xf numFmtId="0" fontId="4" fillId="7" borderId="27" xfId="0" applyFont="1" applyFill="1" applyBorder="1"/>
    <xf numFmtId="37" fontId="15" fillId="0" borderId="27" xfId="0" applyNumberFormat="1" applyFont="1" applyBorder="1"/>
    <xf numFmtId="37" fontId="4" fillId="6" borderId="0" xfId="0" applyNumberFormat="1" applyFont="1" applyFill="1"/>
    <xf numFmtId="8" fontId="28" fillId="0" borderId="0" xfId="0" applyNumberFormat="1" applyFont="1"/>
    <xf numFmtId="0" fontId="15" fillId="0" borderId="27" xfId="0" applyFont="1" applyBorder="1" applyAlignment="1">
      <alignment horizontal="left" indent="1"/>
    </xf>
    <xf numFmtId="37" fontId="32" fillId="6" borderId="9" xfId="0" applyNumberFormat="1" applyFont="1" applyFill="1" applyBorder="1"/>
    <xf numFmtId="37" fontId="32" fillId="6" borderId="10" xfId="0" applyNumberFormat="1" applyFont="1" applyFill="1" applyBorder="1"/>
    <xf numFmtId="37" fontId="32" fillId="6" borderId="0" xfId="0" applyNumberFormat="1" applyFont="1" applyFill="1"/>
    <xf numFmtId="176" fontId="32" fillId="6" borderId="0" xfId="0" applyNumberFormat="1" applyFont="1" applyFill="1"/>
    <xf numFmtId="37" fontId="34" fillId="6" borderId="0" xfId="0" applyNumberFormat="1" applyFont="1" applyFill="1"/>
    <xf numFmtId="37" fontId="12" fillId="6" borderId="0" xfId="0" applyNumberFormat="1" applyFont="1" applyFill="1"/>
    <xf numFmtId="37" fontId="4" fillId="6" borderId="10" xfId="0" applyNumberFormat="1" applyFont="1" applyFill="1" applyBorder="1"/>
    <xf numFmtId="37" fontId="12" fillId="6" borderId="10" xfId="0" applyNumberFormat="1" applyFont="1" applyFill="1" applyBorder="1"/>
    <xf numFmtId="179" fontId="6" fillId="6" borderId="0" xfId="0" applyNumberFormat="1" applyFont="1" applyFill="1"/>
    <xf numFmtId="177" fontId="6" fillId="6" borderId="0" xfId="0" applyNumberFormat="1" applyFont="1" applyFill="1"/>
    <xf numFmtId="179" fontId="32" fillId="6" borderId="0" xfId="0" applyNumberFormat="1" applyFont="1" applyFill="1"/>
    <xf numFmtId="0" fontId="34" fillId="0" borderId="10" xfId="0" applyFont="1" applyBorder="1"/>
    <xf numFmtId="0" fontId="32" fillId="0" borderId="10" xfId="0" applyFont="1" applyBorder="1"/>
    <xf numFmtId="0" fontId="35" fillId="0" borderId="0" xfId="0" applyFont="1" applyAlignment="1">
      <alignment horizontal="left"/>
    </xf>
    <xf numFmtId="166" fontId="32" fillId="0" borderId="0" xfId="0" applyNumberFormat="1" applyFont="1"/>
    <xf numFmtId="166" fontId="38" fillId="0" borderId="0" xfId="0" applyNumberFormat="1" applyFont="1" applyAlignment="1">
      <alignment horizontal="right"/>
    </xf>
    <xf numFmtId="0" fontId="15" fillId="0" borderId="29" xfId="0" applyFont="1" applyBorder="1"/>
    <xf numFmtId="0" fontId="15" fillId="0" borderId="30" xfId="0" applyFont="1" applyBorder="1"/>
    <xf numFmtId="0" fontId="4" fillId="0" borderId="30" xfId="0" applyFont="1" applyBorder="1"/>
    <xf numFmtId="173" fontId="12" fillId="0" borderId="0" xfId="0" applyNumberFormat="1" applyFont="1"/>
    <xf numFmtId="179" fontId="30" fillId="0" borderId="10" xfId="0" applyNumberFormat="1" applyFont="1" applyBorder="1"/>
    <xf numFmtId="173" fontId="32" fillId="0" borderId="0" xfId="0" applyNumberFormat="1" applyFont="1"/>
    <xf numFmtId="184" fontId="30" fillId="0" borderId="0" xfId="0" applyNumberFormat="1" applyFont="1"/>
    <xf numFmtId="9" fontId="12" fillId="8" borderId="0" xfId="0" applyNumberFormat="1" applyFont="1" applyFill="1"/>
    <xf numFmtId="176" fontId="15" fillId="0" borderId="31" xfId="0" applyNumberFormat="1" applyFont="1" applyBorder="1"/>
    <xf numFmtId="39" fontId="15" fillId="0" borderId="0" xfId="0" applyNumberFormat="1" applyFont="1"/>
    <xf numFmtId="0" fontId="4" fillId="0" borderId="0" xfId="0" applyFont="1" applyAlignment="1">
      <alignment horizontal="centerContinuous"/>
    </xf>
    <xf numFmtId="0" fontId="4" fillId="0" borderId="9" xfId="0" applyFont="1" applyBorder="1" applyAlignment="1">
      <alignment horizontal="centerContinuous"/>
    </xf>
    <xf numFmtId="176" fontId="4" fillId="8" borderId="0" xfId="0" applyNumberFormat="1" applyFont="1" applyFill="1"/>
    <xf numFmtId="185" fontId="32" fillId="0" borderId="32" xfId="0" applyNumberFormat="1" applyFont="1" applyBorder="1"/>
    <xf numFmtId="173" fontId="12" fillId="0" borderId="33" xfId="0" applyNumberFormat="1" applyFont="1" applyBorder="1"/>
    <xf numFmtId="185" fontId="32" fillId="0" borderId="33" xfId="0" applyNumberFormat="1" applyFont="1" applyBorder="1"/>
    <xf numFmtId="10" fontId="32" fillId="0" borderId="34" xfId="0" applyNumberFormat="1" applyFont="1" applyBorder="1"/>
    <xf numFmtId="177" fontId="4" fillId="0" borderId="9" xfId="0" applyNumberFormat="1" applyFont="1" applyBorder="1"/>
    <xf numFmtId="10" fontId="12" fillId="0" borderId="34" xfId="0" applyNumberFormat="1" applyFont="1" applyBorder="1"/>
    <xf numFmtId="10" fontId="32" fillId="0" borderId="35" xfId="0" applyNumberFormat="1" applyFont="1" applyBorder="1"/>
    <xf numFmtId="0" fontId="12" fillId="10" borderId="7" xfId="0" applyFont="1" applyFill="1" applyBorder="1" applyAlignment="1">
      <alignment horizontal="right"/>
    </xf>
    <xf numFmtId="173" fontId="4" fillId="0" borderId="0" xfId="0" applyNumberFormat="1" applyFont="1"/>
    <xf numFmtId="0" fontId="4" fillId="0" borderId="36" xfId="0" applyFont="1" applyBorder="1"/>
    <xf numFmtId="0" fontId="4" fillId="0" borderId="36" xfId="0" applyFont="1" applyBorder="1" applyAlignment="1">
      <alignment wrapText="1"/>
    </xf>
    <xf numFmtId="0" fontId="12" fillId="0" borderId="0" xfId="0" applyFont="1"/>
    <xf numFmtId="39" fontId="12" fillId="0" borderId="0" xfId="0" applyNumberFormat="1" applyFont="1"/>
    <xf numFmtId="39" fontId="30" fillId="0" borderId="0" xfId="0" applyNumberFormat="1" applyFont="1"/>
    <xf numFmtId="37" fontId="30" fillId="0" borderId="0" xfId="0" applyNumberFormat="1" applyFont="1"/>
    <xf numFmtId="176" fontId="32" fillId="0" borderId="37" xfId="0" applyNumberFormat="1" applyFont="1" applyBorder="1"/>
    <xf numFmtId="173" fontId="15" fillId="0" borderId="0" xfId="0" applyNumberFormat="1" applyFont="1"/>
    <xf numFmtId="39" fontId="4" fillId="0" borderId="0" xfId="0" applyNumberFormat="1" applyFont="1"/>
    <xf numFmtId="186" fontId="12" fillId="0" borderId="0" xfId="0" applyNumberFormat="1" applyFont="1"/>
    <xf numFmtId="173" fontId="40" fillId="0" borderId="0" xfId="0" applyNumberFormat="1" applyFont="1"/>
    <xf numFmtId="187" fontId="12" fillId="0" borderId="0" xfId="0" applyNumberFormat="1" applyFont="1"/>
    <xf numFmtId="173" fontId="38" fillId="0" borderId="0" xfId="0" applyNumberFormat="1" applyFont="1"/>
    <xf numFmtId="0" fontId="15" fillId="0" borderId="10" xfId="0" applyFont="1" applyBorder="1"/>
    <xf numFmtId="188" fontId="32" fillId="0" borderId="0" xfId="0" applyNumberFormat="1" applyFont="1"/>
    <xf numFmtId="39" fontId="32" fillId="0" borderId="0" xfId="0" applyNumberFormat="1" applyFont="1"/>
    <xf numFmtId="7" fontId="4" fillId="0" borderId="0" xfId="0" applyNumberFormat="1" applyFont="1"/>
    <xf numFmtId="37" fontId="31" fillId="0" borderId="0" xfId="0" applyNumberFormat="1" applyFont="1"/>
    <xf numFmtId="7" fontId="32" fillId="0" borderId="0" xfId="0" applyNumberFormat="1" applyFont="1"/>
    <xf numFmtId="14" fontId="12" fillId="0" borderId="0" xfId="0" applyNumberFormat="1" applyFont="1" applyAlignment="1">
      <alignment horizontal="right"/>
    </xf>
    <xf numFmtId="0" fontId="43" fillId="0" borderId="0" xfId="6" applyFont="1" applyBorder="1"/>
    <xf numFmtId="177" fontId="32" fillId="0" borderId="0" xfId="0" applyNumberFormat="1" applyFont="1"/>
    <xf numFmtId="7" fontId="30" fillId="0" borderId="0" xfId="0" applyNumberFormat="1" applyFont="1" applyAlignment="1">
      <alignment horizontal="right"/>
    </xf>
    <xf numFmtId="0" fontId="39" fillId="0" borderId="0" xfId="0" applyFont="1" applyAlignment="1">
      <alignment horizontal="centerContinuous"/>
    </xf>
    <xf numFmtId="14" fontId="4" fillId="0" borderId="0" xfId="0" applyNumberFormat="1" applyFont="1" applyAlignment="1">
      <alignment horizontal="center"/>
    </xf>
    <xf numFmtId="172" fontId="4" fillId="0" borderId="38" xfId="0" applyNumberFormat="1" applyFont="1" applyBorder="1" applyAlignment="1">
      <alignment horizontal="center"/>
    </xf>
    <xf numFmtId="172" fontId="4" fillId="0" borderId="35" xfId="0" applyNumberFormat="1" applyFont="1" applyBorder="1" applyAlignment="1">
      <alignment horizontal="center"/>
    </xf>
    <xf numFmtId="172" fontId="4" fillId="0" borderId="0" xfId="0" applyNumberFormat="1" applyFont="1" applyAlignment="1">
      <alignment horizontal="center"/>
    </xf>
    <xf numFmtId="189" fontId="15" fillId="0" borderId="38" xfId="0" applyNumberFormat="1" applyFont="1" applyBorder="1"/>
    <xf numFmtId="190" fontId="15" fillId="0" borderId="0" xfId="0" applyNumberFormat="1" applyFont="1"/>
    <xf numFmtId="191" fontId="30" fillId="0" borderId="0" xfId="0" applyNumberFormat="1" applyFont="1"/>
    <xf numFmtId="191" fontId="32" fillId="0" borderId="0" xfId="0" applyNumberFormat="1" applyFont="1"/>
    <xf numFmtId="191" fontId="4" fillId="0" borderId="0" xfId="0" applyNumberFormat="1" applyFont="1"/>
    <xf numFmtId="191" fontId="34" fillId="0" borderId="0" xfId="0" applyNumberFormat="1" applyFont="1"/>
    <xf numFmtId="14" fontId="4" fillId="0" borderId="0" xfId="0" applyNumberFormat="1" applyFont="1"/>
    <xf numFmtId="177" fontId="4" fillId="0" borderId="0" xfId="0" applyNumberFormat="1" applyFont="1" applyAlignment="1">
      <alignment horizontal="center"/>
    </xf>
    <xf numFmtId="190" fontId="4" fillId="0" borderId="0" xfId="0" applyNumberFormat="1" applyFont="1"/>
    <xf numFmtId="192" fontId="12" fillId="0" borderId="0" xfId="0" applyNumberFormat="1" applyFont="1"/>
    <xf numFmtId="191" fontId="15" fillId="0" borderId="0" xfId="0" applyNumberFormat="1" applyFont="1"/>
    <xf numFmtId="0" fontId="16" fillId="0" borderId="0" xfId="0" applyFont="1" applyAlignment="1">
      <alignment horizontal="left"/>
    </xf>
    <xf numFmtId="177" fontId="16" fillId="0" borderId="0" xfId="0" applyNumberFormat="1" applyFont="1"/>
    <xf numFmtId="193" fontId="16" fillId="0" borderId="0" xfId="0" applyNumberFormat="1" applyFont="1"/>
    <xf numFmtId="192" fontId="16" fillId="0" borderId="0" xfId="0" applyNumberFormat="1" applyFont="1"/>
    <xf numFmtId="176" fontId="4" fillId="0" borderId="0" xfId="0" quotePrefix="1" applyNumberFormat="1" applyFont="1"/>
    <xf numFmtId="0" fontId="35" fillId="0" borderId="0" xfId="0" applyFont="1" applyAlignment="1">
      <alignment horizontal="right"/>
    </xf>
    <xf numFmtId="0" fontId="35" fillId="0" borderId="0" xfId="0" applyFont="1" applyAlignment="1">
      <alignment horizontal="left" vertical="center"/>
    </xf>
    <xf numFmtId="14" fontId="32" fillId="0" borderId="0" xfId="0" applyNumberFormat="1" applyFont="1"/>
    <xf numFmtId="194" fontId="12" fillId="0" borderId="0" xfId="0" applyNumberFormat="1" applyFont="1"/>
    <xf numFmtId="0" fontId="32" fillId="0" borderId="0" xfId="0" applyFont="1" applyAlignment="1">
      <alignment horizontal="left" indent="1"/>
    </xf>
    <xf numFmtId="0" fontId="4" fillId="0" borderId="0" xfId="0" applyFont="1" applyAlignment="1">
      <alignment horizontal="left" vertical="center" indent="1"/>
    </xf>
    <xf numFmtId="191" fontId="4" fillId="0" borderId="0" xfId="0" applyNumberFormat="1" applyFont="1" applyAlignment="1">
      <alignment horizontal="right"/>
    </xf>
    <xf numFmtId="37" fontId="16" fillId="0" borderId="10" xfId="0" applyNumberFormat="1" applyFont="1" applyBorder="1" applyAlignment="1">
      <alignment horizontal="right"/>
    </xf>
    <xf numFmtId="37" fontId="4" fillId="0" borderId="0" xfId="0" applyNumberFormat="1" applyFont="1" applyAlignment="1">
      <alignment horizontal="right"/>
    </xf>
    <xf numFmtId="197" fontId="4" fillId="9" borderId="0" xfId="0" applyNumberFormat="1" applyFont="1" applyFill="1" applyAlignment="1">
      <alignment horizontal="right"/>
    </xf>
    <xf numFmtId="198" fontId="4" fillId="9" borderId="0" xfId="0" applyNumberFormat="1" applyFont="1" applyFill="1" applyAlignment="1">
      <alignment horizontal="right"/>
    </xf>
    <xf numFmtId="198" fontId="4" fillId="0" borderId="0" xfId="0" applyNumberFormat="1" applyFont="1" applyAlignment="1">
      <alignment horizontal="right"/>
    </xf>
    <xf numFmtId="197" fontId="4" fillId="0" borderId="0" xfId="0" applyNumberFormat="1" applyFont="1" applyAlignment="1">
      <alignment horizontal="right"/>
    </xf>
    <xf numFmtId="0" fontId="32" fillId="10" borderId="0" xfId="0" applyFont="1" applyFill="1"/>
    <xf numFmtId="0" fontId="45" fillId="0" borderId="0" xfId="0" applyFont="1" applyAlignment="1">
      <alignment horizontal="centerContinuous"/>
    </xf>
    <xf numFmtId="0" fontId="39" fillId="0" borderId="35" xfId="0" applyFont="1" applyBorder="1" applyAlignment="1">
      <alignment horizontal="centerContinuous"/>
    </xf>
    <xf numFmtId="0" fontId="4" fillId="0" borderId="35" xfId="0" applyFont="1" applyBorder="1" applyAlignment="1">
      <alignment horizontal="centerContinuous"/>
    </xf>
    <xf numFmtId="196" fontId="4" fillId="0" borderId="8" xfId="0" applyNumberFormat="1" applyFont="1" applyBorder="1" applyAlignment="1">
      <alignment horizontal="right"/>
    </xf>
    <xf numFmtId="166" fontId="32" fillId="11" borderId="29" xfId="0" applyNumberFormat="1" applyFont="1" applyFill="1" applyBorder="1"/>
    <xf numFmtId="166" fontId="32" fillId="11" borderId="30" xfId="0" applyNumberFormat="1" applyFont="1" applyFill="1" applyBorder="1"/>
    <xf numFmtId="166" fontId="12" fillId="11" borderId="30" xfId="0" applyNumberFormat="1" applyFont="1" applyFill="1" applyBorder="1"/>
    <xf numFmtId="166" fontId="32" fillId="11" borderId="35" xfId="0" applyNumberFormat="1" applyFont="1" applyFill="1" applyBorder="1"/>
    <xf numFmtId="192" fontId="4" fillId="0" borderId="39" xfId="0" applyNumberFormat="1" applyFont="1" applyBorder="1" applyAlignment="1">
      <alignment horizontal="right"/>
    </xf>
    <xf numFmtId="166" fontId="32" fillId="11" borderId="31" xfId="0" applyNumberFormat="1" applyFont="1" applyFill="1" applyBorder="1"/>
    <xf numFmtId="166" fontId="32" fillId="11" borderId="40" xfId="0" applyNumberFormat="1" applyFont="1" applyFill="1" applyBorder="1" applyAlignment="1">
      <alignment horizontal="right"/>
    </xf>
    <xf numFmtId="199" fontId="4" fillId="0" borderId="0" xfId="0" applyNumberFormat="1" applyFont="1"/>
    <xf numFmtId="199" fontId="4" fillId="0" borderId="35" xfId="0" applyNumberFormat="1" applyFont="1" applyBorder="1"/>
    <xf numFmtId="192" fontId="4" fillId="0" borderId="0" xfId="0" applyNumberFormat="1" applyFont="1" applyAlignment="1">
      <alignment horizontal="right"/>
    </xf>
    <xf numFmtId="166" fontId="12" fillId="11" borderId="40" xfId="0" applyNumberFormat="1" applyFont="1" applyFill="1" applyBorder="1" applyAlignment="1">
      <alignment horizontal="right"/>
    </xf>
    <xf numFmtId="0" fontId="34" fillId="10" borderId="0" xfId="0" applyFont="1" applyFill="1" applyAlignment="1">
      <alignment horizontal="center"/>
    </xf>
    <xf numFmtId="166" fontId="32" fillId="11" borderId="41" xfId="0" applyNumberFormat="1" applyFont="1" applyFill="1" applyBorder="1" applyAlignment="1">
      <alignment horizontal="right"/>
    </xf>
    <xf numFmtId="200" fontId="4" fillId="0" borderId="0" xfId="0" applyNumberFormat="1" applyFont="1"/>
    <xf numFmtId="200" fontId="4" fillId="0" borderId="35" xfId="0" applyNumberFormat="1" applyFont="1" applyBorder="1"/>
    <xf numFmtId="196" fontId="4" fillId="0" borderId="39" xfId="0" applyNumberFormat="1" applyFont="1" applyBorder="1"/>
    <xf numFmtId="192" fontId="32" fillId="11" borderId="30" xfId="0" applyNumberFormat="1" applyFont="1" applyFill="1" applyBorder="1"/>
    <xf numFmtId="192" fontId="12" fillId="11" borderId="30" xfId="0" applyNumberFormat="1" applyFont="1" applyFill="1" applyBorder="1"/>
    <xf numFmtId="192" fontId="32" fillId="11" borderId="35" xfId="0" applyNumberFormat="1" applyFont="1" applyFill="1" applyBorder="1"/>
    <xf numFmtId="192" fontId="32" fillId="11" borderId="31" xfId="0" applyNumberFormat="1" applyFont="1" applyFill="1" applyBorder="1"/>
    <xf numFmtId="0" fontId="4" fillId="0" borderId="35" xfId="0" applyFont="1" applyBorder="1"/>
    <xf numFmtId="0" fontId="15" fillId="12" borderId="0" xfId="0" applyFont="1" applyFill="1"/>
    <xf numFmtId="0" fontId="15" fillId="12" borderId="35" xfId="0" applyFont="1" applyFill="1" applyBorder="1"/>
    <xf numFmtId="179" fontId="4" fillId="0" borderId="0" xfId="0" applyNumberFormat="1" applyFont="1"/>
    <xf numFmtId="0" fontId="4" fillId="0" borderId="29" xfId="0" applyFont="1" applyBorder="1"/>
    <xf numFmtId="0" fontId="4" fillId="0" borderId="30" xfId="0" applyFont="1" applyBorder="1" applyAlignment="1">
      <alignment horizontal="right"/>
    </xf>
    <xf numFmtId="0" fontId="4" fillId="0" borderId="31" xfId="0" applyFont="1" applyBorder="1" applyAlignment="1">
      <alignment horizontal="right"/>
    </xf>
    <xf numFmtId="0" fontId="4" fillId="0" borderId="42" xfId="0" applyFont="1" applyBorder="1"/>
    <xf numFmtId="0" fontId="4" fillId="0" borderId="43" xfId="0" quotePrefix="1" applyFont="1" applyBorder="1"/>
    <xf numFmtId="39" fontId="4" fillId="0" borderId="44" xfId="0" applyNumberFormat="1" applyFont="1" applyBorder="1"/>
    <xf numFmtId="39" fontId="32" fillId="0" borderId="44" xfId="0" applyNumberFormat="1" applyFont="1" applyBorder="1"/>
    <xf numFmtId="0" fontId="4" fillId="0" borderId="43" xfId="0" applyFont="1" applyBorder="1"/>
    <xf numFmtId="0" fontId="4" fillId="0" borderId="45" xfId="0" applyFont="1" applyBorder="1"/>
    <xf numFmtId="39" fontId="4" fillId="0" borderId="8" xfId="0" applyNumberFormat="1" applyFont="1" applyBorder="1"/>
    <xf numFmtId="39" fontId="32" fillId="0" borderId="8" xfId="0" applyNumberFormat="1" applyFont="1" applyBorder="1"/>
    <xf numFmtId="39" fontId="4" fillId="0" borderId="39" xfId="0" applyNumberFormat="1" applyFont="1" applyBorder="1"/>
    <xf numFmtId="0" fontId="4" fillId="0" borderId="46" xfId="0" applyFont="1" applyBorder="1"/>
    <xf numFmtId="39" fontId="32" fillId="0" borderId="39" xfId="0" applyNumberFormat="1" applyFont="1" applyBorder="1"/>
    <xf numFmtId="37" fontId="4" fillId="1" borderId="0" xfId="0" applyNumberFormat="1" applyFont="1" applyFill="1"/>
    <xf numFmtId="0" fontId="4" fillId="1" borderId="0" xfId="0" applyFont="1" applyFill="1"/>
    <xf numFmtId="195" fontId="15" fillId="0" borderId="27" xfId="0" applyNumberFormat="1" applyFont="1" applyBorder="1"/>
    <xf numFmtId="37" fontId="11" fillId="0" borderId="0" xfId="0" applyNumberFormat="1" applyFont="1" applyAlignment="1">
      <alignment horizontal="right" vertical="top" wrapText="1"/>
    </xf>
    <xf numFmtId="0" fontId="2" fillId="2" borderId="0" xfId="0" applyFont="1" applyFill="1" applyAlignment="1">
      <alignment horizontal="center" vertical="center" wrapText="1"/>
    </xf>
    <xf numFmtId="0" fontId="25" fillId="0" borderId="3" xfId="0" applyFont="1" applyBorder="1" applyAlignment="1">
      <alignment horizontal="left" wrapText="1"/>
    </xf>
    <xf numFmtId="0" fontId="4" fillId="0" borderId="0" xfId="0" applyFont="1" applyBorder="1"/>
    <xf numFmtId="0" fontId="12" fillId="0" borderId="0" xfId="0" applyFont="1" applyBorder="1" applyAlignment="1">
      <alignment horizontal="center"/>
    </xf>
    <xf numFmtId="8" fontId="12" fillId="0" borderId="0" xfId="0" applyNumberFormat="1" applyFont="1" applyBorder="1" applyAlignment="1">
      <alignment horizontal="center"/>
    </xf>
    <xf numFmtId="14" fontId="12" fillId="0" borderId="0" xfId="0" applyNumberFormat="1" applyFont="1" applyBorder="1" applyAlignment="1">
      <alignment horizontal="center"/>
    </xf>
    <xf numFmtId="172" fontId="12" fillId="0" borderId="0" xfId="0" applyNumberFormat="1" applyFont="1" applyBorder="1" applyAlignment="1">
      <alignment horizontal="center"/>
    </xf>
    <xf numFmtId="0" fontId="4" fillId="0" borderId="20" xfId="0" applyFont="1" applyBorder="1"/>
    <xf numFmtId="173" fontId="12" fillId="0" borderId="20" xfId="0" applyNumberFormat="1" applyFont="1" applyBorder="1" applyAlignment="1">
      <alignment horizontal="center"/>
    </xf>
    <xf numFmtId="0" fontId="4" fillId="0" borderId="21" xfId="0" applyFont="1" applyBorder="1"/>
    <xf numFmtId="0" fontId="4" fillId="0" borderId="23" xfId="0" applyFont="1" applyBorder="1"/>
    <xf numFmtId="0" fontId="4" fillId="0" borderId="25" xfId="0" applyFont="1" applyBorder="1"/>
    <xf numFmtId="0" fontId="12" fillId="0" borderId="27" xfId="0" applyFont="1" applyBorder="1" applyAlignment="1">
      <alignment horizontal="center"/>
    </xf>
    <xf numFmtId="0" fontId="4" fillId="0" borderId="28" xfId="0" applyFont="1" applyBorder="1"/>
    <xf numFmtId="0" fontId="34" fillId="0" borderId="26" xfId="0" applyFont="1" applyBorder="1"/>
    <xf numFmtId="0" fontId="34" fillId="0" borderId="22" xfId="0" applyFont="1" applyBorder="1"/>
    <xf numFmtId="0" fontId="15" fillId="0" borderId="22" xfId="0" applyFont="1" applyBorder="1"/>
    <xf numFmtId="0" fontId="15" fillId="0" borderId="21" xfId="0" applyFont="1" applyBorder="1"/>
    <xf numFmtId="0" fontId="4" fillId="0" borderId="0" xfId="0" applyFont="1" applyAlignment="1">
      <alignment horizontal="center"/>
    </xf>
    <xf numFmtId="171" fontId="12" fillId="6" borderId="7" xfId="0" applyNumberFormat="1" applyFont="1" applyFill="1" applyBorder="1" applyAlignment="1">
      <alignment horizontal="center"/>
    </xf>
    <xf numFmtId="171" fontId="12" fillId="6" borderId="48" xfId="0" applyNumberFormat="1" applyFont="1" applyFill="1" applyBorder="1" applyAlignment="1">
      <alignment horizontal="center"/>
    </xf>
    <xf numFmtId="0" fontId="4" fillId="0" borderId="0" xfId="0" applyFont="1" applyAlignment="1">
      <alignment vertical="center"/>
    </xf>
    <xf numFmtId="0" fontId="4" fillId="0" borderId="0" xfId="0" applyFont="1" applyAlignment="1">
      <alignment horizontal="left" vertical="center"/>
    </xf>
    <xf numFmtId="0" fontId="15" fillId="0" borderId="0" xfId="0" applyFont="1" applyBorder="1"/>
    <xf numFmtId="37" fontId="34" fillId="0" borderId="0" xfId="0" applyNumberFormat="1" applyFont="1" applyBorder="1"/>
    <xf numFmtId="202" fontId="5" fillId="2" borderId="0" xfId="0" applyNumberFormat="1" applyFont="1" applyFill="1" applyAlignment="1">
      <alignment horizontal="center" vertical="center" wrapText="1"/>
    </xf>
    <xf numFmtId="0" fontId="4" fillId="0" borderId="22" xfId="0" applyFont="1" applyFill="1" applyBorder="1" applyAlignment="1">
      <alignment horizontal="left" indent="1"/>
    </xf>
    <xf numFmtId="176" fontId="32" fillId="0" borderId="0" xfId="0" applyNumberFormat="1" applyFont="1" applyFill="1"/>
    <xf numFmtId="176" fontId="32" fillId="0" borderId="23" xfId="0" applyNumberFormat="1" applyFont="1" applyFill="1" applyBorder="1"/>
    <xf numFmtId="0" fontId="46" fillId="2" borderId="27" xfId="0" applyFont="1" applyFill="1" applyBorder="1"/>
    <xf numFmtId="0" fontId="46" fillId="2" borderId="28" xfId="0" applyFont="1" applyFill="1" applyBorder="1"/>
    <xf numFmtId="0" fontId="2" fillId="2" borderId="26" xfId="0" applyFont="1" applyFill="1" applyBorder="1"/>
    <xf numFmtId="0" fontId="46" fillId="0" borderId="0" xfId="0" applyFont="1" applyFill="1" applyBorder="1"/>
    <xf numFmtId="0" fontId="46" fillId="0" borderId="23" xfId="0" applyFont="1" applyFill="1" applyBorder="1"/>
    <xf numFmtId="0" fontId="4" fillId="0" borderId="0" xfId="0" applyFont="1" applyFill="1"/>
    <xf numFmtId="0" fontId="2" fillId="0" borderId="22" xfId="0" applyFont="1" applyFill="1" applyBorder="1"/>
    <xf numFmtId="0" fontId="3" fillId="0" borderId="0" xfId="0" applyFont="1" applyFill="1" applyAlignment="1">
      <alignment vertical="center" wrapText="1"/>
    </xf>
    <xf numFmtId="14" fontId="3" fillId="0" borderId="0" xfId="0" applyNumberFormat="1" applyFont="1" applyFill="1" applyAlignment="1">
      <alignment horizontal="center" vertical="center" wrapText="1"/>
    </xf>
    <xf numFmtId="0" fontId="15" fillId="13" borderId="27" xfId="0" applyFont="1" applyFill="1" applyBorder="1" applyAlignment="1">
      <alignment horizontal="left"/>
    </xf>
    <xf numFmtId="5" fontId="34" fillId="13" borderId="27" xfId="0" applyNumberFormat="1" applyFont="1" applyFill="1" applyBorder="1"/>
    <xf numFmtId="5" fontId="15" fillId="13" borderId="27" xfId="0" applyNumberFormat="1" applyFont="1" applyFill="1" applyBorder="1"/>
    <xf numFmtId="5" fontId="34" fillId="0" borderId="27" xfId="0" applyNumberFormat="1" applyFont="1" applyBorder="1"/>
    <xf numFmtId="41" fontId="6" fillId="0" borderId="0" xfId="0" applyNumberFormat="1" applyFont="1" applyAlignment="1">
      <alignment horizontal="right" vertical="center" wrapText="1"/>
    </xf>
    <xf numFmtId="41" fontId="6" fillId="0" borderId="0" xfId="0" applyNumberFormat="1" applyFont="1" applyAlignment="1">
      <alignment horizontal="right" wrapText="1"/>
    </xf>
    <xf numFmtId="41" fontId="28" fillId="0" borderId="0" xfId="0" applyNumberFormat="1" applyFont="1" applyAlignment="1">
      <alignment horizontal="right" wrapText="1"/>
    </xf>
    <xf numFmtId="0" fontId="2" fillId="14" borderId="0" xfId="0" applyFont="1" applyFill="1" applyAlignment="1">
      <alignment vertical="center" wrapText="1"/>
    </xf>
    <xf numFmtId="0" fontId="3" fillId="14" borderId="0" xfId="0" applyFont="1" applyFill="1" applyAlignment="1">
      <alignment vertical="center" wrapText="1"/>
    </xf>
    <xf numFmtId="0" fontId="2" fillId="15" borderId="0" xfId="0" applyFont="1" applyFill="1" applyAlignment="1">
      <alignment vertical="center" wrapText="1"/>
    </xf>
    <xf numFmtId="0" fontId="2" fillId="15" borderId="4" xfId="0" applyFont="1" applyFill="1" applyBorder="1" applyAlignment="1">
      <alignment horizontal="centerContinuous" vertical="center" wrapText="1"/>
    </xf>
    <xf numFmtId="0" fontId="3" fillId="15" borderId="0" xfId="0" applyFont="1" applyFill="1" applyAlignment="1">
      <alignment vertical="center" wrapText="1"/>
    </xf>
    <xf numFmtId="14" fontId="3" fillId="15" borderId="0" xfId="0" applyNumberFormat="1" applyFont="1" applyFill="1" applyAlignment="1">
      <alignment horizontal="center" vertical="center" wrapText="1"/>
    </xf>
    <xf numFmtId="167" fontId="7" fillId="0" borderId="0" xfId="1" applyNumberFormat="1" applyFont="1" applyFill="1" applyBorder="1" applyAlignment="1">
      <alignment horizontal="right" vertical="center" wrapText="1"/>
    </xf>
    <xf numFmtId="0" fontId="4" fillId="0" borderId="0" xfId="0" applyFont="1" applyFill="1" applyAlignment="1">
      <alignment wrapText="1"/>
    </xf>
    <xf numFmtId="0" fontId="2" fillId="2" borderId="0" xfId="0" applyFont="1" applyFill="1" applyBorder="1" applyAlignment="1">
      <alignment horizontal="centerContinuous" vertical="center" wrapText="1"/>
    </xf>
    <xf numFmtId="14" fontId="3" fillId="2" borderId="0" xfId="0" applyNumberFormat="1" applyFont="1" applyFill="1" applyBorder="1" applyAlignment="1">
      <alignment horizontal="center" vertical="center" wrapText="1"/>
    </xf>
    <xf numFmtId="0" fontId="5" fillId="2" borderId="0" xfId="0" applyFont="1" applyFill="1" applyBorder="1" applyAlignment="1">
      <alignment horizontal="center" vertical="center" wrapText="1"/>
    </xf>
    <xf numFmtId="0" fontId="2" fillId="2" borderId="0" xfId="0" applyFont="1" applyFill="1" applyBorder="1" applyAlignment="1">
      <alignment horizontal="center" vertical="center" wrapText="1"/>
    </xf>
    <xf numFmtId="14" fontId="3" fillId="2" borderId="0" xfId="0" quotePrefix="1" applyNumberFormat="1" applyFont="1" applyFill="1" applyBorder="1" applyAlignment="1">
      <alignment horizontal="center" vertical="center" wrapText="1"/>
    </xf>
    <xf numFmtId="0" fontId="2" fillId="14" borderId="4" xfId="0" applyFont="1" applyFill="1" applyBorder="1" applyAlignment="1">
      <alignment horizontal="centerContinuous" vertical="center" wrapText="1"/>
    </xf>
    <xf numFmtId="0" fontId="4" fillId="14" borderId="0" xfId="0" applyFont="1" applyFill="1" applyAlignment="1">
      <alignment wrapText="1"/>
    </xf>
    <xf numFmtId="0" fontId="2" fillId="14" borderId="0" xfId="0" applyFont="1" applyFill="1" applyBorder="1" applyAlignment="1">
      <alignment vertical="center" wrapText="1"/>
    </xf>
    <xf numFmtId="0" fontId="5" fillId="14" borderId="0" xfId="0" applyFont="1" applyFill="1" applyAlignment="1">
      <alignment horizontal="center" vertical="center" wrapText="1"/>
    </xf>
    <xf numFmtId="0" fontId="5" fillId="14" borderId="0" xfId="0" applyFont="1" applyFill="1" applyAlignment="1">
      <alignment horizontal="center" vertical="center" wrapText="1"/>
    </xf>
    <xf numFmtId="14" fontId="3" fillId="14" borderId="0" xfId="0" applyNumberFormat="1" applyFont="1" applyFill="1" applyAlignment="1">
      <alignment horizontal="center" vertical="center" wrapText="1"/>
    </xf>
    <xf numFmtId="201" fontId="5" fillId="2" borderId="0" xfId="0" applyNumberFormat="1" applyFont="1" applyFill="1" applyAlignment="1">
      <alignment horizontal="center" vertical="center" wrapText="1"/>
    </xf>
    <xf numFmtId="0" fontId="2" fillId="16" borderId="0" xfId="0" applyFont="1" applyFill="1" applyAlignment="1">
      <alignment vertical="center" wrapText="1"/>
    </xf>
    <xf numFmtId="0" fontId="3" fillId="16" borderId="0" xfId="0" applyFont="1" applyFill="1" applyAlignment="1">
      <alignment vertical="center" wrapText="1"/>
    </xf>
    <xf numFmtId="202" fontId="5" fillId="16" borderId="0" xfId="0" applyNumberFormat="1" applyFont="1" applyFill="1" applyAlignment="1">
      <alignment horizontal="center" vertical="center" wrapText="1"/>
    </xf>
    <xf numFmtId="201" fontId="5" fillId="16" borderId="0" xfId="0" applyNumberFormat="1" applyFont="1" applyFill="1" applyAlignment="1">
      <alignment horizontal="center" vertical="center" wrapText="1"/>
    </xf>
    <xf numFmtId="14" fontId="3" fillId="16" borderId="0" xfId="0" applyNumberFormat="1" applyFont="1" applyFill="1" applyAlignment="1">
      <alignment horizontal="center" vertical="center" wrapText="1"/>
    </xf>
    <xf numFmtId="0" fontId="2" fillId="17" borderId="0" xfId="0" applyFont="1" applyFill="1" applyAlignment="1">
      <alignment vertical="center" wrapText="1"/>
    </xf>
    <xf numFmtId="0" fontId="2" fillId="17" borderId="4" xfId="0" applyFont="1" applyFill="1" applyBorder="1" applyAlignment="1">
      <alignment horizontal="centerContinuous" vertical="center" wrapText="1"/>
    </xf>
    <xf numFmtId="0" fontId="4" fillId="17" borderId="0" xfId="0" applyFont="1" applyFill="1" applyAlignment="1">
      <alignment wrapText="1"/>
    </xf>
    <xf numFmtId="0" fontId="2" fillId="17" borderId="0" xfId="0" applyFont="1" applyFill="1" applyBorder="1" applyAlignment="1">
      <alignment vertical="center" wrapText="1"/>
    </xf>
    <xf numFmtId="0" fontId="5" fillId="17" borderId="0" xfId="0" applyFont="1" applyFill="1" applyAlignment="1">
      <alignment horizontal="center" vertical="center" wrapText="1"/>
    </xf>
    <xf numFmtId="0" fontId="3" fillId="17" borderId="0" xfId="0" applyFont="1" applyFill="1" applyAlignment="1">
      <alignment vertical="center" wrapText="1"/>
    </xf>
    <xf numFmtId="0" fontId="5" fillId="17" borderId="0" xfId="0" applyFont="1" applyFill="1" applyAlignment="1">
      <alignment horizontal="center" vertical="center" wrapText="1"/>
    </xf>
    <xf numFmtId="0" fontId="5" fillId="17" borderId="0" xfId="0" applyFont="1" applyFill="1" applyBorder="1" applyAlignment="1">
      <alignment vertical="center" wrapText="1"/>
    </xf>
    <xf numFmtId="14" fontId="3" fillId="17" borderId="0" xfId="0" applyNumberFormat="1" applyFont="1" applyFill="1" applyAlignment="1">
      <alignment horizontal="center" vertical="center" wrapText="1"/>
    </xf>
    <xf numFmtId="14" fontId="3" fillId="17" borderId="0" xfId="0" applyNumberFormat="1" applyFont="1" applyFill="1" applyBorder="1" applyAlignment="1">
      <alignment vertical="center" wrapText="1"/>
    </xf>
    <xf numFmtId="0" fontId="2" fillId="2" borderId="4" xfId="0" applyFont="1" applyFill="1" applyBorder="1" applyAlignment="1">
      <alignment horizontal="centerContinuous" vertical="center"/>
    </xf>
    <xf numFmtId="0" fontId="2" fillId="18" borderId="0" xfId="0" applyFont="1" applyFill="1" applyAlignment="1">
      <alignment vertical="center" wrapText="1"/>
    </xf>
    <xf numFmtId="0" fontId="2" fillId="18" borderId="4" xfId="0" applyFont="1" applyFill="1" applyBorder="1" applyAlignment="1">
      <alignment horizontal="centerContinuous" vertical="center" wrapText="1"/>
    </xf>
    <xf numFmtId="0" fontId="3" fillId="18" borderId="0" xfId="0" applyFont="1" applyFill="1" applyAlignment="1">
      <alignment vertical="center" wrapText="1"/>
    </xf>
    <xf numFmtId="202" fontId="5" fillId="18" borderId="0" xfId="0" applyNumberFormat="1" applyFont="1" applyFill="1" applyAlignment="1">
      <alignment horizontal="center" vertical="center" wrapText="1"/>
    </xf>
    <xf numFmtId="201" fontId="5" fillId="18" borderId="0" xfId="0" applyNumberFormat="1" applyFont="1" applyFill="1" applyAlignment="1">
      <alignment horizontal="center" vertical="center" wrapText="1"/>
    </xf>
    <xf numFmtId="14" fontId="3" fillId="18" borderId="0" xfId="0" applyNumberFormat="1" applyFont="1" applyFill="1" applyAlignment="1">
      <alignment horizontal="center" vertical="center" wrapText="1"/>
    </xf>
    <xf numFmtId="202" fontId="5" fillId="15" borderId="0" xfId="0" applyNumberFormat="1" applyFont="1" applyFill="1" applyAlignment="1">
      <alignment horizontal="center" vertical="center" wrapText="1"/>
    </xf>
    <xf numFmtId="201" fontId="5" fillId="15" borderId="0" xfId="0" applyNumberFormat="1" applyFont="1" applyFill="1" applyAlignment="1">
      <alignment horizontal="center" vertical="center" wrapText="1"/>
    </xf>
    <xf numFmtId="14" fontId="12" fillId="0" borderId="0" xfId="5" applyNumberFormat="1" applyFont="1" applyBorder="1" applyAlignment="1">
      <alignment horizontal="right"/>
    </xf>
    <xf numFmtId="14" fontId="32" fillId="0" borderId="0" xfId="5" applyNumberFormat="1" applyFont="1" applyBorder="1" applyAlignment="1">
      <alignment horizontal="right"/>
    </xf>
    <xf numFmtId="7" fontId="12" fillId="0" borderId="0" xfId="0" applyNumberFormat="1" applyFont="1" applyBorder="1"/>
    <xf numFmtId="14" fontId="12" fillId="0" borderId="0" xfId="0" applyNumberFormat="1" applyFont="1" applyBorder="1" applyAlignment="1">
      <alignment horizontal="right"/>
    </xf>
    <xf numFmtId="0" fontId="44" fillId="0" borderId="0" xfId="0" applyFont="1" applyBorder="1" applyAlignment="1">
      <alignment horizontal="center"/>
    </xf>
    <xf numFmtId="177" fontId="32" fillId="0" borderId="20" xfId="0" applyNumberFormat="1" applyFont="1" applyBorder="1"/>
    <xf numFmtId="7" fontId="30" fillId="0" borderId="20" xfId="0" applyNumberFormat="1" applyFont="1" applyBorder="1" applyAlignment="1">
      <alignment horizontal="right"/>
    </xf>
    <xf numFmtId="0" fontId="43" fillId="0" borderId="23" xfId="6" applyFont="1" applyBorder="1"/>
    <xf numFmtId="0" fontId="4" fillId="0" borderId="26" xfId="0" applyFont="1" applyBorder="1"/>
    <xf numFmtId="14" fontId="12" fillId="0" borderId="27" xfId="5" applyNumberFormat="1" applyFont="1" applyBorder="1" applyAlignment="1">
      <alignment horizontal="right"/>
    </xf>
    <xf numFmtId="176" fontId="30" fillId="0" borderId="27" xfId="0" applyNumberFormat="1" applyFont="1" applyBorder="1"/>
    <xf numFmtId="0" fontId="2" fillId="2" borderId="0" xfId="0" applyFont="1" applyFill="1" applyAlignment="1">
      <alignment vertical="center"/>
    </xf>
    <xf numFmtId="14" fontId="3" fillId="2" borderId="0" xfId="0" applyNumberFormat="1" applyFont="1" applyFill="1" applyAlignment="1">
      <alignment horizontal="center" vertical="center"/>
    </xf>
    <xf numFmtId="0" fontId="8" fillId="0" borderId="0" xfId="0" applyFont="1" applyAlignment="1">
      <alignment horizontal="center" vertical="center" wrapText="1"/>
    </xf>
    <xf numFmtId="0" fontId="6" fillId="0" borderId="0" xfId="0" applyFont="1" applyAlignment="1">
      <alignment vertical="center" wrapText="1"/>
    </xf>
    <xf numFmtId="41" fontId="11" fillId="0" borderId="0" xfId="0" applyNumberFormat="1" applyFont="1" applyAlignment="1">
      <alignment vertical="center"/>
    </xf>
    <xf numFmtId="10" fontId="6" fillId="0" borderId="0" xfId="0" applyNumberFormat="1" applyFont="1" applyAlignment="1">
      <alignment vertical="center"/>
    </xf>
    <xf numFmtId="166" fontId="7" fillId="0" borderId="0" xfId="1" applyNumberFormat="1" applyFont="1" applyFill="1" applyBorder="1" applyAlignment="1">
      <alignment vertical="center"/>
    </xf>
    <xf numFmtId="41" fontId="6" fillId="0" borderId="0" xfId="0" applyNumberFormat="1" applyFont="1" applyAlignment="1">
      <alignment vertical="center"/>
    </xf>
    <xf numFmtId="0" fontId="8" fillId="0" borderId="0" xfId="0" applyFont="1" applyBorder="1" applyAlignment="1">
      <alignment vertical="top" wrapText="1"/>
    </xf>
    <xf numFmtId="0" fontId="7" fillId="6" borderId="0" xfId="0" applyFont="1" applyFill="1" applyAlignment="1">
      <alignment horizontal="left" vertical="center" wrapText="1"/>
    </xf>
    <xf numFmtId="201" fontId="5" fillId="2" borderId="0" xfId="0" applyNumberFormat="1" applyFont="1" applyFill="1" applyAlignment="1">
      <alignment horizontal="center" vertical="center"/>
    </xf>
    <xf numFmtId="0" fontId="15" fillId="0" borderId="27" xfId="0" applyFont="1" applyFill="1" applyBorder="1" applyAlignment="1">
      <alignment horizontal="left"/>
    </xf>
    <xf numFmtId="5" fontId="34" fillId="0" borderId="27" xfId="0" applyNumberFormat="1" applyFont="1" applyFill="1" applyBorder="1"/>
    <xf numFmtId="37" fontId="15" fillId="0" borderId="2" xfId="0" applyNumberFormat="1" applyFont="1" applyBorder="1"/>
    <xf numFmtId="166" fontId="4" fillId="0" borderId="0" xfId="1" applyNumberFormat="1" applyFont="1" applyAlignment="1">
      <alignment horizontal="center"/>
    </xf>
    <xf numFmtId="166" fontId="15" fillId="0" borderId="0" xfId="1" applyNumberFormat="1" applyFont="1" applyAlignment="1">
      <alignment horizontal="center"/>
    </xf>
    <xf numFmtId="37" fontId="11" fillId="0" borderId="0" xfId="0" applyNumberFormat="1" applyFont="1"/>
    <xf numFmtId="167" fontId="4" fillId="0" borderId="0" xfId="1" applyNumberFormat="1" applyFont="1" applyAlignment="1">
      <alignment horizontal="center"/>
    </xf>
    <xf numFmtId="167" fontId="15" fillId="0" borderId="0" xfId="1" applyNumberFormat="1" applyFont="1" applyAlignment="1">
      <alignment horizontal="center"/>
    </xf>
    <xf numFmtId="0" fontId="8" fillId="3" borderId="0" xfId="0" applyFont="1" applyFill="1" applyBorder="1" applyAlignment="1">
      <alignment vertical="top" wrapText="1"/>
    </xf>
    <xf numFmtId="37" fontId="15" fillId="0" borderId="0" xfId="0" applyNumberFormat="1" applyFont="1" applyBorder="1"/>
    <xf numFmtId="41" fontId="11" fillId="0" borderId="0" xfId="0" applyNumberFormat="1" applyFont="1" applyFill="1" applyAlignment="1">
      <alignment vertical="center"/>
    </xf>
    <xf numFmtId="10" fontId="11" fillId="0" borderId="0" xfId="0" applyNumberFormat="1" applyFont="1" applyFill="1" applyAlignment="1">
      <alignment vertical="center"/>
    </xf>
    <xf numFmtId="10" fontId="6" fillId="0" borderId="0" xfId="0" applyNumberFormat="1" applyFont="1" applyFill="1" applyAlignment="1">
      <alignment vertical="center"/>
    </xf>
    <xf numFmtId="41" fontId="11" fillId="0" borderId="0" xfId="0" applyNumberFormat="1" applyFont="1" applyFill="1" applyBorder="1" applyAlignment="1">
      <alignment vertical="center"/>
    </xf>
    <xf numFmtId="41" fontId="4" fillId="0" borderId="0" xfId="0" applyNumberFormat="1" applyFont="1" applyFill="1" applyBorder="1" applyAlignment="1">
      <alignment vertical="center"/>
    </xf>
    <xf numFmtId="10" fontId="11" fillId="0" borderId="0" xfId="0" applyNumberFormat="1" applyFont="1" applyFill="1" applyBorder="1" applyAlignment="1">
      <alignment vertical="center"/>
    </xf>
    <xf numFmtId="10" fontId="4" fillId="0" borderId="0" xfId="0" applyNumberFormat="1" applyFont="1" applyFill="1" applyBorder="1" applyAlignment="1">
      <alignment vertical="center"/>
    </xf>
    <xf numFmtId="10" fontId="4" fillId="0" borderId="0" xfId="1" applyNumberFormat="1" applyFont="1" applyFill="1" applyBorder="1" applyAlignment="1">
      <alignment vertical="center"/>
    </xf>
    <xf numFmtId="10" fontId="6" fillId="0" borderId="0" xfId="0" applyNumberFormat="1" applyFont="1" applyFill="1" applyBorder="1" applyAlignment="1">
      <alignment vertical="center"/>
    </xf>
    <xf numFmtId="167" fontId="4" fillId="6" borderId="0" xfId="1" applyNumberFormat="1" applyFont="1" applyFill="1" applyAlignment="1">
      <alignment horizontal="right"/>
    </xf>
    <xf numFmtId="202" fontId="5" fillId="2" borderId="0" xfId="0" applyNumberFormat="1" applyFont="1" applyFill="1" applyAlignment="1">
      <alignment horizontal="center" vertical="center"/>
    </xf>
    <xf numFmtId="10" fontId="6" fillId="0" borderId="0" xfId="0" applyNumberFormat="1" applyFont="1" applyBorder="1" applyAlignment="1">
      <alignment vertical="center"/>
    </xf>
    <xf numFmtId="0" fontId="8" fillId="0" borderId="1" xfId="0" applyFont="1" applyBorder="1" applyAlignment="1">
      <alignment horizontal="centerContinuous" vertical="top" wrapText="1"/>
    </xf>
    <xf numFmtId="0" fontId="4" fillId="0" borderId="1" xfId="0" applyFont="1" applyBorder="1" applyAlignment="1">
      <alignment horizontal="centerContinuous"/>
    </xf>
    <xf numFmtId="0" fontId="7" fillId="0" borderId="0" xfId="0" applyFont="1" applyFill="1" applyAlignment="1">
      <alignment horizontal="left" vertical="center" wrapText="1"/>
    </xf>
    <xf numFmtId="167" fontId="4" fillId="0" borderId="0" xfId="1" applyNumberFormat="1" applyFont="1" applyFill="1" applyAlignment="1">
      <alignment horizontal="right"/>
    </xf>
    <xf numFmtId="167" fontId="4" fillId="19" borderId="27" xfId="1" applyNumberFormat="1" applyFont="1" applyFill="1" applyBorder="1" applyAlignment="1">
      <alignment horizontal="right"/>
    </xf>
    <xf numFmtId="167" fontId="4" fillId="19" borderId="28" xfId="1" applyNumberFormat="1" applyFont="1" applyFill="1" applyBorder="1" applyAlignment="1">
      <alignment horizontal="right"/>
    </xf>
    <xf numFmtId="167" fontId="4" fillId="19" borderId="20" xfId="1" applyNumberFormat="1" applyFont="1" applyFill="1" applyBorder="1" applyAlignment="1">
      <alignment horizontal="right"/>
    </xf>
    <xf numFmtId="167" fontId="4" fillId="19" borderId="25" xfId="1" applyNumberFormat="1" applyFont="1" applyFill="1" applyBorder="1" applyAlignment="1">
      <alignment horizontal="right"/>
    </xf>
    <xf numFmtId="0" fontId="7" fillId="19" borderId="0" xfId="0" applyFont="1" applyFill="1" applyBorder="1" applyAlignment="1">
      <alignment horizontal="left" vertical="center" wrapText="1"/>
    </xf>
    <xf numFmtId="167" fontId="4" fillId="19" borderId="0" xfId="1" applyNumberFormat="1" applyFont="1" applyFill="1" applyBorder="1" applyAlignment="1">
      <alignment horizontal="right"/>
    </xf>
    <xf numFmtId="0" fontId="4" fillId="0" borderId="0" xfId="0" applyFont="1" applyFill="1" applyBorder="1"/>
    <xf numFmtId="0" fontId="7" fillId="0" borderId="0" xfId="0" applyFont="1" applyFill="1" applyBorder="1" applyAlignment="1">
      <alignment horizontal="left" vertical="center" wrapText="1"/>
    </xf>
    <xf numFmtId="167" fontId="4" fillId="0" borderId="0" xfId="1" applyNumberFormat="1" applyFont="1" applyFill="1" applyBorder="1" applyAlignment="1">
      <alignment horizontal="right"/>
    </xf>
    <xf numFmtId="37" fontId="6" fillId="0" borderId="0" xfId="0" applyNumberFormat="1" applyFont="1"/>
    <xf numFmtId="0" fontId="16" fillId="0" borderId="22" xfId="0" applyFont="1" applyFill="1" applyBorder="1" applyAlignment="1">
      <alignment horizontal="left" indent="2"/>
    </xf>
    <xf numFmtId="176" fontId="28" fillId="0" borderId="0" xfId="0" applyNumberFormat="1" applyFont="1" applyFill="1"/>
    <xf numFmtId="167" fontId="6" fillId="6" borderId="0" xfId="1" applyNumberFormat="1" applyFont="1" applyFill="1" applyAlignment="1">
      <alignment horizontal="right"/>
    </xf>
    <xf numFmtId="167" fontId="11" fillId="6" borderId="0" xfId="1" applyNumberFormat="1" applyFont="1" applyFill="1" applyAlignment="1">
      <alignment horizontal="right"/>
    </xf>
    <xf numFmtId="0" fontId="6" fillId="0" borderId="0" xfId="0" applyFont="1" applyAlignment="1">
      <alignment vertical="center"/>
    </xf>
    <xf numFmtId="0" fontId="7" fillId="6" borderId="0" xfId="0" applyFont="1" applyFill="1" applyAlignment="1">
      <alignment horizontal="left" vertical="center"/>
    </xf>
    <xf numFmtId="0" fontId="8" fillId="0" borderId="1" xfId="0" applyFont="1" applyBorder="1" applyAlignment="1">
      <alignment vertical="top"/>
    </xf>
    <xf numFmtId="0" fontId="8" fillId="0" borderId="0" xfId="0" applyFont="1" applyFill="1" applyBorder="1" applyAlignment="1">
      <alignment horizontal="centerContinuous" vertical="top" wrapText="1"/>
    </xf>
    <xf numFmtId="0" fontId="6" fillId="0" borderId="0" xfId="0" applyFont="1" applyFill="1" applyBorder="1" applyAlignment="1">
      <alignment vertical="center" wrapText="1"/>
    </xf>
    <xf numFmtId="0" fontId="6" fillId="0" borderId="0" xfId="0" applyFont="1" applyFill="1" applyBorder="1" applyAlignment="1">
      <alignment vertical="top" wrapText="1"/>
    </xf>
    <xf numFmtId="167" fontId="6" fillId="0" borderId="0" xfId="1" applyNumberFormat="1" applyFont="1" applyFill="1" applyAlignment="1">
      <alignment horizontal="right"/>
    </xf>
    <xf numFmtId="0" fontId="25" fillId="0" borderId="0" xfId="0" applyFont="1" applyAlignment="1">
      <alignment horizontal="left" vertical="center" indent="1"/>
    </xf>
    <xf numFmtId="167" fontId="10" fillId="0" borderId="0" xfId="1" applyNumberFormat="1" applyFont="1" applyFill="1" applyAlignment="1">
      <alignment horizontal="right" vertical="center"/>
    </xf>
    <xf numFmtId="0" fontId="7" fillId="0" borderId="0" xfId="0" applyFont="1" applyFill="1" applyAlignment="1">
      <alignment horizontal="left" vertical="center"/>
    </xf>
    <xf numFmtId="0" fontId="7" fillId="19" borderId="26" xfId="0" applyFont="1" applyFill="1" applyBorder="1" applyAlignment="1">
      <alignment horizontal="left" vertical="center"/>
    </xf>
    <xf numFmtId="0" fontId="7" fillId="19" borderId="27" xfId="0" applyFont="1" applyFill="1" applyBorder="1" applyAlignment="1">
      <alignment horizontal="left" vertical="center"/>
    </xf>
    <xf numFmtId="0" fontId="7" fillId="19" borderId="21" xfId="0" applyFont="1" applyFill="1" applyBorder="1" applyAlignment="1">
      <alignment horizontal="left" vertical="center"/>
    </xf>
    <xf numFmtId="0" fontId="7" fillId="19" borderId="20" xfId="0" applyFont="1" applyFill="1" applyBorder="1" applyAlignment="1">
      <alignment horizontal="left" vertical="center"/>
    </xf>
    <xf numFmtId="0" fontId="8" fillId="0" borderId="1" xfId="0" applyFont="1" applyBorder="1" applyAlignment="1">
      <alignment horizontal="centerContinuous" vertical="top"/>
    </xf>
    <xf numFmtId="0" fontId="7" fillId="0" borderId="0" xfId="0" applyFont="1" applyBorder="1" applyAlignment="1">
      <alignment horizontal="left" vertical="center"/>
    </xf>
    <xf numFmtId="0" fontId="7" fillId="19" borderId="0" xfId="0" applyFont="1" applyFill="1" applyBorder="1" applyAlignment="1">
      <alignment horizontal="left" vertical="center"/>
    </xf>
    <xf numFmtId="0" fontId="7" fillId="0" borderId="0" xfId="0" applyFont="1" applyFill="1" applyBorder="1" applyAlignment="1">
      <alignment horizontal="left" vertical="center"/>
    </xf>
    <xf numFmtId="0" fontId="4" fillId="0" borderId="0" xfId="0" applyFont="1" applyAlignment="1"/>
    <xf numFmtId="0" fontId="8" fillId="0" borderId="0" xfId="0" applyFont="1" applyBorder="1" applyAlignment="1">
      <alignment vertical="top"/>
    </xf>
    <xf numFmtId="0" fontId="6" fillId="0" borderId="0" xfId="0" applyFont="1" applyFill="1" applyAlignment="1">
      <alignment vertical="center"/>
    </xf>
    <xf numFmtId="0" fontId="16" fillId="0" borderId="0" xfId="0" applyFont="1" applyAlignment="1">
      <alignment horizontal="left" vertical="center" indent="1"/>
    </xf>
    <xf numFmtId="0" fontId="15" fillId="0" borderId="0" xfId="0" applyFont="1" applyAlignment="1"/>
    <xf numFmtId="0" fontId="2" fillId="2" borderId="0" xfId="0" applyFont="1" applyFill="1" applyAlignment="1">
      <alignment horizontal="centerContinuous" vertical="center"/>
    </xf>
    <xf numFmtId="0" fontId="4" fillId="2" borderId="0" xfId="0" applyFont="1" applyFill="1" applyAlignment="1">
      <alignment horizontal="centerContinuous"/>
    </xf>
    <xf numFmtId="0" fontId="35" fillId="0" borderId="22" xfId="0" applyFont="1" applyFill="1" applyBorder="1" applyAlignment="1">
      <alignment horizontal="left" indent="1"/>
    </xf>
    <xf numFmtId="176" fontId="32" fillId="0" borderId="0" xfId="0" applyNumberFormat="1" applyFont="1" applyFill="1" applyBorder="1"/>
    <xf numFmtId="0" fontId="4" fillId="0" borderId="0" xfId="0" applyFont="1" applyBorder="1" applyAlignment="1">
      <alignment horizontal="left" indent="1"/>
    </xf>
    <xf numFmtId="4" fontId="4" fillId="0" borderId="0" xfId="0" applyNumberFormat="1" applyFont="1" applyBorder="1"/>
    <xf numFmtId="37" fontId="48" fillId="6" borderId="0" xfId="0" applyNumberFormat="1" applyFont="1" applyFill="1"/>
    <xf numFmtId="0" fontId="15" fillId="6" borderId="27" xfId="0" applyFont="1" applyFill="1" applyBorder="1"/>
    <xf numFmtId="7" fontId="34" fillId="6" borderId="27" xfId="0" applyNumberFormat="1" applyFont="1" applyFill="1" applyBorder="1"/>
    <xf numFmtId="173" fontId="30" fillId="0" borderId="0" xfId="0" applyNumberFormat="1" applyFont="1" applyAlignment="1">
      <alignment horizontal="right" vertical="center"/>
    </xf>
    <xf numFmtId="0" fontId="15" fillId="0" borderId="49" xfId="0" applyFont="1" applyBorder="1"/>
    <xf numFmtId="0" fontId="15" fillId="0" borderId="50" xfId="0" applyFont="1" applyBorder="1"/>
    <xf numFmtId="7" fontId="49" fillId="0" borderId="51" xfId="0" applyNumberFormat="1" applyFont="1" applyBorder="1"/>
    <xf numFmtId="0" fontId="2" fillId="2" borderId="0" xfId="0" applyFont="1" applyFill="1" applyBorder="1" applyAlignment="1">
      <alignment horizontal="centerContinuous"/>
    </xf>
    <xf numFmtId="0" fontId="2" fillId="2" borderId="0" xfId="0" applyFont="1" applyFill="1" applyBorder="1" applyAlignment="1">
      <alignment horizontal="centerContinuous" vertical="center"/>
    </xf>
    <xf numFmtId="0" fontId="2" fillId="2" borderId="0"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0" borderId="0" xfId="0" applyFont="1" applyFill="1" applyBorder="1" applyAlignment="1">
      <alignment horizontal="left" vertical="center" wrapText="1"/>
    </xf>
    <xf numFmtId="0" fontId="2" fillId="0" borderId="0" xfId="0" applyFont="1" applyFill="1" applyBorder="1" applyAlignment="1">
      <alignment horizontal="centerContinuous" vertical="center"/>
    </xf>
    <xf numFmtId="0" fontId="45" fillId="0" borderId="0" xfId="0" applyFont="1" applyFill="1" applyBorder="1" applyAlignment="1">
      <alignment horizontal="center"/>
    </xf>
    <xf numFmtId="173" fontId="34" fillId="6" borderId="27" xfId="0" applyNumberFormat="1" applyFont="1" applyFill="1" applyBorder="1"/>
    <xf numFmtId="0" fontId="4" fillId="6" borderId="27" xfId="0" applyFont="1" applyFill="1" applyBorder="1"/>
    <xf numFmtId="173" fontId="11" fillId="0" borderId="0" xfId="0" applyNumberFormat="1" applyFont="1" applyAlignment="1">
      <alignment horizontal="right" vertical="center"/>
    </xf>
    <xf numFmtId="0" fontId="2" fillId="2" borderId="0" xfId="0" applyFont="1" applyFill="1" applyAlignment="1">
      <alignment horizontal="centerContinuous" vertical="center" wrapText="1"/>
    </xf>
    <xf numFmtId="0" fontId="2" fillId="2" borderId="0" xfId="0" applyFont="1" applyFill="1" applyAlignment="1">
      <alignment horizontal="left" vertical="center" wrapText="1"/>
    </xf>
    <xf numFmtId="0" fontId="2" fillId="2" borderId="0" xfId="0" applyFont="1" applyFill="1" applyAlignment="1">
      <alignment horizontal="left" vertical="center"/>
    </xf>
    <xf numFmtId="0" fontId="15" fillId="7" borderId="27" xfId="0" applyFont="1" applyFill="1" applyBorder="1"/>
    <xf numFmtId="191" fontId="15" fillId="7" borderId="27" xfId="0" applyNumberFormat="1" applyFont="1" applyFill="1" applyBorder="1"/>
    <xf numFmtId="191" fontId="32" fillId="0" borderId="0" xfId="0" applyNumberFormat="1" applyFont="1" applyAlignment="1">
      <alignment vertical="center"/>
    </xf>
    <xf numFmtId="191" fontId="32" fillId="0" borderId="0" xfId="0" applyNumberFormat="1" applyFont="1" applyBorder="1"/>
    <xf numFmtId="0" fontId="15" fillId="7" borderId="27" xfId="0" applyFont="1" applyFill="1" applyBorder="1" applyAlignment="1">
      <alignment vertical="center"/>
    </xf>
    <xf numFmtId="0" fontId="34" fillId="7" borderId="27" xfId="0" applyFont="1" applyFill="1" applyBorder="1" applyAlignment="1">
      <alignment vertical="center"/>
    </xf>
    <xf numFmtId="191" fontId="34" fillId="7" borderId="27" xfId="0" applyNumberFormat="1" applyFont="1" applyFill="1" applyBorder="1" applyAlignment="1">
      <alignment vertical="center"/>
    </xf>
    <xf numFmtId="0" fontId="2" fillId="0" borderId="0" xfId="0" applyFont="1" applyFill="1" applyAlignment="1">
      <alignment horizontal="left" vertical="center" wrapText="1"/>
    </xf>
    <xf numFmtId="0" fontId="2" fillId="0" borderId="0" xfId="0" applyFont="1" applyFill="1" applyAlignment="1">
      <alignment horizontal="centerContinuous" vertical="center" wrapText="1"/>
    </xf>
    <xf numFmtId="191" fontId="30" fillId="0" borderId="0" xfId="0" applyNumberFormat="1" applyFont="1" applyFill="1"/>
    <xf numFmtId="191" fontId="50" fillId="0" borderId="10" xfId="0" applyNumberFormat="1" applyFont="1" applyBorder="1" applyAlignment="1">
      <alignment horizontal="center"/>
    </xf>
    <xf numFmtId="191" fontId="50" fillId="0" borderId="0" xfId="0" applyNumberFormat="1" applyFont="1" applyAlignment="1">
      <alignment horizontal="center"/>
    </xf>
    <xf numFmtId="14" fontId="48" fillId="0" borderId="0" xfId="0" applyNumberFormat="1" applyFont="1" applyAlignment="1">
      <alignment horizontal="center"/>
    </xf>
    <xf numFmtId="0" fontId="2" fillId="0" borderId="0" xfId="0" applyFont="1" applyFill="1" applyAlignment="1">
      <alignment horizontal="left" vertical="center"/>
    </xf>
    <xf numFmtId="37" fontId="15" fillId="7" borderId="27" xfId="0" applyNumberFormat="1" applyFont="1" applyFill="1" applyBorder="1"/>
    <xf numFmtId="0" fontId="45" fillId="0" borderId="0" xfId="0" applyFont="1" applyAlignment="1">
      <alignment horizontal="center"/>
    </xf>
    <xf numFmtId="196" fontId="15" fillId="6" borderId="27" xfId="0" applyNumberFormat="1" applyFont="1" applyFill="1" applyBorder="1" applyAlignment="1">
      <alignment horizontal="right"/>
    </xf>
    <xf numFmtId="191" fontId="32" fillId="0" borderId="0" xfId="0" applyNumberFormat="1" applyFont="1" applyFill="1"/>
    <xf numFmtId="191" fontId="30" fillId="0" borderId="38" xfId="0" applyNumberFormat="1" applyFont="1" applyFill="1" applyBorder="1"/>
    <xf numFmtId="0" fontId="4" fillId="0" borderId="38" xfId="0" applyFont="1" applyFill="1" applyBorder="1"/>
    <xf numFmtId="177" fontId="32" fillId="0" borderId="0" xfId="0" applyNumberFormat="1" applyFont="1" applyFill="1"/>
    <xf numFmtId="177" fontId="32" fillId="0" borderId="38" xfId="0" applyNumberFormat="1" applyFont="1" applyFill="1" applyBorder="1"/>
    <xf numFmtId="191" fontId="32" fillId="0" borderId="38" xfId="0" applyNumberFormat="1" applyFont="1" applyFill="1" applyBorder="1"/>
    <xf numFmtId="0" fontId="4" fillId="0" borderId="0" xfId="0" applyFont="1" applyFill="1" applyAlignment="1">
      <alignment vertical="center"/>
    </xf>
    <xf numFmtId="176" fontId="30" fillId="0" borderId="35" xfId="0" applyNumberFormat="1" applyFont="1" applyFill="1" applyBorder="1" applyAlignment="1">
      <alignment vertical="center"/>
    </xf>
    <xf numFmtId="176" fontId="30" fillId="0" borderId="0" xfId="0" applyNumberFormat="1" applyFont="1" applyFill="1" applyAlignment="1">
      <alignment vertical="center"/>
    </xf>
    <xf numFmtId="0" fontId="15" fillId="0" borderId="0" xfId="0" applyFont="1" applyFill="1"/>
    <xf numFmtId="0" fontId="38" fillId="0" borderId="10" xfId="0" applyFont="1" applyBorder="1" applyAlignment="1">
      <alignment horizontal="centerContinuous"/>
    </xf>
    <xf numFmtId="191" fontId="34" fillId="6" borderId="27" xfId="0" applyNumberFormat="1" applyFont="1" applyFill="1" applyBorder="1"/>
    <xf numFmtId="191" fontId="34" fillId="7" borderId="52" xfId="0" applyNumberFormat="1" applyFont="1" applyFill="1" applyBorder="1"/>
    <xf numFmtId="191" fontId="34" fillId="7" borderId="27" xfId="0" applyNumberFormat="1" applyFont="1" applyFill="1" applyBorder="1"/>
    <xf numFmtId="167" fontId="10" fillId="20" borderId="0" xfId="1" applyNumberFormat="1" applyFont="1" applyFill="1" applyAlignment="1">
      <alignment horizontal="right" vertical="center"/>
    </xf>
    <xf numFmtId="37" fontId="12" fillId="0" borderId="0" xfId="0" applyNumberFormat="1" applyFont="1" applyFill="1"/>
    <xf numFmtId="176" fontId="4" fillId="0" borderId="0" xfId="0" applyNumberFormat="1" applyFont="1" applyFill="1"/>
    <xf numFmtId="177" fontId="12" fillId="0" borderId="0" xfId="0" applyNumberFormat="1" applyFont="1" applyFill="1"/>
    <xf numFmtId="0" fontId="35" fillId="0" borderId="0" xfId="0" applyFont="1" applyFill="1"/>
    <xf numFmtId="171" fontId="4" fillId="0" borderId="0" xfId="0" applyNumberFormat="1" applyFont="1" applyFill="1"/>
    <xf numFmtId="0" fontId="25" fillId="0" borderId="0" xfId="0" applyFont="1" applyFill="1" applyAlignment="1">
      <alignment horizontal="left" vertical="center" indent="1"/>
    </xf>
    <xf numFmtId="177" fontId="51" fillId="19" borderId="47" xfId="0" applyNumberFormat="1" applyFont="1" applyFill="1" applyBorder="1" applyAlignment="1">
      <alignment horizontal="center" vertical="center"/>
    </xf>
    <xf numFmtId="41" fontId="23" fillId="0" borderId="0" xfId="0" applyNumberFormat="1" applyFont="1" applyAlignment="1">
      <alignment horizontal="right" vertical="center" wrapText="1"/>
    </xf>
    <xf numFmtId="0" fontId="47" fillId="0" borderId="0" xfId="0" applyFont="1" applyAlignment="1">
      <alignment horizontal="left" vertical="center" indent="1"/>
    </xf>
  </cellXfs>
  <cellStyles count="7">
    <cellStyle name="%" xfId="3" xr:uid="{B2D0E839-0EB6-4A26-A036-4291FCE77A81}"/>
    <cellStyle name="******************************************" xfId="4" xr:uid="{7C8B12D3-B631-462E-992D-9CE2477EE747}"/>
    <cellStyle name="Comma" xfId="2" builtinId="3"/>
    <cellStyle name="Hyperlink" xfId="6" builtinId="8"/>
    <cellStyle name="Normal" xfId="0" builtinId="0"/>
    <cellStyle name="Normal_DCF_Model" xfId="5" xr:uid="{82C2EF57-1428-4F27-93CB-A7C5310C2F37}"/>
    <cellStyle name="Percent" xfId="1" builtinId="5"/>
  </cellStyles>
  <dxfs count="5">
    <dxf>
      <font>
        <b/>
        <i val="0"/>
      </font>
      <fill>
        <patternFill patternType="solid">
          <bgColor theme="2"/>
        </patternFill>
      </fill>
      <border>
        <left/>
        <right/>
        <top/>
        <bottom/>
      </border>
    </dxf>
    <dxf>
      <font>
        <color rgb="FF9C0006"/>
      </font>
      <fill>
        <patternFill>
          <bgColor rgb="FFFFC7CE"/>
        </patternFill>
      </fill>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s>
  <tableStyles count="0" defaultTableStyle="TableStyleMedium2" defaultPivotStyle="PivotStyleLight16"/>
  <colors>
    <mruColors>
      <color rgb="FF00B03C"/>
      <color rgb="FF0000CC"/>
      <color rgb="FF487B79"/>
      <color rgb="FF0E567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DCF Equity Valuation Range </a:t>
            </a:r>
          </a:p>
        </c:rich>
      </c:tx>
      <c:layout>
        <c:manualLayout>
          <c:xMode val="edge"/>
          <c:yMode val="edge"/>
          <c:x val="0.31291626892699836"/>
          <c:y val="0"/>
        </c:manualLayout>
      </c:layout>
      <c:overlay val="0"/>
    </c:title>
    <c:autoTitleDeleted val="0"/>
    <c:plotArea>
      <c:layout/>
      <c:barChart>
        <c:barDir val="col"/>
        <c:grouping val="stacked"/>
        <c:varyColors val="0"/>
        <c:ser>
          <c:idx val="0"/>
          <c:order val="0"/>
          <c:spPr>
            <a:noFill/>
          </c:spPr>
          <c:invertIfNegative val="0"/>
          <c:dLbls>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'[1]Integrated DCF Empty'!$B$128:$B$130</c:f>
              <c:strCache>
                <c:ptCount val="3"/>
                <c:pt idx="0">
                  <c:v>DCF Value at 11.0x-15.0x Exit EBITDA Range at 9.0% WACC</c:v>
                </c:pt>
                <c:pt idx="1">
                  <c:v>DCF Value at 2.0%-4.0% Perpetuity Range at 9.0% WACC</c:v>
                </c:pt>
                <c:pt idx="2">
                  <c:v>52 Week Market High/Low</c:v>
                </c:pt>
              </c:strCache>
            </c:strRef>
          </c:cat>
          <c:val>
            <c:numRef>
              <c:f>'[1]Integrated DCF Empty'!$C$128:$C$130</c:f>
              <c:numCache>
                <c:formatCode>#,##0.00_);\(#,##0.00\)</c:formatCode>
                <c:ptCount val="3"/>
                <c:pt idx="0">
                  <c:v>20.680633001583054</c:v>
                </c:pt>
                <c:pt idx="1">
                  <c:v>20.680633001583054</c:v>
                </c:pt>
                <c:pt idx="2">
                  <c:v>169.5</c:v>
                </c:pt>
              </c:numCache>
            </c:numRef>
          </c:val>
          <c:extLst>
            <c:ext xmlns:c16="http://schemas.microsoft.com/office/drawing/2014/chart" uri="{C3380CC4-5D6E-409C-BE32-E72D297353CC}">
              <c16:uniqueId val="{00000000-798B-4D7B-A8BB-5FCC91725BB4}"/>
            </c:ext>
          </c:extLst>
        </c:ser>
        <c:ser>
          <c:idx val="1"/>
          <c:order val="1"/>
          <c:invertIfNegative val="0"/>
          <c:cat>
            <c:strRef>
              <c:f>'[1]Integrated DCF Empty'!$B$128:$B$130</c:f>
              <c:strCache>
                <c:ptCount val="3"/>
                <c:pt idx="0">
                  <c:v>DCF Value at 11.0x-15.0x Exit EBITDA Range at 9.0% WACC</c:v>
                </c:pt>
                <c:pt idx="1">
                  <c:v>DCF Value at 2.0%-4.0% Perpetuity Range at 9.0% WACC</c:v>
                </c:pt>
                <c:pt idx="2">
                  <c:v>52 Week Market High/Low</c:v>
                </c:pt>
              </c:strCache>
            </c:strRef>
          </c:cat>
          <c:val>
            <c:numRef>
              <c:f>'[1]Integrated DCF Empty'!$D$128:$D$130</c:f>
              <c:numCache>
                <c:formatCode>#,##0.00_);\(#,##0.00\)</c:formatCode>
                <c:ptCount val="3"/>
                <c:pt idx="0">
                  <c:v>0</c:v>
                </c:pt>
                <c:pt idx="1">
                  <c:v>0</c:v>
                </c:pt>
                <c:pt idx="2">
                  <c:v>158.35000000000002</c:v>
                </c:pt>
              </c:numCache>
            </c:numRef>
          </c:val>
          <c:extLst>
            <c:ext xmlns:c16="http://schemas.microsoft.com/office/drawing/2014/chart" uri="{C3380CC4-5D6E-409C-BE32-E72D297353CC}">
              <c16:uniqueId val="{00000001-798B-4D7B-A8BB-5FCC91725BB4}"/>
            </c:ext>
          </c:extLst>
        </c:ser>
        <c:ser>
          <c:idx val="2"/>
          <c:order val="2"/>
          <c:spPr>
            <a:noFill/>
          </c:spPr>
          <c:invertIfNegative val="0"/>
          <c:dLbls>
            <c:spPr>
              <a:noFill/>
              <a:ln>
                <a:noFill/>
              </a:ln>
              <a:effectLst/>
            </c:sp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'[1]Integrated DCF Empty'!$B$128:$B$130</c:f>
              <c:strCache>
                <c:ptCount val="3"/>
                <c:pt idx="0">
                  <c:v>DCF Value at 11.0x-15.0x Exit EBITDA Range at 9.0% WACC</c:v>
                </c:pt>
                <c:pt idx="1">
                  <c:v>DCF Value at 2.0%-4.0% Perpetuity Range at 9.0% WACC</c:v>
                </c:pt>
                <c:pt idx="2">
                  <c:v>52 Week Market High/Low</c:v>
                </c:pt>
              </c:strCache>
            </c:strRef>
          </c:cat>
          <c:val>
            <c:numRef>
              <c:f>'[1]Integrated DCF Empty'!$E$128:$E$130</c:f>
              <c:numCache>
                <c:formatCode>#,##0.00_);\(#,##0.00\)</c:formatCode>
                <c:ptCount val="3"/>
                <c:pt idx="0">
                  <c:v>20.680633001583054</c:v>
                </c:pt>
                <c:pt idx="1">
                  <c:v>20.680633001583054</c:v>
                </c:pt>
                <c:pt idx="2">
                  <c:v>327.85</c:v>
                </c:pt>
              </c:numCache>
            </c:numRef>
          </c:val>
          <c:extLst>
            <c:ext xmlns:c16="http://schemas.microsoft.com/office/drawing/2014/chart" uri="{C3380CC4-5D6E-409C-BE32-E72D297353CC}">
              <c16:uniqueId val="{00000002-798B-4D7B-A8BB-5FCC91725BB4}"/>
            </c:ext>
          </c:extLst>
        </c:ser>
        <c:dLbls>
          <c:showLegendKey val="0"/>
          <c:showVal val="0"/>
          <c:showCatName val="0"/>
          <c:showSerName val="0"/>
          <c:showPercent val="0"/>
          <c:showBubbleSize val="0"/>
        </c:dLbls>
        <c:gapWidth val="150"/>
        <c:overlap val="100"/>
        <c:axId val="99639680"/>
        <c:axId val="99641216"/>
      </c:barChart>
      <c:catAx>
        <c:axId val="99639680"/>
        <c:scaling>
          <c:orientation val="minMax"/>
        </c:scaling>
        <c:delete val="0"/>
        <c:axPos val="b"/>
        <c:numFmt formatCode="General" sourceLinked="0"/>
        <c:majorTickMark val="out"/>
        <c:minorTickMark val="none"/>
        <c:tickLblPos val="nextTo"/>
        <c:crossAx val="99641216"/>
        <c:crosses val="autoZero"/>
        <c:auto val="1"/>
        <c:lblAlgn val="ctr"/>
        <c:lblOffset val="100"/>
        <c:noMultiLvlLbl val="0"/>
      </c:catAx>
      <c:valAx>
        <c:axId val="99641216"/>
        <c:scaling>
          <c:orientation val="minMax"/>
          <c:max val="400"/>
          <c:min val="100"/>
        </c:scaling>
        <c:delete val="0"/>
        <c:axPos val="l"/>
        <c:numFmt formatCode="#,##0.00_);\(#,##0.00\)" sourceLinked="1"/>
        <c:majorTickMark val="out"/>
        <c:minorTickMark val="none"/>
        <c:tickLblPos val="nextTo"/>
        <c:crossAx val="99639680"/>
        <c:crosses val="autoZero"/>
        <c:crossBetween val="between"/>
      </c:valAx>
    </c:plotArea>
    <c:plotVisOnly val="1"/>
    <c:dispBlanksAs val="gap"/>
    <c:showDLblsOverMax val="0"/>
  </c:chart>
  <c:spPr>
    <a:ln>
      <a:noFill/>
    </a:ln>
  </c:spPr>
  <c:txPr>
    <a:bodyPr/>
    <a:lstStyle/>
    <a:p>
      <a:pPr>
        <a:defRPr sz="900">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a:pPr>
            <a:r>
              <a:rPr lang="en-US" sz="900"/>
              <a:t>LTM EBITDA Multiple Range</a:t>
            </a:r>
          </a:p>
        </c:rich>
      </c:tx>
      <c:layout>
        <c:manualLayout>
          <c:xMode val="edge"/>
          <c:yMode val="edge"/>
          <c:x val="0.31291626892699836"/>
          <c:y val="0"/>
        </c:manualLayout>
      </c:layout>
      <c:overlay val="0"/>
    </c:title>
    <c:autoTitleDeleted val="0"/>
    <c:plotArea>
      <c:layout/>
      <c:barChart>
        <c:barDir val="col"/>
        <c:grouping val="stacked"/>
        <c:varyColors val="0"/>
        <c:ser>
          <c:idx val="0"/>
          <c:order val="0"/>
          <c:spPr>
            <a:noFill/>
          </c:spPr>
          <c:invertIfNegative val="0"/>
          <c:dLbls>
            <c:numFmt formatCode="#,##0.0\x;\-#,##0.0\x" sourceLinked="0"/>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'[1]Integrated DCF Empty'!$G$128:$G$130</c:f>
              <c:strCache>
                <c:ptCount val="3"/>
                <c:pt idx="0">
                  <c:v>LTM EBITDA Purchase Multiple at 2.0%-4.0% Perpetuity Growth at 9.0% WACC</c:v>
                </c:pt>
                <c:pt idx="1">
                  <c:v>#DIV/0!</c:v>
                </c:pt>
                <c:pt idx="2">
                  <c:v>LTM EBITDA Purchase Multiple at 7.0%-11.0% WACC at 13.0x Exit EBITDA</c:v>
                </c:pt>
              </c:strCache>
            </c:strRef>
          </c:cat>
          <c:val>
            <c:numRef>
              <c:f>'[1]Integrated DCF Empty'!$O$128:$O$130</c:f>
              <c:numCache>
                <c:formatCode>#,##0.00_);\(#,##0.00\)</c:formatCode>
                <c:ptCount val="3"/>
                <c:pt idx="0">
                  <c:v>0</c:v>
                </c:pt>
                <c:pt idx="1">
                  <c:v>0</c:v>
                </c:pt>
                <c:pt idx="2">
                  <c:v>0</c:v>
                </c:pt>
              </c:numCache>
            </c:numRef>
          </c:val>
          <c:extLst>
            <c:ext xmlns:c16="http://schemas.microsoft.com/office/drawing/2014/chart" uri="{C3380CC4-5D6E-409C-BE32-E72D297353CC}">
              <c16:uniqueId val="{00000000-54D9-436E-9E1B-1B378FFDFC98}"/>
            </c:ext>
          </c:extLst>
        </c:ser>
        <c:ser>
          <c:idx val="1"/>
          <c:order val="1"/>
          <c:spPr>
            <a:solidFill>
              <a:schemeClr val="tx2"/>
            </a:solidFill>
          </c:spPr>
          <c:invertIfNegative val="0"/>
          <c:cat>
            <c:strRef>
              <c:f>'[1]Integrated DCF Empty'!$G$128:$G$130</c:f>
              <c:strCache>
                <c:ptCount val="3"/>
                <c:pt idx="0">
                  <c:v>LTM EBITDA Purchase Multiple at 2.0%-4.0% Perpetuity Growth at 9.0% WACC</c:v>
                </c:pt>
                <c:pt idx="1">
                  <c:v>#DIV/0!</c:v>
                </c:pt>
                <c:pt idx="2">
                  <c:v>LTM EBITDA Purchase Multiple at 7.0%-11.0% WACC at 13.0x Exit EBITDA</c:v>
                </c:pt>
              </c:strCache>
            </c:strRef>
          </c:cat>
          <c:val>
            <c:numRef>
              <c:f>'[1]Integrated DCF Empty'!$P$128:$P$130</c:f>
              <c:numCache>
                <c:formatCode>#,##0.00_);\(#,##0.00\)</c:formatCode>
                <c:ptCount val="3"/>
                <c:pt idx="0">
                  <c:v>0</c:v>
                </c:pt>
                <c:pt idx="1">
                  <c:v>0</c:v>
                </c:pt>
                <c:pt idx="2">
                  <c:v>0</c:v>
                </c:pt>
              </c:numCache>
            </c:numRef>
          </c:val>
          <c:extLst>
            <c:ext xmlns:c16="http://schemas.microsoft.com/office/drawing/2014/chart" uri="{C3380CC4-5D6E-409C-BE32-E72D297353CC}">
              <c16:uniqueId val="{00000001-54D9-436E-9E1B-1B378FFDFC98}"/>
            </c:ext>
          </c:extLst>
        </c:ser>
        <c:ser>
          <c:idx val="2"/>
          <c:order val="2"/>
          <c:spPr>
            <a:noFill/>
          </c:spPr>
          <c:invertIfNegative val="0"/>
          <c:dLbls>
            <c:numFmt formatCode="#,##0.0\x;\-#,##0.0\x" sourceLinked="0"/>
            <c:spPr>
              <a:noFill/>
              <a:ln>
                <a:noFill/>
              </a:ln>
              <a:effectLst/>
            </c:sp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'[1]Integrated DCF Empty'!$G$128:$G$130</c:f>
              <c:strCache>
                <c:ptCount val="3"/>
                <c:pt idx="0">
                  <c:v>LTM EBITDA Purchase Multiple at 2.0%-4.0% Perpetuity Growth at 9.0% WACC</c:v>
                </c:pt>
                <c:pt idx="1">
                  <c:v>#DIV/0!</c:v>
                </c:pt>
                <c:pt idx="2">
                  <c:v>LTM EBITDA Purchase Multiple at 7.0%-11.0% WACC at 13.0x Exit EBITDA</c:v>
                </c:pt>
              </c:strCache>
            </c:strRef>
          </c:cat>
          <c:val>
            <c:numRef>
              <c:f>'[1]Integrated DCF Empty'!$Q$128:$Q$130</c:f>
              <c:numCache>
                <c:formatCode>#,##0.00_);\(#,##0.00\)</c:formatCode>
                <c:ptCount val="3"/>
                <c:pt idx="0">
                  <c:v>0</c:v>
                </c:pt>
                <c:pt idx="1">
                  <c:v>0</c:v>
                </c:pt>
                <c:pt idx="2">
                  <c:v>0</c:v>
                </c:pt>
              </c:numCache>
            </c:numRef>
          </c:val>
          <c:extLst>
            <c:ext xmlns:c16="http://schemas.microsoft.com/office/drawing/2014/chart" uri="{C3380CC4-5D6E-409C-BE32-E72D297353CC}">
              <c16:uniqueId val="{00000002-54D9-436E-9E1B-1B378FFDFC98}"/>
            </c:ext>
          </c:extLst>
        </c:ser>
        <c:dLbls>
          <c:showLegendKey val="0"/>
          <c:showVal val="0"/>
          <c:showCatName val="0"/>
          <c:showSerName val="0"/>
          <c:showPercent val="0"/>
          <c:showBubbleSize val="0"/>
        </c:dLbls>
        <c:gapWidth val="150"/>
        <c:overlap val="100"/>
        <c:axId val="99639680"/>
        <c:axId val="99641216"/>
      </c:barChart>
      <c:catAx>
        <c:axId val="99639680"/>
        <c:scaling>
          <c:orientation val="minMax"/>
        </c:scaling>
        <c:delete val="0"/>
        <c:axPos val="b"/>
        <c:numFmt formatCode="General" sourceLinked="0"/>
        <c:majorTickMark val="out"/>
        <c:minorTickMark val="none"/>
        <c:tickLblPos val="nextTo"/>
        <c:crossAx val="99641216"/>
        <c:crosses val="autoZero"/>
        <c:auto val="1"/>
        <c:lblAlgn val="ctr"/>
        <c:lblOffset val="100"/>
        <c:noMultiLvlLbl val="0"/>
      </c:catAx>
      <c:valAx>
        <c:axId val="99641216"/>
        <c:scaling>
          <c:orientation val="minMax"/>
          <c:max val="20"/>
          <c:min val="10"/>
        </c:scaling>
        <c:delete val="0"/>
        <c:axPos val="l"/>
        <c:numFmt formatCode="#,##0.0\x;\-#,##0.0\x" sourceLinked="0"/>
        <c:majorTickMark val="out"/>
        <c:minorTickMark val="none"/>
        <c:tickLblPos val="nextTo"/>
        <c:crossAx val="99639680"/>
        <c:crosses val="autoZero"/>
        <c:crossBetween val="between"/>
      </c:valAx>
    </c:plotArea>
    <c:plotVisOnly val="1"/>
    <c:dispBlanksAs val="gap"/>
    <c:showDLblsOverMax val="0"/>
  </c:chart>
  <c:spPr>
    <a:ln>
      <a:noFill/>
    </a:ln>
  </c:spPr>
  <c:txPr>
    <a:bodyPr/>
    <a:lstStyle/>
    <a:p>
      <a:pPr>
        <a:defRPr sz="900">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53578</xdr:colOff>
      <xdr:row>110</xdr:row>
      <xdr:rowOff>149424</xdr:rowOff>
    </xdr:from>
    <xdr:to>
      <xdr:col>4</xdr:col>
      <xdr:colOff>654844</xdr:colOff>
      <xdr:row>129</xdr:row>
      <xdr:rowOff>53578</xdr:rowOff>
    </xdr:to>
    <xdr:graphicFrame macro="">
      <xdr:nvGraphicFramePr>
        <xdr:cNvPr id="2" name="Chart 1">
          <a:extLst>
            <a:ext uri="{FF2B5EF4-FFF2-40B4-BE49-F238E27FC236}">
              <a16:creationId xmlns:a16="http://schemas.microsoft.com/office/drawing/2014/main" id="{5AB26EB3-2259-42F5-8869-FD56CD6E68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47228</xdr:colOff>
      <xdr:row>110</xdr:row>
      <xdr:rowOff>149424</xdr:rowOff>
    </xdr:from>
    <xdr:to>
      <xdr:col>15</xdr:col>
      <xdr:colOff>657225</xdr:colOff>
      <xdr:row>129</xdr:row>
      <xdr:rowOff>47228</xdr:rowOff>
    </xdr:to>
    <xdr:graphicFrame macro="">
      <xdr:nvGraphicFramePr>
        <xdr:cNvPr id="3" name="Chart 2">
          <a:extLst>
            <a:ext uri="{FF2B5EF4-FFF2-40B4-BE49-F238E27FC236}">
              <a16:creationId xmlns:a16="http://schemas.microsoft.com/office/drawing/2014/main" id="{5E518025-7C3E-418F-9001-E2CCB020E7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Felix\AppData\Local\Temp\4819e2e9-aa78-4b81-b055-71c9923ae613_DCF-Modeling-Course-DL-Kit%20(7).zip.613\DCF%20Model.xlsx" TargetMode="External"/><Relationship Id="rId1" Type="http://schemas.openxmlformats.org/officeDocument/2006/relationships/externalLinkPath" Target="/Users/Felix/AppData/Local/Temp/4819e2e9-aa78-4b81-b055-71c9923ae613_DCF-Modeling-Course-DL-Kit%20(7).zip.613/DCF%20Mod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inancials "/>
      <sheetName val="Simple DCF Empty"/>
      <sheetName val="Simple DCF Done"/>
      <sheetName val="WACC Empty"/>
      <sheetName val="WACC Done"/>
      <sheetName val="Shares Empty"/>
      <sheetName val="Shares"/>
      <sheetName val="DCF 1-Pager"/>
      <sheetName val="2019 FSM Update Complete"/>
      <sheetName val="Integrated DCF Empty"/>
      <sheetName val="Integrated DCF"/>
    </sheetNames>
    <sheetDataSet>
      <sheetData sheetId="0"/>
      <sheetData sheetId="1"/>
      <sheetData sheetId="2">
        <row r="5">
          <cell r="H5">
            <v>273.52</v>
          </cell>
        </row>
        <row r="22">
          <cell r="I22">
            <v>0.17299999999999999</v>
          </cell>
        </row>
        <row r="61">
          <cell r="I61">
            <v>4471.5</v>
          </cell>
        </row>
      </sheetData>
      <sheetData sheetId="3"/>
      <sheetData sheetId="4"/>
      <sheetData sheetId="5"/>
      <sheetData sheetId="6">
        <row r="25">
          <cell r="E25">
            <v>14543</v>
          </cell>
        </row>
        <row r="31">
          <cell r="E31">
            <v>-14543</v>
          </cell>
        </row>
        <row r="34">
          <cell r="E34">
            <v>34654</v>
          </cell>
        </row>
        <row r="41">
          <cell r="E41">
            <v>-34654</v>
          </cell>
        </row>
      </sheetData>
      <sheetData sheetId="7"/>
      <sheetData sheetId="8"/>
      <sheetData sheetId="9">
        <row r="128">
          <cell r="B128" t="str">
            <v>DCF Value at 11.0x-15.0x Exit EBITDA Range at 9.0% WACC</v>
          </cell>
          <cell r="C128">
            <v>20.680633001583054</v>
          </cell>
          <cell r="D128">
            <v>0</v>
          </cell>
          <cell r="E128">
            <v>20.680633001583054</v>
          </cell>
          <cell r="G128" t="str">
            <v>LTM EBITDA Purchase Multiple at 2.0%-4.0% Perpetuity Growth at 9.0% WACC</v>
          </cell>
          <cell r="O128" t="e">
            <v>#DIV/0!</v>
          </cell>
          <cell r="P128" t="e">
            <v>#DIV/0!</v>
          </cell>
          <cell r="Q128" t="e">
            <v>#DIV/0!</v>
          </cell>
        </row>
        <row r="129">
          <cell r="B129" t="str">
            <v>DCF Value at 2.0%-4.0% Perpetuity Range at 9.0% WACC</v>
          </cell>
          <cell r="C129">
            <v>20.680633001583054</v>
          </cell>
          <cell r="D129">
            <v>0</v>
          </cell>
          <cell r="E129">
            <v>20.680633001583054</v>
          </cell>
          <cell r="G129" t="e">
            <v>#DIV/0!</v>
          </cell>
          <cell r="O129" t="e">
            <v>#DIV/0!</v>
          </cell>
          <cell r="P129" t="e">
            <v>#DIV/0!</v>
          </cell>
          <cell r="Q129" t="e">
            <v>#DIV/0!</v>
          </cell>
        </row>
        <row r="130">
          <cell r="B130" t="str">
            <v>52 Week Market High/Low</v>
          </cell>
          <cell r="C130">
            <v>169.5</v>
          </cell>
          <cell r="D130">
            <v>158.35000000000002</v>
          </cell>
          <cell r="E130">
            <v>327.85</v>
          </cell>
          <cell r="G130" t="str">
            <v>LTM EBITDA Purchase Multiple at 7.0%-11.0% WACC at 13.0x Exit EBITDA</v>
          </cell>
          <cell r="O130" t="e">
            <v>#DIV/0!</v>
          </cell>
          <cell r="P130" t="e">
            <v>#DIV/0!</v>
          </cell>
          <cell r="Q130" t="e">
            <v>#DIV/0!</v>
          </cell>
        </row>
      </sheetData>
      <sheetData sheetId="10"/>
    </sheetDataSet>
  </externalBook>
</externalLink>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7A1EF-DD86-43F0-AF53-6181CD7220DC}">
  <sheetPr>
    <tabColor rgb="FF002060"/>
  </sheetPr>
  <dimension ref="A2:AO144"/>
  <sheetViews>
    <sheetView showGridLines="0" topLeftCell="A97" zoomScaleNormal="100" workbookViewId="0">
      <selection activeCell="AQ120" sqref="AQ120"/>
    </sheetView>
  </sheetViews>
  <sheetFormatPr defaultRowHeight="12" outlineLevelCol="1"/>
  <cols>
    <col min="1" max="1" width="1.625" style="5" bestFit="1" customWidth="1"/>
    <col min="2" max="2" width="43.25" style="5" bestFit="1" customWidth="1"/>
    <col min="3" max="8" width="8.625" style="5" hidden="1" customWidth="1" outlineLevel="1"/>
    <col min="9" max="9" width="8.75" style="5" bestFit="1" customWidth="1" collapsed="1"/>
    <col min="10" max="10" width="8.75" style="5" bestFit="1" customWidth="1"/>
    <col min="11" max="11" width="9.5" style="5" bestFit="1" customWidth="1"/>
    <col min="12" max="12" width="1.5" style="5" customWidth="1"/>
    <col min="13" max="13" width="8.625" style="5" hidden="1" customWidth="1" outlineLevel="1"/>
    <col min="14" max="15" width="7.875" style="5" hidden="1" customWidth="1" outlineLevel="1"/>
    <col min="16" max="17" width="8.625" style="5" hidden="1" customWidth="1" outlineLevel="1"/>
    <col min="18" max="18" width="8" style="5" hidden="1" customWidth="1" outlineLevel="1"/>
    <col min="19" max="19" width="8.25" style="5" hidden="1" customWidth="1" outlineLevel="1"/>
    <col min="20" max="22" width="8.625" style="5" hidden="1" customWidth="1" outlineLevel="1"/>
    <col min="23" max="23" width="8.75" style="5" bestFit="1" customWidth="1" collapsed="1"/>
    <col min="24" max="27" width="9.5" style="5" bestFit="1" customWidth="1"/>
    <col min="28" max="28" width="1.5" style="5" customWidth="1"/>
    <col min="29" max="34" width="9" style="5" hidden="1" customWidth="1" outlineLevel="1"/>
    <col min="35" max="35" width="9" style="5" bestFit="1" customWidth="1" collapsed="1"/>
    <col min="36" max="38" width="9" style="5" hidden="1" customWidth="1" outlineLevel="1"/>
    <col min="39" max="39" width="9" style="5" bestFit="1" customWidth="1" collapsed="1"/>
    <col min="40" max="40" width="1.25" style="5" customWidth="1"/>
    <col min="41" max="41" width="8.125" style="5" bestFit="1" customWidth="1"/>
    <col min="42" max="42" width="1.375" style="5" customWidth="1"/>
    <col min="43" max="16384" width="9" style="5"/>
  </cols>
  <sheetData>
    <row r="2" spans="1:41" ht="12.75" customHeight="1">
      <c r="B2" s="1" t="s">
        <v>283</v>
      </c>
      <c r="C2" s="405"/>
      <c r="D2" s="405"/>
      <c r="E2" s="405"/>
      <c r="F2" s="405"/>
      <c r="G2" s="405"/>
      <c r="H2" s="405"/>
      <c r="I2" s="405"/>
      <c r="J2" s="405"/>
      <c r="K2" s="405"/>
      <c r="L2" s="406"/>
      <c r="M2" s="405"/>
      <c r="N2" s="405"/>
      <c r="O2" s="405"/>
      <c r="P2" s="405"/>
      <c r="Q2" s="405"/>
      <c r="R2" s="405"/>
      <c r="S2" s="405"/>
      <c r="T2" s="405"/>
      <c r="U2" s="405"/>
      <c r="V2" s="405"/>
      <c r="W2" s="405"/>
      <c r="X2" s="405"/>
      <c r="Y2" s="405"/>
      <c r="Z2" s="405"/>
      <c r="AA2" s="405"/>
      <c r="AB2" s="406"/>
      <c r="AC2" s="405"/>
      <c r="AD2" s="405"/>
      <c r="AE2" s="405"/>
      <c r="AF2" s="405"/>
      <c r="AG2" s="405"/>
      <c r="AH2" s="405"/>
      <c r="AI2" s="405"/>
      <c r="AJ2" s="405"/>
      <c r="AK2" s="405"/>
      <c r="AL2" s="405"/>
      <c r="AM2" s="405"/>
      <c r="AN2" s="406"/>
      <c r="AO2" s="1"/>
    </row>
    <row r="3" spans="1:41" ht="12.75" customHeight="1">
      <c r="B3" s="6" t="s">
        <v>515</v>
      </c>
      <c r="C3" s="7"/>
      <c r="D3" s="407"/>
      <c r="E3" s="407"/>
      <c r="F3" s="407"/>
      <c r="G3" s="407"/>
      <c r="H3" s="407"/>
      <c r="I3" s="407"/>
      <c r="J3" s="407"/>
      <c r="K3" s="407"/>
      <c r="L3" s="406"/>
      <c r="M3" s="408"/>
      <c r="N3" s="408"/>
      <c r="O3" s="408"/>
      <c r="P3" s="408"/>
      <c r="Q3" s="408"/>
      <c r="R3" s="408"/>
      <c r="S3" s="408"/>
      <c r="T3" s="408"/>
      <c r="U3" s="408"/>
      <c r="V3" s="408"/>
      <c r="W3" s="408"/>
      <c r="X3" s="408"/>
      <c r="Y3" s="408"/>
      <c r="Z3" s="408"/>
      <c r="AA3" s="408"/>
      <c r="AB3" s="406"/>
      <c r="AC3" s="408"/>
      <c r="AD3" s="408"/>
      <c r="AE3" s="408"/>
      <c r="AF3" s="408"/>
      <c r="AG3" s="408"/>
      <c r="AH3" s="408"/>
      <c r="AI3" s="408"/>
      <c r="AJ3" s="408"/>
      <c r="AK3" s="408"/>
      <c r="AL3" s="408"/>
      <c r="AM3" s="408"/>
      <c r="AN3" s="406"/>
      <c r="AO3" s="1"/>
    </row>
    <row r="4" spans="1:41" ht="12.75" customHeight="1">
      <c r="B4" s="6" t="s">
        <v>504</v>
      </c>
      <c r="C4" s="3"/>
      <c r="D4" s="406"/>
      <c r="E4" s="406"/>
      <c r="F4" s="406"/>
      <c r="G4" s="406"/>
      <c r="H4" s="406"/>
      <c r="I4" s="406"/>
      <c r="J4" s="409"/>
      <c r="K4" s="406"/>
      <c r="L4" s="406"/>
      <c r="M4" s="406"/>
      <c r="N4" s="406"/>
      <c r="O4" s="406"/>
      <c r="P4" s="406"/>
      <c r="Q4" s="406"/>
      <c r="R4" s="406"/>
      <c r="S4" s="406"/>
      <c r="T4" s="406"/>
      <c r="U4" s="406"/>
      <c r="V4" s="406"/>
      <c r="W4" s="406"/>
      <c r="X4" s="406"/>
      <c r="Y4" s="406"/>
      <c r="Z4" s="406"/>
      <c r="AA4" s="406"/>
      <c r="AB4" s="406"/>
      <c r="AC4" s="406"/>
      <c r="AD4" s="406"/>
      <c r="AE4" s="406"/>
      <c r="AF4" s="406"/>
      <c r="AG4" s="406"/>
      <c r="AH4" s="406"/>
      <c r="AI4" s="406"/>
      <c r="AJ4" s="406"/>
      <c r="AK4" s="406"/>
      <c r="AL4" s="406"/>
      <c r="AM4" s="406"/>
      <c r="AN4" s="406"/>
      <c r="AO4" s="1"/>
    </row>
    <row r="10" spans="1:41" ht="12.75" customHeight="1">
      <c r="A10" s="5" t="s">
        <v>25</v>
      </c>
      <c r="B10" s="1" t="s">
        <v>508</v>
      </c>
      <c r="C10" s="2" t="s">
        <v>0</v>
      </c>
      <c r="D10" s="2"/>
      <c r="E10" s="2"/>
      <c r="F10" s="2"/>
      <c r="G10" s="2"/>
      <c r="H10" s="2"/>
      <c r="I10" s="2"/>
      <c r="J10" s="2"/>
      <c r="K10" s="2"/>
      <c r="L10" s="3"/>
      <c r="M10" s="2" t="s">
        <v>1</v>
      </c>
      <c r="N10" s="2"/>
      <c r="O10" s="2"/>
      <c r="P10" s="2"/>
      <c r="Q10" s="2"/>
      <c r="R10" s="2"/>
      <c r="S10" s="2" t="s">
        <v>1</v>
      </c>
      <c r="T10" s="2"/>
      <c r="U10" s="2"/>
      <c r="V10" s="2" t="s">
        <v>1</v>
      </c>
      <c r="W10" s="2" t="s">
        <v>1</v>
      </c>
      <c r="X10" s="2"/>
      <c r="Y10" s="2"/>
      <c r="Z10" s="2"/>
      <c r="AA10" s="2"/>
      <c r="AB10" s="3"/>
      <c r="AC10" s="2"/>
      <c r="AD10" s="2"/>
      <c r="AE10" s="2"/>
      <c r="AF10" s="2"/>
      <c r="AG10" s="2"/>
      <c r="AH10" s="2"/>
      <c r="AI10" s="2" t="s">
        <v>10</v>
      </c>
      <c r="AJ10" s="2"/>
      <c r="AK10" s="2"/>
      <c r="AL10" s="2"/>
      <c r="AM10" s="2"/>
      <c r="AN10" s="43"/>
      <c r="AO10" s="352" t="s">
        <v>38</v>
      </c>
    </row>
    <row r="11" spans="1:41" ht="12.75" customHeight="1">
      <c r="B11" s="6" t="s">
        <v>516</v>
      </c>
      <c r="C11" s="7">
        <v>2016</v>
      </c>
      <c r="D11" s="7">
        <v>2017</v>
      </c>
      <c r="E11" s="7">
        <v>2018</v>
      </c>
      <c r="F11" s="7">
        <v>2019</v>
      </c>
      <c r="G11" s="7">
        <v>2020</v>
      </c>
      <c r="H11" s="7">
        <v>2021</v>
      </c>
      <c r="I11" s="7">
        <v>2022</v>
      </c>
      <c r="J11" s="7">
        <v>2023</v>
      </c>
      <c r="K11" s="7">
        <v>2024</v>
      </c>
      <c r="L11" s="3"/>
      <c r="M11" s="4" t="s">
        <v>40</v>
      </c>
      <c r="N11" s="4" t="s">
        <v>41</v>
      </c>
      <c r="O11" s="4" t="s">
        <v>42</v>
      </c>
      <c r="P11" s="4" t="s">
        <v>43</v>
      </c>
      <c r="Q11" s="4" t="s">
        <v>6</v>
      </c>
      <c r="R11" s="4" t="s">
        <v>7</v>
      </c>
      <c r="S11" s="4" t="s">
        <v>8</v>
      </c>
      <c r="T11" s="4" t="s">
        <v>9</v>
      </c>
      <c r="U11" s="4" t="s">
        <v>2</v>
      </c>
      <c r="V11" s="4" t="s">
        <v>3</v>
      </c>
      <c r="W11" s="4" t="s">
        <v>4</v>
      </c>
      <c r="X11" s="4" t="s">
        <v>5</v>
      </c>
      <c r="Y11" s="4" t="s">
        <v>44</v>
      </c>
      <c r="Z11" s="4" t="s">
        <v>45</v>
      </c>
      <c r="AA11" s="4" t="s">
        <v>105</v>
      </c>
      <c r="AB11" s="3"/>
      <c r="AC11" s="4" t="str">
        <f t="shared" ref="AC11:AC12" si="0">Q11</f>
        <v>1Q23</v>
      </c>
      <c r="AD11" s="4" t="str">
        <f t="shared" ref="AD11:AD12" si="1">R11</f>
        <v>2Q23</v>
      </c>
      <c r="AE11" s="4" t="str">
        <f t="shared" ref="AE11:AE12" si="2">S11</f>
        <v>3Q23</v>
      </c>
      <c r="AF11" s="4" t="str">
        <f t="shared" ref="AF11:AF12" si="3">T11</f>
        <v>4Q23</v>
      </c>
      <c r="AG11" s="4" t="str">
        <f t="shared" ref="AG11:AG12" si="4">U11</f>
        <v>1Q24</v>
      </c>
      <c r="AH11" s="4" t="str">
        <f t="shared" ref="AH11:AH12" si="5">V11</f>
        <v>2Q24</v>
      </c>
      <c r="AI11" s="4" t="str">
        <f t="shared" ref="AI11:AI12" si="6">W11</f>
        <v>3Q24</v>
      </c>
      <c r="AJ11" s="4" t="str">
        <f t="shared" ref="AJ11:AJ12" si="7">X11</f>
        <v>4Q24</v>
      </c>
      <c r="AK11" s="4" t="str">
        <f t="shared" ref="AK11:AK12" si="8">Y11</f>
        <v>1Q25</v>
      </c>
      <c r="AL11" s="4" t="str">
        <f t="shared" ref="AL11:AL12" si="9">Z11</f>
        <v>2Q25</v>
      </c>
      <c r="AM11" s="4" t="str">
        <f>AA11</f>
        <v>3Q25</v>
      </c>
      <c r="AN11" s="43"/>
      <c r="AO11" s="352"/>
    </row>
    <row r="12" spans="1:41" ht="12.75" customHeight="1">
      <c r="B12" s="6" t="s">
        <v>517</v>
      </c>
      <c r="C12" s="3">
        <v>42643</v>
      </c>
      <c r="D12" s="3">
        <v>43008</v>
      </c>
      <c r="E12" s="3">
        <v>43372</v>
      </c>
      <c r="F12" s="3">
        <v>43737</v>
      </c>
      <c r="G12" s="3">
        <v>44104</v>
      </c>
      <c r="H12" s="3">
        <v>44469</v>
      </c>
      <c r="I12" s="3">
        <v>44834</v>
      </c>
      <c r="J12" s="177">
        <v>45192</v>
      </c>
      <c r="K12" s="3">
        <v>45559</v>
      </c>
      <c r="L12" s="3"/>
      <c r="M12" s="3">
        <v>44560</v>
      </c>
      <c r="N12" s="3">
        <v>44650</v>
      </c>
      <c r="O12" s="3">
        <v>44742</v>
      </c>
      <c r="P12" s="3">
        <f>I12</f>
        <v>44834</v>
      </c>
      <c r="Q12" s="3">
        <v>44917</v>
      </c>
      <c r="R12" s="3">
        <v>45008</v>
      </c>
      <c r="S12" s="3">
        <v>45100</v>
      </c>
      <c r="T12" s="3">
        <f>J12</f>
        <v>45192</v>
      </c>
      <c r="U12" s="3">
        <v>45283</v>
      </c>
      <c r="V12" s="3">
        <v>45375</v>
      </c>
      <c r="W12" s="3">
        <v>45467</v>
      </c>
      <c r="X12" s="3">
        <f>K12</f>
        <v>45559</v>
      </c>
      <c r="Y12" s="3">
        <v>45650</v>
      </c>
      <c r="Z12" s="3">
        <v>45741</v>
      </c>
      <c r="AA12" s="3">
        <v>45833</v>
      </c>
      <c r="AB12" s="3"/>
      <c r="AC12" s="3">
        <f t="shared" si="0"/>
        <v>44917</v>
      </c>
      <c r="AD12" s="3">
        <f t="shared" si="1"/>
        <v>45008</v>
      </c>
      <c r="AE12" s="3">
        <f t="shared" si="2"/>
        <v>45100</v>
      </c>
      <c r="AF12" s="3">
        <f t="shared" si="3"/>
        <v>45192</v>
      </c>
      <c r="AG12" s="3">
        <f t="shared" si="4"/>
        <v>45283</v>
      </c>
      <c r="AH12" s="3">
        <f t="shared" si="5"/>
        <v>45375</v>
      </c>
      <c r="AI12" s="3">
        <f t="shared" si="6"/>
        <v>45467</v>
      </c>
      <c r="AJ12" s="3">
        <f t="shared" si="7"/>
        <v>45559</v>
      </c>
      <c r="AK12" s="3">
        <f t="shared" si="8"/>
        <v>45650</v>
      </c>
      <c r="AL12" s="3">
        <f t="shared" si="9"/>
        <v>45741</v>
      </c>
      <c r="AM12" s="3">
        <f>AA12</f>
        <v>45833</v>
      </c>
      <c r="AN12" s="43"/>
      <c r="AO12" s="352"/>
    </row>
    <row r="13" spans="1:41" ht="5.0999999999999996" customHeight="1">
      <c r="AO13" s="403"/>
    </row>
    <row r="14" spans="1:41" ht="12.75" customHeight="1">
      <c r="B14" s="10" t="s">
        <v>94</v>
      </c>
      <c r="C14" s="351">
        <v>215639</v>
      </c>
      <c r="D14" s="351">
        <v>229234</v>
      </c>
      <c r="E14" s="351">
        <v>265595</v>
      </c>
      <c r="F14" s="351">
        <v>260174</v>
      </c>
      <c r="G14" s="351">
        <v>274515</v>
      </c>
      <c r="H14" s="351">
        <v>365817</v>
      </c>
      <c r="I14" s="351">
        <v>394328</v>
      </c>
      <c r="J14" s="351">
        <v>383285</v>
      </c>
      <c r="K14" s="351">
        <v>391035</v>
      </c>
      <c r="L14" s="12"/>
      <c r="M14" s="351">
        <v>123945</v>
      </c>
      <c r="N14" s="351">
        <v>97278</v>
      </c>
      <c r="O14" s="351">
        <v>82959</v>
      </c>
      <c r="P14" s="35">
        <f t="shared" ref="P14" si="10">SUM(I14-SUM(M14:O14))</f>
        <v>90146</v>
      </c>
      <c r="Q14" s="351">
        <v>117154</v>
      </c>
      <c r="R14" s="351">
        <v>94836</v>
      </c>
      <c r="S14" s="351">
        <v>81797</v>
      </c>
      <c r="T14" s="35">
        <f t="shared" ref="T14" si="11">SUM(J14-SUM(Q14:S14))</f>
        <v>89498</v>
      </c>
      <c r="U14" s="351">
        <v>119575</v>
      </c>
      <c r="V14" s="351">
        <v>90753</v>
      </c>
      <c r="W14" s="351">
        <v>85777</v>
      </c>
      <c r="X14" s="35">
        <f t="shared" ref="X14" si="12">SUM(K14-SUM(U14:W14))</f>
        <v>94930</v>
      </c>
      <c r="Y14" s="99">
        <v>124300</v>
      </c>
      <c r="Z14" s="99">
        <v>95359</v>
      </c>
      <c r="AA14" s="99">
        <v>94036</v>
      </c>
      <c r="AC14" s="35">
        <f t="shared" ref="AC14:AM14" si="13">SUM(N14:Q14)</f>
        <v>387537</v>
      </c>
      <c r="AD14" s="35">
        <f t="shared" si="13"/>
        <v>385095</v>
      </c>
      <c r="AE14" s="35">
        <f t="shared" si="13"/>
        <v>383933</v>
      </c>
      <c r="AF14" s="35">
        <f t="shared" si="13"/>
        <v>383285</v>
      </c>
      <c r="AG14" s="35">
        <f t="shared" si="13"/>
        <v>385706</v>
      </c>
      <c r="AH14" s="35">
        <f t="shared" si="13"/>
        <v>381623</v>
      </c>
      <c r="AI14" s="35">
        <f t="shared" si="13"/>
        <v>385603</v>
      </c>
      <c r="AJ14" s="35">
        <f t="shared" si="13"/>
        <v>391035</v>
      </c>
      <c r="AK14" s="35">
        <f t="shared" si="13"/>
        <v>395760</v>
      </c>
      <c r="AL14" s="35">
        <f t="shared" si="13"/>
        <v>400366</v>
      </c>
      <c r="AM14" s="35">
        <f t="shared" si="13"/>
        <v>408625</v>
      </c>
      <c r="AN14" s="45"/>
      <c r="AO14" s="89">
        <f>SUM(AM14/AI14)-1</f>
        <v>5.9703892345235987E-2</v>
      </c>
    </row>
    <row r="15" spans="1:41" ht="12.75" customHeight="1">
      <c r="B15" s="14" t="s">
        <v>13</v>
      </c>
      <c r="C15" s="15">
        <f t="shared" ref="C15:F15" si="14">+SUM(C14:C14)</f>
        <v>215639</v>
      </c>
      <c r="D15" s="15">
        <f t="shared" si="14"/>
        <v>229234</v>
      </c>
      <c r="E15" s="15">
        <f t="shared" si="14"/>
        <v>265595</v>
      </c>
      <c r="F15" s="15">
        <f t="shared" si="14"/>
        <v>260174</v>
      </c>
      <c r="G15" s="15">
        <f>+SUM(G14:G14)</f>
        <v>274515</v>
      </c>
      <c r="H15" s="15">
        <f>+SUM(H14:H14)</f>
        <v>365817</v>
      </c>
      <c r="I15" s="15">
        <f>+SUM(I14:I14)</f>
        <v>394328</v>
      </c>
      <c r="J15" s="15">
        <f>+SUM(J14:J14)</f>
        <v>383285</v>
      </c>
      <c r="K15" s="15">
        <f>+SUM(K14:K14)</f>
        <v>391035</v>
      </c>
      <c r="L15" s="12"/>
      <c r="M15" s="15">
        <f t="shared" ref="M15:AA15" si="15">+SUM(M14:M14)</f>
        <v>123945</v>
      </c>
      <c r="N15" s="15">
        <f t="shared" si="15"/>
        <v>97278</v>
      </c>
      <c r="O15" s="15">
        <f t="shared" si="15"/>
        <v>82959</v>
      </c>
      <c r="P15" s="15">
        <f t="shared" si="15"/>
        <v>90146</v>
      </c>
      <c r="Q15" s="15">
        <f t="shared" si="15"/>
        <v>117154</v>
      </c>
      <c r="R15" s="15">
        <f t="shared" si="15"/>
        <v>94836</v>
      </c>
      <c r="S15" s="15">
        <f t="shared" si="15"/>
        <v>81797</v>
      </c>
      <c r="T15" s="15">
        <f t="shared" si="15"/>
        <v>89498</v>
      </c>
      <c r="U15" s="15">
        <f t="shared" si="15"/>
        <v>119575</v>
      </c>
      <c r="V15" s="15">
        <f t="shared" si="15"/>
        <v>90753</v>
      </c>
      <c r="W15" s="15">
        <f t="shared" si="15"/>
        <v>85777</v>
      </c>
      <c r="X15" s="15">
        <f t="shared" si="15"/>
        <v>94930</v>
      </c>
      <c r="Y15" s="15">
        <f t="shared" si="15"/>
        <v>124300</v>
      </c>
      <c r="Z15" s="15">
        <f t="shared" si="15"/>
        <v>95359</v>
      </c>
      <c r="AA15" s="15">
        <f t="shared" si="15"/>
        <v>94036</v>
      </c>
      <c r="AC15" s="15">
        <f t="shared" ref="AC15:AD15" si="16">+SUM(AC14:AC14)</f>
        <v>387537</v>
      </c>
      <c r="AD15" s="15">
        <f t="shared" si="16"/>
        <v>385095</v>
      </c>
      <c r="AE15" s="15">
        <f t="shared" ref="AE15" si="17">+SUM(AE14:AE14)</f>
        <v>383933</v>
      </c>
      <c r="AF15" s="15">
        <f t="shared" ref="AF15" si="18">+SUM(AF14:AF14)</f>
        <v>383285</v>
      </c>
      <c r="AG15" s="15">
        <f t="shared" ref="AG15" si="19">+SUM(AG14:AG14)</f>
        <v>385706</v>
      </c>
      <c r="AH15" s="15">
        <f t="shared" ref="AH15" si="20">+SUM(AH14:AH14)</f>
        <v>381623</v>
      </c>
      <c r="AI15" s="15">
        <f t="shared" ref="AI15" si="21">+SUM(AI14:AI14)</f>
        <v>385603</v>
      </c>
      <c r="AJ15" s="15">
        <f t="shared" ref="AJ15:AL15" si="22">+SUM(AJ14:AJ14)</f>
        <v>391035</v>
      </c>
      <c r="AK15" s="15">
        <f t="shared" si="22"/>
        <v>395760</v>
      </c>
      <c r="AL15" s="15">
        <f t="shared" si="22"/>
        <v>400366</v>
      </c>
      <c r="AM15" s="15">
        <f>+SUM(AM14:AM14)</f>
        <v>408625</v>
      </c>
      <c r="AN15" s="45"/>
      <c r="AO15" s="90">
        <f t="shared" ref="AO15:AO30" si="23">SUM(AM15/AI15)-1</f>
        <v>5.9703892345235987E-2</v>
      </c>
    </row>
    <row r="16" spans="1:41" s="23" customFormat="1" ht="5.0999999999999996" customHeight="1">
      <c r="B16" s="21"/>
      <c r="C16" s="22"/>
      <c r="D16" s="22"/>
      <c r="E16" s="22"/>
      <c r="F16" s="22"/>
      <c r="G16" s="22"/>
      <c r="H16" s="22"/>
      <c r="I16" s="22"/>
      <c r="J16" s="22"/>
      <c r="K16" s="22"/>
      <c r="M16" s="24"/>
      <c r="N16" s="24"/>
      <c r="O16" s="24"/>
      <c r="P16" s="25"/>
      <c r="Q16" s="24"/>
      <c r="R16" s="24"/>
      <c r="S16" s="24"/>
      <c r="T16" s="25"/>
      <c r="U16" s="24"/>
      <c r="V16" s="24"/>
      <c r="W16" s="24"/>
      <c r="X16" s="24"/>
      <c r="Y16" s="24"/>
      <c r="Z16" s="24"/>
      <c r="AA16" s="24"/>
      <c r="AO16" s="89"/>
    </row>
    <row r="17" spans="2:41" ht="12.75" customHeight="1">
      <c r="B17" s="10" t="s">
        <v>14</v>
      </c>
      <c r="C17" s="99">
        <v>-131376</v>
      </c>
      <c r="D17" s="99">
        <v>-141048</v>
      </c>
      <c r="E17" s="99">
        <v>-163756</v>
      </c>
      <c r="F17" s="99">
        <v>-161782</v>
      </c>
      <c r="G17" s="99">
        <v>-169559</v>
      </c>
      <c r="H17" s="99">
        <v>-212981</v>
      </c>
      <c r="I17" s="99">
        <v>-223546</v>
      </c>
      <c r="J17" s="99">
        <v>-214137</v>
      </c>
      <c r="K17" s="99">
        <v>-210352</v>
      </c>
      <c r="L17" s="27"/>
      <c r="M17" s="99">
        <v>-69702</v>
      </c>
      <c r="N17" s="99">
        <v>-54719</v>
      </c>
      <c r="O17" s="99">
        <v>-47074</v>
      </c>
      <c r="P17" s="35">
        <f t="shared" ref="P17" si="24">SUM(I17-SUM(M17:O17))</f>
        <v>-52051</v>
      </c>
      <c r="Q17" s="99">
        <v>-66822</v>
      </c>
      <c r="R17" s="99">
        <v>-52860</v>
      </c>
      <c r="S17" s="99">
        <v>-45384</v>
      </c>
      <c r="T17" s="35">
        <f t="shared" ref="T17" si="25">SUM(J17-SUM(Q17:S17))</f>
        <v>-49071</v>
      </c>
      <c r="U17" s="351">
        <v>-64720</v>
      </c>
      <c r="V17" s="351">
        <v>-48482</v>
      </c>
      <c r="W17" s="351">
        <v>-46099</v>
      </c>
      <c r="X17" s="35">
        <f t="shared" ref="X17" si="26">SUM(K17-SUM(U17:W17))</f>
        <v>-51051</v>
      </c>
      <c r="Y17" s="99">
        <v>-66025</v>
      </c>
      <c r="Z17" s="99">
        <v>-50492</v>
      </c>
      <c r="AA17" s="99">
        <v>-50318</v>
      </c>
      <c r="AC17" s="35">
        <f t="shared" ref="AC17:AM17" si="27">SUM(N17:Q17)</f>
        <v>-220666</v>
      </c>
      <c r="AD17" s="35">
        <f t="shared" si="27"/>
        <v>-218807</v>
      </c>
      <c r="AE17" s="35">
        <f t="shared" si="27"/>
        <v>-217117</v>
      </c>
      <c r="AF17" s="35">
        <f t="shared" si="27"/>
        <v>-214137</v>
      </c>
      <c r="AG17" s="35">
        <f t="shared" si="27"/>
        <v>-212035</v>
      </c>
      <c r="AH17" s="35">
        <f t="shared" si="27"/>
        <v>-207657</v>
      </c>
      <c r="AI17" s="35">
        <f t="shared" si="27"/>
        <v>-208372</v>
      </c>
      <c r="AJ17" s="35">
        <f t="shared" si="27"/>
        <v>-210352</v>
      </c>
      <c r="AK17" s="35">
        <f t="shared" si="27"/>
        <v>-211657</v>
      </c>
      <c r="AL17" s="35">
        <f t="shared" si="27"/>
        <v>-213667</v>
      </c>
      <c r="AM17" s="35">
        <f t="shared" si="27"/>
        <v>-217886</v>
      </c>
      <c r="AN17" s="12"/>
      <c r="AO17" s="89">
        <f t="shared" si="23"/>
        <v>4.5658725740502559E-2</v>
      </c>
    </row>
    <row r="18" spans="2:41" ht="12.75" customHeight="1">
      <c r="B18" s="28" t="s">
        <v>31</v>
      </c>
      <c r="C18" s="29">
        <f t="shared" ref="C18:F18" si="28">+SUM(C15+SUM(C17:C17))</f>
        <v>84263</v>
      </c>
      <c r="D18" s="29">
        <f t="shared" si="28"/>
        <v>88186</v>
      </c>
      <c r="E18" s="29">
        <f t="shared" si="28"/>
        <v>101839</v>
      </c>
      <c r="F18" s="29">
        <f t="shared" si="28"/>
        <v>98392</v>
      </c>
      <c r="G18" s="29">
        <f>+SUM(G15+SUM(G17:G17))</f>
        <v>104956</v>
      </c>
      <c r="H18" s="29">
        <f>+SUM(H15+SUM(H17:H17))</f>
        <v>152836</v>
      </c>
      <c r="I18" s="29">
        <f>+SUM(I15+SUM(I17:I17))</f>
        <v>170782</v>
      </c>
      <c r="J18" s="29">
        <f>+SUM(J15+SUM(J17:J17))</f>
        <v>169148</v>
      </c>
      <c r="K18" s="29">
        <f>+SUM(K15+SUM(K17:K17))</f>
        <v>180683</v>
      </c>
      <c r="M18" s="29">
        <f t="shared" ref="M18:AA18" si="29">+SUM(M15+SUM(M17:M17))</f>
        <v>54243</v>
      </c>
      <c r="N18" s="29">
        <f t="shared" si="29"/>
        <v>42559</v>
      </c>
      <c r="O18" s="29">
        <f t="shared" si="29"/>
        <v>35885</v>
      </c>
      <c r="P18" s="29">
        <f t="shared" si="29"/>
        <v>38095</v>
      </c>
      <c r="Q18" s="29">
        <f t="shared" si="29"/>
        <v>50332</v>
      </c>
      <c r="R18" s="29">
        <f t="shared" si="29"/>
        <v>41976</v>
      </c>
      <c r="S18" s="29">
        <f t="shared" si="29"/>
        <v>36413</v>
      </c>
      <c r="T18" s="29">
        <f t="shared" si="29"/>
        <v>40427</v>
      </c>
      <c r="U18" s="29">
        <f t="shared" si="29"/>
        <v>54855</v>
      </c>
      <c r="V18" s="29">
        <f t="shared" si="29"/>
        <v>42271</v>
      </c>
      <c r="W18" s="29">
        <f t="shared" si="29"/>
        <v>39678</v>
      </c>
      <c r="X18" s="29">
        <f t="shared" si="29"/>
        <v>43879</v>
      </c>
      <c r="Y18" s="29">
        <f t="shared" si="29"/>
        <v>58275</v>
      </c>
      <c r="Z18" s="29">
        <f t="shared" si="29"/>
        <v>44867</v>
      </c>
      <c r="AA18" s="29">
        <f t="shared" si="29"/>
        <v>43718</v>
      </c>
      <c r="AC18" s="29">
        <f t="shared" ref="AC18:AD18" si="30">+SUM(AC15+SUM(AC17:AC17))</f>
        <v>166871</v>
      </c>
      <c r="AD18" s="29">
        <f t="shared" si="30"/>
        <v>166288</v>
      </c>
      <c r="AE18" s="29">
        <f t="shared" ref="AE18" si="31">+SUM(AE15+SUM(AE17:AE17))</f>
        <v>166816</v>
      </c>
      <c r="AF18" s="29">
        <f t="shared" ref="AF18" si="32">+SUM(AF15+SUM(AF17:AF17))</f>
        <v>169148</v>
      </c>
      <c r="AG18" s="29">
        <f t="shared" ref="AG18" si="33">+SUM(AG15+SUM(AG17:AG17))</f>
        <v>173671</v>
      </c>
      <c r="AH18" s="29">
        <f t="shared" ref="AH18" si="34">+SUM(AH15+SUM(AH17:AH17))</f>
        <v>173966</v>
      </c>
      <c r="AI18" s="29">
        <f t="shared" ref="AI18" si="35">+SUM(AI15+SUM(AI17:AI17))</f>
        <v>177231</v>
      </c>
      <c r="AJ18" s="29">
        <f t="shared" ref="AJ18:AL18" si="36">+SUM(AJ15+SUM(AJ17:AJ17))</f>
        <v>180683</v>
      </c>
      <c r="AK18" s="29">
        <f t="shared" si="36"/>
        <v>184103</v>
      </c>
      <c r="AL18" s="29">
        <f t="shared" si="36"/>
        <v>186699</v>
      </c>
      <c r="AM18" s="29">
        <f>+SUM(AM15+SUM(AM17:AM17))</f>
        <v>190739</v>
      </c>
      <c r="AN18" s="47"/>
      <c r="AO18" s="90">
        <f t="shared" si="23"/>
        <v>7.6216914648114642E-2</v>
      </c>
    </row>
    <row r="19" spans="2:41" ht="12.75" customHeight="1">
      <c r="B19" s="17" t="s">
        <v>50</v>
      </c>
      <c r="C19" s="19">
        <f t="shared" ref="C19:F19" si="37">C18/C15</f>
        <v>0.39075955648097049</v>
      </c>
      <c r="D19" s="19">
        <f t="shared" si="37"/>
        <v>0.38469860491899105</v>
      </c>
      <c r="E19" s="19">
        <f t="shared" si="37"/>
        <v>0.38343718820007905</v>
      </c>
      <c r="F19" s="19">
        <f t="shared" si="37"/>
        <v>0.37817768109034722</v>
      </c>
      <c r="G19" s="19">
        <f>G18/G15</f>
        <v>0.38233247727810865</v>
      </c>
      <c r="H19" s="19">
        <f>H18/H15</f>
        <v>0.41779359625167778</v>
      </c>
      <c r="I19" s="19">
        <f>I18/I15</f>
        <v>0.43309630561360085</v>
      </c>
      <c r="J19" s="19">
        <f>J18/J15</f>
        <v>0.44131129577207562</v>
      </c>
      <c r="K19" s="19">
        <f>K18/K15</f>
        <v>0.46206349815233932</v>
      </c>
      <c r="L19" s="30"/>
      <c r="M19" s="19">
        <f t="shared" ref="M19:AA19" si="38">M18/M15</f>
        <v>0.43763766186615033</v>
      </c>
      <c r="N19" s="19">
        <f t="shared" si="38"/>
        <v>0.43749871502292398</v>
      </c>
      <c r="O19" s="19">
        <f t="shared" si="38"/>
        <v>0.43256307332537758</v>
      </c>
      <c r="P19" s="19">
        <f t="shared" si="38"/>
        <v>0.4225922392563175</v>
      </c>
      <c r="Q19" s="19">
        <f t="shared" si="38"/>
        <v>0.42962254809908323</v>
      </c>
      <c r="R19" s="19">
        <f t="shared" si="38"/>
        <v>0.44261672782487665</v>
      </c>
      <c r="S19" s="19">
        <f t="shared" si="38"/>
        <v>0.44516302553883397</v>
      </c>
      <c r="T19" s="19">
        <f t="shared" si="38"/>
        <v>0.45170841806520817</v>
      </c>
      <c r="U19" s="19">
        <f t="shared" si="38"/>
        <v>0.45874973865774621</v>
      </c>
      <c r="V19" s="19">
        <f t="shared" si="38"/>
        <v>0.46578074554009236</v>
      </c>
      <c r="W19" s="19">
        <f t="shared" si="38"/>
        <v>0.46257155181458898</v>
      </c>
      <c r="X19" s="19">
        <f t="shared" si="38"/>
        <v>0.4622247972190035</v>
      </c>
      <c r="Y19" s="19">
        <f t="shared" si="38"/>
        <v>0.46882542236524538</v>
      </c>
      <c r="Z19" s="19">
        <f t="shared" si="38"/>
        <v>0.47050619238876246</v>
      </c>
      <c r="AA19" s="19">
        <f t="shared" si="38"/>
        <v>0.46490705687183631</v>
      </c>
      <c r="AB19" s="31"/>
      <c r="AC19" s="19">
        <f t="shared" ref="AC19:AD19" si="39">AC18/AC15</f>
        <v>0.43059372395409989</v>
      </c>
      <c r="AD19" s="19">
        <f t="shared" si="39"/>
        <v>0.43181033251535333</v>
      </c>
      <c r="AE19" s="19">
        <f t="shared" ref="AE19" si="40">AE18/AE15</f>
        <v>0.43449247655189838</v>
      </c>
      <c r="AF19" s="19">
        <f t="shared" ref="AF19" si="41">AF18/AF15</f>
        <v>0.44131129577207562</v>
      </c>
      <c r="AG19" s="19">
        <f t="shared" ref="AG19" si="42">AG18/AG15</f>
        <v>0.45026782056799741</v>
      </c>
      <c r="AH19" s="19">
        <f t="shared" ref="AH19" si="43">AH18/AH15</f>
        <v>0.4558582685005883</v>
      </c>
      <c r="AI19" s="19">
        <f t="shared" ref="AI19" si="44">AI18/AI15</f>
        <v>0.45962038677084982</v>
      </c>
      <c r="AJ19" s="19">
        <f t="shared" ref="AJ19:AL19" si="45">AJ18/AJ15</f>
        <v>0.46206349815233932</v>
      </c>
      <c r="AK19" s="19">
        <f t="shared" si="45"/>
        <v>0.46518849807964424</v>
      </c>
      <c r="AL19" s="19">
        <f t="shared" si="45"/>
        <v>0.46632081645294554</v>
      </c>
      <c r="AM19" s="19">
        <f>AM18/AM15</f>
        <v>0.46678250229427959</v>
      </c>
      <c r="AN19" s="47"/>
      <c r="AO19" s="91">
        <f>SUM(AM19-AI19)*1000</f>
        <v>7.1621155234297689</v>
      </c>
    </row>
    <row r="20" spans="2:41" ht="5.0999999999999996" customHeight="1">
      <c r="B20" s="32"/>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C20" s="33"/>
      <c r="AD20" s="33"/>
      <c r="AE20" s="33"/>
      <c r="AF20" s="33"/>
      <c r="AG20" s="33"/>
      <c r="AH20" s="33"/>
      <c r="AI20" s="33"/>
      <c r="AJ20" s="33"/>
      <c r="AK20" s="33"/>
      <c r="AL20" s="33"/>
      <c r="AM20" s="33"/>
      <c r="AN20" s="47"/>
      <c r="AO20" s="89"/>
    </row>
    <row r="21" spans="2:41" ht="12.75" customHeight="1">
      <c r="B21" s="10" t="s">
        <v>313</v>
      </c>
      <c r="C21" s="99">
        <v>-10045</v>
      </c>
      <c r="D21" s="99">
        <v>-11581</v>
      </c>
      <c r="E21" s="99">
        <v>-14236</v>
      </c>
      <c r="F21" s="99">
        <v>-16217</v>
      </c>
      <c r="G21" s="99">
        <v>-18752</v>
      </c>
      <c r="H21" s="99">
        <v>-21914</v>
      </c>
      <c r="I21" s="99">
        <v>-26251</v>
      </c>
      <c r="J21" s="99">
        <v>-29915</v>
      </c>
      <c r="K21" s="99">
        <v>-31370</v>
      </c>
      <c r="L21" s="35"/>
      <c r="M21" s="99">
        <v>-6306</v>
      </c>
      <c r="N21" s="99">
        <v>-6387</v>
      </c>
      <c r="O21" s="99">
        <v>-6797</v>
      </c>
      <c r="P21" s="35">
        <f t="shared" ref="P21:P22" si="46">SUM(I21-SUM(M21:O21))</f>
        <v>-6761</v>
      </c>
      <c r="Q21" s="99">
        <v>-7709</v>
      </c>
      <c r="R21" s="99">
        <v>-7457</v>
      </c>
      <c r="S21" s="99">
        <v>-7442</v>
      </c>
      <c r="T21" s="35">
        <f t="shared" ref="T21:T22" si="47">SUM(J21-SUM(Q21:S21))</f>
        <v>-7307</v>
      </c>
      <c r="U21" s="351">
        <v>-7696</v>
      </c>
      <c r="V21" s="351">
        <v>-7903</v>
      </c>
      <c r="W21" s="351">
        <v>-8006</v>
      </c>
      <c r="X21" s="35">
        <f t="shared" ref="X21:X22" si="48">SUM(K21-SUM(U21:W21))</f>
        <v>-7765</v>
      </c>
      <c r="Y21" s="99">
        <v>-8268</v>
      </c>
      <c r="Z21" s="99">
        <v>-8550</v>
      </c>
      <c r="AA21" s="99">
        <v>-8866</v>
      </c>
      <c r="AC21" s="35">
        <f t="shared" ref="AC21:AM22" si="49">SUM(N21:Q21)</f>
        <v>-27654</v>
      </c>
      <c r="AD21" s="35">
        <f t="shared" si="49"/>
        <v>-28724</v>
      </c>
      <c r="AE21" s="35">
        <f t="shared" si="49"/>
        <v>-29369</v>
      </c>
      <c r="AF21" s="35">
        <f t="shared" si="49"/>
        <v>-29915</v>
      </c>
      <c r="AG21" s="35">
        <f t="shared" si="49"/>
        <v>-29902</v>
      </c>
      <c r="AH21" s="35">
        <f t="shared" si="49"/>
        <v>-30348</v>
      </c>
      <c r="AI21" s="35">
        <f t="shared" si="49"/>
        <v>-30912</v>
      </c>
      <c r="AJ21" s="35">
        <f t="shared" si="49"/>
        <v>-31370</v>
      </c>
      <c r="AK21" s="35">
        <f t="shared" si="49"/>
        <v>-31942</v>
      </c>
      <c r="AL21" s="35">
        <f t="shared" si="49"/>
        <v>-32589</v>
      </c>
      <c r="AM21" s="35">
        <f t="shared" si="49"/>
        <v>-33449</v>
      </c>
      <c r="AN21" s="12"/>
      <c r="AO21" s="89">
        <f t="shared" si="23"/>
        <v>8.2071687370600444E-2</v>
      </c>
    </row>
    <row r="22" spans="2:41" ht="12.75" customHeight="1">
      <c r="B22" s="10" t="s">
        <v>314</v>
      </c>
      <c r="C22" s="99">
        <v>-14194</v>
      </c>
      <c r="D22" s="99">
        <v>-15261</v>
      </c>
      <c r="E22" s="99">
        <v>-16705</v>
      </c>
      <c r="F22" s="99">
        <v>-18245</v>
      </c>
      <c r="G22" s="99">
        <v>-19916</v>
      </c>
      <c r="H22" s="99">
        <v>-21973</v>
      </c>
      <c r="I22" s="99">
        <v>-25094</v>
      </c>
      <c r="J22" s="99">
        <v>-24932</v>
      </c>
      <c r="K22" s="99">
        <v>-26097</v>
      </c>
      <c r="L22" s="35"/>
      <c r="M22" s="99">
        <v>-6449</v>
      </c>
      <c r="N22" s="99">
        <v>-6193</v>
      </c>
      <c r="O22" s="99">
        <v>-6012</v>
      </c>
      <c r="P22" s="35">
        <f t="shared" si="46"/>
        <v>-6440</v>
      </c>
      <c r="Q22" s="99">
        <v>-6607</v>
      </c>
      <c r="R22" s="99">
        <v>-6201</v>
      </c>
      <c r="S22" s="99">
        <v>-5973</v>
      </c>
      <c r="T22" s="35">
        <f t="shared" si="47"/>
        <v>-6151</v>
      </c>
      <c r="U22" s="351">
        <v>-6786</v>
      </c>
      <c r="V22" s="351">
        <v>-6468</v>
      </c>
      <c r="W22" s="351">
        <v>-6320</v>
      </c>
      <c r="X22" s="35">
        <f t="shared" si="48"/>
        <v>-6523</v>
      </c>
      <c r="Y22" s="99">
        <v>-7175</v>
      </c>
      <c r="Z22" s="99">
        <v>-6728</v>
      </c>
      <c r="AA22" s="99">
        <v>-6650</v>
      </c>
      <c r="AC22" s="35">
        <f t="shared" si="49"/>
        <v>-25252</v>
      </c>
      <c r="AD22" s="35">
        <f t="shared" si="49"/>
        <v>-25260</v>
      </c>
      <c r="AE22" s="35">
        <f t="shared" si="49"/>
        <v>-25221</v>
      </c>
      <c r="AF22" s="35">
        <f t="shared" si="49"/>
        <v>-24932</v>
      </c>
      <c r="AG22" s="35">
        <f t="shared" si="49"/>
        <v>-25111</v>
      </c>
      <c r="AH22" s="35">
        <f t="shared" si="49"/>
        <v>-25378</v>
      </c>
      <c r="AI22" s="35">
        <f t="shared" si="49"/>
        <v>-25725</v>
      </c>
      <c r="AJ22" s="35">
        <f t="shared" si="49"/>
        <v>-26097</v>
      </c>
      <c r="AK22" s="35">
        <f t="shared" si="49"/>
        <v>-26486</v>
      </c>
      <c r="AL22" s="35">
        <f t="shared" si="49"/>
        <v>-26746</v>
      </c>
      <c r="AM22" s="35">
        <f t="shared" si="49"/>
        <v>-27076</v>
      </c>
      <c r="AN22" s="12"/>
      <c r="AO22" s="89">
        <f t="shared" si="23"/>
        <v>5.2517006802720978E-2</v>
      </c>
    </row>
    <row r="23" spans="2:41" ht="12.75" customHeight="1">
      <c r="B23" s="28" t="s">
        <v>82</v>
      </c>
      <c r="C23" s="29">
        <f t="shared" ref="C23:F23" si="50">SUM(C18+SUM(C21:C22))</f>
        <v>60024</v>
      </c>
      <c r="D23" s="29">
        <f t="shared" si="50"/>
        <v>61344</v>
      </c>
      <c r="E23" s="29">
        <f t="shared" si="50"/>
        <v>70898</v>
      </c>
      <c r="F23" s="29">
        <f t="shared" si="50"/>
        <v>63930</v>
      </c>
      <c r="G23" s="29">
        <f>SUM(G18+SUM(G21:G22))</f>
        <v>66288</v>
      </c>
      <c r="H23" s="29">
        <f>SUM(H18+SUM(H21:H22))</f>
        <v>108949</v>
      </c>
      <c r="I23" s="29">
        <f>SUM(I18+SUM(I21:I22))</f>
        <v>119437</v>
      </c>
      <c r="J23" s="29">
        <f>SUM(J18+SUM(J21:J22))</f>
        <v>114301</v>
      </c>
      <c r="K23" s="29">
        <f>SUM(K18+SUM(K21:K22))</f>
        <v>123216</v>
      </c>
      <c r="M23" s="29">
        <f t="shared" ref="M23:AA23" si="51">SUM(M18+SUM(M21:M22))</f>
        <v>41488</v>
      </c>
      <c r="N23" s="29">
        <f t="shared" si="51"/>
        <v>29979</v>
      </c>
      <c r="O23" s="29">
        <f t="shared" si="51"/>
        <v>23076</v>
      </c>
      <c r="P23" s="29">
        <f t="shared" si="51"/>
        <v>24894</v>
      </c>
      <c r="Q23" s="29">
        <f t="shared" si="51"/>
        <v>36016</v>
      </c>
      <c r="R23" s="29">
        <f t="shared" si="51"/>
        <v>28318</v>
      </c>
      <c r="S23" s="29">
        <f t="shared" si="51"/>
        <v>22998</v>
      </c>
      <c r="T23" s="29">
        <f t="shared" si="51"/>
        <v>26969</v>
      </c>
      <c r="U23" s="29">
        <f t="shared" si="51"/>
        <v>40373</v>
      </c>
      <c r="V23" s="29">
        <f t="shared" si="51"/>
        <v>27900</v>
      </c>
      <c r="W23" s="29">
        <f t="shared" si="51"/>
        <v>25352</v>
      </c>
      <c r="X23" s="29">
        <f t="shared" si="51"/>
        <v>29591</v>
      </c>
      <c r="Y23" s="29">
        <f t="shared" si="51"/>
        <v>42832</v>
      </c>
      <c r="Z23" s="29">
        <f t="shared" si="51"/>
        <v>29589</v>
      </c>
      <c r="AA23" s="29">
        <f t="shared" si="51"/>
        <v>28202</v>
      </c>
      <c r="AC23" s="29">
        <f t="shared" ref="AC23:AM23" si="52">SUM(AC18+SUM(AC21:AC22))</f>
        <v>113965</v>
      </c>
      <c r="AD23" s="29">
        <f t="shared" si="52"/>
        <v>112304</v>
      </c>
      <c r="AE23" s="29">
        <f t="shared" si="52"/>
        <v>112226</v>
      </c>
      <c r="AF23" s="29">
        <f t="shared" si="52"/>
        <v>114301</v>
      </c>
      <c r="AG23" s="29">
        <f t="shared" si="52"/>
        <v>118658</v>
      </c>
      <c r="AH23" s="29">
        <f t="shared" si="52"/>
        <v>118240</v>
      </c>
      <c r="AI23" s="29">
        <f t="shared" si="52"/>
        <v>120594</v>
      </c>
      <c r="AJ23" s="29">
        <f t="shared" si="52"/>
        <v>123216</v>
      </c>
      <c r="AK23" s="29">
        <f t="shared" si="52"/>
        <v>125675</v>
      </c>
      <c r="AL23" s="29">
        <f t="shared" si="52"/>
        <v>127364</v>
      </c>
      <c r="AM23" s="29">
        <f t="shared" si="52"/>
        <v>130214</v>
      </c>
      <c r="AN23" s="47"/>
      <c r="AO23" s="89">
        <f t="shared" si="23"/>
        <v>7.9771796275105E-2</v>
      </c>
    </row>
    <row r="24" spans="2:41" ht="12.75" customHeight="1">
      <c r="B24" s="17" t="s">
        <v>52</v>
      </c>
      <c r="C24" s="19">
        <f t="shared" ref="C24:F24" si="53">C23/C15</f>
        <v>0.27835410106706115</v>
      </c>
      <c r="D24" s="19">
        <f t="shared" si="53"/>
        <v>0.26760428208729942</v>
      </c>
      <c r="E24" s="19">
        <f t="shared" si="53"/>
        <v>0.26694026619477024</v>
      </c>
      <c r="F24" s="19">
        <f t="shared" si="53"/>
        <v>0.24572017188496928</v>
      </c>
      <c r="G24" s="19">
        <f>G23/G15</f>
        <v>0.24147314354406862</v>
      </c>
      <c r="H24" s="19">
        <f>H23/H15</f>
        <v>0.29782377527561593</v>
      </c>
      <c r="I24" s="19">
        <f>I23/I15</f>
        <v>0.30288744395528594</v>
      </c>
      <c r="J24" s="19">
        <f>J23/J15</f>
        <v>0.29821412265024722</v>
      </c>
      <c r="K24" s="19">
        <f>K23/K15</f>
        <v>0.31510222870075566</v>
      </c>
      <c r="L24" s="30"/>
      <c r="M24" s="19">
        <f t="shared" ref="M24:AA24" si="54">M23/M15</f>
        <v>0.33472911371979508</v>
      </c>
      <c r="N24" s="19">
        <f t="shared" si="54"/>
        <v>0.30817862209338187</v>
      </c>
      <c r="O24" s="19">
        <f t="shared" si="54"/>
        <v>0.27816150146457891</v>
      </c>
      <c r="P24" s="19">
        <f t="shared" si="54"/>
        <v>0.27615202005635303</v>
      </c>
      <c r="Q24" s="19">
        <f t="shared" si="54"/>
        <v>0.30742441572630896</v>
      </c>
      <c r="R24" s="19">
        <f t="shared" si="54"/>
        <v>0.29859968788223878</v>
      </c>
      <c r="S24" s="19">
        <f t="shared" si="54"/>
        <v>0.28115945572576012</v>
      </c>
      <c r="T24" s="19">
        <f t="shared" si="54"/>
        <v>0.30133634271156895</v>
      </c>
      <c r="U24" s="19">
        <f t="shared" si="54"/>
        <v>0.33763746602550698</v>
      </c>
      <c r="V24" s="19">
        <f t="shared" si="54"/>
        <v>0.30742785362467356</v>
      </c>
      <c r="W24" s="19">
        <f t="shared" si="54"/>
        <v>0.29555708406682446</v>
      </c>
      <c r="X24" s="19">
        <f t="shared" si="54"/>
        <v>0.31171389444854103</v>
      </c>
      <c r="Y24" s="19">
        <f t="shared" si="54"/>
        <v>0.34458567980691873</v>
      </c>
      <c r="Z24" s="19">
        <f t="shared" si="54"/>
        <v>0.31029058610094484</v>
      </c>
      <c r="AA24" s="19">
        <f t="shared" si="54"/>
        <v>0.29990641881832492</v>
      </c>
      <c r="AB24" s="31"/>
      <c r="AC24" s="19">
        <f t="shared" ref="AC24:AM24" si="55">AC23/AC15</f>
        <v>0.29407514637312049</v>
      </c>
      <c r="AD24" s="19">
        <f t="shared" si="55"/>
        <v>0.29162674145340761</v>
      </c>
      <c r="AE24" s="19">
        <f t="shared" si="55"/>
        <v>0.29230620967720933</v>
      </c>
      <c r="AF24" s="19">
        <f t="shared" si="55"/>
        <v>0.29821412265024722</v>
      </c>
      <c r="AG24" s="19">
        <f t="shared" si="55"/>
        <v>0.30763846038174153</v>
      </c>
      <c r="AH24" s="19">
        <f t="shared" si="55"/>
        <v>0.30983457496010458</v>
      </c>
      <c r="AI24" s="19">
        <f t="shared" si="55"/>
        <v>0.31274134278000948</v>
      </c>
      <c r="AJ24" s="19">
        <f t="shared" si="55"/>
        <v>0.31510222870075566</v>
      </c>
      <c r="AK24" s="19">
        <f t="shared" si="55"/>
        <v>0.31755356781888011</v>
      </c>
      <c r="AL24" s="19">
        <f t="shared" si="55"/>
        <v>0.31811892118711377</v>
      </c>
      <c r="AM24" s="19">
        <f t="shared" si="55"/>
        <v>0.31866381156316914</v>
      </c>
      <c r="AN24" s="48"/>
      <c r="AO24" s="91">
        <f>SUM(AM24-AI24)*1000</f>
        <v>5.9224687831596619</v>
      </c>
    </row>
    <row r="25" spans="2:41" ht="5.0999999999999996" customHeight="1">
      <c r="B25" s="32"/>
      <c r="C25" s="49"/>
      <c r="D25" s="49"/>
      <c r="E25" s="49"/>
      <c r="F25" s="49"/>
      <c r="G25" s="49"/>
      <c r="H25" s="49"/>
      <c r="I25" s="49"/>
      <c r="J25" s="49"/>
      <c r="K25" s="49"/>
      <c r="L25" s="33"/>
      <c r="M25" s="49"/>
      <c r="N25" s="49"/>
      <c r="O25" s="49"/>
      <c r="P25" s="49"/>
      <c r="Q25" s="49"/>
      <c r="R25" s="49"/>
      <c r="S25" s="49"/>
      <c r="T25" s="49"/>
      <c r="U25" s="49"/>
      <c r="V25" s="49"/>
      <c r="W25" s="49"/>
      <c r="X25" s="49"/>
      <c r="Y25" s="49"/>
      <c r="Z25" s="49"/>
      <c r="AA25" s="49"/>
      <c r="AC25" s="49"/>
      <c r="AD25" s="49"/>
      <c r="AE25" s="49"/>
      <c r="AF25" s="49"/>
      <c r="AG25" s="49"/>
      <c r="AH25" s="49"/>
      <c r="AI25" s="49"/>
      <c r="AJ25" s="49"/>
      <c r="AK25" s="49"/>
      <c r="AL25" s="49"/>
      <c r="AM25" s="49"/>
      <c r="AN25" s="48"/>
      <c r="AO25" s="89"/>
    </row>
    <row r="26" spans="2:41" ht="12.75" customHeight="1">
      <c r="B26" s="10" t="s">
        <v>315</v>
      </c>
      <c r="C26" s="99">
        <v>1348</v>
      </c>
      <c r="D26" s="99">
        <v>2745</v>
      </c>
      <c r="E26" s="99">
        <v>2005</v>
      </c>
      <c r="F26" s="99">
        <v>1807</v>
      </c>
      <c r="G26" s="99">
        <v>803</v>
      </c>
      <c r="H26" s="99">
        <v>258</v>
      </c>
      <c r="I26" s="99">
        <v>-334</v>
      </c>
      <c r="J26" s="99">
        <v>-565</v>
      </c>
      <c r="K26" s="99">
        <v>269</v>
      </c>
      <c r="L26" s="27"/>
      <c r="M26" s="99">
        <v>-247</v>
      </c>
      <c r="N26" s="99">
        <v>160</v>
      </c>
      <c r="O26" s="99">
        <v>-10</v>
      </c>
      <c r="P26" s="35">
        <f t="shared" ref="P26" si="56">SUM(I26-SUM(M26:O26))</f>
        <v>-237</v>
      </c>
      <c r="Q26" s="99">
        <v>-393</v>
      </c>
      <c r="R26" s="99">
        <v>64</v>
      </c>
      <c r="S26" s="99">
        <v>-265</v>
      </c>
      <c r="T26" s="35">
        <f t="shared" ref="T26" si="57">SUM(J26-SUM(Q26:S26))</f>
        <v>29</v>
      </c>
      <c r="U26" s="351">
        <v>-50</v>
      </c>
      <c r="V26" s="351">
        <v>158</v>
      </c>
      <c r="W26" s="351">
        <v>142</v>
      </c>
      <c r="X26" s="35">
        <f t="shared" ref="X26" si="58">SUM(K26-SUM(U26:W26))</f>
        <v>19</v>
      </c>
      <c r="Y26" s="99">
        <v>-248</v>
      </c>
      <c r="Z26" s="99">
        <v>-279</v>
      </c>
      <c r="AA26" s="99">
        <v>-171</v>
      </c>
      <c r="AB26" s="35"/>
      <c r="AC26" s="35">
        <f t="shared" ref="AC26:AM26" si="59">SUM(N26:Q26)</f>
        <v>-480</v>
      </c>
      <c r="AD26" s="35">
        <f t="shared" si="59"/>
        <v>-576</v>
      </c>
      <c r="AE26" s="35">
        <f t="shared" si="59"/>
        <v>-831</v>
      </c>
      <c r="AF26" s="35">
        <f t="shared" si="59"/>
        <v>-565</v>
      </c>
      <c r="AG26" s="35">
        <f t="shared" si="59"/>
        <v>-222</v>
      </c>
      <c r="AH26" s="35">
        <f t="shared" si="59"/>
        <v>-128</v>
      </c>
      <c r="AI26" s="35">
        <f t="shared" si="59"/>
        <v>279</v>
      </c>
      <c r="AJ26" s="35">
        <f t="shared" si="59"/>
        <v>269</v>
      </c>
      <c r="AK26" s="35">
        <f t="shared" si="59"/>
        <v>71</v>
      </c>
      <c r="AL26" s="35">
        <f t="shared" si="59"/>
        <v>-366</v>
      </c>
      <c r="AM26" s="35">
        <f t="shared" si="59"/>
        <v>-679</v>
      </c>
      <c r="AN26" s="48"/>
      <c r="AO26" s="89">
        <f t="shared" si="23"/>
        <v>-3.4336917562724016</v>
      </c>
    </row>
    <row r="27" spans="2:41" ht="12.75" customHeight="1">
      <c r="B27" s="28" t="s">
        <v>83</v>
      </c>
      <c r="C27" s="29">
        <f t="shared" ref="C27:F27" si="60">SUM(C26:C26)+C23</f>
        <v>61372</v>
      </c>
      <c r="D27" s="29">
        <f t="shared" si="60"/>
        <v>64089</v>
      </c>
      <c r="E27" s="29">
        <f t="shared" si="60"/>
        <v>72903</v>
      </c>
      <c r="F27" s="29">
        <f t="shared" si="60"/>
        <v>65737</v>
      </c>
      <c r="G27" s="29">
        <f>SUM(G26:G26)+G23</f>
        <v>67091</v>
      </c>
      <c r="H27" s="29">
        <f>SUM(H26:H26)+H23</f>
        <v>109207</v>
      </c>
      <c r="I27" s="29">
        <f>SUM(I26:I26)+I23</f>
        <v>119103</v>
      </c>
      <c r="J27" s="29">
        <f>SUM(J26:J26)+J23</f>
        <v>113736</v>
      </c>
      <c r="K27" s="29">
        <f>SUM(K26:K26)+K23</f>
        <v>123485</v>
      </c>
      <c r="M27" s="29">
        <f t="shared" ref="M27:AA27" si="61">SUM(M26:M26)+M23</f>
        <v>41241</v>
      </c>
      <c r="N27" s="29">
        <f t="shared" si="61"/>
        <v>30139</v>
      </c>
      <c r="O27" s="29">
        <f t="shared" si="61"/>
        <v>23066</v>
      </c>
      <c r="P27" s="29">
        <f t="shared" si="61"/>
        <v>24657</v>
      </c>
      <c r="Q27" s="29">
        <f t="shared" si="61"/>
        <v>35623</v>
      </c>
      <c r="R27" s="29">
        <f t="shared" si="61"/>
        <v>28382</v>
      </c>
      <c r="S27" s="29">
        <f t="shared" si="61"/>
        <v>22733</v>
      </c>
      <c r="T27" s="29">
        <f t="shared" si="61"/>
        <v>26998</v>
      </c>
      <c r="U27" s="29">
        <f t="shared" si="61"/>
        <v>40323</v>
      </c>
      <c r="V27" s="29">
        <f t="shared" si="61"/>
        <v>28058</v>
      </c>
      <c r="W27" s="29">
        <f t="shared" si="61"/>
        <v>25494</v>
      </c>
      <c r="X27" s="29">
        <f t="shared" si="61"/>
        <v>29610</v>
      </c>
      <c r="Y27" s="29">
        <f t="shared" si="61"/>
        <v>42584</v>
      </c>
      <c r="Z27" s="29">
        <f t="shared" si="61"/>
        <v>29310</v>
      </c>
      <c r="AA27" s="29">
        <f t="shared" si="61"/>
        <v>28031</v>
      </c>
      <c r="AC27" s="29">
        <f t="shared" ref="AC27:AM27" si="62">SUM(AC26:AC26)+AC23</f>
        <v>113485</v>
      </c>
      <c r="AD27" s="29">
        <f t="shared" si="62"/>
        <v>111728</v>
      </c>
      <c r="AE27" s="29">
        <f t="shared" si="62"/>
        <v>111395</v>
      </c>
      <c r="AF27" s="29">
        <f t="shared" si="62"/>
        <v>113736</v>
      </c>
      <c r="AG27" s="29">
        <f t="shared" si="62"/>
        <v>118436</v>
      </c>
      <c r="AH27" s="29">
        <f t="shared" si="62"/>
        <v>118112</v>
      </c>
      <c r="AI27" s="29">
        <f t="shared" si="62"/>
        <v>120873</v>
      </c>
      <c r="AJ27" s="29">
        <f t="shared" si="62"/>
        <v>123485</v>
      </c>
      <c r="AK27" s="29">
        <f t="shared" si="62"/>
        <v>125746</v>
      </c>
      <c r="AL27" s="29">
        <f t="shared" si="62"/>
        <v>126998</v>
      </c>
      <c r="AM27" s="29">
        <f t="shared" si="62"/>
        <v>129535</v>
      </c>
      <c r="AN27" s="48"/>
      <c r="AO27" s="90">
        <f t="shared" si="23"/>
        <v>7.1661992339066671E-2</v>
      </c>
    </row>
    <row r="28" spans="2:41" ht="5.0999999999999996" customHeight="1">
      <c r="B28" s="28"/>
      <c r="C28" s="50"/>
      <c r="D28" s="50"/>
      <c r="E28" s="50"/>
      <c r="F28" s="50"/>
      <c r="G28" s="50"/>
      <c r="H28" s="50"/>
      <c r="I28" s="50"/>
      <c r="J28" s="50"/>
      <c r="K28" s="50"/>
      <c r="L28" s="51"/>
      <c r="M28" s="50"/>
      <c r="N28" s="50"/>
      <c r="O28" s="50"/>
      <c r="P28" s="50"/>
      <c r="Q28" s="50"/>
      <c r="R28" s="50"/>
      <c r="S28" s="50"/>
      <c r="T28" s="50"/>
      <c r="U28" s="50"/>
      <c r="V28" s="50"/>
      <c r="W28" s="50"/>
      <c r="X28" s="50"/>
      <c r="Y28" s="50"/>
      <c r="Z28" s="50"/>
      <c r="AA28" s="50"/>
      <c r="AC28" s="50"/>
      <c r="AD28" s="50"/>
      <c r="AE28" s="50"/>
      <c r="AF28" s="50"/>
      <c r="AG28" s="50"/>
      <c r="AH28" s="50"/>
      <c r="AI28" s="50"/>
      <c r="AJ28" s="50"/>
      <c r="AK28" s="50"/>
      <c r="AL28" s="50"/>
      <c r="AM28" s="50"/>
      <c r="AN28" s="48"/>
      <c r="AO28" s="89"/>
    </row>
    <row r="29" spans="2:41" ht="12.75" customHeight="1">
      <c r="B29" s="52" t="s">
        <v>102</v>
      </c>
      <c r="C29" s="99">
        <v>-15685</v>
      </c>
      <c r="D29" s="99">
        <v>-15738</v>
      </c>
      <c r="E29" s="99">
        <v>-13372</v>
      </c>
      <c r="F29" s="99">
        <v>-10481</v>
      </c>
      <c r="G29" s="99">
        <v>-9680</v>
      </c>
      <c r="H29" s="99">
        <v>-14527</v>
      </c>
      <c r="I29" s="99">
        <v>-19300</v>
      </c>
      <c r="J29" s="99">
        <v>-16741</v>
      </c>
      <c r="K29" s="99">
        <v>-29749</v>
      </c>
      <c r="L29" s="35"/>
      <c r="M29" s="99">
        <v>-6611</v>
      </c>
      <c r="N29" s="99">
        <v>-5129</v>
      </c>
      <c r="O29" s="99">
        <v>-3624</v>
      </c>
      <c r="P29" s="35">
        <f t="shared" ref="P29" si="63">SUM(I29-SUM(M29:O29))</f>
        <v>-3936</v>
      </c>
      <c r="Q29" s="99">
        <v>-5625</v>
      </c>
      <c r="R29" s="99">
        <v>-4222</v>
      </c>
      <c r="S29" s="99">
        <v>-2852</v>
      </c>
      <c r="T29" s="35">
        <f t="shared" ref="T29" si="64">SUM(J29-SUM(Q29:S29))</f>
        <v>-4042</v>
      </c>
      <c r="U29" s="351">
        <v>-6407</v>
      </c>
      <c r="V29" s="351">
        <v>-4422</v>
      </c>
      <c r="W29" s="351">
        <v>-4046</v>
      </c>
      <c r="X29" s="35">
        <f t="shared" ref="X29" si="65">SUM(K29-SUM(U29:W29))</f>
        <v>-14874</v>
      </c>
      <c r="Y29" s="99">
        <v>-6254</v>
      </c>
      <c r="Z29" s="99">
        <v>-4530</v>
      </c>
      <c r="AA29" s="99">
        <v>-4597</v>
      </c>
      <c r="AB29" s="35"/>
      <c r="AC29" s="35">
        <f t="shared" ref="AC29:AM29" si="66">SUM(N29:Q29)</f>
        <v>-18314</v>
      </c>
      <c r="AD29" s="35">
        <f t="shared" si="66"/>
        <v>-17407</v>
      </c>
      <c r="AE29" s="35">
        <f t="shared" si="66"/>
        <v>-16635</v>
      </c>
      <c r="AF29" s="35">
        <f t="shared" si="66"/>
        <v>-16741</v>
      </c>
      <c r="AG29" s="35">
        <f t="shared" si="66"/>
        <v>-17523</v>
      </c>
      <c r="AH29" s="35">
        <f t="shared" si="66"/>
        <v>-17723</v>
      </c>
      <c r="AI29" s="35">
        <f t="shared" si="66"/>
        <v>-18917</v>
      </c>
      <c r="AJ29" s="35">
        <f t="shared" si="66"/>
        <v>-29749</v>
      </c>
      <c r="AK29" s="35">
        <f t="shared" si="66"/>
        <v>-29596</v>
      </c>
      <c r="AL29" s="35">
        <f t="shared" si="66"/>
        <v>-29704</v>
      </c>
      <c r="AM29" s="35">
        <f t="shared" si="66"/>
        <v>-30255</v>
      </c>
      <c r="AN29" s="48"/>
      <c r="AO29" s="89">
        <f t="shared" si="23"/>
        <v>0.5993550774435692</v>
      </c>
    </row>
    <row r="30" spans="2:41" ht="12.75" customHeight="1">
      <c r="B30" s="14" t="s">
        <v>84</v>
      </c>
      <c r="C30" s="15">
        <f t="shared" ref="C30:F30" si="67">SUM(C27+C29)</f>
        <v>45687</v>
      </c>
      <c r="D30" s="15">
        <f t="shared" si="67"/>
        <v>48351</v>
      </c>
      <c r="E30" s="15">
        <f t="shared" si="67"/>
        <v>59531</v>
      </c>
      <c r="F30" s="15">
        <f t="shared" si="67"/>
        <v>55256</v>
      </c>
      <c r="G30" s="15">
        <f>SUM(G27+G29)</f>
        <v>57411</v>
      </c>
      <c r="H30" s="15">
        <f>SUM(H27+H29)</f>
        <v>94680</v>
      </c>
      <c r="I30" s="15">
        <f t="shared" ref="I30:K30" si="68">SUM(I27+I29)</f>
        <v>99803</v>
      </c>
      <c r="J30" s="15">
        <f t="shared" si="68"/>
        <v>96995</v>
      </c>
      <c r="K30" s="15">
        <f t="shared" si="68"/>
        <v>93736</v>
      </c>
      <c r="L30" s="12"/>
      <c r="M30" s="15">
        <f t="shared" ref="M30:AM30" si="69">SUM(M27+M29)</f>
        <v>34630</v>
      </c>
      <c r="N30" s="15">
        <f t="shared" si="69"/>
        <v>25010</v>
      </c>
      <c r="O30" s="15">
        <f t="shared" si="69"/>
        <v>19442</v>
      </c>
      <c r="P30" s="15">
        <f t="shared" si="69"/>
        <v>20721</v>
      </c>
      <c r="Q30" s="15">
        <f t="shared" si="69"/>
        <v>29998</v>
      </c>
      <c r="R30" s="15">
        <f t="shared" si="69"/>
        <v>24160</v>
      </c>
      <c r="S30" s="15">
        <f t="shared" si="69"/>
        <v>19881</v>
      </c>
      <c r="T30" s="15">
        <f t="shared" si="69"/>
        <v>22956</v>
      </c>
      <c r="U30" s="15">
        <f t="shared" si="69"/>
        <v>33916</v>
      </c>
      <c r="V30" s="15">
        <f t="shared" si="69"/>
        <v>23636</v>
      </c>
      <c r="W30" s="15">
        <f t="shared" si="69"/>
        <v>21448</v>
      </c>
      <c r="X30" s="15">
        <f t="shared" si="69"/>
        <v>14736</v>
      </c>
      <c r="Y30" s="15">
        <f t="shared" si="69"/>
        <v>36330</v>
      </c>
      <c r="Z30" s="15">
        <f t="shared" si="69"/>
        <v>24780</v>
      </c>
      <c r="AA30" s="15">
        <f t="shared" ref="AA30" si="70">SUM(AA27+AA29)</f>
        <v>23434</v>
      </c>
      <c r="AC30" s="15">
        <f t="shared" ref="AC30" si="71">SUM(AC27+AC29)</f>
        <v>95171</v>
      </c>
      <c r="AD30" s="15">
        <f t="shared" ref="AD30:AI30" si="72">SUM(AD27+AD29)</f>
        <v>94321</v>
      </c>
      <c r="AE30" s="15">
        <f t="shared" si="72"/>
        <v>94760</v>
      </c>
      <c r="AF30" s="15">
        <f t="shared" si="72"/>
        <v>96995</v>
      </c>
      <c r="AG30" s="15">
        <f t="shared" si="72"/>
        <v>100913</v>
      </c>
      <c r="AH30" s="15">
        <f t="shared" si="72"/>
        <v>100389</v>
      </c>
      <c r="AI30" s="15">
        <f t="shared" si="72"/>
        <v>101956</v>
      </c>
      <c r="AJ30" s="15">
        <f t="shared" ref="AJ30:AL30" si="73">SUM(AJ27+AJ29)</f>
        <v>93736</v>
      </c>
      <c r="AK30" s="15">
        <f t="shared" si="73"/>
        <v>96150</v>
      </c>
      <c r="AL30" s="15">
        <f t="shared" si="73"/>
        <v>97294</v>
      </c>
      <c r="AM30" s="15">
        <f t="shared" si="69"/>
        <v>99280</v>
      </c>
      <c r="AN30" s="40"/>
      <c r="AO30" s="90">
        <f t="shared" si="23"/>
        <v>-2.6246616187374894E-2</v>
      </c>
    </row>
    <row r="31" spans="2:41" ht="12.75" customHeight="1">
      <c r="B31" s="17" t="s">
        <v>106</v>
      </c>
      <c r="C31" s="19">
        <f t="shared" ref="C31:F31" si="74">C30/C15</f>
        <v>0.211867983064288</v>
      </c>
      <c r="D31" s="19">
        <f t="shared" si="74"/>
        <v>0.21092420845075338</v>
      </c>
      <c r="E31" s="19">
        <f t="shared" si="74"/>
        <v>0.22414202074587247</v>
      </c>
      <c r="F31" s="19">
        <f t="shared" si="74"/>
        <v>0.21238094505984456</v>
      </c>
      <c r="G31" s="19">
        <f>G30/G15</f>
        <v>0.20913611278072236</v>
      </c>
      <c r="H31" s="19">
        <f>H30/H15</f>
        <v>0.25881793355694238</v>
      </c>
      <c r="I31" s="19">
        <f>I30/I15</f>
        <v>0.25309640705199732</v>
      </c>
      <c r="J31" s="19">
        <f>J30/J15</f>
        <v>0.25306234264320282</v>
      </c>
      <c r="K31" s="19">
        <f>K30/K15</f>
        <v>0.23971255769943867</v>
      </c>
      <c r="L31" s="30"/>
      <c r="M31" s="19">
        <f t="shared" ref="M31:AA31" si="75">M30/M15</f>
        <v>0.27939812013393039</v>
      </c>
      <c r="N31" s="19">
        <f t="shared" si="75"/>
        <v>0.25709821336787353</v>
      </c>
      <c r="O31" s="19">
        <f t="shared" si="75"/>
        <v>0.23435673043310551</v>
      </c>
      <c r="P31" s="19">
        <f t="shared" si="75"/>
        <v>0.22986044860559537</v>
      </c>
      <c r="Q31" s="19">
        <f t="shared" si="75"/>
        <v>0.2560561312460522</v>
      </c>
      <c r="R31" s="19">
        <f t="shared" si="75"/>
        <v>0.25475557805052934</v>
      </c>
      <c r="S31" s="19">
        <f t="shared" si="75"/>
        <v>0.24305292370135825</v>
      </c>
      <c r="T31" s="19">
        <f t="shared" si="75"/>
        <v>0.25649735189613176</v>
      </c>
      <c r="U31" s="19">
        <f t="shared" si="75"/>
        <v>0.28363788417311309</v>
      </c>
      <c r="V31" s="19">
        <f t="shared" si="75"/>
        <v>0.26044318094167684</v>
      </c>
      <c r="W31" s="19">
        <f t="shared" si="75"/>
        <v>0.25004371801298714</v>
      </c>
      <c r="X31" s="19">
        <f t="shared" si="75"/>
        <v>0.15523016959865163</v>
      </c>
      <c r="Y31" s="19">
        <f t="shared" si="75"/>
        <v>0.29227674979887369</v>
      </c>
      <c r="Z31" s="19">
        <f t="shared" si="75"/>
        <v>0.25986010759341016</v>
      </c>
      <c r="AA31" s="19">
        <f t="shared" si="75"/>
        <v>0.24920243311072354</v>
      </c>
      <c r="AB31" s="31"/>
      <c r="AC31" s="19">
        <f t="shared" ref="AC31:AM31" si="76">AC30/AC15</f>
        <v>0.24557913179902821</v>
      </c>
      <c r="AD31" s="19">
        <f t="shared" si="76"/>
        <v>0.24492917332086889</v>
      </c>
      <c r="AE31" s="19">
        <f t="shared" si="76"/>
        <v>0.2468138972164414</v>
      </c>
      <c r="AF31" s="19">
        <f t="shared" si="76"/>
        <v>0.25306234264320282</v>
      </c>
      <c r="AG31" s="19">
        <f t="shared" si="76"/>
        <v>0.26163191653746637</v>
      </c>
      <c r="AH31" s="19">
        <f t="shared" si="76"/>
        <v>0.26305804419544943</v>
      </c>
      <c r="AI31" s="19">
        <f t="shared" si="76"/>
        <v>0.26440665658721535</v>
      </c>
      <c r="AJ31" s="19">
        <f t="shared" si="76"/>
        <v>0.23971255769943867</v>
      </c>
      <c r="AK31" s="19">
        <f t="shared" si="76"/>
        <v>0.24295027289266222</v>
      </c>
      <c r="AL31" s="19">
        <f t="shared" si="76"/>
        <v>0.24301264343126039</v>
      </c>
      <c r="AM31" s="19">
        <f t="shared" si="76"/>
        <v>0.24296115019883757</v>
      </c>
      <c r="AN31" s="48"/>
      <c r="AO31" s="91">
        <f>SUM(AM31-AI31)*1000</f>
        <v>-21.445506388377776</v>
      </c>
    </row>
    <row r="32" spans="2:41" ht="5.0999999999999996" customHeight="1">
      <c r="B32" s="17"/>
      <c r="C32" s="19"/>
      <c r="D32" s="19"/>
      <c r="E32" s="19"/>
      <c r="F32" s="19"/>
      <c r="G32" s="19"/>
      <c r="H32" s="19"/>
      <c r="I32" s="19"/>
      <c r="J32" s="19"/>
      <c r="K32" s="19"/>
      <c r="L32" s="30"/>
      <c r="M32" s="19"/>
      <c r="N32" s="19"/>
      <c r="O32" s="19"/>
      <c r="P32" s="19"/>
      <c r="Q32" s="19"/>
      <c r="R32" s="19"/>
      <c r="S32" s="19"/>
      <c r="T32" s="19"/>
      <c r="U32" s="19"/>
      <c r="V32" s="19"/>
      <c r="W32" s="19"/>
      <c r="X32" s="19"/>
      <c r="Y32" s="19"/>
      <c r="Z32" s="19"/>
      <c r="AA32" s="19"/>
      <c r="AB32" s="31"/>
      <c r="AC32" s="19"/>
      <c r="AD32" s="19"/>
      <c r="AE32" s="19"/>
      <c r="AF32" s="19"/>
      <c r="AG32" s="19"/>
      <c r="AH32" s="19"/>
      <c r="AI32" s="19"/>
      <c r="AJ32" s="19"/>
      <c r="AK32" s="19"/>
      <c r="AL32" s="19"/>
      <c r="AM32" s="19"/>
      <c r="AN32" s="48"/>
      <c r="AO32" s="91"/>
    </row>
    <row r="33" spans="1:41" ht="12.75" customHeight="1">
      <c r="B33" s="52" t="s">
        <v>107</v>
      </c>
      <c r="C33" s="99">
        <v>21883.281000000003</v>
      </c>
      <c r="D33" s="99">
        <v>20868.968000000001</v>
      </c>
      <c r="E33" s="99">
        <v>19821.510000000002</v>
      </c>
      <c r="F33" s="99">
        <v>18471.335999999999</v>
      </c>
      <c r="G33" s="99">
        <v>17352.118999999999</v>
      </c>
      <c r="H33" s="99">
        <v>16701.272000000001</v>
      </c>
      <c r="I33" s="99">
        <v>16215.963</v>
      </c>
      <c r="J33" s="99">
        <v>15744.231</v>
      </c>
      <c r="K33" s="99">
        <v>15343.782999999999</v>
      </c>
      <c r="L33" s="30"/>
      <c r="M33" s="99">
        <v>16391.723999999998</v>
      </c>
      <c r="N33" s="99">
        <v>16278.802</v>
      </c>
      <c r="O33" s="99">
        <v>16162.945</v>
      </c>
      <c r="P33" s="35">
        <f>I33</f>
        <v>16215.963</v>
      </c>
      <c r="Q33" s="99">
        <v>15892.723</v>
      </c>
      <c r="R33" s="99">
        <v>15787.154</v>
      </c>
      <c r="S33" s="99">
        <v>15697.614</v>
      </c>
      <c r="T33" s="35">
        <f>J33</f>
        <v>15744.231</v>
      </c>
      <c r="U33" s="351">
        <v>15509.763000000001</v>
      </c>
      <c r="V33" s="351">
        <v>15405.856</v>
      </c>
      <c r="W33" s="351">
        <v>15287.521000000001</v>
      </c>
      <c r="X33" s="35">
        <f>K33</f>
        <v>15343.782999999999</v>
      </c>
      <c r="Y33" s="99">
        <v>15081.724</v>
      </c>
      <c r="Z33" s="99">
        <v>14994.082</v>
      </c>
      <c r="AA33" s="99">
        <v>14902.886</v>
      </c>
      <c r="AB33" s="31"/>
      <c r="AC33" s="35">
        <f t="shared" ref="AC33:AM33" si="77">Q33</f>
        <v>15892.723</v>
      </c>
      <c r="AD33" s="35">
        <f t="shared" si="77"/>
        <v>15787.154</v>
      </c>
      <c r="AE33" s="35">
        <f t="shared" si="77"/>
        <v>15697.614</v>
      </c>
      <c r="AF33" s="35">
        <f t="shared" si="77"/>
        <v>15744.231</v>
      </c>
      <c r="AG33" s="35">
        <f t="shared" si="77"/>
        <v>15509.763000000001</v>
      </c>
      <c r="AH33" s="35">
        <f t="shared" si="77"/>
        <v>15405.856</v>
      </c>
      <c r="AI33" s="35">
        <f t="shared" si="77"/>
        <v>15287.521000000001</v>
      </c>
      <c r="AJ33" s="35">
        <f t="shared" si="77"/>
        <v>15343.782999999999</v>
      </c>
      <c r="AK33" s="35">
        <f t="shared" si="77"/>
        <v>15081.724</v>
      </c>
      <c r="AL33" s="35">
        <f t="shared" si="77"/>
        <v>14994.082</v>
      </c>
      <c r="AM33" s="35">
        <f t="shared" si="77"/>
        <v>14902.886</v>
      </c>
      <c r="AN33" s="48"/>
      <c r="AO33" s="91"/>
    </row>
    <row r="34" spans="1:41" ht="12.75" customHeight="1">
      <c r="B34" s="14" t="s">
        <v>108</v>
      </c>
      <c r="C34" s="92">
        <f t="shared" ref="C34:F34" si="78">C30/C33</f>
        <v>2.0877582296731463</v>
      </c>
      <c r="D34" s="92">
        <f t="shared" si="78"/>
        <v>2.3168850515272243</v>
      </c>
      <c r="E34" s="92">
        <f t="shared" si="78"/>
        <v>3.0033534276651976</v>
      </c>
      <c r="F34" s="92">
        <f t="shared" si="78"/>
        <v>2.9914457730615696</v>
      </c>
      <c r="G34" s="92">
        <f>G30/G33</f>
        <v>3.3085872682177895</v>
      </c>
      <c r="H34" s="92">
        <f t="shared" ref="H34:K34" si="79">H30/H33</f>
        <v>5.6690292811230183</v>
      </c>
      <c r="I34" s="92">
        <f t="shared" si="79"/>
        <v>6.1546144376377772</v>
      </c>
      <c r="J34" s="92">
        <f t="shared" si="79"/>
        <v>6.1606692635543778</v>
      </c>
      <c r="K34" s="92">
        <f t="shared" si="79"/>
        <v>6.1090540709549925</v>
      </c>
      <c r="L34" s="12"/>
      <c r="M34" s="92">
        <f t="shared" ref="M34" si="80">M30/M33</f>
        <v>2.1126514819307598</v>
      </c>
      <c r="N34" s="92">
        <f t="shared" ref="N34" si="81">N30/N33</f>
        <v>1.5363538422544853</v>
      </c>
      <c r="O34" s="92">
        <f t="shared" ref="O34" si="82">O30/O33</f>
        <v>1.2028748473746584</v>
      </c>
      <c r="P34" s="92">
        <f t="shared" ref="P34" si="83">P30/P33</f>
        <v>1.2778149530804923</v>
      </c>
      <c r="Q34" s="92">
        <f t="shared" ref="Q34" si="84">Q30/Q33</f>
        <v>1.8875305383476451</v>
      </c>
      <c r="R34" s="92">
        <f t="shared" ref="R34" si="85">R30/R33</f>
        <v>1.5303581633523053</v>
      </c>
      <c r="S34" s="92">
        <f t="shared" ref="S34" si="86">S30/S33</f>
        <v>1.2664982079442137</v>
      </c>
      <c r="T34" s="92">
        <f t="shared" ref="T34" si="87">T30/T33</f>
        <v>1.4580578752941316</v>
      </c>
      <c r="U34" s="92">
        <f t="shared" ref="U34" si="88">U30/U33</f>
        <v>2.1867516608732189</v>
      </c>
      <c r="V34" s="92">
        <f t="shared" ref="V34" si="89">V30/V33</f>
        <v>1.5342217920250585</v>
      </c>
      <c r="W34" s="92">
        <f t="shared" ref="W34" si="90">W30/W33</f>
        <v>1.4029743605912299</v>
      </c>
      <c r="X34" s="92">
        <f t="shared" ref="X34" si="91">X30/X33</f>
        <v>0.96038897317565042</v>
      </c>
      <c r="Y34" s="92">
        <f t="shared" ref="Y34" si="92">Y30/Y33</f>
        <v>2.408875802262394</v>
      </c>
      <c r="Z34" s="92">
        <f t="shared" ref="Z34" si="93">Z30/Z33</f>
        <v>1.6526520263127813</v>
      </c>
      <c r="AA34" s="92">
        <f t="shared" ref="AA34" si="94">AA30/AA33</f>
        <v>1.5724471085667568</v>
      </c>
      <c r="AB34" s="31"/>
      <c r="AC34" s="92">
        <f t="shared" ref="AC34:AD34" si="95">AC30/AC33</f>
        <v>5.9883381847151052</v>
      </c>
      <c r="AD34" s="92">
        <f t="shared" si="95"/>
        <v>5.9745410730775159</v>
      </c>
      <c r="AE34" s="92">
        <f t="shared" ref="AE34" si="96">AE30/AE33</f>
        <v>6.0365861971125039</v>
      </c>
      <c r="AF34" s="92">
        <f t="shared" ref="AF34" si="97">AF30/AF33</f>
        <v>6.1606692635543778</v>
      </c>
      <c r="AG34" s="92">
        <f t="shared" ref="AG34" si="98">AG30/AG33</f>
        <v>6.5064179252771304</v>
      </c>
      <c r="AH34" s="92">
        <f t="shared" ref="AH34" si="99">AH30/AH33</f>
        <v>6.5162883516501777</v>
      </c>
      <c r="AI34" s="92">
        <f t="shared" ref="AI34" si="100">AI30/AI33</f>
        <v>6.6692304134856135</v>
      </c>
      <c r="AJ34" s="92">
        <f t="shared" ref="AJ34" si="101">AJ30/AJ33</f>
        <v>6.1090540709549925</v>
      </c>
      <c r="AK34" s="92">
        <f t="shared" ref="AK34" si="102">AK30/AK33</f>
        <v>6.375265851569754</v>
      </c>
      <c r="AL34" s="92">
        <f t="shared" ref="AL34" si="103">AL30/AL33</f>
        <v>6.4888267251039444</v>
      </c>
      <c r="AM34" s="92">
        <f t="shared" ref="AM34" si="104">AM30/AM33</f>
        <v>6.6617969163825048</v>
      </c>
      <c r="AN34" s="40"/>
      <c r="AO34" s="90">
        <f t="shared" ref="AO34" si="105">SUM(AM34/AI34)-1</f>
        <v>-1.1145959341991585E-3</v>
      </c>
    </row>
    <row r="35" spans="1:41" ht="5.0999999999999996" customHeight="1">
      <c r="B35" s="17"/>
      <c r="C35" s="19"/>
      <c r="D35" s="19"/>
      <c r="E35" s="19"/>
      <c r="F35" s="19"/>
      <c r="G35" s="19"/>
      <c r="H35" s="19"/>
      <c r="I35" s="19"/>
      <c r="J35" s="19"/>
      <c r="K35" s="19"/>
      <c r="L35" s="30"/>
      <c r="M35" s="19"/>
      <c r="N35" s="19"/>
      <c r="O35" s="19"/>
      <c r="P35" s="35"/>
      <c r="Q35" s="19"/>
      <c r="R35" s="19"/>
      <c r="S35" s="19"/>
      <c r="T35" s="19"/>
      <c r="U35" s="19"/>
      <c r="V35" s="19"/>
      <c r="W35" s="19"/>
      <c r="X35" s="19"/>
      <c r="Y35" s="19"/>
      <c r="Z35" s="19"/>
      <c r="AA35" s="19"/>
      <c r="AB35" s="31"/>
      <c r="AC35" s="19"/>
      <c r="AD35" s="19"/>
      <c r="AE35" s="19"/>
      <c r="AF35" s="19"/>
      <c r="AG35" s="19"/>
      <c r="AH35" s="19"/>
      <c r="AI35" s="19"/>
      <c r="AJ35" s="19"/>
      <c r="AK35" s="19"/>
      <c r="AL35" s="19"/>
      <c r="AM35" s="19"/>
      <c r="AN35" s="48"/>
      <c r="AO35" s="91"/>
    </row>
    <row r="36" spans="1:41" ht="12.75" customHeight="1">
      <c r="B36" s="52" t="s">
        <v>109</v>
      </c>
      <c r="C36" s="99">
        <v>22001.127</v>
      </c>
      <c r="D36" s="99">
        <v>21006.767</v>
      </c>
      <c r="E36" s="99">
        <v>20000.436000000002</v>
      </c>
      <c r="F36" s="99">
        <v>18595.651000000002</v>
      </c>
      <c r="G36" s="99">
        <v>17528.214</v>
      </c>
      <c r="H36" s="99">
        <v>16864.919000000002</v>
      </c>
      <c r="I36" s="99">
        <v>16325.819</v>
      </c>
      <c r="J36" s="99">
        <v>15812.547</v>
      </c>
      <c r="K36" s="99">
        <v>15408.094999999999</v>
      </c>
      <c r="L36" s="30"/>
      <c r="M36" s="99">
        <v>16519.291000000001</v>
      </c>
      <c r="N36" s="99">
        <v>16403.315999999999</v>
      </c>
      <c r="O36" s="99">
        <v>16262.203</v>
      </c>
      <c r="P36" s="35">
        <f>I36</f>
        <v>16325.819</v>
      </c>
      <c r="Q36" s="99">
        <v>15955.718000000001</v>
      </c>
      <c r="R36" s="99">
        <v>15847.05</v>
      </c>
      <c r="S36" s="99">
        <v>15775.021000000001</v>
      </c>
      <c r="T36" s="35">
        <f>J36</f>
        <v>15812.547</v>
      </c>
      <c r="U36" s="351">
        <v>15576.641</v>
      </c>
      <c r="V36" s="351">
        <v>15464.709000000001</v>
      </c>
      <c r="W36" s="351">
        <v>15348.174999999999</v>
      </c>
      <c r="X36" s="35">
        <f>K36</f>
        <v>15408.094999999999</v>
      </c>
      <c r="Y36" s="99">
        <v>15150.865</v>
      </c>
      <c r="Z36" s="99">
        <v>15056.133</v>
      </c>
      <c r="AA36" s="99">
        <v>14948.179</v>
      </c>
      <c r="AB36" s="35"/>
      <c r="AC36" s="35">
        <f t="shared" ref="AC36:AM36" si="106">Q36</f>
        <v>15955.718000000001</v>
      </c>
      <c r="AD36" s="35">
        <f t="shared" si="106"/>
        <v>15847.05</v>
      </c>
      <c r="AE36" s="35">
        <f t="shared" si="106"/>
        <v>15775.021000000001</v>
      </c>
      <c r="AF36" s="35">
        <f t="shared" si="106"/>
        <v>15812.547</v>
      </c>
      <c r="AG36" s="35">
        <f t="shared" si="106"/>
        <v>15576.641</v>
      </c>
      <c r="AH36" s="35">
        <f t="shared" si="106"/>
        <v>15464.709000000001</v>
      </c>
      <c r="AI36" s="35">
        <f t="shared" si="106"/>
        <v>15348.174999999999</v>
      </c>
      <c r="AJ36" s="35">
        <f t="shared" si="106"/>
        <v>15408.094999999999</v>
      </c>
      <c r="AK36" s="35">
        <f t="shared" si="106"/>
        <v>15150.865</v>
      </c>
      <c r="AL36" s="35">
        <f t="shared" si="106"/>
        <v>15056.133</v>
      </c>
      <c r="AM36" s="35">
        <f t="shared" si="106"/>
        <v>14948.179</v>
      </c>
      <c r="AN36" s="48"/>
      <c r="AO36" s="91"/>
    </row>
    <row r="37" spans="1:41" ht="12.75" customHeight="1">
      <c r="B37" s="14" t="s">
        <v>110</v>
      </c>
      <c r="C37" s="92">
        <f t="shared" ref="C37:F37" si="107">C30/C36</f>
        <v>2.0765754408853692</v>
      </c>
      <c r="D37" s="92">
        <f t="shared" si="107"/>
        <v>2.301686880232451</v>
      </c>
      <c r="E37" s="92">
        <f t="shared" si="107"/>
        <v>2.9764851126245446</v>
      </c>
      <c r="F37" s="92">
        <f t="shared" si="107"/>
        <v>2.9714474637107351</v>
      </c>
      <c r="G37" s="92">
        <f>G30/G36</f>
        <v>3.2753479618630856</v>
      </c>
      <c r="H37" s="92">
        <f t="shared" ref="H37:K37" si="108">H30/H36</f>
        <v>5.6140204408927188</v>
      </c>
      <c r="I37" s="92">
        <f t="shared" si="108"/>
        <v>6.1132002014722815</v>
      </c>
      <c r="J37" s="92">
        <f t="shared" si="108"/>
        <v>6.1340529138031972</v>
      </c>
      <c r="K37" s="92">
        <f t="shared" si="108"/>
        <v>6.0835554297919376</v>
      </c>
      <c r="L37" s="30"/>
      <c r="M37" s="92">
        <f t="shared" ref="M37" si="109">M30/M36</f>
        <v>2.0963369432743812</v>
      </c>
      <c r="N37" s="92">
        <f t="shared" ref="N37" si="110">N30/N36</f>
        <v>1.5246917147727936</v>
      </c>
      <c r="O37" s="92">
        <f t="shared" ref="O37" si="111">O30/O36</f>
        <v>1.1955329791418789</v>
      </c>
      <c r="P37" s="92">
        <f t="shared" ref="P37" si="112">P30/P36</f>
        <v>1.2692165703907412</v>
      </c>
      <c r="Q37" s="92">
        <f t="shared" ref="Q37" si="113">Q30/Q36</f>
        <v>1.8800783518485347</v>
      </c>
      <c r="R37" s="92">
        <f t="shared" ref="R37" si="114">R30/R36</f>
        <v>1.5245739743359175</v>
      </c>
      <c r="S37" s="92">
        <f t="shared" ref="S37" si="115">S30/S36</f>
        <v>1.2602835837746269</v>
      </c>
      <c r="T37" s="92">
        <f t="shared" ref="T37" si="116">T30/T36</f>
        <v>1.4517585307414422</v>
      </c>
      <c r="U37" s="92">
        <f t="shared" ref="U37" si="117">U30/U36</f>
        <v>2.1773628858750742</v>
      </c>
      <c r="V37" s="92">
        <f t="shared" ref="V37" si="118">V30/V36</f>
        <v>1.5283831076291186</v>
      </c>
      <c r="W37" s="92">
        <f t="shared" ref="W37" si="119">W30/W36</f>
        <v>1.3974299876043894</v>
      </c>
      <c r="X37" s="92">
        <f t="shared" ref="X37" si="120">X30/X36</f>
        <v>0.95638039614890746</v>
      </c>
      <c r="Y37" s="92">
        <f t="shared" ref="Y37" si="121">Y30/Y36</f>
        <v>2.3978828931549452</v>
      </c>
      <c r="Z37" s="92">
        <f t="shared" ref="Z37" si="122">Z30/Z36</f>
        <v>1.6458409340565736</v>
      </c>
      <c r="AA37" s="92">
        <f t="shared" ref="AA37" si="123">AA30/AA36</f>
        <v>1.5676825919732431</v>
      </c>
      <c r="AB37" s="35"/>
      <c r="AC37" s="92">
        <f t="shared" ref="AC37:AD37" si="124">AC30/AC36</f>
        <v>5.9646955404952626</v>
      </c>
      <c r="AD37" s="92">
        <f t="shared" si="124"/>
        <v>5.9519595129692915</v>
      </c>
      <c r="AE37" s="92">
        <f t="shared" ref="AE37" si="125">AE30/AE36</f>
        <v>6.0069650620433404</v>
      </c>
      <c r="AF37" s="92">
        <f t="shared" ref="AF37" si="126">AF30/AF36</f>
        <v>6.1340529138031972</v>
      </c>
      <c r="AG37" s="92">
        <f t="shared" ref="AG37" si="127">AG30/AG36</f>
        <v>6.4784827486234038</v>
      </c>
      <c r="AH37" s="92">
        <f t="shared" ref="AH37" si="128">AH30/AH36</f>
        <v>6.4914897525714839</v>
      </c>
      <c r="AI37" s="92">
        <f t="shared" ref="AI37" si="129">AI30/AI36</f>
        <v>6.6428744785617839</v>
      </c>
      <c r="AJ37" s="92">
        <f t="shared" ref="AJ37" si="130">AJ30/AJ36</f>
        <v>6.0835554297919376</v>
      </c>
      <c r="AK37" s="92">
        <f t="shared" ref="AK37" si="131">AK30/AK36</f>
        <v>6.3461723142540043</v>
      </c>
      <c r="AL37" s="92">
        <f t="shared" ref="AL37" si="132">AL30/AL36</f>
        <v>6.4620842549677269</v>
      </c>
      <c r="AM37" s="92">
        <f t="shared" ref="AM37" si="133">AM30/AM36</f>
        <v>6.6416116638688898</v>
      </c>
      <c r="AN37" s="40"/>
      <c r="AO37" s="90">
        <f t="shared" ref="AO37" si="134">SUM(AM37/AI37)-1</f>
        <v>-1.9010064046365294E-4</v>
      </c>
    </row>
    <row r="38" spans="1:41">
      <c r="B38" s="17"/>
      <c r="C38" s="19"/>
      <c r="D38" s="19"/>
      <c r="E38" s="19"/>
      <c r="F38" s="19"/>
      <c r="G38" s="19"/>
      <c r="H38" s="19"/>
      <c r="I38" s="19"/>
      <c r="J38" s="19"/>
      <c r="K38" s="19"/>
      <c r="L38" s="30"/>
      <c r="M38" s="19"/>
      <c r="N38" s="19"/>
      <c r="O38" s="19"/>
      <c r="P38" s="19"/>
      <c r="Q38" s="19"/>
      <c r="R38" s="19"/>
      <c r="S38" s="19"/>
      <c r="T38" s="19"/>
      <c r="U38" s="19"/>
      <c r="V38" s="19"/>
      <c r="W38" s="19"/>
      <c r="X38" s="19"/>
      <c r="Y38" s="19"/>
      <c r="Z38" s="19"/>
      <c r="AA38" s="19"/>
      <c r="AB38" s="31"/>
      <c r="AC38" s="19"/>
      <c r="AD38" s="19"/>
      <c r="AE38" s="19"/>
      <c r="AF38" s="19"/>
      <c r="AG38" s="19"/>
      <c r="AH38" s="19"/>
      <c r="AI38" s="19"/>
      <c r="AJ38" s="19"/>
      <c r="AK38" s="19"/>
      <c r="AL38" s="19"/>
      <c r="AM38" s="19"/>
      <c r="AN38" s="48"/>
      <c r="AO38" s="404"/>
    </row>
    <row r="39" spans="1:41" ht="12.75" customHeight="1">
      <c r="A39" s="5" t="s">
        <v>25</v>
      </c>
      <c r="B39" s="422" t="s">
        <v>509</v>
      </c>
      <c r="C39" s="423" t="s">
        <v>0</v>
      </c>
      <c r="D39" s="423"/>
      <c r="E39" s="423"/>
      <c r="F39" s="423"/>
      <c r="G39" s="423"/>
      <c r="H39" s="423"/>
      <c r="I39" s="423"/>
      <c r="J39" s="423"/>
      <c r="K39" s="423"/>
      <c r="L39" s="424"/>
      <c r="M39" s="423" t="s">
        <v>1</v>
      </c>
      <c r="N39" s="423"/>
      <c r="O39" s="423"/>
      <c r="P39" s="423"/>
      <c r="Q39" s="423"/>
      <c r="R39" s="423"/>
      <c r="S39" s="423"/>
      <c r="T39" s="423"/>
      <c r="U39" s="423"/>
      <c r="V39" s="423"/>
      <c r="W39" s="423"/>
      <c r="X39" s="423"/>
      <c r="Y39" s="423"/>
      <c r="Z39" s="423"/>
      <c r="AA39" s="423"/>
      <c r="AB39" s="425"/>
      <c r="AC39" s="423"/>
      <c r="AD39" s="423"/>
      <c r="AE39" s="423"/>
      <c r="AF39" s="423"/>
      <c r="AG39" s="423"/>
      <c r="AH39" s="423"/>
      <c r="AI39" s="423" t="s">
        <v>10</v>
      </c>
      <c r="AJ39" s="423"/>
      <c r="AK39" s="423"/>
      <c r="AL39" s="423"/>
      <c r="AM39" s="423"/>
      <c r="AN39" s="424"/>
      <c r="AO39" s="426" t="s">
        <v>38</v>
      </c>
    </row>
    <row r="40" spans="1:41" ht="12.75" customHeight="1">
      <c r="B40" s="427" t="str">
        <f>B11</f>
        <v>Fiscal Period</v>
      </c>
      <c r="C40" s="428">
        <f>C11</f>
        <v>2016</v>
      </c>
      <c r="D40" s="428">
        <f t="shared" ref="D40:K40" si="135">D11</f>
        <v>2017</v>
      </c>
      <c r="E40" s="428">
        <f t="shared" si="135"/>
        <v>2018</v>
      </c>
      <c r="F40" s="428">
        <f t="shared" si="135"/>
        <v>2019</v>
      </c>
      <c r="G40" s="428">
        <f t="shared" si="135"/>
        <v>2020</v>
      </c>
      <c r="H40" s="428">
        <f t="shared" si="135"/>
        <v>2021</v>
      </c>
      <c r="I40" s="428">
        <f t="shared" si="135"/>
        <v>2022</v>
      </c>
      <c r="J40" s="428">
        <f t="shared" si="135"/>
        <v>2023</v>
      </c>
      <c r="K40" s="428">
        <f t="shared" si="135"/>
        <v>2024</v>
      </c>
      <c r="L40" s="424"/>
      <c r="M40" s="428" t="str">
        <f t="shared" ref="M40:AA40" si="136">M11</f>
        <v>1Q22</v>
      </c>
      <c r="N40" s="428" t="str">
        <f t="shared" si="136"/>
        <v>2Q22</v>
      </c>
      <c r="O40" s="428" t="str">
        <f t="shared" si="136"/>
        <v>3Q22</v>
      </c>
      <c r="P40" s="428" t="str">
        <f t="shared" si="136"/>
        <v>4Q22</v>
      </c>
      <c r="Q40" s="428" t="str">
        <f t="shared" si="136"/>
        <v>1Q23</v>
      </c>
      <c r="R40" s="428" t="str">
        <f t="shared" si="136"/>
        <v>2Q23</v>
      </c>
      <c r="S40" s="428" t="str">
        <f t="shared" si="136"/>
        <v>3Q23</v>
      </c>
      <c r="T40" s="428" t="str">
        <f t="shared" si="136"/>
        <v>4Q23</v>
      </c>
      <c r="U40" s="428" t="str">
        <f t="shared" si="136"/>
        <v>1Q24</v>
      </c>
      <c r="V40" s="428" t="str">
        <f t="shared" si="136"/>
        <v>2Q24</v>
      </c>
      <c r="W40" s="428" t="str">
        <f t="shared" si="136"/>
        <v>3Q24</v>
      </c>
      <c r="X40" s="428" t="str">
        <f t="shared" si="136"/>
        <v>4Q24</v>
      </c>
      <c r="Y40" s="428" t="str">
        <f t="shared" si="136"/>
        <v>1Q25</v>
      </c>
      <c r="Z40" s="428" t="str">
        <f t="shared" si="136"/>
        <v>2Q25</v>
      </c>
      <c r="AA40" s="428" t="str">
        <f t="shared" si="136"/>
        <v>3Q25</v>
      </c>
      <c r="AB40" s="429"/>
      <c r="AC40" s="428" t="str">
        <f t="shared" ref="AC40:AM40" si="137">AC11</f>
        <v>1Q23</v>
      </c>
      <c r="AD40" s="428" t="str">
        <f t="shared" si="137"/>
        <v>2Q23</v>
      </c>
      <c r="AE40" s="428" t="str">
        <f t="shared" si="137"/>
        <v>3Q23</v>
      </c>
      <c r="AF40" s="428" t="str">
        <f t="shared" si="137"/>
        <v>4Q23</v>
      </c>
      <c r="AG40" s="428" t="str">
        <f t="shared" si="137"/>
        <v>1Q24</v>
      </c>
      <c r="AH40" s="428" t="str">
        <f t="shared" si="137"/>
        <v>2Q24</v>
      </c>
      <c r="AI40" s="428" t="str">
        <f t="shared" si="137"/>
        <v>3Q24</v>
      </c>
      <c r="AJ40" s="428" t="str">
        <f t="shared" si="137"/>
        <v>4Q24</v>
      </c>
      <c r="AK40" s="428" t="str">
        <f t="shared" si="137"/>
        <v>1Q25</v>
      </c>
      <c r="AL40" s="428" t="str">
        <f t="shared" si="137"/>
        <v>2Q25</v>
      </c>
      <c r="AM40" s="428" t="str">
        <f t="shared" si="137"/>
        <v>3Q25</v>
      </c>
      <c r="AN40" s="424"/>
      <c r="AO40" s="426"/>
    </row>
    <row r="41" spans="1:41" ht="12.75" customHeight="1">
      <c r="B41" s="427" t="str">
        <f>B12</f>
        <v>Fiscal Period End Date</v>
      </c>
      <c r="C41" s="430">
        <f>C12</f>
        <v>42643</v>
      </c>
      <c r="D41" s="430">
        <f t="shared" ref="D41:K41" si="138">D12</f>
        <v>43008</v>
      </c>
      <c r="E41" s="430">
        <f t="shared" si="138"/>
        <v>43372</v>
      </c>
      <c r="F41" s="430">
        <f t="shared" si="138"/>
        <v>43737</v>
      </c>
      <c r="G41" s="430">
        <f t="shared" si="138"/>
        <v>44104</v>
      </c>
      <c r="H41" s="430">
        <f t="shared" si="138"/>
        <v>44469</v>
      </c>
      <c r="I41" s="430">
        <f t="shared" si="138"/>
        <v>44834</v>
      </c>
      <c r="J41" s="430">
        <f t="shared" si="138"/>
        <v>45192</v>
      </c>
      <c r="K41" s="430">
        <f t="shared" si="138"/>
        <v>45559</v>
      </c>
      <c r="L41" s="424"/>
      <c r="M41" s="430">
        <f t="shared" ref="M41:AA41" si="139">M12</f>
        <v>44560</v>
      </c>
      <c r="N41" s="430">
        <f t="shared" si="139"/>
        <v>44650</v>
      </c>
      <c r="O41" s="430">
        <f t="shared" si="139"/>
        <v>44742</v>
      </c>
      <c r="P41" s="430">
        <f t="shared" si="139"/>
        <v>44834</v>
      </c>
      <c r="Q41" s="430">
        <f t="shared" si="139"/>
        <v>44917</v>
      </c>
      <c r="R41" s="430">
        <f t="shared" si="139"/>
        <v>45008</v>
      </c>
      <c r="S41" s="430">
        <f t="shared" si="139"/>
        <v>45100</v>
      </c>
      <c r="T41" s="430">
        <f t="shared" si="139"/>
        <v>45192</v>
      </c>
      <c r="U41" s="430">
        <f t="shared" si="139"/>
        <v>45283</v>
      </c>
      <c r="V41" s="430">
        <f t="shared" si="139"/>
        <v>45375</v>
      </c>
      <c r="W41" s="430">
        <f t="shared" si="139"/>
        <v>45467</v>
      </c>
      <c r="X41" s="430">
        <f t="shared" si="139"/>
        <v>45559</v>
      </c>
      <c r="Y41" s="430">
        <f t="shared" si="139"/>
        <v>45650</v>
      </c>
      <c r="Z41" s="430">
        <f t="shared" si="139"/>
        <v>45741</v>
      </c>
      <c r="AA41" s="430">
        <f t="shared" si="139"/>
        <v>45833</v>
      </c>
      <c r="AB41" s="431"/>
      <c r="AC41" s="430">
        <f t="shared" ref="AC41:AM41" si="140">AC12</f>
        <v>44917</v>
      </c>
      <c r="AD41" s="430">
        <f t="shared" si="140"/>
        <v>45008</v>
      </c>
      <c r="AE41" s="430">
        <f t="shared" si="140"/>
        <v>45100</v>
      </c>
      <c r="AF41" s="430">
        <f t="shared" si="140"/>
        <v>45192</v>
      </c>
      <c r="AG41" s="430">
        <f t="shared" si="140"/>
        <v>45283</v>
      </c>
      <c r="AH41" s="430">
        <f t="shared" si="140"/>
        <v>45375</v>
      </c>
      <c r="AI41" s="430">
        <f t="shared" si="140"/>
        <v>45467</v>
      </c>
      <c r="AJ41" s="430">
        <f t="shared" si="140"/>
        <v>45559</v>
      </c>
      <c r="AK41" s="430">
        <f t="shared" si="140"/>
        <v>45650</v>
      </c>
      <c r="AL41" s="430">
        <f t="shared" si="140"/>
        <v>45741</v>
      </c>
      <c r="AM41" s="430">
        <f t="shared" si="140"/>
        <v>45833</v>
      </c>
      <c r="AN41" s="424"/>
      <c r="AO41" s="426"/>
    </row>
    <row r="42" spans="1:41" ht="5.0999999999999996" customHeight="1">
      <c r="B42" s="54"/>
      <c r="C42" s="55"/>
      <c r="D42" s="55"/>
      <c r="E42" s="55"/>
      <c r="F42" s="55"/>
      <c r="G42" s="55"/>
      <c r="H42" s="55"/>
      <c r="I42" s="55"/>
      <c r="J42" s="55"/>
      <c r="K42" s="55"/>
    </row>
    <row r="43" spans="1:41" ht="12.75" customHeight="1">
      <c r="B43" s="10" t="s">
        <v>284</v>
      </c>
      <c r="C43" s="99">
        <v>20484</v>
      </c>
      <c r="D43" s="99">
        <v>20289</v>
      </c>
      <c r="E43" s="99">
        <v>25913</v>
      </c>
      <c r="F43" s="99">
        <v>48844</v>
      </c>
      <c r="G43" s="99">
        <v>38016</v>
      </c>
      <c r="H43" s="99">
        <v>34940</v>
      </c>
      <c r="I43" s="99">
        <v>23646</v>
      </c>
      <c r="J43" s="99">
        <v>29965</v>
      </c>
      <c r="K43" s="99">
        <v>29943</v>
      </c>
      <c r="M43" s="99">
        <v>37119</v>
      </c>
      <c r="N43" s="99">
        <v>28098</v>
      </c>
      <c r="O43" s="99">
        <v>27502</v>
      </c>
      <c r="P43" s="35">
        <f t="shared" ref="P43:P47" si="141">I43</f>
        <v>23646</v>
      </c>
      <c r="Q43" s="99">
        <v>20535</v>
      </c>
      <c r="R43" s="99">
        <v>24687</v>
      </c>
      <c r="S43" s="99">
        <v>28408</v>
      </c>
      <c r="T43" s="35">
        <f t="shared" ref="T43:T47" si="142">J43</f>
        <v>29965</v>
      </c>
      <c r="U43" s="99">
        <v>40760</v>
      </c>
      <c r="V43" s="99">
        <v>32695</v>
      </c>
      <c r="W43" s="99">
        <v>25565</v>
      </c>
      <c r="X43" s="35">
        <f t="shared" ref="X43:X47" si="143">K43</f>
        <v>29943</v>
      </c>
      <c r="Y43" s="99">
        <v>30299</v>
      </c>
      <c r="Z43" s="99">
        <v>28162</v>
      </c>
      <c r="AA43" s="99">
        <v>36269</v>
      </c>
      <c r="AC43" s="35">
        <f t="shared" ref="AC43:AK47" si="144">Q43</f>
        <v>20535</v>
      </c>
      <c r="AD43" s="35">
        <f t="shared" si="144"/>
        <v>24687</v>
      </c>
      <c r="AE43" s="35">
        <f t="shared" si="144"/>
        <v>28408</v>
      </c>
      <c r="AF43" s="35">
        <f t="shared" si="144"/>
        <v>29965</v>
      </c>
      <c r="AG43" s="35">
        <f t="shared" si="144"/>
        <v>40760</v>
      </c>
      <c r="AH43" s="35">
        <f t="shared" si="144"/>
        <v>32695</v>
      </c>
      <c r="AI43" s="35">
        <f t="shared" si="144"/>
        <v>25565</v>
      </c>
      <c r="AJ43" s="35">
        <f t="shared" si="144"/>
        <v>29943</v>
      </c>
      <c r="AK43" s="35">
        <f t="shared" si="144"/>
        <v>30299</v>
      </c>
      <c r="AL43" s="35">
        <f t="shared" ref="AL43:AL47" si="145">Z43</f>
        <v>28162</v>
      </c>
      <c r="AM43" s="35">
        <f>AA43</f>
        <v>36269</v>
      </c>
      <c r="AN43" s="12"/>
      <c r="AO43" s="89">
        <f t="shared" ref="AO43:AO71" si="146">SUM(AM43/AI43)-1</f>
        <v>0.41869743790338343</v>
      </c>
    </row>
    <row r="44" spans="1:41" ht="12.75" customHeight="1">
      <c r="B44" s="10" t="s">
        <v>502</v>
      </c>
      <c r="C44" s="99">
        <v>46671</v>
      </c>
      <c r="D44" s="99">
        <v>53892</v>
      </c>
      <c r="E44" s="99">
        <v>40388</v>
      </c>
      <c r="F44" s="99">
        <v>51713</v>
      </c>
      <c r="G44" s="99">
        <v>52927</v>
      </c>
      <c r="H44" s="99">
        <v>27699</v>
      </c>
      <c r="I44" s="99">
        <v>24658</v>
      </c>
      <c r="J44" s="99">
        <v>31590</v>
      </c>
      <c r="K44" s="99">
        <v>35228</v>
      </c>
      <c r="M44" s="99">
        <v>26794</v>
      </c>
      <c r="N44" s="99">
        <v>23413</v>
      </c>
      <c r="O44" s="99">
        <v>20729</v>
      </c>
      <c r="P44" s="35">
        <f t="shared" si="141"/>
        <v>24658</v>
      </c>
      <c r="Q44" s="99">
        <v>30820</v>
      </c>
      <c r="R44" s="99">
        <v>31185</v>
      </c>
      <c r="S44" s="99">
        <v>34074</v>
      </c>
      <c r="T44" s="35">
        <f t="shared" si="142"/>
        <v>31590</v>
      </c>
      <c r="U44" s="99">
        <v>32340</v>
      </c>
      <c r="V44" s="99">
        <v>34455</v>
      </c>
      <c r="W44" s="99">
        <v>36236</v>
      </c>
      <c r="X44" s="35">
        <f t="shared" si="143"/>
        <v>35228</v>
      </c>
      <c r="Y44" s="99">
        <v>23476</v>
      </c>
      <c r="Z44" s="99">
        <v>20336</v>
      </c>
      <c r="AA44" s="99">
        <v>19103</v>
      </c>
      <c r="AC44" s="35">
        <f t="shared" si="144"/>
        <v>30820</v>
      </c>
      <c r="AD44" s="35">
        <f t="shared" si="144"/>
        <v>31185</v>
      </c>
      <c r="AE44" s="35">
        <f t="shared" si="144"/>
        <v>34074</v>
      </c>
      <c r="AF44" s="35">
        <f t="shared" si="144"/>
        <v>31590</v>
      </c>
      <c r="AG44" s="35">
        <f t="shared" si="144"/>
        <v>32340</v>
      </c>
      <c r="AH44" s="35">
        <f t="shared" si="144"/>
        <v>34455</v>
      </c>
      <c r="AI44" s="35">
        <f t="shared" si="144"/>
        <v>36236</v>
      </c>
      <c r="AJ44" s="35">
        <f t="shared" si="144"/>
        <v>35228</v>
      </c>
      <c r="AK44" s="35">
        <f t="shared" si="144"/>
        <v>23476</v>
      </c>
      <c r="AL44" s="35">
        <f t="shared" si="145"/>
        <v>20336</v>
      </c>
      <c r="AM44" s="35">
        <f t="shared" ref="AM44:AM47" si="147">AA44</f>
        <v>19103</v>
      </c>
      <c r="AN44" s="12"/>
      <c r="AO44" s="89">
        <f t="shared" si="146"/>
        <v>-0.47281708797880562</v>
      </c>
    </row>
    <row r="45" spans="1:41" ht="12.75" customHeight="1">
      <c r="B45" s="10" t="s">
        <v>67</v>
      </c>
      <c r="C45" s="99">
        <v>15754</v>
      </c>
      <c r="D45" s="99">
        <v>17874</v>
      </c>
      <c r="E45" s="99">
        <v>23186</v>
      </c>
      <c r="F45" s="99">
        <v>22926</v>
      </c>
      <c r="G45" s="99">
        <v>16120</v>
      </c>
      <c r="H45" s="99">
        <v>26278</v>
      </c>
      <c r="I45" s="99">
        <v>28184</v>
      </c>
      <c r="J45" s="99">
        <v>29508</v>
      </c>
      <c r="K45" s="99">
        <v>66243</v>
      </c>
      <c r="M45" s="99">
        <v>30213</v>
      </c>
      <c r="N45" s="99">
        <v>20815</v>
      </c>
      <c r="O45" s="99">
        <v>21803</v>
      </c>
      <c r="P45" s="35">
        <f t="shared" si="141"/>
        <v>28184</v>
      </c>
      <c r="Q45" s="99">
        <v>23752</v>
      </c>
      <c r="R45" s="99">
        <v>17936</v>
      </c>
      <c r="S45" s="99">
        <v>19549</v>
      </c>
      <c r="T45" s="35">
        <f t="shared" si="142"/>
        <v>29508</v>
      </c>
      <c r="U45" s="99">
        <v>23194</v>
      </c>
      <c r="V45" s="99">
        <v>21837</v>
      </c>
      <c r="W45" s="99">
        <v>22795</v>
      </c>
      <c r="X45" s="35">
        <f t="shared" si="143"/>
        <v>66243</v>
      </c>
      <c r="Y45" s="99">
        <v>29639</v>
      </c>
      <c r="Z45" s="99">
        <v>49798</v>
      </c>
      <c r="AA45" s="99">
        <v>46835</v>
      </c>
      <c r="AC45" s="35">
        <f t="shared" si="144"/>
        <v>23752</v>
      </c>
      <c r="AD45" s="35">
        <f t="shared" si="144"/>
        <v>17936</v>
      </c>
      <c r="AE45" s="35">
        <f t="shared" si="144"/>
        <v>19549</v>
      </c>
      <c r="AF45" s="35">
        <f t="shared" si="144"/>
        <v>29508</v>
      </c>
      <c r="AG45" s="35">
        <f t="shared" si="144"/>
        <v>23194</v>
      </c>
      <c r="AH45" s="35">
        <f t="shared" si="144"/>
        <v>21837</v>
      </c>
      <c r="AI45" s="35">
        <f t="shared" si="144"/>
        <v>22795</v>
      </c>
      <c r="AJ45" s="35">
        <f t="shared" si="144"/>
        <v>66243</v>
      </c>
      <c r="AK45" s="35">
        <f t="shared" si="144"/>
        <v>29639</v>
      </c>
      <c r="AL45" s="35">
        <f t="shared" si="145"/>
        <v>49798</v>
      </c>
      <c r="AM45" s="35">
        <f t="shared" si="147"/>
        <v>46835</v>
      </c>
      <c r="AN45" s="12"/>
      <c r="AO45" s="89">
        <f t="shared" si="146"/>
        <v>1.0546172406229437</v>
      </c>
    </row>
    <row r="46" spans="1:41" ht="12.75" customHeight="1">
      <c r="B46" s="10" t="s">
        <v>100</v>
      </c>
      <c r="C46" s="99">
        <v>2132</v>
      </c>
      <c r="D46" s="99">
        <v>4855</v>
      </c>
      <c r="E46" s="99">
        <v>3956</v>
      </c>
      <c r="F46" s="99">
        <v>4106</v>
      </c>
      <c r="G46" s="99">
        <v>4061</v>
      </c>
      <c r="H46" s="99">
        <v>6580</v>
      </c>
      <c r="I46" s="99">
        <v>4946</v>
      </c>
      <c r="J46" s="99">
        <v>6331</v>
      </c>
      <c r="K46" s="99">
        <v>7286</v>
      </c>
      <c r="M46" s="99">
        <v>5876</v>
      </c>
      <c r="N46" s="99">
        <v>5460</v>
      </c>
      <c r="O46" s="99">
        <v>5433</v>
      </c>
      <c r="P46" s="35">
        <f t="shared" si="141"/>
        <v>4946</v>
      </c>
      <c r="Q46" s="99">
        <v>6820</v>
      </c>
      <c r="R46" s="99">
        <v>7482</v>
      </c>
      <c r="S46" s="99">
        <v>7351</v>
      </c>
      <c r="T46" s="35">
        <f t="shared" si="142"/>
        <v>6331</v>
      </c>
      <c r="U46" s="99">
        <v>6511</v>
      </c>
      <c r="V46" s="99">
        <v>6232</v>
      </c>
      <c r="W46" s="99">
        <v>6165</v>
      </c>
      <c r="X46" s="35">
        <f t="shared" si="143"/>
        <v>7286</v>
      </c>
      <c r="Y46" s="99">
        <v>6911</v>
      </c>
      <c r="Z46" s="99">
        <v>6269</v>
      </c>
      <c r="AA46" s="99">
        <v>5925</v>
      </c>
      <c r="AC46" s="35">
        <f t="shared" si="144"/>
        <v>6820</v>
      </c>
      <c r="AD46" s="35">
        <f t="shared" si="144"/>
        <v>7482</v>
      </c>
      <c r="AE46" s="35">
        <f t="shared" si="144"/>
        <v>7351</v>
      </c>
      <c r="AF46" s="35">
        <f t="shared" si="144"/>
        <v>6331</v>
      </c>
      <c r="AG46" s="35">
        <f t="shared" si="144"/>
        <v>6511</v>
      </c>
      <c r="AH46" s="35">
        <f t="shared" si="144"/>
        <v>6232</v>
      </c>
      <c r="AI46" s="35">
        <f t="shared" si="144"/>
        <v>6165</v>
      </c>
      <c r="AJ46" s="35">
        <f t="shared" si="144"/>
        <v>7286</v>
      </c>
      <c r="AK46" s="35">
        <f t="shared" si="144"/>
        <v>6911</v>
      </c>
      <c r="AL46" s="35">
        <f t="shared" si="145"/>
        <v>6269</v>
      </c>
      <c r="AM46" s="35">
        <f t="shared" si="147"/>
        <v>5925</v>
      </c>
      <c r="AN46" s="12"/>
      <c r="AO46" s="89">
        <f t="shared" si="146"/>
        <v>-3.8929440389294356E-2</v>
      </c>
    </row>
    <row r="47" spans="1:41" ht="12.75" customHeight="1">
      <c r="B47" s="10" t="s">
        <v>285</v>
      </c>
      <c r="C47" s="99">
        <v>21828</v>
      </c>
      <c r="D47" s="99">
        <f>13936+17799</f>
        <v>31735</v>
      </c>
      <c r="E47" s="99">
        <v>37896</v>
      </c>
      <c r="F47" s="99">
        <v>35230</v>
      </c>
      <c r="G47" s="99">
        <v>32589</v>
      </c>
      <c r="H47" s="99">
        <v>39339</v>
      </c>
      <c r="I47" s="99">
        <v>53971</v>
      </c>
      <c r="J47" s="99">
        <v>46172</v>
      </c>
      <c r="K47" s="99">
        <v>14287</v>
      </c>
      <c r="M47" s="99">
        <v>53152</v>
      </c>
      <c r="N47" s="99">
        <v>40394</v>
      </c>
      <c r="O47" s="99">
        <v>36825</v>
      </c>
      <c r="P47" s="35">
        <f t="shared" si="141"/>
        <v>53971</v>
      </c>
      <c r="Q47" s="99">
        <v>46850</v>
      </c>
      <c r="R47" s="99">
        <v>31623</v>
      </c>
      <c r="S47" s="99">
        <v>33277</v>
      </c>
      <c r="T47" s="35">
        <f t="shared" si="142"/>
        <v>46172</v>
      </c>
      <c r="U47" s="99">
        <v>40887</v>
      </c>
      <c r="V47" s="99">
        <v>33197</v>
      </c>
      <c r="W47" s="99">
        <v>34674</v>
      </c>
      <c r="X47" s="35">
        <f t="shared" si="143"/>
        <v>14287</v>
      </c>
      <c r="Y47" s="99">
        <v>42915</v>
      </c>
      <c r="Z47" s="99">
        <v>14109</v>
      </c>
      <c r="AA47" s="99">
        <v>14359</v>
      </c>
      <c r="AC47" s="35">
        <f t="shared" si="144"/>
        <v>46850</v>
      </c>
      <c r="AD47" s="35">
        <f t="shared" si="144"/>
        <v>31623</v>
      </c>
      <c r="AE47" s="35">
        <f t="shared" si="144"/>
        <v>33277</v>
      </c>
      <c r="AF47" s="35">
        <f t="shared" si="144"/>
        <v>46172</v>
      </c>
      <c r="AG47" s="35">
        <f t="shared" si="144"/>
        <v>40887</v>
      </c>
      <c r="AH47" s="35">
        <f t="shared" si="144"/>
        <v>33197</v>
      </c>
      <c r="AI47" s="35">
        <f t="shared" si="144"/>
        <v>34674</v>
      </c>
      <c r="AJ47" s="35">
        <f t="shared" si="144"/>
        <v>14287</v>
      </c>
      <c r="AK47" s="35">
        <f t="shared" si="144"/>
        <v>42915</v>
      </c>
      <c r="AL47" s="35">
        <f t="shared" si="145"/>
        <v>14109</v>
      </c>
      <c r="AM47" s="35">
        <f t="shared" si="147"/>
        <v>14359</v>
      </c>
      <c r="AN47" s="12"/>
      <c r="AO47" s="89">
        <f t="shared" si="146"/>
        <v>-0.58588567802964753</v>
      </c>
    </row>
    <row r="48" spans="1:41" ht="12.75" customHeight="1">
      <c r="B48" s="28" t="s">
        <v>29</v>
      </c>
      <c r="C48" s="29">
        <f t="shared" ref="C48:K48" si="148">SUM(C43:C47)</f>
        <v>106869</v>
      </c>
      <c r="D48" s="29">
        <f t="shared" si="148"/>
        <v>128645</v>
      </c>
      <c r="E48" s="29">
        <f t="shared" si="148"/>
        <v>131339</v>
      </c>
      <c r="F48" s="29">
        <f t="shared" si="148"/>
        <v>162819</v>
      </c>
      <c r="G48" s="29">
        <f t="shared" si="148"/>
        <v>143713</v>
      </c>
      <c r="H48" s="29">
        <f t="shared" si="148"/>
        <v>134836</v>
      </c>
      <c r="I48" s="29">
        <f t="shared" si="148"/>
        <v>135405</v>
      </c>
      <c r="J48" s="29">
        <f t="shared" si="148"/>
        <v>143566</v>
      </c>
      <c r="K48" s="29">
        <f t="shared" si="148"/>
        <v>152987</v>
      </c>
      <c r="L48" s="56"/>
      <c r="M48" s="29">
        <f t="shared" ref="M48:AA48" si="149">SUM(M43:M47)</f>
        <v>153154</v>
      </c>
      <c r="N48" s="29">
        <f t="shared" si="149"/>
        <v>118180</v>
      </c>
      <c r="O48" s="29">
        <f t="shared" si="149"/>
        <v>112292</v>
      </c>
      <c r="P48" s="29">
        <f t="shared" si="149"/>
        <v>135405</v>
      </c>
      <c r="Q48" s="29">
        <f t="shared" si="149"/>
        <v>128777</v>
      </c>
      <c r="R48" s="29">
        <f t="shared" si="149"/>
        <v>112913</v>
      </c>
      <c r="S48" s="29">
        <f t="shared" si="149"/>
        <v>122659</v>
      </c>
      <c r="T48" s="29">
        <f t="shared" si="149"/>
        <v>143566</v>
      </c>
      <c r="U48" s="29">
        <f t="shared" si="149"/>
        <v>143692</v>
      </c>
      <c r="V48" s="29">
        <f t="shared" si="149"/>
        <v>128416</v>
      </c>
      <c r="W48" s="29">
        <f t="shared" si="149"/>
        <v>125435</v>
      </c>
      <c r="X48" s="29">
        <f t="shared" si="149"/>
        <v>152987</v>
      </c>
      <c r="Y48" s="29">
        <f t="shared" si="149"/>
        <v>133240</v>
      </c>
      <c r="Z48" s="29">
        <f t="shared" si="149"/>
        <v>118674</v>
      </c>
      <c r="AA48" s="29">
        <f t="shared" si="149"/>
        <v>122491</v>
      </c>
      <c r="AB48" s="56"/>
      <c r="AC48" s="29">
        <f t="shared" ref="AC48:AM48" si="150">SUM(AC43:AC47)</f>
        <v>128777</v>
      </c>
      <c r="AD48" s="29">
        <f t="shared" si="150"/>
        <v>112913</v>
      </c>
      <c r="AE48" s="29">
        <f t="shared" si="150"/>
        <v>122659</v>
      </c>
      <c r="AF48" s="29">
        <f t="shared" si="150"/>
        <v>143566</v>
      </c>
      <c r="AG48" s="29">
        <f t="shared" si="150"/>
        <v>143692</v>
      </c>
      <c r="AH48" s="29">
        <f t="shared" si="150"/>
        <v>128416</v>
      </c>
      <c r="AI48" s="29">
        <f t="shared" si="150"/>
        <v>125435</v>
      </c>
      <c r="AJ48" s="29">
        <f t="shared" si="150"/>
        <v>152987</v>
      </c>
      <c r="AK48" s="29">
        <f t="shared" si="150"/>
        <v>133240</v>
      </c>
      <c r="AL48" s="29">
        <f t="shared" si="150"/>
        <v>118674</v>
      </c>
      <c r="AM48" s="29">
        <f t="shared" si="150"/>
        <v>122491</v>
      </c>
      <c r="AN48" s="47"/>
      <c r="AO48" s="90">
        <f t="shared" si="146"/>
        <v>-2.347032327500298E-2</v>
      </c>
    </row>
    <row r="49" spans="2:41" ht="5.0999999999999996" customHeight="1">
      <c r="B49" s="28"/>
      <c r="C49" s="57"/>
      <c r="D49" s="57"/>
      <c r="E49" s="57"/>
      <c r="F49" s="57"/>
      <c r="G49" s="57"/>
      <c r="H49" s="57"/>
      <c r="I49" s="57"/>
      <c r="J49" s="46"/>
      <c r="K49" s="46"/>
      <c r="M49" s="46"/>
      <c r="N49" s="46"/>
      <c r="O49" s="46"/>
      <c r="P49" s="46"/>
      <c r="Q49" s="46"/>
      <c r="R49" s="46"/>
      <c r="S49" s="46"/>
      <c r="T49" s="46"/>
      <c r="U49" s="46"/>
      <c r="V49" s="46"/>
      <c r="AC49" s="47"/>
      <c r="AD49" s="47"/>
      <c r="AE49" s="47"/>
      <c r="AF49" s="47"/>
      <c r="AG49" s="47"/>
      <c r="AH49" s="47"/>
      <c r="AI49" s="47"/>
      <c r="AJ49" s="47"/>
      <c r="AK49" s="47"/>
      <c r="AL49" s="47"/>
      <c r="AM49" s="47"/>
      <c r="AN49" s="47"/>
      <c r="AO49" s="44"/>
    </row>
    <row r="50" spans="2:41" ht="12.75" customHeight="1">
      <c r="B50" s="10" t="s">
        <v>286</v>
      </c>
      <c r="C50" s="99">
        <v>27010</v>
      </c>
      <c r="D50" s="99">
        <v>33783</v>
      </c>
      <c r="E50" s="99">
        <v>41304</v>
      </c>
      <c r="F50" s="99">
        <v>37378</v>
      </c>
      <c r="G50" s="99">
        <v>36766</v>
      </c>
      <c r="H50" s="99">
        <v>39440</v>
      </c>
      <c r="I50" s="99">
        <v>42117</v>
      </c>
      <c r="J50" s="99">
        <v>43715</v>
      </c>
      <c r="K50" s="99">
        <v>45680</v>
      </c>
      <c r="M50" s="99">
        <v>39245</v>
      </c>
      <c r="N50" s="99">
        <v>39304</v>
      </c>
      <c r="O50" s="99">
        <v>40335</v>
      </c>
      <c r="P50" s="35">
        <f t="shared" ref="P50:P52" si="151">I50</f>
        <v>42117</v>
      </c>
      <c r="Q50" s="99">
        <v>42951</v>
      </c>
      <c r="R50" s="99">
        <v>43398</v>
      </c>
      <c r="S50" s="99">
        <v>43550</v>
      </c>
      <c r="T50" s="35">
        <f t="shared" ref="T50:T52" si="152">J50</f>
        <v>43715</v>
      </c>
      <c r="U50" s="99">
        <v>43666</v>
      </c>
      <c r="V50" s="99">
        <v>43546</v>
      </c>
      <c r="W50" s="99">
        <v>44502</v>
      </c>
      <c r="X50" s="35">
        <f t="shared" ref="X50:X52" si="153">K50</f>
        <v>45680</v>
      </c>
      <c r="Y50" s="99">
        <v>46069</v>
      </c>
      <c r="Z50" s="99">
        <v>46876</v>
      </c>
      <c r="AA50" s="99">
        <v>48508</v>
      </c>
      <c r="AC50" s="35">
        <f t="shared" ref="AC50:AK52" si="154">Q50</f>
        <v>42951</v>
      </c>
      <c r="AD50" s="35">
        <f t="shared" si="154"/>
        <v>43398</v>
      </c>
      <c r="AE50" s="35">
        <f t="shared" si="154"/>
        <v>43550</v>
      </c>
      <c r="AF50" s="35">
        <f t="shared" si="154"/>
        <v>43715</v>
      </c>
      <c r="AG50" s="35">
        <f t="shared" si="154"/>
        <v>43666</v>
      </c>
      <c r="AH50" s="35">
        <f t="shared" si="154"/>
        <v>43546</v>
      </c>
      <c r="AI50" s="35">
        <f t="shared" si="154"/>
        <v>44502</v>
      </c>
      <c r="AJ50" s="35">
        <f t="shared" si="154"/>
        <v>45680</v>
      </c>
      <c r="AK50" s="35">
        <f t="shared" si="154"/>
        <v>46069</v>
      </c>
      <c r="AL50" s="35">
        <f t="shared" ref="AL50:AL52" si="155">Z50</f>
        <v>46876</v>
      </c>
      <c r="AM50" s="35">
        <f t="shared" ref="AM50:AM52" si="156">AA50</f>
        <v>48508</v>
      </c>
      <c r="AN50" s="12"/>
      <c r="AO50" s="89">
        <f t="shared" si="146"/>
        <v>9.0018426138151142E-2</v>
      </c>
    </row>
    <row r="51" spans="2:41" ht="12.75" customHeight="1">
      <c r="B51" s="10" t="s">
        <v>503</v>
      </c>
      <c r="C51" s="99">
        <v>170430</v>
      </c>
      <c r="D51" s="99">
        <v>194714</v>
      </c>
      <c r="E51" s="99">
        <v>170799</v>
      </c>
      <c r="F51" s="99">
        <v>105341</v>
      </c>
      <c r="G51" s="99">
        <v>100887</v>
      </c>
      <c r="H51" s="99">
        <v>127877</v>
      </c>
      <c r="I51" s="99">
        <v>120805</v>
      </c>
      <c r="J51" s="99">
        <v>100544</v>
      </c>
      <c r="K51" s="99">
        <v>91479</v>
      </c>
      <c r="M51" s="99">
        <v>138683</v>
      </c>
      <c r="N51" s="99">
        <v>141219</v>
      </c>
      <c r="O51" s="99">
        <v>131077</v>
      </c>
      <c r="P51" s="35">
        <f t="shared" si="151"/>
        <v>120805</v>
      </c>
      <c r="Q51" s="99">
        <v>114095</v>
      </c>
      <c r="R51" s="99">
        <v>110461</v>
      </c>
      <c r="S51" s="99">
        <v>104061</v>
      </c>
      <c r="T51" s="35">
        <f t="shared" si="152"/>
        <v>100544</v>
      </c>
      <c r="U51" s="99">
        <v>99475</v>
      </c>
      <c r="V51" s="99">
        <v>95187</v>
      </c>
      <c r="W51" s="99">
        <v>91240</v>
      </c>
      <c r="X51" s="35">
        <f t="shared" si="153"/>
        <v>91479</v>
      </c>
      <c r="Y51" s="99">
        <v>87593</v>
      </c>
      <c r="Z51" s="99">
        <v>84424</v>
      </c>
      <c r="AA51" s="99">
        <v>77614</v>
      </c>
      <c r="AC51" s="35">
        <f t="shared" si="154"/>
        <v>114095</v>
      </c>
      <c r="AD51" s="35">
        <f t="shared" si="154"/>
        <v>110461</v>
      </c>
      <c r="AE51" s="35">
        <f t="shared" si="154"/>
        <v>104061</v>
      </c>
      <c r="AF51" s="35">
        <f t="shared" si="154"/>
        <v>100544</v>
      </c>
      <c r="AG51" s="35">
        <f t="shared" si="154"/>
        <v>99475</v>
      </c>
      <c r="AH51" s="35">
        <f t="shared" si="154"/>
        <v>95187</v>
      </c>
      <c r="AI51" s="35">
        <f t="shared" si="154"/>
        <v>91240</v>
      </c>
      <c r="AJ51" s="35">
        <f t="shared" si="154"/>
        <v>91479</v>
      </c>
      <c r="AK51" s="35">
        <f t="shared" si="154"/>
        <v>87593</v>
      </c>
      <c r="AL51" s="35">
        <f t="shared" si="155"/>
        <v>84424</v>
      </c>
      <c r="AM51" s="35">
        <f t="shared" si="156"/>
        <v>77614</v>
      </c>
      <c r="AN51" s="12"/>
      <c r="AO51" s="89">
        <f t="shared" si="146"/>
        <v>-0.14934239368697944</v>
      </c>
    </row>
    <row r="52" spans="2:41" ht="12.75" customHeight="1">
      <c r="B52" s="10" t="s">
        <v>287</v>
      </c>
      <c r="C52" s="99">
        <f>5414+3206+8757</f>
        <v>17377</v>
      </c>
      <c r="D52" s="99">
        <v>18177</v>
      </c>
      <c r="E52" s="99">
        <v>22283</v>
      </c>
      <c r="F52" s="99">
        <v>32978</v>
      </c>
      <c r="G52" s="99">
        <v>42522</v>
      </c>
      <c r="H52" s="99">
        <v>48849</v>
      </c>
      <c r="I52" s="99">
        <v>54428</v>
      </c>
      <c r="J52" s="99">
        <v>64758</v>
      </c>
      <c r="K52" s="99">
        <v>74834</v>
      </c>
      <c r="M52" s="99">
        <v>42071</v>
      </c>
      <c r="N52" s="99">
        <v>43921</v>
      </c>
      <c r="O52" s="99">
        <v>44567</v>
      </c>
      <c r="P52" s="35">
        <f t="shared" si="151"/>
        <v>54428</v>
      </c>
      <c r="Q52" s="99">
        <v>52886</v>
      </c>
      <c r="R52" s="99">
        <v>57350</v>
      </c>
      <c r="S52" s="99">
        <v>56730</v>
      </c>
      <c r="T52" s="35">
        <f t="shared" si="152"/>
        <v>64758</v>
      </c>
      <c r="U52" s="99">
        <v>58643</v>
      </c>
      <c r="V52" s="99">
        <v>62224</v>
      </c>
      <c r="W52" s="99">
        <v>62397</v>
      </c>
      <c r="X52" s="35">
        <f t="shared" si="153"/>
        <v>74834</v>
      </c>
      <c r="Y52" s="99">
        <v>77183</v>
      </c>
      <c r="Z52" s="99">
        <v>81259</v>
      </c>
      <c r="AA52" s="99">
        <v>82882</v>
      </c>
      <c r="AC52" s="35">
        <f t="shared" si="154"/>
        <v>52886</v>
      </c>
      <c r="AD52" s="35">
        <f t="shared" si="154"/>
        <v>57350</v>
      </c>
      <c r="AE52" s="35">
        <f t="shared" si="154"/>
        <v>56730</v>
      </c>
      <c r="AF52" s="35">
        <f t="shared" si="154"/>
        <v>64758</v>
      </c>
      <c r="AG52" s="35">
        <f t="shared" si="154"/>
        <v>58643</v>
      </c>
      <c r="AH52" s="35">
        <f t="shared" si="154"/>
        <v>62224</v>
      </c>
      <c r="AI52" s="35">
        <f t="shared" si="154"/>
        <v>62397</v>
      </c>
      <c r="AJ52" s="35">
        <f t="shared" si="154"/>
        <v>74834</v>
      </c>
      <c r="AK52" s="35">
        <f t="shared" si="154"/>
        <v>77183</v>
      </c>
      <c r="AL52" s="35">
        <f t="shared" si="155"/>
        <v>81259</v>
      </c>
      <c r="AM52" s="35">
        <f t="shared" si="156"/>
        <v>82882</v>
      </c>
      <c r="AN52" s="12"/>
      <c r="AO52" s="89">
        <f t="shared" si="146"/>
        <v>0.32830104011410799</v>
      </c>
    </row>
    <row r="53" spans="2:41" ht="12.75" customHeight="1">
      <c r="B53" s="14" t="s">
        <v>30</v>
      </c>
      <c r="C53" s="15">
        <f t="shared" ref="C53:F53" si="157">SUM(C50:C52)+C48</f>
        <v>321686</v>
      </c>
      <c r="D53" s="15">
        <f t="shared" si="157"/>
        <v>375319</v>
      </c>
      <c r="E53" s="15">
        <f t="shared" si="157"/>
        <v>365725</v>
      </c>
      <c r="F53" s="15">
        <f t="shared" si="157"/>
        <v>338516</v>
      </c>
      <c r="G53" s="15">
        <f>SUM(G50:G52)+G48</f>
        <v>323888</v>
      </c>
      <c r="H53" s="37">
        <f>SUM(H50:H52)+H48</f>
        <v>351002</v>
      </c>
      <c r="I53" s="15">
        <f>SUM(I50:I52)+I48</f>
        <v>352755</v>
      </c>
      <c r="J53" s="15">
        <f>SUM(J50:J52)+J48</f>
        <v>352583</v>
      </c>
      <c r="K53" s="15">
        <f>SUM(K50:K52)+K48</f>
        <v>364980</v>
      </c>
      <c r="M53" s="15">
        <f t="shared" ref="M53:AA53" si="158">SUM(M50:M52)+M48</f>
        <v>373153</v>
      </c>
      <c r="N53" s="15">
        <f t="shared" si="158"/>
        <v>342624</v>
      </c>
      <c r="O53" s="15">
        <f t="shared" si="158"/>
        <v>328271</v>
      </c>
      <c r="P53" s="15">
        <f t="shared" si="158"/>
        <v>352755</v>
      </c>
      <c r="Q53" s="15">
        <f t="shared" si="158"/>
        <v>338709</v>
      </c>
      <c r="R53" s="15">
        <f t="shared" si="158"/>
        <v>324122</v>
      </c>
      <c r="S53" s="15">
        <f t="shared" si="158"/>
        <v>327000</v>
      </c>
      <c r="T53" s="15">
        <f t="shared" si="158"/>
        <v>352583</v>
      </c>
      <c r="U53" s="15">
        <f t="shared" si="158"/>
        <v>345476</v>
      </c>
      <c r="V53" s="15">
        <f t="shared" si="158"/>
        <v>329373</v>
      </c>
      <c r="W53" s="15">
        <f t="shared" si="158"/>
        <v>323574</v>
      </c>
      <c r="X53" s="15">
        <f t="shared" si="158"/>
        <v>364980</v>
      </c>
      <c r="Y53" s="15">
        <f t="shared" si="158"/>
        <v>344085</v>
      </c>
      <c r="Z53" s="15">
        <f t="shared" si="158"/>
        <v>331233</v>
      </c>
      <c r="AA53" s="15">
        <f t="shared" si="158"/>
        <v>331495</v>
      </c>
      <c r="AC53" s="15">
        <f t="shared" ref="AC53:AM53" si="159">SUM(AC50:AC52)+AC48</f>
        <v>338709</v>
      </c>
      <c r="AD53" s="15">
        <f t="shared" si="159"/>
        <v>324122</v>
      </c>
      <c r="AE53" s="15">
        <f t="shared" si="159"/>
        <v>327000</v>
      </c>
      <c r="AF53" s="15">
        <f t="shared" si="159"/>
        <v>352583</v>
      </c>
      <c r="AG53" s="15">
        <f t="shared" si="159"/>
        <v>345476</v>
      </c>
      <c r="AH53" s="15">
        <f t="shared" si="159"/>
        <v>329373</v>
      </c>
      <c r="AI53" s="15">
        <f t="shared" si="159"/>
        <v>323574</v>
      </c>
      <c r="AJ53" s="15">
        <f t="shared" si="159"/>
        <v>364980</v>
      </c>
      <c r="AK53" s="15">
        <f t="shared" si="159"/>
        <v>344085</v>
      </c>
      <c r="AL53" s="15">
        <f t="shared" si="159"/>
        <v>331233</v>
      </c>
      <c r="AM53" s="15">
        <f t="shared" si="159"/>
        <v>331495</v>
      </c>
      <c r="AN53" s="47"/>
      <c r="AO53" s="90">
        <f t="shared" si="146"/>
        <v>2.4479717158980563E-2</v>
      </c>
    </row>
    <row r="54" spans="2:41" ht="12.75" customHeight="1">
      <c r="B54" s="28"/>
      <c r="C54" s="58"/>
      <c r="D54" s="58"/>
      <c r="E54" s="58"/>
      <c r="F54" s="58"/>
      <c r="G54" s="58"/>
      <c r="H54" s="58"/>
      <c r="I54" s="58"/>
      <c r="J54" s="46"/>
      <c r="K54" s="46"/>
      <c r="M54" s="46"/>
      <c r="N54" s="46"/>
      <c r="O54" s="46"/>
      <c r="P54" s="46"/>
      <c r="Q54" s="46"/>
      <c r="R54" s="46"/>
      <c r="S54" s="46"/>
      <c r="T54" s="46"/>
      <c r="U54" s="46"/>
      <c r="V54" s="46"/>
      <c r="AC54" s="47"/>
      <c r="AD54" s="47"/>
      <c r="AE54" s="47"/>
      <c r="AF54" s="47"/>
      <c r="AG54" s="47"/>
      <c r="AH54" s="47"/>
      <c r="AI54" s="47"/>
      <c r="AJ54" s="47"/>
      <c r="AK54" s="47"/>
      <c r="AL54" s="47"/>
      <c r="AM54" s="47"/>
      <c r="AN54" s="47"/>
      <c r="AO54" s="44"/>
    </row>
    <row r="55" spans="2:41" ht="12.75" customHeight="1">
      <c r="B55" s="10" t="s">
        <v>68</v>
      </c>
      <c r="C55" s="99">
        <v>37294</v>
      </c>
      <c r="D55" s="99">
        <v>44242</v>
      </c>
      <c r="E55" s="99">
        <v>55888</v>
      </c>
      <c r="F55" s="99">
        <v>46236</v>
      </c>
      <c r="G55" s="99">
        <v>42296</v>
      </c>
      <c r="H55" s="99">
        <v>54763</v>
      </c>
      <c r="I55" s="99">
        <v>64115</v>
      </c>
      <c r="J55" s="99">
        <v>62611</v>
      </c>
      <c r="K55" s="99">
        <v>68960</v>
      </c>
      <c r="M55" s="99">
        <v>74362</v>
      </c>
      <c r="N55" s="99">
        <v>52682</v>
      </c>
      <c r="O55" s="99">
        <v>48343</v>
      </c>
      <c r="P55" s="35">
        <f t="shared" ref="P55:P57" si="160">I55</f>
        <v>64115</v>
      </c>
      <c r="Q55" s="99">
        <v>57918</v>
      </c>
      <c r="R55" s="99">
        <v>42945</v>
      </c>
      <c r="S55" s="99">
        <v>46699</v>
      </c>
      <c r="T55" s="35">
        <f t="shared" ref="T55:T57" si="161">J55</f>
        <v>62611</v>
      </c>
      <c r="U55" s="99">
        <v>58146</v>
      </c>
      <c r="V55" s="99">
        <v>45753</v>
      </c>
      <c r="W55" s="99">
        <v>47574</v>
      </c>
      <c r="X55" s="35">
        <f t="shared" ref="X55:X57" si="162">K55</f>
        <v>68960</v>
      </c>
      <c r="Y55" s="99">
        <v>61910</v>
      </c>
      <c r="Z55" s="99">
        <v>54126</v>
      </c>
      <c r="AA55" s="99">
        <v>50374</v>
      </c>
      <c r="AC55" s="35">
        <f t="shared" ref="AC55:AK57" si="163">Q55</f>
        <v>57918</v>
      </c>
      <c r="AD55" s="35">
        <f t="shared" si="163"/>
        <v>42945</v>
      </c>
      <c r="AE55" s="35">
        <f t="shared" si="163"/>
        <v>46699</v>
      </c>
      <c r="AF55" s="35">
        <f t="shared" si="163"/>
        <v>62611</v>
      </c>
      <c r="AG55" s="35">
        <f t="shared" si="163"/>
        <v>58146</v>
      </c>
      <c r="AH55" s="35">
        <f t="shared" si="163"/>
        <v>45753</v>
      </c>
      <c r="AI55" s="35">
        <f t="shared" si="163"/>
        <v>47574</v>
      </c>
      <c r="AJ55" s="35">
        <f t="shared" si="163"/>
        <v>68960</v>
      </c>
      <c r="AK55" s="35">
        <f t="shared" si="163"/>
        <v>61910</v>
      </c>
      <c r="AL55" s="35">
        <f t="shared" ref="AL55:AL59" si="164">Z55</f>
        <v>54126</v>
      </c>
      <c r="AM55" s="35">
        <f t="shared" ref="AM55:AM59" si="165">AA55</f>
        <v>50374</v>
      </c>
      <c r="AN55" s="12"/>
      <c r="AO55" s="89">
        <f t="shared" si="146"/>
        <v>5.8855677470887491E-2</v>
      </c>
    </row>
    <row r="56" spans="2:41" ht="12.75" customHeight="1">
      <c r="B56" s="10" t="s">
        <v>288</v>
      </c>
      <c r="C56" s="99">
        <v>8080</v>
      </c>
      <c r="D56" s="99">
        <v>7548</v>
      </c>
      <c r="E56" s="99">
        <v>7543</v>
      </c>
      <c r="F56" s="99">
        <v>5522</v>
      </c>
      <c r="G56" s="99">
        <v>6643</v>
      </c>
      <c r="H56" s="99">
        <v>7612</v>
      </c>
      <c r="I56" s="99">
        <v>7912</v>
      </c>
      <c r="J56" s="99">
        <v>8061</v>
      </c>
      <c r="K56" s="99">
        <v>8249</v>
      </c>
      <c r="M56" s="99">
        <v>7876</v>
      </c>
      <c r="N56" s="99">
        <v>7920</v>
      </c>
      <c r="O56" s="99">
        <v>7728</v>
      </c>
      <c r="P56" s="35">
        <f t="shared" si="160"/>
        <v>7912</v>
      </c>
      <c r="Q56" s="99">
        <v>7992</v>
      </c>
      <c r="R56" s="99">
        <v>8131</v>
      </c>
      <c r="S56" s="99">
        <v>8158</v>
      </c>
      <c r="T56" s="35">
        <f t="shared" si="161"/>
        <v>8061</v>
      </c>
      <c r="U56" s="99">
        <v>8264</v>
      </c>
      <c r="V56" s="99">
        <v>8012</v>
      </c>
      <c r="W56" s="99">
        <v>8053</v>
      </c>
      <c r="X56" s="35">
        <f t="shared" si="162"/>
        <v>8249</v>
      </c>
      <c r="Y56" s="99">
        <v>8461</v>
      </c>
      <c r="Z56" s="99">
        <v>8976</v>
      </c>
      <c r="AA56" s="99">
        <v>8979</v>
      </c>
      <c r="AC56" s="35">
        <f t="shared" si="163"/>
        <v>7992</v>
      </c>
      <c r="AD56" s="35">
        <f t="shared" si="163"/>
        <v>8131</v>
      </c>
      <c r="AE56" s="35">
        <f t="shared" si="163"/>
        <v>8158</v>
      </c>
      <c r="AF56" s="35">
        <f t="shared" si="163"/>
        <v>8061</v>
      </c>
      <c r="AG56" s="35">
        <f t="shared" si="163"/>
        <v>8264</v>
      </c>
      <c r="AH56" s="35">
        <f t="shared" si="163"/>
        <v>8012</v>
      </c>
      <c r="AI56" s="35">
        <f t="shared" si="163"/>
        <v>8053</v>
      </c>
      <c r="AJ56" s="35">
        <f t="shared" si="163"/>
        <v>8249</v>
      </c>
      <c r="AK56" s="35">
        <f t="shared" si="163"/>
        <v>8461</v>
      </c>
      <c r="AL56" s="35">
        <f t="shared" si="164"/>
        <v>8976</v>
      </c>
      <c r="AM56" s="35">
        <f t="shared" si="165"/>
        <v>8979</v>
      </c>
      <c r="AN56" s="12"/>
      <c r="AO56" s="89">
        <f t="shared" si="146"/>
        <v>0.11498820315410407</v>
      </c>
    </row>
    <row r="57" spans="2:41" ht="12.75" customHeight="1">
      <c r="B57" s="10" t="s">
        <v>289</v>
      </c>
      <c r="C57" s="99">
        <v>22027</v>
      </c>
      <c r="D57" s="99">
        <v>30551</v>
      </c>
      <c r="E57" s="99">
        <v>32687</v>
      </c>
      <c r="F57" s="99">
        <v>37720</v>
      </c>
      <c r="G57" s="99">
        <v>42684</v>
      </c>
      <c r="H57" s="99">
        <v>47493</v>
      </c>
      <c r="I57" s="99">
        <v>60845</v>
      </c>
      <c r="J57" s="99">
        <v>58829</v>
      </c>
      <c r="K57" s="99">
        <v>78304</v>
      </c>
      <c r="M57" s="99">
        <v>49167</v>
      </c>
      <c r="N57" s="99">
        <v>50248</v>
      </c>
      <c r="O57" s="99">
        <v>48811</v>
      </c>
      <c r="P57" s="35">
        <f t="shared" si="160"/>
        <v>60845</v>
      </c>
      <c r="Q57" s="99">
        <v>59893</v>
      </c>
      <c r="R57" s="99">
        <v>56425</v>
      </c>
      <c r="S57" s="99">
        <v>58897</v>
      </c>
      <c r="T57" s="35">
        <f t="shared" si="161"/>
        <v>58829</v>
      </c>
      <c r="U57" s="99">
        <v>54611</v>
      </c>
      <c r="V57" s="99">
        <v>57298</v>
      </c>
      <c r="W57" s="99">
        <v>60889</v>
      </c>
      <c r="X57" s="35">
        <f t="shared" si="162"/>
        <v>78304</v>
      </c>
      <c r="Y57" s="99">
        <v>61151</v>
      </c>
      <c r="Z57" s="99">
        <v>61849</v>
      </c>
      <c r="AA57" s="99">
        <v>62499</v>
      </c>
      <c r="AC57" s="35">
        <f t="shared" si="163"/>
        <v>59893</v>
      </c>
      <c r="AD57" s="35">
        <f t="shared" si="163"/>
        <v>56425</v>
      </c>
      <c r="AE57" s="35">
        <f t="shared" si="163"/>
        <v>58897</v>
      </c>
      <c r="AF57" s="35">
        <f t="shared" si="163"/>
        <v>58829</v>
      </c>
      <c r="AG57" s="35">
        <f t="shared" si="163"/>
        <v>54611</v>
      </c>
      <c r="AH57" s="35">
        <f t="shared" si="163"/>
        <v>57298</v>
      </c>
      <c r="AI57" s="35">
        <f t="shared" si="163"/>
        <v>60889</v>
      </c>
      <c r="AJ57" s="35">
        <f t="shared" si="163"/>
        <v>78304</v>
      </c>
      <c r="AK57" s="35">
        <f t="shared" si="163"/>
        <v>61151</v>
      </c>
      <c r="AL57" s="35">
        <f t="shared" si="164"/>
        <v>61849</v>
      </c>
      <c r="AM57" s="35">
        <f t="shared" si="165"/>
        <v>62499</v>
      </c>
      <c r="AN57" s="12"/>
      <c r="AO57" s="89">
        <f t="shared" si="146"/>
        <v>2.6441557588398501E-2</v>
      </c>
    </row>
    <row r="58" spans="2:41" ht="12.75" customHeight="1">
      <c r="B58" s="10" t="s">
        <v>337</v>
      </c>
      <c r="C58" s="99">
        <v>8105</v>
      </c>
      <c r="D58" s="99">
        <v>11977</v>
      </c>
      <c r="E58" s="99">
        <v>11964</v>
      </c>
      <c r="F58" s="99">
        <v>5980</v>
      </c>
      <c r="G58" s="99">
        <v>4996</v>
      </c>
      <c r="H58" s="99">
        <v>6000</v>
      </c>
      <c r="I58" s="99">
        <v>9982</v>
      </c>
      <c r="J58" s="99">
        <v>5985</v>
      </c>
      <c r="K58" s="99">
        <v>9967</v>
      </c>
      <c r="M58" s="99">
        <v>5000</v>
      </c>
      <c r="N58" s="99">
        <v>6999</v>
      </c>
      <c r="O58" s="99">
        <v>10982</v>
      </c>
      <c r="P58" s="35">
        <v>9982</v>
      </c>
      <c r="Q58" s="99">
        <v>1743</v>
      </c>
      <c r="R58" s="99">
        <v>1996</v>
      </c>
      <c r="S58" s="99">
        <v>3993</v>
      </c>
      <c r="T58" s="35">
        <v>5985</v>
      </c>
      <c r="U58" s="99">
        <v>1998</v>
      </c>
      <c r="V58" s="99">
        <v>1997</v>
      </c>
      <c r="W58" s="99">
        <v>2994</v>
      </c>
      <c r="X58" s="35">
        <v>9967</v>
      </c>
      <c r="Y58" s="99">
        <v>1995</v>
      </c>
      <c r="Z58" s="99">
        <v>5982</v>
      </c>
      <c r="AA58" s="99">
        <v>9923</v>
      </c>
      <c r="AC58" s="35"/>
      <c r="AD58" s="35"/>
      <c r="AE58" s="35"/>
      <c r="AF58" s="35"/>
      <c r="AG58" s="35"/>
      <c r="AH58" s="35"/>
      <c r="AI58" s="35">
        <f t="shared" ref="AI58:AK59" si="166">W58</f>
        <v>2994</v>
      </c>
      <c r="AJ58" s="35">
        <f t="shared" si="166"/>
        <v>9967</v>
      </c>
      <c r="AK58" s="35">
        <f t="shared" si="166"/>
        <v>1995</v>
      </c>
      <c r="AL58" s="35">
        <f t="shared" ref="AL58" si="167">Z58</f>
        <v>5982</v>
      </c>
      <c r="AM58" s="35">
        <f t="shared" ref="AM58" si="168">AA58</f>
        <v>9923</v>
      </c>
      <c r="AN58" s="12"/>
      <c r="AO58" s="89"/>
    </row>
    <row r="59" spans="2:41" ht="12.75" customHeight="1">
      <c r="B59" s="10" t="s">
        <v>338</v>
      </c>
      <c r="C59" s="99">
        <v>3500</v>
      </c>
      <c r="D59" s="99">
        <v>6496</v>
      </c>
      <c r="E59" s="99">
        <v>8784</v>
      </c>
      <c r="F59" s="99">
        <v>10260</v>
      </c>
      <c r="G59" s="99">
        <v>8773</v>
      </c>
      <c r="H59" s="99">
        <v>9613</v>
      </c>
      <c r="I59" s="99">
        <v>11128</v>
      </c>
      <c r="J59" s="99">
        <v>9822</v>
      </c>
      <c r="K59" s="99">
        <v>10912</v>
      </c>
      <c r="M59" s="99">
        <v>11169</v>
      </c>
      <c r="N59" s="99">
        <v>9659</v>
      </c>
      <c r="O59" s="99">
        <v>14009</v>
      </c>
      <c r="P59" s="35">
        <v>11128</v>
      </c>
      <c r="Q59" s="99">
        <v>9740</v>
      </c>
      <c r="R59" s="99">
        <v>10578</v>
      </c>
      <c r="S59" s="99">
        <v>7216</v>
      </c>
      <c r="T59" s="35">
        <v>9822</v>
      </c>
      <c r="U59" s="99">
        <v>10954</v>
      </c>
      <c r="V59" s="99">
        <v>10762</v>
      </c>
      <c r="W59" s="99">
        <v>12114</v>
      </c>
      <c r="X59" s="35">
        <v>10912</v>
      </c>
      <c r="Y59" s="99">
        <v>10848</v>
      </c>
      <c r="Z59" s="99">
        <v>13638</v>
      </c>
      <c r="AA59" s="99">
        <v>9345</v>
      </c>
      <c r="AC59" s="35">
        <f t="shared" ref="AC59:AH59" si="169">Q59</f>
        <v>9740</v>
      </c>
      <c r="AD59" s="35">
        <f t="shared" si="169"/>
        <v>10578</v>
      </c>
      <c r="AE59" s="35">
        <f t="shared" si="169"/>
        <v>7216</v>
      </c>
      <c r="AF59" s="35">
        <f t="shared" si="169"/>
        <v>9822</v>
      </c>
      <c r="AG59" s="35">
        <f t="shared" si="169"/>
        <v>10954</v>
      </c>
      <c r="AH59" s="35">
        <f t="shared" si="169"/>
        <v>10762</v>
      </c>
      <c r="AI59" s="35">
        <f t="shared" si="166"/>
        <v>12114</v>
      </c>
      <c r="AJ59" s="35">
        <f t="shared" si="166"/>
        <v>10912</v>
      </c>
      <c r="AK59" s="35">
        <f t="shared" si="166"/>
        <v>10848</v>
      </c>
      <c r="AL59" s="35">
        <f t="shared" si="164"/>
        <v>13638</v>
      </c>
      <c r="AM59" s="35">
        <f t="shared" si="165"/>
        <v>9345</v>
      </c>
      <c r="AN59" s="12"/>
      <c r="AO59" s="89">
        <f t="shared" si="146"/>
        <v>-0.22857850421000492</v>
      </c>
    </row>
    <row r="60" spans="2:41" ht="12.75" customHeight="1">
      <c r="B60" s="28" t="s">
        <v>26</v>
      </c>
      <c r="C60" s="29">
        <f t="shared" ref="C60:F60" si="170">SUM(C55:C59)</f>
        <v>79006</v>
      </c>
      <c r="D60" s="29">
        <f t="shared" si="170"/>
        <v>100814</v>
      </c>
      <c r="E60" s="29">
        <f t="shared" si="170"/>
        <v>116866</v>
      </c>
      <c r="F60" s="29">
        <f t="shared" si="170"/>
        <v>105718</v>
      </c>
      <c r="G60" s="29">
        <f>SUM(G55:G59)</f>
        <v>105392</v>
      </c>
      <c r="H60" s="29">
        <f>SUM(H55:H59)</f>
        <v>125481</v>
      </c>
      <c r="I60" s="29">
        <f>SUM(I55:I59)</f>
        <v>153982</v>
      </c>
      <c r="J60" s="29">
        <f>SUM(J55:J59)</f>
        <v>145308</v>
      </c>
      <c r="K60" s="29">
        <f>SUM(K55:K59)</f>
        <v>176392</v>
      </c>
      <c r="M60" s="29">
        <f t="shared" ref="M60:AA60" si="171">SUM(M55:M59)</f>
        <v>147574</v>
      </c>
      <c r="N60" s="29">
        <f t="shared" si="171"/>
        <v>127508</v>
      </c>
      <c r="O60" s="29">
        <f t="shared" si="171"/>
        <v>129873</v>
      </c>
      <c r="P60" s="29">
        <f t="shared" si="171"/>
        <v>153982</v>
      </c>
      <c r="Q60" s="29">
        <f t="shared" si="171"/>
        <v>137286</v>
      </c>
      <c r="R60" s="29">
        <f t="shared" si="171"/>
        <v>120075</v>
      </c>
      <c r="S60" s="29">
        <f t="shared" si="171"/>
        <v>124963</v>
      </c>
      <c r="T60" s="29">
        <f t="shared" si="171"/>
        <v>145308</v>
      </c>
      <c r="U60" s="29">
        <f t="shared" si="171"/>
        <v>133973</v>
      </c>
      <c r="V60" s="29">
        <f t="shared" si="171"/>
        <v>123822</v>
      </c>
      <c r="W60" s="29">
        <f t="shared" si="171"/>
        <v>131624</v>
      </c>
      <c r="X60" s="29">
        <f t="shared" si="171"/>
        <v>176392</v>
      </c>
      <c r="Y60" s="29">
        <f t="shared" si="171"/>
        <v>144365</v>
      </c>
      <c r="Z60" s="29">
        <f t="shared" si="171"/>
        <v>144571</v>
      </c>
      <c r="AA60" s="29">
        <f t="shared" si="171"/>
        <v>141120</v>
      </c>
      <c r="AB60" s="56"/>
      <c r="AC60" s="29">
        <f t="shared" ref="AC60:AM60" si="172">SUM(AC55:AC59)</f>
        <v>135543</v>
      </c>
      <c r="AD60" s="29">
        <f t="shared" si="172"/>
        <v>118079</v>
      </c>
      <c r="AE60" s="29">
        <f t="shared" si="172"/>
        <v>120970</v>
      </c>
      <c r="AF60" s="29">
        <f t="shared" si="172"/>
        <v>139323</v>
      </c>
      <c r="AG60" s="29">
        <f t="shared" si="172"/>
        <v>131975</v>
      </c>
      <c r="AH60" s="29">
        <f t="shared" si="172"/>
        <v>121825</v>
      </c>
      <c r="AI60" s="29">
        <f t="shared" si="172"/>
        <v>131624</v>
      </c>
      <c r="AJ60" s="29">
        <f t="shared" si="172"/>
        <v>176392</v>
      </c>
      <c r="AK60" s="29">
        <f t="shared" si="172"/>
        <v>144365</v>
      </c>
      <c r="AL60" s="29">
        <f t="shared" si="172"/>
        <v>144571</v>
      </c>
      <c r="AM60" s="29">
        <f t="shared" si="172"/>
        <v>141120</v>
      </c>
      <c r="AN60" s="47"/>
      <c r="AO60" s="90">
        <f t="shared" si="146"/>
        <v>7.2144897587066215E-2</v>
      </c>
    </row>
    <row r="61" spans="2:41" ht="5.0999999999999996" customHeight="1">
      <c r="B61" s="28"/>
      <c r="C61" s="58"/>
      <c r="D61" s="58"/>
      <c r="E61" s="58"/>
      <c r="F61" s="58"/>
      <c r="G61" s="58"/>
      <c r="H61" s="58"/>
      <c r="I61" s="58"/>
      <c r="J61" s="46"/>
      <c r="K61" s="46"/>
      <c r="M61" s="46"/>
      <c r="N61" s="46"/>
      <c r="O61" s="46"/>
      <c r="P61" s="46"/>
      <c r="Q61" s="46"/>
      <c r="R61" s="46"/>
      <c r="S61" s="46"/>
      <c r="T61" s="46"/>
      <c r="U61" s="46"/>
      <c r="V61" s="46"/>
      <c r="AC61" s="47"/>
      <c r="AD61" s="47"/>
      <c r="AE61" s="47"/>
      <c r="AF61" s="47"/>
      <c r="AG61" s="47"/>
      <c r="AH61" s="47"/>
      <c r="AI61" s="47"/>
      <c r="AJ61" s="47"/>
      <c r="AK61" s="47"/>
      <c r="AL61" s="47"/>
      <c r="AM61" s="47"/>
      <c r="AN61" s="47"/>
      <c r="AO61" s="44"/>
    </row>
    <row r="62" spans="2:41" ht="12.75" customHeight="1">
      <c r="B62" s="10" t="s">
        <v>292</v>
      </c>
      <c r="C62" s="99">
        <v>75427</v>
      </c>
      <c r="D62" s="99">
        <v>97207</v>
      </c>
      <c r="E62" s="99">
        <v>93735</v>
      </c>
      <c r="F62" s="99">
        <v>91807</v>
      </c>
      <c r="G62" s="99">
        <v>98667</v>
      </c>
      <c r="H62" s="99">
        <v>109106</v>
      </c>
      <c r="I62" s="99">
        <v>98959</v>
      </c>
      <c r="J62" s="99">
        <v>95281</v>
      </c>
      <c r="K62" s="99">
        <v>85750</v>
      </c>
      <c r="L62" s="59"/>
      <c r="M62" s="99">
        <v>106629</v>
      </c>
      <c r="N62" s="99">
        <v>103323</v>
      </c>
      <c r="O62" s="99">
        <v>94700</v>
      </c>
      <c r="P62" s="35">
        <f t="shared" ref="P62:P64" si="173">I62</f>
        <v>98959</v>
      </c>
      <c r="Q62" s="99">
        <v>99627</v>
      </c>
      <c r="R62" s="99">
        <v>97041</v>
      </c>
      <c r="S62" s="99">
        <v>98071</v>
      </c>
      <c r="T62" s="35">
        <f t="shared" ref="T62:T64" si="174">J62</f>
        <v>95281</v>
      </c>
      <c r="U62" s="99">
        <v>95088</v>
      </c>
      <c r="V62" s="99">
        <v>91831</v>
      </c>
      <c r="W62" s="99">
        <v>86196</v>
      </c>
      <c r="X62" s="35">
        <f t="shared" ref="X62:X64" si="175">K62</f>
        <v>85750</v>
      </c>
      <c r="Y62" s="99">
        <v>83956</v>
      </c>
      <c r="Z62" s="99">
        <v>78566</v>
      </c>
      <c r="AA62" s="99">
        <v>82430</v>
      </c>
      <c r="AC62" s="35">
        <f t="shared" ref="AC62:AK64" si="176">Q62</f>
        <v>99627</v>
      </c>
      <c r="AD62" s="35">
        <f t="shared" si="176"/>
        <v>97041</v>
      </c>
      <c r="AE62" s="35">
        <f t="shared" si="176"/>
        <v>98071</v>
      </c>
      <c r="AF62" s="35">
        <f t="shared" si="176"/>
        <v>95281</v>
      </c>
      <c r="AG62" s="35">
        <f t="shared" si="176"/>
        <v>95088</v>
      </c>
      <c r="AH62" s="35">
        <f t="shared" si="176"/>
        <v>91831</v>
      </c>
      <c r="AI62" s="35">
        <f t="shared" si="176"/>
        <v>86196</v>
      </c>
      <c r="AJ62" s="35">
        <f t="shared" si="176"/>
        <v>85750</v>
      </c>
      <c r="AK62" s="35">
        <f t="shared" si="176"/>
        <v>83956</v>
      </c>
      <c r="AL62" s="35">
        <f t="shared" ref="AL62:AL64" si="177">Z62</f>
        <v>78566</v>
      </c>
      <c r="AM62" s="35">
        <f t="shared" ref="AM62:AM64" si="178">AA62</f>
        <v>82430</v>
      </c>
      <c r="AN62" s="47"/>
      <c r="AO62" s="89">
        <f t="shared" si="146"/>
        <v>-4.3691122557891315E-2</v>
      </c>
    </row>
    <row r="63" spans="2:41" ht="12.75" customHeight="1">
      <c r="B63" s="10" t="s">
        <v>290</v>
      </c>
      <c r="C63" s="99">
        <v>2930</v>
      </c>
      <c r="D63" s="99">
        <v>2836</v>
      </c>
      <c r="E63" s="99">
        <v>2797</v>
      </c>
      <c r="F63" s="99">
        <v>0</v>
      </c>
      <c r="G63" s="99">
        <v>0</v>
      </c>
      <c r="H63" s="99">
        <v>0</v>
      </c>
      <c r="I63" s="99">
        <v>0</v>
      </c>
      <c r="J63" s="99">
        <v>0</v>
      </c>
      <c r="K63" s="99">
        <v>0</v>
      </c>
      <c r="L63" s="59"/>
      <c r="M63" s="99">
        <v>0</v>
      </c>
      <c r="N63" s="99">
        <v>0</v>
      </c>
      <c r="O63" s="99">
        <v>0</v>
      </c>
      <c r="P63" s="35">
        <f t="shared" si="173"/>
        <v>0</v>
      </c>
      <c r="Q63" s="99">
        <v>0</v>
      </c>
      <c r="R63" s="99">
        <v>0</v>
      </c>
      <c r="S63" s="99">
        <v>0</v>
      </c>
      <c r="T63" s="35">
        <f t="shared" si="174"/>
        <v>0</v>
      </c>
      <c r="U63" s="99">
        <v>0</v>
      </c>
      <c r="V63" s="99">
        <v>0</v>
      </c>
      <c r="W63" s="99">
        <v>0</v>
      </c>
      <c r="X63" s="35">
        <f t="shared" si="175"/>
        <v>0</v>
      </c>
      <c r="Y63" s="99">
        <v>0</v>
      </c>
      <c r="Z63" s="99">
        <v>0</v>
      </c>
      <c r="AA63" s="99">
        <v>0</v>
      </c>
      <c r="AC63" s="35">
        <f t="shared" si="176"/>
        <v>0</v>
      </c>
      <c r="AD63" s="35">
        <f t="shared" si="176"/>
        <v>0</v>
      </c>
      <c r="AE63" s="35">
        <f t="shared" si="176"/>
        <v>0</v>
      </c>
      <c r="AF63" s="35">
        <f t="shared" si="176"/>
        <v>0</v>
      </c>
      <c r="AG63" s="35">
        <f t="shared" si="176"/>
        <v>0</v>
      </c>
      <c r="AH63" s="35">
        <f t="shared" si="176"/>
        <v>0</v>
      </c>
      <c r="AI63" s="35">
        <f t="shared" si="176"/>
        <v>0</v>
      </c>
      <c r="AJ63" s="35">
        <f t="shared" si="176"/>
        <v>0</v>
      </c>
      <c r="AK63" s="35">
        <f t="shared" si="176"/>
        <v>0</v>
      </c>
      <c r="AL63" s="35">
        <f t="shared" ref="AL63" si="179">Z63</f>
        <v>0</v>
      </c>
      <c r="AM63" s="35">
        <f t="shared" ref="AM63" si="180">AA63</f>
        <v>0</v>
      </c>
      <c r="AN63" s="47"/>
      <c r="AO63" s="89"/>
    </row>
    <row r="64" spans="2:41" ht="12.75" customHeight="1">
      <c r="B64" s="10" t="s">
        <v>291</v>
      </c>
      <c r="C64" s="99">
        <v>36074</v>
      </c>
      <c r="D64" s="99">
        <v>40415</v>
      </c>
      <c r="E64" s="99">
        <v>45180</v>
      </c>
      <c r="F64" s="99">
        <v>50503</v>
      </c>
      <c r="G64" s="99">
        <v>54490</v>
      </c>
      <c r="H64" s="99">
        <v>53325</v>
      </c>
      <c r="I64" s="99">
        <v>49142</v>
      </c>
      <c r="J64" s="99">
        <v>49848</v>
      </c>
      <c r="K64" s="99">
        <v>45888</v>
      </c>
      <c r="L64" s="59"/>
      <c r="M64" s="99">
        <v>55056</v>
      </c>
      <c r="N64" s="99">
        <v>52432</v>
      </c>
      <c r="O64" s="99">
        <v>53629</v>
      </c>
      <c r="P64" s="35">
        <f t="shared" si="173"/>
        <v>49142</v>
      </c>
      <c r="Q64" s="99">
        <v>53107</v>
      </c>
      <c r="R64" s="99">
        <v>52886</v>
      </c>
      <c r="S64" s="99">
        <v>51730</v>
      </c>
      <c r="T64" s="35">
        <f t="shared" si="174"/>
        <v>49848</v>
      </c>
      <c r="U64" s="99">
        <v>50353</v>
      </c>
      <c r="V64" s="99">
        <v>47564</v>
      </c>
      <c r="W64" s="99">
        <v>47084</v>
      </c>
      <c r="X64" s="35">
        <f t="shared" si="175"/>
        <v>45888</v>
      </c>
      <c r="Y64" s="99">
        <v>49006</v>
      </c>
      <c r="Z64" s="99">
        <v>41300</v>
      </c>
      <c r="AA64" s="99">
        <v>42115</v>
      </c>
      <c r="AC64" s="35">
        <f t="shared" si="176"/>
        <v>53107</v>
      </c>
      <c r="AD64" s="35">
        <f t="shared" si="176"/>
        <v>52886</v>
      </c>
      <c r="AE64" s="35">
        <f t="shared" si="176"/>
        <v>51730</v>
      </c>
      <c r="AF64" s="35">
        <f t="shared" si="176"/>
        <v>49848</v>
      </c>
      <c r="AG64" s="35">
        <f t="shared" si="176"/>
        <v>50353</v>
      </c>
      <c r="AH64" s="35">
        <f t="shared" si="176"/>
        <v>47564</v>
      </c>
      <c r="AI64" s="35">
        <f t="shared" si="176"/>
        <v>47084</v>
      </c>
      <c r="AJ64" s="35">
        <f t="shared" si="176"/>
        <v>45888</v>
      </c>
      <c r="AK64" s="35">
        <f t="shared" si="176"/>
        <v>49006</v>
      </c>
      <c r="AL64" s="35">
        <f t="shared" si="177"/>
        <v>41300</v>
      </c>
      <c r="AM64" s="35">
        <f t="shared" si="178"/>
        <v>42115</v>
      </c>
      <c r="AN64" s="12"/>
      <c r="AO64" s="89">
        <f t="shared" si="146"/>
        <v>-0.10553478888794499</v>
      </c>
    </row>
    <row r="65" spans="1:41" ht="12.75" customHeight="1">
      <c r="B65" s="14" t="s">
        <v>24</v>
      </c>
      <c r="C65" s="15">
        <f t="shared" ref="C65:K65" si="181">SUM(C62:C64)+C60</f>
        <v>193437</v>
      </c>
      <c r="D65" s="15">
        <f t="shared" si="181"/>
        <v>241272</v>
      </c>
      <c r="E65" s="15">
        <f t="shared" si="181"/>
        <v>258578</v>
      </c>
      <c r="F65" s="15">
        <f t="shared" si="181"/>
        <v>248028</v>
      </c>
      <c r="G65" s="15">
        <f t="shared" si="181"/>
        <v>258549</v>
      </c>
      <c r="H65" s="15">
        <f t="shared" si="181"/>
        <v>287912</v>
      </c>
      <c r="I65" s="15">
        <f t="shared" si="181"/>
        <v>302083</v>
      </c>
      <c r="J65" s="15">
        <f t="shared" si="181"/>
        <v>290437</v>
      </c>
      <c r="K65" s="15">
        <f t="shared" si="181"/>
        <v>308030</v>
      </c>
      <c r="M65" s="15">
        <f t="shared" ref="M65:AA65" si="182">SUM(M62:M64)+M60</f>
        <v>309259</v>
      </c>
      <c r="N65" s="15">
        <f t="shared" si="182"/>
        <v>283263</v>
      </c>
      <c r="O65" s="15">
        <f t="shared" si="182"/>
        <v>278202</v>
      </c>
      <c r="P65" s="15">
        <f t="shared" si="182"/>
        <v>302083</v>
      </c>
      <c r="Q65" s="15">
        <f t="shared" si="182"/>
        <v>290020</v>
      </c>
      <c r="R65" s="15">
        <f t="shared" si="182"/>
        <v>270002</v>
      </c>
      <c r="S65" s="15">
        <f t="shared" si="182"/>
        <v>274764</v>
      </c>
      <c r="T65" s="15">
        <f t="shared" si="182"/>
        <v>290437</v>
      </c>
      <c r="U65" s="15">
        <f t="shared" si="182"/>
        <v>279414</v>
      </c>
      <c r="V65" s="15">
        <f t="shared" si="182"/>
        <v>263217</v>
      </c>
      <c r="W65" s="15">
        <f t="shared" si="182"/>
        <v>264904</v>
      </c>
      <c r="X65" s="15">
        <f t="shared" si="182"/>
        <v>308030</v>
      </c>
      <c r="Y65" s="15">
        <f t="shared" si="182"/>
        <v>277327</v>
      </c>
      <c r="Z65" s="15">
        <f t="shared" si="182"/>
        <v>264437</v>
      </c>
      <c r="AA65" s="15">
        <f t="shared" si="182"/>
        <v>265665</v>
      </c>
      <c r="AC65" s="15">
        <f t="shared" ref="AC65:AM65" si="183">SUM(AC62:AC64)+AC60</f>
        <v>288277</v>
      </c>
      <c r="AD65" s="15">
        <f t="shared" si="183"/>
        <v>268006</v>
      </c>
      <c r="AE65" s="15">
        <f t="shared" si="183"/>
        <v>270771</v>
      </c>
      <c r="AF65" s="15">
        <f t="shared" si="183"/>
        <v>284452</v>
      </c>
      <c r="AG65" s="15">
        <f t="shared" si="183"/>
        <v>277416</v>
      </c>
      <c r="AH65" s="15">
        <f t="shared" si="183"/>
        <v>261220</v>
      </c>
      <c r="AI65" s="15">
        <f t="shared" si="183"/>
        <v>264904</v>
      </c>
      <c r="AJ65" s="15">
        <f t="shared" si="183"/>
        <v>308030</v>
      </c>
      <c r="AK65" s="15">
        <f t="shared" si="183"/>
        <v>277327</v>
      </c>
      <c r="AL65" s="15">
        <f t="shared" si="183"/>
        <v>264437</v>
      </c>
      <c r="AM65" s="15">
        <f t="shared" si="183"/>
        <v>265665</v>
      </c>
      <c r="AN65" s="47"/>
      <c r="AO65" s="90">
        <f t="shared" si="146"/>
        <v>2.8727388034910373E-3</v>
      </c>
    </row>
    <row r="66" spans="1:41" ht="5.0999999999999996" customHeight="1">
      <c r="B66" s="28"/>
      <c r="C66" s="57"/>
      <c r="D66" s="57"/>
      <c r="E66" s="57"/>
      <c r="F66" s="57"/>
      <c r="G66" s="57"/>
      <c r="H66" s="57"/>
      <c r="I66" s="57"/>
      <c r="J66" s="46"/>
      <c r="K66" s="46"/>
      <c r="M66" s="46"/>
      <c r="N66" s="46"/>
      <c r="O66" s="46"/>
      <c r="P66" s="46"/>
      <c r="Q66" s="46"/>
      <c r="R66" s="46"/>
      <c r="S66" s="46"/>
      <c r="T66" s="46"/>
      <c r="U66" s="46"/>
      <c r="V66" s="46"/>
      <c r="AC66" s="47"/>
      <c r="AD66" s="47"/>
      <c r="AE66" s="47"/>
      <c r="AF66" s="47"/>
      <c r="AG66" s="47"/>
      <c r="AH66" s="47"/>
      <c r="AI66" s="47"/>
      <c r="AJ66" s="47"/>
      <c r="AK66" s="47"/>
      <c r="AL66" s="47"/>
      <c r="AM66" s="47"/>
      <c r="AN66" s="47"/>
      <c r="AO66" s="44"/>
    </row>
    <row r="67" spans="1:41" ht="12.75" customHeight="1">
      <c r="B67" s="10" t="s">
        <v>95</v>
      </c>
      <c r="C67" s="99">
        <v>31251</v>
      </c>
      <c r="D67" s="99">
        <v>35867</v>
      </c>
      <c r="E67" s="99">
        <v>40201</v>
      </c>
      <c r="F67" s="99">
        <v>45174</v>
      </c>
      <c r="G67" s="99">
        <v>50779</v>
      </c>
      <c r="H67" s="99">
        <v>57365</v>
      </c>
      <c r="I67" s="99">
        <v>64849</v>
      </c>
      <c r="J67" s="99">
        <v>73812</v>
      </c>
      <c r="K67" s="99">
        <v>83276</v>
      </c>
      <c r="L67" s="35"/>
      <c r="M67" s="99">
        <v>58424</v>
      </c>
      <c r="N67" s="99">
        <v>61181</v>
      </c>
      <c r="O67" s="99">
        <v>62115</v>
      </c>
      <c r="P67" s="35">
        <f t="shared" ref="P67:P69" si="184">I67</f>
        <v>64849</v>
      </c>
      <c r="Q67" s="99">
        <v>66399</v>
      </c>
      <c r="R67" s="99">
        <v>69568</v>
      </c>
      <c r="S67" s="99">
        <v>70667</v>
      </c>
      <c r="T67" s="35">
        <f t="shared" ref="T67:T69" si="185">J67</f>
        <v>73812</v>
      </c>
      <c r="U67" s="99">
        <v>75236</v>
      </c>
      <c r="V67" s="99">
        <v>75236</v>
      </c>
      <c r="W67" s="99">
        <v>79850</v>
      </c>
      <c r="X67" s="35">
        <f t="shared" ref="X67:X69" si="186">K67</f>
        <v>83276</v>
      </c>
      <c r="Y67" s="99">
        <v>84768</v>
      </c>
      <c r="Z67" s="99">
        <v>88711</v>
      </c>
      <c r="AA67" s="99">
        <v>89806</v>
      </c>
      <c r="AC67" s="35">
        <f t="shared" ref="AC67:AK69" si="187">Q67</f>
        <v>66399</v>
      </c>
      <c r="AD67" s="35">
        <f t="shared" si="187"/>
        <v>69568</v>
      </c>
      <c r="AE67" s="35">
        <f t="shared" si="187"/>
        <v>70667</v>
      </c>
      <c r="AF67" s="35">
        <f t="shared" si="187"/>
        <v>73812</v>
      </c>
      <c r="AG67" s="35">
        <f t="shared" si="187"/>
        <v>75236</v>
      </c>
      <c r="AH67" s="35">
        <f t="shared" si="187"/>
        <v>75236</v>
      </c>
      <c r="AI67" s="35">
        <f t="shared" si="187"/>
        <v>79850</v>
      </c>
      <c r="AJ67" s="35">
        <f t="shared" si="187"/>
        <v>83276</v>
      </c>
      <c r="AK67" s="35">
        <f t="shared" si="187"/>
        <v>84768</v>
      </c>
      <c r="AL67" s="35">
        <f t="shared" ref="AL67:AL69" si="188">Z67</f>
        <v>88711</v>
      </c>
      <c r="AM67" s="35">
        <f t="shared" ref="AM67:AM69" si="189">AA67</f>
        <v>89806</v>
      </c>
      <c r="AN67" s="12"/>
      <c r="AO67" s="89">
        <f t="shared" si="146"/>
        <v>0.1246837820914215</v>
      </c>
    </row>
    <row r="68" spans="1:41" ht="12.75" customHeight="1">
      <c r="B68" s="10" t="s">
        <v>293</v>
      </c>
      <c r="C68" s="99">
        <v>96364</v>
      </c>
      <c r="D68" s="99">
        <v>98330</v>
      </c>
      <c r="E68" s="99">
        <v>70400</v>
      </c>
      <c r="F68" s="99">
        <v>45898</v>
      </c>
      <c r="G68" s="99">
        <v>14966</v>
      </c>
      <c r="H68" s="99">
        <v>5562</v>
      </c>
      <c r="I68" s="99">
        <v>-3068</v>
      </c>
      <c r="J68" s="99">
        <v>-214</v>
      </c>
      <c r="K68" s="99">
        <v>-19154</v>
      </c>
      <c r="L68" s="35"/>
      <c r="M68" s="99">
        <v>6397</v>
      </c>
      <c r="N68" s="99">
        <v>4674</v>
      </c>
      <c r="O68" s="99">
        <v>-2749</v>
      </c>
      <c r="P68" s="35">
        <f t="shared" si="184"/>
        <v>-3068</v>
      </c>
      <c r="Q68" s="99">
        <v>-4798</v>
      </c>
      <c r="R68" s="99">
        <v>-3702</v>
      </c>
      <c r="S68" s="99">
        <v>-6630</v>
      </c>
      <c r="T68" s="35">
        <f t="shared" si="185"/>
        <v>-214</v>
      </c>
      <c r="U68" s="99">
        <v>204</v>
      </c>
      <c r="V68" s="99">
        <v>-120</v>
      </c>
      <c r="W68" s="99">
        <v>-12764</v>
      </c>
      <c r="X68" s="35">
        <f t="shared" si="186"/>
        <v>-19154</v>
      </c>
      <c r="Y68" s="99">
        <v>-11221</v>
      </c>
      <c r="Z68" s="99">
        <v>-15552</v>
      </c>
      <c r="AA68" s="99">
        <v>-17613</v>
      </c>
      <c r="AC68" s="35">
        <f t="shared" si="187"/>
        <v>-4798</v>
      </c>
      <c r="AD68" s="35">
        <f t="shared" si="187"/>
        <v>-3702</v>
      </c>
      <c r="AE68" s="35">
        <f t="shared" si="187"/>
        <v>-6630</v>
      </c>
      <c r="AF68" s="35">
        <f t="shared" si="187"/>
        <v>-214</v>
      </c>
      <c r="AG68" s="35">
        <f t="shared" si="187"/>
        <v>204</v>
      </c>
      <c r="AH68" s="35">
        <f t="shared" si="187"/>
        <v>-120</v>
      </c>
      <c r="AI68" s="35">
        <f t="shared" si="187"/>
        <v>-12764</v>
      </c>
      <c r="AJ68" s="35">
        <f t="shared" si="187"/>
        <v>-19154</v>
      </c>
      <c r="AK68" s="35">
        <f t="shared" si="187"/>
        <v>-11221</v>
      </c>
      <c r="AL68" s="35">
        <f t="shared" si="188"/>
        <v>-15552</v>
      </c>
      <c r="AM68" s="35">
        <f t="shared" si="189"/>
        <v>-17613</v>
      </c>
      <c r="AN68" s="12"/>
      <c r="AO68" s="89">
        <f t="shared" si="146"/>
        <v>0.37989658414290184</v>
      </c>
    </row>
    <row r="69" spans="1:41" ht="12.75" customHeight="1">
      <c r="B69" s="10" t="s">
        <v>294</v>
      </c>
      <c r="C69" s="99">
        <v>634</v>
      </c>
      <c r="D69" s="99">
        <v>-150</v>
      </c>
      <c r="E69" s="99">
        <v>-3454</v>
      </c>
      <c r="F69" s="99">
        <v>-584</v>
      </c>
      <c r="G69" s="99">
        <v>-406</v>
      </c>
      <c r="H69" s="99">
        <v>163</v>
      </c>
      <c r="I69" s="99">
        <v>-11109</v>
      </c>
      <c r="J69" s="99">
        <v>-11452</v>
      </c>
      <c r="K69" s="99">
        <v>-7172</v>
      </c>
      <c r="L69" s="35"/>
      <c r="M69" s="99">
        <v>-927</v>
      </c>
      <c r="N69" s="99">
        <v>-6494</v>
      </c>
      <c r="O69" s="99">
        <v>-9297</v>
      </c>
      <c r="P69" s="35">
        <f t="shared" si="184"/>
        <v>-11109</v>
      </c>
      <c r="Q69" s="99">
        <v>-12912</v>
      </c>
      <c r="R69" s="99">
        <v>-11746</v>
      </c>
      <c r="S69" s="99">
        <v>-11801</v>
      </c>
      <c r="T69" s="35">
        <f t="shared" si="185"/>
        <v>-11452</v>
      </c>
      <c r="U69" s="99">
        <v>-9378</v>
      </c>
      <c r="V69" s="99">
        <v>-8960</v>
      </c>
      <c r="W69" s="99">
        <v>-8416</v>
      </c>
      <c r="X69" s="35">
        <f t="shared" si="186"/>
        <v>-7172</v>
      </c>
      <c r="Y69" s="99">
        <v>-6789</v>
      </c>
      <c r="Z69" s="99">
        <v>-6363</v>
      </c>
      <c r="AA69" s="99">
        <v>-6363</v>
      </c>
      <c r="AC69" s="35">
        <f t="shared" si="187"/>
        <v>-12912</v>
      </c>
      <c r="AD69" s="35">
        <f t="shared" si="187"/>
        <v>-11746</v>
      </c>
      <c r="AE69" s="35">
        <f t="shared" si="187"/>
        <v>-11801</v>
      </c>
      <c r="AF69" s="35">
        <f t="shared" si="187"/>
        <v>-11452</v>
      </c>
      <c r="AG69" s="35">
        <f t="shared" si="187"/>
        <v>-9378</v>
      </c>
      <c r="AH69" s="35">
        <f t="shared" si="187"/>
        <v>-8960</v>
      </c>
      <c r="AI69" s="35">
        <f t="shared" si="187"/>
        <v>-8416</v>
      </c>
      <c r="AJ69" s="35">
        <f t="shared" si="187"/>
        <v>-7172</v>
      </c>
      <c r="AK69" s="35">
        <f t="shared" si="187"/>
        <v>-6789</v>
      </c>
      <c r="AL69" s="35">
        <f t="shared" si="188"/>
        <v>-6363</v>
      </c>
      <c r="AM69" s="35">
        <f t="shared" si="189"/>
        <v>-6363</v>
      </c>
      <c r="AN69" s="12"/>
      <c r="AO69" s="89">
        <f t="shared" si="146"/>
        <v>-0.24394011406844107</v>
      </c>
    </row>
    <row r="70" spans="1:41" ht="12.75" customHeight="1">
      <c r="B70" s="14" t="s">
        <v>23</v>
      </c>
      <c r="C70" s="15">
        <f t="shared" ref="C70:K70" si="190">SUM(C67:C69)</f>
        <v>128249</v>
      </c>
      <c r="D70" s="15">
        <f t="shared" si="190"/>
        <v>134047</v>
      </c>
      <c r="E70" s="15">
        <f t="shared" si="190"/>
        <v>107147</v>
      </c>
      <c r="F70" s="15">
        <f t="shared" si="190"/>
        <v>90488</v>
      </c>
      <c r="G70" s="15">
        <f t="shared" si="190"/>
        <v>65339</v>
      </c>
      <c r="H70" s="15">
        <f t="shared" si="190"/>
        <v>63090</v>
      </c>
      <c r="I70" s="15">
        <f t="shared" si="190"/>
        <v>50672</v>
      </c>
      <c r="J70" s="15">
        <f t="shared" si="190"/>
        <v>62146</v>
      </c>
      <c r="K70" s="15">
        <f t="shared" si="190"/>
        <v>56950</v>
      </c>
      <c r="L70" s="60"/>
      <c r="M70" s="15">
        <f t="shared" ref="M70:AA70" si="191">SUM(M67:M69)</f>
        <v>63894</v>
      </c>
      <c r="N70" s="15">
        <f t="shared" si="191"/>
        <v>59361</v>
      </c>
      <c r="O70" s="15">
        <f t="shared" si="191"/>
        <v>50069</v>
      </c>
      <c r="P70" s="15">
        <f t="shared" si="191"/>
        <v>50672</v>
      </c>
      <c r="Q70" s="15">
        <f t="shared" si="191"/>
        <v>48689</v>
      </c>
      <c r="R70" s="15">
        <f t="shared" si="191"/>
        <v>54120</v>
      </c>
      <c r="S70" s="15">
        <f t="shared" si="191"/>
        <v>52236</v>
      </c>
      <c r="T70" s="15">
        <f t="shared" si="191"/>
        <v>62146</v>
      </c>
      <c r="U70" s="15">
        <f t="shared" si="191"/>
        <v>66062</v>
      </c>
      <c r="V70" s="15">
        <f t="shared" si="191"/>
        <v>66156</v>
      </c>
      <c r="W70" s="15">
        <f t="shared" si="191"/>
        <v>58670</v>
      </c>
      <c r="X70" s="15">
        <f t="shared" si="191"/>
        <v>56950</v>
      </c>
      <c r="Y70" s="37">
        <f t="shared" si="191"/>
        <v>66758</v>
      </c>
      <c r="Z70" s="37">
        <f t="shared" si="191"/>
        <v>66796</v>
      </c>
      <c r="AA70" s="37">
        <f t="shared" si="191"/>
        <v>65830</v>
      </c>
      <c r="AC70" s="15">
        <f t="shared" ref="AC70:AM70" si="192">SUM(AC67:AC69)</f>
        <v>48689</v>
      </c>
      <c r="AD70" s="15">
        <f t="shared" si="192"/>
        <v>54120</v>
      </c>
      <c r="AE70" s="15">
        <f t="shared" si="192"/>
        <v>52236</v>
      </c>
      <c r="AF70" s="15">
        <f t="shared" si="192"/>
        <v>62146</v>
      </c>
      <c r="AG70" s="15">
        <f t="shared" si="192"/>
        <v>66062</v>
      </c>
      <c r="AH70" s="15">
        <f t="shared" si="192"/>
        <v>66156</v>
      </c>
      <c r="AI70" s="15">
        <f t="shared" si="192"/>
        <v>58670</v>
      </c>
      <c r="AJ70" s="15">
        <f t="shared" si="192"/>
        <v>56950</v>
      </c>
      <c r="AK70" s="15">
        <f t="shared" si="192"/>
        <v>66758</v>
      </c>
      <c r="AL70" s="15">
        <f t="shared" si="192"/>
        <v>66796</v>
      </c>
      <c r="AM70" s="15">
        <f t="shared" si="192"/>
        <v>65830</v>
      </c>
      <c r="AN70" s="47"/>
      <c r="AO70" s="90">
        <f t="shared" si="146"/>
        <v>0.12203852053860587</v>
      </c>
    </row>
    <row r="71" spans="1:41" ht="12.75" customHeight="1">
      <c r="B71" s="28" t="s">
        <v>85</v>
      </c>
      <c r="C71" s="35">
        <f t="shared" ref="C71:K71" si="193">SUM(C70+C65)</f>
        <v>321686</v>
      </c>
      <c r="D71" s="35">
        <f t="shared" si="193"/>
        <v>375319</v>
      </c>
      <c r="E71" s="35">
        <f t="shared" si="193"/>
        <v>365725</v>
      </c>
      <c r="F71" s="35">
        <f t="shared" si="193"/>
        <v>338516</v>
      </c>
      <c r="G71" s="35">
        <f t="shared" si="193"/>
        <v>323888</v>
      </c>
      <c r="H71" s="35">
        <f t="shared" si="193"/>
        <v>351002</v>
      </c>
      <c r="I71" s="35">
        <f t="shared" si="193"/>
        <v>352755</v>
      </c>
      <c r="J71" s="35">
        <f t="shared" si="193"/>
        <v>352583</v>
      </c>
      <c r="K71" s="35">
        <f t="shared" si="193"/>
        <v>364980</v>
      </c>
      <c r="L71" s="35"/>
      <c r="M71" s="35">
        <f t="shared" ref="M71:AA71" si="194">SUM(M70+M65)</f>
        <v>373153</v>
      </c>
      <c r="N71" s="35">
        <f t="shared" si="194"/>
        <v>342624</v>
      </c>
      <c r="O71" s="35">
        <f t="shared" si="194"/>
        <v>328271</v>
      </c>
      <c r="P71" s="35">
        <f t="shared" si="194"/>
        <v>352755</v>
      </c>
      <c r="Q71" s="35">
        <f t="shared" si="194"/>
        <v>338709</v>
      </c>
      <c r="R71" s="35">
        <f t="shared" si="194"/>
        <v>324122</v>
      </c>
      <c r="S71" s="35">
        <f t="shared" si="194"/>
        <v>327000</v>
      </c>
      <c r="T71" s="35">
        <f t="shared" si="194"/>
        <v>352583</v>
      </c>
      <c r="U71" s="35">
        <f t="shared" si="194"/>
        <v>345476</v>
      </c>
      <c r="V71" s="35">
        <f t="shared" si="194"/>
        <v>329373</v>
      </c>
      <c r="W71" s="35">
        <f t="shared" si="194"/>
        <v>323574</v>
      </c>
      <c r="X71" s="35">
        <f t="shared" si="194"/>
        <v>364980</v>
      </c>
      <c r="Y71" s="35">
        <f t="shared" si="194"/>
        <v>344085</v>
      </c>
      <c r="Z71" s="35">
        <f t="shared" si="194"/>
        <v>331233</v>
      </c>
      <c r="AA71" s="35">
        <f t="shared" si="194"/>
        <v>331495</v>
      </c>
      <c r="AB71" s="35"/>
      <c r="AC71" s="35">
        <f t="shared" ref="AC71:AM71" si="195">SUM(AC70+AC65)</f>
        <v>336966</v>
      </c>
      <c r="AD71" s="35">
        <f t="shared" si="195"/>
        <v>322126</v>
      </c>
      <c r="AE71" s="35">
        <f t="shared" si="195"/>
        <v>323007</v>
      </c>
      <c r="AF71" s="35">
        <f t="shared" si="195"/>
        <v>346598</v>
      </c>
      <c r="AG71" s="35">
        <f t="shared" si="195"/>
        <v>343478</v>
      </c>
      <c r="AH71" s="35">
        <f t="shared" si="195"/>
        <v>327376</v>
      </c>
      <c r="AI71" s="35">
        <f t="shared" si="195"/>
        <v>323574</v>
      </c>
      <c r="AJ71" s="35">
        <f t="shared" si="195"/>
        <v>364980</v>
      </c>
      <c r="AK71" s="35">
        <f t="shared" si="195"/>
        <v>344085</v>
      </c>
      <c r="AL71" s="35">
        <f t="shared" si="195"/>
        <v>331233</v>
      </c>
      <c r="AM71" s="35">
        <f t="shared" si="195"/>
        <v>331495</v>
      </c>
      <c r="AN71" s="12"/>
      <c r="AO71" s="90">
        <f t="shared" si="146"/>
        <v>2.4479717158980563E-2</v>
      </c>
    </row>
    <row r="72" spans="1:41" ht="5.0999999999999996" customHeight="1">
      <c r="B72" s="28"/>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5"/>
      <c r="AI72" s="35"/>
      <c r="AJ72" s="35"/>
      <c r="AK72" s="35"/>
      <c r="AL72" s="35"/>
      <c r="AM72" s="35"/>
      <c r="AN72" s="12"/>
    </row>
    <row r="73" spans="1:41" ht="12.75" customHeight="1">
      <c r="B73" s="82" t="s">
        <v>98</v>
      </c>
      <c r="C73" s="83">
        <f t="shared" ref="C73:K73" si="196">C71-C53</f>
        <v>0</v>
      </c>
      <c r="D73" s="83">
        <f t="shared" si="196"/>
        <v>0</v>
      </c>
      <c r="E73" s="83">
        <f t="shared" si="196"/>
        <v>0</v>
      </c>
      <c r="F73" s="83">
        <f t="shared" si="196"/>
        <v>0</v>
      </c>
      <c r="G73" s="83">
        <f t="shared" si="196"/>
        <v>0</v>
      </c>
      <c r="H73" s="83">
        <f t="shared" si="196"/>
        <v>0</v>
      </c>
      <c r="I73" s="83">
        <f t="shared" si="196"/>
        <v>0</v>
      </c>
      <c r="J73" s="83">
        <f t="shared" si="196"/>
        <v>0</v>
      </c>
      <c r="K73" s="83">
        <f t="shared" si="196"/>
        <v>0</v>
      </c>
      <c r="L73" s="84"/>
      <c r="M73" s="83">
        <f t="shared" ref="M73:AA73" si="197">M71-M53</f>
        <v>0</v>
      </c>
      <c r="N73" s="83">
        <f t="shared" si="197"/>
        <v>0</v>
      </c>
      <c r="O73" s="83">
        <f t="shared" si="197"/>
        <v>0</v>
      </c>
      <c r="P73" s="83">
        <f t="shared" si="197"/>
        <v>0</v>
      </c>
      <c r="Q73" s="83">
        <f t="shared" si="197"/>
        <v>0</v>
      </c>
      <c r="R73" s="83">
        <f t="shared" si="197"/>
        <v>0</v>
      </c>
      <c r="S73" s="83">
        <f t="shared" si="197"/>
        <v>0</v>
      </c>
      <c r="T73" s="83">
        <f t="shared" si="197"/>
        <v>0</v>
      </c>
      <c r="U73" s="83">
        <f t="shared" si="197"/>
        <v>0</v>
      </c>
      <c r="V73" s="83">
        <f t="shared" si="197"/>
        <v>0</v>
      </c>
      <c r="W73" s="83">
        <f t="shared" si="197"/>
        <v>0</v>
      </c>
      <c r="X73" s="83">
        <f t="shared" si="197"/>
        <v>0</v>
      </c>
      <c r="Y73" s="83">
        <f t="shared" si="197"/>
        <v>0</v>
      </c>
      <c r="Z73" s="83">
        <f t="shared" si="197"/>
        <v>0</v>
      </c>
      <c r="AA73" s="83">
        <f t="shared" si="197"/>
        <v>0</v>
      </c>
      <c r="AB73" s="31"/>
      <c r="AC73" s="83">
        <f t="shared" ref="AC73:AM73" si="198">AC71-AC53</f>
        <v>-1743</v>
      </c>
      <c r="AD73" s="83">
        <f t="shared" si="198"/>
        <v>-1996</v>
      </c>
      <c r="AE73" s="83">
        <f t="shared" si="198"/>
        <v>-3993</v>
      </c>
      <c r="AF73" s="83">
        <f t="shared" si="198"/>
        <v>-5985</v>
      </c>
      <c r="AG73" s="83">
        <f t="shared" si="198"/>
        <v>-1998</v>
      </c>
      <c r="AH73" s="83">
        <f t="shared" si="198"/>
        <v>-1997</v>
      </c>
      <c r="AI73" s="83">
        <f t="shared" si="198"/>
        <v>0</v>
      </c>
      <c r="AJ73" s="83">
        <f t="shared" si="198"/>
        <v>0</v>
      </c>
      <c r="AK73" s="83">
        <f t="shared" si="198"/>
        <v>0</v>
      </c>
      <c r="AL73" s="83">
        <f t="shared" si="198"/>
        <v>0</v>
      </c>
      <c r="AM73" s="83">
        <f t="shared" si="198"/>
        <v>0</v>
      </c>
    </row>
    <row r="74" spans="1:41">
      <c r="B74" s="80"/>
      <c r="C74" s="81"/>
      <c r="D74" s="81"/>
      <c r="E74" s="81"/>
      <c r="F74" s="81"/>
      <c r="G74" s="81"/>
      <c r="H74" s="61"/>
      <c r="I74" s="27"/>
      <c r="J74" s="27"/>
      <c r="K74" s="27"/>
      <c r="L74" s="61"/>
    </row>
    <row r="75" spans="1:41" ht="12.75" customHeight="1">
      <c r="A75" s="5" t="s">
        <v>25</v>
      </c>
      <c r="B75" s="397" t="s">
        <v>20</v>
      </c>
      <c r="C75" s="410" t="s">
        <v>0</v>
      </c>
      <c r="D75" s="410"/>
      <c r="E75" s="410"/>
      <c r="F75" s="410"/>
      <c r="G75" s="410"/>
      <c r="H75" s="410"/>
      <c r="I75" s="410"/>
      <c r="J75" s="410"/>
      <c r="K75" s="410"/>
      <c r="L75" s="411"/>
      <c r="M75" s="410" t="s">
        <v>1</v>
      </c>
      <c r="N75" s="410"/>
      <c r="O75" s="410"/>
      <c r="P75" s="410"/>
      <c r="Q75" s="410"/>
      <c r="R75" s="410"/>
      <c r="S75" s="410"/>
      <c r="T75" s="410"/>
      <c r="U75" s="410"/>
      <c r="V75" s="410"/>
      <c r="W75" s="410"/>
      <c r="X75" s="410"/>
      <c r="Y75" s="410"/>
      <c r="Z75" s="410"/>
      <c r="AA75" s="410"/>
      <c r="AB75" s="412"/>
      <c r="AC75" s="410"/>
      <c r="AD75" s="410"/>
      <c r="AE75" s="410"/>
      <c r="AF75" s="410"/>
      <c r="AG75" s="410"/>
      <c r="AH75" s="410"/>
      <c r="AI75" s="410" t="s">
        <v>10</v>
      </c>
      <c r="AJ75" s="410"/>
      <c r="AK75" s="410"/>
      <c r="AL75" s="410"/>
      <c r="AM75" s="410"/>
      <c r="AN75" s="411"/>
      <c r="AO75" s="413" t="s">
        <v>38</v>
      </c>
    </row>
    <row r="76" spans="1:41" ht="12.75" customHeight="1">
      <c r="B76" s="398" t="str">
        <f>B11</f>
        <v>Fiscal Period</v>
      </c>
      <c r="C76" s="414">
        <f>C11</f>
        <v>2016</v>
      </c>
      <c r="D76" s="414">
        <f t="shared" ref="D76:K76" si="199">D11</f>
        <v>2017</v>
      </c>
      <c r="E76" s="414">
        <f t="shared" si="199"/>
        <v>2018</v>
      </c>
      <c r="F76" s="414">
        <f t="shared" si="199"/>
        <v>2019</v>
      </c>
      <c r="G76" s="414">
        <f t="shared" si="199"/>
        <v>2020</v>
      </c>
      <c r="H76" s="414">
        <f t="shared" si="199"/>
        <v>2021</v>
      </c>
      <c r="I76" s="414">
        <f t="shared" si="199"/>
        <v>2022</v>
      </c>
      <c r="J76" s="414">
        <f t="shared" si="199"/>
        <v>2023</v>
      </c>
      <c r="K76" s="414">
        <f t="shared" si="199"/>
        <v>2024</v>
      </c>
      <c r="L76" s="411"/>
      <c r="M76" s="414" t="str">
        <f t="shared" ref="M76:AA76" si="200">M11</f>
        <v>1Q22</v>
      </c>
      <c r="N76" s="414" t="str">
        <f t="shared" si="200"/>
        <v>2Q22</v>
      </c>
      <c r="O76" s="414" t="str">
        <f t="shared" si="200"/>
        <v>3Q22</v>
      </c>
      <c r="P76" s="414" t="str">
        <f t="shared" si="200"/>
        <v>4Q22</v>
      </c>
      <c r="Q76" s="414" t="str">
        <f t="shared" si="200"/>
        <v>1Q23</v>
      </c>
      <c r="R76" s="414" t="str">
        <f t="shared" si="200"/>
        <v>2Q23</v>
      </c>
      <c r="S76" s="414" t="str">
        <f t="shared" si="200"/>
        <v>3Q23</v>
      </c>
      <c r="T76" s="414" t="str">
        <f t="shared" si="200"/>
        <v>4Q23</v>
      </c>
      <c r="U76" s="414" t="str">
        <f t="shared" si="200"/>
        <v>1Q24</v>
      </c>
      <c r="V76" s="414" t="str">
        <f t="shared" si="200"/>
        <v>2Q24</v>
      </c>
      <c r="W76" s="414" t="str">
        <f t="shared" si="200"/>
        <v>3Q24</v>
      </c>
      <c r="X76" s="414" t="str">
        <f t="shared" si="200"/>
        <v>4Q24</v>
      </c>
      <c r="Y76" s="414" t="str">
        <f t="shared" si="200"/>
        <v>1Q25</v>
      </c>
      <c r="Z76" s="414" t="str">
        <f t="shared" si="200"/>
        <v>2Q25</v>
      </c>
      <c r="AA76" s="414" t="str">
        <f t="shared" si="200"/>
        <v>3Q25</v>
      </c>
      <c r="AB76" s="414"/>
      <c r="AC76" s="414" t="str">
        <f t="shared" ref="AB76:AM76" si="201">AC11</f>
        <v>1Q23</v>
      </c>
      <c r="AD76" s="414" t="str">
        <f t="shared" si="201"/>
        <v>2Q23</v>
      </c>
      <c r="AE76" s="414" t="str">
        <f t="shared" si="201"/>
        <v>3Q23</v>
      </c>
      <c r="AF76" s="414" t="str">
        <f t="shared" si="201"/>
        <v>4Q23</v>
      </c>
      <c r="AG76" s="414" t="str">
        <f t="shared" si="201"/>
        <v>1Q24</v>
      </c>
      <c r="AH76" s="414" t="str">
        <f t="shared" si="201"/>
        <v>2Q24</v>
      </c>
      <c r="AI76" s="414" t="str">
        <f t="shared" si="201"/>
        <v>3Q24</v>
      </c>
      <c r="AJ76" s="414" t="str">
        <f t="shared" si="201"/>
        <v>4Q24</v>
      </c>
      <c r="AK76" s="414" t="str">
        <f t="shared" si="201"/>
        <v>1Q25</v>
      </c>
      <c r="AL76" s="414" t="str">
        <f t="shared" si="201"/>
        <v>2Q25</v>
      </c>
      <c r="AM76" s="414" t="str">
        <f t="shared" si="201"/>
        <v>3Q25</v>
      </c>
      <c r="AN76" s="411"/>
      <c r="AO76" s="413"/>
    </row>
    <row r="77" spans="1:41" ht="12.75" customHeight="1">
      <c r="B77" s="398" t="str">
        <f>B12</f>
        <v>Fiscal Period End Date</v>
      </c>
      <c r="C77" s="415">
        <f>C12</f>
        <v>42643</v>
      </c>
      <c r="D77" s="415">
        <f t="shared" ref="D77:K77" si="202">D12</f>
        <v>43008</v>
      </c>
      <c r="E77" s="415">
        <f t="shared" si="202"/>
        <v>43372</v>
      </c>
      <c r="F77" s="415">
        <f t="shared" si="202"/>
        <v>43737</v>
      </c>
      <c r="G77" s="415">
        <f t="shared" si="202"/>
        <v>44104</v>
      </c>
      <c r="H77" s="415">
        <f t="shared" si="202"/>
        <v>44469</v>
      </c>
      <c r="I77" s="415">
        <f t="shared" si="202"/>
        <v>44834</v>
      </c>
      <c r="J77" s="415">
        <f t="shared" si="202"/>
        <v>45192</v>
      </c>
      <c r="K77" s="415">
        <f t="shared" si="202"/>
        <v>45559</v>
      </c>
      <c r="L77" s="411"/>
      <c r="M77" s="415">
        <f t="shared" ref="M77:AA77" si="203">M12</f>
        <v>44560</v>
      </c>
      <c r="N77" s="415">
        <f t="shared" si="203"/>
        <v>44650</v>
      </c>
      <c r="O77" s="415">
        <f t="shared" si="203"/>
        <v>44742</v>
      </c>
      <c r="P77" s="415">
        <f t="shared" si="203"/>
        <v>44834</v>
      </c>
      <c r="Q77" s="415">
        <f t="shared" si="203"/>
        <v>44917</v>
      </c>
      <c r="R77" s="415">
        <f t="shared" si="203"/>
        <v>45008</v>
      </c>
      <c r="S77" s="415">
        <f t="shared" si="203"/>
        <v>45100</v>
      </c>
      <c r="T77" s="415">
        <f t="shared" si="203"/>
        <v>45192</v>
      </c>
      <c r="U77" s="415">
        <f t="shared" si="203"/>
        <v>45283</v>
      </c>
      <c r="V77" s="415">
        <f t="shared" si="203"/>
        <v>45375</v>
      </c>
      <c r="W77" s="415">
        <f t="shared" si="203"/>
        <v>45467</v>
      </c>
      <c r="X77" s="415">
        <f t="shared" si="203"/>
        <v>45559</v>
      </c>
      <c r="Y77" s="415">
        <f t="shared" si="203"/>
        <v>45650</v>
      </c>
      <c r="Z77" s="415">
        <f t="shared" si="203"/>
        <v>45741</v>
      </c>
      <c r="AA77" s="415">
        <f t="shared" si="203"/>
        <v>45833</v>
      </c>
      <c r="AB77" s="415"/>
      <c r="AC77" s="415">
        <f t="shared" ref="AB77:AM77" si="204">AC12</f>
        <v>44917</v>
      </c>
      <c r="AD77" s="415">
        <f t="shared" si="204"/>
        <v>45008</v>
      </c>
      <c r="AE77" s="415">
        <f t="shared" si="204"/>
        <v>45100</v>
      </c>
      <c r="AF77" s="415">
        <f t="shared" si="204"/>
        <v>45192</v>
      </c>
      <c r="AG77" s="415">
        <f t="shared" si="204"/>
        <v>45283</v>
      </c>
      <c r="AH77" s="415">
        <f t="shared" si="204"/>
        <v>45375</v>
      </c>
      <c r="AI77" s="415">
        <f t="shared" si="204"/>
        <v>45467</v>
      </c>
      <c r="AJ77" s="415">
        <f t="shared" si="204"/>
        <v>45559</v>
      </c>
      <c r="AK77" s="415">
        <f t="shared" si="204"/>
        <v>45650</v>
      </c>
      <c r="AL77" s="415">
        <f t="shared" si="204"/>
        <v>45741</v>
      </c>
      <c r="AM77" s="415">
        <f t="shared" si="204"/>
        <v>45833</v>
      </c>
      <c r="AN77" s="411"/>
      <c r="AO77" s="413"/>
    </row>
    <row r="78" spans="1:41" ht="5.0999999999999996" customHeight="1">
      <c r="B78" s="62"/>
      <c r="C78" s="55"/>
      <c r="D78" s="55"/>
      <c r="E78" s="55"/>
      <c r="F78" s="55"/>
      <c r="G78" s="55"/>
      <c r="H78" s="55"/>
      <c r="I78" s="55"/>
      <c r="J78" s="55"/>
      <c r="K78" s="55"/>
    </row>
    <row r="79" spans="1:41" ht="12.75" customHeight="1">
      <c r="B79" s="63" t="s">
        <v>86</v>
      </c>
      <c r="C79" s="64"/>
      <c r="D79" s="64"/>
      <c r="E79" s="64"/>
      <c r="F79" s="64"/>
      <c r="G79" s="64"/>
      <c r="H79" s="64"/>
      <c r="I79" s="64"/>
      <c r="J79" s="64"/>
      <c r="K79" s="64"/>
    </row>
    <row r="80" spans="1:41" ht="12.75" customHeight="1">
      <c r="B80" s="65" t="s">
        <v>87</v>
      </c>
      <c r="C80" s="99">
        <f t="shared" ref="C80:K80" si="205">C30</f>
        <v>45687</v>
      </c>
      <c r="D80" s="35">
        <f t="shared" si="205"/>
        <v>48351</v>
      </c>
      <c r="E80" s="35">
        <f t="shared" si="205"/>
        <v>59531</v>
      </c>
      <c r="F80" s="35">
        <f t="shared" si="205"/>
        <v>55256</v>
      </c>
      <c r="G80" s="35">
        <f t="shared" si="205"/>
        <v>57411</v>
      </c>
      <c r="H80" s="35">
        <f t="shared" si="205"/>
        <v>94680</v>
      </c>
      <c r="I80" s="35">
        <f t="shared" si="205"/>
        <v>99803</v>
      </c>
      <c r="J80" s="35">
        <f t="shared" si="205"/>
        <v>96995</v>
      </c>
      <c r="K80" s="35">
        <f t="shared" si="205"/>
        <v>93736</v>
      </c>
      <c r="L80" s="35"/>
      <c r="M80" s="35">
        <f t="shared" ref="M80:AA80" si="206">M30</f>
        <v>34630</v>
      </c>
      <c r="N80" s="35">
        <f t="shared" si="206"/>
        <v>25010</v>
      </c>
      <c r="O80" s="35">
        <f t="shared" si="206"/>
        <v>19442</v>
      </c>
      <c r="P80" s="35">
        <f t="shared" si="206"/>
        <v>20721</v>
      </c>
      <c r="Q80" s="35">
        <f t="shared" si="206"/>
        <v>29998</v>
      </c>
      <c r="R80" s="35">
        <f t="shared" si="206"/>
        <v>24160</v>
      </c>
      <c r="S80" s="35">
        <f t="shared" si="206"/>
        <v>19881</v>
      </c>
      <c r="T80" s="35">
        <f t="shared" si="206"/>
        <v>22956</v>
      </c>
      <c r="U80" s="35">
        <f t="shared" si="206"/>
        <v>33916</v>
      </c>
      <c r="V80" s="35">
        <f t="shared" si="206"/>
        <v>23636</v>
      </c>
      <c r="W80" s="35">
        <f t="shared" si="206"/>
        <v>21448</v>
      </c>
      <c r="X80" s="35">
        <f t="shared" si="206"/>
        <v>14736</v>
      </c>
      <c r="Y80" s="35">
        <f t="shared" si="206"/>
        <v>36330</v>
      </c>
      <c r="Z80" s="35">
        <f t="shared" si="206"/>
        <v>24780</v>
      </c>
      <c r="AA80" s="35">
        <f t="shared" si="206"/>
        <v>23434</v>
      </c>
      <c r="AC80" s="35">
        <f t="shared" ref="AC80:AM80" si="207">SUM(N80:Q80)</f>
        <v>95171</v>
      </c>
      <c r="AD80" s="35">
        <f t="shared" si="207"/>
        <v>94321</v>
      </c>
      <c r="AE80" s="35">
        <f t="shared" si="207"/>
        <v>94760</v>
      </c>
      <c r="AF80" s="35">
        <f t="shared" si="207"/>
        <v>96995</v>
      </c>
      <c r="AG80" s="35">
        <f t="shared" si="207"/>
        <v>100913</v>
      </c>
      <c r="AH80" s="35">
        <f t="shared" si="207"/>
        <v>100389</v>
      </c>
      <c r="AI80" s="35">
        <f t="shared" si="207"/>
        <v>101956</v>
      </c>
      <c r="AJ80" s="35">
        <f t="shared" si="207"/>
        <v>93736</v>
      </c>
      <c r="AK80" s="35">
        <f t="shared" si="207"/>
        <v>96150</v>
      </c>
      <c r="AL80" s="35">
        <f t="shared" si="207"/>
        <v>97294</v>
      </c>
      <c r="AM80" s="35">
        <f t="shared" si="207"/>
        <v>99280</v>
      </c>
      <c r="AN80" s="12"/>
      <c r="AO80" s="89">
        <f t="shared" ref="AO80:AO94" si="208">SUM(AM80/AI80)-1</f>
        <v>-2.6246616187374894E-2</v>
      </c>
    </row>
    <row r="81" spans="2:41" ht="5.0999999999999996" customHeight="1">
      <c r="C81" s="99"/>
      <c r="D81" s="35"/>
      <c r="E81" s="35"/>
      <c r="F81" s="35"/>
      <c r="G81" s="35"/>
      <c r="H81" s="35"/>
      <c r="I81" s="35"/>
      <c r="J81" s="35"/>
      <c r="K81" s="35"/>
      <c r="L81" s="35"/>
      <c r="M81" s="35"/>
      <c r="N81" s="35"/>
      <c r="O81" s="35"/>
      <c r="P81" s="35"/>
      <c r="Q81" s="35"/>
      <c r="R81" s="35"/>
      <c r="S81" s="35"/>
      <c r="T81" s="35"/>
      <c r="U81" s="35"/>
      <c r="V81" s="35"/>
      <c r="W81" s="35"/>
      <c r="X81" s="35"/>
      <c r="Y81" s="35"/>
      <c r="Z81" s="35"/>
      <c r="AA81" s="35"/>
      <c r="AC81" s="35"/>
      <c r="AD81" s="35"/>
      <c r="AE81" s="35"/>
      <c r="AF81" s="35"/>
      <c r="AG81" s="35"/>
      <c r="AH81" s="35"/>
      <c r="AI81" s="35"/>
      <c r="AJ81" s="35"/>
      <c r="AK81" s="35"/>
      <c r="AL81" s="35"/>
      <c r="AM81" s="35"/>
      <c r="AN81" s="12"/>
      <c r="AO81" s="89"/>
    </row>
    <row r="82" spans="2:41" ht="12.75" customHeight="1">
      <c r="B82" s="40" t="s">
        <v>96</v>
      </c>
      <c r="C82" s="99"/>
      <c r="D82" s="35"/>
      <c r="E82" s="35"/>
      <c r="F82" s="35"/>
      <c r="G82" s="35"/>
      <c r="H82" s="35"/>
      <c r="I82" s="35"/>
      <c r="J82" s="35"/>
      <c r="K82" s="35"/>
      <c r="L82" s="35"/>
      <c r="M82" s="35"/>
      <c r="N82" s="35"/>
      <c r="O82" s="35"/>
      <c r="P82" s="35"/>
      <c r="Q82" s="35"/>
      <c r="R82" s="35"/>
      <c r="S82" s="35"/>
      <c r="T82" s="35"/>
      <c r="U82" s="35"/>
      <c r="V82" s="35"/>
      <c r="W82" s="35"/>
      <c r="X82" s="35"/>
      <c r="Y82" s="35"/>
      <c r="Z82" s="35"/>
      <c r="AA82" s="35"/>
      <c r="AC82" s="35"/>
      <c r="AD82" s="35"/>
      <c r="AE82" s="35"/>
      <c r="AF82" s="35"/>
      <c r="AG82" s="35"/>
      <c r="AH82" s="35"/>
      <c r="AI82" s="35"/>
      <c r="AJ82" s="35"/>
      <c r="AK82" s="35"/>
      <c r="AL82" s="35"/>
      <c r="AM82" s="35"/>
      <c r="AN82" s="67"/>
      <c r="AO82" s="89" t="e">
        <f t="shared" si="208"/>
        <v>#DIV/0!</v>
      </c>
    </row>
    <row r="83" spans="2:41" ht="12.75" customHeight="1">
      <c r="B83" s="68" t="s">
        <v>296</v>
      </c>
      <c r="C83" s="99">
        <v>10505</v>
      </c>
      <c r="D83" s="99">
        <v>10157</v>
      </c>
      <c r="E83" s="99">
        <v>10903</v>
      </c>
      <c r="F83" s="99">
        <v>12547</v>
      </c>
      <c r="G83" s="99">
        <v>11056</v>
      </c>
      <c r="H83" s="99">
        <v>11284</v>
      </c>
      <c r="I83" s="99">
        <v>11104</v>
      </c>
      <c r="J83" s="99">
        <v>11519</v>
      </c>
      <c r="K83" s="99">
        <v>11445</v>
      </c>
      <c r="L83" s="35"/>
      <c r="M83" s="99">
        <v>2697</v>
      </c>
      <c r="N83" s="35">
        <f>5434-M83</f>
        <v>2737</v>
      </c>
      <c r="O83" s="35">
        <f>8239-SUM(M83:N83)</f>
        <v>2805</v>
      </c>
      <c r="P83" s="35">
        <f t="shared" ref="P83:P86" si="209">SUM(I83-SUM(M83:O83))</f>
        <v>2865</v>
      </c>
      <c r="Q83" s="99">
        <v>2916</v>
      </c>
      <c r="R83" s="35">
        <f>5814-Q83</f>
        <v>2898</v>
      </c>
      <c r="S83" s="35">
        <v>3052</v>
      </c>
      <c r="T83" s="35">
        <f t="shared" ref="T83:T86" si="210">SUM(J83-SUM(Q83:S83))</f>
        <v>2653</v>
      </c>
      <c r="U83" s="99">
        <v>2848</v>
      </c>
      <c r="V83" s="35">
        <f>5684-U83</f>
        <v>2836</v>
      </c>
      <c r="W83" s="35">
        <f>8534-V83-U83</f>
        <v>2850</v>
      </c>
      <c r="X83" s="35">
        <f t="shared" ref="X83:X86" si="211">SUM(K83-SUM(U83:W83))</f>
        <v>2911</v>
      </c>
      <c r="Y83" s="99">
        <v>3080</v>
      </c>
      <c r="Z83" s="35">
        <f>5741-Y83</f>
        <v>2661</v>
      </c>
      <c r="AA83" s="35">
        <f>8571-Z83-Y83</f>
        <v>2830</v>
      </c>
      <c r="AC83" s="35">
        <f t="shared" ref="AC83:AM86" si="212">SUM(N83:Q83)</f>
        <v>11323</v>
      </c>
      <c r="AD83" s="35">
        <f t="shared" si="212"/>
        <v>11484</v>
      </c>
      <c r="AE83" s="35">
        <f t="shared" si="212"/>
        <v>11731</v>
      </c>
      <c r="AF83" s="35">
        <f t="shared" si="212"/>
        <v>11519</v>
      </c>
      <c r="AG83" s="35">
        <f t="shared" si="212"/>
        <v>11451</v>
      </c>
      <c r="AH83" s="35">
        <f t="shared" si="212"/>
        <v>11389</v>
      </c>
      <c r="AI83" s="35">
        <f t="shared" si="212"/>
        <v>11187</v>
      </c>
      <c r="AJ83" s="35">
        <f t="shared" si="212"/>
        <v>11445</v>
      </c>
      <c r="AK83" s="35">
        <f t="shared" si="212"/>
        <v>11677</v>
      </c>
      <c r="AL83" s="35">
        <f t="shared" si="212"/>
        <v>11502</v>
      </c>
      <c r="AM83" s="35">
        <f t="shared" si="212"/>
        <v>11482</v>
      </c>
      <c r="AN83" s="12"/>
      <c r="AO83" s="89">
        <f t="shared" si="208"/>
        <v>2.636989362653086E-2</v>
      </c>
    </row>
    <row r="84" spans="2:41" ht="12.75" customHeight="1">
      <c r="B84" s="68" t="s">
        <v>297</v>
      </c>
      <c r="C84" s="99">
        <v>4210</v>
      </c>
      <c r="D84" s="99">
        <v>4840</v>
      </c>
      <c r="E84" s="99">
        <v>5340</v>
      </c>
      <c r="F84" s="99">
        <v>6068</v>
      </c>
      <c r="G84" s="99">
        <v>6829</v>
      </c>
      <c r="H84" s="99">
        <v>7906</v>
      </c>
      <c r="I84" s="99">
        <v>9038</v>
      </c>
      <c r="J84" s="99">
        <v>10833</v>
      </c>
      <c r="K84" s="99">
        <v>11688</v>
      </c>
      <c r="L84" s="35"/>
      <c r="M84" s="99">
        <v>2265</v>
      </c>
      <c r="N84" s="35">
        <f>4517-M84</f>
        <v>2252</v>
      </c>
      <c r="O84" s="35">
        <f>6760-SUM(M84:N84)</f>
        <v>2243</v>
      </c>
      <c r="P84" s="35">
        <f t="shared" si="209"/>
        <v>2278</v>
      </c>
      <c r="Q84" s="99">
        <v>2905</v>
      </c>
      <c r="R84" s="35">
        <f>5591-Q84</f>
        <v>2686</v>
      </c>
      <c r="S84" s="35">
        <v>2617</v>
      </c>
      <c r="T84" s="35">
        <f t="shared" si="210"/>
        <v>2625</v>
      </c>
      <c r="U84" s="99">
        <v>2997</v>
      </c>
      <c r="V84" s="35">
        <f>5961-U84+3</f>
        <v>2967</v>
      </c>
      <c r="W84" s="35">
        <f>8830-V84-U84</f>
        <v>2866</v>
      </c>
      <c r="X84" s="35">
        <f t="shared" si="211"/>
        <v>2858</v>
      </c>
      <c r="Y84" s="99">
        <v>3286</v>
      </c>
      <c r="Z84" s="35">
        <f>6512-Y84</f>
        <v>3226</v>
      </c>
      <c r="AA84" s="35">
        <f>9680-Z84-Y84</f>
        <v>3168</v>
      </c>
      <c r="AC84" s="35">
        <f t="shared" si="212"/>
        <v>9678</v>
      </c>
      <c r="AD84" s="35">
        <f t="shared" si="212"/>
        <v>10112</v>
      </c>
      <c r="AE84" s="35">
        <f t="shared" si="212"/>
        <v>10486</v>
      </c>
      <c r="AF84" s="35">
        <f t="shared" si="212"/>
        <v>10833</v>
      </c>
      <c r="AG84" s="35">
        <f t="shared" si="212"/>
        <v>10925</v>
      </c>
      <c r="AH84" s="35">
        <f t="shared" si="212"/>
        <v>11206</v>
      </c>
      <c r="AI84" s="35">
        <f t="shared" si="212"/>
        <v>11455</v>
      </c>
      <c r="AJ84" s="35">
        <f t="shared" si="212"/>
        <v>11688</v>
      </c>
      <c r="AK84" s="35">
        <f t="shared" si="212"/>
        <v>11977</v>
      </c>
      <c r="AL84" s="35">
        <f t="shared" si="212"/>
        <v>12236</v>
      </c>
      <c r="AM84" s="35">
        <f t="shared" si="212"/>
        <v>12538</v>
      </c>
      <c r="AN84" s="12"/>
      <c r="AO84" s="89">
        <f t="shared" si="208"/>
        <v>9.4543867306852825E-2</v>
      </c>
    </row>
    <row r="85" spans="2:41" ht="12.75" customHeight="1">
      <c r="B85" s="68" t="s">
        <v>298</v>
      </c>
      <c r="C85" s="99">
        <v>4938</v>
      </c>
      <c r="D85" s="99">
        <v>5966</v>
      </c>
      <c r="E85" s="99">
        <v>-32590</v>
      </c>
      <c r="F85" s="99">
        <v>-340</v>
      </c>
      <c r="G85" s="99">
        <v>-215</v>
      </c>
      <c r="H85" s="99">
        <v>-4774</v>
      </c>
      <c r="I85" s="99">
        <v>895</v>
      </c>
      <c r="J85" s="99">
        <v>0</v>
      </c>
      <c r="K85" s="99">
        <v>0</v>
      </c>
      <c r="L85" s="35"/>
      <c r="M85" s="99">
        <v>682</v>
      </c>
      <c r="N85" s="35">
        <f>1088-M85</f>
        <v>406</v>
      </c>
      <c r="O85" s="35">
        <f>2756-SUM(M85:N85)</f>
        <v>1668</v>
      </c>
      <c r="P85" s="35">
        <f t="shared" si="209"/>
        <v>-1861</v>
      </c>
      <c r="Q85" s="99">
        <v>0</v>
      </c>
      <c r="R85" s="35">
        <f t="shared" ref="R85" si="213">Q85</f>
        <v>0</v>
      </c>
      <c r="S85" s="35">
        <v>0</v>
      </c>
      <c r="T85" s="35">
        <f t="shared" si="210"/>
        <v>0</v>
      </c>
      <c r="U85" s="99">
        <f t="shared" ref="U85" si="214">T85</f>
        <v>0</v>
      </c>
      <c r="V85" s="35">
        <v>0</v>
      </c>
      <c r="W85" s="35">
        <v>0</v>
      </c>
      <c r="X85" s="35">
        <f t="shared" si="211"/>
        <v>0</v>
      </c>
      <c r="Y85" s="99">
        <f t="shared" ref="Y85:Z85" si="215">X85</f>
        <v>0</v>
      </c>
      <c r="Z85" s="35">
        <f t="shared" si="215"/>
        <v>0</v>
      </c>
      <c r="AA85" s="35">
        <v>0</v>
      </c>
      <c r="AC85" s="35">
        <f t="shared" si="212"/>
        <v>213</v>
      </c>
      <c r="AD85" s="35">
        <f t="shared" si="212"/>
        <v>-193</v>
      </c>
      <c r="AE85" s="35">
        <f t="shared" si="212"/>
        <v>-1861</v>
      </c>
      <c r="AF85" s="35">
        <f t="shared" si="212"/>
        <v>0</v>
      </c>
      <c r="AG85" s="35">
        <f t="shared" si="212"/>
        <v>0</v>
      </c>
      <c r="AH85" s="35">
        <f t="shared" si="212"/>
        <v>0</v>
      </c>
      <c r="AI85" s="35">
        <f t="shared" si="212"/>
        <v>0</v>
      </c>
      <c r="AJ85" s="35">
        <f t="shared" si="212"/>
        <v>0</v>
      </c>
      <c r="AK85" s="35">
        <f t="shared" si="212"/>
        <v>0</v>
      </c>
      <c r="AL85" s="35">
        <f t="shared" si="212"/>
        <v>0</v>
      </c>
      <c r="AM85" s="35">
        <f t="shared" si="212"/>
        <v>0</v>
      </c>
      <c r="AN85" s="12"/>
      <c r="AO85" s="89" t="e">
        <f t="shared" si="208"/>
        <v>#DIV/0!</v>
      </c>
    </row>
    <row r="86" spans="2:41" ht="12.75" customHeight="1">
      <c r="B86" s="68" t="s">
        <v>299</v>
      </c>
      <c r="C86" s="99">
        <v>0</v>
      </c>
      <c r="D86" s="99">
        <v>-166</v>
      </c>
      <c r="E86" s="99">
        <v>-444</v>
      </c>
      <c r="F86" s="99">
        <v>-652</v>
      </c>
      <c r="G86" s="99">
        <v>-97</v>
      </c>
      <c r="H86" s="99">
        <v>-147</v>
      </c>
      <c r="I86" s="99">
        <v>111</v>
      </c>
      <c r="J86" s="99">
        <v>-2227</v>
      </c>
      <c r="K86" s="99">
        <v>-2266</v>
      </c>
      <c r="L86" s="35"/>
      <c r="M86" s="99">
        <v>167</v>
      </c>
      <c r="N86" s="35">
        <f>-20-M86</f>
        <v>-187</v>
      </c>
      <c r="O86" s="35">
        <f>-61-SUM(M86:N86)</f>
        <v>-41</v>
      </c>
      <c r="P86" s="35">
        <f t="shared" si="209"/>
        <v>172</v>
      </c>
      <c r="Q86" s="99">
        <v>-317</v>
      </c>
      <c r="R86" s="35">
        <f>-1732-Q86</f>
        <v>-1415</v>
      </c>
      <c r="S86" s="35">
        <v>81</v>
      </c>
      <c r="T86" s="35">
        <f t="shared" si="210"/>
        <v>-576</v>
      </c>
      <c r="U86" s="99">
        <v>-989</v>
      </c>
      <c r="V86" s="35">
        <f>-1971-U86</f>
        <v>-982</v>
      </c>
      <c r="W86" s="35">
        <f>-1964-V86-U86</f>
        <v>7</v>
      </c>
      <c r="X86" s="35">
        <f t="shared" si="211"/>
        <v>-302</v>
      </c>
      <c r="Y86" s="99">
        <v>-2009</v>
      </c>
      <c r="Z86" s="35">
        <f>-2217-Y86</f>
        <v>-208</v>
      </c>
      <c r="AA86" s="35">
        <f>-1748-Z86-Y86</f>
        <v>469</v>
      </c>
      <c r="AC86" s="35">
        <f t="shared" si="212"/>
        <v>-373</v>
      </c>
      <c r="AD86" s="35">
        <f t="shared" si="212"/>
        <v>-1601</v>
      </c>
      <c r="AE86" s="35">
        <f t="shared" si="212"/>
        <v>-1479</v>
      </c>
      <c r="AF86" s="35">
        <f t="shared" si="212"/>
        <v>-2227</v>
      </c>
      <c r="AG86" s="35">
        <f t="shared" si="212"/>
        <v>-2899</v>
      </c>
      <c r="AH86" s="35">
        <f t="shared" si="212"/>
        <v>-2466</v>
      </c>
      <c r="AI86" s="35">
        <f t="shared" si="212"/>
        <v>-2540</v>
      </c>
      <c r="AJ86" s="35">
        <f t="shared" si="212"/>
        <v>-2266</v>
      </c>
      <c r="AK86" s="35">
        <f t="shared" si="212"/>
        <v>-3286</v>
      </c>
      <c r="AL86" s="35">
        <f t="shared" si="212"/>
        <v>-2512</v>
      </c>
      <c r="AM86" s="35">
        <f t="shared" si="212"/>
        <v>-2050</v>
      </c>
      <c r="AN86" s="12"/>
      <c r="AO86" s="89">
        <f t="shared" si="208"/>
        <v>-0.19291338582677164</v>
      </c>
    </row>
    <row r="87" spans="2:41" ht="5.0999999999999996" customHeight="1">
      <c r="B87" s="8"/>
      <c r="C87" s="99"/>
      <c r="D87" s="99"/>
      <c r="E87" s="99"/>
      <c r="F87" s="99"/>
      <c r="G87" s="99"/>
      <c r="H87" s="99"/>
      <c r="I87" s="99"/>
      <c r="J87" s="99"/>
      <c r="K87" s="99"/>
      <c r="L87" s="35"/>
      <c r="M87" s="99"/>
      <c r="N87" s="35"/>
      <c r="O87" s="35"/>
      <c r="P87" s="35"/>
      <c r="Q87" s="99"/>
      <c r="R87" s="35"/>
      <c r="S87" s="35"/>
      <c r="T87" s="35"/>
      <c r="U87" s="99"/>
      <c r="V87" s="35"/>
      <c r="W87" s="35"/>
      <c r="X87" s="35"/>
      <c r="Y87" s="99"/>
      <c r="Z87" s="35"/>
      <c r="AA87" s="35"/>
      <c r="AC87" s="35"/>
      <c r="AD87" s="35"/>
      <c r="AE87" s="35"/>
      <c r="AF87" s="35"/>
      <c r="AG87" s="35"/>
      <c r="AH87" s="35"/>
      <c r="AI87" s="35"/>
      <c r="AJ87" s="35"/>
      <c r="AK87" s="35"/>
      <c r="AL87" s="35"/>
      <c r="AM87" s="35"/>
      <c r="AN87" s="12"/>
      <c r="AO87" s="89"/>
    </row>
    <row r="88" spans="2:41" ht="12.75" customHeight="1">
      <c r="B88" s="40" t="s">
        <v>19</v>
      </c>
      <c r="C88" s="99"/>
      <c r="D88" s="99"/>
      <c r="E88" s="99"/>
      <c r="F88" s="99"/>
      <c r="G88" s="99"/>
      <c r="H88" s="99"/>
      <c r="I88" s="99"/>
      <c r="J88" s="99"/>
      <c r="K88" s="99"/>
      <c r="L88" s="35"/>
      <c r="M88" s="99"/>
      <c r="N88" s="35"/>
      <c r="O88" s="35"/>
      <c r="P88" s="35"/>
      <c r="Q88" s="99"/>
      <c r="R88" s="35"/>
      <c r="S88" s="35"/>
      <c r="T88" s="35"/>
      <c r="U88" s="99"/>
      <c r="V88" s="35"/>
      <c r="W88" s="35"/>
      <c r="X88" s="35"/>
      <c r="Y88" s="99"/>
      <c r="Z88" s="35"/>
      <c r="AA88" s="35"/>
      <c r="AC88" s="35"/>
      <c r="AD88" s="35"/>
      <c r="AE88" s="35"/>
      <c r="AF88" s="35"/>
      <c r="AG88" s="35"/>
      <c r="AH88" s="35"/>
      <c r="AI88" s="35"/>
      <c r="AJ88" s="35"/>
      <c r="AK88" s="35"/>
      <c r="AL88" s="35"/>
      <c r="AM88" s="35"/>
      <c r="AN88" s="67"/>
      <c r="AO88" s="89" t="e">
        <f t="shared" si="208"/>
        <v>#DIV/0!</v>
      </c>
    </row>
    <row r="89" spans="2:41" ht="12.75" customHeight="1">
      <c r="B89" s="68" t="s">
        <v>67</v>
      </c>
      <c r="C89" s="99">
        <v>1095</v>
      </c>
      <c r="D89" s="99">
        <v>-2093</v>
      </c>
      <c r="E89" s="99">
        <v>-5322</v>
      </c>
      <c r="F89" s="99">
        <v>245</v>
      </c>
      <c r="G89" s="99">
        <v>6917</v>
      </c>
      <c r="H89" s="99">
        <v>-10125</v>
      </c>
      <c r="I89" s="99">
        <v>-1823</v>
      </c>
      <c r="J89" s="99">
        <v>-1688</v>
      </c>
      <c r="K89" s="99">
        <v>-3788</v>
      </c>
      <c r="L89" s="35"/>
      <c r="M89" s="99">
        <v>-3934</v>
      </c>
      <c r="N89" s="35">
        <f>5542-M89</f>
        <v>9476</v>
      </c>
      <c r="O89" s="35">
        <f>4561-SUM(M89:N89)</f>
        <v>-981</v>
      </c>
      <c r="P89" s="35">
        <f t="shared" ref="P89:P94" si="216">SUM(I89-SUM(M89:O89))</f>
        <v>-6384</v>
      </c>
      <c r="Q89" s="99">
        <v>4275</v>
      </c>
      <c r="R89" s="35">
        <f>9596-Q89</f>
        <v>5321</v>
      </c>
      <c r="S89" s="35">
        <v>-1987</v>
      </c>
      <c r="T89" s="35">
        <f t="shared" ref="T89:T94" si="217">SUM(J89-SUM(Q89:S89))</f>
        <v>-9297</v>
      </c>
      <c r="U89" s="99">
        <v>6555</v>
      </c>
      <c r="V89" s="35">
        <f>7727-U89</f>
        <v>1172</v>
      </c>
      <c r="W89" s="35">
        <f>6697-V89-U89</f>
        <v>-1030</v>
      </c>
      <c r="X89" s="35">
        <f t="shared" ref="X89:X94" si="218">SUM(K89-SUM(U89:W89))</f>
        <v>-10485</v>
      </c>
      <c r="Y89" s="99">
        <v>3597</v>
      </c>
      <c r="Z89" s="35">
        <f>7266-Y89</f>
        <v>3669</v>
      </c>
      <c r="AA89" s="35">
        <f>5685-Z89-Y89</f>
        <v>-1581</v>
      </c>
      <c r="AC89" s="35">
        <f t="shared" ref="AC89:AM94" si="219">SUM(N89:Q89)</f>
        <v>6386</v>
      </c>
      <c r="AD89" s="35">
        <f t="shared" si="219"/>
        <v>2231</v>
      </c>
      <c r="AE89" s="35">
        <f t="shared" si="219"/>
        <v>1225</v>
      </c>
      <c r="AF89" s="35">
        <f t="shared" si="219"/>
        <v>-1688</v>
      </c>
      <c r="AG89" s="35">
        <f t="shared" si="219"/>
        <v>592</v>
      </c>
      <c r="AH89" s="35">
        <f t="shared" si="219"/>
        <v>-3557</v>
      </c>
      <c r="AI89" s="35">
        <f t="shared" si="219"/>
        <v>-2600</v>
      </c>
      <c r="AJ89" s="35">
        <f t="shared" si="219"/>
        <v>-3788</v>
      </c>
      <c r="AK89" s="35">
        <f t="shared" si="219"/>
        <v>-6746</v>
      </c>
      <c r="AL89" s="35">
        <f t="shared" si="219"/>
        <v>-4249</v>
      </c>
      <c r="AM89" s="35">
        <f t="shared" si="219"/>
        <v>-4800</v>
      </c>
      <c r="AN89" s="67"/>
      <c r="AO89" s="89">
        <f t="shared" si="208"/>
        <v>0.84615384615384626</v>
      </c>
    </row>
    <row r="90" spans="2:41" ht="12.75" customHeight="1">
      <c r="B90" s="68" t="s">
        <v>100</v>
      </c>
      <c r="C90" s="99">
        <v>217</v>
      </c>
      <c r="D90" s="99">
        <v>-2723</v>
      </c>
      <c r="E90" s="99">
        <v>828</v>
      </c>
      <c r="F90" s="99">
        <v>-289</v>
      </c>
      <c r="G90" s="99">
        <v>-127</v>
      </c>
      <c r="H90" s="99">
        <v>-2642</v>
      </c>
      <c r="I90" s="99">
        <v>1484</v>
      </c>
      <c r="J90" s="99">
        <v>-1618</v>
      </c>
      <c r="K90" s="99">
        <v>-1046</v>
      </c>
      <c r="L90" s="35"/>
      <c r="M90" s="99">
        <v>681</v>
      </c>
      <c r="N90" s="35">
        <f>1065-M90</f>
        <v>384</v>
      </c>
      <c r="O90" s="35">
        <f>1049-SUM(M90:N90)</f>
        <v>-16</v>
      </c>
      <c r="P90" s="35">
        <f t="shared" si="216"/>
        <v>435</v>
      </c>
      <c r="Q90" s="99">
        <v>-1807</v>
      </c>
      <c r="R90" s="35">
        <f>-2548-Q90</f>
        <v>-741</v>
      </c>
      <c r="S90" s="35">
        <v>-22</v>
      </c>
      <c r="T90" s="35">
        <f t="shared" si="217"/>
        <v>952</v>
      </c>
      <c r="U90" s="99">
        <v>-137</v>
      </c>
      <c r="V90" s="35">
        <f>53-U90</f>
        <v>190</v>
      </c>
      <c r="W90" s="35">
        <f>41-V90-U90</f>
        <v>-12</v>
      </c>
      <c r="X90" s="35">
        <f t="shared" si="218"/>
        <v>-1087</v>
      </c>
      <c r="Y90" s="99">
        <v>215</v>
      </c>
      <c r="Z90" s="35">
        <f>858-Y90</f>
        <v>643</v>
      </c>
      <c r="AA90" s="35">
        <f>1223-Z90-Y90</f>
        <v>365</v>
      </c>
      <c r="AC90" s="35">
        <f t="shared" si="219"/>
        <v>-1004</v>
      </c>
      <c r="AD90" s="35">
        <f t="shared" si="219"/>
        <v>-2129</v>
      </c>
      <c r="AE90" s="35">
        <f t="shared" si="219"/>
        <v>-2135</v>
      </c>
      <c r="AF90" s="35">
        <f t="shared" si="219"/>
        <v>-1618</v>
      </c>
      <c r="AG90" s="35">
        <f t="shared" si="219"/>
        <v>52</v>
      </c>
      <c r="AH90" s="35">
        <f t="shared" si="219"/>
        <v>983</v>
      </c>
      <c r="AI90" s="35">
        <f t="shared" si="219"/>
        <v>993</v>
      </c>
      <c r="AJ90" s="35">
        <f t="shared" si="219"/>
        <v>-1046</v>
      </c>
      <c r="AK90" s="35">
        <f t="shared" si="219"/>
        <v>-694</v>
      </c>
      <c r="AL90" s="35">
        <f t="shared" si="219"/>
        <v>-241</v>
      </c>
      <c r="AM90" s="35">
        <f t="shared" si="219"/>
        <v>136</v>
      </c>
      <c r="AN90" s="67"/>
      <c r="AO90" s="89">
        <f t="shared" si="208"/>
        <v>-0.86304128902316213</v>
      </c>
    </row>
    <row r="91" spans="2:41" ht="12.75" customHeight="1">
      <c r="B91" s="68" t="s">
        <v>285</v>
      </c>
      <c r="C91" s="99">
        <v>1039</v>
      </c>
      <c r="D91" s="99">
        <v>-9572</v>
      </c>
      <c r="E91" s="99">
        <v>-8433</v>
      </c>
      <c r="F91" s="99">
        <v>3804</v>
      </c>
      <c r="G91" s="99">
        <v>-8035</v>
      </c>
      <c r="H91" s="99">
        <v>-11945</v>
      </c>
      <c r="I91" s="99">
        <v>-14019</v>
      </c>
      <c r="J91" s="99">
        <v>-4413</v>
      </c>
      <c r="K91" s="99">
        <v>-13087</v>
      </c>
      <c r="L91" s="35"/>
      <c r="M91" s="99">
        <f>-9812-4921</f>
        <v>-14733</v>
      </c>
      <c r="N91" s="35">
        <f>643-3542-M91</f>
        <v>11834</v>
      </c>
      <c r="O91" s="35">
        <f>4789-3289-SUM(M91:N91)</f>
        <v>4399</v>
      </c>
      <c r="P91" s="35">
        <f t="shared" si="216"/>
        <v>-15519</v>
      </c>
      <c r="Q91" s="99">
        <f>-4099+2320</f>
        <v>-1779</v>
      </c>
      <c r="R91" s="35">
        <f>14785-4092-Q91</f>
        <v>12472</v>
      </c>
      <c r="S91" s="35">
        <v>-2445</v>
      </c>
      <c r="T91" s="35">
        <f t="shared" si="217"/>
        <v>-12661</v>
      </c>
      <c r="U91" s="99">
        <f>4569-1457</f>
        <v>3112</v>
      </c>
      <c r="V91" s="35">
        <f>12161-4438-U91</f>
        <v>4611</v>
      </c>
      <c r="W91" s="35">
        <f>11100-5626-V91-U91</f>
        <v>-2249</v>
      </c>
      <c r="X91" s="35">
        <f t="shared" si="218"/>
        <v>-18561</v>
      </c>
      <c r="Y91" s="99">
        <v>4105</v>
      </c>
      <c r="Z91" s="35">
        <f>9171+-4371-Y91</f>
        <v>695</v>
      </c>
      <c r="AA91" s="35">
        <f>13555+-6116-Z91-Y91</f>
        <v>2639</v>
      </c>
      <c r="AC91" s="35">
        <f t="shared" si="219"/>
        <v>-1065</v>
      </c>
      <c r="AD91" s="35">
        <f t="shared" si="219"/>
        <v>-427</v>
      </c>
      <c r="AE91" s="35">
        <f t="shared" si="219"/>
        <v>-7271</v>
      </c>
      <c r="AF91" s="35">
        <f t="shared" si="219"/>
        <v>-4413</v>
      </c>
      <c r="AG91" s="35">
        <f t="shared" si="219"/>
        <v>478</v>
      </c>
      <c r="AH91" s="35">
        <f t="shared" si="219"/>
        <v>-7383</v>
      </c>
      <c r="AI91" s="35">
        <f t="shared" si="219"/>
        <v>-7187</v>
      </c>
      <c r="AJ91" s="35">
        <f t="shared" si="219"/>
        <v>-13087</v>
      </c>
      <c r="AK91" s="35">
        <f t="shared" si="219"/>
        <v>-12094</v>
      </c>
      <c r="AL91" s="35">
        <f t="shared" si="219"/>
        <v>-16010</v>
      </c>
      <c r="AM91" s="35">
        <f t="shared" si="219"/>
        <v>-11122</v>
      </c>
      <c r="AN91" s="67"/>
      <c r="AO91" s="89">
        <f t="shared" si="208"/>
        <v>0.54751634896340606</v>
      </c>
    </row>
    <row r="92" spans="2:41" ht="12.75" customHeight="1">
      <c r="B92" s="68" t="s">
        <v>68</v>
      </c>
      <c r="C92" s="99">
        <v>1791</v>
      </c>
      <c r="D92" s="99">
        <v>9618</v>
      </c>
      <c r="E92" s="99">
        <v>9175</v>
      </c>
      <c r="F92" s="99">
        <v>-1923</v>
      </c>
      <c r="G92" s="99">
        <v>-4062</v>
      </c>
      <c r="H92" s="99">
        <v>12326</v>
      </c>
      <c r="I92" s="99">
        <v>9448</v>
      </c>
      <c r="J92" s="99">
        <v>-1889</v>
      </c>
      <c r="K92" s="99">
        <v>6020</v>
      </c>
      <c r="L92" s="35"/>
      <c r="M92" s="99">
        <v>19813</v>
      </c>
      <c r="N92" s="35">
        <f>-1750-M92</f>
        <v>-21563</v>
      </c>
      <c r="O92" s="35">
        <f>-6108-SUM(M92:N92)</f>
        <v>-4358</v>
      </c>
      <c r="P92" s="35">
        <f t="shared" si="216"/>
        <v>15556</v>
      </c>
      <c r="Q92" s="99">
        <v>-6075</v>
      </c>
      <c r="R92" s="35">
        <f>-20764-Q92</f>
        <v>-14689</v>
      </c>
      <c r="S92" s="35">
        <v>3974</v>
      </c>
      <c r="T92" s="35">
        <f t="shared" si="217"/>
        <v>14901</v>
      </c>
      <c r="U92" s="99">
        <v>-4542</v>
      </c>
      <c r="V92" s="35">
        <f>-16710-U92</f>
        <v>-12168</v>
      </c>
      <c r="W92" s="35">
        <f>-15171-V92-U92</f>
        <v>1539</v>
      </c>
      <c r="X92" s="35">
        <f t="shared" si="218"/>
        <v>21191</v>
      </c>
      <c r="Y92" s="99">
        <v>-6671</v>
      </c>
      <c r="Z92" s="35">
        <f>-14604-Y92</f>
        <v>-7933</v>
      </c>
      <c r="AA92" s="35">
        <f>-18479-Z92-Y92</f>
        <v>-3875</v>
      </c>
      <c r="AC92" s="35">
        <f t="shared" si="219"/>
        <v>-16440</v>
      </c>
      <c r="AD92" s="35">
        <f t="shared" si="219"/>
        <v>-9566</v>
      </c>
      <c r="AE92" s="35">
        <f t="shared" si="219"/>
        <v>-1234</v>
      </c>
      <c r="AF92" s="35">
        <f t="shared" si="219"/>
        <v>-1889</v>
      </c>
      <c r="AG92" s="35">
        <f t="shared" si="219"/>
        <v>-356</v>
      </c>
      <c r="AH92" s="35">
        <f t="shared" si="219"/>
        <v>2165</v>
      </c>
      <c r="AI92" s="35">
        <f t="shared" si="219"/>
        <v>-270</v>
      </c>
      <c r="AJ92" s="35">
        <f t="shared" si="219"/>
        <v>6020</v>
      </c>
      <c r="AK92" s="35">
        <f t="shared" si="219"/>
        <v>3891</v>
      </c>
      <c r="AL92" s="35">
        <f t="shared" si="219"/>
        <v>8126</v>
      </c>
      <c r="AM92" s="35">
        <f t="shared" si="219"/>
        <v>2712</v>
      </c>
      <c r="AN92" s="67"/>
      <c r="AO92" s="89">
        <f t="shared" si="208"/>
        <v>-11.044444444444444</v>
      </c>
    </row>
    <row r="93" spans="2:41" ht="12.75" customHeight="1">
      <c r="B93" s="68" t="s">
        <v>300</v>
      </c>
      <c r="C93" s="99">
        <v>-1554</v>
      </c>
      <c r="D93" s="99">
        <v>-626</v>
      </c>
      <c r="E93" s="99">
        <v>-44</v>
      </c>
      <c r="F93" s="99">
        <v>-625</v>
      </c>
      <c r="G93" s="99">
        <v>2081</v>
      </c>
      <c r="H93" s="99">
        <v>1676</v>
      </c>
      <c r="I93" s="99">
        <v>478</v>
      </c>
      <c r="J93" s="99">
        <v>0</v>
      </c>
      <c r="K93" s="99">
        <v>0</v>
      </c>
      <c r="L93" s="35"/>
      <c r="M93" s="99">
        <v>462</v>
      </c>
      <c r="N93" s="35">
        <f>627-M93</f>
        <v>165</v>
      </c>
      <c r="O93" s="35">
        <f>260-SUM(M93:N93)</f>
        <v>-367</v>
      </c>
      <c r="P93" s="35">
        <f t="shared" si="216"/>
        <v>218</v>
      </c>
      <c r="Q93" s="99">
        <v>131</v>
      </c>
      <c r="R93" s="35">
        <f>0-Q93</f>
        <v>-131</v>
      </c>
      <c r="S93" s="35">
        <v>0</v>
      </c>
      <c r="T93" s="35">
        <f t="shared" si="217"/>
        <v>0</v>
      </c>
      <c r="U93" s="99">
        <v>0</v>
      </c>
      <c r="V93" s="35">
        <v>0</v>
      </c>
      <c r="W93" s="35">
        <v>0</v>
      </c>
      <c r="X93" s="35">
        <f t="shared" si="218"/>
        <v>0</v>
      </c>
      <c r="Y93" s="99">
        <v>0</v>
      </c>
      <c r="Z93" s="35"/>
      <c r="AA93" s="35">
        <v>0</v>
      </c>
      <c r="AC93" s="35">
        <f t="shared" si="219"/>
        <v>147</v>
      </c>
      <c r="AD93" s="35">
        <f t="shared" si="219"/>
        <v>-149</v>
      </c>
      <c r="AE93" s="35">
        <f t="shared" si="219"/>
        <v>218</v>
      </c>
      <c r="AF93" s="35">
        <f t="shared" si="219"/>
        <v>0</v>
      </c>
      <c r="AG93" s="35">
        <f t="shared" si="219"/>
        <v>-131</v>
      </c>
      <c r="AH93" s="35">
        <f t="shared" si="219"/>
        <v>0</v>
      </c>
      <c r="AI93" s="35">
        <f t="shared" si="219"/>
        <v>0</v>
      </c>
      <c r="AJ93" s="35">
        <f t="shared" si="219"/>
        <v>0</v>
      </c>
      <c r="AK93" s="35">
        <f t="shared" si="219"/>
        <v>0</v>
      </c>
      <c r="AL93" s="35">
        <f t="shared" si="219"/>
        <v>0</v>
      </c>
      <c r="AM93" s="35">
        <f t="shared" si="219"/>
        <v>0</v>
      </c>
      <c r="AN93" s="67"/>
      <c r="AO93" s="89" t="e">
        <f t="shared" si="208"/>
        <v>#DIV/0!</v>
      </c>
    </row>
    <row r="94" spans="2:41" ht="12.75" customHeight="1">
      <c r="B94" s="68" t="s">
        <v>301</v>
      </c>
      <c r="C94" s="99">
        <v>-2104</v>
      </c>
      <c r="D94" s="99">
        <v>-154</v>
      </c>
      <c r="E94" s="99">
        <v>38490</v>
      </c>
      <c r="F94" s="99">
        <v>-4700</v>
      </c>
      <c r="G94" s="99">
        <v>8916</v>
      </c>
      <c r="H94" s="99">
        <v>5799</v>
      </c>
      <c r="I94" s="99">
        <v>5632</v>
      </c>
      <c r="J94" s="99">
        <v>3031</v>
      </c>
      <c r="K94" s="99">
        <v>15552</v>
      </c>
      <c r="L94" s="35"/>
      <c r="M94" s="99">
        <v>4236</v>
      </c>
      <c r="N94" s="35">
        <f>1888-M94</f>
        <v>-2348</v>
      </c>
      <c r="O94" s="35">
        <f>-14-SUM(M94:N94)</f>
        <v>-1902</v>
      </c>
      <c r="P94" s="35">
        <f t="shared" si="216"/>
        <v>5646</v>
      </c>
      <c r="Q94" s="99">
        <v>3758</v>
      </c>
      <c r="R94" s="35">
        <f>1757-Q94</f>
        <v>-2001</v>
      </c>
      <c r="S94" s="35">
        <v>1229</v>
      </c>
      <c r="T94" s="35">
        <f t="shared" si="217"/>
        <v>45</v>
      </c>
      <c r="U94" s="99">
        <v>-3865</v>
      </c>
      <c r="V94" s="35">
        <f>-3437-U94</f>
        <v>428</v>
      </c>
      <c r="W94" s="35">
        <f>2-V94-U94</f>
        <v>3439</v>
      </c>
      <c r="X94" s="35">
        <f t="shared" si="218"/>
        <v>15550</v>
      </c>
      <c r="Y94" s="99">
        <v>-11998</v>
      </c>
      <c r="Z94" s="35">
        <f>-15579-Y94</f>
        <v>-3581</v>
      </c>
      <c r="AA94" s="35">
        <f>-15161-Z94-Y94</f>
        <v>418</v>
      </c>
      <c r="AC94" s="35">
        <f t="shared" si="219"/>
        <v>5154</v>
      </c>
      <c r="AD94" s="35">
        <f t="shared" si="219"/>
        <v>5501</v>
      </c>
      <c r="AE94" s="35">
        <f t="shared" si="219"/>
        <v>8632</v>
      </c>
      <c r="AF94" s="35">
        <f t="shared" si="219"/>
        <v>3031</v>
      </c>
      <c r="AG94" s="35">
        <f t="shared" si="219"/>
        <v>-4592</v>
      </c>
      <c r="AH94" s="35">
        <f t="shared" si="219"/>
        <v>-2163</v>
      </c>
      <c r="AI94" s="35">
        <f t="shared" si="219"/>
        <v>47</v>
      </c>
      <c r="AJ94" s="35">
        <f t="shared" si="219"/>
        <v>15552</v>
      </c>
      <c r="AK94" s="35">
        <f t="shared" si="219"/>
        <v>7419</v>
      </c>
      <c r="AL94" s="35">
        <f t="shared" si="219"/>
        <v>3410</v>
      </c>
      <c r="AM94" s="35">
        <f t="shared" si="219"/>
        <v>389</v>
      </c>
      <c r="AN94" s="67"/>
      <c r="AO94" s="89">
        <f t="shared" si="208"/>
        <v>7.2765957446808507</v>
      </c>
    </row>
    <row r="95" spans="2:41" ht="12.75" customHeight="1">
      <c r="B95" s="14" t="s">
        <v>89</v>
      </c>
      <c r="C95" s="37">
        <f t="shared" ref="C95:K95" si="220">SUM(C80:C94)</f>
        <v>65824</v>
      </c>
      <c r="D95" s="37">
        <f t="shared" si="220"/>
        <v>63598</v>
      </c>
      <c r="E95" s="37">
        <f t="shared" si="220"/>
        <v>77434</v>
      </c>
      <c r="F95" s="37">
        <f t="shared" si="220"/>
        <v>69391</v>
      </c>
      <c r="G95" s="37">
        <f t="shared" si="220"/>
        <v>80674</v>
      </c>
      <c r="H95" s="15">
        <f t="shared" si="220"/>
        <v>104038</v>
      </c>
      <c r="I95" s="15">
        <f t="shared" si="220"/>
        <v>122151</v>
      </c>
      <c r="J95" s="15">
        <f t="shared" si="220"/>
        <v>110543</v>
      </c>
      <c r="K95" s="15">
        <f t="shared" si="220"/>
        <v>118254</v>
      </c>
      <c r="M95" s="15">
        <f t="shared" ref="M95:AA95" si="221">SUM(M80:M94)</f>
        <v>46966</v>
      </c>
      <c r="N95" s="15">
        <f t="shared" si="221"/>
        <v>28166</v>
      </c>
      <c r="O95" s="15">
        <f t="shared" si="221"/>
        <v>22892</v>
      </c>
      <c r="P95" s="15">
        <f t="shared" si="221"/>
        <v>24127</v>
      </c>
      <c r="Q95" s="15">
        <f t="shared" si="221"/>
        <v>34005</v>
      </c>
      <c r="R95" s="15">
        <f t="shared" si="221"/>
        <v>28560</v>
      </c>
      <c r="S95" s="15">
        <f t="shared" si="221"/>
        <v>26380</v>
      </c>
      <c r="T95" s="15">
        <f t="shared" si="221"/>
        <v>21598</v>
      </c>
      <c r="U95" s="15">
        <f t="shared" si="221"/>
        <v>39895</v>
      </c>
      <c r="V95" s="15">
        <f t="shared" si="221"/>
        <v>22690</v>
      </c>
      <c r="W95" s="15">
        <f t="shared" si="221"/>
        <v>28858</v>
      </c>
      <c r="X95" s="15">
        <f t="shared" si="221"/>
        <v>26811</v>
      </c>
      <c r="Y95" s="15">
        <f t="shared" si="221"/>
        <v>29935</v>
      </c>
      <c r="Z95" s="37">
        <f t="shared" si="221"/>
        <v>23952</v>
      </c>
      <c r="AA95" s="37">
        <f t="shared" si="221"/>
        <v>27867</v>
      </c>
      <c r="AC95" s="15">
        <f t="shared" ref="AC95:AM95" si="222">SUM(AC80:AC94)</f>
        <v>109190</v>
      </c>
      <c r="AD95" s="15">
        <f t="shared" si="222"/>
        <v>109584</v>
      </c>
      <c r="AE95" s="15">
        <f t="shared" si="222"/>
        <v>113072</v>
      </c>
      <c r="AF95" s="15">
        <f t="shared" si="222"/>
        <v>110543</v>
      </c>
      <c r="AG95" s="15">
        <f t="shared" si="222"/>
        <v>116433</v>
      </c>
      <c r="AH95" s="15">
        <f t="shared" si="222"/>
        <v>110563</v>
      </c>
      <c r="AI95" s="15">
        <f t="shared" si="222"/>
        <v>113041</v>
      </c>
      <c r="AJ95" s="15">
        <f t="shared" si="222"/>
        <v>118254</v>
      </c>
      <c r="AK95" s="15">
        <f t="shared" si="222"/>
        <v>108294</v>
      </c>
      <c r="AL95" s="15">
        <f t="shared" si="222"/>
        <v>109556</v>
      </c>
      <c r="AM95" s="15">
        <f t="shared" si="222"/>
        <v>108565</v>
      </c>
      <c r="AN95" s="47"/>
      <c r="AO95" s="90">
        <f>SUM(AM95/AI95)-1</f>
        <v>-3.9596252687078115E-2</v>
      </c>
    </row>
    <row r="96" spans="2:41" ht="12.75" customHeight="1">
      <c r="B96" s="61"/>
      <c r="C96" s="69"/>
      <c r="D96" s="69"/>
      <c r="E96" s="69"/>
      <c r="F96" s="69"/>
      <c r="G96" s="69"/>
      <c r="H96" s="69"/>
      <c r="I96" s="69"/>
      <c r="J96" s="69"/>
      <c r="K96" s="69"/>
      <c r="M96" s="69"/>
      <c r="N96" s="69"/>
      <c r="O96" s="69"/>
      <c r="P96" s="69"/>
      <c r="Q96" s="69"/>
      <c r="R96" s="69"/>
      <c r="S96" s="69"/>
      <c r="T96" s="69"/>
      <c r="U96" s="69"/>
      <c r="V96" s="69"/>
      <c r="W96" s="69"/>
      <c r="X96" s="69"/>
      <c r="Y96" s="69"/>
      <c r="Z96" s="69"/>
      <c r="AA96" s="69"/>
      <c r="AC96" s="47"/>
      <c r="AD96" s="47"/>
      <c r="AE96" s="47"/>
      <c r="AF96" s="47"/>
      <c r="AG96" s="47"/>
      <c r="AH96" s="47"/>
      <c r="AI96" s="47"/>
      <c r="AJ96" s="47"/>
      <c r="AK96" s="47"/>
      <c r="AL96" s="47"/>
      <c r="AM96" s="47"/>
      <c r="AN96" s="47"/>
      <c r="AO96" s="44"/>
    </row>
    <row r="97" spans="2:41" ht="12.75" customHeight="1">
      <c r="B97" s="61" t="s">
        <v>90</v>
      </c>
      <c r="C97" s="66"/>
      <c r="D97" s="66"/>
      <c r="E97" s="66"/>
      <c r="F97" s="66"/>
      <c r="G97" s="66"/>
      <c r="H97" s="66"/>
      <c r="I97" s="66"/>
      <c r="J97" s="66"/>
      <c r="K97" s="66"/>
      <c r="M97" s="66"/>
      <c r="N97" s="66"/>
      <c r="O97" s="70"/>
      <c r="P97" s="66"/>
      <c r="Q97" s="66"/>
      <c r="R97" s="66"/>
      <c r="S97" s="70"/>
      <c r="T97" s="66"/>
      <c r="U97" s="66"/>
      <c r="V97" s="66"/>
      <c r="W97" s="66"/>
      <c r="X97" s="66"/>
      <c r="Y97" s="66"/>
      <c r="Z97" s="66"/>
      <c r="AA97" s="66"/>
      <c r="AC97" s="66"/>
      <c r="AD97" s="66"/>
      <c r="AE97" s="66"/>
      <c r="AF97" s="66"/>
      <c r="AG97" s="66"/>
      <c r="AH97" s="66"/>
      <c r="AI97" s="66"/>
      <c r="AJ97" s="66"/>
      <c r="AK97" s="66"/>
      <c r="AL97" s="66"/>
      <c r="AM97" s="66"/>
      <c r="AN97" s="67"/>
      <c r="AO97" s="44"/>
    </row>
    <row r="98" spans="2:41" ht="12.75" customHeight="1">
      <c r="B98" s="68" t="s">
        <v>302</v>
      </c>
      <c r="C98" s="99">
        <v>-12734</v>
      </c>
      <c r="D98" s="99">
        <v>-12451</v>
      </c>
      <c r="E98" s="99">
        <v>-13313</v>
      </c>
      <c r="F98" s="99">
        <v>-10495</v>
      </c>
      <c r="G98" s="99">
        <v>-7309</v>
      </c>
      <c r="H98" s="99">
        <v>-11085</v>
      </c>
      <c r="I98" s="99">
        <v>-10708</v>
      </c>
      <c r="J98" s="99">
        <v>-10959</v>
      </c>
      <c r="K98" s="99">
        <v>-9447</v>
      </c>
      <c r="L98" s="35"/>
      <c r="M98" s="99">
        <v>-2803</v>
      </c>
      <c r="N98" s="35">
        <f>-5317-M98</f>
        <v>-2514</v>
      </c>
      <c r="O98" s="35">
        <f>-7419-SUM(M98:N98)</f>
        <v>-2102</v>
      </c>
      <c r="P98" s="35">
        <f t="shared" ref="P98:P102" si="223">SUM(I98-SUM(M98:O98))</f>
        <v>-3289</v>
      </c>
      <c r="Q98" s="99">
        <v>-3787</v>
      </c>
      <c r="R98" s="35">
        <f>-6703-Q98</f>
        <v>-2916</v>
      </c>
      <c r="S98" s="35">
        <v>-2093</v>
      </c>
      <c r="T98" s="35">
        <f t="shared" ref="T98:T102" si="224">SUM(J98-SUM(Q98:S98))</f>
        <v>-2163</v>
      </c>
      <c r="U98" s="99">
        <v>-2392</v>
      </c>
      <c r="V98" s="35">
        <f>-4388-U98</f>
        <v>-1996</v>
      </c>
      <c r="W98" s="35">
        <f>-6539-V98-U98</f>
        <v>-2151</v>
      </c>
      <c r="X98" s="35">
        <f t="shared" ref="X98:X102" si="225">SUM(K98-SUM(U98:W98))</f>
        <v>-2908</v>
      </c>
      <c r="Y98" s="99">
        <v>-2940</v>
      </c>
      <c r="Z98" s="35">
        <f>-6011-Y98</f>
        <v>-3071</v>
      </c>
      <c r="AA98" s="35">
        <f>-9473-Z98-Y98</f>
        <v>-3462</v>
      </c>
      <c r="AB98" s="35"/>
      <c r="AC98" s="35">
        <f t="shared" ref="AC98:AM102" si="226">SUM(N98:Q98)</f>
        <v>-11692</v>
      </c>
      <c r="AD98" s="35">
        <f t="shared" si="226"/>
        <v>-12094</v>
      </c>
      <c r="AE98" s="35">
        <f t="shared" si="226"/>
        <v>-12085</v>
      </c>
      <c r="AF98" s="35">
        <f t="shared" si="226"/>
        <v>-10959</v>
      </c>
      <c r="AG98" s="35">
        <f t="shared" si="226"/>
        <v>-9564</v>
      </c>
      <c r="AH98" s="35">
        <f t="shared" si="226"/>
        <v>-8644</v>
      </c>
      <c r="AI98" s="35">
        <f t="shared" si="226"/>
        <v>-8702</v>
      </c>
      <c r="AJ98" s="35">
        <f t="shared" si="226"/>
        <v>-9447</v>
      </c>
      <c r="AK98" s="35">
        <f t="shared" si="226"/>
        <v>-9995</v>
      </c>
      <c r="AL98" s="35">
        <f t="shared" si="226"/>
        <v>-11070</v>
      </c>
      <c r="AM98" s="35">
        <f t="shared" si="226"/>
        <v>-12381</v>
      </c>
      <c r="AN98" s="67"/>
      <c r="AO98" s="89">
        <f t="shared" ref="AO98:AO102" si="227">SUM(AM98/AI98)-1</f>
        <v>0.42277637324752937</v>
      </c>
    </row>
    <row r="99" spans="2:41" ht="12.75" customHeight="1">
      <c r="B99" s="68" t="s">
        <v>303</v>
      </c>
      <c r="C99" s="99">
        <v>111794</v>
      </c>
      <c r="D99" s="99">
        <v>126339</v>
      </c>
      <c r="E99" s="99">
        <v>103719</v>
      </c>
      <c r="F99" s="99">
        <v>97090</v>
      </c>
      <c r="G99" s="99">
        <v>120391</v>
      </c>
      <c r="H99" s="99">
        <v>106483</v>
      </c>
      <c r="I99" s="99">
        <v>67363</v>
      </c>
      <c r="J99" s="99">
        <v>45514</v>
      </c>
      <c r="K99" s="99">
        <v>62346</v>
      </c>
      <c r="L99" s="35"/>
      <c r="M99" s="99">
        <f>11309+10675</f>
        <v>21984</v>
      </c>
      <c r="N99" s="35">
        <f>18000+24668-M99</f>
        <v>20684</v>
      </c>
      <c r="O99" s="35">
        <f>24203+33609-SUM(M99:N99)</f>
        <v>15144</v>
      </c>
      <c r="P99" s="35">
        <f t="shared" si="223"/>
        <v>9551</v>
      </c>
      <c r="Q99" s="99">
        <f>7127+509</f>
        <v>7636</v>
      </c>
      <c r="R99" s="35">
        <f>17124+1897-Q99</f>
        <v>11385</v>
      </c>
      <c r="S99" s="35">
        <v>12795</v>
      </c>
      <c r="T99" s="35">
        <f t="shared" si="224"/>
        <v>13698</v>
      </c>
      <c r="U99" s="99">
        <f>13046+1337</f>
        <v>14383</v>
      </c>
      <c r="V99" s="35">
        <f>27462+4314-U99</f>
        <v>17393</v>
      </c>
      <c r="W99" s="35">
        <f>39838+7382-V99-U99</f>
        <v>15444</v>
      </c>
      <c r="X99" s="35">
        <f t="shared" si="225"/>
        <v>15126</v>
      </c>
      <c r="Y99" s="99">
        <v>19459</v>
      </c>
      <c r="Z99" s="35">
        <f>26587+5210-Y99</f>
        <v>12338</v>
      </c>
      <c r="AA99" s="35">
        <f>35036+10785-Z99-Y99</f>
        <v>14024</v>
      </c>
      <c r="AB99" s="35"/>
      <c r="AC99" s="35">
        <f t="shared" si="226"/>
        <v>53015</v>
      </c>
      <c r="AD99" s="35">
        <f t="shared" si="226"/>
        <v>43716</v>
      </c>
      <c r="AE99" s="35">
        <f t="shared" si="226"/>
        <v>41367</v>
      </c>
      <c r="AF99" s="35">
        <f t="shared" si="226"/>
        <v>45514</v>
      </c>
      <c r="AG99" s="35">
        <f t="shared" si="226"/>
        <v>52261</v>
      </c>
      <c r="AH99" s="35">
        <f t="shared" si="226"/>
        <v>58269</v>
      </c>
      <c r="AI99" s="35">
        <f t="shared" si="226"/>
        <v>60918</v>
      </c>
      <c r="AJ99" s="35">
        <f t="shared" si="226"/>
        <v>62346</v>
      </c>
      <c r="AK99" s="35">
        <f t="shared" si="226"/>
        <v>67422</v>
      </c>
      <c r="AL99" s="35">
        <f t="shared" si="226"/>
        <v>62367</v>
      </c>
      <c r="AM99" s="35">
        <f t="shared" si="226"/>
        <v>60947</v>
      </c>
      <c r="AN99" s="67"/>
      <c r="AO99" s="89">
        <f t="shared" si="227"/>
        <v>4.7604977182436059E-4</v>
      </c>
    </row>
    <row r="100" spans="2:41" ht="12.75" customHeight="1">
      <c r="B100" s="68" t="s">
        <v>304</v>
      </c>
      <c r="C100" s="99">
        <v>-142428</v>
      </c>
      <c r="D100" s="99">
        <v>-159486</v>
      </c>
      <c r="E100" s="99">
        <v>-71356</v>
      </c>
      <c r="F100" s="99">
        <v>-39630</v>
      </c>
      <c r="G100" s="99">
        <v>-114938</v>
      </c>
      <c r="H100" s="99">
        <v>-109558</v>
      </c>
      <c r="I100" s="99">
        <v>-76923</v>
      </c>
      <c r="J100" s="99">
        <v>-29513</v>
      </c>
      <c r="K100" s="99">
        <v>-48656</v>
      </c>
      <c r="L100" s="35"/>
      <c r="M100" s="99">
        <v>-34913</v>
      </c>
      <c r="N100" s="35">
        <f>-61987-M100</f>
        <v>-27074</v>
      </c>
      <c r="O100" s="35">
        <f>-70178-SUM(M100:N100)</f>
        <v>-8191</v>
      </c>
      <c r="P100" s="35">
        <f t="shared" si="223"/>
        <v>-6745</v>
      </c>
      <c r="Q100" s="99">
        <v>-5153</v>
      </c>
      <c r="R100" s="35">
        <f>-11197-Q100</f>
        <v>-6044</v>
      </c>
      <c r="S100" s="35">
        <v>-9759</v>
      </c>
      <c r="T100" s="35">
        <f t="shared" si="224"/>
        <v>-8557</v>
      </c>
      <c r="U100" s="99">
        <v>-9780</v>
      </c>
      <c r="V100" s="35">
        <f>-25042-U100</f>
        <v>-15262</v>
      </c>
      <c r="W100" s="35">
        <f>-38074-V100-U100</f>
        <v>-13032</v>
      </c>
      <c r="X100" s="35">
        <f t="shared" si="225"/>
        <v>-10582</v>
      </c>
      <c r="Y100" s="99">
        <v>-6124</v>
      </c>
      <c r="Z100" s="35">
        <f>-12442-Y100</f>
        <v>-6318</v>
      </c>
      <c r="AA100" s="35">
        <f>-17591-Z100-Y100</f>
        <v>-5149</v>
      </c>
      <c r="AB100" s="35"/>
      <c r="AC100" s="35">
        <f t="shared" si="226"/>
        <v>-47163</v>
      </c>
      <c r="AD100" s="35">
        <f t="shared" si="226"/>
        <v>-26133</v>
      </c>
      <c r="AE100" s="35">
        <f t="shared" si="226"/>
        <v>-27701</v>
      </c>
      <c r="AF100" s="35">
        <f t="shared" si="226"/>
        <v>-29513</v>
      </c>
      <c r="AG100" s="35">
        <f t="shared" si="226"/>
        <v>-34140</v>
      </c>
      <c r="AH100" s="35">
        <f t="shared" si="226"/>
        <v>-43358</v>
      </c>
      <c r="AI100" s="35">
        <f t="shared" si="226"/>
        <v>-46631</v>
      </c>
      <c r="AJ100" s="35">
        <f t="shared" si="226"/>
        <v>-48656</v>
      </c>
      <c r="AK100" s="35">
        <f t="shared" si="226"/>
        <v>-45000</v>
      </c>
      <c r="AL100" s="35">
        <f t="shared" si="226"/>
        <v>-36056</v>
      </c>
      <c r="AM100" s="35">
        <f t="shared" si="226"/>
        <v>-28173</v>
      </c>
      <c r="AN100" s="67"/>
      <c r="AO100" s="89">
        <f t="shared" si="227"/>
        <v>-0.39583109948317641</v>
      </c>
    </row>
    <row r="101" spans="2:41" ht="12.75" customHeight="1">
      <c r="B101" s="68" t="s">
        <v>305</v>
      </c>
      <c r="C101" s="99">
        <v>-1111</v>
      </c>
      <c r="D101" s="99">
        <v>-673</v>
      </c>
      <c r="E101" s="99">
        <v>-721</v>
      </c>
      <c r="F101" s="99">
        <v>-624</v>
      </c>
      <c r="G101" s="99">
        <v>-1524</v>
      </c>
      <c r="H101" s="99">
        <v>-33</v>
      </c>
      <c r="I101" s="99">
        <v>-306</v>
      </c>
      <c r="J101" s="99">
        <v>0</v>
      </c>
      <c r="K101" s="99">
        <v>0</v>
      </c>
      <c r="L101" s="35"/>
      <c r="M101" s="99">
        <v>0</v>
      </c>
      <c r="N101" s="35">
        <v>-167</v>
      </c>
      <c r="O101" s="35">
        <f>-169-SUM(M101:N101)</f>
        <v>-2</v>
      </c>
      <c r="P101" s="35">
        <f t="shared" si="223"/>
        <v>-137</v>
      </c>
      <c r="Q101" s="99">
        <v>0</v>
      </c>
      <c r="R101" s="35">
        <v>0</v>
      </c>
      <c r="S101" s="35">
        <v>0</v>
      </c>
      <c r="T101" s="35">
        <f t="shared" si="224"/>
        <v>0</v>
      </c>
      <c r="U101" s="99">
        <v>0</v>
      </c>
      <c r="V101" s="35">
        <v>0</v>
      </c>
      <c r="W101" s="35">
        <v>0</v>
      </c>
      <c r="X101" s="35">
        <f t="shared" si="225"/>
        <v>0</v>
      </c>
      <c r="Y101" s="99">
        <v>0</v>
      </c>
      <c r="Z101" s="35">
        <v>0</v>
      </c>
      <c r="AA101" s="35">
        <v>0</v>
      </c>
      <c r="AB101" s="35"/>
      <c r="AC101" s="35">
        <f t="shared" si="226"/>
        <v>-306</v>
      </c>
      <c r="AD101" s="35">
        <f t="shared" si="226"/>
        <v>-139</v>
      </c>
      <c r="AE101" s="35">
        <f t="shared" si="226"/>
        <v>-137</v>
      </c>
      <c r="AF101" s="35">
        <f t="shared" si="226"/>
        <v>0</v>
      </c>
      <c r="AG101" s="35">
        <f t="shared" si="226"/>
        <v>0</v>
      </c>
      <c r="AH101" s="35">
        <f t="shared" si="226"/>
        <v>0</v>
      </c>
      <c r="AI101" s="35">
        <f t="shared" si="226"/>
        <v>0</v>
      </c>
      <c r="AJ101" s="35">
        <f t="shared" si="226"/>
        <v>0</v>
      </c>
      <c r="AK101" s="35">
        <f t="shared" si="226"/>
        <v>0</v>
      </c>
      <c r="AL101" s="35">
        <f t="shared" si="226"/>
        <v>0</v>
      </c>
      <c r="AM101" s="35">
        <f t="shared" si="226"/>
        <v>0</v>
      </c>
      <c r="AN101" s="67"/>
      <c r="AO101" s="89" t="e">
        <f t="shared" si="227"/>
        <v>#DIV/0!</v>
      </c>
    </row>
    <row r="102" spans="2:41" ht="12.75" customHeight="1">
      <c r="B102" s="68" t="s">
        <v>306</v>
      </c>
      <c r="C102" s="99">
        <v>-1498</v>
      </c>
      <c r="D102" s="99">
        <v>-175</v>
      </c>
      <c r="E102" s="99">
        <v>-2263</v>
      </c>
      <c r="F102" s="99">
        <v>-445</v>
      </c>
      <c r="G102" s="99">
        <v>-909</v>
      </c>
      <c r="H102" s="99">
        <v>-352</v>
      </c>
      <c r="I102" s="99">
        <v>-1780</v>
      </c>
      <c r="J102" s="99">
        <v>-1337</v>
      </c>
      <c r="K102" s="99">
        <v>-1308</v>
      </c>
      <c r="L102" s="35"/>
      <c r="M102" s="99">
        <v>-374</v>
      </c>
      <c r="N102" s="35">
        <f>-568-M102</f>
        <v>-194</v>
      </c>
      <c r="O102" s="35">
        <f>-1183-SUM(M102:N102)</f>
        <v>-615</v>
      </c>
      <c r="P102" s="35">
        <f t="shared" si="223"/>
        <v>-597</v>
      </c>
      <c r="Q102" s="99">
        <v>-141</v>
      </c>
      <c r="R102" s="35">
        <f>-247-Q102</f>
        <v>-106</v>
      </c>
      <c r="S102" s="35">
        <v>-506</v>
      </c>
      <c r="T102" s="35">
        <f t="shared" si="224"/>
        <v>-584</v>
      </c>
      <c r="U102" s="99">
        <v>-284</v>
      </c>
      <c r="V102" s="35">
        <f>-729-U102</f>
        <v>-445</v>
      </c>
      <c r="W102" s="35">
        <f>-1117-V102-U102</f>
        <v>-388</v>
      </c>
      <c r="X102" s="35">
        <f t="shared" si="225"/>
        <v>-191</v>
      </c>
      <c r="Y102" s="99">
        <v>-603</v>
      </c>
      <c r="Z102" s="35">
        <f>-635-Y102</f>
        <v>-32</v>
      </c>
      <c r="AA102" s="35">
        <f>-975-Z102-Y102</f>
        <v>-340</v>
      </c>
      <c r="AB102" s="35"/>
      <c r="AC102" s="35">
        <f t="shared" si="226"/>
        <v>-1547</v>
      </c>
      <c r="AD102" s="35">
        <f t="shared" si="226"/>
        <v>-1459</v>
      </c>
      <c r="AE102" s="35">
        <f t="shared" si="226"/>
        <v>-1350</v>
      </c>
      <c r="AF102" s="35">
        <f t="shared" si="226"/>
        <v>-1337</v>
      </c>
      <c r="AG102" s="35">
        <f t="shared" si="226"/>
        <v>-1480</v>
      </c>
      <c r="AH102" s="35">
        <f t="shared" si="226"/>
        <v>-1819</v>
      </c>
      <c r="AI102" s="35">
        <f t="shared" si="226"/>
        <v>-1701</v>
      </c>
      <c r="AJ102" s="35">
        <f t="shared" si="226"/>
        <v>-1308</v>
      </c>
      <c r="AK102" s="35">
        <f t="shared" si="226"/>
        <v>-1627</v>
      </c>
      <c r="AL102" s="35">
        <f t="shared" si="226"/>
        <v>-1214</v>
      </c>
      <c r="AM102" s="35">
        <f t="shared" si="226"/>
        <v>-1166</v>
      </c>
      <c r="AN102" s="67"/>
      <c r="AO102" s="89">
        <f t="shared" si="227"/>
        <v>-0.3145208700764256</v>
      </c>
    </row>
    <row r="103" spans="2:41" ht="12.75" customHeight="1">
      <c r="B103" s="14" t="s">
        <v>91</v>
      </c>
      <c r="C103" s="15">
        <f t="shared" ref="C103:K103" si="228">SUM(C98:C102)</f>
        <v>-45977</v>
      </c>
      <c r="D103" s="15">
        <f t="shared" si="228"/>
        <v>-46446</v>
      </c>
      <c r="E103" s="15">
        <f t="shared" si="228"/>
        <v>16066</v>
      </c>
      <c r="F103" s="15">
        <f t="shared" si="228"/>
        <v>45896</v>
      </c>
      <c r="G103" s="15">
        <f t="shared" si="228"/>
        <v>-4289</v>
      </c>
      <c r="H103" s="15">
        <f t="shared" si="228"/>
        <v>-14545</v>
      </c>
      <c r="I103" s="15">
        <f t="shared" si="228"/>
        <v>-22354</v>
      </c>
      <c r="J103" s="15">
        <f t="shared" si="228"/>
        <v>3705</v>
      </c>
      <c r="K103" s="15">
        <f t="shared" si="228"/>
        <v>2935</v>
      </c>
      <c r="M103" s="15">
        <f t="shared" ref="M103:AA103" si="229">SUM(M98:M102)</f>
        <v>-16106</v>
      </c>
      <c r="N103" s="15">
        <f t="shared" si="229"/>
        <v>-9265</v>
      </c>
      <c r="O103" s="15">
        <f t="shared" si="229"/>
        <v>4234</v>
      </c>
      <c r="P103" s="15">
        <f t="shared" si="229"/>
        <v>-1217</v>
      </c>
      <c r="Q103" s="15">
        <f t="shared" si="229"/>
        <v>-1445</v>
      </c>
      <c r="R103" s="15">
        <f t="shared" si="229"/>
        <v>2319</v>
      </c>
      <c r="S103" s="15">
        <f t="shared" si="229"/>
        <v>437</v>
      </c>
      <c r="T103" s="15">
        <f t="shared" si="229"/>
        <v>2394</v>
      </c>
      <c r="U103" s="15">
        <f t="shared" si="229"/>
        <v>1927</v>
      </c>
      <c r="V103" s="15">
        <f t="shared" si="229"/>
        <v>-310</v>
      </c>
      <c r="W103" s="15">
        <f t="shared" si="229"/>
        <v>-127</v>
      </c>
      <c r="X103" s="15">
        <f t="shared" si="229"/>
        <v>1445</v>
      </c>
      <c r="Y103" s="15">
        <f t="shared" si="229"/>
        <v>9792</v>
      </c>
      <c r="Z103" s="15">
        <f t="shared" si="229"/>
        <v>2917</v>
      </c>
      <c r="AA103" s="15">
        <f t="shared" si="229"/>
        <v>5073</v>
      </c>
      <c r="AC103" s="15">
        <f t="shared" ref="AC103:AM103" si="230">SUM(AC98:AC102)</f>
        <v>-7693</v>
      </c>
      <c r="AD103" s="15">
        <f t="shared" si="230"/>
        <v>3891</v>
      </c>
      <c r="AE103" s="15">
        <f t="shared" si="230"/>
        <v>94</v>
      </c>
      <c r="AF103" s="15">
        <f t="shared" si="230"/>
        <v>3705</v>
      </c>
      <c r="AG103" s="15">
        <f t="shared" si="230"/>
        <v>7077</v>
      </c>
      <c r="AH103" s="15">
        <f t="shared" si="230"/>
        <v>4448</v>
      </c>
      <c r="AI103" s="15">
        <f t="shared" si="230"/>
        <v>3884</v>
      </c>
      <c r="AJ103" s="15">
        <f t="shared" si="230"/>
        <v>2935</v>
      </c>
      <c r="AK103" s="15">
        <f t="shared" si="230"/>
        <v>10800</v>
      </c>
      <c r="AL103" s="15">
        <f t="shared" si="230"/>
        <v>14027</v>
      </c>
      <c r="AM103" s="15">
        <f t="shared" si="230"/>
        <v>19227</v>
      </c>
      <c r="AN103" s="47"/>
      <c r="AO103" s="90">
        <f>SUM(AM103/AI103)-1</f>
        <v>3.9503089598352217</v>
      </c>
    </row>
    <row r="104" spans="2:41" ht="12.75" customHeight="1">
      <c r="B104" s="60"/>
      <c r="C104" s="69"/>
      <c r="D104" s="69"/>
      <c r="E104" s="69"/>
      <c r="F104" s="69"/>
      <c r="G104" s="69"/>
      <c r="H104" s="69"/>
      <c r="I104" s="69"/>
      <c r="J104" s="69"/>
      <c r="K104" s="69"/>
      <c r="M104" s="69"/>
      <c r="N104" s="69"/>
      <c r="O104" s="69"/>
      <c r="P104" s="69"/>
      <c r="Q104" s="69"/>
      <c r="R104" s="69"/>
      <c r="S104" s="69"/>
      <c r="T104" s="69"/>
      <c r="U104" s="69"/>
      <c r="V104" s="69"/>
      <c r="W104" s="69"/>
      <c r="X104" s="69"/>
      <c r="Y104" s="69"/>
      <c r="Z104" s="69"/>
      <c r="AA104" s="69"/>
      <c r="AC104" s="47"/>
      <c r="AD104" s="47"/>
      <c r="AE104" s="47"/>
      <c r="AF104" s="47"/>
      <c r="AG104" s="47"/>
      <c r="AH104" s="47"/>
      <c r="AI104" s="47"/>
      <c r="AJ104" s="47"/>
      <c r="AK104" s="47"/>
      <c r="AL104" s="47"/>
      <c r="AM104" s="47"/>
      <c r="AN104" s="47"/>
      <c r="AO104" s="44"/>
    </row>
    <row r="105" spans="2:41" ht="12.75" customHeight="1">
      <c r="B105" s="61" t="s">
        <v>92</v>
      </c>
      <c r="C105" s="71"/>
      <c r="D105" s="71"/>
      <c r="E105" s="71"/>
      <c r="F105" s="71"/>
      <c r="G105" s="71"/>
      <c r="H105" s="71"/>
      <c r="I105" s="71"/>
      <c r="J105" s="71"/>
      <c r="K105" s="71"/>
      <c r="M105" s="71"/>
      <c r="N105" s="71"/>
      <c r="O105" s="71"/>
      <c r="P105" s="71"/>
      <c r="Q105" s="71"/>
      <c r="R105" s="71"/>
      <c r="S105" s="71"/>
      <c r="T105" s="72"/>
      <c r="U105" s="71"/>
      <c r="V105" s="71"/>
      <c r="W105" s="71"/>
      <c r="X105" s="71"/>
      <c r="Y105" s="71"/>
      <c r="Z105" s="71"/>
      <c r="AA105" s="71"/>
      <c r="AC105" s="71"/>
      <c r="AD105" s="71"/>
      <c r="AE105" s="71"/>
      <c r="AF105" s="71"/>
      <c r="AG105" s="71"/>
      <c r="AH105" s="71"/>
      <c r="AI105" s="71"/>
      <c r="AJ105" s="71"/>
      <c r="AK105" s="71"/>
      <c r="AL105" s="71"/>
      <c r="AM105" s="71"/>
      <c r="AN105" s="73"/>
      <c r="AO105" s="44"/>
    </row>
    <row r="106" spans="2:41" ht="12.75" customHeight="1">
      <c r="B106" s="68" t="s">
        <v>307</v>
      </c>
      <c r="C106" s="99">
        <v>22454</v>
      </c>
      <c r="D106" s="99">
        <v>28662</v>
      </c>
      <c r="E106" s="99">
        <v>6969</v>
      </c>
      <c r="F106" s="99">
        <v>6963</v>
      </c>
      <c r="G106" s="99">
        <v>16091</v>
      </c>
      <c r="H106" s="99">
        <v>20393</v>
      </c>
      <c r="I106" s="99">
        <v>5465</v>
      </c>
      <c r="J106" s="99">
        <v>5228</v>
      </c>
      <c r="K106" s="99">
        <v>0</v>
      </c>
      <c r="L106" s="74"/>
      <c r="M106" s="99">
        <v>0</v>
      </c>
      <c r="N106" s="35">
        <v>0</v>
      </c>
      <c r="O106" s="35">
        <v>0</v>
      </c>
      <c r="P106" s="35">
        <f t="shared" ref="P106:P113" si="231">SUM(I106-SUM(M106:O106))</f>
        <v>5465</v>
      </c>
      <c r="Q106" s="99">
        <v>0</v>
      </c>
      <c r="R106" s="35">
        <v>0</v>
      </c>
      <c r="S106" s="35">
        <v>5228</v>
      </c>
      <c r="T106" s="35">
        <f t="shared" ref="T106:T113" si="232">SUM(J106-SUM(Q106:S106))</f>
        <v>0</v>
      </c>
      <c r="U106" s="99">
        <v>0</v>
      </c>
      <c r="V106" s="35">
        <v>0</v>
      </c>
      <c r="W106" s="35">
        <v>0</v>
      </c>
      <c r="X106" s="35">
        <f t="shared" ref="X106:X113" si="233">SUM(K106-SUM(U106:W106))</f>
        <v>0</v>
      </c>
      <c r="Y106" s="99">
        <v>0</v>
      </c>
      <c r="Z106" s="35">
        <v>0</v>
      </c>
      <c r="AA106" s="35">
        <f>4481-Z106-Y106</f>
        <v>4481</v>
      </c>
      <c r="AC106" s="35">
        <f t="shared" ref="AC106:AM113" si="234">SUM(N106:Q106)</f>
        <v>5465</v>
      </c>
      <c r="AD106" s="35">
        <f t="shared" si="234"/>
        <v>5465</v>
      </c>
      <c r="AE106" s="35">
        <f t="shared" si="234"/>
        <v>10693</v>
      </c>
      <c r="AF106" s="35">
        <f t="shared" si="234"/>
        <v>5228</v>
      </c>
      <c r="AG106" s="35">
        <f t="shared" si="234"/>
        <v>5228</v>
      </c>
      <c r="AH106" s="35">
        <f t="shared" si="234"/>
        <v>5228</v>
      </c>
      <c r="AI106" s="35">
        <f t="shared" si="234"/>
        <v>0</v>
      </c>
      <c r="AJ106" s="35">
        <f t="shared" si="234"/>
        <v>0</v>
      </c>
      <c r="AK106" s="35">
        <f t="shared" si="234"/>
        <v>0</v>
      </c>
      <c r="AL106" s="35">
        <f t="shared" si="234"/>
        <v>0</v>
      </c>
      <c r="AM106" s="35">
        <f t="shared" si="234"/>
        <v>4481</v>
      </c>
      <c r="AN106" s="12"/>
      <c r="AO106" s="89" t="e">
        <f t="shared" ref="AO106:AO113" si="235">SUM(AM106/AI106)-1</f>
        <v>#DIV/0!</v>
      </c>
    </row>
    <row r="107" spans="2:41" ht="12.75" customHeight="1">
      <c r="B107" s="68" t="s">
        <v>308</v>
      </c>
      <c r="C107" s="99">
        <v>0</v>
      </c>
      <c r="D107" s="99">
        <v>-3500</v>
      </c>
      <c r="E107" s="99">
        <v>-6500</v>
      </c>
      <c r="F107" s="99">
        <v>-8805</v>
      </c>
      <c r="G107" s="99">
        <v>-12629</v>
      </c>
      <c r="H107" s="99">
        <v>-8750</v>
      </c>
      <c r="I107" s="99">
        <v>-9543</v>
      </c>
      <c r="J107" s="99">
        <v>-11151.108</v>
      </c>
      <c r="K107" s="99">
        <v>-9958</v>
      </c>
      <c r="L107" s="74"/>
      <c r="M107" s="99">
        <v>0</v>
      </c>
      <c r="N107" s="35">
        <v>-3750</v>
      </c>
      <c r="O107" s="35">
        <v>-3000</v>
      </c>
      <c r="P107" s="35">
        <f t="shared" si="231"/>
        <v>-2793</v>
      </c>
      <c r="Q107" s="99">
        <v>-1401</v>
      </c>
      <c r="R107" s="35">
        <v>-2250</v>
      </c>
      <c r="S107" s="35">
        <v>-7500</v>
      </c>
      <c r="T107" s="35">
        <f t="shared" si="232"/>
        <v>-0.10800000000017462</v>
      </c>
      <c r="U107" s="99">
        <v>0</v>
      </c>
      <c r="V107" s="35">
        <v>-3150</v>
      </c>
      <c r="W107" s="35">
        <v>-4250</v>
      </c>
      <c r="X107" s="35">
        <f t="shared" si="233"/>
        <v>-2558</v>
      </c>
      <c r="Y107" s="99">
        <v>-1009</v>
      </c>
      <c r="Z107" s="35">
        <f>-4009-Y107</f>
        <v>-3000</v>
      </c>
      <c r="AA107" s="35">
        <f>-9682-Z107-Y107</f>
        <v>-5673</v>
      </c>
      <c r="AC107" s="35">
        <f t="shared" si="234"/>
        <v>-10944</v>
      </c>
      <c r="AD107" s="35">
        <f t="shared" si="234"/>
        <v>-9444</v>
      </c>
      <c r="AE107" s="35">
        <f t="shared" si="234"/>
        <v>-13944</v>
      </c>
      <c r="AF107" s="35">
        <f t="shared" si="234"/>
        <v>-11151.108</v>
      </c>
      <c r="AG107" s="35">
        <f t="shared" si="234"/>
        <v>-9750.1080000000002</v>
      </c>
      <c r="AH107" s="35">
        <f t="shared" si="234"/>
        <v>-10650.108</v>
      </c>
      <c r="AI107" s="35">
        <f t="shared" si="234"/>
        <v>-7400.1080000000002</v>
      </c>
      <c r="AJ107" s="35">
        <f t="shared" si="234"/>
        <v>-9958</v>
      </c>
      <c r="AK107" s="35">
        <f t="shared" si="234"/>
        <v>-10967</v>
      </c>
      <c r="AL107" s="35">
        <f t="shared" si="234"/>
        <v>-10817</v>
      </c>
      <c r="AM107" s="35">
        <f t="shared" si="234"/>
        <v>-12240</v>
      </c>
      <c r="AN107" s="12"/>
      <c r="AO107" s="89">
        <f t="shared" si="235"/>
        <v>0.65402991415800948</v>
      </c>
    </row>
    <row r="108" spans="2:41" ht="12.75" customHeight="1">
      <c r="B108" s="68" t="s">
        <v>309</v>
      </c>
      <c r="C108" s="99">
        <v>495</v>
      </c>
      <c r="D108" s="99">
        <v>555</v>
      </c>
      <c r="E108" s="99">
        <v>669</v>
      </c>
      <c r="F108" s="99">
        <v>781</v>
      </c>
      <c r="G108" s="99">
        <v>880</v>
      </c>
      <c r="H108" s="99">
        <v>1105</v>
      </c>
      <c r="I108" s="99">
        <v>0</v>
      </c>
      <c r="J108" s="99">
        <v>0</v>
      </c>
      <c r="K108" s="99">
        <v>0</v>
      </c>
      <c r="L108" s="74"/>
      <c r="M108" s="99">
        <v>0</v>
      </c>
      <c r="N108" s="35">
        <v>0</v>
      </c>
      <c r="O108" s="35">
        <v>0</v>
      </c>
      <c r="P108" s="35">
        <f t="shared" si="231"/>
        <v>0</v>
      </c>
      <c r="Q108" s="99">
        <v>0</v>
      </c>
      <c r="R108" s="35">
        <v>0</v>
      </c>
      <c r="S108" s="35">
        <v>0</v>
      </c>
      <c r="T108" s="35">
        <f t="shared" si="232"/>
        <v>0</v>
      </c>
      <c r="U108" s="99">
        <v>0</v>
      </c>
      <c r="V108" s="35">
        <v>0</v>
      </c>
      <c r="W108" s="35">
        <v>0</v>
      </c>
      <c r="X108" s="35">
        <f t="shared" si="233"/>
        <v>0</v>
      </c>
      <c r="Y108" s="99">
        <v>0</v>
      </c>
      <c r="Z108" s="35">
        <v>0</v>
      </c>
      <c r="AA108" s="35">
        <v>0</v>
      </c>
      <c r="AC108" s="35">
        <f t="shared" si="234"/>
        <v>0</v>
      </c>
      <c r="AD108" s="35">
        <f t="shared" si="234"/>
        <v>0</v>
      </c>
      <c r="AE108" s="35">
        <f t="shared" si="234"/>
        <v>0</v>
      </c>
      <c r="AF108" s="35">
        <f t="shared" si="234"/>
        <v>0</v>
      </c>
      <c r="AG108" s="35">
        <f t="shared" si="234"/>
        <v>0</v>
      </c>
      <c r="AH108" s="35">
        <f t="shared" si="234"/>
        <v>0</v>
      </c>
      <c r="AI108" s="35">
        <f t="shared" si="234"/>
        <v>0</v>
      </c>
      <c r="AJ108" s="35">
        <f t="shared" si="234"/>
        <v>0</v>
      </c>
      <c r="AK108" s="35">
        <f t="shared" si="234"/>
        <v>0</v>
      </c>
      <c r="AL108" s="35">
        <f t="shared" si="234"/>
        <v>0</v>
      </c>
      <c r="AM108" s="35">
        <f t="shared" si="234"/>
        <v>0</v>
      </c>
      <c r="AN108" s="12"/>
      <c r="AO108" s="89" t="e">
        <f t="shared" si="235"/>
        <v>#DIV/0!</v>
      </c>
    </row>
    <row r="109" spans="2:41" ht="12.75" customHeight="1">
      <c r="B109" s="68" t="s">
        <v>295</v>
      </c>
      <c r="C109" s="99">
        <v>-29722</v>
      </c>
      <c r="D109" s="99">
        <v>-32900</v>
      </c>
      <c r="E109" s="99">
        <v>-72738</v>
      </c>
      <c r="F109" s="99">
        <v>-66897</v>
      </c>
      <c r="G109" s="99">
        <v>-72358</v>
      </c>
      <c r="H109" s="99">
        <v>-85971</v>
      </c>
      <c r="I109" s="99">
        <v>-89402</v>
      </c>
      <c r="J109" s="99">
        <v>-77550</v>
      </c>
      <c r="K109" s="99">
        <v>-94949</v>
      </c>
      <c r="L109" s="74"/>
      <c r="M109" s="99">
        <v>-20478</v>
      </c>
      <c r="N109" s="35">
        <f>-43109-M109</f>
        <v>-22631</v>
      </c>
      <c r="O109" s="35">
        <f>-64974-SUM(M109:N109)</f>
        <v>-21865</v>
      </c>
      <c r="P109" s="35">
        <f t="shared" si="231"/>
        <v>-24428</v>
      </c>
      <c r="Q109" s="99">
        <v>-19475</v>
      </c>
      <c r="R109" s="35">
        <f>-39069-Q109</f>
        <v>-19594</v>
      </c>
      <c r="S109" s="35">
        <v>-17478</v>
      </c>
      <c r="T109" s="35">
        <f t="shared" si="232"/>
        <v>-21003</v>
      </c>
      <c r="U109" s="99">
        <v>-20139</v>
      </c>
      <c r="V109" s="35">
        <f>-43344-U109</f>
        <v>-23205</v>
      </c>
      <c r="W109" s="35">
        <f>-69866-V109-U109</f>
        <v>-26522</v>
      </c>
      <c r="X109" s="35">
        <f t="shared" si="233"/>
        <v>-25083</v>
      </c>
      <c r="Y109" s="99">
        <v>-23606</v>
      </c>
      <c r="Z109" s="35">
        <f>-49504-Y109</f>
        <v>-25898</v>
      </c>
      <c r="AA109" s="35">
        <f>-70579-Z109-Y109</f>
        <v>-21075</v>
      </c>
      <c r="AC109" s="35">
        <f t="shared" si="234"/>
        <v>-88399</v>
      </c>
      <c r="AD109" s="35">
        <f t="shared" si="234"/>
        <v>-85362</v>
      </c>
      <c r="AE109" s="35">
        <f t="shared" si="234"/>
        <v>-80975</v>
      </c>
      <c r="AF109" s="35">
        <f t="shared" si="234"/>
        <v>-77550</v>
      </c>
      <c r="AG109" s="35">
        <f t="shared" si="234"/>
        <v>-78214</v>
      </c>
      <c r="AH109" s="35">
        <f t="shared" si="234"/>
        <v>-81825</v>
      </c>
      <c r="AI109" s="35">
        <f t="shared" si="234"/>
        <v>-90869</v>
      </c>
      <c r="AJ109" s="35">
        <f t="shared" si="234"/>
        <v>-94949</v>
      </c>
      <c r="AK109" s="35">
        <f t="shared" si="234"/>
        <v>-98416</v>
      </c>
      <c r="AL109" s="35">
        <f t="shared" si="234"/>
        <v>-101109</v>
      </c>
      <c r="AM109" s="35">
        <f t="shared" si="234"/>
        <v>-95662</v>
      </c>
      <c r="AN109" s="12"/>
      <c r="AO109" s="89">
        <f t="shared" si="235"/>
        <v>5.2746261101145553E-2</v>
      </c>
    </row>
    <row r="110" spans="2:41" ht="12.75" customHeight="1">
      <c r="B110" s="68" t="s">
        <v>310</v>
      </c>
      <c r="C110" s="99">
        <v>-397</v>
      </c>
      <c r="D110" s="99">
        <v>3852</v>
      </c>
      <c r="E110" s="99">
        <v>-37</v>
      </c>
      <c r="F110" s="99">
        <v>-5977</v>
      </c>
      <c r="G110" s="99">
        <v>-963</v>
      </c>
      <c r="H110" s="99">
        <v>1022</v>
      </c>
      <c r="I110" s="99">
        <v>3955</v>
      </c>
      <c r="J110" s="99">
        <v>-3978</v>
      </c>
      <c r="K110" s="99">
        <v>3960</v>
      </c>
      <c r="L110" s="74"/>
      <c r="M110" s="99">
        <v>-1000</v>
      </c>
      <c r="N110" s="35">
        <f>999-M110</f>
        <v>1999</v>
      </c>
      <c r="O110" s="35">
        <f>4970-SUM(M110:N110)</f>
        <v>3971</v>
      </c>
      <c r="P110" s="35">
        <f t="shared" si="231"/>
        <v>-1015</v>
      </c>
      <c r="Q110" s="99">
        <v>-8214</v>
      </c>
      <c r="R110" s="35">
        <f>-7960-Q110</f>
        <v>254</v>
      </c>
      <c r="S110" s="35">
        <v>1989</v>
      </c>
      <c r="T110" s="35">
        <f t="shared" si="232"/>
        <v>1993</v>
      </c>
      <c r="U110" s="99">
        <v>-3984</v>
      </c>
      <c r="V110" s="35">
        <f>-3982-U110</f>
        <v>2</v>
      </c>
      <c r="W110" s="35">
        <f>-2985-V110-U110</f>
        <v>997</v>
      </c>
      <c r="X110" s="35">
        <f t="shared" si="233"/>
        <v>6945</v>
      </c>
      <c r="Y110" s="99">
        <v>-7944</v>
      </c>
      <c r="Z110" s="35">
        <f>-3968-Y110</f>
        <v>3976</v>
      </c>
      <c r="AA110" s="35">
        <f>-65-Z110-Y110</f>
        <v>3903</v>
      </c>
      <c r="AC110" s="35">
        <f t="shared" si="234"/>
        <v>-3259</v>
      </c>
      <c r="AD110" s="35">
        <f t="shared" si="234"/>
        <v>-5004</v>
      </c>
      <c r="AE110" s="35">
        <f t="shared" si="234"/>
        <v>-6986</v>
      </c>
      <c r="AF110" s="35">
        <f t="shared" si="234"/>
        <v>-3978</v>
      </c>
      <c r="AG110" s="35">
        <f t="shared" si="234"/>
        <v>252</v>
      </c>
      <c r="AH110" s="35">
        <f t="shared" si="234"/>
        <v>0</v>
      </c>
      <c r="AI110" s="35">
        <f t="shared" si="234"/>
        <v>-992</v>
      </c>
      <c r="AJ110" s="35">
        <f t="shared" si="234"/>
        <v>3960</v>
      </c>
      <c r="AK110" s="35">
        <f t="shared" si="234"/>
        <v>0</v>
      </c>
      <c r="AL110" s="35">
        <f t="shared" si="234"/>
        <v>3974</v>
      </c>
      <c r="AM110" s="35">
        <f t="shared" si="234"/>
        <v>6880</v>
      </c>
      <c r="AN110" s="12"/>
      <c r="AO110" s="89">
        <f t="shared" si="235"/>
        <v>-7.935483870967742</v>
      </c>
    </row>
    <row r="111" spans="2:41" ht="12.75" customHeight="1">
      <c r="B111" s="68" t="s">
        <v>311</v>
      </c>
      <c r="C111" s="99">
        <v>0</v>
      </c>
      <c r="D111" s="99">
        <v>0</v>
      </c>
      <c r="E111" s="99">
        <v>0</v>
      </c>
      <c r="F111" s="99">
        <v>0</v>
      </c>
      <c r="G111" s="99">
        <v>0</v>
      </c>
      <c r="H111" s="99">
        <v>0</v>
      </c>
      <c r="I111" s="99">
        <v>0</v>
      </c>
      <c r="J111" s="99">
        <v>0</v>
      </c>
      <c r="K111" s="99">
        <v>0</v>
      </c>
      <c r="L111" s="35"/>
      <c r="M111" s="99">
        <v>0</v>
      </c>
      <c r="N111" s="35">
        <v>0</v>
      </c>
      <c r="O111" s="35">
        <v>0</v>
      </c>
      <c r="P111" s="35">
        <f t="shared" si="231"/>
        <v>0</v>
      </c>
      <c r="Q111" s="99">
        <v>0</v>
      </c>
      <c r="R111" s="35">
        <v>0</v>
      </c>
      <c r="S111" s="35">
        <v>0</v>
      </c>
      <c r="T111" s="35">
        <f t="shared" si="232"/>
        <v>0</v>
      </c>
      <c r="U111" s="99">
        <v>0</v>
      </c>
      <c r="V111" s="35">
        <v>0</v>
      </c>
      <c r="W111" s="35">
        <v>0</v>
      </c>
      <c r="X111" s="35">
        <f t="shared" si="233"/>
        <v>0</v>
      </c>
      <c r="Y111" s="99">
        <v>0</v>
      </c>
      <c r="Z111" s="35">
        <v>0</v>
      </c>
      <c r="AA111" s="35">
        <v>0</v>
      </c>
      <c r="AC111" s="35">
        <f t="shared" si="234"/>
        <v>0</v>
      </c>
      <c r="AD111" s="35">
        <f t="shared" si="234"/>
        <v>0</v>
      </c>
      <c r="AE111" s="35">
        <f t="shared" si="234"/>
        <v>0</v>
      </c>
      <c r="AF111" s="35">
        <f t="shared" si="234"/>
        <v>0</v>
      </c>
      <c r="AG111" s="35">
        <f t="shared" si="234"/>
        <v>0</v>
      </c>
      <c r="AH111" s="35">
        <f t="shared" si="234"/>
        <v>0</v>
      </c>
      <c r="AI111" s="35">
        <f t="shared" si="234"/>
        <v>0</v>
      </c>
      <c r="AJ111" s="35">
        <f t="shared" si="234"/>
        <v>0</v>
      </c>
      <c r="AK111" s="35">
        <f t="shared" si="234"/>
        <v>0</v>
      </c>
      <c r="AL111" s="35">
        <f t="shared" si="234"/>
        <v>0</v>
      </c>
      <c r="AM111" s="35">
        <f t="shared" si="234"/>
        <v>0</v>
      </c>
      <c r="AN111" s="12"/>
      <c r="AO111" s="89" t="e">
        <f t="shared" si="235"/>
        <v>#DIV/0!</v>
      </c>
    </row>
    <row r="112" spans="2:41" ht="12.75" customHeight="1">
      <c r="B112" s="68" t="s">
        <v>97</v>
      </c>
      <c r="C112" s="99">
        <v>-1163</v>
      </c>
      <c r="D112" s="99">
        <v>-1247</v>
      </c>
      <c r="E112" s="99">
        <v>-2527</v>
      </c>
      <c r="F112" s="99">
        <v>-2922</v>
      </c>
      <c r="G112" s="99">
        <v>-3760</v>
      </c>
      <c r="H112" s="99">
        <v>-6685</v>
      </c>
      <c r="I112" s="99">
        <v>-6383</v>
      </c>
      <c r="J112" s="99">
        <v>-6012</v>
      </c>
      <c r="K112" s="99">
        <v>-5802</v>
      </c>
      <c r="L112" s="74"/>
      <c r="M112" s="99">
        <f>-2888-61</f>
        <v>-2949</v>
      </c>
      <c r="N112" s="35">
        <f>-3218-105-M112</f>
        <v>-374</v>
      </c>
      <c r="O112" s="35">
        <f>-148-5915-SUM(M112:N112)</f>
        <v>-2740</v>
      </c>
      <c r="P112" s="35">
        <f t="shared" si="231"/>
        <v>-320</v>
      </c>
      <c r="Q112" s="99">
        <f>-2316-389</f>
        <v>-2705</v>
      </c>
      <c r="R112" s="35">
        <f>-2734-455-Q112</f>
        <v>-484</v>
      </c>
      <c r="S112" s="35">
        <v>-2438</v>
      </c>
      <c r="T112" s="35">
        <f t="shared" si="232"/>
        <v>-385</v>
      </c>
      <c r="U112" s="99">
        <f>-2591-46</f>
        <v>-2637</v>
      </c>
      <c r="V112" s="35">
        <f>-2875-U112-132</f>
        <v>-370</v>
      </c>
      <c r="W112" s="35">
        <f>-5163-191-V112-U112</f>
        <v>-2347</v>
      </c>
      <c r="X112" s="35">
        <f t="shared" si="233"/>
        <v>-448</v>
      </c>
      <c r="Y112" s="99">
        <f>-2921-35</f>
        <v>-2956</v>
      </c>
      <c r="Z112" s="35">
        <f>-3205+-77-Y112</f>
        <v>-326</v>
      </c>
      <c r="AA112" s="35">
        <f>-5719+-87-Z112-Y112</f>
        <v>-2524</v>
      </c>
      <c r="AC112" s="35">
        <f t="shared" si="234"/>
        <v>-6139</v>
      </c>
      <c r="AD112" s="35">
        <f t="shared" si="234"/>
        <v>-6249</v>
      </c>
      <c r="AE112" s="35">
        <f t="shared" si="234"/>
        <v>-5947</v>
      </c>
      <c r="AF112" s="35">
        <f t="shared" si="234"/>
        <v>-6012</v>
      </c>
      <c r="AG112" s="35">
        <f t="shared" si="234"/>
        <v>-5944</v>
      </c>
      <c r="AH112" s="35">
        <f t="shared" si="234"/>
        <v>-5830</v>
      </c>
      <c r="AI112" s="35">
        <f t="shared" si="234"/>
        <v>-5739</v>
      </c>
      <c r="AJ112" s="35">
        <f t="shared" si="234"/>
        <v>-5802</v>
      </c>
      <c r="AK112" s="35">
        <f t="shared" si="234"/>
        <v>-6121</v>
      </c>
      <c r="AL112" s="35">
        <f t="shared" si="234"/>
        <v>-6077</v>
      </c>
      <c r="AM112" s="35">
        <f t="shared" si="234"/>
        <v>-6254</v>
      </c>
      <c r="AN112" s="12"/>
      <c r="AO112" s="89">
        <f t="shared" si="235"/>
        <v>8.9736887959574796E-2</v>
      </c>
    </row>
    <row r="113" spans="2:41" ht="12.75" customHeight="1">
      <c r="B113" s="68" t="s">
        <v>312</v>
      </c>
      <c r="C113" s="99">
        <v>-12150</v>
      </c>
      <c r="D113" s="99">
        <v>-12769</v>
      </c>
      <c r="E113" s="99">
        <v>-13712</v>
      </c>
      <c r="F113" s="99">
        <v>-14119</v>
      </c>
      <c r="G113" s="99">
        <v>-14081</v>
      </c>
      <c r="H113" s="99">
        <v>-14467</v>
      </c>
      <c r="I113" s="99">
        <v>-14841</v>
      </c>
      <c r="J113" s="99">
        <v>-14875</v>
      </c>
      <c r="K113" s="99">
        <v>-15234</v>
      </c>
      <c r="L113" s="74"/>
      <c r="M113" s="99">
        <v>-3732</v>
      </c>
      <c r="N113" s="35">
        <f>-7327-M113</f>
        <v>-3595</v>
      </c>
      <c r="O113" s="35">
        <f>-11138-SUM(M113:N113)</f>
        <v>-3811</v>
      </c>
      <c r="P113" s="35">
        <f t="shared" si="231"/>
        <v>-3703</v>
      </c>
      <c r="Q113" s="99">
        <v>-3768</v>
      </c>
      <c r="R113" s="35">
        <f>-7418-Q113</f>
        <v>-3650</v>
      </c>
      <c r="S113" s="35">
        <v>-3849</v>
      </c>
      <c r="T113" s="35">
        <f t="shared" si="232"/>
        <v>-3608</v>
      </c>
      <c r="U113" s="99">
        <v>-3825</v>
      </c>
      <c r="V113" s="35">
        <f>-7535-U113</f>
        <v>-3710</v>
      </c>
      <c r="W113" s="35">
        <f>-11430-V113-U113</f>
        <v>-3895</v>
      </c>
      <c r="X113" s="35">
        <f t="shared" si="233"/>
        <v>-3804</v>
      </c>
      <c r="Y113" s="99">
        <v>-3856</v>
      </c>
      <c r="Z113" s="35">
        <f>-7614-Y113</f>
        <v>-3758</v>
      </c>
      <c r="AA113" s="35">
        <f>-11559-Z113-Y113</f>
        <v>-3945</v>
      </c>
      <c r="AC113" s="35">
        <f t="shared" si="234"/>
        <v>-14877</v>
      </c>
      <c r="AD113" s="35">
        <f t="shared" si="234"/>
        <v>-14932</v>
      </c>
      <c r="AE113" s="35">
        <f t="shared" si="234"/>
        <v>-14970</v>
      </c>
      <c r="AF113" s="35">
        <f t="shared" si="234"/>
        <v>-14875</v>
      </c>
      <c r="AG113" s="35">
        <f t="shared" si="234"/>
        <v>-14932</v>
      </c>
      <c r="AH113" s="35">
        <f t="shared" si="234"/>
        <v>-14992</v>
      </c>
      <c r="AI113" s="35">
        <f t="shared" si="234"/>
        <v>-15038</v>
      </c>
      <c r="AJ113" s="35">
        <f t="shared" si="234"/>
        <v>-15234</v>
      </c>
      <c r="AK113" s="35">
        <f t="shared" si="234"/>
        <v>-15265</v>
      </c>
      <c r="AL113" s="35">
        <f t="shared" si="234"/>
        <v>-15313</v>
      </c>
      <c r="AM113" s="35">
        <f t="shared" si="234"/>
        <v>-15363</v>
      </c>
      <c r="AN113" s="12"/>
      <c r="AO113" s="89">
        <f t="shared" si="235"/>
        <v>2.1611916478255111E-2</v>
      </c>
    </row>
    <row r="114" spans="2:41" ht="12.75" customHeight="1">
      <c r="B114" s="14" t="s">
        <v>93</v>
      </c>
      <c r="C114" s="15">
        <f t="shared" ref="C114:K114" si="236">SUM(C106:C113)</f>
        <v>-20483</v>
      </c>
      <c r="D114" s="15">
        <f t="shared" si="236"/>
        <v>-17347</v>
      </c>
      <c r="E114" s="15">
        <f t="shared" si="236"/>
        <v>-87876</v>
      </c>
      <c r="F114" s="15">
        <f t="shared" si="236"/>
        <v>-90976</v>
      </c>
      <c r="G114" s="15">
        <f t="shared" si="236"/>
        <v>-86820</v>
      </c>
      <c r="H114" s="15">
        <f t="shared" si="236"/>
        <v>-93353</v>
      </c>
      <c r="I114" s="15">
        <f t="shared" si="236"/>
        <v>-110749</v>
      </c>
      <c r="J114" s="15">
        <f t="shared" si="236"/>
        <v>-108338.10800000001</v>
      </c>
      <c r="K114" s="15">
        <f t="shared" si="236"/>
        <v>-121983</v>
      </c>
      <c r="L114" s="35"/>
      <c r="M114" s="15">
        <f t="shared" ref="M114:AA114" si="237">SUM(M106:M113)</f>
        <v>-28159</v>
      </c>
      <c r="N114" s="15">
        <f t="shared" si="237"/>
        <v>-28351</v>
      </c>
      <c r="O114" s="15">
        <f t="shared" si="237"/>
        <v>-27445</v>
      </c>
      <c r="P114" s="15">
        <f t="shared" si="237"/>
        <v>-26794</v>
      </c>
      <c r="Q114" s="15">
        <f t="shared" si="237"/>
        <v>-35563</v>
      </c>
      <c r="R114" s="15">
        <f t="shared" si="237"/>
        <v>-25724</v>
      </c>
      <c r="S114" s="15">
        <f t="shared" si="237"/>
        <v>-24048</v>
      </c>
      <c r="T114" s="15">
        <f t="shared" si="237"/>
        <v>-23003.108</v>
      </c>
      <c r="U114" s="15">
        <f t="shared" si="237"/>
        <v>-30585</v>
      </c>
      <c r="V114" s="15">
        <f t="shared" si="237"/>
        <v>-30433</v>
      </c>
      <c r="W114" s="15">
        <f t="shared" si="237"/>
        <v>-36017</v>
      </c>
      <c r="X114" s="15">
        <f t="shared" si="237"/>
        <v>-24948</v>
      </c>
      <c r="Y114" s="15">
        <f t="shared" si="237"/>
        <v>-39371</v>
      </c>
      <c r="Z114" s="37">
        <f t="shared" si="237"/>
        <v>-29006</v>
      </c>
      <c r="AA114" s="37">
        <f t="shared" si="237"/>
        <v>-24833</v>
      </c>
      <c r="AC114" s="37">
        <f t="shared" ref="AC114:AM114" si="238">SUM(AC106:AC113)</f>
        <v>-118153</v>
      </c>
      <c r="AD114" s="37">
        <f t="shared" si="238"/>
        <v>-115526</v>
      </c>
      <c r="AE114" s="15">
        <f t="shared" si="238"/>
        <v>-112129</v>
      </c>
      <c r="AF114" s="15">
        <f t="shared" si="238"/>
        <v>-108338.10800000001</v>
      </c>
      <c r="AG114" s="15">
        <f t="shared" si="238"/>
        <v>-103360.10800000001</v>
      </c>
      <c r="AH114" s="15">
        <f t="shared" si="238"/>
        <v>-108069.10800000001</v>
      </c>
      <c r="AI114" s="15">
        <f t="shared" si="238"/>
        <v>-120038.10800000001</v>
      </c>
      <c r="AJ114" s="15">
        <f t="shared" si="238"/>
        <v>-121983</v>
      </c>
      <c r="AK114" s="15">
        <f t="shared" si="238"/>
        <v>-130769</v>
      </c>
      <c r="AL114" s="15">
        <f t="shared" si="238"/>
        <v>-129342</v>
      </c>
      <c r="AM114" s="15">
        <f t="shared" si="238"/>
        <v>-118158</v>
      </c>
      <c r="AN114" s="47"/>
      <c r="AO114" s="90">
        <f>SUM(AM114/AI114)-1</f>
        <v>-1.5662592749295934E-2</v>
      </c>
    </row>
    <row r="115" spans="2:41" ht="5.0999999999999996" customHeight="1">
      <c r="B115" s="8"/>
      <c r="C115" s="75"/>
      <c r="D115" s="75"/>
      <c r="E115" s="75"/>
      <c r="F115" s="75"/>
      <c r="G115" s="75"/>
      <c r="H115" s="75"/>
      <c r="I115" s="75"/>
      <c r="J115" s="75"/>
      <c r="K115" s="75"/>
      <c r="L115" s="35"/>
      <c r="M115" s="75"/>
      <c r="N115" s="75"/>
      <c r="O115" s="75"/>
      <c r="P115" s="75"/>
      <c r="Q115" s="75"/>
      <c r="R115" s="75"/>
      <c r="S115" s="75"/>
      <c r="T115" s="75"/>
      <c r="U115" s="76"/>
      <c r="V115" s="75"/>
      <c r="W115" s="75"/>
      <c r="X115" s="75"/>
      <c r="Y115" s="75"/>
      <c r="Z115" s="75"/>
      <c r="AA115" s="75"/>
      <c r="AC115" s="12"/>
      <c r="AD115" s="12"/>
      <c r="AE115" s="12"/>
      <c r="AF115" s="12"/>
      <c r="AG115" s="12"/>
      <c r="AH115" s="12"/>
      <c r="AI115" s="12"/>
      <c r="AJ115" s="12"/>
      <c r="AK115" s="12"/>
      <c r="AL115" s="12"/>
      <c r="AM115" s="12"/>
      <c r="AN115" s="12"/>
      <c r="AO115" s="53"/>
    </row>
    <row r="116" spans="2:41" ht="5.0999999999999996" customHeight="1">
      <c r="B116" s="8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c r="AI116" s="35"/>
      <c r="AJ116" s="35"/>
      <c r="AK116" s="35"/>
      <c r="AL116" s="35"/>
      <c r="AM116" s="35"/>
      <c r="AN116" s="12"/>
      <c r="AO116" s="53"/>
    </row>
    <row r="117" spans="2:41">
      <c r="B117" s="197" t="s">
        <v>103</v>
      </c>
      <c r="C117" s="198">
        <v>48844</v>
      </c>
      <c r="D117" s="198">
        <v>48844</v>
      </c>
      <c r="E117" s="198">
        <v>48844</v>
      </c>
      <c r="F117" s="198">
        <v>48844</v>
      </c>
      <c r="G117" s="198">
        <v>48844</v>
      </c>
      <c r="H117" s="198">
        <f>G123</f>
        <v>38016</v>
      </c>
      <c r="I117" s="198">
        <f t="shared" ref="I117:K117" si="239">H123</f>
        <v>34940</v>
      </c>
      <c r="J117" s="198">
        <f t="shared" si="239"/>
        <v>23646</v>
      </c>
      <c r="K117" s="198">
        <f t="shared" si="239"/>
        <v>29964.999999999993</v>
      </c>
      <c r="L117" s="198"/>
      <c r="M117" s="198">
        <f>H123</f>
        <v>34940</v>
      </c>
      <c r="N117" s="198">
        <f t="shared" ref="N117:AA117" si="240">M123</f>
        <v>37119</v>
      </c>
      <c r="O117" s="198">
        <f t="shared" si="240"/>
        <v>28098</v>
      </c>
      <c r="P117" s="198">
        <f t="shared" si="240"/>
        <v>27502</v>
      </c>
      <c r="Q117" s="198">
        <f t="shared" si="240"/>
        <v>23646</v>
      </c>
      <c r="R117" s="198">
        <f t="shared" si="240"/>
        <v>20535</v>
      </c>
      <c r="S117" s="198">
        <f t="shared" si="240"/>
        <v>24687</v>
      </c>
      <c r="T117" s="198">
        <f t="shared" si="240"/>
        <v>28408</v>
      </c>
      <c r="U117" s="198">
        <f t="shared" si="240"/>
        <v>29965</v>
      </c>
      <c r="V117" s="198">
        <f t="shared" si="240"/>
        <v>40760</v>
      </c>
      <c r="W117" s="198">
        <f t="shared" si="240"/>
        <v>32695</v>
      </c>
      <c r="X117" s="198">
        <f t="shared" si="240"/>
        <v>25565</v>
      </c>
      <c r="Y117" s="198">
        <f t="shared" si="240"/>
        <v>29943</v>
      </c>
      <c r="Z117" s="198">
        <f t="shared" si="240"/>
        <v>30299</v>
      </c>
      <c r="AA117" s="198">
        <f t="shared" si="240"/>
        <v>28162</v>
      </c>
      <c r="AB117" s="198"/>
      <c r="AC117" s="198">
        <f t="shared" ref="AC117:AL117" si="241">M123</f>
        <v>37119</v>
      </c>
      <c r="AD117" s="198">
        <f t="shared" si="241"/>
        <v>28098</v>
      </c>
      <c r="AE117" s="198">
        <f t="shared" si="241"/>
        <v>27502</v>
      </c>
      <c r="AF117" s="198">
        <f t="shared" si="241"/>
        <v>23646</v>
      </c>
      <c r="AG117" s="198">
        <f t="shared" si="241"/>
        <v>20535</v>
      </c>
      <c r="AH117" s="198">
        <f t="shared" si="241"/>
        <v>24687</v>
      </c>
      <c r="AI117" s="198">
        <f t="shared" si="241"/>
        <v>28408</v>
      </c>
      <c r="AJ117" s="198">
        <f t="shared" si="241"/>
        <v>29965</v>
      </c>
      <c r="AK117" s="198">
        <f t="shared" si="241"/>
        <v>40760</v>
      </c>
      <c r="AL117" s="198">
        <f t="shared" si="241"/>
        <v>32695</v>
      </c>
      <c r="AM117" s="199">
        <f>W123</f>
        <v>25565</v>
      </c>
      <c r="AN117" s="12"/>
      <c r="AO117" s="53"/>
    </row>
    <row r="118" spans="2:41">
      <c r="B118" s="188" t="s">
        <v>321</v>
      </c>
      <c r="C118" s="35"/>
      <c r="D118" s="35"/>
      <c r="E118" s="35"/>
      <c r="F118" s="35">
        <f>23+1357</f>
        <v>1380</v>
      </c>
      <c r="G118" s="35">
        <f>23+1357</f>
        <v>1380</v>
      </c>
      <c r="H118" s="35">
        <f>-G121</f>
        <v>1773</v>
      </c>
      <c r="I118" s="35">
        <f>-H121</f>
        <v>989</v>
      </c>
      <c r="J118" s="35">
        <f t="shared" ref="J118:K118" si="242">-I121</f>
        <v>1331</v>
      </c>
      <c r="K118" s="35">
        <f t="shared" si="242"/>
        <v>921.89200000000005</v>
      </c>
      <c r="L118" s="35"/>
      <c r="M118" s="35">
        <f>-H121</f>
        <v>989</v>
      </c>
      <c r="N118" s="35">
        <f t="shared" ref="N118:AA118" si="243">-M121</f>
        <v>1511</v>
      </c>
      <c r="O118" s="35">
        <f t="shared" si="243"/>
        <v>1082</v>
      </c>
      <c r="P118" s="35">
        <f t="shared" si="243"/>
        <v>1359</v>
      </c>
      <c r="Q118" s="35">
        <f t="shared" si="243"/>
        <v>1331</v>
      </c>
      <c r="R118" s="35">
        <f t="shared" si="243"/>
        <v>1439</v>
      </c>
      <c r="S118" s="35">
        <f t="shared" si="243"/>
        <v>2442</v>
      </c>
      <c r="T118" s="35">
        <f t="shared" si="243"/>
        <v>1490</v>
      </c>
      <c r="U118" s="35">
        <f t="shared" si="243"/>
        <v>921.89199999999983</v>
      </c>
      <c r="V118" s="35">
        <f t="shared" si="243"/>
        <v>1363.8919999999998</v>
      </c>
      <c r="W118" s="35">
        <f t="shared" si="243"/>
        <v>1375.8919999999998</v>
      </c>
      <c r="X118" s="35">
        <f t="shared" si="243"/>
        <v>1219.8919999999998</v>
      </c>
      <c r="Y118" s="35">
        <f t="shared" si="243"/>
        <v>149.89199999999983</v>
      </c>
      <c r="Z118" s="35">
        <f t="shared" si="243"/>
        <v>149.89199999999983</v>
      </c>
      <c r="AA118" s="35">
        <f t="shared" si="243"/>
        <v>149.89199999999983</v>
      </c>
      <c r="AB118" s="35"/>
      <c r="AC118" s="35">
        <f t="shared" ref="AC118:AL118" si="244">-M121</f>
        <v>1511</v>
      </c>
      <c r="AD118" s="35">
        <f t="shared" si="244"/>
        <v>1082</v>
      </c>
      <c r="AE118" s="35">
        <f t="shared" si="244"/>
        <v>1359</v>
      </c>
      <c r="AF118" s="35">
        <f t="shared" si="244"/>
        <v>1331</v>
      </c>
      <c r="AG118" s="35">
        <f t="shared" si="244"/>
        <v>1439</v>
      </c>
      <c r="AH118" s="35">
        <f t="shared" si="244"/>
        <v>2442</v>
      </c>
      <c r="AI118" s="35">
        <f t="shared" si="244"/>
        <v>1490</v>
      </c>
      <c r="AJ118" s="35">
        <f t="shared" si="244"/>
        <v>921.89199999999983</v>
      </c>
      <c r="AK118" s="35">
        <f t="shared" si="244"/>
        <v>1363.8919999999998</v>
      </c>
      <c r="AL118" s="35">
        <f t="shared" si="244"/>
        <v>1375.8919999999998</v>
      </c>
      <c r="AM118" s="192">
        <f>-W121</f>
        <v>1219.8919999999998</v>
      </c>
      <c r="AN118" s="12"/>
      <c r="AO118" s="53"/>
    </row>
    <row r="119" spans="2:41">
      <c r="B119" s="189" t="s">
        <v>318</v>
      </c>
      <c r="C119" s="179">
        <f t="shared" ref="C119:F119" si="245">SUM(C117:C118)</f>
        <v>48844</v>
      </c>
      <c r="D119" s="179">
        <f t="shared" si="245"/>
        <v>48844</v>
      </c>
      <c r="E119" s="179">
        <f t="shared" si="245"/>
        <v>48844</v>
      </c>
      <c r="F119" s="179">
        <f t="shared" si="245"/>
        <v>50224</v>
      </c>
      <c r="G119" s="179">
        <f>SUM(G117:G118)</f>
        <v>50224</v>
      </c>
      <c r="H119" s="179">
        <f t="shared" ref="H119:K119" si="246">SUM(H117:H118)</f>
        <v>39789</v>
      </c>
      <c r="I119" s="179">
        <f t="shared" si="246"/>
        <v>35929</v>
      </c>
      <c r="J119" s="179">
        <f t="shared" si="246"/>
        <v>24977</v>
      </c>
      <c r="K119" s="179">
        <f t="shared" si="246"/>
        <v>30886.891999999993</v>
      </c>
      <c r="L119" s="35"/>
      <c r="M119" s="179">
        <f t="shared" ref="M119" si="247">SUM(M117:M118)</f>
        <v>35929</v>
      </c>
      <c r="N119" s="179">
        <f t="shared" ref="N119" si="248">SUM(N117:N118)</f>
        <v>38630</v>
      </c>
      <c r="O119" s="179">
        <f t="shared" ref="O119" si="249">SUM(O117:O118)</f>
        <v>29180</v>
      </c>
      <c r="P119" s="179">
        <f t="shared" ref="P119" si="250">SUM(P117:P118)</f>
        <v>28861</v>
      </c>
      <c r="Q119" s="179">
        <f t="shared" ref="Q119" si="251">SUM(Q117:Q118)</f>
        <v>24977</v>
      </c>
      <c r="R119" s="179">
        <f t="shared" ref="R119" si="252">SUM(R117:R118)</f>
        <v>21974</v>
      </c>
      <c r="S119" s="179">
        <f t="shared" ref="S119" si="253">SUM(S117:S118)</f>
        <v>27129</v>
      </c>
      <c r="T119" s="179">
        <f t="shared" ref="T119" si="254">SUM(T117:T118)</f>
        <v>29898</v>
      </c>
      <c r="U119" s="179">
        <f t="shared" ref="U119" si="255">SUM(U117:U118)</f>
        <v>30886.892</v>
      </c>
      <c r="V119" s="179">
        <f t="shared" ref="V119" si="256">SUM(V117:V118)</f>
        <v>42123.892</v>
      </c>
      <c r="W119" s="179">
        <f t="shared" ref="W119" si="257">SUM(W117:W118)</f>
        <v>34070.892</v>
      </c>
      <c r="X119" s="179">
        <f t="shared" ref="X119" si="258">SUM(X117:X118)</f>
        <v>26784.892</v>
      </c>
      <c r="Y119" s="179">
        <f t="shared" ref="Y119" si="259">SUM(Y117:Y118)</f>
        <v>30092.892</v>
      </c>
      <c r="Z119" s="179">
        <f t="shared" ref="Z119" si="260">SUM(Z117:Z118)</f>
        <v>30448.892</v>
      </c>
      <c r="AA119" s="179">
        <f t="shared" ref="AA119" si="261">SUM(AA117:AA118)</f>
        <v>28311.892</v>
      </c>
      <c r="AB119" s="35"/>
      <c r="AC119" s="179">
        <f t="shared" ref="AC119" si="262">SUM(AC117:AC118)</f>
        <v>38630</v>
      </c>
      <c r="AD119" s="179">
        <f t="shared" ref="AD119" si="263">SUM(AD117:AD118)</f>
        <v>29180</v>
      </c>
      <c r="AE119" s="179">
        <f t="shared" ref="AE119" si="264">SUM(AE117:AE118)</f>
        <v>28861</v>
      </c>
      <c r="AF119" s="179">
        <f t="shared" ref="AF119" si="265">SUM(AF117:AF118)</f>
        <v>24977</v>
      </c>
      <c r="AG119" s="179">
        <f t="shared" ref="AG119" si="266">SUM(AG117:AG118)</f>
        <v>21974</v>
      </c>
      <c r="AH119" s="179">
        <f t="shared" ref="AH119" si="267">SUM(AH117:AH118)</f>
        <v>27129</v>
      </c>
      <c r="AI119" s="179">
        <f t="shared" ref="AI119" si="268">SUM(AI117:AI118)</f>
        <v>29898</v>
      </c>
      <c r="AJ119" s="179">
        <f t="shared" ref="AJ119" si="269">SUM(AJ117:AJ118)</f>
        <v>30886.892</v>
      </c>
      <c r="AK119" s="179">
        <f t="shared" ref="AK119" si="270">SUM(AK117:AK118)</f>
        <v>42123.892</v>
      </c>
      <c r="AL119" s="179">
        <f t="shared" ref="AL119" si="271">SUM(AL117:AL118)</f>
        <v>34070.892</v>
      </c>
      <c r="AM119" s="193">
        <f t="shared" ref="AM119" si="272">SUM(AM117:AM118)</f>
        <v>26784.892</v>
      </c>
      <c r="AN119" s="12"/>
      <c r="AO119" s="53"/>
    </row>
    <row r="120" spans="2:41">
      <c r="B120" s="187"/>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192"/>
      <c r="AN120" s="12"/>
      <c r="AO120" s="53"/>
    </row>
    <row r="121" spans="2:41">
      <c r="B121" s="188" t="s">
        <v>320</v>
      </c>
      <c r="C121" s="99"/>
      <c r="D121" s="99"/>
      <c r="E121" s="99"/>
      <c r="F121" s="99"/>
      <c r="G121" s="99">
        <f>-(1737+36)</f>
        <v>-1773</v>
      </c>
      <c r="H121" s="99">
        <v>-989</v>
      </c>
      <c r="I121" s="99">
        <v>-1331</v>
      </c>
      <c r="J121" s="99">
        <v>-921.89200000000005</v>
      </c>
      <c r="K121" s="99">
        <v>-149.891999999993</v>
      </c>
      <c r="L121" s="35"/>
      <c r="M121" s="99">
        <v>-1511</v>
      </c>
      <c r="N121" s="99">
        <v>-1082</v>
      </c>
      <c r="O121" s="99">
        <v>-1359</v>
      </c>
      <c r="P121" s="99">
        <v>-1331</v>
      </c>
      <c r="Q121" s="99">
        <v>-1439</v>
      </c>
      <c r="R121" s="99">
        <v>-2442</v>
      </c>
      <c r="S121" s="99">
        <v>-1490</v>
      </c>
      <c r="T121" s="99">
        <v>-921.89199999999983</v>
      </c>
      <c r="U121" s="99">
        <v>-1363.8919999999998</v>
      </c>
      <c r="V121" s="99">
        <v>-1375.8919999999998</v>
      </c>
      <c r="W121" s="99">
        <v>-1219.8919999999998</v>
      </c>
      <c r="X121" s="99">
        <v>-149.89199999999983</v>
      </c>
      <c r="Y121" s="99">
        <v>-149.89199999999983</v>
      </c>
      <c r="Z121" s="99">
        <v>-149.89199999999983</v>
      </c>
      <c r="AA121" s="99">
        <v>-149.89199999999983</v>
      </c>
      <c r="AB121" s="35"/>
      <c r="AC121" s="35">
        <f t="shared" ref="AC121:AL121" si="273">Q121</f>
        <v>-1439</v>
      </c>
      <c r="AD121" s="35">
        <f t="shared" si="273"/>
        <v>-2442</v>
      </c>
      <c r="AE121" s="35">
        <f t="shared" si="273"/>
        <v>-1490</v>
      </c>
      <c r="AF121" s="35">
        <f t="shared" si="273"/>
        <v>-921.89199999999983</v>
      </c>
      <c r="AG121" s="35">
        <f t="shared" si="273"/>
        <v>-1363.8919999999998</v>
      </c>
      <c r="AH121" s="35">
        <f t="shared" si="273"/>
        <v>-1375.8919999999998</v>
      </c>
      <c r="AI121" s="35">
        <f t="shared" si="273"/>
        <v>-1219.8919999999998</v>
      </c>
      <c r="AJ121" s="35">
        <f t="shared" si="273"/>
        <v>-149.89199999999983</v>
      </c>
      <c r="AK121" s="35">
        <f t="shared" si="273"/>
        <v>-149.89199999999983</v>
      </c>
      <c r="AL121" s="35">
        <f t="shared" si="273"/>
        <v>-149.89199999999983</v>
      </c>
      <c r="AM121" s="192">
        <f>AA121</f>
        <v>-149.89199999999983</v>
      </c>
      <c r="AN121" s="12"/>
      <c r="AO121" s="53"/>
    </row>
    <row r="122" spans="2:41">
      <c r="B122" s="187" t="s">
        <v>99</v>
      </c>
      <c r="C122" s="35">
        <f t="shared" ref="C122:K122" si="274">+C114+C103+C95</f>
        <v>-636</v>
      </c>
      <c r="D122" s="35">
        <f t="shared" si="274"/>
        <v>-195</v>
      </c>
      <c r="E122" s="35">
        <f t="shared" si="274"/>
        <v>5624</v>
      </c>
      <c r="F122" s="35">
        <f t="shared" si="274"/>
        <v>24311</v>
      </c>
      <c r="G122" s="35">
        <f t="shared" si="274"/>
        <v>-10435</v>
      </c>
      <c r="H122" s="35">
        <f t="shared" si="274"/>
        <v>-3860</v>
      </c>
      <c r="I122" s="35">
        <f t="shared" si="274"/>
        <v>-10952</v>
      </c>
      <c r="J122" s="35">
        <f t="shared" si="274"/>
        <v>5909.8919999999925</v>
      </c>
      <c r="K122" s="35">
        <f t="shared" si="274"/>
        <v>-794</v>
      </c>
      <c r="L122" s="35"/>
      <c r="M122" s="35">
        <f t="shared" ref="M122:AA122" si="275">+M114+M103+M95</f>
        <v>2701</v>
      </c>
      <c r="N122" s="35">
        <f t="shared" si="275"/>
        <v>-9450</v>
      </c>
      <c r="O122" s="35">
        <f t="shared" si="275"/>
        <v>-319</v>
      </c>
      <c r="P122" s="35">
        <f t="shared" si="275"/>
        <v>-3884</v>
      </c>
      <c r="Q122" s="35">
        <f t="shared" si="275"/>
        <v>-3003</v>
      </c>
      <c r="R122" s="35">
        <f t="shared" si="275"/>
        <v>5155</v>
      </c>
      <c r="S122" s="35">
        <f t="shared" si="275"/>
        <v>2769</v>
      </c>
      <c r="T122" s="35">
        <f t="shared" si="275"/>
        <v>988.89199999999983</v>
      </c>
      <c r="U122" s="35">
        <f t="shared" si="275"/>
        <v>11237</v>
      </c>
      <c r="V122" s="35">
        <f t="shared" si="275"/>
        <v>-8053</v>
      </c>
      <c r="W122" s="35">
        <f t="shared" si="275"/>
        <v>-7286</v>
      </c>
      <c r="X122" s="35">
        <f t="shared" si="275"/>
        <v>3308</v>
      </c>
      <c r="Y122" s="35">
        <f t="shared" si="275"/>
        <v>356</v>
      </c>
      <c r="Z122" s="35">
        <f t="shared" si="275"/>
        <v>-2137</v>
      </c>
      <c r="AA122" s="35">
        <f t="shared" si="275"/>
        <v>8107</v>
      </c>
      <c r="AB122" s="35"/>
      <c r="AC122" s="35">
        <f t="shared" ref="AC122:AM122" si="276">+AC114+AC103+AC95</f>
        <v>-16656</v>
      </c>
      <c r="AD122" s="35">
        <f t="shared" si="276"/>
        <v>-2051</v>
      </c>
      <c r="AE122" s="35">
        <f t="shared" si="276"/>
        <v>1037</v>
      </c>
      <c r="AF122" s="35">
        <f t="shared" si="276"/>
        <v>5909.8919999999925</v>
      </c>
      <c r="AG122" s="35">
        <f t="shared" si="276"/>
        <v>20149.891999999993</v>
      </c>
      <c r="AH122" s="35">
        <f t="shared" si="276"/>
        <v>6941.8919999999925</v>
      </c>
      <c r="AI122" s="35">
        <f t="shared" si="276"/>
        <v>-3113.1080000000075</v>
      </c>
      <c r="AJ122" s="35">
        <f t="shared" si="276"/>
        <v>-794</v>
      </c>
      <c r="AK122" s="35">
        <f t="shared" si="276"/>
        <v>-11675</v>
      </c>
      <c r="AL122" s="35">
        <f t="shared" si="276"/>
        <v>-5759</v>
      </c>
      <c r="AM122" s="192">
        <f t="shared" si="276"/>
        <v>9634</v>
      </c>
      <c r="AN122" s="12"/>
      <c r="AO122" s="53"/>
    </row>
    <row r="123" spans="2:41">
      <c r="B123" s="189" t="s">
        <v>319</v>
      </c>
      <c r="C123" s="178">
        <f t="shared" ref="C123:F123" si="277">SUM(C119:C122)</f>
        <v>48208</v>
      </c>
      <c r="D123" s="178">
        <f t="shared" si="277"/>
        <v>48649</v>
      </c>
      <c r="E123" s="178">
        <f t="shared" si="277"/>
        <v>54468</v>
      </c>
      <c r="F123" s="178">
        <f t="shared" si="277"/>
        <v>74535</v>
      </c>
      <c r="G123" s="178">
        <f>SUM(G119:G122)</f>
        <v>38016</v>
      </c>
      <c r="H123" s="178">
        <f t="shared" ref="H123:K123" si="278">SUM(H119:H122)</f>
        <v>34940</v>
      </c>
      <c r="I123" s="178">
        <f t="shared" si="278"/>
        <v>23646</v>
      </c>
      <c r="J123" s="178">
        <f t="shared" si="278"/>
        <v>29964.999999999993</v>
      </c>
      <c r="K123" s="178">
        <f t="shared" si="278"/>
        <v>29943</v>
      </c>
      <c r="L123" s="35"/>
      <c r="M123" s="178">
        <f t="shared" ref="M123" si="279">SUM(M119:M122)</f>
        <v>37119</v>
      </c>
      <c r="N123" s="178">
        <f t="shared" ref="N123" si="280">SUM(N119:N122)</f>
        <v>28098</v>
      </c>
      <c r="O123" s="178">
        <f t="shared" ref="O123" si="281">SUM(O119:O122)</f>
        <v>27502</v>
      </c>
      <c r="P123" s="178">
        <f t="shared" ref="P123" si="282">SUM(P119:P122)</f>
        <v>23646</v>
      </c>
      <c r="Q123" s="178">
        <f t="shared" ref="Q123" si="283">SUM(Q119:Q122)</f>
        <v>20535</v>
      </c>
      <c r="R123" s="178">
        <f t="shared" ref="R123" si="284">SUM(R119:R122)</f>
        <v>24687</v>
      </c>
      <c r="S123" s="178">
        <f t="shared" ref="S123" si="285">SUM(S119:S122)</f>
        <v>28408</v>
      </c>
      <c r="T123" s="178">
        <f t="shared" ref="T123" si="286">SUM(T119:T122)</f>
        <v>29965</v>
      </c>
      <c r="U123" s="178">
        <f t="shared" ref="U123" si="287">SUM(U119:U122)</f>
        <v>40760</v>
      </c>
      <c r="V123" s="178">
        <f t="shared" ref="V123" si="288">SUM(V119:V122)</f>
        <v>32695</v>
      </c>
      <c r="W123" s="178">
        <f t="shared" ref="W123" si="289">SUM(W119:W122)</f>
        <v>25565</v>
      </c>
      <c r="X123" s="178">
        <f t="shared" ref="X123" si="290">SUM(X119:X122)</f>
        <v>29943</v>
      </c>
      <c r="Y123" s="178">
        <f t="shared" ref="Y123" si="291">SUM(Y119:Y122)</f>
        <v>30299</v>
      </c>
      <c r="Z123" s="178">
        <f t="shared" ref="Z123" si="292">SUM(Z119:Z122)</f>
        <v>28162</v>
      </c>
      <c r="AA123" s="178">
        <f t="shared" ref="AA123" si="293">SUM(AA119:AA122)</f>
        <v>36269</v>
      </c>
      <c r="AB123" s="35"/>
      <c r="AC123" s="178">
        <f t="shared" ref="AC123" si="294">SUM(AC119:AC122)</f>
        <v>20535</v>
      </c>
      <c r="AD123" s="178">
        <f t="shared" ref="AD123" si="295">SUM(AD119:AD122)</f>
        <v>24687</v>
      </c>
      <c r="AE123" s="178">
        <f t="shared" ref="AE123" si="296">SUM(AE119:AE122)</f>
        <v>28408</v>
      </c>
      <c r="AF123" s="178">
        <f t="shared" ref="AF123" si="297">SUM(AF119:AF122)</f>
        <v>29964.999999999993</v>
      </c>
      <c r="AG123" s="178">
        <f t="shared" ref="AG123" si="298">SUM(AG119:AG122)</f>
        <v>40759.999999999993</v>
      </c>
      <c r="AH123" s="178">
        <f t="shared" ref="AH123" si="299">SUM(AH119:AH122)</f>
        <v>32694.999999999993</v>
      </c>
      <c r="AI123" s="178">
        <f t="shared" ref="AI123" si="300">SUM(AI119:AI122)</f>
        <v>25564.999999999993</v>
      </c>
      <c r="AJ123" s="178">
        <f t="shared" ref="AJ123" si="301">SUM(AJ119:AJ122)</f>
        <v>29943</v>
      </c>
      <c r="AK123" s="178">
        <f t="shared" ref="AK123" si="302">SUM(AK119:AK122)</f>
        <v>30299</v>
      </c>
      <c r="AL123" s="178">
        <f t="shared" ref="AL123" si="303">SUM(AL119:AL122)</f>
        <v>28162</v>
      </c>
      <c r="AM123" s="194">
        <f t="shared" ref="AM123" si="304">SUM(AM119:AM122)</f>
        <v>36269</v>
      </c>
      <c r="AN123" s="12"/>
      <c r="AO123" s="53"/>
    </row>
    <row r="124" spans="2:41" ht="5.0999999999999996" customHeight="1">
      <c r="B124" s="190"/>
      <c r="C124" s="75"/>
      <c r="D124" s="75"/>
      <c r="E124" s="75"/>
      <c r="F124" s="75"/>
      <c r="G124" s="75"/>
      <c r="H124" s="75"/>
      <c r="I124" s="75"/>
      <c r="J124" s="75"/>
      <c r="K124" s="75"/>
      <c r="L124" s="35"/>
      <c r="M124" s="75"/>
      <c r="N124" s="75"/>
      <c r="O124" s="75"/>
      <c r="P124" s="75"/>
      <c r="Q124" s="75"/>
      <c r="R124" s="75"/>
      <c r="S124" s="75"/>
      <c r="T124" s="75"/>
      <c r="U124" s="76"/>
      <c r="V124" s="75"/>
      <c r="W124" s="75"/>
      <c r="X124" s="75"/>
      <c r="Y124" s="75"/>
      <c r="Z124" s="75"/>
      <c r="AA124" s="75"/>
      <c r="AC124" s="12"/>
      <c r="AD124" s="12"/>
      <c r="AE124" s="12"/>
      <c r="AF124" s="12"/>
      <c r="AG124" s="12"/>
      <c r="AH124" s="12"/>
      <c r="AI124" s="12"/>
      <c r="AJ124" s="12"/>
      <c r="AK124" s="12"/>
      <c r="AL124" s="12"/>
      <c r="AM124" s="195"/>
      <c r="AN124" s="12"/>
      <c r="AO124" s="53"/>
    </row>
    <row r="125" spans="2:41">
      <c r="B125" s="191" t="s">
        <v>98</v>
      </c>
      <c r="C125" s="181">
        <f t="shared" ref="C125:K125" si="305">C123-C43</f>
        <v>27724</v>
      </c>
      <c r="D125" s="181">
        <f t="shared" si="305"/>
        <v>28360</v>
      </c>
      <c r="E125" s="181">
        <f t="shared" si="305"/>
        <v>28555</v>
      </c>
      <c r="F125" s="181">
        <f t="shared" si="305"/>
        <v>25691</v>
      </c>
      <c r="G125" s="181">
        <f t="shared" si="305"/>
        <v>0</v>
      </c>
      <c r="H125" s="181">
        <f t="shared" si="305"/>
        <v>0</v>
      </c>
      <c r="I125" s="181">
        <f t="shared" si="305"/>
        <v>0</v>
      </c>
      <c r="J125" s="182">
        <f t="shared" si="305"/>
        <v>0</v>
      </c>
      <c r="K125" s="183">
        <f t="shared" si="305"/>
        <v>0</v>
      </c>
      <c r="L125" s="184"/>
      <c r="M125" s="185">
        <f t="shared" ref="M125:AA125" si="306">M123-M43</f>
        <v>0</v>
      </c>
      <c r="N125" s="185">
        <f t="shared" si="306"/>
        <v>0</v>
      </c>
      <c r="O125" s="185">
        <f t="shared" si="306"/>
        <v>0</v>
      </c>
      <c r="P125" s="185">
        <f t="shared" si="306"/>
        <v>0</v>
      </c>
      <c r="Q125" s="185">
        <f t="shared" si="306"/>
        <v>0</v>
      </c>
      <c r="R125" s="185">
        <f t="shared" si="306"/>
        <v>0</v>
      </c>
      <c r="S125" s="185">
        <f t="shared" si="306"/>
        <v>0</v>
      </c>
      <c r="T125" s="185">
        <f t="shared" si="306"/>
        <v>0</v>
      </c>
      <c r="U125" s="185">
        <f t="shared" si="306"/>
        <v>0</v>
      </c>
      <c r="V125" s="185">
        <f t="shared" si="306"/>
        <v>0</v>
      </c>
      <c r="W125" s="185">
        <f t="shared" si="306"/>
        <v>0</v>
      </c>
      <c r="X125" s="185">
        <f t="shared" si="306"/>
        <v>0</v>
      </c>
      <c r="Y125" s="185">
        <f t="shared" si="306"/>
        <v>0</v>
      </c>
      <c r="Z125" s="185">
        <f t="shared" si="306"/>
        <v>0</v>
      </c>
      <c r="AA125" s="185">
        <f t="shared" si="306"/>
        <v>0</v>
      </c>
      <c r="AB125" s="186"/>
      <c r="AC125" s="185">
        <f t="shared" ref="AC125:AM125" si="307">AC123-AC43</f>
        <v>0</v>
      </c>
      <c r="AD125" s="185">
        <f t="shared" si="307"/>
        <v>0</v>
      </c>
      <c r="AE125" s="185">
        <f t="shared" si="307"/>
        <v>0</v>
      </c>
      <c r="AF125" s="185">
        <f t="shared" si="307"/>
        <v>0</v>
      </c>
      <c r="AG125" s="185">
        <f t="shared" si="307"/>
        <v>0</v>
      </c>
      <c r="AH125" s="185">
        <f t="shared" si="307"/>
        <v>0</v>
      </c>
      <c r="AI125" s="185">
        <f t="shared" si="307"/>
        <v>0</v>
      </c>
      <c r="AJ125" s="185">
        <f t="shared" si="307"/>
        <v>0</v>
      </c>
      <c r="AK125" s="185">
        <f t="shared" si="307"/>
        <v>0</v>
      </c>
      <c r="AL125" s="185">
        <f t="shared" si="307"/>
        <v>0</v>
      </c>
      <c r="AM125" s="196">
        <f t="shared" si="307"/>
        <v>0</v>
      </c>
      <c r="AN125" s="12"/>
      <c r="AO125" s="53"/>
    </row>
    <row r="126" spans="2:41" ht="5.0999999999999996" customHeight="1">
      <c r="B126" s="8"/>
      <c r="C126" s="75"/>
      <c r="D126" s="75"/>
      <c r="E126" s="75"/>
      <c r="F126" s="75"/>
      <c r="G126" s="75"/>
      <c r="H126" s="75"/>
      <c r="I126" s="75"/>
      <c r="J126" s="75"/>
      <c r="K126" s="75"/>
      <c r="L126" s="35"/>
      <c r="M126" s="75"/>
      <c r="N126" s="75"/>
      <c r="O126" s="75"/>
      <c r="P126" s="75"/>
      <c r="Q126" s="75"/>
      <c r="R126" s="75"/>
      <c r="S126" s="75"/>
      <c r="T126" s="75"/>
      <c r="U126" s="76"/>
      <c r="V126" s="75"/>
      <c r="W126" s="75"/>
      <c r="X126" s="75"/>
      <c r="Y126" s="75"/>
      <c r="Z126" s="75"/>
      <c r="AA126" s="75"/>
      <c r="AC126" s="12"/>
      <c r="AD126" s="12"/>
      <c r="AE126" s="12"/>
      <c r="AF126" s="12"/>
      <c r="AG126" s="12"/>
      <c r="AH126" s="12"/>
      <c r="AI126" s="12"/>
      <c r="AJ126" s="12"/>
      <c r="AK126" s="12"/>
      <c r="AL126" s="12"/>
      <c r="AM126" s="12"/>
      <c r="AN126" s="12"/>
      <c r="AO126" s="53"/>
    </row>
    <row r="127" spans="2:41" ht="12.75" customHeight="1">
      <c r="B127" s="86" t="s">
        <v>101</v>
      </c>
      <c r="C127" s="70"/>
      <c r="D127" s="70"/>
      <c r="E127" s="70"/>
      <c r="F127" s="70"/>
      <c r="G127" s="70"/>
      <c r="H127" s="70"/>
      <c r="I127" s="70"/>
      <c r="J127" s="70"/>
      <c r="K127" s="70"/>
      <c r="L127" s="12"/>
      <c r="M127" s="70"/>
      <c r="N127" s="70"/>
      <c r="O127" s="70"/>
      <c r="P127" s="99"/>
      <c r="Q127" s="70"/>
      <c r="R127" s="70"/>
      <c r="S127" s="70"/>
      <c r="T127" s="70"/>
      <c r="U127" s="77"/>
      <c r="V127" s="70"/>
      <c r="W127" s="70"/>
      <c r="X127" s="70"/>
      <c r="Y127" s="70"/>
      <c r="Z127" s="70"/>
      <c r="AA127" s="70"/>
      <c r="AC127" s="70"/>
      <c r="AD127" s="70"/>
      <c r="AE127" s="70"/>
      <c r="AF127" s="70"/>
      <c r="AG127" s="70"/>
      <c r="AH127" s="70"/>
      <c r="AI127" s="70"/>
      <c r="AJ127" s="70"/>
      <c r="AK127" s="70"/>
      <c r="AL127" s="70"/>
      <c r="AM127" s="70"/>
      <c r="AN127" s="78"/>
      <c r="AO127" s="53"/>
    </row>
    <row r="128" spans="2:41" ht="12.75" customHeight="1">
      <c r="B128" s="8" t="s">
        <v>316</v>
      </c>
      <c r="C128" s="35"/>
      <c r="D128" s="99">
        <v>11591</v>
      </c>
      <c r="E128" s="99">
        <v>10417</v>
      </c>
      <c r="F128" s="99">
        <v>15263</v>
      </c>
      <c r="G128" s="99">
        <v>9501</v>
      </c>
      <c r="H128" s="99">
        <v>25385</v>
      </c>
      <c r="I128" s="99">
        <v>19573</v>
      </c>
      <c r="J128" s="99">
        <v>18679</v>
      </c>
      <c r="K128" s="99">
        <v>26102</v>
      </c>
      <c r="L128" s="35"/>
      <c r="M128" s="99">
        <v>5235</v>
      </c>
      <c r="N128" s="35">
        <f>9301-M128</f>
        <v>4066</v>
      </c>
      <c r="O128" s="35">
        <f>12251-N128-M128</f>
        <v>2950</v>
      </c>
      <c r="P128" s="35">
        <f t="shared" ref="P128:P129" si="308">SUM(I128-SUM(M128:O128))</f>
        <v>7322</v>
      </c>
      <c r="Q128" s="99">
        <v>828</v>
      </c>
      <c r="R128" s="35">
        <f>4894-Q128</f>
        <v>4066</v>
      </c>
      <c r="S128" s="35">
        <f>7020-R128-Q128</f>
        <v>2126</v>
      </c>
      <c r="T128" s="35">
        <f t="shared" ref="T128:T129" si="309">SUM(J128-SUM(Q128:S128))</f>
        <v>11659</v>
      </c>
      <c r="U128" s="99">
        <v>7255</v>
      </c>
      <c r="V128" s="35">
        <f>14531-U128</f>
        <v>7276</v>
      </c>
      <c r="W128" s="35">
        <f>19230-V128-U128</f>
        <v>4699</v>
      </c>
      <c r="X128" s="35">
        <f t="shared" ref="X128:X129" si="310">SUM(K128-SUM(U128:W128))</f>
        <v>6872</v>
      </c>
      <c r="Y128" s="99">
        <v>18651</v>
      </c>
      <c r="Z128" s="35">
        <f>31683-Y128</f>
        <v>13032</v>
      </c>
      <c r="AA128" s="35">
        <f>37332-Z128-Y128</f>
        <v>5649</v>
      </c>
      <c r="AB128" s="35"/>
      <c r="AC128" s="35">
        <f t="shared" ref="AC128:AM129" si="311">SUM(N128:Q128)</f>
        <v>15166</v>
      </c>
      <c r="AD128" s="35">
        <f t="shared" si="311"/>
        <v>15166</v>
      </c>
      <c r="AE128" s="35">
        <f t="shared" si="311"/>
        <v>14342</v>
      </c>
      <c r="AF128" s="35">
        <f t="shared" si="311"/>
        <v>18679</v>
      </c>
      <c r="AG128" s="35">
        <f t="shared" si="311"/>
        <v>25106</v>
      </c>
      <c r="AH128" s="35">
        <f t="shared" si="311"/>
        <v>28316</v>
      </c>
      <c r="AI128" s="35">
        <f t="shared" si="311"/>
        <v>30889</v>
      </c>
      <c r="AJ128" s="35">
        <f t="shared" si="311"/>
        <v>26102</v>
      </c>
      <c r="AK128" s="35">
        <f t="shared" si="311"/>
        <v>37498</v>
      </c>
      <c r="AL128" s="35">
        <f t="shared" si="311"/>
        <v>43254</v>
      </c>
      <c r="AM128" s="35">
        <f t="shared" si="311"/>
        <v>44204</v>
      </c>
      <c r="AN128" s="12"/>
      <c r="AO128" s="53"/>
    </row>
    <row r="129" spans="2:41" ht="12.75" customHeight="1">
      <c r="B129" s="5" t="s">
        <v>317</v>
      </c>
      <c r="C129" s="35"/>
      <c r="D129" s="99">
        <v>2092</v>
      </c>
      <c r="E129" s="99">
        <v>3022</v>
      </c>
      <c r="F129" s="99">
        <v>3423</v>
      </c>
      <c r="G129" s="99">
        <v>3002</v>
      </c>
      <c r="H129" s="99">
        <v>2687</v>
      </c>
      <c r="I129" s="99">
        <v>2865</v>
      </c>
      <c r="J129" s="99">
        <v>3803</v>
      </c>
      <c r="K129" s="99">
        <v>0</v>
      </c>
      <c r="L129" s="35"/>
      <c r="M129" s="99">
        <v>531</v>
      </c>
      <c r="N129" s="35">
        <f>1406-M129</f>
        <v>875</v>
      </c>
      <c r="O129" s="35">
        <f>1910-N129-M129</f>
        <v>504</v>
      </c>
      <c r="P129" s="35">
        <f t="shared" si="308"/>
        <v>955</v>
      </c>
      <c r="Q129" s="99">
        <v>703</v>
      </c>
      <c r="R129" s="35">
        <f>1873-Q129</f>
        <v>1170</v>
      </c>
      <c r="S129" s="35">
        <f>2590-R129-Q129</f>
        <v>717</v>
      </c>
      <c r="T129" s="35">
        <f t="shared" si="309"/>
        <v>1213</v>
      </c>
      <c r="U129" s="99">
        <v>0</v>
      </c>
      <c r="V129" s="35">
        <v>0</v>
      </c>
      <c r="W129" s="35">
        <v>0</v>
      </c>
      <c r="X129" s="35">
        <f t="shared" si="310"/>
        <v>0</v>
      </c>
      <c r="Y129" s="99">
        <v>0</v>
      </c>
      <c r="Z129" s="35">
        <v>0</v>
      </c>
      <c r="AA129" s="35">
        <v>0</v>
      </c>
      <c r="AB129" s="35"/>
      <c r="AC129" s="35">
        <f t="shared" si="311"/>
        <v>3037</v>
      </c>
      <c r="AD129" s="35">
        <f t="shared" si="311"/>
        <v>3332</v>
      </c>
      <c r="AE129" s="35">
        <f t="shared" si="311"/>
        <v>3545</v>
      </c>
      <c r="AF129" s="35">
        <f t="shared" si="311"/>
        <v>3803</v>
      </c>
      <c r="AG129" s="35">
        <f t="shared" si="311"/>
        <v>3100</v>
      </c>
      <c r="AH129" s="35">
        <f t="shared" si="311"/>
        <v>1930</v>
      </c>
      <c r="AI129" s="35">
        <f t="shared" si="311"/>
        <v>1213</v>
      </c>
      <c r="AJ129" s="35">
        <f t="shared" si="311"/>
        <v>0</v>
      </c>
      <c r="AK129" s="35">
        <f t="shared" si="311"/>
        <v>0</v>
      </c>
      <c r="AL129" s="35">
        <f t="shared" si="311"/>
        <v>0</v>
      </c>
      <c r="AM129" s="35">
        <f t="shared" si="311"/>
        <v>0</v>
      </c>
      <c r="AO129" s="53"/>
    </row>
    <row r="130" spans="2:41" ht="5.0999999999999996" customHeight="1" thickBot="1">
      <c r="B130" s="87"/>
      <c r="C130" s="88"/>
      <c r="D130" s="88"/>
      <c r="E130" s="88"/>
      <c r="F130" s="88"/>
      <c r="G130" s="88"/>
      <c r="H130" s="88"/>
      <c r="I130" s="88"/>
      <c r="J130" s="88"/>
      <c r="K130" s="88"/>
      <c r="L130" s="87"/>
      <c r="M130" s="87"/>
      <c r="N130" s="87"/>
      <c r="O130" s="87"/>
      <c r="P130" s="87"/>
      <c r="Q130" s="87"/>
      <c r="R130" s="87"/>
      <c r="S130" s="87"/>
      <c r="T130" s="87"/>
      <c r="U130" s="87"/>
      <c r="V130" s="87"/>
      <c r="W130" s="87"/>
      <c r="X130" s="87"/>
      <c r="Y130" s="87"/>
      <c r="Z130" s="87"/>
      <c r="AA130" s="87"/>
      <c r="AB130" s="87"/>
      <c r="AC130" s="87"/>
      <c r="AD130" s="87"/>
      <c r="AE130" s="87"/>
      <c r="AF130" s="87"/>
      <c r="AG130" s="87"/>
      <c r="AH130" s="87"/>
      <c r="AI130" s="87"/>
      <c r="AJ130" s="87"/>
      <c r="AK130" s="87"/>
      <c r="AL130" s="87"/>
      <c r="AM130" s="87"/>
      <c r="AO130" s="53"/>
    </row>
    <row r="131" spans="2:41" ht="12.75" customHeight="1">
      <c r="B131" s="353" t="s">
        <v>104</v>
      </c>
      <c r="C131" s="353"/>
      <c r="D131" s="353"/>
      <c r="E131" s="353"/>
      <c r="F131" s="353"/>
      <c r="G131" s="353"/>
      <c r="H131" s="353"/>
      <c r="I131" s="353"/>
      <c r="J131" s="353"/>
      <c r="K131" s="353"/>
      <c r="L131" s="353"/>
      <c r="M131" s="353"/>
      <c r="N131" s="353"/>
      <c r="O131" s="353"/>
      <c r="P131" s="353"/>
      <c r="Q131" s="353"/>
      <c r="R131" s="353"/>
      <c r="S131" s="353"/>
      <c r="T131" s="353"/>
      <c r="U131" s="353"/>
      <c r="V131" s="353"/>
      <c r="W131" s="353"/>
      <c r="X131" s="353"/>
      <c r="Y131" s="353"/>
      <c r="Z131" s="353"/>
      <c r="AA131" s="353"/>
      <c r="AB131" s="353"/>
      <c r="AC131" s="353"/>
      <c r="AD131" s="353"/>
      <c r="AE131" s="353"/>
      <c r="AF131" s="353"/>
      <c r="AG131" s="353"/>
      <c r="AH131" s="353"/>
      <c r="AI131" s="353"/>
      <c r="AJ131" s="353"/>
      <c r="AK131" s="353"/>
      <c r="AL131" s="353"/>
      <c r="AM131" s="353"/>
      <c r="AO131" s="53"/>
    </row>
    <row r="132" spans="2:41" ht="12.75" customHeight="1">
      <c r="B132" s="61"/>
      <c r="C132" s="79"/>
      <c r="D132" s="79"/>
      <c r="E132" s="79"/>
      <c r="F132" s="79"/>
      <c r="G132" s="79"/>
      <c r="H132" s="79"/>
      <c r="I132" s="79"/>
      <c r="J132" s="79"/>
      <c r="K132" s="79"/>
    </row>
    <row r="133" spans="2:41" ht="12.75" customHeight="1">
      <c r="C133" s="64"/>
      <c r="D133" s="64"/>
      <c r="E133" s="64"/>
      <c r="F133" s="64"/>
      <c r="G133" s="64"/>
      <c r="H133" s="64"/>
      <c r="I133" s="64"/>
      <c r="J133" s="64"/>
      <c r="K133" s="64"/>
    </row>
    <row r="134" spans="2:41" ht="12.75" customHeight="1">
      <c r="C134" s="64"/>
      <c r="D134" s="64"/>
      <c r="E134" s="64"/>
      <c r="F134" s="64"/>
      <c r="G134" s="64"/>
      <c r="H134" s="64"/>
      <c r="I134" s="64"/>
      <c r="J134" s="64"/>
      <c r="K134" s="64"/>
    </row>
    <row r="135" spans="2:41" ht="12.75" customHeight="1">
      <c r="C135" s="64"/>
      <c r="D135" s="64"/>
      <c r="E135" s="64"/>
      <c r="F135" s="64"/>
      <c r="G135" s="64"/>
      <c r="H135" s="64"/>
      <c r="I135" s="64"/>
      <c r="J135" s="64"/>
      <c r="K135" s="64"/>
    </row>
    <row r="136" spans="2:41" ht="12.75" customHeight="1">
      <c r="C136" s="64"/>
      <c r="D136" s="64"/>
      <c r="E136" s="64"/>
      <c r="F136" s="64"/>
      <c r="G136" s="64"/>
      <c r="H136" s="64"/>
      <c r="I136" s="64"/>
      <c r="J136" s="64"/>
      <c r="K136" s="64"/>
    </row>
    <row r="137" spans="2:41" ht="12.75" customHeight="1">
      <c r="C137" s="64"/>
      <c r="D137" s="64"/>
      <c r="E137" s="64"/>
      <c r="F137" s="64"/>
      <c r="G137" s="64"/>
      <c r="H137" s="64"/>
      <c r="I137" s="64"/>
      <c r="J137" s="64"/>
      <c r="K137" s="64"/>
      <c r="M137" s="180"/>
    </row>
    <row r="138" spans="2:41" ht="12.75" customHeight="1">
      <c r="C138" s="64"/>
      <c r="D138" s="64"/>
      <c r="E138" s="64"/>
      <c r="F138" s="64"/>
      <c r="G138" s="64"/>
      <c r="H138" s="64"/>
      <c r="I138" s="64"/>
      <c r="J138" s="64"/>
      <c r="K138" s="64"/>
    </row>
    <row r="139" spans="2:41" ht="12.75" customHeight="1">
      <c r="C139" s="64"/>
      <c r="D139" s="64"/>
      <c r="E139" s="64"/>
      <c r="F139" s="64"/>
      <c r="G139" s="64"/>
      <c r="H139" s="64"/>
      <c r="I139" s="64"/>
      <c r="J139" s="64"/>
      <c r="K139" s="64"/>
      <c r="M139" s="180"/>
    </row>
    <row r="140" spans="2:41">
      <c r="M140" s="180"/>
    </row>
    <row r="141" spans="2:41">
      <c r="M141" s="180"/>
    </row>
    <row r="143" spans="2:41">
      <c r="M143" s="180"/>
    </row>
    <row r="144" spans="2:41">
      <c r="M144" s="180"/>
    </row>
  </sheetData>
  <mergeCells count="4">
    <mergeCell ref="B131:AM131"/>
    <mergeCell ref="AO10:AO12"/>
    <mergeCell ref="AO39:AO41"/>
    <mergeCell ref="AO75:AO77"/>
  </mergeCells>
  <dataValidations count="1">
    <dataValidation type="list" allowBlank="1" showInputMessage="1" showErrorMessage="1" sqref="B4" xr:uid="{95A5AB56-0215-4703-953B-CB353CAB6883}">
      <formula1>"$ bns except per share, $ mm except per share,$ in thousands except per share"</formula1>
    </dataValidation>
  </dataValidations>
  <pageMargins left="0.7" right="0.7" top="0.75" bottom="0.75" header="0.3" footer="0.3"/>
  <ignoredErrors>
    <ignoredError sqref="AM18:AM20 AM30:AM31 L48" formulaRange="1"/>
    <ignoredError sqref="AO82:AO111" evalError="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177D2-8829-42BE-A7B1-460B1A987ED3}">
  <sheetPr>
    <tabColor rgb="FFC00000"/>
  </sheetPr>
  <dimension ref="A2:AO19"/>
  <sheetViews>
    <sheetView showGridLines="0" zoomScale="115" zoomScaleNormal="115" workbookViewId="0">
      <selection activeCell="G16" sqref="G16"/>
    </sheetView>
  </sheetViews>
  <sheetFormatPr defaultRowHeight="12" outlineLevelCol="1"/>
  <cols>
    <col min="1" max="1" width="1.5" style="8" customWidth="1"/>
    <col min="2" max="2" width="46.5" style="8" bestFit="1" customWidth="1"/>
    <col min="3" max="6" width="7.875" style="8" bestFit="1" customWidth="1"/>
    <col min="7" max="8" width="7.875" style="8" bestFit="1" customWidth="1" outlineLevel="1"/>
    <col min="9" max="11" width="7.875" style="8" bestFit="1" customWidth="1"/>
    <col min="12" max="12" width="1.5" style="8" customWidth="1"/>
    <col min="13" max="15" width="7.875" style="8" customWidth="1" outlineLevel="1"/>
    <col min="16" max="16" width="8.75" style="8" customWidth="1" outlineLevel="1"/>
    <col min="17" max="19" width="8" style="8" customWidth="1" outlineLevel="1"/>
    <col min="20" max="20" width="8.75" style="8" customWidth="1" outlineLevel="1"/>
    <col min="21" max="21" width="8.5" style="8" customWidth="1" outlineLevel="1"/>
    <col min="22" max="22" width="8.25" style="8" bestFit="1" customWidth="1"/>
    <col min="23" max="23" width="8.5" style="8" bestFit="1" customWidth="1"/>
    <col min="24" max="27" width="9.125" style="8" bestFit="1" customWidth="1"/>
    <col min="28" max="28" width="1.5" style="8" customWidth="1"/>
    <col min="29" max="34" width="8.75" style="8" hidden="1" customWidth="1" outlineLevel="1"/>
    <col min="35" max="35" width="8.75" style="8" bestFit="1" customWidth="1" collapsed="1"/>
    <col min="36" max="38" width="8.75" style="8" hidden="1" customWidth="1" outlineLevel="1"/>
    <col min="39" max="39" width="8.75" style="8" bestFit="1" customWidth="1" collapsed="1"/>
    <col min="40" max="40" width="1.5" style="8" customWidth="1"/>
    <col min="41" max="41" width="9.875" style="8" bestFit="1" customWidth="1"/>
    <col min="42" max="16384" width="9" style="8"/>
  </cols>
  <sheetData>
    <row r="2" spans="1:41" s="5" customFormat="1" ht="12.75" customHeight="1">
      <c r="B2" s="1" t="s">
        <v>283</v>
      </c>
      <c r="C2" s="2" t="s">
        <v>0</v>
      </c>
      <c r="D2" s="2"/>
      <c r="E2" s="2"/>
      <c r="F2" s="2"/>
      <c r="G2" s="2"/>
      <c r="H2" s="2"/>
      <c r="I2" s="2"/>
      <c r="J2" s="2"/>
      <c r="K2" s="2"/>
      <c r="L2" s="3"/>
      <c r="M2" s="2" t="s">
        <v>1</v>
      </c>
      <c r="N2" s="2"/>
      <c r="O2" s="2"/>
      <c r="P2" s="2"/>
      <c r="Q2" s="2"/>
      <c r="R2" s="2"/>
      <c r="S2" s="2"/>
      <c r="T2" s="2"/>
      <c r="U2" s="2" t="s">
        <v>1</v>
      </c>
      <c r="V2" s="2" t="s">
        <v>1</v>
      </c>
      <c r="W2" s="2"/>
      <c r="X2" s="2"/>
      <c r="Y2" s="2"/>
      <c r="Z2" s="2"/>
      <c r="AA2" s="2"/>
      <c r="AB2" s="3"/>
      <c r="AC2" s="2" t="s">
        <v>10</v>
      </c>
      <c r="AD2" s="2"/>
      <c r="AE2" s="2"/>
      <c r="AF2" s="2"/>
      <c r="AG2" s="2" t="s">
        <v>10</v>
      </c>
      <c r="AH2" s="2"/>
      <c r="AI2" s="2"/>
      <c r="AJ2" s="2"/>
      <c r="AK2" s="2"/>
      <c r="AL2" s="2"/>
      <c r="AM2" s="2"/>
      <c r="AN2" s="3"/>
      <c r="AO2" s="352" t="s">
        <v>38</v>
      </c>
    </row>
    <row r="3" spans="1:41" s="5" customFormat="1" ht="12.75" customHeight="1">
      <c r="B3" s="6" t="s">
        <v>111</v>
      </c>
      <c r="C3" s="7">
        <f>'Historical Financials'!C11</f>
        <v>2016</v>
      </c>
      <c r="D3" s="7">
        <f>'Historical Financials'!D11</f>
        <v>2017</v>
      </c>
      <c r="E3" s="7">
        <f>'Historical Financials'!E11</f>
        <v>2018</v>
      </c>
      <c r="F3" s="7">
        <f>'Historical Financials'!F11</f>
        <v>2019</v>
      </c>
      <c r="G3" s="7">
        <f>'Historical Financials'!G11</f>
        <v>2020</v>
      </c>
      <c r="H3" s="7">
        <f>'Historical Financials'!H11</f>
        <v>2021</v>
      </c>
      <c r="I3" s="7">
        <f>'Historical Financials'!I11</f>
        <v>2022</v>
      </c>
      <c r="J3" s="7">
        <f>'Historical Financials'!J11</f>
        <v>2023</v>
      </c>
      <c r="K3" s="7">
        <f>'Historical Financials'!K11</f>
        <v>2024</v>
      </c>
      <c r="L3" s="3"/>
      <c r="M3" s="7" t="s">
        <v>40</v>
      </c>
      <c r="N3" s="7" t="s">
        <v>41</v>
      </c>
      <c r="O3" s="7" t="s">
        <v>42</v>
      </c>
      <c r="P3" s="7" t="s">
        <v>43</v>
      </c>
      <c r="Q3" s="7" t="s">
        <v>6</v>
      </c>
      <c r="R3" s="7" t="s">
        <v>7</v>
      </c>
      <c r="S3" s="7" t="s">
        <v>8</v>
      </c>
      <c r="T3" s="7" t="s">
        <v>9</v>
      </c>
      <c r="U3" s="7" t="s">
        <v>2</v>
      </c>
      <c r="V3" s="7" t="s">
        <v>3</v>
      </c>
      <c r="W3" s="7" t="s">
        <v>4</v>
      </c>
      <c r="X3" s="7" t="s">
        <v>5</v>
      </c>
      <c r="Y3" s="7" t="s">
        <v>44</v>
      </c>
      <c r="Z3" s="7" t="s">
        <v>45</v>
      </c>
      <c r="AA3" s="7" t="s">
        <v>105</v>
      </c>
      <c r="AB3" s="3"/>
      <c r="AC3" s="4" t="s">
        <v>6</v>
      </c>
      <c r="AD3" s="4" t="s">
        <v>7</v>
      </c>
      <c r="AE3" s="4" t="s">
        <v>8</v>
      </c>
      <c r="AF3" s="4" t="s">
        <v>9</v>
      </c>
      <c r="AG3" s="4" t="s">
        <v>2</v>
      </c>
      <c r="AH3" s="4" t="s">
        <v>3</v>
      </c>
      <c r="AI3" s="4" t="s">
        <v>4</v>
      </c>
      <c r="AJ3" s="4" t="s">
        <v>5</v>
      </c>
      <c r="AK3" s="4" t="s">
        <v>44</v>
      </c>
      <c r="AL3" s="4" t="s">
        <v>45</v>
      </c>
      <c r="AM3" s="4" t="s">
        <v>105</v>
      </c>
      <c r="AN3" s="3"/>
      <c r="AO3" s="352"/>
    </row>
    <row r="4" spans="1:41" s="5" customFormat="1" ht="12.75" customHeight="1">
      <c r="B4" s="6" t="s">
        <v>504</v>
      </c>
      <c r="C4" s="3">
        <f>'Historical Financials'!C12</f>
        <v>42643</v>
      </c>
      <c r="D4" s="3">
        <f>'Historical Financials'!D12</f>
        <v>43008</v>
      </c>
      <c r="E4" s="3">
        <f>'Historical Financials'!E12</f>
        <v>43372</v>
      </c>
      <c r="F4" s="3">
        <f>'Historical Financials'!F12</f>
        <v>43737</v>
      </c>
      <c r="G4" s="3">
        <f>'Historical Financials'!G12</f>
        <v>44104</v>
      </c>
      <c r="H4" s="3">
        <f>'Historical Financials'!H12</f>
        <v>44469</v>
      </c>
      <c r="I4" s="3">
        <f>'Historical Financials'!I12</f>
        <v>44834</v>
      </c>
      <c r="J4" s="3">
        <f>'Historical Financials'!J12</f>
        <v>45192</v>
      </c>
      <c r="K4" s="3">
        <f>'Historical Financials'!K12</f>
        <v>45559</v>
      </c>
      <c r="L4" s="3"/>
      <c r="M4" s="3">
        <v>44560</v>
      </c>
      <c r="N4" s="3">
        <v>44650</v>
      </c>
      <c r="O4" s="3">
        <v>44742</v>
      </c>
      <c r="P4" s="3">
        <v>44834</v>
      </c>
      <c r="Q4" s="3">
        <v>44917</v>
      </c>
      <c r="R4" s="3">
        <v>45008</v>
      </c>
      <c r="S4" s="3">
        <v>45100</v>
      </c>
      <c r="T4" s="3">
        <v>45192</v>
      </c>
      <c r="U4" s="3">
        <v>45283</v>
      </c>
      <c r="V4" s="3">
        <v>45375</v>
      </c>
      <c r="W4" s="3">
        <v>45467</v>
      </c>
      <c r="X4" s="3">
        <v>45559</v>
      </c>
      <c r="Y4" s="3">
        <v>45650</v>
      </c>
      <c r="Z4" s="3">
        <v>45741</v>
      </c>
      <c r="AA4" s="3">
        <v>45833</v>
      </c>
      <c r="AB4" s="3"/>
      <c r="AC4" s="3">
        <v>44917</v>
      </c>
      <c r="AD4" s="3">
        <v>45008</v>
      </c>
      <c r="AE4" s="3">
        <v>45100</v>
      </c>
      <c r="AF4" s="3">
        <v>45192</v>
      </c>
      <c r="AG4" s="3">
        <v>45283</v>
      </c>
      <c r="AH4" s="3">
        <v>45375</v>
      </c>
      <c r="AI4" s="3">
        <v>45467</v>
      </c>
      <c r="AJ4" s="3">
        <v>45559</v>
      </c>
      <c r="AK4" s="3">
        <v>45650</v>
      </c>
      <c r="AL4" s="3">
        <v>45741</v>
      </c>
      <c r="AM4" s="3">
        <v>45833</v>
      </c>
      <c r="AN4" s="3"/>
      <c r="AO4" s="352"/>
    </row>
    <row r="5" spans="1:41" ht="5.0999999999999996" customHeight="1">
      <c r="AO5" s="9"/>
    </row>
    <row r="6" spans="1:41" ht="12.75" customHeight="1">
      <c r="A6" s="96" t="s">
        <v>25</v>
      </c>
      <c r="B6" s="93" t="s">
        <v>322</v>
      </c>
      <c r="C6" s="460"/>
      <c r="D6" s="460"/>
      <c r="E6" s="460"/>
      <c r="F6" s="460"/>
      <c r="G6" s="11"/>
      <c r="H6" s="11"/>
      <c r="I6" s="11"/>
      <c r="J6" s="11"/>
      <c r="K6" s="11"/>
      <c r="L6" s="11"/>
      <c r="M6" s="11"/>
      <c r="N6" s="11"/>
      <c r="O6" s="11"/>
      <c r="P6" s="11"/>
      <c r="Q6" s="11"/>
      <c r="R6" s="11"/>
      <c r="S6" s="11"/>
      <c r="T6" s="11"/>
      <c r="U6" s="11"/>
      <c r="V6" s="11"/>
      <c r="W6" s="11"/>
      <c r="X6" s="11"/>
      <c r="Y6" s="11"/>
      <c r="Z6" s="11"/>
      <c r="AA6" s="11"/>
      <c r="AB6" s="5"/>
      <c r="AC6" s="12"/>
      <c r="AD6" s="12"/>
      <c r="AE6" s="12"/>
      <c r="AF6" s="12"/>
      <c r="AG6" s="12"/>
      <c r="AH6" s="12"/>
      <c r="AI6" s="12"/>
      <c r="AJ6" s="12"/>
      <c r="AK6" s="12"/>
      <c r="AL6" s="12"/>
      <c r="AO6" s="13"/>
    </row>
    <row r="7" spans="1:41" ht="12.75" customHeight="1">
      <c r="B7" s="10" t="s">
        <v>326</v>
      </c>
      <c r="C7" s="97">
        <v>136700</v>
      </c>
      <c r="D7" s="97">
        <v>141319</v>
      </c>
      <c r="E7" s="97">
        <v>164888</v>
      </c>
      <c r="F7" s="97">
        <v>142381</v>
      </c>
      <c r="G7" s="97">
        <v>137781</v>
      </c>
      <c r="H7" s="97">
        <v>191973</v>
      </c>
      <c r="I7" s="97">
        <v>205489</v>
      </c>
      <c r="J7" s="97">
        <v>200583</v>
      </c>
      <c r="K7" s="97">
        <v>201183</v>
      </c>
      <c r="L7" s="97"/>
      <c r="M7" s="97">
        <v>71628</v>
      </c>
      <c r="N7" s="97">
        <v>50570</v>
      </c>
      <c r="O7" s="97">
        <v>40665</v>
      </c>
      <c r="P7" s="97">
        <v>42626</v>
      </c>
      <c r="Q7" s="97">
        <v>65775</v>
      </c>
      <c r="R7" s="97">
        <v>51334</v>
      </c>
      <c r="S7" s="97">
        <v>39669</v>
      </c>
      <c r="T7" s="97">
        <v>43805</v>
      </c>
      <c r="U7" s="97">
        <v>69702</v>
      </c>
      <c r="V7" s="97">
        <v>45963</v>
      </c>
      <c r="W7" s="97">
        <v>39296</v>
      </c>
      <c r="X7" s="97">
        <v>46222</v>
      </c>
      <c r="Y7" s="97">
        <v>69138</v>
      </c>
      <c r="Z7" s="97">
        <v>46841</v>
      </c>
      <c r="AA7" s="97">
        <v>44582</v>
      </c>
      <c r="AB7" s="5"/>
      <c r="AC7" s="12">
        <f t="shared" ref="AC7:AL9" si="0">SUM(N7:Q7)</f>
        <v>199636</v>
      </c>
      <c r="AD7" s="12">
        <f t="shared" si="0"/>
        <v>200400</v>
      </c>
      <c r="AE7" s="12">
        <f t="shared" si="0"/>
        <v>199404</v>
      </c>
      <c r="AF7" s="12">
        <f t="shared" si="0"/>
        <v>200583</v>
      </c>
      <c r="AG7" s="12">
        <f t="shared" si="0"/>
        <v>204510</v>
      </c>
      <c r="AH7" s="12">
        <f t="shared" si="0"/>
        <v>199139</v>
      </c>
      <c r="AI7" s="12">
        <f t="shared" si="0"/>
        <v>198766</v>
      </c>
      <c r="AJ7" s="12">
        <f t="shared" si="0"/>
        <v>201183</v>
      </c>
      <c r="AK7" s="12">
        <f t="shared" si="0"/>
        <v>200619</v>
      </c>
      <c r="AL7" s="12">
        <f t="shared" si="0"/>
        <v>201497</v>
      </c>
      <c r="AM7" s="12">
        <f>SUM(X7:AA7)</f>
        <v>206783</v>
      </c>
      <c r="AO7" s="13">
        <f t="shared" ref="AO7:AO9" si="1">SUM(AM7/AI7)-1</f>
        <v>4.0333859915679726E-2</v>
      </c>
    </row>
    <row r="8" spans="1:41" ht="12.75" customHeight="1">
      <c r="B8" s="10" t="s">
        <v>327</v>
      </c>
      <c r="C8" s="97">
        <v>22831</v>
      </c>
      <c r="D8" s="97">
        <v>25850</v>
      </c>
      <c r="E8" s="97">
        <v>25198</v>
      </c>
      <c r="F8" s="97">
        <v>25740</v>
      </c>
      <c r="G8" s="97">
        <v>28622</v>
      </c>
      <c r="H8" s="97">
        <v>35190</v>
      </c>
      <c r="I8" s="97">
        <v>40177</v>
      </c>
      <c r="J8" s="97">
        <v>29357</v>
      </c>
      <c r="K8" s="97">
        <v>29984</v>
      </c>
      <c r="L8" s="97"/>
      <c r="M8" s="97">
        <v>10852</v>
      </c>
      <c r="N8" s="97">
        <v>10435</v>
      </c>
      <c r="O8" s="97">
        <v>7382</v>
      </c>
      <c r="P8" s="97">
        <v>11508</v>
      </c>
      <c r="Q8" s="97">
        <v>7735</v>
      </c>
      <c r="R8" s="97">
        <v>7168</v>
      </c>
      <c r="S8" s="97">
        <v>6840</v>
      </c>
      <c r="T8" s="97">
        <v>7614</v>
      </c>
      <c r="U8" s="97">
        <v>7780</v>
      </c>
      <c r="V8" s="97">
        <v>7451</v>
      </c>
      <c r="W8" s="97">
        <v>7009</v>
      </c>
      <c r="X8" s="97">
        <v>7744</v>
      </c>
      <c r="Y8" s="97">
        <v>8987</v>
      </c>
      <c r="Z8" s="97">
        <v>7949</v>
      </c>
      <c r="AA8" s="97">
        <v>8046</v>
      </c>
      <c r="AB8" s="5"/>
      <c r="AC8" s="12">
        <f t="shared" si="0"/>
        <v>37060</v>
      </c>
      <c r="AD8" s="12">
        <f t="shared" si="0"/>
        <v>33793</v>
      </c>
      <c r="AE8" s="12">
        <f t="shared" si="0"/>
        <v>33251</v>
      </c>
      <c r="AF8" s="12">
        <f t="shared" si="0"/>
        <v>29357</v>
      </c>
      <c r="AG8" s="12">
        <f t="shared" si="0"/>
        <v>29402</v>
      </c>
      <c r="AH8" s="12">
        <f t="shared" si="0"/>
        <v>29685</v>
      </c>
      <c r="AI8" s="12">
        <f t="shared" si="0"/>
        <v>29854</v>
      </c>
      <c r="AJ8" s="12">
        <f t="shared" si="0"/>
        <v>29984</v>
      </c>
      <c r="AK8" s="12">
        <f t="shared" si="0"/>
        <v>31191</v>
      </c>
      <c r="AL8" s="12">
        <f t="shared" si="0"/>
        <v>31689</v>
      </c>
      <c r="AM8" s="12">
        <f t="shared" ref="AM8:AM11" si="2">SUM(X8:AA8)</f>
        <v>32726</v>
      </c>
      <c r="AO8" s="13">
        <f t="shared" si="1"/>
        <v>9.6201514034970126E-2</v>
      </c>
    </row>
    <row r="9" spans="1:41" ht="12.75" customHeight="1">
      <c r="B9" s="10" t="s">
        <v>328</v>
      </c>
      <c r="C9" s="97">
        <v>20628</v>
      </c>
      <c r="D9" s="97">
        <v>19222</v>
      </c>
      <c r="E9" s="97">
        <v>18380</v>
      </c>
      <c r="F9" s="97">
        <v>21280</v>
      </c>
      <c r="G9" s="97">
        <v>23724</v>
      </c>
      <c r="H9" s="97">
        <v>31862</v>
      </c>
      <c r="I9" s="97">
        <v>29292</v>
      </c>
      <c r="J9" s="97">
        <v>28300</v>
      </c>
      <c r="K9" s="97">
        <v>26694</v>
      </c>
      <c r="L9" s="97"/>
      <c r="M9" s="97">
        <v>7248</v>
      </c>
      <c r="N9" s="97">
        <v>7646</v>
      </c>
      <c r="O9" s="97">
        <v>7224</v>
      </c>
      <c r="P9" s="97">
        <v>7174</v>
      </c>
      <c r="Q9" s="97">
        <v>9396</v>
      </c>
      <c r="R9" s="97">
        <v>6670</v>
      </c>
      <c r="S9" s="97">
        <v>5791</v>
      </c>
      <c r="T9" s="97">
        <v>6443</v>
      </c>
      <c r="U9" s="97">
        <v>7023</v>
      </c>
      <c r="V9" s="97">
        <v>5559</v>
      </c>
      <c r="W9" s="97">
        <v>7162</v>
      </c>
      <c r="X9" s="97">
        <v>6950</v>
      </c>
      <c r="Y9" s="97">
        <v>8088</v>
      </c>
      <c r="Z9" s="97">
        <v>6402</v>
      </c>
      <c r="AA9" s="97">
        <v>6581</v>
      </c>
      <c r="AB9" s="5"/>
      <c r="AC9" s="12">
        <f t="shared" si="0"/>
        <v>31440</v>
      </c>
      <c r="AD9" s="12">
        <f t="shared" si="0"/>
        <v>30464</v>
      </c>
      <c r="AE9" s="12">
        <f t="shared" si="0"/>
        <v>29031</v>
      </c>
      <c r="AF9" s="12">
        <f t="shared" si="0"/>
        <v>28300</v>
      </c>
      <c r="AG9" s="12">
        <f t="shared" si="0"/>
        <v>25927</v>
      </c>
      <c r="AH9" s="12">
        <f t="shared" si="0"/>
        <v>24816</v>
      </c>
      <c r="AI9" s="12">
        <f t="shared" ref="AI9:AI11" si="3">SUM(T9:W9)</f>
        <v>26187</v>
      </c>
      <c r="AJ9" s="12">
        <f t="shared" ref="AJ9:AJ11" si="4">SUM(U9:X9)</f>
        <v>26694</v>
      </c>
      <c r="AK9" s="12">
        <f t="shared" ref="AK9:AK11" si="5">SUM(V9:Y9)</f>
        <v>27759</v>
      </c>
      <c r="AL9" s="12">
        <f t="shared" ref="AL9:AL11" si="6">SUM(W9:Z9)</f>
        <v>28602</v>
      </c>
      <c r="AM9" s="12">
        <f t="shared" si="2"/>
        <v>28021</v>
      </c>
      <c r="AO9" s="13">
        <f t="shared" si="1"/>
        <v>7.0034750066827023E-2</v>
      </c>
    </row>
    <row r="10" spans="1:41" ht="12.75" customHeight="1">
      <c r="B10" s="10" t="s">
        <v>329</v>
      </c>
      <c r="C10" s="97">
        <v>24348</v>
      </c>
      <c r="D10" s="97">
        <v>29980</v>
      </c>
      <c r="E10" s="97">
        <v>39748</v>
      </c>
      <c r="F10" s="97">
        <v>46291</v>
      </c>
      <c r="G10" s="97">
        <v>53768</v>
      </c>
      <c r="H10" s="97">
        <v>68425</v>
      </c>
      <c r="I10" s="97">
        <v>78129</v>
      </c>
      <c r="J10" s="97">
        <v>85200</v>
      </c>
      <c r="K10" s="97">
        <v>96169</v>
      </c>
      <c r="L10" s="97"/>
      <c r="M10" s="97">
        <v>19516</v>
      </c>
      <c r="N10" s="97">
        <v>19821</v>
      </c>
      <c r="O10" s="97">
        <v>19604</v>
      </c>
      <c r="P10" s="97">
        <v>19188</v>
      </c>
      <c r="Q10" s="97">
        <v>20766</v>
      </c>
      <c r="R10" s="97">
        <v>20907</v>
      </c>
      <c r="S10" s="97">
        <v>21213</v>
      </c>
      <c r="T10" s="97">
        <v>22314</v>
      </c>
      <c r="U10" s="97">
        <v>23117</v>
      </c>
      <c r="V10" s="97">
        <v>23867</v>
      </c>
      <c r="W10" s="97">
        <v>24213</v>
      </c>
      <c r="X10" s="97">
        <v>24972</v>
      </c>
      <c r="Y10" s="97">
        <v>26340</v>
      </c>
      <c r="Z10" s="97">
        <v>26645</v>
      </c>
      <c r="AA10" s="97">
        <v>27423</v>
      </c>
      <c r="AB10" s="5"/>
      <c r="AC10" s="12"/>
      <c r="AD10" s="12"/>
      <c r="AE10" s="12"/>
      <c r="AF10" s="12"/>
      <c r="AG10" s="12"/>
      <c r="AH10" s="12"/>
      <c r="AI10" s="12">
        <f t="shared" si="3"/>
        <v>93511</v>
      </c>
      <c r="AJ10" s="12">
        <f t="shared" si="4"/>
        <v>96169</v>
      </c>
      <c r="AK10" s="12">
        <f t="shared" si="5"/>
        <v>99392</v>
      </c>
      <c r="AL10" s="12">
        <f t="shared" si="6"/>
        <v>102170</v>
      </c>
      <c r="AM10" s="12">
        <f t="shared" si="2"/>
        <v>105380</v>
      </c>
      <c r="AO10" s="13"/>
    </row>
    <row r="11" spans="1:41" ht="12.75" customHeight="1">
      <c r="B11" s="10" t="s">
        <v>330</v>
      </c>
      <c r="C11" s="97">
        <v>11132</v>
      </c>
      <c r="D11" s="97">
        <v>12863</v>
      </c>
      <c r="E11" s="97">
        <v>17381</v>
      </c>
      <c r="F11" s="97">
        <v>24482</v>
      </c>
      <c r="G11" s="97">
        <v>30620</v>
      </c>
      <c r="H11" s="97">
        <v>38367</v>
      </c>
      <c r="I11" s="97">
        <v>41241</v>
      </c>
      <c r="J11" s="97">
        <v>39845</v>
      </c>
      <c r="K11" s="97">
        <v>37005</v>
      </c>
      <c r="L11" s="97"/>
      <c r="M11" s="97">
        <v>14701</v>
      </c>
      <c r="N11" s="97">
        <v>8806</v>
      </c>
      <c r="O11" s="97">
        <v>8084</v>
      </c>
      <c r="P11" s="97">
        <v>9650</v>
      </c>
      <c r="Q11" s="97">
        <v>13482</v>
      </c>
      <c r="R11" s="97">
        <v>8757</v>
      </c>
      <c r="S11" s="97">
        <v>8284</v>
      </c>
      <c r="T11" s="97">
        <v>9322</v>
      </c>
      <c r="U11" s="97">
        <v>11953</v>
      </c>
      <c r="V11" s="97">
        <v>7913</v>
      </c>
      <c r="W11" s="97">
        <v>8097</v>
      </c>
      <c r="X11" s="97">
        <v>9042</v>
      </c>
      <c r="Y11" s="97">
        <v>11747</v>
      </c>
      <c r="Z11" s="97">
        <v>7522</v>
      </c>
      <c r="AA11" s="97">
        <v>7404</v>
      </c>
      <c r="AB11" s="5"/>
      <c r="AC11" s="12"/>
      <c r="AD11" s="12"/>
      <c r="AE11" s="12"/>
      <c r="AF11" s="12"/>
      <c r="AG11" s="12"/>
      <c r="AH11" s="12"/>
      <c r="AI11" s="12">
        <f t="shared" si="3"/>
        <v>37285</v>
      </c>
      <c r="AJ11" s="12">
        <f t="shared" si="4"/>
        <v>37005</v>
      </c>
      <c r="AK11" s="12">
        <f t="shared" si="5"/>
        <v>36799</v>
      </c>
      <c r="AL11" s="12">
        <f t="shared" si="6"/>
        <v>36408</v>
      </c>
      <c r="AM11" s="12">
        <f t="shared" si="2"/>
        <v>35715</v>
      </c>
      <c r="AO11" s="13"/>
    </row>
    <row r="12" spans="1:41" ht="12.75" customHeight="1">
      <c r="B12" s="14" t="s">
        <v>112</v>
      </c>
      <c r="C12" s="37">
        <f t="shared" ref="C12:G12" si="7">SUM(C7:C11)</f>
        <v>215639</v>
      </c>
      <c r="D12" s="37">
        <f t="shared" si="7"/>
        <v>229234</v>
      </c>
      <c r="E12" s="37">
        <f t="shared" si="7"/>
        <v>265595</v>
      </c>
      <c r="F12" s="37">
        <f t="shared" si="7"/>
        <v>260174</v>
      </c>
      <c r="G12" s="37">
        <f t="shared" ref="G12:J12" si="8">SUM(G7:G11)</f>
        <v>274515</v>
      </c>
      <c r="H12" s="37">
        <f t="shared" si="8"/>
        <v>365817</v>
      </c>
      <c r="I12" s="37">
        <f t="shared" si="8"/>
        <v>394328</v>
      </c>
      <c r="J12" s="37">
        <f t="shared" si="8"/>
        <v>383285</v>
      </c>
      <c r="K12" s="37">
        <f>SUM(K7:K11)</f>
        <v>391035</v>
      </c>
      <c r="L12" s="12"/>
      <c r="M12" s="37">
        <f t="shared" ref="M12:AA12" si="9">SUM(M7:M11)</f>
        <v>123945</v>
      </c>
      <c r="N12" s="37">
        <f t="shared" si="9"/>
        <v>97278</v>
      </c>
      <c r="O12" s="37">
        <f t="shared" si="9"/>
        <v>82959</v>
      </c>
      <c r="P12" s="37">
        <f t="shared" si="9"/>
        <v>90146</v>
      </c>
      <c r="Q12" s="37">
        <f t="shared" si="9"/>
        <v>117154</v>
      </c>
      <c r="R12" s="37">
        <f t="shared" si="9"/>
        <v>94836</v>
      </c>
      <c r="S12" s="37">
        <f t="shared" si="9"/>
        <v>81797</v>
      </c>
      <c r="T12" s="37">
        <f t="shared" si="9"/>
        <v>89498</v>
      </c>
      <c r="U12" s="37">
        <f t="shared" si="9"/>
        <v>119575</v>
      </c>
      <c r="V12" s="37">
        <f t="shared" si="9"/>
        <v>90753</v>
      </c>
      <c r="W12" s="37">
        <f t="shared" si="9"/>
        <v>85777</v>
      </c>
      <c r="X12" s="37">
        <f t="shared" si="9"/>
        <v>94930</v>
      </c>
      <c r="Y12" s="37">
        <f t="shared" si="9"/>
        <v>124300</v>
      </c>
      <c r="Z12" s="37">
        <f t="shared" si="9"/>
        <v>95359</v>
      </c>
      <c r="AA12" s="37">
        <f t="shared" si="9"/>
        <v>94036</v>
      </c>
      <c r="AB12" s="5"/>
      <c r="AC12" s="37">
        <f t="shared" ref="AC12:AH12" si="10">SUM(AC7:AC9)</f>
        <v>268136</v>
      </c>
      <c r="AD12" s="37">
        <f t="shared" si="10"/>
        <v>264657</v>
      </c>
      <c r="AE12" s="37">
        <f t="shared" si="10"/>
        <v>261686</v>
      </c>
      <c r="AF12" s="37">
        <f t="shared" si="10"/>
        <v>258240</v>
      </c>
      <c r="AG12" s="37">
        <f t="shared" si="10"/>
        <v>259839</v>
      </c>
      <c r="AH12" s="37">
        <f t="shared" si="10"/>
        <v>253640</v>
      </c>
      <c r="AI12" s="37">
        <f t="shared" ref="AI12" si="11">SUM(AI7:AI11)</f>
        <v>385603</v>
      </c>
      <c r="AJ12" s="37">
        <f t="shared" ref="AJ12" si="12">SUM(AJ7:AJ11)</f>
        <v>391035</v>
      </c>
      <c r="AK12" s="37">
        <f t="shared" ref="AK12" si="13">SUM(AK7:AK11)</f>
        <v>395760</v>
      </c>
      <c r="AL12" s="37">
        <f t="shared" ref="AL12" si="14">SUM(AL7:AL11)</f>
        <v>400366</v>
      </c>
      <c r="AM12" s="37">
        <f t="shared" ref="AM12" si="15">SUM(AM7:AM11)</f>
        <v>408625</v>
      </c>
      <c r="AO12" s="16">
        <f t="shared" ref="AO12" si="16">SUM(AM12/AI12)-1</f>
        <v>5.9703892345235987E-2</v>
      </c>
    </row>
    <row r="13" spans="1:41">
      <c r="B13" s="94" t="s">
        <v>98</v>
      </c>
      <c r="C13" s="95">
        <f>C12-'Historical Financials'!C15</f>
        <v>0</v>
      </c>
      <c r="D13" s="95">
        <f>D12-'Historical Financials'!D15</f>
        <v>0</v>
      </c>
      <c r="E13" s="95">
        <f>E12-'Historical Financials'!E15</f>
        <v>0</v>
      </c>
      <c r="F13" s="95">
        <f>F12-'Historical Financials'!F15</f>
        <v>0</v>
      </c>
      <c r="G13" s="95">
        <f>G12-'Historical Financials'!G15</f>
        <v>0</v>
      </c>
      <c r="H13" s="95">
        <f>H12-'Historical Financials'!H15</f>
        <v>0</v>
      </c>
      <c r="I13" s="95">
        <f>I12-'Historical Financials'!I15</f>
        <v>0</v>
      </c>
      <c r="J13" s="95">
        <f>J12-'Historical Financials'!J15</f>
        <v>0</v>
      </c>
      <c r="K13" s="95">
        <f>K12-'Historical Financials'!K15</f>
        <v>0</v>
      </c>
      <c r="L13" s="12"/>
      <c r="M13" s="95">
        <f>M12-'Historical Financials'!M15</f>
        <v>0</v>
      </c>
      <c r="N13" s="95">
        <f>N12-'Historical Financials'!N15</f>
        <v>0</v>
      </c>
      <c r="O13" s="95">
        <f>O12-'Historical Financials'!O15</f>
        <v>0</v>
      </c>
      <c r="P13" s="95">
        <f>P12-'Historical Financials'!P15</f>
        <v>0</v>
      </c>
      <c r="Q13" s="95">
        <f>Q12-'Historical Financials'!Q15</f>
        <v>0</v>
      </c>
      <c r="R13" s="95">
        <f>R12-'Historical Financials'!R15</f>
        <v>0</v>
      </c>
      <c r="S13" s="95">
        <f>S12-'Historical Financials'!S15</f>
        <v>0</v>
      </c>
      <c r="T13" s="95">
        <f>T12-'Historical Financials'!T15</f>
        <v>0</v>
      </c>
      <c r="U13" s="95">
        <f>U12-'Historical Financials'!U15</f>
        <v>0</v>
      </c>
      <c r="V13" s="95">
        <f>V12-'Historical Financials'!V15</f>
        <v>0</v>
      </c>
      <c r="W13" s="95">
        <f>W12-'Historical Financials'!W15</f>
        <v>0</v>
      </c>
      <c r="X13" s="95">
        <f>X12-'Historical Financials'!X15</f>
        <v>0</v>
      </c>
      <c r="Y13" s="95">
        <f>Y12-'Historical Financials'!Y15</f>
        <v>0</v>
      </c>
      <c r="Z13" s="95">
        <f>Z12-'Historical Financials'!Z15</f>
        <v>0</v>
      </c>
      <c r="AA13" s="95">
        <f>AA12-'Historical Financials'!AA15</f>
        <v>0</v>
      </c>
      <c r="AB13" s="95"/>
      <c r="AC13" s="95">
        <f>AC12-'Historical Financials'!AC15</f>
        <v>-119401</v>
      </c>
      <c r="AD13" s="95">
        <f>AD12-'Historical Financials'!AD15</f>
        <v>-120438</v>
      </c>
      <c r="AE13" s="95">
        <f>AE12-'Historical Financials'!AE15</f>
        <v>-122247</v>
      </c>
      <c r="AF13" s="95">
        <f>AF12-'Historical Financials'!AF15</f>
        <v>-125045</v>
      </c>
      <c r="AG13" s="95">
        <f>AG12-'Historical Financials'!AG15</f>
        <v>-125867</v>
      </c>
      <c r="AH13" s="95">
        <f>AH12-'Historical Financials'!AH15</f>
        <v>-127983</v>
      </c>
      <c r="AI13" s="95">
        <f>AI12-'Historical Financials'!AI15</f>
        <v>0</v>
      </c>
      <c r="AJ13" s="95">
        <f>AJ12-'Historical Financials'!AJ15</f>
        <v>0</v>
      </c>
      <c r="AK13" s="95">
        <f>AK12-'Historical Financials'!AK15</f>
        <v>0</v>
      </c>
      <c r="AL13" s="95">
        <f>AL12-'Historical Financials'!AL15</f>
        <v>0</v>
      </c>
      <c r="AM13" s="95">
        <f>AM12-'Historical Financials'!AM15</f>
        <v>0</v>
      </c>
      <c r="AO13" s="9"/>
    </row>
    <row r="14" spans="1:41">
      <c r="B14" s="21"/>
      <c r="C14" s="21"/>
      <c r="D14" s="21"/>
      <c r="E14" s="21"/>
      <c r="F14" s="21"/>
      <c r="G14" s="22"/>
      <c r="H14" s="22"/>
      <c r="I14" s="22"/>
      <c r="J14" s="22"/>
      <c r="K14" s="22"/>
      <c r="L14" s="23"/>
      <c r="M14" s="24"/>
      <c r="N14" s="24"/>
      <c r="O14" s="24"/>
      <c r="P14" s="25"/>
      <c r="Q14" s="24"/>
      <c r="R14" s="24"/>
      <c r="S14" s="24"/>
      <c r="T14" s="25"/>
      <c r="U14" s="24"/>
      <c r="V14" s="24"/>
      <c r="W14" s="24"/>
      <c r="X14" s="24"/>
      <c r="Y14" s="24"/>
      <c r="Z14" s="24"/>
      <c r="AA14" s="24"/>
      <c r="AB14" s="23"/>
      <c r="AC14" s="23"/>
      <c r="AD14" s="23"/>
      <c r="AE14" s="23"/>
      <c r="AF14" s="23"/>
      <c r="AG14" s="23"/>
      <c r="AH14" s="23"/>
      <c r="AI14" s="23"/>
      <c r="AJ14" s="23"/>
      <c r="AK14" s="23"/>
      <c r="AL14" s="23"/>
      <c r="AM14" s="23"/>
      <c r="AO14" s="9"/>
    </row>
    <row r="15" spans="1:41">
      <c r="A15" s="96" t="s">
        <v>25</v>
      </c>
      <c r="B15" s="93" t="s">
        <v>323</v>
      </c>
      <c r="C15" s="460"/>
      <c r="D15" s="460"/>
      <c r="E15" s="460"/>
      <c r="F15" s="460"/>
      <c r="G15" s="22"/>
      <c r="H15" s="22"/>
      <c r="I15" s="22"/>
      <c r="J15" s="22"/>
      <c r="K15" s="22"/>
      <c r="L15" s="23"/>
      <c r="M15" s="11"/>
      <c r="N15" s="11"/>
      <c r="O15" s="11"/>
      <c r="P15" s="11"/>
      <c r="Q15" s="11"/>
      <c r="R15" s="11"/>
      <c r="S15" s="11"/>
      <c r="T15" s="11"/>
      <c r="U15" s="11"/>
      <c r="V15" s="11"/>
      <c r="W15" s="11"/>
      <c r="X15" s="11"/>
      <c r="Y15" s="11"/>
      <c r="Z15" s="11"/>
      <c r="AA15" s="11"/>
      <c r="AB15" s="23"/>
      <c r="AC15" s="23"/>
      <c r="AD15" s="23"/>
      <c r="AE15" s="23"/>
      <c r="AF15" s="23"/>
      <c r="AG15" s="23"/>
      <c r="AH15" s="23"/>
      <c r="AI15" s="23"/>
      <c r="AJ15" s="23"/>
      <c r="AK15" s="23"/>
      <c r="AL15" s="23"/>
      <c r="AM15" s="23"/>
      <c r="AO15" s="9"/>
    </row>
    <row r="16" spans="1:41">
      <c r="B16" s="26" t="s">
        <v>324</v>
      </c>
      <c r="C16" s="26"/>
      <c r="D16" s="26"/>
      <c r="E16" s="26"/>
      <c r="F16" s="26"/>
      <c r="G16" s="97">
        <v>16019.941235781111</v>
      </c>
      <c r="H16" s="97">
        <v>20596.468250037062</v>
      </c>
      <c r="I16" s="97">
        <v>21262.874814638075</v>
      </c>
      <c r="J16" s="97">
        <v>19827.708667754956</v>
      </c>
      <c r="K16" s="97">
        <v>18865.887558652503</v>
      </c>
      <c r="L16" s="98"/>
      <c r="M16" s="97">
        <v>5656.6732810153826</v>
      </c>
      <c r="N16" s="97">
        <v>6070.416823265623</v>
      </c>
      <c r="O16" s="97">
        <v>4391.8203638699251</v>
      </c>
      <c r="P16" s="97">
        <v>5143.9643464871424</v>
      </c>
      <c r="Q16" s="97">
        <v>4250.8012662585352</v>
      </c>
      <c r="R16" s="97">
        <v>5709.2464874894149</v>
      </c>
      <c r="S16" s="97">
        <v>4595.9109135155577</v>
      </c>
      <c r="T16" s="97">
        <v>5271.7500004914491</v>
      </c>
      <c r="U16" s="97">
        <v>4111.1638972660348</v>
      </c>
      <c r="V16" s="97">
        <v>5174.0625123239297</v>
      </c>
      <c r="W16" s="97">
        <v>4782.0889741410156</v>
      </c>
      <c r="X16" s="97">
        <v>4798.5721749215227</v>
      </c>
      <c r="Y16" s="97">
        <v>3839.2946798292714</v>
      </c>
      <c r="Z16" s="97">
        <v>4674.9385144769194</v>
      </c>
      <c r="AA16" s="97">
        <v>4052.9943605544454</v>
      </c>
      <c r="AB16" s="23"/>
      <c r="AC16" s="12">
        <f t="shared" ref="AC16:AC17" si="17">SUM(N16:Q16)</f>
        <v>19857.002799881226</v>
      </c>
      <c r="AD16" s="12">
        <f t="shared" ref="AD16:AD17" si="18">SUM(O16:R16)</f>
        <v>19495.832464105017</v>
      </c>
      <c r="AE16" s="12">
        <f t="shared" ref="AE16:AE17" si="19">SUM(P16:S16)</f>
        <v>19699.923013750653</v>
      </c>
      <c r="AF16" s="12">
        <f t="shared" ref="AF16:AF17" si="20">SUM(Q16:T16)</f>
        <v>19827.708667754956</v>
      </c>
      <c r="AG16" s="12">
        <f t="shared" ref="AG16:AG17" si="21">SUM(R16:U16)</f>
        <v>19688.071298762457</v>
      </c>
      <c r="AH16" s="12">
        <f t="shared" ref="AH16:AH17" si="22">SUM(S16:V16)</f>
        <v>19152.887323596973</v>
      </c>
      <c r="AI16" s="12">
        <f t="shared" ref="AI16:AI17" si="23">SUM(T16:W16)</f>
        <v>19339.065384222427</v>
      </c>
      <c r="AJ16" s="12">
        <f t="shared" ref="AJ16:AJ17" si="24">SUM(U16:X16)</f>
        <v>18865.887558652503</v>
      </c>
      <c r="AK16" s="12">
        <f t="shared" ref="AK16:AK17" si="25">SUM(V16:Y16)</f>
        <v>18594.018341215738</v>
      </c>
      <c r="AL16" s="12">
        <f t="shared" ref="AL16:AL17" si="26">SUM(W16:Z16)</f>
        <v>18094.894343368727</v>
      </c>
      <c r="AM16" s="12">
        <f>SUM(X16:AA16)</f>
        <v>17365.79972978216</v>
      </c>
      <c r="AO16" s="13">
        <f t="shared" ref="AO16:AO18" si="27">SUM(AM16/AI16)-1</f>
        <v>-0.10203521293485751</v>
      </c>
    </row>
    <row r="17" spans="2:41">
      <c r="B17" s="26" t="s">
        <v>325</v>
      </c>
      <c r="C17" s="26"/>
      <c r="D17" s="26"/>
      <c r="E17" s="26"/>
      <c r="F17" s="26"/>
      <c r="G17" s="97">
        <v>14229.125</v>
      </c>
      <c r="H17" s="97">
        <v>17479.962499999998</v>
      </c>
      <c r="I17" s="97">
        <v>19750.272421999998</v>
      </c>
      <c r="J17" s="97">
        <v>19838.6175886565</v>
      </c>
      <c r="K17" s="97">
        <v>17999.00248468385</v>
      </c>
      <c r="L17" s="98"/>
      <c r="M17" s="97">
        <v>8954.0149999999976</v>
      </c>
      <c r="N17" s="97">
        <v>2690.9820000000004</v>
      </c>
      <c r="O17" s="97">
        <v>3644.038125</v>
      </c>
      <c r="P17" s="97">
        <v>4461.2372969999997</v>
      </c>
      <c r="Q17" s="97">
        <v>9160.4076040399996</v>
      </c>
      <c r="R17" s="97">
        <v>3012.7634767440004</v>
      </c>
      <c r="S17" s="97">
        <v>3650.3329405724994</v>
      </c>
      <c r="T17" s="97">
        <v>4015.1135673000003</v>
      </c>
      <c r="U17" s="97">
        <v>7786.346463433998</v>
      </c>
      <c r="V17" s="97">
        <v>2711.4871290696005</v>
      </c>
      <c r="W17" s="97">
        <v>3285.2996465152496</v>
      </c>
      <c r="X17" s="97">
        <v>4215.8692456650006</v>
      </c>
      <c r="Y17" s="97">
        <v>7864.2099280683387</v>
      </c>
      <c r="Z17" s="97">
        <v>2847.0614855230806</v>
      </c>
      <c r="AA17" s="97">
        <v>3351.0056394455546</v>
      </c>
      <c r="AB17" s="23"/>
      <c r="AC17" s="12">
        <f t="shared" si="17"/>
        <v>19956.665026039998</v>
      </c>
      <c r="AD17" s="12">
        <f t="shared" si="18"/>
        <v>20278.446502783998</v>
      </c>
      <c r="AE17" s="12">
        <f t="shared" si="19"/>
        <v>20284.741318356497</v>
      </c>
      <c r="AF17" s="12">
        <f t="shared" si="20"/>
        <v>19838.6175886565</v>
      </c>
      <c r="AG17" s="12">
        <f t="shared" si="21"/>
        <v>18464.556448050498</v>
      </c>
      <c r="AH17" s="12">
        <f t="shared" si="22"/>
        <v>18163.280100376098</v>
      </c>
      <c r="AI17" s="12">
        <f t="shared" si="23"/>
        <v>17798.24680631885</v>
      </c>
      <c r="AJ17" s="12">
        <f t="shared" si="24"/>
        <v>17999.00248468385</v>
      </c>
      <c r="AK17" s="12">
        <f t="shared" si="25"/>
        <v>18076.865949318191</v>
      </c>
      <c r="AL17" s="12">
        <f t="shared" si="26"/>
        <v>18212.44030577167</v>
      </c>
      <c r="AM17" s="12">
        <f>SUM(X17:AA17)</f>
        <v>18278.146298701973</v>
      </c>
      <c r="AO17" s="13">
        <f t="shared" si="27"/>
        <v>2.6963301363634562E-2</v>
      </c>
    </row>
    <row r="18" spans="2:41">
      <c r="B18" s="14" t="s">
        <v>113</v>
      </c>
      <c r="C18" s="471"/>
      <c r="D18" s="471"/>
      <c r="E18" s="471"/>
      <c r="F18" s="471"/>
      <c r="G18" s="15">
        <f>SUM(G16:G17)</f>
        <v>30249.066235781109</v>
      </c>
      <c r="H18" s="15">
        <f>SUM(H16:H17)</f>
        <v>38076.430750037063</v>
      </c>
      <c r="I18" s="15">
        <f>SUM(I16:I17)</f>
        <v>41013.147236638077</v>
      </c>
      <c r="J18" s="15">
        <f>SUM(J16:J17)</f>
        <v>39666.326256411456</v>
      </c>
      <c r="K18" s="15">
        <f>SUM(K16:K17)</f>
        <v>36864.890043336352</v>
      </c>
      <c r="L18" s="12"/>
      <c r="M18" s="15">
        <f t="shared" ref="M18:AA18" si="28">SUM(M16:M17)</f>
        <v>14610.68828101538</v>
      </c>
      <c r="N18" s="15">
        <f t="shared" si="28"/>
        <v>8761.3988232656229</v>
      </c>
      <c r="O18" s="15">
        <f t="shared" si="28"/>
        <v>8035.8584888699252</v>
      </c>
      <c r="P18" s="15">
        <f t="shared" si="28"/>
        <v>9605.2016434871421</v>
      </c>
      <c r="Q18" s="15">
        <f t="shared" si="28"/>
        <v>13411.208870298535</v>
      </c>
      <c r="R18" s="15">
        <f t="shared" si="28"/>
        <v>8722.0099642334153</v>
      </c>
      <c r="S18" s="15">
        <f t="shared" si="28"/>
        <v>8246.2438540880576</v>
      </c>
      <c r="T18" s="15">
        <f t="shared" si="28"/>
        <v>9286.8635677914499</v>
      </c>
      <c r="U18" s="15">
        <f t="shared" si="28"/>
        <v>11897.510360700033</v>
      </c>
      <c r="V18" s="15">
        <f t="shared" si="28"/>
        <v>7885.5496413935307</v>
      </c>
      <c r="W18" s="15">
        <f t="shared" si="28"/>
        <v>8067.3886206562656</v>
      </c>
      <c r="X18" s="15">
        <f t="shared" si="28"/>
        <v>9014.4414205865232</v>
      </c>
      <c r="Y18" s="15">
        <f t="shared" si="28"/>
        <v>11703.50460789761</v>
      </c>
      <c r="Z18" s="15">
        <f t="shared" si="28"/>
        <v>7522</v>
      </c>
      <c r="AA18" s="15">
        <f t="shared" si="28"/>
        <v>7404</v>
      </c>
      <c r="AB18" s="5"/>
      <c r="AC18" s="15">
        <f t="shared" ref="AC18:AM18" si="29">SUM(AC16:AC17)</f>
        <v>39813.66782592122</v>
      </c>
      <c r="AD18" s="15">
        <f t="shared" si="29"/>
        <v>39774.278966889018</v>
      </c>
      <c r="AE18" s="15">
        <f t="shared" si="29"/>
        <v>39984.664332107146</v>
      </c>
      <c r="AF18" s="15">
        <f t="shared" si="29"/>
        <v>39666.326256411456</v>
      </c>
      <c r="AG18" s="15">
        <f t="shared" si="29"/>
        <v>38152.627746812956</v>
      </c>
      <c r="AH18" s="15">
        <f t="shared" si="29"/>
        <v>37316.167423973071</v>
      </c>
      <c r="AI18" s="15">
        <f t="shared" si="29"/>
        <v>37137.312190541277</v>
      </c>
      <c r="AJ18" s="15">
        <f t="shared" si="29"/>
        <v>36864.890043336352</v>
      </c>
      <c r="AK18" s="15">
        <f t="shared" si="29"/>
        <v>36670.884290533926</v>
      </c>
      <c r="AL18" s="15">
        <f t="shared" si="29"/>
        <v>36307.334649140394</v>
      </c>
      <c r="AM18" s="15">
        <f t="shared" si="29"/>
        <v>35643.946028484133</v>
      </c>
      <c r="AO18" s="16">
        <f t="shared" si="27"/>
        <v>-4.0212015193643924E-2</v>
      </c>
    </row>
    <row r="19" spans="2:41">
      <c r="B19" s="94" t="s">
        <v>98</v>
      </c>
      <c r="C19" s="94"/>
      <c r="D19" s="94"/>
      <c r="E19" s="94"/>
      <c r="F19" s="94"/>
      <c r="G19" s="95">
        <f>G11-G18</f>
        <v>370.93376421889116</v>
      </c>
      <c r="H19" s="95">
        <f t="shared" ref="H19:K19" si="30">H11-H18</f>
        <v>290.56924996293674</v>
      </c>
      <c r="I19" s="95">
        <f t="shared" si="30"/>
        <v>227.85276336192328</v>
      </c>
      <c r="J19" s="95">
        <f t="shared" si="30"/>
        <v>178.67374358854431</v>
      </c>
      <c r="K19" s="95">
        <f t="shared" si="30"/>
        <v>140.10995666364761</v>
      </c>
      <c r="L19" s="23"/>
      <c r="M19" s="95">
        <f t="shared" ref="M19" si="31">M11-M18</f>
        <v>90.311718984619802</v>
      </c>
      <c r="N19" s="95">
        <f t="shared" ref="N19" si="32">N11-N18</f>
        <v>44.601176734377077</v>
      </c>
      <c r="O19" s="95">
        <f t="shared" ref="O19" si="33">O11-O18</f>
        <v>48.141511130074832</v>
      </c>
      <c r="P19" s="95">
        <f t="shared" ref="P19" si="34">P11-P18</f>
        <v>44.798356512857936</v>
      </c>
      <c r="Q19" s="95">
        <f t="shared" ref="Q19" si="35">Q11-Q18</f>
        <v>70.791129701465252</v>
      </c>
      <c r="R19" s="95">
        <f t="shared" ref="R19" si="36">R11-R18</f>
        <v>34.990035766584697</v>
      </c>
      <c r="S19" s="95">
        <f t="shared" ref="S19" si="37">S11-S18</f>
        <v>37.75614591194244</v>
      </c>
      <c r="T19" s="95">
        <f t="shared" ref="T19" si="38">T11-T18</f>
        <v>35.136432208550104</v>
      </c>
      <c r="U19" s="95">
        <f t="shared" ref="U19" si="39">U11-U18</f>
        <v>55.489639299967166</v>
      </c>
      <c r="V19" s="95">
        <f t="shared" ref="V19" si="40">V11-V18</f>
        <v>27.450358606469308</v>
      </c>
      <c r="W19" s="95">
        <f t="shared" ref="W19" si="41">W11-W18</f>
        <v>29.61137934373437</v>
      </c>
      <c r="X19" s="95">
        <f t="shared" ref="X19" si="42">X11-X18</f>
        <v>27.558579413476764</v>
      </c>
      <c r="Y19" s="95">
        <f t="shared" ref="Y19" si="43">Y11-Y18</f>
        <v>43.495392102389815</v>
      </c>
      <c r="Z19" s="95">
        <f t="shared" ref="Z19" si="44">Z11-Z18</f>
        <v>0</v>
      </c>
      <c r="AA19" s="95">
        <f t="shared" ref="AA19" si="45">AA11-AA18</f>
        <v>0</v>
      </c>
      <c r="AB19" s="23"/>
      <c r="AC19" s="95">
        <f t="shared" ref="AC19:AM19" si="46">AC7-AC18</f>
        <v>159822.33217407879</v>
      </c>
      <c r="AD19" s="95">
        <f t="shared" si="46"/>
        <v>160625.72103311098</v>
      </c>
      <c r="AE19" s="95">
        <f t="shared" si="46"/>
        <v>159419.33566789285</v>
      </c>
      <c r="AF19" s="95">
        <f t="shared" si="46"/>
        <v>160916.67374358856</v>
      </c>
      <c r="AG19" s="95">
        <f t="shared" si="46"/>
        <v>166357.37225318706</v>
      </c>
      <c r="AH19" s="95">
        <f t="shared" si="46"/>
        <v>161822.83257602694</v>
      </c>
      <c r="AI19" s="95">
        <f t="shared" si="46"/>
        <v>161628.68780945873</v>
      </c>
      <c r="AJ19" s="95">
        <f t="shared" si="46"/>
        <v>164318.10995666365</v>
      </c>
      <c r="AK19" s="95">
        <f t="shared" si="46"/>
        <v>163948.11570946607</v>
      </c>
      <c r="AL19" s="95">
        <f t="shared" si="46"/>
        <v>165189.66535085961</v>
      </c>
      <c r="AM19" s="95">
        <f t="shared" si="46"/>
        <v>171139.05397151585</v>
      </c>
      <c r="AO19" s="9"/>
    </row>
  </sheetData>
  <mergeCells count="1">
    <mergeCell ref="AO2:AO4"/>
  </mergeCells>
  <dataValidations count="1">
    <dataValidation type="list" allowBlank="1" showInputMessage="1" showErrorMessage="1" sqref="B4" xr:uid="{62176FD9-E514-4BEC-85E1-6C6963572068}">
      <formula1>"$ bns except per share, $ mm except per share,$ in thousands except per share"</formula1>
    </dataValidation>
  </dataValidations>
  <pageMargins left="0.7" right="0.7" top="0.75" bottom="0.75" header="0.3" footer="0.3"/>
  <ignoredErrors>
    <ignoredError sqref="AC16:AM17 AI7:AM11"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6C0D2-A617-43BF-9493-F1D2AA08251E}">
  <sheetPr>
    <tabColor theme="6" tint="-0.249977111117893"/>
  </sheetPr>
  <dimension ref="A2:AL82"/>
  <sheetViews>
    <sheetView showGridLines="0" zoomScaleNormal="100" workbookViewId="0">
      <selection activeCell="G31" sqref="G31"/>
    </sheetView>
  </sheetViews>
  <sheetFormatPr defaultRowHeight="12" outlineLevelCol="1"/>
  <cols>
    <col min="1" max="1" width="1.5" style="8" customWidth="1"/>
    <col min="2" max="2" width="46.5" style="8" bestFit="1" customWidth="1"/>
    <col min="3" max="4" width="8.25" style="8" hidden="1" customWidth="1" outlineLevel="1"/>
    <col min="5" max="5" width="8.625" style="8" bestFit="1" customWidth="1" collapsed="1"/>
    <col min="6" max="6" width="8.25" style="8" bestFit="1" customWidth="1"/>
    <col min="7" max="7" width="9" style="8"/>
    <col min="8" max="8" width="1.5" style="8" customWidth="1"/>
    <col min="9" max="11" width="7.875" style="8" hidden="1" customWidth="1" outlineLevel="1"/>
    <col min="12" max="12" width="8.75" style="8" hidden="1" customWidth="1" outlineLevel="1"/>
    <col min="13" max="15" width="8" style="8" hidden="1" customWidth="1" outlineLevel="1"/>
    <col min="16" max="16" width="8.75" style="8" hidden="1" customWidth="1" outlineLevel="1"/>
    <col min="17" max="17" width="8.5" style="8" hidden="1" customWidth="1" outlineLevel="1"/>
    <col min="18" max="18" width="8.25" style="8" hidden="1" customWidth="1" outlineLevel="1"/>
    <col min="19" max="19" width="8.5" style="8" bestFit="1" customWidth="1" collapsed="1"/>
    <col min="20" max="23" width="9.125" style="8" bestFit="1" customWidth="1"/>
    <col min="24" max="24" width="1.5" style="8" customWidth="1"/>
    <col min="25" max="31" width="8.75" style="8" hidden="1" customWidth="1" outlineLevel="1"/>
    <col min="32" max="32" width="8.75" style="8" customWidth="1" collapsed="1"/>
    <col min="33" max="35" width="8.75" style="8" hidden="1" customWidth="1" outlineLevel="1"/>
    <col min="36" max="36" width="8.75" style="8" bestFit="1" customWidth="1" collapsed="1"/>
    <col min="37" max="37" width="1.5" style="8" customWidth="1"/>
    <col min="38" max="38" width="9.875" style="8" bestFit="1" customWidth="1"/>
    <col min="39" max="16384" width="9" style="8"/>
  </cols>
  <sheetData>
    <row r="2" spans="2:38" s="5" customFormat="1" ht="12.75" customHeight="1">
      <c r="B2" s="1" t="s">
        <v>283</v>
      </c>
      <c r="C2" s="2" t="s">
        <v>0</v>
      </c>
      <c r="D2" s="2"/>
      <c r="E2" s="2"/>
      <c r="F2" s="2"/>
      <c r="G2" s="2"/>
      <c r="H2" s="3"/>
      <c r="I2" s="2" t="s">
        <v>1</v>
      </c>
      <c r="J2" s="2"/>
      <c r="K2" s="2"/>
      <c r="L2" s="2"/>
      <c r="M2" s="2"/>
      <c r="N2" s="2"/>
      <c r="O2" s="2"/>
      <c r="P2" s="2"/>
      <c r="Q2" s="2" t="s">
        <v>1</v>
      </c>
      <c r="R2" s="2"/>
      <c r="S2" s="2" t="s">
        <v>1</v>
      </c>
      <c r="T2" s="2"/>
      <c r="U2" s="2"/>
      <c r="V2" s="2"/>
      <c r="W2" s="2"/>
      <c r="X2" s="3"/>
      <c r="Y2" s="2" t="s">
        <v>10</v>
      </c>
      <c r="Z2" s="2"/>
      <c r="AA2" s="2"/>
      <c r="AB2" s="2"/>
      <c r="AC2" s="2" t="s">
        <v>10</v>
      </c>
      <c r="AD2" s="2"/>
      <c r="AE2" s="2"/>
      <c r="AF2" s="2" t="s">
        <v>10</v>
      </c>
      <c r="AG2" s="2"/>
      <c r="AH2" s="2"/>
      <c r="AI2" s="2"/>
      <c r="AJ2" s="2"/>
      <c r="AK2" s="3"/>
      <c r="AL2" s="352" t="s">
        <v>38</v>
      </c>
    </row>
    <row r="3" spans="2:38" s="5" customFormat="1" ht="12.75" customHeight="1">
      <c r="B3" s="6" t="s">
        <v>39</v>
      </c>
      <c r="C3" s="7">
        <v>2020</v>
      </c>
      <c r="D3" s="7">
        <v>2021</v>
      </c>
      <c r="E3" s="7">
        <v>2022</v>
      </c>
      <c r="F3" s="7">
        <v>2023</v>
      </c>
      <c r="G3" s="7">
        <v>2024</v>
      </c>
      <c r="H3" s="3"/>
      <c r="I3" s="7" t="s">
        <v>40</v>
      </c>
      <c r="J3" s="7" t="s">
        <v>41</v>
      </c>
      <c r="K3" s="7" t="s">
        <v>42</v>
      </c>
      <c r="L3" s="7" t="s">
        <v>43</v>
      </c>
      <c r="M3" s="7" t="s">
        <v>6</v>
      </c>
      <c r="N3" s="7" t="s">
        <v>7</v>
      </c>
      <c r="O3" s="7" t="s">
        <v>8</v>
      </c>
      <c r="P3" s="7" t="s">
        <v>9</v>
      </c>
      <c r="Q3" s="7" t="s">
        <v>2</v>
      </c>
      <c r="R3" s="7" t="s">
        <v>3</v>
      </c>
      <c r="S3" s="7" t="s">
        <v>4</v>
      </c>
      <c r="T3" s="7" t="s">
        <v>5</v>
      </c>
      <c r="U3" s="7" t="s">
        <v>44</v>
      </c>
      <c r="V3" s="7" t="s">
        <v>45</v>
      </c>
      <c r="W3" s="7" t="s">
        <v>105</v>
      </c>
      <c r="X3" s="3"/>
      <c r="Y3" s="4" t="s">
        <v>43</v>
      </c>
      <c r="Z3" s="4" t="s">
        <v>6</v>
      </c>
      <c r="AA3" s="4" t="s">
        <v>7</v>
      </c>
      <c r="AB3" s="4" t="s">
        <v>8</v>
      </c>
      <c r="AC3" s="4" t="s">
        <v>9</v>
      </c>
      <c r="AD3" s="4" t="s">
        <v>2</v>
      </c>
      <c r="AE3" s="4" t="s">
        <v>3</v>
      </c>
      <c r="AF3" s="4" t="s">
        <v>4</v>
      </c>
      <c r="AG3" s="4" t="s">
        <v>5</v>
      </c>
      <c r="AH3" s="4" t="s">
        <v>44</v>
      </c>
      <c r="AI3" s="4" t="s">
        <v>45</v>
      </c>
      <c r="AJ3" s="4" t="s">
        <v>105</v>
      </c>
      <c r="AK3" s="3"/>
      <c r="AL3" s="352"/>
    </row>
    <row r="4" spans="2:38" s="5" customFormat="1" ht="12.75" customHeight="1">
      <c r="B4" s="6" t="s">
        <v>504</v>
      </c>
      <c r="C4" s="3">
        <v>44104</v>
      </c>
      <c r="D4" s="3">
        <v>44469</v>
      </c>
      <c r="E4" s="3">
        <v>44834</v>
      </c>
      <c r="F4" s="3">
        <v>45192</v>
      </c>
      <c r="G4" s="3">
        <v>45559</v>
      </c>
      <c r="H4" s="3"/>
      <c r="I4" s="3">
        <v>44560</v>
      </c>
      <c r="J4" s="3">
        <v>44650</v>
      </c>
      <c r="K4" s="3">
        <v>44742</v>
      </c>
      <c r="L4" s="3">
        <v>44834</v>
      </c>
      <c r="M4" s="3">
        <v>44917</v>
      </c>
      <c r="N4" s="3">
        <v>45008</v>
      </c>
      <c r="O4" s="3">
        <v>45100</v>
      </c>
      <c r="P4" s="3">
        <v>45192</v>
      </c>
      <c r="Q4" s="3">
        <v>45283</v>
      </c>
      <c r="R4" s="3">
        <v>45375</v>
      </c>
      <c r="S4" s="3">
        <v>45467</v>
      </c>
      <c r="T4" s="3">
        <v>45559</v>
      </c>
      <c r="U4" s="3">
        <v>45650</v>
      </c>
      <c r="V4" s="3">
        <v>45741</v>
      </c>
      <c r="W4" s="3">
        <v>45833</v>
      </c>
      <c r="X4" s="3"/>
      <c r="Y4" s="3">
        <v>44834</v>
      </c>
      <c r="Z4" s="3">
        <v>44917</v>
      </c>
      <c r="AA4" s="3">
        <v>45008</v>
      </c>
      <c r="AB4" s="3">
        <v>45100</v>
      </c>
      <c r="AC4" s="3">
        <v>45192</v>
      </c>
      <c r="AD4" s="3">
        <v>45283</v>
      </c>
      <c r="AE4" s="3">
        <v>45375</v>
      </c>
      <c r="AF4" s="3">
        <v>45467</v>
      </c>
      <c r="AG4" s="3">
        <v>45559</v>
      </c>
      <c r="AH4" s="3">
        <v>45650</v>
      </c>
      <c r="AI4" s="3">
        <v>45741</v>
      </c>
      <c r="AJ4" s="3">
        <v>45833</v>
      </c>
      <c r="AK4" s="3"/>
      <c r="AL4" s="352"/>
    </row>
    <row r="5" spans="2:38" ht="5.0999999999999996" customHeight="1">
      <c r="AL5" s="9"/>
    </row>
    <row r="6" spans="2:38" ht="12.75" customHeight="1">
      <c r="B6" s="10" t="str">
        <f>'Revenue Drivers'!B7</f>
        <v>iPhone Revenue</v>
      </c>
      <c r="C6" s="200">
        <f>'Revenue Drivers'!G7</f>
        <v>137781</v>
      </c>
      <c r="D6" s="200">
        <f>'Revenue Drivers'!H7</f>
        <v>191973</v>
      </c>
      <c r="E6" s="200">
        <f>'Revenue Drivers'!I7</f>
        <v>205489</v>
      </c>
      <c r="F6" s="200">
        <f>'Revenue Drivers'!J7</f>
        <v>200583</v>
      </c>
      <c r="G6" s="200">
        <f>'Revenue Drivers'!K7</f>
        <v>201183</v>
      </c>
      <c r="H6" s="11"/>
      <c r="I6" s="200">
        <f>'Revenue Drivers'!M7</f>
        <v>71628</v>
      </c>
      <c r="J6" s="200">
        <f>'Revenue Drivers'!N7</f>
        <v>50570</v>
      </c>
      <c r="K6" s="200">
        <f>'Revenue Drivers'!O7</f>
        <v>40665</v>
      </c>
      <c r="L6" s="200">
        <f>'Revenue Drivers'!P7</f>
        <v>42626</v>
      </c>
      <c r="M6" s="200">
        <f>'Revenue Drivers'!Q7</f>
        <v>65775</v>
      </c>
      <c r="N6" s="200">
        <f>'Revenue Drivers'!R7</f>
        <v>51334</v>
      </c>
      <c r="O6" s="200">
        <f>'Revenue Drivers'!S7</f>
        <v>39669</v>
      </c>
      <c r="P6" s="200">
        <f>'Revenue Drivers'!T7</f>
        <v>43805</v>
      </c>
      <c r="Q6" s="200">
        <f>'Revenue Drivers'!U7</f>
        <v>69702</v>
      </c>
      <c r="R6" s="200">
        <f>'Revenue Drivers'!V7</f>
        <v>45963</v>
      </c>
      <c r="S6" s="200">
        <f>'Revenue Drivers'!W7</f>
        <v>39296</v>
      </c>
      <c r="T6" s="200">
        <f>'Revenue Drivers'!X7</f>
        <v>46222</v>
      </c>
      <c r="U6" s="200">
        <f>'Revenue Drivers'!Y7</f>
        <v>69138</v>
      </c>
      <c r="V6" s="200">
        <f>'Revenue Drivers'!Z7</f>
        <v>46841</v>
      </c>
      <c r="W6" s="200">
        <f>'Revenue Drivers'!AA7</f>
        <v>44582</v>
      </c>
      <c r="X6" s="5"/>
      <c r="Y6" s="11">
        <f t="shared" ref="Y6:Y10" si="0">SUM(I6:L6)</f>
        <v>205489</v>
      </c>
      <c r="Z6" s="11">
        <f t="shared" ref="Z6:Z10" si="1">SUM(J6:M6)</f>
        <v>199636</v>
      </c>
      <c r="AA6" s="11">
        <f t="shared" ref="AA6:AA10" si="2">SUM(K6:N6)</f>
        <v>200400</v>
      </c>
      <c r="AB6" s="11">
        <f t="shared" ref="AB6:AB10" si="3">SUM(L6:O6)</f>
        <v>199404</v>
      </c>
      <c r="AC6" s="11">
        <f t="shared" ref="AC6:AC10" si="4">SUM(M6:P6)</f>
        <v>200583</v>
      </c>
      <c r="AD6" s="11">
        <f t="shared" ref="AD6:AD10" si="5">SUM(N6:Q6)</f>
        <v>204510</v>
      </c>
      <c r="AE6" s="11">
        <f t="shared" ref="AE6:AE10" si="6">SUM(O6:R6)</f>
        <v>199139</v>
      </c>
      <c r="AF6" s="11">
        <f t="shared" ref="AF6:AF10" si="7">SUM(P6:S6)</f>
        <v>198766</v>
      </c>
      <c r="AG6" s="11">
        <f t="shared" ref="AG6:AG10" si="8">SUM(Q6:T6)</f>
        <v>201183</v>
      </c>
      <c r="AH6" s="11">
        <f t="shared" ref="AH6:AH10" si="9">SUM(R6:U6)</f>
        <v>200619</v>
      </c>
      <c r="AI6" s="11">
        <f t="shared" ref="AI6:AI10" si="10">SUM(S6:V6)</f>
        <v>201497</v>
      </c>
      <c r="AJ6" s="11">
        <f>SUM(T6:W6)</f>
        <v>206783</v>
      </c>
      <c r="AL6" s="13">
        <f>SUM(AJ6/AF6)-1</f>
        <v>4.0333859915679726E-2</v>
      </c>
    </row>
    <row r="7" spans="2:38" ht="12.75" customHeight="1">
      <c r="B7" s="10" t="str">
        <f>'Revenue Drivers'!B8</f>
        <v>Mac Revenue</v>
      </c>
      <c r="C7" s="200">
        <f>'Revenue Drivers'!G8</f>
        <v>28622</v>
      </c>
      <c r="D7" s="200">
        <f>'Revenue Drivers'!H8</f>
        <v>35190</v>
      </c>
      <c r="E7" s="200">
        <f>'Revenue Drivers'!I8</f>
        <v>40177</v>
      </c>
      <c r="F7" s="200">
        <f>'Revenue Drivers'!J8</f>
        <v>29357</v>
      </c>
      <c r="G7" s="200">
        <f>'Revenue Drivers'!K8</f>
        <v>29984</v>
      </c>
      <c r="H7" s="11"/>
      <c r="I7" s="200">
        <f>'Revenue Drivers'!M8</f>
        <v>10852</v>
      </c>
      <c r="J7" s="200">
        <f>'Revenue Drivers'!N8</f>
        <v>10435</v>
      </c>
      <c r="K7" s="200">
        <f>'Revenue Drivers'!O8</f>
        <v>7382</v>
      </c>
      <c r="L7" s="200">
        <f>'Revenue Drivers'!P8</f>
        <v>11508</v>
      </c>
      <c r="M7" s="200">
        <f>'Revenue Drivers'!Q8</f>
        <v>7735</v>
      </c>
      <c r="N7" s="200">
        <f>'Revenue Drivers'!R8</f>
        <v>7168</v>
      </c>
      <c r="O7" s="200">
        <f>'Revenue Drivers'!S8</f>
        <v>6840</v>
      </c>
      <c r="P7" s="200">
        <f>'Revenue Drivers'!T8</f>
        <v>7614</v>
      </c>
      <c r="Q7" s="200">
        <f>'Revenue Drivers'!U8</f>
        <v>7780</v>
      </c>
      <c r="R7" s="200">
        <f>'Revenue Drivers'!V8</f>
        <v>7451</v>
      </c>
      <c r="S7" s="200">
        <f>'Revenue Drivers'!W8</f>
        <v>7009</v>
      </c>
      <c r="T7" s="200">
        <f>'Revenue Drivers'!X8</f>
        <v>7744</v>
      </c>
      <c r="U7" s="200">
        <f>'Revenue Drivers'!Y8</f>
        <v>8987</v>
      </c>
      <c r="V7" s="200">
        <f>'Revenue Drivers'!Z8</f>
        <v>7949</v>
      </c>
      <c r="W7" s="200">
        <f>'Revenue Drivers'!AA8</f>
        <v>8046</v>
      </c>
      <c r="X7" s="5"/>
      <c r="Y7" s="11">
        <f t="shared" si="0"/>
        <v>40177</v>
      </c>
      <c r="Z7" s="11">
        <f t="shared" si="1"/>
        <v>37060</v>
      </c>
      <c r="AA7" s="11">
        <f t="shared" si="2"/>
        <v>33793</v>
      </c>
      <c r="AB7" s="11">
        <f t="shared" si="3"/>
        <v>33251</v>
      </c>
      <c r="AC7" s="11">
        <f t="shared" si="4"/>
        <v>29357</v>
      </c>
      <c r="AD7" s="11">
        <f t="shared" si="5"/>
        <v>29402</v>
      </c>
      <c r="AE7" s="11">
        <f t="shared" si="6"/>
        <v>29685</v>
      </c>
      <c r="AF7" s="11">
        <f t="shared" si="7"/>
        <v>29854</v>
      </c>
      <c r="AG7" s="11">
        <f t="shared" si="8"/>
        <v>29984</v>
      </c>
      <c r="AH7" s="11">
        <f t="shared" si="9"/>
        <v>31191</v>
      </c>
      <c r="AI7" s="11">
        <f t="shared" si="10"/>
        <v>31689</v>
      </c>
      <c r="AJ7" s="11">
        <f t="shared" ref="AJ7:AJ10" si="11">SUM(T7:W7)</f>
        <v>32726</v>
      </c>
      <c r="AL7" s="13">
        <f t="shared" ref="AL7:AL11" si="12">SUM(AJ7/AF7)-1</f>
        <v>9.6201514034970126E-2</v>
      </c>
    </row>
    <row r="8" spans="2:38" ht="12.75" customHeight="1">
      <c r="B8" s="10" t="str">
        <f>'Revenue Drivers'!B9</f>
        <v>iPad Revenue</v>
      </c>
      <c r="C8" s="200">
        <f>'Revenue Drivers'!G9</f>
        <v>23724</v>
      </c>
      <c r="D8" s="200">
        <f>'Revenue Drivers'!H9</f>
        <v>31862</v>
      </c>
      <c r="E8" s="200">
        <f>'Revenue Drivers'!I9</f>
        <v>29292</v>
      </c>
      <c r="F8" s="200">
        <f>'Revenue Drivers'!J9</f>
        <v>28300</v>
      </c>
      <c r="G8" s="200">
        <f>'Revenue Drivers'!K9</f>
        <v>26694</v>
      </c>
      <c r="H8" s="11"/>
      <c r="I8" s="200">
        <f>'Revenue Drivers'!M9</f>
        <v>7248</v>
      </c>
      <c r="J8" s="200">
        <f>'Revenue Drivers'!N9</f>
        <v>7646</v>
      </c>
      <c r="K8" s="200">
        <f>'Revenue Drivers'!O9</f>
        <v>7224</v>
      </c>
      <c r="L8" s="200">
        <f>'Revenue Drivers'!P9</f>
        <v>7174</v>
      </c>
      <c r="M8" s="200">
        <f>'Revenue Drivers'!Q9</f>
        <v>9396</v>
      </c>
      <c r="N8" s="200">
        <f>'Revenue Drivers'!R9</f>
        <v>6670</v>
      </c>
      <c r="O8" s="200">
        <f>'Revenue Drivers'!S9</f>
        <v>5791</v>
      </c>
      <c r="P8" s="200">
        <f>'Revenue Drivers'!T9</f>
        <v>6443</v>
      </c>
      <c r="Q8" s="200">
        <f>'Revenue Drivers'!U9</f>
        <v>7023</v>
      </c>
      <c r="R8" s="200">
        <f>'Revenue Drivers'!V9</f>
        <v>5559</v>
      </c>
      <c r="S8" s="200">
        <f>'Revenue Drivers'!W9</f>
        <v>7162</v>
      </c>
      <c r="T8" s="200">
        <f>'Revenue Drivers'!X9</f>
        <v>6950</v>
      </c>
      <c r="U8" s="200">
        <f>'Revenue Drivers'!Y9</f>
        <v>8088</v>
      </c>
      <c r="V8" s="200">
        <f>'Revenue Drivers'!Z9</f>
        <v>6402</v>
      </c>
      <c r="W8" s="200">
        <f>'Revenue Drivers'!AA9</f>
        <v>6581</v>
      </c>
      <c r="X8" s="5"/>
      <c r="Y8" s="11">
        <f t="shared" si="0"/>
        <v>29292</v>
      </c>
      <c r="Z8" s="11">
        <f t="shared" si="1"/>
        <v>31440</v>
      </c>
      <c r="AA8" s="11">
        <f t="shared" si="2"/>
        <v>30464</v>
      </c>
      <c r="AB8" s="11">
        <f t="shared" si="3"/>
        <v>29031</v>
      </c>
      <c r="AC8" s="11">
        <f t="shared" si="4"/>
        <v>28300</v>
      </c>
      <c r="AD8" s="11">
        <f t="shared" si="5"/>
        <v>25927</v>
      </c>
      <c r="AE8" s="11">
        <f t="shared" si="6"/>
        <v>24816</v>
      </c>
      <c r="AF8" s="11">
        <f t="shared" si="7"/>
        <v>26187</v>
      </c>
      <c r="AG8" s="11">
        <f t="shared" si="8"/>
        <v>26694</v>
      </c>
      <c r="AH8" s="11">
        <f t="shared" si="9"/>
        <v>27759</v>
      </c>
      <c r="AI8" s="11">
        <f t="shared" si="10"/>
        <v>28602</v>
      </c>
      <c r="AJ8" s="11">
        <f t="shared" si="11"/>
        <v>28021</v>
      </c>
      <c r="AL8" s="13">
        <f t="shared" si="12"/>
        <v>7.0034750066827023E-2</v>
      </c>
    </row>
    <row r="9" spans="2:38" ht="12.75" customHeight="1">
      <c r="B9" s="10" t="str">
        <f>'Revenue Drivers'!B10</f>
        <v>Services Revenue</v>
      </c>
      <c r="C9" s="200">
        <f>'Revenue Drivers'!G10</f>
        <v>53768</v>
      </c>
      <c r="D9" s="200">
        <f>'Revenue Drivers'!H10</f>
        <v>68425</v>
      </c>
      <c r="E9" s="200">
        <f>'Revenue Drivers'!I10</f>
        <v>78129</v>
      </c>
      <c r="F9" s="200">
        <f>'Revenue Drivers'!J10</f>
        <v>85200</v>
      </c>
      <c r="G9" s="200">
        <f>'Revenue Drivers'!K10</f>
        <v>96169</v>
      </c>
      <c r="H9" s="11"/>
      <c r="I9" s="200">
        <f>'Revenue Drivers'!M10</f>
        <v>19516</v>
      </c>
      <c r="J9" s="200">
        <f>'Revenue Drivers'!N10</f>
        <v>19821</v>
      </c>
      <c r="K9" s="200">
        <f>'Revenue Drivers'!O10</f>
        <v>19604</v>
      </c>
      <c r="L9" s="200">
        <f>'Revenue Drivers'!P10</f>
        <v>19188</v>
      </c>
      <c r="M9" s="200">
        <f>'Revenue Drivers'!Q10</f>
        <v>20766</v>
      </c>
      <c r="N9" s="200">
        <f>'Revenue Drivers'!R10</f>
        <v>20907</v>
      </c>
      <c r="O9" s="200">
        <f>'Revenue Drivers'!S10</f>
        <v>21213</v>
      </c>
      <c r="P9" s="200">
        <f>'Revenue Drivers'!T10</f>
        <v>22314</v>
      </c>
      <c r="Q9" s="200">
        <f>'Revenue Drivers'!U10</f>
        <v>23117</v>
      </c>
      <c r="R9" s="200">
        <f>'Revenue Drivers'!V10</f>
        <v>23867</v>
      </c>
      <c r="S9" s="200">
        <f>'Revenue Drivers'!W10</f>
        <v>24213</v>
      </c>
      <c r="T9" s="200">
        <f>'Revenue Drivers'!X10</f>
        <v>24972</v>
      </c>
      <c r="U9" s="200">
        <f>'Revenue Drivers'!Y10</f>
        <v>26340</v>
      </c>
      <c r="V9" s="200">
        <f>'Revenue Drivers'!Z10</f>
        <v>26645</v>
      </c>
      <c r="W9" s="200">
        <f>'Revenue Drivers'!AA10</f>
        <v>27423</v>
      </c>
      <c r="X9" s="5"/>
      <c r="Y9" s="11">
        <f t="shared" si="0"/>
        <v>78129</v>
      </c>
      <c r="Z9" s="11">
        <f t="shared" si="1"/>
        <v>79379</v>
      </c>
      <c r="AA9" s="11">
        <f t="shared" si="2"/>
        <v>80465</v>
      </c>
      <c r="AB9" s="11">
        <f t="shared" si="3"/>
        <v>82074</v>
      </c>
      <c r="AC9" s="11">
        <f t="shared" si="4"/>
        <v>85200</v>
      </c>
      <c r="AD9" s="11">
        <f t="shared" si="5"/>
        <v>87551</v>
      </c>
      <c r="AE9" s="11">
        <f t="shared" si="6"/>
        <v>90511</v>
      </c>
      <c r="AF9" s="11">
        <f t="shared" si="7"/>
        <v>93511</v>
      </c>
      <c r="AG9" s="11">
        <f t="shared" si="8"/>
        <v>96169</v>
      </c>
      <c r="AH9" s="11">
        <f t="shared" si="9"/>
        <v>99392</v>
      </c>
      <c r="AI9" s="11">
        <f t="shared" si="10"/>
        <v>102170</v>
      </c>
      <c r="AJ9" s="11">
        <f t="shared" si="11"/>
        <v>105380</v>
      </c>
      <c r="AL9" s="13">
        <f t="shared" si="12"/>
        <v>0.12692624397129748</v>
      </c>
    </row>
    <row r="10" spans="2:38" ht="12.75" customHeight="1">
      <c r="B10" s="10" t="str">
        <f>'Revenue Drivers'!B11</f>
        <v>Wearables, Home, and Accessories Revenue</v>
      </c>
      <c r="C10" s="200">
        <f>'Revenue Drivers'!G11</f>
        <v>30620</v>
      </c>
      <c r="D10" s="200">
        <f>'Revenue Drivers'!H11</f>
        <v>38367</v>
      </c>
      <c r="E10" s="200">
        <f>'Revenue Drivers'!I11</f>
        <v>41241</v>
      </c>
      <c r="F10" s="200">
        <f>'Revenue Drivers'!J11</f>
        <v>39845</v>
      </c>
      <c r="G10" s="200">
        <f>'Revenue Drivers'!K11</f>
        <v>37005</v>
      </c>
      <c r="H10" s="11"/>
      <c r="I10" s="200">
        <f>'Revenue Drivers'!M11</f>
        <v>14701</v>
      </c>
      <c r="J10" s="200">
        <f>'Revenue Drivers'!N11</f>
        <v>8806</v>
      </c>
      <c r="K10" s="200">
        <f>'Revenue Drivers'!O11</f>
        <v>8084</v>
      </c>
      <c r="L10" s="200">
        <f>'Revenue Drivers'!P11</f>
        <v>9650</v>
      </c>
      <c r="M10" s="200">
        <f>'Revenue Drivers'!Q11</f>
        <v>13482</v>
      </c>
      <c r="N10" s="200">
        <f>'Revenue Drivers'!R11</f>
        <v>8757</v>
      </c>
      <c r="O10" s="200">
        <f>'Revenue Drivers'!S11</f>
        <v>8284</v>
      </c>
      <c r="P10" s="200">
        <f>'Revenue Drivers'!T11</f>
        <v>9322</v>
      </c>
      <c r="Q10" s="200">
        <f>'Revenue Drivers'!U11</f>
        <v>11953</v>
      </c>
      <c r="R10" s="200">
        <f>'Revenue Drivers'!V11</f>
        <v>7913</v>
      </c>
      <c r="S10" s="200">
        <f>'Revenue Drivers'!W11</f>
        <v>8097</v>
      </c>
      <c r="T10" s="200">
        <f>'Revenue Drivers'!X11</f>
        <v>9042</v>
      </c>
      <c r="U10" s="200">
        <f>'Revenue Drivers'!Y11</f>
        <v>11747</v>
      </c>
      <c r="V10" s="200">
        <f>'Revenue Drivers'!Z11</f>
        <v>7522</v>
      </c>
      <c r="W10" s="200">
        <f>'Revenue Drivers'!AA11</f>
        <v>7404</v>
      </c>
      <c r="X10" s="5"/>
      <c r="Y10" s="11">
        <f t="shared" si="0"/>
        <v>41241</v>
      </c>
      <c r="Z10" s="11">
        <f t="shared" si="1"/>
        <v>40022</v>
      </c>
      <c r="AA10" s="11">
        <f t="shared" si="2"/>
        <v>39973</v>
      </c>
      <c r="AB10" s="11">
        <f t="shared" si="3"/>
        <v>40173</v>
      </c>
      <c r="AC10" s="11">
        <f t="shared" si="4"/>
        <v>39845</v>
      </c>
      <c r="AD10" s="11">
        <f t="shared" si="5"/>
        <v>38316</v>
      </c>
      <c r="AE10" s="11">
        <f t="shared" si="6"/>
        <v>37472</v>
      </c>
      <c r="AF10" s="11">
        <f t="shared" si="7"/>
        <v>37285</v>
      </c>
      <c r="AG10" s="11">
        <f t="shared" si="8"/>
        <v>37005</v>
      </c>
      <c r="AH10" s="11">
        <f t="shared" si="9"/>
        <v>36799</v>
      </c>
      <c r="AI10" s="11">
        <f t="shared" si="10"/>
        <v>36408</v>
      </c>
      <c r="AJ10" s="11">
        <f t="shared" si="11"/>
        <v>35715</v>
      </c>
      <c r="AL10" s="13">
        <f t="shared" si="12"/>
        <v>-4.2108086361807739E-2</v>
      </c>
    </row>
    <row r="11" spans="2:38" ht="12.75" customHeight="1">
      <c r="B11" s="14" t="s">
        <v>13</v>
      </c>
      <c r="C11" s="15">
        <f>SUM(C6:C10)</f>
        <v>274515</v>
      </c>
      <c r="D11" s="15">
        <f t="shared" ref="D11:G11" si="13">SUM(D6:D10)</f>
        <v>365817</v>
      </c>
      <c r="E11" s="15">
        <f t="shared" si="13"/>
        <v>394328</v>
      </c>
      <c r="F11" s="15">
        <f t="shared" si="13"/>
        <v>383285</v>
      </c>
      <c r="G11" s="15">
        <f t="shared" si="13"/>
        <v>391035</v>
      </c>
      <c r="H11" s="11"/>
      <c r="I11" s="15">
        <f t="shared" ref="I11" si="14">SUM(I6:I10)</f>
        <v>123945</v>
      </c>
      <c r="J11" s="15">
        <f t="shared" ref="J11" si="15">SUM(J6:J10)</f>
        <v>97278</v>
      </c>
      <c r="K11" s="15">
        <f t="shared" ref="K11" si="16">SUM(K6:K10)</f>
        <v>82959</v>
      </c>
      <c r="L11" s="15">
        <f t="shared" ref="L11" si="17">SUM(L6:L10)</f>
        <v>90146</v>
      </c>
      <c r="M11" s="15">
        <f t="shared" ref="M11" si="18">SUM(M6:M10)</f>
        <v>117154</v>
      </c>
      <c r="N11" s="15">
        <f t="shared" ref="N11" si="19">SUM(N6:N10)</f>
        <v>94836</v>
      </c>
      <c r="O11" s="15">
        <f t="shared" ref="O11" si="20">SUM(O6:O10)</f>
        <v>81797</v>
      </c>
      <c r="P11" s="15">
        <f t="shared" ref="P11" si="21">SUM(P6:P10)</f>
        <v>89498</v>
      </c>
      <c r="Q11" s="15">
        <f t="shared" ref="Q11" si="22">SUM(Q6:Q10)</f>
        <v>119575</v>
      </c>
      <c r="R11" s="15">
        <f t="shared" ref="R11" si="23">SUM(R6:R10)</f>
        <v>90753</v>
      </c>
      <c r="S11" s="15">
        <f t="shared" ref="S11" si="24">SUM(S6:S10)</f>
        <v>85777</v>
      </c>
      <c r="T11" s="15">
        <f t="shared" ref="T11" si="25">SUM(T6:T10)</f>
        <v>94930</v>
      </c>
      <c r="U11" s="15">
        <f t="shared" ref="U11" si="26">SUM(U6:U10)</f>
        <v>124300</v>
      </c>
      <c r="V11" s="15">
        <f t="shared" ref="V11" si="27">SUM(V6:V10)</f>
        <v>95359</v>
      </c>
      <c r="W11" s="15">
        <f t="shared" ref="W11" si="28">SUM(W6:W10)</f>
        <v>94036</v>
      </c>
      <c r="X11" s="5"/>
      <c r="Y11" s="15">
        <f t="shared" ref="Y11" si="29">SUM(Y6:Y10)</f>
        <v>394328</v>
      </c>
      <c r="Z11" s="15">
        <f t="shared" ref="Z11" si="30">SUM(Z6:Z10)</f>
        <v>387537</v>
      </c>
      <c r="AA11" s="15">
        <f t="shared" ref="AA11" si="31">SUM(AA6:AA10)</f>
        <v>385095</v>
      </c>
      <c r="AB11" s="15">
        <f t="shared" ref="AB11" si="32">SUM(AB6:AB10)</f>
        <v>383933</v>
      </c>
      <c r="AC11" s="15">
        <f t="shared" ref="AC11" si="33">SUM(AC6:AC10)</f>
        <v>383285</v>
      </c>
      <c r="AD11" s="15">
        <f t="shared" ref="AD11" si="34">SUM(AD6:AD10)</f>
        <v>385706</v>
      </c>
      <c r="AE11" s="15">
        <f t="shared" ref="AE11" si="35">SUM(AE6:AE10)</f>
        <v>381623</v>
      </c>
      <c r="AF11" s="15">
        <f t="shared" ref="AF11" si="36">SUM(AF6:AF10)</f>
        <v>385603</v>
      </c>
      <c r="AG11" s="15">
        <f t="shared" ref="AG11" si="37">SUM(AG6:AG10)</f>
        <v>391035</v>
      </c>
      <c r="AH11" s="15">
        <f t="shared" ref="AH11" si="38">SUM(AH6:AH10)</f>
        <v>395760</v>
      </c>
      <c r="AI11" s="15">
        <f t="shared" ref="AI11" si="39">SUM(AI6:AI10)</f>
        <v>400366</v>
      </c>
      <c r="AJ11" s="15">
        <f t="shared" ref="AJ11" si="40">SUM(AJ6:AJ10)</f>
        <v>408625</v>
      </c>
      <c r="AL11" s="16">
        <f t="shared" si="12"/>
        <v>5.9703892345235987E-2</v>
      </c>
    </row>
    <row r="12" spans="2:38" ht="12.75" customHeight="1">
      <c r="B12" s="17" t="s">
        <v>46</v>
      </c>
      <c r="C12" s="18"/>
      <c r="D12" s="19">
        <f>SUM(D11/C11)-1</f>
        <v>0.33259384733074704</v>
      </c>
      <c r="E12" s="19">
        <f>SUM(E11/D11)-1</f>
        <v>7.7937876041846099E-2</v>
      </c>
      <c r="F12" s="19">
        <f t="shared" ref="F12:G12" si="41">SUM(F11/E11)-1</f>
        <v>-2.800460530319937E-2</v>
      </c>
      <c r="G12" s="19">
        <f t="shared" si="41"/>
        <v>2.021994077514111E-2</v>
      </c>
      <c r="H12" s="12"/>
      <c r="I12" s="18"/>
      <c r="J12" s="18"/>
      <c r="K12" s="18"/>
      <c r="L12" s="18"/>
      <c r="M12" s="19">
        <f>SUM(M11/I11)-1</f>
        <v>-5.4790431239662762E-2</v>
      </c>
      <c r="N12" s="19">
        <f t="shared" ref="N12:W12" si="42">SUM(N11/J11)-1</f>
        <v>-2.5103312156911084E-2</v>
      </c>
      <c r="O12" s="19">
        <f t="shared" si="42"/>
        <v>-1.4006919080509661E-2</v>
      </c>
      <c r="P12" s="19">
        <f t="shared" si="42"/>
        <v>-7.1883389168682088E-3</v>
      </c>
      <c r="Q12" s="19">
        <f t="shared" si="42"/>
        <v>2.0665107465387411E-2</v>
      </c>
      <c r="R12" s="19">
        <f t="shared" si="42"/>
        <v>-4.3053270909781061E-2</v>
      </c>
      <c r="S12" s="19">
        <f t="shared" si="42"/>
        <v>4.8657041211780383E-2</v>
      </c>
      <c r="T12" s="19">
        <f t="shared" si="42"/>
        <v>6.0694093722764686E-2</v>
      </c>
      <c r="U12" s="19">
        <f t="shared" si="42"/>
        <v>3.9514948776918191E-2</v>
      </c>
      <c r="V12" s="19">
        <f t="shared" si="42"/>
        <v>5.075314314678292E-2</v>
      </c>
      <c r="W12" s="19">
        <f t="shared" si="42"/>
        <v>9.628455180293094E-2</v>
      </c>
      <c r="X12" s="5"/>
      <c r="Y12" s="18"/>
      <c r="Z12" s="18"/>
      <c r="AA12" s="18"/>
      <c r="AB12" s="18"/>
      <c r="AC12" s="19">
        <f t="shared" ref="AC12:AF12" si="43">SUM(AC11/Y11)-1</f>
        <v>-2.800460530319937E-2</v>
      </c>
      <c r="AD12" s="19">
        <f t="shared" si="43"/>
        <v>-4.7247101567076122E-3</v>
      </c>
      <c r="AE12" s="19">
        <f t="shared" si="43"/>
        <v>-9.0159571014943873E-3</v>
      </c>
      <c r="AF12" s="19">
        <f t="shared" si="43"/>
        <v>4.3497172683775176E-3</v>
      </c>
      <c r="AG12" s="19">
        <f>SUM(AG11/AC11)-1</f>
        <v>2.021994077514111E-2</v>
      </c>
      <c r="AH12" s="19">
        <f t="shared" ref="AH12:AJ12" si="44">SUM(AH11/AD11)-1</f>
        <v>2.6066485872659584E-2</v>
      </c>
      <c r="AI12" s="19">
        <f t="shared" si="44"/>
        <v>4.9113916089963183E-2</v>
      </c>
      <c r="AJ12" s="19">
        <f t="shared" si="44"/>
        <v>5.9703892345235987E-2</v>
      </c>
      <c r="AL12" s="20">
        <f>SUM(AJ12-AF12)*10000</f>
        <v>553.54175076858473</v>
      </c>
    </row>
    <row r="13" spans="2:38" ht="12.75" customHeight="1">
      <c r="B13" s="17" t="s">
        <v>47</v>
      </c>
      <c r="C13" s="19" t="s">
        <v>48</v>
      </c>
      <c r="D13" s="19" t="s">
        <v>48</v>
      </c>
      <c r="E13" s="19" t="s">
        <v>48</v>
      </c>
      <c r="F13" s="19" t="s">
        <v>48</v>
      </c>
      <c r="G13" s="19" t="s">
        <v>48</v>
      </c>
      <c r="H13" s="12"/>
      <c r="I13" s="18"/>
      <c r="J13" s="19">
        <f>SUM(J11/I11)-1</f>
        <v>-0.21515188188309331</v>
      </c>
      <c r="K13" s="19">
        <f t="shared" ref="K13:W13" si="45">SUM(K11/J11)-1</f>
        <v>-0.14719669401097879</v>
      </c>
      <c r="L13" s="19">
        <f t="shared" si="45"/>
        <v>8.6633156137368994E-2</v>
      </c>
      <c r="M13" s="19">
        <f t="shared" si="45"/>
        <v>0.29960286646107415</v>
      </c>
      <c r="N13" s="19">
        <f t="shared" si="45"/>
        <v>-0.19050139133106847</v>
      </c>
      <c r="O13" s="19">
        <f t="shared" si="45"/>
        <v>-0.13748998270698887</v>
      </c>
      <c r="P13" s="19">
        <f t="shared" si="45"/>
        <v>9.4147707128623193E-2</v>
      </c>
      <c r="Q13" s="19">
        <f t="shared" si="45"/>
        <v>0.33606337571789324</v>
      </c>
      <c r="R13" s="19">
        <f t="shared" si="45"/>
        <v>-0.24103700606314027</v>
      </c>
      <c r="S13" s="19">
        <f t="shared" si="45"/>
        <v>-5.4830143356142447E-2</v>
      </c>
      <c r="T13" s="19">
        <f t="shared" si="45"/>
        <v>0.10670692609907095</v>
      </c>
      <c r="U13" s="19">
        <f t="shared" si="45"/>
        <v>0.30938586326767092</v>
      </c>
      <c r="V13" s="19">
        <f t="shared" si="45"/>
        <v>-0.23283185840707965</v>
      </c>
      <c r="W13" s="19">
        <f t="shared" si="45"/>
        <v>-1.387388710032611E-2</v>
      </c>
      <c r="X13" s="5"/>
      <c r="Y13" s="19" t="s">
        <v>48</v>
      </c>
      <c r="Z13" s="19" t="s">
        <v>48</v>
      </c>
      <c r="AA13" s="19" t="s">
        <v>48</v>
      </c>
      <c r="AB13" s="19" t="s">
        <v>48</v>
      </c>
      <c r="AC13" s="19" t="s">
        <v>48</v>
      </c>
      <c r="AD13" s="19" t="s">
        <v>48</v>
      </c>
      <c r="AE13" s="19" t="s">
        <v>48</v>
      </c>
      <c r="AF13" s="19" t="s">
        <v>48</v>
      </c>
      <c r="AG13" s="19" t="s">
        <v>48</v>
      </c>
      <c r="AH13" s="19" t="s">
        <v>48</v>
      </c>
      <c r="AI13" s="19" t="s">
        <v>48</v>
      </c>
      <c r="AJ13" s="19" t="s">
        <v>48</v>
      </c>
      <c r="AL13" s="9"/>
    </row>
    <row r="14" spans="2:38" ht="5.0999999999999996" customHeight="1">
      <c r="B14" s="21"/>
      <c r="C14" s="200"/>
      <c r="D14" s="22"/>
      <c r="E14" s="22"/>
      <c r="F14" s="22"/>
      <c r="G14" s="22"/>
      <c r="H14" s="23"/>
      <c r="I14" s="24"/>
      <c r="J14" s="24"/>
      <c r="K14" s="24"/>
      <c r="L14" s="25"/>
      <c r="M14" s="24"/>
      <c r="N14" s="24"/>
      <c r="O14" s="24"/>
      <c r="P14" s="25"/>
      <c r="Q14" s="24"/>
      <c r="R14" s="24"/>
      <c r="S14" s="24"/>
      <c r="T14" s="24"/>
      <c r="U14" s="24"/>
      <c r="V14" s="24"/>
      <c r="W14" s="24"/>
      <c r="X14" s="23"/>
      <c r="Y14" s="23"/>
      <c r="Z14" s="23"/>
      <c r="AA14" s="23"/>
      <c r="AB14" s="23"/>
      <c r="AC14" s="23"/>
      <c r="AD14" s="23"/>
      <c r="AE14" s="23"/>
      <c r="AF14" s="23"/>
      <c r="AG14" s="23"/>
      <c r="AH14" s="23"/>
      <c r="AI14" s="23"/>
      <c r="AJ14" s="23"/>
      <c r="AL14" s="9"/>
    </row>
    <row r="15" spans="2:38" ht="12.75" customHeight="1">
      <c r="B15" s="26" t="s">
        <v>49</v>
      </c>
      <c r="C15" s="200">
        <f>'Historical Financials'!G17</f>
        <v>-169559</v>
      </c>
      <c r="D15" s="200">
        <f>'Historical Financials'!H17</f>
        <v>-212981</v>
      </c>
      <c r="E15" s="200">
        <f>'Historical Financials'!I17</f>
        <v>-223546</v>
      </c>
      <c r="F15" s="200">
        <f>'Historical Financials'!J17</f>
        <v>-214137</v>
      </c>
      <c r="G15" s="200">
        <f>'Historical Financials'!K17</f>
        <v>-210352</v>
      </c>
      <c r="H15" s="11"/>
      <c r="I15" s="200">
        <f>'Historical Financials'!M17</f>
        <v>-69702</v>
      </c>
      <c r="J15" s="200">
        <f>'Historical Financials'!N17</f>
        <v>-54719</v>
      </c>
      <c r="K15" s="200">
        <f>'Historical Financials'!O17</f>
        <v>-47074</v>
      </c>
      <c r="L15" s="200">
        <f>'Historical Financials'!P17</f>
        <v>-52051</v>
      </c>
      <c r="M15" s="200">
        <f>'Historical Financials'!Q17</f>
        <v>-66822</v>
      </c>
      <c r="N15" s="200">
        <f>'Historical Financials'!R17</f>
        <v>-52860</v>
      </c>
      <c r="O15" s="200">
        <f>'Historical Financials'!S17</f>
        <v>-45384</v>
      </c>
      <c r="P15" s="200">
        <f>'Historical Financials'!T17</f>
        <v>-49071</v>
      </c>
      <c r="Q15" s="200">
        <f>'Historical Financials'!U17</f>
        <v>-64720</v>
      </c>
      <c r="R15" s="200">
        <f>'Historical Financials'!V17</f>
        <v>-48482</v>
      </c>
      <c r="S15" s="200">
        <f>'Historical Financials'!W17</f>
        <v>-46099</v>
      </c>
      <c r="T15" s="200">
        <f>'Historical Financials'!X17</f>
        <v>-51051</v>
      </c>
      <c r="U15" s="200">
        <f>'Historical Financials'!Y17</f>
        <v>-66025</v>
      </c>
      <c r="V15" s="200">
        <f>'Historical Financials'!Z17</f>
        <v>-50492</v>
      </c>
      <c r="W15" s="200">
        <f>'Historical Financials'!AA17</f>
        <v>-50318</v>
      </c>
      <c r="X15" s="5"/>
      <c r="Y15" s="12">
        <f t="shared" ref="Y15" si="46">SUM(I15:L15)</f>
        <v>-223546</v>
      </c>
      <c r="Z15" s="12">
        <f t="shared" ref="Z15:AJ15" si="47">SUM(J15:M15)</f>
        <v>-220666</v>
      </c>
      <c r="AA15" s="12">
        <f t="shared" si="47"/>
        <v>-218807</v>
      </c>
      <c r="AB15" s="12">
        <f t="shared" si="47"/>
        <v>-217117</v>
      </c>
      <c r="AC15" s="12">
        <f t="shared" si="47"/>
        <v>-214137</v>
      </c>
      <c r="AD15" s="12">
        <f t="shared" si="47"/>
        <v>-212035</v>
      </c>
      <c r="AE15" s="11">
        <f t="shared" si="47"/>
        <v>-207657</v>
      </c>
      <c r="AF15" s="11">
        <f t="shared" si="47"/>
        <v>-208372</v>
      </c>
      <c r="AG15" s="11">
        <f t="shared" si="47"/>
        <v>-210352</v>
      </c>
      <c r="AH15" s="11">
        <f t="shared" si="47"/>
        <v>-211657</v>
      </c>
      <c r="AI15" s="11">
        <f t="shared" si="47"/>
        <v>-213667</v>
      </c>
      <c r="AJ15" s="11">
        <f t="shared" si="47"/>
        <v>-217886</v>
      </c>
      <c r="AL15" s="13">
        <f t="shared" ref="AL15:AL16" si="48">SUM(AJ15/AF15)-1</f>
        <v>4.5658725740502559E-2</v>
      </c>
    </row>
    <row r="16" spans="2:38" ht="12.75" customHeight="1">
      <c r="B16" s="28" t="s">
        <v>31</v>
      </c>
      <c r="C16" s="29">
        <f>+C11+C15</f>
        <v>104956</v>
      </c>
      <c r="D16" s="29">
        <f>+D11+D15</f>
        <v>152836</v>
      </c>
      <c r="E16" s="29">
        <f>+E11+E15</f>
        <v>170782</v>
      </c>
      <c r="F16" s="29">
        <f>+F11+F15</f>
        <v>169148</v>
      </c>
      <c r="G16" s="29">
        <f>+G11+G15</f>
        <v>180683</v>
      </c>
      <c r="H16" s="5"/>
      <c r="I16" s="29">
        <f t="shared" ref="I16:W16" si="49">+I11+I15</f>
        <v>54243</v>
      </c>
      <c r="J16" s="29">
        <f t="shared" si="49"/>
        <v>42559</v>
      </c>
      <c r="K16" s="29">
        <f t="shared" si="49"/>
        <v>35885</v>
      </c>
      <c r="L16" s="29">
        <f t="shared" si="49"/>
        <v>38095</v>
      </c>
      <c r="M16" s="29">
        <f t="shared" si="49"/>
        <v>50332</v>
      </c>
      <c r="N16" s="29">
        <f t="shared" si="49"/>
        <v>41976</v>
      </c>
      <c r="O16" s="29">
        <f t="shared" si="49"/>
        <v>36413</v>
      </c>
      <c r="P16" s="29">
        <f t="shared" si="49"/>
        <v>40427</v>
      </c>
      <c r="Q16" s="29">
        <f t="shared" si="49"/>
        <v>54855</v>
      </c>
      <c r="R16" s="29">
        <f t="shared" si="49"/>
        <v>42271</v>
      </c>
      <c r="S16" s="29">
        <f t="shared" si="49"/>
        <v>39678</v>
      </c>
      <c r="T16" s="29">
        <f t="shared" si="49"/>
        <v>43879</v>
      </c>
      <c r="U16" s="29">
        <f t="shared" si="49"/>
        <v>58275</v>
      </c>
      <c r="V16" s="29">
        <f t="shared" si="49"/>
        <v>44867</v>
      </c>
      <c r="W16" s="29">
        <f t="shared" si="49"/>
        <v>43718</v>
      </c>
      <c r="X16" s="5"/>
      <c r="Y16" s="29">
        <f t="shared" ref="Y16:AJ16" si="50">+Y11+Y15</f>
        <v>170782</v>
      </c>
      <c r="Z16" s="29">
        <f t="shared" si="50"/>
        <v>166871</v>
      </c>
      <c r="AA16" s="29">
        <f t="shared" si="50"/>
        <v>166288</v>
      </c>
      <c r="AB16" s="29">
        <f t="shared" si="50"/>
        <v>166816</v>
      </c>
      <c r="AC16" s="29">
        <f t="shared" si="50"/>
        <v>169148</v>
      </c>
      <c r="AD16" s="29">
        <f t="shared" si="50"/>
        <v>173671</v>
      </c>
      <c r="AE16" s="29">
        <f t="shared" si="50"/>
        <v>173966</v>
      </c>
      <c r="AF16" s="29">
        <f t="shared" si="50"/>
        <v>177231</v>
      </c>
      <c r="AG16" s="29">
        <f t="shared" si="50"/>
        <v>180683</v>
      </c>
      <c r="AH16" s="29">
        <f t="shared" si="50"/>
        <v>184103</v>
      </c>
      <c r="AI16" s="29">
        <f t="shared" si="50"/>
        <v>186699</v>
      </c>
      <c r="AJ16" s="29">
        <f t="shared" si="50"/>
        <v>190739</v>
      </c>
      <c r="AL16" s="16">
        <f t="shared" si="48"/>
        <v>7.6216914648114642E-2</v>
      </c>
    </row>
    <row r="17" spans="2:38" ht="12.75" customHeight="1">
      <c r="B17" s="17" t="s">
        <v>50</v>
      </c>
      <c r="C17" s="19">
        <f>C16/C11</f>
        <v>0.38233247727810865</v>
      </c>
      <c r="D17" s="19">
        <f>D16/D11</f>
        <v>0.41779359625167778</v>
      </c>
      <c r="E17" s="19">
        <f>E16/E11</f>
        <v>0.43309630561360085</v>
      </c>
      <c r="F17" s="19">
        <f>F16/F11</f>
        <v>0.44131129577207562</v>
      </c>
      <c r="G17" s="19">
        <f>G16/G11</f>
        <v>0.46206349815233932</v>
      </c>
      <c r="H17" s="30"/>
      <c r="I17" s="19">
        <f t="shared" ref="I17:W17" si="51">I16/I11</f>
        <v>0.43763766186615033</v>
      </c>
      <c r="J17" s="19">
        <f t="shared" si="51"/>
        <v>0.43749871502292398</v>
      </c>
      <c r="K17" s="19">
        <f t="shared" si="51"/>
        <v>0.43256307332537758</v>
      </c>
      <c r="L17" s="19">
        <f t="shared" si="51"/>
        <v>0.4225922392563175</v>
      </c>
      <c r="M17" s="19">
        <f t="shared" si="51"/>
        <v>0.42962254809908323</v>
      </c>
      <c r="N17" s="19">
        <f t="shared" si="51"/>
        <v>0.44261672782487665</v>
      </c>
      <c r="O17" s="19">
        <f t="shared" si="51"/>
        <v>0.44516302553883397</v>
      </c>
      <c r="P17" s="19">
        <f t="shared" si="51"/>
        <v>0.45170841806520817</v>
      </c>
      <c r="Q17" s="19">
        <f t="shared" si="51"/>
        <v>0.45874973865774621</v>
      </c>
      <c r="R17" s="19">
        <f t="shared" si="51"/>
        <v>0.46578074554009236</v>
      </c>
      <c r="S17" s="19">
        <f t="shared" si="51"/>
        <v>0.46257155181458898</v>
      </c>
      <c r="T17" s="19">
        <f t="shared" si="51"/>
        <v>0.4622247972190035</v>
      </c>
      <c r="U17" s="19">
        <f t="shared" si="51"/>
        <v>0.46882542236524538</v>
      </c>
      <c r="V17" s="19">
        <f t="shared" si="51"/>
        <v>0.47050619238876246</v>
      </c>
      <c r="W17" s="19">
        <f t="shared" si="51"/>
        <v>0.46490705687183631</v>
      </c>
      <c r="X17" s="31"/>
      <c r="Y17" s="19">
        <f t="shared" ref="Y17:AJ17" si="52">Y16/Y11</f>
        <v>0.43309630561360085</v>
      </c>
      <c r="Z17" s="19">
        <f t="shared" si="52"/>
        <v>0.43059372395409989</v>
      </c>
      <c r="AA17" s="19">
        <f t="shared" si="52"/>
        <v>0.43181033251535333</v>
      </c>
      <c r="AB17" s="19">
        <f t="shared" si="52"/>
        <v>0.43449247655189838</v>
      </c>
      <c r="AC17" s="19">
        <f t="shared" si="52"/>
        <v>0.44131129577207562</v>
      </c>
      <c r="AD17" s="19">
        <f t="shared" si="52"/>
        <v>0.45026782056799741</v>
      </c>
      <c r="AE17" s="19">
        <f t="shared" si="52"/>
        <v>0.4558582685005883</v>
      </c>
      <c r="AF17" s="19">
        <f t="shared" si="52"/>
        <v>0.45962038677084982</v>
      </c>
      <c r="AG17" s="19">
        <f t="shared" si="52"/>
        <v>0.46206349815233932</v>
      </c>
      <c r="AH17" s="19">
        <f t="shared" si="52"/>
        <v>0.46518849807964424</v>
      </c>
      <c r="AI17" s="19">
        <f t="shared" si="52"/>
        <v>0.46632081645294554</v>
      </c>
      <c r="AJ17" s="19">
        <f t="shared" si="52"/>
        <v>0.46678250229427959</v>
      </c>
      <c r="AL17" s="20">
        <f>SUM(AJ17-AF17)*10000</f>
        <v>71.621155234297689</v>
      </c>
    </row>
    <row r="18" spans="2:38" ht="5.0999999999999996" customHeight="1">
      <c r="B18" s="32"/>
      <c r="C18" s="33"/>
      <c r="D18" s="33"/>
      <c r="E18" s="33"/>
      <c r="F18" s="33"/>
      <c r="G18" s="33"/>
      <c r="H18" s="33"/>
      <c r="I18" s="33"/>
      <c r="J18" s="33"/>
      <c r="K18" s="33"/>
      <c r="L18" s="33"/>
      <c r="M18" s="33"/>
      <c r="N18" s="33"/>
      <c r="O18" s="33"/>
      <c r="P18" s="33"/>
      <c r="Q18" s="33"/>
      <c r="R18" s="33"/>
      <c r="S18" s="33"/>
      <c r="T18" s="33"/>
      <c r="U18" s="33"/>
      <c r="V18" s="33"/>
      <c r="W18" s="33"/>
      <c r="X18" s="5"/>
      <c r="Y18" s="33"/>
      <c r="Z18" s="33"/>
      <c r="AA18" s="33"/>
      <c r="AB18" s="33"/>
      <c r="AC18" s="33"/>
      <c r="AD18" s="33"/>
      <c r="AE18" s="33"/>
      <c r="AF18" s="33"/>
      <c r="AG18" s="33"/>
      <c r="AH18" s="33"/>
      <c r="AI18" s="33"/>
      <c r="AJ18" s="33"/>
      <c r="AL18" s="9"/>
    </row>
    <row r="19" spans="2:38" ht="12.75" customHeight="1">
      <c r="B19" s="26" t="s">
        <v>114</v>
      </c>
      <c r="C19" s="200">
        <f>'Historical Financials'!G21</f>
        <v>-18752</v>
      </c>
      <c r="D19" s="200">
        <f>'Historical Financials'!H21</f>
        <v>-21914</v>
      </c>
      <c r="E19" s="200">
        <f>'Historical Financials'!I21</f>
        <v>-26251</v>
      </c>
      <c r="F19" s="200">
        <f>'Historical Financials'!J21</f>
        <v>-29915</v>
      </c>
      <c r="G19" s="200">
        <f>'Historical Financials'!K21</f>
        <v>-31370</v>
      </c>
      <c r="H19" s="200"/>
      <c r="I19" s="200">
        <f>'Historical Financials'!M21</f>
        <v>-6306</v>
      </c>
      <c r="J19" s="200">
        <f>'Historical Financials'!N21</f>
        <v>-6387</v>
      </c>
      <c r="K19" s="200">
        <f>'Historical Financials'!O21</f>
        <v>-6797</v>
      </c>
      <c r="L19" s="200">
        <f>'Historical Financials'!P21</f>
        <v>-6761</v>
      </c>
      <c r="M19" s="200">
        <f>'Historical Financials'!Q21</f>
        <v>-7709</v>
      </c>
      <c r="N19" s="200">
        <f>'Historical Financials'!R21</f>
        <v>-7457</v>
      </c>
      <c r="O19" s="200">
        <f>'Historical Financials'!S21</f>
        <v>-7442</v>
      </c>
      <c r="P19" s="200">
        <f>'Historical Financials'!T21</f>
        <v>-7307</v>
      </c>
      <c r="Q19" s="200">
        <f>'Historical Financials'!U21</f>
        <v>-7696</v>
      </c>
      <c r="R19" s="200">
        <f>'Historical Financials'!V21</f>
        <v>-7903</v>
      </c>
      <c r="S19" s="200">
        <f>'Historical Financials'!W21</f>
        <v>-8006</v>
      </c>
      <c r="T19" s="200">
        <f>'Historical Financials'!X21</f>
        <v>-7765</v>
      </c>
      <c r="U19" s="200">
        <f>'Historical Financials'!Y21</f>
        <v>-8268</v>
      </c>
      <c r="V19" s="200">
        <f>'Historical Financials'!Z21</f>
        <v>-8550</v>
      </c>
      <c r="W19" s="200">
        <f>'Historical Financials'!AA21</f>
        <v>-8866</v>
      </c>
      <c r="X19" s="5"/>
      <c r="Y19" s="12">
        <f t="shared" ref="Y19:Y20" si="53">SUM(I19:L19)</f>
        <v>-26251</v>
      </c>
      <c r="Z19" s="12">
        <f t="shared" ref="Z19:AJ20" si="54">SUM(J19:M19)</f>
        <v>-27654</v>
      </c>
      <c r="AA19" s="12">
        <f t="shared" si="54"/>
        <v>-28724</v>
      </c>
      <c r="AB19" s="12">
        <f t="shared" si="54"/>
        <v>-29369</v>
      </c>
      <c r="AC19" s="12">
        <f t="shared" si="54"/>
        <v>-29915</v>
      </c>
      <c r="AD19" s="12">
        <f t="shared" si="54"/>
        <v>-29902</v>
      </c>
      <c r="AE19" s="11">
        <f t="shared" si="54"/>
        <v>-30348</v>
      </c>
      <c r="AF19" s="11">
        <f t="shared" si="54"/>
        <v>-30912</v>
      </c>
      <c r="AG19" s="11">
        <f t="shared" si="54"/>
        <v>-31370</v>
      </c>
      <c r="AH19" s="11">
        <f t="shared" si="54"/>
        <v>-31942</v>
      </c>
      <c r="AI19" s="11">
        <f t="shared" si="54"/>
        <v>-32589</v>
      </c>
      <c r="AJ19" s="11">
        <f t="shared" si="54"/>
        <v>-33449</v>
      </c>
      <c r="AL19" s="13">
        <f t="shared" ref="AL19:AL21" si="55">SUM(AJ19/AF19)-1</f>
        <v>8.2071687370600444E-2</v>
      </c>
    </row>
    <row r="20" spans="2:38" ht="12.75" customHeight="1">
      <c r="B20" s="26" t="s">
        <v>331</v>
      </c>
      <c r="C20" s="200">
        <f>'Historical Financials'!G22</f>
        <v>-19916</v>
      </c>
      <c r="D20" s="200">
        <f>'Historical Financials'!H22</f>
        <v>-21973</v>
      </c>
      <c r="E20" s="200">
        <f>'Historical Financials'!I22</f>
        <v>-25094</v>
      </c>
      <c r="F20" s="200">
        <f>'Historical Financials'!J22</f>
        <v>-24932</v>
      </c>
      <c r="G20" s="200">
        <f>'Historical Financials'!K22</f>
        <v>-26097</v>
      </c>
      <c r="H20" s="200"/>
      <c r="I20" s="200">
        <f>'Historical Financials'!M22</f>
        <v>-6449</v>
      </c>
      <c r="J20" s="200">
        <f>'Historical Financials'!N22</f>
        <v>-6193</v>
      </c>
      <c r="K20" s="200">
        <f>'Historical Financials'!O22</f>
        <v>-6012</v>
      </c>
      <c r="L20" s="200">
        <f>'Historical Financials'!P22</f>
        <v>-6440</v>
      </c>
      <c r="M20" s="200">
        <f>'Historical Financials'!Q22</f>
        <v>-6607</v>
      </c>
      <c r="N20" s="200">
        <f>'Historical Financials'!R22</f>
        <v>-6201</v>
      </c>
      <c r="O20" s="200">
        <f>'Historical Financials'!S22</f>
        <v>-5973</v>
      </c>
      <c r="P20" s="200">
        <f>'Historical Financials'!T22</f>
        <v>-6151</v>
      </c>
      <c r="Q20" s="200">
        <f>'Historical Financials'!U22</f>
        <v>-6786</v>
      </c>
      <c r="R20" s="200">
        <f>'Historical Financials'!V22</f>
        <v>-6468</v>
      </c>
      <c r="S20" s="200">
        <f>'Historical Financials'!W22</f>
        <v>-6320</v>
      </c>
      <c r="T20" s="200">
        <f>'Historical Financials'!X22</f>
        <v>-6523</v>
      </c>
      <c r="U20" s="200">
        <f>'Historical Financials'!Y22</f>
        <v>-7175</v>
      </c>
      <c r="V20" s="200">
        <f>'Historical Financials'!Z22</f>
        <v>-6728</v>
      </c>
      <c r="W20" s="200">
        <f>'Historical Financials'!AA22</f>
        <v>-6650</v>
      </c>
      <c r="X20" s="5"/>
      <c r="Y20" s="12">
        <f t="shared" si="53"/>
        <v>-25094</v>
      </c>
      <c r="Z20" s="12">
        <f t="shared" si="54"/>
        <v>-25252</v>
      </c>
      <c r="AA20" s="12">
        <f t="shared" si="54"/>
        <v>-25260</v>
      </c>
      <c r="AB20" s="12">
        <f t="shared" si="54"/>
        <v>-25221</v>
      </c>
      <c r="AC20" s="12">
        <f t="shared" si="54"/>
        <v>-24932</v>
      </c>
      <c r="AD20" s="12">
        <f t="shared" si="54"/>
        <v>-25111</v>
      </c>
      <c r="AE20" s="11">
        <f t="shared" si="54"/>
        <v>-25378</v>
      </c>
      <c r="AF20" s="11">
        <f t="shared" si="54"/>
        <v>-25725</v>
      </c>
      <c r="AG20" s="11">
        <f t="shared" si="54"/>
        <v>-26097</v>
      </c>
      <c r="AH20" s="11">
        <f t="shared" si="54"/>
        <v>-26486</v>
      </c>
      <c r="AI20" s="11">
        <f t="shared" si="54"/>
        <v>-26746</v>
      </c>
      <c r="AJ20" s="11">
        <f t="shared" si="54"/>
        <v>-27076</v>
      </c>
      <c r="AL20" s="13">
        <f t="shared" si="55"/>
        <v>5.2517006802720978E-2</v>
      </c>
    </row>
    <row r="21" spans="2:38" ht="12.75" customHeight="1">
      <c r="B21" s="14" t="s">
        <v>51</v>
      </c>
      <c r="C21" s="15">
        <f>SUM(C16+SUM(C19:C20))</f>
        <v>66288</v>
      </c>
      <c r="D21" s="15">
        <f>SUM(D16+SUM(D19:D20))</f>
        <v>108949</v>
      </c>
      <c r="E21" s="15">
        <f>SUM(E16+SUM(E19:E20))</f>
        <v>119437</v>
      </c>
      <c r="F21" s="15">
        <f>SUM(F16+SUM(F19:F20))</f>
        <v>114301</v>
      </c>
      <c r="G21" s="15">
        <f>SUM(G16+SUM(G19:G20))</f>
        <v>123216</v>
      </c>
      <c r="H21" s="12"/>
      <c r="I21" s="15">
        <f t="shared" ref="I21:W21" si="56">SUM(I16+SUM(I19:I20))</f>
        <v>41488</v>
      </c>
      <c r="J21" s="15">
        <f t="shared" si="56"/>
        <v>29979</v>
      </c>
      <c r="K21" s="15">
        <f t="shared" si="56"/>
        <v>23076</v>
      </c>
      <c r="L21" s="15">
        <f t="shared" si="56"/>
        <v>24894</v>
      </c>
      <c r="M21" s="15">
        <f t="shared" si="56"/>
        <v>36016</v>
      </c>
      <c r="N21" s="15">
        <f t="shared" si="56"/>
        <v>28318</v>
      </c>
      <c r="O21" s="15">
        <f t="shared" si="56"/>
        <v>22998</v>
      </c>
      <c r="P21" s="15">
        <f t="shared" si="56"/>
        <v>26969</v>
      </c>
      <c r="Q21" s="15">
        <f t="shared" si="56"/>
        <v>40373</v>
      </c>
      <c r="R21" s="15">
        <f t="shared" si="56"/>
        <v>27900</v>
      </c>
      <c r="S21" s="15">
        <f t="shared" si="56"/>
        <v>25352</v>
      </c>
      <c r="T21" s="15">
        <f t="shared" si="56"/>
        <v>29591</v>
      </c>
      <c r="U21" s="15">
        <f t="shared" si="56"/>
        <v>42832</v>
      </c>
      <c r="V21" s="15">
        <f t="shared" si="56"/>
        <v>29589</v>
      </c>
      <c r="W21" s="15">
        <f t="shared" si="56"/>
        <v>28202</v>
      </c>
      <c r="X21" s="5"/>
      <c r="Y21" s="15">
        <f t="shared" ref="Y21:AJ21" si="57">SUM(Y16+SUM(Y19:Y20))</f>
        <v>119437</v>
      </c>
      <c r="Z21" s="15">
        <f t="shared" si="57"/>
        <v>113965</v>
      </c>
      <c r="AA21" s="15">
        <f t="shared" si="57"/>
        <v>112304</v>
      </c>
      <c r="AB21" s="15">
        <f t="shared" si="57"/>
        <v>112226</v>
      </c>
      <c r="AC21" s="15">
        <f t="shared" si="57"/>
        <v>114301</v>
      </c>
      <c r="AD21" s="15">
        <f t="shared" si="57"/>
        <v>118658</v>
      </c>
      <c r="AE21" s="15">
        <f t="shared" si="57"/>
        <v>118240</v>
      </c>
      <c r="AF21" s="15">
        <f t="shared" si="57"/>
        <v>120594</v>
      </c>
      <c r="AG21" s="15">
        <f t="shared" si="57"/>
        <v>123216</v>
      </c>
      <c r="AH21" s="15">
        <f t="shared" si="57"/>
        <v>125675</v>
      </c>
      <c r="AI21" s="15">
        <f t="shared" si="57"/>
        <v>127364</v>
      </c>
      <c r="AJ21" s="15">
        <f t="shared" si="57"/>
        <v>130214</v>
      </c>
      <c r="AL21" s="16">
        <f t="shared" si="55"/>
        <v>7.9771796275105E-2</v>
      </c>
    </row>
    <row r="22" spans="2:38" ht="12.75" customHeight="1">
      <c r="B22" s="17" t="s">
        <v>52</v>
      </c>
      <c r="C22" s="19">
        <f>C21/C11</f>
        <v>0.24147314354406862</v>
      </c>
      <c r="D22" s="19">
        <f>D21/D11</f>
        <v>0.29782377527561593</v>
      </c>
      <c r="E22" s="19">
        <f>E21/E11</f>
        <v>0.30288744395528594</v>
      </c>
      <c r="F22" s="19">
        <f>F21/F11</f>
        <v>0.29821412265024722</v>
      </c>
      <c r="G22" s="19">
        <f>G21/G11</f>
        <v>0.31510222870075566</v>
      </c>
      <c r="H22" s="30"/>
      <c r="I22" s="19">
        <f t="shared" ref="I22:W22" si="58">I21/I11</f>
        <v>0.33472911371979508</v>
      </c>
      <c r="J22" s="19">
        <f t="shared" si="58"/>
        <v>0.30817862209338187</v>
      </c>
      <c r="K22" s="19">
        <f t="shared" si="58"/>
        <v>0.27816150146457891</v>
      </c>
      <c r="L22" s="19">
        <f t="shared" si="58"/>
        <v>0.27615202005635303</v>
      </c>
      <c r="M22" s="19">
        <f t="shared" si="58"/>
        <v>0.30742441572630896</v>
      </c>
      <c r="N22" s="19">
        <f t="shared" si="58"/>
        <v>0.29859968788223878</v>
      </c>
      <c r="O22" s="19">
        <f t="shared" si="58"/>
        <v>0.28115945572576012</v>
      </c>
      <c r="P22" s="19">
        <f t="shared" si="58"/>
        <v>0.30133634271156895</v>
      </c>
      <c r="Q22" s="19">
        <f t="shared" si="58"/>
        <v>0.33763746602550698</v>
      </c>
      <c r="R22" s="19">
        <f t="shared" si="58"/>
        <v>0.30742785362467356</v>
      </c>
      <c r="S22" s="19">
        <f t="shared" si="58"/>
        <v>0.29555708406682446</v>
      </c>
      <c r="T22" s="19">
        <f t="shared" si="58"/>
        <v>0.31171389444854103</v>
      </c>
      <c r="U22" s="19">
        <f t="shared" si="58"/>
        <v>0.34458567980691873</v>
      </c>
      <c r="V22" s="19">
        <f t="shared" si="58"/>
        <v>0.31029058610094484</v>
      </c>
      <c r="W22" s="19">
        <f t="shared" si="58"/>
        <v>0.29990641881832492</v>
      </c>
      <c r="X22" s="31"/>
      <c r="Y22" s="19">
        <f t="shared" ref="Y22:AJ22" si="59">Y21/Y11</f>
        <v>0.30288744395528594</v>
      </c>
      <c r="Z22" s="19">
        <f t="shared" si="59"/>
        <v>0.29407514637312049</v>
      </c>
      <c r="AA22" s="19">
        <f t="shared" si="59"/>
        <v>0.29162674145340761</v>
      </c>
      <c r="AB22" s="19">
        <f t="shared" si="59"/>
        <v>0.29230620967720933</v>
      </c>
      <c r="AC22" s="19">
        <f t="shared" si="59"/>
        <v>0.29821412265024722</v>
      </c>
      <c r="AD22" s="19">
        <f t="shared" si="59"/>
        <v>0.30763846038174153</v>
      </c>
      <c r="AE22" s="19">
        <f t="shared" si="59"/>
        <v>0.30983457496010458</v>
      </c>
      <c r="AF22" s="19">
        <f t="shared" si="59"/>
        <v>0.31274134278000948</v>
      </c>
      <c r="AG22" s="19">
        <f t="shared" si="59"/>
        <v>0.31510222870075566</v>
      </c>
      <c r="AH22" s="19">
        <f t="shared" si="59"/>
        <v>0.31755356781888011</v>
      </c>
      <c r="AI22" s="19">
        <f t="shared" si="59"/>
        <v>0.31811892118711377</v>
      </c>
      <c r="AJ22" s="19">
        <f t="shared" si="59"/>
        <v>0.31866381156316914</v>
      </c>
      <c r="AL22" s="20">
        <f>SUM(AJ22-AF22)*10000</f>
        <v>59.224687831596626</v>
      </c>
    </row>
    <row r="23" spans="2:38" ht="5.0999999999999996" customHeight="1">
      <c r="AL23" s="9"/>
    </row>
    <row r="24" spans="2:38" ht="12.75" customHeight="1">
      <c r="B24" s="34" t="s">
        <v>53</v>
      </c>
      <c r="C24" s="200">
        <f>'Historical Financials'!G83</f>
        <v>11056</v>
      </c>
      <c r="D24" s="200">
        <f>'Historical Financials'!H83</f>
        <v>11284</v>
      </c>
      <c r="E24" s="200">
        <f>'Historical Financials'!I83</f>
        <v>11104</v>
      </c>
      <c r="F24" s="200">
        <f>'Historical Financials'!J83</f>
        <v>11519</v>
      </c>
      <c r="G24" s="200">
        <f>'Historical Financials'!K83</f>
        <v>11445</v>
      </c>
      <c r="I24" s="200">
        <f>'Historical Financials'!M83</f>
        <v>2697</v>
      </c>
      <c r="J24" s="200">
        <f>'Historical Financials'!N83</f>
        <v>2737</v>
      </c>
      <c r="K24" s="200">
        <f>'Historical Financials'!O83</f>
        <v>2805</v>
      </c>
      <c r="L24" s="200">
        <f>'Historical Financials'!P83</f>
        <v>2865</v>
      </c>
      <c r="M24" s="200">
        <f>'Historical Financials'!Q83</f>
        <v>2916</v>
      </c>
      <c r="N24" s="200">
        <f>'Historical Financials'!R83</f>
        <v>2898</v>
      </c>
      <c r="O24" s="200">
        <f>'Historical Financials'!S83</f>
        <v>3052</v>
      </c>
      <c r="P24" s="200">
        <f>'Historical Financials'!T83</f>
        <v>2653</v>
      </c>
      <c r="Q24" s="200">
        <f>'Historical Financials'!U83</f>
        <v>2848</v>
      </c>
      <c r="R24" s="200">
        <f>'Historical Financials'!V83</f>
        <v>2836</v>
      </c>
      <c r="S24" s="200">
        <f>'Historical Financials'!W83</f>
        <v>2850</v>
      </c>
      <c r="T24" s="200">
        <f>'Historical Financials'!X83</f>
        <v>2911</v>
      </c>
      <c r="U24" s="200">
        <f>'Historical Financials'!Y83</f>
        <v>3080</v>
      </c>
      <c r="V24" s="200">
        <f>'Historical Financials'!Z83</f>
        <v>2661</v>
      </c>
      <c r="W24" s="200">
        <f>'Historical Financials'!AA83</f>
        <v>2830</v>
      </c>
      <c r="Y24" s="12">
        <f t="shared" ref="Y24:AJ24" si="60">SUM(I24:L24)</f>
        <v>11104</v>
      </c>
      <c r="Z24" s="12">
        <f t="shared" si="60"/>
        <v>11323</v>
      </c>
      <c r="AA24" s="12">
        <f t="shared" si="60"/>
        <v>11484</v>
      </c>
      <c r="AB24" s="12">
        <f t="shared" si="60"/>
        <v>11731</v>
      </c>
      <c r="AC24" s="12">
        <f t="shared" si="60"/>
        <v>11519</v>
      </c>
      <c r="AD24" s="12">
        <f t="shared" si="60"/>
        <v>11451</v>
      </c>
      <c r="AE24" s="11">
        <f t="shared" si="60"/>
        <v>11389</v>
      </c>
      <c r="AF24" s="11">
        <f t="shared" si="60"/>
        <v>11187</v>
      </c>
      <c r="AG24" s="11">
        <f t="shared" si="60"/>
        <v>11445</v>
      </c>
      <c r="AH24" s="11">
        <f t="shared" si="60"/>
        <v>11677</v>
      </c>
      <c r="AI24" s="11">
        <f t="shared" si="60"/>
        <v>11502</v>
      </c>
      <c r="AJ24" s="11">
        <f t="shared" si="60"/>
        <v>11482</v>
      </c>
      <c r="AL24" s="13">
        <f t="shared" ref="AL24:AL25" si="61">SUM(AJ24/AF24)-1</f>
        <v>2.636989362653086E-2</v>
      </c>
    </row>
    <row r="25" spans="2:38" ht="12.75" customHeight="1">
      <c r="B25" s="28" t="s">
        <v>11</v>
      </c>
      <c r="C25" s="29">
        <f t="shared" ref="C25" si="62">SUM(C21+C24)</f>
        <v>77344</v>
      </c>
      <c r="D25" s="29">
        <f t="shared" ref="D25:E25" si="63">SUM(D21+D24)</f>
        <v>120233</v>
      </c>
      <c r="E25" s="29">
        <f t="shared" si="63"/>
        <v>130541</v>
      </c>
      <c r="F25" s="29">
        <f>SUM(F21+F24)</f>
        <v>125820</v>
      </c>
      <c r="G25" s="29">
        <f>SUM(G21+G24)</f>
        <v>134661</v>
      </c>
      <c r="I25" s="29">
        <f t="shared" ref="I25:AI25" si="64">SUM(I21+I24)</f>
        <v>44185</v>
      </c>
      <c r="J25" s="29">
        <f t="shared" si="64"/>
        <v>32716</v>
      </c>
      <c r="K25" s="29">
        <f t="shared" si="64"/>
        <v>25881</v>
      </c>
      <c r="L25" s="29">
        <f t="shared" si="64"/>
        <v>27759</v>
      </c>
      <c r="M25" s="29">
        <f t="shared" si="64"/>
        <v>38932</v>
      </c>
      <c r="N25" s="29">
        <f t="shared" si="64"/>
        <v>31216</v>
      </c>
      <c r="O25" s="29">
        <f t="shared" si="64"/>
        <v>26050</v>
      </c>
      <c r="P25" s="29">
        <f t="shared" si="64"/>
        <v>29622</v>
      </c>
      <c r="Q25" s="29">
        <f t="shared" si="64"/>
        <v>43221</v>
      </c>
      <c r="R25" s="29">
        <f t="shared" si="64"/>
        <v>30736</v>
      </c>
      <c r="S25" s="29">
        <f>SUM(S21+S24)</f>
        <v>28202</v>
      </c>
      <c r="T25" s="29">
        <f>SUM(T21+T24)</f>
        <v>32502</v>
      </c>
      <c r="U25" s="29">
        <f t="shared" ref="U25:V25" si="65">SUM(U21+U24)</f>
        <v>45912</v>
      </c>
      <c r="V25" s="29">
        <f t="shared" si="65"/>
        <v>32250</v>
      </c>
      <c r="W25" s="29">
        <f t="shared" ref="W25" si="66">SUM(W21+W24)</f>
        <v>31032</v>
      </c>
      <c r="Y25" s="29">
        <f t="shared" ref="Y25:AF25" si="67">SUM(Y21+Y24)</f>
        <v>130541</v>
      </c>
      <c r="Z25" s="29">
        <f t="shared" si="67"/>
        <v>125288</v>
      </c>
      <c r="AA25" s="29">
        <f t="shared" si="67"/>
        <v>123788</v>
      </c>
      <c r="AB25" s="29">
        <f t="shared" si="67"/>
        <v>123957</v>
      </c>
      <c r="AC25" s="29">
        <f t="shared" si="67"/>
        <v>125820</v>
      </c>
      <c r="AD25" s="29">
        <f t="shared" si="67"/>
        <v>130109</v>
      </c>
      <c r="AE25" s="29">
        <f t="shared" si="67"/>
        <v>129629</v>
      </c>
      <c r="AF25" s="29">
        <f t="shared" si="67"/>
        <v>131781</v>
      </c>
      <c r="AG25" s="29">
        <f t="shared" si="64"/>
        <v>134661</v>
      </c>
      <c r="AH25" s="29">
        <f t="shared" si="64"/>
        <v>137352</v>
      </c>
      <c r="AI25" s="29">
        <f t="shared" si="64"/>
        <v>138866</v>
      </c>
      <c r="AJ25" s="29">
        <f t="shared" ref="AJ25" si="68">SUM(AJ21+AJ24)</f>
        <v>141696</v>
      </c>
      <c r="AL25" s="16">
        <f t="shared" si="61"/>
        <v>7.5238463814965684E-2</v>
      </c>
    </row>
    <row r="26" spans="2:38" ht="12.75" customHeight="1">
      <c r="B26" s="17" t="s">
        <v>54</v>
      </c>
      <c r="C26" s="19">
        <f>C25/C11</f>
        <v>0.2817478097736007</v>
      </c>
      <c r="D26" s="19">
        <f>D25/D11</f>
        <v>0.32866979938056462</v>
      </c>
      <c r="E26" s="19">
        <f>E25/E11</f>
        <v>0.3310467428130896</v>
      </c>
      <c r="F26" s="19">
        <f>F25/F11</f>
        <v>0.32826747720364741</v>
      </c>
      <c r="G26" s="19">
        <f>G25/G11</f>
        <v>0.34437070850435381</v>
      </c>
      <c r="I26" s="19">
        <f t="shared" ref="I26:W26" si="69">I25/I11</f>
        <v>0.35648876517810318</v>
      </c>
      <c r="J26" s="19">
        <f t="shared" si="69"/>
        <v>0.33631448014967413</v>
      </c>
      <c r="K26" s="19">
        <f t="shared" si="69"/>
        <v>0.31197338444291761</v>
      </c>
      <c r="L26" s="19">
        <f t="shared" si="69"/>
        <v>0.30793379628602491</v>
      </c>
      <c r="M26" s="19">
        <f t="shared" si="69"/>
        <v>0.33231473103777931</v>
      </c>
      <c r="N26" s="19">
        <f t="shared" si="69"/>
        <v>0.32915770382555148</v>
      </c>
      <c r="O26" s="19">
        <f t="shared" si="69"/>
        <v>0.31847133757961782</v>
      </c>
      <c r="P26" s="19">
        <f t="shared" si="69"/>
        <v>0.33097946322822858</v>
      </c>
      <c r="Q26" s="19">
        <f t="shared" si="69"/>
        <v>0.36145515366924524</v>
      </c>
      <c r="R26" s="19">
        <f t="shared" si="69"/>
        <v>0.33867750928343965</v>
      </c>
      <c r="S26" s="19">
        <f t="shared" si="69"/>
        <v>0.32878277393706939</v>
      </c>
      <c r="T26" s="19">
        <f t="shared" si="69"/>
        <v>0.34237859475402926</v>
      </c>
      <c r="U26" s="19">
        <f t="shared" si="69"/>
        <v>0.36936444086886566</v>
      </c>
      <c r="V26" s="19">
        <f t="shared" si="69"/>
        <v>0.33819566060885703</v>
      </c>
      <c r="W26" s="19">
        <f t="shared" si="69"/>
        <v>0.33000127610702285</v>
      </c>
      <c r="Y26" s="19">
        <f t="shared" ref="Y26:AJ26" si="70">Y25/Y11</f>
        <v>0.3310467428130896</v>
      </c>
      <c r="Z26" s="19">
        <f t="shared" si="70"/>
        <v>0.32329300170048281</v>
      </c>
      <c r="AA26" s="19">
        <f t="shared" si="70"/>
        <v>0.3214479544008621</v>
      </c>
      <c r="AB26" s="19">
        <f t="shared" si="70"/>
        <v>0.32286102002172257</v>
      </c>
      <c r="AC26" s="19">
        <f t="shared" si="70"/>
        <v>0.32826747720364741</v>
      </c>
      <c r="AD26" s="19">
        <f t="shared" si="70"/>
        <v>0.33732687591066773</v>
      </c>
      <c r="AE26" s="19">
        <f t="shared" si="70"/>
        <v>0.33967816405195705</v>
      </c>
      <c r="AF26" s="19">
        <f t="shared" si="70"/>
        <v>0.34175304652712762</v>
      </c>
      <c r="AG26" s="19">
        <f t="shared" si="70"/>
        <v>0.34437070850435381</v>
      </c>
      <c r="AH26" s="19">
        <f t="shared" si="70"/>
        <v>0.34705882352941175</v>
      </c>
      <c r="AI26" s="19">
        <f t="shared" si="70"/>
        <v>0.34684763441451072</v>
      </c>
      <c r="AJ26" s="19">
        <f t="shared" si="70"/>
        <v>0.3467629244417253</v>
      </c>
      <c r="AL26" s="20">
        <f>SUM(AJ26-AF26)*10000</f>
        <v>50.098779145976714</v>
      </c>
    </row>
    <row r="27" spans="2:38" ht="5.0999999999999996" customHeight="1">
      <c r="AL27" s="9"/>
    </row>
    <row r="28" spans="2:38" ht="12.75" customHeight="1">
      <c r="B28" s="34" t="s">
        <v>55</v>
      </c>
      <c r="C28" s="200">
        <f>'Historical Financials'!G84</f>
        <v>6829</v>
      </c>
      <c r="D28" s="200">
        <f>'Historical Financials'!H84</f>
        <v>7906</v>
      </c>
      <c r="E28" s="200">
        <f>'Historical Financials'!I84</f>
        <v>9038</v>
      </c>
      <c r="F28" s="200">
        <f>'Historical Financials'!J84</f>
        <v>10833</v>
      </c>
      <c r="G28" s="200">
        <f>'Historical Financials'!K84</f>
        <v>11688</v>
      </c>
      <c r="I28" s="200">
        <f>'Historical Financials'!M84</f>
        <v>2265</v>
      </c>
      <c r="J28" s="200">
        <f>'Historical Financials'!N84</f>
        <v>2252</v>
      </c>
      <c r="K28" s="200">
        <f>'Historical Financials'!O84</f>
        <v>2243</v>
      </c>
      <c r="L28" s="200">
        <f>'Historical Financials'!P84</f>
        <v>2278</v>
      </c>
      <c r="M28" s="200">
        <f>'Historical Financials'!Q84</f>
        <v>2905</v>
      </c>
      <c r="N28" s="200">
        <f>'Historical Financials'!R84</f>
        <v>2686</v>
      </c>
      <c r="O28" s="200">
        <f>'Historical Financials'!S84</f>
        <v>2617</v>
      </c>
      <c r="P28" s="200">
        <f>'Historical Financials'!T84</f>
        <v>2625</v>
      </c>
      <c r="Q28" s="200">
        <f>'Historical Financials'!U84</f>
        <v>2997</v>
      </c>
      <c r="R28" s="200">
        <f>'Historical Financials'!V84</f>
        <v>2967</v>
      </c>
      <c r="S28" s="200">
        <f>'Historical Financials'!W84</f>
        <v>2866</v>
      </c>
      <c r="T28" s="200">
        <f>'Historical Financials'!X84</f>
        <v>2858</v>
      </c>
      <c r="U28" s="200">
        <f>'Historical Financials'!Y84</f>
        <v>3286</v>
      </c>
      <c r="V28" s="200">
        <f>'Historical Financials'!Z84</f>
        <v>3226</v>
      </c>
      <c r="W28" s="200">
        <f>'Historical Financials'!AA84</f>
        <v>3168</v>
      </c>
      <c r="Y28" s="35">
        <f t="shared" ref="Y28" si="71">SUM(I28:L28)</f>
        <v>9038</v>
      </c>
      <c r="Z28" s="35">
        <f t="shared" ref="Z28:AJ28" si="72">SUM(J28:M28)</f>
        <v>9678</v>
      </c>
      <c r="AA28" s="35">
        <f t="shared" si="72"/>
        <v>10112</v>
      </c>
      <c r="AB28" s="35">
        <f t="shared" si="72"/>
        <v>10486</v>
      </c>
      <c r="AC28" s="35">
        <f t="shared" si="72"/>
        <v>10833</v>
      </c>
      <c r="AD28" s="35">
        <f t="shared" si="72"/>
        <v>10925</v>
      </c>
      <c r="AE28" s="35">
        <f t="shared" si="72"/>
        <v>11206</v>
      </c>
      <c r="AF28" s="35">
        <f t="shared" si="72"/>
        <v>11455</v>
      </c>
      <c r="AG28" s="35">
        <f t="shared" si="72"/>
        <v>11688</v>
      </c>
      <c r="AH28" s="35">
        <f t="shared" si="72"/>
        <v>11977</v>
      </c>
      <c r="AI28" s="35">
        <f t="shared" si="72"/>
        <v>12236</v>
      </c>
      <c r="AJ28" s="35">
        <f t="shared" si="72"/>
        <v>12538</v>
      </c>
      <c r="AL28" s="13">
        <f t="shared" ref="AL28:AL29" si="73">SUM(AJ28/AF28)-1</f>
        <v>9.4543867306852825E-2</v>
      </c>
    </row>
    <row r="29" spans="2:38" ht="12.75" customHeight="1">
      <c r="B29" s="14" t="s">
        <v>56</v>
      </c>
      <c r="C29" s="15">
        <f>+SUM(C25+SUM(C28:C28))</f>
        <v>84173</v>
      </c>
      <c r="D29" s="15">
        <f>+SUM(D25+SUM(D28:D28))</f>
        <v>128139</v>
      </c>
      <c r="E29" s="15">
        <f>+SUM(E25+SUM(E28:E28))</f>
        <v>139579</v>
      </c>
      <c r="F29" s="15">
        <f>+SUM(F25+SUM(F28:F28))</f>
        <v>136653</v>
      </c>
      <c r="G29" s="15">
        <f>+SUM(G25+SUM(G28:G28))</f>
        <v>146349</v>
      </c>
      <c r="H29" s="12"/>
      <c r="I29" s="15">
        <f t="shared" ref="I29:W29" si="74">+SUM(I25+SUM(I28:I28))</f>
        <v>46450</v>
      </c>
      <c r="J29" s="15">
        <f t="shared" si="74"/>
        <v>34968</v>
      </c>
      <c r="K29" s="15">
        <f t="shared" si="74"/>
        <v>28124</v>
      </c>
      <c r="L29" s="15">
        <f t="shared" si="74"/>
        <v>30037</v>
      </c>
      <c r="M29" s="15">
        <f t="shared" si="74"/>
        <v>41837</v>
      </c>
      <c r="N29" s="15">
        <f t="shared" si="74"/>
        <v>33902</v>
      </c>
      <c r="O29" s="15">
        <f t="shared" si="74"/>
        <v>28667</v>
      </c>
      <c r="P29" s="15">
        <f t="shared" si="74"/>
        <v>32247</v>
      </c>
      <c r="Q29" s="15">
        <f t="shared" si="74"/>
        <v>46218</v>
      </c>
      <c r="R29" s="15">
        <f t="shared" si="74"/>
        <v>33703</v>
      </c>
      <c r="S29" s="15">
        <f t="shared" si="74"/>
        <v>31068</v>
      </c>
      <c r="T29" s="15">
        <f t="shared" si="74"/>
        <v>35360</v>
      </c>
      <c r="U29" s="15">
        <f t="shared" si="74"/>
        <v>49198</v>
      </c>
      <c r="V29" s="15">
        <f t="shared" si="74"/>
        <v>35476</v>
      </c>
      <c r="W29" s="15">
        <f t="shared" si="74"/>
        <v>34200</v>
      </c>
      <c r="X29" s="5"/>
      <c r="Y29" s="15">
        <f t="shared" ref="Y29:AJ29" si="75">+SUM(Y25+SUM(Y28:Y28))</f>
        <v>139579</v>
      </c>
      <c r="Z29" s="15">
        <f t="shared" si="75"/>
        <v>134966</v>
      </c>
      <c r="AA29" s="15">
        <f t="shared" si="75"/>
        <v>133900</v>
      </c>
      <c r="AB29" s="15">
        <f t="shared" si="75"/>
        <v>134443</v>
      </c>
      <c r="AC29" s="15">
        <f t="shared" si="75"/>
        <v>136653</v>
      </c>
      <c r="AD29" s="15">
        <f t="shared" si="75"/>
        <v>141034</v>
      </c>
      <c r="AE29" s="15">
        <f t="shared" si="75"/>
        <v>140835</v>
      </c>
      <c r="AF29" s="15">
        <f t="shared" si="75"/>
        <v>143236</v>
      </c>
      <c r="AG29" s="15">
        <f t="shared" si="75"/>
        <v>146349</v>
      </c>
      <c r="AH29" s="15">
        <f t="shared" si="75"/>
        <v>149329</v>
      </c>
      <c r="AI29" s="15">
        <f t="shared" si="75"/>
        <v>151102</v>
      </c>
      <c r="AJ29" s="15">
        <f t="shared" si="75"/>
        <v>154234</v>
      </c>
      <c r="AL29" s="16">
        <f t="shared" si="73"/>
        <v>7.6782373146415672E-2</v>
      </c>
    </row>
    <row r="30" spans="2:38" ht="12.75" customHeight="1">
      <c r="B30" s="17" t="s">
        <v>57</v>
      </c>
      <c r="C30" s="19">
        <f>C29/C11</f>
        <v>0.30662441032366172</v>
      </c>
      <c r="D30" s="19">
        <f>D29/D11</f>
        <v>0.35028169822616229</v>
      </c>
      <c r="E30" s="19">
        <f>E29/E11</f>
        <v>0.35396674849363979</v>
      </c>
      <c r="F30" s="19">
        <f>F29/F11</f>
        <v>0.35653104087037063</v>
      </c>
      <c r="G30" s="19">
        <f>G29/G11</f>
        <v>0.37426061605738614</v>
      </c>
      <c r="I30" s="19">
        <f t="shared" ref="I30:W30" si="76">I29/I11</f>
        <v>0.37476299971761667</v>
      </c>
      <c r="J30" s="19">
        <f t="shared" si="76"/>
        <v>0.35946462715105165</v>
      </c>
      <c r="K30" s="19">
        <f t="shared" si="76"/>
        <v>0.33901083667835918</v>
      </c>
      <c r="L30" s="19">
        <f t="shared" si="76"/>
        <v>0.33320391365118807</v>
      </c>
      <c r="M30" s="19">
        <f t="shared" si="76"/>
        <v>0.35711115284155898</v>
      </c>
      <c r="N30" s="19">
        <f t="shared" si="76"/>
        <v>0.3574802817495466</v>
      </c>
      <c r="O30" s="19">
        <f t="shared" si="76"/>
        <v>0.35046517598444932</v>
      </c>
      <c r="P30" s="19">
        <f t="shared" si="76"/>
        <v>0.36030972759167801</v>
      </c>
      <c r="Q30" s="19">
        <f t="shared" si="76"/>
        <v>0.38651892117917624</v>
      </c>
      <c r="R30" s="19">
        <f t="shared" si="76"/>
        <v>0.37137064339470871</v>
      </c>
      <c r="S30" s="19">
        <f t="shared" si="76"/>
        <v>0.36219499399605953</v>
      </c>
      <c r="T30" s="19">
        <f t="shared" si="76"/>
        <v>0.37248498893921839</v>
      </c>
      <c r="U30" s="19">
        <f t="shared" si="76"/>
        <v>0.39580048270313756</v>
      </c>
      <c r="V30" s="19">
        <f t="shared" si="76"/>
        <v>0.37202571335689344</v>
      </c>
      <c r="W30" s="19">
        <f t="shared" si="76"/>
        <v>0.36369050151005999</v>
      </c>
      <c r="Y30" s="19">
        <f t="shared" ref="Y30:AJ30" si="77">Y29/Y11</f>
        <v>0.35396674849363979</v>
      </c>
      <c r="Z30" s="19">
        <f t="shared" si="77"/>
        <v>0.34826610104325523</v>
      </c>
      <c r="AA30" s="19">
        <f t="shared" si="77"/>
        <v>0.34770641010659709</v>
      </c>
      <c r="AB30" s="19">
        <f t="shared" si="77"/>
        <v>0.35017307707334355</v>
      </c>
      <c r="AC30" s="19">
        <f t="shared" si="77"/>
        <v>0.35653104087037063</v>
      </c>
      <c r="AD30" s="19">
        <f t="shared" si="77"/>
        <v>0.36565155844088504</v>
      </c>
      <c r="AE30" s="19">
        <f t="shared" si="77"/>
        <v>0.36904222229792227</v>
      </c>
      <c r="AF30" s="19">
        <f t="shared" si="77"/>
        <v>0.37145976561385674</v>
      </c>
      <c r="AG30" s="19">
        <f t="shared" si="77"/>
        <v>0.37426061605738614</v>
      </c>
      <c r="AH30" s="19">
        <f t="shared" si="77"/>
        <v>0.37732211441277541</v>
      </c>
      <c r="AI30" s="19">
        <f t="shared" si="77"/>
        <v>0.37740967015181109</v>
      </c>
      <c r="AJ30" s="19">
        <f t="shared" si="77"/>
        <v>0.37744631385744876</v>
      </c>
      <c r="AL30" s="20">
        <f>SUM(AJ30-AF30)*10000</f>
        <v>59.865482435920157</v>
      </c>
    </row>
    <row r="31" spans="2:38" ht="5.0999999999999996" customHeight="1">
      <c r="AL31" s="9"/>
    </row>
    <row r="32" spans="2:38" ht="12.75" customHeight="1">
      <c r="B32" s="26" t="s">
        <v>58</v>
      </c>
      <c r="C32" s="200">
        <f>'Historical Financials'!G98</f>
        <v>-7309</v>
      </c>
      <c r="D32" s="200">
        <f>'Historical Financials'!H98</f>
        <v>-11085</v>
      </c>
      <c r="E32" s="200">
        <f>'Historical Financials'!I98</f>
        <v>-10708</v>
      </c>
      <c r="F32" s="200">
        <f>'Historical Financials'!J98</f>
        <v>-10959</v>
      </c>
      <c r="G32" s="200">
        <f>'Historical Financials'!K98</f>
        <v>-9447</v>
      </c>
      <c r="I32" s="200">
        <f>'Historical Financials'!M98</f>
        <v>-2803</v>
      </c>
      <c r="J32" s="200">
        <f>'Historical Financials'!N98</f>
        <v>-2514</v>
      </c>
      <c r="K32" s="200">
        <f>'Historical Financials'!O98</f>
        <v>-2102</v>
      </c>
      <c r="L32" s="200">
        <f>'Historical Financials'!P98</f>
        <v>-3289</v>
      </c>
      <c r="M32" s="200">
        <f>'Historical Financials'!Q98</f>
        <v>-3787</v>
      </c>
      <c r="N32" s="200">
        <f>'Historical Financials'!R98</f>
        <v>-2916</v>
      </c>
      <c r="O32" s="200">
        <f>'Historical Financials'!S98</f>
        <v>-2093</v>
      </c>
      <c r="P32" s="200">
        <f>'Historical Financials'!T98</f>
        <v>-2163</v>
      </c>
      <c r="Q32" s="200">
        <f>'Historical Financials'!U98</f>
        <v>-2392</v>
      </c>
      <c r="R32" s="200">
        <f>'Historical Financials'!V98</f>
        <v>-1996</v>
      </c>
      <c r="S32" s="200">
        <f>'Historical Financials'!W98</f>
        <v>-2151</v>
      </c>
      <c r="T32" s="200">
        <f>'Historical Financials'!X98</f>
        <v>-2908</v>
      </c>
      <c r="U32" s="200">
        <f>'Historical Financials'!Y98</f>
        <v>-2940</v>
      </c>
      <c r="V32" s="200">
        <f>'Historical Financials'!Z98</f>
        <v>-3071</v>
      </c>
      <c r="W32" s="200">
        <f>'Historical Financials'!AA98</f>
        <v>-3462</v>
      </c>
      <c r="Y32" s="35">
        <f t="shared" ref="Y32:Y35" si="78">SUM(I32:L32)</f>
        <v>-10708</v>
      </c>
      <c r="Z32" s="35">
        <f t="shared" ref="Z32:AJ35" si="79">SUM(J32:M32)</f>
        <v>-11692</v>
      </c>
      <c r="AA32" s="35">
        <f t="shared" si="79"/>
        <v>-12094</v>
      </c>
      <c r="AB32" s="35">
        <f t="shared" si="79"/>
        <v>-12085</v>
      </c>
      <c r="AC32" s="35">
        <f t="shared" si="79"/>
        <v>-10959</v>
      </c>
      <c r="AD32" s="35">
        <f t="shared" si="79"/>
        <v>-9564</v>
      </c>
      <c r="AE32" s="35">
        <f t="shared" si="79"/>
        <v>-8644</v>
      </c>
      <c r="AF32" s="35">
        <f t="shared" si="79"/>
        <v>-8702</v>
      </c>
      <c r="AG32" s="35">
        <f t="shared" si="79"/>
        <v>-9447</v>
      </c>
      <c r="AH32" s="35">
        <f t="shared" si="79"/>
        <v>-9995</v>
      </c>
      <c r="AI32" s="35">
        <f t="shared" si="79"/>
        <v>-11070</v>
      </c>
      <c r="AJ32" s="35">
        <f t="shared" si="79"/>
        <v>-12381</v>
      </c>
      <c r="AL32" s="13">
        <f t="shared" ref="AL32:AL36" si="80">SUM(AJ32/AF32)-1</f>
        <v>0.42277637324752937</v>
      </c>
    </row>
    <row r="33" spans="1:38" ht="12.75" customHeight="1">
      <c r="B33" s="26" t="s">
        <v>59</v>
      </c>
      <c r="C33" s="200">
        <f>-'Historical Financials'!G128</f>
        <v>-9501</v>
      </c>
      <c r="D33" s="200">
        <f>-'Historical Financials'!H128</f>
        <v>-25385</v>
      </c>
      <c r="E33" s="200">
        <f>-'Historical Financials'!I128</f>
        <v>-19573</v>
      </c>
      <c r="F33" s="200">
        <f>-'Historical Financials'!J128</f>
        <v>-18679</v>
      </c>
      <c r="G33" s="200">
        <f>-'Historical Financials'!K128</f>
        <v>-26102</v>
      </c>
      <c r="I33" s="200">
        <f>-'Historical Financials'!M128</f>
        <v>-5235</v>
      </c>
      <c r="J33" s="200">
        <f>-'Historical Financials'!N128</f>
        <v>-4066</v>
      </c>
      <c r="K33" s="200">
        <f>-'Historical Financials'!O128</f>
        <v>-2950</v>
      </c>
      <c r="L33" s="200">
        <f>-'Historical Financials'!P128</f>
        <v>-7322</v>
      </c>
      <c r="M33" s="200">
        <f>-'Historical Financials'!Q128</f>
        <v>-828</v>
      </c>
      <c r="N33" s="200">
        <f>-'Historical Financials'!R128</f>
        <v>-4066</v>
      </c>
      <c r="O33" s="200">
        <f>-'Historical Financials'!S128</f>
        <v>-2126</v>
      </c>
      <c r="P33" s="200">
        <f>-'Historical Financials'!T128</f>
        <v>-11659</v>
      </c>
      <c r="Q33" s="200">
        <f>-'Historical Financials'!U128</f>
        <v>-7255</v>
      </c>
      <c r="R33" s="200">
        <f>-'Historical Financials'!V128</f>
        <v>-7276</v>
      </c>
      <c r="S33" s="200">
        <f>-'Historical Financials'!W128</f>
        <v>-4699</v>
      </c>
      <c r="T33" s="200">
        <f>-'Historical Financials'!X128</f>
        <v>-6872</v>
      </c>
      <c r="U33" s="200">
        <f>-'Historical Financials'!Y128</f>
        <v>-18651</v>
      </c>
      <c r="V33" s="200">
        <f>-'Historical Financials'!Z128</f>
        <v>-13032</v>
      </c>
      <c r="W33" s="200">
        <f>-'Historical Financials'!AA128</f>
        <v>-5649</v>
      </c>
      <c r="Y33" s="35">
        <f t="shared" si="78"/>
        <v>-19573</v>
      </c>
      <c r="Z33" s="35">
        <f t="shared" si="79"/>
        <v>-15166</v>
      </c>
      <c r="AA33" s="35">
        <f t="shared" si="79"/>
        <v>-15166</v>
      </c>
      <c r="AB33" s="35">
        <f t="shared" si="79"/>
        <v>-14342</v>
      </c>
      <c r="AC33" s="35">
        <f t="shared" si="79"/>
        <v>-18679</v>
      </c>
      <c r="AD33" s="35">
        <f t="shared" si="79"/>
        <v>-25106</v>
      </c>
      <c r="AE33" s="35">
        <f t="shared" si="79"/>
        <v>-28316</v>
      </c>
      <c r="AF33" s="35">
        <f t="shared" si="79"/>
        <v>-30889</v>
      </c>
      <c r="AG33" s="35">
        <f t="shared" si="79"/>
        <v>-26102</v>
      </c>
      <c r="AH33" s="35">
        <f t="shared" si="79"/>
        <v>-37498</v>
      </c>
      <c r="AI33" s="35">
        <f t="shared" si="79"/>
        <v>-43254</v>
      </c>
      <c r="AJ33" s="35">
        <f t="shared" si="79"/>
        <v>-44204</v>
      </c>
      <c r="AL33" s="13">
        <f t="shared" si="80"/>
        <v>0.43105960050503422</v>
      </c>
    </row>
    <row r="34" spans="1:38" ht="12.75" customHeight="1">
      <c r="B34" s="26" t="s">
        <v>332</v>
      </c>
      <c r="C34" s="200">
        <f>-'Historical Financials'!G129</f>
        <v>-3002</v>
      </c>
      <c r="D34" s="200">
        <f>-'Historical Financials'!H129</f>
        <v>-2687</v>
      </c>
      <c r="E34" s="200">
        <f>-'Historical Financials'!I129</f>
        <v>-2865</v>
      </c>
      <c r="F34" s="200">
        <f>-'Historical Financials'!J129</f>
        <v>-3803</v>
      </c>
      <c r="G34" s="200">
        <f>-'Historical Financials'!K129</f>
        <v>0</v>
      </c>
      <c r="I34" s="200">
        <f>-'Historical Financials'!M129</f>
        <v>-531</v>
      </c>
      <c r="J34" s="200">
        <f>-'Historical Financials'!N129</f>
        <v>-875</v>
      </c>
      <c r="K34" s="200">
        <f>-'Historical Financials'!O129</f>
        <v>-504</v>
      </c>
      <c r="L34" s="200">
        <f>-'Historical Financials'!P129</f>
        <v>-955</v>
      </c>
      <c r="M34" s="200">
        <f>-'Historical Financials'!Q129</f>
        <v>-703</v>
      </c>
      <c r="N34" s="200">
        <f>-'Historical Financials'!R129</f>
        <v>-1170</v>
      </c>
      <c r="O34" s="200">
        <f>-'Historical Financials'!S129</f>
        <v>-717</v>
      </c>
      <c r="P34" s="200">
        <f>-'Historical Financials'!T129</f>
        <v>-1213</v>
      </c>
      <c r="Q34" s="200">
        <f>-'Historical Financials'!U129</f>
        <v>0</v>
      </c>
      <c r="R34" s="200">
        <f>-'Historical Financials'!V129</f>
        <v>0</v>
      </c>
      <c r="S34" s="200">
        <f>-'Historical Financials'!W129</f>
        <v>0</v>
      </c>
      <c r="T34" s="200">
        <f>-'Historical Financials'!X129</f>
        <v>0</v>
      </c>
      <c r="U34" s="200">
        <f>-'Historical Financials'!Y129</f>
        <v>0</v>
      </c>
      <c r="V34" s="200">
        <f>-'Historical Financials'!Z129</f>
        <v>0</v>
      </c>
      <c r="W34" s="200">
        <f>-'Historical Financials'!AA129</f>
        <v>0</v>
      </c>
      <c r="Y34" s="35">
        <f t="shared" si="78"/>
        <v>-2865</v>
      </c>
      <c r="Z34" s="35">
        <f t="shared" si="79"/>
        <v>-3037</v>
      </c>
      <c r="AA34" s="35">
        <f t="shared" si="79"/>
        <v>-3332</v>
      </c>
      <c r="AB34" s="35">
        <f t="shared" si="79"/>
        <v>-3545</v>
      </c>
      <c r="AC34" s="35">
        <f t="shared" si="79"/>
        <v>-3803</v>
      </c>
      <c r="AD34" s="35">
        <f t="shared" si="79"/>
        <v>-3100</v>
      </c>
      <c r="AE34" s="35">
        <f t="shared" si="79"/>
        <v>-1930</v>
      </c>
      <c r="AF34" s="35">
        <f t="shared" si="79"/>
        <v>-1213</v>
      </c>
      <c r="AG34" s="35">
        <f t="shared" si="79"/>
        <v>0</v>
      </c>
      <c r="AH34" s="35">
        <f t="shared" si="79"/>
        <v>0</v>
      </c>
      <c r="AI34" s="35">
        <f t="shared" si="79"/>
        <v>0</v>
      </c>
      <c r="AJ34" s="35">
        <f t="shared" si="79"/>
        <v>0</v>
      </c>
      <c r="AL34" s="13">
        <f t="shared" si="80"/>
        <v>-1</v>
      </c>
    </row>
    <row r="35" spans="1:38" ht="12.75" customHeight="1">
      <c r="B35" s="26" t="s">
        <v>60</v>
      </c>
      <c r="C35" s="200">
        <f>SUM('Historical Financials'!G89:G94)</f>
        <v>5690</v>
      </c>
      <c r="D35" s="200">
        <f>SUM('Historical Financials'!H89:H94)</f>
        <v>-4911</v>
      </c>
      <c r="E35" s="200">
        <f>SUM('Historical Financials'!I89:I94)</f>
        <v>1200</v>
      </c>
      <c r="F35" s="200">
        <f>SUM('Historical Financials'!J89:J94)</f>
        <v>-6577</v>
      </c>
      <c r="G35" s="200">
        <f>SUM('Historical Financials'!K89:K94)</f>
        <v>3651</v>
      </c>
      <c r="I35" s="200">
        <f>SUM('Historical Financials'!M89:M94)</f>
        <v>6525</v>
      </c>
      <c r="J35" s="200">
        <f>SUM('Historical Financials'!N89:N94)</f>
        <v>-2052</v>
      </c>
      <c r="K35" s="200">
        <f>SUM('Historical Financials'!O89:O94)</f>
        <v>-3225</v>
      </c>
      <c r="L35" s="200">
        <f>SUM('Historical Financials'!P89:P94)</f>
        <v>-48</v>
      </c>
      <c r="M35" s="200">
        <f>SUM('Historical Financials'!Q89:Q94)</f>
        <v>-1497</v>
      </c>
      <c r="N35" s="200">
        <f>SUM('Historical Financials'!R89:R94)</f>
        <v>231</v>
      </c>
      <c r="O35" s="200">
        <f>SUM('Historical Financials'!S89:S94)</f>
        <v>749</v>
      </c>
      <c r="P35" s="200">
        <f>SUM('Historical Financials'!T89:T94)</f>
        <v>-6060</v>
      </c>
      <c r="Q35" s="200">
        <f>SUM('Historical Financials'!U89:U94)</f>
        <v>1123</v>
      </c>
      <c r="R35" s="200">
        <f>SUM('Historical Financials'!V89:V94)</f>
        <v>-5767</v>
      </c>
      <c r="S35" s="200">
        <f>SUM('Historical Financials'!W89:W94)</f>
        <v>1687</v>
      </c>
      <c r="T35" s="200">
        <f>SUM('Historical Financials'!X89:X94)</f>
        <v>6608</v>
      </c>
      <c r="U35" s="200">
        <f>SUM('Historical Financials'!Y89:Y94)</f>
        <v>-10752</v>
      </c>
      <c r="V35" s="200">
        <f>SUM('Historical Financials'!Z89:Z94)</f>
        <v>-6507</v>
      </c>
      <c r="W35" s="200">
        <f>SUM('Historical Financials'!AA89:AA94)</f>
        <v>-2034</v>
      </c>
      <c r="Y35" s="35">
        <f t="shared" si="78"/>
        <v>1200</v>
      </c>
      <c r="Z35" s="35">
        <f t="shared" si="79"/>
        <v>-6822</v>
      </c>
      <c r="AA35" s="35">
        <f t="shared" si="79"/>
        <v>-4539</v>
      </c>
      <c r="AB35" s="35">
        <f t="shared" si="79"/>
        <v>-565</v>
      </c>
      <c r="AC35" s="35">
        <f t="shared" si="79"/>
        <v>-6577</v>
      </c>
      <c r="AD35" s="35">
        <f t="shared" si="79"/>
        <v>-3957</v>
      </c>
      <c r="AE35" s="35">
        <f t="shared" si="79"/>
        <v>-9955</v>
      </c>
      <c r="AF35" s="35">
        <f t="shared" si="79"/>
        <v>-9017</v>
      </c>
      <c r="AG35" s="35">
        <f t="shared" si="79"/>
        <v>3651</v>
      </c>
      <c r="AH35" s="35">
        <f t="shared" si="79"/>
        <v>-8224</v>
      </c>
      <c r="AI35" s="35">
        <f t="shared" si="79"/>
        <v>-8964</v>
      </c>
      <c r="AJ35" s="35">
        <f t="shared" si="79"/>
        <v>-12685</v>
      </c>
      <c r="AL35" s="13">
        <f t="shared" si="80"/>
        <v>0.40678717977154255</v>
      </c>
    </row>
    <row r="36" spans="1:38" ht="12.75" customHeight="1">
      <c r="B36" s="14" t="s">
        <v>61</v>
      </c>
      <c r="C36" s="15">
        <f>SUM(C29+SUM(C32:C35))</f>
        <v>70051</v>
      </c>
      <c r="D36" s="15">
        <f>SUM(D29+SUM(D32:D35))</f>
        <v>84071</v>
      </c>
      <c r="E36" s="15">
        <f>SUM(E29+SUM(E32:E35))</f>
        <v>107633</v>
      </c>
      <c r="F36" s="15">
        <f>SUM(F29+SUM(F32:F35))</f>
        <v>96635</v>
      </c>
      <c r="G36" s="15">
        <f>SUM(G29+SUM(G32:G35))</f>
        <v>114451</v>
      </c>
      <c r="I36" s="15">
        <f t="shared" ref="I36:W36" si="81">SUM(I29+SUM(I32:I35))</f>
        <v>44406</v>
      </c>
      <c r="J36" s="15">
        <f t="shared" si="81"/>
        <v>25461</v>
      </c>
      <c r="K36" s="15">
        <f t="shared" si="81"/>
        <v>19343</v>
      </c>
      <c r="L36" s="15">
        <f t="shared" si="81"/>
        <v>18423</v>
      </c>
      <c r="M36" s="15">
        <f t="shared" si="81"/>
        <v>35022</v>
      </c>
      <c r="N36" s="15">
        <f t="shared" si="81"/>
        <v>25981</v>
      </c>
      <c r="O36" s="15">
        <f t="shared" si="81"/>
        <v>24480</v>
      </c>
      <c r="P36" s="15">
        <f t="shared" si="81"/>
        <v>11152</v>
      </c>
      <c r="Q36" s="15">
        <f t="shared" si="81"/>
        <v>37694</v>
      </c>
      <c r="R36" s="15">
        <f t="shared" si="81"/>
        <v>18664</v>
      </c>
      <c r="S36" s="15">
        <f t="shared" si="81"/>
        <v>25905</v>
      </c>
      <c r="T36" s="15">
        <f t="shared" si="81"/>
        <v>32188</v>
      </c>
      <c r="U36" s="15">
        <f t="shared" si="81"/>
        <v>16855</v>
      </c>
      <c r="V36" s="15">
        <f t="shared" si="81"/>
        <v>12866</v>
      </c>
      <c r="W36" s="15">
        <f t="shared" si="81"/>
        <v>23055</v>
      </c>
      <c r="Y36" s="15">
        <f t="shared" ref="Y36:AJ36" si="82">SUM(Y29+SUM(Y32:Y35))</f>
        <v>107633</v>
      </c>
      <c r="Z36" s="15">
        <f t="shared" si="82"/>
        <v>98249</v>
      </c>
      <c r="AA36" s="15">
        <f t="shared" si="82"/>
        <v>98769</v>
      </c>
      <c r="AB36" s="15">
        <f t="shared" si="82"/>
        <v>103906</v>
      </c>
      <c r="AC36" s="15">
        <f t="shared" si="82"/>
        <v>96635</v>
      </c>
      <c r="AD36" s="15">
        <f t="shared" si="82"/>
        <v>99307</v>
      </c>
      <c r="AE36" s="15">
        <f t="shared" si="82"/>
        <v>91990</v>
      </c>
      <c r="AF36" s="15">
        <f t="shared" si="82"/>
        <v>93415</v>
      </c>
      <c r="AG36" s="15">
        <f t="shared" si="82"/>
        <v>114451</v>
      </c>
      <c r="AH36" s="15">
        <f t="shared" si="82"/>
        <v>93612</v>
      </c>
      <c r="AI36" s="15">
        <f t="shared" si="82"/>
        <v>87814</v>
      </c>
      <c r="AJ36" s="15">
        <f t="shared" si="82"/>
        <v>84964</v>
      </c>
      <c r="AL36" s="16">
        <f t="shared" si="80"/>
        <v>-9.0467269710431952E-2</v>
      </c>
    </row>
    <row r="37" spans="1:38" ht="5.0999999999999996" customHeight="1"/>
    <row r="38" spans="1:38" ht="12.75" customHeight="1">
      <c r="B38" s="34" t="s">
        <v>333</v>
      </c>
      <c r="C38" s="200">
        <f>SUM('Historical Financials'!G99:G100)</f>
        <v>5453</v>
      </c>
      <c r="D38" s="200">
        <f>SUM('Historical Financials'!H99:H100)</f>
        <v>-3075</v>
      </c>
      <c r="E38" s="200">
        <f>SUM('Historical Financials'!I99:I100)</f>
        <v>-9560</v>
      </c>
      <c r="F38" s="200">
        <f>SUM('Historical Financials'!J99:J100)</f>
        <v>16001</v>
      </c>
      <c r="G38" s="200">
        <f>SUM('Historical Financials'!K99:K100)</f>
        <v>13690</v>
      </c>
      <c r="H38" s="35"/>
      <c r="I38" s="200">
        <f>SUM('Historical Financials'!M99:M100)</f>
        <v>-12929</v>
      </c>
      <c r="J38" s="200">
        <f>SUM('Historical Financials'!N99:N100)</f>
        <v>-6390</v>
      </c>
      <c r="K38" s="200">
        <f>SUM('Historical Financials'!O99:O100)</f>
        <v>6953</v>
      </c>
      <c r="L38" s="200">
        <f>SUM('Historical Financials'!P99:P100)</f>
        <v>2806</v>
      </c>
      <c r="M38" s="200">
        <f>SUM('Historical Financials'!Q99:Q100)</f>
        <v>2483</v>
      </c>
      <c r="N38" s="200">
        <f>SUM('Historical Financials'!R99:R100)</f>
        <v>5341</v>
      </c>
      <c r="O38" s="200">
        <f>SUM('Historical Financials'!S99:S100)</f>
        <v>3036</v>
      </c>
      <c r="P38" s="200">
        <f>SUM('Historical Financials'!T99:T100)</f>
        <v>5141</v>
      </c>
      <c r="Q38" s="200">
        <f>SUM('Historical Financials'!U99:U100)</f>
        <v>4603</v>
      </c>
      <c r="R38" s="200">
        <f>SUM('Historical Financials'!V99:V100)</f>
        <v>2131</v>
      </c>
      <c r="S38" s="200">
        <f>SUM('Historical Financials'!W99:W100)</f>
        <v>2412</v>
      </c>
      <c r="T38" s="200">
        <f>SUM('Historical Financials'!X99:X100)</f>
        <v>4544</v>
      </c>
      <c r="U38" s="200">
        <f>SUM('Historical Financials'!Y99:Y100)</f>
        <v>13335</v>
      </c>
      <c r="V38" s="200">
        <f>SUM('Historical Financials'!Z99:Z100)</f>
        <v>6020</v>
      </c>
      <c r="W38" s="200">
        <f>SUM('Historical Financials'!AA99:AA100)</f>
        <v>8875</v>
      </c>
      <c r="Y38" s="35">
        <f t="shared" ref="Y38:Y42" si="83">SUM(I38:L38)</f>
        <v>-9560</v>
      </c>
      <c r="Z38" s="35">
        <f t="shared" ref="Z38:AJ42" si="84">SUM(J38:M38)</f>
        <v>5852</v>
      </c>
      <c r="AA38" s="35">
        <f t="shared" si="84"/>
        <v>17583</v>
      </c>
      <c r="AB38" s="35">
        <f t="shared" si="84"/>
        <v>13666</v>
      </c>
      <c r="AC38" s="35">
        <f t="shared" si="84"/>
        <v>16001</v>
      </c>
      <c r="AD38" s="35">
        <f t="shared" si="84"/>
        <v>18121</v>
      </c>
      <c r="AE38" s="35">
        <f t="shared" si="84"/>
        <v>14911</v>
      </c>
      <c r="AF38" s="35">
        <f t="shared" si="84"/>
        <v>14287</v>
      </c>
      <c r="AG38" s="35">
        <f t="shared" si="84"/>
        <v>13690</v>
      </c>
      <c r="AH38" s="35">
        <f t="shared" si="84"/>
        <v>22422</v>
      </c>
      <c r="AI38" s="35">
        <f t="shared" si="84"/>
        <v>26311</v>
      </c>
      <c r="AJ38" s="35">
        <f t="shared" si="84"/>
        <v>32774</v>
      </c>
    </row>
    <row r="39" spans="1:38" ht="12.75" customHeight="1">
      <c r="B39" s="34" t="s">
        <v>334</v>
      </c>
      <c r="C39" s="200">
        <f>'Historical Financials'!G102</f>
        <v>-909</v>
      </c>
      <c r="D39" s="200">
        <f>'Historical Financials'!H102</f>
        <v>-352</v>
      </c>
      <c r="E39" s="200">
        <f>'Historical Financials'!I102</f>
        <v>-1780</v>
      </c>
      <c r="F39" s="200">
        <f>'Historical Financials'!J102</f>
        <v>-1337</v>
      </c>
      <c r="G39" s="200">
        <f>'Historical Financials'!K102</f>
        <v>-1308</v>
      </c>
      <c r="H39" s="35"/>
      <c r="I39" s="200">
        <f>'Historical Financials'!M102</f>
        <v>-374</v>
      </c>
      <c r="J39" s="200">
        <f>'Historical Financials'!N102</f>
        <v>-194</v>
      </c>
      <c r="K39" s="200">
        <f>'Historical Financials'!O102</f>
        <v>-615</v>
      </c>
      <c r="L39" s="200">
        <f>'Historical Financials'!P102</f>
        <v>-597</v>
      </c>
      <c r="M39" s="200">
        <f>'Historical Financials'!Q102</f>
        <v>-141</v>
      </c>
      <c r="N39" s="200">
        <f>'Historical Financials'!R102</f>
        <v>-106</v>
      </c>
      <c r="O39" s="200">
        <f>'Historical Financials'!S102</f>
        <v>-506</v>
      </c>
      <c r="P39" s="200">
        <f>'Historical Financials'!T102</f>
        <v>-584</v>
      </c>
      <c r="Q39" s="200">
        <f>'Historical Financials'!U102</f>
        <v>-284</v>
      </c>
      <c r="R39" s="200">
        <f>'Historical Financials'!V102</f>
        <v>-445</v>
      </c>
      <c r="S39" s="200">
        <f>'Historical Financials'!W102</f>
        <v>-388</v>
      </c>
      <c r="T39" s="200">
        <f>'Historical Financials'!X102</f>
        <v>-191</v>
      </c>
      <c r="U39" s="200">
        <f>'Historical Financials'!Y102</f>
        <v>-603</v>
      </c>
      <c r="V39" s="200">
        <f>'Historical Financials'!Z102</f>
        <v>-32</v>
      </c>
      <c r="W39" s="200">
        <f>'Historical Financials'!AA102</f>
        <v>-340</v>
      </c>
      <c r="Y39" s="35">
        <f t="shared" si="83"/>
        <v>-1780</v>
      </c>
      <c r="Z39" s="35">
        <f t="shared" si="84"/>
        <v>-1547</v>
      </c>
      <c r="AA39" s="35">
        <f t="shared" si="84"/>
        <v>-1459</v>
      </c>
      <c r="AB39" s="35">
        <f t="shared" si="84"/>
        <v>-1350</v>
      </c>
      <c r="AC39" s="35">
        <f t="shared" si="84"/>
        <v>-1337</v>
      </c>
      <c r="AD39" s="35">
        <f t="shared" si="84"/>
        <v>-1480</v>
      </c>
      <c r="AE39" s="35">
        <f t="shared" si="84"/>
        <v>-1819</v>
      </c>
      <c r="AF39" s="35">
        <f t="shared" si="84"/>
        <v>-1701</v>
      </c>
      <c r="AG39" s="35">
        <f t="shared" si="84"/>
        <v>-1308</v>
      </c>
      <c r="AH39" s="35">
        <f t="shared" si="84"/>
        <v>-1627</v>
      </c>
      <c r="AI39" s="35">
        <f t="shared" si="84"/>
        <v>-1214</v>
      </c>
      <c r="AJ39" s="35">
        <f t="shared" si="84"/>
        <v>-1166</v>
      </c>
    </row>
    <row r="40" spans="1:38" ht="12.75" customHeight="1">
      <c r="B40" s="34" t="s">
        <v>116</v>
      </c>
      <c r="C40" s="200">
        <f>SUM('Historical Financials'!G106:G107)</f>
        <v>3462</v>
      </c>
      <c r="D40" s="200">
        <f>SUM('Historical Financials'!H106:H107)</f>
        <v>11643</v>
      </c>
      <c r="E40" s="200">
        <f>SUM('Historical Financials'!I106:I107)</f>
        <v>-4078</v>
      </c>
      <c r="F40" s="200">
        <f>SUM('Historical Financials'!J106:J107)</f>
        <v>-5923.1080000000002</v>
      </c>
      <c r="G40" s="200">
        <f>SUM('Historical Financials'!K106:K107)</f>
        <v>-9958</v>
      </c>
      <c r="H40" s="35"/>
      <c r="I40" s="200">
        <f>SUM('Historical Financials'!M106:M107)</f>
        <v>0</v>
      </c>
      <c r="J40" s="200">
        <f>SUM('Historical Financials'!N106:N107)</f>
        <v>-3750</v>
      </c>
      <c r="K40" s="200">
        <f>SUM('Historical Financials'!O106:O107)</f>
        <v>-3000</v>
      </c>
      <c r="L40" s="200">
        <f>SUM('Historical Financials'!P106:P107)</f>
        <v>2672</v>
      </c>
      <c r="M40" s="200">
        <f>SUM('Historical Financials'!Q106:Q107)</f>
        <v>-1401</v>
      </c>
      <c r="N40" s="200">
        <f>SUM('Historical Financials'!R106:R107)</f>
        <v>-2250</v>
      </c>
      <c r="O40" s="200">
        <f>SUM('Historical Financials'!S106:S107)</f>
        <v>-2272</v>
      </c>
      <c r="P40" s="200">
        <f>SUM('Historical Financials'!T106:T107)</f>
        <v>-0.10800000000017462</v>
      </c>
      <c r="Q40" s="200">
        <f>SUM('Historical Financials'!U106:U107)</f>
        <v>0</v>
      </c>
      <c r="R40" s="200">
        <f>SUM('Historical Financials'!V106:V107)</f>
        <v>-3150</v>
      </c>
      <c r="S40" s="200">
        <f>SUM('Historical Financials'!W106:W107)</f>
        <v>-4250</v>
      </c>
      <c r="T40" s="200">
        <f>SUM('Historical Financials'!X106:X107)</f>
        <v>-2558</v>
      </c>
      <c r="U40" s="200">
        <f>SUM('Historical Financials'!Y106:Y107)</f>
        <v>-1009</v>
      </c>
      <c r="V40" s="200">
        <f>SUM('Historical Financials'!Z106:Z107)</f>
        <v>-3000</v>
      </c>
      <c r="W40" s="200">
        <f>SUM('Historical Financials'!AA106:AA107)</f>
        <v>-1192</v>
      </c>
      <c r="Y40" s="35">
        <f t="shared" si="83"/>
        <v>-4078</v>
      </c>
      <c r="Z40" s="35">
        <f t="shared" si="84"/>
        <v>-5479</v>
      </c>
      <c r="AA40" s="35">
        <f t="shared" si="84"/>
        <v>-3979</v>
      </c>
      <c r="AB40" s="35">
        <f t="shared" si="84"/>
        <v>-3251</v>
      </c>
      <c r="AC40" s="35">
        <f t="shared" si="84"/>
        <v>-5923.1080000000002</v>
      </c>
      <c r="AD40" s="35">
        <f t="shared" si="84"/>
        <v>-4522.1080000000002</v>
      </c>
      <c r="AE40" s="35">
        <f t="shared" si="84"/>
        <v>-5422.1080000000002</v>
      </c>
      <c r="AF40" s="35">
        <f t="shared" si="84"/>
        <v>-7400.1080000000002</v>
      </c>
      <c r="AG40" s="35">
        <f t="shared" si="84"/>
        <v>-9958</v>
      </c>
      <c r="AH40" s="35">
        <f t="shared" si="84"/>
        <v>-10967</v>
      </c>
      <c r="AI40" s="35">
        <f t="shared" si="84"/>
        <v>-10817</v>
      </c>
      <c r="AJ40" s="35">
        <f t="shared" si="84"/>
        <v>-7759</v>
      </c>
    </row>
    <row r="41" spans="1:38" ht="12.75" customHeight="1">
      <c r="B41" s="34" t="s">
        <v>335</v>
      </c>
      <c r="C41" s="200">
        <f>SUM('Historical Financials'!G108:G109)</f>
        <v>-71478</v>
      </c>
      <c r="D41" s="200">
        <f>SUM('Historical Financials'!H108:H109)</f>
        <v>-84866</v>
      </c>
      <c r="E41" s="200">
        <f>SUM('Historical Financials'!I108:I109)</f>
        <v>-89402</v>
      </c>
      <c r="F41" s="200">
        <f>SUM('Historical Financials'!J108:J109)</f>
        <v>-77550</v>
      </c>
      <c r="G41" s="200">
        <f>SUM('Historical Financials'!K108:K109)</f>
        <v>-94949</v>
      </c>
      <c r="H41" s="35"/>
      <c r="I41" s="200">
        <f>SUM('Historical Financials'!M108:M109)</f>
        <v>-20478</v>
      </c>
      <c r="J41" s="200">
        <f>SUM('Historical Financials'!N108:N109)</f>
        <v>-22631</v>
      </c>
      <c r="K41" s="200">
        <f>SUM('Historical Financials'!O108:O109)</f>
        <v>-21865</v>
      </c>
      <c r="L41" s="200">
        <f>SUM('Historical Financials'!P108:P109)</f>
        <v>-24428</v>
      </c>
      <c r="M41" s="200">
        <f>SUM('Historical Financials'!Q108:Q109)</f>
        <v>-19475</v>
      </c>
      <c r="N41" s="200">
        <f>SUM('Historical Financials'!R108:R109)</f>
        <v>-19594</v>
      </c>
      <c r="O41" s="200">
        <f>SUM('Historical Financials'!S108:S109)</f>
        <v>-17478</v>
      </c>
      <c r="P41" s="200">
        <f>SUM('Historical Financials'!T108:T109)</f>
        <v>-21003</v>
      </c>
      <c r="Q41" s="200">
        <f>SUM('Historical Financials'!U108:U109)</f>
        <v>-20139</v>
      </c>
      <c r="R41" s="200">
        <f>SUM('Historical Financials'!V108:V109)</f>
        <v>-23205</v>
      </c>
      <c r="S41" s="200">
        <f>SUM('Historical Financials'!W108:W109)</f>
        <v>-26522</v>
      </c>
      <c r="T41" s="200">
        <f>SUM('Historical Financials'!X108:X109)</f>
        <v>-25083</v>
      </c>
      <c r="U41" s="200">
        <f>SUM('Historical Financials'!Y108:Y109)</f>
        <v>-23606</v>
      </c>
      <c r="V41" s="200">
        <f>SUM('Historical Financials'!Z108:Z109)</f>
        <v>-25898</v>
      </c>
      <c r="W41" s="200">
        <f>SUM('Historical Financials'!AA108:AA109)</f>
        <v>-21075</v>
      </c>
      <c r="Y41" s="35">
        <f t="shared" si="83"/>
        <v>-89402</v>
      </c>
      <c r="Z41" s="35">
        <f t="shared" si="84"/>
        <v>-88399</v>
      </c>
      <c r="AA41" s="35">
        <f t="shared" si="84"/>
        <v>-85362</v>
      </c>
      <c r="AB41" s="35">
        <f t="shared" si="84"/>
        <v>-80975</v>
      </c>
      <c r="AC41" s="35">
        <f t="shared" si="84"/>
        <v>-77550</v>
      </c>
      <c r="AD41" s="35">
        <f t="shared" si="84"/>
        <v>-78214</v>
      </c>
      <c r="AE41" s="35">
        <f t="shared" si="84"/>
        <v>-81825</v>
      </c>
      <c r="AF41" s="35">
        <f t="shared" si="84"/>
        <v>-90869</v>
      </c>
      <c r="AG41" s="35">
        <f t="shared" si="84"/>
        <v>-94949</v>
      </c>
      <c r="AH41" s="35">
        <f t="shared" si="84"/>
        <v>-98416</v>
      </c>
      <c r="AI41" s="35">
        <f t="shared" si="84"/>
        <v>-101109</v>
      </c>
      <c r="AJ41" s="35">
        <f t="shared" si="84"/>
        <v>-95662</v>
      </c>
    </row>
    <row r="42" spans="1:38" ht="12.75" customHeight="1">
      <c r="B42" s="34" t="s">
        <v>336</v>
      </c>
      <c r="C42" s="200">
        <f>'Historical Financials'!G110</f>
        <v>-963</v>
      </c>
      <c r="D42" s="200">
        <f>'Historical Financials'!H110</f>
        <v>1022</v>
      </c>
      <c r="E42" s="200">
        <f>'Historical Financials'!I110</f>
        <v>3955</v>
      </c>
      <c r="F42" s="200">
        <f>'Historical Financials'!J110</f>
        <v>-3978</v>
      </c>
      <c r="G42" s="200">
        <f>'Historical Financials'!K110</f>
        <v>3960</v>
      </c>
      <c r="H42" s="35"/>
      <c r="I42" s="200">
        <f>'Historical Financials'!M110</f>
        <v>-1000</v>
      </c>
      <c r="J42" s="200">
        <f>'Historical Financials'!N110</f>
        <v>1999</v>
      </c>
      <c r="K42" s="200">
        <f>'Historical Financials'!O110</f>
        <v>3971</v>
      </c>
      <c r="L42" s="200">
        <f>'Historical Financials'!P110</f>
        <v>-1015</v>
      </c>
      <c r="M42" s="200">
        <f>'Historical Financials'!Q110</f>
        <v>-8214</v>
      </c>
      <c r="N42" s="200">
        <f>'Historical Financials'!R110</f>
        <v>254</v>
      </c>
      <c r="O42" s="200">
        <f>'Historical Financials'!S110</f>
        <v>1989</v>
      </c>
      <c r="P42" s="200">
        <f>'Historical Financials'!T110</f>
        <v>1993</v>
      </c>
      <c r="Q42" s="200">
        <f>'Historical Financials'!U110</f>
        <v>-3984</v>
      </c>
      <c r="R42" s="200">
        <f>'Historical Financials'!V110</f>
        <v>2</v>
      </c>
      <c r="S42" s="200">
        <f>'Historical Financials'!W110</f>
        <v>997</v>
      </c>
      <c r="T42" s="200">
        <f>'Historical Financials'!X110</f>
        <v>6945</v>
      </c>
      <c r="U42" s="200">
        <f>'Historical Financials'!Y110</f>
        <v>-7944</v>
      </c>
      <c r="V42" s="200">
        <f>'Historical Financials'!Z110</f>
        <v>3976</v>
      </c>
      <c r="W42" s="200">
        <f>'Historical Financials'!AA110</f>
        <v>3903</v>
      </c>
      <c r="Y42" s="35">
        <f t="shared" si="83"/>
        <v>3955</v>
      </c>
      <c r="Z42" s="35">
        <f t="shared" si="84"/>
        <v>-3259</v>
      </c>
      <c r="AA42" s="35">
        <f t="shared" si="84"/>
        <v>-5004</v>
      </c>
      <c r="AB42" s="35">
        <f t="shared" si="84"/>
        <v>-6986</v>
      </c>
      <c r="AC42" s="35">
        <f t="shared" si="84"/>
        <v>-3978</v>
      </c>
      <c r="AD42" s="35">
        <f t="shared" si="84"/>
        <v>252</v>
      </c>
      <c r="AE42" s="35">
        <f t="shared" si="84"/>
        <v>0</v>
      </c>
      <c r="AF42" s="35">
        <f t="shared" si="84"/>
        <v>-992</v>
      </c>
      <c r="AG42" s="35">
        <f t="shared" si="84"/>
        <v>3960</v>
      </c>
      <c r="AH42" s="35">
        <f t="shared" si="84"/>
        <v>0</v>
      </c>
      <c r="AI42" s="35">
        <f t="shared" si="84"/>
        <v>3974</v>
      </c>
      <c r="AJ42" s="35">
        <f t="shared" si="84"/>
        <v>6880</v>
      </c>
    </row>
    <row r="43" spans="1:38" ht="12.75" customHeight="1">
      <c r="B43" s="34" t="s">
        <v>117</v>
      </c>
      <c r="C43" s="200">
        <f>'Historical Financials'!G113</f>
        <v>-14081</v>
      </c>
      <c r="D43" s="200">
        <f>'Historical Financials'!H113</f>
        <v>-14467</v>
      </c>
      <c r="E43" s="200">
        <f>'Historical Financials'!I113</f>
        <v>-14841</v>
      </c>
      <c r="F43" s="200">
        <f>'Historical Financials'!J113</f>
        <v>-14875</v>
      </c>
      <c r="G43" s="200">
        <f>'Historical Financials'!K113</f>
        <v>-15234</v>
      </c>
      <c r="H43" s="35"/>
      <c r="I43" s="200">
        <f>'Historical Financials'!M113</f>
        <v>-3732</v>
      </c>
      <c r="J43" s="200">
        <f>'Historical Financials'!N113</f>
        <v>-3595</v>
      </c>
      <c r="K43" s="200">
        <f>'Historical Financials'!O113</f>
        <v>-3811</v>
      </c>
      <c r="L43" s="200">
        <f>'Historical Financials'!P113</f>
        <v>-3703</v>
      </c>
      <c r="M43" s="200">
        <f>'Historical Financials'!Q113</f>
        <v>-3768</v>
      </c>
      <c r="N43" s="200">
        <f>'Historical Financials'!R113</f>
        <v>-3650</v>
      </c>
      <c r="O43" s="200">
        <f>'Historical Financials'!S113</f>
        <v>-3849</v>
      </c>
      <c r="P43" s="200">
        <f>'Historical Financials'!T113</f>
        <v>-3608</v>
      </c>
      <c r="Q43" s="200">
        <f>'Historical Financials'!U113</f>
        <v>-3825</v>
      </c>
      <c r="R43" s="200">
        <f>'Historical Financials'!V113</f>
        <v>-3710</v>
      </c>
      <c r="S43" s="200">
        <f>'Historical Financials'!W113</f>
        <v>-3895</v>
      </c>
      <c r="T43" s="200">
        <f>'Historical Financials'!X113</f>
        <v>-3804</v>
      </c>
      <c r="U43" s="200">
        <f>'Historical Financials'!Y113</f>
        <v>-3856</v>
      </c>
      <c r="V43" s="200">
        <f>'Historical Financials'!Z113</f>
        <v>-3758</v>
      </c>
      <c r="W43" s="200">
        <f>'Historical Financials'!AA113</f>
        <v>-3945</v>
      </c>
      <c r="Y43" s="35"/>
      <c r="Z43" s="35"/>
      <c r="AA43" s="35"/>
      <c r="AB43" s="35"/>
      <c r="AC43" s="35"/>
      <c r="AD43" s="35"/>
      <c r="AE43" s="35">
        <f t="shared" ref="AE43" si="85">SUM(O43:R43)</f>
        <v>-14992</v>
      </c>
      <c r="AF43" s="35">
        <f t="shared" ref="AF43" si="86">SUM(P43:S43)</f>
        <v>-15038</v>
      </c>
      <c r="AG43" s="35">
        <f t="shared" ref="AG43" si="87">SUM(Q43:T43)</f>
        <v>-15234</v>
      </c>
      <c r="AH43" s="35">
        <f t="shared" ref="AH43" si="88">SUM(R43:U43)</f>
        <v>-15265</v>
      </c>
      <c r="AI43" s="35">
        <f t="shared" ref="AI43:AJ43" si="89">SUM(S43:V43)</f>
        <v>-15313</v>
      </c>
      <c r="AJ43" s="35">
        <f t="shared" si="89"/>
        <v>-15363</v>
      </c>
    </row>
    <row r="44" spans="1:38" ht="12.75" customHeight="1">
      <c r="B44" s="34" t="s">
        <v>115</v>
      </c>
      <c r="C44" s="35"/>
      <c r="D44" s="35">
        <f>SUM(D49-C49)-SUM(D36:D43)</f>
        <v>2948</v>
      </c>
      <c r="E44" s="35">
        <f>SUM(E49-D49)-SUM(E36:E43)</f>
        <v>-3221</v>
      </c>
      <c r="F44" s="35">
        <f>SUM(F49-E49)-SUM(F36:F43)</f>
        <v>-2653.8919999999925</v>
      </c>
      <c r="G44" s="35">
        <f>SUM(G49-F49)-SUM(G36:G43)</f>
        <v>-10674</v>
      </c>
      <c r="H44" s="35"/>
      <c r="I44" s="35">
        <f>SUM(I49-D49)-SUM(I36:I43)</f>
        <v>-3714</v>
      </c>
      <c r="J44" s="35">
        <f t="shared" ref="J44:W44" si="90">SUM(J49-I49)-SUM(J36:J43)</f>
        <v>79</v>
      </c>
      <c r="K44" s="35">
        <f t="shared" si="90"/>
        <v>-1572</v>
      </c>
      <c r="L44" s="35">
        <f t="shared" si="90"/>
        <v>1986</v>
      </c>
      <c r="M44" s="35">
        <f t="shared" si="90"/>
        <v>-7617</v>
      </c>
      <c r="N44" s="35">
        <f t="shared" si="90"/>
        <v>-1824</v>
      </c>
      <c r="O44" s="35">
        <f t="shared" si="90"/>
        <v>-1679</v>
      </c>
      <c r="P44" s="35">
        <f t="shared" si="90"/>
        <v>8466.1080000000002</v>
      </c>
      <c r="Q44" s="35">
        <f t="shared" si="90"/>
        <v>-3270</v>
      </c>
      <c r="R44" s="35">
        <f t="shared" si="90"/>
        <v>1648</v>
      </c>
      <c r="S44" s="35">
        <f t="shared" si="90"/>
        <v>-1389</v>
      </c>
      <c r="T44" s="35">
        <f t="shared" si="90"/>
        <v>-7663</v>
      </c>
      <c r="U44" s="35">
        <f t="shared" si="90"/>
        <v>7184</v>
      </c>
      <c r="V44" s="35">
        <f t="shared" si="90"/>
        <v>7689</v>
      </c>
      <c r="W44" s="35">
        <f t="shared" si="90"/>
        <v>-1174</v>
      </c>
      <c r="Y44" s="35">
        <f t="shared" ref="Y44" si="91">SUM(I44:L44)</f>
        <v>-3221</v>
      </c>
      <c r="Z44" s="35">
        <f t="shared" ref="Z44:AJ44" si="92">SUM(J44:M44)</f>
        <v>-7124</v>
      </c>
      <c r="AA44" s="35">
        <f t="shared" si="92"/>
        <v>-9027</v>
      </c>
      <c r="AB44" s="35">
        <f t="shared" si="92"/>
        <v>-9134</v>
      </c>
      <c r="AC44" s="35">
        <f t="shared" si="92"/>
        <v>-2653.8919999999998</v>
      </c>
      <c r="AD44" s="35">
        <f t="shared" si="92"/>
        <v>1693.1080000000002</v>
      </c>
      <c r="AE44" s="35">
        <f t="shared" si="92"/>
        <v>5165.1080000000002</v>
      </c>
      <c r="AF44" s="35">
        <f t="shared" si="92"/>
        <v>5455.1080000000002</v>
      </c>
      <c r="AG44" s="35">
        <f t="shared" si="92"/>
        <v>-10674</v>
      </c>
      <c r="AH44" s="35">
        <f t="shared" si="92"/>
        <v>-220</v>
      </c>
      <c r="AI44" s="35">
        <f t="shared" si="92"/>
        <v>5821</v>
      </c>
      <c r="AJ44" s="35">
        <f t="shared" si="92"/>
        <v>6036</v>
      </c>
    </row>
    <row r="45" spans="1:38" ht="12.75" customHeight="1">
      <c r="B45" s="14" t="s">
        <v>62</v>
      </c>
      <c r="C45" s="15">
        <f>SUM(C36+SUM(C38:C44))</f>
        <v>-8465</v>
      </c>
      <c r="D45" s="15">
        <f>SUM(D36+SUM(D38:D44))</f>
        <v>-3076</v>
      </c>
      <c r="E45" s="15">
        <f>SUM(E36+SUM(E38:E44))</f>
        <v>-11294</v>
      </c>
      <c r="F45" s="15">
        <f>SUM(F36+SUM(F38:F44))</f>
        <v>6319</v>
      </c>
      <c r="G45" s="15">
        <f>SUM(G36+SUM(G38:G44))</f>
        <v>-22</v>
      </c>
      <c r="I45" s="15">
        <f t="shared" ref="I45:W45" si="93">SUM(I36+SUM(I38:I44))</f>
        <v>2179</v>
      </c>
      <c r="J45" s="15">
        <f t="shared" si="93"/>
        <v>-9021</v>
      </c>
      <c r="K45" s="15">
        <f t="shared" si="93"/>
        <v>-596</v>
      </c>
      <c r="L45" s="15">
        <f t="shared" si="93"/>
        <v>-3856</v>
      </c>
      <c r="M45" s="15">
        <f t="shared" si="93"/>
        <v>-3111</v>
      </c>
      <c r="N45" s="15">
        <f t="shared" si="93"/>
        <v>4152</v>
      </c>
      <c r="O45" s="15">
        <f t="shared" si="93"/>
        <v>3721</v>
      </c>
      <c r="P45" s="15">
        <f t="shared" si="93"/>
        <v>1557</v>
      </c>
      <c r="Q45" s="15">
        <f t="shared" si="93"/>
        <v>10795</v>
      </c>
      <c r="R45" s="15">
        <f t="shared" si="93"/>
        <v>-8065</v>
      </c>
      <c r="S45" s="15">
        <f t="shared" si="93"/>
        <v>-7130</v>
      </c>
      <c r="T45" s="15">
        <f t="shared" si="93"/>
        <v>4378</v>
      </c>
      <c r="U45" s="15">
        <f t="shared" si="93"/>
        <v>356</v>
      </c>
      <c r="V45" s="15">
        <f t="shared" si="93"/>
        <v>-2137</v>
      </c>
      <c r="W45" s="15">
        <f t="shared" si="93"/>
        <v>8107</v>
      </c>
      <c r="Y45" s="15">
        <f t="shared" ref="Y45:AJ45" si="94">SUM(Y36+SUM(Y38:Y44))</f>
        <v>3547</v>
      </c>
      <c r="Z45" s="15">
        <f t="shared" si="94"/>
        <v>-1707</v>
      </c>
      <c r="AA45" s="15">
        <f t="shared" si="94"/>
        <v>11521</v>
      </c>
      <c r="AB45" s="15">
        <f t="shared" si="94"/>
        <v>15876</v>
      </c>
      <c r="AC45" s="15">
        <f t="shared" si="94"/>
        <v>21194</v>
      </c>
      <c r="AD45" s="15">
        <f t="shared" si="94"/>
        <v>35156.999999999993</v>
      </c>
      <c r="AE45" s="15">
        <f t="shared" si="94"/>
        <v>8008</v>
      </c>
      <c r="AF45" s="15">
        <f t="shared" si="94"/>
        <v>-2843</v>
      </c>
      <c r="AG45" s="15">
        <f t="shared" si="94"/>
        <v>-22</v>
      </c>
      <c r="AH45" s="15">
        <f t="shared" si="94"/>
        <v>-10461</v>
      </c>
      <c r="AI45" s="15">
        <f t="shared" si="94"/>
        <v>-4533</v>
      </c>
      <c r="AJ45" s="15">
        <f t="shared" si="94"/>
        <v>10704</v>
      </c>
    </row>
    <row r="46" spans="1:38" ht="5.0999999999999996" customHeight="1"/>
    <row r="47" spans="1:38" ht="12.75" customHeight="1">
      <c r="A47" s="5"/>
      <c r="B47" s="36" t="s">
        <v>63</v>
      </c>
      <c r="C47" s="36"/>
      <c r="D47" s="36"/>
      <c r="E47" s="36"/>
      <c r="F47" s="36"/>
      <c r="G47" s="36"/>
      <c r="H47" s="36"/>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row>
    <row r="48" spans="1:38" ht="5.0999999999999996" customHeight="1"/>
    <row r="49" spans="2:36" ht="12.75" customHeight="1">
      <c r="B49" s="8" t="s">
        <v>64</v>
      </c>
      <c r="C49" s="200">
        <f>'Historical Financials'!G43</f>
        <v>38016</v>
      </c>
      <c r="D49" s="200">
        <f>'Historical Financials'!H43</f>
        <v>34940</v>
      </c>
      <c r="E49" s="200">
        <f>'Historical Financials'!I43</f>
        <v>23646</v>
      </c>
      <c r="F49" s="200">
        <f>'Historical Financials'!J43</f>
        <v>29965</v>
      </c>
      <c r="G49" s="200">
        <f>'Historical Financials'!K43</f>
        <v>29943</v>
      </c>
      <c r="H49" s="35"/>
      <c r="I49" s="200">
        <f>'Historical Financials'!M43</f>
        <v>37119</v>
      </c>
      <c r="J49" s="200">
        <f>'Historical Financials'!N43</f>
        <v>28098</v>
      </c>
      <c r="K49" s="200">
        <f>'Historical Financials'!O43</f>
        <v>27502</v>
      </c>
      <c r="L49" s="200">
        <f>'Historical Financials'!P43</f>
        <v>23646</v>
      </c>
      <c r="M49" s="200">
        <f>'Historical Financials'!Q43</f>
        <v>20535</v>
      </c>
      <c r="N49" s="200">
        <f>'Historical Financials'!R43</f>
        <v>24687</v>
      </c>
      <c r="O49" s="200">
        <f>'Historical Financials'!S43</f>
        <v>28408</v>
      </c>
      <c r="P49" s="200">
        <f>'Historical Financials'!T43</f>
        <v>29965</v>
      </c>
      <c r="Q49" s="200">
        <f>'Historical Financials'!U43</f>
        <v>40760</v>
      </c>
      <c r="R49" s="200">
        <f>'Historical Financials'!V43</f>
        <v>32695</v>
      </c>
      <c r="S49" s="200">
        <f>'Historical Financials'!W43</f>
        <v>25565</v>
      </c>
      <c r="T49" s="200">
        <f>'Historical Financials'!X43</f>
        <v>29943</v>
      </c>
      <c r="U49" s="200">
        <f>'Historical Financials'!Y43</f>
        <v>30299</v>
      </c>
      <c r="V49" s="200">
        <f>'Historical Financials'!Z43</f>
        <v>28162</v>
      </c>
      <c r="W49" s="200">
        <f>'Historical Financials'!AA43</f>
        <v>36269</v>
      </c>
      <c r="Y49" s="11">
        <f t="shared" ref="Y49:AJ51" si="95">L49</f>
        <v>23646</v>
      </c>
      <c r="Z49" s="11">
        <f t="shared" si="95"/>
        <v>20535</v>
      </c>
      <c r="AA49" s="11">
        <f t="shared" si="95"/>
        <v>24687</v>
      </c>
      <c r="AB49" s="11">
        <f t="shared" si="95"/>
        <v>28408</v>
      </c>
      <c r="AC49" s="11">
        <f t="shared" si="95"/>
        <v>29965</v>
      </c>
      <c r="AD49" s="11">
        <f t="shared" si="95"/>
        <v>40760</v>
      </c>
      <c r="AE49" s="11">
        <f t="shared" si="95"/>
        <v>32695</v>
      </c>
      <c r="AF49" s="11">
        <f t="shared" si="95"/>
        <v>25565</v>
      </c>
      <c r="AG49" s="11">
        <f t="shared" si="95"/>
        <v>29943</v>
      </c>
      <c r="AH49" s="11">
        <f t="shared" si="95"/>
        <v>30299</v>
      </c>
      <c r="AI49" s="11">
        <f t="shared" si="95"/>
        <v>28162</v>
      </c>
      <c r="AJ49" s="11">
        <f t="shared" si="95"/>
        <v>36269</v>
      </c>
    </row>
    <row r="50" spans="2:36" ht="12.75" customHeight="1">
      <c r="B50" s="8" t="s">
        <v>502</v>
      </c>
      <c r="C50" s="200">
        <f>'Historical Financials'!G44</f>
        <v>52927</v>
      </c>
      <c r="D50" s="200">
        <f>'Historical Financials'!H44</f>
        <v>27699</v>
      </c>
      <c r="E50" s="200">
        <f>'Historical Financials'!I44</f>
        <v>24658</v>
      </c>
      <c r="F50" s="200">
        <f>'Historical Financials'!J44</f>
        <v>31590</v>
      </c>
      <c r="G50" s="200">
        <f>'Historical Financials'!K44</f>
        <v>35228</v>
      </c>
      <c r="H50" s="35"/>
      <c r="I50" s="200">
        <f>'Historical Financials'!M44</f>
        <v>26794</v>
      </c>
      <c r="J50" s="200">
        <f>'Historical Financials'!N44</f>
        <v>23413</v>
      </c>
      <c r="K50" s="200">
        <f>'Historical Financials'!O44</f>
        <v>20729</v>
      </c>
      <c r="L50" s="200">
        <f>'Historical Financials'!P44</f>
        <v>24658</v>
      </c>
      <c r="M50" s="200">
        <f>'Historical Financials'!Q44</f>
        <v>30820</v>
      </c>
      <c r="N50" s="200">
        <f>'Historical Financials'!R44</f>
        <v>31185</v>
      </c>
      <c r="O50" s="200">
        <f>'Historical Financials'!S44</f>
        <v>34074</v>
      </c>
      <c r="P50" s="200">
        <f>'Historical Financials'!T44</f>
        <v>31590</v>
      </c>
      <c r="Q50" s="200">
        <f>'Historical Financials'!U44</f>
        <v>32340</v>
      </c>
      <c r="R50" s="200">
        <f>'Historical Financials'!V44</f>
        <v>34455</v>
      </c>
      <c r="S50" s="200">
        <f>'Historical Financials'!W44</f>
        <v>36236</v>
      </c>
      <c r="T50" s="200">
        <f>'Historical Financials'!X44</f>
        <v>35228</v>
      </c>
      <c r="U50" s="200">
        <f>'Historical Financials'!Y44</f>
        <v>23476</v>
      </c>
      <c r="V50" s="200">
        <f>'Historical Financials'!Z44</f>
        <v>20336</v>
      </c>
      <c r="W50" s="200">
        <f>'Historical Financials'!AA44</f>
        <v>19103</v>
      </c>
      <c r="Y50" s="11">
        <f t="shared" si="95"/>
        <v>24658</v>
      </c>
      <c r="Z50" s="11">
        <f t="shared" si="95"/>
        <v>30820</v>
      </c>
      <c r="AA50" s="11">
        <f t="shared" si="95"/>
        <v>31185</v>
      </c>
      <c r="AB50" s="11">
        <f t="shared" si="95"/>
        <v>34074</v>
      </c>
      <c r="AC50" s="11">
        <f t="shared" si="95"/>
        <v>31590</v>
      </c>
      <c r="AD50" s="11">
        <f t="shared" si="95"/>
        <v>32340</v>
      </c>
      <c r="AE50" s="11">
        <f t="shared" si="95"/>
        <v>34455</v>
      </c>
      <c r="AF50" s="11">
        <f t="shared" si="95"/>
        <v>36236</v>
      </c>
      <c r="AG50" s="11">
        <f t="shared" si="95"/>
        <v>35228</v>
      </c>
      <c r="AH50" s="11">
        <f t="shared" si="95"/>
        <v>23476</v>
      </c>
      <c r="AI50" s="11">
        <f t="shared" si="95"/>
        <v>20336</v>
      </c>
      <c r="AJ50" s="11">
        <f t="shared" si="95"/>
        <v>19103</v>
      </c>
    </row>
    <row r="51" spans="2:36" ht="12.75" customHeight="1">
      <c r="B51" s="8" t="s">
        <v>503</v>
      </c>
      <c r="C51" s="200">
        <f>'Historical Financials'!G51</f>
        <v>100887</v>
      </c>
      <c r="D51" s="200">
        <f>'Historical Financials'!H51</f>
        <v>127877</v>
      </c>
      <c r="E51" s="200">
        <f>'Historical Financials'!I51</f>
        <v>120805</v>
      </c>
      <c r="F51" s="200">
        <f>'Historical Financials'!J51</f>
        <v>100544</v>
      </c>
      <c r="G51" s="200">
        <f>'Historical Financials'!K51</f>
        <v>91479</v>
      </c>
      <c r="H51" s="200"/>
      <c r="I51" s="200">
        <f>'Historical Financials'!M51</f>
        <v>138683</v>
      </c>
      <c r="J51" s="200">
        <f>'Historical Financials'!N51</f>
        <v>141219</v>
      </c>
      <c r="K51" s="200">
        <f>'Historical Financials'!O51</f>
        <v>131077</v>
      </c>
      <c r="L51" s="200">
        <f>'Historical Financials'!P51</f>
        <v>120805</v>
      </c>
      <c r="M51" s="200">
        <f>'Historical Financials'!Q51</f>
        <v>114095</v>
      </c>
      <c r="N51" s="200">
        <f>'Historical Financials'!R51</f>
        <v>110461</v>
      </c>
      <c r="O51" s="200">
        <f>'Historical Financials'!S51</f>
        <v>104061</v>
      </c>
      <c r="P51" s="200">
        <f>'Historical Financials'!T51</f>
        <v>100544</v>
      </c>
      <c r="Q51" s="200">
        <f>'Historical Financials'!U51</f>
        <v>99475</v>
      </c>
      <c r="R51" s="200">
        <f>'Historical Financials'!V51</f>
        <v>95187</v>
      </c>
      <c r="S51" s="200">
        <f>'Historical Financials'!W51</f>
        <v>91240</v>
      </c>
      <c r="T51" s="200">
        <f>'Historical Financials'!X51</f>
        <v>91479</v>
      </c>
      <c r="U51" s="200">
        <f>'Historical Financials'!Y51</f>
        <v>87593</v>
      </c>
      <c r="V51" s="200">
        <f>'Historical Financials'!Z51</f>
        <v>84424</v>
      </c>
      <c r="W51" s="200">
        <f>'Historical Financials'!AA51</f>
        <v>77614</v>
      </c>
      <c r="Y51" s="11">
        <f t="shared" si="95"/>
        <v>120805</v>
      </c>
      <c r="Z51" s="11">
        <f t="shared" si="95"/>
        <v>114095</v>
      </c>
      <c r="AA51" s="11">
        <f t="shared" si="95"/>
        <v>110461</v>
      </c>
      <c r="AB51" s="11">
        <f t="shared" si="95"/>
        <v>104061</v>
      </c>
      <c r="AC51" s="11">
        <f t="shared" si="95"/>
        <v>100544</v>
      </c>
      <c r="AD51" s="11">
        <f t="shared" si="95"/>
        <v>99475</v>
      </c>
      <c r="AE51" s="11">
        <f t="shared" si="95"/>
        <v>95187</v>
      </c>
      <c r="AF51" s="11">
        <f t="shared" si="95"/>
        <v>91240</v>
      </c>
      <c r="AG51" s="11">
        <f t="shared" si="95"/>
        <v>91479</v>
      </c>
      <c r="AH51" s="11">
        <f t="shared" si="95"/>
        <v>87593</v>
      </c>
      <c r="AI51" s="11">
        <f t="shared" si="95"/>
        <v>84424</v>
      </c>
      <c r="AJ51" s="11">
        <f t="shared" si="95"/>
        <v>77614</v>
      </c>
    </row>
    <row r="52" spans="2:36" ht="12.75" customHeight="1">
      <c r="B52" s="14" t="s">
        <v>65</v>
      </c>
      <c r="C52" s="15">
        <f>SUM(C49:C51)</f>
        <v>191830</v>
      </c>
      <c r="D52" s="15">
        <f t="shared" ref="D52:G52" si="96">SUM(D49:D51)</f>
        <v>190516</v>
      </c>
      <c r="E52" s="15">
        <f t="shared" si="96"/>
        <v>169109</v>
      </c>
      <c r="F52" s="15">
        <f t="shared" si="96"/>
        <v>162099</v>
      </c>
      <c r="G52" s="15">
        <f t="shared" si="96"/>
        <v>156650</v>
      </c>
      <c r="H52" s="35"/>
      <c r="I52" s="15">
        <f t="shared" ref="I52" si="97">SUM(I49:I51)</f>
        <v>202596</v>
      </c>
      <c r="J52" s="15">
        <f t="shared" ref="J52" si="98">SUM(J49:J51)</f>
        <v>192730</v>
      </c>
      <c r="K52" s="15">
        <f t="shared" ref="K52" si="99">SUM(K49:K51)</f>
        <v>179308</v>
      </c>
      <c r="L52" s="15">
        <f t="shared" ref="L52" si="100">SUM(L49:L51)</f>
        <v>169109</v>
      </c>
      <c r="M52" s="15">
        <f t="shared" ref="M52" si="101">SUM(M49:M51)</f>
        <v>165450</v>
      </c>
      <c r="N52" s="15">
        <f t="shared" ref="N52" si="102">SUM(N49:N51)</f>
        <v>166333</v>
      </c>
      <c r="O52" s="15">
        <f t="shared" ref="O52" si="103">SUM(O49:O51)</f>
        <v>166543</v>
      </c>
      <c r="P52" s="15">
        <f t="shared" ref="P52" si="104">SUM(P49:P51)</f>
        <v>162099</v>
      </c>
      <c r="Q52" s="15">
        <f t="shared" ref="Q52" si="105">SUM(Q49:Q51)</f>
        <v>172575</v>
      </c>
      <c r="R52" s="15">
        <f t="shared" ref="R52" si="106">SUM(R49:R51)</f>
        <v>162337</v>
      </c>
      <c r="S52" s="15">
        <f t="shared" ref="S52" si="107">SUM(S49:S51)</f>
        <v>153041</v>
      </c>
      <c r="T52" s="15">
        <f t="shared" ref="T52" si="108">SUM(T49:T51)</f>
        <v>156650</v>
      </c>
      <c r="U52" s="15">
        <f t="shared" ref="U52" si="109">SUM(U49:U51)</f>
        <v>141368</v>
      </c>
      <c r="V52" s="15">
        <f t="shared" ref="V52" si="110">SUM(V49:V51)</f>
        <v>132922</v>
      </c>
      <c r="W52" s="15">
        <f t="shared" ref="W52" si="111">SUM(W49:W51)</f>
        <v>132986</v>
      </c>
      <c r="Y52" s="15">
        <f t="shared" ref="Y52" si="112">SUM(Y49:Y51)</f>
        <v>169109</v>
      </c>
      <c r="Z52" s="15">
        <f t="shared" ref="Z52" si="113">SUM(Z49:Z51)</f>
        <v>165450</v>
      </c>
      <c r="AA52" s="15">
        <f t="shared" ref="AA52" si="114">SUM(AA49:AA51)</f>
        <v>166333</v>
      </c>
      <c r="AB52" s="15">
        <f t="shared" ref="AB52" si="115">SUM(AB49:AB51)</f>
        <v>166543</v>
      </c>
      <c r="AC52" s="15">
        <f t="shared" ref="AC52" si="116">SUM(AC49:AC51)</f>
        <v>162099</v>
      </c>
      <c r="AD52" s="15">
        <f t="shared" ref="AD52" si="117">SUM(AD49:AD51)</f>
        <v>172575</v>
      </c>
      <c r="AE52" s="15">
        <f t="shared" ref="AE52" si="118">SUM(AE49:AE51)</f>
        <v>162337</v>
      </c>
      <c r="AF52" s="15">
        <f t="shared" ref="AF52" si="119">SUM(AF49:AF51)</f>
        <v>153041</v>
      </c>
      <c r="AG52" s="15">
        <f t="shared" ref="AG52" si="120">SUM(AG49:AG51)</f>
        <v>156650</v>
      </c>
      <c r="AH52" s="15">
        <f t="shared" ref="AH52" si="121">SUM(AH49:AH51)</f>
        <v>141368</v>
      </c>
      <c r="AI52" s="15">
        <f t="shared" ref="AI52" si="122">SUM(AI49:AI51)</f>
        <v>132922</v>
      </c>
      <c r="AJ52" s="15">
        <f t="shared" ref="AJ52" si="123">SUM(AJ49:AJ51)</f>
        <v>132986</v>
      </c>
    </row>
    <row r="53" spans="2:36" ht="5.0999999999999996" customHeight="1"/>
    <row r="54" spans="2:36" ht="12.75" customHeight="1">
      <c r="B54" s="38" t="s">
        <v>66</v>
      </c>
    </row>
    <row r="55" spans="2:36" ht="12.75" customHeight="1">
      <c r="B55" s="8" t="s">
        <v>67</v>
      </c>
      <c r="C55" s="200">
        <f>'Historical Financials'!G45</f>
        <v>16120</v>
      </c>
      <c r="D55" s="200">
        <f>'Historical Financials'!H45</f>
        <v>26278</v>
      </c>
      <c r="E55" s="200">
        <f>'Historical Financials'!I45</f>
        <v>28184</v>
      </c>
      <c r="F55" s="200">
        <f>'Historical Financials'!J45</f>
        <v>29508</v>
      </c>
      <c r="G55" s="200">
        <f>'Historical Financials'!K45</f>
        <v>66243</v>
      </c>
      <c r="I55" s="200">
        <f>'Historical Financials'!M45</f>
        <v>30213</v>
      </c>
      <c r="J55" s="200">
        <f>'Historical Financials'!N45</f>
        <v>20815</v>
      </c>
      <c r="K55" s="200">
        <f>'Historical Financials'!O45</f>
        <v>21803</v>
      </c>
      <c r="L55" s="200">
        <f>'Historical Financials'!P45</f>
        <v>28184</v>
      </c>
      <c r="M55" s="200">
        <f>'Historical Financials'!Q45</f>
        <v>23752</v>
      </c>
      <c r="N55" s="200">
        <f>'Historical Financials'!R45</f>
        <v>17936</v>
      </c>
      <c r="O55" s="200">
        <f>'Historical Financials'!S45</f>
        <v>19549</v>
      </c>
      <c r="P55" s="200">
        <f>'Historical Financials'!T45</f>
        <v>29508</v>
      </c>
      <c r="Q55" s="200">
        <f>'Historical Financials'!U45</f>
        <v>23194</v>
      </c>
      <c r="R55" s="200">
        <f>'Historical Financials'!V45</f>
        <v>21837</v>
      </c>
      <c r="S55" s="200">
        <f>'Historical Financials'!W45</f>
        <v>22795</v>
      </c>
      <c r="T55" s="200">
        <f>'Historical Financials'!X45</f>
        <v>66243</v>
      </c>
      <c r="U55" s="200">
        <f>'Historical Financials'!Y45</f>
        <v>29639</v>
      </c>
      <c r="V55" s="200">
        <f>'Historical Financials'!Z45</f>
        <v>49798</v>
      </c>
      <c r="W55" s="200">
        <f>'Historical Financials'!AA45</f>
        <v>46835</v>
      </c>
      <c r="X55" s="11"/>
      <c r="Y55" s="11">
        <f t="shared" ref="Y55:AJ56" si="124">L55</f>
        <v>28184</v>
      </c>
      <c r="Z55" s="11">
        <f t="shared" si="124"/>
        <v>23752</v>
      </c>
      <c r="AA55" s="11">
        <f t="shared" si="124"/>
        <v>17936</v>
      </c>
      <c r="AB55" s="11">
        <f t="shared" si="124"/>
        <v>19549</v>
      </c>
      <c r="AC55" s="11">
        <f t="shared" si="124"/>
        <v>29508</v>
      </c>
      <c r="AD55" s="11">
        <f t="shared" si="124"/>
        <v>23194</v>
      </c>
      <c r="AE55" s="11">
        <f t="shared" si="124"/>
        <v>21837</v>
      </c>
      <c r="AF55" s="11">
        <f t="shared" si="124"/>
        <v>22795</v>
      </c>
      <c r="AG55" s="11">
        <f t="shared" si="124"/>
        <v>66243</v>
      </c>
      <c r="AH55" s="11">
        <f t="shared" si="124"/>
        <v>29639</v>
      </c>
      <c r="AI55" s="11">
        <f t="shared" si="124"/>
        <v>49798</v>
      </c>
      <c r="AJ55" s="11">
        <f t="shared" si="124"/>
        <v>46835</v>
      </c>
    </row>
    <row r="56" spans="2:36" ht="12.75" customHeight="1">
      <c r="B56" s="8" t="s">
        <v>68</v>
      </c>
      <c r="C56" s="200">
        <f>'Historical Financials'!G55</f>
        <v>42296</v>
      </c>
      <c r="D56" s="200">
        <f>'Historical Financials'!H55</f>
        <v>54763</v>
      </c>
      <c r="E56" s="200">
        <f>'Historical Financials'!I55</f>
        <v>64115</v>
      </c>
      <c r="F56" s="200">
        <f>'Historical Financials'!J55</f>
        <v>62611</v>
      </c>
      <c r="G56" s="200">
        <f>'Historical Financials'!K55</f>
        <v>68960</v>
      </c>
      <c r="H56" s="200"/>
      <c r="I56" s="200">
        <f>'Historical Financials'!M55</f>
        <v>74362</v>
      </c>
      <c r="J56" s="200">
        <f>'Historical Financials'!N55</f>
        <v>52682</v>
      </c>
      <c r="K56" s="200">
        <f>'Historical Financials'!O55</f>
        <v>48343</v>
      </c>
      <c r="L56" s="200">
        <f>'Historical Financials'!P55</f>
        <v>64115</v>
      </c>
      <c r="M56" s="200">
        <f>'Historical Financials'!Q55</f>
        <v>57918</v>
      </c>
      <c r="N56" s="200">
        <f>'Historical Financials'!R55</f>
        <v>42945</v>
      </c>
      <c r="O56" s="200">
        <f>'Historical Financials'!S55</f>
        <v>46699</v>
      </c>
      <c r="P56" s="200">
        <f>'Historical Financials'!T55</f>
        <v>62611</v>
      </c>
      <c r="Q56" s="200">
        <f>'Historical Financials'!U55</f>
        <v>58146</v>
      </c>
      <c r="R56" s="200">
        <f>'Historical Financials'!V55</f>
        <v>45753</v>
      </c>
      <c r="S56" s="200">
        <f>'Historical Financials'!W55</f>
        <v>47574</v>
      </c>
      <c r="T56" s="200">
        <f>'Historical Financials'!X55</f>
        <v>68960</v>
      </c>
      <c r="U56" s="200">
        <f>'Historical Financials'!Y55</f>
        <v>61910</v>
      </c>
      <c r="V56" s="200">
        <f>'Historical Financials'!Z55</f>
        <v>54126</v>
      </c>
      <c r="W56" s="200">
        <f>'Historical Financials'!AA55</f>
        <v>50374</v>
      </c>
      <c r="Y56" s="11">
        <f t="shared" si="124"/>
        <v>64115</v>
      </c>
      <c r="Z56" s="11">
        <f t="shared" si="124"/>
        <v>57918</v>
      </c>
      <c r="AA56" s="11">
        <f t="shared" si="124"/>
        <v>42945</v>
      </c>
      <c r="AB56" s="11">
        <f t="shared" si="124"/>
        <v>46699</v>
      </c>
      <c r="AC56" s="11">
        <f t="shared" si="124"/>
        <v>62611</v>
      </c>
      <c r="AD56" s="11">
        <f t="shared" si="124"/>
        <v>58146</v>
      </c>
      <c r="AE56" s="11">
        <f t="shared" si="124"/>
        <v>45753</v>
      </c>
      <c r="AF56" s="11">
        <f t="shared" si="124"/>
        <v>47574</v>
      </c>
      <c r="AG56" s="11">
        <f t="shared" si="124"/>
        <v>68960</v>
      </c>
      <c r="AH56" s="11">
        <f t="shared" si="124"/>
        <v>61910</v>
      </c>
      <c r="AI56" s="11">
        <f t="shared" si="124"/>
        <v>54126</v>
      </c>
      <c r="AJ56" s="11">
        <f t="shared" si="124"/>
        <v>50374</v>
      </c>
    </row>
    <row r="57" spans="2:36" ht="12.75" customHeight="1">
      <c r="B57" s="8" t="s">
        <v>16</v>
      </c>
      <c r="C57" s="200">
        <f>'Historical Financials'!G46</f>
        <v>4061</v>
      </c>
      <c r="D57" s="200">
        <f>'Historical Financials'!H46</f>
        <v>6580</v>
      </c>
      <c r="E57" s="200">
        <f>'Historical Financials'!I46</f>
        <v>4946</v>
      </c>
      <c r="F57" s="200">
        <f>'Historical Financials'!J46</f>
        <v>6331</v>
      </c>
      <c r="G57" s="200">
        <f>'Historical Financials'!K46</f>
        <v>7286</v>
      </c>
      <c r="H57" s="200"/>
      <c r="I57" s="200">
        <f>'Historical Financials'!M46</f>
        <v>5876</v>
      </c>
      <c r="J57" s="200">
        <f>'Historical Financials'!N46</f>
        <v>5460</v>
      </c>
      <c r="K57" s="200">
        <f>'Historical Financials'!O46</f>
        <v>5433</v>
      </c>
      <c r="L57" s="200">
        <f>'Historical Financials'!P46</f>
        <v>4946</v>
      </c>
      <c r="M57" s="200">
        <f>'Historical Financials'!Q46</f>
        <v>6820</v>
      </c>
      <c r="N57" s="200">
        <f>'Historical Financials'!R46</f>
        <v>7482</v>
      </c>
      <c r="O57" s="200">
        <f>'Historical Financials'!S46</f>
        <v>7351</v>
      </c>
      <c r="P57" s="200">
        <f>'Historical Financials'!T46</f>
        <v>6331</v>
      </c>
      <c r="Q57" s="200">
        <f>'Historical Financials'!U46</f>
        <v>6511</v>
      </c>
      <c r="R57" s="200">
        <f>'Historical Financials'!V46</f>
        <v>6232</v>
      </c>
      <c r="S57" s="200">
        <f>'Historical Financials'!W46</f>
        <v>6165</v>
      </c>
      <c r="T57" s="200">
        <f>'Historical Financials'!X46</f>
        <v>7286</v>
      </c>
      <c r="U57" s="200">
        <f>'Historical Financials'!Y46</f>
        <v>6911</v>
      </c>
      <c r="V57" s="200">
        <f>'Historical Financials'!Z46</f>
        <v>6269</v>
      </c>
      <c r="W57" s="200">
        <f>'Historical Financials'!AA46</f>
        <v>5925</v>
      </c>
      <c r="Y57" s="11"/>
      <c r="Z57" s="11"/>
      <c r="AA57" s="11"/>
      <c r="AB57" s="11"/>
      <c r="AC57" s="11"/>
      <c r="AD57" s="11"/>
      <c r="AE57" s="11">
        <f t="shared" ref="AE57:AJ60" si="125">R57</f>
        <v>6232</v>
      </c>
      <c r="AF57" s="11">
        <f t="shared" si="125"/>
        <v>6165</v>
      </c>
      <c r="AG57" s="11">
        <f t="shared" si="125"/>
        <v>7286</v>
      </c>
      <c r="AH57" s="11">
        <f t="shared" si="125"/>
        <v>6911</v>
      </c>
      <c r="AI57" s="11">
        <f t="shared" si="125"/>
        <v>6269</v>
      </c>
      <c r="AJ57" s="11">
        <f t="shared" si="125"/>
        <v>5925</v>
      </c>
    </row>
    <row r="58" spans="2:36" ht="12.75" customHeight="1">
      <c r="B58" s="8" t="s">
        <v>69</v>
      </c>
      <c r="C58" s="200">
        <f>'Historical Financials'!G50</f>
        <v>36766</v>
      </c>
      <c r="D58" s="200">
        <f>'Historical Financials'!H50</f>
        <v>39440</v>
      </c>
      <c r="E58" s="200">
        <f>'Historical Financials'!I50</f>
        <v>42117</v>
      </c>
      <c r="F58" s="200">
        <f>'Historical Financials'!J50</f>
        <v>43715</v>
      </c>
      <c r="G58" s="200">
        <f>'Historical Financials'!K50</f>
        <v>45680</v>
      </c>
      <c r="H58" s="200"/>
      <c r="I58" s="200">
        <f>'Historical Financials'!M50</f>
        <v>39245</v>
      </c>
      <c r="J58" s="200">
        <f>'Historical Financials'!N50</f>
        <v>39304</v>
      </c>
      <c r="K58" s="200">
        <f>'Historical Financials'!O50</f>
        <v>40335</v>
      </c>
      <c r="L58" s="200">
        <f>'Historical Financials'!P50</f>
        <v>42117</v>
      </c>
      <c r="M58" s="200">
        <f>'Historical Financials'!Q50</f>
        <v>42951</v>
      </c>
      <c r="N58" s="200">
        <f>'Historical Financials'!R50</f>
        <v>43398</v>
      </c>
      <c r="O58" s="200">
        <f>'Historical Financials'!S50</f>
        <v>43550</v>
      </c>
      <c r="P58" s="200">
        <f>'Historical Financials'!T50</f>
        <v>43715</v>
      </c>
      <c r="Q58" s="200">
        <f>'Historical Financials'!U50</f>
        <v>43666</v>
      </c>
      <c r="R58" s="200">
        <f>'Historical Financials'!V50</f>
        <v>43546</v>
      </c>
      <c r="S58" s="200">
        <f>'Historical Financials'!W50</f>
        <v>44502</v>
      </c>
      <c r="T58" s="200">
        <f>'Historical Financials'!X50</f>
        <v>45680</v>
      </c>
      <c r="U58" s="200">
        <f>'Historical Financials'!Y50</f>
        <v>46069</v>
      </c>
      <c r="V58" s="200">
        <f>'Historical Financials'!Z50</f>
        <v>46876</v>
      </c>
      <c r="W58" s="200">
        <f>'Historical Financials'!AA50</f>
        <v>48508</v>
      </c>
      <c r="Y58" s="11">
        <f t="shared" ref="Y58:AD60" si="126">L58</f>
        <v>42117</v>
      </c>
      <c r="Z58" s="11">
        <f t="shared" si="126"/>
        <v>42951</v>
      </c>
      <c r="AA58" s="11">
        <f t="shared" si="126"/>
        <v>43398</v>
      </c>
      <c r="AB58" s="11">
        <f t="shared" si="126"/>
        <v>43550</v>
      </c>
      <c r="AC58" s="11">
        <f t="shared" si="126"/>
        <v>43715</v>
      </c>
      <c r="AD58" s="11">
        <f t="shared" si="126"/>
        <v>43666</v>
      </c>
      <c r="AE58" s="11">
        <f t="shared" si="125"/>
        <v>43546</v>
      </c>
      <c r="AF58" s="11">
        <f t="shared" si="125"/>
        <v>44502</v>
      </c>
      <c r="AG58" s="11">
        <f t="shared" si="125"/>
        <v>45680</v>
      </c>
      <c r="AH58" s="11">
        <f t="shared" si="125"/>
        <v>46069</v>
      </c>
      <c r="AI58" s="11">
        <f t="shared" si="125"/>
        <v>46876</v>
      </c>
      <c r="AJ58" s="11">
        <f t="shared" si="125"/>
        <v>48508</v>
      </c>
    </row>
    <row r="59" spans="2:36" ht="12.75" customHeight="1">
      <c r="B59" s="8" t="s">
        <v>70</v>
      </c>
      <c r="C59" s="200">
        <f>'Historical Financials'!G65</f>
        <v>258549</v>
      </c>
      <c r="D59" s="200">
        <f>'Historical Financials'!H65</f>
        <v>287912</v>
      </c>
      <c r="E59" s="200">
        <f>'Historical Financials'!I65</f>
        <v>302083</v>
      </c>
      <c r="F59" s="200">
        <f>'Historical Financials'!J65</f>
        <v>290437</v>
      </c>
      <c r="G59" s="200">
        <f>'Historical Financials'!K65</f>
        <v>308030</v>
      </c>
      <c r="H59" s="200"/>
      <c r="I59" s="200">
        <f>'Historical Financials'!M65</f>
        <v>309259</v>
      </c>
      <c r="J59" s="200">
        <f>'Historical Financials'!N65</f>
        <v>283263</v>
      </c>
      <c r="K59" s="200">
        <f>'Historical Financials'!O65</f>
        <v>278202</v>
      </c>
      <c r="L59" s="200">
        <f>'Historical Financials'!P65</f>
        <v>302083</v>
      </c>
      <c r="M59" s="200">
        <f>'Historical Financials'!Q65</f>
        <v>290020</v>
      </c>
      <c r="N59" s="200">
        <f>'Historical Financials'!R65</f>
        <v>270002</v>
      </c>
      <c r="O59" s="200">
        <f>'Historical Financials'!S65</f>
        <v>274764</v>
      </c>
      <c r="P59" s="200">
        <f>'Historical Financials'!T65</f>
        <v>290437</v>
      </c>
      <c r="Q59" s="200">
        <f>'Historical Financials'!U65</f>
        <v>279414</v>
      </c>
      <c r="R59" s="200">
        <f>'Historical Financials'!V65</f>
        <v>263217</v>
      </c>
      <c r="S59" s="200">
        <f>'Historical Financials'!W65</f>
        <v>264904</v>
      </c>
      <c r="T59" s="200">
        <f>'Historical Financials'!X65</f>
        <v>308030</v>
      </c>
      <c r="U59" s="200">
        <f>'Historical Financials'!Y65</f>
        <v>277327</v>
      </c>
      <c r="V59" s="200">
        <f>'Historical Financials'!Z65</f>
        <v>264437</v>
      </c>
      <c r="W59" s="200">
        <f>'Historical Financials'!AA65</f>
        <v>265665</v>
      </c>
      <c r="Y59" s="11">
        <f t="shared" si="126"/>
        <v>302083</v>
      </c>
      <c r="Z59" s="11">
        <f t="shared" si="126"/>
        <v>290020</v>
      </c>
      <c r="AA59" s="11">
        <f t="shared" si="126"/>
        <v>270002</v>
      </c>
      <c r="AB59" s="11">
        <f t="shared" si="126"/>
        <v>274764</v>
      </c>
      <c r="AC59" s="11">
        <f t="shared" si="126"/>
        <v>290437</v>
      </c>
      <c r="AD59" s="11">
        <f t="shared" si="126"/>
        <v>279414</v>
      </c>
      <c r="AE59" s="11">
        <f t="shared" si="125"/>
        <v>263217</v>
      </c>
      <c r="AF59" s="11">
        <f t="shared" si="125"/>
        <v>264904</v>
      </c>
      <c r="AG59" s="11">
        <f t="shared" si="125"/>
        <v>308030</v>
      </c>
      <c r="AH59" s="11">
        <f t="shared" si="125"/>
        <v>277327</v>
      </c>
      <c r="AI59" s="11">
        <f t="shared" si="125"/>
        <v>264437</v>
      </c>
      <c r="AJ59" s="11">
        <f t="shared" si="125"/>
        <v>265665</v>
      </c>
    </row>
    <row r="60" spans="2:36" ht="12.75" customHeight="1">
      <c r="B60" s="8" t="s">
        <v>24</v>
      </c>
      <c r="C60" s="200">
        <f>'Historical Financials'!G65</f>
        <v>258549</v>
      </c>
      <c r="D60" s="200">
        <f>'Historical Financials'!H65</f>
        <v>287912</v>
      </c>
      <c r="E60" s="200">
        <f>'Historical Financials'!I65</f>
        <v>302083</v>
      </c>
      <c r="F60" s="200">
        <f>'Historical Financials'!J65</f>
        <v>290437</v>
      </c>
      <c r="G60" s="200">
        <f>'Historical Financials'!K65</f>
        <v>308030</v>
      </c>
      <c r="H60" s="200"/>
      <c r="I60" s="200">
        <f>'Historical Financials'!M65</f>
        <v>309259</v>
      </c>
      <c r="J60" s="200">
        <f>'Historical Financials'!N65</f>
        <v>283263</v>
      </c>
      <c r="K60" s="200">
        <f>'Historical Financials'!O65</f>
        <v>278202</v>
      </c>
      <c r="L60" s="200">
        <f>'Historical Financials'!P65</f>
        <v>302083</v>
      </c>
      <c r="M60" s="200">
        <f>'Historical Financials'!Q65</f>
        <v>290020</v>
      </c>
      <c r="N60" s="200">
        <f>'Historical Financials'!R65</f>
        <v>270002</v>
      </c>
      <c r="O60" s="200">
        <f>'Historical Financials'!S65</f>
        <v>274764</v>
      </c>
      <c r="P60" s="200">
        <f>'Historical Financials'!T65</f>
        <v>290437</v>
      </c>
      <c r="Q60" s="200">
        <f>'Historical Financials'!U65</f>
        <v>279414</v>
      </c>
      <c r="R60" s="200">
        <f>'Historical Financials'!V65</f>
        <v>263217</v>
      </c>
      <c r="S60" s="200">
        <f>'Historical Financials'!W65</f>
        <v>264904</v>
      </c>
      <c r="T60" s="200">
        <f>'Historical Financials'!X65</f>
        <v>308030</v>
      </c>
      <c r="U60" s="200">
        <f>'Historical Financials'!Y65</f>
        <v>277327</v>
      </c>
      <c r="V60" s="200">
        <f>'Historical Financials'!Z65</f>
        <v>264437</v>
      </c>
      <c r="W60" s="200">
        <f>'Historical Financials'!AA65</f>
        <v>265665</v>
      </c>
      <c r="Y60" s="11">
        <f t="shared" si="126"/>
        <v>302083</v>
      </c>
      <c r="Z60" s="11">
        <f t="shared" si="126"/>
        <v>290020</v>
      </c>
      <c r="AA60" s="11">
        <f t="shared" si="126"/>
        <v>270002</v>
      </c>
      <c r="AB60" s="11">
        <f t="shared" si="126"/>
        <v>274764</v>
      </c>
      <c r="AC60" s="11">
        <f t="shared" si="126"/>
        <v>290437</v>
      </c>
      <c r="AD60" s="11">
        <f t="shared" si="126"/>
        <v>279414</v>
      </c>
      <c r="AE60" s="11">
        <f t="shared" si="125"/>
        <v>263217</v>
      </c>
      <c r="AF60" s="11">
        <f t="shared" si="125"/>
        <v>264904</v>
      </c>
      <c r="AG60" s="11">
        <f t="shared" si="125"/>
        <v>308030</v>
      </c>
      <c r="AH60" s="11">
        <f t="shared" si="125"/>
        <v>277327</v>
      </c>
      <c r="AI60" s="11">
        <f t="shared" si="125"/>
        <v>264437</v>
      </c>
      <c r="AJ60" s="11">
        <f t="shared" si="125"/>
        <v>265665</v>
      </c>
    </row>
    <row r="61" spans="2:36" ht="5.0999999999999996" customHeight="1"/>
    <row r="62" spans="2:36" ht="12.75" customHeight="1">
      <c r="B62" s="38" t="s">
        <v>71</v>
      </c>
    </row>
    <row r="63" spans="2:36" ht="12.75" customHeight="1">
      <c r="B63" s="8" t="s">
        <v>72</v>
      </c>
      <c r="C63" s="200">
        <f>+'Historical Financials'!G58+'Historical Financials'!G59</f>
        <v>13769</v>
      </c>
      <c r="D63" s="200">
        <f>+'Historical Financials'!H58+'Historical Financials'!H59</f>
        <v>15613</v>
      </c>
      <c r="E63" s="200">
        <f>+'Historical Financials'!I58+'Historical Financials'!I59</f>
        <v>21110</v>
      </c>
      <c r="F63" s="200">
        <f>+'Historical Financials'!J58+'Historical Financials'!J59</f>
        <v>15807</v>
      </c>
      <c r="G63" s="200">
        <f>+'Historical Financials'!K58+'Historical Financials'!K59</f>
        <v>20879</v>
      </c>
      <c r="I63" s="200">
        <f>+'Historical Financials'!M58+'Historical Financials'!M59</f>
        <v>16169</v>
      </c>
      <c r="J63" s="200">
        <f>+'Historical Financials'!N58+'Historical Financials'!N59</f>
        <v>16658</v>
      </c>
      <c r="K63" s="200">
        <f>+'Historical Financials'!O58+'Historical Financials'!O59</f>
        <v>24991</v>
      </c>
      <c r="L63" s="200">
        <f>+'Historical Financials'!P58+'Historical Financials'!P59</f>
        <v>21110</v>
      </c>
      <c r="M63" s="200">
        <f>+'Historical Financials'!Q58+'Historical Financials'!Q59</f>
        <v>11483</v>
      </c>
      <c r="N63" s="200">
        <f>+'Historical Financials'!R58+'Historical Financials'!R59</f>
        <v>12574</v>
      </c>
      <c r="O63" s="200">
        <f>+'Historical Financials'!S58+'Historical Financials'!S59</f>
        <v>11209</v>
      </c>
      <c r="P63" s="200">
        <f>+'Historical Financials'!T58+'Historical Financials'!T59</f>
        <v>15807</v>
      </c>
      <c r="Q63" s="200">
        <f>+'Historical Financials'!U58+'Historical Financials'!U59</f>
        <v>12952</v>
      </c>
      <c r="R63" s="200">
        <f>+'Historical Financials'!V58+'Historical Financials'!V59</f>
        <v>12759</v>
      </c>
      <c r="S63" s="200">
        <f>+'Historical Financials'!W58+'Historical Financials'!W59</f>
        <v>15108</v>
      </c>
      <c r="T63" s="200">
        <f>+'Historical Financials'!X58+'Historical Financials'!X59</f>
        <v>20879</v>
      </c>
      <c r="U63" s="200">
        <f>+'Historical Financials'!Y58+'Historical Financials'!Y59</f>
        <v>12843</v>
      </c>
      <c r="V63" s="200">
        <f>+'Historical Financials'!Z58+'Historical Financials'!Z59</f>
        <v>19620</v>
      </c>
      <c r="W63" s="200">
        <f>+'Historical Financials'!AA58+'Historical Financials'!AA59</f>
        <v>19268</v>
      </c>
      <c r="Y63" s="11">
        <f t="shared" ref="Y63:AJ64" si="127">L63</f>
        <v>21110</v>
      </c>
      <c r="Z63" s="11">
        <f t="shared" si="127"/>
        <v>11483</v>
      </c>
      <c r="AA63" s="11">
        <f t="shared" si="127"/>
        <v>12574</v>
      </c>
      <c r="AB63" s="11">
        <f t="shared" si="127"/>
        <v>11209</v>
      </c>
      <c r="AC63" s="11">
        <f t="shared" si="127"/>
        <v>15807</v>
      </c>
      <c r="AD63" s="11">
        <f t="shared" si="127"/>
        <v>12952</v>
      </c>
      <c r="AE63" s="11">
        <f t="shared" si="127"/>
        <v>12759</v>
      </c>
      <c r="AF63" s="11">
        <f t="shared" si="127"/>
        <v>15108</v>
      </c>
      <c r="AG63" s="11">
        <f t="shared" si="127"/>
        <v>20879</v>
      </c>
      <c r="AH63" s="11">
        <f t="shared" si="127"/>
        <v>12843</v>
      </c>
      <c r="AI63" s="11">
        <f t="shared" si="127"/>
        <v>19620</v>
      </c>
      <c r="AJ63" s="11">
        <f t="shared" si="127"/>
        <v>19268</v>
      </c>
    </row>
    <row r="64" spans="2:36" ht="12.75" customHeight="1">
      <c r="B64" s="8" t="s">
        <v>73</v>
      </c>
      <c r="C64" s="200">
        <f>'Historical Financials'!G62</f>
        <v>98667</v>
      </c>
      <c r="D64" s="200">
        <f>'Historical Financials'!H62</f>
        <v>109106</v>
      </c>
      <c r="E64" s="200">
        <f>'Historical Financials'!I62</f>
        <v>98959</v>
      </c>
      <c r="F64" s="200">
        <f>'Historical Financials'!J62</f>
        <v>95281</v>
      </c>
      <c r="G64" s="200">
        <f>'Historical Financials'!K62</f>
        <v>85750</v>
      </c>
      <c r="I64" s="200">
        <f>'Historical Financials'!M62</f>
        <v>106629</v>
      </c>
      <c r="J64" s="200">
        <f>'Historical Financials'!N62</f>
        <v>103323</v>
      </c>
      <c r="K64" s="200">
        <f>'Historical Financials'!O62</f>
        <v>94700</v>
      </c>
      <c r="L64" s="200">
        <f>'Historical Financials'!P62</f>
        <v>98959</v>
      </c>
      <c r="M64" s="200">
        <f>'Historical Financials'!Q62</f>
        <v>99627</v>
      </c>
      <c r="N64" s="200">
        <f>'Historical Financials'!R62</f>
        <v>97041</v>
      </c>
      <c r="O64" s="200">
        <f>'Historical Financials'!S62</f>
        <v>98071</v>
      </c>
      <c r="P64" s="200">
        <f>'Historical Financials'!T62</f>
        <v>95281</v>
      </c>
      <c r="Q64" s="200">
        <f>'Historical Financials'!U62</f>
        <v>95088</v>
      </c>
      <c r="R64" s="200">
        <f>'Historical Financials'!V62</f>
        <v>91831</v>
      </c>
      <c r="S64" s="200">
        <f>'Historical Financials'!W62</f>
        <v>86196</v>
      </c>
      <c r="T64" s="200">
        <f>'Historical Financials'!X62</f>
        <v>85750</v>
      </c>
      <c r="U64" s="200">
        <f>'Historical Financials'!Y62</f>
        <v>83956</v>
      </c>
      <c r="V64" s="200">
        <f>'Historical Financials'!Z62</f>
        <v>78566</v>
      </c>
      <c r="W64" s="200">
        <f>'Historical Financials'!AA62</f>
        <v>82430</v>
      </c>
      <c r="Y64" s="11">
        <f t="shared" si="127"/>
        <v>98959</v>
      </c>
      <c r="Z64" s="11">
        <f t="shared" si="127"/>
        <v>99627</v>
      </c>
      <c r="AA64" s="11">
        <f t="shared" si="127"/>
        <v>97041</v>
      </c>
      <c r="AB64" s="11">
        <f t="shared" si="127"/>
        <v>98071</v>
      </c>
      <c r="AC64" s="11">
        <f t="shared" si="127"/>
        <v>95281</v>
      </c>
      <c r="AD64" s="11">
        <f t="shared" si="127"/>
        <v>95088</v>
      </c>
      <c r="AE64" s="11">
        <f t="shared" si="127"/>
        <v>91831</v>
      </c>
      <c r="AF64" s="11">
        <f t="shared" si="127"/>
        <v>86196</v>
      </c>
      <c r="AG64" s="11">
        <f t="shared" si="127"/>
        <v>85750</v>
      </c>
      <c r="AH64" s="11">
        <f t="shared" si="127"/>
        <v>83956</v>
      </c>
      <c r="AI64" s="11">
        <f t="shared" si="127"/>
        <v>78566</v>
      </c>
      <c r="AJ64" s="11">
        <f t="shared" si="127"/>
        <v>82430</v>
      </c>
    </row>
    <row r="65" spans="1:36">
      <c r="G65" s="11"/>
    </row>
    <row r="66" spans="1:36" ht="12.75" customHeight="1">
      <c r="B66" s="39" t="s">
        <v>340</v>
      </c>
      <c r="C66" s="200">
        <f>'Historical Financials'!G58</f>
        <v>4996</v>
      </c>
      <c r="D66" s="200">
        <f>'Historical Financials'!H58</f>
        <v>6000</v>
      </c>
      <c r="E66" s="200">
        <f>'Historical Financials'!I58</f>
        <v>9982</v>
      </c>
      <c r="F66" s="200">
        <f>'Historical Financials'!J58</f>
        <v>5985</v>
      </c>
      <c r="G66" s="200">
        <f>'Historical Financials'!K58</f>
        <v>9967</v>
      </c>
      <c r="I66" s="200">
        <f>'Historical Financials'!M58</f>
        <v>5000</v>
      </c>
      <c r="J66" s="200">
        <f>'Historical Financials'!N58</f>
        <v>6999</v>
      </c>
      <c r="K66" s="200">
        <f>'Historical Financials'!O58</f>
        <v>10982</v>
      </c>
      <c r="L66" s="200">
        <f>'Historical Financials'!P58</f>
        <v>9982</v>
      </c>
      <c r="M66" s="200">
        <f>'Historical Financials'!Q58</f>
        <v>1743</v>
      </c>
      <c r="N66" s="200">
        <f>'Historical Financials'!R58</f>
        <v>1996</v>
      </c>
      <c r="O66" s="200">
        <f>'Historical Financials'!S58</f>
        <v>3993</v>
      </c>
      <c r="P66" s="200">
        <f>'Historical Financials'!T58</f>
        <v>5985</v>
      </c>
      <c r="Q66" s="200">
        <f>'Historical Financials'!U58</f>
        <v>1998</v>
      </c>
      <c r="R66" s="200">
        <f>'Historical Financials'!V58</f>
        <v>1997</v>
      </c>
      <c r="S66" s="200">
        <f>'Historical Financials'!W58</f>
        <v>2994</v>
      </c>
      <c r="T66" s="200">
        <f>'Historical Financials'!X58</f>
        <v>9967</v>
      </c>
      <c r="U66" s="200">
        <f>'Historical Financials'!Y58</f>
        <v>1995</v>
      </c>
      <c r="V66" s="200">
        <f>'Historical Financials'!Z58</f>
        <v>5982</v>
      </c>
      <c r="W66" s="200">
        <f>'Historical Financials'!AA58</f>
        <v>9923</v>
      </c>
      <c r="Y66" s="11">
        <f t="shared" ref="Y66:AE66" si="128">L66</f>
        <v>9982</v>
      </c>
      <c r="Z66" s="11">
        <f t="shared" si="128"/>
        <v>1743</v>
      </c>
      <c r="AA66" s="11">
        <f t="shared" si="128"/>
        <v>1996</v>
      </c>
      <c r="AB66" s="11">
        <f t="shared" si="128"/>
        <v>3993</v>
      </c>
      <c r="AC66" s="11">
        <f t="shared" si="128"/>
        <v>5985</v>
      </c>
      <c r="AD66" s="11">
        <f t="shared" si="128"/>
        <v>1998</v>
      </c>
      <c r="AE66" s="11">
        <f t="shared" si="128"/>
        <v>1997</v>
      </c>
      <c r="AF66" s="11">
        <f t="shared" ref="AF66:AJ67" si="129">S66</f>
        <v>2994</v>
      </c>
      <c r="AG66" s="11">
        <f t="shared" si="129"/>
        <v>9967</v>
      </c>
      <c r="AH66" s="11">
        <f t="shared" si="129"/>
        <v>1995</v>
      </c>
      <c r="AI66" s="11">
        <f t="shared" si="129"/>
        <v>5982</v>
      </c>
      <c r="AJ66" s="11">
        <f t="shared" si="129"/>
        <v>9923</v>
      </c>
    </row>
    <row r="67" spans="1:36" ht="12.75" customHeight="1">
      <c r="B67" s="34" t="s">
        <v>341</v>
      </c>
      <c r="C67" s="200">
        <f>'Historical Financials'!G59</f>
        <v>8773</v>
      </c>
      <c r="D67" s="200">
        <f>'Historical Financials'!H59</f>
        <v>9613</v>
      </c>
      <c r="E67" s="200">
        <f>'Historical Financials'!I59</f>
        <v>11128</v>
      </c>
      <c r="F67" s="200">
        <f>'Historical Financials'!J59</f>
        <v>9822</v>
      </c>
      <c r="G67" s="200">
        <f>'Historical Financials'!K59</f>
        <v>10912</v>
      </c>
      <c r="I67" s="200">
        <f>'Historical Financials'!M59</f>
        <v>11169</v>
      </c>
      <c r="J67" s="200">
        <f>'Historical Financials'!N59</f>
        <v>9659</v>
      </c>
      <c r="K67" s="200">
        <f>'Historical Financials'!O59</f>
        <v>14009</v>
      </c>
      <c r="L67" s="200">
        <f>'Historical Financials'!P59</f>
        <v>11128</v>
      </c>
      <c r="M67" s="200">
        <f>'Historical Financials'!Q59</f>
        <v>9740</v>
      </c>
      <c r="N67" s="200">
        <f>'Historical Financials'!R59</f>
        <v>10578</v>
      </c>
      <c r="O67" s="200">
        <f>'Historical Financials'!S59</f>
        <v>7216</v>
      </c>
      <c r="P67" s="200">
        <f>'Historical Financials'!T59</f>
        <v>9822</v>
      </c>
      <c r="Q67" s="200">
        <f>'Historical Financials'!U59</f>
        <v>10954</v>
      </c>
      <c r="R67" s="200">
        <f>'Historical Financials'!V59</f>
        <v>10762</v>
      </c>
      <c r="S67" s="200">
        <f>'Historical Financials'!W59</f>
        <v>12114</v>
      </c>
      <c r="T67" s="200">
        <f>'Historical Financials'!X59</f>
        <v>10912</v>
      </c>
      <c r="U67" s="200">
        <f>'Historical Financials'!Y59</f>
        <v>10848</v>
      </c>
      <c r="V67" s="200">
        <f>'Historical Financials'!Z59</f>
        <v>13638</v>
      </c>
      <c r="W67" s="200">
        <f>'Historical Financials'!AA59</f>
        <v>9345</v>
      </c>
      <c r="Y67" s="11"/>
      <c r="Z67" s="11"/>
      <c r="AA67" s="11"/>
      <c r="AB67" s="11"/>
      <c r="AC67" s="11"/>
      <c r="AD67" s="11"/>
      <c r="AE67" s="11"/>
      <c r="AF67" s="11">
        <f t="shared" si="129"/>
        <v>12114</v>
      </c>
      <c r="AG67" s="11">
        <f t="shared" si="129"/>
        <v>10912</v>
      </c>
      <c r="AH67" s="11">
        <f t="shared" si="129"/>
        <v>10848</v>
      </c>
      <c r="AI67" s="11">
        <f t="shared" si="129"/>
        <v>13638</v>
      </c>
      <c r="AJ67" s="11">
        <f t="shared" si="129"/>
        <v>9345</v>
      </c>
    </row>
    <row r="68" spans="1:36" ht="12.75" customHeight="1">
      <c r="B68" s="34" t="s">
        <v>342</v>
      </c>
      <c r="C68" s="200">
        <f>'Historical Financials'!G62</f>
        <v>98667</v>
      </c>
      <c r="D68" s="200">
        <f>'Historical Financials'!H62</f>
        <v>109106</v>
      </c>
      <c r="E68" s="200">
        <f>'Historical Financials'!I62</f>
        <v>98959</v>
      </c>
      <c r="F68" s="200">
        <f>'Historical Financials'!J62</f>
        <v>95281</v>
      </c>
      <c r="G68" s="200">
        <f>'Historical Financials'!K62</f>
        <v>85750</v>
      </c>
      <c r="H68" s="101"/>
      <c r="I68" s="200">
        <f>'Historical Financials'!M62</f>
        <v>106629</v>
      </c>
      <c r="J68" s="200">
        <f>'Historical Financials'!N62</f>
        <v>103323</v>
      </c>
      <c r="K68" s="200">
        <f>'Historical Financials'!O62</f>
        <v>94700</v>
      </c>
      <c r="L68" s="200">
        <f>'Historical Financials'!P62</f>
        <v>98959</v>
      </c>
      <c r="M68" s="200">
        <f>'Historical Financials'!Q62</f>
        <v>99627</v>
      </c>
      <c r="N68" s="200">
        <f>'Historical Financials'!R62</f>
        <v>97041</v>
      </c>
      <c r="O68" s="200">
        <f>'Historical Financials'!S62</f>
        <v>98071</v>
      </c>
      <c r="P68" s="200">
        <f>'Historical Financials'!T62</f>
        <v>95281</v>
      </c>
      <c r="Q68" s="200">
        <f>'Historical Financials'!U62</f>
        <v>95088</v>
      </c>
      <c r="R68" s="200">
        <f>'Historical Financials'!V62</f>
        <v>91831</v>
      </c>
      <c r="S68" s="200">
        <f>'Historical Financials'!W62</f>
        <v>86196</v>
      </c>
      <c r="T68" s="200">
        <f>'Historical Financials'!X62</f>
        <v>85750</v>
      </c>
      <c r="U68" s="200">
        <f>'Historical Financials'!Y62</f>
        <v>83956</v>
      </c>
      <c r="V68" s="200">
        <f>'Historical Financials'!Z62</f>
        <v>78566</v>
      </c>
      <c r="W68" s="200">
        <f>'Historical Financials'!AA62</f>
        <v>82430</v>
      </c>
      <c r="Y68" s="11">
        <f t="shared" ref="Y68" si="130">L68</f>
        <v>98959</v>
      </c>
      <c r="Z68" s="11">
        <f t="shared" ref="Z68" si="131">M68</f>
        <v>99627</v>
      </c>
      <c r="AA68" s="11">
        <f t="shared" ref="AA68" si="132">N68</f>
        <v>97041</v>
      </c>
      <c r="AB68" s="11">
        <f t="shared" ref="AB68" si="133">O68</f>
        <v>98071</v>
      </c>
      <c r="AC68" s="11">
        <f t="shared" ref="AC68" si="134">P68</f>
        <v>95281</v>
      </c>
      <c r="AD68" s="11">
        <f t="shared" ref="AD68" si="135">Q68</f>
        <v>95088</v>
      </c>
      <c r="AE68" s="11">
        <f t="shared" ref="AE68" si="136">R68</f>
        <v>91831</v>
      </c>
      <c r="AF68" s="11">
        <f t="shared" ref="AF68" si="137">S68</f>
        <v>86196</v>
      </c>
      <c r="AG68" s="11">
        <f t="shared" ref="AG68" si="138">T68</f>
        <v>85750</v>
      </c>
      <c r="AH68" s="11">
        <f t="shared" ref="AH68" si="139">U68</f>
        <v>83956</v>
      </c>
      <c r="AI68" s="11">
        <f t="shared" ref="AI68:AJ68" si="140">V68</f>
        <v>78566</v>
      </c>
      <c r="AJ68" s="11">
        <f t="shared" si="140"/>
        <v>82430</v>
      </c>
    </row>
    <row r="69" spans="1:36" ht="12.75" customHeight="1">
      <c r="B69" s="14" t="s">
        <v>35</v>
      </c>
      <c r="C69" s="15">
        <f>SUM(C66:C68)</f>
        <v>112436</v>
      </c>
      <c r="D69" s="15">
        <f>SUM(D66:D68)</f>
        <v>124719</v>
      </c>
      <c r="E69" s="15">
        <f>SUM(E66:E68)</f>
        <v>120069</v>
      </c>
      <c r="F69" s="15">
        <f>SUM(F66:F68)</f>
        <v>111088</v>
      </c>
      <c r="G69" s="15">
        <f>SUM(G66:G68)</f>
        <v>106629</v>
      </c>
      <c r="I69" s="15">
        <f t="shared" ref="I69:W69" si="141">SUM(I66:I68)</f>
        <v>122798</v>
      </c>
      <c r="J69" s="15">
        <f t="shared" si="141"/>
        <v>119981</v>
      </c>
      <c r="K69" s="15">
        <f t="shared" si="141"/>
        <v>119691</v>
      </c>
      <c r="L69" s="15">
        <f t="shared" si="141"/>
        <v>120069</v>
      </c>
      <c r="M69" s="15">
        <f t="shared" si="141"/>
        <v>111110</v>
      </c>
      <c r="N69" s="15">
        <f t="shared" si="141"/>
        <v>109615</v>
      </c>
      <c r="O69" s="15">
        <f t="shared" si="141"/>
        <v>109280</v>
      </c>
      <c r="P69" s="15">
        <f t="shared" si="141"/>
        <v>111088</v>
      </c>
      <c r="Q69" s="15">
        <f t="shared" si="141"/>
        <v>108040</v>
      </c>
      <c r="R69" s="15">
        <f t="shared" si="141"/>
        <v>104590</v>
      </c>
      <c r="S69" s="15">
        <f t="shared" si="141"/>
        <v>101304</v>
      </c>
      <c r="T69" s="15">
        <f t="shared" si="141"/>
        <v>106629</v>
      </c>
      <c r="U69" s="15">
        <f t="shared" si="141"/>
        <v>96799</v>
      </c>
      <c r="V69" s="15">
        <f t="shared" si="141"/>
        <v>98186</v>
      </c>
      <c r="W69" s="15">
        <f t="shared" si="141"/>
        <v>101698</v>
      </c>
      <c r="Y69" s="15">
        <f t="shared" ref="Y69:AJ69" si="142">SUM(Y66:Y68)</f>
        <v>108941</v>
      </c>
      <c r="Z69" s="15">
        <f t="shared" si="142"/>
        <v>101370</v>
      </c>
      <c r="AA69" s="15">
        <f t="shared" si="142"/>
        <v>99037</v>
      </c>
      <c r="AB69" s="15">
        <f t="shared" si="142"/>
        <v>102064</v>
      </c>
      <c r="AC69" s="15">
        <f t="shared" si="142"/>
        <v>101266</v>
      </c>
      <c r="AD69" s="15">
        <f t="shared" si="142"/>
        <v>97086</v>
      </c>
      <c r="AE69" s="15">
        <f t="shared" si="142"/>
        <v>93828</v>
      </c>
      <c r="AF69" s="15">
        <f t="shared" si="142"/>
        <v>101304</v>
      </c>
      <c r="AG69" s="15">
        <f t="shared" si="142"/>
        <v>106629</v>
      </c>
      <c r="AH69" s="15">
        <f t="shared" si="142"/>
        <v>96799</v>
      </c>
      <c r="AI69" s="15">
        <f t="shared" si="142"/>
        <v>98186</v>
      </c>
      <c r="AJ69" s="15">
        <f t="shared" si="142"/>
        <v>101698</v>
      </c>
    </row>
    <row r="70" spans="1:36" ht="5.0999999999999996" customHeight="1"/>
    <row r="71" spans="1:36" ht="12.75" customHeight="1">
      <c r="B71" s="8" t="s">
        <v>74</v>
      </c>
      <c r="C71" s="200">
        <f>'Historical Financials'!G70</f>
        <v>65339</v>
      </c>
      <c r="D71" s="200">
        <f>'Historical Financials'!H70</f>
        <v>63090</v>
      </c>
      <c r="E71" s="200">
        <f>'Historical Financials'!I70</f>
        <v>50672</v>
      </c>
      <c r="F71" s="200">
        <f>'Historical Financials'!J70</f>
        <v>62146</v>
      </c>
      <c r="G71" s="200">
        <f>'Historical Financials'!K70</f>
        <v>56950</v>
      </c>
      <c r="I71" s="200">
        <f>'Historical Financials'!M70</f>
        <v>63894</v>
      </c>
      <c r="J71" s="200">
        <f>'Historical Financials'!N70</f>
        <v>59361</v>
      </c>
      <c r="K71" s="200">
        <f>'Historical Financials'!O70</f>
        <v>50069</v>
      </c>
      <c r="L71" s="200">
        <f>'Historical Financials'!P70</f>
        <v>50672</v>
      </c>
      <c r="M71" s="200">
        <f>'Historical Financials'!Q70</f>
        <v>48689</v>
      </c>
      <c r="N71" s="200">
        <f>'Historical Financials'!R70</f>
        <v>54120</v>
      </c>
      <c r="O71" s="200">
        <f>'Historical Financials'!S70</f>
        <v>52236</v>
      </c>
      <c r="P71" s="200">
        <f>'Historical Financials'!T70</f>
        <v>62146</v>
      </c>
      <c r="Q71" s="200">
        <f>'Historical Financials'!U70</f>
        <v>66062</v>
      </c>
      <c r="R71" s="200">
        <f>'Historical Financials'!V70</f>
        <v>66156</v>
      </c>
      <c r="S71" s="200">
        <f>'Historical Financials'!W70</f>
        <v>58670</v>
      </c>
      <c r="T71" s="200">
        <f>'Historical Financials'!X70</f>
        <v>56950</v>
      </c>
      <c r="U71" s="200">
        <f>'Historical Financials'!Y70</f>
        <v>66758</v>
      </c>
      <c r="V71" s="200">
        <f>'Historical Financials'!Z70</f>
        <v>66796</v>
      </c>
      <c r="W71" s="200">
        <f>'Historical Financials'!AA70</f>
        <v>65830</v>
      </c>
      <c r="Y71" s="11">
        <f t="shared" ref="Y71:AJ71" si="143">L71</f>
        <v>50672</v>
      </c>
      <c r="Z71" s="11">
        <f t="shared" si="143"/>
        <v>48689</v>
      </c>
      <c r="AA71" s="11">
        <f t="shared" si="143"/>
        <v>54120</v>
      </c>
      <c r="AB71" s="11">
        <f t="shared" si="143"/>
        <v>52236</v>
      </c>
      <c r="AC71" s="11">
        <f t="shared" si="143"/>
        <v>62146</v>
      </c>
      <c r="AD71" s="11">
        <f t="shared" si="143"/>
        <v>66062</v>
      </c>
      <c r="AE71" s="11">
        <f t="shared" si="143"/>
        <v>66156</v>
      </c>
      <c r="AF71" s="11">
        <f t="shared" si="143"/>
        <v>58670</v>
      </c>
      <c r="AG71" s="11">
        <f t="shared" si="143"/>
        <v>56950</v>
      </c>
      <c r="AH71" s="11">
        <f t="shared" si="143"/>
        <v>66758</v>
      </c>
      <c r="AI71" s="11">
        <f t="shared" si="143"/>
        <v>66796</v>
      </c>
      <c r="AJ71" s="11">
        <f t="shared" si="143"/>
        <v>65830</v>
      </c>
    </row>
    <row r="72" spans="1:36" ht="12.75" customHeight="1">
      <c r="B72" s="14" t="s">
        <v>75</v>
      </c>
      <c r="C72" s="15">
        <f>SUM(C69:C71)</f>
        <v>177775</v>
      </c>
      <c r="D72" s="15">
        <f>SUM(D69:D71)</f>
        <v>187809</v>
      </c>
      <c r="E72" s="15">
        <f t="shared" ref="E72:G72" si="144">SUM(E69:E71)</f>
        <v>170741</v>
      </c>
      <c r="F72" s="15">
        <f t="shared" si="144"/>
        <v>173234</v>
      </c>
      <c r="G72" s="15">
        <f t="shared" si="144"/>
        <v>163579</v>
      </c>
      <c r="I72" s="15">
        <f t="shared" ref="I72:R72" si="145">SUM(I69:I71)</f>
        <v>186692</v>
      </c>
      <c r="J72" s="15">
        <f t="shared" si="145"/>
        <v>179342</v>
      </c>
      <c r="K72" s="15">
        <f t="shared" si="145"/>
        <v>169760</v>
      </c>
      <c r="L72" s="15">
        <f t="shared" si="145"/>
        <v>170741</v>
      </c>
      <c r="M72" s="15">
        <f t="shared" si="145"/>
        <v>159799</v>
      </c>
      <c r="N72" s="15">
        <f t="shared" si="145"/>
        <v>163735</v>
      </c>
      <c r="O72" s="15">
        <f t="shared" si="145"/>
        <v>161516</v>
      </c>
      <c r="P72" s="15">
        <f t="shared" si="145"/>
        <v>173234</v>
      </c>
      <c r="Q72" s="15">
        <f t="shared" si="145"/>
        <v>174102</v>
      </c>
      <c r="R72" s="15">
        <f t="shared" si="145"/>
        <v>170746</v>
      </c>
      <c r="S72" s="15">
        <f>SUM(S69:S71)</f>
        <v>159974</v>
      </c>
      <c r="T72" s="15">
        <f>SUM(T69:T71)</f>
        <v>163579</v>
      </c>
      <c r="U72" s="15">
        <f t="shared" ref="U72:V72" si="146">SUM(U69:U71)</f>
        <v>163557</v>
      </c>
      <c r="V72" s="15">
        <f t="shared" si="146"/>
        <v>164982</v>
      </c>
      <c r="W72" s="15">
        <f t="shared" ref="W72" si="147">SUM(W69:W71)</f>
        <v>167528</v>
      </c>
      <c r="Y72" s="15">
        <f t="shared" ref="Y72:AF72" si="148">SUM(Y69:Y71)</f>
        <v>159613</v>
      </c>
      <c r="Z72" s="15">
        <f t="shared" si="148"/>
        <v>150059</v>
      </c>
      <c r="AA72" s="15">
        <f t="shared" si="148"/>
        <v>153157</v>
      </c>
      <c r="AB72" s="15">
        <f t="shared" si="148"/>
        <v>154300</v>
      </c>
      <c r="AC72" s="15">
        <f t="shared" si="148"/>
        <v>163412</v>
      </c>
      <c r="AD72" s="15">
        <f t="shared" si="148"/>
        <v>163148</v>
      </c>
      <c r="AE72" s="15">
        <f t="shared" si="148"/>
        <v>159984</v>
      </c>
      <c r="AF72" s="15">
        <f t="shared" si="148"/>
        <v>159974</v>
      </c>
      <c r="AG72" s="15">
        <f>SUM(AG69:AG71)</f>
        <v>163579</v>
      </c>
      <c r="AH72" s="15">
        <f t="shared" ref="AH72:AI72" si="149">SUM(AH69:AH71)</f>
        <v>163557</v>
      </c>
      <c r="AI72" s="15">
        <f t="shared" si="149"/>
        <v>164982</v>
      </c>
      <c r="AJ72" s="15">
        <f t="shared" ref="AJ72" si="150">SUM(AJ69:AJ71)</f>
        <v>167528</v>
      </c>
    </row>
    <row r="73" spans="1:36" ht="5.0999999999999996" customHeight="1"/>
    <row r="74" spans="1:36" ht="12.75" customHeight="1">
      <c r="A74" s="5"/>
      <c r="B74" s="36" t="s">
        <v>118</v>
      </c>
      <c r="C74" s="36"/>
      <c r="D74" s="36"/>
      <c r="E74" s="36"/>
      <c r="F74" s="36"/>
      <c r="G74" s="36"/>
      <c r="H74" s="36"/>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row>
    <row r="75" spans="1:36" ht="5.0999999999999996" customHeight="1"/>
    <row r="76" spans="1:36" ht="12.75" customHeight="1">
      <c r="B76" s="8" t="s">
        <v>76</v>
      </c>
      <c r="C76" s="100">
        <f>C69/C29</f>
        <v>1.3357727537333823</v>
      </c>
      <c r="D76" s="100">
        <f>D69/D29</f>
        <v>0.97331023341839717</v>
      </c>
      <c r="E76" s="100">
        <f>E69/E29</f>
        <v>0.86022252631126461</v>
      </c>
      <c r="F76" s="100">
        <f>F69/F29</f>
        <v>0.81292031642188611</v>
      </c>
      <c r="G76" s="100">
        <f>G69/G29</f>
        <v>0.72859397741016341</v>
      </c>
      <c r="I76" s="41"/>
      <c r="J76" s="41"/>
      <c r="K76" s="41"/>
      <c r="L76" s="100">
        <f t="shared" ref="L76:W76" si="151">SUM(L69/SUM(I29:L29))</f>
        <v>0.86022252631126461</v>
      </c>
      <c r="M76" s="100">
        <f t="shared" si="151"/>
        <v>0.82324437265681727</v>
      </c>
      <c r="N76" s="100">
        <f t="shared" si="151"/>
        <v>0.81863330843913373</v>
      </c>
      <c r="O76" s="100">
        <f t="shared" si="151"/>
        <v>0.81283517922093373</v>
      </c>
      <c r="P76" s="100">
        <f t="shared" si="151"/>
        <v>0.81292031642188611</v>
      </c>
      <c r="Q76" s="100">
        <f t="shared" si="151"/>
        <v>0.76605641192903839</v>
      </c>
      <c r="R76" s="100">
        <f t="shared" si="151"/>
        <v>0.74264209891007205</v>
      </c>
      <c r="S76" s="100">
        <f t="shared" si="151"/>
        <v>0.70725236672344938</v>
      </c>
      <c r="T76" s="100">
        <f t="shared" si="151"/>
        <v>0.72859397741016341</v>
      </c>
      <c r="U76" s="100">
        <f t="shared" si="151"/>
        <v>0.64822639942676907</v>
      </c>
      <c r="V76" s="100">
        <f t="shared" si="151"/>
        <v>0.64979947320353137</v>
      </c>
      <c r="W76" s="100">
        <f t="shared" si="151"/>
        <v>0.65937471634010658</v>
      </c>
      <c r="Y76" s="100">
        <f t="shared" ref="Y76:AJ76" si="152">Y69/Y29</f>
        <v>0.78049706617757686</v>
      </c>
      <c r="Z76" s="100">
        <f t="shared" si="152"/>
        <v>0.75107804928648692</v>
      </c>
      <c r="AA76" s="100">
        <f t="shared" si="152"/>
        <v>0.73963405526512327</v>
      </c>
      <c r="AB76" s="100">
        <f t="shared" si="152"/>
        <v>0.75916187529287504</v>
      </c>
      <c r="AC76" s="100">
        <f t="shared" si="152"/>
        <v>0.7410448361909362</v>
      </c>
      <c r="AD76" s="100">
        <f t="shared" si="152"/>
        <v>0.68838719741338972</v>
      </c>
      <c r="AE76" s="100">
        <f t="shared" si="152"/>
        <v>0.66622643519011604</v>
      </c>
      <c r="AF76" s="100">
        <f t="shared" si="152"/>
        <v>0.70725236672344938</v>
      </c>
      <c r="AG76" s="100">
        <f t="shared" si="152"/>
        <v>0.72859397741016341</v>
      </c>
      <c r="AH76" s="100">
        <f t="shared" si="152"/>
        <v>0.64822639942676907</v>
      </c>
      <c r="AI76" s="100">
        <f t="shared" si="152"/>
        <v>0.64979947320353137</v>
      </c>
      <c r="AJ76" s="100">
        <f t="shared" si="152"/>
        <v>0.65937471634010658</v>
      </c>
    </row>
    <row r="77" spans="1:36" ht="12.75" customHeight="1">
      <c r="B77" s="8" t="s">
        <v>77</v>
      </c>
      <c r="C77" s="100">
        <f>SUM(C69-C49)/C29</f>
        <v>0.88413149109571953</v>
      </c>
      <c r="D77" s="100">
        <f>SUM(D69-D49)/D29</f>
        <v>0.70063758886833827</v>
      </c>
      <c r="E77" s="100">
        <f>SUM(E69-E49)/E29</f>
        <v>0.69081308792869989</v>
      </c>
      <c r="F77" s="100">
        <f>SUM(F69-F49)/F29</f>
        <v>0.59364229105837418</v>
      </c>
      <c r="G77" s="100">
        <f>SUM(G69-G49)/G29</f>
        <v>0.52399401430826309</v>
      </c>
      <c r="I77" s="41"/>
      <c r="J77" s="41"/>
      <c r="K77" s="41"/>
      <c r="L77" s="100">
        <f t="shared" ref="L77:W77" si="153">SUM(L69-L49)/SUM(I29:L29)</f>
        <v>0.69081308792869989</v>
      </c>
      <c r="M77" s="100">
        <f t="shared" si="153"/>
        <v>0.67109494242994527</v>
      </c>
      <c r="N77" s="100">
        <f t="shared" si="153"/>
        <v>0.63426437640029876</v>
      </c>
      <c r="O77" s="100">
        <f t="shared" si="153"/>
        <v>0.60153373548641431</v>
      </c>
      <c r="P77" s="100">
        <f t="shared" si="153"/>
        <v>0.59364229105837418</v>
      </c>
      <c r="Q77" s="100">
        <f t="shared" si="153"/>
        <v>0.47704808769516571</v>
      </c>
      <c r="R77" s="100">
        <f t="shared" si="153"/>
        <v>0.51049100010650761</v>
      </c>
      <c r="S77" s="100">
        <f t="shared" si="153"/>
        <v>0.52877070010332594</v>
      </c>
      <c r="T77" s="100">
        <f t="shared" si="153"/>
        <v>0.52399401430826309</v>
      </c>
      <c r="U77" s="100">
        <f t="shared" si="153"/>
        <v>0.44532542238948897</v>
      </c>
      <c r="V77" s="100">
        <f t="shared" si="153"/>
        <v>0.46342205927122077</v>
      </c>
      <c r="W77" s="100">
        <f t="shared" si="153"/>
        <v>0.42421904379060388</v>
      </c>
      <c r="Y77" s="100">
        <f t="shared" ref="Y77:AJ77" si="154">SUM(Y69-Y49)/Y29</f>
        <v>0.61108762779501213</v>
      </c>
      <c r="Z77" s="100">
        <f t="shared" si="154"/>
        <v>0.59892861905961503</v>
      </c>
      <c r="AA77" s="100">
        <f t="shared" si="154"/>
        <v>0.55526512322628829</v>
      </c>
      <c r="AB77" s="100">
        <f t="shared" si="154"/>
        <v>0.54786043155835562</v>
      </c>
      <c r="AC77" s="100">
        <f t="shared" si="154"/>
        <v>0.52176681082742415</v>
      </c>
      <c r="AD77" s="100">
        <f t="shared" si="154"/>
        <v>0.39937887317951698</v>
      </c>
      <c r="AE77" s="100">
        <f t="shared" si="154"/>
        <v>0.43407533638655166</v>
      </c>
      <c r="AF77" s="100">
        <f t="shared" si="154"/>
        <v>0.52877070010332594</v>
      </c>
      <c r="AG77" s="100">
        <f t="shared" si="154"/>
        <v>0.52399401430826309</v>
      </c>
      <c r="AH77" s="100">
        <f t="shared" si="154"/>
        <v>0.44532542238948897</v>
      </c>
      <c r="AI77" s="100">
        <f t="shared" si="154"/>
        <v>0.46342205927122077</v>
      </c>
      <c r="AJ77" s="100">
        <f t="shared" si="154"/>
        <v>0.42421904379060388</v>
      </c>
    </row>
    <row r="78" spans="1:36" ht="12.75" customHeight="1">
      <c r="B78" s="8" t="s">
        <v>78</v>
      </c>
      <c r="C78" s="100">
        <f>C29/-C33</f>
        <v>8.85938322281865</v>
      </c>
      <c r="D78" s="100">
        <f>D29/-D33</f>
        <v>5.0478235178254875</v>
      </c>
      <c r="E78" s="100">
        <f>E29/-E33</f>
        <v>7.1312011444336587</v>
      </c>
      <c r="F78" s="100">
        <f>F29/-F33</f>
        <v>7.3158627335510467</v>
      </c>
      <c r="G78" s="100">
        <f>G29/-G33</f>
        <v>5.6068117385640948</v>
      </c>
      <c r="I78" s="41"/>
      <c r="J78" s="41"/>
      <c r="K78" s="41"/>
      <c r="L78" s="100" cm="1">
        <f t="array" ref="L78">SUM(I29:L29)/SUM(-I33:L33)</f>
        <v>7.1312011444336587</v>
      </c>
      <c r="M78" s="100" cm="1">
        <f t="array" ref="M78">SUM(J29:M29)/SUM(-J33:M33)</f>
        <v>8.8992483186074107</v>
      </c>
      <c r="N78" s="100" cm="1">
        <f t="array" ref="N78">SUM(K29:N29)/SUM(-K33:N33)</f>
        <v>8.8289595147039428</v>
      </c>
      <c r="O78" s="100" cm="1">
        <f t="array" ref="O78">SUM(L29:O29)/SUM(-L33:O33)</f>
        <v>9.3740761400083663</v>
      </c>
      <c r="P78" s="100" cm="1">
        <f t="array" ref="P78">SUM(M29:P29)/SUM(-M33:P33)</f>
        <v>7.3158627335510467</v>
      </c>
      <c r="Q78" s="100" cm="1">
        <f t="array" ref="Q78">SUM(N29:Q29)/SUM(-N33:Q33)</f>
        <v>5.6175416235162912</v>
      </c>
      <c r="R78" s="100" cm="1">
        <f t="array" ref="R78">SUM(O29:R29)/SUM(-O33:R33)</f>
        <v>4.9736897866930354</v>
      </c>
      <c r="S78" s="100" cm="1">
        <f t="array" ref="S78">SUM(P29:S29)/SUM(-P33:S33)</f>
        <v>4.6371200103596752</v>
      </c>
      <c r="T78" s="100" cm="1">
        <f t="array" ref="T78">SUM(Q29:T29)/SUM(-Q33:T33)</f>
        <v>5.6068117385640948</v>
      </c>
      <c r="U78" s="100" cm="1">
        <f t="array" ref="U78">SUM(R29:U29)/SUM(-R33:U33)</f>
        <v>3.9823190570163742</v>
      </c>
      <c r="V78" s="100" cm="1">
        <f t="array" ref="V78">SUM(S29:V29)/SUM(-S33:V33)</f>
        <v>3.4933647755120916</v>
      </c>
      <c r="W78" s="100" cm="1">
        <f t="array" ref="W78">SUM(T29:W29)/SUM(-T33:W33)</f>
        <v>3.4891412541851414</v>
      </c>
      <c r="Y78" s="100">
        <f t="shared" ref="Y78:AJ78" si="155">Y29/-Y33</f>
        <v>7.1312011444336587</v>
      </c>
      <c r="Z78" s="100">
        <f t="shared" si="155"/>
        <v>8.8992483186074107</v>
      </c>
      <c r="AA78" s="100">
        <f t="shared" si="155"/>
        <v>8.8289595147039428</v>
      </c>
      <c r="AB78" s="100">
        <f t="shared" si="155"/>
        <v>9.3740761400083663</v>
      </c>
      <c r="AC78" s="100">
        <f t="shared" si="155"/>
        <v>7.3158627335510467</v>
      </c>
      <c r="AD78" s="100">
        <f t="shared" si="155"/>
        <v>5.6175416235162912</v>
      </c>
      <c r="AE78" s="100">
        <f t="shared" si="155"/>
        <v>4.9736897866930354</v>
      </c>
      <c r="AF78" s="100">
        <f t="shared" si="155"/>
        <v>4.6371200103596752</v>
      </c>
      <c r="AG78" s="100">
        <f t="shared" si="155"/>
        <v>5.6068117385640948</v>
      </c>
      <c r="AH78" s="100">
        <f t="shared" si="155"/>
        <v>3.9823190570163742</v>
      </c>
      <c r="AI78" s="100">
        <f t="shared" si="155"/>
        <v>3.4933647755120916</v>
      </c>
      <c r="AJ78" s="100">
        <f t="shared" si="155"/>
        <v>3.4891412541851414</v>
      </c>
    </row>
    <row r="79" spans="1:36" ht="12.75" customHeight="1">
      <c r="B79" s="8" t="s">
        <v>79</v>
      </c>
      <c r="C79" s="100" cm="1">
        <f t="array" ref="C79">SUM(C29+C32)/SUM(-C33:C34)</f>
        <v>6.1476445653043266</v>
      </c>
      <c r="D79" s="100" cm="1">
        <f t="array" ref="D79">SUM(D29+D32)/SUM(-D33:D34)</f>
        <v>4.1697777144485606</v>
      </c>
      <c r="E79" s="100" cm="1">
        <f t="array" ref="E79">SUM(E29+E32)/SUM(-E33:E34)</f>
        <v>5.743426330332472</v>
      </c>
      <c r="F79" s="100" cm="1">
        <f t="array" ref="F79">SUM(F29+F32)/SUM(-F33:F34)</f>
        <v>5.5908726981585266</v>
      </c>
      <c r="G79" s="100" cm="1">
        <f t="array" ref="G79">SUM(G29+G32)/SUM(-G33:G34)</f>
        <v>5.2448854493908517</v>
      </c>
      <c r="I79" s="41"/>
      <c r="J79" s="41"/>
      <c r="K79" s="41"/>
      <c r="L79" s="100" cm="1">
        <f t="array" ref="L79">SUM(I29:L29+I32:L32)/SUM(-I33:L34)</f>
        <v>5.743426330332472</v>
      </c>
      <c r="M79" s="100" cm="1">
        <f t="array" ref="M79">SUM(J29:M29+J32:M32)/SUM(-J33:M34)</f>
        <v>6.7721804098225569</v>
      </c>
      <c r="N79" s="100" cm="1">
        <f t="array" ref="N79">SUM(K29:N29+K32:N32)/SUM(-K33:N34)</f>
        <v>6.5848199805384366</v>
      </c>
      <c r="O79" s="100" cm="1">
        <f t="array" ref="O79">SUM(L29:O29+L32:O32)/SUM(-L33:O34)</f>
        <v>6.8406104992452619</v>
      </c>
      <c r="P79" s="100" cm="1">
        <f t="array" ref="P79">SUM(M29:P29+M32:P32)/SUM(-M33:P34)</f>
        <v>5.5908726981585266</v>
      </c>
      <c r="Q79" s="100" cm="1">
        <f t="array" ref="Q79">SUM(N29:Q29+N32:Q32)/SUM(-N33:Q34)</f>
        <v>4.6610650216266043</v>
      </c>
      <c r="R79" s="100" cm="1">
        <f t="array" ref="R79">SUM(O29:R29+O32:R32)/SUM(-O33:R34)</f>
        <v>4.3705283343251997</v>
      </c>
      <c r="S79" s="100" cm="1">
        <f t="array" ref="S79">SUM(P29:S29+P32:S32)/SUM(-P33:S34)</f>
        <v>4.190829231823562</v>
      </c>
      <c r="T79" s="100" cm="1">
        <f t="array" ref="T79">SUM(Q29:T29+Q32:T32)/SUM(-Q33:T34)</f>
        <v>5.2448854493908517</v>
      </c>
      <c r="U79" s="100" cm="1">
        <f t="array" ref="U79">SUM(R29:U29+R32:U32)/SUM(-R33:U34)</f>
        <v>3.7157715078137499</v>
      </c>
      <c r="V79" s="100" cm="1">
        <f t="array" ref="V79">SUM(S29:V29+S32:V32)/SUM(-S33:V34)</f>
        <v>3.2374346881213296</v>
      </c>
      <c r="W79" s="100" cm="1">
        <f t="array" ref="W79">SUM(T29:W29+T32:W32)/SUM(-T33:W34)</f>
        <v>3.209053479323138</v>
      </c>
      <c r="Y79" s="100" cm="1">
        <f t="array" ref="Y79">SUM(Y29+Y32)/SUM(-Y33:Y34)</f>
        <v>5.743426330332472</v>
      </c>
      <c r="Z79" s="100" cm="1">
        <f t="array" ref="Z79">SUM(Z29+Z32)/SUM(-Z33:Z34)</f>
        <v>6.7721804098225569</v>
      </c>
      <c r="AA79" s="100" cm="1">
        <f t="array" ref="AA79">SUM(AA29+AA32)/SUM(-AA33:AA34)</f>
        <v>6.5848199805384366</v>
      </c>
      <c r="AB79" s="100" cm="1">
        <f t="array" ref="AB79">SUM(AB29+AB32)/SUM(-AB33:AB34)</f>
        <v>6.8406104992452619</v>
      </c>
      <c r="AC79" s="100" cm="1">
        <f t="array" ref="AC79">SUM(AC29+AC32)/SUM(-AC33:AC34)</f>
        <v>5.5908726981585266</v>
      </c>
      <c r="AD79" s="100" cm="1">
        <f t="array" ref="AD79">SUM(AD29+AD32)/SUM(-AD33:AD34)</f>
        <v>4.6610650216266043</v>
      </c>
      <c r="AE79" s="100" cm="1">
        <f t="array" ref="AE79">SUM(AE29+AE32)/SUM(-AE33:AE34)</f>
        <v>4.3705283343251997</v>
      </c>
      <c r="AF79" s="100" cm="1">
        <f t="array" ref="AF79">SUM(AF29+AF32)/SUM(-AF33:AF34)</f>
        <v>4.190829231823562</v>
      </c>
      <c r="AG79" s="100" cm="1">
        <f t="array" ref="AG79">SUM(AG29+AG32)/SUM(-AG33:AG34)</f>
        <v>5.2448854493908517</v>
      </c>
      <c r="AH79" s="100" cm="1">
        <f t="array" ref="AH79">SUM(AH29+AH32)/SUM(-AH33:AH34)</f>
        <v>3.7157715078137499</v>
      </c>
      <c r="AI79" s="100" cm="1">
        <f t="array" ref="AI79">SUM(AI29+AI32)/SUM(-AI33:AI34)</f>
        <v>3.2374346881213296</v>
      </c>
      <c r="AJ79" s="100" cm="1">
        <f t="array" ref="AJ79">SUM(AJ29+AJ32)/SUM(-AJ33:AJ34)</f>
        <v>3.209053479323138</v>
      </c>
    </row>
    <row r="80" spans="1:36" ht="12.75" customHeight="1">
      <c r="B80" s="8" t="s">
        <v>80</v>
      </c>
      <c r="C80" s="100" cm="1">
        <f t="array" ref="C80">SUM(C29)/SUM(-C32:C34)</f>
        <v>4.2485867151221486</v>
      </c>
      <c r="D80" s="100" cm="1">
        <f t="array" ref="D80">SUM(D29)/SUM(-D32:D34)</f>
        <v>3.2724417090175448</v>
      </c>
      <c r="E80" s="100" cm="1">
        <f t="array" ref="E80">SUM(E29)/SUM(-E32:E34)</f>
        <v>4.2110360224461472</v>
      </c>
      <c r="F80" s="100" cm="1">
        <f t="array" ref="F80">SUM(F29)/SUM(-F32:F34)</f>
        <v>4.0863909572082173</v>
      </c>
      <c r="G80" s="100" cm="1">
        <f t="array" ref="G80">SUM(G29)/SUM(-G32:G34)</f>
        <v>4.1168246645475257</v>
      </c>
      <c r="I80" s="41"/>
      <c r="J80" s="41"/>
      <c r="K80" s="41"/>
      <c r="L80" s="100" cm="1">
        <f t="array" ref="L80">SUM(I29:L29)/SUM(-I32:L34)</f>
        <v>4.2110360224461472</v>
      </c>
      <c r="M80" s="100" cm="1">
        <f t="array" ref="M80">SUM(J29:M29)/SUM(-J32:M34)</f>
        <v>4.514668004683057</v>
      </c>
      <c r="N80" s="100" cm="1">
        <f t="array" ref="N80">SUM(K29:N29)/SUM(-K32:N34)</f>
        <v>4.37696129707113</v>
      </c>
      <c r="O80" s="100" cm="1">
        <f t="array" ref="O80">SUM(L29:O29)/SUM(-L32:O34)</f>
        <v>4.48561991191779</v>
      </c>
      <c r="P80" s="100" cm="1">
        <f t="array" ref="P80">SUM(M29:P29)/SUM(-M32:P34)</f>
        <v>4.0863909572082173</v>
      </c>
      <c r="Q80" s="100" cm="1">
        <f t="array" ref="Q80">SUM(N29:Q29)/SUM(-N32:Q34)</f>
        <v>3.7340217103521312</v>
      </c>
      <c r="R80" s="100" cm="1">
        <f t="array" ref="R80">SUM(O29:R29)/SUM(-O32:R34)</f>
        <v>3.6213679609154026</v>
      </c>
      <c r="S80" s="100" cm="1">
        <f t="array" ref="S80">SUM(P29:S29)/SUM(-P32:S34)</f>
        <v>3.5103421233212431</v>
      </c>
      <c r="T80" s="100" cm="1">
        <f t="array" ref="T80">SUM(Q29:T29)/SUM(-Q32:T34)</f>
        <v>4.1168246645475257</v>
      </c>
      <c r="U80" s="100" cm="1">
        <f t="array" ref="U80">SUM(R29:U29)/SUM(-R32:U34)</f>
        <v>3.1442317815256984</v>
      </c>
      <c r="V80" s="100" cm="1">
        <f t="array" ref="V80">SUM(S29:V29)/SUM(-S32:V34)</f>
        <v>2.7814962079375598</v>
      </c>
      <c r="W80" s="100" cm="1">
        <f t="array" ref="W80">SUM(T29:W29)/SUM(-T32:W34)</f>
        <v>2.7257046920561985</v>
      </c>
      <c r="Y80" s="100" cm="1">
        <f t="array" ref="Y80">SUM(Y29)/SUM(-Y32:Y34)</f>
        <v>4.2110360224461472</v>
      </c>
      <c r="Z80" s="100" cm="1">
        <f t="array" ref="Z80">SUM(Z29)/SUM(-Z32:Z34)</f>
        <v>4.514668004683057</v>
      </c>
      <c r="AA80" s="100" cm="1">
        <f t="array" ref="AA80">SUM(AA29)/SUM(-AA32:AA34)</f>
        <v>4.37696129707113</v>
      </c>
      <c r="AB80" s="100" cm="1">
        <f t="array" ref="AB80">SUM(AB29)/SUM(-AB32:AB34)</f>
        <v>4.48561991191779</v>
      </c>
      <c r="AC80" s="100" cm="1">
        <f t="array" ref="AC80">SUM(AC29)/SUM(-AC32:AC34)</f>
        <v>4.0863909572082173</v>
      </c>
      <c r="AD80" s="100" cm="1">
        <f t="array" ref="AD80">SUM(AD29)/SUM(-AD32:AD34)</f>
        <v>3.7340217103521312</v>
      </c>
      <c r="AE80" s="100" cm="1">
        <f t="array" ref="AE80">SUM(AE29)/SUM(-AE32:AE34)</f>
        <v>3.6213679609154026</v>
      </c>
      <c r="AF80" s="100" cm="1">
        <f t="array" ref="AF80">SUM(AF29)/SUM(-AF32:AF34)</f>
        <v>3.5103421233212431</v>
      </c>
      <c r="AG80" s="100" cm="1">
        <f t="array" ref="AG80">SUM(AG29)/SUM(-AG32:AG34)</f>
        <v>4.1168246645475257</v>
      </c>
      <c r="AH80" s="100" cm="1">
        <f t="array" ref="AH80">SUM(AH29)/SUM(-AH32:AH34)</f>
        <v>3.1442317815256984</v>
      </c>
      <c r="AI80" s="100" cm="1">
        <f t="array" ref="AI80">SUM(AI29)/SUM(-AI32:AI34)</f>
        <v>2.7814962079375598</v>
      </c>
      <c r="AJ80" s="100" cm="1">
        <f t="array" ref="AJ80">SUM(AJ29)/SUM(-AJ32:AJ34)</f>
        <v>2.7257046920561985</v>
      </c>
    </row>
    <row r="81" spans="2:36" ht="12.75" customHeight="1">
      <c r="B81" s="8" t="s">
        <v>81</v>
      </c>
      <c r="C81" s="100">
        <f>C72/C69</f>
        <v>1.5811217047920594</v>
      </c>
      <c r="D81" s="100">
        <f>D72/D69</f>
        <v>1.5058571669112164</v>
      </c>
      <c r="E81" s="100">
        <f t="shared" ref="E81:G81" si="156">E72/E69</f>
        <v>1.4220240028650193</v>
      </c>
      <c r="F81" s="100">
        <f t="shared" si="156"/>
        <v>1.5594303615151952</v>
      </c>
      <c r="G81" s="100">
        <f t="shared" si="156"/>
        <v>1.5340948522446989</v>
      </c>
      <c r="I81" s="41"/>
      <c r="J81" s="41"/>
      <c r="K81" s="41"/>
      <c r="L81" s="100">
        <f t="shared" ref="L81:V81" si="157">L72/L69</f>
        <v>1.4220240028650193</v>
      </c>
      <c r="M81" s="100">
        <f t="shared" si="157"/>
        <v>1.4382053820538205</v>
      </c>
      <c r="N81" s="100">
        <f t="shared" si="157"/>
        <v>1.4937280481685902</v>
      </c>
      <c r="O81" s="100">
        <f t="shared" si="157"/>
        <v>1.4780014641288433</v>
      </c>
      <c r="P81" s="100">
        <f t="shared" si="157"/>
        <v>1.5594303615151952</v>
      </c>
      <c r="Q81" s="100">
        <f t="shared" si="157"/>
        <v>1.6114587189929657</v>
      </c>
      <c r="R81" s="100">
        <f t="shared" si="157"/>
        <v>1.6325270102304235</v>
      </c>
      <c r="S81" s="100">
        <f t="shared" si="157"/>
        <v>1.5791479112374636</v>
      </c>
      <c r="T81" s="100">
        <f t="shared" si="157"/>
        <v>1.5340948522446989</v>
      </c>
      <c r="U81" s="100">
        <f t="shared" si="157"/>
        <v>1.6896558848748437</v>
      </c>
      <c r="V81" s="100">
        <f t="shared" si="157"/>
        <v>1.6803006538610392</v>
      </c>
      <c r="W81" s="100">
        <f t="shared" ref="W81" si="158">W72/W69</f>
        <v>1.6473086983028182</v>
      </c>
      <c r="Y81" s="100">
        <f t="shared" ref="Y81:AI81" si="159">Y72/Y69</f>
        <v>1.4651325029144215</v>
      </c>
      <c r="Z81" s="100">
        <f t="shared" si="159"/>
        <v>1.4803097563381671</v>
      </c>
      <c r="AA81" s="100">
        <f t="shared" si="159"/>
        <v>1.5464624332320245</v>
      </c>
      <c r="AB81" s="100">
        <f t="shared" si="159"/>
        <v>1.5117965198306944</v>
      </c>
      <c r="AC81" s="100">
        <f t="shared" si="159"/>
        <v>1.613690676041317</v>
      </c>
      <c r="AD81" s="100">
        <f t="shared" si="159"/>
        <v>1.6804482623653256</v>
      </c>
      <c r="AE81" s="100">
        <f t="shared" si="159"/>
        <v>1.7050773756234812</v>
      </c>
      <c r="AF81" s="100">
        <f t="shared" si="159"/>
        <v>1.5791479112374636</v>
      </c>
      <c r="AG81" s="100">
        <f t="shared" si="159"/>
        <v>1.5340948522446989</v>
      </c>
      <c r="AH81" s="100">
        <f t="shared" si="159"/>
        <v>1.6896558848748437</v>
      </c>
      <c r="AI81" s="100">
        <f t="shared" si="159"/>
        <v>1.6803006538610392</v>
      </c>
      <c r="AJ81" s="100">
        <f t="shared" ref="AJ81" si="160">AJ72/AJ69</f>
        <v>1.6473086983028182</v>
      </c>
    </row>
    <row r="82" spans="2:36" ht="5.0999999999999996" customHeight="1" thickBot="1">
      <c r="B82" s="42"/>
      <c r="C82" s="42"/>
      <c r="D82" s="42"/>
      <c r="E82" s="42"/>
      <c r="F82" s="42"/>
      <c r="G82" s="42"/>
      <c r="H82" s="42"/>
      <c r="I82" s="42"/>
      <c r="J82" s="42"/>
      <c r="K82" s="42"/>
      <c r="L82" s="42"/>
      <c r="M82" s="42"/>
      <c r="N82" s="42"/>
      <c r="O82" s="42"/>
      <c r="P82" s="42"/>
      <c r="Q82" s="42"/>
      <c r="R82" s="42"/>
      <c r="S82" s="42"/>
      <c r="T82" s="42"/>
      <c r="U82" s="42"/>
      <c r="V82" s="42"/>
      <c r="W82" s="42"/>
      <c r="X82" s="42"/>
      <c r="Y82" s="42"/>
      <c r="Z82" s="42"/>
      <c r="AA82" s="42"/>
      <c r="AB82" s="42"/>
      <c r="AC82" s="42"/>
      <c r="AD82" s="42"/>
      <c r="AE82" s="42"/>
      <c r="AF82" s="42"/>
      <c r="AG82" s="42"/>
      <c r="AH82" s="42"/>
      <c r="AI82" s="42"/>
      <c r="AJ82" s="42"/>
    </row>
  </sheetData>
  <mergeCells count="1">
    <mergeCell ref="AL2:AL4"/>
  </mergeCells>
  <dataValidations count="1">
    <dataValidation type="list" allowBlank="1" showInputMessage="1" showErrorMessage="1" sqref="B4" xr:uid="{060857CB-86CD-4220-87C0-9A83C6E53284}">
      <formula1>"$ bns except per share, $ mm except per share,$ in thousands except per share"</formula1>
    </dataValidation>
  </dataValidations>
  <pageMargins left="0.7" right="0.7" top="0.75" bottom="0.75" header="0.3" footer="0.3"/>
  <ignoredErrors>
    <ignoredError sqref="H42:H43 C36:W37 AK37:AL37 H32:H34 C38:D38 Y32:AI34 E38:G38 H38:H40 E41:U41 E39:G40 I38:U40 C40:D41 AK38:AL42 Y38:AI42 AK35 AK36 H35 Y35:AI37" formulaRange="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C1C5D-AED5-4BFE-BA26-5AB41D553B0B}">
  <sheetPr>
    <tabColor theme="8" tint="-0.249977111117893"/>
  </sheetPr>
  <dimension ref="A2:T236"/>
  <sheetViews>
    <sheetView showGridLines="0" tabSelected="1" topLeftCell="A50" zoomScale="130" zoomScaleNormal="130" workbookViewId="0">
      <selection activeCell="F99" sqref="F99"/>
    </sheetView>
  </sheetViews>
  <sheetFormatPr defaultColWidth="7.75" defaultRowHeight="12"/>
  <cols>
    <col min="1" max="1" width="1.5" style="8" customWidth="1"/>
    <col min="2" max="2" width="40.875" style="8" bestFit="1" customWidth="1"/>
    <col min="3" max="3" width="8.875" style="8" bestFit="1" customWidth="1"/>
    <col min="4" max="6" width="10" style="8" customWidth="1"/>
    <col min="7" max="7" width="11.375" style="8" bestFit="1" customWidth="1"/>
    <col min="8" max="11" width="10" style="8" customWidth="1"/>
    <col min="12" max="12" width="1.625" style="8" customWidth="1"/>
    <col min="13" max="13" width="10.375" style="8" customWidth="1"/>
    <col min="14" max="16" width="9" style="8" bestFit="1" customWidth="1"/>
    <col min="17" max="18" width="8.25" style="8" bestFit="1" customWidth="1"/>
    <col min="19" max="16384" width="7.75" style="8"/>
  </cols>
  <sheetData>
    <row r="2" spans="1:19">
      <c r="B2" s="1" t="str">
        <f>C6&amp;"(NASDAQ: AAPL)"</f>
        <v>Apple Inc. (NASDAQ: AAPL)</v>
      </c>
      <c r="C2" s="1"/>
      <c r="D2" s="1"/>
      <c r="E2" s="1"/>
      <c r="F2" s="1"/>
      <c r="G2" s="1"/>
      <c r="H2" s="1"/>
      <c r="I2" s="1"/>
      <c r="J2" s="1"/>
      <c r="K2" s="1"/>
    </row>
    <row r="3" spans="1:19">
      <c r="B3" s="6" t="s">
        <v>514</v>
      </c>
      <c r="C3" s="1"/>
      <c r="D3" s="1"/>
      <c r="E3" s="1"/>
      <c r="F3" s="1"/>
      <c r="G3" s="1"/>
      <c r="H3" s="1"/>
      <c r="I3" s="1"/>
      <c r="J3" s="1"/>
      <c r="K3" s="1"/>
    </row>
    <row r="4" spans="1:19">
      <c r="B4" s="6" t="s">
        <v>504</v>
      </c>
      <c r="C4" s="6"/>
      <c r="D4" s="6"/>
      <c r="E4" s="6"/>
      <c r="F4" s="6"/>
      <c r="G4" s="6"/>
      <c r="H4" s="6"/>
      <c r="I4" s="6"/>
      <c r="J4" s="6"/>
      <c r="K4" s="6"/>
    </row>
    <row r="5" spans="1:19" ht="5.0999999999999996" customHeight="1"/>
    <row r="6" spans="1:19">
      <c r="B6" s="366" t="s">
        <v>119</v>
      </c>
      <c r="C6" s="364" t="s">
        <v>505</v>
      </c>
      <c r="D6" s="204"/>
      <c r="E6" s="204"/>
      <c r="F6" s="204"/>
      <c r="G6" s="204"/>
      <c r="H6" s="204"/>
      <c r="I6" s="203" t="s">
        <v>120</v>
      </c>
      <c r="J6" s="204"/>
      <c r="K6" s="372" t="s">
        <v>121</v>
      </c>
    </row>
    <row r="7" spans="1:19">
      <c r="B7" s="367" t="s">
        <v>122</v>
      </c>
      <c r="C7" s="355" t="s">
        <v>123</v>
      </c>
      <c r="D7" s="354"/>
      <c r="E7" s="354"/>
      <c r="F7" s="354"/>
      <c r="G7" s="354"/>
      <c r="H7" s="354"/>
      <c r="I7" s="354"/>
      <c r="J7" s="354"/>
      <c r="K7" s="362"/>
    </row>
    <row r="8" spans="1:19">
      <c r="B8" s="368" t="s">
        <v>124</v>
      </c>
      <c r="C8" s="371">
        <v>1</v>
      </c>
      <c r="D8" s="354"/>
      <c r="E8" s="354"/>
      <c r="F8" s="354"/>
      <c r="G8" s="354"/>
      <c r="H8" s="354"/>
      <c r="I8" s="354"/>
      <c r="J8" s="354"/>
      <c r="K8" s="362"/>
    </row>
    <row r="9" spans="1:19">
      <c r="B9" s="368" t="s">
        <v>125</v>
      </c>
      <c r="C9" s="356">
        <v>262.82</v>
      </c>
      <c r="D9" s="354"/>
      <c r="E9" s="354"/>
      <c r="F9" s="354"/>
      <c r="G9" s="354"/>
      <c r="H9" s="354"/>
      <c r="I9" s="354"/>
      <c r="J9" s="354"/>
      <c r="K9" s="362"/>
    </row>
    <row r="10" spans="1:19">
      <c r="B10" s="368" t="s">
        <v>126</v>
      </c>
      <c r="C10" s="357">
        <f ca="1">NOW()</f>
        <v>45961.736185300928</v>
      </c>
      <c r="D10" s="354"/>
      <c r="E10" s="354"/>
      <c r="F10" s="354"/>
      <c r="G10" s="354"/>
      <c r="H10" s="354"/>
      <c r="I10" s="354"/>
      <c r="J10" s="354"/>
      <c r="K10" s="362"/>
      <c r="O10" s="74"/>
    </row>
    <row r="11" spans="1:19">
      <c r="B11" s="367" t="s">
        <v>127</v>
      </c>
      <c r="C11" s="358">
        <f>'Historical Financials'!K12</f>
        <v>45559</v>
      </c>
      <c r="D11" s="354"/>
      <c r="E11" s="354"/>
      <c r="F11" s="354"/>
      <c r="G11" s="354"/>
      <c r="H11" s="354"/>
      <c r="I11" s="354"/>
      <c r="J11" s="354"/>
      <c r="K11" s="362"/>
    </row>
    <row r="12" spans="1:19">
      <c r="B12" s="369" t="s">
        <v>128</v>
      </c>
      <c r="C12" s="360">
        <v>4443.2650000000003</v>
      </c>
      <c r="D12" s="359"/>
      <c r="E12" s="359"/>
      <c r="F12" s="359"/>
      <c r="G12" s="359"/>
      <c r="H12" s="359"/>
      <c r="I12" s="359"/>
      <c r="J12" s="359"/>
      <c r="K12" s="363"/>
    </row>
    <row r="14" spans="1:19">
      <c r="A14" s="370" t="s">
        <v>25</v>
      </c>
      <c r="B14" s="1" t="s">
        <v>508</v>
      </c>
      <c r="C14" s="2" t="s">
        <v>506</v>
      </c>
      <c r="D14" s="2"/>
      <c r="E14" s="2"/>
      <c r="F14" s="2"/>
      <c r="G14" s="2" t="s">
        <v>190</v>
      </c>
      <c r="H14" s="2"/>
      <c r="I14" s="2"/>
      <c r="J14" s="2"/>
      <c r="K14" s="2"/>
    </row>
    <row r="15" spans="1:19">
      <c r="B15" s="6" t="s">
        <v>129</v>
      </c>
      <c r="C15" s="377">
        <f>D15-1</f>
        <v>2021</v>
      </c>
      <c r="D15" s="377">
        <f>E15-1</f>
        <v>2022</v>
      </c>
      <c r="E15" s="377">
        <f>F15-1</f>
        <v>2023</v>
      </c>
      <c r="F15" s="377">
        <f>YEAR(C11)</f>
        <v>2024</v>
      </c>
      <c r="G15" s="416">
        <f>F15+1</f>
        <v>2025</v>
      </c>
      <c r="H15" s="416">
        <f>G15+1</f>
        <v>2026</v>
      </c>
      <c r="I15" s="416">
        <f>H15+1</f>
        <v>2027</v>
      </c>
      <c r="J15" s="416">
        <f>I15+1</f>
        <v>2028</v>
      </c>
      <c r="K15" s="416">
        <f>J15+1</f>
        <v>2029</v>
      </c>
    </row>
    <row r="16" spans="1:19">
      <c r="B16" s="6" t="s">
        <v>130</v>
      </c>
      <c r="C16" s="3">
        <f t="shared" ref="C16:D16" si="0">EOMONTH(D16,-12)</f>
        <v>44469</v>
      </c>
      <c r="D16" s="3">
        <f t="shared" si="0"/>
        <v>44834</v>
      </c>
      <c r="E16" s="3">
        <f>EOMONTH(F16,-12)</f>
        <v>45199</v>
      </c>
      <c r="F16" s="3">
        <f>C11</f>
        <v>45559</v>
      </c>
      <c r="G16" s="3">
        <f>EOMONTH(F16,12)</f>
        <v>45930</v>
      </c>
      <c r="H16" s="3">
        <f>EOMONTH(G16,12)</f>
        <v>46295</v>
      </c>
      <c r="I16" s="3">
        <f>EOMONTH(H16,12)</f>
        <v>46660</v>
      </c>
      <c r="J16" s="3">
        <f>EOMONTH(I16,12)</f>
        <v>47026</v>
      </c>
      <c r="K16" s="3">
        <f>EOMONTH(J16,12)</f>
        <v>47391</v>
      </c>
      <c r="M16" s="1" t="s">
        <v>507</v>
      </c>
      <c r="N16" s="1"/>
      <c r="O16" s="1"/>
      <c r="P16" s="1"/>
      <c r="Q16" s="1"/>
      <c r="R16" s="1"/>
      <c r="S16" s="1"/>
    </row>
    <row r="17" spans="2:13" ht="5.0999999999999996" customHeight="1">
      <c r="B17" s="110"/>
      <c r="C17" s="110"/>
      <c r="D17" s="111"/>
      <c r="E17" s="112"/>
      <c r="F17" s="112"/>
      <c r="G17" s="113"/>
      <c r="H17" s="114"/>
      <c r="I17" s="114"/>
      <c r="J17" s="112"/>
      <c r="K17" s="112"/>
    </row>
    <row r="18" spans="2:13" ht="12.75" customHeight="1">
      <c r="B18" s="8" t="str">
        <f>'Revenue Drivers'!B7</f>
        <v>iPhone Revenue</v>
      </c>
      <c r="C18" s="176">
        <f>'Revenue Drivers'!H7</f>
        <v>191973</v>
      </c>
      <c r="D18" s="176">
        <f>'Revenue Drivers'!I7</f>
        <v>205489</v>
      </c>
      <c r="E18" s="176">
        <f>'Revenue Drivers'!J7</f>
        <v>200583</v>
      </c>
      <c r="F18" s="176">
        <f>'Revenue Drivers'!K7</f>
        <v>201183</v>
      </c>
      <c r="G18" s="116">
        <f>F18*(1+G55)</f>
        <v>209996.99999999997</v>
      </c>
      <c r="H18" s="116">
        <f t="shared" ref="H18:K18" si="1">G18*(1+H55)</f>
        <v>221832.96961107201</v>
      </c>
      <c r="I18" s="116">
        <f t="shared" si="1"/>
        <v>234412.09138012325</v>
      </c>
      <c r="J18" s="116">
        <f t="shared" si="1"/>
        <v>243754.74286341391</v>
      </c>
      <c r="K18" s="116">
        <f t="shared" si="1"/>
        <v>253469.75200208119</v>
      </c>
      <c r="M18" s="8" t="s">
        <v>131</v>
      </c>
    </row>
    <row r="19" spans="2:13" ht="12.75" customHeight="1">
      <c r="B19" s="8" t="str">
        <f>'Revenue Drivers'!B8</f>
        <v>Mac Revenue</v>
      </c>
      <c r="C19" s="176">
        <f>'Revenue Drivers'!H8</f>
        <v>35190</v>
      </c>
      <c r="D19" s="176">
        <f>'Revenue Drivers'!I8</f>
        <v>40177</v>
      </c>
      <c r="E19" s="176">
        <f>'Revenue Drivers'!J8</f>
        <v>29357</v>
      </c>
      <c r="F19" s="176">
        <f>'Revenue Drivers'!K8</f>
        <v>29984</v>
      </c>
      <c r="G19" s="116">
        <f t="shared" ref="G19:K19" si="2">F19*(1+G56)</f>
        <v>33889.72598231279</v>
      </c>
      <c r="H19" s="116">
        <f t="shared" si="2"/>
        <v>34928.374466964196</v>
      </c>
      <c r="I19" s="116">
        <f t="shared" si="2"/>
        <v>36231.989692144001</v>
      </c>
      <c r="J19" s="116">
        <f t="shared" si="2"/>
        <v>37767.690105861409</v>
      </c>
      <c r="K19" s="116">
        <f t="shared" si="2"/>
        <v>39368.481500800954</v>
      </c>
    </row>
    <row r="20" spans="2:13" ht="12.75" customHeight="1">
      <c r="B20" s="8" t="str">
        <f>'Revenue Drivers'!B9</f>
        <v>iPad Revenue</v>
      </c>
      <c r="C20" s="176">
        <f>'Revenue Drivers'!H9</f>
        <v>31862</v>
      </c>
      <c r="D20" s="176">
        <f>'Revenue Drivers'!I9</f>
        <v>29292</v>
      </c>
      <c r="E20" s="176">
        <f>'Revenue Drivers'!J9</f>
        <v>28300</v>
      </c>
      <c r="F20" s="176">
        <f>'Revenue Drivers'!K9</f>
        <v>26694</v>
      </c>
      <c r="G20" s="116">
        <f t="shared" ref="G20:K20" si="3">F20*(1+G57)</f>
        <v>27924.321224221465</v>
      </c>
      <c r="H20" s="116">
        <f t="shared" si="3"/>
        <v>28098.397306521802</v>
      </c>
      <c r="I20" s="116">
        <f t="shared" si="3"/>
        <v>28709.606518508448</v>
      </c>
      <c r="J20" s="116">
        <f t="shared" si="3"/>
        <v>29570.484781990675</v>
      </c>
      <c r="K20" s="116">
        <f t="shared" si="3"/>
        <v>30457.177101268422</v>
      </c>
    </row>
    <row r="21" spans="2:13" ht="12.75" customHeight="1">
      <c r="B21" s="8" t="str">
        <f>'Revenue Drivers'!B10</f>
        <v>Services Revenue</v>
      </c>
      <c r="C21" s="176">
        <f>'Revenue Drivers'!H10</f>
        <v>68425</v>
      </c>
      <c r="D21" s="176">
        <f>'Revenue Drivers'!I10</f>
        <v>78129</v>
      </c>
      <c r="E21" s="176">
        <f>'Revenue Drivers'!J10</f>
        <v>85200</v>
      </c>
      <c r="F21" s="176">
        <f>'Revenue Drivers'!K10</f>
        <v>96169</v>
      </c>
      <c r="G21" s="116">
        <f t="shared" ref="G21:K21" si="4">F21*(1+G58)</f>
        <v>108694.49999999999</v>
      </c>
      <c r="H21" s="116">
        <f t="shared" si="4"/>
        <v>121735.43990063484</v>
      </c>
      <c r="I21" s="116">
        <f t="shared" si="4"/>
        <v>135521.31821456112</v>
      </c>
      <c r="J21" s="116">
        <f t="shared" si="4"/>
        <v>150697.51517795117</v>
      </c>
      <c r="K21" s="116">
        <f t="shared" si="4"/>
        <v>167573.200880869</v>
      </c>
    </row>
    <row r="22" spans="2:13" ht="12.75" customHeight="1">
      <c r="B22" s="8" t="str">
        <f>'Revenue Drivers'!B11</f>
        <v>Wearables, Home, and Accessories Revenue</v>
      </c>
      <c r="C22" s="176">
        <f>'Revenue Drivers'!H11</f>
        <v>38367</v>
      </c>
      <c r="D22" s="176">
        <f>'Revenue Drivers'!I11</f>
        <v>41241</v>
      </c>
      <c r="E22" s="176">
        <f>'Revenue Drivers'!J11</f>
        <v>39845</v>
      </c>
      <c r="F22" s="176">
        <f>'Revenue Drivers'!K11</f>
        <v>37005</v>
      </c>
      <c r="G22" s="116">
        <f t="shared" ref="G22:K22" si="5">F22*(1+G59)</f>
        <v>35075.896050773597</v>
      </c>
      <c r="H22" s="116">
        <f t="shared" si="5"/>
        <v>36700.596993546314</v>
      </c>
      <c r="I22" s="116">
        <f t="shared" si="5"/>
        <v>38789.69067472584</v>
      </c>
      <c r="J22" s="116">
        <f t="shared" si="5"/>
        <v>41204.044080813968</v>
      </c>
      <c r="K22" s="116">
        <f t="shared" si="5"/>
        <v>43768.672012635492</v>
      </c>
    </row>
    <row r="23" spans="2:13" ht="12.75" customHeight="1">
      <c r="B23" s="463" t="s">
        <v>112</v>
      </c>
      <c r="C23" s="464">
        <f>SUM(C18:C22)</f>
        <v>365817</v>
      </c>
      <c r="D23" s="464">
        <f t="shared" ref="D23:K23" si="6">SUM(D18:D22)</f>
        <v>394328</v>
      </c>
      <c r="E23" s="464">
        <f t="shared" si="6"/>
        <v>383285</v>
      </c>
      <c r="F23" s="464">
        <f t="shared" si="6"/>
        <v>391035</v>
      </c>
      <c r="G23" s="464">
        <f t="shared" si="6"/>
        <v>415581.44325730781</v>
      </c>
      <c r="H23" s="464">
        <f t="shared" si="6"/>
        <v>443295.77827873913</v>
      </c>
      <c r="I23" s="464">
        <f t="shared" si="6"/>
        <v>473664.69648006273</v>
      </c>
      <c r="J23" s="464">
        <f t="shared" si="6"/>
        <v>502994.47701003123</v>
      </c>
      <c r="K23" s="464">
        <f t="shared" si="6"/>
        <v>534637.28349765507</v>
      </c>
    </row>
    <row r="24" spans="2:13" ht="12.75" customHeight="1">
      <c r="B24" s="510" t="s">
        <v>46</v>
      </c>
      <c r="C24" s="583"/>
      <c r="D24" s="511">
        <f>SUM(D23/C23)-1</f>
        <v>7.7937876041846099E-2</v>
      </c>
      <c r="E24" s="511">
        <f t="shared" ref="E24:K24" si="7">SUM(E23/D23)-1</f>
        <v>-2.800460530319937E-2</v>
      </c>
      <c r="F24" s="511">
        <f t="shared" si="7"/>
        <v>2.021994077514111E-2</v>
      </c>
      <c r="G24" s="511">
        <f t="shared" si="7"/>
        <v>6.2773008189312529E-2</v>
      </c>
      <c r="H24" s="511">
        <f t="shared" si="7"/>
        <v>6.6688095609389375E-2</v>
      </c>
      <c r="I24" s="511">
        <f t="shared" si="7"/>
        <v>6.8507122533948417E-2</v>
      </c>
      <c r="J24" s="511">
        <f t="shared" si="7"/>
        <v>6.1920976479620471E-2</v>
      </c>
      <c r="K24" s="511">
        <f t="shared" si="7"/>
        <v>6.2908854736774433E-2</v>
      </c>
    </row>
    <row r="25" spans="2:13" ht="5.0999999999999996" customHeight="1">
      <c r="C25" s="176"/>
      <c r="D25" s="176"/>
      <c r="E25" s="176"/>
      <c r="F25" s="176"/>
      <c r="G25" s="116"/>
      <c r="H25" s="116"/>
      <c r="I25" s="116"/>
      <c r="J25" s="116"/>
      <c r="K25" s="116"/>
    </row>
    <row r="26" spans="2:13" ht="12.75" customHeight="1">
      <c r="B26" s="8" t="s">
        <v>546</v>
      </c>
      <c r="C26" s="176">
        <f>'Historical Financials'!H17</f>
        <v>-212981</v>
      </c>
      <c r="D26" s="176">
        <f>'Historical Financials'!I17</f>
        <v>-223546</v>
      </c>
      <c r="E26" s="176">
        <f>'Historical Financials'!J17</f>
        <v>-214137</v>
      </c>
      <c r="F26" s="176">
        <f>'Historical Financials'!K17</f>
        <v>-210352</v>
      </c>
      <c r="G26" s="116">
        <f>+G27-G23</f>
        <v>-221470.32124832866</v>
      </c>
      <c r="H26" s="116">
        <f t="shared" ref="H26:K26" si="8">+H27-H23</f>
        <v>-234503.466709453</v>
      </c>
      <c r="I26" s="116">
        <f t="shared" si="8"/>
        <v>-247726.63625907281</v>
      </c>
      <c r="J26" s="116">
        <f t="shared" si="8"/>
        <v>-260551.13909119618</v>
      </c>
      <c r="K26" s="116">
        <f t="shared" si="8"/>
        <v>-276942.11285178532</v>
      </c>
      <c r="M26" s="8" t="s">
        <v>132</v>
      </c>
    </row>
    <row r="27" spans="2:13" ht="12.75" customHeight="1">
      <c r="B27" s="463" t="s">
        <v>31</v>
      </c>
      <c r="C27" s="464">
        <f>+C26+C23</f>
        <v>152836</v>
      </c>
      <c r="D27" s="464">
        <f t="shared" ref="D27:E27" si="9">+D26+D23</f>
        <v>170782</v>
      </c>
      <c r="E27" s="464">
        <f t="shared" si="9"/>
        <v>169148</v>
      </c>
      <c r="F27" s="464">
        <f t="shared" ref="F27" si="10">+F26+F23</f>
        <v>180683</v>
      </c>
      <c r="G27" s="464">
        <f>G61*G23</f>
        <v>194111.12200897915</v>
      </c>
      <c r="H27" s="464">
        <f t="shared" ref="H27:K27" si="11">H61*H23</f>
        <v>208792.31156928613</v>
      </c>
      <c r="I27" s="464">
        <f t="shared" si="11"/>
        <v>225938.06022098992</v>
      </c>
      <c r="J27" s="464">
        <f t="shared" si="11"/>
        <v>242443.33791883505</v>
      </c>
      <c r="K27" s="464">
        <f t="shared" si="11"/>
        <v>257695.17064586974</v>
      </c>
      <c r="M27" s="34" t="s">
        <v>133</v>
      </c>
    </row>
    <row r="28" spans="2:13" ht="12.75" customHeight="1">
      <c r="B28" s="510" t="s">
        <v>522</v>
      </c>
      <c r="C28" s="511">
        <f>C27/C23</f>
        <v>0.41779359625167778</v>
      </c>
      <c r="D28" s="511">
        <f t="shared" ref="D28:K28" si="12">D27/D23</f>
        <v>0.43309630561360085</v>
      </c>
      <c r="E28" s="511">
        <f t="shared" si="12"/>
        <v>0.44131129577207562</v>
      </c>
      <c r="F28" s="511">
        <f t="shared" si="12"/>
        <v>0.46206349815233932</v>
      </c>
      <c r="G28" s="511">
        <f t="shared" si="12"/>
        <v>0.46708322798906826</v>
      </c>
      <c r="H28" s="511">
        <f t="shared" si="12"/>
        <v>0.47099999999999997</v>
      </c>
      <c r="I28" s="511">
        <f t="shared" si="12"/>
        <v>0.47699999999999998</v>
      </c>
      <c r="J28" s="511">
        <f t="shared" si="12"/>
        <v>0.48199999999999998</v>
      </c>
      <c r="K28" s="511">
        <f t="shared" si="12"/>
        <v>0.48199999999999998</v>
      </c>
      <c r="M28" s="34"/>
    </row>
    <row r="29" spans="2:13" ht="5.0999999999999996" customHeight="1">
      <c r="B29" s="375"/>
      <c r="C29" s="376"/>
      <c r="D29" s="376"/>
      <c r="E29" s="376"/>
      <c r="F29" s="376"/>
      <c r="G29" s="376"/>
      <c r="H29" s="376"/>
      <c r="I29" s="376"/>
      <c r="J29" s="376"/>
      <c r="K29" s="376"/>
      <c r="M29" s="34"/>
    </row>
    <row r="30" spans="2:13" ht="12.75" customHeight="1">
      <c r="B30" s="8" t="s">
        <v>565</v>
      </c>
      <c r="C30" s="176">
        <f>'Historical Financials'!H21</f>
        <v>-21914</v>
      </c>
      <c r="D30" s="176">
        <f>'Historical Financials'!I21</f>
        <v>-26251</v>
      </c>
      <c r="E30" s="176">
        <f>'Historical Financials'!J21</f>
        <v>-29915</v>
      </c>
      <c r="F30" s="176">
        <f>'Historical Financials'!K21</f>
        <v>-31370</v>
      </c>
      <c r="G30" s="116">
        <f>-G62*G18</f>
        <v>-25948.67040521172</v>
      </c>
      <c r="H30" s="116">
        <f>-H62*H18</f>
        <v>-28099.990327704905</v>
      </c>
      <c r="I30" s="116">
        <f>-I62*I18</f>
        <v>-30532.222773943235</v>
      </c>
      <c r="J30" s="116">
        <f>-J62*J18</f>
        <v>-32756.45924902273</v>
      </c>
      <c r="K30" s="116">
        <f>-K62*K18</f>
        <v>-33428.315572610671</v>
      </c>
      <c r="M30" s="34" t="s">
        <v>134</v>
      </c>
    </row>
    <row r="31" spans="2:13" ht="12.75" customHeight="1">
      <c r="B31" s="8" t="s">
        <v>564</v>
      </c>
      <c r="C31" s="176">
        <f>'Historical Financials'!H22</f>
        <v>-21973</v>
      </c>
      <c r="D31" s="176">
        <f>'Historical Financials'!I22</f>
        <v>-25094</v>
      </c>
      <c r="E31" s="176">
        <f>'Historical Financials'!J22</f>
        <v>-24932</v>
      </c>
      <c r="F31" s="176">
        <f>'Historical Financials'!K22</f>
        <v>-26097</v>
      </c>
      <c r="G31" s="116">
        <f>-G18*G63</f>
        <v>-14054.907793163366</v>
      </c>
      <c r="H31" s="116">
        <f>-H18*H63</f>
        <v>-15167.051850490037</v>
      </c>
      <c r="I31" s="116">
        <f>-I18*I63</f>
        <v>-16216.786470853174</v>
      </c>
      <c r="J31" s="116">
        <f>-J18*J63</f>
        <v>-17282.676280117408</v>
      </c>
      <c r="K31" s="116">
        <f>-K18*K63</f>
        <v>-17515.171125620629</v>
      </c>
      <c r="M31" s="34" t="s">
        <v>135</v>
      </c>
    </row>
    <row r="32" spans="2:13" ht="12.75" customHeight="1">
      <c r="B32" s="203" t="s">
        <v>136</v>
      </c>
      <c r="C32" s="393">
        <f t="shared" ref="C32" si="13">C27+C30+C31</f>
        <v>108949</v>
      </c>
      <c r="D32" s="393">
        <f>D27+D30+D31</f>
        <v>119437</v>
      </c>
      <c r="E32" s="393">
        <f>E27+E30+E31</f>
        <v>114301</v>
      </c>
      <c r="F32" s="393">
        <f>+SUM(F27+SUM(F30:F31))</f>
        <v>123216</v>
      </c>
      <c r="G32" s="393">
        <f t="shared" ref="G32:K32" si="14">G27+G30+G31</f>
        <v>154107.54381060408</v>
      </c>
      <c r="H32" s="393">
        <f>H27+H30+H31</f>
        <v>165525.26939109119</v>
      </c>
      <c r="I32" s="393">
        <f t="shared" si="14"/>
        <v>179189.05097619351</v>
      </c>
      <c r="J32" s="393">
        <f t="shared" si="14"/>
        <v>192404.2023896949</v>
      </c>
      <c r="K32" s="393">
        <f t="shared" si="14"/>
        <v>206751.68394763843</v>
      </c>
      <c r="M32" s="40" t="s">
        <v>137</v>
      </c>
    </row>
    <row r="33" spans="2:14" ht="12.75" customHeight="1">
      <c r="B33" s="510" t="s">
        <v>522</v>
      </c>
      <c r="C33" s="511">
        <f>C32/C23</f>
        <v>0.29782377527561593</v>
      </c>
      <c r="D33" s="511">
        <f t="shared" ref="D33:K33" si="15">D32/D23</f>
        <v>0.30288744395528594</v>
      </c>
      <c r="E33" s="511">
        <f t="shared" si="15"/>
        <v>0.29821412265024722</v>
      </c>
      <c r="F33" s="511">
        <f t="shared" si="15"/>
        <v>0.31510222870075566</v>
      </c>
      <c r="G33" s="511">
        <f t="shared" si="15"/>
        <v>0.37082392948712145</v>
      </c>
      <c r="H33" s="511">
        <f t="shared" si="15"/>
        <v>0.37339689999711856</v>
      </c>
      <c r="I33" s="511">
        <f t="shared" si="15"/>
        <v>0.3783035812206364</v>
      </c>
      <c r="J33" s="511">
        <f t="shared" si="15"/>
        <v>0.38251752491083074</v>
      </c>
      <c r="K33" s="511">
        <f t="shared" si="15"/>
        <v>0.3867139279831861</v>
      </c>
      <c r="M33" s="40"/>
    </row>
    <row r="34" spans="2:14" ht="5.0999999999999996" customHeight="1">
      <c r="B34" s="375"/>
      <c r="C34" s="376"/>
      <c r="D34" s="376"/>
      <c r="E34" s="376"/>
      <c r="F34" s="376"/>
      <c r="G34" s="376"/>
      <c r="H34" s="376"/>
      <c r="I34" s="376"/>
      <c r="J34" s="376"/>
      <c r="K34" s="376"/>
      <c r="M34" s="34"/>
    </row>
    <row r="35" spans="2:14" ht="12.75" customHeight="1">
      <c r="B35" s="8" t="s">
        <v>552</v>
      </c>
      <c r="C35" s="115">
        <v>2843</v>
      </c>
      <c r="D35" s="115">
        <v>2825</v>
      </c>
      <c r="E35" s="115">
        <v>3750</v>
      </c>
      <c r="F35" s="584">
        <v>1583.29575</v>
      </c>
      <c r="G35" s="74">
        <f ca="1">G189</f>
        <v>1722.6586088849656</v>
      </c>
      <c r="H35" s="74">
        <f t="shared" ref="H35:K35" ca="1" si="16">H189</f>
        <v>2071.7993106151325</v>
      </c>
      <c r="I35" s="74">
        <f t="shared" ca="1" si="16"/>
        <v>2510.035346885868</v>
      </c>
      <c r="J35" s="74">
        <f t="shared" ca="1" si="16"/>
        <v>3052.9460160512713</v>
      </c>
      <c r="K35" s="74">
        <f t="shared" ca="1" si="16"/>
        <v>3707.6754855800282</v>
      </c>
      <c r="M35" s="8" t="s">
        <v>339</v>
      </c>
    </row>
    <row r="36" spans="2:14" ht="12.75" customHeight="1">
      <c r="B36" s="8" t="s">
        <v>242</v>
      </c>
      <c r="C36" s="115">
        <v>-2645</v>
      </c>
      <c r="D36" s="115">
        <v>-2931</v>
      </c>
      <c r="E36" s="115">
        <v>-3933</v>
      </c>
      <c r="F36" s="584">
        <v>-515</v>
      </c>
      <c r="G36" s="74">
        <f ca="1">-G175</f>
        <v>-2398.3917667381857</v>
      </c>
      <c r="H36" s="74">
        <f t="shared" ref="H36:K36" ca="1" si="17">-H175</f>
        <v>-2449.2167667381855</v>
      </c>
      <c r="I36" s="74">
        <f t="shared" ca="1" si="17"/>
        <v>-2449.2167667381855</v>
      </c>
      <c r="J36" s="74">
        <f t="shared" ca="1" si="17"/>
        <v>-2449.2167667381855</v>
      </c>
      <c r="K36" s="74">
        <f t="shared" ca="1" si="17"/>
        <v>-2449.2167667381855</v>
      </c>
      <c r="M36" s="8" t="s">
        <v>139</v>
      </c>
    </row>
    <row r="37" spans="2:14" ht="12.75" customHeight="1">
      <c r="B37" s="8" t="s">
        <v>531</v>
      </c>
      <c r="C37" s="115">
        <v>60</v>
      </c>
      <c r="D37" s="115">
        <v>-228</v>
      </c>
      <c r="E37" s="115">
        <v>-382</v>
      </c>
      <c r="F37" s="584">
        <v>-799.29575</v>
      </c>
      <c r="G37" s="74">
        <f>F37</f>
        <v>-799.29575</v>
      </c>
      <c r="H37" s="74">
        <f>G37</f>
        <v>-799.29575</v>
      </c>
      <c r="I37" s="74">
        <f>H37</f>
        <v>-799.29575</v>
      </c>
      <c r="J37" s="74">
        <f>I37</f>
        <v>-799.29575</v>
      </c>
      <c r="K37" s="74">
        <f>J37</f>
        <v>-799.29575</v>
      </c>
      <c r="M37" s="8" t="s">
        <v>140</v>
      </c>
    </row>
    <row r="38" spans="2:14" ht="12.75" customHeight="1">
      <c r="B38" s="203" t="s">
        <v>141</v>
      </c>
      <c r="C38" s="393">
        <f t="shared" ref="C38" si="18">SUM(C32:C37)</f>
        <v>109207.29782377527</v>
      </c>
      <c r="D38" s="393">
        <f>SUM(D32:D37)</f>
        <v>119103.30288744396</v>
      </c>
      <c r="E38" s="393">
        <f>SUM(E32:E37)</f>
        <v>113736.29821412265</v>
      </c>
      <c r="F38" s="393">
        <f>SUM(F32:F37)</f>
        <v>123485.31510222871</v>
      </c>
      <c r="G38" s="393">
        <f ca="1">SUM(G32:G37)</f>
        <v>152632.88572668037</v>
      </c>
      <c r="H38" s="393">
        <f ca="1">SUM(H32:H37)</f>
        <v>164348.92958186814</v>
      </c>
      <c r="I38" s="393">
        <f t="shared" ref="I38:K38" ca="1" si="19">SUM(I32:I37)</f>
        <v>178450.95210992242</v>
      </c>
      <c r="J38" s="393">
        <f t="shared" ca="1" si="19"/>
        <v>192209.01840653291</v>
      </c>
      <c r="K38" s="393">
        <f t="shared" ca="1" si="19"/>
        <v>207211.23363040827</v>
      </c>
      <c r="M38" s="40" t="s">
        <v>142</v>
      </c>
      <c r="N38" s="40"/>
    </row>
    <row r="39" spans="2:14" ht="5.0999999999999996" customHeight="1">
      <c r="B39" s="375"/>
      <c r="C39" s="376"/>
      <c r="D39" s="376"/>
      <c r="E39" s="376"/>
      <c r="F39" s="376"/>
      <c r="G39" s="376"/>
      <c r="H39" s="376"/>
      <c r="I39" s="376"/>
      <c r="J39" s="376"/>
      <c r="K39" s="376"/>
      <c r="M39" s="34"/>
    </row>
    <row r="40" spans="2:14" ht="12.75" customHeight="1">
      <c r="B40" s="8" t="s">
        <v>549</v>
      </c>
      <c r="C40" s="176">
        <f>'Historical Financials'!H29</f>
        <v>-14527</v>
      </c>
      <c r="D40" s="176">
        <f>'Historical Financials'!I29</f>
        <v>-19300</v>
      </c>
      <c r="E40" s="176">
        <f>'Historical Financials'!J29</f>
        <v>-16741</v>
      </c>
      <c r="F40" s="176">
        <f>'Historical Financials'!K29</f>
        <v>-29749</v>
      </c>
      <c r="G40" s="116">
        <f ca="1">-G64*G38</f>
        <v>-24115.995944815499</v>
      </c>
      <c r="H40" s="116">
        <f ca="1">-H64*H38</f>
        <v>-26295.828733098904</v>
      </c>
      <c r="I40" s="116">
        <f ca="1">-I64*I38</f>
        <v>-28552.152337587588</v>
      </c>
      <c r="J40" s="116">
        <f ca="1">-J64*J38</f>
        <v>-30753.442945045266</v>
      </c>
      <c r="K40" s="116">
        <f ca="1">-K64*K38</f>
        <v>-33153.797380865326</v>
      </c>
      <c r="M40" s="8" t="s">
        <v>143</v>
      </c>
    </row>
    <row r="41" spans="2:14" ht="12.75" customHeight="1">
      <c r="B41" s="201" t="s">
        <v>18</v>
      </c>
      <c r="C41" s="393">
        <f t="shared" ref="C41:K41" si="20">SUM(C38:C40)</f>
        <v>94680.297823775269</v>
      </c>
      <c r="D41" s="393">
        <f t="shared" si="20"/>
        <v>99803.302887443962</v>
      </c>
      <c r="E41" s="393">
        <f t="shared" si="20"/>
        <v>96995.298214122653</v>
      </c>
      <c r="F41" s="393">
        <f t="shared" si="20"/>
        <v>93736.315102228706</v>
      </c>
      <c r="G41" s="393">
        <f t="shared" ca="1" si="20"/>
        <v>128516.88978186487</v>
      </c>
      <c r="H41" s="393">
        <f t="shared" ca="1" si="20"/>
        <v>138053.10084876925</v>
      </c>
      <c r="I41" s="393">
        <f t="shared" ca="1" si="20"/>
        <v>149898.79977233484</v>
      </c>
      <c r="J41" s="393">
        <f t="shared" ca="1" si="20"/>
        <v>161455.57546148764</v>
      </c>
      <c r="K41" s="393">
        <f t="shared" ca="1" si="20"/>
        <v>174057.43624954295</v>
      </c>
      <c r="M41" s="40" t="s">
        <v>144</v>
      </c>
    </row>
    <row r="42" spans="2:14" ht="12.75" customHeight="1">
      <c r="B42" s="510" t="s">
        <v>522</v>
      </c>
      <c r="C42" s="511">
        <f>C41/C23</f>
        <v>0.25881874769017094</v>
      </c>
      <c r="D42" s="511">
        <f t="shared" ref="D42:K42" si="21">D41/D23</f>
        <v>0.25309717516241292</v>
      </c>
      <c r="E42" s="511">
        <f t="shared" si="21"/>
        <v>0.25306312069118975</v>
      </c>
      <c r="F42" s="511">
        <f t="shared" si="21"/>
        <v>0.23971336351535977</v>
      </c>
      <c r="G42" s="511">
        <f t="shared" ca="1" si="21"/>
        <v>0.30924597781497543</v>
      </c>
      <c r="H42" s="511">
        <f t="shared" ca="1" si="21"/>
        <v>0.31142435279851255</v>
      </c>
      <c r="I42" s="511">
        <f t="shared" ca="1" si="21"/>
        <v>0.3164660589785887</v>
      </c>
      <c r="J42" s="511">
        <f t="shared" ca="1" si="21"/>
        <v>0.32098876397457488</v>
      </c>
      <c r="K42" s="511">
        <f t="shared" ca="1" si="21"/>
        <v>0.32556172497144292</v>
      </c>
      <c r="M42" s="40"/>
    </row>
    <row r="43" spans="2:14" ht="5.0999999999999996" customHeight="1">
      <c r="B43" s="375"/>
      <c r="C43" s="376"/>
      <c r="D43" s="376"/>
      <c r="E43" s="376"/>
      <c r="F43" s="376"/>
      <c r="G43" s="376"/>
      <c r="H43" s="376"/>
      <c r="I43" s="376"/>
      <c r="J43" s="376"/>
      <c r="K43" s="376"/>
      <c r="M43" s="34"/>
    </row>
    <row r="44" spans="2:14" ht="12.75" customHeight="1">
      <c r="B44" s="118" t="s">
        <v>145</v>
      </c>
      <c r="C44" s="176">
        <f>'Historical Financials'!H83</f>
        <v>11284</v>
      </c>
      <c r="D44" s="176">
        <f>'Historical Financials'!I83</f>
        <v>11104</v>
      </c>
      <c r="E44" s="176">
        <f>'Historical Financials'!J83</f>
        <v>11519</v>
      </c>
      <c r="F44" s="176">
        <f>'Historical Financials'!K83</f>
        <v>11445</v>
      </c>
      <c r="G44" s="74">
        <f>G139</f>
        <v>12394.818975441409</v>
      </c>
      <c r="H44" s="74">
        <f>H139</f>
        <v>11867.095898970436</v>
      </c>
      <c r="I44" s="74">
        <f>I139</f>
        <v>13419.149910455295</v>
      </c>
      <c r="J44" s="74">
        <f>J139</f>
        <v>13551.124782210807</v>
      </c>
      <c r="K44" s="74">
        <f>K139</f>
        <v>13153.861660294353</v>
      </c>
      <c r="M44" s="8" t="s">
        <v>146</v>
      </c>
    </row>
    <row r="45" spans="2:14" ht="12.75" customHeight="1">
      <c r="B45" s="201" t="s">
        <v>11</v>
      </c>
      <c r="C45" s="393">
        <f t="shared" ref="C45" si="22">C32+C44</f>
        <v>120233</v>
      </c>
      <c r="D45" s="393">
        <f>D32+D44</f>
        <v>130541</v>
      </c>
      <c r="E45" s="393">
        <f>E32+E44</f>
        <v>125820</v>
      </c>
      <c r="F45" s="393">
        <f>F32+F44</f>
        <v>134661</v>
      </c>
      <c r="G45" s="393">
        <f t="shared" ref="G45:K45" si="23">G32+G44</f>
        <v>166502.3627860455</v>
      </c>
      <c r="H45" s="393">
        <f t="shared" si="23"/>
        <v>177392.36529006163</v>
      </c>
      <c r="I45" s="393">
        <f t="shared" si="23"/>
        <v>192608.20088664882</v>
      </c>
      <c r="J45" s="393">
        <f t="shared" si="23"/>
        <v>205955.32717190569</v>
      </c>
      <c r="K45" s="393">
        <f t="shared" si="23"/>
        <v>219905.54560793279</v>
      </c>
      <c r="M45" s="40" t="s">
        <v>147</v>
      </c>
    </row>
    <row r="46" spans="2:14" ht="12.75" customHeight="1">
      <c r="B46" s="510" t="s">
        <v>522</v>
      </c>
      <c r="C46" s="511">
        <f>C45/C23</f>
        <v>0.32866979938056462</v>
      </c>
      <c r="D46" s="511">
        <f t="shared" ref="D46:K46" si="24">D45/D23</f>
        <v>0.3310467428130896</v>
      </c>
      <c r="E46" s="511">
        <f t="shared" si="24"/>
        <v>0.32826747720364741</v>
      </c>
      <c r="F46" s="511">
        <f t="shared" si="24"/>
        <v>0.34437070850435381</v>
      </c>
      <c r="G46" s="511">
        <f t="shared" si="24"/>
        <v>0.40064917596177496</v>
      </c>
      <c r="H46" s="511">
        <f t="shared" si="24"/>
        <v>0.40016705320058205</v>
      </c>
      <c r="I46" s="511">
        <f t="shared" si="24"/>
        <v>0.40663406480992825</v>
      </c>
      <c r="J46" s="511">
        <f t="shared" si="24"/>
        <v>0.40945842665345672</v>
      </c>
      <c r="K46" s="511">
        <f t="shared" si="24"/>
        <v>0.41131726573441879</v>
      </c>
      <c r="M46" s="40"/>
    </row>
    <row r="47" spans="2:14" ht="5.0999999999999996" customHeight="1">
      <c r="B47" s="375"/>
      <c r="C47" s="376"/>
      <c r="D47" s="376"/>
      <c r="E47" s="376"/>
      <c r="F47" s="376"/>
      <c r="G47" s="376"/>
      <c r="H47" s="376"/>
      <c r="I47" s="376"/>
      <c r="J47" s="376"/>
      <c r="K47" s="376"/>
      <c r="M47" s="34"/>
    </row>
    <row r="48" spans="2:14" ht="12.75" customHeight="1">
      <c r="B48" s="118" t="s">
        <v>148</v>
      </c>
      <c r="C48" s="176">
        <f>'Historical Financials'!H84</f>
        <v>7906</v>
      </c>
      <c r="D48" s="176">
        <f>'Historical Financials'!I84</f>
        <v>9038</v>
      </c>
      <c r="E48" s="176">
        <f>'Historical Financials'!J84</f>
        <v>10833</v>
      </c>
      <c r="F48" s="176">
        <f>'Historical Financials'!K84</f>
        <v>11688</v>
      </c>
      <c r="G48" s="74">
        <f>F48*(1+G67)</f>
        <v>12872.629095674967</v>
      </c>
      <c r="H48" s="74">
        <f t="shared" ref="H48:K48" si="25">G48*(1+H67)</f>
        <v>13752.468599681222</v>
      </c>
      <c r="I48" s="74">
        <f t="shared" si="25"/>
        <v>14811.594582575173</v>
      </c>
      <c r="J48" s="74">
        <f t="shared" si="25"/>
        <v>15557.252579833057</v>
      </c>
      <c r="K48" s="74">
        <f t="shared" si="25"/>
        <v>16256.461915314296</v>
      </c>
      <c r="M48" s="8" t="s">
        <v>149</v>
      </c>
    </row>
    <row r="49" spans="2:20" ht="12.75" customHeight="1">
      <c r="B49" s="390" t="s">
        <v>12</v>
      </c>
      <c r="C49" s="391">
        <f t="shared" ref="C49" si="26">SUM(C45:C48)</f>
        <v>128139.32866979938</v>
      </c>
      <c r="D49" s="391">
        <f>SUM(D45:D48)</f>
        <v>139579.33104674279</v>
      </c>
      <c r="E49" s="391">
        <f>SUM(E45:E48)</f>
        <v>136653.32826747722</v>
      </c>
      <c r="F49" s="391">
        <f>SUM(F45:F48)</f>
        <v>146349.34437070851</v>
      </c>
      <c r="G49" s="392">
        <f t="shared" ref="G49:K49" si="27">SUM(G45:G48)</f>
        <v>179375.39253089641</v>
      </c>
      <c r="H49" s="392">
        <f t="shared" si="27"/>
        <v>191145.23405679603</v>
      </c>
      <c r="I49" s="392">
        <f t="shared" si="27"/>
        <v>207420.20210328879</v>
      </c>
      <c r="J49" s="392">
        <f t="shared" si="27"/>
        <v>221512.9892101654</v>
      </c>
      <c r="K49" s="392">
        <f t="shared" si="27"/>
        <v>236162.41884051281</v>
      </c>
      <c r="M49" s="40" t="s">
        <v>150</v>
      </c>
    </row>
    <row r="50" spans="2:20" s="386" customFormat="1" ht="12.75" customHeight="1">
      <c r="B50" s="510" t="s">
        <v>522</v>
      </c>
      <c r="C50" s="511">
        <f>C49/C23</f>
        <v>0.35028259668030565</v>
      </c>
      <c r="D50" s="511">
        <f t="shared" ref="D50:K50" si="28">D49/D23</f>
        <v>0.35396758801490841</v>
      </c>
      <c r="E50" s="511">
        <f t="shared" si="28"/>
        <v>0.35653189732829937</v>
      </c>
      <c r="F50" s="511">
        <f t="shared" si="28"/>
        <v>0.37426149672205433</v>
      </c>
      <c r="G50" s="511">
        <f t="shared" si="28"/>
        <v>0.43162512533033359</v>
      </c>
      <c r="H50" s="511">
        <f t="shared" si="28"/>
        <v>0.43119118977173332</v>
      </c>
      <c r="I50" s="511">
        <f t="shared" si="28"/>
        <v>0.4379051334091128</v>
      </c>
      <c r="J50" s="511">
        <f t="shared" si="28"/>
        <v>0.44038851187176703</v>
      </c>
      <c r="K50" s="511">
        <f t="shared" si="28"/>
        <v>0.44172456005221461</v>
      </c>
      <c r="M50" s="578"/>
    </row>
    <row r="51" spans="2:20">
      <c r="B51" s="68"/>
      <c r="G51" s="120"/>
    </row>
    <row r="52" spans="2:20">
      <c r="B52" s="383" t="s">
        <v>151</v>
      </c>
      <c r="C52" s="381"/>
      <c r="D52" s="381"/>
      <c r="E52" s="381"/>
      <c r="F52" s="381"/>
      <c r="G52" s="381"/>
      <c r="H52" s="381"/>
      <c r="I52" s="381"/>
      <c r="J52" s="381"/>
      <c r="K52" s="382"/>
    </row>
    <row r="53" spans="2:20" s="386" customFormat="1" ht="5.0999999999999996" customHeight="1">
      <c r="B53" s="387"/>
      <c r="C53" s="384"/>
      <c r="D53" s="384"/>
      <c r="E53" s="384"/>
      <c r="F53" s="384"/>
      <c r="G53" s="384"/>
      <c r="H53" s="384"/>
      <c r="I53" s="384"/>
      <c r="J53" s="384"/>
      <c r="K53" s="385"/>
    </row>
    <row r="54" spans="2:20">
      <c r="B54" s="528" t="s">
        <v>152</v>
      </c>
      <c r="C54" s="379"/>
      <c r="D54" s="379">
        <f>D23/C23-1</f>
        <v>7.7937876041846099E-2</v>
      </c>
      <c r="E54" s="379">
        <f t="shared" ref="E54:F54" si="29">E23/D23-1</f>
        <v>-2.800460530319937E-2</v>
      </c>
      <c r="F54" s="379">
        <f t="shared" si="29"/>
        <v>2.021994077514111E-2</v>
      </c>
      <c r="G54" s="500">
        <f>'Street Consensus'!L51</f>
        <v>6.1564821563287242E-2</v>
      </c>
      <c r="H54" s="500">
        <f>'Street Consensus'!M51</f>
        <v>6.2821838831287224E-2</v>
      </c>
      <c r="I54" s="500">
        <f>'Street Consensus'!N51</f>
        <v>6.8996967425783429E-2</v>
      </c>
      <c r="J54" s="500">
        <f>'Street Consensus'!O51</f>
        <v>5.3095051796145709E-2</v>
      </c>
      <c r="K54" s="500">
        <f>'Street Consensus'!P51</f>
        <v>6.0982129633159632E-2</v>
      </c>
      <c r="M54" s="8" t="s">
        <v>547</v>
      </c>
      <c r="O54" s="123"/>
      <c r="P54" s="123"/>
      <c r="Q54" s="123"/>
      <c r="R54" s="123"/>
      <c r="S54" s="123"/>
      <c r="T54" s="123"/>
    </row>
    <row r="55" spans="2:20">
      <c r="B55" s="499" t="s">
        <v>326</v>
      </c>
      <c r="C55" s="379"/>
      <c r="D55" s="379">
        <f>SUM(D18/C18)-1</f>
        <v>7.0405734139696641E-2</v>
      </c>
      <c r="E55" s="379">
        <f t="shared" ref="E55:F55" si="30">SUM(E18/D18)-1</f>
        <v>-2.3874757286278081E-2</v>
      </c>
      <c r="F55" s="379">
        <f t="shared" si="30"/>
        <v>2.9912804175826757E-3</v>
      </c>
      <c r="G55" s="500">
        <f>'Street Consensus'!L64</f>
        <v>4.3810858770373273E-2</v>
      </c>
      <c r="H55" s="500">
        <f>'Street Consensus'!M64</f>
        <v>5.6362565232227158E-2</v>
      </c>
      <c r="I55" s="500">
        <f>'Street Consensus'!N64</f>
        <v>5.6705375179828099E-2</v>
      </c>
      <c r="J55" s="500">
        <f>'Street Consensus'!O64</f>
        <v>3.9855672240646345E-2</v>
      </c>
      <c r="K55" s="500">
        <f>'Street Consensus'!P64</f>
        <v>3.9855672240646345E-2</v>
      </c>
      <c r="M55" s="8" t="s">
        <v>547</v>
      </c>
      <c r="O55" s="123"/>
      <c r="P55" s="123"/>
      <c r="Q55" s="123"/>
      <c r="R55" s="123"/>
      <c r="S55" s="123"/>
      <c r="T55" s="123"/>
    </row>
    <row r="56" spans="2:20">
      <c r="B56" s="499" t="s">
        <v>327</v>
      </c>
      <c r="C56" s="379"/>
      <c r="D56" s="379">
        <f>SUM(D19/C19)-1</f>
        <v>0.14171639670360903</v>
      </c>
      <c r="E56" s="379">
        <f>SUM(E19/D19)-1</f>
        <v>-0.26930831072504169</v>
      </c>
      <c r="F56" s="379">
        <f>SUM(F19/E19)-1</f>
        <v>2.1357768164322E-2</v>
      </c>
      <c r="G56" s="500">
        <f>'Street Consensus'!L90</f>
        <v>0.13026033825749694</v>
      </c>
      <c r="H56" s="500">
        <f>'Street Consensus'!M90</f>
        <v>3.0647886772335764E-2</v>
      </c>
      <c r="I56" s="500">
        <f>'Street Consensus'!N90</f>
        <v>3.7322527746396661E-2</v>
      </c>
      <c r="J56" s="500">
        <f>'Street Consensus'!O90</f>
        <v>4.2385207844392481E-2</v>
      </c>
      <c r="K56" s="500">
        <f>'Street Consensus'!P90</f>
        <v>4.2385207844392481E-2</v>
      </c>
      <c r="M56" s="8" t="s">
        <v>547</v>
      </c>
      <c r="O56" s="123"/>
      <c r="P56" s="123"/>
      <c r="Q56" s="123"/>
      <c r="R56" s="123"/>
      <c r="S56" s="123"/>
      <c r="T56" s="123"/>
    </row>
    <row r="57" spans="2:20">
      <c r="B57" s="499" t="s">
        <v>328</v>
      </c>
      <c r="C57" s="379"/>
      <c r="D57" s="379">
        <f>SUM(D20/C20)-1</f>
        <v>-8.0660347749670458E-2</v>
      </c>
      <c r="E57" s="379">
        <f>SUM(E20/D20)-1</f>
        <v>-3.3865901952751631E-2</v>
      </c>
      <c r="F57" s="379">
        <f>SUM(F20/E20)-1</f>
        <v>-5.674911660777382E-2</v>
      </c>
      <c r="G57" s="500">
        <f>'Street Consensus'!L78</f>
        <v>4.6089803859349021E-2</v>
      </c>
      <c r="H57" s="500">
        <f>'Street Consensus'!M78</f>
        <v>6.2338518778154994E-3</v>
      </c>
      <c r="I57" s="500">
        <f>'Street Consensus'!N78</f>
        <v>2.1752458167597466E-2</v>
      </c>
      <c r="J57" s="500">
        <f>'Street Consensus'!O78</f>
        <v>2.9985721431857182E-2</v>
      </c>
      <c r="K57" s="500">
        <f>'Street Consensus'!P78</f>
        <v>2.9985721431857182E-2</v>
      </c>
      <c r="M57" s="8" t="s">
        <v>547</v>
      </c>
      <c r="O57" s="123"/>
      <c r="P57" s="123"/>
      <c r="Q57" s="123"/>
      <c r="R57" s="123"/>
      <c r="S57" s="123"/>
      <c r="T57" s="123"/>
    </row>
    <row r="58" spans="2:20">
      <c r="B58" s="499" t="s">
        <v>329</v>
      </c>
      <c r="C58" s="379"/>
      <c r="D58" s="379">
        <f>SUM(D21/C21)-1</f>
        <v>0.14181951041286078</v>
      </c>
      <c r="E58" s="379">
        <f>SUM(E21/D21)-1</f>
        <v>9.0504166186691215E-2</v>
      </c>
      <c r="F58" s="379">
        <f>SUM(F21/E21)-1</f>
        <v>0.12874413145539898</v>
      </c>
      <c r="G58" s="500">
        <f>'Street Consensus'!L116</f>
        <v>0.13024467343946589</v>
      </c>
      <c r="H58" s="500">
        <f>'Street Consensus'!M116</f>
        <v>0.11997791885178033</v>
      </c>
      <c r="I58" s="500">
        <f>'Street Consensus'!N116</f>
        <v>0.11324457631383977</v>
      </c>
      <c r="J58" s="500">
        <f>'Street Consensus'!O116</f>
        <v>0.11198383518792709</v>
      </c>
      <c r="K58" s="500">
        <f>'Street Consensus'!P116</f>
        <v>0.11198383518792709</v>
      </c>
      <c r="M58" s="8" t="s">
        <v>547</v>
      </c>
      <c r="O58" s="123"/>
      <c r="P58" s="123"/>
      <c r="Q58" s="123"/>
      <c r="R58" s="123"/>
      <c r="S58" s="123"/>
      <c r="T58" s="123"/>
    </row>
    <row r="59" spans="2:20">
      <c r="B59" s="499" t="s">
        <v>330</v>
      </c>
      <c r="C59" s="379"/>
      <c r="D59" s="379">
        <f>SUM(D22/C22)-1</f>
        <v>7.4908124169208001E-2</v>
      </c>
      <c r="E59" s="379">
        <f>SUM(E22/D22)-1</f>
        <v>-3.3849809655439933E-2</v>
      </c>
      <c r="F59" s="379">
        <f>SUM(F22/E22)-1</f>
        <v>-7.1276195256619435E-2</v>
      </c>
      <c r="G59" s="500">
        <f>'Street Consensus'!L104</f>
        <v>-5.2130899857489699E-2</v>
      </c>
      <c r="H59" s="500">
        <f>'Street Consensus'!M104</f>
        <v>4.6319584834580041E-2</v>
      </c>
      <c r="I59" s="500">
        <f>'Street Consensus'!N104</f>
        <v>5.6922607595371988E-2</v>
      </c>
      <c r="J59" s="500">
        <f>'Street Consensus'!O104</f>
        <v>6.2242141251754035E-2</v>
      </c>
      <c r="K59" s="500">
        <f>'Street Consensus'!P104</f>
        <v>6.2242141251754035E-2</v>
      </c>
      <c r="M59" s="8" t="s">
        <v>547</v>
      </c>
      <c r="O59" s="123"/>
      <c r="P59" s="123"/>
      <c r="Q59" s="123"/>
      <c r="R59" s="123"/>
      <c r="S59" s="123"/>
      <c r="T59" s="123"/>
    </row>
    <row r="60" spans="2:20" ht="5.0999999999999996" customHeight="1">
      <c r="B60" s="378"/>
      <c r="C60" s="379"/>
      <c r="D60" s="379"/>
      <c r="E60" s="379"/>
      <c r="F60" s="379"/>
      <c r="G60" s="379"/>
      <c r="H60" s="379"/>
      <c r="I60" s="379"/>
      <c r="J60" s="379"/>
      <c r="K60" s="380"/>
      <c r="O60" s="123"/>
      <c r="P60" s="123"/>
      <c r="Q60" s="123"/>
      <c r="R60" s="123"/>
      <c r="S60" s="123"/>
      <c r="T60" s="123"/>
    </row>
    <row r="61" spans="2:20">
      <c r="B61" s="378" t="s">
        <v>153</v>
      </c>
      <c r="C61" s="379">
        <f t="shared" ref="C61:D61" si="31">C27/C23</f>
        <v>0.41779359625167778</v>
      </c>
      <c r="D61" s="379">
        <f t="shared" si="31"/>
        <v>0.43309630561360085</v>
      </c>
      <c r="E61" s="379">
        <f>E27/E23</f>
        <v>0.44131129577207562</v>
      </c>
      <c r="F61" s="379">
        <f>F27/F23</f>
        <v>0.46206349815233932</v>
      </c>
      <c r="G61" s="500">
        <f>'Street Consensus'!L133</f>
        <v>0.46708322798906826</v>
      </c>
      <c r="H61" s="500">
        <f>'Street Consensus'!M133</f>
        <v>0.47099999999999997</v>
      </c>
      <c r="I61" s="500">
        <f>'Street Consensus'!N133</f>
        <v>0.47699999999999998</v>
      </c>
      <c r="J61" s="500">
        <f>'Street Consensus'!O133</f>
        <v>0.48199999999999998</v>
      </c>
      <c r="K61" s="500">
        <f>'Street Consensus'!P133</f>
        <v>0.48199999999999998</v>
      </c>
      <c r="M61" s="8" t="s">
        <v>547</v>
      </c>
      <c r="O61" s="123"/>
      <c r="P61" s="123"/>
      <c r="Q61" s="123"/>
      <c r="R61" s="123"/>
      <c r="S61" s="123"/>
      <c r="T61" s="123"/>
    </row>
    <row r="62" spans="2:20">
      <c r="B62" s="378" t="s">
        <v>154</v>
      </c>
      <c r="C62" s="379">
        <f>-C30/C18</f>
        <v>0.11415146921702531</v>
      </c>
      <c r="D62" s="379">
        <f>-D30/D18</f>
        <v>0.12774893059969147</v>
      </c>
      <c r="E62" s="379">
        <f>-E30/E18</f>
        <v>0.14914025615331308</v>
      </c>
      <c r="F62" s="379">
        <f>-F30/F18</f>
        <v>0.15592768772709423</v>
      </c>
      <c r="G62" s="500">
        <f>'Street Consensus'!L146</f>
        <v>0.12356686240856643</v>
      </c>
      <c r="H62" s="500">
        <f>'Street Consensus'!M146</f>
        <v>0.12667183952399469</v>
      </c>
      <c r="I62" s="500">
        <f>'Street Consensus'!N146</f>
        <v>0.13025020422019146</v>
      </c>
      <c r="J62" s="500">
        <f>'Street Consensus'!O146</f>
        <v>0.13438285903375247</v>
      </c>
      <c r="K62" s="500">
        <f>'Street Consensus'!P146</f>
        <v>0.13188285903375246</v>
      </c>
      <c r="M62" s="8" t="s">
        <v>547</v>
      </c>
      <c r="O62" s="123"/>
      <c r="P62" s="123"/>
      <c r="Q62" s="123"/>
      <c r="R62" s="123"/>
      <c r="S62" s="123"/>
      <c r="T62" s="123"/>
    </row>
    <row r="63" spans="2:20">
      <c r="B63" s="378" t="s">
        <v>155</v>
      </c>
      <c r="C63" s="379">
        <f>-C31/C18</f>
        <v>0.11445880410266027</v>
      </c>
      <c r="D63" s="379">
        <f>-D31/D18</f>
        <v>0.12211845889560999</v>
      </c>
      <c r="E63" s="379">
        <f>-E31/E18</f>
        <v>0.12429767228528839</v>
      </c>
      <c r="F63" s="379">
        <f>-F31/F18</f>
        <v>0.12971771968804521</v>
      </c>
      <c r="G63" s="500">
        <f>'Street Consensus'!L159</f>
        <v>6.6929088478232396E-2</v>
      </c>
      <c r="H63" s="500">
        <f>'Street Consensus'!M159</f>
        <v>6.8371495351126688E-2</v>
      </c>
      <c r="I63" s="500">
        <f>'Street Consensus'!N159</f>
        <v>6.9180673980490159E-2</v>
      </c>
      <c r="J63" s="500">
        <f>'Street Consensus'!O159</f>
        <v>7.0901907700731889E-2</v>
      </c>
      <c r="K63" s="500">
        <f>'Street Consensus'!P159</f>
        <v>6.9101622530000406E-2</v>
      </c>
      <c r="M63" s="8" t="s">
        <v>547</v>
      </c>
      <c r="O63" s="123"/>
      <c r="P63" s="123"/>
      <c r="Q63" s="123"/>
      <c r="R63" s="123"/>
      <c r="S63" s="123"/>
      <c r="T63" s="123"/>
    </row>
    <row r="64" spans="2:20">
      <c r="B64" s="378" t="s">
        <v>156</v>
      </c>
      <c r="C64" s="529">
        <f>-(C40/C38)</f>
        <v>0.13302224566934903</v>
      </c>
      <c r="D64" s="529">
        <f>-(D40/D38)</f>
        <v>0.16204420475424644</v>
      </c>
      <c r="E64" s="529">
        <f>-(E40/E38)</f>
        <v>0.14719135634679262</v>
      </c>
      <c r="F64" s="529">
        <f>-(F40/F38)</f>
        <v>0.24091123689786073</v>
      </c>
      <c r="G64" s="500">
        <f>'Street Consensus'!L174</f>
        <v>0.158</v>
      </c>
      <c r="H64" s="500">
        <f>'Street Consensus'!M174</f>
        <v>0.16</v>
      </c>
      <c r="I64" s="500">
        <f>'Street Consensus'!N174</f>
        <v>0.16</v>
      </c>
      <c r="J64" s="500">
        <f>'Street Consensus'!O174</f>
        <v>0.16</v>
      </c>
      <c r="K64" s="500">
        <f>'Street Consensus'!P174</f>
        <v>0.16</v>
      </c>
      <c r="M64" s="8" t="s">
        <v>547</v>
      </c>
      <c r="O64" s="123"/>
      <c r="P64" s="123"/>
      <c r="Q64" s="123"/>
      <c r="R64" s="123"/>
      <c r="S64" s="123"/>
      <c r="T64" s="123"/>
    </row>
    <row r="65" spans="1:14" ht="5.0999999999999996" customHeight="1">
      <c r="B65" s="530"/>
      <c r="C65" s="530"/>
      <c r="D65" s="354"/>
      <c r="E65" s="354"/>
      <c r="F65" s="354"/>
      <c r="G65" s="531"/>
    </row>
    <row r="66" spans="1:14">
      <c r="B66" s="378" t="s">
        <v>557</v>
      </c>
      <c r="C66" s="529"/>
      <c r="D66" s="379">
        <f>D44/C44-1</f>
        <v>-1.595179014533854E-2</v>
      </c>
      <c r="E66" s="379">
        <f t="shared" ref="E66:F66" si="32">E44/D44-1</f>
        <v>3.7373919308357317E-2</v>
      </c>
      <c r="F66" s="379">
        <f t="shared" si="32"/>
        <v>-6.4241687646496848E-3</v>
      </c>
      <c r="G66" s="500">
        <f>'Street Consensus'!L189</f>
        <v>3.7276558062277143E-2</v>
      </c>
      <c r="H66" s="500">
        <f>'Street Consensus'!M189</f>
        <v>0.14078064485041231</v>
      </c>
      <c r="I66" s="500">
        <f>'Street Consensus'!N189</f>
        <v>7.3981336758025873E-2</v>
      </c>
      <c r="J66" s="500">
        <f>'Street Consensus'!O189</f>
        <v>7.3981336758025873E-2</v>
      </c>
      <c r="K66" s="500">
        <f>'Street Consensus'!P189</f>
        <v>9.1516339729168061E-2</v>
      </c>
      <c r="M66" s="8" t="s">
        <v>547</v>
      </c>
    </row>
    <row r="67" spans="1:14">
      <c r="B67" s="378" t="s">
        <v>559</v>
      </c>
      <c r="C67" s="529"/>
      <c r="D67" s="379">
        <f>D48/C48-1</f>
        <v>0.14318239311915004</v>
      </c>
      <c r="E67" s="379">
        <f t="shared" ref="E67:F67" si="33">E48/D48-1</f>
        <v>0.19860588625802178</v>
      </c>
      <c r="F67" s="379">
        <f t="shared" si="33"/>
        <v>7.8925505400166074E-2</v>
      </c>
      <c r="G67" s="500">
        <f>'Street Consensus'!L200</f>
        <v>0.1013543031891655</v>
      </c>
      <c r="H67" s="500">
        <f>'Street Consensus'!M200</f>
        <v>6.8349635297257905E-2</v>
      </c>
      <c r="I67" s="500">
        <f>'Street Consensus'!N200</f>
        <v>7.7013517625373895E-2</v>
      </c>
      <c r="J67" s="500">
        <f>'Street Consensus'!O200</f>
        <v>5.0342857624195325E-2</v>
      </c>
      <c r="K67" s="500">
        <f>'Street Consensus'!P200</f>
        <v>4.4944268397854925E-2</v>
      </c>
      <c r="M67" s="8" t="s">
        <v>547</v>
      </c>
    </row>
    <row r="68" spans="1:14">
      <c r="B68" s="530"/>
      <c r="C68" s="530"/>
      <c r="D68" s="354"/>
      <c r="E68" s="354"/>
      <c r="F68" s="354"/>
      <c r="G68" s="531"/>
    </row>
    <row r="69" spans="1:14">
      <c r="A69" s="370" t="s">
        <v>25</v>
      </c>
      <c r="B69" s="417" t="s">
        <v>509</v>
      </c>
      <c r="C69" s="423" t="s">
        <v>506</v>
      </c>
      <c r="D69" s="423"/>
      <c r="E69" s="423"/>
      <c r="F69" s="423"/>
      <c r="G69" s="423" t="s">
        <v>190</v>
      </c>
      <c r="H69" s="423"/>
      <c r="I69" s="423"/>
      <c r="J69" s="423"/>
      <c r="K69" s="423"/>
    </row>
    <row r="70" spans="1:14">
      <c r="B70" s="418" t="str">
        <f>B15</f>
        <v xml:space="preserve">Fiscal year  </v>
      </c>
      <c r="C70" s="419">
        <f>C15</f>
        <v>2021</v>
      </c>
      <c r="D70" s="419">
        <f>D15</f>
        <v>2022</v>
      </c>
      <c r="E70" s="419">
        <f>E15</f>
        <v>2023</v>
      </c>
      <c r="F70" s="419">
        <f>F15</f>
        <v>2024</v>
      </c>
      <c r="G70" s="420">
        <f>G15</f>
        <v>2025</v>
      </c>
      <c r="H70" s="420">
        <f>H15</f>
        <v>2026</v>
      </c>
      <c r="I70" s="420">
        <f>I15</f>
        <v>2027</v>
      </c>
      <c r="J70" s="420">
        <f>J15</f>
        <v>2028</v>
      </c>
      <c r="K70" s="420">
        <f>K15</f>
        <v>2029</v>
      </c>
    </row>
    <row r="71" spans="1:14">
      <c r="B71" s="418" t="str">
        <f>B16</f>
        <v>Fiscal year end date</v>
      </c>
      <c r="C71" s="421">
        <f>C16</f>
        <v>44469</v>
      </c>
      <c r="D71" s="421">
        <f>D16</f>
        <v>44834</v>
      </c>
      <c r="E71" s="421">
        <f>E16</f>
        <v>45199</v>
      </c>
      <c r="F71" s="421">
        <f>F16</f>
        <v>45559</v>
      </c>
      <c r="G71" s="421">
        <f>G16</f>
        <v>45930</v>
      </c>
      <c r="H71" s="421">
        <f>H16</f>
        <v>46295</v>
      </c>
      <c r="I71" s="421">
        <f>I16</f>
        <v>46660</v>
      </c>
      <c r="J71" s="421">
        <f>J16</f>
        <v>47026</v>
      </c>
      <c r="K71" s="421">
        <f>K16</f>
        <v>47391</v>
      </c>
    </row>
    <row r="72" spans="1:14" s="386" customFormat="1" ht="5.0999999999999996" customHeight="1">
      <c r="B72" s="388"/>
      <c r="C72" s="389"/>
      <c r="D72" s="389"/>
      <c r="E72" s="389"/>
      <c r="F72" s="389"/>
      <c r="G72" s="389"/>
      <c r="H72" s="389"/>
      <c r="I72" s="389"/>
      <c r="J72" s="389"/>
      <c r="K72" s="389"/>
    </row>
    <row r="73" spans="1:14" ht="12.75" customHeight="1">
      <c r="B73" s="8" t="s">
        <v>157</v>
      </c>
      <c r="C73" s="396">
        <f>'Historical Financials'!H43+'Historical Financials'!H44+'Historical Financials'!H51</f>
        <v>190516</v>
      </c>
      <c r="D73" s="396">
        <f>'Historical Financials'!I43+'Historical Financials'!I44+'Historical Financials'!I51</f>
        <v>169109</v>
      </c>
      <c r="E73" s="396">
        <f>'Historical Financials'!J43+'Historical Financials'!J44+'Historical Financials'!J51</f>
        <v>162099</v>
      </c>
      <c r="F73" s="396">
        <f>'Historical Financials'!K43+'Historical Financials'!K44+'Historical Financials'!K51</f>
        <v>156650</v>
      </c>
      <c r="G73" s="395">
        <f ca="1">+F73+G118</f>
        <v>187881.72177699316</v>
      </c>
      <c r="H73" s="395">
        <f ca="1">+G73+H118</f>
        <v>226478.14034603329</v>
      </c>
      <c r="I73" s="395">
        <f ca="1">+H73+I118</f>
        <v>275528.92903114029</v>
      </c>
      <c r="J73" s="395">
        <f ca="1">+I73+J118</f>
        <v>335060.27417911385</v>
      </c>
      <c r="K73" s="395">
        <f ca="1">+J73+K118</f>
        <v>406474.82293689181</v>
      </c>
      <c r="M73" s="8" t="s">
        <v>158</v>
      </c>
    </row>
    <row r="74" spans="1:14" ht="12.75" customHeight="1">
      <c r="B74" s="8" t="s">
        <v>15</v>
      </c>
      <c r="C74" s="396">
        <f>'Historical Financials'!H45</f>
        <v>26278</v>
      </c>
      <c r="D74" s="396">
        <f>'Historical Financials'!I45</f>
        <v>28184</v>
      </c>
      <c r="E74" s="396">
        <f>'Historical Financials'!J45</f>
        <v>29508</v>
      </c>
      <c r="F74" s="396">
        <f>'Historical Financials'!K45</f>
        <v>66243</v>
      </c>
      <c r="G74" s="395">
        <f>F74*(1+G54)</f>
        <v>70321.238474816841</v>
      </c>
      <c r="H74" s="395">
        <f>G74*(1+H54)</f>
        <v>74738.947984698287</v>
      </c>
      <c r="I74" s="395">
        <f>H74*(1+I54)</f>
        <v>79895.708744235832</v>
      </c>
      <c r="J74" s="395">
        <f>I74*(1+J54)</f>
        <v>84137.775538300804</v>
      </c>
      <c r="K74" s="395">
        <f>J74*(1+K54)</f>
        <v>89268.676273223158</v>
      </c>
      <c r="M74" s="8" t="s">
        <v>159</v>
      </c>
    </row>
    <row r="75" spans="1:14" ht="12.75" customHeight="1">
      <c r="B75" s="8" t="s">
        <v>16</v>
      </c>
      <c r="C75" s="396">
        <f>'Historical Financials'!H46</f>
        <v>6580</v>
      </c>
      <c r="D75" s="396">
        <f>'Historical Financials'!I46</f>
        <v>4946</v>
      </c>
      <c r="E75" s="396">
        <f>'Historical Financials'!J46</f>
        <v>6331</v>
      </c>
      <c r="F75" s="396">
        <f>'Historical Financials'!K46</f>
        <v>7286</v>
      </c>
      <c r="G75" s="395">
        <f>F75*G26/F26</f>
        <v>7671.1072897587028</v>
      </c>
      <c r="H75" s="395">
        <f>G75*H26/G26</f>
        <v>8122.5386896491336</v>
      </c>
      <c r="I75" s="395">
        <f>H75*I26/H26</f>
        <v>8580.5519880182001</v>
      </c>
      <c r="J75" s="395">
        <f>I75*J26/I26</f>
        <v>9024.7565956989001</v>
      </c>
      <c r="K75" s="395">
        <f>J75*K26/J26</f>
        <v>9592.4936974124685</v>
      </c>
      <c r="M75" s="8" t="s">
        <v>160</v>
      </c>
    </row>
    <row r="76" spans="1:14" ht="12.75" customHeight="1">
      <c r="B76" s="8" t="s">
        <v>21</v>
      </c>
      <c r="C76" s="396">
        <f>'Historical Financials'!H47</f>
        <v>39339</v>
      </c>
      <c r="D76" s="396">
        <f>'Historical Financials'!I47</f>
        <v>53971</v>
      </c>
      <c r="E76" s="396">
        <f>'Historical Financials'!J47</f>
        <v>46172</v>
      </c>
      <c r="F76" s="396">
        <f>'Historical Financials'!K47</f>
        <v>14287</v>
      </c>
      <c r="G76" s="395">
        <f>F76*(1+G54)</f>
        <v>15166.576605674687</v>
      </c>
      <c r="H76" s="395">
        <f>G76*(1+H54)</f>
        <v>16119.368836818752</v>
      </c>
      <c r="I76" s="395">
        <f>H76*(1+I54)</f>
        <v>17231.556403376922</v>
      </c>
      <c r="J76" s="395">
        <f>I76*(1+J54)</f>
        <v>18146.466783142427</v>
      </c>
      <c r="K76" s="395">
        <f>J76*(1+K54)</f>
        <v>19253.076972895844</v>
      </c>
      <c r="M76" s="8" t="s">
        <v>159</v>
      </c>
      <c r="N76" s="74"/>
    </row>
    <row r="77" spans="1:14" ht="12.75" customHeight="1">
      <c r="B77" s="8" t="s">
        <v>161</v>
      </c>
      <c r="C77" s="396">
        <f>'Historical Financials'!H50</f>
        <v>39440</v>
      </c>
      <c r="D77" s="396">
        <f>'Historical Financials'!I50</f>
        <v>42117</v>
      </c>
      <c r="E77" s="396">
        <f>'Historical Financials'!J50</f>
        <v>43715</v>
      </c>
      <c r="F77" s="396">
        <f>'Historical Financials'!K50</f>
        <v>45680</v>
      </c>
      <c r="G77" s="395">
        <f>G131</f>
        <v>43883.845345102571</v>
      </c>
      <c r="H77" s="395">
        <f t="shared" ref="H77:K77" si="34">H131</f>
        <v>42000.165609572927</v>
      </c>
      <c r="I77" s="395">
        <f t="shared" si="34"/>
        <v>40441.750593032732</v>
      </c>
      <c r="J77" s="395">
        <f t="shared" si="34"/>
        <v>39026.646476344191</v>
      </c>
      <c r="K77" s="395">
        <f t="shared" si="34"/>
        <v>37719.451015882252</v>
      </c>
      <c r="M77" s="8" t="s">
        <v>162</v>
      </c>
    </row>
    <row r="78" spans="1:14" ht="12.75" customHeight="1">
      <c r="B78" s="8" t="s">
        <v>163</v>
      </c>
      <c r="C78" s="396">
        <f>'Historical Financials'!H52</f>
        <v>48849</v>
      </c>
      <c r="D78" s="396">
        <f>'Historical Financials'!I52</f>
        <v>54428</v>
      </c>
      <c r="E78" s="396">
        <f>'Historical Financials'!J52</f>
        <v>64758</v>
      </c>
      <c r="F78" s="396">
        <f>'Historical Financials'!K52</f>
        <v>74834</v>
      </c>
      <c r="G78" s="395">
        <f>F78*(1+G54)</f>
        <v>79441.141856867049</v>
      </c>
      <c r="H78" s="395">
        <f>G78*(1+H54)</f>
        <v>84431.780467172561</v>
      </c>
      <c r="I78" s="395">
        <f>H78*(1+I54)</f>
        <v>90257.317273766952</v>
      </c>
      <c r="J78" s="395">
        <f>I78*(1+J54)</f>
        <v>95049.534209398771</v>
      </c>
      <c r="K78" s="395">
        <f>J78*(1+K54)</f>
        <v>100845.85722612777</v>
      </c>
      <c r="M78" s="8" t="s">
        <v>159</v>
      </c>
    </row>
    <row r="79" spans="1:14" ht="12.75" customHeight="1">
      <c r="B79" s="390" t="s">
        <v>30</v>
      </c>
      <c r="C79" s="391">
        <f t="shared" ref="C79:E79" si="35">SUM(C73:C78)</f>
        <v>351002</v>
      </c>
      <c r="D79" s="391">
        <f t="shared" si="35"/>
        <v>352755</v>
      </c>
      <c r="E79" s="391">
        <f t="shared" si="35"/>
        <v>352583</v>
      </c>
      <c r="F79" s="391">
        <f t="shared" ref="F79:K79" si="36">SUM(F73:F78)</f>
        <v>364980</v>
      </c>
      <c r="G79" s="392">
        <f t="shared" ca="1" si="36"/>
        <v>404365.63134921301</v>
      </c>
      <c r="H79" s="392">
        <f t="shared" ca="1" si="36"/>
        <v>451890.941933945</v>
      </c>
      <c r="I79" s="392">
        <f t="shared" ca="1" si="36"/>
        <v>511935.81403357093</v>
      </c>
      <c r="J79" s="392">
        <f t="shared" ca="1" si="36"/>
        <v>580445.45378199895</v>
      </c>
      <c r="K79" s="392">
        <f t="shared" ca="1" si="36"/>
        <v>663154.37812243332</v>
      </c>
    </row>
    <row r="80" spans="1:14" ht="5.0999999999999996" customHeight="1">
      <c r="B80" s="118"/>
      <c r="C80" s="118"/>
      <c r="D80" s="74"/>
      <c r="E80" s="74"/>
      <c r="F80" s="74"/>
      <c r="G80" s="74"/>
      <c r="H80" s="74"/>
      <c r="I80" s="74"/>
      <c r="J80" s="74"/>
      <c r="K80" s="74"/>
    </row>
    <row r="81" spans="1:14" ht="12.75" customHeight="1">
      <c r="B81" s="118" t="s">
        <v>17</v>
      </c>
      <c r="C81" s="396">
        <f>'Historical Financials'!H55</f>
        <v>54763</v>
      </c>
      <c r="D81" s="396">
        <f>'Historical Financials'!I55</f>
        <v>64115</v>
      </c>
      <c r="E81" s="396">
        <f>'Historical Financials'!J55</f>
        <v>62611</v>
      </c>
      <c r="F81" s="396">
        <f>'Historical Financials'!K55</f>
        <v>68960</v>
      </c>
      <c r="G81" s="395">
        <f>F81*G26/F26</f>
        <v>72604.935314542978</v>
      </c>
      <c r="H81" s="395">
        <f>G81*H26/G26</f>
        <v>76877.610216607776</v>
      </c>
      <c r="I81" s="395">
        <f>H81*I26/H26</f>
        <v>81212.580990081682</v>
      </c>
      <c r="J81" s="395">
        <f>I81*J26/I26</f>
        <v>85416.856277710176</v>
      </c>
      <c r="K81" s="395">
        <f>J81*K26/J26</f>
        <v>90790.332881356575</v>
      </c>
      <c r="M81" s="8" t="s">
        <v>160</v>
      </c>
    </row>
    <row r="82" spans="1:14" ht="12.75" customHeight="1">
      <c r="B82" s="118" t="s">
        <v>164</v>
      </c>
      <c r="C82" s="396">
        <f>'Historical Financials'!H57</f>
        <v>47493</v>
      </c>
      <c r="D82" s="396">
        <f>'Historical Financials'!I57</f>
        <v>60845</v>
      </c>
      <c r="E82" s="396">
        <f>'Historical Financials'!J57</f>
        <v>58829</v>
      </c>
      <c r="F82" s="396">
        <f>'Historical Financials'!K57</f>
        <v>78304</v>
      </c>
      <c r="G82" s="395">
        <f>F82*(1+G54)</f>
        <v>83124.771787691658</v>
      </c>
      <c r="H82" s="395">
        <f>G82*(1+H54)</f>
        <v>88346.822803825547</v>
      </c>
      <c r="I82" s="395">
        <f>H82*(1+I54)</f>
        <v>94442.485658992548</v>
      </c>
      <c r="J82" s="395">
        <f>I82*(1+J54)</f>
        <v>99456.914326813509</v>
      </c>
      <c r="K82" s="395">
        <f>J82*(1+K54)</f>
        <v>105522.00876920531</v>
      </c>
      <c r="M82" s="8" t="s">
        <v>159</v>
      </c>
    </row>
    <row r="83" spans="1:14" ht="12.75" customHeight="1">
      <c r="B83" s="118" t="s">
        <v>165</v>
      </c>
      <c r="C83" s="396">
        <f>'Historical Financials'!H56</f>
        <v>7612</v>
      </c>
      <c r="D83" s="396">
        <f>'Historical Financials'!I56</f>
        <v>7912</v>
      </c>
      <c r="E83" s="396">
        <f>'Historical Financials'!J56</f>
        <v>8061</v>
      </c>
      <c r="F83" s="396">
        <f>'Historical Financials'!K56</f>
        <v>8249</v>
      </c>
      <c r="G83" s="395">
        <f>F83*(1+G54)</f>
        <v>8756.8482130755565</v>
      </c>
      <c r="H83" s="395">
        <f>G83*(1+H54)</f>
        <v>9306.9695201874329</v>
      </c>
      <c r="I83" s="395">
        <f>H83*(1+I54)</f>
        <v>9949.1221930045631</v>
      </c>
      <c r="J83" s="395">
        <f>I83*(1+J54)</f>
        <v>10477.371351168324</v>
      </c>
      <c r="K83" s="395">
        <f>J83*(1+K54)</f>
        <v>11116.303769120022</v>
      </c>
      <c r="M83" s="8" t="s">
        <v>159</v>
      </c>
      <c r="N83" s="74"/>
    </row>
    <row r="84" spans="1:14" ht="12.75" customHeight="1">
      <c r="B84" s="118" t="s">
        <v>166</v>
      </c>
      <c r="C84" s="396">
        <f>'Historical Financials'!H58</f>
        <v>6000</v>
      </c>
      <c r="D84" s="396">
        <f>'Historical Financials'!I58</f>
        <v>9982</v>
      </c>
      <c r="E84" s="396">
        <f>'Historical Financials'!J58</f>
        <v>5985</v>
      </c>
      <c r="F84" s="396">
        <f>'Historical Financials'!K58</f>
        <v>9967</v>
      </c>
      <c r="G84" s="395">
        <f ca="1">G168</f>
        <v>12000</v>
      </c>
      <c r="H84" s="395">
        <f ca="1">H168</f>
        <v>12000</v>
      </c>
      <c r="I84" s="395">
        <f ca="1">I168</f>
        <v>12000</v>
      </c>
      <c r="J84" s="395">
        <f ca="1">J168</f>
        <v>12000</v>
      </c>
      <c r="K84" s="395">
        <f ca="1">K168</f>
        <v>12000</v>
      </c>
      <c r="M84" s="8" t="s">
        <v>167</v>
      </c>
    </row>
    <row r="85" spans="1:14" ht="12.75" customHeight="1">
      <c r="B85" s="118" t="s">
        <v>168</v>
      </c>
      <c r="C85" s="396">
        <f>+'Historical Financials'!H59+'Historical Financials'!H62</f>
        <v>118719</v>
      </c>
      <c r="D85" s="396">
        <f>+'Historical Financials'!I59+'Historical Financials'!I62</f>
        <v>110087</v>
      </c>
      <c r="E85" s="396">
        <f>+'Historical Financials'!J59+'Historical Financials'!J62</f>
        <v>105103</v>
      </c>
      <c r="F85" s="396">
        <f>+'Historical Financials'!K59+'Historical Financials'!K62</f>
        <v>96662</v>
      </c>
      <c r="G85" s="395">
        <f>F85</f>
        <v>96662</v>
      </c>
      <c r="H85" s="395">
        <f t="shared" ref="H85:K85" si="37">G85</f>
        <v>96662</v>
      </c>
      <c r="I85" s="395">
        <f t="shared" si="37"/>
        <v>96662</v>
      </c>
      <c r="J85" s="395">
        <f t="shared" si="37"/>
        <v>96662</v>
      </c>
      <c r="K85" s="395">
        <f t="shared" si="37"/>
        <v>96662</v>
      </c>
      <c r="M85" s="8" t="s">
        <v>169</v>
      </c>
    </row>
    <row r="86" spans="1:14" ht="12.75" customHeight="1">
      <c r="B86" s="118" t="s">
        <v>170</v>
      </c>
      <c r="C86" s="396">
        <f>'Historical Financials'!H64</f>
        <v>53325</v>
      </c>
      <c r="D86" s="396">
        <f>'Historical Financials'!I64</f>
        <v>49142</v>
      </c>
      <c r="E86" s="396">
        <f>'Historical Financials'!J64</f>
        <v>49848</v>
      </c>
      <c r="F86" s="396">
        <f>'Historical Financials'!K64</f>
        <v>45888</v>
      </c>
      <c r="G86" s="395">
        <f>F86*(1+G54)</f>
        <v>48713.08653189613</v>
      </c>
      <c r="H86" s="395">
        <f>G86*(1+H54)</f>
        <v>51773.33220297745</v>
      </c>
      <c r="I86" s="395">
        <f>H86*(1+I54)</f>
        <v>55345.535118510546</v>
      </c>
      <c r="J86" s="395">
        <f>I86*(1+J54)</f>
        <v>58284.109172313263</v>
      </c>
      <c r="K86" s="395">
        <f>J86*(1+K54)</f>
        <v>61838.398273412502</v>
      </c>
      <c r="M86" s="8" t="s">
        <v>159</v>
      </c>
    </row>
    <row r="87" spans="1:14" ht="12.75" customHeight="1">
      <c r="B87" s="390" t="s">
        <v>171</v>
      </c>
      <c r="C87" s="391">
        <f t="shared" ref="C87:E87" si="38">SUM(C81:C86)</f>
        <v>287912</v>
      </c>
      <c r="D87" s="391">
        <f t="shared" si="38"/>
        <v>302083</v>
      </c>
      <c r="E87" s="391">
        <f t="shared" si="38"/>
        <v>290437</v>
      </c>
      <c r="F87" s="391">
        <f t="shared" ref="F87:K87" si="39">SUM(F81:F86)</f>
        <v>308030</v>
      </c>
      <c r="G87" s="392">
        <f t="shared" ca="1" si="39"/>
        <v>321861.64184720634</v>
      </c>
      <c r="H87" s="392">
        <f t="shared" ca="1" si="39"/>
        <v>334966.73474359821</v>
      </c>
      <c r="I87" s="392">
        <f t="shared" ca="1" si="39"/>
        <v>349611.72396058933</v>
      </c>
      <c r="J87" s="392">
        <f t="shared" ca="1" si="39"/>
        <v>362297.25112800521</v>
      </c>
      <c r="K87" s="392">
        <f t="shared" ca="1" si="39"/>
        <v>377929.0436930944</v>
      </c>
    </row>
    <row r="88" spans="1:14" ht="5.0999999999999996" customHeight="1">
      <c r="B88" s="119"/>
      <c r="C88" s="119"/>
      <c r="D88" s="117"/>
      <c r="E88" s="117"/>
      <c r="F88" s="117"/>
      <c r="G88" s="74"/>
      <c r="H88" s="74"/>
      <c r="I88" s="74"/>
      <c r="J88" s="74"/>
      <c r="K88" s="74"/>
    </row>
    <row r="89" spans="1:14" ht="12.75" customHeight="1">
      <c r="B89" s="118" t="s">
        <v>27</v>
      </c>
      <c r="C89" s="396">
        <f>'Historical Financials'!H67</f>
        <v>57365</v>
      </c>
      <c r="D89" s="396">
        <f>'Historical Financials'!I67</f>
        <v>64849</v>
      </c>
      <c r="E89" s="396">
        <f>'Historical Financials'!J67</f>
        <v>73812</v>
      </c>
      <c r="F89" s="396">
        <f>'Historical Financials'!K67</f>
        <v>83276</v>
      </c>
      <c r="G89" s="395">
        <f>F89+G48</f>
        <v>96148.629095674973</v>
      </c>
      <c r="H89" s="395">
        <f>G89+H48</f>
        <v>109901.09769535619</v>
      </c>
      <c r="I89" s="395">
        <f>H89+I48</f>
        <v>124712.69227793136</v>
      </c>
      <c r="J89" s="395">
        <f>I89+J48</f>
        <v>140269.94485776441</v>
      </c>
      <c r="K89" s="395">
        <f>J89+K48</f>
        <v>156526.40677307869</v>
      </c>
      <c r="M89" s="8" t="s">
        <v>172</v>
      </c>
    </row>
    <row r="90" spans="1:14" ht="12.75" customHeight="1">
      <c r="B90" s="118" t="s">
        <v>173</v>
      </c>
      <c r="C90" s="396">
        <f>'Historical Financials'!H68</f>
        <v>5562</v>
      </c>
      <c r="D90" s="396">
        <f>'Historical Financials'!I68</f>
        <v>-3068</v>
      </c>
      <c r="E90" s="396">
        <f>'Historical Financials'!J68</f>
        <v>-214</v>
      </c>
      <c r="F90" s="396">
        <f>'Historical Financials'!K68</f>
        <v>-19154</v>
      </c>
      <c r="G90" s="395">
        <f ca="1">G152</f>
        <v>-6472.6395936682529</v>
      </c>
      <c r="H90" s="395">
        <f t="shared" ref="H90:K90" ca="1" si="40">H152</f>
        <v>14195.109494990611</v>
      </c>
      <c r="I90" s="395">
        <f t="shared" ca="1" si="40"/>
        <v>44783.39779505023</v>
      </c>
      <c r="J90" s="395">
        <f t="shared" ca="1" si="40"/>
        <v>85050.257796229329</v>
      </c>
      <c r="K90" s="395">
        <f t="shared" ca="1" si="40"/>
        <v>135870.92765626023</v>
      </c>
      <c r="M90" s="8" t="s">
        <v>174</v>
      </c>
      <c r="N90" s="74"/>
    </row>
    <row r="91" spans="1:14" ht="12.75" customHeight="1">
      <c r="B91" s="118" t="s">
        <v>175</v>
      </c>
      <c r="C91" s="396">
        <f>'Historical Financials'!H69</f>
        <v>163</v>
      </c>
      <c r="D91" s="396">
        <f>'Historical Financials'!I69</f>
        <v>-11109</v>
      </c>
      <c r="E91" s="396">
        <f>'Historical Financials'!J69</f>
        <v>-11452</v>
      </c>
      <c r="F91" s="396">
        <f>'Historical Financials'!K69</f>
        <v>-7172</v>
      </c>
      <c r="G91" s="395">
        <f>F91</f>
        <v>-7172</v>
      </c>
      <c r="H91" s="395">
        <f>G91</f>
        <v>-7172</v>
      </c>
      <c r="I91" s="395">
        <f>H91</f>
        <v>-7172</v>
      </c>
      <c r="J91" s="395">
        <f>I91</f>
        <v>-7172</v>
      </c>
      <c r="K91" s="395">
        <f>J91</f>
        <v>-7172</v>
      </c>
      <c r="M91" s="8" t="s">
        <v>169</v>
      </c>
    </row>
    <row r="92" spans="1:14" ht="12.75" customHeight="1">
      <c r="B92" s="390" t="s">
        <v>176</v>
      </c>
      <c r="C92" s="391">
        <f t="shared" ref="C92:K92" si="41">SUM(C89:C91)</f>
        <v>63090</v>
      </c>
      <c r="D92" s="391">
        <f t="shared" si="41"/>
        <v>50672</v>
      </c>
      <c r="E92" s="391">
        <f t="shared" si="41"/>
        <v>62146</v>
      </c>
      <c r="F92" s="391">
        <f t="shared" si="41"/>
        <v>56950</v>
      </c>
      <c r="G92" s="392">
        <f t="shared" ca="1" si="41"/>
        <v>82503.98950200672</v>
      </c>
      <c r="H92" s="392">
        <f t="shared" ca="1" si="41"/>
        <v>116924.2071903468</v>
      </c>
      <c r="I92" s="392">
        <f t="shared" ca="1" si="41"/>
        <v>162324.09007298161</v>
      </c>
      <c r="J92" s="392">
        <f t="shared" ca="1" si="41"/>
        <v>218148.20265399374</v>
      </c>
      <c r="K92" s="392">
        <f t="shared" ca="1" si="41"/>
        <v>285225.33442933892</v>
      </c>
    </row>
    <row r="93" spans="1:14">
      <c r="B93" s="592" t="s">
        <v>177</v>
      </c>
      <c r="C93" s="591">
        <f>ROUND(C79-C87-C92,3)</f>
        <v>0</v>
      </c>
      <c r="D93" s="591">
        <f>ROUND(D79-D87-D92,3)</f>
        <v>0</v>
      </c>
      <c r="E93" s="591">
        <f>ROUND(E79-E87-E92,3)</f>
        <v>0</v>
      </c>
      <c r="F93" s="591">
        <f>ROUND(F79-F87-F92,3)</f>
        <v>0</v>
      </c>
      <c r="G93" s="591">
        <f ca="1">ROUND(G79-G87-G92,3)</f>
        <v>0</v>
      </c>
      <c r="H93" s="591">
        <f ca="1">ROUND(H79-H87-H92,3)</f>
        <v>0</v>
      </c>
      <c r="I93" s="591">
        <f ca="1">ROUND(I79-I87-I92,3)</f>
        <v>0</v>
      </c>
      <c r="J93" s="591">
        <f ca="1">ROUND(J79-J87-J92,3)</f>
        <v>0</v>
      </c>
      <c r="K93" s="591">
        <f ca="1">ROUND(K79-K87-K92,3)</f>
        <v>0</v>
      </c>
    </row>
    <row r="94" spans="1:14">
      <c r="E94" s="74"/>
      <c r="F94" s="74"/>
      <c r="H94" s="74"/>
      <c r="I94" s="74"/>
      <c r="J94" s="74"/>
      <c r="K94" s="74"/>
    </row>
    <row r="95" spans="1:14">
      <c r="A95" s="370" t="s">
        <v>25</v>
      </c>
      <c r="B95" s="433" t="s">
        <v>20</v>
      </c>
      <c r="C95" s="434" t="s">
        <v>506</v>
      </c>
      <c r="D95" s="434"/>
      <c r="E95" s="434"/>
      <c r="F95" s="434"/>
      <c r="G95" s="434" t="s">
        <v>190</v>
      </c>
      <c r="H95" s="434"/>
      <c r="I95" s="434"/>
      <c r="J95" s="434"/>
      <c r="K95" s="434"/>
    </row>
    <row r="96" spans="1:14">
      <c r="B96" s="435" t="str">
        <f>B15</f>
        <v xml:space="preserve">Fiscal year  </v>
      </c>
      <c r="C96" s="436">
        <f>C70</f>
        <v>2021</v>
      </c>
      <c r="D96" s="436">
        <f>D70</f>
        <v>2022</v>
      </c>
      <c r="E96" s="436">
        <f>E70</f>
        <v>2023</v>
      </c>
      <c r="F96" s="436">
        <f>F70</f>
        <v>2024</v>
      </c>
      <c r="G96" s="437">
        <f>G15</f>
        <v>2025</v>
      </c>
      <c r="H96" s="437">
        <f>H15</f>
        <v>2026</v>
      </c>
      <c r="I96" s="437">
        <f>I15</f>
        <v>2027</v>
      </c>
      <c r="J96" s="437">
        <f>J15</f>
        <v>2028</v>
      </c>
      <c r="K96" s="437">
        <f>K15</f>
        <v>2029</v>
      </c>
    </row>
    <row r="97" spans="2:13">
      <c r="B97" s="435" t="str">
        <f>B16</f>
        <v>Fiscal year end date</v>
      </c>
      <c r="C97" s="438">
        <f>C71</f>
        <v>44469</v>
      </c>
      <c r="D97" s="438">
        <f>D71</f>
        <v>44834</v>
      </c>
      <c r="E97" s="438">
        <f>E71</f>
        <v>45199</v>
      </c>
      <c r="F97" s="438">
        <f>F71</f>
        <v>45559</v>
      </c>
      <c r="G97" s="438">
        <f>G16</f>
        <v>45930</v>
      </c>
      <c r="H97" s="438">
        <f>H16</f>
        <v>46295</v>
      </c>
      <c r="I97" s="438">
        <f>I16</f>
        <v>46660</v>
      </c>
      <c r="J97" s="438">
        <f>J16</f>
        <v>47026</v>
      </c>
      <c r="K97" s="438">
        <f>K16</f>
        <v>47391</v>
      </c>
    </row>
    <row r="98" spans="2:13" ht="5.0999999999999996" customHeight="1"/>
    <row r="99" spans="2:13" ht="12.75" customHeight="1">
      <c r="B99" s="8" t="s">
        <v>18</v>
      </c>
      <c r="C99" s="348"/>
      <c r="D99" s="394">
        <f>D41</f>
        <v>99803.302887443962</v>
      </c>
      <c r="E99" s="394">
        <f>E41</f>
        <v>96995.298214122653</v>
      </c>
      <c r="F99" s="394">
        <f>F41</f>
        <v>93736.315102228706</v>
      </c>
      <c r="G99" s="394">
        <f ca="1">G41</f>
        <v>128516.88978186487</v>
      </c>
      <c r="H99" s="394">
        <f ca="1">H41</f>
        <v>138053.10084876925</v>
      </c>
      <c r="I99" s="394">
        <f ca="1">I41</f>
        <v>149898.79977233484</v>
      </c>
      <c r="J99" s="394">
        <f ca="1">J41</f>
        <v>161455.57546148764</v>
      </c>
      <c r="K99" s="394">
        <f ca="1">K41</f>
        <v>174057.43624954295</v>
      </c>
      <c r="M99" s="8" t="s">
        <v>178</v>
      </c>
    </row>
    <row r="100" spans="2:13" ht="12.75" customHeight="1">
      <c r="B100" s="8" t="s">
        <v>88</v>
      </c>
      <c r="C100" s="348"/>
      <c r="D100" s="394">
        <f>D44</f>
        <v>11104</v>
      </c>
      <c r="E100" s="394">
        <f>E44</f>
        <v>11519</v>
      </c>
      <c r="F100" s="394">
        <f>F44</f>
        <v>11445</v>
      </c>
      <c r="G100" s="394">
        <f>G44</f>
        <v>12394.818975441409</v>
      </c>
      <c r="H100" s="394">
        <f>H44</f>
        <v>11867.095898970436</v>
      </c>
      <c r="I100" s="394">
        <f>I44</f>
        <v>13419.149910455295</v>
      </c>
      <c r="J100" s="394">
        <f>J44</f>
        <v>13551.124782210807</v>
      </c>
      <c r="K100" s="394">
        <f>K44</f>
        <v>13153.861660294353</v>
      </c>
      <c r="M100" s="8" t="s">
        <v>178</v>
      </c>
    </row>
    <row r="101" spans="2:13" ht="12.75" customHeight="1">
      <c r="B101" s="8" t="s">
        <v>148</v>
      </c>
      <c r="C101" s="348"/>
      <c r="D101" s="394">
        <f>D48</f>
        <v>9038</v>
      </c>
      <c r="E101" s="394">
        <f>E48</f>
        <v>10833</v>
      </c>
      <c r="F101" s="394">
        <f>F48</f>
        <v>11688</v>
      </c>
      <c r="G101" s="394">
        <f>G48</f>
        <v>12872.629095674967</v>
      </c>
      <c r="H101" s="394">
        <f>H48</f>
        <v>13752.468599681222</v>
      </c>
      <c r="I101" s="394">
        <f>I48</f>
        <v>14811.594582575173</v>
      </c>
      <c r="J101" s="394">
        <f>J48</f>
        <v>15557.252579833057</v>
      </c>
      <c r="K101" s="394">
        <f>K48</f>
        <v>16256.461915314296</v>
      </c>
    </row>
    <row r="102" spans="2:13" ht="12.75" customHeight="1">
      <c r="B102" s="8" t="s">
        <v>179</v>
      </c>
      <c r="C102" s="349"/>
      <c r="D102" s="394">
        <f>SUM(C74:C76)-SUM(D74:D76)</f>
        <v>-14904</v>
      </c>
      <c r="E102" s="394">
        <f>SUM(D74:D76)-SUM(E74:E76)</f>
        <v>5090</v>
      </c>
      <c r="F102" s="394">
        <f>SUM(E74:E76)-SUM(F74:F76)</f>
        <v>-5805</v>
      </c>
      <c r="G102" s="394">
        <f>SUM(F74:F76)-SUM(G74:G76)</f>
        <v>-5342.9223702502204</v>
      </c>
      <c r="H102" s="394">
        <f>SUM(G74:G76)-SUM(H74:H76)</f>
        <v>-5821.933140915964</v>
      </c>
      <c r="I102" s="394">
        <f>SUM(H74:H76)-SUM(I74:I76)</f>
        <v>-6726.9616244647623</v>
      </c>
      <c r="J102" s="394">
        <f>SUM(I74:I76)-SUM(J74:J76)</f>
        <v>-5601.1817815111863</v>
      </c>
      <c r="K102" s="394">
        <f>SUM(J74:J76)-SUM(K74:K76)</f>
        <v>-6805.2480263893376</v>
      </c>
    </row>
    <row r="103" spans="2:13" ht="12.75" customHeight="1">
      <c r="B103" s="8" t="s">
        <v>180</v>
      </c>
      <c r="C103" s="349"/>
      <c r="D103" s="394">
        <f>SUM(D81:D83)-SUM(C81:C83)</f>
        <v>23004</v>
      </c>
      <c r="E103" s="394">
        <f>SUM(E81:E83)-SUM(D81:D83)</f>
        <v>-3371</v>
      </c>
      <c r="F103" s="394">
        <f>SUM(F81:F83)-SUM(E81:E83)</f>
        <v>26012</v>
      </c>
      <c r="G103" s="394">
        <f>SUM(G81:G83)-SUM(F81:F83)</f>
        <v>8973.5553153101937</v>
      </c>
      <c r="H103" s="394">
        <f>SUM(H81:H83)-SUM(G81:G83)</f>
        <v>10044.847225310572</v>
      </c>
      <c r="I103" s="394">
        <f>SUM(I81:I83)-SUM(H81:H83)</f>
        <v>11072.786301458022</v>
      </c>
      <c r="J103" s="394">
        <f>SUM(J81:J83)-SUM(I81:I83)</f>
        <v>9746.9531136132136</v>
      </c>
      <c r="K103" s="394">
        <f>SUM(K81:K83)-SUM(J81:J83)</f>
        <v>12077.50346398991</v>
      </c>
    </row>
    <row r="104" spans="2:13" ht="12.75" customHeight="1">
      <c r="B104" s="8" t="s">
        <v>163</v>
      </c>
      <c r="C104" s="349"/>
      <c r="D104" s="394">
        <f>-D144</f>
        <v>0</v>
      </c>
      <c r="E104" s="394">
        <f t="shared" ref="E104:F104" si="42">-E144</f>
        <v>0</v>
      </c>
      <c r="F104" s="394">
        <f t="shared" si="42"/>
        <v>0</v>
      </c>
      <c r="G104" s="394">
        <f>-G144</f>
        <v>-25112.806177411025</v>
      </c>
      <c r="H104" s="394">
        <f t="shared" ref="H104:K104" si="43">-H144</f>
        <v>-26652.054773746306</v>
      </c>
      <c r="I104" s="394">
        <f t="shared" si="43"/>
        <v>-28715.271700509489</v>
      </c>
      <c r="J104" s="394">
        <f t="shared" si="43"/>
        <v>-28594.237601154091</v>
      </c>
      <c r="K104" s="394">
        <f t="shared" si="43"/>
        <v>-30546.989216561415</v>
      </c>
      <c r="M104" s="8" t="s">
        <v>181</v>
      </c>
    </row>
    <row r="105" spans="2:13" ht="12.75" customHeight="1">
      <c r="B105" s="8" t="s">
        <v>170</v>
      </c>
      <c r="C105" s="349"/>
      <c r="D105" s="394">
        <f>D86-C86</f>
        <v>-4183</v>
      </c>
      <c r="E105" s="394">
        <f>E86-D86</f>
        <v>706</v>
      </c>
      <c r="F105" s="394">
        <f>F86-E86</f>
        <v>-3960</v>
      </c>
      <c r="G105" s="394">
        <f>G86-F86</f>
        <v>2825.0865318961296</v>
      </c>
      <c r="H105" s="394">
        <f>H86-G86</f>
        <v>3060.2456710813203</v>
      </c>
      <c r="I105" s="394">
        <f>I86-H86</f>
        <v>3572.2029155330965</v>
      </c>
      <c r="J105" s="394">
        <f>J86-I86</f>
        <v>2938.5740538027167</v>
      </c>
      <c r="K105" s="394">
        <f>K86-J86</f>
        <v>3554.2891010992389</v>
      </c>
      <c r="M105" s="40"/>
    </row>
    <row r="106" spans="2:13" ht="12.75" customHeight="1">
      <c r="B106" s="203" t="s">
        <v>510</v>
      </c>
      <c r="C106" s="206"/>
      <c r="D106" s="206">
        <f t="shared" ref="D106:F106" si="44">SUM(D99:D105)</f>
        <v>123862.30288744396</v>
      </c>
      <c r="E106" s="206">
        <f t="shared" si="44"/>
        <v>121772.29821412265</v>
      </c>
      <c r="F106" s="206">
        <f t="shared" si="44"/>
        <v>133116.31510222872</v>
      </c>
      <c r="G106" s="206">
        <f ca="1">SUM(G99:G105)</f>
        <v>135127.2511525263</v>
      </c>
      <c r="H106" s="206">
        <f ca="1">SUM(H99:H105)</f>
        <v>144303.77032915052</v>
      </c>
      <c r="I106" s="206">
        <f ca="1">SUM(I99:I105)</f>
        <v>157332.30015738221</v>
      </c>
      <c r="J106" s="206">
        <f ca="1">SUM(J99:J105)</f>
        <v>169054.0606082821</v>
      </c>
      <c r="K106" s="206">
        <f ca="1">SUM(K99:K105)</f>
        <v>181747.31514729001</v>
      </c>
    </row>
    <row r="107" spans="2:13" ht="12.75" customHeight="1">
      <c r="G107" s="74"/>
      <c r="H107" s="74"/>
      <c r="I107" s="74"/>
      <c r="J107" s="74"/>
      <c r="K107" s="74"/>
    </row>
    <row r="108" spans="2:13" ht="12.75" customHeight="1">
      <c r="B108" s="8" t="s">
        <v>302</v>
      </c>
      <c r="C108" s="348"/>
      <c r="D108" s="395">
        <f t="shared" ref="D108:F108" si="45">-(D129)</f>
        <v>10708</v>
      </c>
      <c r="E108" s="395">
        <f t="shared" si="45"/>
        <v>10959</v>
      </c>
      <c r="F108" s="395">
        <f t="shared" si="45"/>
        <v>9447</v>
      </c>
      <c r="G108" s="395">
        <f>-(G129)</f>
        <v>9907</v>
      </c>
      <c r="H108" s="395">
        <f t="shared" ref="H108:K108" si="46">-(H129)</f>
        <v>11678</v>
      </c>
      <c r="I108" s="395">
        <f t="shared" si="46"/>
        <v>11029</v>
      </c>
      <c r="J108" s="395">
        <f t="shared" si="46"/>
        <v>11666</v>
      </c>
      <c r="K108" s="395">
        <f t="shared" si="46"/>
        <v>12904</v>
      </c>
      <c r="M108" s="8" t="s">
        <v>162</v>
      </c>
    </row>
    <row r="109" spans="2:13" ht="12.75" customHeight="1">
      <c r="B109" s="203" t="s">
        <v>511</v>
      </c>
      <c r="C109" s="206"/>
      <c r="D109" s="206">
        <f t="shared" ref="D109:F109" si="47">IFERROR(D108,"NA")</f>
        <v>10708</v>
      </c>
      <c r="E109" s="206">
        <f t="shared" si="47"/>
        <v>10959</v>
      </c>
      <c r="F109" s="206">
        <f t="shared" si="47"/>
        <v>9447</v>
      </c>
      <c r="G109" s="206">
        <f>IFERROR(G108,"NA")</f>
        <v>9907</v>
      </c>
      <c r="H109" s="206">
        <f>IFERROR(H108,"NA")</f>
        <v>11678</v>
      </c>
      <c r="I109" s="206">
        <f>IFERROR(I108,"NA")</f>
        <v>11029</v>
      </c>
      <c r="J109" s="206">
        <f>IFERROR(J108,"NA")</f>
        <v>11666</v>
      </c>
      <c r="K109" s="206">
        <f>IFERROR(K108,"NA")</f>
        <v>12904</v>
      </c>
    </row>
    <row r="110" spans="2:13" ht="12.75" customHeight="1">
      <c r="G110" s="74"/>
      <c r="H110" s="74"/>
      <c r="I110" s="74"/>
      <c r="J110" s="74"/>
      <c r="K110" s="74"/>
    </row>
    <row r="111" spans="2:13" ht="12.75" customHeight="1">
      <c r="B111" s="8" t="s">
        <v>183</v>
      </c>
      <c r="C111" s="348"/>
      <c r="D111" s="395">
        <f>D85-C85</f>
        <v>-8632</v>
      </c>
      <c r="E111" s="395">
        <f>E85-D85</f>
        <v>-4984</v>
      </c>
      <c r="F111" s="395">
        <f>F85-E85</f>
        <v>-8441</v>
      </c>
      <c r="G111" s="395">
        <f>G85-F85</f>
        <v>0</v>
      </c>
      <c r="H111" s="395">
        <f>H85-G85</f>
        <v>0</v>
      </c>
      <c r="I111" s="395">
        <f>I85-H85</f>
        <v>0</v>
      </c>
      <c r="J111" s="395">
        <f>J85-I85</f>
        <v>0</v>
      </c>
      <c r="K111" s="395">
        <f>K85-J85</f>
        <v>0</v>
      </c>
    </row>
    <row r="112" spans="2:13" ht="12.75" customHeight="1">
      <c r="B112" s="8" t="s">
        <v>184</v>
      </c>
      <c r="C112" s="348"/>
      <c r="D112" s="395">
        <f>D84-C84</f>
        <v>3982</v>
      </c>
      <c r="E112" s="395">
        <f>E84-D84</f>
        <v>-3997</v>
      </c>
      <c r="F112" s="395">
        <f>F84-E84</f>
        <v>3982</v>
      </c>
      <c r="G112" s="395">
        <f ca="1">G84-F84</f>
        <v>2033</v>
      </c>
      <c r="H112" s="395">
        <f ca="1">H84-G84</f>
        <v>0</v>
      </c>
      <c r="I112" s="395">
        <f ca="1">I84-H84</f>
        <v>0</v>
      </c>
      <c r="J112" s="395">
        <f ca="1">J84-I84</f>
        <v>0</v>
      </c>
      <c r="K112" s="395">
        <f ca="1">K84-J84</f>
        <v>0</v>
      </c>
      <c r="M112" s="8" t="s">
        <v>185</v>
      </c>
    </row>
    <row r="113" spans="1:13" ht="12.75" customHeight="1">
      <c r="B113" s="8" t="s">
        <v>186</v>
      </c>
      <c r="C113" s="348"/>
      <c r="D113" s="395">
        <f t="shared" ref="D113:F113" si="48">D151</f>
        <v>0</v>
      </c>
      <c r="E113" s="395">
        <f t="shared" si="48"/>
        <v>0</v>
      </c>
      <c r="F113" s="395">
        <f t="shared" si="48"/>
        <v>-94949</v>
      </c>
      <c r="G113" s="395">
        <f>G151</f>
        <v>-94949</v>
      </c>
      <c r="H113" s="395">
        <f t="shared" ref="H113:K113" si="49">H151</f>
        <v>-94949</v>
      </c>
      <c r="I113" s="395">
        <f t="shared" si="49"/>
        <v>-94949</v>
      </c>
      <c r="J113" s="395">
        <f t="shared" si="49"/>
        <v>-94949</v>
      </c>
      <c r="K113" s="395">
        <f t="shared" si="49"/>
        <v>-94949</v>
      </c>
      <c r="M113" s="8" t="s">
        <v>174</v>
      </c>
    </row>
    <row r="114" spans="1:13" ht="12.75" customHeight="1">
      <c r="B114" s="8" t="s">
        <v>187</v>
      </c>
      <c r="C114" s="348"/>
      <c r="D114" s="395">
        <f t="shared" ref="D114:F114" si="50">D150</f>
        <v>0</v>
      </c>
      <c r="E114" s="395">
        <f t="shared" si="50"/>
        <v>0</v>
      </c>
      <c r="F114" s="395">
        <f t="shared" si="50"/>
        <v>-15234</v>
      </c>
      <c r="G114" s="395">
        <f ca="1">G150</f>
        <v>-20886.529375533129</v>
      </c>
      <c r="H114" s="395">
        <f t="shared" ref="H114:K115" ca="1" si="51">H150</f>
        <v>-22436.351760110385</v>
      </c>
      <c r="I114" s="395">
        <f t="shared" ca="1" si="51"/>
        <v>-24361.511472275211</v>
      </c>
      <c r="J114" s="395">
        <f t="shared" ca="1" si="51"/>
        <v>-26239.715460308529</v>
      </c>
      <c r="K114" s="395">
        <f t="shared" ca="1" si="51"/>
        <v>-28287.76638951206</v>
      </c>
      <c r="M114" s="8" t="s">
        <v>174</v>
      </c>
    </row>
    <row r="115" spans="1:13" ht="12.75" customHeight="1">
      <c r="B115" s="8" t="s">
        <v>187</v>
      </c>
      <c r="C115" s="348"/>
      <c r="D115" s="395">
        <f t="shared" ref="D115:F115" si="52">D151</f>
        <v>0</v>
      </c>
      <c r="E115" s="395">
        <f t="shared" si="52"/>
        <v>0</v>
      </c>
      <c r="F115" s="395">
        <f t="shared" si="52"/>
        <v>-94949</v>
      </c>
      <c r="G115" s="395">
        <f>G151</f>
        <v>-94949</v>
      </c>
      <c r="H115" s="395">
        <f t="shared" si="51"/>
        <v>-94949</v>
      </c>
      <c r="I115" s="395">
        <f t="shared" si="51"/>
        <v>-94949</v>
      </c>
      <c r="J115" s="395">
        <f t="shared" si="51"/>
        <v>-94949</v>
      </c>
      <c r="K115" s="395">
        <f t="shared" si="51"/>
        <v>-94949</v>
      </c>
      <c r="M115" s="8" t="s">
        <v>174</v>
      </c>
    </row>
    <row r="116" spans="1:13" ht="12.75" customHeight="1">
      <c r="B116" s="203" t="s">
        <v>512</v>
      </c>
      <c r="C116" s="206"/>
      <c r="D116" s="206">
        <f t="shared" ref="D116:F116" si="53">SUM(D111:D114)</f>
        <v>-4650</v>
      </c>
      <c r="E116" s="206">
        <f t="shared" si="53"/>
        <v>-8981</v>
      </c>
      <c r="F116" s="206">
        <f t="shared" si="53"/>
        <v>-114642</v>
      </c>
      <c r="G116" s="206">
        <f ca="1">SUM(G111:G114)</f>
        <v>-113802.52937553314</v>
      </c>
      <c r="H116" s="206">
        <f t="shared" ref="H116:K116" ca="1" si="54">SUM(H111:H114)</f>
        <v>-117385.35176011038</v>
      </c>
      <c r="I116" s="206">
        <f t="shared" ca="1" si="54"/>
        <v>-119310.51147227522</v>
      </c>
      <c r="J116" s="206">
        <f t="shared" ca="1" si="54"/>
        <v>-121188.71546030854</v>
      </c>
      <c r="K116" s="206">
        <f t="shared" ca="1" si="54"/>
        <v>-123236.76638951206</v>
      </c>
    </row>
    <row r="117" spans="1:13" ht="5.0999999999999996" customHeight="1">
      <c r="G117" s="74"/>
      <c r="H117" s="74"/>
      <c r="I117" s="74"/>
      <c r="J117" s="74"/>
      <c r="K117" s="74"/>
    </row>
    <row r="118" spans="1:13" ht="12.75" customHeight="1">
      <c r="B118" s="40" t="s">
        <v>188</v>
      </c>
      <c r="C118" s="348"/>
      <c r="D118" s="50">
        <f t="shared" ref="D118:F118" si="55">D106+D109+D116</f>
        <v>129920.30288744398</v>
      </c>
      <c r="E118" s="50">
        <f t="shared" si="55"/>
        <v>123750.29821412265</v>
      </c>
      <c r="F118" s="50">
        <f t="shared" si="55"/>
        <v>27921.31510222872</v>
      </c>
      <c r="G118" s="50">
        <f ca="1">G106+G109+G116</f>
        <v>31231.721776993159</v>
      </c>
      <c r="H118" s="50">
        <f ca="1">H106+H109+H116</f>
        <v>38596.418569040135</v>
      </c>
      <c r="I118" s="50">
        <f ca="1">I106+I109+I116</f>
        <v>49050.788685106992</v>
      </c>
      <c r="J118" s="50">
        <f ca="1">J106+J109+J116</f>
        <v>59531.345147973567</v>
      </c>
      <c r="K118" s="50">
        <f ca="1">K106+K109+K116</f>
        <v>71414.548757777942</v>
      </c>
    </row>
    <row r="120" spans="1:13">
      <c r="A120" s="8" t="s">
        <v>25</v>
      </c>
      <c r="B120" s="399" t="s">
        <v>513</v>
      </c>
      <c r="C120" s="400" t="s">
        <v>506</v>
      </c>
      <c r="D120" s="400"/>
      <c r="E120" s="400"/>
      <c r="F120" s="400"/>
      <c r="G120" s="400" t="s">
        <v>190</v>
      </c>
      <c r="H120" s="400"/>
      <c r="I120" s="400"/>
      <c r="J120" s="400"/>
      <c r="K120" s="400"/>
    </row>
    <row r="121" spans="1:13">
      <c r="B121" s="401" t="s">
        <v>129</v>
      </c>
      <c r="C121" s="439">
        <v>2021</v>
      </c>
      <c r="D121" s="439">
        <v>2022</v>
      </c>
      <c r="E121" s="439">
        <v>2023</v>
      </c>
      <c r="F121" s="439">
        <v>2024</v>
      </c>
      <c r="G121" s="440">
        <v>2025</v>
      </c>
      <c r="H121" s="440">
        <v>2026</v>
      </c>
      <c r="I121" s="440">
        <v>2027</v>
      </c>
      <c r="J121" s="440">
        <v>2028</v>
      </c>
      <c r="K121" s="440">
        <v>2029</v>
      </c>
    </row>
    <row r="122" spans="1:13">
      <c r="B122" s="401" t="s">
        <v>130</v>
      </c>
      <c r="C122" s="402">
        <v>44469</v>
      </c>
      <c r="D122" s="402">
        <v>44834</v>
      </c>
      <c r="E122" s="402">
        <v>45199</v>
      </c>
      <c r="F122" s="402">
        <v>45559</v>
      </c>
      <c r="G122" s="402">
        <v>45930</v>
      </c>
      <c r="H122" s="402">
        <v>46295</v>
      </c>
      <c r="I122" s="402">
        <v>46660</v>
      </c>
      <c r="J122" s="402">
        <v>47026</v>
      </c>
      <c r="K122" s="402">
        <v>47391</v>
      </c>
    </row>
    <row r="124" spans="1:13">
      <c r="A124" s="370" t="s">
        <v>25</v>
      </c>
      <c r="B124" s="108" t="s">
        <v>189</v>
      </c>
      <c r="C124" s="108"/>
      <c r="D124" s="109"/>
      <c r="E124" s="109"/>
      <c r="F124" s="109"/>
      <c r="G124" s="109"/>
      <c r="H124" s="109"/>
      <c r="I124" s="109"/>
      <c r="J124" s="109"/>
      <c r="K124" s="109"/>
    </row>
    <row r="125" spans="1:13" hidden="1">
      <c r="B125" s="124" t="str">
        <f>B15</f>
        <v xml:space="preserve">Fiscal year  </v>
      </c>
      <c r="C125" s="124"/>
      <c r="D125" s="125">
        <f>D15</f>
        <v>2022</v>
      </c>
      <c r="E125" s="125">
        <f>E15</f>
        <v>2023</v>
      </c>
      <c r="F125" s="125">
        <f>F15</f>
        <v>2024</v>
      </c>
      <c r="G125" s="126">
        <f>G15</f>
        <v>2025</v>
      </c>
      <c r="H125" s="126">
        <f>H15</f>
        <v>2026</v>
      </c>
      <c r="I125" s="126">
        <f>I15</f>
        <v>2027</v>
      </c>
      <c r="J125" s="126">
        <f>J15</f>
        <v>2028</v>
      </c>
      <c r="K125" s="126">
        <f>K15</f>
        <v>2029</v>
      </c>
    </row>
    <row r="126" spans="1:13" hidden="1">
      <c r="B126" s="109" t="str">
        <f>B16</f>
        <v>Fiscal year end date</v>
      </c>
      <c r="C126" s="109"/>
      <c r="D126" s="127">
        <f>D16</f>
        <v>44834</v>
      </c>
      <c r="E126" s="127">
        <f>E16</f>
        <v>45199</v>
      </c>
      <c r="F126" s="127">
        <f>F16</f>
        <v>45559</v>
      </c>
      <c r="G126" s="127">
        <f>G16</f>
        <v>45930</v>
      </c>
      <c r="H126" s="127">
        <f>H16</f>
        <v>46295</v>
      </c>
      <c r="I126" s="127">
        <f>I16</f>
        <v>46660</v>
      </c>
      <c r="J126" s="127">
        <f>J16</f>
        <v>47026</v>
      </c>
      <c r="K126" s="127">
        <f>K16</f>
        <v>47391</v>
      </c>
    </row>
    <row r="127" spans="1:13" hidden="1">
      <c r="B127" s="40"/>
      <c r="C127" s="40"/>
      <c r="G127" s="129" t="s">
        <v>190</v>
      </c>
      <c r="H127" s="129"/>
      <c r="I127" s="129"/>
      <c r="J127" s="129"/>
      <c r="K127" s="129"/>
    </row>
    <row r="128" spans="1:13">
      <c r="B128" s="118" t="s">
        <v>191</v>
      </c>
      <c r="C128" s="118"/>
      <c r="D128" s="74">
        <f t="shared" ref="D128:F128" si="56">C131</f>
        <v>39440</v>
      </c>
      <c r="E128" s="74">
        <f t="shared" si="56"/>
        <v>42117</v>
      </c>
      <c r="F128" s="74">
        <f t="shared" si="56"/>
        <v>43715</v>
      </c>
      <c r="G128" s="207">
        <f>F131</f>
        <v>45680</v>
      </c>
      <c r="H128" s="207">
        <f>G131</f>
        <v>43883.845345102571</v>
      </c>
      <c r="I128" s="207">
        <f>H131</f>
        <v>42000.165609572927</v>
      </c>
      <c r="J128" s="207">
        <f>I131</f>
        <v>40441.750593032732</v>
      </c>
      <c r="K128" s="207">
        <f>J131</f>
        <v>39026.646476344191</v>
      </c>
      <c r="M128" s="8" t="s">
        <v>192</v>
      </c>
    </row>
    <row r="129" spans="1:17">
      <c r="B129" s="130" t="s">
        <v>193</v>
      </c>
      <c r="C129" s="176">
        <f>'Historical Financials'!H98</f>
        <v>-11085</v>
      </c>
      <c r="D129" s="176">
        <f>'Historical Financials'!I98</f>
        <v>-10708</v>
      </c>
      <c r="E129" s="176">
        <f>'Historical Financials'!J98</f>
        <v>-10959</v>
      </c>
      <c r="F129" s="176">
        <f>'Historical Financials'!K98</f>
        <v>-9447</v>
      </c>
      <c r="G129" s="532">
        <f>-'Street Consensus'!L208</f>
        <v>-9907</v>
      </c>
      <c r="H129" s="532">
        <f>-'Street Consensus'!M208</f>
        <v>-11678</v>
      </c>
      <c r="I129" s="532">
        <f>-'Street Consensus'!N208</f>
        <v>-11029</v>
      </c>
      <c r="J129" s="532">
        <f>-'Street Consensus'!O208</f>
        <v>-11666</v>
      </c>
      <c r="K129" s="532">
        <f>-'Street Consensus'!P208</f>
        <v>-12904</v>
      </c>
      <c r="M129" s="8" t="s">
        <v>194</v>
      </c>
    </row>
    <row r="130" spans="1:17">
      <c r="B130" s="131" t="s">
        <v>195</v>
      </c>
      <c r="C130" s="132">
        <v>9500</v>
      </c>
      <c r="D130" s="132">
        <v>8700</v>
      </c>
      <c r="E130" s="132">
        <v>8500</v>
      </c>
      <c r="F130" s="132">
        <v>8200</v>
      </c>
      <c r="G130" s="216">
        <f>-(G133*G129)</f>
        <v>8110.8453451025716</v>
      </c>
      <c r="H130" s="216">
        <f>-(H133*H129)</f>
        <v>9794.3202644703579</v>
      </c>
      <c r="I130" s="216">
        <f>-(I133*I129)</f>
        <v>9470.584983459803</v>
      </c>
      <c r="J130" s="216">
        <f>-(J133*J129)</f>
        <v>10250.895883311458</v>
      </c>
      <c r="K130" s="216">
        <f>-(K133*K129)</f>
        <v>11596.804539538063</v>
      </c>
      <c r="M130" s="8" t="s">
        <v>196</v>
      </c>
    </row>
    <row r="131" spans="1:17">
      <c r="B131" s="134" t="s">
        <v>197</v>
      </c>
      <c r="C131" s="50">
        <f>C77</f>
        <v>39440</v>
      </c>
      <c r="D131" s="50">
        <f>D77</f>
        <v>42117</v>
      </c>
      <c r="E131" s="50">
        <f>E77</f>
        <v>43715</v>
      </c>
      <c r="F131" s="50">
        <f>F77</f>
        <v>45680</v>
      </c>
      <c r="G131" s="50">
        <f>SUM(G128:G130)</f>
        <v>43883.845345102571</v>
      </c>
      <c r="H131" s="50">
        <f>SUM(H128:H130)</f>
        <v>42000.165609572927</v>
      </c>
      <c r="I131" s="50">
        <f>SUM(I128:I130)</f>
        <v>40441.750593032732</v>
      </c>
      <c r="J131" s="50">
        <f>SUM(J128:J130)</f>
        <v>39026.646476344191</v>
      </c>
      <c r="K131" s="50">
        <f>SUM(K128:K130)</f>
        <v>37719.451015882252</v>
      </c>
      <c r="M131" s="8" t="s">
        <v>198</v>
      </c>
    </row>
    <row r="132" spans="1:17" ht="5.0999999999999996" customHeight="1">
      <c r="B132" s="118"/>
      <c r="C132" s="118"/>
      <c r="M132" s="121"/>
    </row>
    <row r="133" spans="1:17">
      <c r="B133" s="118" t="s">
        <v>199</v>
      </c>
      <c r="C133" s="135">
        <f>-(C130/C129)</f>
        <v>0.8570139828597203</v>
      </c>
      <c r="D133" s="135">
        <f>-(D130/D129)</f>
        <v>0.81247665296974225</v>
      </c>
      <c r="E133" s="135">
        <f>-(E130/E129)</f>
        <v>0.7756182133406333</v>
      </c>
      <c r="F133" s="135">
        <f>-(F130/F129)</f>
        <v>0.86800042341484074</v>
      </c>
      <c r="G133" s="213">
        <f>AVERAGE(D133:F133)</f>
        <v>0.81869842990840536</v>
      </c>
      <c r="H133" s="213">
        <f>G133+$C$134</f>
        <v>0.83869842990840537</v>
      </c>
      <c r="I133" s="213">
        <f t="shared" ref="I133:K133" si="57">H133+$C$134</f>
        <v>0.85869842990840539</v>
      </c>
      <c r="J133" s="213">
        <f t="shared" si="57"/>
        <v>0.87869842990840541</v>
      </c>
      <c r="K133" s="213">
        <f t="shared" si="57"/>
        <v>0.89869842990840543</v>
      </c>
      <c r="M133" s="136"/>
      <c r="N133" s="121"/>
      <c r="O133" s="137"/>
      <c r="P133" s="137"/>
      <c r="Q133" s="137"/>
    </row>
    <row r="134" spans="1:17" s="386" customFormat="1">
      <c r="B134" s="589" t="s">
        <v>566</v>
      </c>
      <c r="C134" s="590">
        <v>0.02</v>
      </c>
      <c r="D134" s="585"/>
      <c r="E134" s="585"/>
      <c r="F134" s="585"/>
      <c r="G134" s="379"/>
      <c r="H134" s="379"/>
      <c r="I134" s="379"/>
      <c r="J134" s="379"/>
      <c r="K134" s="379"/>
      <c r="M134" s="586"/>
      <c r="N134" s="587"/>
      <c r="O134" s="588"/>
      <c r="P134" s="588"/>
      <c r="Q134" s="588"/>
    </row>
    <row r="135" spans="1:17">
      <c r="B135" s="118"/>
      <c r="C135" s="118"/>
      <c r="D135" s="135"/>
      <c r="E135" s="135"/>
      <c r="F135" s="135"/>
      <c r="G135" s="122"/>
      <c r="H135" s="122"/>
      <c r="I135" s="122"/>
      <c r="J135" s="122"/>
      <c r="K135" s="122"/>
      <c r="O135" s="137"/>
      <c r="P135" s="137"/>
      <c r="Q135" s="137"/>
    </row>
    <row r="136" spans="1:17">
      <c r="A136" s="370" t="s">
        <v>25</v>
      </c>
      <c r="B136" s="138" t="s">
        <v>518</v>
      </c>
      <c r="C136" s="138"/>
      <c r="D136" s="139"/>
      <c r="E136" s="139"/>
      <c r="F136" s="139"/>
      <c r="G136" s="140"/>
      <c r="H136" s="140"/>
      <c r="I136" s="140"/>
      <c r="J136" s="140"/>
      <c r="K136" s="140"/>
      <c r="O136" s="137"/>
      <c r="P136" s="137"/>
      <c r="Q136" s="137"/>
    </row>
    <row r="137" spans="1:17">
      <c r="B137" s="118" t="s">
        <v>280</v>
      </c>
      <c r="C137" s="74">
        <f t="shared" ref="C137" si="58">C139+C130</f>
        <v>20784</v>
      </c>
      <c r="D137" s="74">
        <f>D139+D130</f>
        <v>19804</v>
      </c>
      <c r="E137" s="74">
        <f>E139+E130</f>
        <v>20019</v>
      </c>
      <c r="F137" s="74">
        <f>F139+F130</f>
        <v>19645</v>
      </c>
      <c r="G137" s="212">
        <f>G138*G18</f>
        <v>20505.66432054398</v>
      </c>
      <c r="H137" s="212">
        <f>H138*H18</f>
        <v>21661.416163440794</v>
      </c>
      <c r="I137" s="212">
        <f>I138*I18</f>
        <v>22889.734893915098</v>
      </c>
      <c r="J137" s="212">
        <f>J138*J18</f>
        <v>23802.020665522265</v>
      </c>
      <c r="K137" s="212">
        <f>K138*K18</f>
        <v>24750.666199832416</v>
      </c>
      <c r="M137" s="8" t="s">
        <v>200</v>
      </c>
      <c r="O137" s="137"/>
      <c r="P137" s="137"/>
      <c r="Q137" s="137"/>
    </row>
    <row r="138" spans="1:17">
      <c r="B138" s="68" t="s">
        <v>201</v>
      </c>
      <c r="C138" s="141">
        <f>C137/C18</f>
        <v>0.10826522479723712</v>
      </c>
      <c r="D138" s="141">
        <f>D137/D18</f>
        <v>9.6374988442203713E-2</v>
      </c>
      <c r="E138" s="141">
        <f>E137/E18</f>
        <v>9.9804071132648331E-2</v>
      </c>
      <c r="F138" s="141">
        <f>F137/F18</f>
        <v>9.7647415537098062E-2</v>
      </c>
      <c r="G138" s="213">
        <f>F138</f>
        <v>9.7647415537098062E-2</v>
      </c>
      <c r="H138" s="213">
        <f>G138</f>
        <v>9.7647415537098062E-2</v>
      </c>
      <c r="I138" s="213">
        <f>H138</f>
        <v>9.7647415537098062E-2</v>
      </c>
      <c r="J138" s="213">
        <f>I138</f>
        <v>9.7647415537098062E-2</v>
      </c>
      <c r="K138" s="213">
        <f>J138</f>
        <v>9.7647415537098062E-2</v>
      </c>
      <c r="M138" s="8" t="s">
        <v>202</v>
      </c>
    </row>
    <row r="139" spans="1:17">
      <c r="B139" s="119" t="s">
        <v>203</v>
      </c>
      <c r="C139" s="50">
        <f>C44</f>
        <v>11284</v>
      </c>
      <c r="D139" s="50">
        <f>D44</f>
        <v>11104</v>
      </c>
      <c r="E139" s="50">
        <f>E44</f>
        <v>11519</v>
      </c>
      <c r="F139" s="50">
        <f>F44</f>
        <v>11445</v>
      </c>
      <c r="G139" s="214">
        <f>-G130+G137</f>
        <v>12394.818975441409</v>
      </c>
      <c r="H139" s="214">
        <f>-H130+H137</f>
        <v>11867.095898970436</v>
      </c>
      <c r="I139" s="214">
        <f>-I130+I137</f>
        <v>13419.149910455295</v>
      </c>
      <c r="J139" s="214">
        <f>-J130+J137</f>
        <v>13551.124782210807</v>
      </c>
      <c r="K139" s="214">
        <f>-K130+K137</f>
        <v>13153.861660294353</v>
      </c>
      <c r="M139" s="8" t="s">
        <v>204</v>
      </c>
    </row>
    <row r="140" spans="1:17">
      <c r="B140" s="118"/>
      <c r="C140" s="118"/>
      <c r="D140" s="74"/>
      <c r="E140" s="74"/>
      <c r="F140" s="74"/>
      <c r="H140" s="74"/>
      <c r="I140" s="74"/>
      <c r="J140" s="74"/>
      <c r="K140" s="74"/>
    </row>
    <row r="141" spans="1:17">
      <c r="A141" s="370" t="s">
        <v>25</v>
      </c>
      <c r="B141" s="142" t="s">
        <v>205</v>
      </c>
      <c r="C141" s="142"/>
      <c r="D141" s="109"/>
      <c r="E141" s="109"/>
      <c r="F141" s="109"/>
      <c r="H141" s="74"/>
      <c r="I141" s="74"/>
      <c r="J141" s="74"/>
      <c r="K141" s="74"/>
    </row>
    <row r="142" spans="1:17">
      <c r="B142" s="118" t="s">
        <v>191</v>
      </c>
      <c r="C142" s="118"/>
      <c r="D142" s="143"/>
      <c r="E142" s="143"/>
      <c r="F142" s="143"/>
      <c r="G142" s="210">
        <f>F145</f>
        <v>74834</v>
      </c>
      <c r="H142" s="210">
        <f>G145</f>
        <v>79441.141856867049</v>
      </c>
      <c r="I142" s="210">
        <f>H145</f>
        <v>84431.780467172561</v>
      </c>
      <c r="J142" s="210">
        <f>I145</f>
        <v>90257.317273766952</v>
      </c>
      <c r="K142" s="210">
        <f>J145</f>
        <v>95049.534209398771</v>
      </c>
      <c r="M142" s="8" t="s">
        <v>192</v>
      </c>
    </row>
    <row r="143" spans="1:17">
      <c r="B143" s="68" t="s">
        <v>206</v>
      </c>
      <c r="C143" s="68"/>
      <c r="D143" s="74"/>
      <c r="E143" s="74"/>
      <c r="F143" s="74"/>
      <c r="G143" s="207">
        <f>-(G137)</f>
        <v>-20505.66432054398</v>
      </c>
      <c r="H143" s="207">
        <f>-(H137)</f>
        <v>-21661.416163440794</v>
      </c>
      <c r="I143" s="207">
        <f>-(I137)</f>
        <v>-22889.734893915098</v>
      </c>
      <c r="J143" s="207">
        <f>-(J137)</f>
        <v>-23802.020665522265</v>
      </c>
      <c r="K143" s="207">
        <f>-(K137)</f>
        <v>-24750.666199832416</v>
      </c>
      <c r="M143" s="8" t="s">
        <v>207</v>
      </c>
    </row>
    <row r="144" spans="1:17">
      <c r="B144" s="144" t="s">
        <v>208</v>
      </c>
      <c r="C144" s="144"/>
      <c r="D144" s="146"/>
      <c r="E144" s="146"/>
      <c r="F144" s="146"/>
      <c r="G144" s="211">
        <f>G145-G143-G142</f>
        <v>25112.806177411025</v>
      </c>
      <c r="H144" s="211">
        <f>H145-H143-H142</f>
        <v>26652.054773746306</v>
      </c>
      <c r="I144" s="211">
        <f>I145-I143-I142</f>
        <v>28715.271700509489</v>
      </c>
      <c r="J144" s="211">
        <f>J145-J143-J142</f>
        <v>28594.237601154091</v>
      </c>
      <c r="K144" s="211">
        <f>K145-K143-K142</f>
        <v>30546.989216561415</v>
      </c>
      <c r="M144" s="8" t="s">
        <v>209</v>
      </c>
    </row>
    <row r="145" spans="1:17">
      <c r="B145" s="134" t="s">
        <v>197</v>
      </c>
      <c r="C145" s="50"/>
      <c r="D145" s="50">
        <f>D78</f>
        <v>54428</v>
      </c>
      <c r="E145" s="50">
        <f>E78</f>
        <v>64758</v>
      </c>
      <c r="F145" s="50">
        <f>F78</f>
        <v>74834</v>
      </c>
      <c r="G145" s="50">
        <f>G78</f>
        <v>79441.141856867049</v>
      </c>
      <c r="H145" s="50">
        <f>H78</f>
        <v>84431.780467172561</v>
      </c>
      <c r="I145" s="50">
        <f>I78</f>
        <v>90257.317273766952</v>
      </c>
      <c r="J145" s="50">
        <f>J78</f>
        <v>95049.534209398771</v>
      </c>
      <c r="K145" s="50">
        <f>K78</f>
        <v>100845.85722612777</v>
      </c>
      <c r="M145" s="8" t="s">
        <v>210</v>
      </c>
    </row>
    <row r="146" spans="1:17">
      <c r="B146" s="68"/>
      <c r="C146" s="68"/>
      <c r="E146" s="74"/>
      <c r="F146" s="74"/>
      <c r="H146" s="74"/>
      <c r="I146" s="74"/>
      <c r="J146" s="74"/>
      <c r="K146" s="74"/>
    </row>
    <row r="147" spans="1:17">
      <c r="A147" s="370" t="s">
        <v>25</v>
      </c>
      <c r="B147" s="147" t="s">
        <v>211</v>
      </c>
      <c r="C147" s="147"/>
      <c r="D147" s="142"/>
      <c r="E147" s="142"/>
      <c r="F147" s="142"/>
      <c r="G147" s="109"/>
      <c r="H147" s="109"/>
      <c r="I147" s="109"/>
      <c r="J147" s="109"/>
      <c r="K147" s="109"/>
    </row>
    <row r="148" spans="1:17">
      <c r="B148" s="118" t="s">
        <v>191</v>
      </c>
      <c r="C148" s="118"/>
      <c r="D148" s="74"/>
      <c r="E148" s="74"/>
      <c r="F148" s="74"/>
      <c r="G148" s="207">
        <f>F152</f>
        <v>-19154</v>
      </c>
      <c r="H148" s="207">
        <f ca="1">G152</f>
        <v>-6472.6395936682529</v>
      </c>
      <c r="I148" s="207">
        <f ca="1">H152</f>
        <v>14195.109494990611</v>
      </c>
      <c r="J148" s="207">
        <f ca="1">I152</f>
        <v>44783.39779505023</v>
      </c>
      <c r="K148" s="207">
        <f ca="1">J152</f>
        <v>85050.257796229329</v>
      </c>
      <c r="M148" s="8" t="s">
        <v>192</v>
      </c>
    </row>
    <row r="149" spans="1:17">
      <c r="B149" s="68" t="s">
        <v>212</v>
      </c>
      <c r="C149" s="116"/>
      <c r="D149" s="116"/>
      <c r="E149" s="116"/>
      <c r="F149" s="116">
        <f>F41</f>
        <v>93736.315102228706</v>
      </c>
      <c r="G149" s="207">
        <f ca="1">G41</f>
        <v>128516.88978186487</v>
      </c>
      <c r="H149" s="207">
        <f ca="1">H41</f>
        <v>138053.10084876925</v>
      </c>
      <c r="I149" s="207">
        <f ca="1">I41</f>
        <v>149898.79977233484</v>
      </c>
      <c r="J149" s="207">
        <f ca="1">J41</f>
        <v>161455.57546148764</v>
      </c>
      <c r="K149" s="207">
        <f ca="1">K41</f>
        <v>174057.43624954295</v>
      </c>
      <c r="M149" s="8" t="s">
        <v>213</v>
      </c>
    </row>
    <row r="150" spans="1:17">
      <c r="B150" s="68" t="s">
        <v>214</v>
      </c>
      <c r="C150" s="176"/>
      <c r="D150" s="176"/>
      <c r="E150" s="176"/>
      <c r="F150" s="176">
        <f>FCF!G43</f>
        <v>-15234</v>
      </c>
      <c r="G150" s="207">
        <f ca="1">G149*F150/F149</f>
        <v>-20886.529375533129</v>
      </c>
      <c r="H150" s="207">
        <f t="shared" ref="H150:K150" ca="1" si="59">H149*G150/G149</f>
        <v>-22436.351760110385</v>
      </c>
      <c r="I150" s="207">
        <f t="shared" ca="1" si="59"/>
        <v>-24361.511472275211</v>
      </c>
      <c r="J150" s="207">
        <f t="shared" ca="1" si="59"/>
        <v>-26239.715460308529</v>
      </c>
      <c r="K150" s="207">
        <f t="shared" ca="1" si="59"/>
        <v>-28287.76638951206</v>
      </c>
      <c r="M150" s="8" t="s">
        <v>215</v>
      </c>
    </row>
    <row r="151" spans="1:17">
      <c r="B151" s="144" t="s">
        <v>216</v>
      </c>
      <c r="C151" s="176"/>
      <c r="D151" s="176"/>
      <c r="E151" s="176"/>
      <c r="F151" s="176">
        <f>'Historical Financials'!K109</f>
        <v>-94949</v>
      </c>
      <c r="G151" s="216">
        <f>F151</f>
        <v>-94949</v>
      </c>
      <c r="H151" s="216">
        <f t="shared" ref="H151:K151" si="60">G151</f>
        <v>-94949</v>
      </c>
      <c r="I151" s="216">
        <f t="shared" si="60"/>
        <v>-94949</v>
      </c>
      <c r="J151" s="216">
        <f t="shared" si="60"/>
        <v>-94949</v>
      </c>
      <c r="K151" s="216">
        <f t="shared" si="60"/>
        <v>-94949</v>
      </c>
      <c r="M151" s="8" t="s">
        <v>217</v>
      </c>
    </row>
    <row r="152" spans="1:17">
      <c r="B152" s="134" t="s">
        <v>197</v>
      </c>
      <c r="C152" s="202"/>
      <c r="D152" s="206"/>
      <c r="E152" s="206"/>
      <c r="F152" s="206">
        <f>F90</f>
        <v>-19154</v>
      </c>
      <c r="G152" s="50">
        <f ca="1">SUM(G148:G151)</f>
        <v>-6472.6395936682529</v>
      </c>
      <c r="H152" s="50">
        <f ca="1">SUM(H148:H151)</f>
        <v>14195.109494990611</v>
      </c>
      <c r="I152" s="50">
        <f ca="1">SUM(I148:I151)</f>
        <v>44783.39779505023</v>
      </c>
      <c r="J152" s="50">
        <f ca="1">SUM(J148:J151)</f>
        <v>85050.257796229329</v>
      </c>
      <c r="K152" s="50">
        <f ca="1">SUM(K148:K151)</f>
        <v>135870.92765626023</v>
      </c>
      <c r="M152" s="8" t="s">
        <v>218</v>
      </c>
    </row>
    <row r="153" spans="1:17">
      <c r="E153" s="128"/>
      <c r="F153" s="128"/>
    </row>
    <row r="154" spans="1:17">
      <c r="A154" s="370" t="s">
        <v>25</v>
      </c>
      <c r="B154" s="108" t="s">
        <v>219</v>
      </c>
      <c r="C154" s="108"/>
      <c r="D154" s="109"/>
      <c r="E154" s="109"/>
      <c r="F154" s="109"/>
      <c r="G154" s="109"/>
      <c r="H154" s="109"/>
      <c r="I154" s="109"/>
      <c r="J154" s="109"/>
      <c r="K154" s="109"/>
      <c r="O154" s="137"/>
      <c r="P154" s="137"/>
    </row>
    <row r="155" spans="1:17" hidden="1">
      <c r="B155" s="124" t="str">
        <f>B15</f>
        <v xml:space="preserve">Fiscal year  </v>
      </c>
      <c r="C155" s="124"/>
      <c r="D155" s="125">
        <f>D15</f>
        <v>2022</v>
      </c>
      <c r="E155" s="125">
        <f>E15</f>
        <v>2023</v>
      </c>
      <c r="F155" s="125">
        <f>F15</f>
        <v>2024</v>
      </c>
      <c r="G155" s="126">
        <f>G15</f>
        <v>2025</v>
      </c>
      <c r="H155" s="126">
        <f>H15</f>
        <v>2026</v>
      </c>
      <c r="I155" s="126">
        <f>I15</f>
        <v>2027</v>
      </c>
      <c r="J155" s="126">
        <f>J15</f>
        <v>2028</v>
      </c>
      <c r="K155" s="126">
        <f>K15</f>
        <v>2029</v>
      </c>
      <c r="O155" s="137"/>
      <c r="P155" s="137"/>
    </row>
    <row r="156" spans="1:17" hidden="1">
      <c r="B156" s="109" t="str">
        <f>B16</f>
        <v>Fiscal year end date</v>
      </c>
      <c r="C156" s="109"/>
      <c r="D156" s="127">
        <f>D16</f>
        <v>44834</v>
      </c>
      <c r="E156" s="127">
        <f>E16</f>
        <v>45199</v>
      </c>
      <c r="F156" s="127">
        <f>F16</f>
        <v>45559</v>
      </c>
      <c r="G156" s="127">
        <f>G16</f>
        <v>45930</v>
      </c>
      <c r="H156" s="127">
        <f>H16</f>
        <v>46295</v>
      </c>
      <c r="I156" s="127">
        <f>I16</f>
        <v>46660</v>
      </c>
      <c r="J156" s="127">
        <f>J16</f>
        <v>47026</v>
      </c>
      <c r="K156" s="127">
        <f>K16</f>
        <v>47391</v>
      </c>
      <c r="O156" s="137"/>
      <c r="P156" s="137"/>
    </row>
    <row r="157" spans="1:17" hidden="1">
      <c r="B157" s="40"/>
      <c r="C157" s="40"/>
      <c r="O157" s="137"/>
      <c r="P157" s="137"/>
    </row>
    <row r="158" spans="1:17">
      <c r="B158" s="121" t="s">
        <v>220</v>
      </c>
      <c r="C158" s="121"/>
      <c r="O158" s="137"/>
      <c r="P158" s="137"/>
      <c r="Q158" s="137"/>
    </row>
    <row r="159" spans="1:17">
      <c r="B159" s="68" t="s">
        <v>221</v>
      </c>
      <c r="C159" s="68"/>
      <c r="G159" s="207">
        <f>F73</f>
        <v>156650</v>
      </c>
      <c r="H159" s="207">
        <f ca="1">G73</f>
        <v>187881.72177699316</v>
      </c>
      <c r="I159" s="207">
        <f ca="1">H73</f>
        <v>226478.14034603329</v>
      </c>
      <c r="J159" s="207">
        <f ca="1">I73</f>
        <v>275528.92903114029</v>
      </c>
      <c r="K159" s="207">
        <f ca="1">J73</f>
        <v>335060.27417911385</v>
      </c>
      <c r="M159" s="8" t="s">
        <v>222</v>
      </c>
      <c r="O159" s="137"/>
      <c r="P159" s="137"/>
    </row>
    <row r="160" spans="1:17">
      <c r="B160" s="68" t="s">
        <v>223</v>
      </c>
      <c r="C160" s="68"/>
      <c r="G160" s="215">
        <v>-50000</v>
      </c>
      <c r="H160" s="215">
        <v>-50000</v>
      </c>
      <c r="I160" s="215">
        <v>-50000</v>
      </c>
      <c r="J160" s="215">
        <v>-50000</v>
      </c>
      <c r="K160" s="215">
        <v>-50000</v>
      </c>
      <c r="M160" s="8" t="s">
        <v>224</v>
      </c>
      <c r="O160" s="137"/>
      <c r="P160" s="137"/>
    </row>
    <row r="161" spans="1:19">
      <c r="B161" s="144" t="s">
        <v>225</v>
      </c>
      <c r="C161" s="144"/>
      <c r="D161" s="145"/>
      <c r="E161" s="145"/>
      <c r="F161" s="145"/>
      <c r="G161" s="216">
        <f ca="1">SUM(G106,G109,G111,G113,G114)</f>
        <v>29198.721776993167</v>
      </c>
      <c r="H161" s="216">
        <f ca="1">SUM(H106,H109,H111,H113,H114)</f>
        <v>38596.418569040135</v>
      </c>
      <c r="I161" s="216">
        <f ca="1">SUM(I106,I109,I111,I113,I114)</f>
        <v>49050.788685107</v>
      </c>
      <c r="J161" s="216">
        <f ca="1">SUM(J106,J109,J111,J113,J114)</f>
        <v>59531.345147973574</v>
      </c>
      <c r="K161" s="216">
        <f ca="1">SUM(K106,K109,K111,K113,K114)</f>
        <v>71414.548757777942</v>
      </c>
      <c r="M161" s="8" t="s">
        <v>281</v>
      </c>
    </row>
    <row r="162" spans="1:19">
      <c r="B162" s="134" t="s">
        <v>226</v>
      </c>
      <c r="C162" s="134"/>
      <c r="G162" s="50">
        <f ca="1">SUM(G159:G161)</f>
        <v>135848.72177699316</v>
      </c>
      <c r="H162" s="50">
        <f ca="1">SUM(H159:H161)</f>
        <v>176478.14034603329</v>
      </c>
      <c r="I162" s="50">
        <f ca="1">SUM(I159:I161)</f>
        <v>225528.92903114029</v>
      </c>
      <c r="J162" s="50">
        <f ca="1">SUM(J159:J161)</f>
        <v>285060.27417911385</v>
      </c>
      <c r="K162" s="50">
        <f ca="1">SUM(K159:K161)</f>
        <v>356474.82293689181</v>
      </c>
    </row>
    <row r="164" spans="1:19">
      <c r="B164" s="40" t="s">
        <v>227</v>
      </c>
      <c r="C164" s="40"/>
    </row>
    <row r="165" spans="1:19">
      <c r="B165" s="68" t="s">
        <v>191</v>
      </c>
      <c r="C165" s="68"/>
      <c r="G165" s="207">
        <f>F168</f>
        <v>9967</v>
      </c>
      <c r="H165" s="207">
        <f ca="1">G168</f>
        <v>12000</v>
      </c>
      <c r="I165" s="207">
        <f ca="1">H168</f>
        <v>12000</v>
      </c>
      <c r="J165" s="207">
        <f ca="1">I168</f>
        <v>12000</v>
      </c>
      <c r="K165" s="207">
        <f ca="1">J168</f>
        <v>12000</v>
      </c>
      <c r="M165" s="8" t="s">
        <v>192</v>
      </c>
    </row>
    <row r="166" spans="1:19">
      <c r="B166" s="130" t="s">
        <v>228</v>
      </c>
      <c r="C166" s="130"/>
      <c r="G166" s="207">
        <f ca="1">-MIN(G162,G165)</f>
        <v>-9967</v>
      </c>
      <c r="H166" s="207">
        <f ca="1">-MIN(H162,H165)</f>
        <v>-12000</v>
      </c>
      <c r="I166" s="207">
        <f ca="1">-MIN(I162,I165)</f>
        <v>-12000</v>
      </c>
      <c r="J166" s="207">
        <f ca="1">-MIN(J162,J165)</f>
        <v>-12000</v>
      </c>
      <c r="K166" s="207">
        <f ca="1">-MIN(K162,K165)</f>
        <v>-12000</v>
      </c>
      <c r="M166" s="8" t="s">
        <v>229</v>
      </c>
    </row>
    <row r="167" spans="1:19">
      <c r="B167" s="131" t="s">
        <v>230</v>
      </c>
      <c r="C167" s="131"/>
      <c r="D167" s="145"/>
      <c r="E167" s="145"/>
      <c r="F167" s="145"/>
      <c r="G167" s="217">
        <v>12000</v>
      </c>
      <c r="H167" s="217">
        <v>12000</v>
      </c>
      <c r="I167" s="217">
        <v>12000</v>
      </c>
      <c r="J167" s="217">
        <v>12000</v>
      </c>
      <c r="K167" s="217">
        <v>12000</v>
      </c>
      <c r="M167" s="8" t="s">
        <v>224</v>
      </c>
    </row>
    <row r="168" spans="1:19">
      <c r="B168" s="68" t="s">
        <v>197</v>
      </c>
      <c r="C168" s="133"/>
      <c r="D168" s="133">
        <f>D84</f>
        <v>9982</v>
      </c>
      <c r="E168" s="133">
        <f>E84</f>
        <v>5985</v>
      </c>
      <c r="F168" s="133">
        <f>F84</f>
        <v>9967</v>
      </c>
      <c r="G168" s="148">
        <f ca="1">SUM(G165:G167)</f>
        <v>12000</v>
      </c>
      <c r="H168" s="148">
        <f ca="1">SUM(H165:H167)</f>
        <v>12000</v>
      </c>
      <c r="I168" s="148">
        <f ca="1">SUM(I165:I167)</f>
        <v>12000</v>
      </c>
      <c r="J168" s="148">
        <f ca="1">SUM(J165:J167)</f>
        <v>12000</v>
      </c>
      <c r="K168" s="148">
        <f ca="1">SUM(K165:K167)</f>
        <v>12000</v>
      </c>
    </row>
    <row r="169" spans="1:19">
      <c r="B169" s="102" t="s">
        <v>231</v>
      </c>
      <c r="C169" s="103"/>
      <c r="D169" s="149"/>
      <c r="E169" s="149"/>
      <c r="F169" s="150"/>
      <c r="G169" s="151" t="str">
        <f ca="1">IF(G168&lt;0,"Negative Debt","OK")</f>
        <v>OK</v>
      </c>
      <c r="H169" s="151" t="str">
        <f ca="1">IF(H168&lt;0,"Negative Debt","OK")</f>
        <v>OK</v>
      </c>
      <c r="I169" s="151" t="str">
        <f ca="1">IF(I168&lt;0,"Negative Debt","OK")</f>
        <v>OK</v>
      </c>
      <c r="J169" s="151" t="str">
        <f ca="1">IF(J168&lt;0,"Negative Debt","OK")</f>
        <v>OK</v>
      </c>
      <c r="K169" s="151" t="str">
        <f ca="1">IF(K168&lt;0,"Negative Debt","OK")</f>
        <v>OK</v>
      </c>
      <c r="S169" s="128"/>
    </row>
    <row r="170" spans="1:19">
      <c r="D170" s="74"/>
      <c r="E170" s="74"/>
      <c r="F170" s="104"/>
      <c r="G170" s="152"/>
      <c r="H170" s="152"/>
      <c r="I170" s="152"/>
      <c r="J170" s="152"/>
      <c r="K170" s="152"/>
      <c r="S170" s="128"/>
    </row>
    <row r="171" spans="1:19">
      <c r="A171" s="370" t="s">
        <v>25</v>
      </c>
      <c r="B171" s="108" t="s">
        <v>232</v>
      </c>
      <c r="C171" s="108"/>
      <c r="D171" s="139"/>
      <c r="E171" s="139"/>
      <c r="F171" s="139"/>
      <c r="G171" s="153"/>
      <c r="H171" s="153"/>
      <c r="I171" s="153"/>
      <c r="J171" s="153"/>
      <c r="K171" s="153"/>
      <c r="R171" s="154"/>
    </row>
    <row r="172" spans="1:19" hidden="1">
      <c r="B172" s="124" t="str">
        <f>B15</f>
        <v xml:space="preserve">Fiscal year  </v>
      </c>
      <c r="C172" s="124"/>
      <c r="D172" s="125">
        <f>D15</f>
        <v>2022</v>
      </c>
      <c r="E172" s="125">
        <f>E15</f>
        <v>2023</v>
      </c>
      <c r="F172" s="125">
        <f>F15</f>
        <v>2024</v>
      </c>
      <c r="G172" s="126">
        <f>G15</f>
        <v>2025</v>
      </c>
      <c r="H172" s="126">
        <f>H15</f>
        <v>2026</v>
      </c>
      <c r="I172" s="126">
        <f>I15</f>
        <v>2027</v>
      </c>
      <c r="J172" s="126">
        <f>J15</f>
        <v>2028</v>
      </c>
      <c r="K172" s="126">
        <f>K15</f>
        <v>2029</v>
      </c>
      <c r="R172" s="154"/>
      <c r="S172" s="128"/>
    </row>
    <row r="173" spans="1:19" hidden="1">
      <c r="B173" s="109" t="str">
        <f>B16</f>
        <v>Fiscal year end date</v>
      </c>
      <c r="C173" s="109"/>
      <c r="D173" s="127">
        <f>D16</f>
        <v>44834</v>
      </c>
      <c r="E173" s="127">
        <f>E16</f>
        <v>45199</v>
      </c>
      <c r="F173" s="127">
        <f>F16</f>
        <v>45559</v>
      </c>
      <c r="G173" s="127">
        <f>G16</f>
        <v>45930</v>
      </c>
      <c r="H173" s="127">
        <f>H16</f>
        <v>46295</v>
      </c>
      <c r="I173" s="127">
        <f>I16</f>
        <v>46660</v>
      </c>
      <c r="J173" s="127">
        <f>J16</f>
        <v>47026</v>
      </c>
      <c r="K173" s="127">
        <f>K16</f>
        <v>47391</v>
      </c>
      <c r="R173" s="154"/>
    </row>
    <row r="174" spans="1:19" ht="5.0999999999999996" customHeight="1">
      <c r="B174" s="68"/>
      <c r="C174" s="68"/>
      <c r="D174" s="74"/>
      <c r="E174" s="74"/>
      <c r="F174" s="74"/>
      <c r="G174" s="155"/>
      <c r="H174" s="155"/>
      <c r="I174" s="155"/>
      <c r="J174" s="155"/>
      <c r="K174" s="155"/>
      <c r="R174" s="154"/>
    </row>
    <row r="175" spans="1:19">
      <c r="B175" s="118" t="s">
        <v>233</v>
      </c>
      <c r="C175" s="74">
        <f>-(C36)</f>
        <v>2645</v>
      </c>
      <c r="D175" s="74">
        <f>-(D36)</f>
        <v>2931</v>
      </c>
      <c r="E175" s="74">
        <f>-(E36)</f>
        <v>3933</v>
      </c>
      <c r="F175" s="74">
        <f>-(F36)</f>
        <v>515</v>
      </c>
      <c r="G175" s="207">
        <f ca="1">G180+G185</f>
        <v>2398.3917667381857</v>
      </c>
      <c r="H175" s="207">
        <f ca="1">H180+H185</f>
        <v>2449.2167667381855</v>
      </c>
      <c r="I175" s="207">
        <f ca="1">I180+I185</f>
        <v>2449.2167667381855</v>
      </c>
      <c r="J175" s="207">
        <f ca="1">J180+J185</f>
        <v>2449.2167667381855</v>
      </c>
      <c r="K175" s="207">
        <f ca="1">K180+K185</f>
        <v>2449.2167667381855</v>
      </c>
      <c r="M175" s="8" t="s">
        <v>234</v>
      </c>
      <c r="R175" s="128"/>
    </row>
    <row r="176" spans="1:19" ht="5.0999999999999996" customHeight="1">
      <c r="B176" s="156"/>
      <c r="C176" s="156"/>
      <c r="R176" s="128"/>
    </row>
    <row r="177" spans="1:18">
      <c r="B177" s="157" t="s">
        <v>235</v>
      </c>
      <c r="C177" s="157"/>
      <c r="R177" s="128"/>
    </row>
    <row r="178" spans="1:18">
      <c r="B178" s="68" t="s">
        <v>236</v>
      </c>
      <c r="C178" s="162">
        <v>5.9999999999999995E-4</v>
      </c>
      <c r="D178" s="158">
        <v>2.3099999999999999E-2</v>
      </c>
      <c r="E178" s="158">
        <v>5.28E-2</v>
      </c>
      <c r="F178" s="158">
        <v>0.05</v>
      </c>
      <c r="G178" s="218">
        <f>F178</f>
        <v>0.05</v>
      </c>
      <c r="H178" s="218">
        <f>G178</f>
        <v>0.05</v>
      </c>
      <c r="I178" s="218">
        <f>H178</f>
        <v>0.05</v>
      </c>
      <c r="J178" s="218">
        <f>I178</f>
        <v>0.05</v>
      </c>
      <c r="K178" s="218">
        <f>J178</f>
        <v>0.05</v>
      </c>
      <c r="M178" s="8" t="s">
        <v>237</v>
      </c>
    </row>
    <row r="179" spans="1:18">
      <c r="B179" s="68" t="s">
        <v>238</v>
      </c>
      <c r="C179" s="144"/>
      <c r="D179" s="133">
        <f>D84</f>
        <v>9982</v>
      </c>
      <c r="E179" s="133">
        <f>E84</f>
        <v>5985</v>
      </c>
      <c r="F179" s="133">
        <f>F84</f>
        <v>9967</v>
      </c>
      <c r="G179" s="207">
        <f ca="1">G84</f>
        <v>12000</v>
      </c>
      <c r="H179" s="207">
        <f ca="1">H84</f>
        <v>12000</v>
      </c>
      <c r="I179" s="207">
        <f ca="1">I84</f>
        <v>12000</v>
      </c>
      <c r="J179" s="207">
        <f ca="1">J84</f>
        <v>12000</v>
      </c>
      <c r="K179" s="207">
        <f ca="1">K84</f>
        <v>12000</v>
      </c>
      <c r="M179" s="8" t="s">
        <v>239</v>
      </c>
    </row>
    <row r="180" spans="1:18">
      <c r="B180" s="159" t="s">
        <v>240</v>
      </c>
      <c r="C180" s="50"/>
      <c r="D180" s="50">
        <f>AVERAGE(C179:D179)*D178</f>
        <v>230.58419999999998</v>
      </c>
      <c r="E180" s="50">
        <f>AVERAGE(D179:E179)*E178</f>
        <v>421.52879999999999</v>
      </c>
      <c r="F180" s="50">
        <f>AVERAGE(E179:F179)*F178</f>
        <v>398.8</v>
      </c>
      <c r="G180" s="160">
        <f ca="1">IF($C$8=1,AVERAGE(F179,G179)*G178,0)</f>
        <v>549.17500000000007</v>
      </c>
      <c r="H180" s="160">
        <f t="shared" ref="H180:K180" ca="1" si="61">IF($C$8=1,AVERAGE(G179,H179)*H178,0)</f>
        <v>600</v>
      </c>
      <c r="I180" s="160">
        <f t="shared" ca="1" si="61"/>
        <v>600</v>
      </c>
      <c r="J180" s="160">
        <f t="shared" ca="1" si="61"/>
        <v>600</v>
      </c>
      <c r="K180" s="160">
        <f t="shared" ca="1" si="61"/>
        <v>600</v>
      </c>
      <c r="M180" s="8" t="s">
        <v>241</v>
      </c>
    </row>
    <row r="181" spans="1:18" ht="5.0999999999999996" customHeight="1">
      <c r="B181" s="161"/>
      <c r="C181" s="161"/>
      <c r="D181" s="74"/>
      <c r="E181" s="74"/>
      <c r="F181" s="74"/>
    </row>
    <row r="182" spans="1:18">
      <c r="B182" s="157" t="s">
        <v>183</v>
      </c>
      <c r="C182" s="157"/>
      <c r="D182" s="74"/>
      <c r="E182" s="74"/>
      <c r="F182" s="74"/>
    </row>
    <row r="183" spans="1:18">
      <c r="B183" s="68" t="s">
        <v>238</v>
      </c>
      <c r="C183" s="74">
        <f>C85</f>
        <v>118719</v>
      </c>
      <c r="D183" s="74">
        <f>D85</f>
        <v>110087</v>
      </c>
      <c r="E183" s="74">
        <f>E85</f>
        <v>105103</v>
      </c>
      <c r="F183" s="74">
        <f>F85</f>
        <v>96662</v>
      </c>
      <c r="G183" s="207">
        <f>G85</f>
        <v>96662</v>
      </c>
      <c r="H183" s="207">
        <f>H85</f>
        <v>96662</v>
      </c>
      <c r="I183" s="207">
        <f>I85</f>
        <v>96662</v>
      </c>
      <c r="J183" s="207">
        <f>J85</f>
        <v>96662</v>
      </c>
      <c r="K183" s="207">
        <f>K85</f>
        <v>96662</v>
      </c>
      <c r="M183" s="8" t="s">
        <v>185</v>
      </c>
    </row>
    <row r="184" spans="1:18">
      <c r="B184" s="68" t="s">
        <v>236</v>
      </c>
      <c r="C184" s="68"/>
      <c r="D184" s="141">
        <f t="shared" ref="D184:E184" si="62">D185/AVERAGE(C183:D183)</f>
        <v>2.3604414219906823E-2</v>
      </c>
      <c r="E184" s="141">
        <f t="shared" si="62"/>
        <v>3.2636007249407503E-2</v>
      </c>
      <c r="F184" s="141">
        <f>F185/AVERAGE(E183:F183)</f>
        <v>1.1518350556340296E-3</v>
      </c>
      <c r="G184" s="219">
        <f>AVERAGE(D184:F184)</f>
        <v>1.9130752174982783E-2</v>
      </c>
      <c r="H184" s="219">
        <f>G184</f>
        <v>1.9130752174982783E-2</v>
      </c>
      <c r="I184" s="219">
        <f>H184</f>
        <v>1.9130752174982783E-2</v>
      </c>
      <c r="J184" s="219">
        <f>I184</f>
        <v>1.9130752174982783E-2</v>
      </c>
      <c r="K184" s="219">
        <f>J184</f>
        <v>1.9130752174982783E-2</v>
      </c>
      <c r="M184" s="8" t="s">
        <v>237</v>
      </c>
      <c r="R184" s="154"/>
    </row>
    <row r="185" spans="1:18">
      <c r="B185" s="209" t="s">
        <v>242</v>
      </c>
      <c r="C185" s="209"/>
      <c r="D185" s="206">
        <f t="shared" ref="D185" si="63">D175-D180</f>
        <v>2700.4158000000002</v>
      </c>
      <c r="E185" s="206">
        <f>E175-E180</f>
        <v>3511.4712</v>
      </c>
      <c r="F185" s="206">
        <f>F175-F180</f>
        <v>116.19999999999999</v>
      </c>
      <c r="G185" s="202">
        <f>G184*AVERAGE(F183:G183)</f>
        <v>1849.2167667381857</v>
      </c>
      <c r="H185" s="202">
        <f>H184*AVERAGE(G183:H183)</f>
        <v>1849.2167667381857</v>
      </c>
      <c r="I185" s="202">
        <f>I184*AVERAGE(H183:I183)</f>
        <v>1849.2167667381857</v>
      </c>
      <c r="J185" s="202">
        <f>J184*AVERAGE(I183:J183)</f>
        <v>1849.2167667381857</v>
      </c>
      <c r="K185" s="202">
        <f>K184*AVERAGE(J183:K183)</f>
        <v>1849.2167667381857</v>
      </c>
      <c r="M185" s="8" t="s">
        <v>243</v>
      </c>
    </row>
    <row r="186" spans="1:18" ht="5.0999999999999996" customHeight="1">
      <c r="E186" s="74"/>
    </row>
    <row r="187" spans="1:18">
      <c r="B187" s="156" t="s">
        <v>244</v>
      </c>
      <c r="C187" s="156"/>
      <c r="E187" s="74"/>
      <c r="F187" s="74"/>
    </row>
    <row r="188" spans="1:18">
      <c r="B188" s="68" t="s">
        <v>245</v>
      </c>
      <c r="C188" s="162">
        <v>0.01</v>
      </c>
      <c r="D188" s="158">
        <f t="shared" ref="D188:K188" si="64">C188</f>
        <v>0.01</v>
      </c>
      <c r="E188" s="158">
        <f t="shared" si="64"/>
        <v>0.01</v>
      </c>
      <c r="F188" s="158">
        <f t="shared" si="64"/>
        <v>0.01</v>
      </c>
      <c r="G188" s="220">
        <f t="shared" si="64"/>
        <v>0.01</v>
      </c>
      <c r="H188" s="220">
        <f t="shared" si="64"/>
        <v>0.01</v>
      </c>
      <c r="I188" s="220">
        <f t="shared" si="64"/>
        <v>0.01</v>
      </c>
      <c r="J188" s="220">
        <f t="shared" si="64"/>
        <v>0.01</v>
      </c>
      <c r="K188" s="220">
        <f t="shared" si="64"/>
        <v>0.01</v>
      </c>
      <c r="M188" s="8" t="s">
        <v>237</v>
      </c>
    </row>
    <row r="189" spans="1:18">
      <c r="B189" s="68" t="s">
        <v>138</v>
      </c>
      <c r="C189" s="74">
        <f>C35</f>
        <v>2843</v>
      </c>
      <c r="D189" s="74">
        <f>D35</f>
        <v>2825</v>
      </c>
      <c r="E189" s="74">
        <f>E35</f>
        <v>3750</v>
      </c>
      <c r="F189" s="74">
        <f>F35</f>
        <v>1583.29575</v>
      </c>
      <c r="G189" s="212">
        <f ca="1">IF($C$8=1,AVERAGE(F73,G73)*G188,0)</f>
        <v>1722.6586088849656</v>
      </c>
      <c r="H189" s="212">
        <f ca="1">IF($C$8=1,AVERAGE(G73,H73)*H188,0)</f>
        <v>2071.7993106151325</v>
      </c>
      <c r="I189" s="212">
        <f ca="1">IF($C$8=1,AVERAGE(H73,I73)*I188,0)</f>
        <v>2510.035346885868</v>
      </c>
      <c r="J189" s="212">
        <f ca="1">IF($C$8=1,AVERAGE(I73,J73)*J188,0)</f>
        <v>3052.9460160512713</v>
      </c>
      <c r="K189" s="212">
        <f ca="1">IF($C$8=1,AVERAGE(J73,K73)*K188,0)</f>
        <v>3707.6754855800282</v>
      </c>
      <c r="M189" s="8" t="s">
        <v>246</v>
      </c>
    </row>
    <row r="190" spans="1:18">
      <c r="B190" s="164"/>
      <c r="C190" s="164"/>
      <c r="D190" s="141"/>
      <c r="E190" s="141"/>
      <c r="F190" s="141"/>
      <c r="G190" s="141"/>
      <c r="H190" s="141"/>
    </row>
    <row r="191" spans="1:18">
      <c r="A191" s="370" t="s">
        <v>25</v>
      </c>
      <c r="B191" s="108" t="s">
        <v>247</v>
      </c>
      <c r="C191" s="108"/>
      <c r="D191" s="108"/>
      <c r="E191" s="108"/>
      <c r="F191" s="108"/>
      <c r="G191" s="108"/>
      <c r="H191" s="108"/>
      <c r="I191" s="108"/>
      <c r="J191" s="108"/>
      <c r="K191" s="108"/>
    </row>
    <row r="192" spans="1:18" hidden="1">
      <c r="B192" s="124"/>
      <c r="C192" s="125">
        <f>C15</f>
        <v>2021</v>
      </c>
      <c r="D192" s="125">
        <f>D15</f>
        <v>2022</v>
      </c>
      <c r="E192" s="125">
        <f>E15</f>
        <v>2023</v>
      </c>
      <c r="F192" s="126">
        <f>F15</f>
        <v>2024</v>
      </c>
      <c r="G192" s="126">
        <f>G15</f>
        <v>2025</v>
      </c>
      <c r="H192" s="126">
        <f>H15</f>
        <v>2026</v>
      </c>
      <c r="I192" s="126">
        <f>I15</f>
        <v>2027</v>
      </c>
      <c r="J192" s="126">
        <f>J15</f>
        <v>2028</v>
      </c>
      <c r="K192" s="126">
        <f>K15</f>
        <v>2029</v>
      </c>
    </row>
    <row r="193" spans="2:13" hidden="1">
      <c r="B193" s="109"/>
      <c r="C193" s="127">
        <f>C16</f>
        <v>44469</v>
      </c>
      <c r="D193" s="127">
        <f>D16</f>
        <v>44834</v>
      </c>
      <c r="E193" s="127">
        <f>E16</f>
        <v>45199</v>
      </c>
      <c r="F193" s="127">
        <f>F16</f>
        <v>45559</v>
      </c>
      <c r="G193" s="127">
        <f>G16</f>
        <v>45930</v>
      </c>
      <c r="H193" s="127">
        <f>H16</f>
        <v>46295</v>
      </c>
      <c r="I193" s="127">
        <f>I16</f>
        <v>46660</v>
      </c>
      <c r="J193" s="127">
        <f>J16</f>
        <v>47026</v>
      </c>
      <c r="K193" s="127">
        <f>K16</f>
        <v>47391</v>
      </c>
    </row>
    <row r="194" spans="2:13" ht="5.0999999999999996" customHeight="1">
      <c r="F194" s="123"/>
      <c r="G194" s="123"/>
      <c r="H194" s="123"/>
      <c r="I194" s="122"/>
      <c r="J194" s="122"/>
    </row>
    <row r="195" spans="2:13">
      <c r="B195" s="8" t="s">
        <v>18</v>
      </c>
      <c r="C195" s="74">
        <f>C41</f>
        <v>94680.297823775269</v>
      </c>
      <c r="D195" s="74">
        <f>D41</f>
        <v>99803.302887443962</v>
      </c>
      <c r="E195" s="74">
        <f>E41</f>
        <v>96995.298214122653</v>
      </c>
      <c r="F195" s="74">
        <f>F41</f>
        <v>93736.315102228706</v>
      </c>
      <c r="G195" s="74">
        <f ca="1">G41</f>
        <v>128516.88978186487</v>
      </c>
      <c r="H195" s="74">
        <f ca="1">H41</f>
        <v>138053.10084876925</v>
      </c>
      <c r="I195" s="74">
        <f ca="1">I41</f>
        <v>149898.79977233484</v>
      </c>
      <c r="J195" s="74">
        <f ca="1">J41</f>
        <v>161455.57546148764</v>
      </c>
      <c r="K195" s="74">
        <f ca="1">K41</f>
        <v>174057.43624954295</v>
      </c>
      <c r="M195" s="8" t="s">
        <v>248</v>
      </c>
    </row>
    <row r="196" spans="2:13">
      <c r="B196" s="8" t="s">
        <v>249</v>
      </c>
      <c r="C196" s="176">
        <f>'Historical Financials'!H33</f>
        <v>16701.272000000001</v>
      </c>
      <c r="D196" s="176">
        <f>'Historical Financials'!I33</f>
        <v>16215.963</v>
      </c>
      <c r="E196" s="176">
        <f>'Historical Financials'!J33</f>
        <v>15744.231</v>
      </c>
      <c r="F196" s="176">
        <f>'Historical Financials'!K33</f>
        <v>15343.782999999999</v>
      </c>
      <c r="G196" s="74">
        <f>F196+(-G202+G203)/G204</f>
        <v>15031.491808673902</v>
      </c>
      <c r="H196" s="74">
        <f t="shared" ref="H196:K196" ca="1" si="65">G196+(-H202+H203)/H204</f>
        <v>14743.889010538001</v>
      </c>
      <c r="I196" s="74">
        <f t="shared" ca="1" si="65"/>
        <v>14482.468945983805</v>
      </c>
      <c r="J196" s="74">
        <f t="shared" ca="1" si="65"/>
        <v>14242.019317832499</v>
      </c>
      <c r="K196" s="74">
        <f t="shared" ca="1" si="65"/>
        <v>14020.942723188811</v>
      </c>
      <c r="M196" s="8" t="s">
        <v>250</v>
      </c>
    </row>
    <row r="197" spans="2:13">
      <c r="B197" s="533" t="s">
        <v>108</v>
      </c>
      <c r="C197" s="534">
        <f t="shared" ref="C197:F197" si="66">C195/C196</f>
        <v>5.6690471135237646</v>
      </c>
      <c r="D197" s="534">
        <f t="shared" si="66"/>
        <v>6.1546331159884842</v>
      </c>
      <c r="E197" s="534">
        <f t="shared" si="66"/>
        <v>6.1606882047222662</v>
      </c>
      <c r="F197" s="534">
        <f t="shared" si="66"/>
        <v>6.1090746071049562</v>
      </c>
      <c r="G197" s="534">
        <f ca="1">G195/G196</f>
        <v>8.5498426515260704</v>
      </c>
      <c r="H197" s="534">
        <f ca="1">H195/H196</f>
        <v>9.3634115632651334</v>
      </c>
      <c r="I197" s="534">
        <f ca="1">I195/I196</f>
        <v>10.350362243580292</v>
      </c>
      <c r="J197" s="534">
        <f ca="1">J195/J196</f>
        <v>11.336564840866938</v>
      </c>
      <c r="K197" s="534">
        <f ca="1">K195/K196</f>
        <v>12.414103650938866</v>
      </c>
      <c r="M197" s="8" t="s">
        <v>251</v>
      </c>
    </row>
    <row r="198" spans="2:13">
      <c r="D198" s="115"/>
      <c r="E198" s="115"/>
      <c r="F198" s="115"/>
      <c r="G198" s="74"/>
    </row>
    <row r="199" spans="2:13">
      <c r="B199" s="8" t="s">
        <v>252</v>
      </c>
      <c r="C199" s="176">
        <f>'Historical Financials'!H36</f>
        <v>16864.919000000002</v>
      </c>
      <c r="D199" s="176">
        <f>'Historical Financials'!I36</f>
        <v>16325.819</v>
      </c>
      <c r="E199" s="176">
        <f>'Historical Financials'!J36</f>
        <v>15812.547</v>
      </c>
      <c r="F199" s="176">
        <f>'Historical Financials'!K36</f>
        <v>15408.094999999999</v>
      </c>
      <c r="G199" s="74">
        <f>G196+F199-F196</f>
        <v>15095.8038086739</v>
      </c>
      <c r="H199" s="74">
        <f t="shared" ref="H199:K199" ca="1" si="67">H196+G199-G196</f>
        <v>14808.201010538</v>
      </c>
      <c r="I199" s="74">
        <f t="shared" ca="1" si="67"/>
        <v>14546.780945983803</v>
      </c>
      <c r="J199" s="74">
        <f t="shared" ca="1" si="67"/>
        <v>14306.331317832497</v>
      </c>
      <c r="K199" s="74">
        <f t="shared" ca="1" si="67"/>
        <v>14085.254723188809</v>
      </c>
      <c r="M199" s="8" t="s">
        <v>253</v>
      </c>
    </row>
    <row r="200" spans="2:13">
      <c r="B200" s="533" t="s">
        <v>110</v>
      </c>
      <c r="C200" s="534">
        <f>C195/C199</f>
        <v>5.6140381002586057</v>
      </c>
      <c r="D200" s="534">
        <f t="shared" ref="D200:F200" si="68">D195/D199</f>
        <v>6.1132187541368657</v>
      </c>
      <c r="E200" s="534">
        <f t="shared" si="68"/>
        <v>6.1340717731382961</v>
      </c>
      <c r="F200" s="534">
        <f t="shared" si="68"/>
        <v>6.0835758802258626</v>
      </c>
      <c r="G200" s="534">
        <f ca="1">G195/G199</f>
        <v>8.513418126699575</v>
      </c>
      <c r="H200" s="534">
        <f ca="1">H195/H199</f>
        <v>9.3227462775880845</v>
      </c>
      <c r="I200" s="534">
        <f ca="1">I195/I199</f>
        <v>10.30460280724308</v>
      </c>
      <c r="J200" s="534">
        <f ca="1">J195/J199</f>
        <v>11.285602987555388</v>
      </c>
      <c r="K200" s="534">
        <f ca="1">K195/K199</f>
        <v>12.357421975691292</v>
      </c>
      <c r="M200" s="8" t="s">
        <v>254</v>
      </c>
    </row>
    <row r="201" spans="2:13">
      <c r="G201" s="165"/>
    </row>
    <row r="202" spans="2:13">
      <c r="B202" s="8" t="s">
        <v>255</v>
      </c>
      <c r="G202" s="74">
        <f>-(G113)</f>
        <v>94949</v>
      </c>
      <c r="H202" s="74">
        <f t="shared" ref="H202:K202" si="69">-(H113)</f>
        <v>94949</v>
      </c>
      <c r="I202" s="74">
        <f t="shared" si="69"/>
        <v>94949</v>
      </c>
      <c r="J202" s="74">
        <f t="shared" si="69"/>
        <v>94949</v>
      </c>
      <c r="K202" s="74">
        <f t="shared" si="69"/>
        <v>94949</v>
      </c>
      <c r="M202" s="8" t="s">
        <v>256</v>
      </c>
    </row>
    <row r="203" spans="2:13">
      <c r="B203" s="8" t="s">
        <v>257</v>
      </c>
      <c r="G203" s="116">
        <f>G48</f>
        <v>12872.629095674967</v>
      </c>
      <c r="H203" s="116">
        <f>H48</f>
        <v>13752.468599681222</v>
      </c>
      <c r="I203" s="116">
        <f>I48</f>
        <v>14811.594582575173</v>
      </c>
      <c r="J203" s="116">
        <f>J48</f>
        <v>15557.252579833057</v>
      </c>
      <c r="K203" s="116">
        <f>K48</f>
        <v>16256.461915314296</v>
      </c>
      <c r="M203" s="8" t="s">
        <v>258</v>
      </c>
    </row>
    <row r="204" spans="2:13">
      <c r="B204" s="8" t="s">
        <v>259</v>
      </c>
      <c r="G204" s="208">
        <f>C9</f>
        <v>262.82</v>
      </c>
      <c r="H204" s="165">
        <f ca="1">G204*(1+H205)</f>
        <v>282.32177129914851</v>
      </c>
      <c r="I204" s="165">
        <f ca="1">H204*(1+I205)</f>
        <v>306.54649846439327</v>
      </c>
      <c r="J204" s="165">
        <f ca="1">I204*(1+J205)</f>
        <v>330.1803709598957</v>
      </c>
      <c r="K204" s="165">
        <f ca="1">J204*(1+K205)</f>
        <v>355.95146655626655</v>
      </c>
      <c r="M204" s="8" t="s">
        <v>260</v>
      </c>
    </row>
    <row r="205" spans="2:13">
      <c r="B205" s="8" t="s">
        <v>261</v>
      </c>
      <c r="H205" s="166">
        <f ca="1">H195/G195-1</f>
        <v>7.4202006312870106E-2</v>
      </c>
      <c r="I205" s="166">
        <f t="shared" ref="I205:K205" ca="1" si="70">I195/H195-1</f>
        <v>8.5805381050745089E-2</v>
      </c>
      <c r="J205" s="166">
        <f t="shared" ca="1" si="70"/>
        <v>7.7097186279710961E-2</v>
      </c>
      <c r="K205" s="166">
        <f t="shared" ca="1" si="70"/>
        <v>7.805156775809996E-2</v>
      </c>
      <c r="M205" s="8" t="s">
        <v>262</v>
      </c>
    </row>
    <row r="206" spans="2:13">
      <c r="M206" s="121" t="s">
        <v>263</v>
      </c>
    </row>
    <row r="207" spans="2:13">
      <c r="B207" s="40" t="s">
        <v>264</v>
      </c>
      <c r="D207" s="40"/>
      <c r="E207" s="40"/>
      <c r="F207" s="167" t="s">
        <v>265</v>
      </c>
      <c r="G207" s="168">
        <f>C12</f>
        <v>4443.2650000000003</v>
      </c>
      <c r="H207" s="50">
        <f>G209</f>
        <v>4130.9738086739026</v>
      </c>
      <c r="I207" s="50">
        <f t="shared" ref="I207:K207" ca="1" si="71">H209</f>
        <v>3843.3710105380023</v>
      </c>
      <c r="J207" s="50">
        <f t="shared" ca="1" si="71"/>
        <v>3581.950945983805</v>
      </c>
      <c r="K207" s="50">
        <f t="shared" ca="1" si="71"/>
        <v>3341.5013178324998</v>
      </c>
      <c r="M207" s="8" t="s">
        <v>266</v>
      </c>
    </row>
    <row r="208" spans="2:13">
      <c r="B208" s="8" t="s">
        <v>267</v>
      </c>
      <c r="G208" s="74">
        <f>(-G202+G203)/G204</f>
        <v>-312.29119132609782</v>
      </c>
      <c r="H208" s="74">
        <f t="shared" ref="H208:K208" ca="1" si="72">(-H202+H203)/H204</f>
        <v>-287.60279813590017</v>
      </c>
      <c r="I208" s="74">
        <f t="shared" ca="1" si="72"/>
        <v>-261.42006455419732</v>
      </c>
      <c r="J208" s="74">
        <f t="shared" ca="1" si="72"/>
        <v>-240.44962815130523</v>
      </c>
      <c r="K208" s="74">
        <f t="shared" ca="1" si="72"/>
        <v>-221.07659464368714</v>
      </c>
      <c r="M208" s="8" t="s">
        <v>268</v>
      </c>
    </row>
    <row r="209" spans="1:13">
      <c r="B209" s="8" t="s">
        <v>269</v>
      </c>
      <c r="G209" s="74">
        <f>SUM(G207:G208)</f>
        <v>4130.9738086739026</v>
      </c>
      <c r="H209" s="74">
        <f t="shared" ref="H209:K209" ca="1" si="73">SUM(H207:H208)</f>
        <v>3843.3710105380023</v>
      </c>
      <c r="I209" s="74">
        <f t="shared" ca="1" si="73"/>
        <v>3581.950945983805</v>
      </c>
      <c r="J209" s="74">
        <f t="shared" ca="1" si="73"/>
        <v>3341.5013178324998</v>
      </c>
      <c r="K209" s="74">
        <f t="shared" ca="1" si="73"/>
        <v>3120.4247231888125</v>
      </c>
      <c r="M209" s="8" t="s">
        <v>270</v>
      </c>
    </row>
    <row r="210" spans="1:13">
      <c r="B210" s="40" t="s">
        <v>271</v>
      </c>
      <c r="D210" s="40"/>
      <c r="E210" s="40"/>
      <c r="F210" s="40"/>
      <c r="G210" s="50">
        <f>AVERAGE(G209,G207)</f>
        <v>4287.1194043369514</v>
      </c>
      <c r="H210" s="50">
        <f t="shared" ref="H210:K210" ca="1" si="74">AVERAGE(H209,H207)</f>
        <v>3987.1724096059525</v>
      </c>
      <c r="I210" s="50">
        <f t="shared" ca="1" si="74"/>
        <v>3712.6609782609039</v>
      </c>
      <c r="J210" s="50">
        <f t="shared" ca="1" si="74"/>
        <v>3461.7261319081526</v>
      </c>
      <c r="K210" s="50">
        <f t="shared" ca="1" si="74"/>
        <v>3230.963020510656</v>
      </c>
      <c r="M210" s="8" t="s">
        <v>272</v>
      </c>
    </row>
    <row r="211" spans="1:13">
      <c r="M211" s="121"/>
    </row>
    <row r="212" spans="1:13">
      <c r="A212" s="370" t="s">
        <v>25</v>
      </c>
      <c r="B212" s="108" t="s">
        <v>273</v>
      </c>
      <c r="C212" s="108"/>
      <c r="D212" s="108"/>
      <c r="E212" s="108"/>
      <c r="F212" s="108"/>
      <c r="G212" s="108"/>
      <c r="H212" s="108"/>
      <c r="I212" s="108"/>
      <c r="J212" s="108"/>
      <c r="K212" s="108"/>
    </row>
    <row r="213" spans="1:13" ht="5.0999999999999996" customHeight="1" thickBot="1"/>
    <row r="214" spans="1:13" ht="12.75" thickBot="1">
      <c r="B214" s="8" t="s">
        <v>274</v>
      </c>
      <c r="C214" s="169" t="str">
        <f>K6</f>
        <v>Base case</v>
      </c>
      <c r="F214" s="105" t="s">
        <v>275</v>
      </c>
      <c r="G214" s="126">
        <f>G15</f>
        <v>2025</v>
      </c>
      <c r="H214" s="126">
        <f>H15</f>
        <v>2026</v>
      </c>
      <c r="I214" s="126">
        <f>I15</f>
        <v>2027</v>
      </c>
      <c r="J214" s="126">
        <f>J15</f>
        <v>2028</v>
      </c>
      <c r="K214" s="126">
        <f>K15</f>
        <v>2029</v>
      </c>
    </row>
    <row r="215" spans="1:13">
      <c r="F215" s="106" t="s">
        <v>276</v>
      </c>
      <c r="G215" s="127">
        <f>G16</f>
        <v>45930</v>
      </c>
      <c r="H215" s="127">
        <f>H16</f>
        <v>46295</v>
      </c>
      <c r="I215" s="127">
        <f>I16</f>
        <v>46660</v>
      </c>
      <c r="J215" s="127">
        <f>J16</f>
        <v>47026</v>
      </c>
      <c r="K215" s="127">
        <f>K16</f>
        <v>47391</v>
      </c>
    </row>
    <row r="216" spans="1:13">
      <c r="B216" s="68" t="s">
        <v>152</v>
      </c>
      <c r="F216" s="170" t="str">
        <f ca="1">OFFSET(F$221,MATCH($K$6,$B$222:$B$224,0)+MATCH($B216,$B$221:$B$236,0)-1,0)</f>
        <v>NM</v>
      </c>
      <c r="G216" s="135">
        <f ca="1">OFFSET(G$221,MATCH($K$6,$B$222:$B$224,0)+MATCH($B216,$B$221:$B$236,0)-1,0)</f>
        <v>0.06</v>
      </c>
      <c r="H216" s="135">
        <f ca="1">OFFSET(H$221,MATCH($K$6,$B$222:$B$224,0)+MATCH($B216,$B$221:$B$236,0)-1,0)</f>
        <v>6.9000000000000006E-2</v>
      </c>
      <c r="I216" s="135">
        <f ca="1">OFFSET(I$221,MATCH($K$6,$B$222:$B$224,0)+MATCH($B216,$B$221:$B$236,0)-1,0)</f>
        <v>6.9000000000000006E-2</v>
      </c>
      <c r="J216" s="135">
        <f ca="1">OFFSET(J$221,MATCH($K$6,$B$222:$B$224,0)+MATCH($B216,$B$221:$B$236,0)-1,0)</f>
        <v>6.9000000000000006E-2</v>
      </c>
      <c r="K216" s="135">
        <f ca="1">OFFSET(K$221,MATCH($K$6,$B$222:$B$224,0)+MATCH($B216,$B$221:$B$236,0)-1,0)</f>
        <v>6.9000000000000006E-2</v>
      </c>
    </row>
    <row r="217" spans="1:13">
      <c r="B217" s="68" t="s">
        <v>153</v>
      </c>
      <c r="F217" s="170" t="str">
        <f ca="1">OFFSET(F$221,MATCH($K$6,$B$222:$B$224,0)+MATCH($B217,$B$221:$B$236,0)-1,0)</f>
        <v>NM</v>
      </c>
      <c r="G217" s="135">
        <f ca="1">OFFSET(G$221,MATCH($K$6,$B$222:$B$224,0)+MATCH($B217,$B$221:$B$236,0)-1,0)</f>
        <v>0.378</v>
      </c>
      <c r="H217" s="135">
        <f ca="1">OFFSET(H$221,MATCH($K$6,$B$222:$B$224,0)+MATCH($B217,$B$221:$B$236,0)-1,0)</f>
        <v>0.378</v>
      </c>
      <c r="I217" s="135">
        <f ca="1">OFFSET(I$221,MATCH($K$6,$B$222:$B$224,0)+MATCH($B217,$B$221:$B$236,0)-1,0)</f>
        <v>0.378</v>
      </c>
      <c r="J217" s="135">
        <f ca="1">OFFSET(J$221,MATCH($K$6,$B$222:$B$224,0)+MATCH($B217,$B$221:$B$236,0)-1,0)</f>
        <v>0.378</v>
      </c>
      <c r="K217" s="135">
        <f ca="1">OFFSET(K$221,MATCH($K$6,$B$222:$B$224,0)+MATCH($B217,$B$221:$B$236,0)-1,0)</f>
        <v>0.378</v>
      </c>
    </row>
    <row r="218" spans="1:13">
      <c r="B218" s="68" t="s">
        <v>154</v>
      </c>
      <c r="F218" s="170" t="str">
        <f ca="1">OFFSET(F$221,MATCH($K$6,$B$222:$B$224,0)+MATCH($B218,$B$221:$B$236,0)-1,0)</f>
        <v>NM</v>
      </c>
      <c r="G218" s="135">
        <f ca="1">OFFSET(G$221,MATCH($K$6,$B$222:$B$224,0)+MATCH($B218,$B$221:$B$236,0)-1,0)</f>
        <v>6.2E-2</v>
      </c>
      <c r="H218" s="135">
        <f ca="1">OFFSET(H$221,MATCH($K$6,$B$222:$B$224,0)+MATCH($B218,$B$221:$B$236,0)-1,0)</f>
        <v>6.2E-2</v>
      </c>
      <c r="I218" s="135">
        <f ca="1">OFFSET(I$221,MATCH($K$6,$B$222:$B$224,0)+MATCH($B218,$B$221:$B$236,0)-1,0)</f>
        <v>6.2E-2</v>
      </c>
      <c r="J218" s="135">
        <f ca="1">OFFSET(J$221,MATCH($K$6,$B$222:$B$224,0)+MATCH($B218,$B$221:$B$236,0)-1,0)</f>
        <v>6.2E-2</v>
      </c>
      <c r="K218" s="135">
        <f ca="1">OFFSET(K$221,MATCH($K$6,$B$222:$B$224,0)+MATCH($B218,$B$221:$B$236,0)-1,0)</f>
        <v>6.2E-2</v>
      </c>
    </row>
    <row r="219" spans="1:13">
      <c r="B219" s="68" t="s">
        <v>155</v>
      </c>
      <c r="F219" s="170" t="str">
        <f ca="1">OFFSET(F$221,MATCH($K$6,$B$222:$B$224,0)+MATCH($B219,$B$221:$B$236,0)-1,0)</f>
        <v>NM</v>
      </c>
      <c r="G219" s="135">
        <f ca="1">OFFSET(G$221,MATCH($K$6,$B$222:$B$224,0)+MATCH($B219,$B$221:$B$236,0)-1,0)</f>
        <v>7.0000000000000007E-2</v>
      </c>
      <c r="H219" s="135">
        <f ca="1">OFFSET(H$221,MATCH($K$6,$B$222:$B$224,0)+MATCH($B219,$B$221:$B$236,0)-1,0)</f>
        <v>7.0000000000000007E-2</v>
      </c>
      <c r="I219" s="135">
        <f ca="1">OFFSET(I$221,MATCH($K$6,$B$222:$B$224,0)+MATCH($B219,$B$221:$B$236,0)-1,0)</f>
        <v>7.0000000000000007E-2</v>
      </c>
      <c r="J219" s="135">
        <f ca="1">OFFSET(J$221,MATCH($K$6,$B$222:$B$224,0)+MATCH($B219,$B$221:$B$236,0)-1,0)</f>
        <v>7.0000000000000007E-2</v>
      </c>
      <c r="K219" s="135">
        <f ca="1">OFFSET(K$221,MATCH($K$6,$B$222:$B$224,0)+MATCH($B219,$B$221:$B$236,0)-1,0)</f>
        <v>7.0000000000000007E-2</v>
      </c>
    </row>
    <row r="220" spans="1:13">
      <c r="F220" s="171"/>
    </row>
    <row r="221" spans="1:13">
      <c r="B221" s="134" t="s">
        <v>152</v>
      </c>
      <c r="F221" s="171"/>
    </row>
    <row r="222" spans="1:13">
      <c r="B222" s="161" t="s">
        <v>277</v>
      </c>
      <c r="F222" s="172">
        <v>2.5000000000000001E-2</v>
      </c>
      <c r="G222" s="122">
        <f>G223+$F$222</f>
        <v>8.4999999999999992E-2</v>
      </c>
      <c r="H222" s="122">
        <f t="shared" ref="H222:K222" si="75">H223+$F$222</f>
        <v>9.4E-2</v>
      </c>
      <c r="I222" s="122">
        <f t="shared" si="75"/>
        <v>9.4E-2</v>
      </c>
      <c r="J222" s="122">
        <f t="shared" si="75"/>
        <v>9.4E-2</v>
      </c>
      <c r="K222" s="122">
        <f t="shared" si="75"/>
        <v>9.4E-2</v>
      </c>
    </row>
    <row r="223" spans="1:13">
      <c r="B223" s="161" t="s">
        <v>121</v>
      </c>
      <c r="F223" s="173" t="s">
        <v>278</v>
      </c>
      <c r="G223" s="123">
        <v>0.06</v>
      </c>
      <c r="H223" s="123">
        <v>6.9000000000000006E-2</v>
      </c>
      <c r="I223" s="123">
        <f t="shared" ref="I223:K223" si="76">H223</f>
        <v>6.9000000000000006E-2</v>
      </c>
      <c r="J223" s="123">
        <f t="shared" si="76"/>
        <v>6.9000000000000006E-2</v>
      </c>
      <c r="K223" s="123">
        <f t="shared" si="76"/>
        <v>6.9000000000000006E-2</v>
      </c>
    </row>
    <row r="224" spans="1:13">
      <c r="B224" s="161" t="s">
        <v>279</v>
      </c>
      <c r="F224" s="172">
        <v>-2.5000000000000001E-2</v>
      </c>
      <c r="G224" s="122">
        <f>G223+$F$224</f>
        <v>3.4999999999999996E-2</v>
      </c>
      <c r="H224" s="122">
        <f t="shared" ref="H224:K224" si="77">H223+$F$224</f>
        <v>4.4000000000000004E-2</v>
      </c>
      <c r="I224" s="122">
        <f t="shared" si="77"/>
        <v>4.4000000000000004E-2</v>
      </c>
      <c r="J224" s="122">
        <f t="shared" si="77"/>
        <v>4.4000000000000004E-2</v>
      </c>
      <c r="K224" s="122">
        <f t="shared" si="77"/>
        <v>4.4000000000000004E-2</v>
      </c>
    </row>
    <row r="225" spans="2:11">
      <c r="B225" s="134" t="s">
        <v>153</v>
      </c>
      <c r="F225" s="173"/>
      <c r="G225" s="123"/>
      <c r="H225" s="123"/>
      <c r="I225" s="123"/>
      <c r="J225" s="123"/>
      <c r="K225" s="123"/>
    </row>
    <row r="226" spans="2:11">
      <c r="B226" s="161" t="s">
        <v>277</v>
      </c>
      <c r="F226" s="172">
        <v>0.01</v>
      </c>
      <c r="G226" s="122">
        <f>G227+$F$226</f>
        <v>0.38800000000000001</v>
      </c>
      <c r="H226" s="122">
        <f t="shared" ref="H226:K226" si="78">H227+$F$226</f>
        <v>0.38800000000000001</v>
      </c>
      <c r="I226" s="122">
        <f t="shared" si="78"/>
        <v>0.38800000000000001</v>
      </c>
      <c r="J226" s="122">
        <f t="shared" si="78"/>
        <v>0.38800000000000001</v>
      </c>
      <c r="K226" s="122">
        <f t="shared" si="78"/>
        <v>0.38800000000000001</v>
      </c>
    </row>
    <row r="227" spans="2:11">
      <c r="B227" s="161" t="s">
        <v>121</v>
      </c>
      <c r="F227" s="173" t="s">
        <v>278</v>
      </c>
      <c r="G227" s="123">
        <v>0.378</v>
      </c>
      <c r="H227" s="123">
        <v>0.378</v>
      </c>
      <c r="I227" s="123">
        <v>0.378</v>
      </c>
      <c r="J227" s="123">
        <v>0.378</v>
      </c>
      <c r="K227" s="123">
        <v>0.378</v>
      </c>
    </row>
    <row r="228" spans="2:11">
      <c r="B228" s="161" t="s">
        <v>279</v>
      </c>
      <c r="F228" s="172">
        <v>-0.01</v>
      </c>
      <c r="G228" s="122">
        <f>G227+$F$228</f>
        <v>0.36799999999999999</v>
      </c>
      <c r="H228" s="122">
        <f t="shared" ref="H228:K228" si="79">H227+$F$228</f>
        <v>0.36799999999999999</v>
      </c>
      <c r="I228" s="122">
        <f t="shared" si="79"/>
        <v>0.36799999999999999</v>
      </c>
      <c r="J228" s="122">
        <f t="shared" si="79"/>
        <v>0.36799999999999999</v>
      </c>
      <c r="K228" s="122">
        <f t="shared" si="79"/>
        <v>0.36799999999999999</v>
      </c>
    </row>
    <row r="229" spans="2:11">
      <c r="B229" s="134" t="s">
        <v>154</v>
      </c>
      <c r="F229" s="173"/>
      <c r="G229" s="174"/>
      <c r="H229" s="174"/>
      <c r="I229" s="174"/>
      <c r="J229" s="174"/>
      <c r="K229" s="174"/>
    </row>
    <row r="230" spans="2:11">
      <c r="B230" s="161" t="s">
        <v>277</v>
      </c>
      <c r="F230" s="172">
        <v>-0.01</v>
      </c>
      <c r="G230" s="122">
        <f>G231+$F$230</f>
        <v>5.1999999999999998E-2</v>
      </c>
      <c r="H230" s="122">
        <f t="shared" ref="H230:K230" si="80">H231+$F$230</f>
        <v>5.1999999999999998E-2</v>
      </c>
      <c r="I230" s="122">
        <f t="shared" si="80"/>
        <v>5.1999999999999998E-2</v>
      </c>
      <c r="J230" s="122">
        <f t="shared" si="80"/>
        <v>5.1999999999999998E-2</v>
      </c>
      <c r="K230" s="122">
        <f t="shared" si="80"/>
        <v>5.1999999999999998E-2</v>
      </c>
    </row>
    <row r="231" spans="2:11">
      <c r="B231" s="161" t="s">
        <v>121</v>
      </c>
      <c r="F231" s="173" t="s">
        <v>278</v>
      </c>
      <c r="G231" s="123">
        <v>6.2E-2</v>
      </c>
      <c r="H231" s="123">
        <v>6.2E-2</v>
      </c>
      <c r="I231" s="123">
        <v>6.2E-2</v>
      </c>
      <c r="J231" s="123">
        <v>6.2E-2</v>
      </c>
      <c r="K231" s="123">
        <v>6.2E-2</v>
      </c>
    </row>
    <row r="232" spans="2:11">
      <c r="B232" s="161" t="s">
        <v>279</v>
      </c>
      <c r="F232" s="172">
        <v>0.01</v>
      </c>
      <c r="G232" s="122">
        <f>G231+$F$232</f>
        <v>7.1999999999999995E-2</v>
      </c>
      <c r="H232" s="122">
        <f t="shared" ref="H232:K232" si="81">H231+$F$232</f>
        <v>7.1999999999999995E-2</v>
      </c>
      <c r="I232" s="122">
        <f t="shared" si="81"/>
        <v>7.1999999999999995E-2</v>
      </c>
      <c r="J232" s="122">
        <f t="shared" si="81"/>
        <v>7.1999999999999995E-2</v>
      </c>
      <c r="K232" s="122">
        <f t="shared" si="81"/>
        <v>7.1999999999999995E-2</v>
      </c>
    </row>
    <row r="233" spans="2:11">
      <c r="B233" s="134" t="s">
        <v>155</v>
      </c>
      <c r="F233" s="173"/>
      <c r="G233" s="174"/>
      <c r="H233" s="174"/>
      <c r="I233" s="174"/>
      <c r="J233" s="174"/>
      <c r="K233" s="174"/>
    </row>
    <row r="234" spans="2:11">
      <c r="B234" s="161" t="s">
        <v>277</v>
      </c>
      <c r="F234" s="172">
        <v>-0.01</v>
      </c>
      <c r="G234" s="122">
        <f>G235+$F$234</f>
        <v>6.0000000000000005E-2</v>
      </c>
      <c r="H234" s="122">
        <f t="shared" ref="H234:K234" si="82">H235+$F$234</f>
        <v>6.0000000000000005E-2</v>
      </c>
      <c r="I234" s="122">
        <f t="shared" si="82"/>
        <v>6.0000000000000005E-2</v>
      </c>
      <c r="J234" s="122">
        <f t="shared" si="82"/>
        <v>6.0000000000000005E-2</v>
      </c>
      <c r="K234" s="122">
        <f t="shared" si="82"/>
        <v>6.0000000000000005E-2</v>
      </c>
    </row>
    <row r="235" spans="2:11">
      <c r="B235" s="161" t="s">
        <v>121</v>
      </c>
      <c r="F235" s="173" t="s">
        <v>278</v>
      </c>
      <c r="G235" s="123">
        <v>7.0000000000000007E-2</v>
      </c>
      <c r="H235" s="123">
        <v>7.0000000000000007E-2</v>
      </c>
      <c r="I235" s="123">
        <v>7.0000000000000007E-2</v>
      </c>
      <c r="J235" s="123">
        <v>7.0000000000000007E-2</v>
      </c>
      <c r="K235" s="123">
        <v>7.0000000000000007E-2</v>
      </c>
    </row>
    <row r="236" spans="2:11" ht="12.75" thickBot="1">
      <c r="B236" s="161" t="s">
        <v>279</v>
      </c>
      <c r="F236" s="175">
        <v>0.01</v>
      </c>
      <c r="G236" s="122">
        <f>G235+$F$236</f>
        <v>0.08</v>
      </c>
      <c r="H236" s="122">
        <f t="shared" ref="H236:K236" si="83">H235+$F$236</f>
        <v>0.08</v>
      </c>
      <c r="I236" s="122">
        <f t="shared" si="83"/>
        <v>0.08</v>
      </c>
      <c r="J236" s="122">
        <f t="shared" si="83"/>
        <v>0.08</v>
      </c>
      <c r="K236" s="122">
        <f t="shared" si="83"/>
        <v>0.08</v>
      </c>
    </row>
  </sheetData>
  <conditionalFormatting sqref="B219">
    <cfRule type="expression" dxfId="4" priority="1">
      <formula>#REF!=$B219</formula>
    </cfRule>
  </conditionalFormatting>
  <conditionalFormatting sqref="B233">
    <cfRule type="expression" dxfId="3" priority="2">
      <formula>#REF!=$B233</formula>
    </cfRule>
  </conditionalFormatting>
  <conditionalFormatting sqref="B63:C63">
    <cfRule type="expression" dxfId="2" priority="3">
      <formula>#REF!=$B63</formula>
    </cfRule>
  </conditionalFormatting>
  <dataValidations disablePrompts="1" count="3">
    <dataValidation type="list" allowBlank="1" showInputMessage="1" showErrorMessage="1" sqref="K6" xr:uid="{316BE8D0-5F80-4150-9F8E-D688FDB5F6FA}">
      <formula1>$B$222:$B$224</formula1>
    </dataValidation>
    <dataValidation type="list" allowBlank="1" showInputMessage="1" showErrorMessage="1" sqref="C8" xr:uid="{8FB3E4E8-6631-4284-8CF7-9D27DFB216D8}">
      <formula1>"0,1"</formula1>
    </dataValidation>
    <dataValidation type="list" allowBlank="1" showInputMessage="1" showErrorMessage="1" sqref="B4" xr:uid="{546FCFF0-46AD-42A0-9C58-8911EAA87FA4}">
      <formula1>"$ bns except per share, $ mm except per share,$ in thousands except per share"</formula1>
    </dataValidation>
  </dataValidations>
  <pageMargins left="0.7" right="0.7" top="0.75" bottom="0.75" header="0.3" footer="0.3"/>
  <ignoredErrors>
    <ignoredError sqref="G40:K41 G100:K101 G79:K83 H149:K149 G85:K88 H84:K84 G196:K200 H93:K93 G91:K92 H90:K90 B148:B152 G151:K151 H152:K152 G148:K148 F150:K150 F149 G106:K106 H102:K105 G38:K38 H89:K89" evalError="1"/>
    <ignoredError sqref="F32:K32 F36 F35" formula="1"/>
  </ignoredErrors>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0968B-CCEC-4CB8-9F6E-68FBD68798A3}">
  <sheetPr>
    <tabColor theme="4" tint="0.39997558519241921"/>
  </sheetPr>
  <dimension ref="B2:Q136"/>
  <sheetViews>
    <sheetView showGridLines="0" zoomScaleNormal="100" workbookViewId="0">
      <selection activeCell="B10" sqref="B10"/>
    </sheetView>
  </sheetViews>
  <sheetFormatPr defaultColWidth="8" defaultRowHeight="12"/>
  <cols>
    <col min="1" max="1" width="1.25" style="8" customWidth="1"/>
    <col min="2" max="2" width="47.625" style="8" customWidth="1"/>
    <col min="3" max="3" width="11.75" style="8" customWidth="1"/>
    <col min="4" max="9" width="11.125" style="8" customWidth="1"/>
    <col min="10" max="10" width="1.5" style="8" customWidth="1"/>
    <col min="11" max="11" width="10.625" style="8" bestFit="1" customWidth="1"/>
    <col min="12" max="16" width="8.25" style="8" customWidth="1"/>
    <col min="17" max="16384" width="8" style="8"/>
  </cols>
  <sheetData>
    <row r="2" spans="2:10">
      <c r="B2" s="1" t="str">
        <f>'3-Statement Model'!C6&amp;"(NASDAQ: AAPL)"</f>
        <v>Apple Inc. (NASDAQ: AAPL)</v>
      </c>
      <c r="C2" s="1"/>
      <c r="D2" s="1"/>
      <c r="E2" s="1"/>
      <c r="F2" s="1"/>
      <c r="G2" s="1"/>
      <c r="H2" s="1"/>
      <c r="I2" s="1"/>
    </row>
    <row r="3" spans="2:10">
      <c r="B3" s="6" t="s">
        <v>414</v>
      </c>
      <c r="C3" s="1"/>
      <c r="D3" s="1"/>
      <c r="E3" s="1"/>
      <c r="F3" s="1"/>
      <c r="G3" s="1"/>
      <c r="H3" s="1"/>
      <c r="I3" s="1"/>
    </row>
    <row r="4" spans="2:10">
      <c r="B4" s="6" t="s">
        <v>519</v>
      </c>
      <c r="C4" s="1"/>
      <c r="D4" s="1"/>
      <c r="E4" s="1"/>
      <c r="F4" s="1"/>
      <c r="G4" s="1"/>
      <c r="H4" s="1"/>
      <c r="I4" s="1"/>
    </row>
    <row r="5" spans="2:10" ht="5.0999999999999996" customHeight="1">
      <c r="B5" s="354"/>
    </row>
    <row r="6" spans="2:10">
      <c r="B6" s="449" t="s">
        <v>415</v>
      </c>
      <c r="C6" s="450">
        <f>'Historical Financials'!K12</f>
        <v>45559</v>
      </c>
      <c r="D6" s="204"/>
      <c r="E6" s="204"/>
      <c r="F6" s="204" t="s">
        <v>416</v>
      </c>
      <c r="G6" s="204"/>
      <c r="H6" s="451">
        <f>WACC!E23</f>
        <v>8.8863707776969933E-2</v>
      </c>
      <c r="I6" s="365" t="s">
        <v>417</v>
      </c>
    </row>
    <row r="7" spans="2:10">
      <c r="B7" s="190" t="s">
        <v>418</v>
      </c>
      <c r="C7" s="442">
        <f>EOMONTH(C6,12)</f>
        <v>45930</v>
      </c>
      <c r="D7" s="354"/>
      <c r="E7" s="354"/>
      <c r="F7" s="354" t="s">
        <v>419</v>
      </c>
      <c r="G7" s="354"/>
      <c r="H7" s="443">
        <v>262.82</v>
      </c>
      <c r="I7" s="362" t="s">
        <v>420</v>
      </c>
    </row>
    <row r="8" spans="2:10">
      <c r="B8" s="190" t="s">
        <v>421</v>
      </c>
      <c r="C8" s="441">
        <f>'Historical Financials'!AA12</f>
        <v>45833</v>
      </c>
      <c r="D8" s="354"/>
      <c r="E8" s="354"/>
      <c r="F8" s="354" t="s">
        <v>422</v>
      </c>
      <c r="G8" s="354"/>
      <c r="H8" s="444">
        <v>45956</v>
      </c>
      <c r="I8" s="362"/>
      <c r="J8" s="268"/>
    </row>
    <row r="9" spans="2:10">
      <c r="B9" s="190" t="s">
        <v>423</v>
      </c>
      <c r="C9" s="441">
        <v>45956</v>
      </c>
      <c r="D9" s="354"/>
      <c r="E9" s="354"/>
      <c r="F9" s="354" t="s">
        <v>424</v>
      </c>
      <c r="G9" s="354"/>
      <c r="H9" s="445">
        <v>1</v>
      </c>
      <c r="I9" s="448"/>
      <c r="J9" s="268"/>
    </row>
    <row r="10" spans="2:10">
      <c r="B10" s="361" t="s">
        <v>425</v>
      </c>
      <c r="C10" s="446">
        <f>YEARFRAC(C9,C7)</f>
        <v>7.2222222222222215E-2</v>
      </c>
      <c r="D10" s="359"/>
      <c r="E10" s="359"/>
      <c r="F10" s="359" t="s">
        <v>426</v>
      </c>
      <c r="G10" s="359"/>
      <c r="H10" s="447" t="str">
        <f>'3-Statement Model'!K6</f>
        <v>Base case</v>
      </c>
      <c r="I10" s="363"/>
    </row>
    <row r="11" spans="2:10">
      <c r="D11" s="270"/>
    </row>
    <row r="12" spans="2:10">
      <c r="B12" s="550" t="s">
        <v>427</v>
      </c>
      <c r="C12" s="549"/>
      <c r="D12" s="549"/>
      <c r="E12" s="405"/>
      <c r="F12" s="549"/>
      <c r="G12" s="549"/>
      <c r="H12" s="549"/>
      <c r="I12" s="549"/>
    </row>
    <row r="13" spans="2:10" ht="17.25" customHeight="1">
      <c r="C13" s="271" t="s">
        <v>10</v>
      </c>
      <c r="D13" s="271" t="s">
        <v>428</v>
      </c>
      <c r="E13" s="579" t="s">
        <v>429</v>
      </c>
      <c r="F13" s="271"/>
      <c r="G13" s="271"/>
      <c r="H13" s="271"/>
      <c r="I13" s="271"/>
    </row>
    <row r="14" spans="2:10">
      <c r="B14" s="110" t="s">
        <v>430</v>
      </c>
      <c r="C14" s="272">
        <f>C9</f>
        <v>45956</v>
      </c>
      <c r="D14" s="273">
        <f>C6</f>
        <v>45559</v>
      </c>
      <c r="E14" s="274">
        <f>EOMONTH(D14,12)</f>
        <v>45930</v>
      </c>
      <c r="F14" s="275">
        <f>EOMONTH(E14,12)</f>
        <v>46295</v>
      </c>
      <c r="G14" s="275">
        <f t="shared" ref="G14:I14" si="0">EOMONTH(F14,12)</f>
        <v>46660</v>
      </c>
      <c r="H14" s="275">
        <f t="shared" si="0"/>
        <v>47026</v>
      </c>
      <c r="I14" s="275">
        <f t="shared" si="0"/>
        <v>47391</v>
      </c>
    </row>
    <row r="15" spans="2:10" ht="5.0999999999999996" customHeight="1">
      <c r="B15" s="110"/>
      <c r="D15" s="276"/>
      <c r="E15" s="277"/>
      <c r="F15" s="277"/>
      <c r="G15" s="277"/>
      <c r="H15" s="277"/>
      <c r="I15" s="277"/>
    </row>
    <row r="16" spans="2:10">
      <c r="B16" s="8" t="s">
        <v>32</v>
      </c>
      <c r="C16" s="569">
        <f>FCF!AJ11</f>
        <v>408625</v>
      </c>
      <c r="D16" s="570">
        <f>FCF!G11</f>
        <v>391035</v>
      </c>
      <c r="E16" s="561">
        <f>'3-Statement Model'!G18</f>
        <v>209996.99999999997</v>
      </c>
      <c r="F16" s="561">
        <f>'3-Statement Model'!H18</f>
        <v>221832.96961107201</v>
      </c>
      <c r="G16" s="561">
        <f>'3-Statement Model'!I18</f>
        <v>234412.09138012325</v>
      </c>
      <c r="H16" s="561">
        <f>'3-Statement Model'!J18</f>
        <v>243754.74286341391</v>
      </c>
      <c r="I16" s="561">
        <f>'3-Statement Model'!K18</f>
        <v>253469.75200208119</v>
      </c>
    </row>
    <row r="17" spans="2:13">
      <c r="B17" s="68" t="s">
        <v>431</v>
      </c>
      <c r="C17" s="386"/>
      <c r="D17" s="571"/>
      <c r="E17" s="572">
        <f>SUM(E16/D16)-1</f>
        <v>-0.46297134527599837</v>
      </c>
      <c r="F17" s="572">
        <f t="shared" ref="F17:I17" si="1">SUM(F16/E16)-1</f>
        <v>5.6362565232227269E-2</v>
      </c>
      <c r="G17" s="572">
        <f t="shared" si="1"/>
        <v>5.6705375179828099E-2</v>
      </c>
      <c r="H17" s="572">
        <f t="shared" si="1"/>
        <v>3.9855672240646456E-2</v>
      </c>
      <c r="I17" s="572">
        <f t="shared" si="1"/>
        <v>3.9855672240646456E-2</v>
      </c>
    </row>
    <row r="18" spans="2:13">
      <c r="B18" s="8" t="s">
        <v>11</v>
      </c>
      <c r="C18" s="569">
        <f>FCF!AJ25</f>
        <v>141696</v>
      </c>
      <c r="D18" s="570">
        <f>FCF!G25</f>
        <v>134661</v>
      </c>
      <c r="E18" s="561">
        <f>'3-Statement Model'!G45</f>
        <v>166502.3627860455</v>
      </c>
      <c r="F18" s="561">
        <f>'3-Statement Model'!H45</f>
        <v>177392.36529006163</v>
      </c>
      <c r="G18" s="561">
        <f>'3-Statement Model'!I45</f>
        <v>192608.20088664882</v>
      </c>
      <c r="H18" s="561">
        <f>'3-Statement Model'!J45</f>
        <v>205955.32717190569</v>
      </c>
      <c r="I18" s="561">
        <f>'3-Statement Model'!K45</f>
        <v>219905.54560793279</v>
      </c>
    </row>
    <row r="19" spans="2:13">
      <c r="B19" s="68" t="s">
        <v>432</v>
      </c>
      <c r="C19" s="386"/>
      <c r="D19" s="573">
        <f>D18/D16</f>
        <v>0.34437070850435381</v>
      </c>
      <c r="E19" s="572">
        <f>E18/E16</f>
        <v>0.79287972107242255</v>
      </c>
      <c r="F19" s="572">
        <f t="shared" ref="F19:I19" si="2">F18/F16</f>
        <v>0.7996663688047555</v>
      </c>
      <c r="G19" s="572">
        <f t="shared" si="2"/>
        <v>0.82166495658415017</v>
      </c>
      <c r="H19" s="572">
        <f t="shared" si="2"/>
        <v>0.84492849145221016</v>
      </c>
      <c r="I19" s="572">
        <f t="shared" si="2"/>
        <v>0.86758101852771441</v>
      </c>
    </row>
    <row r="20" spans="2:13">
      <c r="B20" s="8" t="s">
        <v>33</v>
      </c>
      <c r="C20" s="569">
        <f>FCF!AJ21</f>
        <v>130214</v>
      </c>
      <c r="D20" s="570">
        <f>FCF!G21</f>
        <v>123216</v>
      </c>
      <c r="E20" s="561">
        <f>'3-Statement Model'!G32</f>
        <v>154107.54381060408</v>
      </c>
      <c r="F20" s="561">
        <f>'3-Statement Model'!H32</f>
        <v>165525.26939109119</v>
      </c>
      <c r="G20" s="561">
        <f>'3-Statement Model'!I32</f>
        <v>179189.05097619351</v>
      </c>
      <c r="H20" s="561">
        <f>'3-Statement Model'!J32</f>
        <v>192404.2023896949</v>
      </c>
      <c r="I20" s="561">
        <f>'3-Statement Model'!K32</f>
        <v>206751.68394763843</v>
      </c>
    </row>
    <row r="21" spans="2:13">
      <c r="B21" s="68" t="s">
        <v>432</v>
      </c>
      <c r="C21" s="386"/>
      <c r="D21" s="573">
        <f>D20/D16</f>
        <v>0.31510222870075566</v>
      </c>
      <c r="E21" s="572">
        <f>E20/E16</f>
        <v>0.73385593037331054</v>
      </c>
      <c r="F21" s="572">
        <f t="shared" ref="F21:I21" si="3">F20/F16</f>
        <v>0.74617073233657683</v>
      </c>
      <c r="G21" s="572">
        <f t="shared" si="3"/>
        <v>0.76441897651781143</v>
      </c>
      <c r="H21" s="572">
        <f t="shared" si="3"/>
        <v>0.78933521509982318</v>
      </c>
      <c r="I21" s="572">
        <f t="shared" si="3"/>
        <v>0.81568582568361381</v>
      </c>
    </row>
    <row r="22" spans="2:13" ht="5.0999999999999996" customHeight="1">
      <c r="B22" s="68"/>
      <c r="C22" s="386"/>
      <c r="D22" s="570"/>
      <c r="E22" s="561"/>
      <c r="F22" s="561"/>
      <c r="G22" s="561"/>
      <c r="H22" s="561"/>
      <c r="I22" s="561"/>
    </row>
    <row r="23" spans="2:13">
      <c r="B23" s="8" t="s">
        <v>433</v>
      </c>
      <c r="C23" s="386"/>
      <c r="D23" s="574">
        <f>'3-Statement Model'!F40</f>
        <v>-29749</v>
      </c>
      <c r="E23" s="569">
        <f>+E20*E24</f>
        <v>24348.991922075445</v>
      </c>
      <c r="F23" s="569">
        <f t="shared" ref="F23:I23" si="4">+F20*F24</f>
        <v>26484.043102574593</v>
      </c>
      <c r="G23" s="569">
        <f t="shared" si="4"/>
        <v>28670.248156190963</v>
      </c>
      <c r="H23" s="569">
        <f t="shared" si="4"/>
        <v>30784.672382351186</v>
      </c>
      <c r="I23" s="569">
        <f t="shared" si="4"/>
        <v>33080.269431622153</v>
      </c>
    </row>
    <row r="24" spans="2:13" s="373" customFormat="1" ht="15" customHeight="1">
      <c r="B24" s="524" t="s">
        <v>156</v>
      </c>
      <c r="C24" s="575"/>
      <c r="D24" s="576">
        <f>D23/D20</f>
        <v>-0.24143780028567718</v>
      </c>
      <c r="E24" s="576">
        <f>'3-Statement Model'!G64</f>
        <v>0.158</v>
      </c>
      <c r="F24" s="577">
        <f>'3-Statement Model'!H64</f>
        <v>0.16</v>
      </c>
      <c r="G24" s="577">
        <f>'3-Statement Model'!I64</f>
        <v>0.16</v>
      </c>
      <c r="H24" s="577">
        <f>'3-Statement Model'!J64</f>
        <v>0.16</v>
      </c>
      <c r="I24" s="577">
        <f>'3-Statement Model'!K64</f>
        <v>0.16</v>
      </c>
    </row>
    <row r="25" spans="2:13">
      <c r="B25" s="552" t="s">
        <v>434</v>
      </c>
      <c r="C25" s="552"/>
      <c r="D25" s="581">
        <f>+D23+D20</f>
        <v>93467</v>
      </c>
      <c r="E25" s="582">
        <f>E20*(1-E24)</f>
        <v>129758.55188852863</v>
      </c>
      <c r="F25" s="582">
        <f t="shared" ref="F25:I25" si="5">F20*(1-F24)</f>
        <v>139041.2262885166</v>
      </c>
      <c r="G25" s="582">
        <f t="shared" si="5"/>
        <v>150518.80282000254</v>
      </c>
      <c r="H25" s="582">
        <f t="shared" si="5"/>
        <v>161619.53000734371</v>
      </c>
      <c r="I25" s="582">
        <f t="shared" si="5"/>
        <v>173671.41451601629</v>
      </c>
    </row>
    <row r="26" spans="2:13" ht="5.0999999999999996" customHeight="1">
      <c r="C26" s="386"/>
      <c r="D26" s="569"/>
      <c r="E26" s="569"/>
      <c r="F26" s="569"/>
      <c r="G26" s="569"/>
      <c r="H26" s="569"/>
      <c r="I26" s="569"/>
    </row>
    <row r="27" spans="2:13">
      <c r="B27" s="8" t="s">
        <v>145</v>
      </c>
      <c r="C27" s="386"/>
      <c r="D27" s="561">
        <f>'3-Statement Model'!F44</f>
        <v>11445</v>
      </c>
      <c r="E27" s="561">
        <f>'3-Statement Model'!G44</f>
        <v>12394.818975441409</v>
      </c>
      <c r="F27" s="561">
        <f>'3-Statement Model'!H44</f>
        <v>11867.095898970436</v>
      </c>
      <c r="G27" s="561">
        <f>'3-Statement Model'!I44</f>
        <v>13419.149910455295</v>
      </c>
      <c r="H27" s="561">
        <f>'3-Statement Model'!J44</f>
        <v>13551.124782210807</v>
      </c>
      <c r="I27" s="561">
        <f>'3-Statement Model'!K44</f>
        <v>13153.861660294353</v>
      </c>
      <c r="M27" s="280"/>
    </row>
    <row r="28" spans="2:13">
      <c r="B28" s="8" t="s">
        <v>435</v>
      </c>
      <c r="C28" s="386"/>
      <c r="D28" s="569"/>
      <c r="E28" s="569">
        <f>D34-E34</f>
        <v>17500.522314439586</v>
      </c>
      <c r="F28" s="569">
        <f t="shared" ref="F28:I28" si="6">E34-F34</f>
        <v>-1550.3026806661219</v>
      </c>
      <c r="G28" s="569">
        <f t="shared" si="6"/>
        <v>-1932.9675596962479</v>
      </c>
      <c r="H28" s="569">
        <f t="shared" si="6"/>
        <v>2451.613030798384</v>
      </c>
      <c r="I28" s="569">
        <f t="shared" si="6"/>
        <v>-3534.6165952548472</v>
      </c>
      <c r="M28" s="280"/>
    </row>
    <row r="29" spans="2:13">
      <c r="B29" s="8" t="s">
        <v>182</v>
      </c>
      <c r="C29" s="386"/>
      <c r="D29" s="561"/>
      <c r="E29" s="561">
        <f>-'3-Statement Model'!G108</f>
        <v>-9907</v>
      </c>
      <c r="F29" s="561">
        <f>-'3-Statement Model'!H108</f>
        <v>-11678</v>
      </c>
      <c r="G29" s="561">
        <f>-'3-Statement Model'!I108</f>
        <v>-11029</v>
      </c>
      <c r="H29" s="561">
        <f>-'3-Statement Model'!J108</f>
        <v>-11666</v>
      </c>
      <c r="I29" s="561">
        <f>-'3-Statement Model'!K108</f>
        <v>-12904</v>
      </c>
      <c r="M29" s="280"/>
    </row>
    <row r="30" spans="2:13">
      <c r="B30" s="68" t="s">
        <v>201</v>
      </c>
      <c r="C30" s="386"/>
      <c r="D30" s="561"/>
      <c r="E30" s="572">
        <f>E29/E16</f>
        <v>-4.7176864431396646E-2</v>
      </c>
      <c r="F30" s="572">
        <f t="shared" ref="F30:I30" si="7">F29/F16</f>
        <v>-5.2643211784408867E-2</v>
      </c>
      <c r="G30" s="572">
        <f t="shared" si="7"/>
        <v>-4.7049620755762744E-2</v>
      </c>
      <c r="H30" s="572">
        <f t="shared" si="7"/>
        <v>-4.7859581573503798E-2</v>
      </c>
      <c r="I30" s="572">
        <f t="shared" si="7"/>
        <v>-5.0909427646001912E-2</v>
      </c>
      <c r="M30" s="280"/>
    </row>
    <row r="31" spans="2:13" ht="5.0999999999999996" customHeight="1">
      <c r="C31" s="386"/>
      <c r="D31" s="561"/>
      <c r="E31" s="561"/>
      <c r="F31" s="561"/>
      <c r="G31" s="561"/>
      <c r="H31" s="561"/>
      <c r="I31" s="561"/>
      <c r="M31" s="280"/>
    </row>
    <row r="32" spans="2:13">
      <c r="B32" s="533" t="s">
        <v>436</v>
      </c>
      <c r="C32" s="533"/>
      <c r="D32" s="580"/>
      <c r="E32" s="580">
        <f>+E25+E27+E28+E29</f>
        <v>149746.89317840963</v>
      </c>
      <c r="F32" s="580">
        <f t="shared" ref="F32:I32" si="8">+F25+F27+F28+F29</f>
        <v>137680.01950682091</v>
      </c>
      <c r="G32" s="580">
        <f t="shared" si="8"/>
        <v>150975.98517076159</v>
      </c>
      <c r="H32" s="580">
        <f t="shared" si="8"/>
        <v>165956.26782035289</v>
      </c>
      <c r="I32" s="580">
        <f t="shared" si="8"/>
        <v>170386.65958105581</v>
      </c>
      <c r="M32" s="281"/>
    </row>
    <row r="33" spans="2:13" ht="5.0999999999999996" customHeight="1">
      <c r="C33" s="386"/>
      <c r="D33" s="561"/>
      <c r="E33" s="386"/>
      <c r="F33" s="386"/>
      <c r="G33" s="386"/>
      <c r="H33" s="386"/>
      <c r="I33" s="386"/>
      <c r="M33" s="280"/>
    </row>
    <row r="34" spans="2:13">
      <c r="B34" s="8" t="s">
        <v>437</v>
      </c>
      <c r="C34" s="386"/>
      <c r="D34" s="561">
        <f>SUM('3-Statement Model'!F103)-SUM('3-Statement Model'!F102)</f>
        <v>31817</v>
      </c>
      <c r="E34" s="561">
        <f>SUM('3-Statement Model'!G103)-SUM('3-Statement Model'!G102)</f>
        <v>14316.477685560414</v>
      </c>
      <c r="F34" s="561">
        <f>SUM('3-Statement Model'!H103)-SUM('3-Statement Model'!H102)</f>
        <v>15866.780366226536</v>
      </c>
      <c r="G34" s="561">
        <f>SUM('3-Statement Model'!I103)-SUM('3-Statement Model'!I102)</f>
        <v>17799.747925922784</v>
      </c>
      <c r="H34" s="561">
        <f>SUM('3-Statement Model'!J103)-SUM('3-Statement Model'!J102)</f>
        <v>15348.1348951244</v>
      </c>
      <c r="I34" s="561">
        <f>SUM('3-Statement Model'!K103)-SUM('3-Statement Model'!K102)</f>
        <v>18882.751490379247</v>
      </c>
    </row>
    <row r="35" spans="2:13" ht="15" customHeight="1">
      <c r="B35" s="68" t="s">
        <v>201</v>
      </c>
      <c r="C35" s="386"/>
      <c r="D35" s="572"/>
      <c r="E35" s="572">
        <f>+E34/E16</f>
        <v>6.8174677188533248E-2</v>
      </c>
      <c r="F35" s="572">
        <f t="shared" ref="F35:I35" si="9">+F34/F16</f>
        <v>7.1525798865898618E-2</v>
      </c>
      <c r="G35" s="572">
        <f t="shared" si="9"/>
        <v>7.5933574164733106E-2</v>
      </c>
      <c r="H35" s="572">
        <f t="shared" si="9"/>
        <v>6.2965482085920316E-2</v>
      </c>
      <c r="I35" s="572">
        <f t="shared" si="9"/>
        <v>7.4497060660019918E-2</v>
      </c>
      <c r="J35" s="278"/>
    </row>
    <row r="36" spans="2:13" ht="5.0999999999999996" customHeight="1">
      <c r="D36" s="278"/>
      <c r="E36" s="269"/>
      <c r="F36" s="269"/>
      <c r="G36" s="269"/>
      <c r="H36" s="269"/>
      <c r="I36" s="269"/>
      <c r="J36" s="278"/>
      <c r="K36" s="116"/>
      <c r="M36" s="269"/>
    </row>
    <row r="37" spans="2:13">
      <c r="B37" s="550" t="str">
        <f>"Present value of UFCF on "&amp;TEXT(C9,"mmm dd, yyyy")&amp;" valuation date"</f>
        <v>Present value of UFCF on Oct 26, 2025 valuation date</v>
      </c>
      <c r="C37" s="549"/>
      <c r="D37" s="549"/>
      <c r="E37" s="549"/>
      <c r="F37" s="549"/>
      <c r="G37" s="549"/>
      <c r="H37" s="549"/>
      <c r="I37" s="549"/>
      <c r="J37" s="278"/>
    </row>
    <row r="38" spans="2:13" s="386" customFormat="1" ht="5.0999999999999996" customHeight="1">
      <c r="B38" s="559"/>
      <c r="C38" s="560"/>
      <c r="D38" s="560"/>
      <c r="E38" s="560"/>
      <c r="F38" s="560"/>
      <c r="G38" s="560"/>
      <c r="H38" s="560"/>
      <c r="I38" s="560"/>
      <c r="J38" s="561"/>
    </row>
    <row r="39" spans="2:13" ht="14.25">
      <c r="B39" s="40"/>
      <c r="D39" s="562" t="s">
        <v>438</v>
      </c>
      <c r="E39" s="562" t="s">
        <v>439</v>
      </c>
      <c r="F39" s="563" t="s">
        <v>440</v>
      </c>
      <c r="G39" s="563" t="s">
        <v>441</v>
      </c>
      <c r="H39" s="563" t="s">
        <v>442</v>
      </c>
      <c r="I39" s="563" t="s">
        <v>443</v>
      </c>
      <c r="J39" s="278"/>
    </row>
    <row r="40" spans="2:13">
      <c r="B40" s="8" t="s">
        <v>444</v>
      </c>
      <c r="D40" s="564">
        <f>C9</f>
        <v>45956</v>
      </c>
      <c r="E40" s="282">
        <f>IF($H$9=1,AVERAGE(E14,D40),E14)</f>
        <v>45943</v>
      </c>
      <c r="F40" s="282">
        <f>IF($H$9=1,AVERAGE(F14,E14),F14)</f>
        <v>46112.5</v>
      </c>
      <c r="G40" s="282">
        <f>IF($H$9=1,AVERAGE(G14,F14),G14)</f>
        <v>46477.5</v>
      </c>
      <c r="H40" s="282">
        <f>IF($H$9=1,AVERAGE(H14,G14),H14)</f>
        <v>46843</v>
      </c>
      <c r="I40" s="282">
        <f>IF($H$9=1,AVERAGE(I14,H14),I14)</f>
        <v>47208.5</v>
      </c>
      <c r="J40" s="278"/>
    </row>
    <row r="41" spans="2:13">
      <c r="B41" s="8" t="s">
        <v>445</v>
      </c>
      <c r="C41" s="283">
        <f>C10</f>
        <v>7.2222222222222215E-2</v>
      </c>
      <c r="D41" s="280"/>
      <c r="E41" s="555">
        <f>E32*C41</f>
        <v>10815.053396218473</v>
      </c>
      <c r="F41" s="555">
        <f>F32</f>
        <v>137680.01950682091</v>
      </c>
      <c r="G41" s="555">
        <f>G32</f>
        <v>150975.98517076159</v>
      </c>
      <c r="H41" s="555">
        <f>H32</f>
        <v>165956.26782035289</v>
      </c>
      <c r="I41" s="555">
        <f>I32</f>
        <v>170386.65958105581</v>
      </c>
      <c r="J41" s="279"/>
      <c r="K41" s="8" t="s">
        <v>446</v>
      </c>
    </row>
    <row r="42" spans="2:13" s="373" customFormat="1">
      <c r="B42" s="556" t="s">
        <v>447</v>
      </c>
      <c r="C42" s="557"/>
      <c r="D42" s="558"/>
      <c r="E42" s="558">
        <f>E41/(1+$H$6)^((E40-$C$9)/365)</f>
        <v>10847.896506291583</v>
      </c>
      <c r="F42" s="558">
        <f>F41/(1+$H$6)^((F40-$C$9)/365)</f>
        <v>132744.91318774543</v>
      </c>
      <c r="G42" s="558">
        <f>G41/(1+$H$6)^((G40-$C$9)/365)</f>
        <v>133684.58072788618</v>
      </c>
      <c r="H42" s="558">
        <f>H41/(1+$H$6)^((H40-$C$9)/365)</f>
        <v>134940.6923347702</v>
      </c>
      <c r="I42" s="558">
        <f>I41/(1+$H$6)^((I40-$C$9)/365)</f>
        <v>127221.5527182044</v>
      </c>
      <c r="J42" s="554"/>
    </row>
    <row r="44" spans="2:13">
      <c r="B44" s="550" t="s">
        <v>448</v>
      </c>
      <c r="C44" s="549"/>
      <c r="E44" s="551" t="s">
        <v>449</v>
      </c>
      <c r="F44" s="549"/>
      <c r="G44" s="549"/>
      <c r="H44" s="549"/>
      <c r="I44" s="549"/>
    </row>
    <row r="45" spans="2:13" s="386" customFormat="1" ht="5.0999999999999996" customHeight="1">
      <c r="B45" s="559"/>
      <c r="C45" s="560"/>
      <c r="E45" s="565"/>
      <c r="F45" s="560"/>
      <c r="G45" s="560"/>
      <c r="H45" s="560"/>
      <c r="I45" s="560"/>
    </row>
    <row r="46" spans="2:13">
      <c r="B46" s="8" t="s">
        <v>450</v>
      </c>
      <c r="C46" s="136">
        <v>0.03</v>
      </c>
      <c r="E46" s="8" t="s">
        <v>451</v>
      </c>
      <c r="I46" s="280">
        <f>I18</f>
        <v>219905.54560793279</v>
      </c>
      <c r="J46" s="280"/>
    </row>
    <row r="47" spans="2:13">
      <c r="B47" s="284" t="str">
        <f>YEAR(I14)&amp;" FCF x (1+g)"</f>
        <v>2029 FCF x (1+g)</v>
      </c>
      <c r="C47" s="280">
        <f>I41*(1+C46)</f>
        <v>175498.25936848749</v>
      </c>
      <c r="E47" s="8" t="s">
        <v>452</v>
      </c>
      <c r="I47" s="285">
        <v>16.2</v>
      </c>
      <c r="J47" s="285"/>
    </row>
    <row r="48" spans="2:13">
      <c r="B48" s="8" t="str">
        <f>"Terminal value in "&amp;YEAR(I14)</f>
        <v>Terminal value in 2029</v>
      </c>
      <c r="C48" s="280">
        <f>C47/(H6-C46)</f>
        <v>2981433.9938190253</v>
      </c>
      <c r="E48" s="8" t="str">
        <f>"Terminal value in "&amp;YEAR(I14)</f>
        <v>Terminal value in 2029</v>
      </c>
      <c r="I48" s="280">
        <f>I46*I47</f>
        <v>3562469.8388485108</v>
      </c>
      <c r="J48" s="280"/>
    </row>
    <row r="49" spans="2:10">
      <c r="B49" s="8" t="s">
        <v>453</v>
      </c>
      <c r="C49" s="280">
        <f>C48/(1+H6)^((I40-$D$40)/365)</f>
        <v>2226128.8703770447</v>
      </c>
      <c r="E49" s="8" t="s">
        <v>453</v>
      </c>
      <c r="I49" s="280">
        <f>I48/(1+H6)^((I40-D40)/365)</f>
        <v>2659967.309204</v>
      </c>
      <c r="J49" s="280"/>
    </row>
    <row r="50" spans="2:10">
      <c r="B50" s="8" t="s">
        <v>454</v>
      </c>
      <c r="C50" s="279">
        <f>SUM(E42:I42)</f>
        <v>539439.6354748978</v>
      </c>
      <c r="E50" s="8" t="s">
        <v>454</v>
      </c>
      <c r="I50" s="280">
        <f>C50</f>
        <v>539439.6354748978</v>
      </c>
      <c r="J50" s="280"/>
    </row>
    <row r="51" spans="2:10">
      <c r="B51" s="552" t="s">
        <v>455</v>
      </c>
      <c r="C51" s="553">
        <f>C50+C49</f>
        <v>2765568.5058519426</v>
      </c>
      <c r="E51" s="552" t="s">
        <v>456</v>
      </c>
      <c r="F51" s="205"/>
      <c r="G51" s="205"/>
      <c r="H51" s="205"/>
      <c r="I51" s="553">
        <f>SUM(I49:I50)</f>
        <v>3199406.944678898</v>
      </c>
      <c r="J51" s="286"/>
    </row>
    <row r="52" spans="2:10" ht="5.0999999999999996" customHeight="1"/>
    <row r="53" spans="2:10">
      <c r="B53" s="287" t="s">
        <v>457</v>
      </c>
      <c r="C53" s="288">
        <f>C49/$C$51</f>
        <v>0.80494439594121647</v>
      </c>
      <c r="E53" s="287" t="s">
        <v>457</v>
      </c>
      <c r="I53" s="288">
        <f>+I49/I51</f>
        <v>0.83139386617508337</v>
      </c>
      <c r="J53" s="288"/>
    </row>
    <row r="54" spans="2:10">
      <c r="B54" s="287" t="s">
        <v>458</v>
      </c>
      <c r="C54" s="288">
        <f>1-C53</f>
        <v>0.19505560405878353</v>
      </c>
      <c r="E54" s="287" t="s">
        <v>459</v>
      </c>
      <c r="G54" s="289"/>
      <c r="I54" s="141">
        <f>1-I53</f>
        <v>0.16860613382491663</v>
      </c>
      <c r="J54" s="141"/>
    </row>
    <row r="55" spans="2:10">
      <c r="B55" s="287" t="s">
        <v>460</v>
      </c>
      <c r="C55" s="290">
        <f>(C48/I18)</f>
        <v>13.557793577132392</v>
      </c>
      <c r="E55" s="8" t="s">
        <v>461</v>
      </c>
      <c r="I55" s="291">
        <f>(H6-I41/I48)/(1+I41/I48)</f>
        <v>3.9162399948712033E-2</v>
      </c>
      <c r="J55" s="291"/>
    </row>
    <row r="56" spans="2:10">
      <c r="B56" s="287"/>
      <c r="C56" s="110"/>
      <c r="D56" s="290"/>
      <c r="I56" s="291"/>
      <c r="J56" s="291"/>
    </row>
    <row r="57" spans="2:10">
      <c r="B57" s="550" t="s">
        <v>462</v>
      </c>
      <c r="C57" s="549"/>
      <c r="E57" s="551" t="s">
        <v>463</v>
      </c>
      <c r="F57" s="549"/>
      <c r="G57" s="550"/>
      <c r="H57" s="549"/>
      <c r="I57" s="550"/>
    </row>
    <row r="58" spans="2:10">
      <c r="B58" s="8" t="s">
        <v>464</v>
      </c>
      <c r="C58" s="267" t="s">
        <v>500</v>
      </c>
    </row>
    <row r="59" spans="2:10">
      <c r="B59" s="118" t="s">
        <v>465</v>
      </c>
      <c r="C59" s="282">
        <f>C8</f>
        <v>45833</v>
      </c>
      <c r="G59" s="121" t="s">
        <v>464</v>
      </c>
      <c r="H59" s="292" t="s">
        <v>466</v>
      </c>
      <c r="I59" s="292" t="s">
        <v>467</v>
      </c>
    </row>
    <row r="60" spans="2:10">
      <c r="B60" s="293" t="s">
        <v>468</v>
      </c>
      <c r="C60" s="294"/>
      <c r="E60" s="373" t="s">
        <v>107</v>
      </c>
      <c r="G60" s="267" t="s">
        <v>501</v>
      </c>
      <c r="H60" s="267">
        <f ca="1">NOW()</f>
        <v>45961.736185300928</v>
      </c>
      <c r="I60" s="295">
        <v>14840.39</v>
      </c>
      <c r="J60" s="295"/>
    </row>
    <row r="61" spans="2:10">
      <c r="B61" s="68" t="s">
        <v>22</v>
      </c>
      <c r="C61" s="176">
        <f>FCF!AJ69</f>
        <v>101698</v>
      </c>
      <c r="E61" s="374" t="s">
        <v>469</v>
      </c>
      <c r="G61" s="267" t="s">
        <v>500</v>
      </c>
      <c r="H61" s="267">
        <v>45833</v>
      </c>
      <c r="I61" s="295">
        <v>149.976</v>
      </c>
      <c r="J61" s="229"/>
    </row>
    <row r="62" spans="2:10">
      <c r="B62" s="68" t="s">
        <v>470</v>
      </c>
      <c r="C62" s="253">
        <f>[1]Shares!E25+[1]Shares!E31</f>
        <v>0</v>
      </c>
      <c r="E62" s="374" t="s">
        <v>471</v>
      </c>
      <c r="G62" s="267" t="s">
        <v>500</v>
      </c>
      <c r="H62" s="267">
        <v>45833</v>
      </c>
      <c r="I62" s="535">
        <f>Shares!E19</f>
        <v>0</v>
      </c>
    </row>
    <row r="63" spans="2:10">
      <c r="B63" s="68" t="s">
        <v>472</v>
      </c>
      <c r="C63" s="253">
        <f>[1]Shares!E34+[1]Shares!E41</f>
        <v>0</v>
      </c>
      <c r="E63" s="373" t="s">
        <v>470</v>
      </c>
      <c r="G63" s="267" t="s">
        <v>500</v>
      </c>
      <c r="H63" s="267">
        <v>45833</v>
      </c>
      <c r="I63" s="548">
        <f>0</f>
        <v>0</v>
      </c>
    </row>
    <row r="64" spans="2:10">
      <c r="B64" s="296" t="s">
        <v>473</v>
      </c>
      <c r="C64" s="115">
        <v>0</v>
      </c>
      <c r="E64" s="373" t="s">
        <v>474</v>
      </c>
      <c r="G64" s="267" t="s">
        <v>500</v>
      </c>
      <c r="H64" s="267">
        <v>45833</v>
      </c>
      <c r="I64" s="548">
        <v>0</v>
      </c>
    </row>
    <row r="65" spans="2:10">
      <c r="B65" s="293" t="s">
        <v>475</v>
      </c>
      <c r="E65" s="201" t="s">
        <v>476</v>
      </c>
      <c r="F65" s="204"/>
      <c r="G65" s="204"/>
      <c r="H65" s="204"/>
      <c r="I65" s="350">
        <f>SUM(I60:I64)</f>
        <v>14990.366</v>
      </c>
      <c r="J65" s="259"/>
    </row>
    <row r="66" spans="2:10">
      <c r="B66" s="297" t="s">
        <v>477</v>
      </c>
      <c r="C66" s="176">
        <f>FCF!AJ52</f>
        <v>132986</v>
      </c>
      <c r="J66" s="247"/>
    </row>
    <row r="67" spans="2:10">
      <c r="B67" s="297" t="s">
        <v>478</v>
      </c>
      <c r="C67" s="115">
        <v>0</v>
      </c>
      <c r="J67" s="247"/>
    </row>
    <row r="68" spans="2:10">
      <c r="B68" s="556" t="s">
        <v>462</v>
      </c>
      <c r="C68" s="566">
        <f>SUM(C61:C64)-SUM(C66:C67)</f>
        <v>-31288</v>
      </c>
    </row>
    <row r="70" spans="2:10">
      <c r="B70" s="550" t="s">
        <v>479</v>
      </c>
      <c r="C70" s="549"/>
      <c r="D70" s="550"/>
    </row>
    <row r="71" spans="2:10" s="386" customFormat="1" ht="5.0999999999999996" customHeight="1">
      <c r="B71" s="559"/>
      <c r="C71" s="560"/>
      <c r="D71" s="559"/>
    </row>
    <row r="72" spans="2:10" ht="14.25">
      <c r="C72" s="567" t="s">
        <v>36</v>
      </c>
      <c r="D72" s="567" t="s">
        <v>11</v>
      </c>
    </row>
    <row r="73" spans="2:10">
      <c r="B73" s="8" t="s">
        <v>480</v>
      </c>
      <c r="C73" s="298">
        <f>C51</f>
        <v>2765568.5058519426</v>
      </c>
      <c r="D73" s="298">
        <f>I51</f>
        <v>3199406.944678898</v>
      </c>
    </row>
    <row r="74" spans="2:10">
      <c r="B74" s="8" t="s">
        <v>462</v>
      </c>
      <c r="C74" s="299">
        <f>$C$68</f>
        <v>-31288</v>
      </c>
      <c r="D74" s="299">
        <f>C74</f>
        <v>-31288</v>
      </c>
    </row>
    <row r="75" spans="2:10">
      <c r="B75" s="8" t="s">
        <v>481</v>
      </c>
      <c r="C75" s="300">
        <f>C73-C74</f>
        <v>2796856.5058519426</v>
      </c>
      <c r="D75" s="300">
        <f>D73-D74</f>
        <v>3230694.944678898</v>
      </c>
    </row>
    <row r="76" spans="2:10">
      <c r="B76" s="8" t="s">
        <v>463</v>
      </c>
      <c r="C76" s="300">
        <f>$I$65</f>
        <v>14990.366</v>
      </c>
      <c r="D76" s="300">
        <f>C76</f>
        <v>14990.366</v>
      </c>
    </row>
    <row r="77" spans="2:10">
      <c r="B77" s="533" t="s">
        <v>482</v>
      </c>
      <c r="C77" s="568">
        <f>C75/C76</f>
        <v>186.57693253466545</v>
      </c>
      <c r="D77" s="568">
        <f>D75/D76</f>
        <v>215.51808305940617</v>
      </c>
    </row>
    <row r="79" spans="2:10" ht="14.25">
      <c r="C79" s="271" t="s">
        <v>483</v>
      </c>
      <c r="D79" s="271"/>
    </row>
    <row r="80" spans="2:10">
      <c r="B80" s="121"/>
      <c r="C80" s="292" t="s">
        <v>36</v>
      </c>
      <c r="D80" s="292" t="s">
        <v>11</v>
      </c>
    </row>
    <row r="81" spans="2:17">
      <c r="B81" s="8" t="s">
        <v>484</v>
      </c>
      <c r="C81" s="301">
        <f>C$73/$C$16</f>
        <v>6.7679865545474271</v>
      </c>
      <c r="D81" s="301">
        <f>D$73/$C$16</f>
        <v>7.8296896780150451</v>
      </c>
    </row>
    <row r="82" spans="2:17">
      <c r="B82" s="8" t="s">
        <v>485</v>
      </c>
      <c r="C82" s="302">
        <f t="shared" ref="C82" si="10">C73/$C$18</f>
        <v>19.517618746132161</v>
      </c>
      <c r="D82" s="302">
        <f>D73/$C$18</f>
        <v>22.579373762695475</v>
      </c>
    </row>
    <row r="83" spans="2:17">
      <c r="B83" s="279" t="s">
        <v>486</v>
      </c>
      <c r="C83" s="302">
        <f t="shared" ref="C83" si="11">C73/$C$20</f>
        <v>21.238641819250944</v>
      </c>
      <c r="D83" s="302">
        <f>D73/$C$20</f>
        <v>24.570376032369008</v>
      </c>
    </row>
    <row r="84" spans="2:17" ht="14.25">
      <c r="B84" s="279"/>
      <c r="C84" s="271" t="s">
        <v>487</v>
      </c>
      <c r="D84" s="271"/>
      <c r="E84" s="303"/>
      <c r="F84" s="303"/>
    </row>
    <row r="85" spans="2:17">
      <c r="B85" s="121"/>
      <c r="C85" s="292" t="s">
        <v>36</v>
      </c>
      <c r="D85" s="292" t="s">
        <v>11</v>
      </c>
      <c r="E85" s="303"/>
      <c r="F85" s="303"/>
    </row>
    <row r="86" spans="2:17">
      <c r="B86" s="8" t="s">
        <v>484</v>
      </c>
      <c r="C86" s="304">
        <f>C73/$E$16</f>
        <v>13.169561973989833</v>
      </c>
      <c r="D86" s="304">
        <f>D73/$E$16</f>
        <v>15.235488814977826</v>
      </c>
      <c r="E86" s="303"/>
      <c r="F86" s="303"/>
    </row>
    <row r="87" spans="2:17">
      <c r="B87" s="8" t="s">
        <v>485</v>
      </c>
      <c r="C87" s="303">
        <f>C73/$E$18</f>
        <v>16.609785348245662</v>
      </c>
      <c r="D87" s="303">
        <f>D73/$E$18</f>
        <v>19.215384641658904</v>
      </c>
      <c r="E87" s="303"/>
      <c r="F87" s="303"/>
    </row>
    <row r="88" spans="2:17">
      <c r="B88" s="279" t="s">
        <v>486</v>
      </c>
      <c r="C88" s="303">
        <f>C73/$E$20</f>
        <v>17.945704911440195</v>
      </c>
      <c r="D88" s="303">
        <f>D73/$E$20</f>
        <v>20.760871697565449</v>
      </c>
      <c r="E88" s="303"/>
      <c r="F88" s="303"/>
    </row>
    <row r="90" spans="2:17">
      <c r="B90" s="261" t="s">
        <v>488</v>
      </c>
      <c r="C90" s="261"/>
      <c r="D90" s="261"/>
      <c r="E90" s="261"/>
      <c r="F90" s="261"/>
      <c r="G90" s="261"/>
      <c r="H90" s="261"/>
      <c r="I90" s="261"/>
      <c r="J90" s="261"/>
      <c r="K90" s="261"/>
      <c r="L90" s="261"/>
      <c r="M90" s="261"/>
      <c r="N90" s="261"/>
      <c r="O90" s="261"/>
      <c r="P90" s="261"/>
      <c r="Q90" s="261"/>
    </row>
    <row r="91" spans="2:17">
      <c r="B91" s="40"/>
    </row>
    <row r="92" spans="2:17" ht="17.25" customHeight="1">
      <c r="B92" s="305"/>
      <c r="C92" s="40"/>
      <c r="D92" s="306" t="s">
        <v>482</v>
      </c>
      <c r="E92" s="271"/>
      <c r="F92" s="271"/>
      <c r="G92" s="271"/>
      <c r="H92" s="271"/>
      <c r="I92" s="271"/>
      <c r="J92" s="307"/>
      <c r="L92" s="306" t="s">
        <v>489</v>
      </c>
      <c r="M92" s="271"/>
      <c r="N92" s="271"/>
      <c r="O92" s="271"/>
      <c r="P92" s="271"/>
      <c r="Q92" s="271"/>
    </row>
    <row r="93" spans="2:17" ht="15" customHeight="1">
      <c r="B93" s="305"/>
      <c r="D93" s="118"/>
      <c r="E93" s="236" t="s">
        <v>490</v>
      </c>
      <c r="F93" s="236"/>
      <c r="G93" s="236"/>
      <c r="H93" s="236"/>
      <c r="I93" s="236"/>
      <c r="J93" s="308"/>
      <c r="L93" s="118"/>
      <c r="M93" s="236"/>
      <c r="N93" s="236"/>
      <c r="O93" s="236"/>
      <c r="P93" s="236"/>
      <c r="Q93" s="236"/>
    </row>
    <row r="94" spans="2:17" ht="15" customHeight="1">
      <c r="B94" s="305"/>
      <c r="C94" s="167"/>
      <c r="D94" s="309">
        <f>C77</f>
        <v>186.57693253466545</v>
      </c>
      <c r="E94" s="310">
        <f>F94-0.005</f>
        <v>1.9999999999999997E-2</v>
      </c>
      <c r="F94" s="311">
        <f>G94-0.005</f>
        <v>2.4999999999999998E-2</v>
      </c>
      <c r="G94" s="312">
        <v>0.03</v>
      </c>
      <c r="H94" s="311">
        <f>G94+0.005</f>
        <v>3.4999999999999996E-2</v>
      </c>
      <c r="I94" s="311">
        <f>H94+0.005</f>
        <v>3.9999999999999994E-2</v>
      </c>
      <c r="J94" s="313"/>
      <c r="L94" s="314">
        <f>C82</f>
        <v>19.517618746132161</v>
      </c>
      <c r="M94" s="311">
        <f>N94-0.005</f>
        <v>1.9999999999999997E-2</v>
      </c>
      <c r="N94" s="311">
        <f>O94-0.005</f>
        <v>2.4999999999999998E-2</v>
      </c>
      <c r="O94" s="312">
        <v>0.03</v>
      </c>
      <c r="P94" s="311">
        <f>O94+0.005</f>
        <v>3.4999999999999996E-2</v>
      </c>
      <c r="Q94" s="315">
        <f>P94+0.005</f>
        <v>3.9999999999999994E-2</v>
      </c>
    </row>
    <row r="95" spans="2:17" ht="15" customHeight="1">
      <c r="B95" s="305"/>
      <c r="D95" s="316">
        <f>D96+0.01</f>
        <v>0.10999999999999999</v>
      </c>
      <c r="E95" s="317">
        <v>20.680633001583054</v>
      </c>
      <c r="F95" s="317">
        <v>20.680633001583054</v>
      </c>
      <c r="G95" s="317">
        <v>20.680633001583054</v>
      </c>
      <c r="H95" s="317">
        <v>20.680633001583054</v>
      </c>
      <c r="I95" s="317">
        <v>20.680633001583054</v>
      </c>
      <c r="J95" s="318"/>
      <c r="L95" s="316">
        <f t="shared" ref="L95" si="12">L96+0.01</f>
        <v>0.10999999999999999</v>
      </c>
      <c r="M95" s="319" t="e">
        <v>#DIV/0!</v>
      </c>
      <c r="N95" s="319" t="e">
        <v>#DIV/0!</v>
      </c>
      <c r="O95" s="319" t="e">
        <v>#DIV/0!</v>
      </c>
      <c r="P95" s="319" t="e">
        <v>#DIV/0!</v>
      </c>
      <c r="Q95" s="319" t="e">
        <v>#DIV/0!</v>
      </c>
    </row>
    <row r="96" spans="2:17" ht="15" customHeight="1">
      <c r="B96" s="305"/>
      <c r="D96" s="316">
        <f>D97+0.01</f>
        <v>9.9999999999999992E-2</v>
      </c>
      <c r="E96" s="317">
        <v>20.680633001583054</v>
      </c>
      <c r="F96" s="317">
        <v>20.680633001583054</v>
      </c>
      <c r="G96" s="317">
        <v>20.680633001583054</v>
      </c>
      <c r="H96" s="317">
        <v>20.680633001583054</v>
      </c>
      <c r="I96" s="317">
        <v>20.680633001583054</v>
      </c>
      <c r="J96" s="318"/>
      <c r="L96" s="316">
        <f>L97+0.01</f>
        <v>9.9999999999999992E-2</v>
      </c>
      <c r="M96" s="319" t="e">
        <v>#DIV/0!</v>
      </c>
      <c r="N96" s="319" t="e">
        <v>#DIV/0!</v>
      </c>
      <c r="O96" s="319" t="e">
        <v>#DIV/0!</v>
      </c>
      <c r="P96" s="319" t="e">
        <v>#DIV/0!</v>
      </c>
      <c r="Q96" s="319" t="e">
        <v>#DIV/0!</v>
      </c>
    </row>
    <row r="97" spans="2:17" ht="15" customHeight="1">
      <c r="B97" s="305"/>
      <c r="C97" s="167" t="s">
        <v>491</v>
      </c>
      <c r="D97" s="320">
        <v>0.09</v>
      </c>
      <c r="E97" s="317">
        <v>20.680633001583054</v>
      </c>
      <c r="F97" s="317">
        <v>20.680633001583054</v>
      </c>
      <c r="G97" s="317">
        <v>20.680633001583054</v>
      </c>
      <c r="H97" s="317">
        <v>20.680633001583054</v>
      </c>
      <c r="I97" s="317">
        <v>20.680633001583054</v>
      </c>
      <c r="J97" s="318"/>
      <c r="K97" s="167" t="s">
        <v>491</v>
      </c>
      <c r="L97" s="320">
        <v>0.09</v>
      </c>
      <c r="M97" s="319" t="e">
        <v>#DIV/0!</v>
      </c>
      <c r="N97" s="319" t="e">
        <v>#DIV/0!</v>
      </c>
      <c r="O97" s="319" t="e">
        <v>#DIV/0!</v>
      </c>
      <c r="P97" s="319" t="e">
        <v>#DIV/0!</v>
      </c>
      <c r="Q97" s="319" t="e">
        <v>#DIV/0!</v>
      </c>
    </row>
    <row r="98" spans="2:17" ht="15" customHeight="1">
      <c r="B98" s="305"/>
      <c r="D98" s="316">
        <f t="shared" ref="D98:D99" si="13">D97-0.01</f>
        <v>0.08</v>
      </c>
      <c r="E98" s="317">
        <v>20.680633001583054</v>
      </c>
      <c r="F98" s="317">
        <v>20.680633001583054</v>
      </c>
      <c r="G98" s="317">
        <v>20.680633001583054</v>
      </c>
      <c r="H98" s="317">
        <v>20.680633001583054</v>
      </c>
      <c r="I98" s="317">
        <v>20.680633001583054</v>
      </c>
      <c r="J98" s="318"/>
      <c r="L98" s="316">
        <f t="shared" ref="L98:L99" si="14">L97-0.01</f>
        <v>0.08</v>
      </c>
      <c r="M98" s="319" t="e">
        <v>#DIV/0!</v>
      </c>
      <c r="N98" s="319" t="e">
        <v>#DIV/0!</v>
      </c>
      <c r="O98" s="319" t="e">
        <v>#DIV/0!</v>
      </c>
      <c r="P98" s="319" t="e">
        <v>#DIV/0!</v>
      </c>
      <c r="Q98" s="319" t="e">
        <v>#DIV/0!</v>
      </c>
    </row>
    <row r="99" spans="2:17" ht="15" customHeight="1">
      <c r="B99" s="321" t="s">
        <v>492</v>
      </c>
      <c r="D99" s="322">
        <f t="shared" si="13"/>
        <v>7.0000000000000007E-2</v>
      </c>
      <c r="E99" s="317">
        <v>20.680633001583054</v>
      </c>
      <c r="F99" s="317">
        <v>20.680633001583054</v>
      </c>
      <c r="G99" s="317">
        <v>20.680633001583054</v>
      </c>
      <c r="H99" s="317">
        <v>20.680633001583054</v>
      </c>
      <c r="I99" s="317">
        <v>20.680633001583054</v>
      </c>
      <c r="J99" s="318"/>
      <c r="L99" s="322">
        <f t="shared" si="14"/>
        <v>7.0000000000000007E-2</v>
      </c>
      <c r="M99" s="319" t="e">
        <v>#DIV/0!</v>
      </c>
      <c r="N99" s="319" t="e">
        <v>#DIV/0!</v>
      </c>
      <c r="O99" s="319" t="e">
        <v>#DIV/0!</v>
      </c>
      <c r="P99" s="319" t="e">
        <v>#DIV/0!</v>
      </c>
      <c r="Q99" s="319" t="e">
        <v>#DIV/0!</v>
      </c>
    </row>
    <row r="100" spans="2:17" ht="15" customHeight="1">
      <c r="B100" s="321" t="s">
        <v>493</v>
      </c>
      <c r="E100" s="323"/>
      <c r="F100" s="323"/>
      <c r="G100" s="323"/>
      <c r="H100" s="323"/>
      <c r="I100" s="323"/>
      <c r="J100" s="324"/>
    </row>
    <row r="101" spans="2:17" ht="17.25" customHeight="1">
      <c r="B101" s="305"/>
      <c r="D101" s="306" t="s">
        <v>482</v>
      </c>
      <c r="E101" s="271"/>
      <c r="F101" s="271"/>
      <c r="G101" s="271"/>
      <c r="H101" s="271"/>
      <c r="I101" s="271"/>
      <c r="J101" s="307"/>
      <c r="L101" s="306" t="s">
        <v>489</v>
      </c>
      <c r="M101" s="271"/>
      <c r="N101" s="271"/>
      <c r="O101" s="271"/>
      <c r="P101" s="271"/>
      <c r="Q101" s="271"/>
    </row>
    <row r="102" spans="2:17" ht="15" customHeight="1">
      <c r="B102" s="305"/>
      <c r="E102" s="236" t="s">
        <v>494</v>
      </c>
      <c r="F102" s="236"/>
      <c r="G102" s="236"/>
      <c r="H102" s="236"/>
      <c r="I102" s="236"/>
      <c r="J102" s="308"/>
      <c r="M102" s="236" t="s">
        <v>494</v>
      </c>
      <c r="N102" s="236"/>
      <c r="O102" s="236"/>
      <c r="P102" s="236"/>
      <c r="Q102" s="236"/>
    </row>
    <row r="103" spans="2:17" ht="15" customHeight="1">
      <c r="B103" s="305"/>
      <c r="D103" s="325">
        <f>D77</f>
        <v>215.51808305940617</v>
      </c>
      <c r="E103" s="326">
        <f>F103-1</f>
        <v>11</v>
      </c>
      <c r="F103" s="326">
        <f>G103-1</f>
        <v>12</v>
      </c>
      <c r="G103" s="327">
        <v>13</v>
      </c>
      <c r="H103" s="326">
        <f>G103+1</f>
        <v>14</v>
      </c>
      <c r="I103" s="326">
        <f>H103+1</f>
        <v>15</v>
      </c>
      <c r="J103" s="328"/>
      <c r="L103" s="314">
        <f>D82</f>
        <v>22.579373762695475</v>
      </c>
      <c r="M103" s="326">
        <f>N103-1</f>
        <v>11</v>
      </c>
      <c r="N103" s="326">
        <f>O103-1</f>
        <v>12</v>
      </c>
      <c r="O103" s="327">
        <v>13</v>
      </c>
      <c r="P103" s="326">
        <f>O103+1</f>
        <v>14</v>
      </c>
      <c r="Q103" s="329">
        <f>P103+1</f>
        <v>15</v>
      </c>
    </row>
    <row r="104" spans="2:17" ht="15" customHeight="1">
      <c r="B104" s="305"/>
      <c r="D104" s="316">
        <f t="shared" ref="D104" si="15">D105+0.01</f>
        <v>0.10999999999999999</v>
      </c>
      <c r="E104" s="317">
        <v>20.680633001583054</v>
      </c>
      <c r="F104" s="317">
        <v>20.680633001583054</v>
      </c>
      <c r="G104" s="317">
        <v>20.680633001583054</v>
      </c>
      <c r="H104" s="317">
        <v>20.680633001583054</v>
      </c>
      <c r="I104" s="317">
        <v>20.680633001583054</v>
      </c>
      <c r="J104" s="318"/>
      <c r="L104" s="316">
        <f t="shared" ref="L104" si="16">L105+0.01</f>
        <v>0.10999999999999999</v>
      </c>
      <c r="M104" s="319" t="e">
        <v>#DIV/0!</v>
      </c>
      <c r="N104" s="319" t="e">
        <v>#DIV/0!</v>
      </c>
      <c r="O104" s="319" t="e">
        <v>#DIV/0!</v>
      </c>
      <c r="P104" s="319" t="e">
        <v>#DIV/0!</v>
      </c>
      <c r="Q104" s="319" t="e">
        <v>#DIV/0!</v>
      </c>
    </row>
    <row r="105" spans="2:17" ht="15" customHeight="1">
      <c r="B105" s="305"/>
      <c r="D105" s="316">
        <f>D106+0.01</f>
        <v>9.9999999999999992E-2</v>
      </c>
      <c r="E105" s="317">
        <v>20.680633001583054</v>
      </c>
      <c r="F105" s="317">
        <v>20.680633001583054</v>
      </c>
      <c r="G105" s="317">
        <v>20.680633001583054</v>
      </c>
      <c r="H105" s="317">
        <v>20.680633001583054</v>
      </c>
      <c r="I105" s="317">
        <v>20.680633001583054</v>
      </c>
      <c r="J105" s="318"/>
      <c r="L105" s="316">
        <f>L106+0.01</f>
        <v>9.9999999999999992E-2</v>
      </c>
      <c r="M105" s="319" t="e">
        <v>#DIV/0!</v>
      </c>
      <c r="N105" s="319" t="e">
        <v>#DIV/0!</v>
      </c>
      <c r="O105" s="319" t="e">
        <v>#DIV/0!</v>
      </c>
      <c r="P105" s="319" t="e">
        <v>#DIV/0!</v>
      </c>
      <c r="Q105" s="319" t="e">
        <v>#DIV/0!</v>
      </c>
    </row>
    <row r="106" spans="2:17" ht="15" customHeight="1">
      <c r="B106" s="305"/>
      <c r="C106" s="167" t="s">
        <v>491</v>
      </c>
      <c r="D106" s="320">
        <v>0.09</v>
      </c>
      <c r="E106" s="317">
        <v>20.680633001583054</v>
      </c>
      <c r="F106" s="317">
        <v>20.680633001583054</v>
      </c>
      <c r="G106" s="317">
        <v>20.680633001583054</v>
      </c>
      <c r="H106" s="317">
        <v>20.680633001583054</v>
      </c>
      <c r="I106" s="317">
        <v>20.680633001583054</v>
      </c>
      <c r="J106" s="318"/>
      <c r="K106" s="167" t="s">
        <v>491</v>
      </c>
      <c r="L106" s="320">
        <v>0.09</v>
      </c>
      <c r="M106" s="319" t="e">
        <v>#DIV/0!</v>
      </c>
      <c r="N106" s="319" t="e">
        <v>#DIV/0!</v>
      </c>
      <c r="O106" s="319" t="e">
        <v>#DIV/0!</v>
      </c>
      <c r="P106" s="319" t="e">
        <v>#DIV/0!</v>
      </c>
      <c r="Q106" s="319" t="e">
        <v>#DIV/0!</v>
      </c>
    </row>
    <row r="107" spans="2:17" ht="15" customHeight="1">
      <c r="B107" s="305"/>
      <c r="D107" s="316">
        <f t="shared" ref="D107:D108" si="17">D106-0.01</f>
        <v>0.08</v>
      </c>
      <c r="E107" s="317">
        <v>20.680633001583054</v>
      </c>
      <c r="F107" s="317">
        <v>20.680633001583054</v>
      </c>
      <c r="G107" s="317">
        <v>20.680633001583054</v>
      </c>
      <c r="H107" s="317">
        <v>20.680633001583054</v>
      </c>
      <c r="I107" s="317">
        <v>20.680633001583054</v>
      </c>
      <c r="J107" s="318"/>
      <c r="L107" s="316">
        <f t="shared" ref="L107:L108" si="18">L106-0.01</f>
        <v>0.08</v>
      </c>
      <c r="M107" s="319" t="e">
        <v>#DIV/0!</v>
      </c>
      <c r="N107" s="319" t="e">
        <v>#DIV/0!</v>
      </c>
      <c r="O107" s="319" t="e">
        <v>#DIV/0!</v>
      </c>
      <c r="P107" s="319" t="e">
        <v>#DIV/0!</v>
      </c>
      <c r="Q107" s="319" t="e">
        <v>#DIV/0!</v>
      </c>
    </row>
    <row r="108" spans="2:17" ht="15" customHeight="1">
      <c r="B108" s="305"/>
      <c r="D108" s="322">
        <f t="shared" si="17"/>
        <v>7.0000000000000007E-2</v>
      </c>
      <c r="E108" s="317">
        <v>20.680633001583054</v>
      </c>
      <c r="F108" s="317">
        <v>20.680633001583054</v>
      </c>
      <c r="G108" s="317">
        <v>20.680633001583054</v>
      </c>
      <c r="H108" s="317">
        <v>20.680633001583054</v>
      </c>
      <c r="I108" s="317">
        <v>20.680633001583054</v>
      </c>
      <c r="J108" s="318"/>
      <c r="L108" s="322">
        <f t="shared" si="18"/>
        <v>7.0000000000000007E-2</v>
      </c>
      <c r="M108" s="319" t="e">
        <v>#DIV/0!</v>
      </c>
      <c r="N108" s="319" t="e">
        <v>#DIV/0!</v>
      </c>
      <c r="O108" s="319" t="e">
        <v>#DIV/0!</v>
      </c>
      <c r="P108" s="319" t="e">
        <v>#DIV/0!</v>
      </c>
      <c r="Q108" s="319" t="e">
        <v>#DIV/0!</v>
      </c>
    </row>
    <row r="109" spans="2:17">
      <c r="J109" s="330"/>
    </row>
    <row r="110" spans="2:17">
      <c r="B110" s="331" t="s">
        <v>495</v>
      </c>
      <c r="C110" s="331"/>
      <c r="D110" s="331"/>
      <c r="E110" s="331"/>
      <c r="G110" s="331" t="s">
        <v>496</v>
      </c>
      <c r="H110" s="331"/>
      <c r="I110" s="331"/>
      <c r="J110" s="332"/>
      <c r="K110" s="331"/>
      <c r="L110" s="331"/>
      <c r="M110" s="331"/>
      <c r="N110" s="331"/>
      <c r="O110" s="331"/>
      <c r="P110" s="331"/>
    </row>
    <row r="111" spans="2:17">
      <c r="J111" s="330"/>
    </row>
    <row r="112" spans="2:17">
      <c r="J112" s="330"/>
    </row>
    <row r="113" spans="10:13">
      <c r="J113" s="330"/>
    </row>
    <row r="114" spans="10:13">
      <c r="J114" s="330"/>
    </row>
    <row r="115" spans="10:13">
      <c r="J115" s="330"/>
    </row>
    <row r="116" spans="10:13">
      <c r="J116" s="330"/>
    </row>
    <row r="117" spans="10:13">
      <c r="J117" s="330"/>
    </row>
    <row r="118" spans="10:13">
      <c r="J118" s="330"/>
    </row>
    <row r="119" spans="10:13">
      <c r="J119" s="330"/>
    </row>
    <row r="120" spans="10:13">
      <c r="J120" s="330"/>
    </row>
    <row r="121" spans="10:13">
      <c r="J121" s="330"/>
    </row>
    <row r="122" spans="10:13">
      <c r="J122" s="330"/>
    </row>
    <row r="123" spans="10:13">
      <c r="J123" s="330"/>
    </row>
    <row r="124" spans="10:13">
      <c r="J124" s="330"/>
      <c r="M124" s="333"/>
    </row>
    <row r="125" spans="10:13">
      <c r="J125" s="330"/>
    </row>
    <row r="126" spans="10:13">
      <c r="J126" s="330"/>
    </row>
    <row r="127" spans="10:13">
      <c r="J127" s="330"/>
    </row>
    <row r="128" spans="10:13">
      <c r="J128" s="330"/>
    </row>
    <row r="129" spans="2:17">
      <c r="J129" s="330"/>
    </row>
    <row r="130" spans="2:17">
      <c r="J130" s="330"/>
    </row>
    <row r="131" spans="2:17">
      <c r="B131" s="334"/>
      <c r="C131" s="335" t="s">
        <v>497</v>
      </c>
      <c r="D131" s="335" t="s">
        <v>498</v>
      </c>
      <c r="E131" s="336" t="s">
        <v>282</v>
      </c>
      <c r="G131" s="334"/>
      <c r="H131" s="228"/>
      <c r="I131" s="228"/>
      <c r="J131" s="337"/>
      <c r="K131" s="228"/>
      <c r="L131" s="228"/>
      <c r="M131" s="228"/>
      <c r="N131" s="228"/>
      <c r="O131" s="335" t="s">
        <v>497</v>
      </c>
      <c r="P131" s="335" t="s">
        <v>498</v>
      </c>
      <c r="Q131" s="336" t="s">
        <v>282</v>
      </c>
    </row>
    <row r="132" spans="2:17">
      <c r="B132" s="338" t="str">
        <f>"DCF Value at "&amp;TEXT(E103,"0.0x")&amp;"-"&amp;TEXT(I103,"0.0x")&amp;" Exit EBITDA Range at "&amp;TEXT(D106,"0.0%")&amp;" WACC"</f>
        <v>DCF Value at 11.0x-15.0x Exit EBITDA Range at 9.0% WACC</v>
      </c>
      <c r="C132" s="256">
        <f>E106</f>
        <v>20.680633001583054</v>
      </c>
      <c r="D132" s="256">
        <f>E132-C132</f>
        <v>0</v>
      </c>
      <c r="E132" s="339">
        <f>I106</f>
        <v>20.680633001583054</v>
      </c>
      <c r="G132" s="338" t="str">
        <f>"LTM EBITDA Purchase Multiple at "&amp;TEXT(M94,"0.0%")&amp;"-"&amp;TEXT(Q94,"0.0%")&amp;" Perpetuity Growth at "&amp;TEXT(L97,"0.0%")&amp;" WACC"</f>
        <v>LTM EBITDA Purchase Multiple at 2.0%-4.0% Perpetuity Growth at 9.0% WACC</v>
      </c>
      <c r="J132" s="330"/>
      <c r="O132" s="263" t="e">
        <f>M97</f>
        <v>#DIV/0!</v>
      </c>
      <c r="P132" s="263" t="e">
        <f>Q132-O132</f>
        <v>#DIV/0!</v>
      </c>
      <c r="Q132" s="340" t="e">
        <f>Q97</f>
        <v>#DIV/0!</v>
      </c>
    </row>
    <row r="133" spans="2:17">
      <c r="B133" s="341" t="str">
        <f>"DCF Value at "&amp;TEXT(E94,"0.0%")&amp;"-"&amp;TEXT(I94,"0.0%")&amp;" Perpetuity Range at "&amp;TEXT(D106,"0.0%")&amp;" WACC"</f>
        <v>DCF Value at 2.0%-4.0% Perpetuity Range at 9.0% WACC</v>
      </c>
      <c r="C133" s="256">
        <f>E97</f>
        <v>20.680633001583054</v>
      </c>
      <c r="D133" s="256">
        <f>E133-C133</f>
        <v>0</v>
      </c>
      <c r="E133" s="339">
        <f>I97</f>
        <v>20.680633001583054</v>
      </c>
      <c r="G133" s="341" t="e">
        <f>"LTM EBITDA Purchase Multiple at "&amp;TEXT(M106,"0.0x")&amp;"-"&amp;TEXT(Q106,"0.0x")&amp;" Exit EBITDA Multiple at "&amp;TEXT(L106,"0.0%")&amp;" WACC"</f>
        <v>#DIV/0!</v>
      </c>
      <c r="J133" s="330"/>
      <c r="O133" s="263" t="e">
        <f>M106</f>
        <v>#DIV/0!</v>
      </c>
      <c r="P133" s="263" t="e">
        <f>Q133-O133</f>
        <v>#DIV/0!</v>
      </c>
      <c r="Q133" s="340" t="e">
        <f>Q106</f>
        <v>#DIV/0!</v>
      </c>
    </row>
    <row r="134" spans="2:17">
      <c r="B134" s="342" t="s">
        <v>499</v>
      </c>
      <c r="C134" s="343">
        <v>169.5</v>
      </c>
      <c r="D134" s="344">
        <f>E134-C134</f>
        <v>158.35000000000002</v>
      </c>
      <c r="E134" s="345">
        <v>327.85</v>
      </c>
      <c r="G134" s="342" t="str">
        <f>"LTM EBITDA Purchase Multiple at "&amp;TEXT(L108,"0.0%")&amp;"-"&amp;TEXT(L104,"0.0%")&amp;" WACC at "&amp;TEXT(O103,"0.0x")&amp;" Exit EBITDA"</f>
        <v>LTM EBITDA Purchase Multiple at 7.0%-11.0% WACC at 13.0x Exit EBITDA</v>
      </c>
      <c r="H134" s="109"/>
      <c r="I134" s="109"/>
      <c r="J134" s="346"/>
      <c r="K134" s="109"/>
      <c r="L134" s="109"/>
      <c r="M134" s="109"/>
      <c r="N134" s="109"/>
      <c r="O134" s="344" t="e">
        <f>O104</f>
        <v>#DIV/0!</v>
      </c>
      <c r="P134" s="344" t="e">
        <f>Q134-O134</f>
        <v>#DIV/0!</v>
      </c>
      <c r="Q134" s="347" t="e">
        <f>O108</f>
        <v>#DIV/0!</v>
      </c>
    </row>
    <row r="135" spans="2:17">
      <c r="J135" s="330"/>
    </row>
    <row r="136" spans="2:17">
      <c r="J136" s="330"/>
    </row>
  </sheetData>
  <conditionalFormatting sqref="E95:J99 E104:J108">
    <cfRule type="cellIs" dxfId="1" priority="4" operator="lessThan">
      <formula>#REF!</formula>
    </cfRule>
  </conditionalFormatting>
  <dataValidations disablePrompts="1" count="1">
    <dataValidation type="list" allowBlank="1" showInputMessage="1" showErrorMessage="1" sqref="H9" xr:uid="{2A47C13B-7E3B-42F4-BD39-D0A796599366}">
      <formula1>"0,1"</formula1>
    </dataValidation>
  </dataValidations>
  <pageMargins left="0.7" right="0.7" top="0.75" bottom="0.75" header="0.3" footer="0.3"/>
  <ignoredErrors>
    <ignoredError sqref="D75" formula="1"/>
  </ignoredErrors>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96BA4-681C-476E-9E14-CBE26B81EC3B}">
  <sheetPr>
    <tabColor theme="2" tint="-0.89999084444715716"/>
  </sheetPr>
  <dimension ref="A1:Y212"/>
  <sheetViews>
    <sheetView showGridLines="0" topLeftCell="A134" zoomScale="115" zoomScaleNormal="115" workbookViewId="0">
      <selection activeCell="L134" sqref="L134"/>
    </sheetView>
  </sheetViews>
  <sheetFormatPr defaultRowHeight="12"/>
  <cols>
    <col min="1" max="1" width="1.625" style="8" customWidth="1"/>
    <col min="2" max="2" width="31.75" style="521" bestFit="1" customWidth="1"/>
    <col min="3" max="8" width="7.875" style="521" bestFit="1" customWidth="1"/>
    <col min="9" max="9" width="2" style="521" customWidth="1"/>
    <col min="10" max="10" width="8.875" style="521" customWidth="1"/>
    <col min="11" max="11" width="1.125" style="521" customWidth="1"/>
    <col min="12" max="12" width="10" style="521" bestFit="1" customWidth="1"/>
    <col min="13" max="17" width="7.875" style="521" bestFit="1" customWidth="1"/>
    <col min="18" max="18" width="1.625" style="8" customWidth="1"/>
    <col min="19" max="19" width="7.875" style="8" customWidth="1"/>
    <col min="20" max="20" width="1.625" style="8" customWidth="1"/>
    <col min="21" max="25" width="7.875" style="8" bestFit="1" customWidth="1"/>
    <col min="26" max="16384" width="9" style="8"/>
  </cols>
  <sheetData>
    <row r="1" spans="2:20">
      <c r="B1" s="8"/>
      <c r="C1" s="8"/>
      <c r="D1" s="8"/>
      <c r="E1" s="8"/>
      <c r="F1" s="8"/>
      <c r="G1" s="8"/>
      <c r="H1" s="8"/>
      <c r="I1" s="8"/>
      <c r="J1" s="8"/>
      <c r="K1" s="8"/>
      <c r="L1" s="8"/>
      <c r="M1" s="8"/>
      <c r="N1" s="8"/>
      <c r="O1" s="8"/>
      <c r="P1" s="8"/>
      <c r="Q1" s="8"/>
    </row>
    <row r="2" spans="2:20">
      <c r="B2" s="1" t="s">
        <v>283</v>
      </c>
      <c r="C2" s="2" t="s">
        <v>506</v>
      </c>
      <c r="D2" s="2"/>
      <c r="E2" s="2"/>
      <c r="F2" s="2"/>
      <c r="G2" s="2"/>
      <c r="H2" s="2"/>
      <c r="I2" s="1"/>
      <c r="J2" s="2" t="s">
        <v>528</v>
      </c>
      <c r="K2" s="1"/>
      <c r="L2" s="2" t="s">
        <v>190</v>
      </c>
      <c r="M2" s="432"/>
      <c r="N2" s="432"/>
      <c r="O2" s="432"/>
      <c r="P2" s="432"/>
      <c r="Q2" s="2"/>
      <c r="R2" s="405"/>
      <c r="S2" s="2" t="s">
        <v>528</v>
      </c>
      <c r="T2" s="405"/>
    </row>
    <row r="3" spans="2:20">
      <c r="B3" s="6" t="s">
        <v>533</v>
      </c>
      <c r="C3" s="483">
        <v>2019</v>
      </c>
      <c r="D3" s="483">
        <v>2020</v>
      </c>
      <c r="E3" s="483">
        <v>2021</v>
      </c>
      <c r="F3" s="483">
        <v>2022</v>
      </c>
      <c r="G3" s="483">
        <v>2023</v>
      </c>
      <c r="H3" s="483">
        <v>2024</v>
      </c>
      <c r="I3" s="6"/>
      <c r="J3" s="377" t="s">
        <v>530</v>
      </c>
      <c r="K3" s="6"/>
      <c r="L3" s="462">
        <v>2025</v>
      </c>
      <c r="M3" s="462">
        <v>2026</v>
      </c>
      <c r="N3" s="462">
        <v>2027</v>
      </c>
      <c r="O3" s="462">
        <v>2028</v>
      </c>
      <c r="P3" s="462">
        <v>2029</v>
      </c>
      <c r="Q3" s="462">
        <v>2030</v>
      </c>
      <c r="R3" s="377"/>
      <c r="S3" s="377" t="s">
        <v>548</v>
      </c>
      <c r="T3" s="377"/>
    </row>
    <row r="4" spans="2:20">
      <c r="B4" s="6" t="s">
        <v>504</v>
      </c>
      <c r="C4" s="453">
        <v>43737</v>
      </c>
      <c r="D4" s="453">
        <v>44104</v>
      </c>
      <c r="E4" s="453">
        <v>44469</v>
      </c>
      <c r="F4" s="453">
        <v>44834</v>
      </c>
      <c r="G4" s="453">
        <v>45192</v>
      </c>
      <c r="H4" s="453">
        <v>45559</v>
      </c>
      <c r="I4" s="6"/>
      <c r="J4" s="3">
        <f>H4</f>
        <v>45559</v>
      </c>
      <c r="K4" s="6"/>
      <c r="L4" s="453">
        <v>45930</v>
      </c>
      <c r="M4" s="453">
        <v>46295</v>
      </c>
      <c r="N4" s="453">
        <v>46660</v>
      </c>
      <c r="O4" s="453">
        <v>47026</v>
      </c>
      <c r="P4" s="453">
        <v>47391</v>
      </c>
      <c r="Q4" s="453">
        <v>47756</v>
      </c>
      <c r="R4" s="3"/>
      <c r="S4" s="3">
        <f>Q4</f>
        <v>47756</v>
      </c>
      <c r="T4" s="3"/>
    </row>
    <row r="5" spans="2:20" ht="5.0999999999999996" customHeight="1">
      <c r="B5" s="8"/>
      <c r="C5" s="8"/>
      <c r="D5" s="8"/>
      <c r="E5" s="8"/>
      <c r="F5" s="8"/>
      <c r="G5" s="8"/>
      <c r="H5" s="8"/>
      <c r="I5" s="8"/>
      <c r="J5" s="8"/>
      <c r="K5" s="8"/>
      <c r="L5" s="8"/>
      <c r="M5" s="8"/>
      <c r="N5" s="8"/>
      <c r="O5" s="8"/>
      <c r="P5" s="8"/>
      <c r="Q5" s="8"/>
    </row>
    <row r="6" spans="2:20">
      <c r="B6" s="8" t="s">
        <v>326</v>
      </c>
      <c r="C6" s="176">
        <f>'Revenue Drivers'!F7</f>
        <v>142381</v>
      </c>
      <c r="D6" s="176">
        <f>'Revenue Drivers'!G7</f>
        <v>137781</v>
      </c>
      <c r="E6" s="176">
        <f>'Revenue Drivers'!H7</f>
        <v>191973</v>
      </c>
      <c r="F6" s="176">
        <f>'Revenue Drivers'!I7</f>
        <v>205489</v>
      </c>
      <c r="G6" s="176">
        <f>'Revenue Drivers'!J7</f>
        <v>200583</v>
      </c>
      <c r="H6" s="176">
        <f>'Revenue Drivers'!K7</f>
        <v>201183</v>
      </c>
      <c r="I6" s="8"/>
      <c r="J6" s="469">
        <f>((H6/C6)^(1/COUNT(D6:H6))-1)</f>
        <v>7.1588016377730046E-2</v>
      </c>
      <c r="K6" s="8"/>
      <c r="L6" s="498">
        <f>(H6*L64)+H6</f>
        <v>209997</v>
      </c>
      <c r="M6" s="498">
        <f>(L6*M64)+L6</f>
        <v>221832.96961107201</v>
      </c>
      <c r="N6" s="498">
        <f t="shared" ref="N6:Q6" si="0">(M6*N64)+M6</f>
        <v>234412.09138012325</v>
      </c>
      <c r="O6" s="498">
        <f t="shared" si="0"/>
        <v>243754.74286341388</v>
      </c>
      <c r="P6" s="498">
        <f t="shared" si="0"/>
        <v>253469.75200208114</v>
      </c>
      <c r="Q6" s="498">
        <f t="shared" si="0"/>
        <v>263571.95936079399</v>
      </c>
      <c r="S6" s="469">
        <f>((Q6/H6)^(1/COUNT(L6:Q6))-1)</f>
        <v>4.6047295223828222E-2</v>
      </c>
    </row>
    <row r="7" spans="2:20">
      <c r="B7" s="8" t="s">
        <v>328</v>
      </c>
      <c r="C7" s="176">
        <f>'Revenue Drivers'!F9</f>
        <v>21280</v>
      </c>
      <c r="D7" s="176">
        <f>'Revenue Drivers'!G9</f>
        <v>23724</v>
      </c>
      <c r="E7" s="176">
        <f>'Revenue Drivers'!H9</f>
        <v>31862</v>
      </c>
      <c r="F7" s="176">
        <f>'Revenue Drivers'!I9</f>
        <v>29292</v>
      </c>
      <c r="G7" s="176">
        <f>'Revenue Drivers'!J9</f>
        <v>28300</v>
      </c>
      <c r="H7" s="176">
        <f>'Revenue Drivers'!K9</f>
        <v>26694</v>
      </c>
      <c r="I7" s="8"/>
      <c r="J7" s="469">
        <f t="shared" ref="J7:J11" si="1">((H7/C7)^(1/COUNT(D7:H7))-1)</f>
        <v>4.6377533609291755E-2</v>
      </c>
      <c r="K7" s="8"/>
      <c r="L7" s="498">
        <f>(H7*L77)+H7</f>
        <v>27887.642448442926</v>
      </c>
      <c r="M7" s="498">
        <f>(L7*M77)+L7</f>
        <v>28651.91407629025</v>
      </c>
      <c r="N7" s="498">
        <f t="shared" ref="N7:Q7" si="2">(M7*N77)+M7</f>
        <v>29238.670949502157</v>
      </c>
      <c r="O7" s="498">
        <f t="shared" si="2"/>
        <v>29986.061694366523</v>
      </c>
      <c r="P7" s="498">
        <f t="shared" si="2"/>
        <v>30752.557032817705</v>
      </c>
      <c r="Q7" s="498">
        <f t="shared" si="2"/>
        <v>31538.645311143944</v>
      </c>
      <c r="S7" s="469">
        <f t="shared" ref="S7:S11" si="3">((Q7/H7)^(1/COUNT(L7:Q7))-1)</f>
        <v>2.8185708851223401E-2</v>
      </c>
    </row>
    <row r="8" spans="2:20">
      <c r="B8" s="8" t="s">
        <v>327</v>
      </c>
      <c r="C8" s="176">
        <f>'Revenue Drivers'!F8</f>
        <v>25740</v>
      </c>
      <c r="D8" s="176">
        <f>'Revenue Drivers'!G8</f>
        <v>28622</v>
      </c>
      <c r="E8" s="176">
        <f>'Revenue Drivers'!H8</f>
        <v>35190</v>
      </c>
      <c r="F8" s="176">
        <f>'Revenue Drivers'!I8</f>
        <v>40177</v>
      </c>
      <c r="G8" s="176">
        <f>'Revenue Drivers'!J8</f>
        <v>29357</v>
      </c>
      <c r="H8" s="176">
        <f>'Revenue Drivers'!K8</f>
        <v>29984</v>
      </c>
      <c r="I8" s="8"/>
      <c r="J8" s="469">
        <f t="shared" si="1"/>
        <v>3.0994160167348905E-2</v>
      </c>
      <c r="K8" s="8"/>
      <c r="L8" s="498">
        <f>(H8*L90)+H8</f>
        <v>33889.72598231279</v>
      </c>
      <c r="M8" s="498">
        <f>(L8*M90)+L8</f>
        <v>34928.374466964196</v>
      </c>
      <c r="N8" s="498">
        <f t="shared" ref="N8:Q8" si="4">(M8*N90)+M8</f>
        <v>36231.989692144001</v>
      </c>
      <c r="O8" s="498">
        <f t="shared" si="4"/>
        <v>37767.690105861409</v>
      </c>
      <c r="P8" s="498">
        <f t="shared" si="4"/>
        <v>39368.481500800954</v>
      </c>
      <c r="Q8" s="498">
        <f t="shared" si="4"/>
        <v>41037.122771730523</v>
      </c>
      <c r="S8" s="469">
        <f t="shared" si="3"/>
        <v>5.3694118036025085E-2</v>
      </c>
    </row>
    <row r="9" spans="2:20">
      <c r="B9" s="8" t="s">
        <v>330</v>
      </c>
      <c r="C9" s="176">
        <f>'Revenue Drivers'!F11</f>
        <v>24482</v>
      </c>
      <c r="D9" s="176">
        <f>'Revenue Drivers'!G11</f>
        <v>30620</v>
      </c>
      <c r="E9" s="176">
        <f>'Revenue Drivers'!H11</f>
        <v>38367</v>
      </c>
      <c r="F9" s="176">
        <f>'Revenue Drivers'!I11</f>
        <v>41241</v>
      </c>
      <c r="G9" s="176">
        <f>'Revenue Drivers'!J11</f>
        <v>39845</v>
      </c>
      <c r="H9" s="176">
        <f>'Revenue Drivers'!K11</f>
        <v>37005</v>
      </c>
      <c r="I9" s="8"/>
      <c r="J9" s="469">
        <f t="shared" si="1"/>
        <v>8.613223450937646E-2</v>
      </c>
      <c r="K9" s="8"/>
      <c r="L9" s="498">
        <f>(H9*L104)+H9</f>
        <v>35075.89605077359</v>
      </c>
      <c r="M9" s="498">
        <f>(L9*M104)+L9</f>
        <v>36700.596993546307</v>
      </c>
      <c r="N9" s="498">
        <f t="shared" ref="N9:Q9" si="5">(M9*N104)+M9</f>
        <v>38789.690674725833</v>
      </c>
      <c r="O9" s="498">
        <f t="shared" si="5"/>
        <v>41204.044080813961</v>
      </c>
      <c r="P9" s="498">
        <f t="shared" si="5"/>
        <v>43768.672012635485</v>
      </c>
      <c r="Q9" s="498">
        <f t="shared" si="5"/>
        <v>46492.927878447634</v>
      </c>
      <c r="S9" s="469">
        <f t="shared" si="3"/>
        <v>3.8774024940822605E-2</v>
      </c>
    </row>
    <row r="10" spans="2:20">
      <c r="B10" s="8" t="s">
        <v>329</v>
      </c>
      <c r="C10" s="176">
        <f>'Revenue Drivers'!F10</f>
        <v>46291</v>
      </c>
      <c r="D10" s="176">
        <f>'Revenue Drivers'!G10</f>
        <v>53768</v>
      </c>
      <c r="E10" s="176">
        <f>'Revenue Drivers'!H10</f>
        <v>68425</v>
      </c>
      <c r="F10" s="176">
        <f>'Revenue Drivers'!I10</f>
        <v>78129</v>
      </c>
      <c r="G10" s="176">
        <f>'Revenue Drivers'!J10</f>
        <v>85200</v>
      </c>
      <c r="H10" s="176">
        <f>'Revenue Drivers'!K10</f>
        <v>96169</v>
      </c>
      <c r="I10" s="8"/>
      <c r="J10" s="469">
        <f t="shared" si="1"/>
        <v>0.15746457358277954</v>
      </c>
      <c r="K10" s="8"/>
      <c r="L10" s="498">
        <f>(H10*L116)+H10</f>
        <v>108694.5</v>
      </c>
      <c r="M10" s="498">
        <f>(L10*M116)+L10</f>
        <v>121735.43990063484</v>
      </c>
      <c r="N10" s="498">
        <f t="shared" ref="N10:Q10" si="6">(M10*N116)+M10</f>
        <v>135521.31821456115</v>
      </c>
      <c r="O10" s="498">
        <f t="shared" si="6"/>
        <v>150697.51517795119</v>
      </c>
      <c r="P10" s="498">
        <f t="shared" si="6"/>
        <v>167573.20088086903</v>
      </c>
      <c r="Q10" s="498">
        <f t="shared" si="6"/>
        <v>186338.69059022565</v>
      </c>
      <c r="S10" s="469">
        <f t="shared" si="3"/>
        <v>0.11654952174365252</v>
      </c>
    </row>
    <row r="11" spans="2:20">
      <c r="B11" s="40" t="s">
        <v>13</v>
      </c>
      <c r="C11" s="465">
        <f>SUM(C6:C10)</f>
        <v>260174</v>
      </c>
      <c r="D11" s="465">
        <f>SUM(D6:D10)</f>
        <v>274515</v>
      </c>
      <c r="E11" s="465">
        <f>SUM(E6:E10)</f>
        <v>365817</v>
      </c>
      <c r="F11" s="465">
        <f>SUM(F6:F10)</f>
        <v>394328</v>
      </c>
      <c r="G11" s="465">
        <f>SUM(G6:G10)</f>
        <v>383285</v>
      </c>
      <c r="H11" s="465">
        <f>SUM(H6:H10)</f>
        <v>391035</v>
      </c>
      <c r="I11" s="40"/>
      <c r="J11" s="470">
        <f t="shared" si="1"/>
        <v>8.4901594340847764E-2</v>
      </c>
      <c r="K11" s="40"/>
      <c r="L11" s="465">
        <f>SUM(L6:L10)</f>
        <v>415544.76448152936</v>
      </c>
      <c r="M11" s="465">
        <f>SUM(M6:M10)</f>
        <v>443849.29504850763</v>
      </c>
      <c r="N11" s="465">
        <f>SUM(N6:N10)</f>
        <v>474193.76091105636</v>
      </c>
      <c r="O11" s="465">
        <f>SUM(O6:O10)</f>
        <v>503410.05392240692</v>
      </c>
      <c r="P11" s="465">
        <f>SUM(P6:P10)</f>
        <v>534932.66342920426</v>
      </c>
      <c r="Q11" s="465">
        <f>SUM(Q6:Q10)</f>
        <v>568979.34591234173</v>
      </c>
      <c r="S11" s="470">
        <f t="shared" si="3"/>
        <v>6.4502808933490918E-2</v>
      </c>
    </row>
    <row r="12" spans="2:20">
      <c r="B12" s="8"/>
      <c r="C12" s="176"/>
      <c r="D12" s="176"/>
      <c r="E12" s="176"/>
      <c r="F12" s="176"/>
      <c r="G12" s="176"/>
      <c r="H12" s="176"/>
      <c r="I12" s="8"/>
      <c r="J12" s="8"/>
      <c r="K12" s="8"/>
      <c r="L12" s="176"/>
      <c r="M12" s="176"/>
      <c r="N12" s="176"/>
      <c r="O12" s="176"/>
      <c r="P12" s="176"/>
      <c r="Q12" s="176"/>
      <c r="S12" s="469"/>
    </row>
    <row r="13" spans="2:20">
      <c r="B13" s="8" t="s">
        <v>529</v>
      </c>
      <c r="C13" s="176">
        <f>'Historical Financials'!F17</f>
        <v>-161782</v>
      </c>
      <c r="D13" s="176">
        <f>'Historical Financials'!G17</f>
        <v>-169559</v>
      </c>
      <c r="E13" s="176">
        <f>'Historical Financials'!H17</f>
        <v>-212981</v>
      </c>
      <c r="F13" s="176">
        <f>'Historical Financials'!I17</f>
        <v>-223546</v>
      </c>
      <c r="G13" s="176">
        <f>'Historical Financials'!J17</f>
        <v>-214137</v>
      </c>
      <c r="H13" s="176">
        <f>'Historical Financials'!K17</f>
        <v>-210352</v>
      </c>
      <c r="I13" s="8"/>
      <c r="J13" s="469">
        <f>((H13/C13)^(1/COUNT(D13:H13))-1)</f>
        <v>5.390942679499644E-2</v>
      </c>
      <c r="K13" s="8"/>
      <c r="L13" s="498">
        <f>-(L11-L14)</f>
        <v>-221450.77451353951</v>
      </c>
      <c r="M13" s="498">
        <f t="shared" ref="M13:Q13" si="7">-(M11-M14)</f>
        <v>-234796.27708066054</v>
      </c>
      <c r="N13" s="498">
        <f t="shared" si="7"/>
        <v>-248003.3369564825</v>
      </c>
      <c r="O13" s="498">
        <f t="shared" si="7"/>
        <v>-260766.40793180678</v>
      </c>
      <c r="P13" s="498">
        <f t="shared" si="7"/>
        <v>-277095.11965632782</v>
      </c>
      <c r="Q13" s="498">
        <f t="shared" si="7"/>
        <v>-294731.30118259304</v>
      </c>
      <c r="S13" s="469">
        <f>((Q13/L13)^(1/COUNT(M13:Q13))-1)</f>
        <v>5.8838713218096528E-2</v>
      </c>
    </row>
    <row r="14" spans="2:20">
      <c r="B14" s="40" t="s">
        <v>31</v>
      </c>
      <c r="C14" s="465">
        <f>+C13+C11</f>
        <v>98392</v>
      </c>
      <c r="D14" s="465">
        <f>+D13+D11</f>
        <v>104956</v>
      </c>
      <c r="E14" s="465">
        <f>+E13+E11</f>
        <v>152836</v>
      </c>
      <c r="F14" s="465">
        <f>+F13+F11</f>
        <v>170782</v>
      </c>
      <c r="G14" s="465">
        <f>+G13+G11</f>
        <v>169148</v>
      </c>
      <c r="H14" s="465">
        <f>+H13+H11</f>
        <v>180683</v>
      </c>
      <c r="I14" s="40"/>
      <c r="J14" s="470">
        <f t="shared" ref="J14" si="8">((H14/C14)^(1/COUNT(D14:H14))-1)</f>
        <v>0.12925364452163768</v>
      </c>
      <c r="K14" s="40"/>
      <c r="L14" s="465">
        <f>L11*L133</f>
        <v>194093.98996798985</v>
      </c>
      <c r="M14" s="465">
        <f t="shared" ref="M14:Q14" si="9">M11*M133</f>
        <v>209053.01796784709</v>
      </c>
      <c r="N14" s="465">
        <f t="shared" si="9"/>
        <v>226190.42395457387</v>
      </c>
      <c r="O14" s="465">
        <f t="shared" si="9"/>
        <v>242643.64599060014</v>
      </c>
      <c r="P14" s="465">
        <f t="shared" si="9"/>
        <v>257837.54377287644</v>
      </c>
      <c r="Q14" s="465">
        <f t="shared" si="9"/>
        <v>274248.04472974868</v>
      </c>
      <c r="S14" s="470">
        <f>((Q14/L14)^(1/COUNT(M14:Q14))-1)</f>
        <v>7.1584172597918494E-2</v>
      </c>
    </row>
    <row r="15" spans="2:20" ht="5.0999999999999996" customHeight="1">
      <c r="B15" s="8"/>
      <c r="C15" s="74"/>
      <c r="D15" s="74"/>
      <c r="E15" s="74"/>
      <c r="F15" s="74"/>
      <c r="G15" s="74"/>
      <c r="H15" s="74"/>
      <c r="I15" s="8"/>
      <c r="J15" s="8"/>
      <c r="K15" s="8"/>
      <c r="L15" s="74"/>
      <c r="M15" s="74"/>
      <c r="N15" s="74"/>
      <c r="O15" s="74"/>
      <c r="P15" s="74"/>
      <c r="Q15" s="74"/>
      <c r="S15" s="469"/>
    </row>
    <row r="16" spans="2:20">
      <c r="B16" s="8" t="s">
        <v>313</v>
      </c>
      <c r="C16" s="176">
        <f>'Historical Financials'!F21</f>
        <v>-16217</v>
      </c>
      <c r="D16" s="176">
        <f>'Historical Financials'!G21</f>
        <v>-18752</v>
      </c>
      <c r="E16" s="176">
        <f>'Historical Financials'!H21</f>
        <v>-21914</v>
      </c>
      <c r="F16" s="176">
        <f>'Historical Financials'!I21</f>
        <v>-26251</v>
      </c>
      <c r="G16" s="176">
        <f>'Historical Financials'!J21</f>
        <v>-29915</v>
      </c>
      <c r="H16" s="176">
        <f>'Historical Financials'!K21</f>
        <v>-31370</v>
      </c>
      <c r="I16" s="8"/>
      <c r="J16" s="469">
        <f t="shared" ref="J16:J29" si="10">((H16/C16)^(1/COUNT(D16:H16))-1)</f>
        <v>0.14106083815947157</v>
      </c>
      <c r="K16" s="8"/>
      <c r="L16" s="498">
        <f>-(L146*L11)</f>
        <v>-51347.562737289278</v>
      </c>
      <c r="M16" s="498">
        <f>-(M146*M11)</f>
        <v>-56223.206675222726</v>
      </c>
      <c r="N16" s="498">
        <f>-(N146*N11)</f>
        <v>-61763.834198605735</v>
      </c>
      <c r="O16" s="498">
        <f>-(O146*O11)</f>
        <v>-67649.682312428544</v>
      </c>
      <c r="P16" s="498">
        <f>-(P146*P11)</f>
        <v>-70548.449043583503</v>
      </c>
      <c r="Q16" s="498">
        <f>-(Q146*Q11)</f>
        <v>-74634.757100584102</v>
      </c>
      <c r="S16" s="469">
        <f t="shared" ref="S16:S29" si="11">((Q16/L16)^(1/COUNT(M16:Q16))-1)</f>
        <v>7.7666190271683533E-2</v>
      </c>
    </row>
    <row r="17" spans="2:19">
      <c r="B17" s="8" t="s">
        <v>314</v>
      </c>
      <c r="C17" s="176">
        <f>'Historical Financials'!F22</f>
        <v>-18245</v>
      </c>
      <c r="D17" s="176">
        <f>'Historical Financials'!G22</f>
        <v>-19916</v>
      </c>
      <c r="E17" s="176">
        <f>'Historical Financials'!H22</f>
        <v>-21973</v>
      </c>
      <c r="F17" s="176">
        <f>'Historical Financials'!I22</f>
        <v>-25094</v>
      </c>
      <c r="G17" s="176">
        <f>'Historical Financials'!J22</f>
        <v>-24932</v>
      </c>
      <c r="H17" s="176">
        <f>'Historical Financials'!K22</f>
        <v>-26097</v>
      </c>
      <c r="I17" s="8"/>
      <c r="J17" s="469">
        <f t="shared" si="10"/>
        <v>7.4210377436351838E-2</v>
      </c>
      <c r="K17" s="8"/>
      <c r="L17" s="498">
        <f>-(L159*L11)</f>
        <v>-27812.03230865052</v>
      </c>
      <c r="M17" s="498">
        <f t="shared" ref="M17:Q17" si="12">-(M159*M11)</f>
        <v>-30346.640013009895</v>
      </c>
      <c r="N17" s="498">
        <f t="shared" si="12"/>
        <v>-32805.043977170288</v>
      </c>
      <c r="O17" s="498">
        <f t="shared" si="12"/>
        <v>-35692.733178826958</v>
      </c>
      <c r="P17" s="498">
        <f t="shared" si="12"/>
        <v>-36964.714987252628</v>
      </c>
      <c r="Q17" s="498">
        <f t="shared" si="12"/>
        <v>-39206.228249978165</v>
      </c>
      <c r="S17" s="469">
        <f t="shared" si="11"/>
        <v>7.1086308268728082E-2</v>
      </c>
    </row>
    <row r="18" spans="2:19">
      <c r="B18" s="40" t="s">
        <v>136</v>
      </c>
      <c r="C18" s="465">
        <f>SUM(C16:C17)+C14</f>
        <v>63930</v>
      </c>
      <c r="D18" s="465">
        <f>SUM(D16:D17)+D14</f>
        <v>66288</v>
      </c>
      <c r="E18" s="465">
        <f>SUM(E16:E17)+E14</f>
        <v>108949</v>
      </c>
      <c r="F18" s="465">
        <f>SUM(F16:F17)+F14</f>
        <v>119437</v>
      </c>
      <c r="G18" s="465">
        <f>SUM(G16:G17)+G14</f>
        <v>114301</v>
      </c>
      <c r="H18" s="465">
        <f>SUM(H16:H17)+H14</f>
        <v>123216</v>
      </c>
      <c r="I18" s="40"/>
      <c r="J18" s="470">
        <f t="shared" si="10"/>
        <v>0.14023004465250444</v>
      </c>
      <c r="K18" s="40"/>
      <c r="L18" s="465">
        <f>SUM(L16:L17)+L14</f>
        <v>114934.39492205005</v>
      </c>
      <c r="M18" s="465">
        <f t="shared" ref="M18:Q18" si="13">SUM(M16:M17)+M14</f>
        <v>122483.17127961447</v>
      </c>
      <c r="N18" s="465">
        <f t="shared" si="13"/>
        <v>131621.54577879785</v>
      </c>
      <c r="O18" s="465">
        <f t="shared" si="13"/>
        <v>139301.23049934465</v>
      </c>
      <c r="P18" s="465">
        <f t="shared" si="13"/>
        <v>150324.3797420403</v>
      </c>
      <c r="Q18" s="465">
        <f t="shared" si="13"/>
        <v>160407.05937918642</v>
      </c>
      <c r="S18" s="470">
        <f t="shared" si="11"/>
        <v>6.8943357051220788E-2</v>
      </c>
    </row>
    <row r="19" spans="2:19" ht="5.0999999999999996" customHeight="1">
      <c r="B19" s="8"/>
      <c r="C19" s="8"/>
      <c r="D19" s="8"/>
      <c r="E19" s="8"/>
      <c r="F19" s="8"/>
      <c r="G19" s="8"/>
      <c r="H19" s="8"/>
      <c r="I19" s="8"/>
      <c r="J19" s="8"/>
      <c r="K19" s="8"/>
      <c r="L19" s="8"/>
      <c r="M19" s="8"/>
      <c r="N19" s="8"/>
      <c r="O19" s="8"/>
      <c r="P19" s="8"/>
      <c r="Q19" s="8"/>
    </row>
    <row r="20" spans="2:19">
      <c r="B20" s="8" t="s">
        <v>138</v>
      </c>
      <c r="C20" s="468">
        <v>4961</v>
      </c>
      <c r="D20" s="468">
        <v>3763</v>
      </c>
      <c r="E20" s="468">
        <v>2843</v>
      </c>
      <c r="F20" s="468">
        <v>2825</v>
      </c>
      <c r="G20" s="468">
        <v>3750</v>
      </c>
      <c r="H20" s="468">
        <v>1583.29575</v>
      </c>
      <c r="I20" s="8"/>
      <c r="J20" s="469">
        <f t="shared" si="10"/>
        <v>-0.20420984177564427</v>
      </c>
      <c r="K20" s="8"/>
      <c r="L20" s="498">
        <f>+(H20*L51)+H20</f>
        <v>1680.7710703306611</v>
      </c>
      <c r="M20" s="498">
        <f>+(L20*M51)+L20</f>
        <v>1786.360199623264</v>
      </c>
      <c r="N20" s="498">
        <f>+(M20*N51)+M20</f>
        <v>1909.6136361273864</v>
      </c>
      <c r="O20" s="498">
        <f t="shared" ref="O20:Q20" si="14">+(N20*O51)+N20</f>
        <v>2011.0046710481961</v>
      </c>
      <c r="P20" s="498">
        <f t="shared" si="14"/>
        <v>2133.6400185909465</v>
      </c>
      <c r="Q20" s="498">
        <f t="shared" si="14"/>
        <v>2263.7539307951565</v>
      </c>
      <c r="S20" s="469">
        <f t="shared" si="11"/>
        <v>6.1363456841281527E-2</v>
      </c>
    </row>
    <row r="21" spans="2:19">
      <c r="B21" s="8" t="s">
        <v>242</v>
      </c>
      <c r="C21" s="468">
        <v>-3576</v>
      </c>
      <c r="D21" s="468">
        <v>-2873</v>
      </c>
      <c r="E21" s="468">
        <v>-2645</v>
      </c>
      <c r="F21" s="468">
        <v>-2931</v>
      </c>
      <c r="G21" s="468">
        <v>-3933</v>
      </c>
      <c r="H21" s="468">
        <v>-515</v>
      </c>
      <c r="I21" s="8"/>
      <c r="J21" s="469">
        <f t="shared" si="10"/>
        <v>-0.32129360108681193</v>
      </c>
      <c r="K21" s="8"/>
      <c r="L21" s="498">
        <f>H21</f>
        <v>-515</v>
      </c>
      <c r="M21" s="498">
        <f>L21</f>
        <v>-515</v>
      </c>
      <c r="N21" s="498">
        <f t="shared" ref="N21:Q21" si="15">M21</f>
        <v>-515</v>
      </c>
      <c r="O21" s="498">
        <f t="shared" si="15"/>
        <v>-515</v>
      </c>
      <c r="P21" s="498">
        <f t="shared" si="15"/>
        <v>-515</v>
      </c>
      <c r="Q21" s="498">
        <f t="shared" si="15"/>
        <v>-515</v>
      </c>
      <c r="S21" s="469">
        <f t="shared" si="11"/>
        <v>0</v>
      </c>
    </row>
    <row r="22" spans="2:19">
      <c r="B22" s="8" t="s">
        <v>531</v>
      </c>
      <c r="C22" s="468">
        <v>-422</v>
      </c>
      <c r="D22" s="468">
        <v>-87</v>
      </c>
      <c r="E22" s="468">
        <v>60</v>
      </c>
      <c r="F22" s="468">
        <v>-228</v>
      </c>
      <c r="G22" s="468">
        <v>-382</v>
      </c>
      <c r="H22" s="468">
        <v>-799.29575</v>
      </c>
      <c r="I22" s="8"/>
      <c r="J22" s="469">
        <f t="shared" si="10"/>
        <v>0.13626338075912137</v>
      </c>
      <c r="K22" s="8"/>
      <c r="L22" s="498">
        <f>H22</f>
        <v>-799.29575</v>
      </c>
      <c r="M22" s="498">
        <f>L22</f>
        <v>-799.29575</v>
      </c>
      <c r="N22" s="498">
        <f t="shared" ref="N22:Q22" si="16">M22</f>
        <v>-799.29575</v>
      </c>
      <c r="O22" s="498">
        <f t="shared" si="16"/>
        <v>-799.29575</v>
      </c>
      <c r="P22" s="498">
        <f t="shared" si="16"/>
        <v>-799.29575</v>
      </c>
      <c r="Q22" s="498">
        <f t="shared" si="16"/>
        <v>-799.29575</v>
      </c>
      <c r="S22" s="469">
        <f t="shared" si="11"/>
        <v>0</v>
      </c>
    </row>
    <row r="23" spans="2:19">
      <c r="B23" s="40" t="s">
        <v>141</v>
      </c>
      <c r="C23" s="465">
        <f>SUM(C20:C22)+C18</f>
        <v>64893</v>
      </c>
      <c r="D23" s="465">
        <f>SUM(D20:D22)+D18</f>
        <v>67091</v>
      </c>
      <c r="E23" s="465">
        <f>SUM(E20:E22)+E18</f>
        <v>109207</v>
      </c>
      <c r="F23" s="465">
        <f>SUM(F20:F22)+F18</f>
        <v>119103</v>
      </c>
      <c r="G23" s="465">
        <f>SUM(G20:G22)+G18</f>
        <v>113736</v>
      </c>
      <c r="H23" s="465">
        <f>SUM(H20:H22)+H18</f>
        <v>123485</v>
      </c>
      <c r="I23" s="40"/>
      <c r="J23" s="470">
        <f t="shared" si="10"/>
        <v>0.1373215567046826</v>
      </c>
      <c r="K23" s="40"/>
      <c r="L23" s="465">
        <f>SUM(L20:L22)+L18</f>
        <v>115300.87024238071</v>
      </c>
      <c r="M23" s="465">
        <f t="shared" ref="M23:Q23" si="17">SUM(M20:M22)+M18</f>
        <v>122955.23572923774</v>
      </c>
      <c r="N23" s="465">
        <f t="shared" si="17"/>
        <v>132216.86366492524</v>
      </c>
      <c r="O23" s="465">
        <f t="shared" si="17"/>
        <v>139997.93942039285</v>
      </c>
      <c r="P23" s="465">
        <f t="shared" si="17"/>
        <v>151143.72401063124</v>
      </c>
      <c r="Q23" s="465">
        <f t="shared" si="17"/>
        <v>161356.51755998158</v>
      </c>
      <c r="S23" s="467">
        <f t="shared" si="11"/>
        <v>6.9524617825680535E-2</v>
      </c>
    </row>
    <row r="24" spans="2:19" ht="5.0999999999999996" customHeight="1">
      <c r="B24" s="40"/>
      <c r="C24" s="375"/>
      <c r="D24" s="375"/>
      <c r="E24" s="375"/>
      <c r="F24" s="375"/>
      <c r="G24" s="375"/>
      <c r="H24" s="375"/>
      <c r="I24" s="40"/>
      <c r="J24" s="40"/>
      <c r="K24" s="40"/>
      <c r="L24" s="375"/>
      <c r="M24" s="375"/>
      <c r="N24" s="375"/>
      <c r="O24" s="375"/>
      <c r="P24" s="375"/>
      <c r="Q24" s="375"/>
      <c r="S24" s="466"/>
    </row>
    <row r="25" spans="2:19">
      <c r="B25" s="8" t="s">
        <v>549</v>
      </c>
      <c r="C25" s="176">
        <f>'Historical Financials'!F29</f>
        <v>-10481</v>
      </c>
      <c r="D25" s="176">
        <f>'Historical Financials'!G29</f>
        <v>-9680</v>
      </c>
      <c r="E25" s="176">
        <f>'Historical Financials'!H29</f>
        <v>-14527</v>
      </c>
      <c r="F25" s="176">
        <f>'Historical Financials'!I29</f>
        <v>-19300</v>
      </c>
      <c r="G25" s="176">
        <f>'Historical Financials'!J29</f>
        <v>-16741</v>
      </c>
      <c r="H25" s="176">
        <f>'Historical Financials'!K29</f>
        <v>-29749</v>
      </c>
      <c r="I25" s="8"/>
      <c r="J25" s="469">
        <f t="shared" si="10"/>
        <v>0.23200914103941872</v>
      </c>
      <c r="K25" s="8"/>
      <c r="L25" s="498">
        <f>+(H25*L174)+H25</f>
        <v>-34449.341999999997</v>
      </c>
      <c r="M25" s="498">
        <f>+(L25*M174)+L25</f>
        <v>-39961.236719999994</v>
      </c>
      <c r="N25" s="498">
        <f t="shared" ref="N25:Q25" si="18">+(M25*N174)+M25</f>
        <v>-46355.034595199992</v>
      </c>
      <c r="O25" s="498">
        <f t="shared" si="18"/>
        <v>-53771.840130431992</v>
      </c>
      <c r="P25" s="498">
        <f t="shared" si="18"/>
        <v>-62375.334551301115</v>
      </c>
      <c r="Q25" s="498">
        <f t="shared" si="18"/>
        <v>-72355.388079509299</v>
      </c>
      <c r="S25" s="466">
        <f t="shared" si="11"/>
        <v>0.15999999999999992</v>
      </c>
    </row>
    <row r="26" spans="2:19">
      <c r="B26" s="40" t="s">
        <v>18</v>
      </c>
      <c r="C26" s="465">
        <f>+C23+C25</f>
        <v>54412</v>
      </c>
      <c r="D26" s="465">
        <f>+D23+D25</f>
        <v>57411</v>
      </c>
      <c r="E26" s="465">
        <f>+E23+E25</f>
        <v>94680</v>
      </c>
      <c r="F26" s="465">
        <f>+F23+F25</f>
        <v>99803</v>
      </c>
      <c r="G26" s="465">
        <f>+G23+G25</f>
        <v>96995</v>
      </c>
      <c r="H26" s="465">
        <f>+H23+H25</f>
        <v>93736</v>
      </c>
      <c r="I26" s="40"/>
      <c r="J26" s="470">
        <f t="shared" si="10"/>
        <v>0.11491650702783929</v>
      </c>
      <c r="K26" s="40"/>
      <c r="L26" s="465">
        <f>+L23+L25</f>
        <v>80851.528242380708</v>
      </c>
      <c r="M26" s="465">
        <f t="shared" ref="M26:Q26" si="19">+M23+M25</f>
        <v>82993.999009237741</v>
      </c>
      <c r="N26" s="465">
        <f t="shared" si="19"/>
        <v>85861.829069725252</v>
      </c>
      <c r="O26" s="465">
        <f t="shared" si="19"/>
        <v>86226.099289960868</v>
      </c>
      <c r="P26" s="465">
        <f t="shared" si="19"/>
        <v>88768.389459330123</v>
      </c>
      <c r="Q26" s="465">
        <f t="shared" si="19"/>
        <v>89001.129480472286</v>
      </c>
      <c r="S26" s="467">
        <f t="shared" si="11"/>
        <v>1.93925538782036E-2</v>
      </c>
    </row>
    <row r="27" spans="2:19">
      <c r="B27" s="40"/>
      <c r="C27" s="472"/>
      <c r="D27" s="472"/>
      <c r="E27" s="472"/>
      <c r="F27" s="472"/>
      <c r="G27" s="472"/>
      <c r="H27" s="472"/>
      <c r="I27" s="40"/>
      <c r="J27" s="40"/>
      <c r="K27" s="40"/>
      <c r="L27" s="472"/>
      <c r="M27" s="472"/>
      <c r="N27" s="472"/>
      <c r="O27" s="472"/>
      <c r="P27" s="472"/>
      <c r="Q27" s="472"/>
      <c r="S27" s="467"/>
    </row>
    <row r="28" spans="2:19">
      <c r="B28" s="8" t="s">
        <v>532</v>
      </c>
      <c r="C28" s="176">
        <f>'Historical Financials'!F83</f>
        <v>12547</v>
      </c>
      <c r="D28" s="176">
        <f>'Historical Financials'!G83</f>
        <v>11056</v>
      </c>
      <c r="E28" s="176">
        <f>'Historical Financials'!H83</f>
        <v>11284</v>
      </c>
      <c r="F28" s="176">
        <f>'Historical Financials'!I83</f>
        <v>11104</v>
      </c>
      <c r="G28" s="176">
        <f>'Historical Financials'!J83</f>
        <v>11519</v>
      </c>
      <c r="H28" s="176">
        <f>'Historical Financials'!K83</f>
        <v>11445</v>
      </c>
      <c r="I28" s="8"/>
      <c r="J28" s="469">
        <f t="shared" si="10"/>
        <v>-1.8217741551265987E-2</v>
      </c>
      <c r="K28" s="8"/>
      <c r="L28" s="498">
        <f>+(H28*L189)+H28</f>
        <v>11871.630207022761</v>
      </c>
      <c r="M28" s="498">
        <f>+(L28*M189)+L28</f>
        <v>13542.92596299306</v>
      </c>
      <c r="N28" s="498">
        <f>+(M28*N189)+M28</f>
        <v>14544.849729350262</v>
      </c>
      <c r="O28" s="498">
        <f>+(N28*O189)+N28</f>
        <v>15620.897155272205</v>
      </c>
      <c r="P28" s="498">
        <f>+(O28*P189)+O28</f>
        <v>17050.46448620849</v>
      </c>
      <c r="Q28" s="498">
        <f>+(P28*Q189)+P28</f>
        <v>18690.543026803727</v>
      </c>
      <c r="S28" s="469">
        <f t="shared" si="11"/>
        <v>9.5020656602698539E-2</v>
      </c>
    </row>
    <row r="29" spans="2:19">
      <c r="B29" s="40" t="s">
        <v>11</v>
      </c>
      <c r="C29" s="465">
        <f>+C18+C28</f>
        <v>76477</v>
      </c>
      <c r="D29" s="465">
        <f>+D18+D28</f>
        <v>77344</v>
      </c>
      <c r="E29" s="465">
        <f>+E18+E28</f>
        <v>120233</v>
      </c>
      <c r="F29" s="465">
        <f>+F18+F28</f>
        <v>130541</v>
      </c>
      <c r="G29" s="465">
        <f>+G18+G28</f>
        <v>125820</v>
      </c>
      <c r="H29" s="465">
        <f>+H18+H28</f>
        <v>134661</v>
      </c>
      <c r="I29" s="40"/>
      <c r="J29" s="470">
        <f t="shared" si="10"/>
        <v>0.1198044741707609</v>
      </c>
      <c r="K29" s="40"/>
      <c r="L29" s="465">
        <f>+L18+L28</f>
        <v>126806.0251290728</v>
      </c>
      <c r="M29" s="465">
        <f t="shared" ref="M29:Q29" si="20">+M18+M28</f>
        <v>136026.09724260753</v>
      </c>
      <c r="N29" s="465">
        <f t="shared" si="20"/>
        <v>146166.39550814813</v>
      </c>
      <c r="O29" s="465">
        <f t="shared" si="20"/>
        <v>154922.12765461684</v>
      </c>
      <c r="P29" s="465">
        <f t="shared" si="20"/>
        <v>167374.84422824878</v>
      </c>
      <c r="Q29" s="465">
        <f t="shared" si="20"/>
        <v>179097.60240599015</v>
      </c>
      <c r="S29" s="470">
        <f t="shared" si="11"/>
        <v>7.149457495637157E-2</v>
      </c>
    </row>
    <row r="30" spans="2:19">
      <c r="B30" s="40"/>
      <c r="C30" s="472"/>
      <c r="D30" s="472"/>
      <c r="E30" s="472"/>
      <c r="F30" s="472"/>
      <c r="G30" s="472"/>
      <c r="H30" s="472"/>
      <c r="I30" s="40"/>
      <c r="J30" s="470"/>
      <c r="K30" s="40"/>
      <c r="L30" s="472"/>
      <c r="M30" s="472"/>
      <c r="N30" s="472"/>
      <c r="O30" s="472"/>
      <c r="P30" s="472"/>
      <c r="Q30" s="472"/>
      <c r="S30" s="470"/>
    </row>
    <row r="31" spans="2:19">
      <c r="B31" s="8" t="s">
        <v>297</v>
      </c>
      <c r="C31" s="176">
        <f>'Historical Financials'!F84</f>
        <v>6068</v>
      </c>
      <c r="D31" s="176">
        <f>'Historical Financials'!G84</f>
        <v>6829</v>
      </c>
      <c r="E31" s="176">
        <f>'Historical Financials'!H84</f>
        <v>7906</v>
      </c>
      <c r="F31" s="176">
        <f>'Historical Financials'!I84</f>
        <v>9038</v>
      </c>
      <c r="G31" s="176">
        <f>'Historical Financials'!J84</f>
        <v>10833</v>
      </c>
      <c r="H31" s="176">
        <f>'Historical Financials'!K84</f>
        <v>11688</v>
      </c>
      <c r="I31" s="8"/>
      <c r="J31" s="469">
        <f t="shared" ref="J31:J32" si="21">((H31/C31)^(1/COUNT(D31:H31))-1)</f>
        <v>0.14008944812107327</v>
      </c>
      <c r="K31" s="8"/>
      <c r="L31" s="498">
        <f>+(H31*L200)+H31</f>
        <v>12872.629095674965</v>
      </c>
      <c r="M31" s="498">
        <f>+(L31*M200)+L31</f>
        <v>13752.46859968122</v>
      </c>
      <c r="N31" s="498">
        <f>+(M31*N200)+M31</f>
        <v>14811.594582575171</v>
      </c>
      <c r="O31" s="498">
        <f>+(N31*O200)+N31</f>
        <v>15557.252579833055</v>
      </c>
      <c r="P31" s="498">
        <f>+(O31*P200)+O31</f>
        <v>16256.461915314292</v>
      </c>
      <c r="Q31" s="498">
        <f>+(P31*Q200)+P31</f>
        <v>17148.465402349328</v>
      </c>
      <c r="S31" s="469">
        <f t="shared" ref="S31:S32" si="22">((Q31/L31)^(1/COUNT(M31:Q31))-1)</f>
        <v>5.9038140342132062E-2</v>
      </c>
    </row>
    <row r="32" spans="2:19">
      <c r="B32" s="40" t="s">
        <v>56</v>
      </c>
      <c r="C32" s="465">
        <f t="shared" ref="C32:G32" si="23">+C29+C31</f>
        <v>82545</v>
      </c>
      <c r="D32" s="465">
        <f t="shared" si="23"/>
        <v>84173</v>
      </c>
      <c r="E32" s="465">
        <f t="shared" si="23"/>
        <v>128139</v>
      </c>
      <c r="F32" s="465">
        <f t="shared" si="23"/>
        <v>139579</v>
      </c>
      <c r="G32" s="465">
        <f t="shared" si="23"/>
        <v>136653</v>
      </c>
      <c r="H32" s="465">
        <f>+H29+H31</f>
        <v>146349</v>
      </c>
      <c r="I32" s="40"/>
      <c r="J32" s="470">
        <f t="shared" si="21"/>
        <v>0.12134641124822965</v>
      </c>
      <c r="K32" s="40"/>
      <c r="L32" s="465">
        <f t="shared" ref="L32:Q32" si="24">+L29+L31</f>
        <v>139678.65422474776</v>
      </c>
      <c r="M32" s="465">
        <f t="shared" si="24"/>
        <v>149778.56584228875</v>
      </c>
      <c r="N32" s="465">
        <f t="shared" si="24"/>
        <v>160977.99009072329</v>
      </c>
      <c r="O32" s="465">
        <f t="shared" si="24"/>
        <v>170479.3802344499</v>
      </c>
      <c r="P32" s="465">
        <f t="shared" si="24"/>
        <v>183631.30614356307</v>
      </c>
      <c r="Q32" s="465">
        <f t="shared" si="24"/>
        <v>196246.06780833949</v>
      </c>
      <c r="S32" s="470">
        <f t="shared" si="22"/>
        <v>7.037063087794837E-2</v>
      </c>
    </row>
    <row r="33" spans="1:25">
      <c r="B33" s="40"/>
      <c r="C33" s="472"/>
      <c r="D33" s="472"/>
      <c r="E33" s="472"/>
      <c r="F33" s="472"/>
      <c r="G33" s="472"/>
      <c r="H33" s="472"/>
      <c r="I33" s="40"/>
      <c r="J33" s="470"/>
      <c r="K33" s="40"/>
      <c r="L33" s="472"/>
      <c r="M33" s="472"/>
      <c r="N33" s="472"/>
      <c r="O33" s="472"/>
      <c r="P33" s="472"/>
      <c r="Q33" s="472"/>
      <c r="S33" s="470"/>
    </row>
    <row r="34" spans="1:25" ht="5.0999999999999996" customHeight="1">
      <c r="B34" s="8"/>
      <c r="C34" s="8"/>
      <c r="D34" s="8"/>
      <c r="E34" s="8"/>
      <c r="F34" s="8"/>
      <c r="G34" s="8"/>
      <c r="H34" s="8"/>
      <c r="I34" s="8"/>
      <c r="J34" s="8"/>
      <c r="K34" s="8"/>
      <c r="L34" s="8"/>
      <c r="M34" s="8"/>
      <c r="N34" s="8"/>
      <c r="O34" s="8"/>
      <c r="P34" s="8"/>
      <c r="Q34" s="8"/>
    </row>
    <row r="35" spans="1:25">
      <c r="B35" s="452" t="s">
        <v>544</v>
      </c>
      <c r="C35" s="452"/>
      <c r="D35" s="452"/>
      <c r="E35" s="452"/>
      <c r="F35" s="452"/>
      <c r="G35" s="452"/>
      <c r="H35" s="452"/>
      <c r="I35" s="452"/>
      <c r="J35" s="526" t="s">
        <v>551</v>
      </c>
      <c r="K35" s="527"/>
      <c r="L35" s="527"/>
      <c r="M35" s="527"/>
      <c r="N35" s="527"/>
      <c r="O35" s="527"/>
      <c r="P35" s="527"/>
      <c r="Q35" s="527"/>
    </row>
    <row r="36" spans="1:25" ht="5.0999999999999996" customHeight="1">
      <c r="B36" s="495"/>
      <c r="C36" s="495"/>
      <c r="D36" s="495"/>
      <c r="E36" s="495"/>
      <c r="F36" s="495"/>
      <c r="G36" s="495"/>
      <c r="H36" s="495"/>
      <c r="I36" s="495"/>
      <c r="J36" s="8"/>
      <c r="K36" s="8"/>
      <c r="L36" s="8"/>
      <c r="M36" s="8"/>
      <c r="N36" s="8"/>
      <c r="O36" s="8"/>
      <c r="P36" s="8"/>
      <c r="Q36" s="8"/>
    </row>
    <row r="37" spans="1:25" ht="12.75" thickBot="1">
      <c r="A37" s="454" t="s">
        <v>25</v>
      </c>
      <c r="B37" s="508" t="s">
        <v>326</v>
      </c>
      <c r="C37" s="506"/>
      <c r="D37" s="509">
        <f>SUM(D6/C6)-1</f>
        <v>-3.2307681502447672E-2</v>
      </c>
      <c r="E37" s="509">
        <f t="shared" ref="E37:H37" si="25">SUM(E6/D6)-1</f>
        <v>0.39331983364905176</v>
      </c>
      <c r="F37" s="509">
        <f t="shared" si="25"/>
        <v>7.0405734139696641E-2</v>
      </c>
      <c r="G37" s="509">
        <f t="shared" si="25"/>
        <v>-2.3874757286278081E-2</v>
      </c>
      <c r="H37" s="509">
        <f t="shared" si="25"/>
        <v>2.9912804175826757E-3</v>
      </c>
      <c r="I37" s="506"/>
      <c r="J37" s="517" t="s">
        <v>13</v>
      </c>
      <c r="K37" s="485"/>
      <c r="L37" s="485"/>
      <c r="M37" s="485"/>
      <c r="N37" s="485"/>
      <c r="O37" s="485"/>
      <c r="P37" s="485"/>
      <c r="Q37" s="486"/>
    </row>
    <row r="38" spans="1:25" ht="12.75" customHeight="1">
      <c r="B38" s="510" t="s">
        <v>550</v>
      </c>
      <c r="C38" s="511">
        <f>C6/C$11</f>
        <v>0.54725299222827795</v>
      </c>
      <c r="D38" s="511">
        <f t="shared" ref="D38:H38" si="26">D6/D$11</f>
        <v>0.50190699961750729</v>
      </c>
      <c r="E38" s="511">
        <f t="shared" si="26"/>
        <v>0.52477878283404</v>
      </c>
      <c r="F38" s="511">
        <f t="shared" si="26"/>
        <v>0.52111186626361805</v>
      </c>
      <c r="G38" s="511">
        <f t="shared" si="26"/>
        <v>0.52332598458066448</v>
      </c>
      <c r="H38" s="511">
        <f t="shared" si="26"/>
        <v>0.51448847289884536</v>
      </c>
      <c r="I38" s="507"/>
      <c r="J38" s="503" t="s">
        <v>520</v>
      </c>
      <c r="K38" s="455"/>
      <c r="L38" s="459">
        <f>+L55+L68+L94+L107+L81</f>
        <v>416040.4010646058</v>
      </c>
      <c r="M38" s="459">
        <f>+M55+M68+M94+M107+M81</f>
        <v>447778.30581824854</v>
      </c>
      <c r="N38" s="459">
        <f>+N55+N68+N94+N107+N81</f>
        <v>482123.51248766849</v>
      </c>
      <c r="O38" s="459">
        <f>+O55+O68+O94+O107+O81</f>
        <v>482123.51248766849</v>
      </c>
      <c r="P38" s="459">
        <f>+P55+P68+P94+P107+P81</f>
        <v>482123.51248766849</v>
      </c>
      <c r="Q38" s="459">
        <f>+Q55+Q68+Q94+Q107+Q81</f>
        <v>482123.51248766849</v>
      </c>
      <c r="R38" s="476"/>
      <c r="S38" s="470"/>
      <c r="T38" s="477"/>
      <c r="U38" s="476"/>
      <c r="V38" s="476"/>
      <c r="W38" s="477"/>
      <c r="X38" s="477"/>
      <c r="Y38" s="477"/>
    </row>
    <row r="39" spans="1:25" ht="12.75" customHeight="1">
      <c r="B39" s="508" t="s">
        <v>328</v>
      </c>
      <c r="C39" s="476"/>
      <c r="D39" s="509">
        <f>SUM(D7/C7)-1</f>
        <v>0.11484962406015042</v>
      </c>
      <c r="E39" s="509">
        <f>SUM(E7/D7)-1</f>
        <v>0.34302815714044854</v>
      </c>
      <c r="F39" s="509">
        <f>SUM(F7/E7)-1</f>
        <v>-8.0660347749670458E-2</v>
      </c>
      <c r="G39" s="509">
        <f>SUM(G7/F7)-1</f>
        <v>-3.3865901952751631E-2</v>
      </c>
      <c r="H39" s="509">
        <f>SUM(H7/G7)-1</f>
        <v>-5.674911660777382E-2</v>
      </c>
      <c r="I39" s="496"/>
      <c r="J39" s="504" t="s">
        <v>46</v>
      </c>
      <c r="K39" s="461"/>
      <c r="L39" s="501">
        <f>SUM(L38/$H$11)-1</f>
        <v>6.3946708260400831E-2</v>
      </c>
      <c r="M39" s="501">
        <f>SUM(M38/L38)-1</f>
        <v>7.6285631569502854E-2</v>
      </c>
      <c r="N39" s="501">
        <f t="shared" ref="N39" si="27">SUM(N38/M38)-1</f>
        <v>7.6701363650610865E-2</v>
      </c>
      <c r="O39" s="501">
        <f>N39</f>
        <v>7.6701363650610865E-2</v>
      </c>
      <c r="P39" s="501">
        <f t="shared" ref="P39:Q39" si="28">O39</f>
        <v>7.6701363650610865E-2</v>
      </c>
      <c r="Q39" s="501">
        <f t="shared" si="28"/>
        <v>7.6701363650610865E-2</v>
      </c>
      <c r="R39" s="478"/>
      <c r="S39" s="479"/>
      <c r="T39" s="479"/>
      <c r="U39" s="478"/>
      <c r="V39" s="478"/>
      <c r="W39" s="479"/>
      <c r="X39" s="479"/>
      <c r="Y39" s="479"/>
    </row>
    <row r="40" spans="1:25" ht="12.75" customHeight="1">
      <c r="B40" s="510" t="s">
        <v>550</v>
      </c>
      <c r="C40" s="511">
        <f>C7/C$11</f>
        <v>8.1791416513564003E-2</v>
      </c>
      <c r="D40" s="511">
        <f t="shared" ref="D40:H40" si="29">D7/D$11</f>
        <v>8.6421507021474234E-2</v>
      </c>
      <c r="E40" s="511">
        <f t="shared" si="29"/>
        <v>8.7098193905696022E-2</v>
      </c>
      <c r="F40" s="511">
        <f t="shared" si="29"/>
        <v>7.4283337728997187E-2</v>
      </c>
      <c r="G40" s="511">
        <f t="shared" si="29"/>
        <v>7.3835396636967268E-2</v>
      </c>
      <c r="H40" s="511">
        <f t="shared" si="29"/>
        <v>6.8264989067474774E-2</v>
      </c>
      <c r="I40" s="507"/>
      <c r="J40" s="503" t="s">
        <v>535</v>
      </c>
      <c r="K40" s="455"/>
      <c r="L40" s="459">
        <f>+L57+L70+L96+L109+L83</f>
        <v>416621</v>
      </c>
      <c r="M40" s="459">
        <f>+M57+M70+M96+M109+M83</f>
        <v>445334</v>
      </c>
      <c r="N40" s="459">
        <f>+N57+N70+N96+N109+N83</f>
        <v>489169</v>
      </c>
      <c r="O40" s="459">
        <f>+O57+O70+O96+O109+O83</f>
        <v>500680</v>
      </c>
      <c r="P40" s="459">
        <f>+P57+P70+P96+P109+P83</f>
        <v>500680</v>
      </c>
      <c r="Q40" s="459">
        <f>+Q57+Q70+Q96+Q109+Q83</f>
        <v>500680</v>
      </c>
      <c r="R40" s="476"/>
      <c r="S40" s="470"/>
      <c r="T40" s="477"/>
      <c r="U40" s="476"/>
      <c r="V40" s="476"/>
      <c r="W40" s="477"/>
      <c r="X40" s="477"/>
      <c r="Y40" s="477"/>
    </row>
    <row r="41" spans="1:25" ht="12.75" customHeight="1">
      <c r="B41" s="508" t="s">
        <v>327</v>
      </c>
      <c r="C41" s="478"/>
      <c r="D41" s="509">
        <f>SUM(D8/C8)-1</f>
        <v>0.11196581196581201</v>
      </c>
      <c r="E41" s="509">
        <f>SUM(E8/D8)-1</f>
        <v>0.22947383131856625</v>
      </c>
      <c r="F41" s="509">
        <f>SUM(F8/E8)-1</f>
        <v>0.14171639670360903</v>
      </c>
      <c r="G41" s="509">
        <f>SUM(G8/F8)-1</f>
        <v>-0.26930831072504169</v>
      </c>
      <c r="H41" s="509">
        <f>SUM(H8/G8)-1</f>
        <v>2.1357768164322E-2</v>
      </c>
      <c r="I41" s="496"/>
      <c r="J41" s="504" t="s">
        <v>46</v>
      </c>
      <c r="K41" s="461"/>
      <c r="L41" s="501">
        <f>SUM(L40/$H$11)-1</f>
        <v>6.5431483115322209E-2</v>
      </c>
      <c r="M41" s="501">
        <f>SUM(M40/L40)-1</f>
        <v>6.8918753495383012E-2</v>
      </c>
      <c r="N41" s="501">
        <f t="shared" ref="N41:O41" si="30">SUM(N40/M40)-1</f>
        <v>9.8431738874642294E-2</v>
      </c>
      <c r="O41" s="501">
        <f t="shared" si="30"/>
        <v>2.3531744652665942E-2</v>
      </c>
      <c r="P41" s="501">
        <f>O41</f>
        <v>2.3531744652665942E-2</v>
      </c>
      <c r="Q41" s="501">
        <f>P41</f>
        <v>2.3531744652665942E-2</v>
      </c>
      <c r="R41" s="478"/>
      <c r="S41" s="479"/>
      <c r="T41" s="479"/>
      <c r="U41" s="478"/>
      <c r="V41" s="478"/>
      <c r="W41" s="479"/>
      <c r="X41" s="479"/>
      <c r="Y41" s="479"/>
    </row>
    <row r="42" spans="1:25" ht="12.75" customHeight="1">
      <c r="B42" s="508"/>
      <c r="C42" s="478"/>
      <c r="D42" s="509"/>
      <c r="E42" s="509"/>
      <c r="F42" s="509"/>
      <c r="G42" s="509"/>
      <c r="H42" s="509"/>
      <c r="I42" s="496"/>
      <c r="J42" s="503" t="s">
        <v>555</v>
      </c>
      <c r="K42" s="455"/>
      <c r="L42" s="456">
        <v>414847</v>
      </c>
      <c r="M42" s="456">
        <v>438656</v>
      </c>
      <c r="N42" s="456">
        <v>465270</v>
      </c>
      <c r="O42" s="459">
        <f>N42</f>
        <v>465270</v>
      </c>
      <c r="P42" s="459">
        <f t="shared" ref="P42:Q42" si="31">O42</f>
        <v>465270</v>
      </c>
      <c r="Q42" s="459">
        <f t="shared" si="31"/>
        <v>465270</v>
      </c>
      <c r="R42" s="478"/>
      <c r="S42" s="479"/>
      <c r="T42" s="479"/>
      <c r="U42" s="478"/>
      <c r="V42" s="478"/>
      <c r="W42" s="479"/>
      <c r="X42" s="479"/>
      <c r="Y42" s="479"/>
    </row>
    <row r="43" spans="1:25" ht="12.75" customHeight="1">
      <c r="B43" s="508"/>
      <c r="C43" s="478"/>
      <c r="D43" s="509"/>
      <c r="E43" s="509"/>
      <c r="F43" s="509"/>
      <c r="G43" s="509"/>
      <c r="H43" s="509"/>
      <c r="I43" s="496"/>
      <c r="J43" s="504" t="s">
        <v>46</v>
      </c>
      <c r="K43" s="461"/>
      <c r="L43" s="501">
        <f>SUM(L42/$H$11)-1</f>
        <v>6.0894804812868353E-2</v>
      </c>
      <c r="M43" s="501">
        <f>SUM(M42/L42)-1</f>
        <v>5.7392243405400167E-2</v>
      </c>
      <c r="N43" s="501">
        <f t="shared" ref="N43" si="32">SUM(N42/M42)-1</f>
        <v>6.0671688065363272E-2</v>
      </c>
      <c r="O43" s="501">
        <f>N43</f>
        <v>6.0671688065363272E-2</v>
      </c>
      <c r="P43" s="501">
        <f t="shared" ref="P43:Q43" si="33">O43</f>
        <v>6.0671688065363272E-2</v>
      </c>
      <c r="Q43" s="501">
        <f t="shared" si="33"/>
        <v>6.0671688065363272E-2</v>
      </c>
      <c r="R43" s="478"/>
      <c r="S43" s="479"/>
      <c r="T43" s="479"/>
      <c r="U43" s="478"/>
      <c r="V43" s="478"/>
      <c r="W43" s="479"/>
      <c r="X43" s="479"/>
      <c r="Y43" s="479"/>
    </row>
    <row r="44" spans="1:25" ht="12.75" customHeight="1">
      <c r="B44" s="508"/>
      <c r="C44" s="478"/>
      <c r="D44" s="509"/>
      <c r="E44" s="509"/>
      <c r="F44" s="509"/>
      <c r="G44" s="509"/>
      <c r="H44" s="509"/>
      <c r="I44" s="496"/>
      <c r="J44" s="503" t="s">
        <v>539</v>
      </c>
      <c r="K44" s="455"/>
      <c r="L44" s="456">
        <v>410074</v>
      </c>
      <c r="M44" s="456">
        <v>425207</v>
      </c>
      <c r="N44" s="456">
        <v>464555</v>
      </c>
      <c r="O44" s="456">
        <v>478922</v>
      </c>
      <c r="P44" s="456">
        <v>535341</v>
      </c>
      <c r="Q44" s="456">
        <v>569147</v>
      </c>
      <c r="R44" s="478"/>
      <c r="S44" s="479"/>
      <c r="T44" s="479"/>
      <c r="U44" s="478"/>
      <c r="V44" s="478"/>
      <c r="W44" s="479"/>
      <c r="X44" s="479"/>
      <c r="Y44" s="479"/>
    </row>
    <row r="45" spans="1:25" ht="12.75" customHeight="1">
      <c r="B45" s="508"/>
      <c r="C45" s="478"/>
      <c r="D45" s="509"/>
      <c r="E45" s="509"/>
      <c r="F45" s="509"/>
      <c r="G45" s="509"/>
      <c r="H45" s="509"/>
      <c r="I45" s="496"/>
      <c r="J45" s="504" t="s">
        <v>46</v>
      </c>
      <c r="K45" s="461"/>
      <c r="L45" s="501">
        <f>SUM(L44/$H$11)-1</f>
        <v>4.8688736302377134E-2</v>
      </c>
      <c r="M45" s="501">
        <f>SUM(M44/L44)-1</f>
        <v>3.6903095538854069E-2</v>
      </c>
      <c r="N45" s="501">
        <f t="shared" ref="N45" si="34">SUM(N44/M44)-1</f>
        <v>9.2538457739406832E-2</v>
      </c>
      <c r="O45" s="501">
        <f t="shared" ref="O45:Q45" si="35">SUM(O44/N44)-1</f>
        <v>3.0926370397477143E-2</v>
      </c>
      <c r="P45" s="501">
        <f t="shared" si="35"/>
        <v>0.11780415182430537</v>
      </c>
      <c r="Q45" s="501">
        <f t="shared" si="35"/>
        <v>6.3148535232683489E-2</v>
      </c>
      <c r="R45" s="478"/>
      <c r="S45" s="479"/>
      <c r="T45" s="479"/>
      <c r="U45" s="478"/>
      <c r="V45" s="478"/>
      <c r="W45" s="479"/>
      <c r="X45" s="479"/>
      <c r="Y45" s="479"/>
    </row>
    <row r="46" spans="1:25" ht="12.75" customHeight="1">
      <c r="B46" s="510" t="s">
        <v>550</v>
      </c>
      <c r="C46" s="511">
        <f>C8/C$11</f>
        <v>9.8933790463305332E-2</v>
      </c>
      <c r="D46" s="511">
        <f t="shared" ref="D46:H46" si="36">D8/D$11</f>
        <v>0.10426388357648944</v>
      </c>
      <c r="E46" s="511">
        <f t="shared" si="36"/>
        <v>9.6195638803008063E-2</v>
      </c>
      <c r="F46" s="511">
        <f t="shared" si="36"/>
        <v>0.10188726136617232</v>
      </c>
      <c r="G46" s="511">
        <f t="shared" si="36"/>
        <v>7.659313565623492E-2</v>
      </c>
      <c r="H46" s="511">
        <f t="shared" si="36"/>
        <v>7.6678558185328677E-2</v>
      </c>
      <c r="I46" s="507"/>
      <c r="J46" s="503" t="s">
        <v>540</v>
      </c>
      <c r="K46" s="455"/>
      <c r="L46" s="459">
        <f>+L59+L72+L98+L111+L85</f>
        <v>414913</v>
      </c>
      <c r="M46" s="459">
        <f t="shared" ref="M46:Q48" si="37">+M59+M72+M98+M111+M85</f>
        <v>441848</v>
      </c>
      <c r="N46" s="459">
        <f t="shared" si="37"/>
        <v>468930</v>
      </c>
      <c r="O46" s="459">
        <f t="shared" si="37"/>
        <v>468930</v>
      </c>
      <c r="P46" s="459">
        <f t="shared" si="37"/>
        <v>468930</v>
      </c>
      <c r="Q46" s="459">
        <f t="shared" si="37"/>
        <v>468930</v>
      </c>
      <c r="R46" s="476"/>
      <c r="S46" s="470"/>
      <c r="T46" s="477"/>
      <c r="U46" s="476"/>
      <c r="V46" s="476"/>
      <c r="W46" s="477"/>
      <c r="X46" s="477"/>
      <c r="Y46" s="477"/>
    </row>
    <row r="47" spans="1:25" ht="12.75" customHeight="1">
      <c r="B47" s="508" t="s">
        <v>330</v>
      </c>
      <c r="C47" s="476"/>
      <c r="D47" s="509">
        <f>SUM(D9/C9)-1</f>
        <v>0.25071481088146386</v>
      </c>
      <c r="E47" s="509">
        <f>SUM(E9/D9)-1</f>
        <v>0.2530045721750489</v>
      </c>
      <c r="F47" s="509">
        <f>SUM(F9/E9)-1</f>
        <v>7.4908124169208001E-2</v>
      </c>
      <c r="G47" s="509">
        <f>SUM(G9/F9)-1</f>
        <v>-3.3849809655439933E-2</v>
      </c>
      <c r="H47" s="509">
        <f>SUM(H9/G9)-1</f>
        <v>-7.1276195256619435E-2</v>
      </c>
      <c r="I47" s="496"/>
      <c r="J47" s="504" t="s">
        <v>46</v>
      </c>
      <c r="K47" s="461"/>
      <c r="L47" s="501">
        <f>SUM(L46/$H$11)-1</f>
        <v>6.1063587658393814E-2</v>
      </c>
      <c r="M47" s="501">
        <f>SUM(M46/L46)-1</f>
        <v>6.4917223610732933E-2</v>
      </c>
      <c r="N47" s="501">
        <f t="shared" ref="N47" si="38">SUM(N46/M46)-1</f>
        <v>6.1292571200955992E-2</v>
      </c>
      <c r="O47" s="501">
        <f>N47</f>
        <v>6.1292571200955992E-2</v>
      </c>
      <c r="P47" s="501">
        <f t="shared" ref="P47:Q47" si="39">O47</f>
        <v>6.1292571200955992E-2</v>
      </c>
      <c r="Q47" s="501">
        <f t="shared" si="39"/>
        <v>6.1292571200955992E-2</v>
      </c>
      <c r="R47" s="481"/>
      <c r="S47" s="480"/>
      <c r="T47" s="480"/>
      <c r="U47" s="481"/>
      <c r="V47" s="481"/>
      <c r="W47" s="480"/>
      <c r="X47" s="480"/>
      <c r="Y47" s="480"/>
    </row>
    <row r="48" spans="1:25" ht="12.75" customHeight="1">
      <c r="B48" s="510" t="s">
        <v>550</v>
      </c>
      <c r="C48" s="511">
        <f>C9/C$11</f>
        <v>9.4098564806629412E-2</v>
      </c>
      <c r="D48" s="511">
        <f t="shared" ref="D48:H48" si="40">D9/D$11</f>
        <v>0.11154217438027066</v>
      </c>
      <c r="E48" s="511">
        <f t="shared" si="40"/>
        <v>0.10488030900696249</v>
      </c>
      <c r="F48" s="511">
        <f t="shared" si="40"/>
        <v>0.10458552271205697</v>
      </c>
      <c r="G48" s="511">
        <f t="shared" si="40"/>
        <v>0.1039565858303873</v>
      </c>
      <c r="H48" s="511">
        <f t="shared" si="40"/>
        <v>9.4633472707046681E-2</v>
      </c>
      <c r="I48" s="507"/>
      <c r="J48" s="503" t="s">
        <v>521</v>
      </c>
      <c r="K48" s="455"/>
      <c r="L48" s="459">
        <f>+L61+L74+L100+L113+L87</f>
        <v>415305</v>
      </c>
      <c r="M48" s="459">
        <f t="shared" si="37"/>
        <v>440525</v>
      </c>
      <c r="N48" s="459">
        <f t="shared" si="37"/>
        <v>460577</v>
      </c>
      <c r="O48" s="459">
        <f t="shared" si="37"/>
        <v>460577</v>
      </c>
      <c r="P48" s="459">
        <f t="shared" si="37"/>
        <v>460577</v>
      </c>
      <c r="Q48" s="459">
        <f t="shared" si="37"/>
        <v>460577</v>
      </c>
      <c r="R48" s="476"/>
      <c r="S48" s="470"/>
      <c r="T48" s="477"/>
      <c r="U48" s="476"/>
      <c r="V48" s="476"/>
      <c r="W48" s="476"/>
      <c r="X48" s="476"/>
      <c r="Y48" s="477"/>
    </row>
    <row r="49" spans="1:25" ht="12.75" customHeight="1">
      <c r="B49" s="508" t="s">
        <v>329</v>
      </c>
      <c r="C49" s="478"/>
      <c r="D49" s="509">
        <f>SUM(D10/C10)-1</f>
        <v>0.16152167807997242</v>
      </c>
      <c r="E49" s="509">
        <f>SUM(E10/D10)-1</f>
        <v>0.27259708376729663</v>
      </c>
      <c r="F49" s="509">
        <f>SUM(F10/E10)-1</f>
        <v>0.14181951041286078</v>
      </c>
      <c r="G49" s="509">
        <f>SUM(G10/F10)-1</f>
        <v>9.0504166186691215E-2</v>
      </c>
      <c r="H49" s="509">
        <f>SUM(H10/G10)-1</f>
        <v>0.12874413145539898</v>
      </c>
      <c r="I49" s="496"/>
      <c r="J49" s="504" t="s">
        <v>46</v>
      </c>
      <c r="K49" s="461"/>
      <c r="L49" s="501">
        <f>SUM(L48/$H$11)-1</f>
        <v>6.206605546818067E-2</v>
      </c>
      <c r="M49" s="501">
        <f>SUM(M48/L48)-1</f>
        <v>6.0726454051841516E-2</v>
      </c>
      <c r="N49" s="501">
        <f t="shared" ref="N49" si="41">SUM(N48/M48)-1</f>
        <v>4.5518415526928147E-2</v>
      </c>
      <c r="O49" s="501">
        <f>N49</f>
        <v>4.5518415526928147E-2</v>
      </c>
      <c r="P49" s="501">
        <f t="shared" ref="P49:Q49" si="42">O49</f>
        <v>4.5518415526928147E-2</v>
      </c>
      <c r="Q49" s="501">
        <f t="shared" si="42"/>
        <v>4.5518415526928147E-2</v>
      </c>
      <c r="R49" s="481"/>
      <c r="S49" s="481"/>
      <c r="T49" s="481"/>
      <c r="U49" s="481"/>
      <c r="V49" s="481"/>
      <c r="W49" s="481"/>
      <c r="X49" s="481"/>
      <c r="Y49" s="481"/>
    </row>
    <row r="50" spans="1:25" s="386" customFormat="1">
      <c r="B50" s="510" t="s">
        <v>550</v>
      </c>
      <c r="C50" s="511">
        <f>C10/C$11</f>
        <v>0.17792323598822327</v>
      </c>
      <c r="D50" s="511">
        <f t="shared" ref="D50:H50" si="43">D10/D$11</f>
        <v>0.19586543540425841</v>
      </c>
      <c r="E50" s="511">
        <f t="shared" si="43"/>
        <v>0.18704707545029345</v>
      </c>
      <c r="F50" s="511">
        <f t="shared" si="43"/>
        <v>0.19813201192915542</v>
      </c>
      <c r="G50" s="511">
        <f t="shared" si="43"/>
        <v>0.222288897295746</v>
      </c>
      <c r="H50" s="511">
        <f t="shared" si="43"/>
        <v>0.24593450714130449</v>
      </c>
      <c r="I50" s="487"/>
      <c r="J50" s="487"/>
      <c r="K50" s="487"/>
      <c r="L50" s="488"/>
      <c r="M50" s="488"/>
      <c r="N50" s="488"/>
      <c r="O50" s="488"/>
      <c r="P50" s="488"/>
      <c r="Q50" s="488"/>
      <c r="R50" s="481"/>
      <c r="S50" s="481"/>
      <c r="T50" s="481"/>
      <c r="U50" s="481"/>
      <c r="V50" s="481"/>
      <c r="W50" s="481"/>
      <c r="X50" s="481"/>
      <c r="Y50" s="481"/>
    </row>
    <row r="51" spans="1:25" s="386" customFormat="1" ht="12.75" customHeight="1">
      <c r="C51" s="481"/>
      <c r="D51" s="481"/>
      <c r="E51" s="481"/>
      <c r="F51" s="481"/>
      <c r="G51" s="481"/>
      <c r="H51" s="481"/>
      <c r="I51" s="496"/>
      <c r="J51" s="493" t="s">
        <v>542</v>
      </c>
      <c r="K51" s="493"/>
      <c r="L51" s="494">
        <f>MEDIAN(L$49,L$39,L$47,L$41,L$45,L$43)</f>
        <v>6.1564821563287242E-2</v>
      </c>
      <c r="M51" s="494">
        <f t="shared" ref="M51:Q51" si="44">MEDIAN(M$49,M$39,M$47,M$41,M$45,M$43)</f>
        <v>6.2821838831287224E-2</v>
      </c>
      <c r="N51" s="494">
        <f t="shared" si="44"/>
        <v>6.8996967425783429E-2</v>
      </c>
      <c r="O51" s="494">
        <f t="shared" si="44"/>
        <v>5.3095051796145709E-2</v>
      </c>
      <c r="P51" s="494">
        <f t="shared" si="44"/>
        <v>6.0982129633159632E-2</v>
      </c>
      <c r="Q51" s="494">
        <f t="shared" si="44"/>
        <v>6.0982129633159632E-2</v>
      </c>
      <c r="R51" s="481"/>
      <c r="S51" s="481"/>
      <c r="T51" s="481"/>
      <c r="U51" s="481"/>
      <c r="V51" s="481"/>
      <c r="W51" s="481"/>
      <c r="X51" s="481"/>
      <c r="Y51" s="481"/>
    </row>
    <row r="52" spans="1:25" s="386" customFormat="1" ht="12.75" customHeight="1">
      <c r="C52" s="481"/>
      <c r="D52" s="481"/>
      <c r="E52" s="481"/>
      <c r="F52" s="481"/>
      <c r="G52" s="481"/>
      <c r="H52" s="481"/>
      <c r="I52" s="496"/>
      <c r="J52" s="493" t="s">
        <v>543</v>
      </c>
      <c r="K52" s="493"/>
      <c r="L52" s="494">
        <f>AVERAGE(L$49,L$39,L$47,L$41,L$45,L$43)</f>
        <v>6.0348562602923837E-2</v>
      </c>
      <c r="M52" s="494">
        <f t="shared" ref="M52:Q52" si="45">AVERAGE(M$49,M$39,M$47,M$41,M$45,M$43)</f>
        <v>6.0857233611952423E-2</v>
      </c>
      <c r="N52" s="494">
        <f t="shared" si="45"/>
        <v>7.2525705842984567E-2</v>
      </c>
      <c r="O52" s="494">
        <f t="shared" si="45"/>
        <v>4.9773692249000225E-2</v>
      </c>
      <c r="P52" s="494">
        <f t="shared" si="45"/>
        <v>6.4253322486804931E-2</v>
      </c>
      <c r="Q52" s="494">
        <f t="shared" si="45"/>
        <v>5.5144053054867949E-2</v>
      </c>
      <c r="R52" s="481"/>
      <c r="S52" s="481"/>
      <c r="T52" s="481"/>
      <c r="U52" s="481"/>
      <c r="V52" s="481"/>
      <c r="W52" s="481"/>
      <c r="X52" s="481"/>
      <c r="Y52" s="481"/>
    </row>
    <row r="53" spans="1:25">
      <c r="B53" s="8"/>
      <c r="C53" s="8"/>
      <c r="D53" s="8"/>
      <c r="E53" s="8"/>
      <c r="F53" s="8"/>
      <c r="G53" s="8"/>
      <c r="H53" s="8"/>
      <c r="I53" s="8"/>
      <c r="J53" s="8"/>
      <c r="K53" s="8"/>
      <c r="L53" s="8"/>
      <c r="M53" s="8"/>
      <c r="N53" s="8"/>
      <c r="O53" s="8"/>
      <c r="P53" s="8"/>
      <c r="Q53" s="8"/>
    </row>
    <row r="54" spans="1:25" ht="12.75" thickBot="1">
      <c r="A54" s="454" t="s">
        <v>25</v>
      </c>
      <c r="B54" s="505" t="s">
        <v>534</v>
      </c>
      <c r="C54" s="522"/>
      <c r="D54" s="522"/>
      <c r="E54" s="522"/>
      <c r="F54" s="522"/>
      <c r="G54" s="522"/>
      <c r="H54" s="522"/>
      <c r="I54" s="522"/>
      <c r="J54" s="517" t="s">
        <v>534</v>
      </c>
      <c r="K54" s="485"/>
      <c r="L54" s="485"/>
      <c r="M54" s="485"/>
      <c r="N54" s="485"/>
      <c r="O54" s="485"/>
      <c r="P54" s="485"/>
      <c r="Q54" s="486"/>
    </row>
    <row r="55" spans="1:25" ht="12.75" customHeight="1">
      <c r="B55" s="523"/>
      <c r="C55" s="473"/>
      <c r="D55" s="473"/>
      <c r="E55" s="473"/>
      <c r="F55" s="473"/>
      <c r="G55" s="473"/>
      <c r="H55" s="473"/>
      <c r="I55" s="523"/>
      <c r="J55" s="503" t="s">
        <v>520</v>
      </c>
      <c r="K55" s="503"/>
      <c r="L55" s="456">
        <v>210271</v>
      </c>
      <c r="M55" s="456">
        <v>224197.5</v>
      </c>
      <c r="N55" s="456">
        <v>237444</v>
      </c>
      <c r="O55" s="459">
        <f>N55</f>
        <v>237444</v>
      </c>
      <c r="P55" s="459">
        <f t="shared" ref="P55:Q55" si="46">O55</f>
        <v>237444</v>
      </c>
      <c r="Q55" s="459">
        <f t="shared" si="46"/>
        <v>237444</v>
      </c>
      <c r="R55" s="476"/>
      <c r="S55" s="470"/>
      <c r="T55" s="477"/>
      <c r="U55" s="476"/>
      <c r="V55" s="476"/>
      <c r="W55" s="477"/>
      <c r="X55" s="477"/>
      <c r="Y55" s="477"/>
    </row>
    <row r="56" spans="1:25" ht="12.75" customHeight="1">
      <c r="B56" s="512"/>
      <c r="C56" s="474"/>
      <c r="D56" s="474"/>
      <c r="E56" s="474"/>
      <c r="F56" s="474"/>
      <c r="G56" s="474"/>
      <c r="H56" s="474"/>
      <c r="I56" s="512"/>
      <c r="J56" s="504" t="s">
        <v>46</v>
      </c>
      <c r="K56" s="504"/>
      <c r="L56" s="482">
        <f>SUM(L55/$H$6)-1</f>
        <v>4.5172802871017881E-2</v>
      </c>
      <c r="M56" s="482">
        <f>SUM(M55/L55)-1</f>
        <v>6.6231196884021015E-2</v>
      </c>
      <c r="N56" s="482">
        <f t="shared" ref="N56" si="47">SUM(N55/M55)-1</f>
        <v>5.9084066503863886E-2</v>
      </c>
      <c r="O56" s="482">
        <f>N56</f>
        <v>5.9084066503863886E-2</v>
      </c>
      <c r="P56" s="482">
        <f t="shared" ref="P56:Q56" si="48">O56</f>
        <v>5.9084066503863886E-2</v>
      </c>
      <c r="Q56" s="482">
        <f t="shared" si="48"/>
        <v>5.9084066503863886E-2</v>
      </c>
      <c r="R56" s="478"/>
      <c r="S56" s="479"/>
      <c r="T56" s="479"/>
      <c r="U56" s="478"/>
      <c r="V56" s="478"/>
      <c r="W56" s="479"/>
      <c r="X56" s="479"/>
      <c r="Y56" s="479"/>
    </row>
    <row r="57" spans="1:25" ht="12.75" customHeight="1">
      <c r="B57" s="523"/>
      <c r="C57" s="473"/>
      <c r="D57" s="473"/>
      <c r="E57" s="473"/>
      <c r="F57" s="473"/>
      <c r="G57" s="473"/>
      <c r="H57" s="473"/>
      <c r="I57" s="523"/>
      <c r="J57" s="503" t="s">
        <v>535</v>
      </c>
      <c r="K57" s="503"/>
      <c r="L57" s="456">
        <v>210893</v>
      </c>
      <c r="M57" s="456">
        <v>223122</v>
      </c>
      <c r="N57" s="456">
        <v>249550</v>
      </c>
      <c r="O57" s="456">
        <v>240721</v>
      </c>
      <c r="P57" s="459">
        <f>O57</f>
        <v>240721</v>
      </c>
      <c r="Q57" s="459">
        <f>P57</f>
        <v>240721</v>
      </c>
      <c r="R57" s="476"/>
      <c r="S57" s="470"/>
      <c r="T57" s="477"/>
      <c r="U57" s="476"/>
      <c r="V57" s="476"/>
      <c r="W57" s="477"/>
      <c r="X57" s="477"/>
      <c r="Y57" s="477"/>
    </row>
    <row r="58" spans="1:25" ht="12.75" customHeight="1">
      <c r="B58" s="512"/>
      <c r="C58" s="474"/>
      <c r="D58" s="474"/>
      <c r="E58" s="474"/>
      <c r="F58" s="474"/>
      <c r="G58" s="474"/>
      <c r="H58" s="474"/>
      <c r="I58" s="512"/>
      <c r="J58" s="504" t="s">
        <v>46</v>
      </c>
      <c r="K58" s="504"/>
      <c r="L58" s="482">
        <f>SUM(L57/$H$6)-1</f>
        <v>4.8264515391459595E-2</v>
      </c>
      <c r="M58" s="482">
        <f>SUM(M57/L57)-1</f>
        <v>5.7986751575443529E-2</v>
      </c>
      <c r="N58" s="482">
        <f t="shared" ref="N58:Q58" si="49">SUM(N57/M57)-1</f>
        <v>0.11844641048395044</v>
      </c>
      <c r="O58" s="482">
        <f t="shared" si="49"/>
        <v>-3.537968343017428E-2</v>
      </c>
      <c r="P58" s="482">
        <f t="shared" si="49"/>
        <v>0</v>
      </c>
      <c r="Q58" s="482">
        <f t="shared" si="49"/>
        <v>0</v>
      </c>
      <c r="R58" s="478"/>
      <c r="S58" s="479"/>
      <c r="T58" s="479"/>
      <c r="U58" s="478"/>
      <c r="V58" s="478"/>
      <c r="W58" s="479"/>
      <c r="X58" s="479"/>
      <c r="Y58" s="479"/>
    </row>
    <row r="59" spans="1:25" ht="12.75" customHeight="1">
      <c r="B59" s="523"/>
      <c r="C59" s="473"/>
      <c r="D59" s="473"/>
      <c r="E59" s="473"/>
      <c r="F59" s="473"/>
      <c r="G59" s="473"/>
      <c r="H59" s="473"/>
      <c r="I59" s="523"/>
      <c r="J59" s="503" t="s">
        <v>540</v>
      </c>
      <c r="K59" s="503"/>
      <c r="L59" s="456">
        <v>209597</v>
      </c>
      <c r="M59" s="456">
        <v>221070</v>
      </c>
      <c r="N59" s="456">
        <v>233080</v>
      </c>
      <c r="O59" s="459">
        <f>N59</f>
        <v>233080</v>
      </c>
      <c r="P59" s="459">
        <f t="shared" ref="P59:Q59" si="50">O59</f>
        <v>233080</v>
      </c>
      <c r="Q59" s="459">
        <f t="shared" si="50"/>
        <v>233080</v>
      </c>
      <c r="R59" s="476"/>
      <c r="S59" s="470"/>
      <c r="T59" s="477"/>
      <c r="U59" s="476"/>
      <c r="V59" s="476"/>
      <c r="W59" s="477"/>
      <c r="X59" s="477"/>
      <c r="Y59" s="477"/>
    </row>
    <row r="60" spans="1:25" ht="12.75" customHeight="1">
      <c r="B60" s="512"/>
      <c r="C60" s="475"/>
      <c r="D60" s="475"/>
      <c r="E60" s="475"/>
      <c r="F60" s="475"/>
      <c r="G60" s="475"/>
      <c r="H60" s="475"/>
      <c r="I60" s="512"/>
      <c r="J60" s="504" t="s">
        <v>46</v>
      </c>
      <c r="K60" s="504"/>
      <c r="L60" s="482">
        <f>SUM(L59/$H$6)-1</f>
        <v>4.1822619207388279E-2</v>
      </c>
      <c r="M60" s="482">
        <f>SUM(M59/L59)-1</f>
        <v>5.4738378889010786E-2</v>
      </c>
      <c r="N60" s="482">
        <f t="shared" ref="N60" si="51">SUM(N59/M59)-1</f>
        <v>5.4326683855792313E-2</v>
      </c>
      <c r="O60" s="482">
        <f>N60</f>
        <v>5.4326683855792313E-2</v>
      </c>
      <c r="P60" s="482">
        <f t="shared" ref="P60:Q60" si="52">O60</f>
        <v>5.4326683855792313E-2</v>
      </c>
      <c r="Q60" s="482">
        <f t="shared" si="52"/>
        <v>5.4326683855792313E-2</v>
      </c>
      <c r="R60" s="481"/>
      <c r="S60" s="480"/>
      <c r="T60" s="480"/>
      <c r="U60" s="481"/>
      <c r="V60" s="481"/>
      <c r="W60" s="480"/>
      <c r="X60" s="480"/>
      <c r="Y60" s="480"/>
    </row>
    <row r="61" spans="1:25" ht="12.75" customHeight="1">
      <c r="B61" s="523"/>
      <c r="C61" s="473"/>
      <c r="D61" s="473"/>
      <c r="E61" s="473"/>
      <c r="F61" s="473"/>
      <c r="G61" s="473"/>
      <c r="H61" s="473"/>
      <c r="I61" s="523"/>
      <c r="J61" s="503" t="s">
        <v>521</v>
      </c>
      <c r="K61" s="503"/>
      <c r="L61" s="456">
        <v>209723</v>
      </c>
      <c r="M61" s="456">
        <v>221039</v>
      </c>
      <c r="N61" s="456">
        <v>226650</v>
      </c>
      <c r="O61" s="459">
        <f>N61</f>
        <v>226650</v>
      </c>
      <c r="P61" s="459">
        <f t="shared" ref="P61:Q61" si="53">O61</f>
        <v>226650</v>
      </c>
      <c r="Q61" s="459">
        <f t="shared" si="53"/>
        <v>226650</v>
      </c>
      <c r="R61" s="476"/>
      <c r="S61" s="470"/>
      <c r="T61" s="477"/>
      <c r="U61" s="476"/>
      <c r="V61" s="476"/>
      <c r="W61" s="476"/>
      <c r="X61" s="476"/>
      <c r="Y61" s="477"/>
    </row>
    <row r="62" spans="1:25" ht="12.75" customHeight="1">
      <c r="B62" s="512"/>
      <c r="C62" s="475"/>
      <c r="D62" s="475"/>
      <c r="E62" s="475"/>
      <c r="F62" s="475"/>
      <c r="G62" s="475"/>
      <c r="H62" s="475"/>
      <c r="I62" s="512"/>
      <c r="J62" s="504" t="s">
        <v>46</v>
      </c>
      <c r="K62" s="504"/>
      <c r="L62" s="482">
        <f>SUM(L61/$H$6)-1</f>
        <v>4.2448914669728666E-2</v>
      </c>
      <c r="M62" s="482">
        <f>SUM(M61/L61)-1</f>
        <v>5.3956885987707537E-2</v>
      </c>
      <c r="N62" s="482">
        <f t="shared" ref="N62" si="54">SUM(N61/M61)-1</f>
        <v>2.5384660625500377E-2</v>
      </c>
      <c r="O62" s="482">
        <f>N62</f>
        <v>2.5384660625500377E-2</v>
      </c>
      <c r="P62" s="482">
        <f t="shared" ref="P62:Q62" si="55">O62</f>
        <v>2.5384660625500377E-2</v>
      </c>
      <c r="Q62" s="482">
        <f t="shared" si="55"/>
        <v>2.5384660625500377E-2</v>
      </c>
      <c r="R62" s="481"/>
      <c r="S62" s="481"/>
      <c r="T62" s="481"/>
      <c r="U62" s="481"/>
      <c r="V62" s="481"/>
      <c r="W62" s="481"/>
      <c r="X62" s="481"/>
      <c r="Y62" s="481"/>
    </row>
    <row r="63" spans="1:25" s="386" customFormat="1">
      <c r="B63" s="512"/>
      <c r="C63" s="475"/>
      <c r="D63" s="475"/>
      <c r="E63" s="475"/>
      <c r="F63" s="475"/>
      <c r="G63" s="475"/>
      <c r="H63" s="475"/>
      <c r="I63" s="512"/>
      <c r="J63" s="512"/>
      <c r="K63" s="512"/>
      <c r="L63" s="488"/>
      <c r="M63" s="488"/>
      <c r="N63" s="488"/>
      <c r="O63" s="488"/>
      <c r="P63" s="488"/>
      <c r="Q63" s="488"/>
      <c r="R63" s="481"/>
      <c r="S63" s="481"/>
      <c r="T63" s="481"/>
      <c r="U63" s="481"/>
      <c r="V63" s="481"/>
      <c r="W63" s="481"/>
      <c r="X63" s="481"/>
      <c r="Y63" s="481"/>
    </row>
    <row r="64" spans="1:25" s="386" customFormat="1" ht="12.75" customHeight="1">
      <c r="J64" s="513" t="s">
        <v>542</v>
      </c>
      <c r="K64" s="514"/>
      <c r="L64" s="489">
        <f>MEDIAN(L$62,L$56,L$60,L$58)</f>
        <v>4.3810858770373273E-2</v>
      </c>
      <c r="M64" s="489">
        <f t="shared" ref="M64:Q64" si="56">MEDIAN(M$62,M$56,M$60,M$58)</f>
        <v>5.6362565232227158E-2</v>
      </c>
      <c r="N64" s="489">
        <f t="shared" si="56"/>
        <v>5.6705375179828099E-2</v>
      </c>
      <c r="O64" s="489">
        <f t="shared" si="56"/>
        <v>3.9855672240646345E-2</v>
      </c>
      <c r="P64" s="489">
        <f t="shared" si="56"/>
        <v>3.9855672240646345E-2</v>
      </c>
      <c r="Q64" s="490">
        <f t="shared" si="56"/>
        <v>3.9855672240646345E-2</v>
      </c>
      <c r="R64" s="481"/>
      <c r="S64" s="481"/>
      <c r="T64" s="481"/>
      <c r="U64" s="481"/>
      <c r="V64" s="481"/>
      <c r="W64" s="481"/>
      <c r="X64" s="481"/>
      <c r="Y64" s="481"/>
    </row>
    <row r="65" spans="1:25" s="386" customFormat="1" ht="12.75" customHeight="1">
      <c r="J65" s="515" t="s">
        <v>543</v>
      </c>
      <c r="K65" s="516"/>
      <c r="L65" s="491">
        <f>AVERAGE(L$62,L$56,L$60,L$58)</f>
        <v>4.4427213034898605E-2</v>
      </c>
      <c r="M65" s="491">
        <f t="shared" ref="M65:Q65" si="57">AVERAGE(M$62,M$56,M$60,M$58)</f>
        <v>5.8228303334045717E-2</v>
      </c>
      <c r="N65" s="491">
        <f t="shared" si="57"/>
        <v>6.4310455367276753E-2</v>
      </c>
      <c r="O65" s="491">
        <f t="shared" si="57"/>
        <v>2.5853931888745574E-2</v>
      </c>
      <c r="P65" s="491">
        <f t="shared" si="57"/>
        <v>3.4698852746289144E-2</v>
      </c>
      <c r="Q65" s="492">
        <f t="shared" si="57"/>
        <v>3.4698852746289144E-2</v>
      </c>
      <c r="R65" s="481"/>
      <c r="S65" s="481"/>
      <c r="T65" s="481"/>
      <c r="U65" s="481"/>
      <c r="V65" s="481"/>
      <c r="W65" s="481"/>
      <c r="X65" s="481"/>
      <c r="Y65" s="481"/>
    </row>
    <row r="66" spans="1:25" s="386" customFormat="1" ht="12.75" customHeight="1">
      <c r="B66" s="520"/>
      <c r="C66" s="481"/>
      <c r="D66" s="481"/>
      <c r="E66" s="481"/>
      <c r="F66" s="481"/>
      <c r="G66" s="481"/>
      <c r="H66" s="481"/>
      <c r="I66" s="512"/>
      <c r="J66" s="512"/>
      <c r="K66" s="512"/>
      <c r="L66" s="488"/>
      <c r="M66" s="488"/>
      <c r="N66" s="488"/>
      <c r="O66" s="488"/>
      <c r="P66" s="488"/>
      <c r="Q66" s="488"/>
      <c r="R66" s="481"/>
      <c r="S66" s="481"/>
      <c r="T66" s="481"/>
      <c r="U66" s="481"/>
      <c r="V66" s="481"/>
      <c r="W66" s="481"/>
      <c r="X66" s="481"/>
      <c r="Y66" s="481"/>
    </row>
    <row r="67" spans="1:25" ht="12.75" thickBot="1">
      <c r="A67" s="454" t="s">
        <v>25</v>
      </c>
      <c r="B67" s="505" t="s">
        <v>536</v>
      </c>
      <c r="C67" s="522"/>
      <c r="D67" s="522"/>
      <c r="E67" s="522"/>
      <c r="F67" s="522"/>
      <c r="G67" s="522"/>
      <c r="H67" s="522"/>
      <c r="I67" s="522"/>
      <c r="J67" s="517" t="s">
        <v>536</v>
      </c>
      <c r="K67" s="485"/>
      <c r="L67" s="485"/>
      <c r="M67" s="485"/>
      <c r="N67" s="485"/>
      <c r="O67" s="485"/>
      <c r="P67" s="485"/>
      <c r="Q67" s="486"/>
    </row>
    <row r="68" spans="1:25" ht="12.75" customHeight="1">
      <c r="B68" s="522"/>
      <c r="C68" s="522"/>
      <c r="D68" s="522"/>
      <c r="E68" s="522"/>
      <c r="F68" s="522"/>
      <c r="G68" s="522"/>
      <c r="H68" s="522"/>
      <c r="I68" s="522"/>
      <c r="J68" s="503" t="s">
        <v>520</v>
      </c>
      <c r="K68" s="503"/>
      <c r="L68" s="456">
        <v>28208.284896885856</v>
      </c>
      <c r="M68" s="456">
        <v>29955.430141197139</v>
      </c>
      <c r="N68" s="456">
        <v>32016.946189059046</v>
      </c>
      <c r="O68" s="459">
        <f>N68</f>
        <v>32016.946189059046</v>
      </c>
      <c r="P68" s="459">
        <f t="shared" ref="P68:Q68" si="58">O68</f>
        <v>32016.946189059046</v>
      </c>
      <c r="Q68" s="459">
        <f t="shared" si="58"/>
        <v>32016.946189059046</v>
      </c>
      <c r="R68" s="476"/>
      <c r="S68" s="470"/>
      <c r="T68" s="477"/>
      <c r="U68" s="476"/>
      <c r="V68" s="476"/>
      <c r="W68" s="477"/>
      <c r="X68" s="477"/>
      <c r="Y68" s="477"/>
    </row>
    <row r="69" spans="1:25" ht="12.75" customHeight="1">
      <c r="B69" s="522"/>
      <c r="C69" s="522"/>
      <c r="D69" s="522"/>
      <c r="E69" s="522"/>
      <c r="F69" s="522"/>
      <c r="G69" s="522"/>
      <c r="H69" s="522"/>
      <c r="I69" s="522"/>
      <c r="J69" s="504" t="s">
        <v>46</v>
      </c>
      <c r="K69" s="504"/>
      <c r="L69" s="482">
        <f>SUM(L68/$H$7)-1</f>
        <v>5.6727537906865022E-2</v>
      </c>
      <c r="M69" s="482">
        <f>SUM(M68/L68)-1</f>
        <v>6.1937308514072864E-2</v>
      </c>
      <c r="N69" s="482">
        <f>SUM(N68/M68)-1</f>
        <v>6.8819444025500554E-2</v>
      </c>
      <c r="O69" s="482">
        <f>N69</f>
        <v>6.8819444025500554E-2</v>
      </c>
      <c r="P69" s="482">
        <f t="shared" ref="P69:Q69" si="59">O69</f>
        <v>6.8819444025500554E-2</v>
      </c>
      <c r="Q69" s="482">
        <f t="shared" si="59"/>
        <v>6.8819444025500554E-2</v>
      </c>
      <c r="R69" s="478"/>
      <c r="S69" s="479"/>
      <c r="T69" s="479"/>
      <c r="U69" s="478"/>
      <c r="V69" s="478"/>
      <c r="W69" s="479"/>
      <c r="X69" s="479"/>
      <c r="Y69" s="479"/>
    </row>
    <row r="70" spans="1:25" ht="12.75" customHeight="1">
      <c r="B70" s="522"/>
      <c r="C70" s="522"/>
      <c r="D70" s="522"/>
      <c r="E70" s="522"/>
      <c r="F70" s="522"/>
      <c r="G70" s="522"/>
      <c r="H70" s="522"/>
      <c r="I70" s="522"/>
      <c r="J70" s="503" t="s">
        <v>535</v>
      </c>
      <c r="K70" s="503"/>
      <c r="L70" s="456">
        <v>28399</v>
      </c>
      <c r="M70" s="456">
        <v>29159</v>
      </c>
      <c r="N70" s="456">
        <v>30040</v>
      </c>
      <c r="O70" s="456">
        <v>31253</v>
      </c>
      <c r="P70" s="459">
        <f>O70</f>
        <v>31253</v>
      </c>
      <c r="Q70" s="459">
        <f>P70</f>
        <v>31253</v>
      </c>
      <c r="R70" s="476"/>
      <c r="S70" s="470"/>
      <c r="T70" s="477"/>
      <c r="U70" s="476"/>
      <c r="V70" s="476"/>
      <c r="W70" s="477"/>
      <c r="X70" s="477"/>
      <c r="Y70" s="477"/>
    </row>
    <row r="71" spans="1:25" ht="12.75" customHeight="1">
      <c r="B71" s="522"/>
      <c r="C71" s="522"/>
      <c r="D71" s="522"/>
      <c r="E71" s="522"/>
      <c r="F71" s="522"/>
      <c r="G71" s="522"/>
      <c r="H71" s="522"/>
      <c r="I71" s="522"/>
      <c r="J71" s="504" t="s">
        <v>46</v>
      </c>
      <c r="K71" s="504"/>
      <c r="L71" s="482">
        <f>SUM(L70/$H$7)-1</f>
        <v>6.3872031168052734E-2</v>
      </c>
      <c r="M71" s="482">
        <f>SUM(M70/L70)-1</f>
        <v>2.6761505686820009E-2</v>
      </c>
      <c r="N71" s="482">
        <f t="shared" ref="N71" si="60">SUM(N70/M70)-1</f>
        <v>3.0213656161047986E-2</v>
      </c>
      <c r="O71" s="482">
        <f t="shared" ref="O71" si="61">SUM(O70/N70)-1</f>
        <v>4.0379494007989347E-2</v>
      </c>
      <c r="P71" s="482">
        <f>O71</f>
        <v>4.0379494007989347E-2</v>
      </c>
      <c r="Q71" s="482">
        <f>P71</f>
        <v>4.0379494007989347E-2</v>
      </c>
      <c r="R71" s="478"/>
      <c r="S71" s="479"/>
      <c r="T71" s="479"/>
      <c r="U71" s="478"/>
      <c r="V71" s="478"/>
      <c r="W71" s="479"/>
      <c r="X71" s="479"/>
      <c r="Y71" s="479"/>
    </row>
    <row r="72" spans="1:25" ht="12.75" customHeight="1">
      <c r="B72" s="522"/>
      <c r="C72" s="522"/>
      <c r="D72" s="522"/>
      <c r="E72" s="522"/>
      <c r="F72" s="522"/>
      <c r="G72" s="522"/>
      <c r="H72" s="522"/>
      <c r="I72" s="522"/>
      <c r="J72" s="503" t="s">
        <v>540</v>
      </c>
      <c r="K72" s="503"/>
      <c r="L72" s="456">
        <v>27523</v>
      </c>
      <c r="M72" s="456">
        <v>28295</v>
      </c>
      <c r="N72" s="456">
        <v>28599</v>
      </c>
      <c r="O72" s="459">
        <f>N72</f>
        <v>28599</v>
      </c>
      <c r="P72" s="459">
        <f t="shared" ref="P72:Q72" si="62">O72</f>
        <v>28599</v>
      </c>
      <c r="Q72" s="459">
        <f t="shared" si="62"/>
        <v>28599</v>
      </c>
      <c r="R72" s="476"/>
      <c r="S72" s="477"/>
      <c r="T72" s="477"/>
      <c r="U72" s="476"/>
      <c r="V72" s="476"/>
      <c r="W72" s="477"/>
      <c r="X72" s="477"/>
      <c r="Y72" s="477"/>
    </row>
    <row r="73" spans="1:25" ht="12.75" customHeight="1">
      <c r="B73" s="522"/>
      <c r="C73" s="522"/>
      <c r="D73" s="522"/>
      <c r="E73" s="522"/>
      <c r="F73" s="522"/>
      <c r="G73" s="522"/>
      <c r="H73" s="522"/>
      <c r="I73" s="522"/>
      <c r="J73" s="504" t="s">
        <v>46</v>
      </c>
      <c r="K73" s="504"/>
      <c r="L73" s="482">
        <f>SUM(L72/$H$7)-1</f>
        <v>3.1055667940361076E-2</v>
      </c>
      <c r="M73" s="482">
        <f>SUM(M72/L72)-1</f>
        <v>2.8049267885041695E-2</v>
      </c>
      <c r="N73" s="482">
        <f t="shared" ref="N73" si="63">SUM(N72/M72)-1</f>
        <v>1.0743947693938827E-2</v>
      </c>
      <c r="O73" s="482">
        <f>N73</f>
        <v>1.0743947693938827E-2</v>
      </c>
      <c r="P73" s="482">
        <f t="shared" ref="P73:Q73" si="64">O73</f>
        <v>1.0743947693938827E-2</v>
      </c>
      <c r="Q73" s="482">
        <f t="shared" si="64"/>
        <v>1.0743947693938827E-2</v>
      </c>
      <c r="R73" s="481"/>
      <c r="S73" s="480"/>
      <c r="T73" s="480"/>
      <c r="U73" s="481"/>
      <c r="V73" s="481"/>
      <c r="W73" s="480"/>
      <c r="X73" s="480"/>
      <c r="Y73" s="480"/>
    </row>
    <row r="74" spans="1:25" ht="12.75" customHeight="1">
      <c r="B74" s="522"/>
      <c r="C74" s="522"/>
      <c r="D74" s="522"/>
      <c r="E74" s="522"/>
      <c r="F74" s="522"/>
      <c r="G74" s="522"/>
      <c r="H74" s="522"/>
      <c r="I74" s="522"/>
      <c r="J74" s="503" t="s">
        <v>521</v>
      </c>
      <c r="K74" s="503"/>
      <c r="L74" s="456">
        <v>27567</v>
      </c>
      <c r="M74" s="456">
        <v>25036</v>
      </c>
      <c r="N74" s="456">
        <v>24466</v>
      </c>
      <c r="O74" s="459">
        <f>N74</f>
        <v>24466</v>
      </c>
      <c r="P74" s="459">
        <f t="shared" ref="P74:Q74" si="65">O74</f>
        <v>24466</v>
      </c>
      <c r="Q74" s="459">
        <f t="shared" si="65"/>
        <v>24466</v>
      </c>
      <c r="R74" s="476"/>
      <c r="S74" s="476"/>
      <c r="T74" s="477"/>
      <c r="U74" s="476"/>
      <c r="V74" s="476"/>
      <c r="W74" s="476"/>
      <c r="X74" s="476"/>
      <c r="Y74" s="477"/>
    </row>
    <row r="75" spans="1:25" ht="12.75" customHeight="1">
      <c r="B75" s="522"/>
      <c r="C75" s="522"/>
      <c r="D75" s="522"/>
      <c r="E75" s="522"/>
      <c r="F75" s="522"/>
      <c r="G75" s="522"/>
      <c r="H75" s="522"/>
      <c r="I75" s="522"/>
      <c r="J75" s="504" t="s">
        <v>46</v>
      </c>
      <c r="K75" s="504"/>
      <c r="L75" s="482">
        <f>SUM(L74/$H$7)-1</f>
        <v>3.2703978422117252E-2</v>
      </c>
      <c r="M75" s="482">
        <f>SUM(M74/L74)-1</f>
        <v>-9.181267457467257E-2</v>
      </c>
      <c r="N75" s="482">
        <f>SUM(N74/M74)-1</f>
        <v>-2.2767215210097502E-2</v>
      </c>
      <c r="O75" s="482">
        <v>0</v>
      </c>
      <c r="P75" s="482">
        <f t="shared" ref="P75:Q75" si="66">O75</f>
        <v>0</v>
      </c>
      <c r="Q75" s="482">
        <f t="shared" si="66"/>
        <v>0</v>
      </c>
      <c r="R75" s="481"/>
      <c r="S75" s="481"/>
      <c r="T75" s="481"/>
      <c r="U75" s="481"/>
      <c r="V75" s="481"/>
      <c r="W75" s="481"/>
      <c r="X75" s="481"/>
      <c r="Y75" s="481"/>
    </row>
    <row r="76" spans="1:25">
      <c r="B76" s="522"/>
      <c r="C76" s="522"/>
      <c r="D76" s="522"/>
      <c r="E76" s="522"/>
      <c r="F76" s="522"/>
      <c r="G76" s="522"/>
      <c r="H76" s="522"/>
      <c r="I76" s="522"/>
      <c r="J76" s="518"/>
      <c r="K76" s="518"/>
      <c r="L76" s="518"/>
      <c r="M76" s="518"/>
      <c r="N76" s="518"/>
      <c r="O76" s="518"/>
      <c r="P76" s="518"/>
      <c r="Q76" s="484"/>
      <c r="R76" s="457"/>
      <c r="S76" s="457"/>
      <c r="T76" s="457"/>
      <c r="U76" s="457"/>
      <c r="V76" s="457"/>
      <c r="W76" s="457"/>
      <c r="X76" s="457"/>
      <c r="Y76" s="457"/>
    </row>
    <row r="77" spans="1:25">
      <c r="B77" s="522"/>
      <c r="C77" s="522"/>
      <c r="D77" s="522"/>
      <c r="E77" s="522"/>
      <c r="F77" s="522"/>
      <c r="G77" s="522"/>
      <c r="H77" s="522"/>
      <c r="I77" s="522"/>
      <c r="J77" s="513" t="s">
        <v>542</v>
      </c>
      <c r="K77" s="514"/>
      <c r="L77" s="489">
        <f>MEDIAN(L$75,L$69,L$73,L$71)</f>
        <v>4.4715758164491137E-2</v>
      </c>
      <c r="M77" s="489">
        <f t="shared" ref="M77:Q77" si="67">MEDIAN(M$75,M$69,M$73,M$71)</f>
        <v>2.7405386785930852E-2</v>
      </c>
      <c r="N77" s="489">
        <f t="shared" si="67"/>
        <v>2.0478801927493406E-2</v>
      </c>
      <c r="O77" s="489">
        <f t="shared" si="67"/>
        <v>2.5561720850964087E-2</v>
      </c>
      <c r="P77" s="489">
        <f t="shared" si="67"/>
        <v>2.5561720850964087E-2</v>
      </c>
      <c r="Q77" s="490">
        <f t="shared" si="67"/>
        <v>2.5561720850964087E-2</v>
      </c>
      <c r="R77" s="457"/>
      <c r="S77" s="457"/>
      <c r="T77" s="457"/>
      <c r="U77" s="457"/>
      <c r="V77" s="457"/>
      <c r="W77" s="457"/>
      <c r="X77" s="457"/>
      <c r="Y77" s="457"/>
    </row>
    <row r="78" spans="1:25">
      <c r="B78" s="522"/>
      <c r="C78" s="522"/>
      <c r="D78" s="522"/>
      <c r="E78" s="522"/>
      <c r="F78" s="522"/>
      <c r="G78" s="522"/>
      <c r="H78" s="522"/>
      <c r="I78" s="522"/>
      <c r="J78" s="515" t="s">
        <v>543</v>
      </c>
      <c r="K78" s="516"/>
      <c r="L78" s="491">
        <f>AVERAGE(L$75,L$69,L$73,L$71)</f>
        <v>4.6089803859349021E-2</v>
      </c>
      <c r="M78" s="491">
        <f t="shared" ref="M78:Q78" si="68">AVERAGE(M$75,M$69,M$73,M$71)</f>
        <v>6.2338518778154994E-3</v>
      </c>
      <c r="N78" s="491">
        <f t="shared" si="68"/>
        <v>2.1752458167597466E-2</v>
      </c>
      <c r="O78" s="491">
        <f t="shared" si="68"/>
        <v>2.9985721431857182E-2</v>
      </c>
      <c r="P78" s="491">
        <f t="shared" si="68"/>
        <v>2.9985721431857182E-2</v>
      </c>
      <c r="Q78" s="492">
        <f t="shared" si="68"/>
        <v>2.9985721431857182E-2</v>
      </c>
      <c r="R78" s="457"/>
      <c r="S78" s="457"/>
      <c r="T78" s="457"/>
      <c r="U78" s="457"/>
      <c r="V78" s="457"/>
      <c r="W78" s="457"/>
      <c r="X78" s="457"/>
      <c r="Y78" s="457"/>
    </row>
    <row r="79" spans="1:25">
      <c r="B79" s="518"/>
      <c r="C79" s="518"/>
      <c r="D79" s="518"/>
      <c r="E79" s="518"/>
      <c r="F79" s="518"/>
      <c r="G79" s="518"/>
      <c r="H79" s="518"/>
      <c r="I79" s="518"/>
      <c r="J79" s="518"/>
      <c r="K79" s="518"/>
      <c r="L79" s="518"/>
      <c r="M79" s="518"/>
      <c r="N79" s="518"/>
      <c r="O79" s="518"/>
      <c r="P79" s="518"/>
      <c r="Q79" s="484"/>
      <c r="R79" s="457"/>
      <c r="S79" s="457"/>
      <c r="T79" s="457"/>
      <c r="U79" s="457"/>
      <c r="V79" s="457"/>
      <c r="W79" s="457"/>
      <c r="X79" s="457"/>
      <c r="Y79" s="457"/>
    </row>
    <row r="80" spans="1:25" ht="12.75" thickBot="1">
      <c r="A80" s="454" t="s">
        <v>25</v>
      </c>
      <c r="B80" s="505" t="s">
        <v>537</v>
      </c>
      <c r="C80" s="518"/>
      <c r="D80" s="518"/>
      <c r="E80" s="518"/>
      <c r="F80" s="518"/>
      <c r="G80" s="518"/>
      <c r="H80" s="518"/>
      <c r="I80" s="518"/>
      <c r="J80" s="517" t="s">
        <v>537</v>
      </c>
      <c r="K80" s="485"/>
      <c r="L80" s="485"/>
      <c r="M80" s="485"/>
      <c r="N80" s="485"/>
      <c r="O80" s="485"/>
      <c r="P80" s="485"/>
      <c r="Q80" s="486"/>
    </row>
    <row r="81" spans="1:25" ht="12.75" customHeight="1">
      <c r="B81" s="518"/>
      <c r="C81" s="518"/>
      <c r="D81" s="518"/>
      <c r="E81" s="518"/>
      <c r="F81" s="518"/>
      <c r="G81" s="518"/>
      <c r="H81" s="518"/>
      <c r="I81" s="518"/>
      <c r="J81" s="503" t="s">
        <v>520</v>
      </c>
      <c r="K81" s="503"/>
      <c r="L81" s="456">
        <v>33477.451964625579</v>
      </c>
      <c r="M81" s="456">
        <v>34521.79577849443</v>
      </c>
      <c r="N81" s="456">
        <v>35879.892551795638</v>
      </c>
      <c r="O81" s="459">
        <f t="shared" ref="O81:Q81" si="69">N81</f>
        <v>35879.892551795638</v>
      </c>
      <c r="P81" s="459">
        <f t="shared" si="69"/>
        <v>35879.892551795638</v>
      </c>
      <c r="Q81" s="459">
        <f t="shared" si="69"/>
        <v>35879.892551795638</v>
      </c>
      <c r="R81" s="476"/>
      <c r="S81" s="477"/>
      <c r="T81" s="477"/>
      <c r="U81" s="476"/>
      <c r="V81" s="476"/>
      <c r="W81" s="477"/>
      <c r="X81" s="477"/>
      <c r="Y81" s="477"/>
    </row>
    <row r="82" spans="1:25" ht="12.75" customHeight="1">
      <c r="B82" s="518"/>
      <c r="C82" s="518"/>
      <c r="D82" s="518"/>
      <c r="E82" s="518"/>
      <c r="F82" s="518"/>
      <c r="G82" s="518"/>
      <c r="H82" s="518"/>
      <c r="I82" s="518"/>
      <c r="J82" s="504" t="s">
        <v>46</v>
      </c>
      <c r="K82" s="504"/>
      <c r="L82" s="482">
        <f>SUM(L81/$H$8)-1</f>
        <v>0.11651053777433229</v>
      </c>
      <c r="M82" s="482">
        <f>SUM(M81/L81)-1</f>
        <v>3.1195439096511013E-2</v>
      </c>
      <c r="N82" s="482">
        <f>SUM(N81/M81)-1</f>
        <v>3.934027018800812E-2</v>
      </c>
      <c r="O82" s="482">
        <f t="shared" ref="O82:Q82" si="70">N82</f>
        <v>3.934027018800812E-2</v>
      </c>
      <c r="P82" s="482">
        <f t="shared" si="70"/>
        <v>3.934027018800812E-2</v>
      </c>
      <c r="Q82" s="482">
        <f t="shared" si="70"/>
        <v>3.934027018800812E-2</v>
      </c>
      <c r="R82" s="478"/>
      <c r="S82" s="479"/>
      <c r="T82" s="479"/>
      <c r="U82" s="478"/>
      <c r="V82" s="478"/>
      <c r="W82" s="479"/>
      <c r="X82" s="479"/>
      <c r="Y82" s="479"/>
    </row>
    <row r="83" spans="1:25" ht="12.75" customHeight="1">
      <c r="B83" s="518"/>
      <c r="C83" s="518"/>
      <c r="D83" s="518"/>
      <c r="E83" s="518"/>
      <c r="F83" s="518"/>
      <c r="G83" s="518"/>
      <c r="H83" s="518"/>
      <c r="I83" s="518"/>
      <c r="J83" s="503" t="s">
        <v>535</v>
      </c>
      <c r="K83" s="503"/>
      <c r="L83" s="456">
        <v>33189</v>
      </c>
      <c r="M83" s="456">
        <v>34188</v>
      </c>
      <c r="N83" s="456">
        <v>35395</v>
      </c>
      <c r="O83" s="456">
        <v>37003</v>
      </c>
      <c r="P83" s="459">
        <f>O83</f>
        <v>37003</v>
      </c>
      <c r="Q83" s="459">
        <f>P83</f>
        <v>37003</v>
      </c>
      <c r="R83" s="476"/>
      <c r="S83" s="477"/>
      <c r="T83" s="477"/>
      <c r="U83" s="476"/>
      <c r="V83" s="476"/>
      <c r="W83" s="477"/>
      <c r="X83" s="477"/>
      <c r="Y83" s="477"/>
    </row>
    <row r="84" spans="1:25" ht="12.75" customHeight="1">
      <c r="B84" s="518"/>
      <c r="C84" s="518"/>
      <c r="D84" s="518"/>
      <c r="E84" s="518"/>
      <c r="F84" s="518"/>
      <c r="G84" s="518"/>
      <c r="H84" s="518"/>
      <c r="I84" s="518"/>
      <c r="J84" s="504" t="s">
        <v>46</v>
      </c>
      <c r="K84" s="504"/>
      <c r="L84" s="482">
        <f>SUM(L83/$H$8)-1</f>
        <v>0.10689034151547494</v>
      </c>
      <c r="M84" s="482">
        <f>SUM(M83/L83)-1</f>
        <v>3.0100334448160515E-2</v>
      </c>
      <c r="N84" s="482">
        <f t="shared" ref="N84" si="71">SUM(N83/M83)-1</f>
        <v>3.5304785304785202E-2</v>
      </c>
      <c r="O84" s="482">
        <f t="shared" ref="O84" si="72">SUM(O83/N83)-1</f>
        <v>4.5430145500776842E-2</v>
      </c>
      <c r="P84" s="482">
        <f>O84</f>
        <v>4.5430145500776842E-2</v>
      </c>
      <c r="Q84" s="482">
        <f>P84</f>
        <v>4.5430145500776842E-2</v>
      </c>
      <c r="R84" s="478"/>
      <c r="S84" s="479"/>
      <c r="T84" s="479"/>
      <c r="U84" s="478"/>
      <c r="V84" s="478"/>
      <c r="W84" s="479"/>
      <c r="X84" s="479"/>
      <c r="Y84" s="479"/>
    </row>
    <row r="85" spans="1:25" ht="12.75" customHeight="1">
      <c r="B85" s="518"/>
      <c r="C85" s="518"/>
      <c r="D85" s="518"/>
      <c r="E85" s="518"/>
      <c r="F85" s="518"/>
      <c r="G85" s="518"/>
      <c r="H85" s="518"/>
      <c r="I85" s="518"/>
      <c r="J85" s="503" t="s">
        <v>540</v>
      </c>
      <c r="K85" s="503"/>
      <c r="L85" s="456">
        <v>34302</v>
      </c>
      <c r="M85" s="456">
        <v>34888</v>
      </c>
      <c r="N85" s="456">
        <v>35155</v>
      </c>
      <c r="O85" s="459">
        <f>N85</f>
        <v>35155</v>
      </c>
      <c r="P85" s="459">
        <f t="shared" ref="P85:Q85" si="73">O85</f>
        <v>35155</v>
      </c>
      <c r="Q85" s="459">
        <f t="shared" si="73"/>
        <v>35155</v>
      </c>
      <c r="R85" s="476"/>
      <c r="S85" s="477"/>
      <c r="T85" s="477"/>
      <c r="U85" s="476"/>
      <c r="V85" s="476"/>
      <c r="W85" s="477"/>
      <c r="X85" s="477"/>
      <c r="Y85" s="477"/>
    </row>
    <row r="86" spans="1:25" ht="12.75" customHeight="1">
      <c r="B86" s="518"/>
      <c r="C86" s="518"/>
      <c r="D86" s="518"/>
      <c r="E86" s="518"/>
      <c r="F86" s="518"/>
      <c r="G86" s="518"/>
      <c r="H86" s="518"/>
      <c r="I86" s="518"/>
      <c r="J86" s="504" t="s">
        <v>46</v>
      </c>
      <c r="K86" s="504"/>
      <c r="L86" s="482">
        <f>SUM(L85/$H$8)-1</f>
        <v>0.1440101387406616</v>
      </c>
      <c r="M86" s="482">
        <f>SUM(M85/L85)-1</f>
        <v>1.7083551979476308E-2</v>
      </c>
      <c r="N86" s="482">
        <f>SUM(N85/M85)-1</f>
        <v>7.6530612244898322E-3</v>
      </c>
      <c r="O86" s="482">
        <f>N86</f>
        <v>7.6530612244898322E-3</v>
      </c>
      <c r="P86" s="482">
        <f t="shared" ref="P86:Q86" si="74">O86</f>
        <v>7.6530612244898322E-3</v>
      </c>
      <c r="Q86" s="482">
        <f t="shared" si="74"/>
        <v>7.6530612244898322E-3</v>
      </c>
      <c r="R86" s="481"/>
      <c r="S86" s="480"/>
      <c r="T86" s="480"/>
      <c r="U86" s="481"/>
      <c r="V86" s="481"/>
      <c r="W86" s="480"/>
      <c r="X86" s="480"/>
      <c r="Y86" s="480"/>
    </row>
    <row r="87" spans="1:25" ht="12.75" customHeight="1">
      <c r="B87" s="518"/>
      <c r="C87" s="518"/>
      <c r="D87" s="518"/>
      <c r="E87" s="518"/>
      <c r="F87" s="518"/>
      <c r="G87" s="518"/>
      <c r="H87" s="518"/>
      <c r="I87" s="518"/>
      <c r="J87" s="503" t="s">
        <v>521</v>
      </c>
      <c r="K87" s="503"/>
      <c r="L87" s="456">
        <v>34644</v>
      </c>
      <c r="M87" s="456">
        <v>37934</v>
      </c>
      <c r="N87" s="456">
        <v>40252</v>
      </c>
      <c r="O87" s="459">
        <f>N87</f>
        <v>40252</v>
      </c>
      <c r="P87" s="459">
        <f t="shared" ref="P87:Q87" si="75">O87</f>
        <v>40252</v>
      </c>
      <c r="Q87" s="459">
        <f t="shared" si="75"/>
        <v>40252</v>
      </c>
      <c r="R87" s="476"/>
      <c r="S87" s="476"/>
      <c r="T87" s="477"/>
      <c r="U87" s="476"/>
      <c r="V87" s="476"/>
      <c r="W87" s="476"/>
      <c r="X87" s="476"/>
      <c r="Y87" s="477"/>
    </row>
    <row r="88" spans="1:25" ht="12.75" customHeight="1">
      <c r="B88" s="518"/>
      <c r="C88" s="518"/>
      <c r="D88" s="518"/>
      <c r="E88" s="518"/>
      <c r="F88" s="518"/>
      <c r="G88" s="518"/>
      <c r="H88" s="518"/>
      <c r="I88" s="518"/>
      <c r="J88" s="504" t="s">
        <v>46</v>
      </c>
      <c r="K88" s="504"/>
      <c r="L88" s="482">
        <f>SUM(L87/$H$8)-1</f>
        <v>0.15541622198505878</v>
      </c>
      <c r="M88" s="482">
        <f>SUM(M87/L87)-1</f>
        <v>9.4965939267982913E-2</v>
      </c>
      <c r="N88" s="482">
        <f>SUM(N87/M87)-1</f>
        <v>6.1106131702430622E-2</v>
      </c>
      <c r="O88" s="482">
        <f>N88</f>
        <v>6.1106131702430622E-2</v>
      </c>
      <c r="P88" s="482">
        <f t="shared" ref="P88:Q88" si="76">O88</f>
        <v>6.1106131702430622E-2</v>
      </c>
      <c r="Q88" s="482">
        <f t="shared" si="76"/>
        <v>6.1106131702430622E-2</v>
      </c>
      <c r="R88" s="481"/>
      <c r="S88" s="481"/>
      <c r="T88" s="481"/>
      <c r="U88" s="481"/>
      <c r="V88" s="481"/>
      <c r="W88" s="481"/>
      <c r="X88" s="481"/>
      <c r="Y88" s="481"/>
    </row>
    <row r="89" spans="1:25">
      <c r="B89" s="518"/>
      <c r="C89" s="518"/>
      <c r="D89" s="518"/>
      <c r="E89" s="518"/>
      <c r="F89" s="518"/>
      <c r="G89" s="518"/>
      <c r="H89" s="518"/>
      <c r="I89" s="518"/>
      <c r="J89" s="518"/>
      <c r="K89" s="518"/>
      <c r="L89" s="518"/>
      <c r="M89" s="518"/>
      <c r="N89" s="518"/>
      <c r="O89" s="518"/>
      <c r="P89" s="518"/>
      <c r="Q89" s="458"/>
      <c r="R89" s="458"/>
      <c r="S89" s="458"/>
      <c r="T89" s="458"/>
      <c r="U89" s="458"/>
      <c r="V89" s="458"/>
      <c r="W89" s="458"/>
      <c r="X89" s="458"/>
      <c r="Y89" s="458"/>
    </row>
    <row r="90" spans="1:25">
      <c r="B90" s="518"/>
      <c r="C90" s="518"/>
      <c r="D90" s="518"/>
      <c r="E90" s="518"/>
      <c r="F90" s="518"/>
      <c r="G90" s="518"/>
      <c r="H90" s="518"/>
      <c r="I90" s="518"/>
      <c r="J90" s="513" t="s">
        <v>542</v>
      </c>
      <c r="K90" s="514"/>
      <c r="L90" s="489">
        <f>MEDIAN(L$88,L$82,L$86,L$84)</f>
        <v>0.13026033825749694</v>
      </c>
      <c r="M90" s="489">
        <f t="shared" ref="M90:Q90" si="77">MEDIAN(M$88,M$82,M$86,M$84)</f>
        <v>3.0647886772335764E-2</v>
      </c>
      <c r="N90" s="489">
        <f t="shared" si="77"/>
        <v>3.7322527746396661E-2</v>
      </c>
      <c r="O90" s="489">
        <f t="shared" si="77"/>
        <v>4.2385207844392481E-2</v>
      </c>
      <c r="P90" s="489">
        <f t="shared" si="77"/>
        <v>4.2385207844392481E-2</v>
      </c>
      <c r="Q90" s="490">
        <f t="shared" si="77"/>
        <v>4.2385207844392481E-2</v>
      </c>
      <c r="R90" s="458"/>
      <c r="S90" s="458"/>
      <c r="T90" s="458"/>
      <c r="U90" s="458"/>
      <c r="V90" s="458"/>
      <c r="W90" s="458"/>
      <c r="X90" s="458"/>
      <c r="Y90" s="458"/>
    </row>
    <row r="91" spans="1:25">
      <c r="B91" s="518"/>
      <c r="C91" s="518"/>
      <c r="D91" s="518"/>
      <c r="E91" s="518"/>
      <c r="F91" s="518"/>
      <c r="G91" s="518"/>
      <c r="H91" s="518"/>
      <c r="I91" s="518"/>
      <c r="J91" s="515" t="s">
        <v>543</v>
      </c>
      <c r="K91" s="516"/>
      <c r="L91" s="491">
        <f>AVERAGE(L$88,L$82,L$86,L$84)</f>
        <v>0.1307068100038819</v>
      </c>
      <c r="M91" s="491">
        <f t="shared" ref="M91:Q91" si="78">AVERAGE(M$88,M$82,M$86,M$84)</f>
        <v>4.3336316198032687E-2</v>
      </c>
      <c r="N91" s="491">
        <f t="shared" si="78"/>
        <v>3.5851062104928444E-2</v>
      </c>
      <c r="O91" s="491">
        <f t="shared" si="78"/>
        <v>3.8382402153926354E-2</v>
      </c>
      <c r="P91" s="491">
        <f t="shared" si="78"/>
        <v>3.8382402153926354E-2</v>
      </c>
      <c r="Q91" s="492">
        <f t="shared" si="78"/>
        <v>3.8382402153926354E-2</v>
      </c>
      <c r="R91" s="458"/>
      <c r="S91" s="458"/>
      <c r="T91" s="458"/>
      <c r="U91" s="458"/>
      <c r="V91" s="458"/>
      <c r="W91" s="458"/>
      <c r="X91" s="458"/>
      <c r="Y91" s="458"/>
    </row>
    <row r="92" spans="1:25">
      <c r="B92" s="518"/>
      <c r="C92" s="518"/>
      <c r="D92" s="518"/>
      <c r="E92" s="518"/>
      <c r="F92" s="518"/>
      <c r="G92" s="518"/>
      <c r="H92" s="518"/>
      <c r="I92" s="518"/>
      <c r="J92" s="518"/>
      <c r="K92" s="518"/>
      <c r="L92" s="518"/>
      <c r="M92" s="518"/>
      <c r="N92" s="518"/>
      <c r="O92" s="518"/>
      <c r="P92" s="518"/>
      <c r="Q92" s="458"/>
      <c r="R92" s="458"/>
      <c r="S92" s="458"/>
      <c r="T92" s="458"/>
      <c r="U92" s="458"/>
      <c r="V92" s="458"/>
      <c r="W92" s="458"/>
      <c r="X92" s="458"/>
      <c r="Y92" s="458"/>
    </row>
    <row r="93" spans="1:25" ht="12.75" thickBot="1">
      <c r="A93" s="454" t="s">
        <v>25</v>
      </c>
      <c r="B93" s="505" t="s">
        <v>541</v>
      </c>
      <c r="C93" s="518"/>
      <c r="D93" s="518"/>
      <c r="E93" s="518"/>
      <c r="F93" s="518"/>
      <c r="G93" s="518"/>
      <c r="H93" s="518"/>
      <c r="I93" s="518"/>
      <c r="J93" s="517" t="s">
        <v>541</v>
      </c>
      <c r="K93" s="485"/>
      <c r="L93" s="485"/>
      <c r="M93" s="485"/>
      <c r="N93" s="485"/>
      <c r="O93" s="485"/>
      <c r="P93" s="485"/>
      <c r="Q93" s="486"/>
    </row>
    <row r="94" spans="1:25" ht="12.75" customHeight="1">
      <c r="B94" s="518"/>
      <c r="C94" s="518"/>
      <c r="D94" s="518"/>
      <c r="E94" s="518"/>
      <c r="F94" s="518"/>
      <c r="G94" s="518"/>
      <c r="H94" s="518"/>
      <c r="I94" s="518"/>
      <c r="J94" s="503" t="s">
        <v>520</v>
      </c>
      <c r="K94" s="503"/>
      <c r="L94" s="456">
        <v>35207.584203094375</v>
      </c>
      <c r="M94" s="456">
        <v>37162.370298556976</v>
      </c>
      <c r="N94" s="456">
        <v>39913.510994813754</v>
      </c>
      <c r="O94" s="459">
        <f>N94</f>
        <v>39913.510994813754</v>
      </c>
      <c r="P94" s="459">
        <f t="shared" ref="P94:Q94" si="79">O94</f>
        <v>39913.510994813754</v>
      </c>
      <c r="Q94" s="459">
        <f t="shared" si="79"/>
        <v>39913.510994813754</v>
      </c>
      <c r="R94" s="476"/>
      <c r="S94" s="477"/>
      <c r="T94" s="477"/>
      <c r="U94" s="476"/>
      <c r="V94" s="476"/>
      <c r="W94" s="477"/>
      <c r="X94" s="477"/>
      <c r="Y94" s="477"/>
    </row>
    <row r="95" spans="1:25" ht="12.75" customHeight="1">
      <c r="B95" s="518"/>
      <c r="C95" s="518"/>
      <c r="D95" s="518"/>
      <c r="E95" s="518"/>
      <c r="F95" s="518"/>
      <c r="G95" s="518"/>
      <c r="H95" s="518"/>
      <c r="I95" s="518"/>
      <c r="J95" s="504" t="s">
        <v>46</v>
      </c>
      <c r="K95" s="504"/>
      <c r="L95" s="482">
        <f>SUM(L94/$H$9)-1</f>
        <v>-4.8572241505353997E-2</v>
      </c>
      <c r="M95" s="482">
        <f>SUM(M94/L94)-1</f>
        <v>5.5521733163697018E-2</v>
      </c>
      <c r="N95" s="482">
        <f t="shared" ref="N95" si="80">SUM(N94/M94)-1</f>
        <v>7.4030280473353027E-2</v>
      </c>
      <c r="O95" s="482">
        <f>N95</f>
        <v>7.4030280473353027E-2</v>
      </c>
      <c r="P95" s="482">
        <f t="shared" ref="P95:Q95" si="81">O95</f>
        <v>7.4030280473353027E-2</v>
      </c>
      <c r="Q95" s="482">
        <f t="shared" si="81"/>
        <v>7.4030280473353027E-2</v>
      </c>
      <c r="R95" s="478"/>
      <c r="S95" s="479"/>
      <c r="T95" s="479"/>
      <c r="U95" s="478"/>
      <c r="V95" s="478"/>
      <c r="W95" s="479"/>
      <c r="X95" s="479"/>
      <c r="Y95" s="479"/>
    </row>
    <row r="96" spans="1:25" ht="12.75" customHeight="1">
      <c r="B96" s="518"/>
      <c r="C96" s="518"/>
      <c r="D96" s="518"/>
      <c r="E96" s="518"/>
      <c r="F96" s="518"/>
      <c r="G96" s="518"/>
      <c r="H96" s="518"/>
      <c r="I96" s="518"/>
      <c r="J96" s="503" t="s">
        <v>535</v>
      </c>
      <c r="K96" s="503"/>
      <c r="L96" s="456">
        <v>35441</v>
      </c>
      <c r="M96" s="456">
        <v>36050</v>
      </c>
      <c r="N96" s="456">
        <v>36689</v>
      </c>
      <c r="O96" s="456">
        <v>38120</v>
      </c>
      <c r="P96" s="459">
        <f>O96</f>
        <v>38120</v>
      </c>
      <c r="Q96" s="459">
        <f>P96</f>
        <v>38120</v>
      </c>
      <c r="R96" s="476"/>
      <c r="S96" s="477"/>
      <c r="T96" s="477"/>
      <c r="U96" s="476"/>
      <c r="V96" s="476"/>
      <c r="W96" s="477"/>
      <c r="X96" s="477"/>
      <c r="Y96" s="477"/>
    </row>
    <row r="97" spans="1:25" ht="12.75" customHeight="1">
      <c r="B97" s="518"/>
      <c r="C97" s="518"/>
      <c r="D97" s="518"/>
      <c r="E97" s="518"/>
      <c r="F97" s="518"/>
      <c r="G97" s="518"/>
      <c r="H97" s="518"/>
      <c r="I97" s="518"/>
      <c r="J97" s="504" t="s">
        <v>46</v>
      </c>
      <c r="K97" s="504"/>
      <c r="L97" s="482">
        <f>SUM(L96/$H$9)-1</f>
        <v>-4.2264558843399525E-2</v>
      </c>
      <c r="M97" s="482">
        <f>SUM(M96/L96)-1</f>
        <v>1.7183488050562801E-2</v>
      </c>
      <c r="N97" s="482">
        <f t="shared" ref="N97" si="82">SUM(N96/M96)-1</f>
        <v>1.7725381414701813E-2</v>
      </c>
      <c r="O97" s="482">
        <f t="shared" ref="O97" si="83">SUM(O96/N96)-1</f>
        <v>3.9003516040230002E-2</v>
      </c>
      <c r="P97" s="482">
        <f>O97</f>
        <v>3.9003516040230002E-2</v>
      </c>
      <c r="Q97" s="482">
        <f>P97</f>
        <v>3.9003516040230002E-2</v>
      </c>
      <c r="R97" s="478"/>
      <c r="S97" s="479"/>
      <c r="T97" s="479"/>
      <c r="U97" s="478"/>
      <c r="V97" s="478"/>
      <c r="W97" s="479"/>
      <c r="X97" s="479"/>
      <c r="Y97" s="479"/>
    </row>
    <row r="98" spans="1:25" ht="12.75" customHeight="1">
      <c r="B98" s="518"/>
      <c r="C98" s="518"/>
      <c r="D98" s="518"/>
      <c r="E98" s="518"/>
      <c r="F98" s="518"/>
      <c r="G98" s="518"/>
      <c r="H98" s="518"/>
      <c r="I98" s="518"/>
      <c r="J98" s="503" t="s">
        <v>540</v>
      </c>
      <c r="K98" s="503"/>
      <c r="L98" s="456">
        <v>34801</v>
      </c>
      <c r="M98" s="456">
        <v>35867</v>
      </c>
      <c r="N98" s="456">
        <v>37348</v>
      </c>
      <c r="O98" s="459">
        <f>N98</f>
        <v>37348</v>
      </c>
      <c r="P98" s="459">
        <f t="shared" ref="P98:Q98" si="84">O98</f>
        <v>37348</v>
      </c>
      <c r="Q98" s="459">
        <f t="shared" si="84"/>
        <v>37348</v>
      </c>
      <c r="R98" s="476"/>
      <c r="S98" s="477"/>
      <c r="T98" s="477"/>
      <c r="U98" s="476"/>
      <c r="V98" s="476"/>
      <c r="W98" s="477"/>
      <c r="X98" s="477"/>
      <c r="Y98" s="477"/>
    </row>
    <row r="99" spans="1:25" ht="12.75" customHeight="1">
      <c r="B99" s="518"/>
      <c r="C99" s="518"/>
      <c r="D99" s="518"/>
      <c r="E99" s="518"/>
      <c r="F99" s="518"/>
      <c r="G99" s="518"/>
      <c r="H99" s="518"/>
      <c r="I99" s="518"/>
      <c r="J99" s="504" t="s">
        <v>46</v>
      </c>
      <c r="K99" s="504"/>
      <c r="L99" s="482">
        <f>SUM(L98/$H$9)-1</f>
        <v>-5.9559518983921089E-2</v>
      </c>
      <c r="M99" s="482">
        <f>SUM(M98/L98)-1</f>
        <v>3.0631303698169576E-2</v>
      </c>
      <c r="N99" s="482">
        <f>SUM(N98/M98)-1</f>
        <v>4.1291437811916243E-2</v>
      </c>
      <c r="O99" s="482">
        <f>N99</f>
        <v>4.1291437811916243E-2</v>
      </c>
      <c r="P99" s="482">
        <f t="shared" ref="P99:Q99" si="85">O99</f>
        <v>4.1291437811916243E-2</v>
      </c>
      <c r="Q99" s="482">
        <f t="shared" si="85"/>
        <v>4.1291437811916243E-2</v>
      </c>
      <c r="R99" s="481"/>
      <c r="S99" s="480"/>
      <c r="T99" s="480"/>
      <c r="U99" s="481"/>
      <c r="V99" s="481"/>
      <c r="W99" s="480"/>
      <c r="X99" s="480"/>
      <c r="Y99" s="480"/>
    </row>
    <row r="100" spans="1:25" ht="12.75" customHeight="1">
      <c r="B100" s="518"/>
      <c r="C100" s="518"/>
      <c r="D100" s="518"/>
      <c r="E100" s="518"/>
      <c r="F100" s="518"/>
      <c r="G100" s="518"/>
      <c r="H100" s="518"/>
      <c r="I100" s="518"/>
      <c r="J100" s="503" t="s">
        <v>521</v>
      </c>
      <c r="K100" s="503"/>
      <c r="L100" s="456">
        <v>34854</v>
      </c>
      <c r="M100" s="456">
        <v>37710</v>
      </c>
      <c r="N100" s="456">
        <v>41279</v>
      </c>
      <c r="O100" s="459">
        <f>N100</f>
        <v>41279</v>
      </c>
      <c r="P100" s="459">
        <f t="shared" ref="P100:Q100" si="86">O100</f>
        <v>41279</v>
      </c>
      <c r="Q100" s="459">
        <f t="shared" si="86"/>
        <v>41279</v>
      </c>
      <c r="R100" s="476"/>
      <c r="S100" s="476"/>
      <c r="T100" s="477"/>
      <c r="U100" s="476"/>
      <c r="V100" s="476"/>
      <c r="W100" s="476"/>
      <c r="X100" s="476"/>
      <c r="Y100" s="477"/>
    </row>
    <row r="101" spans="1:25" ht="12.75" customHeight="1">
      <c r="B101" s="518"/>
      <c r="C101" s="518"/>
      <c r="D101" s="518"/>
      <c r="E101" s="518"/>
      <c r="F101" s="518"/>
      <c r="G101" s="518"/>
      <c r="H101" s="518"/>
      <c r="I101" s="518"/>
      <c r="J101" s="504" t="s">
        <v>46</v>
      </c>
      <c r="K101" s="504"/>
      <c r="L101" s="482">
        <f>SUM(L100/$H$9)-1</f>
        <v>-5.8127280097284184E-2</v>
      </c>
      <c r="M101" s="482">
        <f>SUM(M100/L100)-1</f>
        <v>8.1941814425890769E-2</v>
      </c>
      <c r="N101" s="482">
        <f>SUM(N100/M100)-1</f>
        <v>9.4643330681516868E-2</v>
      </c>
      <c r="O101" s="482">
        <f>N101</f>
        <v>9.4643330681516868E-2</v>
      </c>
      <c r="P101" s="482">
        <f t="shared" ref="P101:Q101" si="87">O101</f>
        <v>9.4643330681516868E-2</v>
      </c>
      <c r="Q101" s="482">
        <f t="shared" si="87"/>
        <v>9.4643330681516868E-2</v>
      </c>
      <c r="R101" s="481"/>
      <c r="S101" s="481"/>
      <c r="T101" s="481"/>
      <c r="U101" s="481"/>
      <c r="V101" s="481"/>
      <c r="W101" s="481"/>
      <c r="X101" s="481"/>
      <c r="Y101" s="481"/>
    </row>
    <row r="102" spans="1:25" s="354" customFormat="1">
      <c r="B102" s="518"/>
      <c r="C102" s="518"/>
      <c r="D102" s="518"/>
      <c r="E102" s="518"/>
      <c r="F102" s="518"/>
      <c r="G102" s="518"/>
      <c r="H102" s="518"/>
      <c r="I102" s="518"/>
      <c r="J102" s="518"/>
      <c r="K102" s="518"/>
      <c r="L102" s="518"/>
      <c r="M102" s="518"/>
      <c r="N102" s="518"/>
      <c r="O102" s="518"/>
      <c r="P102" s="518"/>
      <c r="Q102" s="458"/>
      <c r="R102" s="458"/>
      <c r="S102" s="458"/>
      <c r="T102" s="458"/>
      <c r="U102" s="458"/>
      <c r="V102" s="458"/>
      <c r="W102" s="458"/>
      <c r="X102" s="458"/>
      <c r="Y102" s="458"/>
    </row>
    <row r="103" spans="1:25" s="354" customFormat="1">
      <c r="B103" s="518"/>
      <c r="C103" s="518"/>
      <c r="D103" s="518"/>
      <c r="E103" s="518"/>
      <c r="F103" s="518"/>
      <c r="G103" s="518"/>
      <c r="H103" s="518"/>
      <c r="I103" s="518"/>
      <c r="J103" s="513" t="s">
        <v>542</v>
      </c>
      <c r="K103" s="514"/>
      <c r="L103" s="489">
        <f>MEDIAN(L$101,L$95,L$99,L$97)</f>
        <v>-5.334976080131909E-2</v>
      </c>
      <c r="M103" s="489">
        <f t="shared" ref="M103:Q103" si="88">MEDIAN(M$101,M$95,M$99,M$97)</f>
        <v>4.3076518430933297E-2</v>
      </c>
      <c r="N103" s="489">
        <f t="shared" si="88"/>
        <v>5.7660859142634635E-2</v>
      </c>
      <c r="O103" s="489">
        <f t="shared" si="88"/>
        <v>5.7660859142634635E-2</v>
      </c>
      <c r="P103" s="489">
        <f t="shared" si="88"/>
        <v>5.7660859142634635E-2</v>
      </c>
      <c r="Q103" s="490">
        <f t="shared" si="88"/>
        <v>5.7660859142634635E-2</v>
      </c>
      <c r="R103" s="458"/>
      <c r="S103" s="458"/>
      <c r="T103" s="458"/>
      <c r="U103" s="458"/>
      <c r="V103" s="458"/>
      <c r="W103" s="458"/>
      <c r="X103" s="458"/>
      <c r="Y103" s="458"/>
    </row>
    <row r="104" spans="1:25" s="354" customFormat="1">
      <c r="B104" s="518"/>
      <c r="C104" s="518"/>
      <c r="D104" s="518"/>
      <c r="E104" s="518"/>
      <c r="F104" s="518"/>
      <c r="G104" s="518"/>
      <c r="H104" s="518"/>
      <c r="I104" s="518"/>
      <c r="J104" s="515" t="s">
        <v>543</v>
      </c>
      <c r="K104" s="516"/>
      <c r="L104" s="491">
        <f>AVERAGE(L$101,L$95,L$99,L$97)</f>
        <v>-5.2130899857489699E-2</v>
      </c>
      <c r="M104" s="491">
        <f t="shared" ref="M104:Q104" si="89">AVERAGE(M$101,M$95,M$99,M$97)</f>
        <v>4.6319584834580041E-2</v>
      </c>
      <c r="N104" s="491">
        <f t="shared" si="89"/>
        <v>5.6922607595371988E-2</v>
      </c>
      <c r="O104" s="491">
        <f t="shared" si="89"/>
        <v>6.2242141251754035E-2</v>
      </c>
      <c r="P104" s="491">
        <f t="shared" si="89"/>
        <v>6.2242141251754035E-2</v>
      </c>
      <c r="Q104" s="492">
        <f t="shared" si="89"/>
        <v>6.2242141251754035E-2</v>
      </c>
      <c r="R104" s="458"/>
      <c r="S104" s="458"/>
      <c r="T104" s="458"/>
      <c r="U104" s="458"/>
      <c r="V104" s="458"/>
      <c r="W104" s="458"/>
      <c r="X104" s="458"/>
      <c r="Y104" s="458"/>
    </row>
    <row r="105" spans="1:25" s="354" customFormat="1">
      <c r="B105" s="518"/>
      <c r="C105" s="518"/>
      <c r="D105" s="518"/>
      <c r="E105" s="518"/>
      <c r="F105" s="518"/>
      <c r="G105" s="518"/>
      <c r="H105" s="518"/>
      <c r="I105" s="518"/>
      <c r="J105" s="518"/>
      <c r="K105" s="518"/>
      <c r="L105" s="518"/>
      <c r="M105" s="518"/>
      <c r="N105" s="518"/>
      <c r="O105" s="518"/>
      <c r="P105" s="518"/>
      <c r="Q105" s="458"/>
      <c r="R105" s="458"/>
      <c r="S105" s="458"/>
      <c r="T105" s="458"/>
      <c r="U105" s="458"/>
      <c r="V105" s="458"/>
      <c r="W105" s="458"/>
      <c r="X105" s="458"/>
      <c r="Y105" s="458"/>
    </row>
    <row r="106" spans="1:25" ht="12.75" thickBot="1">
      <c r="A106" s="454" t="s">
        <v>25</v>
      </c>
      <c r="B106" s="505" t="s">
        <v>538</v>
      </c>
      <c r="C106" s="518"/>
      <c r="D106" s="518"/>
      <c r="E106" s="518"/>
      <c r="F106" s="518"/>
      <c r="G106" s="518"/>
      <c r="H106" s="518"/>
      <c r="I106" s="518"/>
      <c r="J106" s="517" t="s">
        <v>538</v>
      </c>
      <c r="K106" s="517"/>
      <c r="L106" s="517"/>
      <c r="M106" s="517"/>
      <c r="N106" s="517"/>
      <c r="O106" s="517"/>
      <c r="P106" s="517"/>
      <c r="Q106" s="517"/>
    </row>
    <row r="107" spans="1:25">
      <c r="B107" s="518"/>
      <c r="C107" s="518"/>
      <c r="D107" s="518"/>
      <c r="E107" s="518"/>
      <c r="F107" s="518"/>
      <c r="G107" s="518"/>
      <c r="H107" s="518"/>
      <c r="I107" s="518"/>
      <c r="J107" s="503" t="s">
        <v>520</v>
      </c>
      <c r="K107" s="503"/>
      <c r="L107" s="456">
        <v>108876.08</v>
      </c>
      <c r="M107" s="456">
        <v>121941.20960000002</v>
      </c>
      <c r="N107" s="456">
        <v>136869.16275200003</v>
      </c>
      <c r="O107" s="459">
        <f>N107</f>
        <v>136869.16275200003</v>
      </c>
      <c r="P107" s="459">
        <f t="shared" ref="P107:Q107" si="90">O107</f>
        <v>136869.16275200003</v>
      </c>
      <c r="Q107" s="459">
        <f t="shared" si="90"/>
        <v>136869.16275200003</v>
      </c>
    </row>
    <row r="108" spans="1:25">
      <c r="B108" s="518"/>
      <c r="C108" s="518"/>
      <c r="D108" s="518"/>
      <c r="E108" s="518"/>
      <c r="F108" s="518"/>
      <c r="G108" s="518"/>
      <c r="H108" s="518"/>
      <c r="I108" s="518"/>
      <c r="J108" s="504" t="s">
        <v>46</v>
      </c>
      <c r="K108" s="504"/>
      <c r="L108" s="482">
        <f>SUM(L107/$H$10)-1</f>
        <v>0.1321328078694799</v>
      </c>
      <c r="M108" s="482">
        <f>SUM(M107/L107)-1</f>
        <v>0.12000000000000011</v>
      </c>
      <c r="N108" s="482">
        <f>SUM(N107/M107)-1</f>
        <v>0.12241926417630045</v>
      </c>
      <c r="O108" s="482">
        <f>N108</f>
        <v>0.12241926417630045</v>
      </c>
      <c r="P108" s="482">
        <f t="shared" ref="P108:Q108" si="91">O108</f>
        <v>0.12241926417630045</v>
      </c>
      <c r="Q108" s="482">
        <f t="shared" si="91"/>
        <v>0.12241926417630045</v>
      </c>
    </row>
    <row r="109" spans="1:25">
      <c r="B109" s="518"/>
      <c r="C109" s="518"/>
      <c r="D109" s="518"/>
      <c r="E109" s="518"/>
      <c r="F109" s="518"/>
      <c r="G109" s="518"/>
      <c r="H109" s="518"/>
      <c r="I109" s="518"/>
      <c r="J109" s="503" t="s">
        <v>535</v>
      </c>
      <c r="K109" s="503"/>
      <c r="L109" s="456">
        <v>108699</v>
      </c>
      <c r="M109" s="456">
        <v>122815</v>
      </c>
      <c r="N109" s="456">
        <v>137495</v>
      </c>
      <c r="O109" s="456">
        <v>153583</v>
      </c>
      <c r="P109" s="459">
        <f>O109</f>
        <v>153583</v>
      </c>
      <c r="Q109" s="459">
        <f>P109</f>
        <v>153583</v>
      </c>
    </row>
    <row r="110" spans="1:25">
      <c r="B110" s="518"/>
      <c r="C110" s="518"/>
      <c r="D110" s="518"/>
      <c r="E110" s="518"/>
      <c r="F110" s="518"/>
      <c r="G110" s="518"/>
      <c r="H110" s="518"/>
      <c r="I110" s="518"/>
      <c r="J110" s="504" t="s">
        <v>46</v>
      </c>
      <c r="K110" s="504"/>
      <c r="L110" s="482">
        <f>SUM(L109/$H$10)-1</f>
        <v>0.13029146606494812</v>
      </c>
      <c r="M110" s="482">
        <f>SUM(M109/L109)-1</f>
        <v>0.12986320021343345</v>
      </c>
      <c r="N110" s="482">
        <f t="shared" ref="N110" si="92">SUM(N109/M109)-1</f>
        <v>0.11952937344786885</v>
      </c>
      <c r="O110" s="482">
        <f t="shared" ref="O110" si="93">SUM(O109/N109)-1</f>
        <v>0.11700789119604349</v>
      </c>
      <c r="P110" s="482">
        <f>O110</f>
        <v>0.11700789119604349</v>
      </c>
      <c r="Q110" s="482">
        <f>P110</f>
        <v>0.11700789119604349</v>
      </c>
    </row>
    <row r="111" spans="1:25">
      <c r="B111" s="518"/>
      <c r="C111" s="518"/>
      <c r="D111" s="518"/>
      <c r="E111" s="518"/>
      <c r="F111" s="518"/>
      <c r="G111" s="518"/>
      <c r="H111" s="518"/>
      <c r="I111" s="518"/>
      <c r="J111" s="503" t="s">
        <v>540</v>
      </c>
      <c r="K111" s="503"/>
      <c r="L111" s="456">
        <v>108690</v>
      </c>
      <c r="M111" s="456">
        <v>121728</v>
      </c>
      <c r="N111" s="456">
        <v>134748</v>
      </c>
      <c r="O111" s="459">
        <f>N111</f>
        <v>134748</v>
      </c>
      <c r="P111" s="459">
        <f t="shared" ref="P111:Q111" si="94">O111</f>
        <v>134748</v>
      </c>
      <c r="Q111" s="459">
        <f t="shared" si="94"/>
        <v>134748</v>
      </c>
    </row>
    <row r="112" spans="1:25">
      <c r="B112" s="518"/>
      <c r="C112" s="518"/>
      <c r="D112" s="518"/>
      <c r="E112" s="518"/>
      <c r="F112" s="518"/>
      <c r="G112" s="518"/>
      <c r="H112" s="518"/>
      <c r="I112" s="518"/>
      <c r="J112" s="504" t="s">
        <v>46</v>
      </c>
      <c r="K112" s="504"/>
      <c r="L112" s="482">
        <f>SUM(L111/$H$10)-1</f>
        <v>0.13019788081398365</v>
      </c>
      <c r="M112" s="482">
        <f>SUM(M111/L111)-1</f>
        <v>0.11995583770356055</v>
      </c>
      <c r="N112" s="482">
        <f>SUM(N111/M111)-1</f>
        <v>0.1069597791798107</v>
      </c>
      <c r="O112" s="482">
        <f>N112</f>
        <v>0.1069597791798107</v>
      </c>
      <c r="P112" s="482">
        <f t="shared" ref="P112:Q112" si="95">O112</f>
        <v>0.1069597791798107</v>
      </c>
      <c r="Q112" s="482">
        <f t="shared" si="95"/>
        <v>0.1069597791798107</v>
      </c>
    </row>
    <row r="113" spans="1:25">
      <c r="B113" s="518"/>
      <c r="C113" s="518"/>
      <c r="D113" s="518"/>
      <c r="E113" s="518"/>
      <c r="F113" s="518"/>
      <c r="G113" s="518"/>
      <c r="H113" s="518"/>
      <c r="I113" s="518"/>
      <c r="J113" s="503" t="s">
        <v>521</v>
      </c>
      <c r="K113" s="503"/>
      <c r="L113" s="456">
        <v>108517</v>
      </c>
      <c r="M113" s="456">
        <v>118806</v>
      </c>
      <c r="N113" s="456">
        <v>127930</v>
      </c>
      <c r="O113" s="459">
        <f>N113</f>
        <v>127930</v>
      </c>
      <c r="P113" s="459">
        <f t="shared" ref="P113:Q113" si="96">O113</f>
        <v>127930</v>
      </c>
      <c r="Q113" s="459">
        <f t="shared" si="96"/>
        <v>127930</v>
      </c>
    </row>
    <row r="114" spans="1:25">
      <c r="B114" s="518"/>
      <c r="C114" s="518"/>
      <c r="D114" s="518"/>
      <c r="E114" s="518"/>
      <c r="F114" s="518"/>
      <c r="G114" s="518"/>
      <c r="H114" s="518"/>
      <c r="I114" s="518"/>
      <c r="J114" s="504" t="s">
        <v>46</v>
      </c>
      <c r="K114" s="504"/>
      <c r="L114" s="482">
        <f>SUM(L113/$H$10)-1</f>
        <v>0.12839896432322262</v>
      </c>
      <c r="M114" s="482">
        <f>SUM(M113/L113)-1</f>
        <v>9.4814637337928609E-2</v>
      </c>
      <c r="N114" s="482">
        <f>SUM(N113/M113)-1</f>
        <v>7.6797468141339698E-2</v>
      </c>
      <c r="O114" s="482">
        <f>N114</f>
        <v>7.6797468141339698E-2</v>
      </c>
      <c r="P114" s="482">
        <f t="shared" ref="P114:Q114" si="97">O114</f>
        <v>7.6797468141339698E-2</v>
      </c>
      <c r="Q114" s="482">
        <f t="shared" si="97"/>
        <v>7.6797468141339698E-2</v>
      </c>
    </row>
    <row r="115" spans="1:25" s="354" customFormat="1">
      <c r="B115" s="518"/>
      <c r="C115" s="518"/>
      <c r="D115" s="518"/>
      <c r="E115" s="518"/>
      <c r="F115" s="518"/>
      <c r="G115" s="518"/>
      <c r="H115" s="518"/>
      <c r="I115" s="518"/>
      <c r="J115" s="518"/>
      <c r="K115" s="518"/>
      <c r="L115" s="518"/>
      <c r="M115" s="518"/>
      <c r="N115" s="518"/>
      <c r="O115" s="518"/>
      <c r="P115" s="518"/>
      <c r="Q115" s="458"/>
      <c r="R115" s="458"/>
      <c r="S115" s="458"/>
      <c r="T115" s="458"/>
      <c r="U115" s="458"/>
      <c r="V115" s="458"/>
      <c r="W115" s="458"/>
      <c r="X115" s="458"/>
      <c r="Y115" s="458"/>
    </row>
    <row r="116" spans="1:25" s="354" customFormat="1">
      <c r="B116" s="518"/>
      <c r="C116" s="518"/>
      <c r="D116" s="518"/>
      <c r="E116" s="518"/>
      <c r="F116" s="518"/>
      <c r="G116" s="518"/>
      <c r="H116" s="518"/>
      <c r="I116" s="518"/>
      <c r="J116" s="513" t="s">
        <v>542</v>
      </c>
      <c r="K116" s="519"/>
      <c r="L116" s="494">
        <f>MEDIAN(L$114,L$108,L$112,L$110)</f>
        <v>0.13024467343946589</v>
      </c>
      <c r="M116" s="494">
        <f t="shared" ref="M116:Q116" si="98">MEDIAN(M$114,M$108,M$112,M$110)</f>
        <v>0.11997791885178033</v>
      </c>
      <c r="N116" s="494">
        <f t="shared" si="98"/>
        <v>0.11324457631383977</v>
      </c>
      <c r="O116" s="494">
        <f t="shared" si="98"/>
        <v>0.11198383518792709</v>
      </c>
      <c r="P116" s="494">
        <f t="shared" si="98"/>
        <v>0.11198383518792709</v>
      </c>
      <c r="Q116" s="494">
        <f t="shared" si="98"/>
        <v>0.11198383518792709</v>
      </c>
      <c r="R116" s="458"/>
      <c r="S116" s="458"/>
      <c r="T116" s="458"/>
      <c r="U116" s="458"/>
      <c r="V116" s="458"/>
      <c r="W116" s="458"/>
      <c r="X116" s="458"/>
      <c r="Y116" s="458"/>
    </row>
    <row r="117" spans="1:25" s="354" customFormat="1">
      <c r="B117" s="518"/>
      <c r="C117" s="518"/>
      <c r="D117" s="518"/>
      <c r="E117" s="518"/>
      <c r="F117" s="518"/>
      <c r="G117" s="518"/>
      <c r="H117" s="518"/>
      <c r="I117" s="518"/>
      <c r="J117" s="515" t="s">
        <v>543</v>
      </c>
      <c r="K117" s="519"/>
      <c r="L117" s="494">
        <f>AVERAGE(L$114,L$108,L$112,L$110)</f>
        <v>0.13025527976790857</v>
      </c>
      <c r="M117" s="494">
        <f t="shared" ref="M117:Q117" si="99">AVERAGE(M$114,M$108,M$112,M$110)</f>
        <v>0.11615841881373068</v>
      </c>
      <c r="N117" s="494">
        <f t="shared" si="99"/>
        <v>0.10642647123632992</v>
      </c>
      <c r="O117" s="494">
        <f t="shared" si="99"/>
        <v>0.10579610067337358</v>
      </c>
      <c r="P117" s="494">
        <f t="shared" si="99"/>
        <v>0.10579610067337358</v>
      </c>
      <c r="Q117" s="494">
        <f t="shared" si="99"/>
        <v>0.10579610067337358</v>
      </c>
      <c r="R117" s="458"/>
      <c r="S117" s="458"/>
      <c r="T117" s="458"/>
      <c r="U117" s="458"/>
      <c r="V117" s="458"/>
      <c r="W117" s="458"/>
      <c r="X117" s="458"/>
      <c r="Y117" s="458"/>
    </row>
    <row r="118" spans="1:25" s="495" customFormat="1">
      <c r="B118" s="520"/>
      <c r="C118" s="481"/>
      <c r="D118" s="481"/>
      <c r="E118" s="481"/>
      <c r="F118" s="481"/>
      <c r="G118" s="481"/>
      <c r="H118" s="481"/>
      <c r="I118" s="520"/>
      <c r="J118" s="520"/>
      <c r="K118" s="520"/>
      <c r="L118" s="497"/>
      <c r="M118" s="497"/>
      <c r="N118" s="497"/>
      <c r="O118" s="497"/>
      <c r="P118" s="497"/>
      <c r="Q118" s="497"/>
      <c r="R118" s="458"/>
      <c r="S118" s="458"/>
      <c r="T118" s="458"/>
      <c r="U118" s="458"/>
      <c r="V118" s="458"/>
      <c r="W118" s="458"/>
      <c r="X118" s="458"/>
      <c r="Y118" s="458"/>
    </row>
    <row r="119" spans="1:25">
      <c r="B119" s="526"/>
      <c r="C119" s="526"/>
      <c r="D119" s="526"/>
      <c r="E119" s="526"/>
      <c r="F119" s="526"/>
      <c r="G119" s="526"/>
      <c r="H119" s="526"/>
      <c r="I119" s="526"/>
      <c r="J119" s="526" t="s">
        <v>545</v>
      </c>
      <c r="K119" s="527"/>
      <c r="L119" s="527"/>
      <c r="M119" s="527"/>
      <c r="N119" s="527"/>
      <c r="O119" s="527"/>
      <c r="P119" s="527"/>
      <c r="Q119" s="527"/>
    </row>
    <row r="120" spans="1:25" ht="5.0999999999999996" customHeight="1"/>
    <row r="121" spans="1:25" ht="12.75" thickBot="1">
      <c r="A121" s="454" t="s">
        <v>25</v>
      </c>
      <c r="B121" s="505" t="s">
        <v>31</v>
      </c>
      <c r="J121" s="517" t="s">
        <v>31</v>
      </c>
      <c r="K121" s="517"/>
      <c r="L121" s="517"/>
      <c r="M121" s="517"/>
      <c r="N121" s="517"/>
      <c r="O121" s="517"/>
      <c r="P121" s="517"/>
      <c r="Q121" s="486"/>
    </row>
    <row r="122" spans="1:25">
      <c r="J122" s="503" t="s">
        <v>520</v>
      </c>
      <c r="K122" s="503"/>
      <c r="L122" s="456">
        <v>197662.79410541226</v>
      </c>
      <c r="M122" s="456">
        <v>213719.62594223721</v>
      </c>
      <c r="N122" s="456">
        <v>230225.58563737664</v>
      </c>
      <c r="O122" s="456">
        <v>243949.19440814486</v>
      </c>
      <c r="P122" s="456">
        <v>260139.84615999495</v>
      </c>
      <c r="Q122" s="456">
        <v>279241.89096314792</v>
      </c>
    </row>
    <row r="123" spans="1:25">
      <c r="J123" s="504" t="s">
        <v>522</v>
      </c>
      <c r="K123" s="504"/>
      <c r="L123" s="482">
        <f>L122/L38</f>
        <v>0.47510480616693218</v>
      </c>
      <c r="M123" s="482">
        <f t="shared" ref="M123:Q123" si="100">M122/M38</f>
        <v>0.47728892437452108</v>
      </c>
      <c r="N123" s="482">
        <f t="shared" si="100"/>
        <v>0.47752407769837868</v>
      </c>
      <c r="O123" s="482">
        <f t="shared" si="100"/>
        <v>0.50598900092926802</v>
      </c>
      <c r="P123" s="482">
        <f t="shared" si="100"/>
        <v>0.53957095935379973</v>
      </c>
      <c r="Q123" s="482">
        <f t="shared" si="100"/>
        <v>0.57919160491117971</v>
      </c>
    </row>
    <row r="124" spans="1:25">
      <c r="J124" s="503" t="s">
        <v>535</v>
      </c>
      <c r="K124" s="503"/>
      <c r="L124" s="459">
        <f>L125*L40</f>
        <v>194562.00700000001</v>
      </c>
      <c r="M124" s="459">
        <f t="shared" ref="M124:O124" si="101">M125*M40</f>
        <v>209752.31399999998</v>
      </c>
      <c r="N124" s="459">
        <f t="shared" si="101"/>
        <v>232844.44399999999</v>
      </c>
      <c r="O124" s="459">
        <f t="shared" si="101"/>
        <v>241327.75999999998</v>
      </c>
      <c r="P124" s="459">
        <f>O124</f>
        <v>241327.75999999998</v>
      </c>
      <c r="Q124" s="459">
        <f>P124</f>
        <v>241327.75999999998</v>
      </c>
    </row>
    <row r="125" spans="1:25">
      <c r="J125" s="504" t="s">
        <v>522</v>
      </c>
      <c r="K125" s="504"/>
      <c r="L125" s="502">
        <v>0.46700000000000003</v>
      </c>
      <c r="M125" s="502">
        <v>0.47099999999999997</v>
      </c>
      <c r="N125" s="502">
        <v>0.47599999999999998</v>
      </c>
      <c r="O125" s="502">
        <v>0.48199999999999998</v>
      </c>
      <c r="P125" s="482">
        <f>O125</f>
        <v>0.48199999999999998</v>
      </c>
      <c r="Q125" s="482">
        <f>P125</f>
        <v>0.48199999999999998</v>
      </c>
    </row>
    <row r="126" spans="1:25">
      <c r="J126" s="503" t="s">
        <v>539</v>
      </c>
      <c r="K126" s="503"/>
      <c r="L126" s="456">
        <v>191480</v>
      </c>
      <c r="M126" s="456">
        <v>205455</v>
      </c>
      <c r="N126" s="456">
        <v>224639</v>
      </c>
      <c r="O126" s="456">
        <v>235586</v>
      </c>
      <c r="P126" s="456">
        <v>265911</v>
      </c>
      <c r="Q126" s="456">
        <v>288739</v>
      </c>
    </row>
    <row r="127" spans="1:25">
      <c r="J127" s="504" t="s">
        <v>522</v>
      </c>
      <c r="K127" s="504"/>
      <c r="L127" s="502">
        <v>0.47</v>
      </c>
      <c r="M127" s="502">
        <v>0.48</v>
      </c>
      <c r="N127" s="502">
        <v>0.48</v>
      </c>
      <c r="O127" s="502">
        <v>0.49</v>
      </c>
      <c r="P127" s="502">
        <v>0.5</v>
      </c>
      <c r="Q127" s="502">
        <v>0.51</v>
      </c>
    </row>
    <row r="128" spans="1:25">
      <c r="J128" s="503" t="s">
        <v>540</v>
      </c>
      <c r="K128" s="503"/>
      <c r="L128" s="459">
        <f>L129*L46</f>
        <v>193764.37100000001</v>
      </c>
      <c r="M128" s="459">
        <f t="shared" ref="M128:N128" si="102">M129*M46</f>
        <v>207226.712</v>
      </c>
      <c r="N128" s="459">
        <f t="shared" si="102"/>
        <v>223679.61</v>
      </c>
      <c r="O128" s="459">
        <f>N128</f>
        <v>223679.61</v>
      </c>
      <c r="P128" s="459">
        <f t="shared" ref="P128:Q128" si="103">O128</f>
        <v>223679.61</v>
      </c>
      <c r="Q128" s="459">
        <f t="shared" si="103"/>
        <v>223679.61</v>
      </c>
    </row>
    <row r="129" spans="1:25">
      <c r="J129" s="504" t="s">
        <v>522</v>
      </c>
      <c r="K129" s="504"/>
      <c r="L129" s="502">
        <v>0.46700000000000003</v>
      </c>
      <c r="M129" s="502">
        <v>0.46899999999999997</v>
      </c>
      <c r="N129" s="502">
        <v>0.47699999999999998</v>
      </c>
      <c r="O129" s="482">
        <f>N129</f>
        <v>0.47699999999999998</v>
      </c>
      <c r="P129" s="482">
        <f t="shared" ref="P129:Q129" si="104">O129</f>
        <v>0.47699999999999998</v>
      </c>
      <c r="Q129" s="482">
        <f t="shared" si="104"/>
        <v>0.47699999999999998</v>
      </c>
    </row>
    <row r="130" spans="1:25">
      <c r="J130" s="503" t="s">
        <v>521</v>
      </c>
      <c r="K130" s="503"/>
      <c r="L130" s="456">
        <v>193982</v>
      </c>
      <c r="M130" s="456">
        <v>205507</v>
      </c>
      <c r="N130" s="456">
        <v>217516</v>
      </c>
      <c r="O130" s="459">
        <f>N130</f>
        <v>217516</v>
      </c>
      <c r="P130" s="459">
        <f t="shared" ref="P130:Q130" si="105">O130</f>
        <v>217516</v>
      </c>
      <c r="Q130" s="459">
        <f t="shared" si="105"/>
        <v>217516</v>
      </c>
    </row>
    <row r="131" spans="1:25">
      <c r="J131" s="504" t="s">
        <v>522</v>
      </c>
      <c r="K131" s="504"/>
      <c r="L131" s="482">
        <f>L130/L48</f>
        <v>0.46708322798906826</v>
      </c>
      <c r="M131" s="482">
        <f t="shared" ref="M131" si="106">M130/M48</f>
        <v>0.46650473866409398</v>
      </c>
      <c r="N131" s="482">
        <f t="shared" ref="N131" si="107">N130/N48</f>
        <v>0.47226848062321825</v>
      </c>
      <c r="O131" s="482">
        <f t="shared" ref="O131" si="108">O130/O48</f>
        <v>0.47226848062321825</v>
      </c>
      <c r="P131" s="482">
        <f t="shared" ref="P131" si="109">P130/P48</f>
        <v>0.47226848062321825</v>
      </c>
      <c r="Q131" s="482">
        <f t="shared" ref="Q131" si="110">Q130/Q48</f>
        <v>0.47226848062321825</v>
      </c>
    </row>
    <row r="132" spans="1:25" s="354" customFormat="1">
      <c r="B132" s="521"/>
      <c r="C132" s="521"/>
      <c r="D132" s="521"/>
      <c r="E132" s="521"/>
      <c r="F132" s="521"/>
      <c r="G132" s="521"/>
      <c r="H132" s="521"/>
      <c r="I132" s="521"/>
      <c r="J132" s="518"/>
      <c r="K132" s="518"/>
      <c r="L132" s="518"/>
      <c r="M132" s="518"/>
      <c r="N132" s="518"/>
      <c r="O132" s="518"/>
      <c r="P132" s="518"/>
      <c r="Q132" s="458"/>
      <c r="R132" s="458"/>
      <c r="S132" s="458"/>
      <c r="T132" s="458"/>
      <c r="U132" s="458"/>
      <c r="V132" s="458"/>
      <c r="W132" s="458"/>
      <c r="X132" s="458"/>
      <c r="Y132" s="458"/>
    </row>
    <row r="133" spans="1:25" s="354" customFormat="1">
      <c r="B133" s="521"/>
      <c r="C133" s="521"/>
      <c r="D133" s="521"/>
      <c r="E133" s="521"/>
      <c r="F133" s="521"/>
      <c r="G133" s="521"/>
      <c r="H133" s="521"/>
      <c r="I133" s="521"/>
      <c r="J133" s="513" t="s">
        <v>542</v>
      </c>
      <c r="K133" s="519"/>
      <c r="L133" s="494">
        <f>MEDIAN(L$131,L$123,L$129,L$125,L$127)</f>
        <v>0.46708322798906826</v>
      </c>
      <c r="M133" s="494">
        <f t="shared" ref="M133:Q133" si="111">MEDIAN(M$131,M$123,M$129,M$125,M$127)</f>
        <v>0.47099999999999997</v>
      </c>
      <c r="N133" s="494">
        <f t="shared" si="111"/>
        <v>0.47699999999999998</v>
      </c>
      <c r="O133" s="494">
        <f t="shared" si="111"/>
        <v>0.48199999999999998</v>
      </c>
      <c r="P133" s="494">
        <f t="shared" si="111"/>
        <v>0.48199999999999998</v>
      </c>
      <c r="Q133" s="494">
        <f t="shared" si="111"/>
        <v>0.48199999999999998</v>
      </c>
      <c r="R133" s="458"/>
      <c r="S133" s="458"/>
      <c r="T133" s="458"/>
      <c r="U133" s="458"/>
      <c r="V133" s="458"/>
      <c r="W133" s="458"/>
      <c r="X133" s="458"/>
      <c r="Y133" s="458"/>
    </row>
    <row r="134" spans="1:25" s="354" customFormat="1">
      <c r="B134" s="521"/>
      <c r="C134" s="521"/>
      <c r="D134" s="521"/>
      <c r="E134" s="521"/>
      <c r="F134" s="521"/>
      <c r="G134" s="521"/>
      <c r="H134" s="521"/>
      <c r="I134" s="521"/>
      <c r="J134" s="515" t="s">
        <v>543</v>
      </c>
      <c r="K134" s="519"/>
      <c r="L134" s="494">
        <f>AVERAGE(L$131,L$123,L$129,L$125,L$127)</f>
        <v>0.46923760683120008</v>
      </c>
      <c r="M134" s="494">
        <f t="shared" ref="M134:Q134" si="112">AVERAGE(M$131,M$123,M$129,M$125,M$127)</f>
        <v>0.472758732607723</v>
      </c>
      <c r="N134" s="494">
        <f t="shared" si="112"/>
        <v>0.47655851166431934</v>
      </c>
      <c r="O134" s="494">
        <f t="shared" si="112"/>
        <v>0.48545149631049728</v>
      </c>
      <c r="P134" s="494">
        <f t="shared" si="112"/>
        <v>0.49416788799540362</v>
      </c>
      <c r="Q134" s="494">
        <f t="shared" si="112"/>
        <v>0.50409201710687945</v>
      </c>
      <c r="R134" s="458"/>
      <c r="S134" s="458"/>
      <c r="T134" s="458"/>
      <c r="U134" s="458"/>
      <c r="V134" s="458"/>
      <c r="W134" s="458"/>
      <c r="X134" s="458"/>
      <c r="Y134" s="458"/>
    </row>
    <row r="136" spans="1:25" ht="12.75" thickBot="1">
      <c r="A136" s="454" t="s">
        <v>25</v>
      </c>
      <c r="B136" s="505" t="s">
        <v>523</v>
      </c>
      <c r="J136" s="517" t="s">
        <v>523</v>
      </c>
      <c r="K136" s="517"/>
      <c r="L136" s="517"/>
      <c r="M136" s="517"/>
      <c r="N136" s="517"/>
      <c r="O136" s="517"/>
      <c r="P136" s="517"/>
      <c r="Q136" s="517"/>
    </row>
    <row r="137" spans="1:25">
      <c r="A137" s="521"/>
      <c r="J137" s="503" t="s">
        <v>520</v>
      </c>
      <c r="K137" s="503"/>
      <c r="L137" s="456">
        <v>35001.918474852791</v>
      </c>
      <c r="M137" s="456">
        <v>37494.149743088921</v>
      </c>
      <c r="N137" s="456">
        <v>40009.410981718276</v>
      </c>
      <c r="O137" s="456">
        <v>42040.735071089141</v>
      </c>
      <c r="P137" s="456">
        <v>43992.097191206311</v>
      </c>
      <c r="Q137" s="456">
        <v>46441.731949942216</v>
      </c>
    </row>
    <row r="138" spans="1:25">
      <c r="A138" s="521"/>
      <c r="J138" s="504" t="s">
        <v>522</v>
      </c>
      <c r="K138" s="504"/>
      <c r="L138" s="482">
        <f>L137/L55</f>
        <v>0.16646098831913478</v>
      </c>
      <c r="M138" s="482">
        <f t="shared" ref="M138" si="113">M137/M55</f>
        <v>0.16723714467417755</v>
      </c>
      <c r="N138" s="482">
        <f t="shared" ref="N138" si="114">N137/N55</f>
        <v>0.16850040844038289</v>
      </c>
      <c r="O138" s="482">
        <f t="shared" ref="O138" si="115">O137/O55</f>
        <v>0.17705536914425776</v>
      </c>
      <c r="P138" s="482">
        <f t="shared" ref="P138" si="116">P137/P55</f>
        <v>0.18527356846753892</v>
      </c>
      <c r="Q138" s="482">
        <f t="shared" ref="Q138" si="117">Q137/Q55</f>
        <v>0.19559025264880231</v>
      </c>
    </row>
    <row r="139" spans="1:25">
      <c r="A139" s="521"/>
      <c r="J139" s="503" t="s">
        <v>539</v>
      </c>
      <c r="K139" s="503"/>
      <c r="L139" s="456">
        <v>33718</v>
      </c>
      <c r="M139" s="456">
        <v>36615</v>
      </c>
      <c r="N139" s="456">
        <v>42791</v>
      </c>
      <c r="O139" s="456">
        <v>45504</v>
      </c>
      <c r="P139" s="456">
        <v>48331</v>
      </c>
      <c r="Q139" s="456">
        <v>49750</v>
      </c>
    </row>
    <row r="140" spans="1:25">
      <c r="A140" s="521"/>
      <c r="J140" s="504" t="s">
        <v>522</v>
      </c>
      <c r="K140" s="504"/>
      <c r="L140" s="502">
        <v>8.2000000000000003E-2</v>
      </c>
      <c r="M140" s="502">
        <v>8.5999999999999993E-2</v>
      </c>
      <c r="N140" s="502">
        <v>9.1999999999999998E-2</v>
      </c>
      <c r="O140" s="502">
        <v>9.5000000000000001E-2</v>
      </c>
      <c r="P140" s="502">
        <v>0.09</v>
      </c>
      <c r="Q140" s="502">
        <v>8.6999999999999994E-2</v>
      </c>
    </row>
    <row r="141" spans="1:25">
      <c r="A141" s="521"/>
      <c r="J141" s="503" t="s">
        <v>540</v>
      </c>
      <c r="K141" s="503"/>
      <c r="L141" s="456">
        <v>34439</v>
      </c>
      <c r="M141" s="456">
        <v>38046</v>
      </c>
      <c r="N141" s="456">
        <v>41538</v>
      </c>
      <c r="O141" s="459">
        <f>N141</f>
        <v>41538</v>
      </c>
      <c r="P141" s="459">
        <f t="shared" ref="P141:Q141" si="118">O141</f>
        <v>41538</v>
      </c>
      <c r="Q141" s="459">
        <f t="shared" si="118"/>
        <v>41538</v>
      </c>
    </row>
    <row r="142" spans="1:25">
      <c r="A142" s="521"/>
      <c r="J142" s="504" t="s">
        <v>522</v>
      </c>
      <c r="K142" s="504"/>
      <c r="L142" s="501">
        <f>L141/L46</f>
        <v>8.3002942785596015E-2</v>
      </c>
      <c r="M142" s="501">
        <f t="shared" ref="M142:N142" si="119">M141/M46</f>
        <v>8.6106534373811813E-2</v>
      </c>
      <c r="N142" s="501">
        <f t="shared" si="119"/>
        <v>8.8580385132109266E-2</v>
      </c>
      <c r="O142" s="482">
        <f>N142</f>
        <v>8.8580385132109266E-2</v>
      </c>
      <c r="P142" s="482">
        <f t="shared" ref="P142:Q142" si="120">O142</f>
        <v>8.8580385132109266E-2</v>
      </c>
      <c r="Q142" s="482">
        <f t="shared" si="120"/>
        <v>8.8580385132109266E-2</v>
      </c>
    </row>
    <row r="143" spans="1:25">
      <c r="A143" s="521"/>
      <c r="J143" s="503" t="s">
        <v>521</v>
      </c>
      <c r="K143" s="503"/>
      <c r="L143" s="456">
        <v>34422</v>
      </c>
      <c r="M143" s="456">
        <v>37810</v>
      </c>
      <c r="N143" s="456">
        <v>39384</v>
      </c>
      <c r="O143" s="459">
        <f>N143</f>
        <v>39384</v>
      </c>
      <c r="P143" s="459">
        <f t="shared" ref="P143:Q143" si="121">O143</f>
        <v>39384</v>
      </c>
      <c r="Q143" s="459">
        <f t="shared" si="121"/>
        <v>39384</v>
      </c>
    </row>
    <row r="144" spans="1:25">
      <c r="A144" s="521"/>
      <c r="J144" s="504" t="s">
        <v>522</v>
      </c>
      <c r="K144" s="504"/>
      <c r="L144" s="482">
        <f>L143/L61</f>
        <v>0.16413078203153683</v>
      </c>
      <c r="M144" s="482">
        <f t="shared" ref="M144" si="122">M143/M61</f>
        <v>0.17105578653540779</v>
      </c>
      <c r="N144" s="482">
        <f t="shared" ref="N144" si="123">N143/N61</f>
        <v>0.17376571806750496</v>
      </c>
      <c r="O144" s="482">
        <f t="shared" ref="O144" si="124">O143/O61</f>
        <v>0.17376571806750496</v>
      </c>
      <c r="P144" s="482">
        <f t="shared" ref="P144" si="125">P143/P61</f>
        <v>0.17376571806750496</v>
      </c>
      <c r="Q144" s="482">
        <f t="shared" ref="Q144" si="126">Q143/Q61</f>
        <v>0.17376571806750496</v>
      </c>
    </row>
    <row r="145" spans="1:25" s="354" customFormat="1">
      <c r="A145" s="521"/>
      <c r="B145" s="521"/>
      <c r="C145" s="521"/>
      <c r="D145" s="521"/>
      <c r="E145" s="521"/>
      <c r="F145" s="521"/>
      <c r="G145" s="521"/>
      <c r="H145" s="521"/>
      <c r="I145" s="521"/>
      <c r="J145" s="518"/>
      <c r="K145" s="518"/>
      <c r="L145" s="518"/>
      <c r="M145" s="518"/>
      <c r="N145" s="518"/>
      <c r="O145" s="518"/>
      <c r="P145" s="518"/>
      <c r="Q145" s="458"/>
      <c r="R145" s="458"/>
      <c r="S145" s="458"/>
      <c r="T145" s="458"/>
      <c r="U145" s="458"/>
      <c r="V145" s="458"/>
      <c r="W145" s="458"/>
      <c r="X145" s="458"/>
      <c r="Y145" s="458"/>
    </row>
    <row r="146" spans="1:25" s="354" customFormat="1">
      <c r="A146" s="521"/>
      <c r="B146" s="521"/>
      <c r="C146" s="521"/>
      <c r="D146" s="521"/>
      <c r="E146" s="521"/>
      <c r="F146" s="521"/>
      <c r="G146" s="521"/>
      <c r="H146" s="521"/>
      <c r="I146" s="521"/>
      <c r="J146" s="513" t="s">
        <v>542</v>
      </c>
      <c r="K146" s="519"/>
      <c r="L146" s="494">
        <f>MEDIAN(L$144,L$138,L$142,L$140)</f>
        <v>0.12356686240856643</v>
      </c>
      <c r="M146" s="494">
        <f>MEDIAN(M$144,M$138,M$142,M$140)</f>
        <v>0.12667183952399469</v>
      </c>
      <c r="N146" s="494">
        <f>MEDIAN(N$144,N$138,N$142,N$140)</f>
        <v>0.13025020422019146</v>
      </c>
      <c r="O146" s="494">
        <f>MEDIAN(O$144,O$138,O$142,O$140)</f>
        <v>0.13438285903375247</v>
      </c>
      <c r="P146" s="494">
        <f>MEDIAN(P$144,P$138,P$142,P$140)</f>
        <v>0.13188285903375246</v>
      </c>
      <c r="Q146" s="494">
        <f>MEDIAN(Q$144,Q$138,Q$142,Q$140)</f>
        <v>0.13117305159980711</v>
      </c>
      <c r="R146" s="458"/>
      <c r="S146" s="458"/>
      <c r="T146" s="458"/>
      <c r="U146" s="458"/>
      <c r="V146" s="458"/>
      <c r="W146" s="458"/>
      <c r="X146" s="458"/>
      <c r="Y146" s="458"/>
    </row>
    <row r="147" spans="1:25" s="354" customFormat="1">
      <c r="A147" s="521"/>
      <c r="B147" s="521"/>
      <c r="C147" s="521"/>
      <c r="D147" s="521"/>
      <c r="E147" s="521"/>
      <c r="F147" s="521"/>
      <c r="G147" s="521"/>
      <c r="H147" s="521"/>
      <c r="I147" s="521"/>
      <c r="J147" s="515" t="s">
        <v>543</v>
      </c>
      <c r="K147" s="519"/>
      <c r="L147" s="494">
        <f>AVERAGE(L$144,L$138,L$142,L$140)</f>
        <v>0.12389867828406691</v>
      </c>
      <c r="M147" s="494">
        <f t="shared" ref="M147:Q147" si="127">AVERAGE(M$144,M$138,M$142,M$140)</f>
        <v>0.1275998663958493</v>
      </c>
      <c r="N147" s="494">
        <f t="shared" si="127"/>
        <v>0.13071162790999927</v>
      </c>
      <c r="O147" s="494">
        <f t="shared" si="127"/>
        <v>0.13360036808596801</v>
      </c>
      <c r="P147" s="494">
        <f t="shared" si="127"/>
        <v>0.1344049179167883</v>
      </c>
      <c r="Q147" s="494">
        <f t="shared" si="127"/>
        <v>0.13623408896210412</v>
      </c>
      <c r="R147" s="458"/>
      <c r="S147" s="458"/>
      <c r="T147" s="458"/>
      <c r="U147" s="458"/>
      <c r="V147" s="458"/>
      <c r="W147" s="458"/>
      <c r="X147" s="458"/>
      <c r="Y147" s="458"/>
    </row>
    <row r="148" spans="1:25">
      <c r="A148" s="521"/>
    </row>
    <row r="149" spans="1:25" ht="12.75" thickBot="1">
      <c r="A149" s="525" t="s">
        <v>25</v>
      </c>
      <c r="B149" s="505" t="s">
        <v>524</v>
      </c>
      <c r="J149" s="517" t="s">
        <v>524</v>
      </c>
      <c r="K149" s="517"/>
      <c r="L149" s="517"/>
      <c r="M149" s="517"/>
      <c r="N149" s="517"/>
      <c r="O149" s="517"/>
      <c r="P149" s="517"/>
      <c r="Q149" s="486"/>
    </row>
    <row r="150" spans="1:25">
      <c r="A150" s="521"/>
      <c r="J150" s="503" t="s">
        <v>520</v>
      </c>
      <c r="K150" s="503"/>
      <c r="L150" s="456">
        <v>28057.565276288697</v>
      </c>
      <c r="M150" s="456">
        <v>30818.924184174273</v>
      </c>
      <c r="N150" s="456">
        <v>32860.623975116185</v>
      </c>
      <c r="O150" s="456">
        <v>34520.318469146499</v>
      </c>
      <c r="P150" s="456">
        <v>36128.10528234097</v>
      </c>
      <c r="Q150" s="456">
        <v>38136.859736785183</v>
      </c>
    </row>
    <row r="151" spans="1:25">
      <c r="A151" s="521"/>
      <c r="J151" s="504" t="s">
        <v>522</v>
      </c>
      <c r="K151" s="504"/>
      <c r="L151" s="482">
        <f>L150/L38</f>
        <v>6.7439520788106611E-2</v>
      </c>
      <c r="M151" s="482">
        <f t="shared" ref="M151:Q151" si="128">M150/M38</f>
        <v>6.8826300389558295E-2</v>
      </c>
      <c r="N151" s="482">
        <f t="shared" si="128"/>
        <v>6.8158102900979498E-2</v>
      </c>
      <c r="O151" s="482">
        <f t="shared" si="128"/>
        <v>7.1600570341462957E-2</v>
      </c>
      <c r="P151" s="482">
        <f t="shared" si="128"/>
        <v>7.49353730871299E-2</v>
      </c>
      <c r="Q151" s="482">
        <f t="shared" si="128"/>
        <v>7.9101845790523706E-2</v>
      </c>
    </row>
    <row r="152" spans="1:25">
      <c r="A152" s="521"/>
      <c r="J152" s="503" t="s">
        <v>539</v>
      </c>
      <c r="K152" s="503"/>
      <c r="L152" s="456">
        <v>27778</v>
      </c>
      <c r="M152" s="456">
        <v>30547</v>
      </c>
      <c r="N152" s="456">
        <v>34564</v>
      </c>
      <c r="O152" s="456">
        <v>35606</v>
      </c>
      <c r="P152" s="456">
        <v>36654</v>
      </c>
      <c r="Q152" s="456">
        <v>36587</v>
      </c>
    </row>
    <row r="153" spans="1:25">
      <c r="A153" s="521"/>
      <c r="J153" s="504" t="s">
        <v>522</v>
      </c>
      <c r="K153" s="504"/>
      <c r="L153" s="502">
        <v>6.8000000000000005E-2</v>
      </c>
      <c r="M153" s="502">
        <v>7.1999999999999995E-2</v>
      </c>
      <c r="N153" s="502">
        <v>7.3999999999999996E-2</v>
      </c>
      <c r="O153" s="502">
        <v>7.3999999999999996E-2</v>
      </c>
      <c r="P153" s="502">
        <v>6.8000000000000005E-2</v>
      </c>
      <c r="Q153" s="502">
        <v>6.4000000000000001E-2</v>
      </c>
    </row>
    <row r="154" spans="1:25">
      <c r="A154" s="521"/>
      <c r="J154" s="503" t="s">
        <v>540</v>
      </c>
      <c r="K154" s="503"/>
      <c r="L154" s="456">
        <v>27537</v>
      </c>
      <c r="M154" s="456">
        <v>29301</v>
      </c>
      <c r="N154" s="456">
        <v>31704</v>
      </c>
      <c r="O154" s="459">
        <f>N154</f>
        <v>31704</v>
      </c>
      <c r="P154" s="459">
        <f t="shared" ref="P154:Q154" si="129">O154</f>
        <v>31704</v>
      </c>
      <c r="Q154" s="459">
        <f t="shared" si="129"/>
        <v>31704</v>
      </c>
    </row>
    <row r="155" spans="1:25">
      <c r="A155" s="521"/>
      <c r="J155" s="504" t="s">
        <v>522</v>
      </c>
      <c r="K155" s="504"/>
      <c r="L155" s="482">
        <f>L154/L46</f>
        <v>6.6368130186328214E-2</v>
      </c>
      <c r="M155" s="482">
        <f t="shared" ref="M155" si="130">M154/M46</f>
        <v>6.6314660245152174E-2</v>
      </c>
      <c r="N155" s="482">
        <f t="shared" ref="N155" si="131">N154/N46</f>
        <v>6.7609238052587811E-2</v>
      </c>
      <c r="O155" s="482">
        <f t="shared" ref="O155" si="132">O154/O46</f>
        <v>6.7609238052587811E-2</v>
      </c>
      <c r="P155" s="482">
        <f t="shared" ref="P155" si="133">P154/P46</f>
        <v>6.7609238052587811E-2</v>
      </c>
      <c r="Q155" s="482">
        <f t="shared" ref="Q155" si="134">Q154/Q46</f>
        <v>6.7609238052587811E-2</v>
      </c>
    </row>
    <row r="156" spans="1:25">
      <c r="A156" s="521"/>
      <c r="J156" s="503" t="s">
        <v>521</v>
      </c>
      <c r="K156" s="503"/>
      <c r="L156" s="456">
        <v>27584</v>
      </c>
      <c r="M156" s="456">
        <v>29919</v>
      </c>
      <c r="N156" s="456">
        <v>32334</v>
      </c>
      <c r="O156" s="459">
        <f>N156</f>
        <v>32334</v>
      </c>
      <c r="P156" s="459">
        <f t="shared" ref="P156:Q156" si="135">O156</f>
        <v>32334</v>
      </c>
      <c r="Q156" s="459">
        <f t="shared" si="135"/>
        <v>32334</v>
      </c>
    </row>
    <row r="157" spans="1:25">
      <c r="A157" s="521"/>
      <c r="J157" s="504" t="s">
        <v>522</v>
      </c>
      <c r="K157" s="504"/>
      <c r="L157" s="482">
        <f>L156/L48</f>
        <v>6.6418656168358195E-2</v>
      </c>
      <c r="M157" s="482">
        <f t="shared" ref="M157" si="136">M156/M48</f>
        <v>6.791669031269508E-2</v>
      </c>
      <c r="N157" s="482">
        <f t="shared" ref="N157" si="137">N156/N48</f>
        <v>7.0203245060000821E-2</v>
      </c>
      <c r="O157" s="482">
        <f t="shared" ref="O157" si="138">O156/O48</f>
        <v>7.0203245060000821E-2</v>
      </c>
      <c r="P157" s="482">
        <f t="shared" ref="P157" si="139">P156/P48</f>
        <v>7.0203245060000821E-2</v>
      </c>
      <c r="Q157" s="482">
        <f t="shared" ref="Q157" si="140">Q156/Q48</f>
        <v>7.0203245060000821E-2</v>
      </c>
    </row>
    <row r="158" spans="1:25" s="354" customFormat="1">
      <c r="A158" s="521"/>
      <c r="B158" s="521"/>
      <c r="C158" s="521"/>
      <c r="D158" s="521"/>
      <c r="E158" s="521"/>
      <c r="F158" s="521"/>
      <c r="G158" s="521"/>
      <c r="H158" s="521"/>
      <c r="I158" s="521"/>
      <c r="J158" s="518"/>
      <c r="K158" s="518"/>
      <c r="L158" s="518"/>
      <c r="M158" s="518"/>
      <c r="N158" s="518"/>
      <c r="O158" s="518"/>
      <c r="P158" s="518"/>
      <c r="Q158" s="458"/>
      <c r="R158" s="458"/>
      <c r="S158" s="458"/>
      <c r="T158" s="458"/>
      <c r="U158" s="458"/>
      <c r="V158" s="458"/>
      <c r="W158" s="458"/>
      <c r="X158" s="458"/>
      <c r="Y158" s="458"/>
    </row>
    <row r="159" spans="1:25" s="354" customFormat="1">
      <c r="A159" s="521"/>
      <c r="B159" s="521"/>
      <c r="C159" s="521"/>
      <c r="D159" s="521"/>
      <c r="E159" s="521"/>
      <c r="F159" s="521"/>
      <c r="G159" s="521"/>
      <c r="H159" s="521"/>
      <c r="I159" s="521"/>
      <c r="J159" s="513" t="s">
        <v>542</v>
      </c>
      <c r="K159" s="519"/>
      <c r="L159" s="494">
        <f>MEDIAN(L$157,L$151,L$155,L$153)</f>
        <v>6.6929088478232396E-2</v>
      </c>
      <c r="M159" s="494">
        <f>MEDIAN(M$157,M$151,M$155,M$153)</f>
        <v>6.8371495351126688E-2</v>
      </c>
      <c r="N159" s="494">
        <f>MEDIAN(N$157,N$151,N$155,N$153)</f>
        <v>6.9180673980490159E-2</v>
      </c>
      <c r="O159" s="494">
        <f>MEDIAN(O$157,O$151,O$155,O$153)</f>
        <v>7.0901907700731889E-2</v>
      </c>
      <c r="P159" s="494">
        <f>MEDIAN(P$157,P$151,P$155,P$153)</f>
        <v>6.9101622530000406E-2</v>
      </c>
      <c r="Q159" s="494">
        <f>MEDIAN(Q$157,Q$151,Q$155,Q$153)</f>
        <v>6.8906241556294323E-2</v>
      </c>
      <c r="R159" s="458"/>
      <c r="S159" s="458"/>
      <c r="T159" s="458"/>
      <c r="U159" s="458"/>
      <c r="V159" s="458"/>
      <c r="W159" s="458"/>
      <c r="X159" s="458"/>
      <c r="Y159" s="458"/>
    </row>
    <row r="160" spans="1:25" s="354" customFormat="1">
      <c r="A160" s="521"/>
      <c r="B160" s="521"/>
      <c r="C160" s="521"/>
      <c r="D160" s="521"/>
      <c r="E160" s="521"/>
      <c r="F160" s="521"/>
      <c r="G160" s="521"/>
      <c r="H160" s="521"/>
      <c r="I160" s="521"/>
      <c r="J160" s="515" t="s">
        <v>543</v>
      </c>
      <c r="K160" s="519"/>
      <c r="L160" s="494">
        <f>AVERAGE(L$157,L$151,L$155,L$153)</f>
        <v>6.7056576785698249E-2</v>
      </c>
      <c r="M160" s="494">
        <f t="shared" ref="M160:Q160" si="141">AVERAGE(M$157,M$151,M$155,M$153)</f>
        <v>6.8764412736851382E-2</v>
      </c>
      <c r="N160" s="494">
        <f t="shared" si="141"/>
        <v>6.9992646503392028E-2</v>
      </c>
      <c r="O160" s="494">
        <f t="shared" si="141"/>
        <v>7.08532633635129E-2</v>
      </c>
      <c r="P160" s="494">
        <f t="shared" si="141"/>
        <v>7.0186964049929634E-2</v>
      </c>
      <c r="Q160" s="494">
        <f t="shared" si="141"/>
        <v>7.0228582225778075E-2</v>
      </c>
      <c r="R160" s="458"/>
      <c r="S160" s="458"/>
      <c r="T160" s="458"/>
      <c r="U160" s="458"/>
      <c r="V160" s="458"/>
      <c r="W160" s="458"/>
      <c r="X160" s="458"/>
      <c r="Y160" s="458"/>
    </row>
    <row r="162" spans="1:25" ht="12.75" thickBot="1">
      <c r="A162" s="525" t="s">
        <v>25</v>
      </c>
      <c r="B162" s="505" t="s">
        <v>553</v>
      </c>
      <c r="J162" s="517" t="s">
        <v>553</v>
      </c>
      <c r="K162" s="517"/>
      <c r="L162" s="517"/>
      <c r="M162" s="517"/>
      <c r="N162" s="517"/>
      <c r="O162" s="517"/>
      <c r="P162" s="517"/>
      <c r="Q162" s="486"/>
    </row>
    <row r="163" spans="1:25">
      <c r="A163" s="521"/>
      <c r="J163" s="503" t="s">
        <v>520</v>
      </c>
      <c r="K163" s="503"/>
      <c r="L163" s="456">
        <v>22790.724101284031</v>
      </c>
      <c r="M163" s="456">
        <v>25532.732152087716</v>
      </c>
      <c r="N163" s="456">
        <v>27696.031650910823</v>
      </c>
      <c r="O163" s="456">
        <v>29563.239535206725</v>
      </c>
      <c r="P163" s="456">
        <v>31857.926844606114</v>
      </c>
      <c r="Q163" s="456">
        <v>34520.888650295034</v>
      </c>
    </row>
    <row r="164" spans="1:25">
      <c r="A164" s="521"/>
      <c r="J164" s="504" t="s">
        <v>554</v>
      </c>
      <c r="K164" s="504"/>
      <c r="L164" s="502">
        <v>0.15523446796354556</v>
      </c>
      <c r="M164" s="502">
        <v>0.16</v>
      </c>
      <c r="N164" s="502">
        <v>0.16</v>
      </c>
      <c r="O164" s="502">
        <v>0.16</v>
      </c>
      <c r="P164" s="502">
        <v>0.16</v>
      </c>
      <c r="Q164" s="502">
        <v>0.16000000000000003</v>
      </c>
    </row>
    <row r="165" spans="1:25">
      <c r="A165" s="521"/>
      <c r="J165" s="503" t="s">
        <v>539</v>
      </c>
      <c r="K165" s="503"/>
      <c r="L165" s="456">
        <v>19544</v>
      </c>
      <c r="M165" s="456">
        <v>20801</v>
      </c>
      <c r="N165" s="456">
        <v>22164</v>
      </c>
      <c r="O165" s="456">
        <v>23275</v>
      </c>
      <c r="P165" s="456">
        <v>27285</v>
      </c>
      <c r="Q165" s="456">
        <v>30561</v>
      </c>
    </row>
    <row r="166" spans="1:25">
      <c r="A166" s="521"/>
      <c r="J166" s="504" t="s">
        <v>554</v>
      </c>
      <c r="K166" s="504"/>
      <c r="L166" s="502">
        <v>0.14999808127710196</v>
      </c>
      <c r="M166" s="502">
        <v>0.15000144225222106</v>
      </c>
      <c r="N166" s="502">
        <v>0.14999695458267631</v>
      </c>
      <c r="O166" s="502">
        <v>0.15000161118809011</v>
      </c>
      <c r="P166" s="502">
        <v>0.14999917537561641</v>
      </c>
      <c r="Q166" s="502">
        <v>0.14999852754954796</v>
      </c>
    </row>
    <row r="167" spans="1:25">
      <c r="A167" s="521"/>
      <c r="J167" s="503" t="s">
        <v>535</v>
      </c>
      <c r="K167" s="503"/>
      <c r="L167" s="456">
        <v>20919</v>
      </c>
      <c r="M167" s="456">
        <v>22306</v>
      </c>
      <c r="N167" s="456">
        <v>25707</v>
      </c>
      <c r="O167" s="459">
        <f>N167</f>
        <v>25707</v>
      </c>
      <c r="P167" s="459">
        <f t="shared" ref="P167:Q169" si="142">O167</f>
        <v>25707</v>
      </c>
      <c r="Q167" s="459">
        <f t="shared" si="142"/>
        <v>25707</v>
      </c>
    </row>
    <row r="168" spans="1:25">
      <c r="A168" s="521"/>
      <c r="J168" s="504" t="s">
        <v>554</v>
      </c>
      <c r="K168" s="504"/>
      <c r="L168" s="502">
        <v>0.15832973819849686</v>
      </c>
      <c r="M168" s="502">
        <v>0.15744485618493029</v>
      </c>
      <c r="N168" s="502">
        <v>0.16071796987827522</v>
      </c>
      <c r="O168" s="482">
        <f>N168</f>
        <v>0.16071796987827522</v>
      </c>
      <c r="P168" s="482">
        <f t="shared" ref="P168:Q168" si="143">O168</f>
        <v>0.16071796987827522</v>
      </c>
      <c r="Q168" s="482">
        <f t="shared" si="143"/>
        <v>0.16071796987827522</v>
      </c>
    </row>
    <row r="169" spans="1:25">
      <c r="A169" s="521"/>
      <c r="J169" s="503" t="s">
        <v>540</v>
      </c>
      <c r="K169" s="503"/>
      <c r="L169" s="456">
        <v>20695</v>
      </c>
      <c r="M169" s="456">
        <v>22846</v>
      </c>
      <c r="N169" s="456">
        <v>24064</v>
      </c>
      <c r="O169" s="459">
        <f>N169</f>
        <v>24064</v>
      </c>
      <c r="P169" s="459">
        <f t="shared" si="142"/>
        <v>24064</v>
      </c>
      <c r="Q169" s="459">
        <f t="shared" si="142"/>
        <v>24064</v>
      </c>
    </row>
    <row r="170" spans="1:25">
      <c r="A170" s="521"/>
      <c r="J170" s="504" t="s">
        <v>554</v>
      </c>
      <c r="K170" s="504"/>
      <c r="L170" s="482">
        <v>0.158</v>
      </c>
      <c r="M170" s="482">
        <v>0.16300000000000001</v>
      </c>
      <c r="N170" s="482">
        <v>0.16</v>
      </c>
      <c r="O170" s="482">
        <f>N170</f>
        <v>0.16</v>
      </c>
      <c r="P170" s="482">
        <f t="shared" ref="P170:Q170" si="144">O170</f>
        <v>0.16</v>
      </c>
      <c r="Q170" s="482">
        <f t="shared" si="144"/>
        <v>0.16</v>
      </c>
    </row>
    <row r="171" spans="1:25">
      <c r="A171" s="521"/>
      <c r="J171" s="503" t="s">
        <v>556</v>
      </c>
      <c r="K171" s="503"/>
      <c r="L171" s="456">
        <v>19503</v>
      </c>
      <c r="M171" s="456">
        <v>20766</v>
      </c>
      <c r="N171" s="459">
        <f>M171</f>
        <v>20766</v>
      </c>
      <c r="O171" s="459">
        <f t="shared" ref="O171:Q171" si="145">N171</f>
        <v>20766</v>
      </c>
      <c r="P171" s="459">
        <f t="shared" si="145"/>
        <v>20766</v>
      </c>
      <c r="Q171" s="459">
        <f t="shared" si="145"/>
        <v>20766</v>
      </c>
    </row>
    <row r="172" spans="1:25">
      <c r="A172" s="521"/>
      <c r="J172" s="504" t="s">
        <v>554</v>
      </c>
      <c r="K172" s="504"/>
      <c r="L172" s="482">
        <v>0.158</v>
      </c>
      <c r="M172" s="482">
        <v>0.16</v>
      </c>
      <c r="N172" s="482">
        <f>M172</f>
        <v>0.16</v>
      </c>
      <c r="O172" s="482">
        <f t="shared" ref="O172:Q172" si="146">N172</f>
        <v>0.16</v>
      </c>
      <c r="P172" s="482">
        <f t="shared" si="146"/>
        <v>0.16</v>
      </c>
      <c r="Q172" s="482">
        <f t="shared" si="146"/>
        <v>0.16</v>
      </c>
    </row>
    <row r="173" spans="1:25" s="354" customFormat="1">
      <c r="A173" s="521"/>
      <c r="B173" s="521"/>
      <c r="C173" s="521"/>
      <c r="D173" s="521"/>
      <c r="E173" s="521"/>
      <c r="F173" s="521"/>
      <c r="G173" s="521"/>
      <c r="H173" s="521"/>
      <c r="I173" s="521"/>
      <c r="J173" s="518"/>
      <c r="K173" s="518"/>
      <c r="L173" s="518"/>
      <c r="M173" s="518"/>
      <c r="N173" s="518"/>
      <c r="O173" s="518"/>
      <c r="P173" s="518"/>
      <c r="Q173" s="458"/>
      <c r="R173" s="458"/>
      <c r="S173" s="458"/>
      <c r="T173" s="458"/>
      <c r="U173" s="458"/>
      <c r="V173" s="458"/>
      <c r="W173" s="458"/>
      <c r="X173" s="458"/>
      <c r="Y173" s="458"/>
    </row>
    <row r="174" spans="1:25" s="354" customFormat="1">
      <c r="A174" s="521"/>
      <c r="B174" s="521"/>
      <c r="C174" s="521"/>
      <c r="D174" s="521"/>
      <c r="E174" s="521"/>
      <c r="F174" s="521"/>
      <c r="G174" s="521"/>
      <c r="H174" s="521"/>
      <c r="I174" s="521"/>
      <c r="J174" s="513" t="s">
        <v>542</v>
      </c>
      <c r="K174" s="514"/>
      <c r="L174" s="489">
        <f>MEDIAN(L$172,L$166,L$170,L$168,L$164)</f>
        <v>0.158</v>
      </c>
      <c r="M174" s="489">
        <f t="shared" ref="M174:Q174" si="147">MEDIAN(M$172,M$166,M$170,M$168,M$164)</f>
        <v>0.16</v>
      </c>
      <c r="N174" s="489">
        <f t="shared" si="147"/>
        <v>0.16</v>
      </c>
      <c r="O174" s="489">
        <f t="shared" si="147"/>
        <v>0.16</v>
      </c>
      <c r="P174" s="489">
        <f t="shared" si="147"/>
        <v>0.16</v>
      </c>
      <c r="Q174" s="490">
        <f t="shared" si="147"/>
        <v>0.16</v>
      </c>
      <c r="R174" s="458"/>
      <c r="S174" s="458"/>
      <c r="T174" s="458"/>
      <c r="U174" s="458"/>
      <c r="V174" s="458"/>
      <c r="W174" s="458"/>
      <c r="X174" s="458"/>
      <c r="Y174" s="458"/>
    </row>
    <row r="175" spans="1:25" s="354" customFormat="1">
      <c r="A175" s="521"/>
      <c r="B175" s="521"/>
      <c r="C175" s="521"/>
      <c r="D175" s="521"/>
      <c r="E175" s="521"/>
      <c r="F175" s="521"/>
      <c r="G175" s="521"/>
      <c r="H175" s="521"/>
      <c r="I175" s="521"/>
      <c r="J175" s="515" t="s">
        <v>543</v>
      </c>
      <c r="K175" s="516"/>
      <c r="L175" s="491">
        <f>AVERAGE(L$172,L$166,L$170,L$168,L$164)</f>
        <v>0.15591245748782886</v>
      </c>
      <c r="M175" s="491">
        <f t="shared" ref="M175:Q175" si="148">AVERAGE(M$172,M$166,M$170,M$168,M$164)</f>
        <v>0.15808925968743029</v>
      </c>
      <c r="N175" s="491">
        <f t="shared" si="148"/>
        <v>0.15814298489219031</v>
      </c>
      <c r="O175" s="491">
        <f t="shared" si="148"/>
        <v>0.15814391621327309</v>
      </c>
      <c r="P175" s="491">
        <f t="shared" si="148"/>
        <v>0.15814342905077833</v>
      </c>
      <c r="Q175" s="492">
        <f t="shared" si="148"/>
        <v>0.15814329948556466</v>
      </c>
      <c r="R175" s="458"/>
      <c r="S175" s="458"/>
      <c r="T175" s="458"/>
      <c r="U175" s="458"/>
      <c r="V175" s="458"/>
      <c r="W175" s="458"/>
      <c r="X175" s="458"/>
      <c r="Y175" s="458"/>
    </row>
    <row r="177" spans="1:25">
      <c r="B177" s="526"/>
      <c r="C177" s="526"/>
      <c r="D177" s="526"/>
      <c r="E177" s="526"/>
      <c r="F177" s="526"/>
      <c r="G177" s="526"/>
      <c r="H177" s="526"/>
      <c r="I177" s="526"/>
      <c r="J177" s="526" t="s">
        <v>560</v>
      </c>
      <c r="K177" s="527"/>
      <c r="L177" s="527"/>
      <c r="M177" s="527"/>
      <c r="N177" s="527"/>
      <c r="O177" s="527"/>
      <c r="P177" s="527"/>
      <c r="Q177" s="527"/>
    </row>
    <row r="178" spans="1:25" ht="5.0999999999999996" customHeight="1"/>
    <row r="179" spans="1:25" ht="12.75" thickBot="1">
      <c r="A179" s="525" t="s">
        <v>25</v>
      </c>
      <c r="B179" s="505" t="s">
        <v>557</v>
      </c>
      <c r="J179" s="517" t="s">
        <v>557</v>
      </c>
      <c r="K179" s="517"/>
      <c r="L179" s="517"/>
      <c r="M179" s="517"/>
      <c r="N179" s="517"/>
      <c r="O179" s="517"/>
      <c r="P179" s="517"/>
      <c r="Q179" s="486"/>
    </row>
    <row r="180" spans="1:25">
      <c r="A180" s="521"/>
      <c r="J180" s="503" t="s">
        <v>520</v>
      </c>
      <c r="K180" s="503"/>
      <c r="L180" s="456">
        <v>11731.260414045522</v>
      </c>
      <c r="M180" s="456">
        <v>14399.73520199626</v>
      </c>
      <c r="N180" s="456">
        <v>17142.007151116424</v>
      </c>
      <c r="O180" s="456">
        <v>19854.655674817121</v>
      </c>
      <c r="P180" s="456">
        <v>22501.196016187929</v>
      </c>
      <c r="Q180" s="456">
        <v>25099.341816982462</v>
      </c>
    </row>
    <row r="181" spans="1:25">
      <c r="A181" s="521"/>
      <c r="J181" s="504" t="s">
        <v>46</v>
      </c>
      <c r="K181" s="504"/>
      <c r="L181" s="482">
        <f>SUM(L180/$H$28)-1</f>
        <v>2.5011831720884503E-2</v>
      </c>
      <c r="M181" s="482">
        <f>SUM(M180/L180)-1</f>
        <v>0.22746701494716159</v>
      </c>
      <c r="N181" s="482">
        <f t="shared" ref="N181" si="149">SUM(N180/M180)-1</f>
        <v>0.19043905395843663</v>
      </c>
      <c r="O181" s="482">
        <f t="shared" ref="O181" si="150">SUM(O180/N180)-1</f>
        <v>0.15824567682110824</v>
      </c>
      <c r="P181" s="482">
        <f t="shared" ref="P181" si="151">SUM(P180/O180)-1</f>
        <v>0.13329570578892369</v>
      </c>
      <c r="Q181" s="482">
        <f t="shared" ref="Q181" si="152">SUM(Q180/P180)-1</f>
        <v>0.11546700890589823</v>
      </c>
    </row>
    <row r="182" spans="1:25">
      <c r="A182" s="521"/>
      <c r="J182" s="503" t="s">
        <v>539</v>
      </c>
      <c r="K182" s="503"/>
      <c r="L182" s="456">
        <v>12068</v>
      </c>
      <c r="M182" s="456">
        <v>11678</v>
      </c>
      <c r="N182" s="456">
        <v>11029</v>
      </c>
      <c r="O182" s="456">
        <v>11666</v>
      </c>
      <c r="P182" s="456">
        <v>12904</v>
      </c>
      <c r="Q182" s="456">
        <v>15129</v>
      </c>
    </row>
    <row r="183" spans="1:25">
      <c r="A183" s="521"/>
      <c r="J183" s="504" t="s">
        <v>46</v>
      </c>
      <c r="K183" s="504"/>
      <c r="L183" s="482">
        <f>SUM(L182/$H$28)-1</f>
        <v>5.4434250764525904E-2</v>
      </c>
      <c r="M183" s="482">
        <f>SUM(M182/L182)-1</f>
        <v>-3.2316871063970853E-2</v>
      </c>
      <c r="N183" s="482">
        <f t="shared" ref="N183" si="153">SUM(N182/M182)-1</f>
        <v>-5.5574584689159101E-2</v>
      </c>
      <c r="O183" s="482">
        <f t="shared" ref="O183" si="154">SUM(O182/N182)-1</f>
        <v>5.7756822921389173E-2</v>
      </c>
      <c r="P183" s="482">
        <f t="shared" ref="P183" si="155">SUM(P182/O182)-1</f>
        <v>0.10612034973427042</v>
      </c>
      <c r="Q183" s="482">
        <f t="shared" ref="Q183" si="156">SUM(Q182/P182)-1</f>
        <v>0.17242715437073786</v>
      </c>
    </row>
    <row r="184" spans="1:25">
      <c r="A184" s="521"/>
      <c r="J184" s="503" t="s">
        <v>535</v>
      </c>
      <c r="K184" s="503"/>
      <c r="L184" s="456">
        <v>11610</v>
      </c>
      <c r="M184" s="456">
        <v>12653</v>
      </c>
      <c r="N184" s="456">
        <v>13552</v>
      </c>
      <c r="O184" s="459">
        <f>N184</f>
        <v>13552</v>
      </c>
      <c r="P184" s="459">
        <f t="shared" ref="P184:Q184" si="157">O184</f>
        <v>13552</v>
      </c>
      <c r="Q184" s="459">
        <f t="shared" si="157"/>
        <v>13552</v>
      </c>
    </row>
    <row r="185" spans="1:25">
      <c r="A185" s="521"/>
      <c r="J185" s="504" t="s">
        <v>46</v>
      </c>
      <c r="K185" s="504"/>
      <c r="L185" s="482">
        <f>SUM(L184/$H$28)-1</f>
        <v>1.4416775884665833E-2</v>
      </c>
      <c r="M185" s="482">
        <f>SUM(M184/L184)-1</f>
        <v>8.9836347975882802E-2</v>
      </c>
      <c r="N185" s="482">
        <f t="shared" ref="N185" si="158">SUM(N184/M184)-1</f>
        <v>7.1050343791986048E-2</v>
      </c>
      <c r="O185" s="482">
        <f>N185</f>
        <v>7.1050343791986048E-2</v>
      </c>
      <c r="P185" s="482">
        <f t="shared" ref="P185:Q185" si="159">O185</f>
        <v>7.1050343791986048E-2</v>
      </c>
      <c r="Q185" s="482">
        <f t="shared" si="159"/>
        <v>7.1050343791986048E-2</v>
      </c>
    </row>
    <row r="186" spans="1:25">
      <c r="A186" s="521"/>
      <c r="J186" s="503" t="s">
        <v>540</v>
      </c>
      <c r="K186" s="503"/>
      <c r="L186" s="456">
        <v>12012</v>
      </c>
      <c r="M186" s="456">
        <v>14315</v>
      </c>
      <c r="N186" s="456">
        <v>15416</v>
      </c>
      <c r="O186" s="459">
        <f>N186</f>
        <v>15416</v>
      </c>
      <c r="P186" s="459">
        <f t="shared" ref="P186:Q186" si="160">O186</f>
        <v>15416</v>
      </c>
      <c r="Q186" s="459">
        <f t="shared" si="160"/>
        <v>15416</v>
      </c>
    </row>
    <row r="187" spans="1:25">
      <c r="A187" s="521"/>
      <c r="J187" s="504" t="s">
        <v>46</v>
      </c>
      <c r="K187" s="504"/>
      <c r="L187" s="482">
        <f>SUM(L186/$H$28)-1</f>
        <v>4.9541284403669783E-2</v>
      </c>
      <c r="M187" s="482">
        <f>SUM(M186/L186)-1</f>
        <v>0.19172494172494181</v>
      </c>
      <c r="N187" s="482">
        <f t="shared" ref="N187" si="161">SUM(N186/M186)-1</f>
        <v>7.6912329724065698E-2</v>
      </c>
      <c r="O187" s="482">
        <f>N187</f>
        <v>7.6912329724065698E-2</v>
      </c>
      <c r="P187" s="482">
        <f t="shared" ref="P187:Q187" si="162">O187</f>
        <v>7.6912329724065698E-2</v>
      </c>
      <c r="Q187" s="482">
        <f t="shared" si="162"/>
        <v>7.6912329724065698E-2</v>
      </c>
    </row>
    <row r="188" spans="1:25" s="354" customFormat="1">
      <c r="A188" s="521"/>
      <c r="B188" s="521"/>
      <c r="C188" s="521"/>
      <c r="D188" s="521"/>
      <c r="E188" s="521"/>
      <c r="F188" s="521"/>
      <c r="G188" s="521"/>
      <c r="H188" s="521"/>
      <c r="I188" s="521"/>
      <c r="J188" s="518"/>
      <c r="K188" s="518"/>
      <c r="L188" s="518"/>
      <c r="M188" s="518"/>
      <c r="N188" s="518"/>
      <c r="O188" s="518"/>
      <c r="P188" s="518"/>
      <c r="Q188" s="458"/>
      <c r="R188" s="458"/>
      <c r="S188" s="458"/>
      <c r="T188" s="458"/>
      <c r="U188" s="458"/>
      <c r="V188" s="458"/>
      <c r="W188" s="458"/>
      <c r="X188" s="458"/>
      <c r="Y188" s="458"/>
    </row>
    <row r="189" spans="1:25" s="354" customFormat="1">
      <c r="A189" s="521"/>
      <c r="B189" s="521"/>
      <c r="C189" s="521"/>
      <c r="D189" s="521"/>
      <c r="E189" s="521"/>
      <c r="F189" s="521"/>
      <c r="G189" s="521"/>
      <c r="H189" s="521"/>
      <c r="I189" s="521"/>
      <c r="J189" s="513" t="s">
        <v>542</v>
      </c>
      <c r="K189" s="514"/>
      <c r="L189" s="489">
        <f>MEDIAN(L$183,L$187,L$185,L$181)</f>
        <v>3.7276558062277143E-2</v>
      </c>
      <c r="M189" s="489">
        <f t="shared" ref="M189:Q189" si="163">MEDIAN(M$183,M$187,M$185,M$181)</f>
        <v>0.14078064485041231</v>
      </c>
      <c r="N189" s="489">
        <f t="shared" si="163"/>
        <v>7.3981336758025873E-2</v>
      </c>
      <c r="O189" s="489">
        <f t="shared" si="163"/>
        <v>7.3981336758025873E-2</v>
      </c>
      <c r="P189" s="489">
        <f t="shared" si="163"/>
        <v>9.1516339729168061E-2</v>
      </c>
      <c r="Q189" s="489">
        <f t="shared" si="163"/>
        <v>9.6189669314981963E-2</v>
      </c>
      <c r="R189" s="458"/>
      <c r="S189" s="458"/>
      <c r="T189" s="458"/>
      <c r="U189" s="458"/>
      <c r="V189" s="458"/>
      <c r="W189" s="458"/>
      <c r="X189" s="458"/>
      <c r="Y189" s="458"/>
    </row>
    <row r="190" spans="1:25" s="354" customFormat="1">
      <c r="A190" s="521"/>
      <c r="B190" s="521"/>
      <c r="C190" s="521"/>
      <c r="D190" s="521"/>
      <c r="E190" s="521"/>
      <c r="F190" s="521"/>
      <c r="G190" s="521"/>
      <c r="H190" s="521"/>
      <c r="I190" s="521"/>
      <c r="J190" s="515" t="s">
        <v>543</v>
      </c>
      <c r="K190" s="516"/>
      <c r="L190" s="494">
        <f>AVERAGE(L$183,L$187,L$185,L$181)</f>
        <v>3.5851035693436506E-2</v>
      </c>
      <c r="M190" s="494">
        <f t="shared" ref="M190:Q190" si="164">AVERAGE(M$183,M$187,M$185,M$181)</f>
        <v>0.11917785839600384</v>
      </c>
      <c r="N190" s="494">
        <f t="shared" si="164"/>
        <v>7.0706785696332319E-2</v>
      </c>
      <c r="O190" s="494">
        <f t="shared" si="164"/>
        <v>9.0991293314637289E-2</v>
      </c>
      <c r="P190" s="494">
        <f t="shared" si="164"/>
        <v>9.6844682259811465E-2</v>
      </c>
      <c r="Q190" s="494">
        <f t="shared" si="164"/>
        <v>0.10896420919817196</v>
      </c>
      <c r="R190" s="458"/>
      <c r="S190" s="458"/>
      <c r="T190" s="458"/>
      <c r="U190" s="458"/>
      <c r="V190" s="458"/>
      <c r="W190" s="458"/>
      <c r="X190" s="458"/>
      <c r="Y190" s="458"/>
    </row>
    <row r="192" spans="1:25" ht="12.75" thickBot="1">
      <c r="A192" s="525" t="s">
        <v>25</v>
      </c>
      <c r="B192" s="505" t="s">
        <v>559</v>
      </c>
      <c r="J192" s="517" t="s">
        <v>559</v>
      </c>
      <c r="K192" s="517"/>
      <c r="L192" s="517"/>
      <c r="M192" s="517"/>
      <c r="N192" s="517"/>
      <c r="O192" s="517"/>
      <c r="P192" s="517"/>
      <c r="Q192" s="486"/>
    </row>
    <row r="193" spans="1:25">
      <c r="A193" s="521"/>
      <c r="J193" s="503" t="s">
        <v>520</v>
      </c>
      <c r="K193" s="503"/>
      <c r="L193" s="456">
        <v>12750.362031938173</v>
      </c>
      <c r="M193" s="456">
        <v>13621.844626729151</v>
      </c>
      <c r="N193" s="456">
        <v>14670.910797979861</v>
      </c>
      <c r="O193" s="456">
        <v>15409.486371499832</v>
      </c>
      <c r="P193" s="456">
        <v>16102.054462853608</v>
      </c>
      <c r="Q193" s="456">
        <v>16985.585504485909</v>
      </c>
    </row>
    <row r="194" spans="1:25">
      <c r="A194" s="521"/>
      <c r="J194" s="504" t="s">
        <v>46</v>
      </c>
      <c r="K194" s="504"/>
      <c r="L194" s="482">
        <f>SUM(L193/$H$28)-1</f>
        <v>0.11405522341093688</v>
      </c>
      <c r="M194" s="482">
        <f>SUM(M193/L193)-1</f>
        <v>6.8349635297257905E-2</v>
      </c>
      <c r="N194" s="482">
        <f t="shared" ref="N194" si="165">SUM(N193/M193)-1</f>
        <v>7.7013517625373895E-2</v>
      </c>
      <c r="O194" s="482">
        <f t="shared" ref="O194" si="166">SUM(O193/N193)-1</f>
        <v>5.0342857624195325E-2</v>
      </c>
      <c r="P194" s="482">
        <f t="shared" ref="P194" si="167">SUM(P193/O193)-1</f>
        <v>4.4944268397854925E-2</v>
      </c>
      <c r="Q194" s="482">
        <f t="shared" ref="Q194" si="168">SUM(Q193/P193)-1</f>
        <v>5.4870702597022536E-2</v>
      </c>
    </row>
    <row r="195" spans="1:25">
      <c r="A195" s="521"/>
      <c r="J195" s="503" t="s">
        <v>539</v>
      </c>
      <c r="K195" s="503"/>
      <c r="L195" s="456">
        <v>12605</v>
      </c>
      <c r="M195" s="456">
        <v>13587</v>
      </c>
      <c r="N195" s="456">
        <v>14639</v>
      </c>
      <c r="O195" s="456">
        <v>15765</v>
      </c>
      <c r="P195" s="456">
        <v>16970</v>
      </c>
      <c r="Q195" s="456">
        <v>18258</v>
      </c>
    </row>
    <row r="196" spans="1:25">
      <c r="A196" s="521"/>
      <c r="J196" s="504" t="s">
        <v>46</v>
      </c>
      <c r="K196" s="504"/>
      <c r="L196" s="482">
        <f>SUM(L195/$H$28)-1</f>
        <v>0.1013543031891655</v>
      </c>
      <c r="M196" s="482">
        <f>SUM(M195/L195)-1</f>
        <v>7.7905593018643415E-2</v>
      </c>
      <c r="N196" s="482">
        <f t="shared" ref="N196" si="169">SUM(N195/M195)-1</f>
        <v>7.7426952233752955E-2</v>
      </c>
      <c r="O196" s="482">
        <f t="shared" ref="O196" si="170">SUM(O195/N195)-1</f>
        <v>7.6917822255618606E-2</v>
      </c>
      <c r="P196" s="482">
        <f t="shared" ref="P196" si="171">SUM(P195/O195)-1</f>
        <v>7.6435141135426488E-2</v>
      </c>
      <c r="Q196" s="482">
        <f t="shared" ref="Q196" si="172">SUM(Q195/P195)-1</f>
        <v>7.5898644667059534E-2</v>
      </c>
    </row>
    <row r="197" spans="1:25">
      <c r="A197" s="521"/>
      <c r="J197" s="503" t="s">
        <v>558</v>
      </c>
      <c r="K197" s="503"/>
      <c r="L197" s="456">
        <v>12394</v>
      </c>
      <c r="M197" s="456">
        <v>11372</v>
      </c>
      <c r="N197" s="459">
        <f>M197</f>
        <v>11372</v>
      </c>
      <c r="O197" s="459">
        <f t="shared" ref="O197:Q197" si="173">N197</f>
        <v>11372</v>
      </c>
      <c r="P197" s="459">
        <f t="shared" si="173"/>
        <v>11372</v>
      </c>
      <c r="Q197" s="459">
        <f t="shared" si="173"/>
        <v>11372</v>
      </c>
    </row>
    <row r="198" spans="1:25">
      <c r="A198" s="521"/>
      <c r="J198" s="504" t="s">
        <v>46</v>
      </c>
      <c r="K198" s="504"/>
      <c r="L198" s="482">
        <f>SUM(L197/$H$28)-1</f>
        <v>8.2918304936653531E-2</v>
      </c>
      <c r="M198" s="482">
        <f>SUM(M197/L197)-1</f>
        <v>-8.2459254477973198E-2</v>
      </c>
      <c r="N198" s="482">
        <f t="shared" ref="N198" si="174">SUM(N197/M197)-1</f>
        <v>0</v>
      </c>
      <c r="O198" s="482">
        <f t="shared" ref="O198" si="175">SUM(O197/N197)-1</f>
        <v>0</v>
      </c>
      <c r="P198" s="482">
        <f t="shared" ref="P198" si="176">SUM(P197/O197)-1</f>
        <v>0</v>
      </c>
      <c r="Q198" s="482">
        <f t="shared" ref="Q198" si="177">SUM(Q197/P197)-1</f>
        <v>0</v>
      </c>
    </row>
    <row r="199" spans="1:25" s="354" customFormat="1">
      <c r="A199" s="521"/>
      <c r="B199" s="521"/>
      <c r="C199" s="521"/>
      <c r="D199" s="521"/>
      <c r="E199" s="521"/>
      <c r="F199" s="521"/>
      <c r="G199" s="521"/>
      <c r="H199" s="521"/>
      <c r="I199" s="521"/>
      <c r="J199" s="518"/>
      <c r="K199" s="518"/>
      <c r="L199" s="518"/>
      <c r="M199" s="518"/>
      <c r="N199" s="518"/>
      <c r="O199" s="518"/>
      <c r="P199" s="518"/>
      <c r="Q199" s="458"/>
      <c r="R199" s="458"/>
      <c r="S199" s="458"/>
      <c r="T199" s="458"/>
      <c r="U199" s="458"/>
      <c r="V199" s="458"/>
      <c r="W199" s="458"/>
      <c r="X199" s="458"/>
      <c r="Y199" s="458"/>
    </row>
    <row r="200" spans="1:25" s="354" customFormat="1">
      <c r="A200" s="521"/>
      <c r="B200" s="521"/>
      <c r="C200" s="521"/>
      <c r="D200" s="521"/>
      <c r="E200" s="521"/>
      <c r="F200" s="521"/>
      <c r="G200" s="521"/>
      <c r="H200" s="521"/>
      <c r="I200" s="521"/>
      <c r="J200" s="513" t="s">
        <v>542</v>
      </c>
      <c r="K200" s="514"/>
      <c r="L200" s="489">
        <f>MEDIAN(L$194,L$198,L$196)</f>
        <v>0.1013543031891655</v>
      </c>
      <c r="M200" s="489">
        <f t="shared" ref="M200:Q200" si="178">MEDIAN(M$194,M$198,M$196)</f>
        <v>6.8349635297257905E-2</v>
      </c>
      <c r="N200" s="489">
        <f t="shared" si="178"/>
        <v>7.7013517625373895E-2</v>
      </c>
      <c r="O200" s="489">
        <f t="shared" si="178"/>
        <v>5.0342857624195325E-2</v>
      </c>
      <c r="P200" s="489">
        <f t="shared" si="178"/>
        <v>4.4944268397854925E-2</v>
      </c>
      <c r="Q200" s="489">
        <f t="shared" si="178"/>
        <v>5.4870702597022536E-2</v>
      </c>
      <c r="R200" s="458"/>
      <c r="S200" s="458"/>
      <c r="T200" s="458"/>
      <c r="U200" s="458"/>
      <c r="V200" s="458"/>
      <c r="W200" s="458"/>
      <c r="X200" s="458"/>
      <c r="Y200" s="458"/>
    </row>
    <row r="201" spans="1:25" s="354" customFormat="1">
      <c r="A201" s="521"/>
      <c r="B201" s="521"/>
      <c r="C201" s="521"/>
      <c r="D201" s="521"/>
      <c r="E201" s="521"/>
      <c r="F201" s="521"/>
      <c r="G201" s="521"/>
      <c r="H201" s="521"/>
      <c r="I201" s="521"/>
      <c r="J201" s="515" t="s">
        <v>543</v>
      </c>
      <c r="K201" s="516"/>
      <c r="L201" s="494">
        <f>AVERAGE(L$194,L$198,L$196)</f>
        <v>9.9442610512251964E-2</v>
      </c>
      <c r="M201" s="494">
        <f t="shared" ref="M201:Q201" si="179">AVERAGE(M$194,M$198,M$196)</f>
        <v>2.1265324612642706E-2</v>
      </c>
      <c r="N201" s="494">
        <f t="shared" si="179"/>
        <v>5.148015661970895E-2</v>
      </c>
      <c r="O201" s="494">
        <f t="shared" si="179"/>
        <v>4.2420226626604642E-2</v>
      </c>
      <c r="P201" s="494">
        <f t="shared" si="179"/>
        <v>4.0459803177760469E-2</v>
      </c>
      <c r="Q201" s="494">
        <f t="shared" si="179"/>
        <v>4.358978242136069E-2</v>
      </c>
      <c r="R201" s="458"/>
      <c r="S201" s="458"/>
      <c r="T201" s="458"/>
      <c r="U201" s="458"/>
      <c r="V201" s="458"/>
      <c r="W201" s="458"/>
      <c r="X201" s="458"/>
      <c r="Y201" s="458"/>
    </row>
    <row r="203" spans="1:25" ht="12.75" thickBot="1">
      <c r="A203" s="525" t="s">
        <v>25</v>
      </c>
      <c r="B203" s="505" t="s">
        <v>559</v>
      </c>
      <c r="J203" s="517" t="s">
        <v>561</v>
      </c>
      <c r="K203" s="517"/>
      <c r="L203" s="517"/>
      <c r="M203" s="517"/>
      <c r="N203" s="517"/>
      <c r="O203" s="517"/>
      <c r="P203" s="517"/>
      <c r="Q203" s="486"/>
    </row>
    <row r="204" spans="1:25">
      <c r="A204" s="521"/>
      <c r="J204" s="503" t="s">
        <v>520</v>
      </c>
      <c r="K204" s="503"/>
      <c r="L204" s="456">
        <v>13241</v>
      </c>
      <c r="M204" s="456">
        <v>16485</v>
      </c>
      <c r="N204" s="456">
        <v>14670.910797979861</v>
      </c>
      <c r="O204" s="456">
        <v>17750</v>
      </c>
      <c r="P204" s="459">
        <f>O204</f>
        <v>17750</v>
      </c>
      <c r="Q204" s="459">
        <f>P204</f>
        <v>17750</v>
      </c>
    </row>
    <row r="205" spans="1:25">
      <c r="A205" s="521"/>
      <c r="J205" s="504" t="s">
        <v>46</v>
      </c>
      <c r="K205" s="504"/>
      <c r="L205" s="482">
        <f>SUM(L204/$H$28)-1</f>
        <v>0.15692442114460459</v>
      </c>
      <c r="M205" s="482">
        <f>SUM(M204/L204)-1</f>
        <v>0.24499660146514612</v>
      </c>
      <c r="N205" s="482">
        <f t="shared" ref="N205" si="180">SUM(N204/M204)-1</f>
        <v>-0.11004484088687527</v>
      </c>
      <c r="O205" s="482">
        <f t="shared" ref="O205" si="181">SUM(O204/N204)-1</f>
        <v>0.20987716743831064</v>
      </c>
      <c r="P205" s="482">
        <f t="shared" ref="P205" si="182">SUM(P204/O204)-1</f>
        <v>0</v>
      </c>
      <c r="Q205" s="482">
        <f t="shared" ref="Q205" si="183">SUM(Q204/P204)-1</f>
        <v>0</v>
      </c>
    </row>
    <row r="206" spans="1:25">
      <c r="A206" s="521"/>
      <c r="J206" s="503" t="s">
        <v>562</v>
      </c>
      <c r="K206" s="503"/>
      <c r="L206" s="456">
        <v>13384</v>
      </c>
      <c r="M206" s="456">
        <v>19182</v>
      </c>
      <c r="N206" s="456">
        <v>24762</v>
      </c>
      <c r="O206" s="459">
        <f>N206</f>
        <v>24762</v>
      </c>
      <c r="P206" s="459">
        <f>O206</f>
        <v>24762</v>
      </c>
      <c r="Q206" s="459">
        <f>P206</f>
        <v>24762</v>
      </c>
    </row>
    <row r="207" spans="1:25">
      <c r="A207" s="521"/>
      <c r="J207" s="504" t="s">
        <v>46</v>
      </c>
      <c r="K207" s="504"/>
      <c r="L207" s="482">
        <f>SUM(L206/$H$28)-1</f>
        <v>0.16941896024464831</v>
      </c>
      <c r="M207" s="482">
        <f>SUM(M206/L206)-1</f>
        <v>0.43320382546323977</v>
      </c>
      <c r="N207" s="482">
        <f t="shared" ref="N207" si="184">SUM(N206/M206)-1</f>
        <v>0.29089771660932118</v>
      </c>
      <c r="O207" s="482">
        <f t="shared" ref="O207" si="185">SUM(O206/N206)-1</f>
        <v>0</v>
      </c>
      <c r="P207" s="482">
        <f t="shared" ref="P207" si="186">SUM(P206/O206)-1</f>
        <v>0</v>
      </c>
      <c r="Q207" s="482">
        <f t="shared" ref="Q207" si="187">SUM(Q206/P206)-1</f>
        <v>0</v>
      </c>
    </row>
    <row r="208" spans="1:25">
      <c r="A208" s="521"/>
      <c r="J208" s="503" t="s">
        <v>539</v>
      </c>
      <c r="K208" s="503"/>
      <c r="L208" s="456">
        <v>9907</v>
      </c>
      <c r="M208" s="456">
        <v>11678</v>
      </c>
      <c r="N208" s="459">
        <v>11029</v>
      </c>
      <c r="O208" s="459">
        <v>11666</v>
      </c>
      <c r="P208" s="459">
        <v>12904</v>
      </c>
      <c r="Q208" s="459">
        <v>15129</v>
      </c>
    </row>
    <row r="209" spans="1:25">
      <c r="A209" s="521"/>
      <c r="J209" s="504" t="s">
        <v>46</v>
      </c>
      <c r="K209" s="504"/>
      <c r="L209" s="482">
        <f>SUM(L208/$H$28)-1</f>
        <v>-0.13438182612494542</v>
      </c>
      <c r="M209" s="482">
        <f>SUM(M208/L208)-1</f>
        <v>0.17876249116786114</v>
      </c>
      <c r="N209" s="482">
        <f t="shared" ref="N209" si="188">SUM(N208/M208)-1</f>
        <v>-5.5574584689159101E-2</v>
      </c>
      <c r="O209" s="482">
        <f t="shared" ref="O209" si="189">SUM(O208/N208)-1</f>
        <v>5.7756822921389173E-2</v>
      </c>
      <c r="P209" s="482">
        <f t="shared" ref="P209" si="190">SUM(P208/O208)-1</f>
        <v>0.10612034973427042</v>
      </c>
      <c r="Q209" s="482">
        <f t="shared" ref="Q209" si="191">SUM(Q208/P208)-1</f>
        <v>0.17242715437073786</v>
      </c>
    </row>
    <row r="210" spans="1:25" s="354" customFormat="1">
      <c r="A210" s="521"/>
      <c r="B210" s="521"/>
      <c r="C210" s="521"/>
      <c r="D210" s="521"/>
      <c r="E210" s="521"/>
      <c r="F210" s="521"/>
      <c r="G210" s="521"/>
      <c r="H210" s="521"/>
      <c r="I210" s="521"/>
      <c r="J210" s="518"/>
      <c r="K210" s="518"/>
      <c r="L210" s="518"/>
      <c r="M210" s="518"/>
      <c r="N210" s="518"/>
      <c r="O210" s="518"/>
      <c r="P210" s="518"/>
      <c r="Q210" s="458"/>
      <c r="R210" s="458"/>
      <c r="S210" s="458"/>
      <c r="T210" s="458"/>
      <c r="U210" s="458"/>
      <c r="V210" s="458"/>
      <c r="W210" s="458"/>
      <c r="X210" s="458"/>
      <c r="Y210" s="458"/>
    </row>
    <row r="211" spans="1:25" s="354" customFormat="1">
      <c r="A211" s="521"/>
      <c r="B211" s="521"/>
      <c r="C211" s="521"/>
      <c r="D211" s="521"/>
      <c r="E211" s="521"/>
      <c r="F211" s="521"/>
      <c r="G211" s="521"/>
      <c r="H211" s="521"/>
      <c r="I211" s="521"/>
      <c r="J211" s="513" t="s">
        <v>542</v>
      </c>
      <c r="K211" s="514"/>
      <c r="L211" s="489">
        <f>MEDIAN(L$194,L$198,L$196)</f>
        <v>0.1013543031891655</v>
      </c>
      <c r="M211" s="489">
        <f t="shared" ref="M211:Q211" si="192">MEDIAN(M$194,M$198,M$196)</f>
        <v>6.8349635297257905E-2</v>
      </c>
      <c r="N211" s="489">
        <f t="shared" si="192"/>
        <v>7.7013517625373895E-2</v>
      </c>
      <c r="O211" s="489">
        <f t="shared" si="192"/>
        <v>5.0342857624195325E-2</v>
      </c>
      <c r="P211" s="489">
        <f t="shared" si="192"/>
        <v>4.4944268397854925E-2</v>
      </c>
      <c r="Q211" s="489">
        <f t="shared" si="192"/>
        <v>5.4870702597022536E-2</v>
      </c>
      <c r="R211" s="458"/>
      <c r="S211" s="458"/>
      <c r="T211" s="458"/>
      <c r="U211" s="458"/>
      <c r="V211" s="458"/>
      <c r="W211" s="458"/>
      <c r="X211" s="458"/>
      <c r="Y211" s="458"/>
    </row>
    <row r="212" spans="1:25" s="354" customFormat="1">
      <c r="A212" s="521"/>
      <c r="B212" s="521"/>
      <c r="C212" s="521"/>
      <c r="D212" s="521"/>
      <c r="E212" s="521"/>
      <c r="F212" s="521"/>
      <c r="G212" s="521"/>
      <c r="H212" s="521"/>
      <c r="I212" s="521"/>
      <c r="J212" s="515" t="s">
        <v>543</v>
      </c>
      <c r="K212" s="516"/>
      <c r="L212" s="494">
        <f>AVERAGE(L$194,L$198,L$196)</f>
        <v>9.9442610512251964E-2</v>
      </c>
      <c r="M212" s="494">
        <f t="shared" ref="M212:Q212" si="193">AVERAGE(M$194,M$198,M$196)</f>
        <v>2.1265324612642706E-2</v>
      </c>
      <c r="N212" s="494">
        <f t="shared" si="193"/>
        <v>5.148015661970895E-2</v>
      </c>
      <c r="O212" s="494">
        <f t="shared" si="193"/>
        <v>4.2420226626604642E-2</v>
      </c>
      <c r="P212" s="494">
        <f t="shared" si="193"/>
        <v>4.0459803177760469E-2</v>
      </c>
      <c r="Q212" s="494">
        <f t="shared" si="193"/>
        <v>4.358978242136069E-2</v>
      </c>
      <c r="R212" s="458"/>
      <c r="S212" s="458"/>
      <c r="T212" s="458"/>
      <c r="U212" s="458"/>
      <c r="V212" s="458"/>
      <c r="W212" s="458"/>
      <c r="X212" s="458"/>
      <c r="Y212" s="458"/>
    </row>
  </sheetData>
  <dataValidations count="1">
    <dataValidation type="list" allowBlank="1" showInputMessage="1" showErrorMessage="1" sqref="B4 I4 K4" xr:uid="{A279E3DC-4BEC-4244-A2F5-B34432A8723D}">
      <formula1>"$ bns except per share, $ mm except per share,$ in thousands except per share"</formula1>
    </dataValidation>
  </dataValidations>
  <pageMargins left="0.7" right="0.7" top="0.75" bottom="0.75" header="0.3" footer="0.3"/>
  <ignoredErrors>
    <ignoredError sqref="M69:M71 M82:M84 M86 M75 M88 S13:S28" evalError="1"/>
    <ignoredError sqref="N98:Q101 L47:N47 L41:N41 L39:N39 L38:N38 L40:N40 L46:N46 L48:Q48 L123:Q123 O150:Q151 O154:Q156 O46:Q46 O40:Q40 O38:Q38 O41 O39:Q39 O47:Q47 P41:Q41 P58:Q58 L181:Q181 L187:N187 L185:N185 L183:Q183 N197:Q197 O205:Q206" formula="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9222F-360D-4DA1-BCF5-0231D11F1122}">
  <sheetPr>
    <tabColor rgb="FFFF0000"/>
  </sheetPr>
  <dimension ref="B2:I49"/>
  <sheetViews>
    <sheetView showGridLines="0" zoomScale="115" zoomScaleNormal="115" workbookViewId="0">
      <selection activeCell="C20" sqref="C20"/>
    </sheetView>
  </sheetViews>
  <sheetFormatPr defaultColWidth="8" defaultRowHeight="12"/>
  <cols>
    <col min="1" max="1" width="1.25" style="8" customWidth="1"/>
    <col min="2" max="2" width="44" style="8" customWidth="1"/>
    <col min="3" max="3" width="11.75" style="8" customWidth="1"/>
    <col min="4" max="9" width="11.125" style="8" customWidth="1"/>
    <col min="10" max="10" width="1.5" style="8" customWidth="1"/>
    <col min="11" max="11" width="9.625" style="8" bestFit="1" customWidth="1"/>
    <col min="12" max="16" width="8.25" style="8" customWidth="1"/>
    <col min="17" max="16384" width="8" style="8"/>
  </cols>
  <sheetData>
    <row r="2" spans="2:9">
      <c r="B2" s="1" t="str">
        <f>'3-Statement Model'!C6&amp;"(NASDAQ: AAPL)"</f>
        <v>Apple Inc. (NASDAQ: AAPL)</v>
      </c>
      <c r="C2" s="6"/>
      <c r="D2" s="6"/>
      <c r="E2" s="6"/>
      <c r="F2" s="6"/>
      <c r="G2" s="6"/>
      <c r="H2" s="6"/>
      <c r="I2" s="6"/>
    </row>
    <row r="3" spans="2:9">
      <c r="B3" s="6" t="s">
        <v>343</v>
      </c>
      <c r="C3" s="6"/>
      <c r="D3" s="6"/>
      <c r="E3" s="6"/>
      <c r="F3" s="6"/>
      <c r="G3" s="6"/>
      <c r="H3" s="6"/>
      <c r="I3" s="6"/>
    </row>
    <row r="4" spans="2:9">
      <c r="B4" s="6" t="s">
        <v>519</v>
      </c>
      <c r="C4" s="6"/>
      <c r="D4" s="6"/>
      <c r="E4" s="6"/>
      <c r="F4" s="6"/>
      <c r="G4" s="6"/>
      <c r="H4" s="6"/>
      <c r="I4" s="6"/>
    </row>
    <row r="5" spans="2:9" ht="5.0999999999999996" customHeight="1"/>
    <row r="6" spans="2:9">
      <c r="B6" s="221" t="s">
        <v>344</v>
      </c>
      <c r="C6" s="222"/>
      <c r="D6" s="107"/>
      <c r="E6" s="121" t="s">
        <v>345</v>
      </c>
      <c r="F6" s="223"/>
    </row>
    <row r="7" spans="2:9" ht="5.0999999999999996" customHeight="1">
      <c r="E7" s="121"/>
    </row>
    <row r="8" spans="2:9">
      <c r="B8" s="8" t="s">
        <v>346</v>
      </c>
      <c r="C8" s="162">
        <v>2.1999999999999999E-2</v>
      </c>
      <c r="E8" s="8" t="s">
        <v>347</v>
      </c>
    </row>
    <row r="9" spans="2:9">
      <c r="B9" s="8" t="s">
        <v>156</v>
      </c>
      <c r="C9" s="230">
        <f>'[1]Simple DCF Done'!I22</f>
        <v>0.17299999999999999</v>
      </c>
      <c r="E9" s="8" t="s">
        <v>348</v>
      </c>
    </row>
    <row r="10" spans="2:9">
      <c r="B10" s="8" t="s">
        <v>349</v>
      </c>
      <c r="C10" s="163">
        <f>C8*(1-C9)</f>
        <v>1.8193999999999998E-2</v>
      </c>
      <c r="E10" s="8" t="s">
        <v>350</v>
      </c>
    </row>
    <row r="12" spans="2:9">
      <c r="B12" s="8" t="s">
        <v>351</v>
      </c>
      <c r="C12" s="162">
        <v>3.9789999999999999E-2</v>
      </c>
      <c r="E12" s="8" t="s">
        <v>352</v>
      </c>
    </row>
    <row r="13" spans="2:9">
      <c r="B13" s="8" t="s">
        <v>28</v>
      </c>
      <c r="C13" s="231">
        <f>IF(C34="Observed",C36,C37)</f>
        <v>1.099</v>
      </c>
      <c r="E13" s="8" t="s">
        <v>353</v>
      </c>
    </row>
    <row r="14" spans="2:9">
      <c r="B14" s="8" t="s">
        <v>354</v>
      </c>
      <c r="C14" s="162">
        <v>0.05</v>
      </c>
      <c r="E14" s="8" t="s">
        <v>355</v>
      </c>
    </row>
    <row r="15" spans="2:9">
      <c r="B15" s="8" t="s">
        <v>356</v>
      </c>
      <c r="C15" s="224">
        <f>C12+C13*C14</f>
        <v>9.4739999999999991E-2</v>
      </c>
      <c r="E15" s="8" t="s">
        <v>357</v>
      </c>
    </row>
    <row r="17" spans="2:6">
      <c r="B17" s="108" t="s">
        <v>358</v>
      </c>
      <c r="C17" s="109"/>
      <c r="D17" s="109"/>
      <c r="E17" s="109"/>
      <c r="F17" s="40"/>
    </row>
    <row r="18" spans="2:6">
      <c r="B18" s="40"/>
      <c r="C18" s="167"/>
      <c r="D18" s="167" t="s">
        <v>359</v>
      </c>
      <c r="F18" s="40"/>
    </row>
    <row r="19" spans="2:6" ht="14.25">
      <c r="C19" s="225" t="s">
        <v>360</v>
      </c>
      <c r="D19" s="225" t="s">
        <v>361</v>
      </c>
      <c r="E19" s="225" t="s">
        <v>362</v>
      </c>
    </row>
    <row r="20" spans="2:6">
      <c r="B20" s="8" t="s">
        <v>363</v>
      </c>
      <c r="C20" s="232">
        <f>'[1]Simple DCF Done'!H5*'[1]Simple DCF Done'!I61</f>
        <v>1223044.68</v>
      </c>
      <c r="D20" s="233"/>
      <c r="E20" s="135">
        <f>IF(D20,D20,C20/(C20+C21))</f>
        <v>0.92323188379497212</v>
      </c>
    </row>
    <row r="21" spans="2:6">
      <c r="B21" s="8" t="s">
        <v>22</v>
      </c>
      <c r="C21" s="232">
        <f>DCF!C61</f>
        <v>101698</v>
      </c>
      <c r="D21" s="166">
        <f>1-D20</f>
        <v>1</v>
      </c>
      <c r="E21" s="135">
        <f>1-E20</f>
        <v>7.6768116205027881E-2</v>
      </c>
    </row>
    <row r="23" spans="2:6">
      <c r="B23" s="226" t="s">
        <v>364</v>
      </c>
      <c r="C23" s="227"/>
      <c r="D23" s="228"/>
      <c r="E23" s="234">
        <f>C10*E21+C15*E20</f>
        <v>8.8863707776969933E-2</v>
      </c>
    </row>
    <row r="24" spans="2:6">
      <c r="B24" s="40"/>
      <c r="C24" s="235"/>
    </row>
    <row r="25" spans="2:6">
      <c r="B25" s="108" t="s">
        <v>365</v>
      </c>
      <c r="C25" s="109"/>
      <c r="D25" s="109"/>
      <c r="E25" s="109"/>
      <c r="F25" s="109"/>
    </row>
    <row r="26" spans="2:6">
      <c r="D26" s="236" t="s">
        <v>34</v>
      </c>
      <c r="E26" s="237"/>
      <c r="F26" s="236"/>
    </row>
    <row r="27" spans="2:6">
      <c r="C27" s="238">
        <f>E23</f>
        <v>8.8863707776969933E-2</v>
      </c>
      <c r="D27" s="239">
        <f>E27-0.1</f>
        <v>0.999</v>
      </c>
      <c r="E27" s="240">
        <v>1.099</v>
      </c>
      <c r="F27" s="241">
        <f>E27+0.1</f>
        <v>1.1990000000000001</v>
      </c>
    </row>
    <row r="28" spans="2:6">
      <c r="C28" s="242">
        <f>C29-0.005</f>
        <v>4.5000000000000005E-2</v>
      </c>
      <c r="D28" s="243">
        <v>6.1013495196213796E-2</v>
      </c>
      <c r="E28" s="141">
        <v>6.590882572582199E-2</v>
      </c>
      <c r="F28" s="141">
        <v>7.080415625543017E-2</v>
      </c>
    </row>
    <row r="29" spans="2:6">
      <c r="B29" s="167" t="s">
        <v>366</v>
      </c>
      <c r="C29" s="242">
        <f>C30-0.005</f>
        <v>0.05</v>
      </c>
      <c r="D29" s="141">
        <v>6.6447312084078877E-2</v>
      </c>
      <c r="E29" s="141">
        <v>7.1886568228087977E-2</v>
      </c>
      <c r="F29" s="141">
        <v>7.7325824372097077E-2</v>
      </c>
    </row>
    <row r="30" spans="2:6">
      <c r="B30" s="167" t="s">
        <v>367</v>
      </c>
      <c r="C30" s="244">
        <v>5.5E-2</v>
      </c>
      <c r="D30" s="141">
        <v>7.1881128971943958E-2</v>
      </c>
      <c r="E30" s="141">
        <v>7.7864310730353978E-2</v>
      </c>
      <c r="F30" s="141">
        <v>8.3847492488763983E-2</v>
      </c>
    </row>
    <row r="31" spans="2:6">
      <c r="B31" s="167" t="s">
        <v>368</v>
      </c>
      <c r="C31" s="242">
        <f>C30+0.005</f>
        <v>0.06</v>
      </c>
      <c r="D31" s="141">
        <v>7.7314945859809053E-2</v>
      </c>
      <c r="E31" s="141">
        <v>8.3842053232619965E-2</v>
      </c>
      <c r="F31" s="141">
        <v>9.0369160605430876E-2</v>
      </c>
    </row>
    <row r="32" spans="2:6">
      <c r="C32" s="242">
        <f>C31+0.005</f>
        <v>6.5000000000000002E-2</v>
      </c>
      <c r="D32" s="141">
        <v>8.2748762747674148E-2</v>
      </c>
      <c r="E32" s="141">
        <v>8.9819795734885952E-2</v>
      </c>
      <c r="F32" s="141">
        <v>9.6890828722097783E-2</v>
      </c>
    </row>
    <row r="33" spans="2:9">
      <c r="C33" s="245"/>
      <c r="D33" s="141"/>
      <c r="E33" s="141"/>
      <c r="F33" s="141"/>
    </row>
    <row r="34" spans="2:9">
      <c r="B34" s="8" t="s">
        <v>369</v>
      </c>
      <c r="C34" s="246" t="s">
        <v>370</v>
      </c>
    </row>
    <row r="36" spans="2:9">
      <c r="B36" s="68" t="s">
        <v>370</v>
      </c>
      <c r="C36" s="229">
        <v>1.099</v>
      </c>
      <c r="D36" s="8" t="s">
        <v>353</v>
      </c>
    </row>
    <row r="37" spans="2:9">
      <c r="B37" s="68" t="s">
        <v>371</v>
      </c>
      <c r="C37" s="247">
        <f>C48</f>
        <v>1.3093577482744423</v>
      </c>
      <c r="D37" s="8" t="s">
        <v>372</v>
      </c>
    </row>
    <row r="39" spans="2:9">
      <c r="B39" s="108" t="s">
        <v>371</v>
      </c>
      <c r="C39" s="108"/>
      <c r="D39" s="109"/>
      <c r="E39" s="109"/>
      <c r="F39" s="109"/>
      <c r="G39" s="109"/>
      <c r="H39" s="109"/>
      <c r="I39" s="109"/>
    </row>
    <row r="40" spans="2:9">
      <c r="H40" s="5"/>
    </row>
    <row r="41" spans="2:9" ht="12.75" thickBot="1">
      <c r="C41" s="248" t="s">
        <v>381</v>
      </c>
      <c r="D41" s="248" t="s">
        <v>373</v>
      </c>
      <c r="E41" s="248" t="s">
        <v>374</v>
      </c>
      <c r="F41" s="248" t="s">
        <v>375</v>
      </c>
      <c r="G41" s="249" t="s">
        <v>37</v>
      </c>
      <c r="H41" s="248" t="s">
        <v>156</v>
      </c>
      <c r="I41" s="248" t="s">
        <v>382</v>
      </c>
    </row>
    <row r="42" spans="2:9">
      <c r="B42" s="250" t="s">
        <v>376</v>
      </c>
      <c r="C42" s="229">
        <v>1.21</v>
      </c>
      <c r="D42" s="251">
        <v>136.96</v>
      </c>
      <c r="E42" s="115">
        <v>7662.8</v>
      </c>
      <c r="F42" s="74">
        <f>D42*E42</f>
        <v>1049497.088</v>
      </c>
      <c r="G42" s="115">
        <f>86343-131536</f>
        <v>-45193</v>
      </c>
      <c r="H42" s="123">
        <v>0.16400000000000001</v>
      </c>
      <c r="I42" s="247">
        <f>C42/(1+(1-H42)*(G42)/F42)</f>
        <v>1.2551860431468624</v>
      </c>
    </row>
    <row r="43" spans="2:9">
      <c r="B43" s="250" t="s">
        <v>377</v>
      </c>
      <c r="C43" s="229">
        <v>0.96</v>
      </c>
      <c r="D43" s="251">
        <v>1116.79</v>
      </c>
      <c r="E43" s="115">
        <v>694.2</v>
      </c>
      <c r="F43" s="74">
        <f>D43*E43</f>
        <v>775275.61800000002</v>
      </c>
      <c r="G43" s="115">
        <f>12272-113488</f>
        <v>-101216</v>
      </c>
      <c r="H43" s="123">
        <v>0.13900000000000001</v>
      </c>
      <c r="I43" s="247">
        <f t="shared" ref="I43:I45" si="0">C43/(1+(1-H43)*(G43)/F43)</f>
        <v>1.0815776990721453</v>
      </c>
    </row>
    <row r="44" spans="2:9">
      <c r="B44" s="250" t="s">
        <v>378</v>
      </c>
      <c r="C44" s="229">
        <v>1.58</v>
      </c>
      <c r="D44" s="251">
        <v>1952.32</v>
      </c>
      <c r="E44" s="115">
        <v>492.3</v>
      </c>
      <c r="F44" s="74">
        <f>D44*E44</f>
        <v>961127.13599999994</v>
      </c>
      <c r="G44" s="115">
        <f>69005-37020</f>
        <v>31985</v>
      </c>
      <c r="H44" s="123">
        <v>0.127</v>
      </c>
      <c r="I44" s="247">
        <f t="shared" si="0"/>
        <v>1.5353933693229584</v>
      </c>
    </row>
    <row r="45" spans="2:9">
      <c r="B45" s="250" t="s">
        <v>379</v>
      </c>
      <c r="C45" s="231">
        <f>C36</f>
        <v>1.099</v>
      </c>
      <c r="D45" s="252"/>
      <c r="E45" s="253"/>
      <c r="F45" s="116">
        <f>C20</f>
        <v>1223044.68</v>
      </c>
      <c r="G45" s="116">
        <f>C21</f>
        <v>101698</v>
      </c>
      <c r="H45" s="254">
        <f>C9</f>
        <v>0.17299999999999999</v>
      </c>
      <c r="I45" s="247">
        <f t="shared" si="0"/>
        <v>1.0282884196165418</v>
      </c>
    </row>
    <row r="46" spans="2:9">
      <c r="C46" s="247"/>
      <c r="F46" s="74"/>
      <c r="G46" s="74"/>
      <c r="H46" s="74"/>
      <c r="I46" s="135"/>
    </row>
    <row r="47" spans="2:9">
      <c r="B47" s="8" t="s">
        <v>380</v>
      </c>
      <c r="C47" s="247">
        <f>AVERAGE(I42:I45)</f>
        <v>1.2251113827896269</v>
      </c>
    </row>
    <row r="48" spans="2:9">
      <c r="B48" s="40" t="str">
        <f>B45&amp;" beta"</f>
        <v>Apple (AAPL) beta</v>
      </c>
      <c r="C48" s="255">
        <f>C47*(1+(1-H45)*(G45)/F45)</f>
        <v>1.3093577482744423</v>
      </c>
    </row>
    <row r="49" spans="3:3">
      <c r="C49" s="256"/>
    </row>
  </sheetData>
  <conditionalFormatting sqref="B24:C26">
    <cfRule type="expression" dxfId="0" priority="1">
      <formula>#REF!="Industry"</formula>
    </cfRule>
  </conditionalFormatting>
  <dataValidations disablePrompts="1" count="1">
    <dataValidation type="list" allowBlank="1" showInputMessage="1" showErrorMessage="1" sqref="C34" xr:uid="{5969403F-F59B-4DD9-94A4-15D44B9BB601}">
      <formula1>"Industry, Observed"</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3F7DF-9DD1-4366-B49E-51C45A044389}">
  <sheetPr>
    <tabColor theme="5" tint="-0.249977111117893"/>
  </sheetPr>
  <dimension ref="A2:G44"/>
  <sheetViews>
    <sheetView showGridLines="0" zoomScale="130" zoomScaleNormal="130" workbookViewId="0"/>
  </sheetViews>
  <sheetFormatPr defaultColWidth="7.625" defaultRowHeight="12"/>
  <cols>
    <col min="1" max="1" width="1.25" style="8" customWidth="1"/>
    <col min="2" max="2" width="52.875" style="8" bestFit="1" customWidth="1"/>
    <col min="3" max="3" width="10" style="8" bestFit="1" customWidth="1"/>
    <col min="4" max="4" width="9.125" style="8" bestFit="1" customWidth="1"/>
    <col min="5" max="5" width="9.75" style="8" customWidth="1"/>
    <col min="6" max="6" width="8.75" style="8" bestFit="1" customWidth="1"/>
    <col min="7" max="7" width="9.75" style="8" bestFit="1" customWidth="1"/>
    <col min="8" max="16384" width="7.625" style="8"/>
  </cols>
  <sheetData>
    <row r="2" spans="1:5">
      <c r="B2" s="1" t="str">
        <f>'3-Statement Model'!C6&amp;"(NASDAQ: AAPL)"</f>
        <v>Apple Inc. (NASDAQ: AAPL)</v>
      </c>
      <c r="C2" s="6"/>
      <c r="D2" s="6"/>
      <c r="E2" s="6"/>
    </row>
    <row r="3" spans="1:5">
      <c r="B3" s="6" t="s">
        <v>383</v>
      </c>
      <c r="C3" s="6"/>
      <c r="D3" s="6"/>
      <c r="E3" s="6"/>
    </row>
    <row r="4" spans="1:5">
      <c r="B4" s="6" t="s">
        <v>519</v>
      </c>
      <c r="C4" s="6"/>
      <c r="D4" s="6"/>
      <c r="E4" s="6"/>
    </row>
    <row r="5" spans="1:5" ht="5.0999999999999996" customHeight="1"/>
    <row r="6" spans="1:5">
      <c r="B6" s="536" t="s">
        <v>384</v>
      </c>
      <c r="C6" s="537"/>
      <c r="D6" s="537"/>
      <c r="E6" s="538">
        <f>DCF!H7</f>
        <v>262.82</v>
      </c>
    </row>
    <row r="7" spans="1:5" ht="5.0999999999999996" customHeight="1"/>
    <row r="8" spans="1:5">
      <c r="B8" s="40"/>
    </row>
    <row r="9" spans="1:5">
      <c r="A9" s="8" t="s">
        <v>25</v>
      </c>
      <c r="B9" s="541" t="s">
        <v>385</v>
      </c>
      <c r="C9" s="539" t="s">
        <v>386</v>
      </c>
      <c r="D9" s="539" t="s">
        <v>387</v>
      </c>
      <c r="E9" s="539" t="s">
        <v>388</v>
      </c>
    </row>
    <row r="10" spans="1:5">
      <c r="B10" s="542" t="s">
        <v>563</v>
      </c>
      <c r="C10" s="540" t="s">
        <v>389</v>
      </c>
      <c r="D10" s="540" t="s">
        <v>390</v>
      </c>
      <c r="E10" s="540" t="s">
        <v>389</v>
      </c>
    </row>
    <row r="11" spans="1:5" s="386" customFormat="1" ht="5.0999999999999996" customHeight="1">
      <c r="B11" s="543"/>
      <c r="C11" s="544"/>
      <c r="D11" s="545"/>
      <c r="E11" s="545"/>
    </row>
    <row r="12" spans="1:5">
      <c r="B12" s="8" t="s">
        <v>391</v>
      </c>
      <c r="C12" s="229">
        <v>0</v>
      </c>
      <c r="D12" s="257">
        <v>0</v>
      </c>
      <c r="E12" s="231">
        <f>IF(D12&lt;=$E$6,C12,0)</f>
        <v>0</v>
      </c>
    </row>
    <row r="13" spans="1:5">
      <c r="B13" s="8" t="s">
        <v>392</v>
      </c>
      <c r="C13" s="229">
        <v>0</v>
      </c>
      <c r="D13" s="257">
        <v>0</v>
      </c>
      <c r="E13" s="231">
        <f t="shared" ref="E13:E18" si="0">IF(D13&lt;=$E$6,C13,0)</f>
        <v>0</v>
      </c>
    </row>
    <row r="14" spans="1:5">
      <c r="B14" s="8" t="s">
        <v>393</v>
      </c>
      <c r="C14" s="229">
        <v>0</v>
      </c>
      <c r="D14" s="257">
        <v>0</v>
      </c>
      <c r="E14" s="231">
        <f t="shared" si="0"/>
        <v>0</v>
      </c>
    </row>
    <row r="15" spans="1:5">
      <c r="B15" s="8" t="s">
        <v>394</v>
      </c>
      <c r="C15" s="229">
        <v>0</v>
      </c>
      <c r="D15" s="257">
        <v>0</v>
      </c>
      <c r="E15" s="231">
        <f t="shared" si="0"/>
        <v>0</v>
      </c>
    </row>
    <row r="16" spans="1:5">
      <c r="B16" s="8" t="s">
        <v>395</v>
      </c>
      <c r="C16" s="229">
        <v>0</v>
      </c>
      <c r="D16" s="257">
        <v>0</v>
      </c>
      <c r="E16" s="231">
        <f t="shared" si="0"/>
        <v>0</v>
      </c>
    </row>
    <row r="17" spans="1:7">
      <c r="B17" s="8" t="s">
        <v>396</v>
      </c>
      <c r="C17" s="229">
        <v>0</v>
      </c>
      <c r="D17" s="257">
        <v>0</v>
      </c>
      <c r="E17" s="231">
        <f t="shared" si="0"/>
        <v>0</v>
      </c>
    </row>
    <row r="18" spans="1:7" ht="14.25">
      <c r="B18" s="8" t="s">
        <v>397</v>
      </c>
      <c r="C18" s="258">
        <v>0</v>
      </c>
      <c r="D18" s="257">
        <v>0</v>
      </c>
      <c r="E18" s="231">
        <f t="shared" si="0"/>
        <v>0</v>
      </c>
    </row>
    <row r="19" spans="1:7">
      <c r="B19" s="533" t="s">
        <v>398</v>
      </c>
      <c r="C19" s="546">
        <f>SUM(C12:C18)</f>
        <v>0</v>
      </c>
      <c r="D19" s="546"/>
      <c r="E19" s="546">
        <f>SUM(E12:E18)</f>
        <v>0</v>
      </c>
    </row>
    <row r="20" spans="1:7" ht="5.0999999999999996" customHeight="1">
      <c r="C20" s="229"/>
      <c r="D20" s="259"/>
      <c r="E20" s="247"/>
    </row>
    <row r="21" spans="1:7">
      <c r="B21" s="118" t="s">
        <v>399</v>
      </c>
      <c r="C21" s="74"/>
      <c r="E21" s="231">
        <f>SUMPRODUCT(D12:D18,E12:E18)</f>
        <v>0</v>
      </c>
    </row>
    <row r="22" spans="1:7" ht="14.25">
      <c r="B22" s="118" t="s">
        <v>400</v>
      </c>
      <c r="E22" s="260">
        <f>-(E21/E6)</f>
        <v>0</v>
      </c>
    </row>
    <row r="23" spans="1:7">
      <c r="B23" s="533" t="s">
        <v>401</v>
      </c>
      <c r="C23" s="546"/>
      <c r="D23" s="546"/>
      <c r="E23" s="546">
        <f>E19+E22</f>
        <v>0</v>
      </c>
    </row>
    <row r="24" spans="1:7">
      <c r="B24" s="40"/>
      <c r="C24" s="40"/>
      <c r="D24" s="40"/>
      <c r="E24" s="255"/>
    </row>
    <row r="25" spans="1:7">
      <c r="A25" s="8" t="s">
        <v>25</v>
      </c>
      <c r="B25" s="541" t="s">
        <v>402</v>
      </c>
      <c r="C25" s="541"/>
      <c r="D25" s="541"/>
      <c r="E25" s="541"/>
    </row>
    <row r="26" spans="1:7" ht="5.0999999999999996" customHeight="1">
      <c r="E26" s="40"/>
    </row>
    <row r="27" spans="1:7">
      <c r="B27" s="119" t="s">
        <v>403</v>
      </c>
    </row>
    <row r="28" spans="1:7">
      <c r="B28" s="8" t="s">
        <v>404</v>
      </c>
      <c r="E28" s="115">
        <v>0</v>
      </c>
    </row>
    <row r="29" spans="1:7">
      <c r="B29" s="8" t="s">
        <v>405</v>
      </c>
      <c r="E29" s="251">
        <v>0</v>
      </c>
    </row>
    <row r="30" spans="1:7">
      <c r="B30" s="8" t="s">
        <v>406</v>
      </c>
      <c r="E30" s="262" t="e">
        <f>E28/E31</f>
        <v>#DIV/0!</v>
      </c>
    </row>
    <row r="31" spans="1:7">
      <c r="B31" s="8" t="s">
        <v>407</v>
      </c>
      <c r="E31" s="263">
        <f>E29*E28/1000</f>
        <v>0</v>
      </c>
      <c r="G31" s="264"/>
    </row>
    <row r="32" spans="1:7" ht="5.0999999999999996" customHeight="1"/>
    <row r="33" spans="2:7">
      <c r="B33" s="533" t="s">
        <v>408</v>
      </c>
      <c r="C33" s="533"/>
      <c r="D33" s="547"/>
      <c r="E33" s="546" t="e">
        <f>IF(E30&lt;E6,E31,0)</f>
        <v>#DIV/0!</v>
      </c>
    </row>
    <row r="34" spans="2:7">
      <c r="B34" s="110" t="s">
        <v>409</v>
      </c>
      <c r="C34" s="110"/>
      <c r="E34" s="265" t="e">
        <f>IF(E33&gt;0,-E28,0)</f>
        <v>#DIV/0!</v>
      </c>
    </row>
    <row r="35" spans="2:7" ht="5.0999999999999996" customHeight="1"/>
    <row r="36" spans="2:7">
      <c r="B36" s="119" t="s">
        <v>410</v>
      </c>
    </row>
    <row r="37" spans="2:7">
      <c r="B37" s="8" t="s">
        <v>411</v>
      </c>
      <c r="E37" s="115">
        <v>0</v>
      </c>
    </row>
    <row r="38" spans="2:7">
      <c r="B38" s="8" t="s">
        <v>412</v>
      </c>
      <c r="E38" s="229">
        <v>0</v>
      </c>
    </row>
    <row r="39" spans="2:7">
      <c r="B39" s="8" t="s">
        <v>413</v>
      </c>
      <c r="E39" s="251">
        <v>0</v>
      </c>
    </row>
    <row r="40" spans="2:7">
      <c r="B40" s="8" t="s">
        <v>407</v>
      </c>
      <c r="E40" s="231">
        <f>E38*E39</f>
        <v>0</v>
      </c>
      <c r="G40" s="264"/>
    </row>
    <row r="41" spans="2:7">
      <c r="B41" s="8" t="s">
        <v>406</v>
      </c>
      <c r="E41" s="266" t="e">
        <f>E37/E40</f>
        <v>#DIV/0!</v>
      </c>
    </row>
    <row r="42" spans="2:7" ht="5.0999999999999996" customHeight="1">
      <c r="E42" s="266"/>
    </row>
    <row r="43" spans="2:7">
      <c r="B43" s="533" t="s">
        <v>408</v>
      </c>
      <c r="C43" s="533"/>
      <c r="D43" s="547"/>
      <c r="E43" s="546" t="e">
        <f>IF(E41&lt;E6,E40,0)</f>
        <v>#DIV/0!</v>
      </c>
    </row>
    <row r="44" spans="2:7">
      <c r="B44" s="110" t="s">
        <v>409</v>
      </c>
      <c r="E44" s="116" t="e">
        <f>IF(E43&gt;0,-E37,0)</f>
        <v>#DIV/0!</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Historical Financials</vt:lpstr>
      <vt:lpstr>Revenue Drivers</vt:lpstr>
      <vt:lpstr>FCF</vt:lpstr>
      <vt:lpstr>3-Statement Model</vt:lpstr>
      <vt:lpstr>DCF</vt:lpstr>
      <vt:lpstr>Street Consensus</vt:lpstr>
      <vt:lpstr>WACC</vt:lpstr>
      <vt:lpstr>Shares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Felix Garcia</dc:creator>
  <cp:lastModifiedBy>Felix Garcia</cp:lastModifiedBy>
  <dcterms:created xsi:type="dcterms:W3CDTF">2024-08-10T06:01:52Z</dcterms:created>
  <dcterms:modified xsi:type="dcterms:W3CDTF">2025-11-01T00:40:06Z</dcterms:modified>
</cp:coreProperties>
</file>