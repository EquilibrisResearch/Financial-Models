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C:\Users\Felix\Downloads\"/>
    </mc:Choice>
  </mc:AlternateContent>
  <xr:revisionPtr revIDLastSave="0" documentId="8_{98B66FBB-E7F0-4455-8A7A-23DDE7575101}" xr6:coauthVersionLast="47" xr6:coauthVersionMax="47" xr10:uidLastSave="{00000000-0000-0000-0000-000000000000}"/>
  <bookViews>
    <workbookView xWindow="-120" yWindow="-120" windowWidth="29040" windowHeight="15840" activeTab="3" xr2:uid="{BC9106CE-9107-4097-8948-317996376CB5}"/>
  </bookViews>
  <sheets>
    <sheet name="Cover" sheetId="31" r:id="rId1"/>
    <sheet name="Summary Assumptions" sheetId="32" r:id="rId2"/>
    <sheet name="Summary Valuation" sheetId="34" r:id="rId3"/>
    <sheet name="Historical Financials" sheetId="8" r:id="rId4"/>
    <sheet name="FCF" sheetId="9" r:id="rId5"/>
    <sheet name="Revenue Drivers" sheetId="10" r:id="rId6"/>
    <sheet name="Balance Sheet Drivers" sheetId="24" r:id="rId7"/>
    <sheet name="Revenue Projections &amp; Cases" sheetId="28" r:id="rId8"/>
    <sheet name="3 Statement Model" sheetId="25" r:id="rId9"/>
    <sheet name="DCF" sheetId="27" r:id="rId10"/>
    <sheet name="WACC" sheetId="16" r:id="rId11"/>
    <sheet name="Street Price Targets" sheetId="30" r:id="rId12"/>
    <sheet name="Street Consensus" sheetId="22" r:id="rId13"/>
    <sheet name="Peer Comparables" sheetId="23" r:id="rId14"/>
  </sheets>
  <definedNames>
    <definedName name="__FDS_HYPERLINK_TOGGLE_STATE__" hidden="1">"ON"</definedName>
    <definedName name="__FDS_UNIQUE_RANGE_ID_GENERATOR_COUNTER" hidden="1">1191</definedName>
    <definedName name="_meh2" hidden="1">"IMG_11"</definedName>
    <definedName name="_meh3" hidden="1">"IMG_11"</definedName>
    <definedName name="_meh4" hidden="1">"IMG_11"</definedName>
    <definedName name="_meh5" hidden="1">"IMG_11"</definedName>
    <definedName name="_meh6" hidden="1">"IMG_11"</definedName>
    <definedName name="_meh7" hidden="1">"IMG_11"</definedName>
    <definedName name="_Order1" hidden="1">255</definedName>
    <definedName name="_Table1_In1" hidden="1">#REF!</definedName>
    <definedName name="_Table1_Out" hidden="1">#REF!</definedName>
    <definedName name="aa" hidden="1">"IMG_11"</definedName>
    <definedName name="aaaaaa1" hidden="1">"IMG_6"</definedName>
    <definedName name="aaaaaaa2" hidden="1">"IMG_6"</definedName>
    <definedName name="AAB_GSPPG" hidden="1">"AAB_Goldman Sachs PPG Chart Utilities 1.0g"</definedName>
    <definedName name="aasdfas" hidden="1">"IMG_64"</definedName>
    <definedName name="ab" hidden="1">"IMG_11"</definedName>
    <definedName name="ac" hidden="1">"IMG_11"</definedName>
    <definedName name="ACwvu.apl95." hidden="1">#REF!</definedName>
    <definedName name="ACwvu.bs." hidden="1">#REF!</definedName>
    <definedName name="ACwvu.ratios." hidden="1">#REF!</definedName>
    <definedName name="adfaae" hidden="1">"IMG_12"</definedName>
    <definedName name="adsfadfs" hidden="1">{TRUE,TRUE,-1.25,-15.5,604.5,391.5,FALSE,FALSE,TRUE,TRUE,0,1,#N/A,81,#N/A,9.125,26.5294117647059,1,FALSE,FALSE,3,TRUE,1,FALSE,100,"Swvu.supp.","ACwvu.supp.",1,FALSE,FALSE,0.75,0.75,0.8,0.5,1,"&amp;C&amp;""Arial""&amp;14&amp;B&amp;I&amp;UMOLEX&amp;""MS Sans Serif""&amp;10&amp;B&amp;I&amp;U
&amp;""Arial""&amp;11&amp;BSupplemental Data
($ Millions)","",TRUE,FALSE,FALSE,FALSE,1,90,#N/A,#N/A,"=R94C1:R136C21","=C1",#N/A,#N/A,FALSE,FALSE}</definedName>
    <definedName name="afead" hidden="1">"IMG_10"</definedName>
    <definedName name="asasdfa" hidden="1">"IMG_6"</definedName>
    <definedName name="asdf" hidden="1">"IMG_6"</definedName>
    <definedName name="asdfasdfasdf" hidden="1">"IMG_11"</definedName>
    <definedName name="bb_QjIyNjhDNTQ3N0FGNEZGRT" hidden="1">#REF!</definedName>
    <definedName name="BLPH1" hidden="1">#REF!</definedName>
    <definedName name="BLPH11" hidden="1">#REF!</definedName>
    <definedName name="BLPH12" hidden="1">#REF!</definedName>
    <definedName name="BLPH3" hidden="1">#REF!</definedName>
    <definedName name="dd" hidden="1">{#N/A,#N/A,TRUE,"Historicals";#N/A,#N/A,TRUE,"Charts";#N/A,#N/A,TRUE,"Forecasts"}</definedName>
    <definedName name="HAS_BEEN_UPDATED" hidden="1">#REF!</definedName>
    <definedName name="Img_ML_1a9i6f1a" hidden="1">"IMG_12"</definedName>
    <definedName name="Img_ML_1c3d1n6n" hidden="1">"IMG_10"</definedName>
    <definedName name="Img_ML_1d3y2k7q" hidden="1">"IMG_12"</definedName>
    <definedName name="Img_ML_1d6r9l7q" hidden="1">"IMG_12"</definedName>
    <definedName name="Img_ML_1d6s8l7q" hidden="1">"IMG_12"</definedName>
    <definedName name="Img_ML_1d9v5u7q" hidden="1">"IMG_12"</definedName>
    <definedName name="Img_ML_1g6t7l4q" hidden="1">"IMG_11"</definedName>
    <definedName name="Img_ML_1g9y2u4q" hidden="1">"IMG_11"</definedName>
    <definedName name="Img_ML_1j2s8j1q" hidden="1">"IMG_12"</definedName>
    <definedName name="Img_ML_1j5s8m1q" hidden="1">"IMG_12"</definedName>
    <definedName name="Img_ML_1j9x3u8q" hidden="1">"IMG_12"</definedName>
    <definedName name="Img_ML_1k4g9u7k" hidden="1">"IMG_10"</definedName>
    <definedName name="Img_ML_1k5y2m3q" hidden="1">"IMG_12"</definedName>
    <definedName name="Img_ML_1s1r9i6q" hidden="1">"IMG_6"</definedName>
    <definedName name="Img_ML_1s5v5m6q" hidden="1">"IMG_12"</definedName>
    <definedName name="Img_ML_1t5s6u1f" hidden="1">"IMG_10"</definedName>
    <definedName name="Img_ML_1u7y2o5q" hidden="1">"IMG_11"</definedName>
    <definedName name="Img_ML_1y7a6c1t" hidden="1">"IMG_10"</definedName>
    <definedName name="Img_ML_2b2b8h8h" hidden="1">"IMG_6"</definedName>
    <definedName name="Img_ML_2e1r5p2m" hidden="1">"IMG_32"</definedName>
    <definedName name="Img_ML_2j3t7k1a" hidden="1">"IMG_12"</definedName>
    <definedName name="Img_ML_2j6z1l8a" hidden="1">"IMG_12"</definedName>
    <definedName name="Img_ML_2k1r9i3a" hidden="1">"IMG_11"</definedName>
    <definedName name="Img_ML_2k2x3j3a" hidden="1">"IMG_12"</definedName>
    <definedName name="Img_ML_2k5r9m3a" hidden="1">"IMG_12"</definedName>
    <definedName name="Img_ML_2k5y2m3a" hidden="1">"IMG_11"</definedName>
    <definedName name="Img_ML_2k6r9l3a" hidden="1">"IMG_12"</definedName>
    <definedName name="Img_ML_2k9r9u3a" hidden="1">"IMG_11"</definedName>
    <definedName name="Img_ML_2u4x3z5a" hidden="1">"IMG_12"</definedName>
    <definedName name="Img_ML_2v6s9i5c" hidden="1">"IMG_10"</definedName>
    <definedName name="Img_ML_2x1b8j5c" hidden="1">"IMG_10"</definedName>
    <definedName name="Img_ML_3b3j3x9k" hidden="1">"IMG_10"</definedName>
    <definedName name="Img_ML_3c6e9c4g" hidden="1">"IMG_10"</definedName>
    <definedName name="Img_ML_3c7g1a7g" hidden="1">"IMG_12"</definedName>
    <definedName name="Img_ML_3c9i9i4d" hidden="1">"IMG_12"</definedName>
    <definedName name="Img_ML_3d6u6l7p" hidden="1">"IMG_11"</definedName>
    <definedName name="Img_ML_3e2q4k7i" hidden="1">"IMG_10"</definedName>
    <definedName name="Img_ML_3g2u6j4p" hidden="1">"IMG_12"</definedName>
    <definedName name="Img_ML_3g5w4m4p" hidden="1">"IMG_12"</definedName>
    <definedName name="Img_ML_3g6s8l4p" hidden="1">"IMG_12"</definedName>
    <definedName name="Img_ML_3g6x3l4p" hidden="1">"IMG_12"</definedName>
    <definedName name="Img_ML_3g6z1l4p" hidden="1">"IMG_12"</definedName>
    <definedName name="Img_ML_3h2n3p4v" hidden="1">"IMG_10"</definedName>
    <definedName name="Img_ML_3j3r9k8p" hidden="1">"IMG_12"</definedName>
    <definedName name="Img_ML_3j9t7u1p" hidden="1">"IMG_12"</definedName>
    <definedName name="Img_ML_3k2z1j3p" hidden="1">"IMG_6"</definedName>
    <definedName name="Img_ML_3k4s8z3p" hidden="1">"IMG_12"</definedName>
    <definedName name="Img_ML_3k7w4o3p" hidden="1">"IMG_11"</definedName>
    <definedName name="Img_ML_3p5d9q5j" hidden="1">"IMG_10"</definedName>
    <definedName name="Img_ML_3s5w4m6p" hidden="1">"IMG_12"</definedName>
    <definedName name="Img_ML_3u7w4o5p" hidden="1">"IMG_12"</definedName>
    <definedName name="Img_ML_3y1j4m2m" hidden="1">"IMG_10"</definedName>
    <definedName name="Img_ML_4d2b6f6f" hidden="1">"IMG_6"</definedName>
    <definedName name="Img_ML_4d2v5j7l" hidden="1">"IMG_11"</definedName>
    <definedName name="Img_ML_4d2z1j7l" hidden="1">"IMG_12"</definedName>
    <definedName name="Img_ML_4d5v5m7l" hidden="1">"IMG_12"</definedName>
    <definedName name="Img_ML_4d9z1u7l" hidden="1">"IMG_12"</definedName>
    <definedName name="Img_ML_4g2z1j4l" hidden="1">"IMG_12"</definedName>
    <definedName name="Img_ML_4g8z1t4l" hidden="1">"IMG_6"</definedName>
    <definedName name="Img_ML_4j9w4u8l" hidden="1">"IMG_12"</definedName>
    <definedName name="Img_ML_4k4v5z9l" hidden="1">"IMG_12"</definedName>
    <definedName name="Img_ML_4k8t7t3l" hidden="1">"IMG_12"</definedName>
    <definedName name="Img_ML_4m3p5r8j" hidden="1">"IMG_10"</definedName>
    <definedName name="Img_ML_4s4v5z2l" hidden="1">"IMG_12"</definedName>
    <definedName name="Img_ML_4s7w4o2l" hidden="1">"IMG_12"</definedName>
    <definedName name="Img_ML_4s8v5t6l" hidden="1">"IMG_12"</definedName>
    <definedName name="Img_ML_4u1z1i5l" hidden="1">"IMG_12"</definedName>
    <definedName name="Img_ML_4u3z1k5l" hidden="1">"IMG_12"</definedName>
    <definedName name="Img_ML_5e1a1a7g" hidden="1">"IMG_11"</definedName>
    <definedName name="Img_ML_5e7g5e5e" hidden="1">"IMG_12"</definedName>
    <definedName name="Img_ML_5e7s6t2u" hidden="1">"IMG_10"</definedName>
    <definedName name="Img_ML_5e9i9i2b" hidden="1">"IMG_12"</definedName>
    <definedName name="Img_ML_5f9d1i5x" hidden="1">"IMG_10"</definedName>
    <definedName name="Img_ML_5g6r9l4m" hidden="1">"IMG_11"</definedName>
    <definedName name="Img_ML_5g9z1u4m" hidden="1">"IMG_11"</definedName>
    <definedName name="Img_ML_5h6q3g8u" hidden="1">"IMG_10"</definedName>
    <definedName name="Img_ML_5j4u6z8m" hidden="1">"IMG_12"</definedName>
    <definedName name="Img_ML_5j9w4u8m" hidden="1">"IMG_12"</definedName>
    <definedName name="Img_ML_5k5u6m3m" hidden="1">"IMG_12"</definedName>
    <definedName name="Img_ML_5k7e4n8n" hidden="1">"IMG_10"</definedName>
    <definedName name="Img_ML_5k8u7s9i" hidden="1">"IMG_10"</definedName>
    <definedName name="Img_ML_5s9x3u6m" hidden="1">"IMG_12"</definedName>
    <definedName name="Img_ML_5u5x3m5m" hidden="1">"IMG_10"</definedName>
    <definedName name="Img_ML_5u7y2o5m" hidden="1">"IMG_12"</definedName>
    <definedName name="Img_ML_6d2x3j7z" hidden="1">"IMG_12"</definedName>
    <definedName name="Img_ML_6d2z1j7z" hidden="1">"IMG_12"</definedName>
    <definedName name="Img_ML_6d5x3m7z" hidden="1">"IMG_18"</definedName>
    <definedName name="Img_ML_6d6x3l7z" hidden="1">"IMG_12"</definedName>
    <definedName name="Img_ML_6d9t7u7z" hidden="1">"IMG_12"</definedName>
    <definedName name="Img_ML_6f2p1m9g" hidden="1">"IMG_10"</definedName>
    <definedName name="Img_ML_6f9i2b5e" hidden="1">"IMG_12"</definedName>
    <definedName name="Img_ML_6j5x3m8z" hidden="1">"IMG_11"</definedName>
    <definedName name="Img_ML_6j9t7u1z" hidden="1">"IMG_12"</definedName>
    <definedName name="Img_ML_6k1t7i9z" hidden="1">"IMG_12"</definedName>
    <definedName name="Img_ML_6k6x3l9z" hidden="1">"IMG_12"</definedName>
    <definedName name="Img_ML_6k7t7o9z" hidden="1">"IMG_12"</definedName>
    <definedName name="Img_ML_6k7u6o9z" hidden="1">"IMG_6"</definedName>
    <definedName name="Img_ML_6k8x3t3z" hidden="1">"IMG_12"</definedName>
    <definedName name="Img_ML_6k9c9p4d" hidden="1">"IMG_10"</definedName>
    <definedName name="Img_ML_6k9x3u3z" hidden="1">"IMG_12"</definedName>
    <definedName name="Img_ML_6k9x3u9z" hidden="1">"IMG_12"</definedName>
    <definedName name="Img_ML_6r9u1n9k" hidden="1">"IMG_10"</definedName>
    <definedName name="Img_ML_6s1w4i2z" hidden="1">"IMG_12"</definedName>
    <definedName name="Img_ML_6s4u6z2z" hidden="1">"IMG_12"</definedName>
    <definedName name="Img_ML_6s4z1z2z" hidden="1">"IMG_12"</definedName>
    <definedName name="Img_ML_6s7y2o2z" hidden="1">"IMG_12"</definedName>
    <definedName name="Img_ML_6s7z1o2z" hidden="1">"IMG_12"</definedName>
    <definedName name="Img_ML_6y9f7y3n" hidden="1">"IMG_10"</definedName>
    <definedName name="Img_ML_7g4k9d6i" hidden="1">"IMG_10"</definedName>
    <definedName name="Img_ML_7g5e5e2b" hidden="1">"IMG_12"</definedName>
    <definedName name="Img_ML_7g5s8m4i" hidden="1">"IMG_12"</definedName>
    <definedName name="Img_ML_7g7w4o4i" hidden="1">"IMG_12"</definedName>
    <definedName name="Img_ML_7j6w4l1i" hidden="1">"IMG_11"</definedName>
    <definedName name="Img_ML_7m5m4k3b" hidden="1">"IMG_10"</definedName>
    <definedName name="Img_ML_7n6h3t1t" hidden="1">"IMG_10"</definedName>
    <definedName name="Img_ML_7s1w4i6i" hidden="1">"IMG_12"</definedName>
    <definedName name="Img_ML_7s4w7c6r" hidden="1">"IMG_32"</definedName>
    <definedName name="Img_ML_7s5z1m2i" hidden="1">"IMG_12"</definedName>
    <definedName name="Img_ML_7u3t7k5i" hidden="1">"IMG_12"</definedName>
    <definedName name="Img_ML_7u6s8l5i" hidden="1">"IMG_12"</definedName>
    <definedName name="Img_ML_7u7s8o5i" hidden="1">"IMG_12"</definedName>
    <definedName name="Img_ML_8b9j5t1p" hidden="1">"IMG_10"</definedName>
    <definedName name="Img_ML_8c2q5i2r" hidden="1">"IMG_10"</definedName>
    <definedName name="Img_ML_8d9v5u7j" hidden="1">"IMG_12"</definedName>
    <definedName name="Img_ML_8g3u6k4j" hidden="1">"IMG_11"</definedName>
    <definedName name="Img_ML_8g5v5m4j" hidden="1">"IMG_12"</definedName>
    <definedName name="Img_ML_8h3m3i1m" hidden="1">"IMG_10"</definedName>
    <definedName name="Img_ML_8h5e9i3c" hidden="1">"IMG_12"</definedName>
    <definedName name="Img_ML_8h7g3c9i" hidden="1">"IMG_12"</definedName>
    <definedName name="Img_ML_8h7g4d4d" hidden="1">"IMG_12"</definedName>
    <definedName name="Img_ML_8j2v5j8j" hidden="1">"IMG_12"</definedName>
    <definedName name="Img_ML_8j3v5k8j" hidden="1">"IMG_11"</definedName>
    <definedName name="Img_ML_8j3w6p4c" hidden="1">"IMG_10"</definedName>
    <definedName name="Img_ML_8j3y2k8j" hidden="1">"IMG_12"</definedName>
    <definedName name="Img_ML_8j6r9l1j" hidden="1">"IMG_12"</definedName>
    <definedName name="Img_ML_8k1v5i9j" hidden="1">"IMG_12"</definedName>
    <definedName name="Img_ML_8k2r9j3j" hidden="1">"IMG_12"</definedName>
    <definedName name="Img_ML_8k4s8z9j" hidden="1">"IMG_12"</definedName>
    <definedName name="Img_ML_8k5v5m9j" hidden="1">"IMG_12"</definedName>
    <definedName name="Img_ML_8k7v5o9j" hidden="1">"IMG_12"</definedName>
    <definedName name="Img_ML_8k8v5t3j" hidden="1">"IMG_12"</definedName>
    <definedName name="Img_ML_8r1k8t4y" hidden="1">"IMG_10"</definedName>
    <definedName name="Img_ML_8s1r9i6j" hidden="1">"IMG_12"</definedName>
    <definedName name="Img_ML_8s1u6i6j" hidden="1">"IMG_11"</definedName>
    <definedName name="Img_ML_8s2s8j6j" hidden="1">"IMG_12"</definedName>
    <definedName name="Img_ML_8s3q3c1i" hidden="1">"IMG_10"</definedName>
    <definedName name="Img_ML_8s8r9t6j" hidden="1">"IMG_12"</definedName>
    <definedName name="Img_ML_8u4r9z5j" hidden="1">"IMG_12"</definedName>
    <definedName name="Img_ML_8u5r9m5j" hidden="1">"IMG_12"</definedName>
    <definedName name="Img_ML_9d8x3t7w" hidden="1">"IMG_12"</definedName>
    <definedName name="Img_ML_9g2x3j4w" hidden="1">"IMG_12"</definedName>
    <definedName name="Img_ML_9g9t7u4w" hidden="1">"IMG_11"</definedName>
    <definedName name="Img_ML_9g9u6u4w" hidden="1">"IMG_12"</definedName>
    <definedName name="Img_ML_9k2z1j3w" hidden="1">"IMG_12"</definedName>
    <definedName name="Img_ML_9k4u6z9w" hidden="1">"IMG_12"</definedName>
    <definedName name="Img_ML_9k9z1u3w" hidden="1">"IMG_18"</definedName>
    <definedName name="Img_ML_9n1s4m5f" hidden="1">"IMG_10"</definedName>
    <definedName name="Img_ML_9s1r9i6w" hidden="1">"IMG_12"</definedName>
    <definedName name="Img_ML_9s8r9t2w" hidden="1">"IMG_5"</definedName>
    <definedName name="Img_ML_9u7t7o5w" hidden="1">"IMG_12"</definedName>
    <definedName name="Img_ML_9u7x3o5w" hidden="1">"IMG_12"</definedName>
    <definedName name="Img_Product_Breakdown" hidden="1">"IMG_4"</definedName>
    <definedName name="Img_Production_Breakdown" hidden="1">"IMG_3"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XCL_SBC" hidden="1">"c3081"</definedName>
    <definedName name="IQ_EBITDA_INT" hidden="1">"c373"</definedName>
    <definedName name="IQ_EBITDA_MARGIN" hidden="1">"c372"</definedName>
    <definedName name="IQ_EBITDA_OVER_TOTAL_IE" hidden="1">"c1371"</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39437.6303125</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ShowHideColumns" hidden="1">"iQShowQuarterlyAnnual"</definedName>
    <definedName name="jason" hidden="1">{#N/A,#N/A,TRUE,"Historicals";#N/A,#N/A,TRUE,"Charts";#N/A,#N/A,TRUE,"Forecasts"}</definedName>
    <definedName name="lnk_CoName" hidden="1">#REF!</definedName>
    <definedName name="lnk_countryID" hidden="1">#REF!</definedName>
    <definedName name="lnk_cpyID" hidden="1">#REF!</definedName>
    <definedName name="lnk_display_Currency" hidden="1">#REF!</definedName>
    <definedName name="lnk_IndustryType" hidden="1">#REF!</definedName>
    <definedName name="lnk_LastFiscalYear" hidden="1">#REF!</definedName>
    <definedName name="lnk_numForecastYears" hidden="1">#REF!</definedName>
    <definedName name="lnk_numHistoricalYears" hidden="1">#REF!</definedName>
    <definedName name="lnk_Print_Area" hidden="1">#REF!</definedName>
    <definedName name="lnk_rData_Start_Driver" hidden="1">#REF!</definedName>
    <definedName name="lnk_rData_Start_Result" hidden="1">#REF!</definedName>
    <definedName name="lnk_rDataStart" hidden="1">#REF!</definedName>
    <definedName name="lnk_rSourceFore" hidden="1">#REF!</definedName>
    <definedName name="lnk_rSourceFore1st" hidden="1">#REF!</definedName>
    <definedName name="lnk_rSourceHist" hidden="1">#REF!</definedName>
    <definedName name="lnk_rYearRow" hidden="1">#REF!</definedName>
    <definedName name="lnk_rYearRow_Driver" hidden="1">#REF!</definedName>
    <definedName name="lnk_rYearRow_Result" hidden="1">#REF!</definedName>
    <definedName name="lnk_ScenarioName" hidden="1">#REF!</definedName>
    <definedName name="lnk_TICK" hidden="1">#REF!</definedName>
    <definedName name="lnk_update" hidden="1">#REF!</definedName>
    <definedName name="lnk_version" hidden="1">#REF!</definedName>
    <definedName name="M_PlaceofPath" hidden="1">"F:\KBRAU\eric\ericy_vdf.xls"</definedName>
    <definedName name="meh" hidden="1">"IMG_11"</definedName>
    <definedName name="Rwvu.apl95." hidden="1">#REF!,#REF!</definedName>
    <definedName name="Rwvu.aplcagr." hidden="1">#REF!,#REF!</definedName>
    <definedName name="Rwvu.KNTAPL." hidden="1">#REF!,#REF!</definedName>
    <definedName name="sdf" hidden="1">"IMG_12"</definedName>
    <definedName name="sdfaf" hidden="1">"IMG_12"</definedName>
    <definedName name="Segment3" hidden="1">{TRUE,TRUE,-0.8,-17,618,402.6,FALSE,FALSE,TRUE,TRUE,0,1,#N/A,1,#N/A,20.0634920634921,28.65,1,FALSE,FALSE,3,TRUE,1,FALSE,100,"Swvu.KNTAPL.","ACwvu.KNTAPL.",1,FALSE,FALSE,0.24,0.19,0.56,0.76,2,"&amp;C&amp;""MS Sans Serif""&amp;18&amp;B&amp;I&amp;UKENT ELECTRONICS&amp;""Courier""&amp;10&amp;B&amp;I&amp;U
&amp;""MS Sans Serif""&amp;BAnnual Profit and Loss
FY Ends March
($000)","",TRUE,TRUE,FALSE,FALSE,1,#N/A,1,1,"=R1C1:R45C21","=C1:C2,R1:R5","Rwvu.KNTAPL.",#N/A,FALSE,FALSE}</definedName>
    <definedName name="solver_adj" hidden="1">#REF!</definedName>
    <definedName name="solver_lin" hidden="1">0</definedName>
    <definedName name="solver_num" hidden="1">0</definedName>
    <definedName name="solver_opt" hidden="1">#REF!</definedName>
    <definedName name="solver_typ" hidden="1">3</definedName>
    <definedName name="solver_val" hidden="1">3729</definedName>
    <definedName name="ssf" hidden="1">{"INCOMEquarterly1",#N/A,TRUE,"income";"INCOMEquarterly2",#N/A,TRUE,"income"}</definedName>
    <definedName name="Swvu.apl95." hidden="1">#REF!</definedName>
    <definedName name="Swvu.bs." hidden="1">#REF!</definedName>
    <definedName name="Swvu.ratios." hidden="1">#REF!</definedName>
    <definedName name="Test1" hidden="1">"IMG_11"</definedName>
    <definedName name="Test2" hidden="1">"IMG_11"</definedName>
    <definedName name="Test3" hidden="1">"IMG_11"</definedName>
    <definedName name="Test4" hidden="1">"IMG_11"</definedName>
    <definedName name="tmp_103" hidden="1">#REF!</definedName>
    <definedName name="tmp_1118" hidden="1">#REF!</definedName>
    <definedName name="tmp_414" hidden="1">#REF!</definedName>
    <definedName name="tmpLoadSedol" hidden="1">#REF!</definedName>
    <definedName name="ver1.0" hidden="1">#REF!</definedName>
    <definedName name="ver1.1" hidden="1">#REF!</definedName>
    <definedName name="wrn.allpages." hidden="1">{#N/A,#N/A,TRUE,"Historicals";#N/A,#N/A,TRUE,"Charts";#N/A,#N/A,TRUE,"Forecasts"}</definedName>
    <definedName name="wrn.entireINCOME." hidden="1">{"INCOMEannual2",#N/A,FALSE,"income";"INCOMEannual1",#N/A,FALSE,"income";"INCOMEquarterly1",#N/A,FALSE,"income";"INCOMEquarterly2",#N/A,FALSE,"income";"INCOMEcalendarized1",#N/A,FALSE,"income"}</definedName>
    <definedName name="wrn.INCOME." hidden="1">{"INCOMEquarterly1",#N/A,TRUE,"income";"INCOMEquarterly2",#N/A,TRUE,"income"}</definedName>
    <definedName name="wrn.OUTPUT." hidden="1">{"DCF","UPSIDE CASE",FALSE,"Sheet1";"DCF","BASE CASE",FALSE,"Sheet1";"DCF","DOWNSIDE CASE",FALSE,"Sheet1"}</definedName>
    <definedName name="wrn.Revenue._.Details." hidden="1">{"Revenue by Industry Chart",#N/A,FALSE,"Mix";"Annual Revenue Detail",#N/A,FALSE,"Mix";"Quarterly Revenue Detail",#N/A,FALSE,"Mix"}</definedName>
    <definedName name="wvu.apl95." hidden="1">{TRUE,TRUE,-0.8,-17,618,402.6,FALSE,FALSE,TRUE,TRUE,0,1,#N/A,1,#N/A,15.6538461538462,27.8636363636364,1,FALSE,FALSE,3,TRUE,1,FALSE,100,"Swvu.apl95.","ACwvu.apl95.",1,FALSE,FALSE,0.39,0.26,0.51,0.78,2,"&amp;C&amp;""Arial""&amp;16&amp;B&amp;I&amp;UMolex Inc.&amp;12&amp;B&amp;I&amp;U
&amp;B(FY June)","&amp;L&amp;""Arial""&amp;IFiscal Year ends June.
All figures have been adjusted for stock splits.",TRUE,TRUE,FALSE,FALSE,1,70,#N/A,#N/A,"=R1C1:R59C48","=C1","Rwvu.apl95.",#N/A,FALSE,FALSE}</definedName>
    <definedName name="wvu.aplcagr." hidden="1">{TRUE,TRUE,-0.8,-17,618,402.6,FALSE,FALSE,TRUE,TRUE,0,1,#N/A,1,#N/A,20.0634920634921,28.65,1,FALSE,FALSE,3,TRUE,1,FALSE,100,"Swvu.aplcagr.","ACwvu.aplcagr.",1,FALSE,FALSE,0.24,0.19,0.56,0.76,2,"&amp;C&amp;""MS Sans Serif""&amp;18&amp;B&amp;I&amp;UKENT ELECTRONICS&amp;""Courier""&amp;10&amp;B&amp;I&amp;U
&amp;""MS Sans Serif""&amp;BAnnual Profit and Loss
FY Ends March
($000)","",TRUE,TRUE,FALSE,FALSE,1,#N/A,1,1,"=R1C1:R45C22","=C1:C2,R1:R5","Rwvu.aplcagr.",#N/A,FALSE,FALSE}</definedName>
    <definedName name="wvu.bs." hidden="1">{TRUE,TRUE,-0.8,-17,618,402.6,FALSE,FALSE,TRUE,TRUE,0,1,#N/A,1,#N/A,9.3125,27.6190476190476,1,FALSE,FALSE,3,TRUE,1,FALSE,100,"Swvu.bs.","ACwvu.bs.",1,FALSE,FALSE,0.75,0.75,0.44,0.5,2,"&amp;C&amp;""Arial""&amp;14&amp;B&amp;I&amp;UMOLEX&amp;""MS Sans Serif""&amp;10&amp;B&amp;I&amp;U
&amp;""Arial""&amp;11&amp;BBalance Sheet
($ Millions)","",TRUE,FALSE,FALSE,FALSE,1,85,#N/A,#N/A,"=R1C1:R45C21","=C1",#N/A,#N/A,FALSE,FALSE}</definedName>
    <definedName name="wvu.geo93_96." hidden="1">{TRUE,TRUE,-0.8,-17,618,402.6,FALSE,FALSE,TRUE,TRUE,0,1,12,1,30,1,8,4,TRUE,TRUE,3,TRUE,1,TRUE,100,"Swvu.geo93_96.","ACwvu.geo93_96.",1,FALSE,FALSE,0.2,0.28,0.35,0.2,2,"&amp;C&amp;""Arial""&amp;16&amp;B&amp;I&amp;UMolex Inc.
&amp;14&amp;I&amp;UGeographic&amp;16&amp;I&amp;U
&amp;10&amp;I&amp;U(FY June)","",TRUE,TRUE,FALSE,FALSE,1,#N/A,1,1,"=R1C1:R42C24","=C1",#N/A,#N/A,FALSE,FALSE}</definedName>
    <definedName name="wvu.KNTAPL." hidden="1">{TRUE,TRUE,-0.8,-17,618,402.6,FALSE,FALSE,TRUE,TRUE,0,1,#N/A,1,#N/A,20.0634920634921,28.65,1,FALSE,FALSE,3,TRUE,1,FALSE,100,"Swvu.KNTAPL.","ACwvu.KNTAPL.",1,FALSE,FALSE,0.24,0.19,0.56,0.76,2,"&amp;C&amp;""MS Sans Serif""&amp;18&amp;B&amp;I&amp;UKENT ELECTRONICS&amp;""Courier""&amp;10&amp;B&amp;I&amp;U
&amp;""MS Sans Serif""&amp;BAnnual Profit and Loss
FY Ends March
($000)","",TRUE,TRUE,FALSE,FALSE,1,#N/A,1,1,"=R1C1:R45C21","=C1:C2,R1:R5","Rwvu.KNTAPL.",#N/A,FALSE,FALSE}</definedName>
    <definedName name="wvu.KNTQPL." hidden="1">{TRUE,TRUE,-0.8,-17,618,402.6,FALSE,FALSE,TRUE,TRUE,0,1,3,1,60,1,5,4,TRUE,TRUE,3,TRUE,1,TRUE,100,"Swvu.KNTQPL.","ACwvu.KNTQPL.",1,FALSE,FALSE,0.55,0.61,0.51,0.72,2,"&amp;C&amp;18&amp;B&amp;I&amp;UKENT ELECTRONICS&amp;10&amp;B&amp;I&amp;U
&amp;BQuarterly Profit and Loss
FY Ends March
($000)","&amp;CFigures may not add due to rounding",TRUE,FALSE,FALSE,FALSE,1,77,#N/A,#N/A,"=R1C1:R99C23","=R1:R9","Rwvu.KNTQPL.","Cwvu.KNTQPL.",FALSE,FALSE}</definedName>
    <definedName name="wvu.percent." hidden="1">{TRUE,TRUE,-0.8,-17,618,402.6,FALSE,FALSE,TRUE,TRUE,0,1,#N/A,33,#N/A,9.3125,27.8571428571429,1,FALSE,FALSE,3,TRUE,1,FALSE,100,"Swvu.percent.","ACwvu.percent.",1,FALSE,FALSE,0.75,0.75,0.49,0.5,2,"&amp;C&amp;""Arial""&amp;14&amp;B&amp;I&amp;UMOLEX&amp;""MS Sans Serif""&amp;10&amp;B&amp;I&amp;U
&amp;""Arial""&amp;11&amp;BCommon Size Statement
(as % of total assets)","",TRUE,FALSE,FALSE,FALSE,1,85,#N/A,#N/A,"=R47C1:R92C21","=C1",#N/A,#N/A,FALSE,FALSE}</definedName>
    <definedName name="wvu.ratios." hidden="1">{TRUE,TRUE,-0.8,-17,618,402.6,FALSE,FALSE,TRUE,TRUE,0,1,#N/A,154,#N/A,9.3125,27.4285714285714,1,FALSE,FALSE,3,TRUE,1,FALSE,100,"Swvu.ratios.","ACwvu.ratios.",1,FALSE,FALSE,0.75,0.75,0.8,0.5,2,"&amp;C&amp;""Arial""&amp;14&amp;B&amp;I&amp;UMOLEX&amp;""MS Sans Serif""&amp;10&amp;B&amp;I&amp;U
&amp;""Arial""&amp;11&amp;BBalance Sheet Ratios
($ Millions)","",TRUE,FALSE,FALSE,FALSE,1,85,#N/A,#N/A,"=R135C1:R176C21","=C1",#N/A,#N/A,FALSE,FALSE}</definedName>
    <definedName name="wvu.supp." hidden="1">{TRUE,TRUE,-1.25,-15.5,604.5,391.5,FALSE,FALSE,TRUE,TRUE,0,1,#N/A,81,#N/A,9.125,26.5294117647059,1,FALSE,FALSE,3,TRUE,1,FALSE,100,"Swvu.supp.","ACwvu.supp.",1,FALSE,FALSE,0.75,0.75,0.8,0.5,1,"&amp;C&amp;""Arial""&amp;14&amp;B&amp;I&amp;UMOLEX&amp;""MS Sans Serif""&amp;10&amp;B&amp;I&amp;U
&amp;""Arial""&amp;11&amp;BSupplemental Data
($ Millions)","",TRUE,FALSE,FALSE,FALSE,1,90,#N/A,#N/A,"=R94C1:R136C21","=C1",#N/A,#N/A,FALSE,FALSE}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02" i="10" l="1"/>
  <c r="AR101" i="10"/>
  <c r="AR100" i="10"/>
  <c r="AR99" i="10"/>
  <c r="AR97" i="10"/>
  <c r="AR96" i="10"/>
  <c r="AR95" i="10"/>
  <c r="AR94" i="10"/>
  <c r="AR92" i="10"/>
  <c r="AR91" i="10"/>
  <c r="AR90" i="10"/>
  <c r="AR89" i="10"/>
  <c r="AR76" i="10"/>
  <c r="AR75" i="10"/>
  <c r="AR74" i="10"/>
  <c r="AR73" i="10"/>
  <c r="AR71" i="10"/>
  <c r="AR70" i="10"/>
  <c r="AR69" i="10"/>
  <c r="AR68" i="10"/>
  <c r="AR85" i="10"/>
  <c r="AR84" i="10"/>
  <c r="AR83" i="10"/>
  <c r="AR82" i="10"/>
  <c r="AR81" i="10"/>
  <c r="AR65" i="10"/>
  <c r="AR64" i="10"/>
  <c r="AR63" i="10"/>
  <c r="AR62" i="10"/>
  <c r="AR43" i="10"/>
  <c r="AR42" i="10"/>
  <c r="AR41" i="10"/>
  <c r="AR40" i="10"/>
  <c r="AR39" i="10"/>
  <c r="AR14" i="10"/>
  <c r="AR13" i="10"/>
  <c r="AR12" i="10"/>
  <c r="AR11" i="10"/>
  <c r="AR10" i="10"/>
  <c r="AR9" i="10"/>
  <c r="AR59" i="10"/>
  <c r="AR58" i="10"/>
  <c r="AR57" i="10"/>
  <c r="AR56" i="10"/>
  <c r="AR54" i="10"/>
  <c r="AR53" i="10"/>
  <c r="AR52" i="10"/>
  <c r="AR51" i="10"/>
  <c r="AR49" i="10"/>
  <c r="AR48" i="10"/>
  <c r="AR47" i="10"/>
  <c r="AR46" i="10"/>
  <c r="AR34" i="10"/>
  <c r="AR33" i="10"/>
  <c r="AR32" i="10"/>
  <c r="AR31" i="10"/>
  <c r="AR30" i="10"/>
  <c r="AR28" i="10"/>
  <c r="AR27" i="10"/>
  <c r="AR26" i="10"/>
  <c r="AR25" i="10"/>
  <c r="AR24" i="10"/>
  <c r="AR22" i="10"/>
  <c r="AR21" i="10"/>
  <c r="AR20" i="10"/>
  <c r="AR19" i="10"/>
  <c r="AR18" i="10"/>
  <c r="H21" i="34"/>
  <c r="H20" i="34"/>
  <c r="H19" i="34"/>
  <c r="H28" i="34" s="1"/>
  <c r="H18" i="34"/>
  <c r="H17" i="34"/>
  <c r="F17" i="34"/>
  <c r="F21" i="34"/>
  <c r="F20" i="34"/>
  <c r="F19" i="34"/>
  <c r="F18" i="34"/>
  <c r="J28" i="34"/>
  <c r="F28" i="34"/>
  <c r="J27" i="34"/>
  <c r="H27" i="34"/>
  <c r="F27" i="34"/>
  <c r="L27" i="34" l="1"/>
  <c r="L28" i="34"/>
  <c r="N26" i="16" l="1"/>
  <c r="M26" i="16" s="1"/>
  <c r="L30" i="16"/>
  <c r="L31" i="16" s="1"/>
  <c r="L28" i="16"/>
  <c r="L27" i="16" s="1"/>
  <c r="P26" i="16"/>
  <c r="Q26" i="16" s="1"/>
  <c r="P17" i="16"/>
  <c r="Q17" i="16" s="1"/>
  <c r="N17" i="16"/>
  <c r="M17" i="16" s="1"/>
  <c r="L21" i="16"/>
  <c r="L22" i="16" s="1"/>
  <c r="L19" i="16"/>
  <c r="L18" i="16" s="1"/>
  <c r="N8" i="16"/>
  <c r="M8" i="16" s="1"/>
  <c r="K80" i="28"/>
  <c r="M34" i="32"/>
  <c r="M32" i="32"/>
  <c r="M30" i="32"/>
  <c r="D34" i="32"/>
  <c r="D32" i="32"/>
  <c r="D30" i="32"/>
  <c r="D23" i="32"/>
  <c r="H223" i="25"/>
  <c r="G223" i="25"/>
  <c r="F223" i="25"/>
  <c r="E223" i="25"/>
  <c r="D223" i="25"/>
  <c r="C223" i="25"/>
  <c r="M16" i="31"/>
  <c r="K8" i="23"/>
  <c r="K21" i="23"/>
  <c r="K20" i="23"/>
  <c r="K19" i="23"/>
  <c r="K18" i="23"/>
  <c r="K17" i="23"/>
  <c r="K16" i="23"/>
  <c r="J21" i="23"/>
  <c r="G21" i="23"/>
  <c r="J20" i="23"/>
  <c r="G20" i="23"/>
  <c r="J19" i="23"/>
  <c r="G19" i="23"/>
  <c r="J18" i="23"/>
  <c r="G18" i="23"/>
  <c r="J17" i="23"/>
  <c r="G17" i="23"/>
  <c r="J16" i="23"/>
  <c r="G16" i="23"/>
  <c r="I14" i="23" a="1"/>
  <c r="I14" i="23" s="1"/>
  <c r="F14" i="23" a="1"/>
  <c r="F14" i="23" s="1"/>
  <c r="H14" i="23" s="1"/>
  <c r="M14" i="23" s="1"/>
  <c r="E14" i="23" a="1"/>
  <c r="E14" i="23" s="1"/>
  <c r="D14" i="23" a="1"/>
  <c r="D14" i="23" s="1"/>
  <c r="C14" i="23" a="1"/>
  <c r="C14" i="23" s="1"/>
  <c r="F13" i="23" a="1"/>
  <c r="F13" i="23" s="1"/>
  <c r="H13" i="23" s="1"/>
  <c r="M13" i="23" s="1"/>
  <c r="F12" i="23" a="1"/>
  <c r="F12" i="23" s="1"/>
  <c r="H12" i="23" s="1"/>
  <c r="M12" i="23" s="1"/>
  <c r="F11" i="23" a="1"/>
  <c r="F11" i="23" s="1"/>
  <c r="H11" i="23" s="1"/>
  <c r="M11" i="23" s="1"/>
  <c r="F10" i="23" a="1"/>
  <c r="F10" i="23" s="1"/>
  <c r="H10" i="23" s="1"/>
  <c r="M10" i="23" s="1"/>
  <c r="F8" i="23" a="1"/>
  <c r="F8" i="23" s="1"/>
  <c r="E13" i="23" a="1"/>
  <c r="E13" i="23" s="1"/>
  <c r="E12" i="23" a="1"/>
  <c r="E12" i="23" s="1"/>
  <c r="C34" i="16" s="1"/>
  <c r="E11" i="23" a="1"/>
  <c r="E11" i="23" s="1"/>
  <c r="C35" i="16" s="1"/>
  <c r="E10" i="23" a="1"/>
  <c r="E10" i="23" s="1"/>
  <c r="C33" i="16" s="1"/>
  <c r="E8" i="23" a="1"/>
  <c r="E8" i="23" s="1"/>
  <c r="C36" i="16" s="1"/>
  <c r="D10" i="23" a="1"/>
  <c r="D10" i="23" s="1"/>
  <c r="D33" i="16" s="1"/>
  <c r="D11" i="23" a="1"/>
  <c r="D11" i="23" s="1"/>
  <c r="D35" i="16" s="1"/>
  <c r="D12" i="23" a="1"/>
  <c r="D12" i="23" s="1"/>
  <c r="D34" i="16" s="1"/>
  <c r="D13" i="23" a="1"/>
  <c r="D13" i="23" s="1"/>
  <c r="D8" i="23" a="1"/>
  <c r="D8" i="23" s="1"/>
  <c r="I13" i="23" a="1"/>
  <c r="I13" i="23" s="1"/>
  <c r="I12" i="23" a="1"/>
  <c r="I12" i="23" s="1"/>
  <c r="I11" i="23" a="1"/>
  <c r="I11" i="23" s="1"/>
  <c r="I10" i="23" a="1"/>
  <c r="I10" i="23" s="1"/>
  <c r="I8" i="23" a="1"/>
  <c r="I8" i="23" s="1"/>
  <c r="C13" i="23" a="1"/>
  <c r="C13" i="23" s="1"/>
  <c r="C12" i="23" a="1"/>
  <c r="C12" i="23" s="1"/>
  <c r="C11" i="23" a="1"/>
  <c r="C11" i="23" s="1"/>
  <c r="C10" i="23" a="1"/>
  <c r="C10" i="23" s="1"/>
  <c r="C8" i="23" a="1"/>
  <c r="C8" i="23" s="1"/>
  <c r="D36" i="16" l="1"/>
  <c r="D37" i="34"/>
  <c r="L11" i="23"/>
  <c r="L12" i="23"/>
  <c r="L13" i="23"/>
  <c r="L10" i="23"/>
  <c r="L14" i="23"/>
  <c r="M18" i="23"/>
  <c r="I18" i="23"/>
  <c r="E19" i="23"/>
  <c r="H20" i="23"/>
  <c r="H19" i="23"/>
  <c r="E18" i="23"/>
  <c r="E21" i="23"/>
  <c r="H17" i="23"/>
  <c r="F19" i="23"/>
  <c r="I20" i="23"/>
  <c r="F16" i="23"/>
  <c r="I17" i="23"/>
  <c r="F21" i="23"/>
  <c r="H16" i="23"/>
  <c r="F18" i="23"/>
  <c r="I19" i="23"/>
  <c r="I16" i="23"/>
  <c r="H21" i="23"/>
  <c r="H18" i="23"/>
  <c r="F20" i="23"/>
  <c r="I21" i="23"/>
  <c r="F17" i="23"/>
  <c r="E20" i="23"/>
  <c r="E16" i="23"/>
  <c r="E17" i="23"/>
  <c r="L17" i="23" l="1"/>
  <c r="L19" i="23"/>
  <c r="L20" i="23"/>
  <c r="L16" i="23"/>
  <c r="L18" i="23"/>
  <c r="L21" i="23"/>
  <c r="M17" i="23"/>
  <c r="M21" i="23"/>
  <c r="M16" i="23"/>
  <c r="M20" i="23"/>
  <c r="M19" i="23"/>
  <c r="H309" i="22" l="1"/>
  <c r="G309" i="22"/>
  <c r="F309" i="22"/>
  <c r="E309" i="22"/>
  <c r="D309" i="22"/>
  <c r="C309" i="22"/>
  <c r="H307" i="22"/>
  <c r="G307" i="22"/>
  <c r="F307" i="22"/>
  <c r="E307" i="22"/>
  <c r="D307" i="22"/>
  <c r="C307" i="22"/>
  <c r="D305" i="22"/>
  <c r="H305" i="22"/>
  <c r="G305" i="22"/>
  <c r="F305" i="22"/>
  <c r="E305" i="22"/>
  <c r="C305" i="22"/>
  <c r="H303" i="22"/>
  <c r="G303" i="22"/>
  <c r="F303" i="22"/>
  <c r="E303" i="22"/>
  <c r="D303" i="22"/>
  <c r="C303" i="22"/>
  <c r="C275" i="22"/>
  <c r="E300" i="22"/>
  <c r="D300" i="22"/>
  <c r="C300" i="22"/>
  <c r="C297" i="22"/>
  <c r="E291" i="22"/>
  <c r="E298" i="22"/>
  <c r="D298" i="22"/>
  <c r="C298" i="22"/>
  <c r="E365" i="22"/>
  <c r="D365" i="22"/>
  <c r="C365" i="22"/>
  <c r="E363" i="22"/>
  <c r="D363" i="22"/>
  <c r="C363" i="22"/>
  <c r="E361" i="22"/>
  <c r="D361" i="22"/>
  <c r="C361" i="22"/>
  <c r="E359" i="22"/>
  <c r="D359" i="22"/>
  <c r="C359" i="22"/>
  <c r="F352" i="22"/>
  <c r="G352" i="22" s="1"/>
  <c r="H352" i="22" s="1"/>
  <c r="J352" i="22" s="1"/>
  <c r="E296" i="22"/>
  <c r="E297" i="22" s="1"/>
  <c r="D296" i="22"/>
  <c r="D297" i="22" s="1"/>
  <c r="C296" i="22"/>
  <c r="G294" i="22"/>
  <c r="G295" i="22" s="1"/>
  <c r="F294" i="22"/>
  <c r="F295" i="22" s="1"/>
  <c r="E294" i="22"/>
  <c r="E295" i="22" s="1"/>
  <c r="D294" i="22"/>
  <c r="D295" i="22" s="1"/>
  <c r="C294" i="22"/>
  <c r="C295" i="22" s="1"/>
  <c r="E292" i="22"/>
  <c r="D292" i="22"/>
  <c r="C292" i="22"/>
  <c r="H290" i="22"/>
  <c r="H291" i="22" s="1"/>
  <c r="G290" i="22"/>
  <c r="G291" i="22" s="1"/>
  <c r="F290" i="22"/>
  <c r="F291" i="22" s="1"/>
  <c r="E290" i="22"/>
  <c r="D290" i="22"/>
  <c r="D291" i="22" s="1"/>
  <c r="C290" i="22"/>
  <c r="C291" i="22" s="1"/>
  <c r="E288" i="22"/>
  <c r="D288" i="22"/>
  <c r="C288" i="22"/>
  <c r="H286" i="22"/>
  <c r="G286" i="22"/>
  <c r="F286" i="22"/>
  <c r="E286" i="22"/>
  <c r="D286" i="22"/>
  <c r="C286" i="22"/>
  <c r="J285" i="22"/>
  <c r="H285" i="22"/>
  <c r="G285" i="22"/>
  <c r="F285" i="22"/>
  <c r="E285" i="22"/>
  <c r="D285" i="22"/>
  <c r="C285" i="22"/>
  <c r="W32" i="30"/>
  <c r="V32" i="30"/>
  <c r="U32" i="30"/>
  <c r="T32" i="30"/>
  <c r="S32" i="30"/>
  <c r="R32" i="30"/>
  <c r="Q32" i="30"/>
  <c r="P32" i="30"/>
  <c r="O32" i="30"/>
  <c r="N32" i="30"/>
  <c r="M32" i="30"/>
  <c r="L32" i="30"/>
  <c r="K32" i="30"/>
  <c r="G32" i="30"/>
  <c r="S31" i="30"/>
  <c r="R31" i="30"/>
  <c r="Q31" i="30"/>
  <c r="S30" i="30"/>
  <c r="R30" i="30"/>
  <c r="Q30" i="30"/>
  <c r="S29" i="30"/>
  <c r="R29" i="30"/>
  <c r="Q29" i="30"/>
  <c r="S28" i="30"/>
  <c r="R28" i="30"/>
  <c r="Q28" i="30"/>
  <c r="S27" i="30"/>
  <c r="R27" i="30"/>
  <c r="Q27" i="30"/>
  <c r="J25" i="30"/>
  <c r="F25" i="30"/>
  <c r="H25" i="30"/>
  <c r="D175" i="22"/>
  <c r="C175" i="22"/>
  <c r="D173" i="22"/>
  <c r="C173" i="22"/>
  <c r="D171" i="22"/>
  <c r="C171" i="22"/>
  <c r="D169" i="22"/>
  <c r="K84" i="28" s="1"/>
  <c r="C169" i="22"/>
  <c r="J84" i="28" s="1"/>
  <c r="C143" i="22"/>
  <c r="E161" i="22"/>
  <c r="F161" i="22" s="1"/>
  <c r="D149" i="22"/>
  <c r="C149" i="22"/>
  <c r="D147" i="22"/>
  <c r="C147" i="22"/>
  <c r="D145" i="22"/>
  <c r="K88" i="28" s="1"/>
  <c r="C145" i="22"/>
  <c r="J88" i="28" s="1"/>
  <c r="D143" i="22"/>
  <c r="D161" i="22"/>
  <c r="E135" i="22"/>
  <c r="F135" i="22" s="1"/>
  <c r="G135" i="22" s="1"/>
  <c r="H135" i="22" s="1"/>
  <c r="D135" i="22"/>
  <c r="E408" i="22"/>
  <c r="E52" i="22" s="1"/>
  <c r="D408" i="22"/>
  <c r="D52" i="22" s="1"/>
  <c r="C408" i="22"/>
  <c r="C409" i="22" s="1"/>
  <c r="D447" i="22"/>
  <c r="C447" i="22"/>
  <c r="D445" i="22"/>
  <c r="C445" i="22"/>
  <c r="D443" i="22"/>
  <c r="K60" i="28" s="1"/>
  <c r="C443" i="22"/>
  <c r="J60" i="28" s="1"/>
  <c r="D441" i="22"/>
  <c r="C441" i="22"/>
  <c r="C537" i="22"/>
  <c r="C489" i="22"/>
  <c r="D495" i="22"/>
  <c r="C495" i="22"/>
  <c r="D493" i="22"/>
  <c r="K76" i="28" s="1"/>
  <c r="C493" i="22"/>
  <c r="J76" i="28" s="1"/>
  <c r="D491" i="22"/>
  <c r="C491" i="22"/>
  <c r="D489" i="22"/>
  <c r="E435" i="22"/>
  <c r="F435" i="22" s="1"/>
  <c r="F434" i="22" s="1"/>
  <c r="D435" i="22"/>
  <c r="C435" i="22"/>
  <c r="E485" i="22"/>
  <c r="D485" i="22"/>
  <c r="C485" i="22"/>
  <c r="E460" i="22"/>
  <c r="E108" i="22" s="1"/>
  <c r="D460" i="22"/>
  <c r="D108" i="22" s="1"/>
  <c r="C460" i="22"/>
  <c r="C461" i="22" s="1"/>
  <c r="C539" i="22"/>
  <c r="E506" i="22"/>
  <c r="E80" i="22" s="1"/>
  <c r="D506" i="22"/>
  <c r="D80" i="22" s="1"/>
  <c r="C506" i="22"/>
  <c r="C507" i="22" s="1"/>
  <c r="D543" i="22"/>
  <c r="C543" i="22"/>
  <c r="D541" i="22"/>
  <c r="C541" i="22"/>
  <c r="D539" i="22"/>
  <c r="D537" i="22"/>
  <c r="E533" i="22"/>
  <c r="D533" i="22"/>
  <c r="C533" i="22"/>
  <c r="W31" i="30"/>
  <c r="W30" i="30"/>
  <c r="W29" i="30"/>
  <c r="W28" i="30"/>
  <c r="W27" i="30"/>
  <c r="V31" i="30"/>
  <c r="V30" i="30"/>
  <c r="V29" i="30"/>
  <c r="V28" i="30"/>
  <c r="V27" i="30"/>
  <c r="U31" i="30"/>
  <c r="U30" i="30"/>
  <c r="U29" i="30"/>
  <c r="U28" i="30"/>
  <c r="U27" i="30"/>
  <c r="N31" i="30"/>
  <c r="N30" i="30"/>
  <c r="N29" i="30"/>
  <c r="N28" i="30"/>
  <c r="N27" i="30"/>
  <c r="M31" i="30"/>
  <c r="M30" i="30"/>
  <c r="M29" i="30"/>
  <c r="M28" i="30"/>
  <c r="M27" i="30"/>
  <c r="L31" i="30"/>
  <c r="L30" i="30"/>
  <c r="L29" i="30"/>
  <c r="L28" i="30"/>
  <c r="L27" i="30"/>
  <c r="G27" i="30"/>
  <c r="G31" i="30"/>
  <c r="G30" i="30"/>
  <c r="G29" i="30"/>
  <c r="G28" i="30"/>
  <c r="J24" i="30"/>
  <c r="J23" i="30"/>
  <c r="J21" i="30"/>
  <c r="H24" i="30"/>
  <c r="H23" i="30"/>
  <c r="H22" i="30"/>
  <c r="H21" i="30"/>
  <c r="H20" i="30"/>
  <c r="H19" i="30"/>
  <c r="H18" i="30"/>
  <c r="H32" i="30" s="1"/>
  <c r="F24" i="30"/>
  <c r="F23" i="30"/>
  <c r="F21" i="30"/>
  <c r="J290" i="22" l="1"/>
  <c r="E22" i="22"/>
  <c r="E109" i="22"/>
  <c r="E81" i="22"/>
  <c r="D22" i="22"/>
  <c r="C80" i="22"/>
  <c r="D81" i="22" s="1"/>
  <c r="C108" i="22"/>
  <c r="D109" i="22" s="1"/>
  <c r="C52" i="22"/>
  <c r="E53" i="22"/>
  <c r="G161" i="22"/>
  <c r="H161" i="22" s="1"/>
  <c r="F160" i="22"/>
  <c r="F134" i="22"/>
  <c r="G134" i="22" s="1"/>
  <c r="H134" i="22" s="1"/>
  <c r="J134" i="22" s="1"/>
  <c r="E409" i="22"/>
  <c r="F409" i="22" s="1"/>
  <c r="F408" i="22" s="1"/>
  <c r="F52" i="22" s="1"/>
  <c r="D409" i="22"/>
  <c r="G435" i="22"/>
  <c r="H435" i="22" s="1"/>
  <c r="F485" i="22"/>
  <c r="G485" i="22" s="1"/>
  <c r="H485" i="22" s="1"/>
  <c r="E507" i="22"/>
  <c r="E461" i="22"/>
  <c r="D461" i="22"/>
  <c r="D507" i="22"/>
  <c r="F533" i="22"/>
  <c r="G533" i="22" s="1"/>
  <c r="H533" i="22" s="1"/>
  <c r="H28" i="30"/>
  <c r="H31" i="30"/>
  <c r="H30" i="30"/>
  <c r="H27" i="30"/>
  <c r="H29" i="30"/>
  <c r="C8" i="30"/>
  <c r="C10" i="30"/>
  <c r="J22" i="30" s="1"/>
  <c r="I22" i="30" s="1"/>
  <c r="G377" i="22"/>
  <c r="F377" i="22"/>
  <c r="E377" i="22"/>
  <c r="G19" i="22"/>
  <c r="H19" i="22" s="1"/>
  <c r="F19" i="22"/>
  <c r="E19" i="22"/>
  <c r="D329" i="22"/>
  <c r="D331" i="22"/>
  <c r="D333" i="22"/>
  <c r="D335" i="22"/>
  <c r="C335" i="22"/>
  <c r="C333" i="22"/>
  <c r="C331" i="22"/>
  <c r="C329" i="22"/>
  <c r="E322" i="22"/>
  <c r="F322" i="22" s="1"/>
  <c r="D323" i="22"/>
  <c r="C323" i="22"/>
  <c r="C508" i="22"/>
  <c r="C513" i="22" s="1"/>
  <c r="D508" i="22"/>
  <c r="D458" i="22"/>
  <c r="D471" i="22" s="1"/>
  <c r="C458" i="22"/>
  <c r="D412" i="22"/>
  <c r="D58" i="22" s="1"/>
  <c r="C412" i="22"/>
  <c r="C58" i="22" s="1"/>
  <c r="F258" i="22"/>
  <c r="F236" i="22"/>
  <c r="G236" i="22" s="1"/>
  <c r="H236" i="22" s="1"/>
  <c r="F214" i="22"/>
  <c r="G214" i="22" s="1"/>
  <c r="H214" i="22" s="1"/>
  <c r="F344" i="22"/>
  <c r="F184" i="22"/>
  <c r="G184" i="22" s="1"/>
  <c r="E163" i="22"/>
  <c r="E137" i="22"/>
  <c r="E111" i="22"/>
  <c r="E83" i="22"/>
  <c r="E433" i="22"/>
  <c r="E410" i="22"/>
  <c r="D410" i="22"/>
  <c r="D54" i="22" s="1"/>
  <c r="C410" i="22"/>
  <c r="E165" i="22"/>
  <c r="E139" i="22"/>
  <c r="E113" i="22"/>
  <c r="D113" i="22"/>
  <c r="E85" i="22"/>
  <c r="E57" i="22"/>
  <c r="F195" i="22"/>
  <c r="H106" i="22"/>
  <c r="G106" i="22"/>
  <c r="F106" i="22"/>
  <c r="E106" i="22"/>
  <c r="D106" i="22"/>
  <c r="C106" i="22"/>
  <c r="H78" i="22"/>
  <c r="G78" i="22"/>
  <c r="F78" i="22"/>
  <c r="E78" i="22"/>
  <c r="D78" i="22"/>
  <c r="C78" i="22"/>
  <c r="H50" i="22"/>
  <c r="G50" i="22"/>
  <c r="F50" i="22"/>
  <c r="E50" i="22"/>
  <c r="D50" i="22"/>
  <c r="C50" i="22"/>
  <c r="C463" i="22"/>
  <c r="D395" i="22"/>
  <c r="C395" i="22"/>
  <c r="D393" i="22"/>
  <c r="C393" i="22"/>
  <c r="D391" i="22"/>
  <c r="M135" i="25" s="1"/>
  <c r="C391" i="22"/>
  <c r="L135" i="25" s="1"/>
  <c r="D389" i="22"/>
  <c r="C389" i="22"/>
  <c r="E383" i="22"/>
  <c r="D383" i="22"/>
  <c r="E25" i="22"/>
  <c r="E379" i="22"/>
  <c r="E21" i="22"/>
  <c r="F34" i="16"/>
  <c r="I34" i="16" s="1"/>
  <c r="F33" i="16"/>
  <c r="C535" i="22"/>
  <c r="C531" i="22"/>
  <c r="C529" i="22"/>
  <c r="C511" i="22"/>
  <c r="C505" i="22"/>
  <c r="C487" i="22"/>
  <c r="C483" i="22"/>
  <c r="C481" i="22"/>
  <c r="C457" i="22"/>
  <c r="C439" i="22"/>
  <c r="C437" i="22"/>
  <c r="C433" i="22"/>
  <c r="C431" i="22"/>
  <c r="C415" i="22"/>
  <c r="C407" i="22"/>
  <c r="C405" i="22"/>
  <c r="C12" i="25"/>
  <c r="J10" i="27" s="1"/>
  <c r="H41" i="28"/>
  <c r="G41" i="28"/>
  <c r="F41" i="28"/>
  <c r="E41" i="28"/>
  <c r="D41" i="28"/>
  <c r="H40" i="28"/>
  <c r="G40" i="28"/>
  <c r="F40" i="28"/>
  <c r="E40" i="28"/>
  <c r="D40" i="28"/>
  <c r="H39" i="28"/>
  <c r="G39" i="28"/>
  <c r="F39" i="28"/>
  <c r="E39" i="28"/>
  <c r="D39" i="28"/>
  <c r="H33" i="28"/>
  <c r="G33" i="28"/>
  <c r="F33" i="28"/>
  <c r="E33" i="28"/>
  <c r="D33" i="28"/>
  <c r="H32" i="28"/>
  <c r="G32" i="28"/>
  <c r="F32" i="28"/>
  <c r="E32" i="28"/>
  <c r="D32" i="28"/>
  <c r="H31" i="28"/>
  <c r="G31" i="28"/>
  <c r="F31" i="28"/>
  <c r="E31" i="28"/>
  <c r="D31" i="28"/>
  <c r="B25" i="28"/>
  <c r="B24" i="28"/>
  <c r="B23" i="28"/>
  <c r="B22" i="28"/>
  <c r="B21" i="28"/>
  <c r="C45" i="28"/>
  <c r="I57" i="28" s="1"/>
  <c r="G344" i="22" l="1"/>
  <c r="G258" i="22"/>
  <c r="F288" i="22"/>
  <c r="F53" i="22"/>
  <c r="D53" i="22"/>
  <c r="C22" i="22"/>
  <c r="D65" i="22"/>
  <c r="D67" i="22"/>
  <c r="D61" i="22"/>
  <c r="D63" i="22"/>
  <c r="E23" i="22"/>
  <c r="F23" i="22" s="1"/>
  <c r="G23" i="22" s="1"/>
  <c r="H23" i="22" s="1"/>
  <c r="F22" i="30"/>
  <c r="E22" i="30" s="1"/>
  <c r="G160" i="22"/>
  <c r="H160" i="22" s="1"/>
  <c r="J160" i="22" s="1"/>
  <c r="F507" i="22"/>
  <c r="G507" i="22" s="1"/>
  <c r="H507" i="22" s="1"/>
  <c r="C54" i="22"/>
  <c r="C61" i="22" s="1"/>
  <c r="C419" i="22"/>
  <c r="C417" i="22"/>
  <c r="C421" i="22"/>
  <c r="J64" i="28" s="1"/>
  <c r="D423" i="22"/>
  <c r="D417" i="22"/>
  <c r="D419" i="22"/>
  <c r="D421" i="22"/>
  <c r="K64" i="28" s="1"/>
  <c r="C423" i="22"/>
  <c r="G409" i="22"/>
  <c r="H409" i="22" s="1"/>
  <c r="C114" i="22"/>
  <c r="C117" i="22" s="1"/>
  <c r="C465" i="22"/>
  <c r="J80" i="28" s="1"/>
  <c r="C469" i="22"/>
  <c r="D114" i="22"/>
  <c r="D121" i="22" s="1"/>
  <c r="D465" i="22"/>
  <c r="C471" i="22"/>
  <c r="C467" i="22"/>
  <c r="D467" i="22"/>
  <c r="D469" i="22"/>
  <c r="G434" i="22"/>
  <c r="H434" i="22" s="1"/>
  <c r="J434" i="22" s="1"/>
  <c r="F461" i="22"/>
  <c r="G461" i="22" s="1"/>
  <c r="H461" i="22" s="1"/>
  <c r="F484" i="22"/>
  <c r="G484" i="22" s="1"/>
  <c r="H484" i="22" s="1"/>
  <c r="J484" i="22" s="1"/>
  <c r="D86" i="22"/>
  <c r="D95" i="22" s="1"/>
  <c r="D515" i="22"/>
  <c r="D513" i="22"/>
  <c r="D519" i="22"/>
  <c r="D517" i="22"/>
  <c r="C86" i="22"/>
  <c r="C93" i="22" s="1"/>
  <c r="C515" i="22"/>
  <c r="C517" i="22"/>
  <c r="C519" i="22"/>
  <c r="F506" i="22"/>
  <c r="G506" i="22" s="1"/>
  <c r="H506" i="22" s="1"/>
  <c r="J506" i="22" s="1"/>
  <c r="F532" i="22"/>
  <c r="D107" i="22"/>
  <c r="E107" i="22"/>
  <c r="F107" i="22"/>
  <c r="F18" i="30"/>
  <c r="J20" i="30"/>
  <c r="I20" i="30" s="1"/>
  <c r="J19" i="30"/>
  <c r="I19" i="30" s="1"/>
  <c r="F20" i="30"/>
  <c r="E20" i="30" s="1"/>
  <c r="J18" i="30"/>
  <c r="J32" i="30" s="1"/>
  <c r="F19" i="30"/>
  <c r="E19" i="30" s="1"/>
  <c r="G79" i="22"/>
  <c r="G107" i="22"/>
  <c r="F79" i="22"/>
  <c r="H107" i="22"/>
  <c r="E333" i="22"/>
  <c r="E331" i="22"/>
  <c r="E335" i="22"/>
  <c r="E329" i="22"/>
  <c r="G322" i="22"/>
  <c r="H322" i="22" s="1"/>
  <c r="E323" i="22"/>
  <c r="E411" i="22"/>
  <c r="J106" i="22"/>
  <c r="E54" i="22"/>
  <c r="J50" i="22"/>
  <c r="J78" i="22"/>
  <c r="E79" i="22"/>
  <c r="H79" i="22"/>
  <c r="D79" i="22"/>
  <c r="F51" i="22"/>
  <c r="H51" i="22"/>
  <c r="E51" i="22"/>
  <c r="G51" i="22"/>
  <c r="F383" i="22"/>
  <c r="G383" i="22" s="1"/>
  <c r="H383" i="22" s="1"/>
  <c r="I53" i="28"/>
  <c r="I54" i="28"/>
  <c r="I55" i="28"/>
  <c r="I56" i="28"/>
  <c r="E18" i="30" l="1"/>
  <c r="E32" i="30" s="1"/>
  <c r="F32" i="30"/>
  <c r="H258" i="22"/>
  <c r="G288" i="22"/>
  <c r="D123" i="22"/>
  <c r="D23" i="22"/>
  <c r="C123" i="22"/>
  <c r="C91" i="22"/>
  <c r="C89" i="22"/>
  <c r="C121" i="22"/>
  <c r="G532" i="22"/>
  <c r="F80" i="22"/>
  <c r="C67" i="22"/>
  <c r="D89" i="22"/>
  <c r="D117" i="22"/>
  <c r="C119" i="22"/>
  <c r="D119" i="22"/>
  <c r="D91" i="22"/>
  <c r="D93" i="22"/>
  <c r="C63" i="22"/>
  <c r="C95" i="22"/>
  <c r="C65" i="22"/>
  <c r="G408" i="22"/>
  <c r="F460" i="22"/>
  <c r="I18" i="30"/>
  <c r="I32" i="30" s="1"/>
  <c r="J27" i="30"/>
  <c r="J30" i="30"/>
  <c r="J29" i="30"/>
  <c r="J31" i="30"/>
  <c r="J28" i="30"/>
  <c r="F30" i="30"/>
  <c r="F27" i="30"/>
  <c r="F31" i="30"/>
  <c r="F29" i="30"/>
  <c r="F28" i="30"/>
  <c r="E28" i="30"/>
  <c r="E27" i="30"/>
  <c r="J322" i="22"/>
  <c r="F382" i="22"/>
  <c r="G382" i="22" s="1"/>
  <c r="H382" i="22" s="1"/>
  <c r="J382" i="22" s="1"/>
  <c r="E30" i="30" l="1"/>
  <c r="E29" i="30"/>
  <c r="E31" i="30"/>
  <c r="H408" i="22"/>
  <c r="G52" i="22"/>
  <c r="F81" i="22"/>
  <c r="H532" i="22"/>
  <c r="G80" i="22"/>
  <c r="G81" i="22" s="1"/>
  <c r="G460" i="22"/>
  <c r="F108" i="22"/>
  <c r="F109" i="22" s="1"/>
  <c r="I29" i="30"/>
  <c r="I27" i="30"/>
  <c r="I30" i="30"/>
  <c r="I28" i="30"/>
  <c r="I31" i="30"/>
  <c r="I51" i="28"/>
  <c r="C544" i="22"/>
  <c r="K68" i="28"/>
  <c r="C540" i="22"/>
  <c r="C538" i="22"/>
  <c r="C496" i="22"/>
  <c r="C494" i="22"/>
  <c r="C490" i="22"/>
  <c r="D487" i="22"/>
  <c r="C448" i="22"/>
  <c r="C442" i="22"/>
  <c r="C411" i="22"/>
  <c r="K72" i="28"/>
  <c r="H535" i="22"/>
  <c r="G535" i="22"/>
  <c r="F535" i="22"/>
  <c r="E535" i="22"/>
  <c r="D535" i="22"/>
  <c r="J534" i="22"/>
  <c r="D531" i="22"/>
  <c r="E531" i="22" s="1"/>
  <c r="F531" i="22" s="1"/>
  <c r="G531" i="22" s="1"/>
  <c r="H531" i="22" s="1"/>
  <c r="E529" i="22"/>
  <c r="F529" i="22" s="1"/>
  <c r="G529" i="22" s="1"/>
  <c r="H529" i="22" s="1"/>
  <c r="D529" i="22"/>
  <c r="H526" i="22"/>
  <c r="G526" i="22"/>
  <c r="F526" i="22"/>
  <c r="E526" i="22"/>
  <c r="D526" i="22"/>
  <c r="C526" i="22"/>
  <c r="J525" i="22"/>
  <c r="H525" i="22"/>
  <c r="G525" i="22"/>
  <c r="F525" i="22"/>
  <c r="E525" i="22"/>
  <c r="D525" i="22"/>
  <c r="C525" i="22"/>
  <c r="H511" i="22"/>
  <c r="G511" i="22"/>
  <c r="F511" i="22"/>
  <c r="E511" i="22"/>
  <c r="D511" i="22"/>
  <c r="J510" i="22"/>
  <c r="E505" i="22"/>
  <c r="F505" i="22" s="1"/>
  <c r="G505" i="22" s="1"/>
  <c r="H505" i="22" s="1"/>
  <c r="D505" i="22"/>
  <c r="H502" i="22"/>
  <c r="G502" i="22"/>
  <c r="F502" i="22"/>
  <c r="E502" i="22"/>
  <c r="D502" i="22"/>
  <c r="C502" i="22"/>
  <c r="J501" i="22"/>
  <c r="H501" i="22"/>
  <c r="G501" i="22"/>
  <c r="F501" i="22"/>
  <c r="E501" i="22"/>
  <c r="D501" i="22"/>
  <c r="C501" i="22"/>
  <c r="H487" i="22"/>
  <c r="G487" i="22"/>
  <c r="F487" i="22"/>
  <c r="E487" i="22"/>
  <c r="D483" i="22"/>
  <c r="E483" i="22" s="1"/>
  <c r="E482" i="22" s="1"/>
  <c r="E481" i="22"/>
  <c r="F481" i="22" s="1"/>
  <c r="G481" i="22" s="1"/>
  <c r="H481" i="22" s="1"/>
  <c r="D481" i="22"/>
  <c r="H478" i="22"/>
  <c r="G478" i="22"/>
  <c r="F478" i="22"/>
  <c r="E478" i="22"/>
  <c r="D478" i="22"/>
  <c r="C478" i="22"/>
  <c r="J477" i="22"/>
  <c r="H477" i="22"/>
  <c r="G477" i="22"/>
  <c r="F477" i="22"/>
  <c r="E477" i="22"/>
  <c r="D477" i="22"/>
  <c r="C477" i="22"/>
  <c r="H463" i="22"/>
  <c r="G463" i="22"/>
  <c r="F463" i="22"/>
  <c r="E463" i="22"/>
  <c r="D463" i="22"/>
  <c r="J462" i="22"/>
  <c r="E457" i="22"/>
  <c r="F457" i="22" s="1"/>
  <c r="G457" i="22" s="1"/>
  <c r="H457" i="22" s="1"/>
  <c r="D457" i="22"/>
  <c r="H454" i="22"/>
  <c r="G454" i="22"/>
  <c r="F454" i="22"/>
  <c r="E454" i="22"/>
  <c r="D454" i="22"/>
  <c r="C454" i="22"/>
  <c r="J453" i="22"/>
  <c r="H453" i="22"/>
  <c r="G453" i="22"/>
  <c r="F453" i="22"/>
  <c r="E453" i="22"/>
  <c r="D453" i="22"/>
  <c r="C453" i="22"/>
  <c r="C413" i="22"/>
  <c r="H439" i="22"/>
  <c r="G439" i="22"/>
  <c r="F439" i="22"/>
  <c r="E439" i="22"/>
  <c r="D439" i="22"/>
  <c r="J438" i="22"/>
  <c r="D437" i="22"/>
  <c r="E437" i="22" s="1"/>
  <c r="D433" i="22"/>
  <c r="E431" i="22"/>
  <c r="F431" i="22" s="1"/>
  <c r="G431" i="22" s="1"/>
  <c r="H431" i="22" s="1"/>
  <c r="D431" i="22"/>
  <c r="H428" i="22"/>
  <c r="G428" i="22"/>
  <c r="F428" i="22"/>
  <c r="E428" i="22"/>
  <c r="D428" i="22"/>
  <c r="C428" i="22"/>
  <c r="J427" i="22"/>
  <c r="H427" i="22"/>
  <c r="G427" i="22"/>
  <c r="F427" i="22"/>
  <c r="E427" i="22"/>
  <c r="D427" i="22"/>
  <c r="C427" i="22"/>
  <c r="H415" i="22"/>
  <c r="G415" i="22"/>
  <c r="F415" i="22"/>
  <c r="E415" i="22"/>
  <c r="D415" i="22"/>
  <c r="J414" i="22"/>
  <c r="E407" i="22"/>
  <c r="F407" i="22" s="1"/>
  <c r="D407" i="22"/>
  <c r="E405" i="22"/>
  <c r="F405" i="22" s="1"/>
  <c r="G405" i="22" s="1"/>
  <c r="H405" i="22" s="1"/>
  <c r="D405" i="22"/>
  <c r="H402" i="22"/>
  <c r="G402" i="22"/>
  <c r="F402" i="22"/>
  <c r="E402" i="22"/>
  <c r="D402" i="22"/>
  <c r="C402" i="22"/>
  <c r="J401" i="22"/>
  <c r="H401" i="22"/>
  <c r="G401" i="22"/>
  <c r="F401" i="22"/>
  <c r="E401" i="22"/>
  <c r="D401" i="22"/>
  <c r="C401" i="22"/>
  <c r="H16" i="28"/>
  <c r="M25" i="32" s="1"/>
  <c r="G16" i="28"/>
  <c r="F16" i="28"/>
  <c r="E16" i="28"/>
  <c r="D16" i="28"/>
  <c r="H15" i="28"/>
  <c r="M23" i="32" s="1"/>
  <c r="G15" i="28"/>
  <c r="F15" i="28"/>
  <c r="E15" i="28"/>
  <c r="D15" i="28"/>
  <c r="H14" i="28"/>
  <c r="M21" i="32" s="1"/>
  <c r="G14" i="28"/>
  <c r="F14" i="28"/>
  <c r="E14" i="28"/>
  <c r="D14" i="28"/>
  <c r="H13" i="28"/>
  <c r="M19" i="32" s="1"/>
  <c r="G13" i="28"/>
  <c r="F13" i="28"/>
  <c r="E13" i="28"/>
  <c r="D13" i="28"/>
  <c r="H12" i="28"/>
  <c r="M17" i="32" s="1"/>
  <c r="G12" i="28"/>
  <c r="F12" i="28"/>
  <c r="E12" i="28"/>
  <c r="D12" i="28"/>
  <c r="C16" i="28"/>
  <c r="C15" i="28"/>
  <c r="C14" i="28"/>
  <c r="C13" i="28"/>
  <c r="C12" i="28"/>
  <c r="H158" i="25"/>
  <c r="G158" i="25"/>
  <c r="F158" i="25"/>
  <c r="E158" i="25"/>
  <c r="D158" i="25"/>
  <c r="C158" i="25"/>
  <c r="H151" i="25"/>
  <c r="G151" i="25"/>
  <c r="F151" i="25"/>
  <c r="E151" i="25"/>
  <c r="D151" i="25"/>
  <c r="C151" i="25"/>
  <c r="C148" i="25"/>
  <c r="H146" i="25"/>
  <c r="G146" i="25"/>
  <c r="F146" i="25"/>
  <c r="E146" i="25"/>
  <c r="D146" i="25"/>
  <c r="C146" i="25"/>
  <c r="F22" i="22" l="1"/>
  <c r="G53" i="22"/>
  <c r="H460" i="22"/>
  <c r="G108" i="22"/>
  <c r="G109" i="22" s="1"/>
  <c r="J532" i="22"/>
  <c r="H80" i="22"/>
  <c r="J408" i="22"/>
  <c r="H52" i="22"/>
  <c r="E491" i="22"/>
  <c r="E493" i="22"/>
  <c r="L76" i="28" s="1"/>
  <c r="E495" i="22"/>
  <c r="E489" i="22"/>
  <c r="D442" i="22"/>
  <c r="D448" i="22"/>
  <c r="D446" i="22"/>
  <c r="C446" i="22"/>
  <c r="J61" i="28"/>
  <c r="J68" i="28"/>
  <c r="J49" i="28" s="1"/>
  <c r="J36" i="28" s="1"/>
  <c r="C542" i="22"/>
  <c r="J77" i="28"/>
  <c r="C492" i="22"/>
  <c r="C444" i="22"/>
  <c r="K67" i="28"/>
  <c r="K69" i="28"/>
  <c r="C470" i="22"/>
  <c r="C459" i="22"/>
  <c r="C516" i="22"/>
  <c r="C509" i="22"/>
  <c r="H21" i="28"/>
  <c r="F23" i="28"/>
  <c r="D25" i="28"/>
  <c r="E22" i="28"/>
  <c r="H23" i="28"/>
  <c r="F25" i="28"/>
  <c r="F21" i="28"/>
  <c r="D23" i="28"/>
  <c r="G24" i="28"/>
  <c r="E21" i="28"/>
  <c r="F24" i="28"/>
  <c r="F22" i="28"/>
  <c r="D24" i="28"/>
  <c r="G25" i="28"/>
  <c r="D21" i="28"/>
  <c r="G22" i="28"/>
  <c r="E24" i="28"/>
  <c r="H25" i="28"/>
  <c r="H22" i="28"/>
  <c r="G21" i="28"/>
  <c r="E23" i="28"/>
  <c r="H24" i="28"/>
  <c r="D22" i="28"/>
  <c r="G23" i="28"/>
  <c r="E25" i="28"/>
  <c r="I52" i="28"/>
  <c r="I48" i="28"/>
  <c r="I47" i="28"/>
  <c r="I49" i="28"/>
  <c r="I50" i="28"/>
  <c r="K79" i="28"/>
  <c r="K81" i="28"/>
  <c r="K52" i="28" s="1"/>
  <c r="K29" i="28" s="1"/>
  <c r="J65" i="28"/>
  <c r="J63" i="28"/>
  <c r="K77" i="28"/>
  <c r="K75" i="28"/>
  <c r="K63" i="28"/>
  <c r="K65" i="28"/>
  <c r="K48" i="28" s="1"/>
  <c r="K27" i="28" s="1"/>
  <c r="K71" i="28"/>
  <c r="K73" i="28"/>
  <c r="K61" i="28"/>
  <c r="K59" i="28"/>
  <c r="E17" i="28"/>
  <c r="F17" i="28"/>
  <c r="C17" i="28"/>
  <c r="I13" i="28"/>
  <c r="G17" i="28"/>
  <c r="C418" i="22"/>
  <c r="C520" i="22"/>
  <c r="I12" i="28"/>
  <c r="I14" i="28"/>
  <c r="D17" i="28"/>
  <c r="I16" i="28"/>
  <c r="C420" i="22"/>
  <c r="I15" i="28"/>
  <c r="C422" i="22"/>
  <c r="C424" i="22"/>
  <c r="C518" i="22"/>
  <c r="C514" i="22"/>
  <c r="H17" i="28"/>
  <c r="H20" i="28" s="1"/>
  <c r="C466" i="22"/>
  <c r="C472" i="22"/>
  <c r="C468" i="22"/>
  <c r="J486" i="22"/>
  <c r="D444" i="22"/>
  <c r="D411" i="22"/>
  <c r="F411" i="22" s="1"/>
  <c r="G411" i="22" s="1"/>
  <c r="H411" i="22" s="1"/>
  <c r="D509" i="22"/>
  <c r="E509" i="22" s="1"/>
  <c r="E508" i="22" s="1"/>
  <c r="D413" i="22"/>
  <c r="E413" i="22" s="1"/>
  <c r="E412" i="22" s="1"/>
  <c r="D540" i="22"/>
  <c r="D492" i="22"/>
  <c r="D496" i="22"/>
  <c r="D538" i="22"/>
  <c r="D544" i="22"/>
  <c r="D490" i="22"/>
  <c r="D459" i="22"/>
  <c r="E459" i="22" s="1"/>
  <c r="F459" i="22" s="1"/>
  <c r="G459" i="22" s="1"/>
  <c r="H459" i="22" s="1"/>
  <c r="D542" i="22"/>
  <c r="F433" i="22"/>
  <c r="G433" i="22" s="1"/>
  <c r="H433" i="22" s="1"/>
  <c r="D494" i="22"/>
  <c r="E530" i="22"/>
  <c r="F483" i="22"/>
  <c r="G483" i="22" s="1"/>
  <c r="H483" i="22" s="1"/>
  <c r="F437" i="22"/>
  <c r="G437" i="22" s="1"/>
  <c r="H437" i="22" s="1"/>
  <c r="E436" i="22"/>
  <c r="G407" i="22"/>
  <c r="H407" i="22" s="1"/>
  <c r="F406" i="22"/>
  <c r="F30" i="32" l="1"/>
  <c r="F34" i="32"/>
  <c r="J40" i="28"/>
  <c r="N32" i="32"/>
  <c r="L77" i="28"/>
  <c r="H81" i="22"/>
  <c r="J80" i="22"/>
  <c r="J460" i="22"/>
  <c r="H108" i="22"/>
  <c r="H22" i="22" s="1"/>
  <c r="G22" i="22"/>
  <c r="H53" i="22"/>
  <c r="J52" i="22"/>
  <c r="E417" i="22"/>
  <c r="E421" i="22"/>
  <c r="L64" i="28" s="1"/>
  <c r="L48" i="28" s="1"/>
  <c r="L27" i="28" s="1"/>
  <c r="E423" i="22"/>
  <c r="E419" i="22"/>
  <c r="E445" i="22"/>
  <c r="E447" i="22"/>
  <c r="E448" i="22" s="1"/>
  <c r="E441" i="22"/>
  <c r="E442" i="22" s="1"/>
  <c r="E443" i="22"/>
  <c r="E517" i="22"/>
  <c r="E519" i="22"/>
  <c r="E513" i="22"/>
  <c r="E515" i="22"/>
  <c r="E541" i="22"/>
  <c r="L68" i="28" s="1"/>
  <c r="E543" i="22"/>
  <c r="E539" i="22"/>
  <c r="E537" i="22"/>
  <c r="E86" i="22"/>
  <c r="E58" i="22"/>
  <c r="J59" i="28"/>
  <c r="J75" i="28"/>
  <c r="L75" i="28"/>
  <c r="D470" i="22"/>
  <c r="F530" i="22"/>
  <c r="J69" i="28"/>
  <c r="J67" i="28"/>
  <c r="D516" i="22"/>
  <c r="K50" i="28"/>
  <c r="K28" i="28" s="1"/>
  <c r="J47" i="28"/>
  <c r="J35" i="28" s="1"/>
  <c r="K51" i="28"/>
  <c r="K37" i="28" s="1"/>
  <c r="J51" i="28"/>
  <c r="J37" i="28" s="1"/>
  <c r="L51" i="28"/>
  <c r="L37" i="28" s="1"/>
  <c r="K49" i="28"/>
  <c r="K36" i="28" s="1"/>
  <c r="K47" i="28"/>
  <c r="K35" i="28" s="1"/>
  <c r="J48" i="28"/>
  <c r="J27" i="28" s="1"/>
  <c r="E20" i="28"/>
  <c r="G20" i="28"/>
  <c r="D20" i="28"/>
  <c r="F20" i="28"/>
  <c r="D518" i="22"/>
  <c r="J72" i="28"/>
  <c r="D468" i="22"/>
  <c r="D514" i="22"/>
  <c r="D418" i="22"/>
  <c r="D422" i="22"/>
  <c r="D424" i="22"/>
  <c r="D466" i="22"/>
  <c r="D472" i="22"/>
  <c r="I17" i="28"/>
  <c r="D420" i="22"/>
  <c r="D520" i="22"/>
  <c r="F509" i="22"/>
  <c r="G509" i="22" s="1"/>
  <c r="H509" i="22" s="1"/>
  <c r="F413" i="22"/>
  <c r="G413" i="22" s="1"/>
  <c r="H413" i="22" s="1"/>
  <c r="E458" i="22"/>
  <c r="F432" i="22"/>
  <c r="F436" i="22"/>
  <c r="F482" i="22"/>
  <c r="G406" i="22"/>
  <c r="J12" i="28" l="1"/>
  <c r="O30" i="32"/>
  <c r="O32" i="32"/>
  <c r="O33" i="32" s="1"/>
  <c r="P34" i="32"/>
  <c r="N34" i="32"/>
  <c r="O34" i="32"/>
  <c r="N30" i="32"/>
  <c r="G30" i="32"/>
  <c r="G31" i="32" s="1"/>
  <c r="F32" i="32"/>
  <c r="K14" i="28"/>
  <c r="K13" i="28"/>
  <c r="J41" i="28"/>
  <c r="N33" i="32"/>
  <c r="K12" i="28"/>
  <c r="J39" i="28"/>
  <c r="E30" i="32"/>
  <c r="J31" i="28"/>
  <c r="L31" i="28"/>
  <c r="E444" i="22"/>
  <c r="L60" i="28"/>
  <c r="J22" i="22"/>
  <c r="H109" i="22"/>
  <c r="J108" i="22"/>
  <c r="E61" i="22"/>
  <c r="E65" i="22"/>
  <c r="E63" i="22"/>
  <c r="E67" i="22"/>
  <c r="L63" i="28"/>
  <c r="L65" i="28"/>
  <c r="E91" i="22"/>
  <c r="E95" i="22"/>
  <c r="E93" i="22"/>
  <c r="E89" i="22"/>
  <c r="E114" i="22"/>
  <c r="E469" i="22"/>
  <c r="E465" i="22"/>
  <c r="L80" i="28" s="1"/>
  <c r="E471" i="22"/>
  <c r="E467" i="22"/>
  <c r="H406" i="22"/>
  <c r="G436" i="22"/>
  <c r="G482" i="22"/>
  <c r="L67" i="28"/>
  <c r="L69" i="28"/>
  <c r="L49" i="28"/>
  <c r="L36" i="28" s="1"/>
  <c r="E446" i="22"/>
  <c r="G432" i="22"/>
  <c r="G530" i="22"/>
  <c r="K41" i="28"/>
  <c r="L41" i="28"/>
  <c r="K40" i="28"/>
  <c r="K39" i="28"/>
  <c r="K31" i="28"/>
  <c r="L72" i="28"/>
  <c r="L73" i="28" s="1"/>
  <c r="J79" i="28"/>
  <c r="J81" i="28"/>
  <c r="J71" i="28"/>
  <c r="J73" i="28"/>
  <c r="F410" i="22"/>
  <c r="F458" i="22"/>
  <c r="F114" i="22" s="1"/>
  <c r="F508" i="22"/>
  <c r="F86" i="22" s="1"/>
  <c r="F412" i="22"/>
  <c r="G412" i="22" s="1"/>
  <c r="H412" i="22" s="1"/>
  <c r="J412" i="22" s="1"/>
  <c r="P35" i="32" l="1"/>
  <c r="O17" i="32"/>
  <c r="L40" i="28"/>
  <c r="P32" i="32"/>
  <c r="P33" i="32" s="1"/>
  <c r="M19" i="25"/>
  <c r="E31" i="32"/>
  <c r="F31" i="32"/>
  <c r="N35" i="32"/>
  <c r="O35" i="32"/>
  <c r="M21" i="25"/>
  <c r="O21" i="32"/>
  <c r="M20" i="25"/>
  <c r="O19" i="32"/>
  <c r="J21" i="28"/>
  <c r="L51" i="25" s="1"/>
  <c r="N17" i="32"/>
  <c r="E117" i="22"/>
  <c r="E123" i="22"/>
  <c r="E119" i="22"/>
  <c r="E121" i="22"/>
  <c r="J406" i="22"/>
  <c r="F58" i="22"/>
  <c r="H436" i="22"/>
  <c r="G58" i="22"/>
  <c r="G410" i="22"/>
  <c r="F54" i="22"/>
  <c r="H432" i="22"/>
  <c r="L61" i="28"/>
  <c r="L59" i="28"/>
  <c r="L47" i="28"/>
  <c r="L35" i="28" s="1"/>
  <c r="H530" i="22"/>
  <c r="H482" i="22"/>
  <c r="J50" i="28"/>
  <c r="J28" i="28" s="1"/>
  <c r="J52" i="28"/>
  <c r="J29" i="28" s="1"/>
  <c r="L50" i="28"/>
  <c r="L28" i="28" s="1"/>
  <c r="L19" i="25"/>
  <c r="K21" i="28"/>
  <c r="M51" i="25" s="1"/>
  <c r="L71" i="28"/>
  <c r="L81" i="28"/>
  <c r="G508" i="22"/>
  <c r="G86" i="22" s="1"/>
  <c r="G458" i="22"/>
  <c r="G114" i="22" s="1"/>
  <c r="P30" i="32" l="1"/>
  <c r="G32" i="32"/>
  <c r="L14" i="28"/>
  <c r="E32" i="32"/>
  <c r="E33" i="32" s="1"/>
  <c r="J14" i="28"/>
  <c r="E34" i="32"/>
  <c r="E35" i="32" s="1"/>
  <c r="J13" i="28"/>
  <c r="K33" i="28"/>
  <c r="K32" i="28"/>
  <c r="G54" i="22"/>
  <c r="J436" i="22"/>
  <c r="H58" i="22"/>
  <c r="H410" i="22"/>
  <c r="J530" i="22"/>
  <c r="J482" i="22"/>
  <c r="J432" i="22"/>
  <c r="L39" i="28"/>
  <c r="L12" i="28"/>
  <c r="J33" i="28"/>
  <c r="L32" i="28"/>
  <c r="J32" i="28"/>
  <c r="L79" i="28"/>
  <c r="L52" i="28" s="1"/>
  <c r="L29" i="28" s="1"/>
  <c r="H508" i="22"/>
  <c r="H86" i="22" s="1"/>
  <c r="H458" i="22"/>
  <c r="H114" i="22" s="1"/>
  <c r="P17" i="32" l="1"/>
  <c r="N19" i="32"/>
  <c r="N21" i="32"/>
  <c r="F33" i="32"/>
  <c r="F35" i="32"/>
  <c r="G34" i="32"/>
  <c r="G35" i="32" s="1"/>
  <c r="L13" i="28"/>
  <c r="G33" i="32"/>
  <c r="K23" i="28"/>
  <c r="M53" i="25" s="1"/>
  <c r="H54" i="22"/>
  <c r="J410" i="22"/>
  <c r="L21" i="28"/>
  <c r="N51" i="25" s="1"/>
  <c r="N19" i="25"/>
  <c r="L21" i="25"/>
  <c r="J23" i="28"/>
  <c r="L53" i="25" s="1"/>
  <c r="L33" i="28"/>
  <c r="L20" i="25"/>
  <c r="K22" i="28"/>
  <c r="M52" i="25" s="1"/>
  <c r="J22" i="28"/>
  <c r="L52" i="25" s="1"/>
  <c r="J458" i="22"/>
  <c r="J508" i="22"/>
  <c r="P19" i="32" l="1"/>
  <c r="P20" i="32" s="1"/>
  <c r="L22" i="28"/>
  <c r="N52" i="25" s="1"/>
  <c r="N20" i="25"/>
  <c r="L23" i="28"/>
  <c r="N53" i="25" s="1"/>
  <c r="P21" i="32"/>
  <c r="N20" i="32"/>
  <c r="O20" i="32"/>
  <c r="N21" i="25"/>
  <c r="H256" i="22" l="1"/>
  <c r="J369" i="22"/>
  <c r="J341" i="22"/>
  <c r="J313" i="22"/>
  <c r="J255" i="22"/>
  <c r="J233" i="22"/>
  <c r="J211" i="22"/>
  <c r="J181" i="22"/>
  <c r="J153" i="22"/>
  <c r="J127" i="22"/>
  <c r="J99" i="22"/>
  <c r="J71" i="22"/>
  <c r="J43" i="22"/>
  <c r="S76" i="25"/>
  <c r="S106" i="25" s="1"/>
  <c r="J76" i="25"/>
  <c r="J106" i="25" s="1"/>
  <c r="L35" i="25"/>
  <c r="H135" i="25"/>
  <c r="C383" i="22" s="1"/>
  <c r="G135" i="25"/>
  <c r="G139" i="25" s="1"/>
  <c r="F135" i="25"/>
  <c r="F139" i="25" s="1"/>
  <c r="E135" i="25"/>
  <c r="E139" i="25" s="1"/>
  <c r="D135" i="25"/>
  <c r="D139" i="25" s="1"/>
  <c r="C135" i="25"/>
  <c r="C139" i="25" s="1"/>
  <c r="E373" i="22"/>
  <c r="F373" i="22" s="1"/>
  <c r="D373" i="22"/>
  <c r="E375" i="22"/>
  <c r="F375" i="22" s="1"/>
  <c r="F374" i="22" s="1"/>
  <c r="D375" i="22"/>
  <c r="D377" i="22"/>
  <c r="D379" i="22"/>
  <c r="D381" i="22"/>
  <c r="E381" i="22" s="1"/>
  <c r="D385" i="22"/>
  <c r="H387" i="22"/>
  <c r="G387" i="22"/>
  <c r="F387" i="22"/>
  <c r="E387" i="22"/>
  <c r="D387" i="22"/>
  <c r="H344" i="22"/>
  <c r="E157" i="22"/>
  <c r="F157" i="22" s="1"/>
  <c r="G157" i="22" s="1"/>
  <c r="H157" i="22" s="1"/>
  <c r="D157" i="22"/>
  <c r="E131" i="22"/>
  <c r="F131" i="22" s="1"/>
  <c r="G131" i="22" s="1"/>
  <c r="H131" i="22" s="1"/>
  <c r="E47" i="22"/>
  <c r="F47" i="22" s="1"/>
  <c r="E75" i="22"/>
  <c r="F75" i="22" s="1"/>
  <c r="G75" i="22" s="1"/>
  <c r="H75" i="22" s="1"/>
  <c r="D75" i="22"/>
  <c r="E103" i="22"/>
  <c r="F103" i="22" s="1"/>
  <c r="G103" i="22" s="1"/>
  <c r="H103" i="22" s="1"/>
  <c r="J386" i="22"/>
  <c r="J346" i="22"/>
  <c r="J316" i="22"/>
  <c r="J260" i="22"/>
  <c r="J258" i="22"/>
  <c r="J238" i="22"/>
  <c r="J236" i="22"/>
  <c r="J216" i="22"/>
  <c r="J194" i="22"/>
  <c r="J26" i="22"/>
  <c r="H195" i="22"/>
  <c r="G195" i="22"/>
  <c r="E195" i="22"/>
  <c r="D195" i="22"/>
  <c r="C195" i="22"/>
  <c r="H27" i="22"/>
  <c r="E74" i="27"/>
  <c r="C74" i="27"/>
  <c r="E71" i="27"/>
  <c r="C70" i="27"/>
  <c r="C65" i="27"/>
  <c r="C61" i="27"/>
  <c r="C60" i="27"/>
  <c r="E56" i="27"/>
  <c r="E55" i="27"/>
  <c r="E54" i="27"/>
  <c r="E53" i="27"/>
  <c r="E52" i="27"/>
  <c r="C56" i="27"/>
  <c r="C55" i="27"/>
  <c r="C54" i="27"/>
  <c r="C53" i="27"/>
  <c r="C52" i="27"/>
  <c r="C8" i="27"/>
  <c r="H214" i="25"/>
  <c r="G214" i="25"/>
  <c r="F214" i="25"/>
  <c r="E214" i="25"/>
  <c r="D214" i="25"/>
  <c r="C214" i="25"/>
  <c r="H211" i="25"/>
  <c r="G211" i="25"/>
  <c r="F211" i="25"/>
  <c r="E211" i="25"/>
  <c r="D211" i="25"/>
  <c r="C211" i="25"/>
  <c r="C186" i="25"/>
  <c r="C180" i="25"/>
  <c r="C172" i="25"/>
  <c r="H175" i="25"/>
  <c r="G175" i="25"/>
  <c r="F175" i="25"/>
  <c r="E175" i="25"/>
  <c r="D175" i="25"/>
  <c r="C175" i="25"/>
  <c r="H174" i="25"/>
  <c r="G174" i="25"/>
  <c r="F174" i="25"/>
  <c r="E174" i="25"/>
  <c r="D174" i="25"/>
  <c r="C174" i="25"/>
  <c r="C166" i="25"/>
  <c r="C134" i="25"/>
  <c r="H100" i="25"/>
  <c r="G100" i="25"/>
  <c r="F100" i="25"/>
  <c r="E100" i="25"/>
  <c r="D100" i="25"/>
  <c r="H99" i="25"/>
  <c r="G99" i="25"/>
  <c r="F99" i="25"/>
  <c r="E99" i="25"/>
  <c r="D99" i="25"/>
  <c r="H98" i="25"/>
  <c r="G98" i="25"/>
  <c r="F98" i="25"/>
  <c r="E98" i="25"/>
  <c r="D98" i="25"/>
  <c r="C100" i="25"/>
  <c r="C99" i="25"/>
  <c r="C98" i="25"/>
  <c r="H94" i="25"/>
  <c r="G94" i="25"/>
  <c r="F94" i="25"/>
  <c r="E94" i="25"/>
  <c r="D94" i="25"/>
  <c r="C94" i="25"/>
  <c r="H93" i="25"/>
  <c r="G93" i="25"/>
  <c r="F93" i="25"/>
  <c r="E93" i="25"/>
  <c r="D93" i="25"/>
  <c r="C93" i="25"/>
  <c r="H92" i="25"/>
  <c r="G92" i="25"/>
  <c r="F92" i="25"/>
  <c r="E92" i="25"/>
  <c r="D92" i="25"/>
  <c r="C92" i="25"/>
  <c r="H91" i="25"/>
  <c r="G91" i="25"/>
  <c r="F91" i="25"/>
  <c r="E91" i="25"/>
  <c r="D91" i="25"/>
  <c r="C91" i="25"/>
  <c r="H90" i="25"/>
  <c r="G90" i="25"/>
  <c r="F90" i="25"/>
  <c r="E90" i="25"/>
  <c r="D90" i="25"/>
  <c r="C90" i="25"/>
  <c r="H89" i="25"/>
  <c r="G89" i="25"/>
  <c r="F89" i="25"/>
  <c r="E89" i="25"/>
  <c r="D89" i="25"/>
  <c r="C89" i="25"/>
  <c r="H85" i="25"/>
  <c r="G85" i="25"/>
  <c r="F85" i="25"/>
  <c r="E85" i="25"/>
  <c r="D85" i="25"/>
  <c r="C85" i="25"/>
  <c r="H84" i="25"/>
  <c r="G84" i="25"/>
  <c r="F84" i="25"/>
  <c r="E84" i="25"/>
  <c r="D84" i="25"/>
  <c r="C84" i="25"/>
  <c r="H83" i="25"/>
  <c r="G83" i="25"/>
  <c r="F83" i="25"/>
  <c r="E83" i="25"/>
  <c r="D83" i="25"/>
  <c r="C83" i="25"/>
  <c r="H82" i="25"/>
  <c r="G82" i="25"/>
  <c r="F82" i="25"/>
  <c r="E82" i="25"/>
  <c r="D82" i="25"/>
  <c r="C82" i="25"/>
  <c r="H81" i="25"/>
  <c r="G81" i="25"/>
  <c r="F81" i="25"/>
  <c r="E81" i="25"/>
  <c r="D81" i="25"/>
  <c r="C81" i="25"/>
  <c r="H80" i="25"/>
  <c r="C33" i="27" s="1"/>
  <c r="H19" i="16" s="1"/>
  <c r="G80" i="25"/>
  <c r="F80" i="25"/>
  <c r="E80" i="25"/>
  <c r="D80" i="25"/>
  <c r="C80" i="25"/>
  <c r="H44" i="25"/>
  <c r="G44" i="25"/>
  <c r="F44" i="25"/>
  <c r="E44" i="25"/>
  <c r="D44" i="25"/>
  <c r="C44" i="25"/>
  <c r="H41" i="25"/>
  <c r="E61" i="27" s="1"/>
  <c r="E69" i="27" s="1"/>
  <c r="G41" i="25"/>
  <c r="F41" i="25"/>
  <c r="E41" i="25"/>
  <c r="D41" i="25"/>
  <c r="C41" i="25"/>
  <c r="H38" i="25"/>
  <c r="E65" i="27" s="1"/>
  <c r="G38" i="25"/>
  <c r="F38" i="25"/>
  <c r="E38" i="25"/>
  <c r="D38" i="25"/>
  <c r="C38" i="25"/>
  <c r="H30" i="25"/>
  <c r="G30" i="25"/>
  <c r="F30" i="25"/>
  <c r="E30" i="25"/>
  <c r="D30" i="25"/>
  <c r="H29" i="25"/>
  <c r="G29" i="25"/>
  <c r="F29" i="25"/>
  <c r="E29" i="25"/>
  <c r="D29" i="25"/>
  <c r="C30" i="25"/>
  <c r="C29" i="25"/>
  <c r="H26" i="25"/>
  <c r="G26" i="25"/>
  <c r="F26" i="25"/>
  <c r="E26" i="25"/>
  <c r="D26" i="25"/>
  <c r="C26" i="25"/>
  <c r="H23" i="25"/>
  <c r="C135" i="22" s="1"/>
  <c r="G23" i="25"/>
  <c r="F23" i="25"/>
  <c r="E23" i="25"/>
  <c r="D23" i="25"/>
  <c r="H22" i="25"/>
  <c r="G22" i="25"/>
  <c r="F22" i="25"/>
  <c r="E22" i="25"/>
  <c r="D22" i="25"/>
  <c r="H21" i="25"/>
  <c r="G21" i="25"/>
  <c r="F21" i="25"/>
  <c r="E21" i="25"/>
  <c r="D21" i="25"/>
  <c r="H20" i="25"/>
  <c r="G20" i="25"/>
  <c r="F20" i="25"/>
  <c r="E20" i="25"/>
  <c r="D20" i="25"/>
  <c r="H19" i="25"/>
  <c r="G19" i="25"/>
  <c r="F19" i="25"/>
  <c r="E19" i="25"/>
  <c r="D19" i="25"/>
  <c r="C23" i="25"/>
  <c r="C22" i="25"/>
  <c r="C21" i="25"/>
  <c r="C20" i="25"/>
  <c r="C19" i="25"/>
  <c r="G17" i="25"/>
  <c r="G10" i="28" s="1"/>
  <c r="F17" i="25"/>
  <c r="F10" i="28" s="1"/>
  <c r="E17" i="25"/>
  <c r="E10" i="28" s="1"/>
  <c r="D17" i="25"/>
  <c r="D10" i="28" s="1"/>
  <c r="C17" i="25"/>
  <c r="C10" i="28" s="1"/>
  <c r="G16" i="25"/>
  <c r="G9" i="28" s="1"/>
  <c r="F16" i="25"/>
  <c r="F9" i="28" s="1"/>
  <c r="E16" i="25"/>
  <c r="E9" i="28" s="1"/>
  <c r="D16" i="25"/>
  <c r="D9" i="28" s="1"/>
  <c r="C16" i="25"/>
  <c r="H17" i="25"/>
  <c r="H16" i="25"/>
  <c r="H9" i="28" s="1"/>
  <c r="AP113" i="8"/>
  <c r="AP7" i="8"/>
  <c r="AP71" i="8" s="1"/>
  <c r="AG4" i="10"/>
  <c r="AL84" i="10"/>
  <c r="AJ84" i="10"/>
  <c r="AP83" i="10"/>
  <c r="AN83" i="10"/>
  <c r="AH83" i="10"/>
  <c r="AF83" i="10"/>
  <c r="AL82" i="10"/>
  <c r="AJ82" i="10"/>
  <c r="AI82" i="10"/>
  <c r="AP81" i="10"/>
  <c r="AH81" i="10"/>
  <c r="AL42" i="10"/>
  <c r="AJ42" i="10"/>
  <c r="AI42" i="10"/>
  <c r="AP41" i="10"/>
  <c r="AN41" i="10"/>
  <c r="AM41" i="10"/>
  <c r="AH41" i="10"/>
  <c r="AF41" i="10"/>
  <c r="AL40" i="10"/>
  <c r="AJ40" i="10"/>
  <c r="AP39" i="10"/>
  <c r="AN39" i="10"/>
  <c r="AH39" i="10"/>
  <c r="AK13" i="10"/>
  <c r="AI13" i="10"/>
  <c r="AH13" i="10"/>
  <c r="AM12" i="10"/>
  <c r="AF11" i="10"/>
  <c r="AE11" i="10"/>
  <c r="AK10" i="10"/>
  <c r="AI10" i="10"/>
  <c r="AH10" i="10"/>
  <c r="AN9" i="10"/>
  <c r="AL9" i="10"/>
  <c r="AK9" i="10"/>
  <c r="AF9" i="10"/>
  <c r="H370" i="22"/>
  <c r="G370" i="22"/>
  <c r="F370" i="22"/>
  <c r="E370" i="22"/>
  <c r="D370" i="22"/>
  <c r="C370" i="22"/>
  <c r="H369" i="22"/>
  <c r="G369" i="22"/>
  <c r="F369" i="22"/>
  <c r="E369" i="22"/>
  <c r="D369" i="22"/>
  <c r="C369" i="22"/>
  <c r="G342" i="22"/>
  <c r="F342" i="22"/>
  <c r="E342" i="22"/>
  <c r="D342" i="22"/>
  <c r="C342" i="22"/>
  <c r="H341" i="22"/>
  <c r="G341" i="22"/>
  <c r="F341" i="22"/>
  <c r="E341" i="22"/>
  <c r="D341" i="22"/>
  <c r="C341" i="22"/>
  <c r="G314" i="22"/>
  <c r="F314" i="22"/>
  <c r="E314" i="22"/>
  <c r="D314" i="22"/>
  <c r="C314" i="22"/>
  <c r="H313" i="22"/>
  <c r="G313" i="22"/>
  <c r="F313" i="22"/>
  <c r="E313" i="22"/>
  <c r="D313" i="22"/>
  <c r="C313" i="22"/>
  <c r="G256" i="22"/>
  <c r="F256" i="22"/>
  <c r="E256" i="22"/>
  <c r="D256" i="22"/>
  <c r="C256" i="22"/>
  <c r="H255" i="22"/>
  <c r="G255" i="22"/>
  <c r="F255" i="22"/>
  <c r="E255" i="22"/>
  <c r="D255" i="22"/>
  <c r="C255" i="22"/>
  <c r="H234" i="22"/>
  <c r="G234" i="22"/>
  <c r="F234" i="22"/>
  <c r="E234" i="22"/>
  <c r="D234" i="22"/>
  <c r="C234" i="22"/>
  <c r="H233" i="22"/>
  <c r="G233" i="22"/>
  <c r="F233" i="22"/>
  <c r="E233" i="22"/>
  <c r="D233" i="22"/>
  <c r="C233" i="22"/>
  <c r="G212" i="22"/>
  <c r="F212" i="22"/>
  <c r="E212" i="22"/>
  <c r="D212" i="22"/>
  <c r="C212" i="22"/>
  <c r="H211" i="22"/>
  <c r="G211" i="22"/>
  <c r="F211" i="22"/>
  <c r="E211" i="22"/>
  <c r="D211" i="22"/>
  <c r="C211" i="22"/>
  <c r="G182" i="22"/>
  <c r="F182" i="22"/>
  <c r="E182" i="22"/>
  <c r="D182" i="22"/>
  <c r="C182" i="22"/>
  <c r="H181" i="22"/>
  <c r="G181" i="22"/>
  <c r="F181" i="22"/>
  <c r="E181" i="22"/>
  <c r="D181" i="22"/>
  <c r="C181" i="22"/>
  <c r="G154" i="22"/>
  <c r="F154" i="22"/>
  <c r="E154" i="22"/>
  <c r="D154" i="22"/>
  <c r="C154" i="22"/>
  <c r="H153" i="22"/>
  <c r="G153" i="22"/>
  <c r="F153" i="22"/>
  <c r="E153" i="22"/>
  <c r="D153" i="22"/>
  <c r="C153" i="22"/>
  <c r="H128" i="22"/>
  <c r="G128" i="22"/>
  <c r="F128" i="22"/>
  <c r="E128" i="22"/>
  <c r="D128" i="22"/>
  <c r="C128" i="22"/>
  <c r="H127" i="22"/>
  <c r="G127" i="22"/>
  <c r="F127" i="22"/>
  <c r="E127" i="22"/>
  <c r="D127" i="22"/>
  <c r="C127" i="22"/>
  <c r="G100" i="22"/>
  <c r="F100" i="22"/>
  <c r="E100" i="22"/>
  <c r="D100" i="22"/>
  <c r="C100" i="22"/>
  <c r="H99" i="22"/>
  <c r="G99" i="22"/>
  <c r="F99" i="22"/>
  <c r="E99" i="22"/>
  <c r="D99" i="22"/>
  <c r="C99" i="22"/>
  <c r="G72" i="22"/>
  <c r="F72" i="22"/>
  <c r="E72" i="22"/>
  <c r="D72" i="22"/>
  <c r="C72" i="22"/>
  <c r="H71" i="22"/>
  <c r="G71" i="22"/>
  <c r="F71" i="22"/>
  <c r="E71" i="22"/>
  <c r="D71" i="22"/>
  <c r="C71" i="22"/>
  <c r="G44" i="22"/>
  <c r="F44" i="22"/>
  <c r="E44" i="22"/>
  <c r="D44" i="22"/>
  <c r="C44" i="22"/>
  <c r="H43" i="22"/>
  <c r="G43" i="22"/>
  <c r="F43" i="22"/>
  <c r="E43" i="22"/>
  <c r="D43" i="22"/>
  <c r="C43" i="22"/>
  <c r="J214" i="22"/>
  <c r="H184" i="22"/>
  <c r="J184" i="22" s="1"/>
  <c r="H317" i="22"/>
  <c r="AC3" i="9"/>
  <c r="AQ3" i="9" s="1"/>
  <c r="Y13" i="10"/>
  <c r="AO13" i="10" s="1"/>
  <c r="Y12" i="10"/>
  <c r="AO12" i="10" s="1"/>
  <c r="Y11" i="10"/>
  <c r="Y14" i="10" s="1"/>
  <c r="Y10" i="10"/>
  <c r="AO10" i="10" s="1"/>
  <c r="Y9" i="10"/>
  <c r="AO9" i="10" s="1"/>
  <c r="Y42" i="10"/>
  <c r="AO42" i="10" s="1"/>
  <c r="Y41" i="10"/>
  <c r="AL41" i="10" s="1"/>
  <c r="Y40" i="10"/>
  <c r="AO40" i="10" s="1"/>
  <c r="Y39" i="10"/>
  <c r="AM39" i="10" s="1"/>
  <c r="U13" i="10"/>
  <c r="AJ13" i="10" s="1"/>
  <c r="U12" i="10"/>
  <c r="AJ12" i="10" s="1"/>
  <c r="U11" i="10"/>
  <c r="AK11" i="10" s="1"/>
  <c r="U10" i="10"/>
  <c r="AJ10" i="10" s="1"/>
  <c r="U9" i="10"/>
  <c r="AJ9" i="10" s="1"/>
  <c r="U42" i="10"/>
  <c r="AH42" i="10" s="1"/>
  <c r="U41" i="10"/>
  <c r="AK41" i="10" s="1"/>
  <c r="U40" i="10"/>
  <c r="AI40" i="10" s="1"/>
  <c r="U39" i="10"/>
  <c r="AK39" i="10" s="1"/>
  <c r="Q13" i="10"/>
  <c r="AE13" i="10" s="1"/>
  <c r="Q12" i="10"/>
  <c r="AG12" i="10" s="1"/>
  <c r="Q11" i="10"/>
  <c r="AG11" i="10" s="1"/>
  <c r="Q10" i="10"/>
  <c r="AE10" i="10" s="1"/>
  <c r="Q9" i="10"/>
  <c r="AG9" i="10" s="1"/>
  <c r="Q42" i="10"/>
  <c r="AG42" i="10" s="1"/>
  <c r="Q41" i="10"/>
  <c r="AE41" i="10" s="1"/>
  <c r="Q40" i="10"/>
  <c r="AG40" i="10" s="1"/>
  <c r="Q39" i="10"/>
  <c r="AE39" i="10" s="1"/>
  <c r="Y65" i="10"/>
  <c r="Y64" i="10"/>
  <c r="Y63" i="10"/>
  <c r="Y62" i="10"/>
  <c r="U64" i="10"/>
  <c r="U63" i="10"/>
  <c r="U62" i="10"/>
  <c r="U65" i="10"/>
  <c r="Q64" i="10"/>
  <c r="Q63" i="10"/>
  <c r="Q62" i="10"/>
  <c r="Q65" i="10"/>
  <c r="Q84" i="10"/>
  <c r="AG84" i="10" s="1"/>
  <c r="Q83" i="10"/>
  <c r="AE83" i="10" s="1"/>
  <c r="Q82" i="10"/>
  <c r="AG82" i="10" s="1"/>
  <c r="Q81" i="10"/>
  <c r="AE81" i="10" s="1"/>
  <c r="U84" i="10"/>
  <c r="AI84" i="10" s="1"/>
  <c r="U83" i="10"/>
  <c r="AK83" i="10" s="1"/>
  <c r="U82" i="10"/>
  <c r="AH82" i="10" s="1"/>
  <c r="U81" i="10"/>
  <c r="AK81" i="10" s="1"/>
  <c r="Y84" i="10"/>
  <c r="AO84" i="10" s="1"/>
  <c r="Y83" i="10"/>
  <c r="AM83" i="10" s="1"/>
  <c r="Y82" i="10"/>
  <c r="AO82" i="10" s="1"/>
  <c r="Y81" i="10"/>
  <c r="AM81" i="10" s="1"/>
  <c r="L84" i="10"/>
  <c r="AC83" i="10"/>
  <c r="AC101" i="10" s="1"/>
  <c r="AC82" i="10"/>
  <c r="AC100" i="10" s="1"/>
  <c r="AC81" i="10"/>
  <c r="AC99" i="10" s="1"/>
  <c r="AC65" i="10"/>
  <c r="AC71" i="10" s="1"/>
  <c r="AC64" i="10"/>
  <c r="AC70" i="10" s="1"/>
  <c r="AC63" i="10"/>
  <c r="AC74" i="10" s="1"/>
  <c r="AC62" i="10"/>
  <c r="AC73" i="10" s="1"/>
  <c r="AC42" i="10"/>
  <c r="AP42" i="10" s="1"/>
  <c r="AP54" i="10" s="1"/>
  <c r="AC41" i="10"/>
  <c r="AC40" i="10"/>
  <c r="AP40" i="10" s="1"/>
  <c r="AP52" i="10" s="1"/>
  <c r="AC39" i="10"/>
  <c r="AC56" i="10" s="1"/>
  <c r="AC13" i="10"/>
  <c r="AC10" i="9" s="1"/>
  <c r="AC12" i="10"/>
  <c r="AC33" i="10" s="1"/>
  <c r="AC11" i="10"/>
  <c r="AC26" i="10" s="1"/>
  <c r="AC10" i="10"/>
  <c r="AC31" i="10" s="1"/>
  <c r="AC9" i="10"/>
  <c r="AC24" i="10" s="1"/>
  <c r="AB4" i="10"/>
  <c r="AO4" i="10" s="1"/>
  <c r="AA4" i="10"/>
  <c r="AN4" i="10" s="1"/>
  <c r="Z4" i="10"/>
  <c r="AM4" i="10" s="1"/>
  <c r="X4" i="10"/>
  <c r="AK4" i="10" s="1"/>
  <c r="W4" i="10"/>
  <c r="AJ4" i="10" s="1"/>
  <c r="V4" i="10"/>
  <c r="AI4" i="10" s="1"/>
  <c r="T4" i="10"/>
  <c r="S4" i="10"/>
  <c r="AF4" i="10" s="1"/>
  <c r="R4" i="10"/>
  <c r="AE4" i="10" s="1"/>
  <c r="P4" i="10"/>
  <c r="O4" i="10"/>
  <c r="AC3" i="10"/>
  <c r="AP3" i="10" s="1"/>
  <c r="AB3" i="10"/>
  <c r="AO3" i="10" s="1"/>
  <c r="AA3" i="10"/>
  <c r="AN3" i="10" s="1"/>
  <c r="Z3" i="10"/>
  <c r="AM3" i="10" s="1"/>
  <c r="Y3" i="10"/>
  <c r="AL3" i="10" s="1"/>
  <c r="X3" i="10"/>
  <c r="AK3" i="10" s="1"/>
  <c r="W3" i="10"/>
  <c r="AJ3" i="10" s="1"/>
  <c r="V3" i="10"/>
  <c r="AI3" i="10" s="1"/>
  <c r="U3" i="10"/>
  <c r="AH3" i="10" s="1"/>
  <c r="T3" i="10"/>
  <c r="AG3" i="10" s="1"/>
  <c r="S3" i="10"/>
  <c r="AF3" i="10" s="1"/>
  <c r="R3" i="10"/>
  <c r="AE3" i="10" s="1"/>
  <c r="Q3" i="10"/>
  <c r="P3" i="10"/>
  <c r="O3" i="10"/>
  <c r="N4" i="10"/>
  <c r="N3" i="10"/>
  <c r="AC94" i="10"/>
  <c r="AC75" i="10"/>
  <c r="AC59" i="10"/>
  <c r="AC57" i="10"/>
  <c r="AC54" i="10"/>
  <c r="AC52" i="10"/>
  <c r="AC34" i="10"/>
  <c r="AC27" i="10"/>
  <c r="L68" i="9"/>
  <c r="L67" i="9"/>
  <c r="L66" i="9"/>
  <c r="L64" i="9"/>
  <c r="L63" i="9"/>
  <c r="L58" i="9"/>
  <c r="L57" i="9"/>
  <c r="L56" i="9"/>
  <c r="L55" i="9"/>
  <c r="L51" i="9"/>
  <c r="L50" i="9"/>
  <c r="L49" i="9"/>
  <c r="L43" i="9"/>
  <c r="L42" i="9"/>
  <c r="L41" i="9"/>
  <c r="L40" i="9"/>
  <c r="L39" i="9"/>
  <c r="L34" i="9"/>
  <c r="L33" i="9"/>
  <c r="L32" i="9"/>
  <c r="L28" i="9"/>
  <c r="L24" i="9"/>
  <c r="L20" i="9"/>
  <c r="L19" i="9"/>
  <c r="L15" i="9"/>
  <c r="L10" i="9"/>
  <c r="L9" i="9"/>
  <c r="L8" i="9"/>
  <c r="L7" i="9"/>
  <c r="L6" i="9"/>
  <c r="L4" i="9"/>
  <c r="L3" i="9"/>
  <c r="AC3" i="24"/>
  <c r="AP3" i="24" s="1"/>
  <c r="L51" i="24"/>
  <c r="L57" i="24" s="1"/>
  <c r="L41" i="24"/>
  <c r="L36" i="24"/>
  <c r="L59" i="24" s="1"/>
  <c r="L31" i="24"/>
  <c r="L42" i="24" s="1"/>
  <c r="L15" i="24"/>
  <c r="L14" i="24"/>
  <c r="L13" i="24"/>
  <c r="L9" i="24"/>
  <c r="L8" i="24"/>
  <c r="L4" i="24"/>
  <c r="L3" i="24"/>
  <c r="AB14" i="10"/>
  <c r="AA14" i="10"/>
  <c r="Z14" i="10"/>
  <c r="X14" i="10"/>
  <c r="W14" i="10"/>
  <c r="V14" i="10"/>
  <c r="T14" i="10"/>
  <c r="S14" i="10"/>
  <c r="R14" i="10"/>
  <c r="P14" i="10"/>
  <c r="O14" i="10"/>
  <c r="N14" i="10"/>
  <c r="L14" i="10"/>
  <c r="L18" i="10" s="1"/>
  <c r="K14" i="10"/>
  <c r="J14" i="10"/>
  <c r="I14" i="10"/>
  <c r="H14" i="10"/>
  <c r="G14" i="10"/>
  <c r="F14" i="10"/>
  <c r="E14" i="10"/>
  <c r="D14" i="10"/>
  <c r="L85" i="10"/>
  <c r="L91" i="10" s="1"/>
  <c r="L96" i="10"/>
  <c r="L95" i="10"/>
  <c r="L94" i="10"/>
  <c r="L71" i="10"/>
  <c r="L70" i="10"/>
  <c r="L69" i="10"/>
  <c r="L68" i="10"/>
  <c r="L54" i="10"/>
  <c r="L53" i="10"/>
  <c r="L52" i="10"/>
  <c r="L51" i="10"/>
  <c r="L43" i="10"/>
  <c r="L49" i="10" s="1"/>
  <c r="L28" i="10"/>
  <c r="L27" i="10"/>
  <c r="L26" i="10"/>
  <c r="L25" i="10"/>
  <c r="L24" i="10"/>
  <c r="L4" i="10"/>
  <c r="L3" i="10"/>
  <c r="AC125" i="8"/>
  <c r="AC34" i="9" s="1"/>
  <c r="AC116" i="8"/>
  <c r="AP116" i="8" s="1"/>
  <c r="AC117" i="8"/>
  <c r="AP117" i="8" s="1"/>
  <c r="AC106" i="8"/>
  <c r="AP106" i="8" s="1"/>
  <c r="AC103" i="8"/>
  <c r="AP103" i="8" s="1"/>
  <c r="AC96" i="8"/>
  <c r="AP96" i="8" s="1"/>
  <c r="AC88" i="8"/>
  <c r="AP88" i="8" s="1"/>
  <c r="AO54" i="8"/>
  <c r="AN54" i="8"/>
  <c r="AM54" i="8"/>
  <c r="AL54" i="8"/>
  <c r="AK54" i="8"/>
  <c r="AJ54" i="8"/>
  <c r="AI54" i="8"/>
  <c r="AH54" i="8"/>
  <c r="AG54" i="8"/>
  <c r="AF54" i="8"/>
  <c r="AE54" i="8"/>
  <c r="AC64" i="8"/>
  <c r="AP64" i="8" s="1"/>
  <c r="AC63" i="8"/>
  <c r="AP63" i="8" s="1"/>
  <c r="AC62" i="8"/>
  <c r="AC59" i="8"/>
  <c r="AP59" i="8" s="1"/>
  <c r="AC58" i="8"/>
  <c r="AC68" i="9" s="1"/>
  <c r="AQ68" i="9" s="1"/>
  <c r="AC55" i="8"/>
  <c r="AP55" i="8" s="1"/>
  <c r="AC54" i="8"/>
  <c r="AC66" i="9" s="1"/>
  <c r="AC53" i="8"/>
  <c r="AP53" i="8" s="1"/>
  <c r="AC52" i="8"/>
  <c r="AC14" i="24" s="1"/>
  <c r="AC51" i="8"/>
  <c r="AC13" i="24" s="1"/>
  <c r="AC48" i="8"/>
  <c r="AP48" i="8" s="1"/>
  <c r="AC47" i="8"/>
  <c r="AC51" i="9" s="1"/>
  <c r="AQ51" i="9" s="1"/>
  <c r="AC46" i="8"/>
  <c r="AC58" i="9" s="1"/>
  <c r="AQ58" i="9" s="1"/>
  <c r="AC42" i="8"/>
  <c r="AC9" i="24" s="1"/>
  <c r="AC41" i="8"/>
  <c r="AC55" i="9" s="1"/>
  <c r="AQ55" i="9" s="1"/>
  <c r="AC40" i="8"/>
  <c r="AP40" i="8" s="1"/>
  <c r="AC39" i="8"/>
  <c r="AC49" i="9" s="1"/>
  <c r="AC29" i="8"/>
  <c r="AC31" i="24" s="1"/>
  <c r="AC32" i="8"/>
  <c r="AC36" i="24" s="1"/>
  <c r="AC59" i="24" s="1"/>
  <c r="AC25" i="8"/>
  <c r="AP25" i="8" s="1"/>
  <c r="AC22" i="8"/>
  <c r="AP22" i="8" s="1"/>
  <c r="AC18" i="8"/>
  <c r="AC20" i="9" s="1"/>
  <c r="AC17" i="8"/>
  <c r="AC19" i="9" s="1"/>
  <c r="AC13" i="8"/>
  <c r="AP13" i="8" s="1"/>
  <c r="AC10" i="8"/>
  <c r="AP10" i="8" s="1"/>
  <c r="AC8" i="8"/>
  <c r="AC4" i="10" s="1"/>
  <c r="AP4" i="10" s="1"/>
  <c r="AC113" i="8"/>
  <c r="AC71" i="8"/>
  <c r="AC36" i="8"/>
  <c r="L107" i="8"/>
  <c r="L109" i="8" s="1"/>
  <c r="L94" i="8"/>
  <c r="L98" i="8" s="1"/>
  <c r="L89" i="8"/>
  <c r="L35" i="9" s="1"/>
  <c r="E59" i="8"/>
  <c r="D59" i="8"/>
  <c r="C59" i="8"/>
  <c r="L43" i="8"/>
  <c r="L44" i="8" s="1"/>
  <c r="L49" i="8" s="1"/>
  <c r="L113" i="8"/>
  <c r="L72" i="8"/>
  <c r="L71" i="8"/>
  <c r="L65" i="8"/>
  <c r="L32" i="24" s="1"/>
  <c r="L56" i="8"/>
  <c r="L60" i="8" s="1"/>
  <c r="L60" i="9" s="1"/>
  <c r="L37" i="8"/>
  <c r="L36" i="8"/>
  <c r="L11" i="8"/>
  <c r="L14" i="8" s="1"/>
  <c r="K28" i="27"/>
  <c r="K26" i="27"/>
  <c r="AO116" i="8"/>
  <c r="AN116" i="8"/>
  <c r="AM116" i="8"/>
  <c r="AK116" i="8"/>
  <c r="AJ116" i="8"/>
  <c r="AI116" i="8"/>
  <c r="AG116" i="8"/>
  <c r="AF116" i="8"/>
  <c r="AE116" i="8"/>
  <c r="Y116" i="8"/>
  <c r="AL116" i="8" s="1"/>
  <c r="U116" i="8"/>
  <c r="AH116" i="8" s="1"/>
  <c r="Q116" i="8"/>
  <c r="O113" i="8"/>
  <c r="E113" i="8"/>
  <c r="D113" i="8"/>
  <c r="F113" i="8"/>
  <c r="F117" i="8"/>
  <c r="G113" i="8" s="1"/>
  <c r="AB4" i="9"/>
  <c r="AP4" i="9" s="1"/>
  <c r="AA4" i="9"/>
  <c r="AO4" i="9" s="1"/>
  <c r="Z4" i="9"/>
  <c r="AN4" i="9" s="1"/>
  <c r="X4" i="9"/>
  <c r="AL4" i="9" s="1"/>
  <c r="W4" i="9"/>
  <c r="AK4" i="9" s="1"/>
  <c r="V4" i="9"/>
  <c r="AJ4" i="9" s="1"/>
  <c r="T4" i="9"/>
  <c r="AH4" i="9" s="1"/>
  <c r="S4" i="9"/>
  <c r="AG4" i="9" s="1"/>
  <c r="R4" i="9"/>
  <c r="AF4" i="9" s="1"/>
  <c r="P4" i="9"/>
  <c r="O4" i="9"/>
  <c r="AB3" i="9"/>
  <c r="AP3" i="9" s="1"/>
  <c r="AA3" i="9"/>
  <c r="AO3" i="9" s="1"/>
  <c r="Z3" i="9"/>
  <c r="AN3" i="9" s="1"/>
  <c r="Y3" i="9"/>
  <c r="AM3" i="9" s="1"/>
  <c r="X3" i="9"/>
  <c r="AL3" i="9" s="1"/>
  <c r="W3" i="9"/>
  <c r="AK3" i="9" s="1"/>
  <c r="V3" i="9"/>
  <c r="AJ3" i="9" s="1"/>
  <c r="U3" i="9"/>
  <c r="AI3" i="9" s="1"/>
  <c r="T3" i="9"/>
  <c r="AH3" i="9" s="1"/>
  <c r="S3" i="9"/>
  <c r="AG3" i="9" s="1"/>
  <c r="R3" i="9"/>
  <c r="AF3" i="9" s="1"/>
  <c r="Q3" i="9"/>
  <c r="AE3" i="9" s="1"/>
  <c r="P3" i="9"/>
  <c r="O3" i="9"/>
  <c r="N4" i="9"/>
  <c r="N3" i="9"/>
  <c r="C68" i="9"/>
  <c r="C67" i="9"/>
  <c r="C66" i="9"/>
  <c r="C64" i="9"/>
  <c r="C63" i="9"/>
  <c r="C58" i="9"/>
  <c r="C57" i="9"/>
  <c r="C56" i="9"/>
  <c r="C55" i="9"/>
  <c r="C51" i="9"/>
  <c r="C50" i="9"/>
  <c r="C49" i="9"/>
  <c r="C43" i="9"/>
  <c r="C42" i="9"/>
  <c r="C41" i="9"/>
  <c r="C40" i="9"/>
  <c r="C39" i="9"/>
  <c r="C38" i="9"/>
  <c r="C35" i="9"/>
  <c r="C34" i="9"/>
  <c r="C33" i="9"/>
  <c r="C32" i="9"/>
  <c r="C28" i="9"/>
  <c r="C24" i="9"/>
  <c r="C20" i="9"/>
  <c r="C19" i="9"/>
  <c r="C15" i="9"/>
  <c r="C10" i="9"/>
  <c r="C9" i="9"/>
  <c r="C8" i="9"/>
  <c r="C7" i="9"/>
  <c r="C6" i="9"/>
  <c r="C4" i="9"/>
  <c r="C3" i="9"/>
  <c r="J4" i="9"/>
  <c r="I4" i="9"/>
  <c r="H4" i="9"/>
  <c r="G4" i="9"/>
  <c r="F4" i="9"/>
  <c r="E4" i="9"/>
  <c r="D4" i="9"/>
  <c r="J3" i="9"/>
  <c r="I3" i="9"/>
  <c r="H3" i="9"/>
  <c r="G3" i="9"/>
  <c r="F3" i="9"/>
  <c r="E3" i="9"/>
  <c r="D3" i="9"/>
  <c r="K4" i="9"/>
  <c r="K3" i="9"/>
  <c r="F68" i="9"/>
  <c r="E68" i="9"/>
  <c r="D68" i="9"/>
  <c r="F67" i="9"/>
  <c r="E67" i="9"/>
  <c r="D67" i="9"/>
  <c r="F66" i="9"/>
  <c r="E66" i="9"/>
  <c r="D66" i="9"/>
  <c r="F64" i="9"/>
  <c r="E64" i="9"/>
  <c r="D64" i="9"/>
  <c r="F63" i="9"/>
  <c r="E63" i="9"/>
  <c r="D63" i="9"/>
  <c r="F58" i="9"/>
  <c r="E58" i="9"/>
  <c r="D58" i="9"/>
  <c r="F57" i="9"/>
  <c r="E57" i="9"/>
  <c r="D57" i="9"/>
  <c r="F56" i="9"/>
  <c r="E56" i="9"/>
  <c r="D56" i="9"/>
  <c r="F55" i="9"/>
  <c r="E55" i="9"/>
  <c r="D55" i="9"/>
  <c r="F51" i="9"/>
  <c r="E51" i="9"/>
  <c r="D51" i="9"/>
  <c r="F50" i="9"/>
  <c r="E50" i="9"/>
  <c r="D50" i="9"/>
  <c r="F49" i="9"/>
  <c r="E49" i="9"/>
  <c r="D49" i="9"/>
  <c r="F43" i="9"/>
  <c r="E43" i="9"/>
  <c r="D43" i="9"/>
  <c r="F42" i="9"/>
  <c r="E42" i="9"/>
  <c r="D42" i="9"/>
  <c r="F41" i="9"/>
  <c r="E41" i="9"/>
  <c r="D41" i="9"/>
  <c r="F40" i="9"/>
  <c r="E40" i="9"/>
  <c r="D40" i="9"/>
  <c r="F39" i="9"/>
  <c r="E39" i="9"/>
  <c r="D39" i="9"/>
  <c r="F38" i="9"/>
  <c r="E38" i="9"/>
  <c r="D38" i="9"/>
  <c r="F35" i="9"/>
  <c r="E35" i="9"/>
  <c r="D35" i="9"/>
  <c r="F34" i="9"/>
  <c r="E34" i="9"/>
  <c r="D34" i="9"/>
  <c r="F33" i="9"/>
  <c r="E33" i="9"/>
  <c r="D33" i="9"/>
  <c r="F32" i="9"/>
  <c r="E32" i="9"/>
  <c r="D32" i="9"/>
  <c r="F28" i="9"/>
  <c r="E28" i="9"/>
  <c r="D28" i="9"/>
  <c r="F24" i="9"/>
  <c r="E24" i="9"/>
  <c r="D24" i="9"/>
  <c r="F20" i="9"/>
  <c r="E20" i="9"/>
  <c r="D20" i="9"/>
  <c r="F19" i="9"/>
  <c r="E19" i="9"/>
  <c r="D19" i="9"/>
  <c r="F15" i="9"/>
  <c r="E15" i="9"/>
  <c r="D15" i="9"/>
  <c r="F10" i="9"/>
  <c r="E10" i="9"/>
  <c r="D10" i="9"/>
  <c r="F9" i="9"/>
  <c r="E9" i="9"/>
  <c r="D9" i="9"/>
  <c r="F8" i="9"/>
  <c r="E8" i="9"/>
  <c r="D8" i="9"/>
  <c r="F7" i="9"/>
  <c r="E7" i="9"/>
  <c r="D7" i="9"/>
  <c r="F6" i="9"/>
  <c r="E6" i="9"/>
  <c r="D6" i="9"/>
  <c r="D67" i="27"/>
  <c r="E80" i="27"/>
  <c r="K29" i="27"/>
  <c r="B77" i="27"/>
  <c r="C26" i="27"/>
  <c r="B2" i="27"/>
  <c r="AB51" i="24"/>
  <c r="AB57" i="24" s="1"/>
  <c r="AA51" i="24"/>
  <c r="AA57" i="24" s="1"/>
  <c r="Z51" i="24"/>
  <c r="Z57" i="24" s="1"/>
  <c r="X51" i="24"/>
  <c r="W51" i="24"/>
  <c r="V51" i="24"/>
  <c r="T51" i="24"/>
  <c r="T57" i="24" s="1"/>
  <c r="S51" i="24"/>
  <c r="S57" i="24" s="1"/>
  <c r="R51" i="24"/>
  <c r="R57" i="24" s="1"/>
  <c r="P51" i="24"/>
  <c r="O51" i="24"/>
  <c r="N51" i="24"/>
  <c r="K51" i="24"/>
  <c r="J51" i="24"/>
  <c r="J57" i="24" s="1"/>
  <c r="I51" i="24"/>
  <c r="I57" i="24" s="1"/>
  <c r="H51" i="24"/>
  <c r="H57" i="24" s="1"/>
  <c r="G51" i="24"/>
  <c r="G57" i="24" s="1"/>
  <c r="F51" i="24"/>
  <c r="F57" i="24" s="1"/>
  <c r="E51" i="24"/>
  <c r="D51" i="24"/>
  <c r="C51" i="24"/>
  <c r="AB41" i="24"/>
  <c r="AB46" i="24" s="1"/>
  <c r="AA41" i="24"/>
  <c r="Z41" i="24"/>
  <c r="Z46" i="24" s="1"/>
  <c r="X41" i="24"/>
  <c r="W41" i="24"/>
  <c r="V41" i="24"/>
  <c r="T41" i="24"/>
  <c r="S41" i="24"/>
  <c r="R41" i="24"/>
  <c r="R46" i="24" s="1"/>
  <c r="P41" i="24"/>
  <c r="O41" i="24"/>
  <c r="N41" i="24"/>
  <c r="K41" i="24"/>
  <c r="K46" i="24" s="1"/>
  <c r="J41" i="24"/>
  <c r="I41" i="24"/>
  <c r="I46" i="24" s="1"/>
  <c r="H41" i="24"/>
  <c r="G41" i="24"/>
  <c r="F41" i="24"/>
  <c r="F46" i="24" s="1"/>
  <c r="E41" i="24"/>
  <c r="D41" i="24"/>
  <c r="C41" i="24"/>
  <c r="AB36" i="24"/>
  <c r="AB47" i="24" s="1"/>
  <c r="AA36" i="24"/>
  <c r="AA47" i="24" s="1"/>
  <c r="Z36" i="24"/>
  <c r="Z47" i="24" s="1"/>
  <c r="X36" i="24"/>
  <c r="X47" i="24" s="1"/>
  <c r="W36" i="24"/>
  <c r="W59" i="24" s="1"/>
  <c r="V36" i="24"/>
  <c r="V47" i="24" s="1"/>
  <c r="T36" i="24"/>
  <c r="T47" i="24" s="1"/>
  <c r="S36" i="24"/>
  <c r="S47" i="24" s="1"/>
  <c r="R36" i="24"/>
  <c r="R59" i="24" s="1"/>
  <c r="P36" i="24"/>
  <c r="P47" i="24" s="1"/>
  <c r="O36" i="24"/>
  <c r="O47" i="24" s="1"/>
  <c r="AB31" i="24"/>
  <c r="AB42" i="24" s="1"/>
  <c r="AA31" i="24"/>
  <c r="AA42" i="24" s="1"/>
  <c r="Z31" i="24"/>
  <c r="Z42" i="24" s="1"/>
  <c r="X31" i="24"/>
  <c r="X42" i="24" s="1"/>
  <c r="W31" i="24"/>
  <c r="W42" i="24" s="1"/>
  <c r="V31" i="24"/>
  <c r="V53" i="24" s="1"/>
  <c r="T31" i="24"/>
  <c r="T42" i="24" s="1"/>
  <c r="S31" i="24"/>
  <c r="S42" i="24" s="1"/>
  <c r="R31" i="24"/>
  <c r="R42" i="24" s="1"/>
  <c r="P31" i="24"/>
  <c r="P42" i="24" s="1"/>
  <c r="O31" i="24"/>
  <c r="O42" i="24" s="1"/>
  <c r="N36" i="24"/>
  <c r="N47" i="24" s="1"/>
  <c r="N31" i="24"/>
  <c r="N42" i="24" s="1"/>
  <c r="K36" i="24"/>
  <c r="K47" i="24" s="1"/>
  <c r="J36" i="24"/>
  <c r="J47" i="24" s="1"/>
  <c r="I36" i="24"/>
  <c r="I47" i="24" s="1"/>
  <c r="H36" i="24"/>
  <c r="H47" i="24" s="1"/>
  <c r="G36" i="24"/>
  <c r="G47" i="24" s="1"/>
  <c r="F36" i="24"/>
  <c r="F47" i="24" s="1"/>
  <c r="E36" i="24"/>
  <c r="E47" i="24" s="1"/>
  <c r="D36" i="24"/>
  <c r="D59" i="24" s="1"/>
  <c r="C36" i="24"/>
  <c r="C47" i="24" s="1"/>
  <c r="K31" i="24"/>
  <c r="K53" i="24" s="1"/>
  <c r="J31" i="24"/>
  <c r="J42" i="24" s="1"/>
  <c r="I31" i="24"/>
  <c r="I42" i="24" s="1"/>
  <c r="H31" i="24"/>
  <c r="H42" i="24" s="1"/>
  <c r="G31" i="24"/>
  <c r="G42" i="24" s="1"/>
  <c r="F31" i="24"/>
  <c r="F42" i="24" s="1"/>
  <c r="E31" i="24"/>
  <c r="E42" i="24" s="1"/>
  <c r="D31" i="24"/>
  <c r="D53" i="24" s="1"/>
  <c r="C31" i="24"/>
  <c r="C42" i="24" s="1"/>
  <c r="AB15" i="24"/>
  <c r="AA15" i="24"/>
  <c r="Z15" i="24"/>
  <c r="X15" i="24"/>
  <c r="W15" i="24"/>
  <c r="V15" i="24"/>
  <c r="T15" i="24"/>
  <c r="S15" i="24"/>
  <c r="R15" i="24"/>
  <c r="P15" i="24"/>
  <c r="O15" i="24"/>
  <c r="AB14" i="24"/>
  <c r="AA14" i="24"/>
  <c r="Z14" i="24"/>
  <c r="X14" i="24"/>
  <c r="W14" i="24"/>
  <c r="V14" i="24"/>
  <c r="T14" i="24"/>
  <c r="S14" i="24"/>
  <c r="R14" i="24"/>
  <c r="P14" i="24"/>
  <c r="O14" i="24"/>
  <c r="AB13" i="24"/>
  <c r="AA13" i="24"/>
  <c r="Z13" i="24"/>
  <c r="X13" i="24"/>
  <c r="W13" i="24"/>
  <c r="V13" i="24"/>
  <c r="T13" i="24"/>
  <c r="S13" i="24"/>
  <c r="R13" i="24"/>
  <c r="P13" i="24"/>
  <c r="O13" i="24"/>
  <c r="AB10" i="24"/>
  <c r="AA10" i="24"/>
  <c r="Z10" i="24"/>
  <c r="X10" i="24"/>
  <c r="W10" i="24"/>
  <c r="V10" i="24"/>
  <c r="T10" i="24"/>
  <c r="S10" i="24"/>
  <c r="R10" i="24"/>
  <c r="P10" i="24"/>
  <c r="O10" i="24"/>
  <c r="AB9" i="24"/>
  <c r="AA9" i="24"/>
  <c r="Z9" i="24"/>
  <c r="X9" i="24"/>
  <c r="W9" i="24"/>
  <c r="V9" i="24"/>
  <c r="T9" i="24"/>
  <c r="S9" i="24"/>
  <c r="R9" i="24"/>
  <c r="P9" i="24"/>
  <c r="O9" i="24"/>
  <c r="AB8" i="24"/>
  <c r="AA8" i="24"/>
  <c r="Z8" i="24"/>
  <c r="X8" i="24"/>
  <c r="W8" i="24"/>
  <c r="V8" i="24"/>
  <c r="T8" i="24"/>
  <c r="S8" i="24"/>
  <c r="R8" i="24"/>
  <c r="P8" i="24"/>
  <c r="O8" i="24"/>
  <c r="N15" i="24"/>
  <c r="N14" i="24"/>
  <c r="N13" i="24"/>
  <c r="N10" i="24"/>
  <c r="N9" i="24"/>
  <c r="N8" i="24"/>
  <c r="K15" i="24"/>
  <c r="J15" i="24"/>
  <c r="I15" i="24"/>
  <c r="H15" i="24"/>
  <c r="G15" i="24"/>
  <c r="F15" i="24"/>
  <c r="E15" i="24"/>
  <c r="D15" i="24"/>
  <c r="K14" i="24"/>
  <c r="J14" i="24"/>
  <c r="I14" i="24"/>
  <c r="H14" i="24"/>
  <c r="G14" i="24"/>
  <c r="F14" i="24"/>
  <c r="E14" i="24"/>
  <c r="D14" i="24"/>
  <c r="K13" i="24"/>
  <c r="J13" i="24"/>
  <c r="I13" i="24"/>
  <c r="H13" i="24"/>
  <c r="G13" i="24"/>
  <c r="G16" i="24" s="1"/>
  <c r="F13" i="24"/>
  <c r="F16" i="24" s="1"/>
  <c r="E13" i="24"/>
  <c r="E16" i="24" s="1"/>
  <c r="D13" i="24"/>
  <c r="D16" i="24" s="1"/>
  <c r="C15" i="24"/>
  <c r="C14" i="24"/>
  <c r="C13" i="24"/>
  <c r="K10" i="24"/>
  <c r="J10" i="24"/>
  <c r="I10" i="24"/>
  <c r="H10" i="24"/>
  <c r="G10" i="24"/>
  <c r="F10" i="24"/>
  <c r="E10" i="24"/>
  <c r="K9" i="24"/>
  <c r="J9" i="24"/>
  <c r="I9" i="24"/>
  <c r="H9" i="24"/>
  <c r="G9" i="24"/>
  <c r="F9" i="24"/>
  <c r="E9" i="24"/>
  <c r="D9" i="24"/>
  <c r="K8" i="24"/>
  <c r="J8" i="24"/>
  <c r="I8" i="24"/>
  <c r="H8" i="24"/>
  <c r="G8" i="24"/>
  <c r="F8" i="24"/>
  <c r="E8" i="24"/>
  <c r="D8" i="24"/>
  <c r="C10" i="24"/>
  <c r="C9" i="24"/>
  <c r="C8" i="24"/>
  <c r="AB4" i="24"/>
  <c r="AO4" i="24" s="1"/>
  <c r="AA4" i="24"/>
  <c r="AN4" i="24" s="1"/>
  <c r="Z4" i="24"/>
  <c r="AM4" i="24" s="1"/>
  <c r="X4" i="24"/>
  <c r="AK4" i="24" s="1"/>
  <c r="W4" i="24"/>
  <c r="AJ4" i="24" s="1"/>
  <c r="V4" i="24"/>
  <c r="AI4" i="24" s="1"/>
  <c r="T4" i="24"/>
  <c r="AG4" i="24" s="1"/>
  <c r="S4" i="24"/>
  <c r="AF4" i="24" s="1"/>
  <c r="R4" i="24"/>
  <c r="AE4" i="24" s="1"/>
  <c r="P4" i="24"/>
  <c r="O4" i="24"/>
  <c r="AB3" i="24"/>
  <c r="AO3" i="24" s="1"/>
  <c r="AA3" i="24"/>
  <c r="AN3" i="24" s="1"/>
  <c r="Z3" i="24"/>
  <c r="AM3" i="24" s="1"/>
  <c r="Y3" i="24"/>
  <c r="AL3" i="24" s="1"/>
  <c r="X3" i="24"/>
  <c r="AK3" i="24" s="1"/>
  <c r="W3" i="24"/>
  <c r="AJ3" i="24" s="1"/>
  <c r="V3" i="24"/>
  <c r="AI3" i="24" s="1"/>
  <c r="U3" i="24"/>
  <c r="AH3" i="24" s="1"/>
  <c r="T3" i="24"/>
  <c r="AG3" i="24" s="1"/>
  <c r="S3" i="24"/>
  <c r="AF3" i="24" s="1"/>
  <c r="R3" i="24"/>
  <c r="AE3" i="24" s="1"/>
  <c r="Q3" i="24"/>
  <c r="P3" i="24"/>
  <c r="O3" i="24"/>
  <c r="N4" i="24"/>
  <c r="N3" i="24"/>
  <c r="J4" i="24"/>
  <c r="I4" i="24"/>
  <c r="H4" i="24"/>
  <c r="G4" i="24"/>
  <c r="F4" i="24"/>
  <c r="E4" i="24"/>
  <c r="D4" i="24"/>
  <c r="C4" i="24"/>
  <c r="J3" i="24"/>
  <c r="I3" i="24"/>
  <c r="H3" i="24"/>
  <c r="G3" i="24"/>
  <c r="F3" i="24"/>
  <c r="E3" i="24"/>
  <c r="D3" i="24"/>
  <c r="C3" i="24"/>
  <c r="K4" i="24"/>
  <c r="K3" i="24"/>
  <c r="B2" i="16"/>
  <c r="C107" i="22" l="1"/>
  <c r="C109" i="22"/>
  <c r="C49" i="22"/>
  <c r="C53" i="22"/>
  <c r="C163" i="22"/>
  <c r="C161" i="22"/>
  <c r="C77" i="22"/>
  <c r="C79" i="22"/>
  <c r="C81" i="22"/>
  <c r="J344" i="22"/>
  <c r="H288" i="22"/>
  <c r="G373" i="22"/>
  <c r="H373" i="22" s="1"/>
  <c r="F372" i="22"/>
  <c r="G47" i="22"/>
  <c r="H47" i="22" s="1"/>
  <c r="F46" i="22"/>
  <c r="C76" i="25"/>
  <c r="C106" i="25" s="1"/>
  <c r="C130" i="25" s="1"/>
  <c r="C9" i="28"/>
  <c r="C6" i="27"/>
  <c r="J26" i="27" s="1"/>
  <c r="H10" i="28"/>
  <c r="I10" i="28" s="1"/>
  <c r="F379" i="22"/>
  <c r="G379" i="22" s="1"/>
  <c r="H379" i="22" s="1"/>
  <c r="H377" i="22"/>
  <c r="F381" i="22"/>
  <c r="G381" i="22" s="1"/>
  <c r="H381" i="22" s="1"/>
  <c r="G375" i="22"/>
  <c r="H375" i="22" s="1"/>
  <c r="H139" i="25"/>
  <c r="E86" i="25"/>
  <c r="G86" i="25"/>
  <c r="D121" i="25"/>
  <c r="C28" i="27"/>
  <c r="H14" i="16" s="1"/>
  <c r="D86" i="25"/>
  <c r="F86" i="25"/>
  <c r="C83" i="22"/>
  <c r="C131" i="22"/>
  <c r="C165" i="22"/>
  <c r="C379" i="22"/>
  <c r="J30" i="27"/>
  <c r="C7" i="27"/>
  <c r="C10" i="27" s="1"/>
  <c r="C81" i="27" s="1"/>
  <c r="J29" i="27"/>
  <c r="J28" i="27"/>
  <c r="J27" i="27"/>
  <c r="H86" i="25"/>
  <c r="C85" i="22"/>
  <c r="C133" i="22"/>
  <c r="C167" i="22"/>
  <c r="C57" i="22"/>
  <c r="C377" i="22"/>
  <c r="C55" i="22"/>
  <c r="C87" i="22"/>
  <c r="C137" i="22"/>
  <c r="C59" i="22"/>
  <c r="C375" i="22"/>
  <c r="C103" i="22"/>
  <c r="C139" i="22"/>
  <c r="C373" i="22"/>
  <c r="C105" i="22"/>
  <c r="C141" i="22"/>
  <c r="C111" i="22"/>
  <c r="C157" i="22"/>
  <c r="C387" i="22"/>
  <c r="C75" i="22"/>
  <c r="C113" i="22"/>
  <c r="C159" i="22"/>
  <c r="C47" i="22"/>
  <c r="C385" i="22"/>
  <c r="C115" i="22"/>
  <c r="C381" i="22"/>
  <c r="H100" i="22"/>
  <c r="H212" i="22"/>
  <c r="H342" i="22"/>
  <c r="J10" i="22"/>
  <c r="H72" i="22"/>
  <c r="H182" i="22"/>
  <c r="H314" i="22"/>
  <c r="H44" i="22"/>
  <c r="H154" i="22"/>
  <c r="AC11" i="8"/>
  <c r="AP17" i="8"/>
  <c r="AC15" i="24"/>
  <c r="AP51" i="8"/>
  <c r="AP13" i="24" s="1"/>
  <c r="K16" i="24"/>
  <c r="F22" i="24" a="1"/>
  <c r="F22" i="24" s="1"/>
  <c r="F24" i="24" a="1"/>
  <c r="F24" i="24" s="1"/>
  <c r="L71" i="9"/>
  <c r="AP41" i="8"/>
  <c r="AP8" i="24" s="1"/>
  <c r="AC24" i="24" a="1"/>
  <c r="AC24" i="24" s="1"/>
  <c r="AC43" i="8"/>
  <c r="AC10" i="24" s="1"/>
  <c r="AP52" i="8"/>
  <c r="AP56" i="8" s="1"/>
  <c r="AP54" i="8"/>
  <c r="AR54" i="8" s="1"/>
  <c r="AC65" i="8"/>
  <c r="AC32" i="24" s="1"/>
  <c r="L53" i="24"/>
  <c r="AC50" i="9"/>
  <c r="AQ50" i="9" s="1"/>
  <c r="L33" i="24"/>
  <c r="AC64" i="9"/>
  <c r="AQ64" i="9" s="1"/>
  <c r="L16" i="24"/>
  <c r="AP43" i="8"/>
  <c r="AP10" i="24" s="1"/>
  <c r="AP15" i="24"/>
  <c r="AP11" i="8"/>
  <c r="AP8" i="8"/>
  <c r="AP37" i="8" s="1"/>
  <c r="AP29" i="8"/>
  <c r="AC25" i="24" a="1"/>
  <c r="AC25" i="24" s="1"/>
  <c r="AP32" i="8"/>
  <c r="AP46" i="8"/>
  <c r="AP58" i="8"/>
  <c r="L10" i="24"/>
  <c r="L11" i="24" s="1"/>
  <c r="L59" i="9"/>
  <c r="AP36" i="8"/>
  <c r="AP47" i="8"/>
  <c r="AC15" i="9"/>
  <c r="AP39" i="8"/>
  <c r="AP62" i="8"/>
  <c r="AP65" i="8" s="1"/>
  <c r="AP125" i="8"/>
  <c r="AP18" i="8"/>
  <c r="AC63" i="9"/>
  <c r="AQ63" i="9" s="1"/>
  <c r="AC41" i="24"/>
  <c r="AC46" i="24" s="1"/>
  <c r="AP42" i="8"/>
  <c r="AC42" i="24"/>
  <c r="AC53" i="24"/>
  <c r="AC23" i="24"/>
  <c r="AC52" i="9"/>
  <c r="AQ49" i="9"/>
  <c r="AQ52" i="9" s="1"/>
  <c r="AQ66" i="9"/>
  <c r="L24" i="24" a="1"/>
  <c r="L24" i="24" s="1"/>
  <c r="J43" i="24"/>
  <c r="AC51" i="24"/>
  <c r="AC57" i="24" s="1"/>
  <c r="AC37" i="8"/>
  <c r="L23" i="24"/>
  <c r="AC4" i="24"/>
  <c r="AP4" i="24" s="1"/>
  <c r="AC56" i="9"/>
  <c r="AQ56" i="9" s="1"/>
  <c r="AC67" i="9"/>
  <c r="AQ67" i="9" s="1"/>
  <c r="AC56" i="8"/>
  <c r="AC60" i="8" s="1"/>
  <c r="AC8" i="24"/>
  <c r="L38" i="9"/>
  <c r="AC57" i="9"/>
  <c r="AQ57" i="9" s="1"/>
  <c r="AC72" i="8"/>
  <c r="L58" i="24"/>
  <c r="L60" i="24" s="1"/>
  <c r="AC4" i="9"/>
  <c r="AQ4" i="9" s="1"/>
  <c r="AC16" i="24"/>
  <c r="AP51" i="10"/>
  <c r="AN11" i="10"/>
  <c r="AK12" i="10"/>
  <c r="AF39" i="10"/>
  <c r="AP9" i="10"/>
  <c r="AP62" i="10"/>
  <c r="AE9" i="10"/>
  <c r="AM9" i="10"/>
  <c r="AO11" i="10"/>
  <c r="AL12" i="10"/>
  <c r="AG39" i="10"/>
  <c r="AO39" i="10"/>
  <c r="AK40" i="10"/>
  <c r="AG41" i="10"/>
  <c r="AO41" i="10"/>
  <c r="AK42" i="10"/>
  <c r="AG81" i="10"/>
  <c r="AO81" i="10"/>
  <c r="AK82" i="10"/>
  <c r="AG83" i="10"/>
  <c r="AO83" i="10"/>
  <c r="AK84" i="10"/>
  <c r="AP10" i="10"/>
  <c r="AP63" i="10"/>
  <c r="AH11" i="10"/>
  <c r="AE12" i="10"/>
  <c r="AN81" i="10"/>
  <c r="AP11" i="10"/>
  <c r="AP26" i="10" s="1"/>
  <c r="AP64" i="10"/>
  <c r="AL10" i="10"/>
  <c r="AI11" i="10"/>
  <c r="AF12" i="10"/>
  <c r="AN12" i="10"/>
  <c r="AL13" i="10"/>
  <c r="AI39" i="10"/>
  <c r="AE40" i="10"/>
  <c r="AM40" i="10"/>
  <c r="AI41" i="10"/>
  <c r="AE42" i="10"/>
  <c r="AM42" i="10"/>
  <c r="AI81" i="10"/>
  <c r="AE82" i="10"/>
  <c r="AM82" i="10"/>
  <c r="AI83" i="10"/>
  <c r="AE84" i="10"/>
  <c r="AM84" i="10"/>
  <c r="AF81" i="10"/>
  <c r="AC25" i="10"/>
  <c r="AP12" i="10"/>
  <c r="AP27" i="10" s="1"/>
  <c r="AP65" i="10"/>
  <c r="AH9" i="10"/>
  <c r="AM10" i="10"/>
  <c r="AJ11" i="10"/>
  <c r="AM13" i="10"/>
  <c r="AJ39" i="10"/>
  <c r="AF40" i="10"/>
  <c r="AN40" i="10"/>
  <c r="AJ41" i="10"/>
  <c r="AF42" i="10"/>
  <c r="AN42" i="10"/>
  <c r="AJ81" i="10"/>
  <c r="AF82" i="10"/>
  <c r="AN82" i="10"/>
  <c r="AJ83" i="10"/>
  <c r="AF84" i="10"/>
  <c r="AN84" i="10"/>
  <c r="AP24" i="10"/>
  <c r="Q14" i="10"/>
  <c r="AC6" i="9"/>
  <c r="AP13" i="10"/>
  <c r="AP28" i="10" s="1"/>
  <c r="AI9" i="10"/>
  <c r="AF10" i="10"/>
  <c r="AN10" i="10"/>
  <c r="AH12" i="10"/>
  <c r="AF13" i="10"/>
  <c r="AN13" i="10"/>
  <c r="AC28" i="10"/>
  <c r="AG10" i="10"/>
  <c r="AL11" i="10"/>
  <c r="AI12" i="10"/>
  <c r="AG13" i="10"/>
  <c r="AL39" i="10"/>
  <c r="AH40" i="10"/>
  <c r="AL81" i="10"/>
  <c r="AP82" i="10"/>
  <c r="AL83" i="10"/>
  <c r="AP96" i="10" s="1"/>
  <c r="AH84" i="10"/>
  <c r="AM11" i="10"/>
  <c r="AP25" i="10"/>
  <c r="AP43" i="10"/>
  <c r="AP53" i="10"/>
  <c r="AP94" i="10"/>
  <c r="AC76" i="10"/>
  <c r="AC7" i="9"/>
  <c r="AC43" i="10"/>
  <c r="AC49" i="10" s="1"/>
  <c r="U14" i="10"/>
  <c r="AC8" i="9"/>
  <c r="AC9" i="9"/>
  <c r="AC68" i="10"/>
  <c r="L86" i="10"/>
  <c r="AC96" i="10"/>
  <c r="AC95" i="10"/>
  <c r="AC69" i="10"/>
  <c r="AC58" i="10"/>
  <c r="AC51" i="10"/>
  <c r="AC53" i="10"/>
  <c r="AC32" i="10"/>
  <c r="AC14" i="10"/>
  <c r="AC18" i="10" s="1"/>
  <c r="AC30" i="10"/>
  <c r="L69" i="9"/>
  <c r="L72" i="9" s="1"/>
  <c r="L81" i="9" s="1"/>
  <c r="L11" i="9"/>
  <c r="L16" i="9" s="1"/>
  <c r="L52" i="9"/>
  <c r="AC47" i="24"/>
  <c r="L25" i="24" a="1"/>
  <c r="L25" i="24" s="1"/>
  <c r="L37" i="24"/>
  <c r="L38" i="24" s="1"/>
  <c r="L52" i="24"/>
  <c r="L22" i="24" a="1"/>
  <c r="L22" i="24" s="1"/>
  <c r="L43" i="24"/>
  <c r="L46" i="24"/>
  <c r="L47" i="24"/>
  <c r="C11" i="9"/>
  <c r="C16" i="9" s="1"/>
  <c r="C21" i="9" s="1"/>
  <c r="L48" i="10"/>
  <c r="L92" i="10"/>
  <c r="L47" i="10"/>
  <c r="L20" i="10"/>
  <c r="L19" i="10"/>
  <c r="L21" i="10"/>
  <c r="L89" i="10"/>
  <c r="L22" i="10"/>
  <c r="L90" i="10"/>
  <c r="L46" i="10"/>
  <c r="L15" i="10"/>
  <c r="D11" i="9"/>
  <c r="E11" i="9"/>
  <c r="AC14" i="8"/>
  <c r="AC19" i="8" s="1"/>
  <c r="P22" i="24" a="1"/>
  <c r="P22" i="24" s="1"/>
  <c r="L66" i="8"/>
  <c r="L68" i="8" s="1"/>
  <c r="L19" i="8"/>
  <c r="L15" i="8"/>
  <c r="J52" i="24"/>
  <c r="O52" i="24"/>
  <c r="H11" i="24"/>
  <c r="G58" i="24"/>
  <c r="C52" i="24"/>
  <c r="K52" i="24"/>
  <c r="K54" i="24" s="1"/>
  <c r="H52" i="24"/>
  <c r="J16" i="24"/>
  <c r="T52" i="24"/>
  <c r="H59" i="24"/>
  <c r="P59" i="24"/>
  <c r="P53" i="24"/>
  <c r="J11" i="24"/>
  <c r="P52" i="24"/>
  <c r="C52" i="9"/>
  <c r="C69" i="9"/>
  <c r="F53" i="24"/>
  <c r="X22" i="24" a="1"/>
  <c r="X22" i="24" s="1"/>
  <c r="N53" i="24"/>
  <c r="F59" i="24"/>
  <c r="F52" i="9"/>
  <c r="R47" i="24"/>
  <c r="R48" i="24" s="1"/>
  <c r="X53" i="24"/>
  <c r="E52" i="24"/>
  <c r="J58" i="24"/>
  <c r="X59" i="24"/>
  <c r="E52" i="9"/>
  <c r="R58" i="24"/>
  <c r="R60" i="24" s="1"/>
  <c r="Z59" i="24"/>
  <c r="S58" i="24"/>
  <c r="AA52" i="24"/>
  <c r="Z58" i="24"/>
  <c r="F69" i="9"/>
  <c r="D52" i="9"/>
  <c r="E69" i="9"/>
  <c r="D69" i="9"/>
  <c r="F11" i="9"/>
  <c r="K31" i="27"/>
  <c r="E57" i="27"/>
  <c r="D17" i="32" s="1"/>
  <c r="E50" i="27"/>
  <c r="G50" i="27" s="1"/>
  <c r="C50" i="27"/>
  <c r="AB52" i="24"/>
  <c r="H58" i="24"/>
  <c r="W47" i="24"/>
  <c r="E53" i="24"/>
  <c r="O53" i="24"/>
  <c r="W53" i="24"/>
  <c r="S52" i="24"/>
  <c r="D52" i="24"/>
  <c r="D54" i="24" s="1"/>
  <c r="N52" i="24"/>
  <c r="V52" i="24"/>
  <c r="V54" i="24" s="1"/>
  <c r="I58" i="24"/>
  <c r="AA58" i="24"/>
  <c r="G59" i="24"/>
  <c r="T58" i="24"/>
  <c r="C57" i="24"/>
  <c r="C58" i="24" s="1"/>
  <c r="G53" i="24"/>
  <c r="G52" i="24"/>
  <c r="W52" i="24"/>
  <c r="I59" i="24"/>
  <c r="S59" i="24"/>
  <c r="AA59" i="24"/>
  <c r="F52" i="24"/>
  <c r="AB58" i="24"/>
  <c r="K57" i="24"/>
  <c r="K58" i="24" s="1"/>
  <c r="H53" i="24"/>
  <c r="R53" i="24"/>
  <c r="Z53" i="24"/>
  <c r="X52" i="24"/>
  <c r="J59" i="24"/>
  <c r="T59" i="24"/>
  <c r="AB59" i="24"/>
  <c r="T43" i="24"/>
  <c r="AB43" i="24"/>
  <c r="I53" i="24"/>
  <c r="S53" i="24"/>
  <c r="AA53" i="24"/>
  <c r="R52" i="24"/>
  <c r="C59" i="24"/>
  <c r="K59" i="24"/>
  <c r="K42" i="24"/>
  <c r="K43" i="24" s="1"/>
  <c r="J53" i="24"/>
  <c r="J54" i="24" s="1"/>
  <c r="T53" i="24"/>
  <c r="AB53" i="24"/>
  <c r="Z52" i="24"/>
  <c r="I52" i="24"/>
  <c r="F58" i="24"/>
  <c r="N59" i="24"/>
  <c r="V59" i="24"/>
  <c r="H43" i="24"/>
  <c r="C53" i="24"/>
  <c r="E59" i="24"/>
  <c r="O59" i="24"/>
  <c r="H46" i="24"/>
  <c r="O43" i="24"/>
  <c r="W43" i="24"/>
  <c r="J46" i="24"/>
  <c r="J48" i="24" s="1"/>
  <c r="T46" i="24"/>
  <c r="T48" i="24" s="1"/>
  <c r="J24" i="24" a="1"/>
  <c r="J24" i="24" s="1"/>
  <c r="T22" i="24" a="1"/>
  <c r="T22" i="24" s="1"/>
  <c r="AB22" i="24" a="1"/>
  <c r="AB22" i="24" s="1"/>
  <c r="K48" i="24"/>
  <c r="F48" i="24"/>
  <c r="C43" i="24"/>
  <c r="C46" i="24"/>
  <c r="D42" i="24"/>
  <c r="D43" i="24" s="1"/>
  <c r="V42" i="24"/>
  <c r="V43" i="24" s="1"/>
  <c r="N43" i="24"/>
  <c r="R43" i="24"/>
  <c r="Z43" i="24"/>
  <c r="D46" i="24"/>
  <c r="N46" i="24"/>
  <c r="V46" i="24"/>
  <c r="I16" i="24"/>
  <c r="E43" i="24"/>
  <c r="S43" i="24"/>
  <c r="AA43" i="24"/>
  <c r="E46" i="24"/>
  <c r="O46" i="24"/>
  <c r="O48" i="24" s="1"/>
  <c r="W46" i="24"/>
  <c r="P57" i="24"/>
  <c r="P58" i="24" s="1"/>
  <c r="X43" i="24"/>
  <c r="F43" i="24"/>
  <c r="P43" i="24"/>
  <c r="P46" i="24"/>
  <c r="X46" i="24"/>
  <c r="X48" i="24" s="1"/>
  <c r="X57" i="24"/>
  <c r="X58" i="24" s="1"/>
  <c r="G43" i="24"/>
  <c r="G46" i="24"/>
  <c r="D47" i="24"/>
  <c r="Z48" i="24"/>
  <c r="W24" i="24" a="1"/>
  <c r="W24" i="24" s="1"/>
  <c r="I43" i="24"/>
  <c r="S46" i="24"/>
  <c r="AA46" i="24"/>
  <c r="AB48" i="24"/>
  <c r="D57" i="24"/>
  <c r="D58" i="24" s="1"/>
  <c r="D60" i="24" s="1"/>
  <c r="N57" i="24"/>
  <c r="N58" i="24" s="1"/>
  <c r="V57" i="24"/>
  <c r="V58" i="24" s="1"/>
  <c r="E57" i="24"/>
  <c r="E58" i="24" s="1"/>
  <c r="O57" i="24"/>
  <c r="O58" i="24" s="1"/>
  <c r="W57" i="24"/>
  <c r="W58" i="24" s="1"/>
  <c r="W60" i="24" s="1"/>
  <c r="I48" i="24"/>
  <c r="O25" i="24" a="1"/>
  <c r="O25" i="24" s="1"/>
  <c r="F11" i="24"/>
  <c r="F18" i="24" s="1"/>
  <c r="D22" i="24" a="1"/>
  <c r="D22" i="24" s="1"/>
  <c r="I11" i="24"/>
  <c r="D24" i="24" a="1"/>
  <c r="D24" i="24" s="1"/>
  <c r="P24" i="24" a="1"/>
  <c r="P24" i="24" s="1"/>
  <c r="X24" i="24" a="1"/>
  <c r="X24" i="24" s="1"/>
  <c r="T25" i="24" a="1"/>
  <c r="T25" i="24" s="1"/>
  <c r="AB25" i="24" a="1"/>
  <c r="AB25" i="24" s="1"/>
  <c r="E24" i="24" a="1"/>
  <c r="E24" i="24" s="1"/>
  <c r="W22" i="24" a="1"/>
  <c r="W22" i="24" s="1"/>
  <c r="K25" i="24" a="1"/>
  <c r="K25" i="24" s="1"/>
  <c r="H22" i="24" a="1"/>
  <c r="H22" i="24" s="1"/>
  <c r="H24" i="24" a="1"/>
  <c r="H24" i="24" s="1"/>
  <c r="O22" i="24" a="1"/>
  <c r="O22" i="24" s="1"/>
  <c r="T24" i="24" a="1"/>
  <c r="T24" i="24" s="1"/>
  <c r="AB24" i="24" a="1"/>
  <c r="AB24" i="24" s="1"/>
  <c r="P25" i="24" a="1"/>
  <c r="P25" i="24" s="1"/>
  <c r="X25" i="24" a="1"/>
  <c r="X25" i="24" s="1"/>
  <c r="O24" i="24" a="1"/>
  <c r="O24" i="24" s="1"/>
  <c r="T23" i="24"/>
  <c r="AB23" i="24"/>
  <c r="K24" i="24" a="1"/>
  <c r="K24" i="24" s="1"/>
  <c r="W23" i="24"/>
  <c r="S25" i="24" a="1"/>
  <c r="S25" i="24" s="1"/>
  <c r="AA25" i="24" a="1"/>
  <c r="AA25" i="24" s="1"/>
  <c r="K23" i="24"/>
  <c r="H16" i="24"/>
  <c r="H18" i="24" s="1"/>
  <c r="D25" i="24" a="1"/>
  <c r="D25" i="24" s="1"/>
  <c r="D23" i="24"/>
  <c r="O23" i="24"/>
  <c r="I23" i="24"/>
  <c r="J23" i="24"/>
  <c r="I22" i="24" a="1"/>
  <c r="I22" i="24" s="1"/>
  <c r="E23" i="24"/>
  <c r="P23" i="24"/>
  <c r="X23" i="24"/>
  <c r="G24" i="24" a="1"/>
  <c r="G24" i="24" s="1"/>
  <c r="S24" i="24" a="1"/>
  <c r="S24" i="24" s="1"/>
  <c r="AA24" i="24" a="1"/>
  <c r="AA24" i="24" s="1"/>
  <c r="W25" i="24" a="1"/>
  <c r="W25" i="24" s="1"/>
  <c r="F23" i="24"/>
  <c r="G23" i="24"/>
  <c r="I24" i="24" a="1"/>
  <c r="I24" i="24" s="1"/>
  <c r="S22" i="24" a="1"/>
  <c r="S22" i="24" s="1"/>
  <c r="AA22" i="24" a="1"/>
  <c r="AA22" i="24" s="1"/>
  <c r="H23" i="24"/>
  <c r="S23" i="24"/>
  <c r="AA23" i="24"/>
  <c r="F25" i="24" a="1"/>
  <c r="F25" i="24" s="1"/>
  <c r="E22" i="24" a="1"/>
  <c r="E22" i="24" s="1"/>
  <c r="G25" i="24" a="1"/>
  <c r="G25" i="24" s="1"/>
  <c r="H25" i="24" a="1"/>
  <c r="H25" i="24" s="1"/>
  <c r="G22" i="24" a="1"/>
  <c r="G22" i="24" s="1"/>
  <c r="I25" i="24" a="1"/>
  <c r="I25" i="24" s="1"/>
  <c r="J25" i="24" a="1"/>
  <c r="J25" i="24" s="1"/>
  <c r="J22" i="24" a="1"/>
  <c r="J22" i="24" s="1"/>
  <c r="K22" i="24" a="1"/>
  <c r="K22" i="24" s="1"/>
  <c r="E25" i="24" a="1"/>
  <c r="E25" i="24" s="1"/>
  <c r="E11" i="24"/>
  <c r="E18" i="24" s="1"/>
  <c r="R11" i="24"/>
  <c r="Z11" i="24"/>
  <c r="G11" i="24"/>
  <c r="G18" i="24" s="1"/>
  <c r="T16" i="24"/>
  <c r="AB16" i="24"/>
  <c r="O11" i="24"/>
  <c r="W11" i="24"/>
  <c r="P11" i="24"/>
  <c r="X11" i="24"/>
  <c r="O16" i="24"/>
  <c r="W16" i="24"/>
  <c r="N16" i="24"/>
  <c r="R16" i="24"/>
  <c r="Z16" i="24"/>
  <c r="S11" i="24"/>
  <c r="AA11" i="24"/>
  <c r="P16" i="24"/>
  <c r="X16" i="24"/>
  <c r="T11" i="24"/>
  <c r="AB11" i="24"/>
  <c r="K11" i="24"/>
  <c r="K18" i="24" s="1"/>
  <c r="C16" i="24"/>
  <c r="V11" i="24"/>
  <c r="S16" i="24"/>
  <c r="AA16" i="24"/>
  <c r="N11" i="24"/>
  <c r="V16" i="24"/>
  <c r="C11" i="24"/>
  <c r="H33" i="34" l="1"/>
  <c r="J33" i="34"/>
  <c r="F33" i="34"/>
  <c r="J286" i="22"/>
  <c r="J288" i="22"/>
  <c r="G46" i="22"/>
  <c r="G372" i="22"/>
  <c r="H372" i="22" s="1"/>
  <c r="C43" i="27"/>
  <c r="E43" i="27" s="1"/>
  <c r="E36" i="16"/>
  <c r="F36" i="16" s="1"/>
  <c r="F9" i="16" s="1"/>
  <c r="F380" i="22"/>
  <c r="G380" i="22" s="1"/>
  <c r="H380" i="22" s="1"/>
  <c r="G374" i="22"/>
  <c r="H376" i="22"/>
  <c r="J376" i="22" s="1"/>
  <c r="E540" i="22"/>
  <c r="E538" i="22"/>
  <c r="E472" i="22"/>
  <c r="E542" i="22"/>
  <c r="E544" i="22"/>
  <c r="E514" i="22"/>
  <c r="E516" i="22"/>
  <c r="E518" i="22"/>
  <c r="E520" i="22"/>
  <c r="E492" i="22"/>
  <c r="E490" i="22"/>
  <c r="E420" i="22"/>
  <c r="E418" i="22"/>
  <c r="E494" i="22"/>
  <c r="E468" i="22"/>
  <c r="E466" i="22"/>
  <c r="E422" i="22"/>
  <c r="E496" i="22"/>
  <c r="E470" i="22"/>
  <c r="E424" i="22"/>
  <c r="F378" i="22"/>
  <c r="J454" i="22"/>
  <c r="J526" i="22"/>
  <c r="J502" i="22"/>
  <c r="J428" i="22"/>
  <c r="J478" i="22"/>
  <c r="J402" i="22"/>
  <c r="J342" i="22"/>
  <c r="J212" i="22"/>
  <c r="J100" i="22"/>
  <c r="J314" i="22"/>
  <c r="J182" i="22"/>
  <c r="J72" i="22"/>
  <c r="J256" i="22"/>
  <c r="J154" i="22"/>
  <c r="J44" i="22"/>
  <c r="J370" i="22"/>
  <c r="J234" i="22"/>
  <c r="J128" i="22"/>
  <c r="AC44" i="8"/>
  <c r="AC49" i="8" s="1"/>
  <c r="F26" i="24"/>
  <c r="L18" i="24"/>
  <c r="L19" i="24" s="1"/>
  <c r="AC11" i="24"/>
  <c r="AC18" i="24" s="1"/>
  <c r="AC43" i="24"/>
  <c r="AC58" i="24"/>
  <c r="AC60" i="24" s="1"/>
  <c r="AP14" i="24"/>
  <c r="AP16" i="24" s="1"/>
  <c r="AC22" i="24" a="1"/>
  <c r="AC22" i="24" s="1"/>
  <c r="AC26" i="24" s="1"/>
  <c r="AC52" i="24"/>
  <c r="AC54" i="24" s="1"/>
  <c r="L26" i="24"/>
  <c r="L54" i="24"/>
  <c r="AC71" i="9"/>
  <c r="AQ71" i="9" s="1"/>
  <c r="AP72" i="8"/>
  <c r="AP31" i="24"/>
  <c r="AP51" i="24"/>
  <c r="AP57" i="24" s="1"/>
  <c r="Z60" i="24"/>
  <c r="AP9" i="24"/>
  <c r="AP11" i="24" s="1"/>
  <c r="AP41" i="24"/>
  <c r="AP44" i="8"/>
  <c r="AP36" i="24"/>
  <c r="AP14" i="8"/>
  <c r="AP32" i="24"/>
  <c r="AP60" i="8"/>
  <c r="C54" i="24"/>
  <c r="AC60" i="9"/>
  <c r="AQ60" i="9" s="1"/>
  <c r="AC59" i="9"/>
  <c r="AQ59" i="9" s="1"/>
  <c r="AQ69" i="9"/>
  <c r="AC33" i="24"/>
  <c r="AC37" i="24"/>
  <c r="AC38" i="24" s="1"/>
  <c r="AC69" i="9"/>
  <c r="AC66" i="8"/>
  <c r="AC68" i="8" s="1"/>
  <c r="AC48" i="10"/>
  <c r="AC46" i="10"/>
  <c r="AC47" i="10"/>
  <c r="AP95" i="10"/>
  <c r="AP14" i="10"/>
  <c r="AP19" i="10" s="1"/>
  <c r="AC11" i="9"/>
  <c r="AC16" i="9" s="1"/>
  <c r="AC21" i="9" s="1"/>
  <c r="AP15" i="10"/>
  <c r="AP18" i="10"/>
  <c r="AP21" i="10"/>
  <c r="AP49" i="10"/>
  <c r="AP47" i="10"/>
  <c r="AP46" i="10"/>
  <c r="AP48" i="10"/>
  <c r="D12" i="9"/>
  <c r="AC22" i="10"/>
  <c r="AC15" i="10"/>
  <c r="AC19" i="10"/>
  <c r="AC21" i="10"/>
  <c r="AC20" i="10"/>
  <c r="D16" i="9"/>
  <c r="D21" i="9" s="1"/>
  <c r="D22" i="9" s="1"/>
  <c r="E12" i="9"/>
  <c r="L17" i="9"/>
  <c r="L21" i="9"/>
  <c r="AC48" i="24"/>
  <c r="X60" i="24"/>
  <c r="L48" i="24"/>
  <c r="F60" i="24"/>
  <c r="J60" i="24"/>
  <c r="G60" i="24"/>
  <c r="P54" i="24"/>
  <c r="E16" i="9"/>
  <c r="E21" i="9" s="1"/>
  <c r="E25" i="9" s="1"/>
  <c r="F16" i="9"/>
  <c r="F17" i="9" s="1"/>
  <c r="F12" i="9"/>
  <c r="AC15" i="8"/>
  <c r="AC23" i="8"/>
  <c r="AC26" i="8" s="1"/>
  <c r="AC20" i="8"/>
  <c r="J18" i="24"/>
  <c r="K19" i="24" s="1"/>
  <c r="V60" i="24"/>
  <c r="L23" i="8"/>
  <c r="L26" i="8" s="1"/>
  <c r="L20" i="8"/>
  <c r="O54" i="24"/>
  <c r="H60" i="24"/>
  <c r="N60" i="24"/>
  <c r="H54" i="24"/>
  <c r="AA54" i="24"/>
  <c r="X54" i="24"/>
  <c r="E54" i="24"/>
  <c r="O60" i="24"/>
  <c r="N54" i="24"/>
  <c r="E60" i="24"/>
  <c r="C17" i="9"/>
  <c r="T60" i="24"/>
  <c r="F54" i="24"/>
  <c r="Z54" i="24"/>
  <c r="S60" i="24"/>
  <c r="P60" i="24"/>
  <c r="T54" i="24"/>
  <c r="I54" i="24"/>
  <c r="E75" i="27"/>
  <c r="K60" i="24"/>
  <c r="C60" i="24"/>
  <c r="AA60" i="24"/>
  <c r="AB54" i="24"/>
  <c r="C25" i="9"/>
  <c r="C22" i="9"/>
  <c r="H50" i="27"/>
  <c r="G80" i="27"/>
  <c r="AB60" i="24"/>
  <c r="I60" i="24"/>
  <c r="R54" i="24"/>
  <c r="W54" i="24"/>
  <c r="G54" i="24"/>
  <c r="S54" i="24"/>
  <c r="W26" i="24"/>
  <c r="P48" i="24"/>
  <c r="H48" i="24"/>
  <c r="W48" i="24"/>
  <c r="G48" i="24"/>
  <c r="V48" i="24"/>
  <c r="S48" i="24"/>
  <c r="D48" i="24"/>
  <c r="C48" i="24"/>
  <c r="AA48" i="24"/>
  <c r="E48" i="24"/>
  <c r="N48" i="24"/>
  <c r="I18" i="24"/>
  <c r="I19" i="24" s="1"/>
  <c r="D26" i="24"/>
  <c r="T26" i="24"/>
  <c r="P26" i="24"/>
  <c r="G19" i="24"/>
  <c r="AB26" i="24"/>
  <c r="X26" i="24"/>
  <c r="H26" i="24"/>
  <c r="K26" i="24"/>
  <c r="O26" i="24"/>
  <c r="J26" i="24"/>
  <c r="I26" i="24"/>
  <c r="G26" i="24"/>
  <c r="E26" i="24"/>
  <c r="AA26" i="24"/>
  <c r="S26" i="24"/>
  <c r="R18" i="24"/>
  <c r="H19" i="24"/>
  <c r="C18" i="24"/>
  <c r="S18" i="24"/>
  <c r="P18" i="24"/>
  <c r="AA18" i="24"/>
  <c r="V18" i="24"/>
  <c r="F19" i="24"/>
  <c r="N18" i="24"/>
  <c r="X18" i="24"/>
  <c r="AB18" i="24"/>
  <c r="W18" i="24"/>
  <c r="T18" i="24"/>
  <c r="O18" i="24"/>
  <c r="Z18" i="24"/>
  <c r="L33" i="34" l="1"/>
  <c r="D36" i="34" s="1"/>
  <c r="D38" i="34" s="1"/>
  <c r="H46" i="22"/>
  <c r="H374" i="22"/>
  <c r="G378" i="22"/>
  <c r="AQ72" i="9"/>
  <c r="AQ81" i="9" s="1"/>
  <c r="AP18" i="24"/>
  <c r="AC72" i="9"/>
  <c r="AC81" i="9" s="1"/>
  <c r="AP15" i="8"/>
  <c r="AP19" i="8"/>
  <c r="AP59" i="24"/>
  <c r="AP47" i="24"/>
  <c r="AP49" i="8"/>
  <c r="AP58" i="24"/>
  <c r="AP66" i="8"/>
  <c r="AP46" i="24"/>
  <c r="AP48" i="24" s="1"/>
  <c r="AP52" i="24"/>
  <c r="AP33" i="24"/>
  <c r="AP37" i="24"/>
  <c r="AP38" i="24" s="1"/>
  <c r="AP42" i="24"/>
  <c r="AP43" i="24" s="1"/>
  <c r="AP53" i="24"/>
  <c r="AC19" i="24"/>
  <c r="AC22" i="9"/>
  <c r="AC17" i="9"/>
  <c r="AP20" i="10"/>
  <c r="AP22" i="10"/>
  <c r="D17" i="9"/>
  <c r="D25" i="9"/>
  <c r="D29" i="9" s="1"/>
  <c r="E22" i="9"/>
  <c r="E17" i="9"/>
  <c r="F21" i="9"/>
  <c r="F22" i="9" s="1"/>
  <c r="L22" i="9"/>
  <c r="L25" i="9"/>
  <c r="AC33" i="8"/>
  <c r="AC30" i="8"/>
  <c r="AC27" i="8"/>
  <c r="AC75" i="8"/>
  <c r="L75" i="8"/>
  <c r="L90" i="8" s="1"/>
  <c r="L118" i="8" s="1"/>
  <c r="L33" i="8"/>
  <c r="L30" i="8"/>
  <c r="L27" i="8"/>
  <c r="C26" i="9"/>
  <c r="C29" i="9"/>
  <c r="C79" i="9" s="1" a="1"/>
  <c r="C79" i="9" s="1"/>
  <c r="E26" i="9"/>
  <c r="E29" i="9"/>
  <c r="H80" i="27"/>
  <c r="I50" i="27"/>
  <c r="J19" i="24"/>
  <c r="O19" i="24"/>
  <c r="S19" i="24"/>
  <c r="AB19" i="24"/>
  <c r="X19" i="24"/>
  <c r="AA19" i="24"/>
  <c r="P19" i="24"/>
  <c r="T19" i="24"/>
  <c r="W19" i="24"/>
  <c r="M17" i="31" l="1"/>
  <c r="H378" i="22"/>
  <c r="AP20" i="8"/>
  <c r="AP23" i="8"/>
  <c r="AP68" i="8"/>
  <c r="AP54" i="24"/>
  <c r="AP60" i="24"/>
  <c r="D26" i="9"/>
  <c r="F25" i="9"/>
  <c r="F26" i="9" s="1"/>
  <c r="L26" i="9"/>
  <c r="L29" i="9"/>
  <c r="C36" i="9"/>
  <c r="C45" i="9" s="1"/>
  <c r="C80" i="9" a="1"/>
  <c r="C80" i="9" s="1"/>
  <c r="C78" i="9"/>
  <c r="C30" i="9"/>
  <c r="C77" i="9"/>
  <c r="C76" i="9"/>
  <c r="E78" i="9"/>
  <c r="E30" i="9"/>
  <c r="E79" i="9" a="1"/>
  <c r="E79" i="9" s="1"/>
  <c r="E36" i="9"/>
  <c r="E45" i="9" s="1"/>
  <c r="E80" i="9" a="1"/>
  <c r="E80" i="9" s="1"/>
  <c r="E77" i="9"/>
  <c r="E76" i="9"/>
  <c r="D80" i="9" a="1"/>
  <c r="D80" i="9" s="1"/>
  <c r="D78" i="9"/>
  <c r="D30" i="9"/>
  <c r="D36" i="9"/>
  <c r="D45" i="9" s="1"/>
  <c r="D79" i="9" a="1"/>
  <c r="D79" i="9" s="1"/>
  <c r="D77" i="9"/>
  <c r="D76" i="9"/>
  <c r="J50" i="27"/>
  <c r="I80" i="27"/>
  <c r="AP26" i="8" l="1"/>
  <c r="F29" i="9"/>
  <c r="F78" i="9" s="1"/>
  <c r="L80" i="9" a="1"/>
  <c r="L80" i="9" s="1"/>
  <c r="L36" i="9"/>
  <c r="L79" i="9" a="1"/>
  <c r="L79" i="9" s="1"/>
  <c r="L78" i="9"/>
  <c r="L30" i="9"/>
  <c r="L77" i="9"/>
  <c r="L76" i="9"/>
  <c r="K50" i="27"/>
  <c r="L50" i="27" s="1"/>
  <c r="L80" i="27" s="1"/>
  <c r="J80" i="27"/>
  <c r="F76" i="9" l="1"/>
  <c r="F77" i="9"/>
  <c r="F79" i="9" a="1"/>
  <c r="F79" i="9" s="1"/>
  <c r="F36" i="9"/>
  <c r="F45" i="9" s="1"/>
  <c r="F80" i="9" a="1"/>
  <c r="F80" i="9" s="1"/>
  <c r="F30" i="9"/>
  <c r="AP30" i="8"/>
  <c r="AP27" i="8"/>
  <c r="AP33" i="8"/>
  <c r="K80" i="27"/>
  <c r="G15" i="27"/>
  <c r="B15" i="27"/>
  <c r="B14" i="27"/>
  <c r="D351" i="22" l="1"/>
  <c r="C351" i="22"/>
  <c r="F349" i="22"/>
  <c r="E349" i="22"/>
  <c r="D349" i="22"/>
  <c r="C349" i="22"/>
  <c r="G347" i="22"/>
  <c r="F347" i="22"/>
  <c r="E347" i="22"/>
  <c r="D347" i="22"/>
  <c r="C347" i="22"/>
  <c r="H220" i="25"/>
  <c r="G220" i="25"/>
  <c r="F220" i="25"/>
  <c r="E220" i="25"/>
  <c r="D220" i="25"/>
  <c r="L219" i="25"/>
  <c r="K75" i="25"/>
  <c r="L206" i="25"/>
  <c r="M206" i="25" s="1"/>
  <c r="N206" i="25" s="1"/>
  <c r="O206" i="25" s="1"/>
  <c r="P206" i="25" s="1"/>
  <c r="Q206" i="25" s="1"/>
  <c r="H207" i="25"/>
  <c r="G207" i="25"/>
  <c r="F207" i="25"/>
  <c r="E207" i="25"/>
  <c r="D207" i="25"/>
  <c r="C207" i="25"/>
  <c r="L196" i="25"/>
  <c r="M196" i="25" s="1"/>
  <c r="N196" i="25" s="1"/>
  <c r="O196" i="25" s="1"/>
  <c r="P196" i="25" s="1"/>
  <c r="Q196" i="25" s="1"/>
  <c r="H193" i="25"/>
  <c r="G193" i="25"/>
  <c r="F193" i="25"/>
  <c r="E193" i="25"/>
  <c r="D193" i="25"/>
  <c r="C193" i="25"/>
  <c r="L175" i="25"/>
  <c r="M175" i="25" s="1"/>
  <c r="N175" i="25" s="1"/>
  <c r="O175" i="25" s="1"/>
  <c r="P175" i="25" s="1"/>
  <c r="Q175" i="25" s="1"/>
  <c r="Q123" i="25" s="1"/>
  <c r="G123" i="25"/>
  <c r="F123" i="25"/>
  <c r="E123" i="25"/>
  <c r="D123" i="25"/>
  <c r="C123" i="25"/>
  <c r="H124" i="25"/>
  <c r="G124" i="25"/>
  <c r="F124" i="25"/>
  <c r="E124" i="25"/>
  <c r="D124" i="25"/>
  <c r="C124" i="25"/>
  <c r="C396" i="22"/>
  <c r="C394" i="22"/>
  <c r="C392" i="22"/>
  <c r="C390" i="22"/>
  <c r="L100" i="25"/>
  <c r="M100" i="25" s="1"/>
  <c r="N100" i="25" s="1"/>
  <c r="O100" i="25" s="1"/>
  <c r="P100" i="25" s="1"/>
  <c r="Q100" i="25" s="1"/>
  <c r="S100" i="25" s="1"/>
  <c r="H176" i="25"/>
  <c r="L172" i="25" s="1"/>
  <c r="G176" i="25"/>
  <c r="H172" i="25" s="1"/>
  <c r="F176" i="25"/>
  <c r="G172" i="25" s="1"/>
  <c r="E176" i="25"/>
  <c r="F172" i="25" s="1"/>
  <c r="D176" i="25"/>
  <c r="E172" i="25" s="1"/>
  <c r="C176" i="25"/>
  <c r="D172" i="25" s="1"/>
  <c r="H189" i="25"/>
  <c r="L186" i="25" s="1"/>
  <c r="G189" i="25"/>
  <c r="H186" i="25" s="1"/>
  <c r="F189" i="25"/>
  <c r="G186" i="25" s="1"/>
  <c r="E189" i="25"/>
  <c r="F186" i="25" s="1"/>
  <c r="D189" i="25"/>
  <c r="E186" i="25" s="1"/>
  <c r="C189" i="25"/>
  <c r="D186" i="25" s="1"/>
  <c r="H115" i="25"/>
  <c r="C115" i="25"/>
  <c r="L93" i="25"/>
  <c r="L201" i="25" s="1"/>
  <c r="F121" i="25"/>
  <c r="E201" i="25"/>
  <c r="D201" i="25"/>
  <c r="L180" i="25"/>
  <c r="H180" i="25"/>
  <c r="G180" i="25"/>
  <c r="F180" i="25"/>
  <c r="E180" i="25"/>
  <c r="D180" i="25"/>
  <c r="H169" i="25"/>
  <c r="G169" i="25"/>
  <c r="H166" i="25" s="1"/>
  <c r="F169" i="25"/>
  <c r="G166" i="25" s="1"/>
  <c r="E169" i="25"/>
  <c r="D169" i="25"/>
  <c r="E166" i="25" s="1"/>
  <c r="C169" i="25"/>
  <c r="D166" i="25" s="1"/>
  <c r="H137" i="25"/>
  <c r="L134" i="25" s="1"/>
  <c r="G137" i="25"/>
  <c r="H134" i="25" s="1"/>
  <c r="F137" i="25"/>
  <c r="G134" i="25" s="1"/>
  <c r="E137" i="25"/>
  <c r="F134" i="25" s="1"/>
  <c r="D137" i="25"/>
  <c r="E134" i="25" s="1"/>
  <c r="C137" i="25"/>
  <c r="D134" i="25" s="1"/>
  <c r="G317" i="22"/>
  <c r="F317" i="22"/>
  <c r="E317" i="22"/>
  <c r="D317" i="22"/>
  <c r="C317" i="22"/>
  <c r="C281" i="22"/>
  <c r="C279" i="22"/>
  <c r="C277" i="22"/>
  <c r="D251" i="22"/>
  <c r="C251" i="22"/>
  <c r="D249" i="22"/>
  <c r="C249" i="22"/>
  <c r="D247" i="22"/>
  <c r="C247" i="22"/>
  <c r="D245" i="22"/>
  <c r="C245" i="22"/>
  <c r="D229" i="22"/>
  <c r="C229" i="22"/>
  <c r="D227" i="22"/>
  <c r="C227" i="22"/>
  <c r="D223" i="22"/>
  <c r="C223" i="22"/>
  <c r="D225" i="22"/>
  <c r="C225" i="22"/>
  <c r="C176" i="22"/>
  <c r="C172" i="22"/>
  <c r="C170" i="22"/>
  <c r="C150" i="22"/>
  <c r="C146" i="22"/>
  <c r="C144" i="22"/>
  <c r="C124" i="22"/>
  <c r="C122" i="22"/>
  <c r="C120" i="22"/>
  <c r="C118" i="22"/>
  <c r="C92" i="22"/>
  <c r="C94" i="22"/>
  <c r="C96" i="22"/>
  <c r="C90" i="22"/>
  <c r="H218" i="25"/>
  <c r="G218" i="25"/>
  <c r="F218" i="25"/>
  <c r="E218" i="25"/>
  <c r="D218" i="25"/>
  <c r="C218" i="25"/>
  <c r="H163" i="25"/>
  <c r="H161" i="25" s="1"/>
  <c r="H167" i="25" s="1"/>
  <c r="G163" i="25"/>
  <c r="G161" i="25" s="1"/>
  <c r="G167" i="25" s="1"/>
  <c r="F163" i="25"/>
  <c r="F161" i="25" s="1"/>
  <c r="F167" i="25" s="1"/>
  <c r="E163" i="25"/>
  <c r="E161" i="25" s="1"/>
  <c r="E167" i="25" s="1"/>
  <c r="D163" i="25"/>
  <c r="D161" i="25" s="1"/>
  <c r="D167" i="25" s="1"/>
  <c r="C110" i="25"/>
  <c r="B23" i="25"/>
  <c r="B22" i="25"/>
  <c r="B21" i="25"/>
  <c r="B20" i="25"/>
  <c r="B19" i="25"/>
  <c r="B2" i="25"/>
  <c r="B107" i="25"/>
  <c r="B106" i="25"/>
  <c r="H77" i="25"/>
  <c r="H107" i="25" s="1"/>
  <c r="H131" i="25" s="1"/>
  <c r="G77" i="25"/>
  <c r="G107" i="25" s="1"/>
  <c r="G131" i="25" s="1"/>
  <c r="F77" i="25"/>
  <c r="F107" i="25" s="1"/>
  <c r="F131" i="25" s="1"/>
  <c r="E77" i="25"/>
  <c r="E107" i="25" s="1"/>
  <c r="E131" i="25" s="1"/>
  <c r="D77" i="25"/>
  <c r="D107" i="25" s="1"/>
  <c r="D131" i="25" s="1"/>
  <c r="C77" i="25"/>
  <c r="C107" i="25" s="1"/>
  <c r="C131" i="25" s="1"/>
  <c r="B77" i="25"/>
  <c r="H76" i="25"/>
  <c r="H106" i="25" s="1"/>
  <c r="H130" i="25" s="1"/>
  <c r="G76" i="25"/>
  <c r="G106" i="25" s="1"/>
  <c r="G130" i="25" s="1"/>
  <c r="F76" i="25"/>
  <c r="F106" i="25" s="1"/>
  <c r="F130" i="25" s="1"/>
  <c r="E76" i="25"/>
  <c r="E106" i="25" s="1"/>
  <c r="E130" i="25" s="1"/>
  <c r="D76" i="25"/>
  <c r="D106" i="25" s="1"/>
  <c r="D130" i="25" s="1"/>
  <c r="B76" i="25"/>
  <c r="M35" i="25"/>
  <c r="N35" i="25" s="1"/>
  <c r="O35" i="25" s="1"/>
  <c r="P35" i="25" s="1"/>
  <c r="Q35" i="25" s="1"/>
  <c r="S35" i="25" s="1"/>
  <c r="L17" i="25"/>
  <c r="J17" i="25"/>
  <c r="J77" i="25" s="1"/>
  <c r="J107" i="25" s="1"/>
  <c r="L16" i="25"/>
  <c r="L223" i="25" l="1"/>
  <c r="C148" i="22"/>
  <c r="C174" i="22"/>
  <c r="K87" i="28"/>
  <c r="K89" i="28"/>
  <c r="K54" i="28" s="1"/>
  <c r="K16" i="28" s="1"/>
  <c r="K85" i="28"/>
  <c r="K83" i="28"/>
  <c r="K53" i="28" s="1"/>
  <c r="K15" i="28" s="1"/>
  <c r="J9" i="28"/>
  <c r="J45" i="28"/>
  <c r="L77" i="25"/>
  <c r="L131" i="25" s="1"/>
  <c r="J46" i="28"/>
  <c r="J10" i="28"/>
  <c r="D392" i="22"/>
  <c r="D396" i="22"/>
  <c r="D390" i="22"/>
  <c r="D394" i="22"/>
  <c r="J124" i="25"/>
  <c r="L76" i="25"/>
  <c r="L130" i="25" s="1"/>
  <c r="L151" i="25" s="1"/>
  <c r="G49" i="27"/>
  <c r="M118" i="25"/>
  <c r="B55" i="25"/>
  <c r="B56" i="27"/>
  <c r="B51" i="25"/>
  <c r="B52" i="27"/>
  <c r="B52" i="25"/>
  <c r="B53" i="27"/>
  <c r="B53" i="25"/>
  <c r="B54" i="27"/>
  <c r="B54" i="25"/>
  <c r="B55" i="27"/>
  <c r="E115" i="25"/>
  <c r="H113" i="25"/>
  <c r="F115" i="25"/>
  <c r="G113" i="25"/>
  <c r="E112" i="25"/>
  <c r="G115" i="25"/>
  <c r="G217" i="25"/>
  <c r="D118" i="25"/>
  <c r="D119" i="25" s="1"/>
  <c r="F111" i="25"/>
  <c r="F112" i="25"/>
  <c r="G121" i="25"/>
  <c r="F201" i="25"/>
  <c r="G111" i="25"/>
  <c r="G112" i="25"/>
  <c r="J82" i="25"/>
  <c r="E67" i="25"/>
  <c r="H111" i="25"/>
  <c r="H112" i="25"/>
  <c r="E113" i="25"/>
  <c r="D113" i="25"/>
  <c r="D115" i="25"/>
  <c r="D217" i="25"/>
  <c r="E217" i="25"/>
  <c r="G122" i="25"/>
  <c r="F113" i="25"/>
  <c r="F217" i="25"/>
  <c r="E168" i="25"/>
  <c r="E114" i="25" s="1"/>
  <c r="L174" i="25"/>
  <c r="O217" i="25"/>
  <c r="H110" i="25"/>
  <c r="C111" i="25"/>
  <c r="G118" i="25"/>
  <c r="G119" i="25" s="1"/>
  <c r="E197" i="25"/>
  <c r="P217" i="25"/>
  <c r="D111" i="25"/>
  <c r="D112" i="25"/>
  <c r="H121" i="25"/>
  <c r="F166" i="25"/>
  <c r="F168" i="25" s="1"/>
  <c r="F114" i="25" s="1"/>
  <c r="H118" i="25"/>
  <c r="G201" i="25"/>
  <c r="E111" i="25"/>
  <c r="C125" i="25"/>
  <c r="E121" i="25"/>
  <c r="H122" i="25"/>
  <c r="C118" i="25"/>
  <c r="C119" i="25" s="1"/>
  <c r="D122" i="25"/>
  <c r="Q217" i="25"/>
  <c r="J81" i="25"/>
  <c r="J85" i="25"/>
  <c r="J91" i="25"/>
  <c r="J98" i="25"/>
  <c r="J83" i="25"/>
  <c r="J80" i="25"/>
  <c r="J89" i="25"/>
  <c r="J93" i="25"/>
  <c r="J100" i="25"/>
  <c r="H217" i="25"/>
  <c r="D110" i="25"/>
  <c r="L217" i="25"/>
  <c r="E110" i="25"/>
  <c r="M217" i="25"/>
  <c r="F110" i="25"/>
  <c r="H123" i="25"/>
  <c r="J123" i="25" s="1"/>
  <c r="E122" i="25"/>
  <c r="E118" i="25"/>
  <c r="E119" i="25" s="1"/>
  <c r="C217" i="25"/>
  <c r="N217" i="25"/>
  <c r="G110" i="25"/>
  <c r="F122" i="25"/>
  <c r="F125" i="25" s="1"/>
  <c r="F118" i="25"/>
  <c r="F119" i="25" s="1"/>
  <c r="G168" i="25"/>
  <c r="G114" i="25" s="1"/>
  <c r="H168" i="25"/>
  <c r="H114" i="25" s="1"/>
  <c r="D168" i="25"/>
  <c r="D114" i="25" s="1"/>
  <c r="H201" i="25"/>
  <c r="J90" i="25"/>
  <c r="L166" i="25"/>
  <c r="J92" i="25"/>
  <c r="C201" i="25"/>
  <c r="J84" i="25"/>
  <c r="J94" i="25"/>
  <c r="J99" i="25"/>
  <c r="C197" i="25"/>
  <c r="C198" i="25" s="1"/>
  <c r="C203" i="25" s="1"/>
  <c r="L123" i="25"/>
  <c r="D197" i="25"/>
  <c r="M123" i="25"/>
  <c r="F197" i="25"/>
  <c r="N123" i="25"/>
  <c r="G197" i="25"/>
  <c r="O123" i="25"/>
  <c r="H197" i="25"/>
  <c r="P123" i="25"/>
  <c r="G67" i="25"/>
  <c r="G66" i="25"/>
  <c r="E66" i="25"/>
  <c r="H67" i="25"/>
  <c r="D67" i="25"/>
  <c r="G65" i="25"/>
  <c r="H66" i="25"/>
  <c r="D66" i="25"/>
  <c r="E65" i="25"/>
  <c r="D65" i="25"/>
  <c r="M93" i="25"/>
  <c r="M201" i="25" s="1"/>
  <c r="L121" i="25"/>
  <c r="F66" i="25"/>
  <c r="H65" i="25"/>
  <c r="F67" i="25"/>
  <c r="F65" i="25"/>
  <c r="C334" i="22"/>
  <c r="L60" i="25" s="1"/>
  <c r="C330" i="22"/>
  <c r="C336" i="22"/>
  <c r="C332" i="22"/>
  <c r="G53" i="25"/>
  <c r="E55" i="25"/>
  <c r="D52" i="25"/>
  <c r="F54" i="25"/>
  <c r="E52" i="25"/>
  <c r="F55" i="25"/>
  <c r="F52" i="25"/>
  <c r="D54" i="25"/>
  <c r="G55" i="25"/>
  <c r="H53" i="25"/>
  <c r="F24" i="25"/>
  <c r="F72" i="25" s="1"/>
  <c r="D53" i="25"/>
  <c r="G54" i="25"/>
  <c r="F53" i="25"/>
  <c r="D55" i="25"/>
  <c r="G24" i="25"/>
  <c r="D24" i="25"/>
  <c r="D73" i="25" s="1"/>
  <c r="G52" i="25"/>
  <c r="E54" i="25"/>
  <c r="E53" i="25"/>
  <c r="H52" i="25"/>
  <c r="E24" i="25"/>
  <c r="E73" i="25" s="1"/>
  <c r="H55" i="25"/>
  <c r="H24" i="25"/>
  <c r="C23" i="22" s="1"/>
  <c r="H54" i="25"/>
  <c r="D172" i="22"/>
  <c r="D176" i="22"/>
  <c r="D174" i="22"/>
  <c r="D170" i="22"/>
  <c r="D148" i="22"/>
  <c r="D144" i="22"/>
  <c r="D146" i="22"/>
  <c r="D150" i="22"/>
  <c r="D90" i="22"/>
  <c r="D124" i="22"/>
  <c r="D122" i="22"/>
  <c r="D120" i="22"/>
  <c r="D118" i="22"/>
  <c r="D94" i="22"/>
  <c r="D92" i="22"/>
  <c r="D96" i="22"/>
  <c r="J35" i="25"/>
  <c r="H51" i="25"/>
  <c r="J22" i="25"/>
  <c r="J33" i="25"/>
  <c r="J21" i="25"/>
  <c r="C24" i="25"/>
  <c r="C73" i="25" s="1"/>
  <c r="G95" i="25"/>
  <c r="J34" i="25"/>
  <c r="C101" i="25"/>
  <c r="C86" i="25"/>
  <c r="E101" i="25"/>
  <c r="H101" i="25"/>
  <c r="J38" i="25"/>
  <c r="J41" i="25"/>
  <c r="C95" i="25"/>
  <c r="E95" i="25"/>
  <c r="G101" i="25"/>
  <c r="F51" i="25"/>
  <c r="F95" i="25"/>
  <c r="D95" i="25"/>
  <c r="D101" i="25"/>
  <c r="L107" i="25"/>
  <c r="D51" i="25"/>
  <c r="M17" i="25"/>
  <c r="E51" i="25"/>
  <c r="J23" i="25"/>
  <c r="J26" i="25"/>
  <c r="F101" i="25"/>
  <c r="J20" i="25"/>
  <c r="J30" i="25"/>
  <c r="G51" i="25"/>
  <c r="J19" i="25"/>
  <c r="J29" i="25"/>
  <c r="H95" i="25"/>
  <c r="C163" i="25"/>
  <c r="C161" i="25" s="1"/>
  <c r="C167" i="25" s="1"/>
  <c r="C168" i="25" s="1"/>
  <c r="C114" i="25" s="1"/>
  <c r="M16" i="25"/>
  <c r="J44" i="25"/>
  <c r="O23" i="32" l="1"/>
  <c r="O25" i="32"/>
  <c r="L106" i="25"/>
  <c r="S123" i="25"/>
  <c r="M22" i="25"/>
  <c r="K17" i="28"/>
  <c r="M23" i="25"/>
  <c r="J85" i="28"/>
  <c r="J83" i="28"/>
  <c r="J53" i="28" s="1"/>
  <c r="J15" i="28" s="1"/>
  <c r="J89" i="28"/>
  <c r="J87" i="28"/>
  <c r="J54" i="28" s="1"/>
  <c r="J16" i="28" s="1"/>
  <c r="H49" i="27"/>
  <c r="K45" i="28"/>
  <c r="K9" i="28"/>
  <c r="K46" i="28"/>
  <c r="K10" i="28"/>
  <c r="L118" i="25"/>
  <c r="G71" i="27" s="1"/>
  <c r="P152" i="25"/>
  <c r="O152" i="25"/>
  <c r="N152" i="25"/>
  <c r="M152" i="25"/>
  <c r="L152" i="25"/>
  <c r="L158" i="25" s="1"/>
  <c r="L136" i="25" s="1"/>
  <c r="Q152" i="25"/>
  <c r="Q153" i="25"/>
  <c r="P153" i="25"/>
  <c r="O153" i="25"/>
  <c r="N153" i="25"/>
  <c r="M153" i="25"/>
  <c r="J115" i="25"/>
  <c r="J118" i="25"/>
  <c r="H162" i="25"/>
  <c r="C19" i="22"/>
  <c r="C27" i="22"/>
  <c r="C25" i="22"/>
  <c r="C21" i="22"/>
  <c r="J121" i="25"/>
  <c r="J110" i="25"/>
  <c r="J122" i="25"/>
  <c r="G125" i="25"/>
  <c r="J112" i="25"/>
  <c r="E70" i="27"/>
  <c r="J113" i="25"/>
  <c r="J114" i="25"/>
  <c r="J111" i="25"/>
  <c r="H119" i="25"/>
  <c r="J119" i="25" s="1"/>
  <c r="E125" i="25"/>
  <c r="G53" i="27"/>
  <c r="H125" i="25"/>
  <c r="C202" i="25"/>
  <c r="D125" i="25"/>
  <c r="E198" i="25"/>
  <c r="E203" i="25" s="1"/>
  <c r="E202" i="25" s="1"/>
  <c r="J101" i="25"/>
  <c r="G198" i="25"/>
  <c r="G203" i="25" s="1"/>
  <c r="G202" i="25" s="1"/>
  <c r="G54" i="27"/>
  <c r="M119" i="25"/>
  <c r="H71" i="27"/>
  <c r="F198" i="25"/>
  <c r="F203" i="25" s="1"/>
  <c r="F202" i="25" s="1"/>
  <c r="J86" i="25"/>
  <c r="J95" i="25"/>
  <c r="H198" i="25"/>
  <c r="H203" i="25" s="1"/>
  <c r="H202" i="25" s="1"/>
  <c r="L202" i="25" s="1"/>
  <c r="D198" i="25"/>
  <c r="D203" i="25" s="1"/>
  <c r="D202" i="25" s="1"/>
  <c r="C162" i="25"/>
  <c r="F73" i="25"/>
  <c r="F162" i="25"/>
  <c r="E162" i="25"/>
  <c r="G72" i="25"/>
  <c r="G162" i="25"/>
  <c r="D162" i="25"/>
  <c r="M121" i="25"/>
  <c r="N93" i="25"/>
  <c r="N201" i="25" s="1"/>
  <c r="F103" i="25"/>
  <c r="D103" i="25"/>
  <c r="C103" i="25"/>
  <c r="H103" i="25"/>
  <c r="E103" i="25"/>
  <c r="G103" i="25"/>
  <c r="E72" i="25"/>
  <c r="D72" i="25"/>
  <c r="G73" i="25"/>
  <c r="C71" i="25"/>
  <c r="C70" i="25"/>
  <c r="H72" i="25"/>
  <c r="C72" i="25"/>
  <c r="H73" i="25"/>
  <c r="H50" i="25"/>
  <c r="H70" i="25"/>
  <c r="H71" i="25"/>
  <c r="F71" i="25"/>
  <c r="F70" i="25"/>
  <c r="G70" i="25"/>
  <c r="G71" i="25"/>
  <c r="D71" i="25"/>
  <c r="D70" i="25"/>
  <c r="E71" i="25"/>
  <c r="E70" i="25"/>
  <c r="C27" i="25"/>
  <c r="C58" i="25" s="1"/>
  <c r="F50" i="25"/>
  <c r="F27" i="25"/>
  <c r="F58" i="25" s="1"/>
  <c r="G50" i="25"/>
  <c r="G27" i="25"/>
  <c r="G58" i="25" s="1"/>
  <c r="D50" i="25"/>
  <c r="D27" i="25"/>
  <c r="D58" i="25" s="1"/>
  <c r="E50" i="25"/>
  <c r="E27" i="25"/>
  <c r="E58" i="25" s="1"/>
  <c r="H27" i="25"/>
  <c r="H58" i="25" s="1"/>
  <c r="N16" i="25"/>
  <c r="M76" i="25"/>
  <c r="M77" i="25"/>
  <c r="N17" i="25"/>
  <c r="J24" i="25"/>
  <c r="N25" i="32" l="1"/>
  <c r="N22" i="32"/>
  <c r="N23" i="32"/>
  <c r="K25" i="28"/>
  <c r="O22" i="32"/>
  <c r="J24" i="28"/>
  <c r="L54" i="25" s="1"/>
  <c r="L22" i="25"/>
  <c r="G55" i="27" s="1"/>
  <c r="J17" i="28"/>
  <c r="L23" i="25"/>
  <c r="G56" i="27" s="1"/>
  <c r="J25" i="28"/>
  <c r="K24" i="28"/>
  <c r="M54" i="25" s="1"/>
  <c r="I49" i="27"/>
  <c r="L45" i="28"/>
  <c r="L9" i="28"/>
  <c r="L162" i="25"/>
  <c r="M162" i="25" s="1"/>
  <c r="N162" i="25" s="1"/>
  <c r="L10" i="28"/>
  <c r="L46" i="28"/>
  <c r="L119" i="25"/>
  <c r="L137" i="25"/>
  <c r="M134" i="25" s="1"/>
  <c r="L139" i="25"/>
  <c r="J125" i="25"/>
  <c r="H55" i="27"/>
  <c r="H54" i="27"/>
  <c r="H56" i="27"/>
  <c r="H53" i="27"/>
  <c r="L203" i="25"/>
  <c r="M202" i="25"/>
  <c r="N121" i="25"/>
  <c r="O93" i="25"/>
  <c r="O201" i="25" s="1"/>
  <c r="D31" i="25"/>
  <c r="D59" i="25" s="1"/>
  <c r="C31" i="25"/>
  <c r="N77" i="25"/>
  <c r="O17" i="25"/>
  <c r="F31" i="25"/>
  <c r="F59" i="25" s="1"/>
  <c r="M131" i="25"/>
  <c r="M107" i="25"/>
  <c r="G31" i="25"/>
  <c r="G59" i="25" s="1"/>
  <c r="E31" i="25"/>
  <c r="E59" i="25" s="1"/>
  <c r="M106" i="25"/>
  <c r="M130" i="25"/>
  <c r="M151" i="25" s="1"/>
  <c r="M158" i="25" s="1"/>
  <c r="M136" i="25" s="1"/>
  <c r="M139" i="25" s="1"/>
  <c r="N76" i="25"/>
  <c r="O16" i="25"/>
  <c r="M55" i="25" l="1"/>
  <c r="L55" i="25"/>
  <c r="N31" i="32"/>
  <c r="J20" i="28"/>
  <c r="L50" i="25" s="1"/>
  <c r="L44" i="25" s="1"/>
  <c r="N24" i="32"/>
  <c r="O24" i="32"/>
  <c r="K20" i="28"/>
  <c r="M50" i="25" s="1"/>
  <c r="L84" i="25"/>
  <c r="J49" i="27"/>
  <c r="M45" i="28"/>
  <c r="M9" i="28"/>
  <c r="M10" i="28"/>
  <c r="M46" i="28"/>
  <c r="M137" i="25"/>
  <c r="M84" i="25" s="1"/>
  <c r="M203" i="25"/>
  <c r="N202" i="25"/>
  <c r="O162" i="25"/>
  <c r="P93" i="25"/>
  <c r="P201" i="25" s="1"/>
  <c r="O121" i="25"/>
  <c r="D36" i="25"/>
  <c r="D60" i="25" s="1"/>
  <c r="D42" i="25"/>
  <c r="C42" i="25"/>
  <c r="C59" i="25"/>
  <c r="C36" i="25"/>
  <c r="N106" i="25"/>
  <c r="N130" i="25"/>
  <c r="N151" i="25" s="1"/>
  <c r="O77" i="25"/>
  <c r="P17" i="25"/>
  <c r="G36" i="25"/>
  <c r="G60" i="25" s="1"/>
  <c r="G42" i="25"/>
  <c r="N131" i="25"/>
  <c r="N107" i="25"/>
  <c r="E36" i="25"/>
  <c r="E60" i="25" s="1"/>
  <c r="E42" i="25"/>
  <c r="F42" i="25"/>
  <c r="F36" i="25"/>
  <c r="F60" i="25" s="1"/>
  <c r="P16" i="25"/>
  <c r="O76" i="25"/>
  <c r="O31" i="32" l="1"/>
  <c r="N26" i="32"/>
  <c r="O26" i="32"/>
  <c r="N46" i="28"/>
  <c r="N10" i="28"/>
  <c r="K49" i="27"/>
  <c r="N9" i="28"/>
  <c r="N45" i="28"/>
  <c r="N134" i="25"/>
  <c r="F61" i="25"/>
  <c r="E61" i="25"/>
  <c r="C61" i="25"/>
  <c r="N203" i="25"/>
  <c r="O202" i="25"/>
  <c r="G61" i="25"/>
  <c r="D61" i="25"/>
  <c r="Q93" i="25"/>
  <c r="S93" i="25" s="1"/>
  <c r="P121" i="25"/>
  <c r="P162" i="25"/>
  <c r="D45" i="25"/>
  <c r="D62" i="25" s="1"/>
  <c r="D39" i="25"/>
  <c r="C45" i="25"/>
  <c r="C62" i="25" s="1"/>
  <c r="C39" i="25"/>
  <c r="C60" i="25"/>
  <c r="F39" i="25"/>
  <c r="G39" i="25"/>
  <c r="F45" i="25"/>
  <c r="F62" i="25" s="1"/>
  <c r="G45" i="25"/>
  <c r="G62" i="25" s="1"/>
  <c r="O106" i="25"/>
  <c r="O130" i="25"/>
  <c r="O151" i="25" s="1"/>
  <c r="E45" i="25"/>
  <c r="E62" i="25" s="1"/>
  <c r="P76" i="25"/>
  <c r="Q16" i="25"/>
  <c r="E39" i="25"/>
  <c r="P77" i="25"/>
  <c r="Q17" i="25"/>
  <c r="H31" i="25"/>
  <c r="H59" i="25" s="1"/>
  <c r="J27" i="25"/>
  <c r="O107" i="25"/>
  <c r="O131" i="25"/>
  <c r="O9" i="28" l="1"/>
  <c r="O45" i="28"/>
  <c r="O46" i="28"/>
  <c r="O10" i="28"/>
  <c r="P10" i="28" s="1"/>
  <c r="Q76" i="25"/>
  <c r="Q106" i="25" s="1"/>
  <c r="L49" i="27"/>
  <c r="D109" i="25"/>
  <c r="D116" i="25" s="1"/>
  <c r="D210" i="25"/>
  <c r="E210" i="25"/>
  <c r="E109" i="25"/>
  <c r="E116" i="25" s="1"/>
  <c r="C109" i="25"/>
  <c r="C116" i="25" s="1"/>
  <c r="C182" i="25" s="1"/>
  <c r="C210" i="25"/>
  <c r="F109" i="25"/>
  <c r="F116" i="25" s="1"/>
  <c r="F210" i="25"/>
  <c r="G109" i="25"/>
  <c r="G116" i="25" s="1"/>
  <c r="G210" i="25"/>
  <c r="P202" i="25"/>
  <c r="O203" i="25"/>
  <c r="C173" i="25"/>
  <c r="C177" i="25" s="1"/>
  <c r="D173" i="25"/>
  <c r="D177" i="25" s="1"/>
  <c r="F173" i="25"/>
  <c r="F177" i="25" s="1"/>
  <c r="Q121" i="25"/>
  <c r="S121" i="25" s="1"/>
  <c r="Q201" i="25"/>
  <c r="E173" i="25"/>
  <c r="E177" i="25" s="1"/>
  <c r="G173" i="25"/>
  <c r="G177" i="25" s="1"/>
  <c r="Q162" i="25"/>
  <c r="Q77" i="25"/>
  <c r="S17" i="25"/>
  <c r="S77" i="25" s="1"/>
  <c r="S107" i="25" s="1"/>
  <c r="H42" i="25"/>
  <c r="H45" i="25" s="1"/>
  <c r="H36" i="25"/>
  <c r="H60" i="25" s="1"/>
  <c r="J31" i="25"/>
  <c r="P107" i="25"/>
  <c r="P131" i="25"/>
  <c r="P130" i="25"/>
  <c r="P151" i="25" s="1"/>
  <c r="P106" i="25"/>
  <c r="C9" i="16" l="1"/>
  <c r="C23" i="16" s="1"/>
  <c r="H36" i="16"/>
  <c r="Q130" i="25"/>
  <c r="Q151" i="25" s="1"/>
  <c r="E60" i="27"/>
  <c r="E182" i="25"/>
  <c r="E183" i="25" s="1"/>
  <c r="E187" i="25" s="1"/>
  <c r="E127" i="25"/>
  <c r="F127" i="25"/>
  <c r="F182" i="25"/>
  <c r="F183" i="25" s="1"/>
  <c r="F187" i="25" s="1"/>
  <c r="C183" i="25"/>
  <c r="C187" i="25" s="1"/>
  <c r="C127" i="25"/>
  <c r="E215" i="25"/>
  <c r="E227" i="25" s="1"/>
  <c r="E228" i="25" s="1"/>
  <c r="E212" i="25"/>
  <c r="E224" i="25" s="1"/>
  <c r="E225" i="25" s="1"/>
  <c r="F212" i="25"/>
  <c r="F224" i="25" s="1"/>
  <c r="F225" i="25" s="1"/>
  <c r="F215" i="25"/>
  <c r="F227" i="25" s="1"/>
  <c r="F228" i="25" s="1"/>
  <c r="G212" i="25"/>
  <c r="G224" i="25" s="1"/>
  <c r="G225" i="25" s="1"/>
  <c r="G215" i="25"/>
  <c r="G227" i="25" s="1"/>
  <c r="G228" i="25" s="1"/>
  <c r="D215" i="25"/>
  <c r="D227" i="25" s="1"/>
  <c r="D228" i="25" s="1"/>
  <c r="D212" i="25"/>
  <c r="D224" i="25" s="1"/>
  <c r="D225" i="25" s="1"/>
  <c r="C215" i="25"/>
  <c r="C227" i="25" s="1"/>
  <c r="C228" i="25" s="1"/>
  <c r="C212" i="25"/>
  <c r="C224" i="25" s="1"/>
  <c r="C225" i="25" s="1"/>
  <c r="G182" i="25"/>
  <c r="G183" i="25" s="1"/>
  <c r="G187" i="25" s="1"/>
  <c r="G127" i="25"/>
  <c r="D127" i="25"/>
  <c r="D182" i="25"/>
  <c r="D183" i="25" s="1"/>
  <c r="D187" i="25" s="1"/>
  <c r="H61" i="25"/>
  <c r="Q202" i="25"/>
  <c r="Q203" i="25" s="1"/>
  <c r="P203" i="25"/>
  <c r="Q107" i="25"/>
  <c r="Q131" i="25"/>
  <c r="H39" i="25"/>
  <c r="J36" i="25"/>
  <c r="H62" i="25"/>
  <c r="J42" i="25"/>
  <c r="E62" i="27" l="1"/>
  <c r="D19" i="32"/>
  <c r="H109" i="25"/>
  <c r="H210" i="25"/>
  <c r="J39" i="25"/>
  <c r="H173" i="25"/>
  <c r="J45" i="25"/>
  <c r="E66" i="27" l="1"/>
  <c r="E23" i="32" s="1"/>
  <c r="D21" i="32"/>
  <c r="E63" i="27"/>
  <c r="H116" i="25"/>
  <c r="J116" i="25" s="1"/>
  <c r="J109" i="25"/>
  <c r="H212" i="25"/>
  <c r="H215" i="25"/>
  <c r="H177" i="25"/>
  <c r="E67" i="27" l="1"/>
  <c r="E72" i="27"/>
  <c r="E81" i="27" s="1"/>
  <c r="H182" i="25"/>
  <c r="H183" i="25" s="1"/>
  <c r="H187" i="25" s="1"/>
  <c r="M41" i="32"/>
  <c r="H227" i="25"/>
  <c r="H228" i="25" s="1"/>
  <c r="D41" i="32" s="1"/>
  <c r="M39" i="32"/>
  <c r="H224" i="25"/>
  <c r="H225" i="25" s="1"/>
  <c r="D39" i="32" s="1"/>
  <c r="L177" i="25"/>
  <c r="M177" i="25" s="1"/>
  <c r="N177" i="25" s="1"/>
  <c r="O177" i="25" s="1"/>
  <c r="P177" i="25" s="1"/>
  <c r="Q177" i="25" s="1"/>
  <c r="D25" i="32"/>
  <c r="H127" i="25"/>
  <c r="J127" i="25" s="1"/>
  <c r="G261" i="22"/>
  <c r="F261" i="22"/>
  <c r="E261" i="22"/>
  <c r="D261" i="22"/>
  <c r="C261" i="22"/>
  <c r="F192" i="22"/>
  <c r="D193" i="22"/>
  <c r="C193" i="22"/>
  <c r="F324" i="22"/>
  <c r="D325" i="22"/>
  <c r="C325" i="22"/>
  <c r="D267" i="22"/>
  <c r="C267" i="22"/>
  <c r="D21" i="22"/>
  <c r="F21" i="22" s="1"/>
  <c r="G21" i="22" s="1"/>
  <c r="H21" i="22" s="1"/>
  <c r="F321" i="22"/>
  <c r="E321" i="22"/>
  <c r="D321" i="22"/>
  <c r="C321" i="22"/>
  <c r="H348" i="22"/>
  <c r="H190" i="22"/>
  <c r="J190" i="22" s="1"/>
  <c r="D191" i="22"/>
  <c r="C191" i="22"/>
  <c r="F265" i="22"/>
  <c r="E265" i="22"/>
  <c r="D265" i="22"/>
  <c r="C265" i="22"/>
  <c r="D19" i="22"/>
  <c r="F262" i="22"/>
  <c r="D327" i="22"/>
  <c r="C327" i="22"/>
  <c r="F270" i="22"/>
  <c r="D319" i="22"/>
  <c r="C319" i="22"/>
  <c r="F189" i="22"/>
  <c r="D16" i="22"/>
  <c r="C16" i="22"/>
  <c r="D163" i="22"/>
  <c r="D137" i="22"/>
  <c r="D111" i="22"/>
  <c r="D83" i="22"/>
  <c r="D55" i="22"/>
  <c r="E55" i="22" s="1"/>
  <c r="C68" i="22"/>
  <c r="C66" i="22"/>
  <c r="C64" i="22"/>
  <c r="C62" i="22"/>
  <c r="E49" i="22"/>
  <c r="F49" i="22" s="1"/>
  <c r="D49" i="22"/>
  <c r="J374" i="22"/>
  <c r="G239" i="22"/>
  <c r="F239" i="22"/>
  <c r="E239" i="22"/>
  <c r="D239" i="22"/>
  <c r="C239" i="22"/>
  <c r="E242" i="22"/>
  <c r="F242" i="22" s="1"/>
  <c r="E220" i="22"/>
  <c r="F220" i="22" s="1"/>
  <c r="G220" i="22" s="1"/>
  <c r="H220" i="22" s="1"/>
  <c r="G217" i="22"/>
  <c r="F217" i="22"/>
  <c r="E217" i="22"/>
  <c r="D217" i="22"/>
  <c r="C217" i="22"/>
  <c r="F187" i="22"/>
  <c r="G187" i="22" s="1"/>
  <c r="H187" i="22" s="1"/>
  <c r="F197" i="22"/>
  <c r="G197" i="22" s="1"/>
  <c r="H197" i="22" s="1"/>
  <c r="E198" i="22"/>
  <c r="F198" i="22" s="1"/>
  <c r="G198" i="22" s="1"/>
  <c r="H198" i="22" s="1"/>
  <c r="D30" i="22"/>
  <c r="D199" i="22" s="1"/>
  <c r="C30" i="22"/>
  <c r="D28" i="22"/>
  <c r="D301" i="22" s="1"/>
  <c r="C28" i="22"/>
  <c r="E14" i="22"/>
  <c r="D14" i="22"/>
  <c r="D293" i="22" s="1"/>
  <c r="C14" i="22"/>
  <c r="C293" i="22" s="1"/>
  <c r="D12" i="22"/>
  <c r="D289" i="22" s="1"/>
  <c r="C12" i="22"/>
  <c r="C289" i="22" s="1"/>
  <c r="D167" i="22"/>
  <c r="E167" i="22" s="1"/>
  <c r="D165" i="22"/>
  <c r="E159" i="22"/>
  <c r="F159" i="22" s="1"/>
  <c r="D159" i="22"/>
  <c r="D141" i="22"/>
  <c r="E141" i="22" s="1"/>
  <c r="D139" i="22"/>
  <c r="D131" i="22"/>
  <c r="D133" i="22"/>
  <c r="E133" i="22"/>
  <c r="F133" i="22" s="1"/>
  <c r="D115" i="22"/>
  <c r="E115" i="22" s="1"/>
  <c r="D103" i="22"/>
  <c r="E105" i="22"/>
  <c r="F105" i="22" s="1"/>
  <c r="D105" i="22"/>
  <c r="D87" i="22"/>
  <c r="E87" i="22" s="1"/>
  <c r="D85" i="22"/>
  <c r="D77" i="22"/>
  <c r="E77" i="22"/>
  <c r="F77" i="22" s="1"/>
  <c r="D59" i="22"/>
  <c r="E59" i="22" s="1"/>
  <c r="D57" i="22"/>
  <c r="D47" i="22"/>
  <c r="G27" i="22"/>
  <c r="F27" i="22"/>
  <c r="E27" i="22"/>
  <c r="D27" i="22"/>
  <c r="D25" i="22"/>
  <c r="B102" i="10"/>
  <c r="AB101" i="10"/>
  <c r="AA101" i="10"/>
  <c r="Z101" i="10"/>
  <c r="Y101" i="10"/>
  <c r="X101" i="10"/>
  <c r="W101" i="10"/>
  <c r="V101" i="10"/>
  <c r="U101" i="10"/>
  <c r="T101" i="10"/>
  <c r="S101" i="10"/>
  <c r="R101" i="10"/>
  <c r="Q101" i="10"/>
  <c r="P101" i="10"/>
  <c r="O101" i="10"/>
  <c r="B101" i="10"/>
  <c r="AB100" i="10"/>
  <c r="AA100" i="10"/>
  <c r="Z100" i="10"/>
  <c r="Y100" i="10"/>
  <c r="X100" i="10"/>
  <c r="W100" i="10"/>
  <c r="V100" i="10"/>
  <c r="U100" i="10"/>
  <c r="T100" i="10"/>
  <c r="S100" i="10"/>
  <c r="R100" i="10"/>
  <c r="Q100" i="10"/>
  <c r="P100" i="10"/>
  <c r="O100" i="10"/>
  <c r="B100" i="10"/>
  <c r="AB99" i="10"/>
  <c r="AA99" i="10"/>
  <c r="Z99" i="10"/>
  <c r="Y99" i="10"/>
  <c r="X99" i="10"/>
  <c r="W99" i="10"/>
  <c r="V99" i="10"/>
  <c r="U99" i="10"/>
  <c r="T99" i="10"/>
  <c r="S99" i="10"/>
  <c r="R99" i="10"/>
  <c r="Q99" i="10"/>
  <c r="P99" i="10"/>
  <c r="O99" i="10"/>
  <c r="B99" i="10"/>
  <c r="B97" i="10"/>
  <c r="AB96" i="10"/>
  <c r="AA96" i="10"/>
  <c r="Z96" i="10"/>
  <c r="Y96" i="10"/>
  <c r="X96" i="10"/>
  <c r="W96" i="10"/>
  <c r="V96" i="10"/>
  <c r="U96" i="10"/>
  <c r="T96" i="10"/>
  <c r="S96" i="10"/>
  <c r="R96" i="10"/>
  <c r="K96" i="10"/>
  <c r="J96" i="10"/>
  <c r="I96" i="10"/>
  <c r="H96" i="10"/>
  <c r="G96" i="10"/>
  <c r="F96" i="10"/>
  <c r="E96" i="10"/>
  <c r="D96" i="10"/>
  <c r="B96" i="10"/>
  <c r="AB95" i="10"/>
  <c r="AA95" i="10"/>
  <c r="Z95" i="10"/>
  <c r="Y95" i="10"/>
  <c r="X95" i="10"/>
  <c r="W95" i="10"/>
  <c r="V95" i="10"/>
  <c r="U95" i="10"/>
  <c r="T95" i="10"/>
  <c r="S95" i="10"/>
  <c r="R95" i="10"/>
  <c r="K95" i="10"/>
  <c r="J95" i="10"/>
  <c r="I95" i="10"/>
  <c r="H95" i="10"/>
  <c r="G95" i="10"/>
  <c r="F95" i="10"/>
  <c r="E95" i="10"/>
  <c r="D95" i="10"/>
  <c r="B95" i="10"/>
  <c r="AB94" i="10"/>
  <c r="AA94" i="10"/>
  <c r="Z94" i="10"/>
  <c r="Y94" i="10"/>
  <c r="X94" i="10"/>
  <c r="W94" i="10"/>
  <c r="V94" i="10"/>
  <c r="U94" i="10"/>
  <c r="T94" i="10"/>
  <c r="S94" i="10"/>
  <c r="R94" i="10"/>
  <c r="K94" i="10"/>
  <c r="J94" i="10"/>
  <c r="I94" i="10"/>
  <c r="H94" i="10"/>
  <c r="G94" i="10"/>
  <c r="F94" i="10"/>
  <c r="E94" i="10"/>
  <c r="D94" i="10"/>
  <c r="B94" i="10"/>
  <c r="B92" i="10"/>
  <c r="B91" i="10"/>
  <c r="B90" i="10"/>
  <c r="B89" i="10"/>
  <c r="F85" i="10"/>
  <c r="F86" i="10" s="1"/>
  <c r="AB76" i="10"/>
  <c r="AA76" i="10"/>
  <c r="Z76" i="10"/>
  <c r="Y76" i="10"/>
  <c r="X76" i="10"/>
  <c r="W76" i="10"/>
  <c r="V76" i="10"/>
  <c r="U76" i="10"/>
  <c r="T76" i="10"/>
  <c r="S76" i="10"/>
  <c r="R76" i="10"/>
  <c r="Q76" i="10"/>
  <c r="P76" i="10"/>
  <c r="O76" i="10"/>
  <c r="B76" i="10"/>
  <c r="AB75" i="10"/>
  <c r="AA75" i="10"/>
  <c r="Z75" i="10"/>
  <c r="Y75" i="10"/>
  <c r="X75" i="10"/>
  <c r="W75" i="10"/>
  <c r="V75" i="10"/>
  <c r="U75" i="10"/>
  <c r="T75" i="10"/>
  <c r="S75" i="10"/>
  <c r="R75" i="10"/>
  <c r="Q75" i="10"/>
  <c r="P75" i="10"/>
  <c r="O75" i="10"/>
  <c r="B75" i="10"/>
  <c r="AB74" i="10"/>
  <c r="AA74" i="10"/>
  <c r="Z74" i="10"/>
  <c r="Y74" i="10"/>
  <c r="X74" i="10"/>
  <c r="W74" i="10"/>
  <c r="V74" i="10"/>
  <c r="U74" i="10"/>
  <c r="T74" i="10"/>
  <c r="S74" i="10"/>
  <c r="R74" i="10"/>
  <c r="Q74" i="10"/>
  <c r="P74" i="10"/>
  <c r="O74" i="10"/>
  <c r="B74" i="10"/>
  <c r="AB73" i="10"/>
  <c r="AA73" i="10"/>
  <c r="Z73" i="10"/>
  <c r="Y73" i="10"/>
  <c r="X73" i="10"/>
  <c r="W73" i="10"/>
  <c r="V73" i="10"/>
  <c r="U73" i="10"/>
  <c r="T73" i="10"/>
  <c r="S73" i="10"/>
  <c r="R73" i="10"/>
  <c r="Q73" i="10"/>
  <c r="P73" i="10"/>
  <c r="O73" i="10"/>
  <c r="B73" i="10"/>
  <c r="AB71" i="10"/>
  <c r="AA71" i="10"/>
  <c r="Z71" i="10"/>
  <c r="Y71" i="10"/>
  <c r="X71" i="10"/>
  <c r="W71" i="10"/>
  <c r="V71" i="10"/>
  <c r="U71" i="10"/>
  <c r="T71" i="10"/>
  <c r="S71" i="10"/>
  <c r="R71" i="10"/>
  <c r="K71" i="10"/>
  <c r="J71" i="10"/>
  <c r="I71" i="10"/>
  <c r="H71" i="10"/>
  <c r="G71" i="10"/>
  <c r="F71" i="10"/>
  <c r="E71" i="10"/>
  <c r="D71" i="10"/>
  <c r="B71" i="10"/>
  <c r="AB70" i="10"/>
  <c r="AA70" i="10"/>
  <c r="Z70" i="10"/>
  <c r="Y70" i="10"/>
  <c r="X70" i="10"/>
  <c r="W70" i="10"/>
  <c r="V70" i="10"/>
  <c r="U70" i="10"/>
  <c r="T70" i="10"/>
  <c r="S70" i="10"/>
  <c r="R70" i="10"/>
  <c r="K70" i="10"/>
  <c r="J70" i="10"/>
  <c r="I70" i="10"/>
  <c r="H70" i="10"/>
  <c r="G70" i="10"/>
  <c r="F70" i="10"/>
  <c r="E70" i="10"/>
  <c r="D70" i="10"/>
  <c r="B70" i="10"/>
  <c r="AB69" i="10"/>
  <c r="AA69" i="10"/>
  <c r="Z69" i="10"/>
  <c r="Y69" i="10"/>
  <c r="X69" i="10"/>
  <c r="W69" i="10"/>
  <c r="V69" i="10"/>
  <c r="U69" i="10"/>
  <c r="T69" i="10"/>
  <c r="S69" i="10"/>
  <c r="R69" i="10"/>
  <c r="K69" i="10"/>
  <c r="J69" i="10"/>
  <c r="I69" i="10"/>
  <c r="H69" i="10"/>
  <c r="G69" i="10"/>
  <c r="F69" i="10"/>
  <c r="E69" i="10"/>
  <c r="D69" i="10"/>
  <c r="B69" i="10"/>
  <c r="AB68" i="10"/>
  <c r="AA68" i="10"/>
  <c r="Z68" i="10"/>
  <c r="Y68" i="10"/>
  <c r="X68" i="10"/>
  <c r="W68" i="10"/>
  <c r="V68" i="10"/>
  <c r="U68" i="10"/>
  <c r="T68" i="10"/>
  <c r="S68" i="10"/>
  <c r="R68" i="10"/>
  <c r="K68" i="10"/>
  <c r="J68" i="10"/>
  <c r="I68" i="10"/>
  <c r="H68" i="10"/>
  <c r="G68" i="10"/>
  <c r="F68" i="10"/>
  <c r="E68" i="10"/>
  <c r="D68" i="10"/>
  <c r="B68" i="10"/>
  <c r="AO65" i="10"/>
  <c r="AN65" i="10"/>
  <c r="AM65" i="10"/>
  <c r="AL65" i="10"/>
  <c r="AP71" i="10" s="1"/>
  <c r="AK65" i="10"/>
  <c r="AJ65" i="10"/>
  <c r="AI65" i="10"/>
  <c r="AH65" i="10"/>
  <c r="AG65" i="10"/>
  <c r="AF65" i="10"/>
  <c r="AE65" i="10"/>
  <c r="AO64" i="10"/>
  <c r="AN64" i="10"/>
  <c r="AM64" i="10"/>
  <c r="AL64" i="10"/>
  <c r="AP70" i="10" s="1"/>
  <c r="AK64" i="10"/>
  <c r="AJ64" i="10"/>
  <c r="AI64" i="10"/>
  <c r="AH64" i="10"/>
  <c r="AG64" i="10"/>
  <c r="AF64" i="10"/>
  <c r="AE64" i="10"/>
  <c r="AO63" i="10"/>
  <c r="AN63" i="10"/>
  <c r="AM63" i="10"/>
  <c r="AL63" i="10"/>
  <c r="AP69" i="10" s="1"/>
  <c r="AK63" i="10"/>
  <c r="AJ63" i="10"/>
  <c r="AI63" i="10"/>
  <c r="AH63" i="10"/>
  <c r="AG63" i="10"/>
  <c r="AF63" i="10"/>
  <c r="AE63" i="10"/>
  <c r="AO62" i="10"/>
  <c r="AN62" i="10"/>
  <c r="AM62" i="10"/>
  <c r="AL62" i="10"/>
  <c r="AP68" i="10" s="1"/>
  <c r="AK62" i="10"/>
  <c r="AJ62" i="10"/>
  <c r="AI62" i="10"/>
  <c r="AH62" i="10"/>
  <c r="AG62" i="10"/>
  <c r="AF62" i="10"/>
  <c r="AE62" i="10"/>
  <c r="AB54" i="10"/>
  <c r="AA54" i="10"/>
  <c r="Z54" i="10"/>
  <c r="Y54" i="10"/>
  <c r="X54" i="10"/>
  <c r="W54" i="10"/>
  <c r="V54" i="10"/>
  <c r="U54" i="10"/>
  <c r="T54" i="10"/>
  <c r="S54" i="10"/>
  <c r="R54" i="10"/>
  <c r="AB53" i="10"/>
  <c r="AA53" i="10"/>
  <c r="Z53" i="10"/>
  <c r="Y53" i="10"/>
  <c r="X53" i="10"/>
  <c r="W53" i="10"/>
  <c r="V53" i="10"/>
  <c r="U53" i="10"/>
  <c r="T53" i="10"/>
  <c r="S53" i="10"/>
  <c r="R53" i="10"/>
  <c r="AB52" i="10"/>
  <c r="AA52" i="10"/>
  <c r="Z52" i="10"/>
  <c r="Y52" i="10"/>
  <c r="X52" i="10"/>
  <c r="W52" i="10"/>
  <c r="V52" i="10"/>
  <c r="U52" i="10"/>
  <c r="T52" i="10"/>
  <c r="S52" i="10"/>
  <c r="R52" i="10"/>
  <c r="AB51" i="10"/>
  <c r="AA51" i="10"/>
  <c r="Z51" i="10"/>
  <c r="Y51" i="10"/>
  <c r="X51" i="10"/>
  <c r="W51" i="10"/>
  <c r="V51" i="10"/>
  <c r="U51" i="10"/>
  <c r="T51" i="10"/>
  <c r="S51" i="10"/>
  <c r="R51" i="10"/>
  <c r="K54" i="10"/>
  <c r="J54" i="10"/>
  <c r="I54" i="10"/>
  <c r="H54" i="10"/>
  <c r="G54" i="10"/>
  <c r="F54" i="10"/>
  <c r="E54" i="10"/>
  <c r="K53" i="10"/>
  <c r="J53" i="10"/>
  <c r="I53" i="10"/>
  <c r="H53" i="10"/>
  <c r="G53" i="10"/>
  <c r="F53" i="10"/>
  <c r="E53" i="10"/>
  <c r="K52" i="10"/>
  <c r="J52" i="10"/>
  <c r="I52" i="10"/>
  <c r="H52" i="10"/>
  <c r="G52" i="10"/>
  <c r="F52" i="10"/>
  <c r="E52" i="10"/>
  <c r="K51" i="10"/>
  <c r="J51" i="10"/>
  <c r="I51" i="10"/>
  <c r="H51" i="10"/>
  <c r="G51" i="10"/>
  <c r="F51" i="10"/>
  <c r="E51" i="10"/>
  <c r="D54" i="10"/>
  <c r="D53" i="10"/>
  <c r="D52" i="10"/>
  <c r="AB59" i="10"/>
  <c r="AA59" i="10"/>
  <c r="Z59" i="10"/>
  <c r="Y59" i="10"/>
  <c r="X59" i="10"/>
  <c r="W59" i="10"/>
  <c r="V59" i="10"/>
  <c r="U59" i="10"/>
  <c r="T59" i="10"/>
  <c r="S59" i="10"/>
  <c r="R59" i="10"/>
  <c r="Q59" i="10"/>
  <c r="P59" i="10"/>
  <c r="AB58" i="10"/>
  <c r="AA58" i="10"/>
  <c r="Z58" i="10"/>
  <c r="Y58" i="10"/>
  <c r="X58" i="10"/>
  <c r="W58" i="10"/>
  <c r="V58" i="10"/>
  <c r="U58" i="10"/>
  <c r="T58" i="10"/>
  <c r="S58" i="10"/>
  <c r="R58" i="10"/>
  <c r="Q58" i="10"/>
  <c r="P58" i="10"/>
  <c r="AB57" i="10"/>
  <c r="AA57" i="10"/>
  <c r="Z57" i="10"/>
  <c r="Y57" i="10"/>
  <c r="X57" i="10"/>
  <c r="W57" i="10"/>
  <c r="V57" i="10"/>
  <c r="U57" i="10"/>
  <c r="T57" i="10"/>
  <c r="S57" i="10"/>
  <c r="R57" i="10"/>
  <c r="Q57" i="10"/>
  <c r="P57" i="10"/>
  <c r="AB56" i="10"/>
  <c r="AA56" i="10"/>
  <c r="Z56" i="10"/>
  <c r="Y56" i="10"/>
  <c r="X56" i="10"/>
  <c r="W56" i="10"/>
  <c r="V56" i="10"/>
  <c r="U56" i="10"/>
  <c r="T56" i="10"/>
  <c r="S56" i="10"/>
  <c r="R56" i="10"/>
  <c r="Q56" i="10"/>
  <c r="P56" i="10"/>
  <c r="O59" i="10"/>
  <c r="O58" i="10"/>
  <c r="O57" i="10"/>
  <c r="O56" i="10"/>
  <c r="B59" i="10"/>
  <c r="B58" i="10"/>
  <c r="B57" i="10"/>
  <c r="B56" i="10"/>
  <c r="B49" i="10"/>
  <c r="B48" i="10"/>
  <c r="B47" i="10"/>
  <c r="B54" i="10"/>
  <c r="B53" i="10"/>
  <c r="B52" i="10"/>
  <c r="B51" i="10"/>
  <c r="D51" i="10"/>
  <c r="B46" i="10"/>
  <c r="AB43" i="10"/>
  <c r="AB49" i="10" s="1"/>
  <c r="AA43" i="10"/>
  <c r="AA49" i="10" s="1"/>
  <c r="Z43" i="10"/>
  <c r="Z49" i="10" s="1"/>
  <c r="Y43" i="10"/>
  <c r="Y49" i="10" s="1"/>
  <c r="X43" i="10"/>
  <c r="X49" i="10" s="1"/>
  <c r="W43" i="10"/>
  <c r="W48" i="10" s="1"/>
  <c r="V43" i="10"/>
  <c r="V49" i="10" s="1"/>
  <c r="U43" i="10"/>
  <c r="U47" i="10" s="1"/>
  <c r="T43" i="10"/>
  <c r="T47" i="10" s="1"/>
  <c r="S43" i="10"/>
  <c r="S47" i="10" s="1"/>
  <c r="R43" i="10"/>
  <c r="R47" i="10" s="1"/>
  <c r="Q43" i="10"/>
  <c r="Q46" i="10" s="1"/>
  <c r="P43" i="10"/>
  <c r="P48" i="10" s="1"/>
  <c r="O43" i="10"/>
  <c r="O47" i="10" s="1"/>
  <c r="N43" i="10"/>
  <c r="N46" i="10" s="1"/>
  <c r="K43" i="10"/>
  <c r="K49" i="10" s="1"/>
  <c r="J43" i="10"/>
  <c r="J49" i="10" s="1"/>
  <c r="I43" i="10"/>
  <c r="I49" i="10" s="1"/>
  <c r="H43" i="10"/>
  <c r="H49" i="10" s="1"/>
  <c r="G43" i="10"/>
  <c r="G49" i="10" s="1"/>
  <c r="F43" i="10"/>
  <c r="F48" i="10" s="1"/>
  <c r="E43" i="10"/>
  <c r="E48" i="10" s="1"/>
  <c r="D43" i="10"/>
  <c r="D49" i="10" s="1"/>
  <c r="C43" i="10"/>
  <c r="C46" i="10" s="1"/>
  <c r="R28" i="10"/>
  <c r="R27" i="10"/>
  <c r="R26" i="10"/>
  <c r="R25" i="10"/>
  <c r="R24" i="10"/>
  <c r="AB34" i="10"/>
  <c r="AA34" i="10"/>
  <c r="Z34" i="10"/>
  <c r="Y34" i="10"/>
  <c r="X34" i="10"/>
  <c r="W34" i="10"/>
  <c r="V34" i="10"/>
  <c r="U34" i="10"/>
  <c r="T34" i="10"/>
  <c r="S34" i="10"/>
  <c r="R34" i="10"/>
  <c r="Q34" i="10"/>
  <c r="P34" i="10"/>
  <c r="O34" i="10"/>
  <c r="B34" i="10"/>
  <c r="AB33" i="10"/>
  <c r="AA33" i="10"/>
  <c r="Z33" i="10"/>
  <c r="Y33" i="10"/>
  <c r="X33" i="10"/>
  <c r="W33" i="10"/>
  <c r="V33" i="10"/>
  <c r="U33" i="10"/>
  <c r="T33" i="10"/>
  <c r="S33" i="10"/>
  <c r="R33" i="10"/>
  <c r="Q33" i="10"/>
  <c r="P33" i="10"/>
  <c r="O33" i="10"/>
  <c r="B33" i="10"/>
  <c r="AB32" i="10"/>
  <c r="AA32" i="10"/>
  <c r="Z32" i="10"/>
  <c r="Y32" i="10"/>
  <c r="X32" i="10"/>
  <c r="W32" i="10"/>
  <c r="V32" i="10"/>
  <c r="U32" i="10"/>
  <c r="T32" i="10"/>
  <c r="S32" i="10"/>
  <c r="R32" i="10"/>
  <c r="Q32" i="10"/>
  <c r="P32" i="10"/>
  <c r="O32" i="10"/>
  <c r="B32" i="10"/>
  <c r="AB31" i="10"/>
  <c r="AA31" i="10"/>
  <c r="Z31" i="10"/>
  <c r="Y31" i="10"/>
  <c r="X31" i="10"/>
  <c r="W31" i="10"/>
  <c r="V31" i="10"/>
  <c r="U31" i="10"/>
  <c r="T31" i="10"/>
  <c r="S31" i="10"/>
  <c r="R31" i="10"/>
  <c r="Q31" i="10"/>
  <c r="P31" i="10"/>
  <c r="O31" i="10"/>
  <c r="B31" i="10"/>
  <c r="AB30" i="10"/>
  <c r="AA30" i="10"/>
  <c r="Z30" i="10"/>
  <c r="Y30" i="10"/>
  <c r="X30" i="10"/>
  <c r="W30" i="10"/>
  <c r="V30" i="10"/>
  <c r="U30" i="10"/>
  <c r="T30" i="10"/>
  <c r="S30" i="10"/>
  <c r="R30" i="10"/>
  <c r="Q30" i="10"/>
  <c r="P30" i="10"/>
  <c r="O30" i="10"/>
  <c r="B30" i="10"/>
  <c r="AB28" i="10"/>
  <c r="AA28" i="10"/>
  <c r="Z28" i="10"/>
  <c r="Y28" i="10"/>
  <c r="X28" i="10"/>
  <c r="W28" i="10"/>
  <c r="V28" i="10"/>
  <c r="U28" i="10"/>
  <c r="T28" i="10"/>
  <c r="S28" i="10"/>
  <c r="K28" i="10"/>
  <c r="J28" i="10"/>
  <c r="I28" i="10"/>
  <c r="H28" i="10"/>
  <c r="G28" i="10"/>
  <c r="F28" i="10"/>
  <c r="E28" i="10"/>
  <c r="D28" i="10"/>
  <c r="B28" i="10"/>
  <c r="E186" i="22" l="1"/>
  <c r="E293" i="22"/>
  <c r="C353" i="22"/>
  <c r="C299" i="22"/>
  <c r="C29" i="22"/>
  <c r="C301" i="22"/>
  <c r="D188" i="22"/>
  <c r="D353" i="22"/>
  <c r="D299" i="22"/>
  <c r="C33" i="22"/>
  <c r="C304" i="22" s="1"/>
  <c r="C35" i="22"/>
  <c r="C37" i="22"/>
  <c r="C308" i="22" s="1"/>
  <c r="C39" i="22"/>
  <c r="D345" i="22"/>
  <c r="D33" i="22"/>
  <c r="D304" i="22" s="1"/>
  <c r="D35" i="22"/>
  <c r="D306" i="22" s="1"/>
  <c r="D37" i="22"/>
  <c r="D308" i="22" s="1"/>
  <c r="D39" i="22"/>
  <c r="D310" i="22" s="1"/>
  <c r="J198" i="22"/>
  <c r="J220" i="22"/>
  <c r="J348" i="22"/>
  <c r="C15" i="22"/>
  <c r="C199" i="22"/>
  <c r="C31" i="22"/>
  <c r="C188" i="22"/>
  <c r="C17" i="22"/>
  <c r="C345" i="22"/>
  <c r="C13" i="22"/>
  <c r="AC84" i="10"/>
  <c r="AP84" i="10" s="1"/>
  <c r="C85" i="10"/>
  <c r="N85" i="10"/>
  <c r="N86" i="10" s="1"/>
  <c r="F354" i="22"/>
  <c r="G354" i="22" s="1"/>
  <c r="H354" i="22" s="1"/>
  <c r="E355" i="22"/>
  <c r="F356" i="22"/>
  <c r="G356" i="22" s="1"/>
  <c r="H356" i="22" s="1"/>
  <c r="J356" i="22" s="1"/>
  <c r="J378" i="22"/>
  <c r="C196" i="22"/>
  <c r="C357" i="22"/>
  <c r="D196" i="22"/>
  <c r="D357" i="22"/>
  <c r="F25" i="22"/>
  <c r="G25" i="22" s="1"/>
  <c r="H25" i="22" s="1"/>
  <c r="C186" i="22"/>
  <c r="C355" i="22"/>
  <c r="D186" i="22"/>
  <c r="D355" i="22"/>
  <c r="F350" i="22"/>
  <c r="F318" i="22"/>
  <c r="F266" i="22"/>
  <c r="D279" i="22"/>
  <c r="D334" i="22" s="1"/>
  <c r="M60" i="25" s="1"/>
  <c r="D281" i="22"/>
  <c r="D336" i="22" s="1"/>
  <c r="D275" i="22"/>
  <c r="D330" i="22" s="1"/>
  <c r="D277" i="22"/>
  <c r="D332" i="22" s="1"/>
  <c r="E249" i="22"/>
  <c r="E251" i="22"/>
  <c r="E245" i="22"/>
  <c r="E247" i="22"/>
  <c r="F218" i="22"/>
  <c r="G218" i="22" s="1"/>
  <c r="H218" i="22" s="1"/>
  <c r="E229" i="22"/>
  <c r="E227" i="22"/>
  <c r="E223" i="22"/>
  <c r="E225" i="22"/>
  <c r="D66" i="22"/>
  <c r="D62" i="22"/>
  <c r="D64" i="22"/>
  <c r="D68" i="22"/>
  <c r="F132" i="22"/>
  <c r="G133" i="22"/>
  <c r="H133" i="22" s="1"/>
  <c r="F48" i="22"/>
  <c r="G49" i="22"/>
  <c r="H49" i="22" s="1"/>
  <c r="F85" i="22"/>
  <c r="G85" i="22" s="1"/>
  <c r="H85" i="22" s="1"/>
  <c r="F167" i="22"/>
  <c r="G167" i="22" s="1"/>
  <c r="H167" i="22" s="1"/>
  <c r="E166" i="22"/>
  <c r="F55" i="22"/>
  <c r="G55" i="22" s="1"/>
  <c r="H55" i="22" s="1"/>
  <c r="F141" i="22"/>
  <c r="G141" i="22" s="1"/>
  <c r="H141" i="22" s="1"/>
  <c r="E140" i="22"/>
  <c r="F59" i="22"/>
  <c r="G59" i="22" s="1"/>
  <c r="H59" i="22" s="1"/>
  <c r="F87" i="22"/>
  <c r="G87" i="22" s="1"/>
  <c r="H87" i="22" s="1"/>
  <c r="F163" i="22"/>
  <c r="G163" i="22" s="1"/>
  <c r="H163" i="22" s="1"/>
  <c r="F113" i="22"/>
  <c r="G113" i="22" s="1"/>
  <c r="H113" i="22" s="1"/>
  <c r="G105" i="22"/>
  <c r="H105" i="22" s="1"/>
  <c r="F104" i="22"/>
  <c r="G77" i="22"/>
  <c r="H77" i="22" s="1"/>
  <c r="F76" i="22"/>
  <c r="C38" i="22"/>
  <c r="F83" i="22"/>
  <c r="G83" i="22" s="1"/>
  <c r="H83" i="22" s="1"/>
  <c r="F137" i="22"/>
  <c r="G137" i="22" s="1"/>
  <c r="H137" i="22" s="1"/>
  <c r="C273" i="22"/>
  <c r="F165" i="22"/>
  <c r="G165" i="22" s="1"/>
  <c r="H165" i="22" s="1"/>
  <c r="F115" i="22"/>
  <c r="G115" i="22" s="1"/>
  <c r="H115" i="22" s="1"/>
  <c r="F139" i="22"/>
  <c r="G159" i="22"/>
  <c r="H159" i="22" s="1"/>
  <c r="F158" i="22"/>
  <c r="D215" i="22"/>
  <c r="D273" i="22"/>
  <c r="F57" i="22"/>
  <c r="G57" i="22" s="1"/>
  <c r="H57" i="22" s="1"/>
  <c r="F111" i="22"/>
  <c r="G111" i="22" s="1"/>
  <c r="H111" i="22" s="1"/>
  <c r="E272" i="22"/>
  <c r="G192" i="22"/>
  <c r="H192" i="22" s="1"/>
  <c r="J192" i="22" s="1"/>
  <c r="G324" i="22"/>
  <c r="H324" i="22" s="1"/>
  <c r="E325" i="22"/>
  <c r="C263" i="22"/>
  <c r="D263" i="22"/>
  <c r="E263" i="22"/>
  <c r="H264" i="22"/>
  <c r="D17" i="22"/>
  <c r="E17" i="22" s="1"/>
  <c r="D271" i="22"/>
  <c r="E327" i="22"/>
  <c r="G262" i="22"/>
  <c r="G292" i="22" s="1"/>
  <c r="C271" i="22"/>
  <c r="G270" i="22"/>
  <c r="E319" i="22"/>
  <c r="F268" i="22"/>
  <c r="F298" i="22" s="1"/>
  <c r="C269" i="22"/>
  <c r="D269" i="22"/>
  <c r="G189" i="22"/>
  <c r="H189" i="22" s="1"/>
  <c r="D29" i="22"/>
  <c r="D13" i="22"/>
  <c r="C241" i="22"/>
  <c r="D241" i="22"/>
  <c r="C219" i="22"/>
  <c r="D185" i="22"/>
  <c r="C237" i="22"/>
  <c r="D237" i="22"/>
  <c r="C243" i="22"/>
  <c r="C221" i="22"/>
  <c r="D243" i="22"/>
  <c r="D221" i="22"/>
  <c r="D219" i="22"/>
  <c r="F326" i="22"/>
  <c r="F327" i="22" s="1"/>
  <c r="G242" i="22"/>
  <c r="H242" i="22" s="1"/>
  <c r="F240" i="22"/>
  <c r="C215" i="22"/>
  <c r="C185" i="22"/>
  <c r="D15" i="22"/>
  <c r="D31" i="22"/>
  <c r="E15" i="22"/>
  <c r="AO94" i="10"/>
  <c r="F90" i="10"/>
  <c r="F89" i="10"/>
  <c r="F91" i="10"/>
  <c r="N90" i="10"/>
  <c r="N91" i="10"/>
  <c r="F92" i="10"/>
  <c r="AG85" i="10"/>
  <c r="AJ52" i="10"/>
  <c r="AN52" i="10"/>
  <c r="AK94" i="10"/>
  <c r="AL96" i="10"/>
  <c r="E49" i="10"/>
  <c r="AO70" i="10"/>
  <c r="AN94" i="10"/>
  <c r="AK95" i="10"/>
  <c r="F49" i="10"/>
  <c r="AL68" i="10"/>
  <c r="AI69" i="10"/>
  <c r="AL94" i="10"/>
  <c r="AM96" i="10"/>
  <c r="AH85" i="10"/>
  <c r="AO96" i="10"/>
  <c r="D46" i="10"/>
  <c r="E46" i="10"/>
  <c r="G46" i="10"/>
  <c r="AJ95" i="10"/>
  <c r="AN95" i="10"/>
  <c r="AN96" i="10"/>
  <c r="G48" i="10"/>
  <c r="AJ85" i="10"/>
  <c r="AO95" i="10"/>
  <c r="AK96" i="10"/>
  <c r="AM95" i="10"/>
  <c r="AJ96" i="10"/>
  <c r="AL95" i="10"/>
  <c r="AI94" i="10"/>
  <c r="AI96" i="10"/>
  <c r="AE85" i="10"/>
  <c r="AJ94" i="10"/>
  <c r="AF85" i="10"/>
  <c r="AI95" i="10"/>
  <c r="AM94" i="10"/>
  <c r="AI85" i="10"/>
  <c r="AJ68" i="10"/>
  <c r="AN71" i="10"/>
  <c r="AK71" i="10"/>
  <c r="AK53" i="10"/>
  <c r="D47" i="10"/>
  <c r="V46" i="10"/>
  <c r="E47" i="10"/>
  <c r="Y46" i="10"/>
  <c r="AN69" i="10"/>
  <c r="G47" i="10"/>
  <c r="P47" i="10"/>
  <c r="AO69" i="10"/>
  <c r="AI71" i="10"/>
  <c r="AL51" i="10"/>
  <c r="D48" i="10"/>
  <c r="Q48" i="10"/>
  <c r="AK68" i="10"/>
  <c r="AI70" i="10"/>
  <c r="AM70" i="10"/>
  <c r="V48" i="10"/>
  <c r="AJ51" i="10"/>
  <c r="AL53" i="10"/>
  <c r="H46" i="10"/>
  <c r="H47" i="10"/>
  <c r="H48" i="10"/>
  <c r="O46" i="10"/>
  <c r="Q47" i="10"/>
  <c r="X48" i="10"/>
  <c r="AL70" i="10"/>
  <c r="AL52" i="10"/>
  <c r="I46" i="10"/>
  <c r="I47" i="10"/>
  <c r="I48" i="10"/>
  <c r="P46" i="10"/>
  <c r="X47" i="10"/>
  <c r="Y48" i="10"/>
  <c r="AI68" i="10"/>
  <c r="AM69" i="10"/>
  <c r="AM71" i="10"/>
  <c r="J46" i="10"/>
  <c r="J47" i="10"/>
  <c r="J48" i="10"/>
  <c r="R46" i="10"/>
  <c r="Y47" i="10"/>
  <c r="AJ70" i="10"/>
  <c r="K46" i="10"/>
  <c r="K47" i="10"/>
  <c r="K48" i="10"/>
  <c r="S46" i="10"/>
  <c r="Z47" i="10"/>
  <c r="AO68" i="10"/>
  <c r="R48" i="10"/>
  <c r="F46" i="10"/>
  <c r="F47" i="10"/>
  <c r="AB46" i="10"/>
  <c r="T48" i="10"/>
  <c r="AJ69" i="10"/>
  <c r="AN70" i="10"/>
  <c r="AJ71" i="10"/>
  <c r="AM68" i="10"/>
  <c r="AN68" i="10"/>
  <c r="AK69" i="10"/>
  <c r="AL71" i="10"/>
  <c r="AL69" i="10"/>
  <c r="AO71" i="10"/>
  <c r="AK70" i="10"/>
  <c r="AO52" i="10"/>
  <c r="AB48" i="10"/>
  <c r="AB47" i="10"/>
  <c r="Z46" i="10"/>
  <c r="AA47" i="10"/>
  <c r="Z48" i="10"/>
  <c r="AA46" i="10"/>
  <c r="AA48" i="10"/>
  <c r="AN53" i="10"/>
  <c r="AN54" i="10"/>
  <c r="AK52" i="10"/>
  <c r="AM52" i="10"/>
  <c r="AO54" i="10"/>
  <c r="W46" i="10"/>
  <c r="V47" i="10"/>
  <c r="X46" i="10"/>
  <c r="W47" i="10"/>
  <c r="AO51" i="10"/>
  <c r="W49" i="10"/>
  <c r="AM53" i="10"/>
  <c r="AJ54" i="10"/>
  <c r="AM51" i="10"/>
  <c r="AI53" i="10"/>
  <c r="T46" i="10"/>
  <c r="S48" i="10"/>
  <c r="AN51" i="10"/>
  <c r="AI51" i="10"/>
  <c r="U48" i="10"/>
  <c r="R49" i="10"/>
  <c r="AO53" i="10"/>
  <c r="AI54" i="10"/>
  <c r="S49" i="10"/>
  <c r="AL54" i="10"/>
  <c r="U46" i="10"/>
  <c r="T49" i="10"/>
  <c r="AM54" i="10"/>
  <c r="AK54" i="10"/>
  <c r="U49" i="10"/>
  <c r="N49" i="10"/>
  <c r="AK51" i="10"/>
  <c r="N48" i="10"/>
  <c r="O49" i="10"/>
  <c r="AI52" i="10"/>
  <c r="N47" i="10"/>
  <c r="O48" i="10"/>
  <c r="P49" i="10"/>
  <c r="Q49" i="10"/>
  <c r="AJ53" i="10"/>
  <c r="C47" i="10"/>
  <c r="C48" i="10"/>
  <c r="C49" i="10"/>
  <c r="AJ43" i="10"/>
  <c r="AG43" i="10"/>
  <c r="AO43" i="10"/>
  <c r="AK43" i="10"/>
  <c r="AL43" i="10"/>
  <c r="AI43" i="10"/>
  <c r="AE43" i="10"/>
  <c r="AM43" i="10"/>
  <c r="AF43" i="10"/>
  <c r="AN43" i="10"/>
  <c r="AH43" i="10"/>
  <c r="C34" i="22" l="1"/>
  <c r="C40" i="22"/>
  <c r="C310" i="22"/>
  <c r="C36" i="22"/>
  <c r="C306" i="22"/>
  <c r="H270" i="22"/>
  <c r="G300" i="22"/>
  <c r="G350" i="22"/>
  <c r="F359" i="22"/>
  <c r="F361" i="22"/>
  <c r="F363" i="22"/>
  <c r="F365" i="22"/>
  <c r="F300" i="22"/>
  <c r="J264" i="22"/>
  <c r="H294" i="22"/>
  <c r="F296" i="22"/>
  <c r="F292" i="22"/>
  <c r="H262" i="22"/>
  <c r="H292" i="22" s="1"/>
  <c r="F272" i="22"/>
  <c r="G272" i="22" s="1"/>
  <c r="H272" i="22" s="1"/>
  <c r="J272" i="22" s="1"/>
  <c r="E145" i="22"/>
  <c r="L88" i="28" s="1"/>
  <c r="E143" i="22"/>
  <c r="E144" i="22" s="1"/>
  <c r="E147" i="22"/>
  <c r="E149" i="22"/>
  <c r="E150" i="22" s="1"/>
  <c r="E173" i="22"/>
  <c r="E175" i="22"/>
  <c r="E169" i="22"/>
  <c r="L84" i="28" s="1"/>
  <c r="E171" i="22"/>
  <c r="E172" i="22" s="1"/>
  <c r="F335" i="22"/>
  <c r="F331" i="22"/>
  <c r="F329" i="22"/>
  <c r="F333" i="22"/>
  <c r="G266" i="22"/>
  <c r="F323" i="22"/>
  <c r="H320" i="22"/>
  <c r="H321" i="22" s="1"/>
  <c r="G139" i="22"/>
  <c r="H139" i="22" s="1"/>
  <c r="E120" i="22"/>
  <c r="E124" i="22"/>
  <c r="E118" i="22"/>
  <c r="E90" i="22"/>
  <c r="E92" i="22"/>
  <c r="E96" i="22"/>
  <c r="E94" i="22"/>
  <c r="E64" i="22"/>
  <c r="E62" i="22"/>
  <c r="E66" i="22"/>
  <c r="E68" i="22"/>
  <c r="F24" i="22"/>
  <c r="G24" i="22" s="1"/>
  <c r="H24" i="22" s="1"/>
  <c r="J24" i="22" s="1"/>
  <c r="J354" i="22"/>
  <c r="J324" i="22"/>
  <c r="H227" i="22"/>
  <c r="J218" i="22"/>
  <c r="H225" i="22"/>
  <c r="H223" i="22"/>
  <c r="H229" i="22"/>
  <c r="J242" i="22"/>
  <c r="D207" i="22"/>
  <c r="D208" i="22" s="1"/>
  <c r="C207" i="22"/>
  <c r="C208" i="22" s="1"/>
  <c r="G52" i="27"/>
  <c r="G57" i="27" s="1"/>
  <c r="AP97" i="10"/>
  <c r="AP85" i="10"/>
  <c r="F319" i="22"/>
  <c r="D205" i="22"/>
  <c r="D206" i="22" s="1"/>
  <c r="D201" i="22"/>
  <c r="D202" i="22" s="1"/>
  <c r="AG90" i="10"/>
  <c r="AE91" i="10"/>
  <c r="AH91" i="10"/>
  <c r="AJ89" i="10"/>
  <c r="N92" i="10"/>
  <c r="AC97" i="10"/>
  <c r="AC85" i="10"/>
  <c r="AC102" i="10"/>
  <c r="N89" i="10"/>
  <c r="C90" i="10"/>
  <c r="C92" i="10"/>
  <c r="C89" i="10"/>
  <c r="C91" i="10"/>
  <c r="P102" i="10"/>
  <c r="P85" i="10"/>
  <c r="P86" i="10" s="1"/>
  <c r="H97" i="10"/>
  <c r="H85" i="10"/>
  <c r="H86" i="10" s="1"/>
  <c r="W97" i="10"/>
  <c r="W102" i="10"/>
  <c r="W85" i="10"/>
  <c r="W86" i="10" s="1"/>
  <c r="V102" i="10"/>
  <c r="V85" i="10"/>
  <c r="V86" i="10" s="1"/>
  <c r="V97" i="10"/>
  <c r="L97" i="10"/>
  <c r="K97" i="10"/>
  <c r="K85" i="10"/>
  <c r="K86" i="10" s="1"/>
  <c r="J97" i="10"/>
  <c r="J85" i="10"/>
  <c r="J86" i="10" s="1"/>
  <c r="I97" i="10"/>
  <c r="I85" i="10"/>
  <c r="I86" i="10" s="1"/>
  <c r="Y97" i="10"/>
  <c r="Y102" i="10"/>
  <c r="Y85" i="10"/>
  <c r="Y86" i="10" s="1"/>
  <c r="S102" i="10"/>
  <c r="S85" i="10"/>
  <c r="S86" i="10" s="1"/>
  <c r="S97" i="10"/>
  <c r="AJ97" i="10"/>
  <c r="O102" i="10"/>
  <c r="O85" i="10"/>
  <c r="O86" i="10" s="1"/>
  <c r="Z97" i="10"/>
  <c r="Z102" i="10"/>
  <c r="Z85" i="10"/>
  <c r="Z86" i="10" s="1"/>
  <c r="Q102" i="10"/>
  <c r="Q85" i="10"/>
  <c r="Q86" i="10" s="1"/>
  <c r="U102" i="10"/>
  <c r="U85" i="10"/>
  <c r="U97" i="10"/>
  <c r="AI97" i="10"/>
  <c r="P92" i="10"/>
  <c r="X97" i="10"/>
  <c r="X102" i="10"/>
  <c r="X85" i="10"/>
  <c r="X86" i="10" s="1"/>
  <c r="F97" i="10"/>
  <c r="E97" i="10"/>
  <c r="E85" i="10"/>
  <c r="E86" i="10" s="1"/>
  <c r="D97" i="10"/>
  <c r="D85" i="10"/>
  <c r="D86" i="10" s="1"/>
  <c r="AB102" i="10"/>
  <c r="AB85" i="10"/>
  <c r="AB86" i="10" s="1"/>
  <c r="AB97" i="10"/>
  <c r="AA102" i="10"/>
  <c r="AA85" i="10"/>
  <c r="AA86" i="10" s="1"/>
  <c r="AA97" i="10"/>
  <c r="R97" i="10"/>
  <c r="R102" i="10"/>
  <c r="R85" i="10"/>
  <c r="R86" i="10" s="1"/>
  <c r="G97" i="10"/>
  <c r="G85" i="10"/>
  <c r="G86" i="10" s="1"/>
  <c r="T102" i="10"/>
  <c r="T85" i="10"/>
  <c r="T86" i="10" s="1"/>
  <c r="T97" i="10"/>
  <c r="D203" i="22"/>
  <c r="D204" i="22" s="1"/>
  <c r="K92" i="28" s="1"/>
  <c r="C205" i="22"/>
  <c r="C206" i="22" s="1"/>
  <c r="D360" i="22"/>
  <c r="D252" i="22"/>
  <c r="D366" i="22"/>
  <c r="C280" i="22"/>
  <c r="C364" i="22"/>
  <c r="D362" i="22"/>
  <c r="C366" i="22"/>
  <c r="C276" i="22"/>
  <c r="L59" i="25" s="1"/>
  <c r="C360" i="22"/>
  <c r="C278" i="22"/>
  <c r="C362" i="22"/>
  <c r="C201" i="22"/>
  <c r="C202" i="22" s="1"/>
  <c r="C203" i="22"/>
  <c r="D364" i="22"/>
  <c r="F325" i="22"/>
  <c r="G318" i="22"/>
  <c r="C252" i="22"/>
  <c r="C282" i="22"/>
  <c r="D278" i="22"/>
  <c r="D276" i="22"/>
  <c r="M59" i="25" s="1"/>
  <c r="D282" i="22"/>
  <c r="D280" i="22"/>
  <c r="D228" i="22"/>
  <c r="D250" i="22"/>
  <c r="K100" i="28" s="1"/>
  <c r="E279" i="22"/>
  <c r="E334" i="22" s="1"/>
  <c r="N60" i="25" s="1"/>
  <c r="D224" i="22"/>
  <c r="D246" i="22"/>
  <c r="E275" i="22"/>
  <c r="E330" i="22" s="1"/>
  <c r="C228" i="22"/>
  <c r="C250" i="22"/>
  <c r="J100" i="28" s="1"/>
  <c r="E281" i="22"/>
  <c r="E336" i="22" s="1"/>
  <c r="D226" i="22"/>
  <c r="K96" i="28" s="1"/>
  <c r="D248" i="22"/>
  <c r="C224" i="22"/>
  <c r="C246" i="22"/>
  <c r="C226" i="22"/>
  <c r="J96" i="28" s="1"/>
  <c r="C248" i="22"/>
  <c r="E277" i="22"/>
  <c r="E332" i="22" s="1"/>
  <c r="F247" i="22"/>
  <c r="F251" i="22"/>
  <c r="F245" i="22"/>
  <c r="F249" i="22"/>
  <c r="G223" i="22"/>
  <c r="G225" i="22"/>
  <c r="G229" i="22"/>
  <c r="G227" i="22"/>
  <c r="D259" i="22"/>
  <c r="D230" i="22"/>
  <c r="C259" i="22"/>
  <c r="C230" i="22"/>
  <c r="F223" i="22"/>
  <c r="F227" i="22"/>
  <c r="F229" i="22"/>
  <c r="F225" i="22"/>
  <c r="E176" i="22"/>
  <c r="E170" i="22"/>
  <c r="E146" i="22"/>
  <c r="D40" i="22"/>
  <c r="F138" i="22"/>
  <c r="D38" i="22"/>
  <c r="F136" i="22"/>
  <c r="G136" i="22" s="1"/>
  <c r="H136" i="22" s="1"/>
  <c r="J136" i="22" s="1"/>
  <c r="D34" i="22"/>
  <c r="D36" i="22"/>
  <c r="F112" i="22"/>
  <c r="F166" i="22"/>
  <c r="G166" i="22" s="1"/>
  <c r="H166" i="22" s="1"/>
  <c r="J166" i="22" s="1"/>
  <c r="G158" i="22"/>
  <c r="H158" i="22" s="1"/>
  <c r="J158" i="22" s="1"/>
  <c r="F84" i="22"/>
  <c r="G84" i="22" s="1"/>
  <c r="H84" i="22" s="1"/>
  <c r="J84" i="22" s="1"/>
  <c r="F140" i="22"/>
  <c r="G140" i="22" s="1"/>
  <c r="H140" i="22" s="1"/>
  <c r="J140" i="22" s="1"/>
  <c r="E16" i="22"/>
  <c r="F110" i="22"/>
  <c r="G110" i="22" s="1"/>
  <c r="H110" i="22" s="1"/>
  <c r="J110" i="22" s="1"/>
  <c r="J114" i="22"/>
  <c r="E12" i="22"/>
  <c r="E289" i="22" s="1"/>
  <c r="F56" i="22"/>
  <c r="F162" i="22"/>
  <c r="G162" i="22" s="1"/>
  <c r="H162" i="22" s="1"/>
  <c r="J162" i="22" s="1"/>
  <c r="E28" i="22"/>
  <c r="E30" i="22"/>
  <c r="F82" i="22"/>
  <c r="G76" i="22"/>
  <c r="G48" i="22"/>
  <c r="F14" i="22"/>
  <c r="F164" i="22"/>
  <c r="G164" i="22" s="1"/>
  <c r="H164" i="22" s="1"/>
  <c r="J164" i="22" s="1"/>
  <c r="G104" i="22"/>
  <c r="H104" i="22" s="1"/>
  <c r="J104" i="22" s="1"/>
  <c r="G132" i="22"/>
  <c r="H132" i="22" s="1"/>
  <c r="J132" i="22" s="1"/>
  <c r="G321" i="22"/>
  <c r="G268" i="22"/>
  <c r="G298" i="22" s="1"/>
  <c r="G326" i="22"/>
  <c r="G240" i="22"/>
  <c r="H240" i="22" s="1"/>
  <c r="AG91" i="10"/>
  <c r="AF46" i="10"/>
  <c r="AE92" i="10"/>
  <c r="AO47" i="10"/>
  <c r="AM49" i="10"/>
  <c r="AE89" i="10"/>
  <c r="AJ46" i="10"/>
  <c r="AE46" i="10"/>
  <c r="AJ92" i="10"/>
  <c r="AN48" i="10"/>
  <c r="AH46" i="10"/>
  <c r="AL46" i="10"/>
  <c r="AK47" i="10"/>
  <c r="AJ91" i="10"/>
  <c r="AF91" i="10"/>
  <c r="AH89" i="10"/>
  <c r="AH92" i="10"/>
  <c r="AH90" i="10"/>
  <c r="AF89" i="10"/>
  <c r="AI90" i="10"/>
  <c r="AE90" i="10"/>
  <c r="AI91" i="10"/>
  <c r="AJ90" i="10"/>
  <c r="AF90" i="10"/>
  <c r="AG92" i="10"/>
  <c r="AG89" i="10"/>
  <c r="AI89" i="10"/>
  <c r="AK49" i="10"/>
  <c r="AK48" i="10"/>
  <c r="AO49" i="10"/>
  <c r="AN49" i="10"/>
  <c r="AN46" i="10"/>
  <c r="AL49" i="10"/>
  <c r="AL47" i="10"/>
  <c r="AM47" i="10"/>
  <c r="AO46" i="10"/>
  <c r="AN47" i="10"/>
  <c r="AO48" i="10"/>
  <c r="AM46" i="10"/>
  <c r="AL48" i="10"/>
  <c r="AM48" i="10"/>
  <c r="AJ49" i="10"/>
  <c r="AJ48" i="10"/>
  <c r="AJ47" i="10"/>
  <c r="AI48" i="10"/>
  <c r="AI47" i="10"/>
  <c r="AH48" i="10"/>
  <c r="AH47" i="10"/>
  <c r="AK46" i="10"/>
  <c r="AI49" i="10"/>
  <c r="AH49" i="10"/>
  <c r="AI46" i="10"/>
  <c r="AE49" i="10"/>
  <c r="AG48" i="10"/>
  <c r="AG47" i="10"/>
  <c r="AE47" i="10"/>
  <c r="AG49" i="10"/>
  <c r="AF48" i="10"/>
  <c r="AF49" i="10"/>
  <c r="AG46" i="10"/>
  <c r="AE48" i="10"/>
  <c r="AF47" i="10"/>
  <c r="E17" i="32" l="1"/>
  <c r="E18" i="32" s="1"/>
  <c r="G58" i="27"/>
  <c r="J292" i="22"/>
  <c r="F279" i="22"/>
  <c r="F293" i="22"/>
  <c r="F281" i="22"/>
  <c r="J294" i="22"/>
  <c r="H350" i="22"/>
  <c r="G361" i="22"/>
  <c r="G363" i="22"/>
  <c r="G359" i="22"/>
  <c r="G365" i="22"/>
  <c r="E299" i="22"/>
  <c r="E353" i="22"/>
  <c r="F275" i="22"/>
  <c r="J270" i="22"/>
  <c r="H300" i="22"/>
  <c r="E219" i="22"/>
  <c r="E301" i="22"/>
  <c r="F277" i="22"/>
  <c r="F332" i="22" s="1"/>
  <c r="J262" i="22"/>
  <c r="G325" i="22"/>
  <c r="G296" i="22"/>
  <c r="F67" i="22"/>
  <c r="F68" i="22" s="1"/>
  <c r="G333" i="22"/>
  <c r="E35" i="22"/>
  <c r="E306" i="22" s="1"/>
  <c r="E37" i="22"/>
  <c r="E308" i="22" s="1"/>
  <c r="E39" i="22"/>
  <c r="E310" i="22" s="1"/>
  <c r="E33" i="22"/>
  <c r="E304" i="22" s="1"/>
  <c r="F65" i="22"/>
  <c r="F66" i="22" s="1"/>
  <c r="F63" i="22"/>
  <c r="F64" i="22" s="1"/>
  <c r="F61" i="22"/>
  <c r="F62" i="22" s="1"/>
  <c r="J320" i="22"/>
  <c r="G138" i="22"/>
  <c r="H138" i="22" s="1"/>
  <c r="J138" i="22" s="1"/>
  <c r="G331" i="22"/>
  <c r="H266" i="22"/>
  <c r="H296" i="22" s="1"/>
  <c r="G323" i="22"/>
  <c r="G329" i="22"/>
  <c r="G335" i="22"/>
  <c r="H318" i="22"/>
  <c r="J318" i="22" s="1"/>
  <c r="G112" i="22"/>
  <c r="H76" i="22"/>
  <c r="J76" i="22" s="1"/>
  <c r="H48" i="22"/>
  <c r="L87" i="28"/>
  <c r="L89" i="28"/>
  <c r="L54" i="28"/>
  <c r="L16" i="28" s="1"/>
  <c r="L83" i="28"/>
  <c r="L85" i="28"/>
  <c r="L53" i="28" s="1"/>
  <c r="L15" i="28" s="1"/>
  <c r="K91" i="28"/>
  <c r="K93" i="28"/>
  <c r="K55" i="28"/>
  <c r="M58" i="25" s="1"/>
  <c r="K97" i="28"/>
  <c r="K95" i="28"/>
  <c r="K56" i="28" s="1"/>
  <c r="M70" i="25" s="1"/>
  <c r="K101" i="28"/>
  <c r="K99" i="28"/>
  <c r="K57" i="28" s="1"/>
  <c r="M71" i="25" s="1"/>
  <c r="J99" i="28"/>
  <c r="J101" i="28"/>
  <c r="J57" i="28"/>
  <c r="L71" i="25" s="1"/>
  <c r="J97" i="28"/>
  <c r="J95" i="28"/>
  <c r="J56" i="28" s="1"/>
  <c r="L70" i="25" s="1"/>
  <c r="J223" i="22"/>
  <c r="J54" i="22"/>
  <c r="I54" i="27"/>
  <c r="J225" i="22"/>
  <c r="H251" i="22"/>
  <c r="J240" i="22"/>
  <c r="H245" i="22"/>
  <c r="H249" i="22"/>
  <c r="H247" i="22"/>
  <c r="J227" i="22"/>
  <c r="G327" i="22"/>
  <c r="H326" i="22"/>
  <c r="J58" i="22"/>
  <c r="G319" i="22"/>
  <c r="H268" i="22"/>
  <c r="J229" i="22"/>
  <c r="E221" i="22"/>
  <c r="E269" i="22"/>
  <c r="F15" i="22"/>
  <c r="L24" i="25"/>
  <c r="H52" i="27"/>
  <c r="H57" i="27" s="1"/>
  <c r="C204" i="22"/>
  <c r="J92" i="28" s="1"/>
  <c r="J46" i="22"/>
  <c r="AP90" i="10"/>
  <c r="AP91" i="10"/>
  <c r="AP89" i="10"/>
  <c r="AP86" i="10"/>
  <c r="AP92" i="10"/>
  <c r="AC92" i="10"/>
  <c r="AC86" i="10"/>
  <c r="U92" i="10"/>
  <c r="U86" i="10"/>
  <c r="AC89" i="10"/>
  <c r="AC90" i="10"/>
  <c r="AC91" i="10"/>
  <c r="T89" i="10"/>
  <c r="T91" i="10"/>
  <c r="T90" i="10"/>
  <c r="AA92" i="10"/>
  <c r="AA90" i="10"/>
  <c r="AA91" i="10"/>
  <c r="AA89" i="10"/>
  <c r="AL97" i="10"/>
  <c r="AL85" i="10"/>
  <c r="Y89" i="10"/>
  <c r="Y92" i="10"/>
  <c r="Y90" i="10"/>
  <c r="Y91" i="10"/>
  <c r="AF92" i="10"/>
  <c r="Q89" i="10"/>
  <c r="Q90" i="10"/>
  <c r="Q91" i="10"/>
  <c r="Q92" i="10"/>
  <c r="H91" i="10"/>
  <c r="H90" i="10"/>
  <c r="H89" i="10"/>
  <c r="AB91" i="10"/>
  <c r="AB92" i="10"/>
  <c r="AB89" i="10"/>
  <c r="AB90" i="10"/>
  <c r="Z90" i="10"/>
  <c r="Z92" i="10"/>
  <c r="Z89" i="10"/>
  <c r="Z91" i="10"/>
  <c r="I91" i="10"/>
  <c r="I92" i="10"/>
  <c r="I90" i="10"/>
  <c r="I89" i="10"/>
  <c r="V92" i="10"/>
  <c r="V90" i="10"/>
  <c r="V89" i="10"/>
  <c r="V91" i="10"/>
  <c r="G89" i="10"/>
  <c r="G90" i="10"/>
  <c r="G91" i="10"/>
  <c r="G92" i="10"/>
  <c r="X91" i="10"/>
  <c r="X89" i="10"/>
  <c r="X90" i="10"/>
  <c r="X92" i="10"/>
  <c r="AN97" i="10"/>
  <c r="AN85" i="10"/>
  <c r="AK85" i="10"/>
  <c r="AK97" i="10"/>
  <c r="R90" i="10"/>
  <c r="R89" i="10"/>
  <c r="R92" i="10"/>
  <c r="R91" i="10"/>
  <c r="AO97" i="10"/>
  <c r="AO85" i="10"/>
  <c r="AN92" i="10"/>
  <c r="D91" i="10"/>
  <c r="D90" i="10"/>
  <c r="D92" i="10"/>
  <c r="D89" i="10"/>
  <c r="J89" i="10"/>
  <c r="J90" i="10"/>
  <c r="J91" i="10"/>
  <c r="J92" i="10"/>
  <c r="W92" i="10"/>
  <c r="W89" i="10"/>
  <c r="W91" i="10"/>
  <c r="W90" i="10"/>
  <c r="P91" i="10"/>
  <c r="P89" i="10"/>
  <c r="P90" i="10"/>
  <c r="H92" i="10"/>
  <c r="AM97" i="10"/>
  <c r="AM85" i="10"/>
  <c r="O89" i="10"/>
  <c r="O91" i="10"/>
  <c r="O92" i="10"/>
  <c r="O90" i="10"/>
  <c r="S91" i="10"/>
  <c r="S89" i="10"/>
  <c r="S90" i="10"/>
  <c r="S92" i="10"/>
  <c r="E92" i="10"/>
  <c r="E91" i="10"/>
  <c r="E89" i="10"/>
  <c r="E90" i="10"/>
  <c r="AI92" i="10"/>
  <c r="U91" i="10"/>
  <c r="U89" i="10"/>
  <c r="U90" i="10"/>
  <c r="K89" i="10"/>
  <c r="K90" i="10"/>
  <c r="K91" i="10"/>
  <c r="K92" i="10"/>
  <c r="T92" i="10"/>
  <c r="E241" i="22"/>
  <c r="E357" i="22"/>
  <c r="E215" i="22"/>
  <c r="E345" i="22"/>
  <c r="F355" i="22"/>
  <c r="F330" i="22"/>
  <c r="F334" i="22"/>
  <c r="O60" i="25" s="1"/>
  <c r="F336" i="22"/>
  <c r="G279" i="22"/>
  <c r="G277" i="22"/>
  <c r="G275" i="22"/>
  <c r="G281" i="22"/>
  <c r="G251" i="22"/>
  <c r="G245" i="22"/>
  <c r="G247" i="22"/>
  <c r="G249" i="22"/>
  <c r="E174" i="22"/>
  <c r="E148" i="22"/>
  <c r="E13" i="22"/>
  <c r="E122" i="22"/>
  <c r="I53" i="27" s="1"/>
  <c r="E237" i="22"/>
  <c r="E185" i="22"/>
  <c r="F186" i="22"/>
  <c r="E188" i="22"/>
  <c r="F28" i="22"/>
  <c r="F301" i="22" s="1"/>
  <c r="E31" i="22"/>
  <c r="G56" i="22"/>
  <c r="E199" i="22"/>
  <c r="F16" i="22"/>
  <c r="E29" i="22"/>
  <c r="F263" i="22"/>
  <c r="E273" i="22"/>
  <c r="E271" i="22"/>
  <c r="G14" i="22"/>
  <c r="G293" i="22" s="1"/>
  <c r="E243" i="22"/>
  <c r="G82" i="22"/>
  <c r="J86" i="22"/>
  <c r="F30" i="22"/>
  <c r="P23" i="32" l="1"/>
  <c r="P24" i="32" s="1"/>
  <c r="P25" i="32"/>
  <c r="F17" i="32"/>
  <c r="F18" i="32" s="1"/>
  <c r="H58" i="27"/>
  <c r="L161" i="25"/>
  <c r="L167" i="25" s="1"/>
  <c r="L29" i="25"/>
  <c r="L66" i="25" s="1"/>
  <c r="F17" i="22"/>
  <c r="F353" i="22"/>
  <c r="F299" i="22"/>
  <c r="J300" i="22"/>
  <c r="J296" i="22"/>
  <c r="H298" i="22"/>
  <c r="J350" i="22"/>
  <c r="H361" i="22"/>
  <c r="J361" i="22" s="1"/>
  <c r="H363" i="22"/>
  <c r="J363" i="22" s="1"/>
  <c r="H365" i="22"/>
  <c r="J365" i="22" s="1"/>
  <c r="H359" i="22"/>
  <c r="J359" i="22" s="1"/>
  <c r="J303" i="22"/>
  <c r="J309" i="22"/>
  <c r="G61" i="22"/>
  <c r="G65" i="22"/>
  <c r="J48" i="22"/>
  <c r="G67" i="22"/>
  <c r="G63" i="22"/>
  <c r="H331" i="22"/>
  <c r="J331" i="22" s="1"/>
  <c r="H333" i="22"/>
  <c r="H329" i="22"/>
  <c r="J329" i="22" s="1"/>
  <c r="H335" i="22"/>
  <c r="J335" i="22" s="1"/>
  <c r="J266" i="22"/>
  <c r="H323" i="22"/>
  <c r="H325" i="22"/>
  <c r="H14" i="22"/>
  <c r="H112" i="22"/>
  <c r="L24" i="28"/>
  <c r="N54" i="25" s="1"/>
  <c r="N22" i="25"/>
  <c r="I55" i="27" s="1"/>
  <c r="L17" i="28"/>
  <c r="L25" i="28"/>
  <c r="N23" i="25"/>
  <c r="J91" i="28"/>
  <c r="J55" i="28"/>
  <c r="L58" i="25" s="1"/>
  <c r="L27" i="25" s="1"/>
  <c r="L26" i="25" s="1"/>
  <c r="L65" i="25" s="1"/>
  <c r="J93" i="28"/>
  <c r="J251" i="22"/>
  <c r="G349" i="22"/>
  <c r="H56" i="22"/>
  <c r="J326" i="22"/>
  <c r="H327" i="22"/>
  <c r="J268" i="22"/>
  <c r="H275" i="22"/>
  <c r="J275" i="22" s="1"/>
  <c r="H277" i="22"/>
  <c r="J277" i="22" s="1"/>
  <c r="H281" i="22"/>
  <c r="H279" i="22"/>
  <c r="J279" i="22" s="1"/>
  <c r="H319" i="22"/>
  <c r="J247" i="22"/>
  <c r="J249" i="22"/>
  <c r="J245" i="22"/>
  <c r="G16" i="22"/>
  <c r="H82" i="22"/>
  <c r="H30" i="22"/>
  <c r="J380" i="22"/>
  <c r="L30" i="25"/>
  <c r="L67" i="25" s="1"/>
  <c r="M24" i="25"/>
  <c r="I52" i="27"/>
  <c r="L83" i="25"/>
  <c r="AL92" i="10"/>
  <c r="AM92" i="10"/>
  <c r="AM90" i="10"/>
  <c r="AM89" i="10"/>
  <c r="AM91" i="10"/>
  <c r="AO92" i="10"/>
  <c r="AO89" i="10"/>
  <c r="AO91" i="10"/>
  <c r="AO90" i="10"/>
  <c r="AK89" i="10"/>
  <c r="AK92" i="10"/>
  <c r="AK91" i="10"/>
  <c r="AK90" i="10"/>
  <c r="AN89" i="10"/>
  <c r="AN90" i="10"/>
  <c r="AN91" i="10"/>
  <c r="AL89" i="10"/>
  <c r="AL90" i="10"/>
  <c r="AL91" i="10"/>
  <c r="G263" i="22"/>
  <c r="G355" i="22"/>
  <c r="F357" i="22"/>
  <c r="G336" i="22"/>
  <c r="G334" i="22"/>
  <c r="P60" i="25" s="1"/>
  <c r="G332" i="22"/>
  <c r="G330" i="22"/>
  <c r="G15" i="22"/>
  <c r="G28" i="22"/>
  <c r="G301" i="22" s="1"/>
  <c r="F219" i="22"/>
  <c r="F29" i="22"/>
  <c r="F241" i="22"/>
  <c r="F271" i="22"/>
  <c r="F188" i="22"/>
  <c r="F269" i="22"/>
  <c r="G30" i="22"/>
  <c r="F243" i="22"/>
  <c r="F31" i="22"/>
  <c r="F273" i="22"/>
  <c r="F199" i="22"/>
  <c r="F221" i="22"/>
  <c r="G186" i="22"/>
  <c r="N55" i="25" l="1"/>
  <c r="P31" i="32"/>
  <c r="L20" i="28"/>
  <c r="N50" i="25" s="1"/>
  <c r="P26" i="32"/>
  <c r="M161" i="25"/>
  <c r="M167" i="25" s="1"/>
  <c r="H263" i="22"/>
  <c r="H293" i="22"/>
  <c r="G188" i="22"/>
  <c r="G353" i="22"/>
  <c r="G299" i="22"/>
  <c r="J298" i="22"/>
  <c r="H61" i="22"/>
  <c r="J61" i="22" s="1"/>
  <c r="J305" i="22"/>
  <c r="J307" i="22"/>
  <c r="H67" i="22"/>
  <c r="J67" i="22" s="1"/>
  <c r="H65" i="22"/>
  <c r="J65" i="22" s="1"/>
  <c r="H63" i="22"/>
  <c r="H355" i="22"/>
  <c r="H186" i="22"/>
  <c r="J186" i="22" s="1"/>
  <c r="H15" i="22"/>
  <c r="J14" i="22"/>
  <c r="G17" i="22"/>
  <c r="G269" i="22"/>
  <c r="J112" i="22"/>
  <c r="H31" i="22"/>
  <c r="I56" i="27"/>
  <c r="I57" i="27" s="1"/>
  <c r="H336" i="22"/>
  <c r="J281" i="22"/>
  <c r="H332" i="22"/>
  <c r="H199" i="22"/>
  <c r="H221" i="22"/>
  <c r="H243" i="22"/>
  <c r="H273" i="22"/>
  <c r="J333" i="22"/>
  <c r="H334" i="22"/>
  <c r="Q60" i="25" s="1"/>
  <c r="G265" i="22"/>
  <c r="J82" i="22"/>
  <c r="H16" i="22"/>
  <c r="H299" i="22" s="1"/>
  <c r="J56" i="22"/>
  <c r="H28" i="22"/>
  <c r="H301" i="22" s="1"/>
  <c r="H330" i="22"/>
  <c r="J30" i="22"/>
  <c r="L90" i="25"/>
  <c r="L94" i="25"/>
  <c r="L115" i="25" s="1"/>
  <c r="L85" i="25"/>
  <c r="L169" i="25" s="1"/>
  <c r="M166" i="25" s="1"/>
  <c r="L91" i="25"/>
  <c r="L81" i="25"/>
  <c r="L89" i="25"/>
  <c r="L82" i="25"/>
  <c r="M30" i="25"/>
  <c r="M67" i="25" s="1"/>
  <c r="M29" i="25"/>
  <c r="M66" i="25" s="1"/>
  <c r="M27" i="25"/>
  <c r="M26" i="25" s="1"/>
  <c r="M65" i="25" s="1"/>
  <c r="N24" i="25"/>
  <c r="G357" i="22"/>
  <c r="G271" i="22"/>
  <c r="G241" i="22"/>
  <c r="G29" i="22"/>
  <c r="G219" i="22"/>
  <c r="G64" i="22"/>
  <c r="G66" i="22"/>
  <c r="G68" i="22"/>
  <c r="G62" i="22"/>
  <c r="G221" i="22"/>
  <c r="G273" i="22"/>
  <c r="G243" i="22"/>
  <c r="G31" i="22"/>
  <c r="G199" i="22"/>
  <c r="G17" i="32" l="1"/>
  <c r="G18" i="32" s="1"/>
  <c r="I58" i="27"/>
  <c r="N161" i="25"/>
  <c r="N167" i="25" s="1"/>
  <c r="H17" i="22"/>
  <c r="H353" i="22"/>
  <c r="H62" i="22"/>
  <c r="H64" i="22"/>
  <c r="L218" i="25"/>
  <c r="L211" i="25" s="1"/>
  <c r="L214" i="25" s="1"/>
  <c r="L111" i="25"/>
  <c r="J63" i="22"/>
  <c r="H68" i="22"/>
  <c r="H66" i="22"/>
  <c r="H271" i="22"/>
  <c r="H241" i="22"/>
  <c r="H357" i="22"/>
  <c r="H219" i="22"/>
  <c r="H196" i="22"/>
  <c r="H29" i="22"/>
  <c r="J28" i="22"/>
  <c r="H188" i="22"/>
  <c r="H269" i="22"/>
  <c r="J16" i="22"/>
  <c r="L73" i="25"/>
  <c r="L98" i="25"/>
  <c r="L113" i="25"/>
  <c r="M81" i="25"/>
  <c r="L112" i="25"/>
  <c r="G74" i="27"/>
  <c r="G75" i="27" s="1"/>
  <c r="M91" i="25"/>
  <c r="N91" i="25" s="1"/>
  <c r="M90" i="25"/>
  <c r="N90" i="25" s="1"/>
  <c r="M89" i="25"/>
  <c r="M83" i="25"/>
  <c r="M82" i="25"/>
  <c r="M85" i="25"/>
  <c r="M169" i="25" s="1"/>
  <c r="M168" i="25" s="1"/>
  <c r="M114" i="25" s="1"/>
  <c r="M44" i="25"/>
  <c r="M218" i="25" s="1"/>
  <c r="M94" i="25"/>
  <c r="N94" i="25" s="1"/>
  <c r="N115" i="25" s="1"/>
  <c r="L168" i="25"/>
  <c r="L114" i="25" s="1"/>
  <c r="G70" i="27" l="1"/>
  <c r="E24" i="32" s="1"/>
  <c r="H207" i="22"/>
  <c r="H201" i="22"/>
  <c r="H205" i="22"/>
  <c r="J188" i="22"/>
  <c r="H203" i="22"/>
  <c r="N81" i="25"/>
  <c r="M115" i="25"/>
  <c r="N83" i="25"/>
  <c r="M113" i="25"/>
  <c r="H74" i="27"/>
  <c r="H75" i="27" s="1"/>
  <c r="N85" i="25"/>
  <c r="N169" i="25" s="1"/>
  <c r="O166" i="25" s="1"/>
  <c r="N166" i="25"/>
  <c r="M112" i="25"/>
  <c r="N44" i="25"/>
  <c r="N218" i="25" s="1"/>
  <c r="M73" i="25"/>
  <c r="M111" i="25"/>
  <c r="M98" i="25"/>
  <c r="H70" i="27" l="1"/>
  <c r="N98" i="25"/>
  <c r="N111" i="25"/>
  <c r="N73" i="25"/>
  <c r="N168" i="25"/>
  <c r="N114" i="25" s="1"/>
  <c r="AJ28" i="10" l="1"/>
  <c r="AI28" i="10"/>
  <c r="AB27" i="10"/>
  <c r="AA27" i="10"/>
  <c r="Z27" i="10"/>
  <c r="Y27" i="10"/>
  <c r="X27" i="10"/>
  <c r="W27" i="10"/>
  <c r="V27" i="10"/>
  <c r="U27" i="10"/>
  <c r="T27" i="10"/>
  <c r="S27" i="10"/>
  <c r="AB26" i="10"/>
  <c r="AA26" i="10"/>
  <c r="Z26" i="10"/>
  <c r="Y26" i="10"/>
  <c r="X26" i="10"/>
  <c r="W26" i="10"/>
  <c r="V26" i="10"/>
  <c r="U26" i="10"/>
  <c r="T26" i="10"/>
  <c r="S26" i="10"/>
  <c r="AB25" i="10"/>
  <c r="AA25" i="10"/>
  <c r="Z25" i="10"/>
  <c r="Y25" i="10"/>
  <c r="X25" i="10"/>
  <c r="W25" i="10"/>
  <c r="V25" i="10"/>
  <c r="U25" i="10"/>
  <c r="T25" i="10"/>
  <c r="S25" i="10"/>
  <c r="AB24" i="10"/>
  <c r="AA24" i="10"/>
  <c r="Z24" i="10"/>
  <c r="Y24" i="10"/>
  <c r="X24" i="10"/>
  <c r="W24" i="10"/>
  <c r="V24" i="10"/>
  <c r="U24" i="10"/>
  <c r="T24" i="10"/>
  <c r="S24" i="10"/>
  <c r="K27" i="10"/>
  <c r="J27" i="10"/>
  <c r="I27" i="10"/>
  <c r="H27" i="10"/>
  <c r="G27" i="10"/>
  <c r="F27" i="10"/>
  <c r="E27" i="10"/>
  <c r="D27" i="10"/>
  <c r="K26" i="10"/>
  <c r="J26" i="10"/>
  <c r="I26" i="10"/>
  <c r="H26" i="10"/>
  <c r="G26" i="10"/>
  <c r="F26" i="10"/>
  <c r="E26" i="10"/>
  <c r="D26" i="10"/>
  <c r="K25" i="10"/>
  <c r="J25" i="10"/>
  <c r="I25" i="10"/>
  <c r="H25" i="10"/>
  <c r="G25" i="10"/>
  <c r="F25" i="10"/>
  <c r="E25" i="10"/>
  <c r="D25" i="10"/>
  <c r="K24" i="10"/>
  <c r="J24" i="10"/>
  <c r="I24" i="10"/>
  <c r="H24" i="10"/>
  <c r="G24" i="10"/>
  <c r="F24" i="10"/>
  <c r="E24" i="10"/>
  <c r="D24" i="10"/>
  <c r="B27" i="10"/>
  <c r="B26" i="10"/>
  <c r="B25" i="10"/>
  <c r="B24" i="10"/>
  <c r="B22" i="10"/>
  <c r="B21" i="10"/>
  <c r="B20" i="10"/>
  <c r="B19" i="10"/>
  <c r="B18" i="10"/>
  <c r="AK28" i="10" l="1"/>
  <c r="AM25" i="10"/>
  <c r="AJ26" i="10"/>
  <c r="AO27" i="10"/>
  <c r="AL28" i="10"/>
  <c r="AM28" i="10"/>
  <c r="AN28" i="10"/>
  <c r="AO28" i="10"/>
  <c r="AM26" i="10"/>
  <c r="AJ25" i="10"/>
  <c r="AO26" i="10"/>
  <c r="AL27" i="10"/>
  <c r="AK25" i="10"/>
  <c r="AM27" i="10"/>
  <c r="AJ27" i="10"/>
  <c r="AL25" i="10"/>
  <c r="AI26" i="10"/>
  <c r="AN27" i="10"/>
  <c r="AN25" i="10"/>
  <c r="AK26" i="10"/>
  <c r="AO25" i="10"/>
  <c r="AL26" i="10"/>
  <c r="AI27" i="10"/>
  <c r="AI25" i="10"/>
  <c r="AN26" i="10"/>
  <c r="AK27" i="10"/>
  <c r="C14" i="10" l="1"/>
  <c r="C86" i="10" s="1"/>
  <c r="J4" i="10"/>
  <c r="I4" i="10"/>
  <c r="H4" i="10"/>
  <c r="G4" i="10"/>
  <c r="F4" i="10"/>
  <c r="E4" i="10"/>
  <c r="D4" i="10"/>
  <c r="C4" i="10"/>
  <c r="J3" i="10"/>
  <c r="I3" i="10"/>
  <c r="H3" i="10"/>
  <c r="G3" i="10"/>
  <c r="F3" i="10"/>
  <c r="E3" i="10"/>
  <c r="D3" i="10"/>
  <c r="C3" i="10"/>
  <c r="K4" i="10"/>
  <c r="K3" i="10"/>
  <c r="C20" i="10" l="1"/>
  <c r="C22" i="10"/>
  <c r="C19" i="10"/>
  <c r="C21" i="10"/>
  <c r="D22" i="10"/>
  <c r="D19" i="10"/>
  <c r="D21" i="10"/>
  <c r="D20" i="10"/>
  <c r="E22" i="10"/>
  <c r="E19" i="10"/>
  <c r="E21" i="10"/>
  <c r="E20" i="10"/>
  <c r="F19" i="10"/>
  <c r="F20" i="10"/>
  <c r="F21" i="10"/>
  <c r="F22" i="10"/>
  <c r="C18" i="10"/>
  <c r="D18" i="10"/>
  <c r="E18" i="10"/>
  <c r="F18" i="10"/>
  <c r="B72" i="8" l="1"/>
  <c r="B71" i="8"/>
  <c r="AB72" i="8"/>
  <c r="AA72" i="8"/>
  <c r="Z72" i="8"/>
  <c r="X72" i="8"/>
  <c r="W72" i="8"/>
  <c r="V72" i="8"/>
  <c r="T72" i="8"/>
  <c r="S72" i="8"/>
  <c r="R72" i="8"/>
  <c r="P72" i="8"/>
  <c r="O72" i="8"/>
  <c r="N72" i="8"/>
  <c r="AB71" i="8"/>
  <c r="AA71" i="8"/>
  <c r="Z71" i="8"/>
  <c r="Y71" i="8"/>
  <c r="X71" i="8"/>
  <c r="W71" i="8"/>
  <c r="V71" i="8"/>
  <c r="U71" i="8"/>
  <c r="T71" i="8"/>
  <c r="S71" i="8"/>
  <c r="R71" i="8"/>
  <c r="Q71" i="8"/>
  <c r="P71" i="8"/>
  <c r="O71" i="8"/>
  <c r="N71" i="8"/>
  <c r="K72" i="8"/>
  <c r="J72" i="8"/>
  <c r="I72" i="8"/>
  <c r="H72" i="8"/>
  <c r="G72" i="8"/>
  <c r="F72" i="8"/>
  <c r="E72" i="8"/>
  <c r="D72" i="8"/>
  <c r="K71" i="8"/>
  <c r="J71" i="8"/>
  <c r="I71" i="8"/>
  <c r="H71" i="8"/>
  <c r="G71" i="8"/>
  <c r="F71" i="8"/>
  <c r="E71" i="8"/>
  <c r="D71" i="8"/>
  <c r="C72" i="8"/>
  <c r="C71" i="8"/>
  <c r="B37" i="8"/>
  <c r="B36" i="8"/>
  <c r="AB37" i="8"/>
  <c r="AA37" i="8"/>
  <c r="Z37" i="8"/>
  <c r="X37" i="8"/>
  <c r="W37" i="8"/>
  <c r="V37" i="8"/>
  <c r="T37" i="8"/>
  <c r="S37" i="8"/>
  <c r="R37" i="8"/>
  <c r="P37" i="8"/>
  <c r="O37" i="8"/>
  <c r="AB36" i="8"/>
  <c r="AA36" i="8"/>
  <c r="Z36" i="8"/>
  <c r="Y36" i="8"/>
  <c r="X36" i="8"/>
  <c r="W36" i="8"/>
  <c r="V36" i="8"/>
  <c r="U36" i="8"/>
  <c r="T36" i="8"/>
  <c r="S36" i="8"/>
  <c r="R36" i="8"/>
  <c r="Q36" i="8"/>
  <c r="P36" i="8"/>
  <c r="O36" i="8"/>
  <c r="N37" i="8"/>
  <c r="N36" i="8"/>
  <c r="K37" i="8"/>
  <c r="J37" i="8"/>
  <c r="I37" i="8"/>
  <c r="H37" i="8"/>
  <c r="G37" i="8"/>
  <c r="F37" i="8"/>
  <c r="E37" i="8"/>
  <c r="D37" i="8"/>
  <c r="K36" i="8"/>
  <c r="J36" i="8"/>
  <c r="I36" i="8"/>
  <c r="H36" i="8"/>
  <c r="G36" i="8"/>
  <c r="F36" i="8"/>
  <c r="E36" i="8"/>
  <c r="D36" i="8"/>
  <c r="C37" i="8"/>
  <c r="C36" i="8"/>
  <c r="AO8" i="8"/>
  <c r="AO37" i="8" s="1"/>
  <c r="AN8" i="8"/>
  <c r="AN37" i="8" s="1"/>
  <c r="AM8" i="8"/>
  <c r="AM37" i="8" s="1"/>
  <c r="AK8" i="8"/>
  <c r="AK37" i="8" s="1"/>
  <c r="AJ8" i="8"/>
  <c r="AJ37" i="8" s="1"/>
  <c r="AI8" i="8"/>
  <c r="AI37" i="8" s="1"/>
  <c r="AG8" i="8"/>
  <c r="AG37" i="8" s="1"/>
  <c r="AF8" i="8"/>
  <c r="AF37" i="8" s="1"/>
  <c r="AE8" i="8"/>
  <c r="AE37" i="8" s="1"/>
  <c r="Y8" i="8"/>
  <c r="Y4" i="10" s="1"/>
  <c r="AL4" i="10" s="1"/>
  <c r="U8" i="8"/>
  <c r="U4" i="10" s="1"/>
  <c r="AH4" i="10" s="1"/>
  <c r="Q8" i="8"/>
  <c r="Q4" i="10" s="1"/>
  <c r="AO7" i="8"/>
  <c r="AO71" i="8" s="1"/>
  <c r="AN7" i="8"/>
  <c r="AN36" i="8" s="1"/>
  <c r="AM7" i="8"/>
  <c r="AM36" i="8" s="1"/>
  <c r="AL7" i="8"/>
  <c r="AL36" i="8" s="1"/>
  <c r="AK7" i="8"/>
  <c r="AK36" i="8" s="1"/>
  <c r="AJ7" i="8"/>
  <c r="AJ36" i="8" s="1"/>
  <c r="AI7" i="8"/>
  <c r="AI36" i="8" s="1"/>
  <c r="AH7" i="8"/>
  <c r="AH36" i="8" s="1"/>
  <c r="AG7" i="8"/>
  <c r="AG36" i="8" s="1"/>
  <c r="AF7" i="8"/>
  <c r="AF36" i="8" s="1"/>
  <c r="AE7" i="8"/>
  <c r="AE36" i="8" s="1"/>
  <c r="Q32" i="8"/>
  <c r="Q36" i="24" s="1"/>
  <c r="U32" i="8"/>
  <c r="U36" i="24" s="1"/>
  <c r="Y32" i="8"/>
  <c r="Y36" i="24" s="1"/>
  <c r="Y29" i="8"/>
  <c r="Y31" i="24" s="1"/>
  <c r="U29" i="8"/>
  <c r="U31" i="24" s="1"/>
  <c r="Q29" i="8"/>
  <c r="Q31" i="24" s="1"/>
  <c r="AB51" i="9"/>
  <c r="AP51" i="9" s="1"/>
  <c r="AA51" i="9"/>
  <c r="AO51" i="9" s="1"/>
  <c r="Z51" i="9"/>
  <c r="X51" i="9"/>
  <c r="AL51" i="9" s="1"/>
  <c r="W51" i="9"/>
  <c r="AK51" i="9" s="1"/>
  <c r="V51" i="9"/>
  <c r="AJ51" i="9" s="1"/>
  <c r="T51" i="9"/>
  <c r="AH51" i="9" s="1"/>
  <c r="S51" i="9"/>
  <c r="AG51" i="9" s="1"/>
  <c r="R51" i="9"/>
  <c r="AF51" i="9" s="1"/>
  <c r="P51" i="9"/>
  <c r="O51" i="9"/>
  <c r="N51" i="9"/>
  <c r="K51" i="9"/>
  <c r="J51" i="9"/>
  <c r="I51" i="9"/>
  <c r="H51" i="9"/>
  <c r="G51" i="9"/>
  <c r="K50" i="9"/>
  <c r="J50" i="9"/>
  <c r="I50" i="9"/>
  <c r="H50" i="9"/>
  <c r="H40" i="16"/>
  <c r="F35" i="16"/>
  <c r="L12" i="16"/>
  <c r="L13" i="16" s="1"/>
  <c r="L10" i="16"/>
  <c r="L9" i="16" s="1"/>
  <c r="P8" i="16"/>
  <c r="Q8" i="16" s="1"/>
  <c r="Q42" i="24" l="1"/>
  <c r="Q53" i="24"/>
  <c r="U42" i="24"/>
  <c r="U53" i="24"/>
  <c r="Y42" i="24"/>
  <c r="Y53" i="24"/>
  <c r="Y47" i="24"/>
  <c r="Y59" i="24"/>
  <c r="Q37" i="8"/>
  <c r="Q4" i="24"/>
  <c r="Q4" i="9"/>
  <c r="AE4" i="9" s="1"/>
  <c r="U47" i="24"/>
  <c r="U59" i="24"/>
  <c r="AH8" i="8"/>
  <c r="AH37" i="8" s="1"/>
  <c r="U4" i="24"/>
  <c r="AH4" i="24" s="1"/>
  <c r="U4" i="9"/>
  <c r="AI4" i="9" s="1"/>
  <c r="AO36" i="8"/>
  <c r="AK71" i="8"/>
  <c r="Q47" i="24"/>
  <c r="Q59" i="24"/>
  <c r="AL8" i="8"/>
  <c r="AL37" i="8" s="1"/>
  <c r="Y4" i="24"/>
  <c r="AL4" i="24" s="1"/>
  <c r="Y4" i="9"/>
  <c r="AM4" i="9" s="1"/>
  <c r="AM71" i="8"/>
  <c r="AN71" i="8"/>
  <c r="AE71" i="8"/>
  <c r="AG72" i="8"/>
  <c r="U72" i="8"/>
  <c r="AF71" i="8"/>
  <c r="AJ72" i="8"/>
  <c r="AG71" i="8"/>
  <c r="AK72" i="8"/>
  <c r="AJ71" i="8"/>
  <c r="AO72" i="8"/>
  <c r="AL71" i="8"/>
  <c r="AI72" i="8"/>
  <c r="AH71" i="8"/>
  <c r="AE72" i="8"/>
  <c r="AM72" i="8"/>
  <c r="Q72" i="8"/>
  <c r="Y72" i="8"/>
  <c r="AI71" i="8"/>
  <c r="AF72" i="8"/>
  <c r="AN72" i="8"/>
  <c r="I33" i="16"/>
  <c r="I35" i="16"/>
  <c r="U37" i="8"/>
  <c r="Y37" i="8"/>
  <c r="AN51" i="9"/>
  <c r="AH72" i="8" l="1"/>
  <c r="AL72" i="8"/>
  <c r="AB64" i="9" l="1"/>
  <c r="AP64" i="9" s="1"/>
  <c r="AA64" i="9"/>
  <c r="Z64" i="9"/>
  <c r="X64" i="9"/>
  <c r="W64" i="9"/>
  <c r="V64" i="9"/>
  <c r="T64" i="9"/>
  <c r="S64" i="9"/>
  <c r="R64" i="9"/>
  <c r="P64" i="9"/>
  <c r="O64" i="9"/>
  <c r="AB63" i="9"/>
  <c r="AA63" i="9"/>
  <c r="Z63" i="9"/>
  <c r="Y63" i="9"/>
  <c r="X63" i="9"/>
  <c r="W63" i="9"/>
  <c r="V63" i="9"/>
  <c r="U63" i="9"/>
  <c r="T63" i="9"/>
  <c r="S63" i="9"/>
  <c r="R63" i="9"/>
  <c r="Q63" i="9"/>
  <c r="P63" i="9"/>
  <c r="O63" i="9"/>
  <c r="N64" i="9"/>
  <c r="N63" i="9"/>
  <c r="AB68" i="9"/>
  <c r="AA68" i="9"/>
  <c r="Z68" i="9"/>
  <c r="X68" i="9"/>
  <c r="W68" i="9"/>
  <c r="V68" i="9"/>
  <c r="T68" i="9"/>
  <c r="S68" i="9"/>
  <c r="R68" i="9"/>
  <c r="P68" i="9"/>
  <c r="O68" i="9"/>
  <c r="N68" i="9"/>
  <c r="AB67" i="9"/>
  <c r="AP67" i="9" s="1"/>
  <c r="AA67" i="9"/>
  <c r="AO67" i="9" s="1"/>
  <c r="Z67" i="9"/>
  <c r="AN67" i="9" s="1"/>
  <c r="Y67" i="9"/>
  <c r="AM67" i="9" s="1"/>
  <c r="X67" i="9"/>
  <c r="AL67" i="9" s="1"/>
  <c r="W67" i="9"/>
  <c r="V67" i="9"/>
  <c r="U67" i="9"/>
  <c r="T67" i="9"/>
  <c r="S67" i="9"/>
  <c r="R67" i="9"/>
  <c r="Q67" i="9"/>
  <c r="P67" i="9"/>
  <c r="O67" i="9"/>
  <c r="N67" i="9"/>
  <c r="AB66" i="9"/>
  <c r="AP66" i="9" s="1"/>
  <c r="AA66" i="9"/>
  <c r="AO66" i="9" s="1"/>
  <c r="Z66" i="9"/>
  <c r="AN66" i="9" s="1"/>
  <c r="Y66" i="9"/>
  <c r="AM66" i="9" s="1"/>
  <c r="X66" i="9"/>
  <c r="AL66" i="9" s="1"/>
  <c r="W66" i="9"/>
  <c r="AK66" i="9" s="1"/>
  <c r="V66" i="9"/>
  <c r="AJ66" i="9" s="1"/>
  <c r="U66" i="9"/>
  <c r="AI66" i="9" s="1"/>
  <c r="T66" i="9"/>
  <c r="AH66" i="9" s="1"/>
  <c r="S66" i="9"/>
  <c r="AG66" i="9" s="1"/>
  <c r="R66" i="9"/>
  <c r="AF66" i="9" s="1"/>
  <c r="Q66" i="9"/>
  <c r="AE66" i="9" s="1"/>
  <c r="P66" i="9"/>
  <c r="O66" i="9"/>
  <c r="N66" i="9"/>
  <c r="K64" i="9"/>
  <c r="J64" i="9"/>
  <c r="I64" i="9"/>
  <c r="H64" i="9"/>
  <c r="K63" i="9"/>
  <c r="J63" i="9"/>
  <c r="I63" i="9"/>
  <c r="H63" i="9"/>
  <c r="K68" i="9"/>
  <c r="J68" i="9"/>
  <c r="I68" i="9"/>
  <c r="H68" i="9"/>
  <c r="K67" i="9"/>
  <c r="J67" i="9"/>
  <c r="I67" i="9"/>
  <c r="H67" i="9"/>
  <c r="K66" i="9"/>
  <c r="J66" i="9"/>
  <c r="I66" i="9"/>
  <c r="H66" i="9"/>
  <c r="G68" i="9"/>
  <c r="G67" i="9"/>
  <c r="G66" i="9"/>
  <c r="G63" i="9"/>
  <c r="D43" i="8"/>
  <c r="E56" i="8"/>
  <c r="E60" i="8" s="1"/>
  <c r="C48" i="8"/>
  <c r="C114" i="8"/>
  <c r="C109" i="8"/>
  <c r="C98" i="8"/>
  <c r="C65" i="8"/>
  <c r="C56" i="8"/>
  <c r="C60" i="8" s="1"/>
  <c r="C44" i="8"/>
  <c r="C11" i="8"/>
  <c r="F109" i="8"/>
  <c r="E109" i="8"/>
  <c r="D109" i="8"/>
  <c r="F98" i="8"/>
  <c r="E98" i="8"/>
  <c r="D98" i="8"/>
  <c r="F65" i="8"/>
  <c r="E65" i="8"/>
  <c r="D65" i="8"/>
  <c r="F56" i="8"/>
  <c r="F60" i="8" s="1"/>
  <c r="D56" i="8"/>
  <c r="D60" i="8" s="1"/>
  <c r="F44" i="8"/>
  <c r="F49" i="8" s="1"/>
  <c r="E44" i="8"/>
  <c r="E49" i="8" s="1"/>
  <c r="F11" i="8"/>
  <c r="E11" i="8"/>
  <c r="D11" i="8"/>
  <c r="G64" i="9"/>
  <c r="AP63" i="9"/>
  <c r="AB58" i="9"/>
  <c r="AP58" i="9" s="1"/>
  <c r="AA58" i="9"/>
  <c r="Z58" i="9"/>
  <c r="X58" i="9"/>
  <c r="W58" i="9"/>
  <c r="V58" i="9"/>
  <c r="T58" i="9"/>
  <c r="S58" i="9"/>
  <c r="R58" i="9"/>
  <c r="P58" i="9"/>
  <c r="O58" i="9"/>
  <c r="N58" i="9"/>
  <c r="K58" i="9"/>
  <c r="J58" i="9"/>
  <c r="I58" i="9"/>
  <c r="H58" i="9"/>
  <c r="G58" i="9"/>
  <c r="AB57" i="9"/>
  <c r="AP57" i="9" s="1"/>
  <c r="AA57" i="9"/>
  <c r="Z57" i="9"/>
  <c r="X57" i="9"/>
  <c r="W57" i="9"/>
  <c r="V57" i="9"/>
  <c r="T57" i="9"/>
  <c r="S57" i="9"/>
  <c r="R57" i="9"/>
  <c r="P57" i="9"/>
  <c r="O57" i="9"/>
  <c r="N57" i="9"/>
  <c r="K57" i="9"/>
  <c r="J57" i="9"/>
  <c r="I57" i="9"/>
  <c r="H57" i="9"/>
  <c r="G57" i="9"/>
  <c r="AB56" i="9"/>
  <c r="AP56" i="9" s="1"/>
  <c r="AA56" i="9"/>
  <c r="Z56" i="9"/>
  <c r="X56" i="9"/>
  <c r="W56" i="9"/>
  <c r="V56" i="9"/>
  <c r="T56" i="9"/>
  <c r="S56" i="9"/>
  <c r="R56" i="9"/>
  <c r="P56" i="9"/>
  <c r="O56" i="9"/>
  <c r="N56" i="9"/>
  <c r="K56" i="9"/>
  <c r="J56" i="9"/>
  <c r="I56" i="9"/>
  <c r="H56" i="9"/>
  <c r="G56" i="9"/>
  <c r="AB55" i="9"/>
  <c r="AP55" i="9" s="1"/>
  <c r="AA55" i="9"/>
  <c r="Z55" i="9"/>
  <c r="X55" i="9"/>
  <c r="W55" i="9"/>
  <c r="V55" i="9"/>
  <c r="T55" i="9"/>
  <c r="S55" i="9"/>
  <c r="R55" i="9"/>
  <c r="P55" i="9"/>
  <c r="O55" i="9"/>
  <c r="N55" i="9"/>
  <c r="K55" i="9"/>
  <c r="J55" i="9"/>
  <c r="I55" i="9"/>
  <c r="H55" i="9"/>
  <c r="G55" i="9"/>
  <c r="AB50" i="9"/>
  <c r="AP50" i="9" s="1"/>
  <c r="AA50" i="9"/>
  <c r="Z50" i="9"/>
  <c r="X50" i="9"/>
  <c r="W50" i="9"/>
  <c r="V50" i="9"/>
  <c r="T50" i="9"/>
  <c r="S50" i="9"/>
  <c r="R50" i="9"/>
  <c r="P50" i="9"/>
  <c r="O50" i="9"/>
  <c r="N50" i="9"/>
  <c r="AB49" i="9"/>
  <c r="AA49" i="9"/>
  <c r="Z49" i="9"/>
  <c r="X49" i="9"/>
  <c r="W49" i="9"/>
  <c r="V49" i="9"/>
  <c r="T49" i="9"/>
  <c r="S49" i="9"/>
  <c r="R49" i="9"/>
  <c r="P49" i="9"/>
  <c r="O49" i="9"/>
  <c r="N49" i="9"/>
  <c r="K49" i="9"/>
  <c r="J49" i="9"/>
  <c r="J52" i="9" s="1"/>
  <c r="I49" i="9"/>
  <c r="I52" i="9" s="1"/>
  <c r="H49" i="9"/>
  <c r="H52" i="9" s="1"/>
  <c r="G50" i="9"/>
  <c r="G49" i="9"/>
  <c r="Z43" i="9"/>
  <c r="V43" i="9"/>
  <c r="T43" i="9"/>
  <c r="R43" i="9"/>
  <c r="N43" i="9"/>
  <c r="K43" i="9"/>
  <c r="J43" i="9"/>
  <c r="I43" i="9"/>
  <c r="H43" i="9"/>
  <c r="G43" i="9"/>
  <c r="Z42" i="9"/>
  <c r="V42" i="9"/>
  <c r="T42" i="9"/>
  <c r="R42" i="9"/>
  <c r="N42" i="9"/>
  <c r="K42" i="9"/>
  <c r="J42" i="9"/>
  <c r="I42" i="9"/>
  <c r="H42" i="9"/>
  <c r="G42" i="9"/>
  <c r="Z41" i="9"/>
  <c r="V41" i="9"/>
  <c r="T41" i="9"/>
  <c r="R41" i="9"/>
  <c r="N41" i="9"/>
  <c r="K41" i="9"/>
  <c r="J41" i="9"/>
  <c r="I41" i="9"/>
  <c r="H41" i="9"/>
  <c r="G41" i="9"/>
  <c r="Z40" i="9"/>
  <c r="X40" i="9"/>
  <c r="W40" i="9"/>
  <c r="V40" i="9"/>
  <c r="T40" i="9"/>
  <c r="S40" i="9"/>
  <c r="R40" i="9"/>
  <c r="P40" i="9"/>
  <c r="O40" i="9"/>
  <c r="N40" i="9"/>
  <c r="K40" i="9"/>
  <c r="J40" i="9"/>
  <c r="I40" i="9"/>
  <c r="H40" i="9"/>
  <c r="G40" i="9"/>
  <c r="Z39" i="9"/>
  <c r="V39" i="9"/>
  <c r="T39" i="9"/>
  <c r="R39" i="9"/>
  <c r="N39" i="9"/>
  <c r="K39" i="9"/>
  <c r="J39" i="9"/>
  <c r="I39" i="9"/>
  <c r="H39" i="9"/>
  <c r="G39" i="9"/>
  <c r="Z38" i="9"/>
  <c r="T38" i="9"/>
  <c r="K38" i="9"/>
  <c r="J38" i="9"/>
  <c r="I38" i="9"/>
  <c r="H38" i="9"/>
  <c r="G38" i="9"/>
  <c r="Z35" i="9"/>
  <c r="T35" i="9"/>
  <c r="K35" i="9"/>
  <c r="J35" i="9"/>
  <c r="I35" i="9"/>
  <c r="H35" i="9"/>
  <c r="G35" i="9"/>
  <c r="AB34" i="9"/>
  <c r="AA34" i="9"/>
  <c r="Z34" i="9"/>
  <c r="X34" i="9"/>
  <c r="W34" i="9"/>
  <c r="V34" i="9"/>
  <c r="R34" i="9"/>
  <c r="Z33" i="9"/>
  <c r="V33" i="9"/>
  <c r="R33" i="9"/>
  <c r="N34" i="9"/>
  <c r="N33" i="9"/>
  <c r="K34" i="9"/>
  <c r="J34" i="9"/>
  <c r="I34" i="9"/>
  <c r="H34" i="9"/>
  <c r="K33" i="9"/>
  <c r="J33" i="9"/>
  <c r="I33" i="9"/>
  <c r="H33" i="9"/>
  <c r="G34" i="9"/>
  <c r="G33" i="9"/>
  <c r="Z32" i="9"/>
  <c r="V32" i="9"/>
  <c r="T32" i="9"/>
  <c r="R32" i="9"/>
  <c r="N32" i="9"/>
  <c r="K32" i="9"/>
  <c r="J32" i="9"/>
  <c r="I32" i="9"/>
  <c r="H32" i="9"/>
  <c r="G32" i="9"/>
  <c r="Z28" i="9"/>
  <c r="V28" i="9"/>
  <c r="T28" i="9"/>
  <c r="R28" i="9"/>
  <c r="N28" i="9"/>
  <c r="K28" i="9"/>
  <c r="J28" i="9"/>
  <c r="I28" i="9"/>
  <c r="H28" i="9"/>
  <c r="G28" i="9"/>
  <c r="Z24" i="9"/>
  <c r="V24" i="9"/>
  <c r="T24" i="9"/>
  <c r="R24" i="9"/>
  <c r="N24" i="9"/>
  <c r="K24" i="9"/>
  <c r="J24" i="9"/>
  <c r="I24" i="9"/>
  <c r="H24" i="9"/>
  <c r="G24" i="9"/>
  <c r="AB20" i="9"/>
  <c r="AA20" i="9"/>
  <c r="Z20" i="9"/>
  <c r="X20" i="9"/>
  <c r="W20" i="9"/>
  <c r="V20" i="9"/>
  <c r="T20" i="9"/>
  <c r="S20" i="9"/>
  <c r="R20" i="9"/>
  <c r="P20" i="9"/>
  <c r="O20" i="9"/>
  <c r="N20" i="9"/>
  <c r="K20" i="9"/>
  <c r="J20" i="9"/>
  <c r="I20" i="9"/>
  <c r="H20" i="9"/>
  <c r="AB19" i="9"/>
  <c r="AA19" i="9"/>
  <c r="Z19" i="9"/>
  <c r="X19" i="9"/>
  <c r="W19" i="9"/>
  <c r="V19" i="9"/>
  <c r="T19" i="9"/>
  <c r="S19" i="9"/>
  <c r="R19" i="9"/>
  <c r="P19" i="9"/>
  <c r="O19" i="9"/>
  <c r="N19" i="9"/>
  <c r="K19" i="9"/>
  <c r="J19" i="9"/>
  <c r="I19" i="9"/>
  <c r="H19" i="9"/>
  <c r="G20" i="9"/>
  <c r="G19" i="9"/>
  <c r="AB15" i="9"/>
  <c r="AA15" i="9"/>
  <c r="Z15" i="9"/>
  <c r="X15" i="9"/>
  <c r="W15" i="9"/>
  <c r="V15" i="9"/>
  <c r="T15" i="9"/>
  <c r="S15" i="9"/>
  <c r="R15" i="9"/>
  <c r="P15" i="9"/>
  <c r="O15" i="9"/>
  <c r="N15" i="9"/>
  <c r="K15" i="9"/>
  <c r="J15" i="9"/>
  <c r="I15" i="9"/>
  <c r="H15" i="9"/>
  <c r="G15" i="9"/>
  <c r="AB10" i="9"/>
  <c r="AA10" i="9"/>
  <c r="Z10" i="9"/>
  <c r="Y10" i="9"/>
  <c r="X10" i="9"/>
  <c r="W10" i="9"/>
  <c r="V10" i="9"/>
  <c r="U10" i="9"/>
  <c r="T10" i="9"/>
  <c r="S10" i="9"/>
  <c r="R10" i="9"/>
  <c r="Q10" i="9"/>
  <c r="P10" i="9"/>
  <c r="O10" i="9"/>
  <c r="AB9" i="9"/>
  <c r="AA9" i="9"/>
  <c r="Z9" i="9"/>
  <c r="AQ9" i="9" s="1"/>
  <c r="Y9" i="9"/>
  <c r="X9" i="9"/>
  <c r="W9" i="9"/>
  <c r="V9" i="9"/>
  <c r="U9" i="9"/>
  <c r="T9" i="9"/>
  <c r="S9" i="9"/>
  <c r="R9" i="9"/>
  <c r="Q9" i="9"/>
  <c r="P9" i="9"/>
  <c r="O9" i="9"/>
  <c r="AB8" i="9"/>
  <c r="AA8" i="9"/>
  <c r="Z8" i="9"/>
  <c r="Y8" i="9"/>
  <c r="X8" i="9"/>
  <c r="W8" i="9"/>
  <c r="V8" i="9"/>
  <c r="U8" i="9"/>
  <c r="T8" i="9"/>
  <c r="S8" i="9"/>
  <c r="R8" i="9"/>
  <c r="Q8" i="9"/>
  <c r="P8" i="9"/>
  <c r="O8" i="9"/>
  <c r="AB7" i="9"/>
  <c r="AA7" i="9"/>
  <c r="Z7" i="9"/>
  <c r="Y7" i="9"/>
  <c r="X7" i="9"/>
  <c r="W7" i="9"/>
  <c r="V7" i="9"/>
  <c r="U7" i="9"/>
  <c r="T7" i="9"/>
  <c r="S7" i="9"/>
  <c r="R7" i="9"/>
  <c r="Q7" i="9"/>
  <c r="P7" i="9"/>
  <c r="O7" i="9"/>
  <c r="AB6" i="9"/>
  <c r="AA6" i="9"/>
  <c r="Z6" i="9"/>
  <c r="Y6" i="9"/>
  <c r="X6" i="9"/>
  <c r="W6" i="9"/>
  <c r="V6" i="9"/>
  <c r="U6" i="9"/>
  <c r="T6" i="9"/>
  <c r="S6" i="9"/>
  <c r="R6" i="9"/>
  <c r="Q6" i="9"/>
  <c r="P6" i="9"/>
  <c r="O6" i="9"/>
  <c r="N10" i="9"/>
  <c r="N9" i="9"/>
  <c r="N8" i="9"/>
  <c r="N7" i="9"/>
  <c r="N6" i="9"/>
  <c r="K10" i="9"/>
  <c r="J10" i="9"/>
  <c r="I10" i="9"/>
  <c r="H10" i="9"/>
  <c r="G10" i="9"/>
  <c r="K9" i="9"/>
  <c r="J9" i="9"/>
  <c r="I9" i="9"/>
  <c r="H9" i="9"/>
  <c r="G9" i="9"/>
  <c r="K8" i="9"/>
  <c r="J8" i="9"/>
  <c r="I8" i="9"/>
  <c r="H8" i="9"/>
  <c r="G8" i="9"/>
  <c r="K7" i="9"/>
  <c r="J7" i="9"/>
  <c r="I7" i="9"/>
  <c r="H7" i="9"/>
  <c r="G7" i="9"/>
  <c r="K6" i="9"/>
  <c r="J6" i="9"/>
  <c r="I6" i="9"/>
  <c r="H6" i="9"/>
  <c r="G6" i="9"/>
  <c r="B10" i="9"/>
  <c r="B9" i="9"/>
  <c r="B8" i="9"/>
  <c r="B7" i="9"/>
  <c r="B6" i="9"/>
  <c r="AN113" i="8"/>
  <c r="AM113" i="8"/>
  <c r="AL113" i="8"/>
  <c r="AK113" i="8"/>
  <c r="AJ113" i="8"/>
  <c r="AI113" i="8"/>
  <c r="AH113" i="8"/>
  <c r="AG113" i="8"/>
  <c r="AF113" i="8"/>
  <c r="AE113" i="8"/>
  <c r="AO113" i="8"/>
  <c r="AN117" i="8"/>
  <c r="AM117" i="8"/>
  <c r="AL117" i="8"/>
  <c r="AK117" i="8"/>
  <c r="AJ117" i="8"/>
  <c r="AI117" i="8"/>
  <c r="AH117" i="8"/>
  <c r="AG117" i="8"/>
  <c r="AF117" i="8"/>
  <c r="AE117" i="8"/>
  <c r="AO117" i="8"/>
  <c r="AA124" i="8"/>
  <c r="W124" i="8"/>
  <c r="W33" i="9" s="1"/>
  <c r="S125" i="8"/>
  <c r="S34" i="9" s="1"/>
  <c r="S124" i="8"/>
  <c r="S33" i="9" s="1"/>
  <c r="O125" i="8"/>
  <c r="O34" i="9" s="1"/>
  <c r="O124" i="8"/>
  <c r="P124" i="8" s="1"/>
  <c r="P33" i="9" s="1"/>
  <c r="Y125" i="8"/>
  <c r="Y34" i="9" s="1"/>
  <c r="AA81" i="8"/>
  <c r="W81" i="8"/>
  <c r="X81" i="8" s="1"/>
  <c r="S81" i="8"/>
  <c r="U81" i="8" s="1"/>
  <c r="O81" i="8"/>
  <c r="P81" i="8" s="1"/>
  <c r="S80" i="8"/>
  <c r="U80" i="8" s="1"/>
  <c r="V80" i="8" s="1"/>
  <c r="Y80" i="8" s="1"/>
  <c r="Z80" i="8" s="1"/>
  <c r="O80" i="8"/>
  <c r="P80" i="8" s="1"/>
  <c r="Q80" i="8" s="1"/>
  <c r="AA79" i="8"/>
  <c r="W79" i="8"/>
  <c r="W28" i="9" s="1"/>
  <c r="S79" i="8"/>
  <c r="S28" i="9" s="1"/>
  <c r="O79" i="8"/>
  <c r="P79" i="8" s="1"/>
  <c r="P28" i="9" s="1"/>
  <c r="AA78" i="8"/>
  <c r="W78" i="8"/>
  <c r="X78" i="8" s="1"/>
  <c r="X24" i="9" s="1"/>
  <c r="S78" i="8"/>
  <c r="U78" i="8" s="1"/>
  <c r="U24" i="9" s="1"/>
  <c r="O78" i="8"/>
  <c r="P78" i="8" s="1"/>
  <c r="P24" i="9" s="1"/>
  <c r="G117" i="8"/>
  <c r="AB113" i="8"/>
  <c r="AA113" i="8"/>
  <c r="Z113" i="8"/>
  <c r="Y113" i="8"/>
  <c r="X113" i="8"/>
  <c r="W113" i="8"/>
  <c r="V113" i="8"/>
  <c r="U113" i="8"/>
  <c r="T113" i="8"/>
  <c r="S113" i="8"/>
  <c r="R113" i="8"/>
  <c r="Q113" i="8"/>
  <c r="P113" i="8"/>
  <c r="K113" i="8"/>
  <c r="J113" i="8"/>
  <c r="I113" i="8"/>
  <c r="N113" i="8" s="1"/>
  <c r="AO29" i="8"/>
  <c r="AO31" i="24" s="1"/>
  <c r="AN29" i="8"/>
  <c r="AN31" i="24" s="1"/>
  <c r="AM29" i="8"/>
  <c r="AM31" i="24" s="1"/>
  <c r="AL29" i="8"/>
  <c r="AK29" i="8"/>
  <c r="AK31" i="24" s="1"/>
  <c r="AJ29" i="8"/>
  <c r="AJ31" i="24" s="1"/>
  <c r="AI29" i="8"/>
  <c r="AI31" i="24" s="1"/>
  <c r="AH29" i="8"/>
  <c r="AH31" i="24" s="1"/>
  <c r="AG29" i="8"/>
  <c r="AG31" i="24" s="1"/>
  <c r="AF29" i="8"/>
  <c r="AF31" i="24" s="1"/>
  <c r="AE29" i="8"/>
  <c r="AE31" i="24" s="1"/>
  <c r="Q18" i="8"/>
  <c r="Q20" i="9" s="1"/>
  <c r="Q17" i="8"/>
  <c r="Q19" i="9" s="1"/>
  <c r="Y106" i="8"/>
  <c r="Y103" i="8"/>
  <c r="Y102" i="8"/>
  <c r="Y101" i="8"/>
  <c r="U106" i="8"/>
  <c r="U103" i="8"/>
  <c r="U102" i="8"/>
  <c r="U101" i="8"/>
  <c r="Q106" i="8"/>
  <c r="Q103" i="8"/>
  <c r="Q102" i="8"/>
  <c r="Q101" i="8"/>
  <c r="AA108" i="8"/>
  <c r="W108" i="8"/>
  <c r="X108" i="8" s="1"/>
  <c r="X43" i="9" s="1"/>
  <c r="S108" i="8"/>
  <c r="U108" i="8" s="1"/>
  <c r="U43" i="9" s="1"/>
  <c r="O108" i="8"/>
  <c r="P108" i="8" s="1"/>
  <c r="P43" i="9" s="1"/>
  <c r="Z107" i="8"/>
  <c r="V107" i="8"/>
  <c r="W107" i="8" s="1"/>
  <c r="X107" i="8" s="1"/>
  <c r="R107" i="8"/>
  <c r="S107" i="8" s="1"/>
  <c r="N107" i="8"/>
  <c r="O107" i="8" s="1"/>
  <c r="P107" i="8" s="1"/>
  <c r="AA105" i="8"/>
  <c r="W105" i="8"/>
  <c r="X105" i="8" s="1"/>
  <c r="X42" i="9" s="1"/>
  <c r="S105" i="8"/>
  <c r="U105" i="8" s="1"/>
  <c r="U42" i="9" s="1"/>
  <c r="O105" i="8"/>
  <c r="P105" i="8" s="1"/>
  <c r="P42" i="9" s="1"/>
  <c r="AA104" i="8"/>
  <c r="W104" i="8"/>
  <c r="X104" i="8" s="1"/>
  <c r="X41" i="9" s="1"/>
  <c r="S104" i="8"/>
  <c r="U104" i="8" s="1"/>
  <c r="O104" i="8"/>
  <c r="P104" i="8" s="1"/>
  <c r="Q104" i="8" s="1"/>
  <c r="AA102" i="8"/>
  <c r="AB101" i="8"/>
  <c r="Y96" i="8"/>
  <c r="U96" i="8"/>
  <c r="AA97" i="8"/>
  <c r="W97" i="8"/>
  <c r="X97" i="8" s="1"/>
  <c r="X39" i="9" s="1"/>
  <c r="S97" i="8"/>
  <c r="U97" i="8" s="1"/>
  <c r="U39" i="9" s="1"/>
  <c r="O97" i="8"/>
  <c r="P97" i="8" s="1"/>
  <c r="Q97" i="8" s="1"/>
  <c r="Q39" i="9" s="1"/>
  <c r="P96" i="8"/>
  <c r="Q96" i="8" s="1"/>
  <c r="AA95" i="8"/>
  <c r="W95" i="8"/>
  <c r="S95" i="8"/>
  <c r="U95" i="8" s="1"/>
  <c r="O95" i="8"/>
  <c r="P95" i="8" s="1"/>
  <c r="AA94" i="8"/>
  <c r="V94" i="8"/>
  <c r="W94" i="8" s="1"/>
  <c r="X94" i="8" s="1"/>
  <c r="R94" i="8"/>
  <c r="R38" i="9" s="1"/>
  <c r="N94" i="8"/>
  <c r="N38" i="9" s="1"/>
  <c r="AA93" i="8"/>
  <c r="W93" i="8"/>
  <c r="X93" i="8" s="1"/>
  <c r="X32" i="9" s="1"/>
  <c r="S93" i="8"/>
  <c r="U93" i="8" s="1"/>
  <c r="U32" i="9" s="1"/>
  <c r="O93" i="8"/>
  <c r="P93" i="8" s="1"/>
  <c r="Q93" i="8" s="1"/>
  <c r="Q32" i="9" s="1"/>
  <c r="Y88" i="8"/>
  <c r="AA89" i="8"/>
  <c r="W89" i="8"/>
  <c r="X89" i="8" s="1"/>
  <c r="S89" i="8"/>
  <c r="U89" i="8" s="1"/>
  <c r="O89" i="8"/>
  <c r="S88" i="8"/>
  <c r="O88" i="8"/>
  <c r="AA87" i="8"/>
  <c r="W87" i="8"/>
  <c r="X87" i="8" s="1"/>
  <c r="S87" i="8"/>
  <c r="U87" i="8" s="1"/>
  <c r="O87" i="8"/>
  <c r="AA86" i="8"/>
  <c r="V86" i="8"/>
  <c r="W86" i="8" s="1"/>
  <c r="R86" i="8"/>
  <c r="R35" i="9" s="1"/>
  <c r="N86" i="8"/>
  <c r="O86" i="8" s="1"/>
  <c r="AA85" i="8"/>
  <c r="W85" i="8"/>
  <c r="X85" i="8" s="1"/>
  <c r="S85" i="8"/>
  <c r="U85" i="8" s="1"/>
  <c r="O85" i="8"/>
  <c r="AA84" i="8"/>
  <c r="W84" i="8"/>
  <c r="X84" i="8" s="1"/>
  <c r="S84" i="8"/>
  <c r="U84" i="8" s="1"/>
  <c r="O84" i="8"/>
  <c r="Y64" i="8"/>
  <c r="Y63" i="8"/>
  <c r="Y62" i="8"/>
  <c r="Y59" i="8"/>
  <c r="Y58" i="8"/>
  <c r="Y53" i="8"/>
  <c r="Y15" i="24" s="1"/>
  <c r="Y52" i="8"/>
  <c r="Y14" i="24" s="1"/>
  <c r="Y51" i="8"/>
  <c r="U64" i="8"/>
  <c r="U63" i="8"/>
  <c r="U62" i="8"/>
  <c r="U59" i="8"/>
  <c r="U58" i="8"/>
  <c r="U53" i="8"/>
  <c r="U15" i="24" s="1"/>
  <c r="U52" i="8"/>
  <c r="U14" i="24" s="1"/>
  <c r="U51" i="8"/>
  <c r="Q64" i="8"/>
  <c r="Q63" i="8"/>
  <c r="Q62" i="8"/>
  <c r="Q59" i="8"/>
  <c r="Q58" i="8"/>
  <c r="Q53" i="8"/>
  <c r="Q15" i="24" s="1"/>
  <c r="Q52" i="8"/>
  <c r="Q14" i="24" s="1"/>
  <c r="Q51" i="8"/>
  <c r="N65" i="8"/>
  <c r="O65" i="8"/>
  <c r="P65" i="8"/>
  <c r="R65" i="8"/>
  <c r="S65" i="8"/>
  <c r="T65" i="8"/>
  <c r="V65" i="8"/>
  <c r="W65" i="8"/>
  <c r="X65" i="8"/>
  <c r="Z65" i="8"/>
  <c r="AA65" i="8"/>
  <c r="AB65" i="8"/>
  <c r="Y43" i="8"/>
  <c r="Y10" i="24" s="1"/>
  <c r="Y42" i="8"/>
  <c r="Y41" i="8"/>
  <c r="Y40" i="8"/>
  <c r="Y50" i="9" s="1"/>
  <c r="Y39" i="8"/>
  <c r="Y48" i="8"/>
  <c r="Y47" i="8"/>
  <c r="Y51" i="9" s="1"/>
  <c r="AM51" i="9" s="1"/>
  <c r="Y46" i="8"/>
  <c r="Y58" i="9" s="1"/>
  <c r="U43" i="8"/>
  <c r="U10" i="24" s="1"/>
  <c r="U42" i="8"/>
  <c r="U41" i="8"/>
  <c r="U40" i="8"/>
  <c r="U50" i="9" s="1"/>
  <c r="U39" i="8"/>
  <c r="U48" i="8"/>
  <c r="U47" i="8"/>
  <c r="U51" i="9" s="1"/>
  <c r="U46" i="8"/>
  <c r="U58" i="9" s="1"/>
  <c r="Q43" i="8"/>
  <c r="Q10" i="24" s="1"/>
  <c r="Q42" i="8"/>
  <c r="Q41" i="8"/>
  <c r="Q40" i="8"/>
  <c r="Q50" i="9" s="1"/>
  <c r="Q39" i="8"/>
  <c r="Q48" i="8"/>
  <c r="Q47" i="8"/>
  <c r="Q51" i="9" s="1"/>
  <c r="AE51" i="9" s="1"/>
  <c r="Q46" i="8"/>
  <c r="Q58" i="9" s="1"/>
  <c r="Z11" i="8"/>
  <c r="Z14" i="8" s="1"/>
  <c r="Z44" i="8"/>
  <c r="Z49" i="8" s="1"/>
  <c r="Z56" i="8"/>
  <c r="Z60" i="8" s="1"/>
  <c r="Z60" i="9" s="1"/>
  <c r="Z98" i="8"/>
  <c r="AL31" i="24" l="1"/>
  <c r="AL42" i="24" s="1"/>
  <c r="AR29" i="8"/>
  <c r="AC101" i="8"/>
  <c r="AP101" i="8"/>
  <c r="AB93" i="8"/>
  <c r="AB32" i="9" s="1"/>
  <c r="AB95" i="8"/>
  <c r="AC95" i="8" s="1"/>
  <c r="AA33" i="9"/>
  <c r="AQ19" i="9"/>
  <c r="AQ20" i="9"/>
  <c r="AB81" i="8"/>
  <c r="AC81" i="8" s="1"/>
  <c r="AB89" i="8"/>
  <c r="AC89" i="8" s="1"/>
  <c r="AA28" i="9"/>
  <c r="AB102" i="8"/>
  <c r="AB105" i="8"/>
  <c r="AB42" i="9" s="1"/>
  <c r="AB108" i="8"/>
  <c r="AB43" i="9" s="1"/>
  <c r="AB94" i="8"/>
  <c r="AC94" i="8" s="1"/>
  <c r="AQ34" i="9"/>
  <c r="AB78" i="8"/>
  <c r="AB24" i="9" s="1"/>
  <c r="AC78" i="8"/>
  <c r="AB84" i="8"/>
  <c r="AC84" i="8" s="1"/>
  <c r="AB86" i="8"/>
  <c r="AC86" i="8" s="1"/>
  <c r="AB85" i="8"/>
  <c r="AB87" i="8"/>
  <c r="AC87" i="8" s="1"/>
  <c r="AB97" i="8"/>
  <c r="AB39" i="9" s="1"/>
  <c r="AB104" i="8"/>
  <c r="AB41" i="9" s="1"/>
  <c r="AA107" i="8"/>
  <c r="AB107" i="8" s="1"/>
  <c r="AA80" i="8"/>
  <c r="AC80" i="8"/>
  <c r="AQ15" i="9"/>
  <c r="AQ8" i="9"/>
  <c r="AQ7" i="9"/>
  <c r="AQ6" i="9"/>
  <c r="AQ10" i="9"/>
  <c r="K52" i="9"/>
  <c r="L44" i="9"/>
  <c r="L45" i="9" s="1"/>
  <c r="P87" i="8"/>
  <c r="Q87" i="8" s="1"/>
  <c r="P89" i="8"/>
  <c r="Q89" i="8" s="1"/>
  <c r="P84" i="8"/>
  <c r="Q84" i="8" s="1"/>
  <c r="P86" i="8"/>
  <c r="Q86" i="8" s="1"/>
  <c r="D60" i="9"/>
  <c r="D59" i="9"/>
  <c r="Q57" i="9"/>
  <c r="Q9" i="24"/>
  <c r="V71" i="9"/>
  <c r="V32" i="24"/>
  <c r="U56" i="9"/>
  <c r="U13" i="24"/>
  <c r="AI53" i="24"/>
  <c r="AI42" i="24"/>
  <c r="T71" i="9"/>
  <c r="T32" i="24"/>
  <c r="Y56" i="9"/>
  <c r="Y13" i="24"/>
  <c r="AJ42" i="24"/>
  <c r="AJ53" i="24"/>
  <c r="F60" i="9"/>
  <c r="F59" i="9"/>
  <c r="Y57" i="9"/>
  <c r="Y9" i="24"/>
  <c r="AK42" i="24"/>
  <c r="AK53" i="24"/>
  <c r="D71" i="9"/>
  <c r="D72" i="9" s="1"/>
  <c r="D81" i="9" s="1"/>
  <c r="D32" i="24"/>
  <c r="D44" i="8"/>
  <c r="D49" i="8" s="1"/>
  <c r="D10" i="24"/>
  <c r="D11" i="24" s="1"/>
  <c r="D18" i="24" s="1"/>
  <c r="U57" i="9"/>
  <c r="U9" i="24"/>
  <c r="S71" i="9"/>
  <c r="S32" i="24"/>
  <c r="Q68" i="9"/>
  <c r="AE68" i="9" s="1"/>
  <c r="Q51" i="24"/>
  <c r="Q57" i="24" s="1"/>
  <c r="AB71" i="9"/>
  <c r="AP71" i="9" s="1"/>
  <c r="AB32" i="24"/>
  <c r="R71" i="9"/>
  <c r="R32" i="24"/>
  <c r="U64" i="9"/>
  <c r="U51" i="24"/>
  <c r="U88" i="8"/>
  <c r="E71" i="9"/>
  <c r="E72" i="9" s="1"/>
  <c r="E81" i="9" s="1"/>
  <c r="E32" i="24"/>
  <c r="P88" i="8"/>
  <c r="AA71" i="9"/>
  <c r="AA32" i="24"/>
  <c r="P71" i="9"/>
  <c r="P32" i="24"/>
  <c r="Y68" i="9"/>
  <c r="Y51" i="24"/>
  <c r="Y57" i="24" s="1"/>
  <c r="AE42" i="24"/>
  <c r="AE53" i="24"/>
  <c r="AM42" i="24"/>
  <c r="AM53" i="24"/>
  <c r="F71" i="9"/>
  <c r="F72" i="9" s="1"/>
  <c r="F81" i="9" s="1"/>
  <c r="F32" i="24"/>
  <c r="AF42" i="24"/>
  <c r="AF53" i="24"/>
  <c r="AN42" i="24"/>
  <c r="AN53" i="24"/>
  <c r="C60" i="9"/>
  <c r="C59" i="9"/>
  <c r="U49" i="9"/>
  <c r="U52" i="9" s="1"/>
  <c r="U41" i="24"/>
  <c r="Y49" i="9"/>
  <c r="Y52" i="9" s="1"/>
  <c r="Y41" i="24"/>
  <c r="Z71" i="9"/>
  <c r="Z32" i="24"/>
  <c r="O71" i="9"/>
  <c r="O32" i="24"/>
  <c r="X71" i="9"/>
  <c r="X32" i="24"/>
  <c r="N71" i="9"/>
  <c r="N32" i="24"/>
  <c r="AG42" i="24"/>
  <c r="AG53" i="24"/>
  <c r="AO42" i="24"/>
  <c r="AO53" i="24"/>
  <c r="C71" i="9"/>
  <c r="C72" i="9" s="1"/>
  <c r="C81" i="9" s="1"/>
  <c r="C32" i="24"/>
  <c r="E60" i="9"/>
  <c r="E59" i="9"/>
  <c r="Q49" i="9"/>
  <c r="Q52" i="9" s="1"/>
  <c r="Q41" i="24"/>
  <c r="Q55" i="9"/>
  <c r="Q8" i="24"/>
  <c r="U55" i="9"/>
  <c r="U8" i="24"/>
  <c r="Y55" i="9"/>
  <c r="Y8" i="24"/>
  <c r="W71" i="9"/>
  <c r="W32" i="24"/>
  <c r="Q56" i="9"/>
  <c r="Q13" i="24"/>
  <c r="AH42" i="24"/>
  <c r="AH53" i="24"/>
  <c r="K20" i="10"/>
  <c r="K21" i="10"/>
  <c r="K22" i="10"/>
  <c r="K19" i="10"/>
  <c r="U20" i="10"/>
  <c r="U22" i="10"/>
  <c r="U19" i="10"/>
  <c r="U21" i="10"/>
  <c r="G19" i="10"/>
  <c r="G21" i="10"/>
  <c r="G20" i="10"/>
  <c r="G22" i="10"/>
  <c r="N22" i="10"/>
  <c r="N19" i="10"/>
  <c r="N21" i="10"/>
  <c r="N20" i="10"/>
  <c r="V22" i="10"/>
  <c r="V19" i="10"/>
  <c r="V20" i="10"/>
  <c r="V21" i="10"/>
  <c r="H21" i="10"/>
  <c r="H22" i="10"/>
  <c r="H20" i="10"/>
  <c r="H19" i="10"/>
  <c r="O22" i="10"/>
  <c r="O19" i="10"/>
  <c r="O21" i="10"/>
  <c r="O20" i="10"/>
  <c r="W22" i="10"/>
  <c r="W19" i="10"/>
  <c r="W21" i="10"/>
  <c r="W20" i="10"/>
  <c r="I19" i="10"/>
  <c r="I20" i="10"/>
  <c r="I22" i="10"/>
  <c r="I21" i="10"/>
  <c r="P19" i="10"/>
  <c r="P22" i="10"/>
  <c r="P21" i="10"/>
  <c r="P20" i="10"/>
  <c r="X19" i="10"/>
  <c r="X20" i="10"/>
  <c r="X21" i="10"/>
  <c r="X22" i="10"/>
  <c r="J20" i="10"/>
  <c r="J22" i="10"/>
  <c r="J19" i="10"/>
  <c r="J21" i="10"/>
  <c r="Q21" i="10"/>
  <c r="Q20" i="10"/>
  <c r="Q22" i="10"/>
  <c r="Q19" i="10"/>
  <c r="Y21" i="10"/>
  <c r="Y19" i="10"/>
  <c r="Y20" i="10"/>
  <c r="Y22" i="10"/>
  <c r="R21" i="10"/>
  <c r="R22" i="10"/>
  <c r="R20" i="10"/>
  <c r="R19" i="10"/>
  <c r="Z21" i="10"/>
  <c r="Z20" i="10"/>
  <c r="Z22" i="10"/>
  <c r="Z19" i="10"/>
  <c r="S19" i="10"/>
  <c r="S20" i="10"/>
  <c r="S21" i="10"/>
  <c r="S22" i="10"/>
  <c r="AA20" i="10"/>
  <c r="AA21" i="10"/>
  <c r="AA22" i="10"/>
  <c r="AA19" i="10"/>
  <c r="T20" i="10"/>
  <c r="T22" i="10"/>
  <c r="T19" i="10"/>
  <c r="T21" i="10"/>
  <c r="AB20" i="10"/>
  <c r="AB22" i="10"/>
  <c r="AB19" i="10"/>
  <c r="AB21" i="10"/>
  <c r="G18" i="10"/>
  <c r="N18" i="10"/>
  <c r="V18" i="10"/>
  <c r="H18" i="10"/>
  <c r="O18" i="10"/>
  <c r="W18" i="10"/>
  <c r="I18" i="10"/>
  <c r="U18" i="10"/>
  <c r="P18" i="10"/>
  <c r="X18" i="10"/>
  <c r="J18" i="10"/>
  <c r="Q18" i="10"/>
  <c r="Y18" i="10"/>
  <c r="R18" i="10"/>
  <c r="Z18" i="10"/>
  <c r="K18" i="10"/>
  <c r="S18" i="10"/>
  <c r="AA18" i="10"/>
  <c r="T18" i="10"/>
  <c r="AB18" i="10"/>
  <c r="AL8" i="9"/>
  <c r="O52" i="9"/>
  <c r="D14" i="8"/>
  <c r="D15" i="8" s="1"/>
  <c r="D15" i="10"/>
  <c r="E14" i="8"/>
  <c r="E15" i="8" s="1"/>
  <c r="E15" i="10"/>
  <c r="Z52" i="9"/>
  <c r="F14" i="8"/>
  <c r="F19" i="8" s="1"/>
  <c r="F15" i="10"/>
  <c r="C14" i="8"/>
  <c r="C15" i="8" s="1"/>
  <c r="C15" i="10"/>
  <c r="AP7" i="9"/>
  <c r="N52" i="9"/>
  <c r="X52" i="9"/>
  <c r="V52" i="9"/>
  <c r="W52" i="9"/>
  <c r="R52" i="9"/>
  <c r="G52" i="9"/>
  <c r="T52" i="9"/>
  <c r="P52" i="9"/>
  <c r="AA52" i="9"/>
  <c r="AI51" i="9"/>
  <c r="AP49" i="9"/>
  <c r="AP52" i="9" s="1"/>
  <c r="AB52" i="9"/>
  <c r="S52" i="9"/>
  <c r="U68" i="9"/>
  <c r="AI68" i="9" s="1"/>
  <c r="AH7" i="9"/>
  <c r="AJ8" i="9"/>
  <c r="AL9" i="9"/>
  <c r="AF10" i="9"/>
  <c r="AN10" i="9"/>
  <c r="J11" i="9"/>
  <c r="AE10" i="9"/>
  <c r="V11" i="9"/>
  <c r="AG7" i="9"/>
  <c r="AO7" i="9"/>
  <c r="AI8" i="9"/>
  <c r="T11" i="9"/>
  <c r="AB11" i="9"/>
  <c r="AC13" i="9" s="1"/>
  <c r="AM10" i="9"/>
  <c r="Q64" i="9"/>
  <c r="Y64" i="9"/>
  <c r="O11" i="9"/>
  <c r="W11" i="9"/>
  <c r="P11" i="9"/>
  <c r="X11" i="9"/>
  <c r="AI7" i="9"/>
  <c r="AM9" i="9"/>
  <c r="AS9" i="9" s="1"/>
  <c r="AG10" i="9"/>
  <c r="AO10" i="9"/>
  <c r="G11" i="9"/>
  <c r="G12" i="9" s="1"/>
  <c r="Q11" i="9"/>
  <c r="AP6" i="9"/>
  <c r="AJ7" i="9"/>
  <c r="AF9" i="9"/>
  <c r="AN9" i="9"/>
  <c r="AH10" i="9"/>
  <c r="AP10" i="9"/>
  <c r="H11" i="9"/>
  <c r="N11" i="9"/>
  <c r="R11" i="9"/>
  <c r="Z11" i="9"/>
  <c r="AK7" i="9"/>
  <c r="AM8" i="9"/>
  <c r="AS8" i="9" s="1"/>
  <c r="AI10" i="9"/>
  <c r="AE7" i="9"/>
  <c r="AL7" i="9"/>
  <c r="AF8" i="9"/>
  <c r="AN8" i="9"/>
  <c r="AJ10" i="9"/>
  <c r="AE8" i="9"/>
  <c r="AM7" i="9"/>
  <c r="AG8" i="9"/>
  <c r="AO8" i="9"/>
  <c r="AI9" i="9"/>
  <c r="AK8" i="9"/>
  <c r="K11" i="9"/>
  <c r="L12" i="9" s="1"/>
  <c r="I11" i="9"/>
  <c r="AE9" i="9"/>
  <c r="AK6" i="9"/>
  <c r="AF7" i="9"/>
  <c r="AN7" i="9"/>
  <c r="AH8" i="9"/>
  <c r="AP8" i="9"/>
  <c r="AH9" i="9"/>
  <c r="AP9" i="9"/>
  <c r="AK10" i="9"/>
  <c r="AB40" i="9"/>
  <c r="C49" i="8"/>
  <c r="Q40" i="9"/>
  <c r="N35" i="9"/>
  <c r="C66" i="8"/>
  <c r="U41" i="9"/>
  <c r="Q41" i="9"/>
  <c r="F66" i="8"/>
  <c r="F68" i="8" s="1"/>
  <c r="E66" i="8"/>
  <c r="E68" i="8" s="1"/>
  <c r="D66" i="8"/>
  <c r="D19" i="8"/>
  <c r="AB38" i="9"/>
  <c r="Z59" i="9"/>
  <c r="AO68" i="9"/>
  <c r="Q78" i="8"/>
  <c r="Q24" i="9" s="1"/>
  <c r="X79" i="8"/>
  <c r="X28" i="9" s="1"/>
  <c r="AG68" i="9"/>
  <c r="Y40" i="9"/>
  <c r="AB79" i="8"/>
  <c r="AB28" i="9" s="1"/>
  <c r="W24" i="9"/>
  <c r="AP34" i="9"/>
  <c r="U40" i="9"/>
  <c r="Y78" i="8"/>
  <c r="Y24" i="9" s="1"/>
  <c r="U79" i="8"/>
  <c r="U28" i="9" s="1"/>
  <c r="Y81" i="8"/>
  <c r="V38" i="9"/>
  <c r="AF68" i="9"/>
  <c r="AN68" i="9"/>
  <c r="O24" i="9"/>
  <c r="O32" i="9"/>
  <c r="W32" i="9"/>
  <c r="AA35" i="9"/>
  <c r="W38" i="9"/>
  <c r="S39" i="9"/>
  <c r="AA39" i="9"/>
  <c r="S41" i="9"/>
  <c r="AA41" i="9"/>
  <c r="O42" i="9"/>
  <c r="W42" i="9"/>
  <c r="S43" i="9"/>
  <c r="AA43" i="9"/>
  <c r="T125" i="8"/>
  <c r="P32" i="9"/>
  <c r="Q124" i="8"/>
  <c r="Q33" i="9" s="1"/>
  <c r="T124" i="8"/>
  <c r="O33" i="9"/>
  <c r="X124" i="8"/>
  <c r="X33" i="9" s="1"/>
  <c r="S24" i="9"/>
  <c r="AA24" i="9"/>
  <c r="O28" i="9"/>
  <c r="S32" i="9"/>
  <c r="AA32" i="9"/>
  <c r="O35" i="9"/>
  <c r="W35" i="9"/>
  <c r="AA38" i="9"/>
  <c r="O39" i="9"/>
  <c r="W39" i="9"/>
  <c r="AA40" i="9"/>
  <c r="O41" i="9"/>
  <c r="W41" i="9"/>
  <c r="S42" i="9"/>
  <c r="AA42" i="9"/>
  <c r="O43" i="9"/>
  <c r="W43" i="9"/>
  <c r="V35" i="9"/>
  <c r="Q81" i="8"/>
  <c r="P125" i="8"/>
  <c r="P34" i="9" s="1"/>
  <c r="P39" i="9"/>
  <c r="P41" i="9"/>
  <c r="AL68" i="9"/>
  <c r="Q79" i="8"/>
  <c r="Q28" i="9" s="1"/>
  <c r="AB124" i="8"/>
  <c r="AB33" i="9" s="1"/>
  <c r="Z15" i="10"/>
  <c r="G69" i="9"/>
  <c r="AA11" i="9"/>
  <c r="AL10" i="9"/>
  <c r="AK68" i="9"/>
  <c r="AH6" i="9"/>
  <c r="Y11" i="9"/>
  <c r="AC12" i="9" s="1"/>
  <c r="AJ6" i="9"/>
  <c r="AO9" i="9"/>
  <c r="AI6" i="9"/>
  <c r="AG9" i="9"/>
  <c r="AL6" i="9"/>
  <c r="AM68" i="9"/>
  <c r="U11" i="9"/>
  <c r="S11" i="9"/>
  <c r="AH68" i="9"/>
  <c r="AP68" i="9"/>
  <c r="AP69" i="9" s="1"/>
  <c r="AE6" i="9"/>
  <c r="AM6" i="9"/>
  <c r="AJ9" i="9"/>
  <c r="AF6" i="9"/>
  <c r="AN6" i="9"/>
  <c r="AK9" i="9"/>
  <c r="AJ68" i="9"/>
  <c r="AG6" i="9"/>
  <c r="AO6" i="9"/>
  <c r="S94" i="8"/>
  <c r="Y104" i="8"/>
  <c r="Y41" i="9" s="1"/>
  <c r="Y107" i="8"/>
  <c r="Q105" i="8"/>
  <c r="Q42" i="9" s="1"/>
  <c r="Q107" i="8"/>
  <c r="Y105" i="8"/>
  <c r="Y42" i="9" s="1"/>
  <c r="Y94" i="8"/>
  <c r="Q108" i="8"/>
  <c r="Q43" i="9" s="1"/>
  <c r="U107" i="8"/>
  <c r="Z109" i="8"/>
  <c r="Y108" i="8"/>
  <c r="Y43" i="9" s="1"/>
  <c r="X95" i="8"/>
  <c r="Y95" i="8" s="1"/>
  <c r="Y97" i="8"/>
  <c r="Y39" i="9" s="1"/>
  <c r="Q95" i="8"/>
  <c r="Y93" i="8"/>
  <c r="Y32" i="9" s="1"/>
  <c r="O94" i="8"/>
  <c r="Y87" i="8"/>
  <c r="Y85" i="8"/>
  <c r="Y89" i="8"/>
  <c r="X86" i="8"/>
  <c r="Y86" i="8" s="1"/>
  <c r="Q65" i="8"/>
  <c r="P85" i="8"/>
  <c r="Q85" i="8" s="1"/>
  <c r="S86" i="8"/>
  <c r="U86" i="8" s="1"/>
  <c r="Y84" i="8"/>
  <c r="U65" i="8"/>
  <c r="Y65" i="8"/>
  <c r="Z66" i="8"/>
  <c r="Z68" i="8" s="1"/>
  <c r="Z15" i="8"/>
  <c r="Z19" i="8"/>
  <c r="Z23" i="8" s="1"/>
  <c r="AP95" i="8" l="1"/>
  <c r="AP89" i="8"/>
  <c r="AC38" i="9"/>
  <c r="AQ38" i="9" s="1"/>
  <c r="AC108" i="8"/>
  <c r="AC43" i="9" s="1"/>
  <c r="AQ43" i="9" s="1"/>
  <c r="AP80" i="8"/>
  <c r="AP87" i="8"/>
  <c r="AC104" i="8"/>
  <c r="AC41" i="9" s="1"/>
  <c r="AQ41" i="9" s="1"/>
  <c r="AP86" i="8"/>
  <c r="AC97" i="8"/>
  <c r="AC39" i="9" s="1"/>
  <c r="AQ39" i="9" s="1"/>
  <c r="AP84" i="8"/>
  <c r="AP81" i="8"/>
  <c r="AC102" i="8"/>
  <c r="AC40" i="9" s="1"/>
  <c r="AQ40" i="9" s="1"/>
  <c r="AC124" i="8"/>
  <c r="AC33" i="9" s="1"/>
  <c r="AQ33" i="9" s="1"/>
  <c r="AP97" i="8"/>
  <c r="AL53" i="24"/>
  <c r="AC107" i="8"/>
  <c r="AP107" i="8" s="1"/>
  <c r="AC85" i="8"/>
  <c r="AP85" i="8" s="1"/>
  <c r="AB35" i="9"/>
  <c r="AC93" i="8"/>
  <c r="AP93" i="8" s="1"/>
  <c r="AP94" i="8"/>
  <c r="AP78" i="8"/>
  <c r="AC79" i="8"/>
  <c r="AC28" i="9" s="1"/>
  <c r="AQ28" i="9" s="1"/>
  <c r="AC24" i="9"/>
  <c r="AC25" i="9" s="1"/>
  <c r="AC105" i="8"/>
  <c r="AC42" i="9" s="1"/>
  <c r="AQ42" i="9" s="1"/>
  <c r="AS10" i="9"/>
  <c r="AQ11" i="9"/>
  <c r="AS6" i="9"/>
  <c r="AS7" i="9"/>
  <c r="D68" i="8"/>
  <c r="Q88" i="8"/>
  <c r="Q58" i="24"/>
  <c r="Q60" i="24" s="1"/>
  <c r="Q52" i="24"/>
  <c r="Q54" i="24" s="1"/>
  <c r="Q43" i="24"/>
  <c r="Q46" i="24"/>
  <c r="Q48" i="24" s="1"/>
  <c r="Y71" i="9"/>
  <c r="Y32" i="24"/>
  <c r="F15" i="8"/>
  <c r="V37" i="24"/>
  <c r="V38" i="24" s="1"/>
  <c r="V33" i="24"/>
  <c r="W37" i="24"/>
  <c r="W38" i="24" s="1"/>
  <c r="W33" i="24"/>
  <c r="S37" i="24"/>
  <c r="S38" i="24" s="1"/>
  <c r="S33" i="24"/>
  <c r="Y16" i="24"/>
  <c r="Z25" i="24" a="1"/>
  <c r="Z25" i="24" s="1"/>
  <c r="U71" i="9"/>
  <c r="U32" i="24"/>
  <c r="Q71" i="9"/>
  <c r="Q32" i="24"/>
  <c r="Y11" i="24"/>
  <c r="Z22" i="24" a="1"/>
  <c r="Z22" i="24" s="1"/>
  <c r="N37" i="24"/>
  <c r="N38" i="24" s="1"/>
  <c r="N33" i="24"/>
  <c r="Y58" i="24"/>
  <c r="Y60" i="24" s="1"/>
  <c r="Y43" i="24"/>
  <c r="Y46" i="24"/>
  <c r="Y48" i="24" s="1"/>
  <c r="Y52" i="24"/>
  <c r="Y54" i="24" s="1"/>
  <c r="E37" i="24"/>
  <c r="E38" i="24" s="1"/>
  <c r="E33" i="24"/>
  <c r="R37" i="24"/>
  <c r="R38" i="24" s="1"/>
  <c r="R33" i="24"/>
  <c r="V24" i="24" a="1"/>
  <c r="V24" i="24" s="1"/>
  <c r="V23" i="24"/>
  <c r="Z24" i="24" a="1"/>
  <c r="Z24" i="24" s="1"/>
  <c r="Z23" i="24"/>
  <c r="T37" i="24"/>
  <c r="T38" i="24" s="1"/>
  <c r="T33" i="24"/>
  <c r="V25" i="24" a="1"/>
  <c r="V25" i="24" s="1"/>
  <c r="U16" i="24"/>
  <c r="R24" i="24" a="1"/>
  <c r="R24" i="24" s="1"/>
  <c r="R23" i="24"/>
  <c r="Z37" i="24"/>
  <c r="Z38" i="24" s="1"/>
  <c r="Z33" i="24"/>
  <c r="V22" i="24" a="1"/>
  <c r="V22" i="24" s="1"/>
  <c r="U11" i="24"/>
  <c r="C37" i="24"/>
  <c r="C38" i="24" s="1"/>
  <c r="C33" i="24"/>
  <c r="X37" i="24"/>
  <c r="X38" i="24" s="1"/>
  <c r="X33" i="24"/>
  <c r="U46" i="24"/>
  <c r="U48" i="24" s="1"/>
  <c r="U43" i="24"/>
  <c r="F37" i="24"/>
  <c r="F38" i="24" s="1"/>
  <c r="F33" i="24"/>
  <c r="P37" i="24"/>
  <c r="P38" i="24" s="1"/>
  <c r="P33" i="24"/>
  <c r="AB37" i="24"/>
  <c r="AB38" i="24" s="1"/>
  <c r="AB33" i="24"/>
  <c r="E19" i="24"/>
  <c r="D19" i="24"/>
  <c r="U35" i="9"/>
  <c r="U52" i="24"/>
  <c r="U54" i="24" s="1"/>
  <c r="U57" i="24"/>
  <c r="U58" i="24" s="1"/>
  <c r="U60" i="24" s="1"/>
  <c r="Q16" i="24"/>
  <c r="R25" i="24" a="1"/>
  <c r="R25" i="24" s="1"/>
  <c r="Q11" i="24"/>
  <c r="R22" i="24" a="1"/>
  <c r="R22" i="24" s="1"/>
  <c r="O37" i="24"/>
  <c r="O38" i="24" s="1"/>
  <c r="O33" i="24"/>
  <c r="AA37" i="24"/>
  <c r="AA38" i="24" s="1"/>
  <c r="AA33" i="24"/>
  <c r="D37" i="24"/>
  <c r="D38" i="24" s="1"/>
  <c r="D33" i="24"/>
  <c r="AE11" i="9"/>
  <c r="E19" i="8"/>
  <c r="E23" i="8" s="1"/>
  <c r="E26" i="8" s="1"/>
  <c r="C19" i="8"/>
  <c r="C23" i="8" s="1"/>
  <c r="C26" i="8" s="1"/>
  <c r="AK11" i="9"/>
  <c r="C68" i="8"/>
  <c r="AP72" i="9"/>
  <c r="AP81" i="9" s="1"/>
  <c r="Y79" i="8"/>
  <c r="Y28" i="9" s="1"/>
  <c r="AP28" i="9" s="1"/>
  <c r="AF11" i="9"/>
  <c r="AH11" i="9"/>
  <c r="AM11" i="9"/>
  <c r="AP11" i="9"/>
  <c r="AI11" i="9"/>
  <c r="AP40" i="9"/>
  <c r="AN11" i="9"/>
  <c r="AP42" i="9"/>
  <c r="D23" i="8"/>
  <c r="D26" i="8" s="1"/>
  <c r="D20" i="8"/>
  <c r="F20" i="8"/>
  <c r="F23" i="8"/>
  <c r="F26" i="8" s="1"/>
  <c r="AP24" i="9"/>
  <c r="S35" i="9"/>
  <c r="AP41" i="9"/>
  <c r="U94" i="8"/>
  <c r="U38" i="9" s="1"/>
  <c r="S38" i="9"/>
  <c r="P94" i="8"/>
  <c r="P38" i="9" s="1"/>
  <c r="O38" i="9"/>
  <c r="U124" i="8"/>
  <c r="U33" i="9" s="1"/>
  <c r="T33" i="9"/>
  <c r="AP32" i="9"/>
  <c r="Y38" i="9"/>
  <c r="AP38" i="9" s="1"/>
  <c r="Q125" i="8"/>
  <c r="Q34" i="9" s="1"/>
  <c r="X35" i="9"/>
  <c r="AP39" i="9"/>
  <c r="Y124" i="8"/>
  <c r="Y33" i="9" s="1"/>
  <c r="AP33" i="9" s="1"/>
  <c r="X38" i="9"/>
  <c r="Q35" i="9"/>
  <c r="Y35" i="9"/>
  <c r="AP35" i="9" s="1"/>
  <c r="AP43" i="9"/>
  <c r="T34" i="9"/>
  <c r="U125" i="8"/>
  <c r="U34" i="9" s="1"/>
  <c r="P35" i="9"/>
  <c r="AO11" i="9"/>
  <c r="AG11" i="9"/>
  <c r="AL11" i="9"/>
  <c r="AJ11" i="9"/>
  <c r="Z20" i="8"/>
  <c r="Z26" i="8"/>
  <c r="AP104" i="8" l="1"/>
  <c r="AP79" i="8"/>
  <c r="AP108" i="8"/>
  <c r="AP124" i="8"/>
  <c r="AC32" i="9"/>
  <c r="AQ32" i="9" s="1"/>
  <c r="AC98" i="8"/>
  <c r="AP98" i="8"/>
  <c r="AP102" i="8"/>
  <c r="AP105" i="8"/>
  <c r="AC35" i="9"/>
  <c r="AQ35" i="9" s="1"/>
  <c r="AC90" i="8"/>
  <c r="AC29" i="9"/>
  <c r="AC26" i="9"/>
  <c r="AQ24" i="9"/>
  <c r="AC109" i="8"/>
  <c r="AS11" i="9"/>
  <c r="AQ16" i="9"/>
  <c r="AQ12" i="9"/>
  <c r="E20" i="8"/>
  <c r="U18" i="24"/>
  <c r="U19" i="24" s="1"/>
  <c r="C20" i="8"/>
  <c r="Y18" i="24"/>
  <c r="Y19" i="24" s="1"/>
  <c r="R26" i="24"/>
  <c r="Q18" i="24"/>
  <c r="R19" i="24" s="1"/>
  <c r="U37" i="24"/>
  <c r="U38" i="24" s="1"/>
  <c r="U33" i="24"/>
  <c r="Y37" i="24"/>
  <c r="Y38" i="24" s="1"/>
  <c r="Y33" i="24"/>
  <c r="Q37" i="24"/>
  <c r="Q38" i="24" s="1"/>
  <c r="Q33" i="24"/>
  <c r="V26" i="24"/>
  <c r="Z26" i="24"/>
  <c r="C75" i="8"/>
  <c r="C33" i="8"/>
  <c r="C30" i="8"/>
  <c r="C27" i="8"/>
  <c r="F27" i="8"/>
  <c r="F75" i="8"/>
  <c r="F33" i="8"/>
  <c r="F30" i="8"/>
  <c r="D30" i="8"/>
  <c r="D27" i="8"/>
  <c r="D75" i="8"/>
  <c r="D33" i="8"/>
  <c r="E27" i="8"/>
  <c r="E75" i="8"/>
  <c r="E33" i="8"/>
  <c r="E30" i="8"/>
  <c r="Q94" i="8"/>
  <c r="Q38" i="9" s="1"/>
  <c r="Z30" i="8"/>
  <c r="Z33" i="8"/>
  <c r="Z75" i="8"/>
  <c r="Z27" i="8"/>
  <c r="AC118" i="8" l="1"/>
  <c r="AP109" i="8"/>
  <c r="Z90" i="8"/>
  <c r="Z118" i="8" s="1"/>
  <c r="V19" i="24"/>
  <c r="Z19" i="24"/>
  <c r="AC30" i="9"/>
  <c r="AC36" i="9"/>
  <c r="AC44" i="9" s="1"/>
  <c r="AC45" i="9" s="1"/>
  <c r="C90" i="8"/>
  <c r="C118" i="8" s="1"/>
  <c r="C119" i="8" s="1"/>
  <c r="C121" i="8" s="1"/>
  <c r="F90" i="8"/>
  <c r="F118" i="8" s="1"/>
  <c r="D90" i="8"/>
  <c r="D118" i="8" s="1"/>
  <c r="E90" i="8"/>
  <c r="E118" i="8" s="1"/>
  <c r="AQ21" i="9"/>
  <c r="AQ17" i="9"/>
  <c r="Q19" i="24"/>
  <c r="D112" i="8" l="1"/>
  <c r="D114" i="8" s="1"/>
  <c r="D119" i="8" s="1"/>
  <c r="AQ25" i="9"/>
  <c r="AQ22" i="9"/>
  <c r="D121" i="8"/>
  <c r="E112" i="8"/>
  <c r="E114" i="8" s="1"/>
  <c r="E119" i="8" s="1"/>
  <c r="E121" i="8" s="1"/>
  <c r="AQ29" i="9" l="1"/>
  <c r="AQ26" i="9"/>
  <c r="F112" i="8"/>
  <c r="F114" i="8" s="1"/>
  <c r="F119" i="8" s="1"/>
  <c r="F121" i="8" s="1"/>
  <c r="AE64" i="8"/>
  <c r="AE63" i="8"/>
  <c r="AE62" i="8"/>
  <c r="AE59" i="8"/>
  <c r="AE58" i="8"/>
  <c r="AE55" i="8"/>
  <c r="AE53" i="8"/>
  <c r="AE15" i="24" s="1"/>
  <c r="AE52" i="8"/>
  <c r="AE14" i="24" s="1"/>
  <c r="AE51" i="8"/>
  <c r="AE13" i="24" s="1"/>
  <c r="AE48" i="8"/>
  <c r="AE47" i="8"/>
  <c r="AE46" i="8"/>
  <c r="AE43" i="8"/>
  <c r="AE10" i="24" s="1"/>
  <c r="AE42" i="8"/>
  <c r="AE9" i="24" s="1"/>
  <c r="AE41" i="8"/>
  <c r="AE8" i="24" s="1"/>
  <c r="AE40" i="8"/>
  <c r="AE39" i="8"/>
  <c r="AE32" i="8"/>
  <c r="AE36" i="24" s="1"/>
  <c r="AO57" i="9"/>
  <c r="AN57" i="9"/>
  <c r="AM57" i="9"/>
  <c r="AL57" i="9"/>
  <c r="AK57" i="9"/>
  <c r="AE102" i="8"/>
  <c r="AK94" i="8"/>
  <c r="AN32" i="8"/>
  <c r="AN36" i="24" s="1"/>
  <c r="AM32" i="8"/>
  <c r="AM36" i="24" s="1"/>
  <c r="AL32" i="8"/>
  <c r="AK32" i="8"/>
  <c r="AK36" i="24" s="1"/>
  <c r="AJ32" i="8"/>
  <c r="AJ36" i="24" s="1"/>
  <c r="AI32" i="8"/>
  <c r="AI36" i="24" s="1"/>
  <c r="AH32" i="8"/>
  <c r="AH36" i="24" s="1"/>
  <c r="AG32" i="8"/>
  <c r="AG36" i="24" s="1"/>
  <c r="AF32" i="8"/>
  <c r="AF36" i="24" s="1"/>
  <c r="AO32" i="8"/>
  <c r="AO36" i="24" s="1"/>
  <c r="AK64" i="8"/>
  <c r="AJ64" i="8"/>
  <c r="AI64" i="8"/>
  <c r="AG64" i="8"/>
  <c r="AF64" i="8"/>
  <c r="AK63" i="8"/>
  <c r="AJ63" i="8"/>
  <c r="AI63" i="8"/>
  <c r="AG63" i="8"/>
  <c r="AF63" i="8"/>
  <c r="AK62" i="8"/>
  <c r="AJ62" i="8"/>
  <c r="AI62" i="8"/>
  <c r="AG62" i="8"/>
  <c r="AF62" i="8"/>
  <c r="AK59" i="8"/>
  <c r="AJ59" i="8"/>
  <c r="AI59" i="8"/>
  <c r="AG59" i="8"/>
  <c r="AF59" i="8"/>
  <c r="AK58" i="8"/>
  <c r="AJ58" i="8"/>
  <c r="AI58" i="8"/>
  <c r="AG58" i="8"/>
  <c r="AF58" i="8"/>
  <c r="AK55" i="8"/>
  <c r="AJ55" i="8"/>
  <c r="AI55" i="8"/>
  <c r="AG55" i="8"/>
  <c r="AF55" i="8"/>
  <c r="AK53" i="8"/>
  <c r="AK15" i="24" s="1"/>
  <c r="AJ53" i="8"/>
  <c r="AJ15" i="24" s="1"/>
  <c r="AI53" i="8"/>
  <c r="AI15" i="24" s="1"/>
  <c r="AG53" i="8"/>
  <c r="AG15" i="24" s="1"/>
  <c r="AF53" i="8"/>
  <c r="AF15" i="24" s="1"/>
  <c r="AK52" i="8"/>
  <c r="AK14" i="24" s="1"/>
  <c r="AJ52" i="8"/>
  <c r="AJ14" i="24" s="1"/>
  <c r="AI52" i="8"/>
  <c r="AI14" i="24" s="1"/>
  <c r="AG52" i="8"/>
  <c r="AG14" i="24" s="1"/>
  <c r="AF52" i="8"/>
  <c r="AF14" i="24" s="1"/>
  <c r="AK51" i="8"/>
  <c r="AK13" i="24" s="1"/>
  <c r="AJ51" i="8"/>
  <c r="AJ13" i="24" s="1"/>
  <c r="AI51" i="8"/>
  <c r="AI13" i="24" s="1"/>
  <c r="AG51" i="8"/>
  <c r="AG13" i="24" s="1"/>
  <c r="AF51" i="8"/>
  <c r="AF13" i="24" s="1"/>
  <c r="AK48" i="8"/>
  <c r="AJ48" i="8"/>
  <c r="AI48" i="8"/>
  <c r="AG48" i="8"/>
  <c r="AF48" i="8"/>
  <c r="AK47" i="8"/>
  <c r="AJ47" i="8"/>
  <c r="AI47" i="8"/>
  <c r="AG47" i="8"/>
  <c r="AF47" i="8"/>
  <c r="AK46" i="8"/>
  <c r="AJ46" i="8"/>
  <c r="AI46" i="8"/>
  <c r="AG46" i="8"/>
  <c r="AF46" i="8"/>
  <c r="AK43" i="8"/>
  <c r="AK10" i="24" s="1"/>
  <c r="AJ43" i="8"/>
  <c r="AJ10" i="24" s="1"/>
  <c r="AI43" i="8"/>
  <c r="AI10" i="24" s="1"/>
  <c r="AG43" i="8"/>
  <c r="AG10" i="24" s="1"/>
  <c r="AF43" i="8"/>
  <c r="AF10" i="24" s="1"/>
  <c r="AK42" i="8"/>
  <c r="AK9" i="24" s="1"/>
  <c r="AJ42" i="8"/>
  <c r="AJ9" i="24" s="1"/>
  <c r="AI42" i="8"/>
  <c r="AI9" i="24" s="1"/>
  <c r="AH42" i="8"/>
  <c r="AH9" i="24" s="1"/>
  <c r="AG42" i="8"/>
  <c r="AG9" i="24" s="1"/>
  <c r="AF42" i="8"/>
  <c r="AF9" i="24" s="1"/>
  <c r="AK41" i="8"/>
  <c r="AK8" i="24" s="1"/>
  <c r="AJ41" i="8"/>
  <c r="AJ8" i="24" s="1"/>
  <c r="AI41" i="8"/>
  <c r="AI8" i="24" s="1"/>
  <c r="AG41" i="8"/>
  <c r="AG8" i="24" s="1"/>
  <c r="AF41" i="8"/>
  <c r="AF8" i="24" s="1"/>
  <c r="AK40" i="8"/>
  <c r="AJ40" i="8"/>
  <c r="AI40" i="8"/>
  <c r="AG40" i="8"/>
  <c r="AF40" i="8"/>
  <c r="AK39" i="8"/>
  <c r="AJ39" i="8"/>
  <c r="AI39" i="8"/>
  <c r="AG39" i="8"/>
  <c r="AF39" i="8"/>
  <c r="AN64" i="8"/>
  <c r="AM64" i="8"/>
  <c r="AN63" i="8"/>
  <c r="AM63" i="8"/>
  <c r="AN62" i="8"/>
  <c r="AM62" i="8"/>
  <c r="AN59" i="8"/>
  <c r="AM59" i="8"/>
  <c r="AN58" i="8"/>
  <c r="AM58" i="8"/>
  <c r="AN55" i="8"/>
  <c r="AM55" i="8"/>
  <c r="AN53" i="8"/>
  <c r="AN15" i="24" s="1"/>
  <c r="AM53" i="8"/>
  <c r="AM15" i="24" s="1"/>
  <c r="AN52" i="8"/>
  <c r="AN14" i="24" s="1"/>
  <c r="AM52" i="8"/>
  <c r="AM14" i="24" s="1"/>
  <c r="AN51" i="8"/>
  <c r="AN13" i="24" s="1"/>
  <c r="AM51" i="8"/>
  <c r="AM13" i="24" s="1"/>
  <c r="AN48" i="8"/>
  <c r="AM48" i="8"/>
  <c r="AN47" i="8"/>
  <c r="AM47" i="8"/>
  <c r="AN46" i="8"/>
  <c r="AM46" i="8"/>
  <c r="AN43" i="8"/>
  <c r="AN10" i="24" s="1"/>
  <c r="AM43" i="8"/>
  <c r="AM10" i="24" s="1"/>
  <c r="AN42" i="8"/>
  <c r="AN9" i="24" s="1"/>
  <c r="AM42" i="8"/>
  <c r="AM9" i="24" s="1"/>
  <c r="AL42" i="8"/>
  <c r="AN41" i="8"/>
  <c r="AN8" i="24" s="1"/>
  <c r="AM41" i="8"/>
  <c r="AM8" i="24" s="1"/>
  <c r="AN40" i="8"/>
  <c r="AM40" i="8"/>
  <c r="AN39" i="8"/>
  <c r="AM39" i="8"/>
  <c r="AO64" i="8"/>
  <c r="AO63" i="8"/>
  <c r="AO62" i="8"/>
  <c r="AO59" i="8"/>
  <c r="AO58" i="8"/>
  <c r="AO55" i="8"/>
  <c r="AO53" i="8"/>
  <c r="AO15" i="24" s="1"/>
  <c r="AO52" i="8"/>
  <c r="AO14" i="24" s="1"/>
  <c r="AO51" i="8"/>
  <c r="AO13" i="24" s="1"/>
  <c r="AP25" i="24" s="1" a="1"/>
  <c r="AP25" i="24" s="1"/>
  <c r="AO48" i="8"/>
  <c r="AO47" i="8"/>
  <c r="AO46" i="8"/>
  <c r="AO43" i="8"/>
  <c r="AO10" i="24" s="1"/>
  <c r="AO42" i="8"/>
  <c r="AO9" i="24" s="1"/>
  <c r="AO41" i="8"/>
  <c r="AO8" i="24" s="1"/>
  <c r="AP22" i="24" s="1" a="1"/>
  <c r="AP22" i="24" s="1"/>
  <c r="AO40" i="8"/>
  <c r="AO39" i="8"/>
  <c r="AB56" i="8"/>
  <c r="AB60" i="8" s="1"/>
  <c r="AB44" i="8"/>
  <c r="AB49" i="8" s="1"/>
  <c r="AB11" i="8"/>
  <c r="Y25" i="8"/>
  <c r="AO25" i="8" s="1"/>
  <c r="Y22" i="8"/>
  <c r="AO22" i="8" s="1"/>
  <c r="Y18" i="8"/>
  <c r="Y17" i="8"/>
  <c r="Y13" i="8"/>
  <c r="Y10" i="8"/>
  <c r="U25" i="8"/>
  <c r="AK25" i="8" s="1"/>
  <c r="U22" i="8"/>
  <c r="AH22" i="8" s="1"/>
  <c r="U18" i="8"/>
  <c r="U17" i="8"/>
  <c r="U13" i="8"/>
  <c r="U10" i="8"/>
  <c r="Q10" i="8"/>
  <c r="Q13" i="8"/>
  <c r="AF18" i="8"/>
  <c r="AG17" i="8"/>
  <c r="Q22" i="8"/>
  <c r="AG22" i="8" s="1"/>
  <c r="Q25" i="8"/>
  <c r="AF25" i="8" s="1"/>
  <c r="AH64" i="8"/>
  <c r="AH63" i="8"/>
  <c r="AH62" i="8"/>
  <c r="AA44" i="8"/>
  <c r="X44" i="8"/>
  <c r="W44" i="8"/>
  <c r="V44" i="8"/>
  <c r="T44" i="8"/>
  <c r="S44" i="8"/>
  <c r="R44" i="8"/>
  <c r="P44" i="8"/>
  <c r="O44" i="8"/>
  <c r="N44" i="8"/>
  <c r="J44" i="8"/>
  <c r="I44" i="8"/>
  <c r="H44" i="8"/>
  <c r="H49" i="8" s="1"/>
  <c r="G44" i="8"/>
  <c r="K44" i="8"/>
  <c r="AP24" i="24" l="1" a="1"/>
  <c r="AP24" i="24" s="1"/>
  <c r="AP26" i="24" s="1"/>
  <c r="AP23" i="24"/>
  <c r="AL36" i="24"/>
  <c r="AR32" i="8"/>
  <c r="AL9" i="24"/>
  <c r="AR42" i="8"/>
  <c r="AQ80" i="9" a="1"/>
  <c r="AQ80" i="9" s="1"/>
  <c r="AQ36" i="9"/>
  <c r="AQ30" i="9"/>
  <c r="AQ78" i="9"/>
  <c r="AQ77" i="9"/>
  <c r="AQ79" i="9" a="1"/>
  <c r="AQ79" i="9" s="1"/>
  <c r="AQ76" i="9"/>
  <c r="AI41" i="24"/>
  <c r="AI43" i="24" s="1"/>
  <c r="AK41" i="24"/>
  <c r="AK46" i="24" s="1"/>
  <c r="AO16" i="24"/>
  <c r="G112" i="8"/>
  <c r="G114" i="8" s="1"/>
  <c r="AE41" i="24"/>
  <c r="AO51" i="24"/>
  <c r="AO57" i="24" s="1"/>
  <c r="AF41" i="24"/>
  <c r="AF46" i="24" s="1"/>
  <c r="AJ51" i="24"/>
  <c r="AJ57" i="24" s="1"/>
  <c r="AE51" i="24"/>
  <c r="AE57" i="24" s="1"/>
  <c r="AI47" i="24"/>
  <c r="AI59" i="24"/>
  <c r="Q15" i="9"/>
  <c r="Q25" i="24" a="1"/>
  <c r="Q25" i="24" s="1"/>
  <c r="Q24" i="24" a="1"/>
  <c r="Q24" i="24" s="1"/>
  <c r="AO10" i="8"/>
  <c r="AO23" i="24" s="1"/>
  <c r="Y23" i="24"/>
  <c r="Y22" i="24" a="1"/>
  <c r="Y22" i="24" s="1"/>
  <c r="AJ41" i="24"/>
  <c r="AG11" i="24"/>
  <c r="AI16" i="24"/>
  <c r="AJ47" i="24"/>
  <c r="AJ59" i="24"/>
  <c r="AE47" i="24"/>
  <c r="AE59" i="24"/>
  <c r="AI46" i="24"/>
  <c r="AG16" i="24"/>
  <c r="AJ16" i="24"/>
  <c r="AE46" i="24"/>
  <c r="AE43" i="24"/>
  <c r="AJ10" i="8"/>
  <c r="U22" i="24" a="1"/>
  <c r="U22" i="24" s="1"/>
  <c r="U23" i="24"/>
  <c r="AK16" i="24"/>
  <c r="AG10" i="8"/>
  <c r="AG22" i="24" s="1" a="1"/>
  <c r="AG22" i="24" s="1"/>
  <c r="Q23" i="24"/>
  <c r="Q22" i="24" a="1"/>
  <c r="Q22" i="24" s="1"/>
  <c r="Y24" i="24" a="1"/>
  <c r="Y24" i="24" s="1"/>
  <c r="Y25" i="24" a="1"/>
  <c r="Y25" i="24" s="1"/>
  <c r="AO41" i="24"/>
  <c r="AI11" i="24"/>
  <c r="AK47" i="24"/>
  <c r="AK59" i="24"/>
  <c r="AE16" i="24"/>
  <c r="AF51" i="24"/>
  <c r="AF57" i="24" s="1"/>
  <c r="AL47" i="24"/>
  <c r="AL59" i="24"/>
  <c r="U25" i="24" a="1"/>
  <c r="U25" i="24" s="1"/>
  <c r="U24" i="24" a="1"/>
  <c r="U24" i="24" s="1"/>
  <c r="AN41" i="24"/>
  <c r="AM16" i="24"/>
  <c r="AM51" i="24"/>
  <c r="AM57" i="24" s="1"/>
  <c r="AK11" i="24"/>
  <c r="AG51" i="24"/>
  <c r="AG57" i="24" s="1"/>
  <c r="AO59" i="24"/>
  <c r="AO47" i="24"/>
  <c r="AM47" i="24"/>
  <c r="AM59" i="24"/>
  <c r="AE11" i="24"/>
  <c r="AN11" i="24"/>
  <c r="AF11" i="24"/>
  <c r="AM41" i="24"/>
  <c r="AJ11" i="24"/>
  <c r="AO11" i="24"/>
  <c r="AN16" i="24"/>
  <c r="AN51" i="24"/>
  <c r="AN57" i="24" s="1"/>
  <c r="AI51" i="24"/>
  <c r="AI57" i="24" s="1"/>
  <c r="AF47" i="24"/>
  <c r="AF59" i="24"/>
  <c r="AN47" i="24"/>
  <c r="AN59" i="24"/>
  <c r="AG47" i="24"/>
  <c r="AG59" i="24"/>
  <c r="AM11" i="24"/>
  <c r="AG41" i="24"/>
  <c r="AF16" i="24"/>
  <c r="AK51" i="24"/>
  <c r="AK57" i="24" s="1"/>
  <c r="AH47" i="24"/>
  <c r="AH59" i="24"/>
  <c r="AJ17" i="8"/>
  <c r="U19" i="9"/>
  <c r="AM13" i="8"/>
  <c r="Y15" i="9"/>
  <c r="AP15" i="9" s="1"/>
  <c r="AI13" i="8"/>
  <c r="AI24" i="24" s="1" a="1"/>
  <c r="AI24" i="24" s="1"/>
  <c r="U15" i="9"/>
  <c r="AN18" i="8"/>
  <c r="Y20" i="9"/>
  <c r="AP20" i="9" s="1"/>
  <c r="AK18" i="8"/>
  <c r="U20" i="9"/>
  <c r="AB14" i="8"/>
  <c r="AB15" i="8" s="1"/>
  <c r="AB15" i="10"/>
  <c r="AL17" i="8"/>
  <c r="AR17" i="8" s="1"/>
  <c r="Y19" i="9"/>
  <c r="AP19" i="9" s="1"/>
  <c r="AB59" i="9"/>
  <c r="AP59" i="9" s="1"/>
  <c r="AB60" i="9"/>
  <c r="AP60" i="9" s="1"/>
  <c r="AJ14" i="10"/>
  <c r="AJ86" i="10" s="1"/>
  <c r="AE56" i="8"/>
  <c r="AE60" i="8" s="1"/>
  <c r="AE44" i="8"/>
  <c r="AE49" i="8" s="1"/>
  <c r="AE65" i="8"/>
  <c r="AE32" i="24" s="1"/>
  <c r="AE25" i="8"/>
  <c r="AE22" i="8"/>
  <c r="AE17" i="8"/>
  <c r="AE18" i="8"/>
  <c r="AE13" i="8"/>
  <c r="AE10" i="8"/>
  <c r="AE11" i="8" s="1"/>
  <c r="AH14" i="10"/>
  <c r="AH86" i="10" s="1"/>
  <c r="AI14" i="10"/>
  <c r="AI86" i="10" s="1"/>
  <c r="AK14" i="10"/>
  <c r="AK86" i="10" s="1"/>
  <c r="AB69" i="9"/>
  <c r="AB72" i="9" s="1"/>
  <c r="AB81" i="9" s="1"/>
  <c r="AG102" i="8"/>
  <c r="AK102" i="8"/>
  <c r="AN102" i="8"/>
  <c r="AI103" i="8"/>
  <c r="AF102" i="8"/>
  <c r="AO103" i="8"/>
  <c r="AO94" i="8"/>
  <c r="AH94" i="8"/>
  <c r="AJ94" i="8"/>
  <c r="AI94" i="8"/>
  <c r="AL94" i="8"/>
  <c r="AR94" i="8" s="1"/>
  <c r="AM94" i="8"/>
  <c r="AN94" i="8"/>
  <c r="AB16" i="9"/>
  <c r="AG65" i="8"/>
  <c r="AG32" i="24" s="1"/>
  <c r="AK10" i="8"/>
  <c r="AK22" i="24" s="1" a="1"/>
  <c r="AK22" i="24" s="1"/>
  <c r="AI22" i="8"/>
  <c r="AJ13" i="8"/>
  <c r="AJ25" i="24" s="1" a="1"/>
  <c r="AJ25" i="24" s="1"/>
  <c r="AK44" i="8"/>
  <c r="AK49" i="8" s="1"/>
  <c r="AF17" i="8"/>
  <c r="AK17" i="8"/>
  <c r="AI25" i="8"/>
  <c r="AK65" i="8"/>
  <c r="AK32" i="24" s="1"/>
  <c r="AK22" i="8"/>
  <c r="AK124" i="8"/>
  <c r="AH18" i="8"/>
  <c r="AJ25" i="8"/>
  <c r="AJ124" i="8"/>
  <c r="AF10" i="8"/>
  <c r="AG18" i="8"/>
  <c r="AG13" i="8"/>
  <c r="AG24" i="24" s="1" a="1"/>
  <c r="AG24" i="24" s="1"/>
  <c r="AF13" i="8"/>
  <c r="AF24" i="24" s="1" a="1"/>
  <c r="AF24" i="24" s="1"/>
  <c r="AG25" i="8"/>
  <c r="AH65" i="8"/>
  <c r="AH32" i="24" s="1"/>
  <c r="AK125" i="8"/>
  <c r="AI44" i="8"/>
  <c r="AI49" i="8" s="1"/>
  <c r="AK56" i="8"/>
  <c r="AK60" i="8" s="1"/>
  <c r="AK13" i="8"/>
  <c r="AK25" i="24" s="1" a="1"/>
  <c r="AK25" i="24" s="1"/>
  <c r="AJ22" i="8"/>
  <c r="AH25" i="8"/>
  <c r="AJ56" i="8"/>
  <c r="AJ60" i="8" s="1"/>
  <c r="AF56" i="8"/>
  <c r="AF60" i="8" s="1"/>
  <c r="AI18" i="8"/>
  <c r="AH125" i="8"/>
  <c r="AH10" i="8"/>
  <c r="AH17" i="8"/>
  <c r="AJ18" i="8"/>
  <c r="AF22" i="8"/>
  <c r="AF44" i="8"/>
  <c r="AF49" i="8" s="1"/>
  <c r="AJ44" i="8"/>
  <c r="AJ49" i="8" s="1"/>
  <c r="AI65" i="8"/>
  <c r="AI32" i="24" s="1"/>
  <c r="AI125" i="8"/>
  <c r="AI10" i="8"/>
  <c r="AH13" i="8"/>
  <c r="AH24" i="24" s="1" a="1"/>
  <c r="AH24" i="24" s="1"/>
  <c r="AI17" i="8"/>
  <c r="AG44" i="8"/>
  <c r="AG49" i="8" s="1"/>
  <c r="AG56" i="8"/>
  <c r="AG60" i="8" s="1"/>
  <c r="AI56" i="8"/>
  <c r="AI60" i="8" s="1"/>
  <c r="AJ65" i="8"/>
  <c r="AJ32" i="24" s="1"/>
  <c r="AF65" i="8"/>
  <c r="AF32" i="24" s="1"/>
  <c r="AH124" i="8"/>
  <c r="AJ125" i="8"/>
  <c r="AI124" i="8"/>
  <c r="AL22" i="8"/>
  <c r="AR22" i="8" s="1"/>
  <c r="AO125" i="8"/>
  <c r="AO13" i="8"/>
  <c r="AO24" i="24" s="1" a="1"/>
  <c r="AO24" i="24" s="1"/>
  <c r="AM22" i="8"/>
  <c r="AM65" i="8"/>
  <c r="AM32" i="24" s="1"/>
  <c r="AN13" i="8"/>
  <c r="AN24" i="24" s="1" a="1"/>
  <c r="AN24" i="24" s="1"/>
  <c r="AM17" i="8"/>
  <c r="AL25" i="8"/>
  <c r="AR25" i="8" s="1"/>
  <c r="AM44" i="8"/>
  <c r="AM49" i="8" s="1"/>
  <c r="AN65" i="8"/>
  <c r="AN32" i="24" s="1"/>
  <c r="AO18" i="8"/>
  <c r="AM10" i="8"/>
  <c r="AL18" i="8"/>
  <c r="AR18" i="8" s="1"/>
  <c r="AN22" i="8"/>
  <c r="AM25" i="8"/>
  <c r="AM56" i="8"/>
  <c r="AM60" i="8" s="1"/>
  <c r="AO17" i="8"/>
  <c r="AN17" i="8"/>
  <c r="AM18" i="8"/>
  <c r="AN25" i="8"/>
  <c r="AN56" i="8"/>
  <c r="AN60" i="8" s="1"/>
  <c r="AL13" i="8"/>
  <c r="AL10" i="8"/>
  <c r="AR10" i="8" s="1"/>
  <c r="AN10" i="8"/>
  <c r="AN22" i="24" s="1" a="1"/>
  <c r="AN22" i="24" s="1"/>
  <c r="AN44" i="8"/>
  <c r="AN49" i="8" s="1"/>
  <c r="AL125" i="8"/>
  <c r="AM125" i="8"/>
  <c r="AN125" i="8"/>
  <c r="AB66" i="8"/>
  <c r="AB68" i="8" s="1"/>
  <c r="AE124" i="8"/>
  <c r="AO18" i="24" l="1"/>
  <c r="AP19" i="24" s="1"/>
  <c r="AK58" i="24"/>
  <c r="AK43" i="24"/>
  <c r="AL24" i="24" a="1"/>
  <c r="AL24" i="24" s="1"/>
  <c r="AR13" i="8"/>
  <c r="AI58" i="24"/>
  <c r="AI60" i="24" s="1"/>
  <c r="AM24" i="24" a="1"/>
  <c r="AM24" i="24" s="1"/>
  <c r="AF58" i="24"/>
  <c r="AF60" i="24" s="1"/>
  <c r="AO58" i="24"/>
  <c r="AO60" i="24" s="1"/>
  <c r="AK60" i="24"/>
  <c r="Q26" i="24"/>
  <c r="AF43" i="24"/>
  <c r="AE58" i="24"/>
  <c r="AE60" i="24" s="1"/>
  <c r="C35" i="27"/>
  <c r="G8" i="23" s="1"/>
  <c r="H8" i="23" s="1"/>
  <c r="AN18" i="24"/>
  <c r="AK24" i="24" a="1"/>
  <c r="AK24" i="24" s="1"/>
  <c r="AK26" i="24" s="1"/>
  <c r="AF18" i="24"/>
  <c r="AJ18" i="24"/>
  <c r="AK18" i="24"/>
  <c r="AN25" i="24" a="1"/>
  <c r="AN25" i="24" s="1"/>
  <c r="AN26" i="24" s="1"/>
  <c r="AF25" i="24" a="1"/>
  <c r="AF25" i="24" s="1"/>
  <c r="AI48" i="24"/>
  <c r="AE52" i="24"/>
  <c r="AE54" i="24" s="1"/>
  <c r="AK48" i="24"/>
  <c r="AE48" i="24"/>
  <c r="AF52" i="24"/>
  <c r="AF54" i="24" s="1"/>
  <c r="AI37" i="24"/>
  <c r="AI38" i="24" s="1"/>
  <c r="AI33" i="24"/>
  <c r="Y26" i="24"/>
  <c r="AN52" i="24"/>
  <c r="AN54" i="24" s="1"/>
  <c r="AN46" i="24"/>
  <c r="AN48" i="24" s="1"/>
  <c r="AN58" i="24"/>
  <c r="AN60" i="24" s="1"/>
  <c r="AN43" i="24"/>
  <c r="U26" i="24"/>
  <c r="AF48" i="24"/>
  <c r="AK11" i="8"/>
  <c r="AK14" i="8" s="1"/>
  <c r="AK15" i="8" s="1"/>
  <c r="AK23" i="24"/>
  <c r="AO22" i="24" a="1"/>
  <c r="AO22" i="24" s="1"/>
  <c r="AG58" i="24"/>
  <c r="AG60" i="24" s="1"/>
  <c r="AI18" i="24"/>
  <c r="AJ19" i="24" s="1"/>
  <c r="AG11" i="8"/>
  <c r="AG14" i="8" s="1"/>
  <c r="AG23" i="24"/>
  <c r="AJ11" i="8"/>
  <c r="AJ14" i="8" s="1"/>
  <c r="AJ23" i="24"/>
  <c r="AG18" i="24"/>
  <c r="AH33" i="24"/>
  <c r="AH37" i="24"/>
  <c r="AH38" i="24" s="1"/>
  <c r="AM18" i="24"/>
  <c r="AK33" i="24"/>
  <c r="AK37" i="24"/>
  <c r="AK38" i="24" s="1"/>
  <c r="AG37" i="24"/>
  <c r="AG38" i="24" s="1"/>
  <c r="AG33" i="24"/>
  <c r="AJ22" i="24" a="1"/>
  <c r="AJ22" i="24" s="1"/>
  <c r="AJ24" i="24" a="1"/>
  <c r="AJ24" i="24" s="1"/>
  <c r="AJ33" i="24"/>
  <c r="AJ37" i="24"/>
  <c r="AJ38" i="24" s="1"/>
  <c r="AG46" i="24"/>
  <c r="AG48" i="24" s="1"/>
  <c r="AG52" i="24"/>
  <c r="AG54" i="24" s="1"/>
  <c r="AG43" i="24"/>
  <c r="AN33" i="24"/>
  <c r="AN37" i="24"/>
  <c r="AN38" i="24" s="1"/>
  <c r="AI11" i="8"/>
  <c r="AI14" i="8" s="1"/>
  <c r="AI23" i="24"/>
  <c r="AH11" i="8"/>
  <c r="AH14" i="8" s="1"/>
  <c r="AH19" i="8" s="1"/>
  <c r="AH23" i="24"/>
  <c r="AF11" i="8"/>
  <c r="AF23" i="24"/>
  <c r="AE37" i="24"/>
  <c r="AE38" i="24" s="1"/>
  <c r="AE33" i="24"/>
  <c r="AG25" i="24" a="1"/>
  <c r="AG25" i="24" s="1"/>
  <c r="AG26" i="24" s="1"/>
  <c r="AO25" i="24" a="1"/>
  <c r="AO25" i="24" s="1"/>
  <c r="AK52" i="24"/>
  <c r="AK54" i="24" s="1"/>
  <c r="AE18" i="24"/>
  <c r="AJ52" i="24"/>
  <c r="AJ54" i="24" s="1"/>
  <c r="AJ58" i="24"/>
  <c r="AJ60" i="24" s="1"/>
  <c r="AJ46" i="24"/>
  <c r="AJ48" i="24" s="1"/>
  <c r="AJ43" i="24"/>
  <c r="AM11" i="8"/>
  <c r="AM14" i="8" s="1"/>
  <c r="AM15" i="8" s="1"/>
  <c r="AM23" i="24"/>
  <c r="AM58" i="24"/>
  <c r="AM60" i="24" s="1"/>
  <c r="AM52" i="24"/>
  <c r="AM54" i="24" s="1"/>
  <c r="AM43" i="24"/>
  <c r="AM46" i="24"/>
  <c r="AM48" i="24" s="1"/>
  <c r="AN11" i="8"/>
  <c r="AN14" i="8" s="1"/>
  <c r="AN15" i="8" s="1"/>
  <c r="AN23" i="24"/>
  <c r="AL11" i="8"/>
  <c r="AL23" i="24"/>
  <c r="AM33" i="24"/>
  <c r="AM37" i="24"/>
  <c r="AM38" i="24" s="1"/>
  <c r="AF33" i="24"/>
  <c r="AF37" i="24"/>
  <c r="AF38" i="24" s="1"/>
  <c r="AF22" i="24" a="1"/>
  <c r="AF22" i="24" s="1"/>
  <c r="AO52" i="24"/>
  <c r="AO54" i="24" s="1"/>
  <c r="AO46" i="24"/>
  <c r="AO48" i="24" s="1"/>
  <c r="AO43" i="24"/>
  <c r="AI52" i="24"/>
  <c r="AI54" i="24" s="1"/>
  <c r="AB19" i="8"/>
  <c r="AB23" i="8" s="1"/>
  <c r="AB26" i="8" s="1"/>
  <c r="AP16" i="9"/>
  <c r="AL14" i="10"/>
  <c r="AL86" i="10" s="1"/>
  <c r="AE66" i="8"/>
  <c r="AE68" i="8" s="1"/>
  <c r="AI102" i="8"/>
  <c r="AE14" i="8"/>
  <c r="AE125" i="8"/>
  <c r="AG103" i="8"/>
  <c r="AE103" i="8"/>
  <c r="AG94" i="8"/>
  <c r="AE94" i="8"/>
  <c r="G16" i="9"/>
  <c r="G21" i="9" s="1"/>
  <c r="G25" i="9" s="1"/>
  <c r="AJ103" i="8"/>
  <c r="AH103" i="8"/>
  <c r="AJ102" i="8"/>
  <c r="AL43" i="9"/>
  <c r="AE108" i="8"/>
  <c r="AH102" i="8"/>
  <c r="AL103" i="8"/>
  <c r="AR103" i="8" s="1"/>
  <c r="AF103" i="8"/>
  <c r="AN103" i="8"/>
  <c r="AM103" i="8"/>
  <c r="AK103" i="8"/>
  <c r="AO102" i="8"/>
  <c r="AL102" i="8"/>
  <c r="AR102" i="8" s="1"/>
  <c r="AM102" i="8"/>
  <c r="AF94" i="8"/>
  <c r="AO124" i="8"/>
  <c r="AG124" i="8"/>
  <c r="AB17" i="9"/>
  <c r="AB21" i="9"/>
  <c r="AK66" i="8"/>
  <c r="AK68" i="8" s="1"/>
  <c r="AI66" i="8"/>
  <c r="AI68" i="8" s="1"/>
  <c r="AG66" i="8"/>
  <c r="AG68" i="8" s="1"/>
  <c r="AJ66" i="8"/>
  <c r="AJ68" i="8" s="1"/>
  <c r="AF66" i="8"/>
  <c r="AF68" i="8" s="1"/>
  <c r="AF14" i="8"/>
  <c r="AG125" i="8"/>
  <c r="AF125" i="8"/>
  <c r="AF124" i="8"/>
  <c r="AM66" i="8"/>
  <c r="AM68" i="8" s="1"/>
  <c r="AL124" i="8"/>
  <c r="AN66" i="8"/>
  <c r="AN68" i="8" s="1"/>
  <c r="AM124" i="8"/>
  <c r="AN124" i="8"/>
  <c r="M8" i="23" l="1"/>
  <c r="C41" i="27"/>
  <c r="E41" i="27" s="1"/>
  <c r="G36" i="16"/>
  <c r="AL14" i="8"/>
  <c r="AR11" i="8"/>
  <c r="AF26" i="24"/>
  <c r="AN19" i="24"/>
  <c r="AO19" i="24"/>
  <c r="AK19" i="24"/>
  <c r="AF19" i="24"/>
  <c r="AG19" i="24"/>
  <c r="AJ19" i="8"/>
  <c r="AJ23" i="8" s="1"/>
  <c r="AJ26" i="8" s="1"/>
  <c r="AJ15" i="8"/>
  <c r="AJ26" i="24"/>
  <c r="AO26" i="24"/>
  <c r="AI15" i="8"/>
  <c r="AI19" i="8"/>
  <c r="AI23" i="8" s="1"/>
  <c r="AI26" i="8" s="1"/>
  <c r="AG19" i="8"/>
  <c r="AG23" i="8" s="1"/>
  <c r="AG26" i="8" s="1"/>
  <c r="AG15" i="8"/>
  <c r="AL24" i="10"/>
  <c r="AK19" i="10"/>
  <c r="AK18" i="10"/>
  <c r="AK21" i="10"/>
  <c r="AK22" i="10"/>
  <c r="AK20" i="10"/>
  <c r="AK15" i="10"/>
  <c r="AB20" i="8"/>
  <c r="AP17" i="9"/>
  <c r="AP21" i="9"/>
  <c r="AM14" i="10"/>
  <c r="AM86" i="10" s="1"/>
  <c r="AN14" i="10"/>
  <c r="AN86" i="10" s="1"/>
  <c r="AH23" i="8"/>
  <c r="AH26" i="8" s="1"/>
  <c r="AE19" i="8"/>
  <c r="AE23" i="8" s="1"/>
  <c r="AE15" i="8"/>
  <c r="AM19" i="8"/>
  <c r="AM20" i="8" s="1"/>
  <c r="AF14" i="10"/>
  <c r="AF86" i="10" s="1"/>
  <c r="AG14" i="10"/>
  <c r="AG86" i="10" s="1"/>
  <c r="G17" i="9"/>
  <c r="G22" i="9"/>
  <c r="AG108" i="8"/>
  <c r="AO108" i="8"/>
  <c r="AK43" i="9"/>
  <c r="AL108" i="8"/>
  <c r="AR108" i="8" s="1"/>
  <c r="AK108" i="8"/>
  <c r="AI108" i="8"/>
  <c r="AH108" i="8"/>
  <c r="AJ108" i="8"/>
  <c r="AF108" i="8"/>
  <c r="AN108" i="8"/>
  <c r="AM108" i="8"/>
  <c r="AB75" i="8"/>
  <c r="AB90" i="8" s="1"/>
  <c r="AB33" i="8"/>
  <c r="AB30" i="8"/>
  <c r="AK19" i="8"/>
  <c r="AB22" i="9"/>
  <c r="G26" i="9"/>
  <c r="G29" i="9"/>
  <c r="AJ20" i="8"/>
  <c r="AH20" i="8"/>
  <c r="AN19" i="8"/>
  <c r="AH15" i="8"/>
  <c r="AF15" i="8"/>
  <c r="AF19" i="8"/>
  <c r="AF23" i="8" s="1"/>
  <c r="AL19" i="8"/>
  <c r="AR19" i="8" s="1"/>
  <c r="AB27" i="8"/>
  <c r="AL15" i="8" l="1"/>
  <c r="AR15" i="8" s="1"/>
  <c r="AR14" i="8"/>
  <c r="AI24" i="10"/>
  <c r="AE14" i="10"/>
  <c r="AE86" i="10" s="1"/>
  <c r="C57" i="27"/>
  <c r="AO14" i="10"/>
  <c r="AO86" i="10" s="1"/>
  <c r="AG20" i="8"/>
  <c r="AI20" i="8"/>
  <c r="AO24" i="10"/>
  <c r="AM24" i="10"/>
  <c r="AK24" i="10"/>
  <c r="AJ24" i="10"/>
  <c r="AN24" i="10"/>
  <c r="AL18" i="10"/>
  <c r="AH20" i="10"/>
  <c r="AI19" i="10"/>
  <c r="AL21" i="10"/>
  <c r="AL20" i="10"/>
  <c r="AL22" i="10"/>
  <c r="AL19" i="10"/>
  <c r="AJ21" i="10"/>
  <c r="AJ22" i="10"/>
  <c r="AI21" i="10"/>
  <c r="AI22" i="10"/>
  <c r="AH22" i="10"/>
  <c r="AH21" i="10"/>
  <c r="AI20" i="10"/>
  <c r="AJ20" i="10"/>
  <c r="AJ19" i="10"/>
  <c r="AH19" i="10"/>
  <c r="AJ15" i="10"/>
  <c r="AJ18" i="10"/>
  <c r="AI15" i="10"/>
  <c r="AI18" i="10"/>
  <c r="AH15" i="10"/>
  <c r="AH18" i="10"/>
  <c r="AL15" i="10"/>
  <c r="AP25" i="9"/>
  <c r="AP22" i="9"/>
  <c r="AJ27" i="8"/>
  <c r="AJ30" i="8"/>
  <c r="AJ33" i="8"/>
  <c r="AI27" i="8"/>
  <c r="AI30" i="8"/>
  <c r="AI33" i="8"/>
  <c r="AH30" i="8"/>
  <c r="AH33" i="8"/>
  <c r="AH27" i="8"/>
  <c r="AK23" i="8"/>
  <c r="AK26" i="8" s="1"/>
  <c r="AN20" i="8"/>
  <c r="AN23" i="8"/>
  <c r="AN26" i="8" s="1"/>
  <c r="AL23" i="8"/>
  <c r="AM23" i="8"/>
  <c r="AM26" i="8" s="1"/>
  <c r="AE20" i="8"/>
  <c r="AE26" i="8"/>
  <c r="AN43" i="9"/>
  <c r="AM43" i="9"/>
  <c r="AO43" i="9"/>
  <c r="AK20" i="8"/>
  <c r="AG27" i="8"/>
  <c r="AG30" i="8"/>
  <c r="AG33" i="8"/>
  <c r="G80" i="9" a="1"/>
  <c r="G80" i="9" s="1"/>
  <c r="G79" i="9" a="1"/>
  <c r="G79" i="9" s="1"/>
  <c r="G78" i="9"/>
  <c r="G30" i="9"/>
  <c r="G76" i="9"/>
  <c r="G36" i="9"/>
  <c r="G45" i="9" s="1"/>
  <c r="G77" i="9"/>
  <c r="AL20" i="8"/>
  <c r="AR20" i="8" s="1"/>
  <c r="AF26" i="8"/>
  <c r="AF20" i="8"/>
  <c r="C75" i="27" l="1"/>
  <c r="J8" i="23"/>
  <c r="L8" i="23" s="1"/>
  <c r="AL26" i="8"/>
  <c r="AR26" i="8" s="1"/>
  <c r="AR23" i="8"/>
  <c r="AF19" i="10"/>
  <c r="AF18" i="10"/>
  <c r="AM18" i="10"/>
  <c r="AM15" i="10"/>
  <c r="AE21" i="10"/>
  <c r="AE22" i="10"/>
  <c r="AE20" i="10"/>
  <c r="AO22" i="10"/>
  <c r="AO21" i="10"/>
  <c r="AO20" i="10"/>
  <c r="AO19" i="10"/>
  <c r="AG22" i="10"/>
  <c r="AG21" i="10"/>
  <c r="AG20" i="10"/>
  <c r="AF22" i="10"/>
  <c r="AF21" i="10"/>
  <c r="AF20" i="10"/>
  <c r="AG19" i="10"/>
  <c r="AE19" i="10"/>
  <c r="AN18" i="10"/>
  <c r="AN21" i="10"/>
  <c r="AN22" i="10"/>
  <c r="AN20" i="10"/>
  <c r="AN19" i="10"/>
  <c r="AM20" i="10"/>
  <c r="AM22" i="10"/>
  <c r="AM21" i="10"/>
  <c r="AM19" i="10"/>
  <c r="AG15" i="10"/>
  <c r="AF15" i="10"/>
  <c r="AG18" i="10"/>
  <c r="AE18" i="10"/>
  <c r="AN15" i="10"/>
  <c r="AE15" i="10"/>
  <c r="AO18" i="10"/>
  <c r="AP29" i="9"/>
  <c r="AP26" i="9"/>
  <c r="AL27" i="8"/>
  <c r="AR27" i="8" s="1"/>
  <c r="AL33" i="8"/>
  <c r="AR33" i="8" s="1"/>
  <c r="AL30" i="8"/>
  <c r="AR30" i="8" s="1"/>
  <c r="AK33" i="8"/>
  <c r="AK27" i="8"/>
  <c r="AK30" i="8"/>
  <c r="AM27" i="8"/>
  <c r="AM30" i="8"/>
  <c r="AM33" i="8"/>
  <c r="AE30" i="8"/>
  <c r="AE27" i="8"/>
  <c r="AE33" i="8"/>
  <c r="AF27" i="8"/>
  <c r="AF30" i="8"/>
  <c r="AF33" i="8"/>
  <c r="AN27" i="8"/>
  <c r="AN30" i="8"/>
  <c r="AN33" i="8"/>
  <c r="AP80" i="9" l="1" a="1"/>
  <c r="AP80" i="9" s="1"/>
  <c r="AP30" i="9"/>
  <c r="AP79" i="9" a="1"/>
  <c r="AP79" i="9" s="1"/>
  <c r="AP78" i="9"/>
  <c r="AP76" i="9"/>
  <c r="AP77" i="9"/>
  <c r="AP36" i="9"/>
  <c r="AE105" i="8" l="1"/>
  <c r="AE95" i="8"/>
  <c r="AE79" i="8"/>
  <c r="AE78" i="8"/>
  <c r="AE84" i="8"/>
  <c r="AL62" i="8"/>
  <c r="AR62" i="8" s="1"/>
  <c r="AL59" i="8"/>
  <c r="AR59" i="8" s="1"/>
  <c r="AH59" i="8"/>
  <c r="AL55" i="8"/>
  <c r="AR55" i="8" s="1"/>
  <c r="AL53" i="8"/>
  <c r="AH55" i="8"/>
  <c r="AH53" i="8"/>
  <c r="AH15" i="24" s="1"/>
  <c r="AL48" i="8"/>
  <c r="AR48" i="8" s="1"/>
  <c r="AL47" i="8"/>
  <c r="AR47" i="8" s="1"/>
  <c r="AL46" i="8"/>
  <c r="AR46" i="8" s="1"/>
  <c r="AH48" i="8"/>
  <c r="AH47" i="8"/>
  <c r="AH46" i="8"/>
  <c r="AL43" i="8"/>
  <c r="AH43" i="8"/>
  <c r="AH10" i="24" s="1"/>
  <c r="AL15" i="24" l="1"/>
  <c r="AR53" i="8"/>
  <c r="AL10" i="24"/>
  <c r="AR43" i="8"/>
  <c r="AE101" i="8"/>
  <c r="AE104" i="8"/>
  <c r="AE107" i="8"/>
  <c r="AL58" i="8"/>
  <c r="AH52" i="8"/>
  <c r="AH14" i="24" s="1"/>
  <c r="AH58" i="8"/>
  <c r="AH51" i="24" s="1"/>
  <c r="AH57" i="24" s="1"/>
  <c r="AL51" i="8"/>
  <c r="AH51" i="8"/>
  <c r="AH13" i="24" s="1"/>
  <c r="AL52" i="8"/>
  <c r="AB25" i="9"/>
  <c r="AI107" i="8"/>
  <c r="AH107" i="8"/>
  <c r="AK107" i="8"/>
  <c r="AJ107" i="8"/>
  <c r="AF101" i="8"/>
  <c r="AF95" i="8"/>
  <c r="AG78" i="8"/>
  <c r="AF78" i="8"/>
  <c r="AK78" i="8"/>
  <c r="AJ78" i="8"/>
  <c r="AI78" i="8"/>
  <c r="AH78" i="8"/>
  <c r="AF104" i="8"/>
  <c r="AK89" i="8"/>
  <c r="AI89" i="8"/>
  <c r="AH89" i="8"/>
  <c r="AJ89" i="8"/>
  <c r="AG79" i="8"/>
  <c r="AF79" i="8"/>
  <c r="AK79" i="8"/>
  <c r="AJ79" i="8"/>
  <c r="AI79" i="8"/>
  <c r="AH79" i="8"/>
  <c r="AG105" i="8"/>
  <c r="AF105" i="8"/>
  <c r="AG84" i="8"/>
  <c r="AF84" i="8"/>
  <c r="AG107" i="8"/>
  <c r="AF107" i="8"/>
  <c r="AI84" i="8"/>
  <c r="AK84" i="8"/>
  <c r="AJ84" i="8"/>
  <c r="AH84" i="8"/>
  <c r="AI97" i="8"/>
  <c r="AK97" i="8"/>
  <c r="AJ97" i="8"/>
  <c r="AH97" i="8"/>
  <c r="AI105" i="8"/>
  <c r="AH105" i="8"/>
  <c r="AK105" i="8"/>
  <c r="AJ105" i="8"/>
  <c r="AO87" i="8"/>
  <c r="AN89" i="8"/>
  <c r="AM89" i="8"/>
  <c r="AL89" i="8"/>
  <c r="AR89" i="8" s="1"/>
  <c r="AO89" i="8"/>
  <c r="AB109" i="8"/>
  <c r="AL78" i="8"/>
  <c r="AR78" i="8" s="1"/>
  <c r="AO78" i="8"/>
  <c r="AM78" i="8"/>
  <c r="AN78" i="8"/>
  <c r="AO96" i="8"/>
  <c r="AO79" i="8"/>
  <c r="AN79" i="8"/>
  <c r="AM79" i="8"/>
  <c r="AL79" i="8"/>
  <c r="AR79" i="8" s="1"/>
  <c r="AL105" i="8"/>
  <c r="AR105" i="8" s="1"/>
  <c r="AN105" i="8"/>
  <c r="AM105" i="8"/>
  <c r="AO105" i="8"/>
  <c r="AO86" i="8"/>
  <c r="AO88" i="8"/>
  <c r="AN107" i="8"/>
  <c r="AM107" i="8"/>
  <c r="AO107" i="8"/>
  <c r="AL107" i="8"/>
  <c r="AR107" i="8" s="1"/>
  <c r="AN84" i="8"/>
  <c r="AM84" i="8"/>
  <c r="AL84" i="8"/>
  <c r="AR84" i="8" s="1"/>
  <c r="AO84" i="8"/>
  <c r="AO97" i="8"/>
  <c r="AN97" i="8"/>
  <c r="AM97" i="8"/>
  <c r="AL97" i="8"/>
  <c r="AR97" i="8" s="1"/>
  <c r="AA109" i="8"/>
  <c r="AE97" i="8"/>
  <c r="AE88" i="8"/>
  <c r="AE86" i="8"/>
  <c r="AE87" i="8"/>
  <c r="AL51" i="24" l="1"/>
  <c r="AL57" i="24" s="1"/>
  <c r="AR58" i="8"/>
  <c r="AL13" i="24"/>
  <c r="AL25" i="24" s="1" a="1"/>
  <c r="AL25" i="24" s="1"/>
  <c r="AR51" i="8"/>
  <c r="AL14" i="24"/>
  <c r="AR52" i="8"/>
  <c r="AM25" i="24" a="1"/>
  <c r="AM25" i="24" s="1"/>
  <c r="AL16" i="24"/>
  <c r="AI25" i="24" a="1"/>
  <c r="AI25" i="24" s="1"/>
  <c r="AH16" i="24"/>
  <c r="AH25" i="24" a="1"/>
  <c r="AH25" i="24" s="1"/>
  <c r="AH56" i="8"/>
  <c r="AH60" i="8" s="1"/>
  <c r="AH66" i="8" s="1"/>
  <c r="AL56" i="8"/>
  <c r="AE106" i="8"/>
  <c r="AE109" i="8" s="1"/>
  <c r="AG89" i="8"/>
  <c r="AE89" i="8"/>
  <c r="AE80" i="8"/>
  <c r="AE81" i="8"/>
  <c r="AN106" i="8"/>
  <c r="AG104" i="8"/>
  <c r="AG86" i="8"/>
  <c r="AG97" i="8"/>
  <c r="AB98" i="8"/>
  <c r="AL85" i="8"/>
  <c r="AR85" i="8" s="1"/>
  <c r="AB26" i="9"/>
  <c r="AB29" i="9"/>
  <c r="AM81" i="8"/>
  <c r="AK80" i="8"/>
  <c r="AG81" i="8"/>
  <c r="AK86" i="8"/>
  <c r="AK87" i="8"/>
  <c r="AG87" i="8"/>
  <c r="AK96" i="8"/>
  <c r="AG106" i="8"/>
  <c r="AG80" i="8"/>
  <c r="AF86" i="8"/>
  <c r="AH86" i="8"/>
  <c r="AH96" i="8"/>
  <c r="AF89" i="8"/>
  <c r="AI96" i="8"/>
  <c r="AF87" i="8"/>
  <c r="AF106" i="8"/>
  <c r="AF97" i="8"/>
  <c r="AI86" i="8"/>
  <c r="AG95" i="8"/>
  <c r="AJ96" i="8"/>
  <c r="AF80" i="8"/>
  <c r="AJ86" i="8"/>
  <c r="AF81" i="8"/>
  <c r="AG101" i="8"/>
  <c r="AH87" i="8"/>
  <c r="AK88" i="8"/>
  <c r="AG88" i="8"/>
  <c r="AI87" i="8"/>
  <c r="AF88" i="8"/>
  <c r="AJ87" i="8"/>
  <c r="AL86" i="8"/>
  <c r="AR86" i="8" s="1"/>
  <c r="AL88" i="8"/>
  <c r="AR88" i="8" s="1"/>
  <c r="AN88" i="8"/>
  <c r="AL87" i="8"/>
  <c r="AR87" i="8" s="1"/>
  <c r="AL96" i="8"/>
  <c r="AR96" i="8" s="1"/>
  <c r="AM87" i="8"/>
  <c r="AM88" i="8"/>
  <c r="AM86" i="8"/>
  <c r="AM96" i="8"/>
  <c r="AN87" i="8"/>
  <c r="AN86" i="8"/>
  <c r="AN96" i="8"/>
  <c r="AL60" i="8" l="1"/>
  <c r="AR60" i="8" s="1"/>
  <c r="AR56" i="8"/>
  <c r="C69" i="27"/>
  <c r="C62" i="27"/>
  <c r="AB118" i="8"/>
  <c r="AI101" i="8"/>
  <c r="AL106" i="8"/>
  <c r="AR106" i="8" s="1"/>
  <c r="AJ106" i="8"/>
  <c r="AM106" i="8"/>
  <c r="AK106" i="8"/>
  <c r="AE85" i="8"/>
  <c r="AE96" i="8"/>
  <c r="AE93" i="8"/>
  <c r="AJ101" i="8"/>
  <c r="AG96" i="8"/>
  <c r="AO101" i="8"/>
  <c r="AI104" i="8"/>
  <c r="AK104" i="8"/>
  <c r="AN101" i="8"/>
  <c r="AF96" i="8"/>
  <c r="AH106" i="8"/>
  <c r="AO104" i="8"/>
  <c r="AH101" i="8"/>
  <c r="AO106" i="8"/>
  <c r="AM101" i="8"/>
  <c r="AL101" i="8"/>
  <c r="AR101" i="8" s="1"/>
  <c r="AI106" i="8"/>
  <c r="AK101" i="8"/>
  <c r="AF93" i="8"/>
  <c r="AG93" i="8"/>
  <c r="AJ104" i="8"/>
  <c r="AL81" i="8"/>
  <c r="AR81" i="8" s="1"/>
  <c r="AN85" i="8"/>
  <c r="AM85" i="8"/>
  <c r="AN81" i="8"/>
  <c r="AH81" i="8"/>
  <c r="AO95" i="8"/>
  <c r="AK95" i="8"/>
  <c r="AJ81" i="8"/>
  <c r="AG85" i="8"/>
  <c r="AF85" i="8"/>
  <c r="AI80" i="8"/>
  <c r="AN80" i="8"/>
  <c r="AO93" i="8"/>
  <c r="C71" i="27" s="1"/>
  <c r="AJ85" i="8"/>
  <c r="AO81" i="8"/>
  <c r="AO85" i="8"/>
  <c r="AH80" i="8"/>
  <c r="AI81" i="8"/>
  <c r="AB36" i="9"/>
  <c r="AB44" i="9" s="1"/>
  <c r="AB30" i="9"/>
  <c r="AJ80" i="8"/>
  <c r="AK93" i="8"/>
  <c r="AK81" i="8"/>
  <c r="AH104" i="8"/>
  <c r="AH88" i="8"/>
  <c r="AI88" i="8"/>
  <c r="AH95" i="8"/>
  <c r="AF109" i="8"/>
  <c r="AI95" i="8"/>
  <c r="AI93" i="8"/>
  <c r="AJ88" i="8"/>
  <c r="AJ93" i="8"/>
  <c r="AK85" i="8"/>
  <c r="AI85" i="8"/>
  <c r="AH85" i="8"/>
  <c r="AJ95" i="8"/>
  <c r="AH93" i="8"/>
  <c r="AG109" i="8"/>
  <c r="AN104" i="8"/>
  <c r="AN93" i="8"/>
  <c r="AL93" i="8"/>
  <c r="AR93" i="8" s="1"/>
  <c r="AM93" i="8"/>
  <c r="AL104" i="8"/>
  <c r="AR104" i="8" s="1"/>
  <c r="AM104" i="8"/>
  <c r="AM95" i="8"/>
  <c r="AO80" i="8"/>
  <c r="AL80" i="8"/>
  <c r="AR80" i="8" s="1"/>
  <c r="AL95" i="8"/>
  <c r="AR95" i="8" s="1"/>
  <c r="AN95" i="8"/>
  <c r="AM80" i="8"/>
  <c r="C66" i="27" l="1"/>
  <c r="C63" i="27"/>
  <c r="AK109" i="8"/>
  <c r="AJ109" i="8"/>
  <c r="AF98" i="8"/>
  <c r="AG98" i="8"/>
  <c r="AE98" i="8"/>
  <c r="AK98" i="8"/>
  <c r="AI109" i="8"/>
  <c r="AN109" i="8"/>
  <c r="AH109" i="8"/>
  <c r="AH98" i="8"/>
  <c r="AI98" i="8"/>
  <c r="AJ98" i="8"/>
  <c r="AL109" i="8"/>
  <c r="AR109" i="8" s="1"/>
  <c r="AL98" i="8"/>
  <c r="AR98" i="8" s="1"/>
  <c r="AM109" i="8"/>
  <c r="AN98" i="8"/>
  <c r="AM98" i="8"/>
  <c r="C72" i="27" l="1"/>
  <c r="C67" i="27"/>
  <c r="G98" i="8"/>
  <c r="G65" i="8"/>
  <c r="G32" i="24" s="1"/>
  <c r="G56" i="8"/>
  <c r="G60" i="8" s="1"/>
  <c r="G49" i="8"/>
  <c r="G11" i="8"/>
  <c r="G15" i="10" s="1"/>
  <c r="AH40" i="8"/>
  <c r="AL40" i="8"/>
  <c r="AR40" i="8" s="1"/>
  <c r="AE50" i="9"/>
  <c r="AE55" i="9"/>
  <c r="X11" i="8"/>
  <c r="X15" i="10" s="1"/>
  <c r="W11" i="8"/>
  <c r="W15" i="10" s="1"/>
  <c r="V11" i="8"/>
  <c r="V15" i="10" s="1"/>
  <c r="T11" i="8"/>
  <c r="T15" i="10" s="1"/>
  <c r="S11" i="8"/>
  <c r="S15" i="10" s="1"/>
  <c r="R11" i="8"/>
  <c r="R15" i="10" s="1"/>
  <c r="P11" i="8"/>
  <c r="P15" i="10" s="1"/>
  <c r="O11" i="8"/>
  <c r="O15" i="10" s="1"/>
  <c r="N11" i="8"/>
  <c r="N15" i="10" s="1"/>
  <c r="AA11" i="8"/>
  <c r="AA15" i="10" s="1"/>
  <c r="K11" i="8"/>
  <c r="K15" i="10" s="1"/>
  <c r="J11" i="8"/>
  <c r="J15" i="10" s="1"/>
  <c r="I11" i="8"/>
  <c r="I15" i="10" s="1"/>
  <c r="H11" i="8"/>
  <c r="H15" i="10" s="1"/>
  <c r="N109" i="8"/>
  <c r="V98" i="8"/>
  <c r="R98" i="8"/>
  <c r="N98" i="8"/>
  <c r="K98" i="8"/>
  <c r="J98" i="8"/>
  <c r="I98" i="8"/>
  <c r="H98" i="8"/>
  <c r="AO71" i="9"/>
  <c r="AN71" i="9"/>
  <c r="AL71" i="9"/>
  <c r="AK71" i="9"/>
  <c r="AJ71" i="9"/>
  <c r="AH71" i="9"/>
  <c r="AG71" i="9"/>
  <c r="AF71" i="9"/>
  <c r="K65" i="8"/>
  <c r="J65" i="8"/>
  <c r="I65" i="8"/>
  <c r="H65" i="8"/>
  <c r="AL64" i="8"/>
  <c r="AR64" i="8" s="1"/>
  <c r="AL63" i="8"/>
  <c r="AR63" i="8" s="1"/>
  <c r="AA56" i="8"/>
  <c r="X56" i="8"/>
  <c r="W56" i="8"/>
  <c r="V56" i="8"/>
  <c r="T56" i="8"/>
  <c r="S56" i="8"/>
  <c r="R56" i="8"/>
  <c r="P56" i="8"/>
  <c r="O56" i="8"/>
  <c r="N56" i="8"/>
  <c r="K56" i="8"/>
  <c r="K60" i="8" s="1"/>
  <c r="J56" i="8"/>
  <c r="J60" i="8" s="1"/>
  <c r="I56" i="8"/>
  <c r="I60" i="8" s="1"/>
  <c r="H56" i="8"/>
  <c r="H60" i="8" s="1"/>
  <c r="AA49" i="8"/>
  <c r="X49" i="8"/>
  <c r="W49" i="8"/>
  <c r="V49" i="8"/>
  <c r="T49" i="8"/>
  <c r="S49" i="8"/>
  <c r="R49" i="8"/>
  <c r="P49" i="8"/>
  <c r="O49" i="8"/>
  <c r="N49" i="8"/>
  <c r="K49" i="8"/>
  <c r="J49" i="8"/>
  <c r="I49" i="8"/>
  <c r="Y11" i="8"/>
  <c r="Y15" i="10" s="1"/>
  <c r="AO11" i="8"/>
  <c r="AO15" i="10" s="1"/>
  <c r="AA69" i="9"/>
  <c r="Z69" i="9"/>
  <c r="Z72" i="9" s="1"/>
  <c r="Z81" i="9" s="1"/>
  <c r="X69" i="9"/>
  <c r="W69" i="9"/>
  <c r="V69" i="9"/>
  <c r="T69" i="9"/>
  <c r="S69" i="9"/>
  <c r="R69" i="9"/>
  <c r="R72" i="9" s="1"/>
  <c r="R81" i="9" s="1"/>
  <c r="P69" i="9"/>
  <c r="O69" i="9"/>
  <c r="N69" i="9"/>
  <c r="K69" i="9"/>
  <c r="J69" i="9"/>
  <c r="I69" i="9"/>
  <c r="H69" i="9"/>
  <c r="AO64" i="9"/>
  <c r="AN64" i="9"/>
  <c r="AM64" i="9"/>
  <c r="AL64" i="9"/>
  <c r="AK64" i="9"/>
  <c r="AJ64" i="9"/>
  <c r="AI64" i="9"/>
  <c r="AH64" i="9"/>
  <c r="AG64" i="9"/>
  <c r="AF64" i="9"/>
  <c r="AE64" i="9"/>
  <c r="AO63" i="9"/>
  <c r="AN63" i="9"/>
  <c r="AM63" i="9"/>
  <c r="AL63" i="9"/>
  <c r="AK63" i="9"/>
  <c r="AJ63" i="9"/>
  <c r="AI63" i="9"/>
  <c r="AH63" i="9"/>
  <c r="AG63" i="9"/>
  <c r="AF63" i="9"/>
  <c r="AE63" i="9"/>
  <c r="AO58" i="9"/>
  <c r="AN58" i="9"/>
  <c r="AM58" i="9"/>
  <c r="AL58" i="9"/>
  <c r="AK58" i="9"/>
  <c r="AJ58" i="9"/>
  <c r="AI58" i="9"/>
  <c r="AH58" i="9"/>
  <c r="AG58" i="9"/>
  <c r="AF58" i="9"/>
  <c r="AE58" i="9"/>
  <c r="AO56" i="9"/>
  <c r="AN56" i="9"/>
  <c r="AM56" i="9"/>
  <c r="AL56" i="9"/>
  <c r="AK56" i="9"/>
  <c r="AJ56" i="9"/>
  <c r="AI56" i="9"/>
  <c r="AH56" i="9"/>
  <c r="AG56" i="9"/>
  <c r="AF56" i="9"/>
  <c r="AE56" i="9"/>
  <c r="AO55" i="9"/>
  <c r="AN55" i="9"/>
  <c r="AL55" i="9"/>
  <c r="AK55" i="9"/>
  <c r="AJ55" i="9"/>
  <c r="AH55" i="9"/>
  <c r="AG55" i="9"/>
  <c r="AF55" i="9"/>
  <c r="AO50" i="9"/>
  <c r="AN50" i="9"/>
  <c r="AJ50" i="9"/>
  <c r="AH50" i="9"/>
  <c r="AG50" i="9"/>
  <c r="AF50" i="9"/>
  <c r="AN49" i="9"/>
  <c r="AL49" i="9"/>
  <c r="AK49" i="9"/>
  <c r="AJ49" i="9"/>
  <c r="AG49" i="9"/>
  <c r="AL35" i="9"/>
  <c r="AJ35" i="9"/>
  <c r="AI32" i="9"/>
  <c r="AL28" i="9"/>
  <c r="AK28" i="9"/>
  <c r="AM24" i="9"/>
  <c r="AS24" i="9" s="1"/>
  <c r="AE24" i="9"/>
  <c r="AJ20" i="9"/>
  <c r="AM19" i="9"/>
  <c r="AS19" i="9" s="1"/>
  <c r="AE19" i="9"/>
  <c r="H12" i="9"/>
  <c r="H71" i="9" l="1"/>
  <c r="H32" i="24"/>
  <c r="I71" i="9"/>
  <c r="I72" i="9" s="1"/>
  <c r="I81" i="9" s="1"/>
  <c r="I32" i="24"/>
  <c r="G37" i="24"/>
  <c r="G38" i="24" s="1"/>
  <c r="G33" i="24"/>
  <c r="J71" i="9"/>
  <c r="J72" i="9" s="1"/>
  <c r="J81" i="9" s="1"/>
  <c r="J32" i="24"/>
  <c r="K71" i="9"/>
  <c r="K32" i="24"/>
  <c r="AJ52" i="9"/>
  <c r="AG52" i="9"/>
  <c r="AN52" i="9"/>
  <c r="H59" i="9"/>
  <c r="H60" i="9"/>
  <c r="I59" i="9"/>
  <c r="I60" i="9"/>
  <c r="G60" i="9"/>
  <c r="G59" i="9"/>
  <c r="J59" i="9"/>
  <c r="J60" i="9"/>
  <c r="G71" i="9"/>
  <c r="G72" i="9" s="1"/>
  <c r="G81" i="9" s="1"/>
  <c r="K59" i="9"/>
  <c r="K60" i="9"/>
  <c r="S72" i="9"/>
  <c r="S81" i="9" s="1"/>
  <c r="AA72" i="9"/>
  <c r="AA81" i="9" s="1"/>
  <c r="S60" i="8"/>
  <c r="AH39" i="8"/>
  <c r="AH41" i="24" s="1"/>
  <c r="AI49" i="9"/>
  <c r="T60" i="8"/>
  <c r="AL41" i="8"/>
  <c r="AM50" i="9"/>
  <c r="V60" i="8"/>
  <c r="AH41" i="8"/>
  <c r="AH8" i="24" s="1"/>
  <c r="AI50" i="9"/>
  <c r="W60" i="8"/>
  <c r="N60" i="8"/>
  <c r="X60" i="8"/>
  <c r="O60" i="8"/>
  <c r="AN60" i="9"/>
  <c r="AN59" i="9"/>
  <c r="T72" i="9"/>
  <c r="T81" i="9" s="1"/>
  <c r="P60" i="8"/>
  <c r="AA60" i="8"/>
  <c r="AM55" i="9"/>
  <c r="R60" i="8"/>
  <c r="AI55" i="9"/>
  <c r="AL39" i="8"/>
  <c r="AM49" i="9"/>
  <c r="AE69" i="9"/>
  <c r="G14" i="8"/>
  <c r="G15" i="8" s="1"/>
  <c r="P72" i="9"/>
  <c r="AL40" i="9"/>
  <c r="AJ41" i="9"/>
  <c r="AH41" i="9"/>
  <c r="AO49" i="9"/>
  <c r="AO52" i="9" s="1"/>
  <c r="AB45" i="9"/>
  <c r="AI42" i="9"/>
  <c r="AH39" i="9"/>
  <c r="AF40" i="9"/>
  <c r="AN40" i="9"/>
  <c r="AJ42" i="9"/>
  <c r="AL24" i="9"/>
  <c r="AJ28" i="9"/>
  <c r="AH32" i="9"/>
  <c r="AK35" i="9"/>
  <c r="AK40" i="9"/>
  <c r="AG69" i="9"/>
  <c r="AG72" i="9" s="1"/>
  <c r="AG81" i="9" s="1"/>
  <c r="K72" i="9"/>
  <c r="K81" i="9" s="1"/>
  <c r="O72" i="9"/>
  <c r="AL20" i="9"/>
  <c r="AL19" i="9"/>
  <c r="AE49" i="9"/>
  <c r="AE52" i="9" s="1"/>
  <c r="T16" i="9"/>
  <c r="AF49" i="9"/>
  <c r="AF52" i="9" s="1"/>
  <c r="AJ32" i="9"/>
  <c r="AG39" i="9"/>
  <c r="AO39" i="9"/>
  <c r="AK41" i="9"/>
  <c r="R12" i="9"/>
  <c r="Z12" i="9"/>
  <c r="AE20" i="9"/>
  <c r="AM20" i="9"/>
  <c r="AS20" i="9" s="1"/>
  <c r="AG28" i="9"/>
  <c r="AO28" i="9"/>
  <c r="AI39" i="9"/>
  <c r="AK42" i="9"/>
  <c r="AO69" i="9"/>
  <c r="AO72" i="9" s="1"/>
  <c r="AO81" i="9" s="1"/>
  <c r="AF20" i="9"/>
  <c r="AN20" i="9"/>
  <c r="AJ39" i="9"/>
  <c r="AF41" i="9"/>
  <c r="AN41" i="9"/>
  <c r="AL42" i="9"/>
  <c r="AK39" i="9"/>
  <c r="AG41" i="9"/>
  <c r="AO41" i="9"/>
  <c r="AE42" i="9"/>
  <c r="AM42" i="9"/>
  <c r="AG20" i="9"/>
  <c r="AO20" i="9"/>
  <c r="AE39" i="9"/>
  <c r="AM39" i="9"/>
  <c r="AI40" i="9"/>
  <c r="AE41" i="9"/>
  <c r="AM41" i="9"/>
  <c r="AG42" i="9"/>
  <c r="AO42" i="9"/>
  <c r="AN69" i="9"/>
  <c r="AN72" i="9" s="1"/>
  <c r="AN81" i="9" s="1"/>
  <c r="AF19" i="9"/>
  <c r="AN19" i="9"/>
  <c r="AF32" i="9"/>
  <c r="AN32" i="9"/>
  <c r="AH38" i="9"/>
  <c r="AF39" i="9"/>
  <c r="AN39" i="9"/>
  <c r="AJ40" i="9"/>
  <c r="AH42" i="9"/>
  <c r="AF69" i="9"/>
  <c r="AF72" i="9" s="1"/>
  <c r="AF81" i="9" s="1"/>
  <c r="N72" i="9"/>
  <c r="AO24" i="9"/>
  <c r="AI19" i="9"/>
  <c r="AK24" i="9"/>
  <c r="AK38" i="9"/>
  <c r="AE40" i="9"/>
  <c r="AM40" i="9"/>
  <c r="AI41" i="9"/>
  <c r="AO19" i="9"/>
  <c r="Z13" i="9"/>
  <c r="AK19" i="9"/>
  <c r="AK32" i="9"/>
  <c r="AK69" i="9"/>
  <c r="AK72" i="9" s="1"/>
  <c r="AK81" i="9" s="1"/>
  <c r="AF24" i="9"/>
  <c r="AN24" i="9"/>
  <c r="AI28" i="9"/>
  <c r="AE35" i="9"/>
  <c r="AM35" i="9"/>
  <c r="AS35" i="9" s="1"/>
  <c r="AL39" i="9"/>
  <c r="AL41" i="9"/>
  <c r="AL69" i="9"/>
  <c r="AL72" i="9" s="1"/>
  <c r="AL81" i="9" s="1"/>
  <c r="AL65" i="8"/>
  <c r="AR65" i="8" s="1"/>
  <c r="Y44" i="8"/>
  <c r="Y49" i="8" s="1"/>
  <c r="U44" i="8"/>
  <c r="U49" i="8" s="1"/>
  <c r="Q44" i="8"/>
  <c r="Q49" i="8" s="1"/>
  <c r="G109" i="8"/>
  <c r="J14" i="8"/>
  <c r="J19" i="8" s="1"/>
  <c r="J23" i="8" s="1"/>
  <c r="I14" i="8"/>
  <c r="I19" i="8" s="1"/>
  <c r="I23" i="8" s="1"/>
  <c r="V14" i="8"/>
  <c r="V15" i="8" s="1"/>
  <c r="O14" i="8"/>
  <c r="O15" i="8" s="1"/>
  <c r="U11" i="8"/>
  <c r="U15" i="10" s="1"/>
  <c r="Q11" i="8"/>
  <c r="Q15" i="10" s="1"/>
  <c r="K14" i="8"/>
  <c r="K19" i="8" s="1"/>
  <c r="K23" i="8" s="1"/>
  <c r="W14" i="8"/>
  <c r="W15" i="8" s="1"/>
  <c r="N14" i="8"/>
  <c r="N15" i="8" s="1"/>
  <c r="X14" i="8"/>
  <c r="X15" i="8" s="1"/>
  <c r="V109" i="8"/>
  <c r="P14" i="8"/>
  <c r="P19" i="8" s="1"/>
  <c r="P23" i="8" s="1"/>
  <c r="AA14" i="8"/>
  <c r="AA15" i="8" s="1"/>
  <c r="K109" i="8"/>
  <c r="S109" i="8"/>
  <c r="R14" i="8"/>
  <c r="R19" i="8" s="1"/>
  <c r="R23" i="8" s="1"/>
  <c r="H14" i="8"/>
  <c r="H15" i="8" s="1"/>
  <c r="S14" i="8"/>
  <c r="S15" i="8" s="1"/>
  <c r="H109" i="8"/>
  <c r="Y14" i="8"/>
  <c r="I66" i="8"/>
  <c r="I68" i="8" s="1"/>
  <c r="Y56" i="8"/>
  <c r="AE71" i="9"/>
  <c r="O98" i="8"/>
  <c r="J109" i="8"/>
  <c r="Q56" i="8"/>
  <c r="AI71" i="9"/>
  <c r="AA98" i="8"/>
  <c r="X109" i="8"/>
  <c r="I109" i="8"/>
  <c r="U56" i="8"/>
  <c r="AM71" i="9"/>
  <c r="O109" i="8"/>
  <c r="T14" i="8"/>
  <c r="T19" i="8" s="1"/>
  <c r="T23" i="8" s="1"/>
  <c r="AO56" i="8"/>
  <c r="S98" i="8"/>
  <c r="H66" i="8"/>
  <c r="H68" i="8" s="1"/>
  <c r="P98" i="8"/>
  <c r="R109" i="8"/>
  <c r="W98" i="8"/>
  <c r="AO65" i="8"/>
  <c r="K16" i="9"/>
  <c r="K12" i="9"/>
  <c r="I16" i="9"/>
  <c r="I12" i="9"/>
  <c r="J16" i="9"/>
  <c r="J12" i="9"/>
  <c r="R13" i="9"/>
  <c r="AK20" i="9"/>
  <c r="AI20" i="9"/>
  <c r="AH20" i="9"/>
  <c r="AH28" i="9"/>
  <c r="AF28" i="9"/>
  <c r="AE28" i="9"/>
  <c r="AN28" i="9"/>
  <c r="AM28" i="9"/>
  <c r="AS28" i="9" s="1"/>
  <c r="AE15" i="9"/>
  <c r="AJ19" i="9"/>
  <c r="AH19" i="9"/>
  <c r="AG19" i="9"/>
  <c r="AG32" i="9"/>
  <c r="AE32" i="9"/>
  <c r="AO32" i="9"/>
  <c r="AM32" i="9"/>
  <c r="AS32" i="9" s="1"/>
  <c r="AL32" i="9"/>
  <c r="AH35" i="9"/>
  <c r="AB12" i="9"/>
  <c r="AB13" i="9"/>
  <c r="AI35" i="9"/>
  <c r="AG35" i="9"/>
  <c r="AF35" i="9"/>
  <c r="AO35" i="9"/>
  <c r="AN35" i="9"/>
  <c r="AM15" i="9"/>
  <c r="AS15" i="9" s="1"/>
  <c r="AE34" i="9"/>
  <c r="AK50" i="9"/>
  <c r="AK52" i="9" s="1"/>
  <c r="V72" i="9"/>
  <c r="V81" i="9" s="1"/>
  <c r="H16" i="9"/>
  <c r="AI24" i="9"/>
  <c r="AO34" i="9"/>
  <c r="AJ15" i="9"/>
  <c r="AJ24" i="9"/>
  <c r="AH24" i="9"/>
  <c r="AG24" i="9"/>
  <c r="AG38" i="9"/>
  <c r="AF38" i="9"/>
  <c r="AE38" i="9"/>
  <c r="AO38" i="9"/>
  <c r="AN38" i="9"/>
  <c r="AM38" i="9"/>
  <c r="AI38" i="9"/>
  <c r="AG40" i="9"/>
  <c r="AO40" i="9"/>
  <c r="AJ38" i="9"/>
  <c r="AH40" i="9"/>
  <c r="AF42" i="9"/>
  <c r="AN42" i="9"/>
  <c r="AH69" i="9"/>
  <c r="AL38" i="9"/>
  <c r="AO33" i="9"/>
  <c r="AJ69" i="9"/>
  <c r="AH49" i="9"/>
  <c r="AH52" i="9" s="1"/>
  <c r="W72" i="9"/>
  <c r="W81" i="9" s="1"/>
  <c r="AL50" i="9"/>
  <c r="AL52" i="9" s="1"/>
  <c r="X72" i="9"/>
  <c r="X81" i="9" s="1"/>
  <c r="H72" i="9"/>
  <c r="H81" i="9" s="1"/>
  <c r="AL8" i="24" l="1"/>
  <c r="AR41" i="8"/>
  <c r="AL41" i="24"/>
  <c r="AR39" i="8"/>
  <c r="AM22" i="24" a="1"/>
  <c r="AM22" i="24" s="1"/>
  <c r="AM26" i="24" s="1"/>
  <c r="AL11" i="24"/>
  <c r="AL18" i="24" s="1"/>
  <c r="AL22" i="24" a="1"/>
  <c r="AL22" i="24" s="1"/>
  <c r="AL26" i="24" s="1"/>
  <c r="AL66" i="8"/>
  <c r="AR66" i="8" s="1"/>
  <c r="AL32" i="24"/>
  <c r="AO32" i="24"/>
  <c r="AH52" i="24"/>
  <c r="AH54" i="24" s="1"/>
  <c r="AH43" i="24"/>
  <c r="AH46" i="24"/>
  <c r="AH48" i="24" s="1"/>
  <c r="AH58" i="24"/>
  <c r="AH60" i="24" s="1"/>
  <c r="I37" i="24"/>
  <c r="I38" i="24" s="1"/>
  <c r="I33" i="24"/>
  <c r="J33" i="24"/>
  <c r="J37" i="24"/>
  <c r="J38" i="24" s="1"/>
  <c r="AL52" i="24"/>
  <c r="AL54" i="24" s="1"/>
  <c r="AL58" i="24"/>
  <c r="AL60" i="24" s="1"/>
  <c r="AL46" i="24"/>
  <c r="AL48" i="24" s="1"/>
  <c r="AL43" i="24"/>
  <c r="AH11" i="24"/>
  <c r="AH18" i="24" s="1"/>
  <c r="AI22" i="24" a="1"/>
  <c r="AI22" i="24" s="1"/>
  <c r="AI26" i="24" s="1"/>
  <c r="AH22" i="24" a="1"/>
  <c r="AH22" i="24" s="1"/>
  <c r="AH26" i="24" s="1"/>
  <c r="K37" i="24"/>
  <c r="K38" i="24" s="1"/>
  <c r="K33" i="24"/>
  <c r="H37" i="24"/>
  <c r="H38" i="24" s="1"/>
  <c r="H33" i="24"/>
  <c r="AI52" i="9"/>
  <c r="AM52" i="9"/>
  <c r="R59" i="9"/>
  <c r="AF59" i="9" s="1"/>
  <c r="R60" i="9"/>
  <c r="AF60" i="9" s="1"/>
  <c r="W60" i="9"/>
  <c r="AK60" i="9" s="1"/>
  <c r="W59" i="9"/>
  <c r="AK59" i="9" s="1"/>
  <c r="T59" i="9"/>
  <c r="AH59" i="9" s="1"/>
  <c r="T60" i="9"/>
  <c r="AH60" i="9" s="1"/>
  <c r="P60" i="9"/>
  <c r="P59" i="9"/>
  <c r="O60" i="9"/>
  <c r="O59" i="9"/>
  <c r="V60" i="9"/>
  <c r="AJ60" i="9" s="1"/>
  <c r="V59" i="9"/>
  <c r="AJ59" i="9" s="1"/>
  <c r="S59" i="9"/>
  <c r="AG59" i="9" s="1"/>
  <c r="S60" i="9"/>
  <c r="AG60" i="9" s="1"/>
  <c r="N60" i="9"/>
  <c r="N59" i="9"/>
  <c r="AA59" i="9"/>
  <c r="AO59" i="9" s="1"/>
  <c r="AA60" i="9"/>
  <c r="AO60" i="9" s="1"/>
  <c r="X60" i="9"/>
  <c r="AL60" i="9" s="1"/>
  <c r="X59" i="9"/>
  <c r="AL59" i="9" s="1"/>
  <c r="AM69" i="9"/>
  <c r="AM72" i="9" s="1"/>
  <c r="AM81" i="9" s="1"/>
  <c r="AI69" i="9"/>
  <c r="AI72" i="9" s="1"/>
  <c r="AI81" i="9" s="1"/>
  <c r="X66" i="8"/>
  <c r="X68" i="8" s="1"/>
  <c r="T66" i="8"/>
  <c r="T68" i="8" s="1"/>
  <c r="V66" i="8"/>
  <c r="V68" i="8" s="1"/>
  <c r="Y69" i="9"/>
  <c r="Y72" i="9" s="1"/>
  <c r="Y81" i="9" s="1"/>
  <c r="P66" i="8"/>
  <c r="P68" i="8" s="1"/>
  <c r="G19" i="8"/>
  <c r="G23" i="8" s="1"/>
  <c r="G26" i="8" s="1"/>
  <c r="G75" i="8" s="1"/>
  <c r="G90" i="8" s="1"/>
  <c r="AL44" i="8"/>
  <c r="N66" i="8"/>
  <c r="N68" i="8" s="1"/>
  <c r="AH44" i="8"/>
  <c r="AH49" i="8" s="1"/>
  <c r="AH68" i="8" s="1"/>
  <c r="AA66" i="8"/>
  <c r="AA68" i="8" s="1"/>
  <c r="W66" i="8"/>
  <c r="W68" i="8" s="1"/>
  <c r="R66" i="8"/>
  <c r="R68" i="8" s="1"/>
  <c r="S66" i="8"/>
  <c r="S68" i="8" s="1"/>
  <c r="O66" i="8"/>
  <c r="O68" i="8" s="1"/>
  <c r="J66" i="8"/>
  <c r="J68" i="8" s="1"/>
  <c r="K66" i="8"/>
  <c r="K68" i="8" s="1"/>
  <c r="G66" i="8"/>
  <c r="G68" i="8" s="1"/>
  <c r="Q60" i="8"/>
  <c r="U60" i="8"/>
  <c r="U69" i="9"/>
  <c r="U72" i="9" s="1"/>
  <c r="U81" i="9" s="1"/>
  <c r="AO60" i="8"/>
  <c r="Q69" i="9"/>
  <c r="Q72" i="9" s="1"/>
  <c r="Q81" i="9" s="1"/>
  <c r="Y60" i="8"/>
  <c r="U13" i="9"/>
  <c r="Y12" i="9"/>
  <c r="V12" i="9"/>
  <c r="W13" i="9"/>
  <c r="Y16" i="9"/>
  <c r="Y21" i="9" s="1"/>
  <c r="T13" i="9"/>
  <c r="V13" i="9"/>
  <c r="S13" i="9"/>
  <c r="W16" i="9"/>
  <c r="W17" i="9" s="1"/>
  <c r="U16" i="9"/>
  <c r="U21" i="9" s="1"/>
  <c r="AI33" i="9"/>
  <c r="AM16" i="9"/>
  <c r="AS16" i="9" s="1"/>
  <c r="AG34" i="9"/>
  <c r="O13" i="9"/>
  <c r="AG33" i="9"/>
  <c r="AH34" i="9"/>
  <c r="AF34" i="9"/>
  <c r="W12" i="9"/>
  <c r="AJ16" i="9"/>
  <c r="AK34" i="9"/>
  <c r="AE33" i="9"/>
  <c r="S12" i="9"/>
  <c r="AF33" i="9"/>
  <c r="AE16" i="9"/>
  <c r="O16" i="9"/>
  <c r="O17" i="9" s="1"/>
  <c r="AL33" i="9"/>
  <c r="AI34" i="9"/>
  <c r="U12" i="9"/>
  <c r="AO44" i="8"/>
  <c r="J15" i="8"/>
  <c r="K15" i="8"/>
  <c r="I15" i="8"/>
  <c r="O19" i="8"/>
  <c r="V19" i="8"/>
  <c r="W19" i="8"/>
  <c r="U14" i="8"/>
  <c r="U19" i="8" s="1"/>
  <c r="P15" i="8"/>
  <c r="H19" i="8"/>
  <c r="X19" i="8"/>
  <c r="S19" i="8"/>
  <c r="S23" i="8" s="1"/>
  <c r="Q14" i="8"/>
  <c r="Q19" i="8" s="1"/>
  <c r="AA19" i="8"/>
  <c r="N19" i="8"/>
  <c r="Y109" i="8"/>
  <c r="T15" i="8"/>
  <c r="AO14" i="8"/>
  <c r="AO109" i="8"/>
  <c r="W109" i="8"/>
  <c r="R15" i="8"/>
  <c r="T98" i="8"/>
  <c r="U98" i="8"/>
  <c r="U109" i="8"/>
  <c r="Q98" i="8"/>
  <c r="Y98" i="8"/>
  <c r="T26" i="8"/>
  <c r="T20" i="8"/>
  <c r="P20" i="8"/>
  <c r="P26" i="8"/>
  <c r="P75" i="8" s="1"/>
  <c r="P90" i="8" s="1"/>
  <c r="J26" i="8"/>
  <c r="J75" i="8" s="1"/>
  <c r="J90" i="8" s="1"/>
  <c r="J20" i="8"/>
  <c r="R20" i="8"/>
  <c r="R26" i="8"/>
  <c r="T109" i="8"/>
  <c r="P109" i="8"/>
  <c r="Y19" i="8"/>
  <c r="Y23" i="8" s="1"/>
  <c r="Y15" i="8"/>
  <c r="I26" i="8"/>
  <c r="I75" i="8" s="1"/>
  <c r="I90" i="8" s="1"/>
  <c r="I20" i="8"/>
  <c r="X98" i="8"/>
  <c r="K26" i="8"/>
  <c r="K75" i="8" s="1"/>
  <c r="K90" i="8" s="1"/>
  <c r="K20" i="8"/>
  <c r="T21" i="9"/>
  <c r="T17" i="9"/>
  <c r="AL34" i="9"/>
  <c r="AN33" i="9"/>
  <c r="AM33" i="9"/>
  <c r="AS33" i="9" s="1"/>
  <c r="AO15" i="9"/>
  <c r="AK15" i="9"/>
  <c r="J21" i="9"/>
  <c r="J17" i="9"/>
  <c r="AE72" i="9"/>
  <c r="AE81" i="9" s="1"/>
  <c r="AI15" i="9"/>
  <c r="X12" i="9"/>
  <c r="X16" i="9"/>
  <c r="X13" i="9"/>
  <c r="P16" i="9"/>
  <c r="P13" i="9"/>
  <c r="AG15" i="9"/>
  <c r="Z16" i="9"/>
  <c r="AH72" i="9"/>
  <c r="AH81" i="9" s="1"/>
  <c r="AF15" i="9"/>
  <c r="AH15" i="9"/>
  <c r="AK33" i="9"/>
  <c r="AN15" i="9"/>
  <c r="AP12" i="9"/>
  <c r="AL15" i="9"/>
  <c r="S16" i="9"/>
  <c r="Y13" i="9"/>
  <c r="AJ72" i="9"/>
  <c r="AJ81" i="9" s="1"/>
  <c r="H21" i="9"/>
  <c r="H17" i="9"/>
  <c r="AM34" i="9"/>
  <c r="AS34" i="9" s="1"/>
  <c r="AJ34" i="9"/>
  <c r="AA12" i="9"/>
  <c r="AA16" i="9"/>
  <c r="AA13" i="9"/>
  <c r="Q16" i="9"/>
  <c r="Q13" i="9"/>
  <c r="T12" i="9"/>
  <c r="R16" i="9"/>
  <c r="K21" i="9"/>
  <c r="K17" i="9"/>
  <c r="V16" i="9"/>
  <c r="I21" i="9"/>
  <c r="I17" i="9"/>
  <c r="AN34" i="9"/>
  <c r="AJ33" i="9"/>
  <c r="AH33" i="9"/>
  <c r="N16" i="9"/>
  <c r="AL49" i="8" l="1"/>
  <c r="AR49" i="8" s="1"/>
  <c r="AR44" i="8"/>
  <c r="AL68" i="8"/>
  <c r="AO37" i="24"/>
  <c r="AO38" i="24" s="1"/>
  <c r="AO33" i="24"/>
  <c r="AL37" i="24"/>
  <c r="AL38" i="24" s="1"/>
  <c r="AL33" i="24"/>
  <c r="AH19" i="24"/>
  <c r="AI19" i="24"/>
  <c r="AL19" i="24"/>
  <c r="AM19" i="24"/>
  <c r="G20" i="8"/>
  <c r="U59" i="9"/>
  <c r="AI59" i="9" s="1"/>
  <c r="U60" i="9"/>
  <c r="AI60" i="9" s="1"/>
  <c r="Y60" i="9"/>
  <c r="AM60" i="9" s="1"/>
  <c r="Y59" i="9"/>
  <c r="AM59" i="9" s="1"/>
  <c r="Q60" i="9"/>
  <c r="AE60" i="9" s="1"/>
  <c r="Q59" i="9"/>
  <c r="AE59" i="9" s="1"/>
  <c r="AN16" i="9"/>
  <c r="AN21" i="9" s="1"/>
  <c r="H23" i="8"/>
  <c r="H26" i="8" s="1"/>
  <c r="U23" i="8"/>
  <c r="U26" i="8" s="1"/>
  <c r="N23" i="8"/>
  <c r="N26" i="8" s="1"/>
  <c r="W23" i="8"/>
  <c r="W26" i="8" s="1"/>
  <c r="AA23" i="8"/>
  <c r="AA26" i="8" s="1"/>
  <c r="V23" i="8"/>
  <c r="V26" i="8" s="1"/>
  <c r="Q20" i="8"/>
  <c r="Q23" i="8"/>
  <c r="Q26" i="8" s="1"/>
  <c r="O20" i="8"/>
  <c r="O23" i="8"/>
  <c r="O26" i="8" s="1"/>
  <c r="O75" i="8" s="1"/>
  <c r="O90" i="8" s="1"/>
  <c r="X23" i="8"/>
  <c r="X26" i="8" s="1"/>
  <c r="AO66" i="8"/>
  <c r="S26" i="8"/>
  <c r="U66" i="8"/>
  <c r="U68" i="8" s="1"/>
  <c r="Q66" i="8"/>
  <c r="Q68" i="8" s="1"/>
  <c r="Y66" i="8"/>
  <c r="Y68" i="8" s="1"/>
  <c r="AO49" i="8"/>
  <c r="Y17" i="9"/>
  <c r="U17" i="9"/>
  <c r="K30" i="8"/>
  <c r="K33" i="8"/>
  <c r="I30" i="8"/>
  <c r="I33" i="8"/>
  <c r="J33" i="8"/>
  <c r="J30" i="8"/>
  <c r="R30" i="8"/>
  <c r="R33" i="8"/>
  <c r="P30" i="8"/>
  <c r="P33" i="8"/>
  <c r="T33" i="8"/>
  <c r="T30" i="8"/>
  <c r="G118" i="8"/>
  <c r="G33" i="8"/>
  <c r="G30" i="8"/>
  <c r="W21" i="9"/>
  <c r="W22" i="9" s="1"/>
  <c r="AF16" i="9"/>
  <c r="AF17" i="9" s="1"/>
  <c r="AM12" i="9"/>
  <c r="AS12" i="9" s="1"/>
  <c r="AI12" i="9"/>
  <c r="AK12" i="9"/>
  <c r="AK16" i="9"/>
  <c r="AK17" i="9" s="1"/>
  <c r="AO12" i="9"/>
  <c r="AJ12" i="9"/>
  <c r="AG16" i="9"/>
  <c r="AG17" i="9" s="1"/>
  <c r="AN12" i="9"/>
  <c r="AH16" i="9"/>
  <c r="AH17" i="9" s="1"/>
  <c r="AI16" i="9"/>
  <c r="AI21" i="9" s="1"/>
  <c r="O21" i="9"/>
  <c r="O22" i="9" s="1"/>
  <c r="AO19" i="8"/>
  <c r="T27" i="8"/>
  <c r="T75" i="8"/>
  <c r="T90" i="8" s="1"/>
  <c r="K27" i="8"/>
  <c r="K118" i="8"/>
  <c r="I27" i="8"/>
  <c r="I118" i="8"/>
  <c r="J27" i="8"/>
  <c r="J118" i="8"/>
  <c r="R27" i="8"/>
  <c r="R75" i="8"/>
  <c r="R90" i="8" s="1"/>
  <c r="P27" i="8"/>
  <c r="G27" i="8"/>
  <c r="V20" i="8"/>
  <c r="W20" i="8"/>
  <c r="X20" i="8"/>
  <c r="H20" i="8"/>
  <c r="N20" i="8"/>
  <c r="U15" i="8"/>
  <c r="S20" i="8"/>
  <c r="AA20" i="8"/>
  <c r="Q15" i="8"/>
  <c r="AO98" i="8"/>
  <c r="AO15" i="8"/>
  <c r="U20" i="8"/>
  <c r="Y20" i="8"/>
  <c r="Y26" i="8"/>
  <c r="Q109" i="8"/>
  <c r="N21" i="9"/>
  <c r="N17" i="9"/>
  <c r="I25" i="9"/>
  <c r="I22" i="9"/>
  <c r="H25" i="9"/>
  <c r="H22" i="9"/>
  <c r="AL16" i="9"/>
  <c r="AL12" i="9"/>
  <c r="P17" i="9"/>
  <c r="P21" i="9"/>
  <c r="AM21" i="9"/>
  <c r="AS21" i="9" s="1"/>
  <c r="AM17" i="9"/>
  <c r="AS17" i="9" s="1"/>
  <c r="V21" i="9"/>
  <c r="V17" i="9"/>
  <c r="Q17" i="9"/>
  <c r="Q21" i="9"/>
  <c r="J25" i="9"/>
  <c r="J22" i="9"/>
  <c r="T25" i="9"/>
  <c r="T22" i="9"/>
  <c r="AA21" i="9"/>
  <c r="AA17" i="9"/>
  <c r="X17" i="9"/>
  <c r="X21" i="9"/>
  <c r="Y25" i="9"/>
  <c r="Y22" i="9"/>
  <c r="U22" i="9"/>
  <c r="U25" i="9"/>
  <c r="AJ17" i="9"/>
  <c r="AJ21" i="9"/>
  <c r="AO16" i="9"/>
  <c r="K22" i="9"/>
  <c r="K25" i="9"/>
  <c r="Z21" i="9"/>
  <c r="Z17" i="9"/>
  <c r="R21" i="9"/>
  <c r="R17" i="9"/>
  <c r="S21" i="9"/>
  <c r="S17" i="9"/>
  <c r="AE21" i="9"/>
  <c r="AE17" i="9"/>
  <c r="AN17" i="9" l="1"/>
  <c r="AA27" i="8"/>
  <c r="AA75" i="8"/>
  <c r="AP75" i="8" s="1"/>
  <c r="AA33" i="8"/>
  <c r="AA30" i="8"/>
  <c r="W30" i="8"/>
  <c r="W27" i="8"/>
  <c r="W33" i="8"/>
  <c r="W75" i="8"/>
  <c r="X30" i="8"/>
  <c r="X33" i="8"/>
  <c r="X27" i="8"/>
  <c r="X75" i="8"/>
  <c r="X90" i="8" s="1"/>
  <c r="X118" i="8" s="1"/>
  <c r="N75" i="8"/>
  <c r="N90" i="8" s="1"/>
  <c r="N30" i="8"/>
  <c r="N27" i="8"/>
  <c r="N33" i="8"/>
  <c r="V27" i="8"/>
  <c r="V30" i="8"/>
  <c r="V75" i="8"/>
  <c r="V33" i="8"/>
  <c r="U27" i="8"/>
  <c r="U75" i="8"/>
  <c r="U30" i="8"/>
  <c r="U33" i="8"/>
  <c r="H75" i="8"/>
  <c r="H27" i="8"/>
  <c r="H33" i="8"/>
  <c r="H30" i="8"/>
  <c r="AO23" i="8"/>
  <c r="S27" i="8"/>
  <c r="S75" i="8"/>
  <c r="S90" i="8" s="1"/>
  <c r="S30" i="8"/>
  <c r="S33" i="8"/>
  <c r="AO68" i="8"/>
  <c r="AF21" i="9"/>
  <c r="AF25" i="9" s="1"/>
  <c r="AI17" i="9"/>
  <c r="W25" i="9"/>
  <c r="W29" i="9" s="1"/>
  <c r="AG21" i="9"/>
  <c r="AG22" i="9" s="1"/>
  <c r="Q30" i="8"/>
  <c r="Q33" i="8"/>
  <c r="O30" i="8"/>
  <c r="O33" i="8"/>
  <c r="Y33" i="8"/>
  <c r="Y30" i="8"/>
  <c r="AK21" i="9"/>
  <c r="AK25" i="9" s="1"/>
  <c r="O25" i="9"/>
  <c r="O29" i="9" s="1"/>
  <c r="AH21" i="9"/>
  <c r="AH22" i="9" s="1"/>
  <c r="AO20" i="8"/>
  <c r="P118" i="8"/>
  <c r="T118" i="8"/>
  <c r="R118" i="8"/>
  <c r="Y27" i="8"/>
  <c r="Y75" i="8"/>
  <c r="Y90" i="8" s="1"/>
  <c r="O27" i="8"/>
  <c r="O118" i="8"/>
  <c r="Q27" i="8"/>
  <c r="Q75" i="8"/>
  <c r="Q90" i="8" s="1"/>
  <c r="K26" i="9"/>
  <c r="K29" i="9"/>
  <c r="S25" i="9"/>
  <c r="S22" i="9"/>
  <c r="Y29" i="9"/>
  <c r="Y26" i="9"/>
  <c r="J26" i="9"/>
  <c r="J29" i="9"/>
  <c r="AM25" i="9"/>
  <c r="AS25" i="9" s="1"/>
  <c r="AM22" i="9"/>
  <c r="AS22" i="9" s="1"/>
  <c r="H29" i="9"/>
  <c r="H26" i="9"/>
  <c r="AN22" i="9"/>
  <c r="AN25" i="9"/>
  <c r="AL21" i="9"/>
  <c r="AL17" i="9"/>
  <c r="AJ25" i="9"/>
  <c r="AJ22" i="9"/>
  <c r="AI22" i="9"/>
  <c r="AI25" i="9"/>
  <c r="T26" i="9"/>
  <c r="T29" i="9"/>
  <c r="X22" i="9"/>
  <c r="X25" i="9"/>
  <c r="I29" i="9"/>
  <c r="I26" i="9"/>
  <c r="Z25" i="9"/>
  <c r="Z22" i="9"/>
  <c r="V22" i="9"/>
  <c r="V25" i="9"/>
  <c r="R25" i="9"/>
  <c r="R22" i="9"/>
  <c r="U26" i="9"/>
  <c r="U29" i="9"/>
  <c r="Q25" i="9"/>
  <c r="Q22" i="9"/>
  <c r="AO21" i="9"/>
  <c r="AO17" i="9"/>
  <c r="P22" i="9"/>
  <c r="P25" i="9"/>
  <c r="AE25" i="9"/>
  <c r="AE22" i="9"/>
  <c r="AA25" i="9"/>
  <c r="AA22" i="9"/>
  <c r="N22" i="9"/>
  <c r="N25" i="9"/>
  <c r="AP90" i="8" l="1"/>
  <c r="U90" i="8"/>
  <c r="U118" i="8" s="1"/>
  <c r="AA90" i="8"/>
  <c r="AA118" i="8" s="1"/>
  <c r="V90" i="8"/>
  <c r="V118" i="8" s="1"/>
  <c r="H90" i="8"/>
  <c r="H118" i="8" s="1"/>
  <c r="W90" i="8"/>
  <c r="W118" i="8" s="1"/>
  <c r="N118" i="8"/>
  <c r="AN75" i="8"/>
  <c r="AN90" i="8" s="1"/>
  <c r="AN118" i="8" s="1"/>
  <c r="AH75" i="8"/>
  <c r="AH90" i="8" s="1"/>
  <c r="AH118" i="8" s="1"/>
  <c r="AJ75" i="8"/>
  <c r="AJ90" i="8" s="1"/>
  <c r="AJ118" i="8" s="1"/>
  <c r="AI75" i="8"/>
  <c r="AI90" i="8" s="1"/>
  <c r="AI118" i="8" s="1"/>
  <c r="S118" i="8"/>
  <c r="AK75" i="8"/>
  <c r="AK90" i="8" s="1"/>
  <c r="AK118" i="8" s="1"/>
  <c r="AG25" i="9"/>
  <c r="AG26" i="9" s="1"/>
  <c r="AO26" i="8"/>
  <c r="AO33" i="8" s="1"/>
  <c r="AG75" i="8"/>
  <c r="AG90" i="8" s="1"/>
  <c r="AG118" i="8" s="1"/>
  <c r="AE75" i="8"/>
  <c r="AE90" i="8" s="1"/>
  <c r="AE118" i="8" s="1"/>
  <c r="AF22" i="9"/>
  <c r="W26" i="9"/>
  <c r="AK22" i="9"/>
  <c r="O26" i="9"/>
  <c r="AH25" i="9"/>
  <c r="AH29" i="9" s="1"/>
  <c r="AF75" i="8"/>
  <c r="AF90" i="8" s="1"/>
  <c r="AF118" i="8" s="1"/>
  <c r="AL75" i="8"/>
  <c r="AL90" i="8" s="1"/>
  <c r="AL118" i="8" s="1"/>
  <c r="Y118" i="8"/>
  <c r="AO75" i="8"/>
  <c r="AM75" i="8"/>
  <c r="AM90" i="8" s="1"/>
  <c r="AM118" i="8" s="1"/>
  <c r="Q118" i="8"/>
  <c r="R29" i="9"/>
  <c r="R26" i="9"/>
  <c r="AK29" i="9"/>
  <c r="AK26" i="9"/>
  <c r="V26" i="9"/>
  <c r="V29" i="9"/>
  <c r="W80" i="9" s="1" a="1"/>
  <c r="W80" i="9" s="1"/>
  <c r="AO22" i="9"/>
  <c r="AO25" i="9"/>
  <c r="O36" i="9"/>
  <c r="O44" i="9" s="1"/>
  <c r="O30" i="9"/>
  <c r="AJ29" i="9"/>
  <c r="AJ26" i="9"/>
  <c r="AM26" i="9"/>
  <c r="AS26" i="9" s="1"/>
  <c r="AM29" i="9"/>
  <c r="AS29" i="9" s="1"/>
  <c r="S29" i="9"/>
  <c r="S26" i="9"/>
  <c r="H79" i="9" a="1"/>
  <c r="H79" i="9" s="1"/>
  <c r="H80" i="9" a="1"/>
  <c r="H80" i="9" s="1"/>
  <c r="H78" i="9"/>
  <c r="H36" i="9"/>
  <c r="H30" i="9"/>
  <c r="H77" i="9"/>
  <c r="H76" i="9"/>
  <c r="J80" i="9" a="1"/>
  <c r="J80" i="9" s="1"/>
  <c r="J78" i="9"/>
  <c r="J79" i="9" a="1"/>
  <c r="J79" i="9" s="1"/>
  <c r="J30" i="9"/>
  <c r="J36" i="9"/>
  <c r="J44" i="9" s="1"/>
  <c r="J76" i="9"/>
  <c r="J77" i="9"/>
  <c r="K79" i="9" a="1"/>
  <c r="K79" i="9" s="1"/>
  <c r="K78" i="9"/>
  <c r="K80" i="9" a="1"/>
  <c r="K80" i="9" s="1"/>
  <c r="K30" i="9"/>
  <c r="K77" i="9"/>
  <c r="K36" i="9"/>
  <c r="K44" i="9" s="1"/>
  <c r="K76" i="9"/>
  <c r="W30" i="9"/>
  <c r="W36" i="9"/>
  <c r="W44" i="9" s="1"/>
  <c r="AA29" i="9"/>
  <c r="AA26" i="9"/>
  <c r="AF26" i="9"/>
  <c r="AF29" i="9"/>
  <c r="Q29" i="9"/>
  <c r="Q26" i="9"/>
  <c r="Z29" i="9"/>
  <c r="Z26" i="9"/>
  <c r="AL25" i="9"/>
  <c r="AL22" i="9"/>
  <c r="AI29" i="9"/>
  <c r="AI26" i="9"/>
  <c r="AE26" i="9"/>
  <c r="AE29" i="9"/>
  <c r="U36" i="9"/>
  <c r="U44" i="9" s="1"/>
  <c r="U30" i="9"/>
  <c r="T36" i="9"/>
  <c r="T44" i="9" s="1"/>
  <c r="T30" i="9"/>
  <c r="AN26" i="9"/>
  <c r="AN29" i="9"/>
  <c r="X29" i="9"/>
  <c r="X26" i="9"/>
  <c r="N26" i="9"/>
  <c r="N29" i="9"/>
  <c r="P29" i="9"/>
  <c r="P26" i="9"/>
  <c r="I80" i="9" a="1"/>
  <c r="I80" i="9" s="1"/>
  <c r="I78" i="9"/>
  <c r="I36" i="9"/>
  <c r="I44" i="9" s="1"/>
  <c r="I30" i="9"/>
  <c r="I79" i="9" a="1"/>
  <c r="I79" i="9" s="1"/>
  <c r="I77" i="9"/>
  <c r="I76" i="9"/>
  <c r="Y30" i="9"/>
  <c r="Y36" i="9"/>
  <c r="Y44" i="9" s="1"/>
  <c r="AR90" i="8" l="1"/>
  <c r="AP118" i="8"/>
  <c r="AR75" i="8"/>
  <c r="AC80" i="9" a="1"/>
  <c r="AC80" i="9" s="1"/>
  <c r="AC79" i="9" a="1"/>
  <c r="AC79" i="9" s="1"/>
  <c r="AC78" i="9" a="1"/>
  <c r="AC78" i="9" s="1"/>
  <c r="AC77" i="9"/>
  <c r="AC76" i="9"/>
  <c r="AO90" i="8"/>
  <c r="AO118" i="8" s="1"/>
  <c r="AG29" i="9"/>
  <c r="AG36" i="9" s="1"/>
  <c r="AO30" i="8"/>
  <c r="AO27" i="8"/>
  <c r="W79" i="9" a="1"/>
  <c r="W79" i="9" s="1"/>
  <c r="H44" i="9"/>
  <c r="H45" i="9" s="1"/>
  <c r="Z79" i="9" a="1"/>
  <c r="Z79" i="9" s="1"/>
  <c r="AB77" i="9"/>
  <c r="AB79" i="9" a="1"/>
  <c r="AB79" i="9" s="1"/>
  <c r="AB76" i="9"/>
  <c r="AB78" i="9" a="1"/>
  <c r="AB78" i="9" s="1"/>
  <c r="AH26" i="9"/>
  <c r="AB80" i="9" a="1"/>
  <c r="AB80" i="9" s="1"/>
  <c r="X79" i="9" a="1"/>
  <c r="X79" i="9" s="1"/>
  <c r="Z77" i="9"/>
  <c r="S80" i="9" a="1"/>
  <c r="S80" i="9" s="1"/>
  <c r="S79" i="9" a="1"/>
  <c r="S79" i="9" s="1"/>
  <c r="S78" i="9" a="1"/>
  <c r="S78" i="9" s="1"/>
  <c r="S76" i="9"/>
  <c r="P36" i="9"/>
  <c r="P44" i="9" s="1"/>
  <c r="P30" i="9"/>
  <c r="S77" i="9"/>
  <c r="R79" i="9" a="1"/>
  <c r="R79" i="9" s="1"/>
  <c r="V36" i="9"/>
  <c r="V44" i="9" s="1"/>
  <c r="Y79" i="9" a="1"/>
  <c r="Y79" i="9" s="1"/>
  <c r="Y78" i="9" a="1"/>
  <c r="Y78" i="9" s="1"/>
  <c r="Y80" i="9" a="1"/>
  <c r="Y80" i="9" s="1"/>
  <c r="V30" i="9"/>
  <c r="Y76" i="9"/>
  <c r="Y77" i="9"/>
  <c r="N36" i="9"/>
  <c r="Q79" i="9" a="1"/>
  <c r="Q79" i="9" s="1"/>
  <c r="Q78" i="9" a="1"/>
  <c r="Q78" i="9" s="1"/>
  <c r="Q80" i="9" a="1"/>
  <c r="Q80" i="9" s="1"/>
  <c r="N30" i="9"/>
  <c r="Q76" i="9"/>
  <c r="Q77" i="9"/>
  <c r="W77" i="9"/>
  <c r="X76" i="9"/>
  <c r="AE36" i="9"/>
  <c r="AE79" i="9" a="1"/>
  <c r="AE79" i="9" s="1"/>
  <c r="AE78" i="9"/>
  <c r="AE30" i="9"/>
  <c r="AE80" i="9" a="1"/>
  <c r="AE80" i="9" s="1"/>
  <c r="AE77" i="9"/>
  <c r="AE76" i="9"/>
  <c r="K45" i="9"/>
  <c r="AM36" i="9"/>
  <c r="AS36" i="9" s="1"/>
  <c r="AM79" i="9" a="1"/>
  <c r="AM79" i="9" s="1"/>
  <c r="AM78" i="9"/>
  <c r="AM30" i="9"/>
  <c r="AS30" i="9" s="1"/>
  <c r="AM80" i="9" a="1"/>
  <c r="AM80" i="9" s="1"/>
  <c r="AM77" i="9"/>
  <c r="AM76" i="9"/>
  <c r="O45" i="9"/>
  <c r="W76" i="9"/>
  <c r="T79" i="9" a="1"/>
  <c r="T79" i="9" s="1"/>
  <c r="T78" i="9" a="1"/>
  <c r="T78" i="9" s="1"/>
  <c r="Q36" i="9"/>
  <c r="Q44" i="9" s="1"/>
  <c r="Q30" i="9"/>
  <c r="T80" i="9" a="1"/>
  <c r="T80" i="9" s="1"/>
  <c r="T76" i="9"/>
  <c r="T77" i="9"/>
  <c r="J45" i="9"/>
  <c r="R76" i="9"/>
  <c r="Z36" i="9"/>
  <c r="Z44" i="9" s="1"/>
  <c r="Z30" i="9"/>
  <c r="V78" i="9" a="1"/>
  <c r="V78" i="9" s="1"/>
  <c r="V80" i="9" a="1"/>
  <c r="V80" i="9" s="1"/>
  <c r="S36" i="9"/>
  <c r="S44" i="9" s="1"/>
  <c r="S30" i="9"/>
  <c r="V79" i="9" a="1"/>
  <c r="V79" i="9" s="1"/>
  <c r="V76" i="9"/>
  <c r="V77" i="9"/>
  <c r="X80" i="9" a="1"/>
  <c r="X80" i="9" s="1"/>
  <c r="AF79" i="9" a="1"/>
  <c r="AF79" i="9" s="1"/>
  <c r="AF78" i="9"/>
  <c r="AF80" i="9" a="1"/>
  <c r="AF80" i="9" s="1"/>
  <c r="AF30" i="9"/>
  <c r="AF36" i="9"/>
  <c r="AF77" i="9"/>
  <c r="AF76" i="9"/>
  <c r="Z76" i="9"/>
  <c r="R80" i="9" a="1"/>
  <c r="R80" i="9" s="1"/>
  <c r="AK80" i="9" a="1"/>
  <c r="AK80" i="9" s="1"/>
  <c r="AK36" i="9"/>
  <c r="AK78" i="9"/>
  <c r="AK79" i="9" a="1"/>
  <c r="AK79" i="9" s="1"/>
  <c r="AK76" i="9"/>
  <c r="AK30" i="9"/>
  <c r="AK77" i="9"/>
  <c r="I45" i="9"/>
  <c r="AI78" i="9"/>
  <c r="AI79" i="9" a="1"/>
  <c r="AI79" i="9" s="1"/>
  <c r="AI36" i="9"/>
  <c r="AI80" i="9" a="1"/>
  <c r="AI80" i="9" s="1"/>
  <c r="AI30" i="9"/>
  <c r="AI76" i="9"/>
  <c r="AI77" i="9"/>
  <c r="AJ79" i="9" a="1"/>
  <c r="AJ79" i="9" s="1"/>
  <c r="AJ80" i="9" a="1"/>
  <c r="AJ80" i="9" s="1"/>
  <c r="AJ78" i="9"/>
  <c r="AJ36" i="9"/>
  <c r="AJ30" i="9"/>
  <c r="AJ76" i="9"/>
  <c r="AJ77" i="9"/>
  <c r="R78" i="9" a="1"/>
  <c r="R78" i="9" s="1"/>
  <c r="AA80" i="9" a="1"/>
  <c r="AA80" i="9" s="1"/>
  <c r="AA79" i="9" a="1"/>
  <c r="AA79" i="9" s="1"/>
  <c r="AA78" i="9" a="1"/>
  <c r="AA78" i="9" s="1"/>
  <c r="AA76" i="9"/>
  <c r="X30" i="9"/>
  <c r="X36" i="9"/>
  <c r="X44" i="9" s="1"/>
  <c r="AA77" i="9"/>
  <c r="Y45" i="9"/>
  <c r="W78" i="9" a="1"/>
  <c r="W78" i="9" s="1"/>
  <c r="Z80" i="9" a="1"/>
  <c r="Z80" i="9" s="1"/>
  <c r="AO26" i="9"/>
  <c r="AO29" i="9"/>
  <c r="U79" i="9" a="1"/>
  <c r="U79" i="9" s="1"/>
  <c r="U78" i="9" a="1"/>
  <c r="U78" i="9" s="1"/>
  <c r="U80" i="9" a="1"/>
  <c r="U80" i="9" s="1"/>
  <c r="R36" i="9"/>
  <c r="R44" i="9" s="1"/>
  <c r="R30" i="9"/>
  <c r="U76" i="9"/>
  <c r="U77" i="9"/>
  <c r="X77" i="9"/>
  <c r="AH80" i="9" a="1"/>
  <c r="AH80" i="9" s="1"/>
  <c r="AH78" i="9"/>
  <c r="AH79" i="9" a="1"/>
  <c r="AH79" i="9" s="1"/>
  <c r="AH36" i="9"/>
  <c r="AH30" i="9"/>
  <c r="AH76" i="9"/>
  <c r="AH77" i="9"/>
  <c r="AL29" i="9"/>
  <c r="AL26" i="9"/>
  <c r="AA30" i="9"/>
  <c r="AA36" i="9"/>
  <c r="AA44" i="9" s="1"/>
  <c r="Z78" i="9" a="1"/>
  <c r="Z78" i="9" s="1"/>
  <c r="R77" i="9"/>
  <c r="AG30" i="9"/>
  <c r="AN79" i="9" a="1"/>
  <c r="AN79" i="9" s="1"/>
  <c r="AN78" i="9"/>
  <c r="AN80" i="9" a="1"/>
  <c r="AN80" i="9" s="1"/>
  <c r="AN30" i="9"/>
  <c r="AN36" i="9"/>
  <c r="AN76" i="9"/>
  <c r="AN77" i="9"/>
  <c r="X78" i="9" a="1"/>
  <c r="X78" i="9" s="1"/>
  <c r="AG77" i="9" l="1"/>
  <c r="AQ44" i="9"/>
  <c r="AQ45" i="9" s="1"/>
  <c r="AG76" i="9"/>
  <c r="AG80" i="9" a="1"/>
  <c r="AG80" i="9" s="1"/>
  <c r="AG78" i="9"/>
  <c r="AG79" i="9" a="1"/>
  <c r="AG79" i="9" s="1"/>
  <c r="AP44" i="9"/>
  <c r="AP45" i="9" s="1"/>
  <c r="N44" i="9"/>
  <c r="N45" i="9" s="1"/>
  <c r="Z45" i="9"/>
  <c r="AA45" i="9"/>
  <c r="AO36" i="9"/>
  <c r="AO78" i="9"/>
  <c r="AO80" i="9" a="1"/>
  <c r="AO80" i="9" s="1"/>
  <c r="AO79" i="9" a="1"/>
  <c r="AO79" i="9" s="1"/>
  <c r="AO30" i="9"/>
  <c r="AO77" i="9"/>
  <c r="AO76" i="9"/>
  <c r="X45" i="9"/>
  <c r="P45" i="9"/>
  <c r="W45" i="9"/>
  <c r="AL80" i="9" a="1"/>
  <c r="AL80" i="9" s="1"/>
  <c r="AL79" i="9" a="1"/>
  <c r="AL79" i="9" s="1"/>
  <c r="AL78" i="9"/>
  <c r="AL30" i="9"/>
  <c r="AL36" i="9"/>
  <c r="AL76" i="9"/>
  <c r="AL77" i="9"/>
  <c r="R45" i="9"/>
  <c r="AJ44" i="9"/>
  <c r="AJ45" i="9" s="1"/>
  <c r="AK44" i="9"/>
  <c r="AK45" i="9" s="1"/>
  <c r="T45" i="9"/>
  <c r="U45" i="9"/>
  <c r="AH44" i="9" l="1"/>
  <c r="AH45" i="9" s="1"/>
  <c r="AN44" i="9"/>
  <c r="AN45" i="9" s="1"/>
  <c r="AM44" i="9"/>
  <c r="AM45" i="9" s="1"/>
  <c r="S45" i="9"/>
  <c r="AG44" i="9"/>
  <c r="AG45" i="9" s="1"/>
  <c r="V45" i="9"/>
  <c r="AI44" i="9"/>
  <c r="AI45" i="9" s="1"/>
  <c r="AE44" i="9"/>
  <c r="AE45" i="9" s="1"/>
  <c r="AO44" i="9"/>
  <c r="AO45" i="9" s="1"/>
  <c r="AF44" i="9"/>
  <c r="AF45" i="9" s="1"/>
  <c r="AL44" i="9"/>
  <c r="AL45" i="9" s="1"/>
  <c r="Q45" i="9"/>
  <c r="H113" i="8" l="1"/>
  <c r="G119" i="8"/>
  <c r="G121" i="8" s="1"/>
  <c r="H112" i="8" l="1"/>
  <c r="H114" i="8" s="1"/>
  <c r="H119" i="8" s="1"/>
  <c r="H121" i="8" l="1"/>
  <c r="I112" i="8"/>
  <c r="I114" i="8" l="1"/>
  <c r="I119" i="8" s="1"/>
  <c r="J112" i="8" s="1"/>
  <c r="J114" i="8" s="1"/>
  <c r="J119" i="8" s="1"/>
  <c r="N112" i="8"/>
  <c r="N114" i="8" s="1"/>
  <c r="N119" i="8" s="1"/>
  <c r="I121" i="8" l="1"/>
  <c r="AE112" i="8"/>
  <c r="AE114" i="8" s="1"/>
  <c r="AE119" i="8" s="1"/>
  <c r="AE121" i="8" s="1"/>
  <c r="N121" i="8"/>
  <c r="O112" i="8"/>
  <c r="O114" i="8" s="1"/>
  <c r="O119" i="8" s="1"/>
  <c r="J121" i="8"/>
  <c r="K112" i="8"/>
  <c r="K114" i="8" s="1"/>
  <c r="K119" i="8" s="1"/>
  <c r="K121" i="8" l="1"/>
  <c r="L112" i="8"/>
  <c r="L114" i="8" s="1"/>
  <c r="AF112" i="8"/>
  <c r="AF114" i="8" s="1"/>
  <c r="AF119" i="8" s="1"/>
  <c r="AF121" i="8" s="1"/>
  <c r="P112" i="8"/>
  <c r="P114" i="8" s="1"/>
  <c r="P119" i="8" s="1"/>
  <c r="O121" i="8"/>
  <c r="P121" i="8" l="1"/>
  <c r="AG112" i="8"/>
  <c r="AG114" i="8" s="1"/>
  <c r="AG119" i="8" s="1"/>
  <c r="AG121" i="8" s="1"/>
  <c r="Q112" i="8"/>
  <c r="Q114" i="8" s="1"/>
  <c r="Q119" i="8" s="1"/>
  <c r="AH112" i="8" l="1"/>
  <c r="AH114" i="8" s="1"/>
  <c r="AH119" i="8" s="1"/>
  <c r="AH121" i="8" s="1"/>
  <c r="R112" i="8"/>
  <c r="R114" i="8" s="1"/>
  <c r="R119" i="8" s="1"/>
  <c r="Q121" i="8"/>
  <c r="AI112" i="8" l="1"/>
  <c r="AI114" i="8" s="1"/>
  <c r="AI119" i="8" s="1"/>
  <c r="AI121" i="8" s="1"/>
  <c r="R121" i="8"/>
  <c r="S112" i="8"/>
  <c r="S114" i="8" s="1"/>
  <c r="S119" i="8" s="1"/>
  <c r="AJ112" i="8" l="1"/>
  <c r="AJ114" i="8" s="1"/>
  <c r="AJ119" i="8" s="1"/>
  <c r="AJ121" i="8" s="1"/>
  <c r="T112" i="8"/>
  <c r="T114" i="8" s="1"/>
  <c r="T119" i="8" s="1"/>
  <c r="S121" i="8"/>
  <c r="AK112" i="8" l="1"/>
  <c r="AK114" i="8" s="1"/>
  <c r="AK119" i="8" s="1"/>
  <c r="AK121" i="8" s="1"/>
  <c r="U112" i="8"/>
  <c r="U114" i="8" s="1"/>
  <c r="U119" i="8" s="1"/>
  <c r="T121" i="8"/>
  <c r="AL112" i="8" l="1"/>
  <c r="AL114" i="8" s="1"/>
  <c r="AL119" i="8" s="1"/>
  <c r="AL121" i="8" s="1"/>
  <c r="V112" i="8"/>
  <c r="V114" i="8" s="1"/>
  <c r="V119" i="8" s="1"/>
  <c r="U121" i="8"/>
  <c r="AM112" i="8" l="1"/>
  <c r="AM114" i="8" s="1"/>
  <c r="AM119" i="8" s="1"/>
  <c r="AM121" i="8" s="1"/>
  <c r="V121" i="8"/>
  <c r="W112" i="8"/>
  <c r="W114" i="8" s="1"/>
  <c r="W119" i="8" s="1"/>
  <c r="AN112" i="8" l="1"/>
  <c r="AN114" i="8" s="1"/>
  <c r="AN119" i="8" s="1"/>
  <c r="AN121" i="8" s="1"/>
  <c r="X112" i="8"/>
  <c r="X114" i="8" s="1"/>
  <c r="X119" i="8" s="1"/>
  <c r="W121" i="8"/>
  <c r="AO112" i="8" l="1"/>
  <c r="AO114" i="8" s="1"/>
  <c r="AO119" i="8" s="1"/>
  <c r="AO121" i="8" s="1"/>
  <c r="X121" i="8"/>
  <c r="Y112" i="8"/>
  <c r="Y114" i="8" s="1"/>
  <c r="Y119" i="8" s="1"/>
  <c r="AP112" i="8" s="1"/>
  <c r="AP114" i="8" s="1"/>
  <c r="AP119" i="8" s="1"/>
  <c r="AP121" i="8" s="1"/>
  <c r="Z112" i="8" l="1"/>
  <c r="Z114" i="8" s="1"/>
  <c r="Z119" i="8" s="1"/>
  <c r="Y121" i="8"/>
  <c r="AA112" i="8" l="1"/>
  <c r="AA114" i="8" s="1"/>
  <c r="AA119" i="8" s="1"/>
  <c r="Z121" i="8"/>
  <c r="AB112" i="8" l="1"/>
  <c r="AB114" i="8" s="1"/>
  <c r="AB119" i="8" s="1"/>
  <c r="AA121" i="8"/>
  <c r="AB121" i="8" l="1"/>
  <c r="AC112" i="8"/>
  <c r="AC114" i="8" s="1"/>
  <c r="AC119" i="8" s="1"/>
  <c r="AC121" i="8" s="1"/>
  <c r="E196" i="22" l="1"/>
  <c r="J196" i="22" s="1"/>
  <c r="F196" i="22"/>
  <c r="G196" i="22"/>
  <c r="F201" i="22" l="1"/>
  <c r="F205" i="22"/>
  <c r="F203" i="22"/>
  <c r="F207" i="22"/>
  <c r="E207" i="22"/>
  <c r="E201" i="22"/>
  <c r="E205" i="22"/>
  <c r="E203" i="22"/>
  <c r="G201" i="22"/>
  <c r="G205" i="22"/>
  <c r="G203" i="22"/>
  <c r="G207" i="22"/>
  <c r="J205" i="22" l="1"/>
  <c r="J201" i="22"/>
  <c r="J207" i="22"/>
  <c r="J203" i="22"/>
  <c r="E191" i="22"/>
  <c r="F191" i="22"/>
  <c r="G191" i="22"/>
  <c r="L31" i="25" l="1"/>
  <c r="M31" i="25"/>
  <c r="L163" i="25" l="1"/>
  <c r="L41" i="25" s="1"/>
  <c r="M163" i="25"/>
  <c r="M41" i="25" s="1"/>
  <c r="L72" i="25" l="1"/>
  <c r="G61" i="27"/>
  <c r="G69" i="27" s="1"/>
  <c r="M72" i="25"/>
  <c r="H61" i="27"/>
  <c r="H69" i="27" s="1"/>
  <c r="L42" i="25"/>
  <c r="G60" i="27" s="1"/>
  <c r="L110" i="25"/>
  <c r="M42" i="25"/>
  <c r="H60" i="27" s="1"/>
  <c r="M110" i="25"/>
  <c r="E19" i="32" l="1"/>
  <c r="E20" i="32" s="1"/>
  <c r="F19" i="32"/>
  <c r="G62" i="27"/>
  <c r="H62" i="27"/>
  <c r="M45" i="25"/>
  <c r="M62" i="25" s="1"/>
  <c r="M61" i="25"/>
  <c r="L45" i="25"/>
  <c r="L62" i="25" s="1"/>
  <c r="L61" i="25"/>
  <c r="F20" i="32" l="1"/>
  <c r="E21" i="32"/>
  <c r="E22" i="32" s="1"/>
  <c r="F21" i="32"/>
  <c r="H63" i="27"/>
  <c r="G63" i="27"/>
  <c r="E267" i="22"/>
  <c r="F22" i="32" l="1"/>
  <c r="E40" i="22"/>
  <c r="E366" i="22"/>
  <c r="E34" i="22"/>
  <c r="E360" i="22"/>
  <c r="E364" i="22"/>
  <c r="F20" i="22"/>
  <c r="F297" i="22" s="1"/>
  <c r="E351" i="22"/>
  <c r="E226" i="22"/>
  <c r="L96" i="28" s="1"/>
  <c r="E362" i="22"/>
  <c r="E280" i="22"/>
  <c r="E276" i="22"/>
  <c r="N59" i="25" s="1"/>
  <c r="E259" i="22"/>
  <c r="E230" i="22"/>
  <c r="E208" i="22"/>
  <c r="E278" i="22"/>
  <c r="E224" i="22"/>
  <c r="E228" i="22"/>
  <c r="E38" i="22"/>
  <c r="E252" i="22"/>
  <c r="E202" i="22"/>
  <c r="E206" i="22"/>
  <c r="E250" i="22"/>
  <c r="L100" i="28" s="1"/>
  <c r="E193" i="22"/>
  <c r="E282" i="22"/>
  <c r="E246" i="22"/>
  <c r="E36" i="22"/>
  <c r="E248" i="22"/>
  <c r="E204" i="22"/>
  <c r="L92" i="28" s="1"/>
  <c r="L97" i="28" l="1"/>
  <c r="L95" i="28"/>
  <c r="L56" i="28" s="1"/>
  <c r="N70" i="25" s="1"/>
  <c r="N29" i="25" s="1"/>
  <c r="L101" i="28"/>
  <c r="L57" i="28"/>
  <c r="N71" i="25" s="1"/>
  <c r="N30" i="25" s="1"/>
  <c r="N67" i="25" s="1"/>
  <c r="L99" i="28"/>
  <c r="L93" i="28"/>
  <c r="L91" i="28"/>
  <c r="L55" i="28"/>
  <c r="N58" i="25" s="1"/>
  <c r="N27" i="25" s="1"/>
  <c r="N26" i="25" s="1"/>
  <c r="F193" i="22"/>
  <c r="G20" i="22"/>
  <c r="G297" i="22" s="1"/>
  <c r="F351" i="22"/>
  <c r="F267" i="22"/>
  <c r="G351" i="22" l="1"/>
  <c r="H20" i="22"/>
  <c r="H297" i="22" s="1"/>
  <c r="G193" i="22"/>
  <c r="G267" i="22"/>
  <c r="N65" i="25"/>
  <c r="N89" i="25"/>
  <c r="N82" i="25"/>
  <c r="N66" i="25"/>
  <c r="N31" i="25"/>
  <c r="J20" i="22" l="1"/>
  <c r="H351" i="22"/>
  <c r="H267" i="22"/>
  <c r="H193" i="22"/>
  <c r="N112" i="25"/>
  <c r="I74" i="27"/>
  <c r="I75" i="27" s="1"/>
  <c r="N113" i="25"/>
  <c r="I70" i="27" l="1"/>
  <c r="L124" i="25" l="1"/>
  <c r="P22" i="32" l="1"/>
  <c r="O18" i="32"/>
  <c r="L119" i="8" l="1"/>
  <c r="L121" i="8" s="1"/>
  <c r="H217" i="22"/>
  <c r="H239" i="22"/>
  <c r="H261" i="22"/>
  <c r="H347" i="22"/>
  <c r="C18" i="16" l="1"/>
  <c r="C24" i="16" s="1"/>
  <c r="H9" i="16"/>
  <c r="H10" i="16" l="1"/>
  <c r="C19" i="16"/>
  <c r="C20" i="16" l="1"/>
  <c r="C26" i="16"/>
  <c r="I36" i="16"/>
  <c r="C13" i="16" s="1"/>
  <c r="I39" i="16" l="1"/>
  <c r="I40" i="16" s="1"/>
  <c r="C15" i="16" l="1"/>
  <c r="C25" i="16" s="1"/>
  <c r="C27" i="16" s="1"/>
  <c r="L17" i="16" l="1"/>
  <c r="L26" i="16"/>
  <c r="J6" i="27"/>
  <c r="L8" i="16"/>
  <c r="C51" i="22"/>
  <c r="D51" i="22"/>
  <c r="E385" i="22"/>
  <c r="F385" i="22" s="1"/>
  <c r="G385" i="22" s="1"/>
  <c r="H385" i="22" s="1"/>
  <c r="E389" i="22"/>
  <c r="E390" i="22" s="1"/>
  <c r="E391" i="22"/>
  <c r="E393" i="22"/>
  <c r="E395" i="22"/>
  <c r="E396" i="22" s="1"/>
  <c r="E392" i="22" l="1"/>
  <c r="N135" i="25"/>
  <c r="N154" i="25" s="1"/>
  <c r="N158" i="25" s="1"/>
  <c r="N136" i="25" s="1"/>
  <c r="Q154" i="25"/>
  <c r="N118" i="25"/>
  <c r="F384" i="22"/>
  <c r="E394" i="22"/>
  <c r="P154" i="25" l="1"/>
  <c r="O154" i="25"/>
  <c r="N139" i="25"/>
  <c r="N163" i="25"/>
  <c r="N41" i="25" s="1"/>
  <c r="G384" i="22"/>
  <c r="N119" i="25"/>
  <c r="I71" i="27"/>
  <c r="N137" i="25"/>
  <c r="H384" i="22" l="1"/>
  <c r="N84" i="25"/>
  <c r="O134" i="25"/>
  <c r="N72" i="25"/>
  <c r="N110" i="25"/>
  <c r="I61" i="27"/>
  <c r="I69" i="27" s="1"/>
  <c r="N42" i="25"/>
  <c r="N61" i="25" l="1"/>
  <c r="I60" i="27"/>
  <c r="N45" i="25"/>
  <c r="N62" i="25" s="1"/>
  <c r="J384" i="22"/>
  <c r="G19" i="32" l="1"/>
  <c r="G20" i="32" s="1"/>
  <c r="I62" i="27"/>
  <c r="G21" i="32" l="1"/>
  <c r="G22" i="32" s="1"/>
  <c r="I63" i="27"/>
  <c r="F395" i="22"/>
  <c r="F396" i="22" s="1"/>
  <c r="F391" i="22"/>
  <c r="F392" i="22" l="1"/>
  <c r="O135" i="25"/>
  <c r="F389" i="22"/>
  <c r="F390" i="22" s="1"/>
  <c r="F393" i="22"/>
  <c r="F394" i="22" l="1"/>
  <c r="O118" i="25"/>
  <c r="Q155" i="25" l="1"/>
  <c r="P155" i="25"/>
  <c r="O155" i="25"/>
  <c r="O158" i="25" s="1"/>
  <c r="O136" i="25" s="1"/>
  <c r="O137" i="25" s="1"/>
  <c r="P134" i="25" s="1"/>
  <c r="O119" i="25"/>
  <c r="J71" i="27"/>
  <c r="O84" i="25" l="1"/>
  <c r="O139" i="25"/>
  <c r="G391" i="22"/>
  <c r="G389" i="22"/>
  <c r="G395" i="22"/>
  <c r="G396" i="22" s="1"/>
  <c r="G392" i="22" l="1"/>
  <c r="P135" i="25"/>
  <c r="G393" i="22"/>
  <c r="G390" i="22"/>
  <c r="G394" i="22" l="1"/>
  <c r="P156" i="25"/>
  <c r="P158" i="25" s="1"/>
  <c r="P136" i="25" s="1"/>
  <c r="P137" i="25" s="1"/>
  <c r="H389" i="22"/>
  <c r="H395" i="22"/>
  <c r="H391" i="22"/>
  <c r="Q135" i="25" s="1"/>
  <c r="H393" i="22"/>
  <c r="J372" i="22"/>
  <c r="P118" i="25"/>
  <c r="Q156" i="25" l="1"/>
  <c r="J393" i="22"/>
  <c r="H394" i="22"/>
  <c r="J395" i="22"/>
  <c r="H396" i="22"/>
  <c r="J391" i="22"/>
  <c r="H392" i="22"/>
  <c r="H390" i="22"/>
  <c r="J389" i="22"/>
  <c r="Q134" i="25"/>
  <c r="P84" i="25"/>
  <c r="P139" i="25"/>
  <c r="K71" i="27"/>
  <c r="P119" i="25"/>
  <c r="Q118" i="25" l="1"/>
  <c r="S118" i="25" s="1"/>
  <c r="Q157" i="25"/>
  <c r="Q158" i="25" s="1"/>
  <c r="Q136" i="25" s="1"/>
  <c r="Q137" i="25" s="1"/>
  <c r="Q84" i="25" s="1"/>
  <c r="S84" i="25" s="1"/>
  <c r="Q139" i="25" l="1"/>
  <c r="L71" i="27"/>
  <c r="Q119" i="25"/>
  <c r="S119" i="25" s="1"/>
  <c r="F74" i="22" l="1"/>
  <c r="F93" i="22" l="1"/>
  <c r="F94" i="22" s="1"/>
  <c r="F95" i="22"/>
  <c r="F96" i="22" s="1"/>
  <c r="F89" i="22"/>
  <c r="F90" i="22" s="1"/>
  <c r="F91" i="22"/>
  <c r="F92" i="22" s="1"/>
  <c r="G74" i="22"/>
  <c r="H74" i="22" s="1"/>
  <c r="H95" i="22" l="1"/>
  <c r="H89" i="22"/>
  <c r="H91" i="22"/>
  <c r="H93" i="22"/>
  <c r="G95" i="22"/>
  <c r="G96" i="22" s="1"/>
  <c r="G89" i="22"/>
  <c r="G90" i="22" s="1"/>
  <c r="G93" i="22"/>
  <c r="G94" i="22" s="1"/>
  <c r="G91" i="22"/>
  <c r="G92" i="22" s="1"/>
  <c r="J74" i="22"/>
  <c r="H92" i="22" l="1"/>
  <c r="J91" i="22"/>
  <c r="J89" i="22"/>
  <c r="H90" i="22"/>
  <c r="H96" i="22"/>
  <c r="J93" i="22"/>
  <c r="H94" i="22"/>
  <c r="J95" i="22"/>
  <c r="F102" i="22"/>
  <c r="F121" i="22" l="1"/>
  <c r="F123" i="22"/>
  <c r="F119" i="22"/>
  <c r="F120" i="22" s="1"/>
  <c r="F117" i="22"/>
  <c r="F124" i="22"/>
  <c r="F122" i="22"/>
  <c r="F118" i="22"/>
  <c r="G102" i="22" l="1"/>
  <c r="H102" i="22"/>
  <c r="H123" i="22" l="1"/>
  <c r="H117" i="22"/>
  <c r="H121" i="22"/>
  <c r="H119" i="22"/>
  <c r="G121" i="22"/>
  <c r="G122" i="22" s="1"/>
  <c r="G123" i="22"/>
  <c r="G124" i="22" s="1"/>
  <c r="G117" i="22"/>
  <c r="G118" i="22" s="1"/>
  <c r="G119" i="22"/>
  <c r="G120" i="22" s="1"/>
  <c r="J102" i="22"/>
  <c r="H120" i="22" l="1"/>
  <c r="J123" i="22"/>
  <c r="H124" i="22"/>
  <c r="J119" i="22"/>
  <c r="J121" i="22"/>
  <c r="H122" i="22"/>
  <c r="J117" i="22"/>
  <c r="H118" i="22"/>
  <c r="F130" i="22"/>
  <c r="G130" i="22" l="1"/>
  <c r="F145" i="22"/>
  <c r="M88" i="28" s="1"/>
  <c r="F147" i="22"/>
  <c r="F148" i="22" s="1"/>
  <c r="F149" i="22"/>
  <c r="F143" i="22"/>
  <c r="F144" i="22" s="1"/>
  <c r="F150" i="22"/>
  <c r="H130" i="22"/>
  <c r="F146" i="22" l="1"/>
  <c r="H147" i="22"/>
  <c r="H149" i="22"/>
  <c r="H143" i="22"/>
  <c r="H145" i="22"/>
  <c r="O88" i="28" s="1"/>
  <c r="G147" i="22"/>
  <c r="G148" i="22" s="1"/>
  <c r="G145" i="22"/>
  <c r="G149" i="22"/>
  <c r="G150" i="22" s="1"/>
  <c r="G143" i="22"/>
  <c r="G144" i="22" s="1"/>
  <c r="M54" i="28"/>
  <c r="M16" i="28" s="1"/>
  <c r="M89" i="28"/>
  <c r="M87" i="28"/>
  <c r="J130" i="22"/>
  <c r="Q25" i="32" l="1"/>
  <c r="N88" i="28"/>
  <c r="G146" i="22"/>
  <c r="H148" i="22"/>
  <c r="J147" i="22"/>
  <c r="J145" i="22"/>
  <c r="H146" i="22"/>
  <c r="O23" i="25"/>
  <c r="M25" i="28"/>
  <c r="H150" i="22"/>
  <c r="J149" i="22"/>
  <c r="J143" i="22"/>
  <c r="H144" i="22"/>
  <c r="N54" i="28"/>
  <c r="N16" i="28" s="1"/>
  <c r="N89" i="28"/>
  <c r="N87" i="28"/>
  <c r="R25" i="32" l="1"/>
  <c r="O55" i="25"/>
  <c r="J56" i="27"/>
  <c r="P23" i="25"/>
  <c r="N25" i="28"/>
  <c r="O54" i="28"/>
  <c r="O16" i="28" s="1"/>
  <c r="O89" i="28"/>
  <c r="O87" i="28"/>
  <c r="S25" i="32" l="1"/>
  <c r="P55" i="25"/>
  <c r="K56" i="27"/>
  <c r="P16" i="28"/>
  <c r="Q23" i="25"/>
  <c r="S23" i="25" s="1"/>
  <c r="O25" i="28"/>
  <c r="Q55" i="25" l="1"/>
  <c r="L56" i="27"/>
  <c r="F156" i="22"/>
  <c r="G156" i="22" l="1"/>
  <c r="F173" i="22"/>
  <c r="F175" i="22"/>
  <c r="F169" i="22"/>
  <c r="M84" i="28" s="1"/>
  <c r="M85" i="28" s="1"/>
  <c r="F171" i="22"/>
  <c r="F172" i="22" s="1"/>
  <c r="F176" i="22"/>
  <c r="M53" i="28"/>
  <c r="M15" i="28" s="1"/>
  <c r="H156" i="22"/>
  <c r="F12" i="22"/>
  <c r="F289" i="22" s="1"/>
  <c r="Q23" i="32" l="1"/>
  <c r="Q24" i="32" s="1"/>
  <c r="F170" i="22"/>
  <c r="H175" i="22"/>
  <c r="H169" i="22"/>
  <c r="O84" i="28" s="1"/>
  <c r="H171" i="22"/>
  <c r="H173" i="22"/>
  <c r="M83" i="28"/>
  <c r="F35" i="22"/>
  <c r="F306" i="22" s="1"/>
  <c r="F37" i="22"/>
  <c r="F308" i="22" s="1"/>
  <c r="F39" i="22"/>
  <c r="F310" i="22" s="1"/>
  <c r="F33" i="22"/>
  <c r="F304" i="22" s="1"/>
  <c r="G12" i="22"/>
  <c r="G175" i="22"/>
  <c r="G176" i="22" s="1"/>
  <c r="G169" i="22"/>
  <c r="G171" i="22"/>
  <c r="G172" i="22" s="1"/>
  <c r="G173" i="22"/>
  <c r="G174" i="22" s="1"/>
  <c r="F174" i="22"/>
  <c r="O22" i="25"/>
  <c r="M24" i="28"/>
  <c r="O54" i="25" s="1"/>
  <c r="H12" i="22"/>
  <c r="H289" i="22" s="1"/>
  <c r="J156" i="22"/>
  <c r="F215" i="22"/>
  <c r="F185" i="22"/>
  <c r="F13" i="22"/>
  <c r="F345" i="22"/>
  <c r="F237" i="22"/>
  <c r="G13" i="22" l="1"/>
  <c r="G289" i="22"/>
  <c r="G37" i="22"/>
  <c r="G308" i="22" s="1"/>
  <c r="G39" i="22"/>
  <c r="G310" i="22" s="1"/>
  <c r="G33" i="22"/>
  <c r="G35" i="22"/>
  <c r="G306" i="22" s="1"/>
  <c r="G237" i="22"/>
  <c r="G215" i="22"/>
  <c r="G185" i="22"/>
  <c r="G345" i="22"/>
  <c r="N84" i="28"/>
  <c r="G170" i="22"/>
  <c r="H172" i="22"/>
  <c r="J171" i="22"/>
  <c r="J169" i="22"/>
  <c r="H170" i="22"/>
  <c r="H176" i="22"/>
  <c r="J175" i="22"/>
  <c r="F360" i="22"/>
  <c r="F34" i="22"/>
  <c r="F276" i="22"/>
  <c r="O59" i="25" s="1"/>
  <c r="F246" i="22"/>
  <c r="F224" i="22"/>
  <c r="F202" i="22"/>
  <c r="J12" i="22"/>
  <c r="H237" i="22"/>
  <c r="H215" i="22"/>
  <c r="H185" i="22"/>
  <c r="H13" i="22"/>
  <c r="H345" i="22"/>
  <c r="H174" i="22"/>
  <c r="J173" i="22"/>
  <c r="J55" i="27"/>
  <c r="F36" i="22"/>
  <c r="F362" i="22"/>
  <c r="F278" i="22"/>
  <c r="F248" i="22"/>
  <c r="F226" i="22"/>
  <c r="M96" i="28" s="1"/>
  <c r="F204" i="22"/>
  <c r="M92" i="28" s="1"/>
  <c r="F250" i="22"/>
  <c r="M100" i="28" s="1"/>
  <c r="F228" i="22"/>
  <c r="F206" i="22"/>
  <c r="F364" i="22"/>
  <c r="F38" i="22"/>
  <c r="F280" i="22"/>
  <c r="F366" i="22"/>
  <c r="F282" i="22"/>
  <c r="F252" i="22"/>
  <c r="F230" i="22"/>
  <c r="F208" i="22"/>
  <c r="F40" i="22"/>
  <c r="F259" i="22"/>
  <c r="N85" i="28"/>
  <c r="N83" i="28"/>
  <c r="N53" i="28"/>
  <c r="N15" i="28" s="1"/>
  <c r="R23" i="32" l="1"/>
  <c r="R24" i="32" s="1"/>
  <c r="G34" i="22"/>
  <c r="G304" i="22"/>
  <c r="G278" i="22"/>
  <c r="G362" i="22"/>
  <c r="G226" i="22"/>
  <c r="N96" i="28" s="1"/>
  <c r="G204" i="22"/>
  <c r="N92" i="28" s="1"/>
  <c r="G36" i="22"/>
  <c r="G248" i="22"/>
  <c r="G360" i="22"/>
  <c r="G246" i="22"/>
  <c r="G224" i="22"/>
  <c r="G276" i="22"/>
  <c r="P59" i="25" s="1"/>
  <c r="G202" i="22"/>
  <c r="G252" i="22"/>
  <c r="G40" i="22"/>
  <c r="G366" i="22"/>
  <c r="G282" i="22"/>
  <c r="G230" i="22"/>
  <c r="G259" i="22"/>
  <c r="G208" i="22"/>
  <c r="G250" i="22"/>
  <c r="N100" i="28" s="1"/>
  <c r="G228" i="22"/>
  <c r="G206" i="22"/>
  <c r="G364" i="22"/>
  <c r="G38" i="22"/>
  <c r="G280" i="22"/>
  <c r="M55" i="28"/>
  <c r="O58" i="25" s="1"/>
  <c r="M93" i="28"/>
  <c r="M91" i="28"/>
  <c r="M101" i="28"/>
  <c r="M99" i="28"/>
  <c r="M57" i="28"/>
  <c r="O71" i="25" s="1"/>
  <c r="O53" i="28"/>
  <c r="O15" i="28" s="1"/>
  <c r="O85" i="28"/>
  <c r="O83" i="28"/>
  <c r="M97" i="28"/>
  <c r="M56" i="28"/>
  <c r="O70" i="25" s="1"/>
  <c r="M95" i="28"/>
  <c r="P22" i="25"/>
  <c r="N24" i="28"/>
  <c r="P54" i="25" s="1"/>
  <c r="S23" i="32" l="1"/>
  <c r="S24" i="32" s="1"/>
  <c r="N55" i="28"/>
  <c r="P58" i="25" s="1"/>
  <c r="N93" i="28"/>
  <c r="N91" i="28"/>
  <c r="N99" i="28"/>
  <c r="N101" i="28"/>
  <c r="N57" i="28"/>
  <c r="P71" i="25" s="1"/>
  <c r="N56" i="28"/>
  <c r="P70" i="25" s="1"/>
  <c r="N97" i="28"/>
  <c r="N95" i="28"/>
  <c r="K55" i="27"/>
  <c r="P15" i="28"/>
  <c r="Q22" i="25"/>
  <c r="S22" i="25" s="1"/>
  <c r="O24" i="28"/>
  <c r="Q54" i="25" s="1"/>
  <c r="L55" i="27" l="1"/>
  <c r="H18" i="22" l="1"/>
  <c r="H295" i="22" s="1"/>
  <c r="H37" i="22" l="1"/>
  <c r="H308" i="22" s="1"/>
  <c r="H39" i="22"/>
  <c r="H35" i="22"/>
  <c r="H33" i="22"/>
  <c r="H304" i="22" s="1"/>
  <c r="H349" i="22"/>
  <c r="H364" i="22"/>
  <c r="H280" i="22"/>
  <c r="H228" i="22"/>
  <c r="H38" i="22"/>
  <c r="H250" i="22"/>
  <c r="O100" i="28" s="1"/>
  <c r="J18" i="22"/>
  <c r="H191" i="22"/>
  <c r="H265" i="22"/>
  <c r="H362" i="22" l="1"/>
  <c r="H306" i="22"/>
  <c r="H252" i="22"/>
  <c r="H310" i="22"/>
  <c r="H208" i="22"/>
  <c r="H282" i="22"/>
  <c r="H230" i="22"/>
  <c r="H366" i="22"/>
  <c r="H40" i="22"/>
  <c r="J39" i="22"/>
  <c r="H259" i="22"/>
  <c r="H36" i="22"/>
  <c r="H278" i="22"/>
  <c r="H204" i="22"/>
  <c r="O92" i="28" s="1"/>
  <c r="O91" i="28" s="1"/>
  <c r="H248" i="22"/>
  <c r="H226" i="22"/>
  <c r="O96" i="28" s="1"/>
  <c r="O97" i="28" s="1"/>
  <c r="J37" i="22"/>
  <c r="J35" i="22"/>
  <c r="H206" i="22"/>
  <c r="O99" i="28"/>
  <c r="O57" i="28"/>
  <c r="Q71" i="25" s="1"/>
  <c r="O101" i="28"/>
  <c r="J33" i="22"/>
  <c r="H224" i="22"/>
  <c r="H34" i="22"/>
  <c r="H276" i="22"/>
  <c r="Q59" i="25" s="1"/>
  <c r="H202" i="22"/>
  <c r="H246" i="22"/>
  <c r="H360" i="22"/>
  <c r="F430" i="22"/>
  <c r="O56" i="28" l="1"/>
  <c r="Q70" i="25" s="1"/>
  <c r="O55" i="28"/>
  <c r="Q58" i="25" s="1"/>
  <c r="O95" i="28"/>
  <c r="O93" i="28"/>
  <c r="F445" i="22"/>
  <c r="F447" i="22"/>
  <c r="F448" i="22" s="1"/>
  <c r="F441" i="22"/>
  <c r="F442" i="22" s="1"/>
  <c r="F443" i="22"/>
  <c r="F444" i="22" l="1"/>
  <c r="M60" i="28"/>
  <c r="F446" i="22"/>
  <c r="M59" i="28"/>
  <c r="M47" i="28"/>
  <c r="M35" i="28" s="1"/>
  <c r="M61" i="28"/>
  <c r="Q30" i="32" l="1"/>
  <c r="Q31" i="32" s="1"/>
  <c r="M39" i="28"/>
  <c r="G430" i="22" l="1"/>
  <c r="G447" i="22" l="1"/>
  <c r="G441" i="22"/>
  <c r="G445" i="22"/>
  <c r="G443" i="22"/>
  <c r="G448" i="22"/>
  <c r="H430" i="22"/>
  <c r="G442" i="22"/>
  <c r="G444" i="22" l="1"/>
  <c r="N60" i="28"/>
  <c r="H447" i="22"/>
  <c r="H441" i="22"/>
  <c r="H445" i="22"/>
  <c r="H443" i="22"/>
  <c r="O60" i="28" s="1"/>
  <c r="G446" i="22"/>
  <c r="J430" i="22"/>
  <c r="J443" i="22" l="1"/>
  <c r="H444" i="22"/>
  <c r="J445" i="22"/>
  <c r="H446" i="22"/>
  <c r="J447" i="22"/>
  <c r="H448" i="22"/>
  <c r="J441" i="22"/>
  <c r="H442" i="22"/>
  <c r="N59" i="28"/>
  <c r="N61" i="28"/>
  <c r="N47" i="28"/>
  <c r="N35" i="28" s="1"/>
  <c r="R30" i="32" l="1"/>
  <c r="R31" i="32" s="1"/>
  <c r="N39" i="28"/>
  <c r="O59" i="28"/>
  <c r="O61" i="28"/>
  <c r="O47" i="28"/>
  <c r="O35" i="28" s="1"/>
  <c r="S30" i="32" l="1"/>
  <c r="S31" i="32" s="1"/>
  <c r="O39" i="28"/>
  <c r="F456" i="22" l="1"/>
  <c r="F469" i="22" l="1"/>
  <c r="F471" i="22"/>
  <c r="F472" i="22" s="1"/>
  <c r="F467" i="22"/>
  <c r="F468" i="22" s="1"/>
  <c r="F465" i="22"/>
  <c r="F470" i="22"/>
  <c r="F466" i="22" l="1"/>
  <c r="M80" i="28"/>
  <c r="M52" i="28"/>
  <c r="M29" i="28" s="1"/>
  <c r="M81" i="28"/>
  <c r="M79" i="28"/>
  <c r="H34" i="32" l="1"/>
  <c r="H35" i="32" s="1"/>
  <c r="M33" i="28"/>
  <c r="G456" i="22" l="1"/>
  <c r="G471" i="22" l="1"/>
  <c r="G472" i="22" s="1"/>
  <c r="G467" i="22"/>
  <c r="G468" i="22" s="1"/>
  <c r="G469" i="22"/>
  <c r="G465" i="22"/>
  <c r="H456" i="22"/>
  <c r="G466" i="22" l="1"/>
  <c r="N80" i="28"/>
  <c r="N81" i="28" s="1"/>
  <c r="G470" i="22"/>
  <c r="H471" i="22"/>
  <c r="H465" i="22"/>
  <c r="O80" i="28" s="1"/>
  <c r="H467" i="22"/>
  <c r="H469" i="22"/>
  <c r="J456" i="22"/>
  <c r="N79" i="28" l="1"/>
  <c r="N52" i="28"/>
  <c r="N29" i="28" s="1"/>
  <c r="N33" i="28" s="1"/>
  <c r="J471" i="22"/>
  <c r="H472" i="22"/>
  <c r="J467" i="22"/>
  <c r="H468" i="22"/>
  <c r="J465" i="22"/>
  <c r="H466" i="22"/>
  <c r="J469" i="22"/>
  <c r="H470" i="22"/>
  <c r="I34" i="32" l="1"/>
  <c r="I35" i="32" s="1"/>
  <c r="O79" i="28"/>
  <c r="O81" i="28"/>
  <c r="O52" i="28"/>
  <c r="O29" i="28" s="1"/>
  <c r="J34" i="32" l="1"/>
  <c r="J35" i="32" s="1"/>
  <c r="O33" i="28"/>
  <c r="F404" i="22" l="1"/>
  <c r="G404" i="22" s="1"/>
  <c r="G423" i="22" l="1"/>
  <c r="G417" i="22"/>
  <c r="G421" i="22"/>
  <c r="N64" i="28" s="1"/>
  <c r="G419" i="22"/>
  <c r="F421" i="22"/>
  <c r="F417" i="22"/>
  <c r="F418" i="22" s="1"/>
  <c r="F419" i="22"/>
  <c r="F420" i="22" s="1"/>
  <c r="F423" i="22"/>
  <c r="F424" i="22" s="1"/>
  <c r="H404" i="22"/>
  <c r="F422" i="22" l="1"/>
  <c r="M64" i="28"/>
  <c r="N65" i="28"/>
  <c r="N63" i="28"/>
  <c r="N48" i="28"/>
  <c r="N27" i="28" s="1"/>
  <c r="G424" i="22"/>
  <c r="G422" i="22"/>
  <c r="G418" i="22"/>
  <c r="H423" i="22"/>
  <c r="H419" i="22"/>
  <c r="H417" i="22"/>
  <c r="H421" i="22"/>
  <c r="O64" i="28" s="1"/>
  <c r="G420" i="22"/>
  <c r="J404" i="22"/>
  <c r="I30" i="32" l="1"/>
  <c r="N12" i="28"/>
  <c r="O65" i="28"/>
  <c r="O48" i="28" s="1"/>
  <c r="O27" i="28" s="1"/>
  <c r="O63" i="28"/>
  <c r="M65" i="28"/>
  <c r="M63" i="28"/>
  <c r="M48" i="28"/>
  <c r="M27" i="28" s="1"/>
  <c r="J419" i="22"/>
  <c r="H420" i="22"/>
  <c r="J417" i="22"/>
  <c r="H418" i="22"/>
  <c r="J423" i="22"/>
  <c r="H424" i="22"/>
  <c r="J421" i="22"/>
  <c r="H422" i="22"/>
  <c r="F480" i="22"/>
  <c r="R17" i="32" l="1"/>
  <c r="J30" i="32"/>
  <c r="J31" i="32" s="1"/>
  <c r="H30" i="32"/>
  <c r="H31" i="32" s="1"/>
  <c r="O31" i="28"/>
  <c r="O12" i="28"/>
  <c r="M31" i="28"/>
  <c r="M12" i="28"/>
  <c r="P19" i="25"/>
  <c r="K52" i="27" s="1"/>
  <c r="N31" i="28"/>
  <c r="F493" i="22"/>
  <c r="M76" i="28" s="1"/>
  <c r="F495" i="22"/>
  <c r="F496" i="22" s="1"/>
  <c r="F491" i="22"/>
  <c r="F492" i="22" s="1"/>
  <c r="F489" i="22"/>
  <c r="F490" i="22" s="1"/>
  <c r="S17" i="32" l="1"/>
  <c r="I31" i="32"/>
  <c r="N21" i="28"/>
  <c r="P51" i="25" s="1"/>
  <c r="Q17" i="32"/>
  <c r="F494" i="22"/>
  <c r="P12" i="28"/>
  <c r="O21" i="28"/>
  <c r="Q51" i="25" s="1"/>
  <c r="Q19" i="25"/>
  <c r="O19" i="25"/>
  <c r="M21" i="28"/>
  <c r="O51" i="25" s="1"/>
  <c r="M75" i="28"/>
  <c r="M51" i="28"/>
  <c r="M37" i="28" s="1"/>
  <c r="M77" i="28"/>
  <c r="Q34" i="32" l="1"/>
  <c r="Q35" i="32" s="1"/>
  <c r="M13" i="28"/>
  <c r="S19" i="25"/>
  <c r="J52" i="27"/>
  <c r="L52" i="27"/>
  <c r="M41" i="28"/>
  <c r="G480" i="22" l="1"/>
  <c r="H480" i="22"/>
  <c r="H495" i="22" l="1"/>
  <c r="H491" i="22"/>
  <c r="H489" i="22"/>
  <c r="H493" i="22"/>
  <c r="O76" i="28" s="1"/>
  <c r="G493" i="22"/>
  <c r="G495" i="22"/>
  <c r="G496" i="22" s="1"/>
  <c r="G491" i="22"/>
  <c r="G492" i="22" s="1"/>
  <c r="G489" i="22"/>
  <c r="G490" i="22" s="1"/>
  <c r="J480" i="22"/>
  <c r="G494" i="22" l="1"/>
  <c r="N76" i="28"/>
  <c r="N51" i="28" s="1"/>
  <c r="N37" i="28" s="1"/>
  <c r="J491" i="22"/>
  <c r="H492" i="22"/>
  <c r="J495" i="22"/>
  <c r="H496" i="22"/>
  <c r="N75" i="28"/>
  <c r="N77" i="28"/>
  <c r="J493" i="22"/>
  <c r="H494" i="22"/>
  <c r="J489" i="22"/>
  <c r="H490" i="22"/>
  <c r="R34" i="32" l="1"/>
  <c r="R35" i="32" s="1"/>
  <c r="N13" i="28"/>
  <c r="N41" i="28"/>
  <c r="O75" i="28"/>
  <c r="O77" i="28"/>
  <c r="O51" i="28"/>
  <c r="O37" i="28" s="1"/>
  <c r="S34" i="32" l="1"/>
  <c r="S35" i="32" s="1"/>
  <c r="O13" i="28"/>
  <c r="O41" i="28"/>
  <c r="F504" i="22" l="1"/>
  <c r="F517" i="22" l="1"/>
  <c r="F518" i="22" s="1"/>
  <c r="F519" i="22"/>
  <c r="F520" i="22" s="1"/>
  <c r="F513" i="22"/>
  <c r="F514" i="22" s="1"/>
  <c r="F515" i="22"/>
  <c r="F516" i="22" s="1"/>
  <c r="M72" i="28"/>
  <c r="M50" i="28" l="1"/>
  <c r="M28" i="28" s="1"/>
  <c r="M73" i="28"/>
  <c r="M71" i="28"/>
  <c r="H32" i="32" l="1"/>
  <c r="H33" i="32" s="1"/>
  <c r="M32" i="28"/>
  <c r="G504" i="22" l="1"/>
  <c r="G519" i="22" l="1"/>
  <c r="G520" i="22" s="1"/>
  <c r="G513" i="22"/>
  <c r="G514" i="22" s="1"/>
  <c r="G517" i="22"/>
  <c r="G515" i="22"/>
  <c r="G516" i="22" s="1"/>
  <c r="H504" i="22"/>
  <c r="H519" i="22" l="1"/>
  <c r="H515" i="22"/>
  <c r="H513" i="22"/>
  <c r="H517" i="22"/>
  <c r="N72" i="28"/>
  <c r="G518" i="22"/>
  <c r="J504" i="22"/>
  <c r="J515" i="22" l="1"/>
  <c r="H516" i="22"/>
  <c r="J513" i="22"/>
  <c r="H514" i="22"/>
  <c r="J519" i="22"/>
  <c r="H520" i="22"/>
  <c r="O72" i="28"/>
  <c r="J517" i="22"/>
  <c r="H518" i="22"/>
  <c r="N71" i="28"/>
  <c r="N73" i="28"/>
  <c r="N50" i="28"/>
  <c r="N28" i="28" s="1"/>
  <c r="I32" i="32" l="1"/>
  <c r="I33" i="32" s="1"/>
  <c r="O71" i="28"/>
  <c r="O73" i="28"/>
  <c r="O50" i="28"/>
  <c r="O28" i="28" s="1"/>
  <c r="N32" i="28"/>
  <c r="J32" i="32" l="1"/>
  <c r="J33" i="32" s="1"/>
  <c r="O32" i="28"/>
  <c r="F528" i="22"/>
  <c r="F541" i="22" l="1"/>
  <c r="F542" i="22" s="1"/>
  <c r="F543" i="22"/>
  <c r="F544" i="22" s="1"/>
  <c r="F537" i="22"/>
  <c r="F538" i="22" s="1"/>
  <c r="F539" i="22"/>
  <c r="F540" i="22" s="1"/>
  <c r="M68" i="28"/>
  <c r="M69" i="28" l="1"/>
  <c r="M67" i="28"/>
  <c r="M49" i="28"/>
  <c r="M36" i="28" s="1"/>
  <c r="Q32" i="32" l="1"/>
  <c r="Q33" i="32" s="1"/>
  <c r="M14" i="28"/>
  <c r="Q19" i="32"/>
  <c r="Q20" i="32" s="1"/>
  <c r="M40" i="28"/>
  <c r="Q21" i="32" l="1"/>
  <c r="Q22" i="32" s="1"/>
  <c r="O21" i="25"/>
  <c r="J54" i="27" s="1"/>
  <c r="M23" i="28"/>
  <c r="O53" i="25" s="1"/>
  <c r="O20" i="25"/>
  <c r="M22" i="28"/>
  <c r="O52" i="25" s="1"/>
  <c r="M17" i="28"/>
  <c r="M20" i="28" l="1"/>
  <c r="O50" i="25" s="1"/>
  <c r="O81" i="25" s="1"/>
  <c r="Q26" i="32"/>
  <c r="J53" i="27"/>
  <c r="J57" i="27" s="1"/>
  <c r="O24" i="25"/>
  <c r="O94" i="25" l="1"/>
  <c r="O115" i="25" s="1"/>
  <c r="O91" i="25"/>
  <c r="O44" i="25"/>
  <c r="O73" i="25" s="1"/>
  <c r="O85" i="25"/>
  <c r="O169" i="25" s="1"/>
  <c r="O90" i="25"/>
  <c r="O83" i="25"/>
  <c r="H17" i="32"/>
  <c r="H18" i="32" s="1"/>
  <c r="J58" i="27"/>
  <c r="O29" i="25"/>
  <c r="O161" i="25"/>
  <c r="O27" i="25"/>
  <c r="O26" i="25" s="1"/>
  <c r="O30" i="25"/>
  <c r="O67" i="25" s="1"/>
  <c r="O98" i="25" l="1"/>
  <c r="O111" i="25"/>
  <c r="O218" i="25"/>
  <c r="O66" i="25"/>
  <c r="O31" i="25"/>
  <c r="O82" i="25"/>
  <c r="O89" i="25"/>
  <c r="O65" i="25"/>
  <c r="P166" i="25"/>
  <c r="O167" i="25"/>
  <c r="O168" i="25" s="1"/>
  <c r="O114" i="25" s="1"/>
  <c r="O163" i="25"/>
  <c r="O41" i="25" s="1"/>
  <c r="O113" i="25" l="1"/>
  <c r="J74" i="27"/>
  <c r="J75" i="27" s="1"/>
  <c r="O112" i="25"/>
  <c r="O42" i="25"/>
  <c r="J61" i="27"/>
  <c r="J69" i="27" s="1"/>
  <c r="O72" i="25"/>
  <c r="O110" i="25"/>
  <c r="J70" i="27" l="1"/>
  <c r="J60" i="27"/>
  <c r="O45" i="25"/>
  <c r="O62" i="25" s="1"/>
  <c r="O61" i="25"/>
  <c r="H19" i="32" l="1"/>
  <c r="H20" i="32" s="1"/>
  <c r="J62" i="27"/>
  <c r="H21" i="32" l="1"/>
  <c r="H22" i="32" s="1"/>
  <c r="J63" i="27"/>
  <c r="P18" i="32" l="1"/>
  <c r="G528" i="22" l="1"/>
  <c r="G543" i="22" l="1"/>
  <c r="G544" i="22" s="1"/>
  <c r="G537" i="22"/>
  <c r="G538" i="22" s="1"/>
  <c r="G539" i="22"/>
  <c r="G540" i="22" s="1"/>
  <c r="G541" i="22"/>
  <c r="H528" i="22"/>
  <c r="H543" i="22" l="1"/>
  <c r="H537" i="22"/>
  <c r="H539" i="22"/>
  <c r="H541" i="22"/>
  <c r="N68" i="28"/>
  <c r="G542" i="22"/>
  <c r="J528" i="22"/>
  <c r="J539" i="22" l="1"/>
  <c r="H540" i="22"/>
  <c r="J537" i="22"/>
  <c r="H538" i="22"/>
  <c r="J543" i="22"/>
  <c r="H544" i="22"/>
  <c r="O68" i="28"/>
  <c r="J541" i="22"/>
  <c r="H542" i="22"/>
  <c r="N67" i="28"/>
  <c r="N69" i="28"/>
  <c r="N49" i="28"/>
  <c r="N36" i="28" s="1"/>
  <c r="R32" i="32" l="1"/>
  <c r="R33" i="32" s="1"/>
  <c r="N14" i="28"/>
  <c r="O67" i="28"/>
  <c r="O69" i="28"/>
  <c r="O49" i="28"/>
  <c r="O36" i="28" s="1"/>
  <c r="R19" i="32"/>
  <c r="R20" i="32" s="1"/>
  <c r="N40" i="28"/>
  <c r="R21" i="32" l="1"/>
  <c r="R22" i="32" s="1"/>
  <c r="N23" i="28"/>
  <c r="P53" i="25" s="1"/>
  <c r="P21" i="25"/>
  <c r="K54" i="27" s="1"/>
  <c r="S32" i="32"/>
  <c r="S33" i="32" s="1"/>
  <c r="O14" i="28"/>
  <c r="N22" i="28"/>
  <c r="P52" i="25" s="1"/>
  <c r="P20" i="25"/>
  <c r="N17" i="28"/>
  <c r="S19" i="32"/>
  <c r="S20" i="32" s="1"/>
  <c r="O40" i="28"/>
  <c r="S21" i="32" l="1"/>
  <c r="P14" i="28"/>
  <c r="O23" i="28"/>
  <c r="Q53" i="25" s="1"/>
  <c r="Q21" i="25"/>
  <c r="N20" i="28"/>
  <c r="P50" i="25" s="1"/>
  <c r="P81" i="25" s="1"/>
  <c r="R26" i="32"/>
  <c r="O22" i="28"/>
  <c r="Q52" i="25" s="1"/>
  <c r="P13" i="28"/>
  <c r="Q20" i="25"/>
  <c r="S20" i="25" s="1"/>
  <c r="O17" i="28"/>
  <c r="S26" i="32" s="1"/>
  <c r="P24" i="25"/>
  <c r="K53" i="27"/>
  <c r="K57" i="27" s="1"/>
  <c r="S21" i="25" l="1"/>
  <c r="L54" i="27"/>
  <c r="P83" i="25"/>
  <c r="P91" i="25"/>
  <c r="P44" i="25"/>
  <c r="P218" i="25" s="1"/>
  <c r="P94" i="25"/>
  <c r="P115" i="25" s="1"/>
  <c r="P85" i="25"/>
  <c r="P169" i="25" s="1"/>
  <c r="P90" i="25"/>
  <c r="I17" i="32"/>
  <c r="I18" i="32" s="1"/>
  <c r="K58" i="27"/>
  <c r="P30" i="25"/>
  <c r="P67" i="25" s="1"/>
  <c r="P161" i="25"/>
  <c r="P27" i="25"/>
  <c r="P26" i="25" s="1"/>
  <c r="P29" i="25"/>
  <c r="P17" i="28"/>
  <c r="O20" i="28"/>
  <c r="Q50" i="25" s="1"/>
  <c r="Q24" i="25"/>
  <c r="L53" i="27"/>
  <c r="Q44" i="25" l="1"/>
  <c r="S44" i="25" s="1"/>
  <c r="L57" i="27"/>
  <c r="J17" i="32" s="1"/>
  <c r="J18" i="32" s="1"/>
  <c r="P73" i="25"/>
  <c r="P111" i="25"/>
  <c r="P98" i="25"/>
  <c r="S24" i="25"/>
  <c r="Q94" i="25"/>
  <c r="S94" i="25" s="1"/>
  <c r="Q85" i="25"/>
  <c r="Q90" i="25"/>
  <c r="S90" i="25" s="1"/>
  <c r="Q81" i="25"/>
  <c r="S81" i="25" s="1"/>
  <c r="Q166" i="25"/>
  <c r="P31" i="25"/>
  <c r="P66" i="25"/>
  <c r="Q29" i="25"/>
  <c r="S29" i="25" s="1"/>
  <c r="Q30" i="25"/>
  <c r="S30" i="25" s="1"/>
  <c r="Q161" i="25"/>
  <c r="Q27" i="25"/>
  <c r="S27" i="25" s="1"/>
  <c r="P89" i="25"/>
  <c r="P65" i="25"/>
  <c r="P82" i="25"/>
  <c r="P163" i="25"/>
  <c r="P41" i="25" s="1"/>
  <c r="P167" i="25"/>
  <c r="P168" i="25" s="1"/>
  <c r="P114" i="25" s="1"/>
  <c r="Q91" i="25"/>
  <c r="S91" i="25" s="1"/>
  <c r="Q83" i="25"/>
  <c r="S83" i="25" s="1"/>
  <c r="Q73" i="25" l="1"/>
  <c r="Q111" i="25"/>
  <c r="S111" i="25" s="1"/>
  <c r="L58" i="27"/>
  <c r="Q98" i="25"/>
  <c r="S98" i="25" s="1"/>
  <c r="Q218" i="25"/>
  <c r="Q169" i="25"/>
  <c r="S85" i="25"/>
  <c r="Q115" i="25"/>
  <c r="S115" i="25" s="1"/>
  <c r="P113" i="25"/>
  <c r="P42" i="25"/>
  <c r="Q26" i="25"/>
  <c r="S26" i="25" s="1"/>
  <c r="P110" i="25"/>
  <c r="P72" i="25"/>
  <c r="K61" i="27"/>
  <c r="K69" i="27" s="1"/>
  <c r="Q167" i="25"/>
  <c r="Q163" i="25"/>
  <c r="Q41" i="25" s="1"/>
  <c r="S41" i="25" s="1"/>
  <c r="P112" i="25"/>
  <c r="K74" i="27"/>
  <c r="K75" i="27" s="1"/>
  <c r="Q66" i="25"/>
  <c r="Q31" i="25"/>
  <c r="S31" i="25" s="1"/>
  <c r="Q67" i="25"/>
  <c r="Q168" i="25" l="1"/>
  <c r="Q114" i="25" s="1"/>
  <c r="S114" i="25" s="1"/>
  <c r="K70" i="27"/>
  <c r="Q65" i="25"/>
  <c r="Q42" i="25"/>
  <c r="S42" i="25" s="1"/>
  <c r="Q82" i="25"/>
  <c r="S82" i="25" s="1"/>
  <c r="Q89" i="25"/>
  <c r="S89" i="25" s="1"/>
  <c r="P61" i="25"/>
  <c r="P45" i="25"/>
  <c r="P62" i="25" s="1"/>
  <c r="K60" i="27"/>
  <c r="Q110" i="25"/>
  <c r="S110" i="25" s="1"/>
  <c r="Q72" i="25"/>
  <c r="L61" i="27"/>
  <c r="L69" i="27" s="1"/>
  <c r="I19" i="32" l="1"/>
  <c r="I20" i="32" s="1"/>
  <c r="K62" i="27"/>
  <c r="L74" i="27"/>
  <c r="L75" i="27" s="1"/>
  <c r="Q112" i="25"/>
  <c r="S112" i="25" s="1"/>
  <c r="Q61" i="25"/>
  <c r="Q45" i="25"/>
  <c r="S45" i="25" s="1"/>
  <c r="L60" i="27"/>
  <c r="Q113" i="25"/>
  <c r="S113" i="25" s="1"/>
  <c r="I21" i="32" l="1"/>
  <c r="I22" i="32" s="1"/>
  <c r="J19" i="32"/>
  <c r="J20" i="32" s="1"/>
  <c r="K63" i="27"/>
  <c r="K13" i="27"/>
  <c r="K15" i="27" s="1"/>
  <c r="K16" i="27" s="1"/>
  <c r="L62" i="27"/>
  <c r="Q62" i="25"/>
  <c r="L70" i="27"/>
  <c r="J21" i="32" l="1"/>
  <c r="J22" i="32" s="1"/>
  <c r="S22" i="32"/>
  <c r="Q18" i="32"/>
  <c r="L63" i="27"/>
  <c r="R18" i="32" l="1"/>
  <c r="S18" i="32"/>
  <c r="N18" i="32" l="1"/>
  <c r="H21" i="16" l="1"/>
  <c r="F8" i="16" s="1"/>
  <c r="F10" i="16" l="1"/>
  <c r="G9" i="16" s="1"/>
  <c r="G8" i="16" l="1"/>
  <c r="G10" i="16" s="1"/>
  <c r="P182" i="25" l="1"/>
  <c r="P124" i="25"/>
  <c r="P174" i="25"/>
  <c r="P173" i="25"/>
  <c r="P42" i="32"/>
  <c r="P41" i="32"/>
  <c r="S42" i="32"/>
  <c r="S41" i="32"/>
  <c r="O42" i="32"/>
  <c r="O41" i="32"/>
  <c r="O127" i="25"/>
  <c r="O125" i="25"/>
  <c r="O122" i="25"/>
  <c r="E26" i="32"/>
  <c r="E25" i="32"/>
  <c r="J82" i="27"/>
  <c r="J81" i="27"/>
  <c r="C20" i="27"/>
  <c r="C19" i="27"/>
  <c r="C16" i="27"/>
  <c r="S127" i="25"/>
  <c r="Q127" i="25"/>
  <c r="M116" i="25"/>
  <c r="M109" i="25"/>
  <c r="S95" i="25"/>
  <c r="Q95" i="25"/>
  <c r="Q42" i="32"/>
  <c r="Q41" i="32"/>
  <c r="Q211" i="25"/>
  <c r="P211" i="25"/>
  <c r="O211" i="25"/>
  <c r="N211" i="25"/>
  <c r="N183" i="25"/>
  <c r="N180" i="25"/>
  <c r="K82" i="27"/>
  <c r="K81" i="27"/>
  <c r="L227" i="25"/>
  <c r="L228" i="25"/>
  <c r="E41" i="32"/>
  <c r="E42" i="32"/>
  <c r="N42" i="32"/>
  <c r="L215" i="25"/>
  <c r="N41" i="32"/>
  <c r="M173" i="25"/>
  <c r="M174" i="25"/>
  <c r="M124" i="25"/>
  <c r="M182" i="25"/>
  <c r="G40" i="32"/>
  <c r="G39" i="32"/>
  <c r="N225" i="25"/>
  <c r="F24" i="32"/>
  <c r="F23" i="32"/>
  <c r="O99" i="25"/>
  <c r="O101" i="25"/>
  <c r="O103" i="25"/>
  <c r="I24" i="32"/>
  <c r="I23" i="32"/>
  <c r="N127" i="25"/>
  <c r="N125" i="25"/>
  <c r="N122" i="25"/>
  <c r="S116" i="25"/>
  <c r="Q116" i="25"/>
  <c r="J42" i="32"/>
  <c r="J41" i="32"/>
  <c r="Q228" i="25"/>
  <c r="R40" i="32"/>
  <c r="R39" i="32"/>
  <c r="F42" i="32"/>
  <c r="F41" i="32"/>
  <c r="M228" i="25"/>
  <c r="Q183" i="25"/>
  <c r="Q180" i="25"/>
  <c r="O116" i="25"/>
  <c r="O109" i="25"/>
  <c r="H26" i="32"/>
  <c r="J72" i="27"/>
  <c r="H25" i="32"/>
  <c r="N116" i="25"/>
  <c r="N109" i="25"/>
  <c r="J24" i="32"/>
  <c r="J23" i="32"/>
  <c r="P40" i="32"/>
  <c r="P39" i="32"/>
  <c r="O182" i="25"/>
  <c r="O124" i="25"/>
  <c r="O174" i="25"/>
  <c r="O173" i="25"/>
  <c r="H24" i="32"/>
  <c r="H23" i="32"/>
  <c r="M187" i="25"/>
  <c r="L86" i="25"/>
  <c r="H42" i="32"/>
  <c r="H41" i="32"/>
  <c r="O228" i="25"/>
  <c r="S99" i="25"/>
  <c r="Q40" i="32"/>
  <c r="Q39" i="32"/>
  <c r="Q109" i="25"/>
  <c r="S109" i="25"/>
  <c r="Q187" i="25"/>
  <c r="N212" i="25"/>
  <c r="N224" i="25"/>
  <c r="O95" i="25"/>
  <c r="N103" i="25"/>
  <c r="N101" i="25"/>
  <c r="N99" i="25"/>
  <c r="Q220" i="25"/>
  <c r="L34" i="25"/>
  <c r="L193" i="25"/>
  <c r="L198" i="25"/>
  <c r="G42" i="32"/>
  <c r="G41" i="32"/>
  <c r="N223" i="25"/>
  <c r="N228" i="25"/>
  <c r="M180" i="25"/>
  <c r="M183" i="25"/>
  <c r="J25" i="32"/>
  <c r="J26" i="32"/>
  <c r="M223" i="25"/>
  <c r="M225" i="25"/>
  <c r="F39" i="32"/>
  <c r="F40" i="32"/>
  <c r="N86" i="25"/>
  <c r="O180" i="25"/>
  <c r="O183" i="25"/>
  <c r="S101" i="25"/>
  <c r="Q172" i="25"/>
  <c r="Q176" i="25"/>
  <c r="Q99" i="25"/>
  <c r="Q101" i="25"/>
  <c r="Q103" i="25"/>
  <c r="I26" i="32"/>
  <c r="K72" i="27"/>
  <c r="I25" i="32"/>
  <c r="S86" i="25"/>
  <c r="Q86" i="25"/>
  <c r="N172" i="25"/>
  <c r="N176" i="25"/>
  <c r="O172" i="25"/>
  <c r="O176" i="25"/>
  <c r="P172" i="25"/>
  <c r="P176" i="25"/>
  <c r="P99" i="25"/>
  <c r="P101" i="25"/>
  <c r="P103" i="25"/>
  <c r="K20" i="27"/>
  <c r="K19" i="27"/>
  <c r="P220" i="25"/>
  <c r="Q182" i="25"/>
  <c r="Q173" i="25"/>
  <c r="Q174" i="25"/>
  <c r="Q124" i="25"/>
  <c r="S124" i="25"/>
  <c r="L95" i="25"/>
  <c r="H82" i="27"/>
  <c r="H81" i="27"/>
  <c r="Q197" i="25"/>
  <c r="S92" i="25"/>
  <c r="C18" i="27"/>
  <c r="C40" i="27"/>
  <c r="C42" i="27"/>
  <c r="C44" i="27"/>
  <c r="N187" i="25"/>
  <c r="N197" i="25"/>
  <c r="O198" i="25"/>
  <c r="O193" i="25"/>
  <c r="O34" i="25"/>
  <c r="P127" i="25"/>
  <c r="P125" i="25"/>
  <c r="P122" i="25"/>
  <c r="P228" i="25"/>
  <c r="I41" i="32"/>
  <c r="I42" i="32"/>
  <c r="M95" i="25"/>
  <c r="Q215" i="25"/>
  <c r="Q227" i="25"/>
  <c r="L82" i="27"/>
  <c r="K21" i="27"/>
  <c r="M215" i="25"/>
  <c r="M227" i="25"/>
  <c r="M122" i="25"/>
  <c r="M125" i="25"/>
  <c r="M127" i="25"/>
  <c r="N220" i="25"/>
  <c r="O38" i="25"/>
  <c r="J65" i="27"/>
  <c r="J66" i="27"/>
  <c r="J67" i="27"/>
  <c r="O86" i="25"/>
  <c r="Q224" i="25"/>
  <c r="O220" i="25"/>
  <c r="S33" i="25"/>
  <c r="N40" i="32"/>
  <c r="N39" i="32"/>
  <c r="E44" i="27"/>
  <c r="E42" i="27"/>
  <c r="G72" i="27"/>
  <c r="G81" i="27"/>
  <c r="G82" i="27"/>
  <c r="C17" i="27"/>
  <c r="K17" i="27"/>
  <c r="K18" i="27"/>
  <c r="E40" i="27"/>
  <c r="L38" i="25"/>
  <c r="G65" i="27"/>
  <c r="G66" i="27"/>
  <c r="G67" i="27"/>
  <c r="Q80" i="25"/>
  <c r="S80" i="25"/>
  <c r="P34" i="25"/>
  <c r="O92" i="25"/>
  <c r="O197" i="25"/>
  <c r="P198" i="25"/>
  <c r="P193" i="25"/>
  <c r="O212" i="25"/>
  <c r="O224" i="25"/>
  <c r="O40" i="32"/>
  <c r="O39" i="32"/>
  <c r="Q125" i="25"/>
  <c r="S125" i="25"/>
  <c r="N34" i="25"/>
  <c r="M92" i="25"/>
  <c r="M197" i="25"/>
  <c r="N198" i="25"/>
  <c r="N193" i="25"/>
  <c r="S39" i="25"/>
  <c r="L197" i="25"/>
  <c r="M198" i="25"/>
  <c r="M193" i="25"/>
  <c r="M34" i="25"/>
  <c r="R42" i="32"/>
  <c r="R41" i="32"/>
  <c r="I82" i="27"/>
  <c r="I81" i="27"/>
  <c r="Q214" i="25"/>
  <c r="M211" i="25"/>
  <c r="M214" i="25"/>
  <c r="N214" i="25"/>
  <c r="O214" i="25"/>
  <c r="P214" i="25"/>
  <c r="P197" i="25"/>
  <c r="Q198" i="25"/>
  <c r="Q193" i="25"/>
  <c r="Q34" i="25"/>
  <c r="S34" i="25"/>
  <c r="N173" i="25"/>
  <c r="N174" i="25"/>
  <c r="N124" i="25"/>
  <c r="N182" i="25"/>
  <c r="H72" i="27"/>
  <c r="F25" i="32"/>
  <c r="F26" i="32"/>
  <c r="O207" i="25"/>
  <c r="O33" i="25"/>
  <c r="O36" i="25"/>
  <c r="O39" i="25"/>
  <c r="O210" i="25"/>
  <c r="O215" i="25"/>
  <c r="O227" i="25"/>
  <c r="Q39" i="25"/>
  <c r="Q210" i="25"/>
  <c r="Q212" i="25"/>
  <c r="S39" i="32"/>
  <c r="S40" i="32"/>
  <c r="P223" i="25"/>
  <c r="P225" i="25"/>
  <c r="I39" i="32"/>
  <c r="I40" i="32"/>
  <c r="G26" i="32"/>
  <c r="I72" i="27"/>
  <c r="G25" i="32"/>
  <c r="O187" i="25"/>
  <c r="P38" i="25"/>
  <c r="K65" i="27"/>
  <c r="K66" i="27"/>
  <c r="K67" i="27"/>
  <c r="P180" i="25"/>
  <c r="P183" i="25"/>
  <c r="L99" i="25"/>
  <c r="L101" i="25"/>
  <c r="L103" i="25"/>
  <c r="S36" i="25"/>
  <c r="L67" i="27"/>
  <c r="H67" i="27"/>
  <c r="N92" i="25"/>
  <c r="N95" i="25"/>
  <c r="P86" i="25"/>
  <c r="N38" i="25"/>
  <c r="I65" i="27"/>
  <c r="I66" i="27"/>
  <c r="I67" i="27"/>
  <c r="M212" i="25"/>
  <c r="M224" i="25"/>
  <c r="Q186" i="25"/>
  <c r="Q189" i="25"/>
  <c r="Q92" i="25"/>
  <c r="Q122" i="25"/>
  <c r="S122" i="25"/>
  <c r="S38" i="25"/>
  <c r="O223" i="25"/>
  <c r="O225" i="25"/>
  <c r="H39" i="32"/>
  <c r="H40" i="32"/>
  <c r="P215" i="25"/>
  <c r="P227" i="25"/>
  <c r="L173" i="25"/>
  <c r="L176" i="25"/>
  <c r="M172" i="25"/>
  <c r="M176" i="25"/>
  <c r="M99" i="25"/>
  <c r="M101" i="25"/>
  <c r="M103" i="25"/>
  <c r="P210" i="25"/>
  <c r="P212" i="25"/>
  <c r="P224" i="25"/>
  <c r="P80" i="25"/>
  <c r="Q207" i="25"/>
  <c r="Q33" i="25"/>
  <c r="Q36" i="25"/>
  <c r="Q38" i="25"/>
  <c r="L65" i="27"/>
  <c r="L66" i="27"/>
  <c r="L72" i="27"/>
  <c r="L81" i="27"/>
  <c r="C14" i="27"/>
  <c r="C15" i="27"/>
  <c r="C21" i="27"/>
  <c r="M86" i="25"/>
  <c r="P187" i="25"/>
  <c r="L210" i="25"/>
  <c r="L212" i="25"/>
  <c r="L224" i="25"/>
  <c r="L225" i="25"/>
  <c r="E39" i="32"/>
  <c r="E40" i="32"/>
  <c r="M39" i="25"/>
  <c r="M210" i="25"/>
  <c r="M220" i="25"/>
  <c r="M219" i="25"/>
  <c r="N219" i="25"/>
  <c r="O219" i="25"/>
  <c r="P219" i="25"/>
  <c r="Q219" i="25"/>
  <c r="Q223" i="25"/>
  <c r="Q225" i="25"/>
  <c r="J39" i="32"/>
  <c r="J40" i="32"/>
  <c r="M207" i="25"/>
  <c r="M33" i="25"/>
  <c r="M36" i="25"/>
  <c r="M38" i="25"/>
  <c r="H65" i="27"/>
  <c r="H66" i="27"/>
  <c r="G23" i="32"/>
  <c r="G24" i="32"/>
  <c r="N80" i="25"/>
  <c r="O80" i="25"/>
  <c r="P207" i="25"/>
  <c r="P33" i="25"/>
  <c r="P36" i="25"/>
  <c r="P39" i="25"/>
  <c r="P109" i="25"/>
  <c r="P116" i="25"/>
  <c r="M186" i="25"/>
  <c r="M189" i="25"/>
  <c r="N186" i="25"/>
  <c r="N189" i="25"/>
  <c r="O186" i="25"/>
  <c r="O189" i="25"/>
  <c r="P186" i="25"/>
  <c r="P189" i="25"/>
  <c r="P92" i="25"/>
  <c r="P95" i="25"/>
  <c r="L207" i="25"/>
  <c r="L33" i="25"/>
  <c r="L36" i="25"/>
  <c r="L39" i="25"/>
  <c r="L109" i="25"/>
  <c r="L116" i="25"/>
  <c r="L182" i="25"/>
  <c r="L183" i="25"/>
  <c r="L187" i="25"/>
  <c r="L189" i="25"/>
  <c r="L92" i="25"/>
  <c r="L122" i="25"/>
  <c r="L125" i="25"/>
  <c r="L127" i="25"/>
  <c r="L80" i="25"/>
  <c r="M80" i="25"/>
  <c r="N207" i="25"/>
  <c r="N33" i="25"/>
  <c r="N36" i="25"/>
  <c r="N39" i="25"/>
  <c r="N210" i="25"/>
  <c r="N215" i="25"/>
  <c r="N227"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futureMetadata>
  <cellMetadata count="1">
    <bk>
      <rc t="1" v="0"/>
    </bk>
  </cellMetadata>
  <valueMetadata count="6">
    <bk>
      <rc t="2" v="0"/>
    </bk>
    <bk>
      <rc t="2" v="1"/>
    </bk>
    <bk>
      <rc t="2" v="2"/>
    </bk>
    <bk>
      <rc t="2" v="3"/>
    </bk>
    <bk>
      <rc t="2" v="4"/>
    </bk>
    <bk>
      <rc t="2" v="5"/>
    </bk>
  </valueMetadata>
</metadata>
</file>

<file path=xl/sharedStrings.xml><?xml version="1.0" encoding="utf-8"?>
<sst xmlns="http://schemas.openxmlformats.org/spreadsheetml/2006/main" count="2433" uniqueCount="773">
  <si>
    <t>FYE</t>
  </si>
  <si>
    <t>Quarterly</t>
  </si>
  <si>
    <t>1Q24</t>
  </si>
  <si>
    <t>2Q24</t>
  </si>
  <si>
    <t>3Q24</t>
  </si>
  <si>
    <t>4Q24</t>
  </si>
  <si>
    <t>1Q23</t>
  </si>
  <si>
    <t>2Q23</t>
  </si>
  <si>
    <t>3Q23</t>
  </si>
  <si>
    <t>4Q23</t>
  </si>
  <si>
    <t>LTM</t>
  </si>
  <si>
    <t>EBITDA</t>
  </si>
  <si>
    <t>Total Revenue</t>
  </si>
  <si>
    <t>Cost of Sales</t>
  </si>
  <si>
    <t>Accounts receivable</t>
  </si>
  <si>
    <t>Inventories</t>
  </si>
  <si>
    <t>Accounts payable</t>
  </si>
  <si>
    <t>Net income</t>
  </si>
  <si>
    <t>Changes in assets and liabilities:</t>
  </si>
  <si>
    <t>Cash-Flows Statement</t>
  </si>
  <si>
    <t>Other current assets</t>
  </si>
  <si>
    <t>Debt</t>
  </si>
  <si>
    <t>Total stockholders' equity</t>
  </si>
  <si>
    <t>Total Liabilities</t>
  </si>
  <si>
    <t>X</t>
  </si>
  <si>
    <t>Total Current Liabilities</t>
  </si>
  <si>
    <t>Common stock</t>
  </si>
  <si>
    <t xml:space="preserve">Beta </t>
  </si>
  <si>
    <t>Total Current Assets</t>
  </si>
  <si>
    <t>Total Assets</t>
  </si>
  <si>
    <t>Gross Profit</t>
  </si>
  <si>
    <t>Revenue</t>
  </si>
  <si>
    <t>EBIT</t>
  </si>
  <si>
    <t>Beta</t>
  </si>
  <si>
    <t>Total Debt</t>
  </si>
  <si>
    <t>Perpetuity</t>
  </si>
  <si>
    <t>Net Debt</t>
  </si>
  <si>
    <t>Variance</t>
  </si>
  <si>
    <t>FCF Analysis</t>
  </si>
  <si>
    <t>1Q22</t>
  </si>
  <si>
    <t>2Q22</t>
  </si>
  <si>
    <t>3Q22</t>
  </si>
  <si>
    <t>4Q22</t>
  </si>
  <si>
    <t>1Q25</t>
  </si>
  <si>
    <t>2Q25</t>
  </si>
  <si>
    <t>Y/Y Growth (%)</t>
  </si>
  <si>
    <t>Q/Q Growth (%)</t>
  </si>
  <si>
    <t>N/A</t>
  </si>
  <si>
    <t>(-) Cost of Sales</t>
  </si>
  <si>
    <t>Gross Margin (%)</t>
  </si>
  <si>
    <t>Earning before Interest &amp; Taxes (EBIT)</t>
  </si>
  <si>
    <t>Operating Margin (%)</t>
  </si>
  <si>
    <t>(+) Depreciation and Amortization</t>
  </si>
  <si>
    <t>EBITDA Margin (%)</t>
  </si>
  <si>
    <t xml:space="preserve">(+) Share-based Compensation </t>
  </si>
  <si>
    <t>Adj. EBITDA</t>
  </si>
  <si>
    <t>Adj. EBITDA Margin (%)</t>
  </si>
  <si>
    <t>(-) Capital Expenditures</t>
  </si>
  <si>
    <t>(-) Cash Taxes</t>
  </si>
  <si>
    <t>(+/-) Changes in NWC</t>
  </si>
  <si>
    <t>Discretionary Cash-Flows</t>
  </si>
  <si>
    <t>Free-Cash Flows</t>
  </si>
  <si>
    <t>Capitalization</t>
  </si>
  <si>
    <t>Cash &amp; Cash Equivelants</t>
  </si>
  <si>
    <t>Total Liquidity</t>
  </si>
  <si>
    <t>Balance Sheet Metrics:</t>
  </si>
  <si>
    <t>Accounts Receivable</t>
  </si>
  <si>
    <t>Accounts Payable</t>
  </si>
  <si>
    <t>Property Plant, and Equiptment</t>
  </si>
  <si>
    <t>Current Liabilities</t>
  </si>
  <si>
    <t>Summary Debt (BS):</t>
  </si>
  <si>
    <t>CPLTD</t>
  </si>
  <si>
    <t>LTD</t>
  </si>
  <si>
    <t>Total Shareholder Equity</t>
  </si>
  <si>
    <t>Total Book Capitalization</t>
  </si>
  <si>
    <t>Total Leverage</t>
  </si>
  <si>
    <t>Net Leverage (C&amp;CE)</t>
  </si>
  <si>
    <t xml:space="preserve">Interest Coverage </t>
  </si>
  <si>
    <t>Debt Service Coverage</t>
  </si>
  <si>
    <t>Fixed Charge Coverage</t>
  </si>
  <si>
    <t>Debt-to-Book Capitalization</t>
  </si>
  <si>
    <t>Profit From Operations</t>
  </si>
  <si>
    <t>Net loss before provision for income taxes</t>
  </si>
  <si>
    <t>Net loss</t>
  </si>
  <si>
    <t>Total liabilities and stockholders' equity</t>
  </si>
  <si>
    <t>Cash-Flows From Operating Activities</t>
  </si>
  <si>
    <t>Net income (loss)</t>
  </si>
  <si>
    <t>Depreciation and amortization</t>
  </si>
  <si>
    <t>Net cash used in operating activities</t>
  </si>
  <si>
    <t>Cash flows from investing activities:</t>
  </si>
  <si>
    <t>Net cash used in investing activities</t>
  </si>
  <si>
    <t>Cash flows from financing activities:</t>
  </si>
  <si>
    <t>Net cash provided by financing activities</t>
  </si>
  <si>
    <t>Consolidated Revenue</t>
  </si>
  <si>
    <t>Common Stock</t>
  </si>
  <si>
    <t>Adjustments to reconcile net income:</t>
  </si>
  <si>
    <t>Other</t>
  </si>
  <si>
    <t>Balance Check</t>
  </si>
  <si>
    <t>Net Change in Cash</t>
  </si>
  <si>
    <t>Inventory</t>
  </si>
  <si>
    <t>Cash paid during the period for:</t>
  </si>
  <si>
    <t xml:space="preserve">Provision for taxes </t>
  </si>
  <si>
    <t>3Q25</t>
  </si>
  <si>
    <t>Net Margin (%)</t>
  </si>
  <si>
    <t>Basic shares</t>
  </si>
  <si>
    <t>Basic EPS</t>
  </si>
  <si>
    <t>Fully Diluted Shares</t>
  </si>
  <si>
    <t>Diluted EPS</t>
  </si>
  <si>
    <t>Segment Anaysis</t>
  </si>
  <si>
    <t>Total Net Revenue</t>
  </si>
  <si>
    <t>(-) Research and Development (R&amp;D)</t>
  </si>
  <si>
    <t xml:space="preserve">(+/-) Other </t>
  </si>
  <si>
    <t>(+/-) Issuance / (Repayment) of Debt</t>
  </si>
  <si>
    <t xml:space="preserve">(+/-) Dividends </t>
  </si>
  <si>
    <t>Credit Metrics</t>
  </si>
  <si>
    <t>Company name</t>
  </si>
  <si>
    <t>Base case</t>
  </si>
  <si>
    <t>Ticker</t>
  </si>
  <si>
    <t>AAPL</t>
  </si>
  <si>
    <t>Circ break 1=off, 0=on</t>
  </si>
  <si>
    <t>Latest closing share price</t>
  </si>
  <si>
    <t>Latest closing share price date</t>
  </si>
  <si>
    <t>Latest fiscal year end date</t>
  </si>
  <si>
    <t>Shares outstanding (millions)</t>
  </si>
  <si>
    <t xml:space="preserve">Fiscal year  </t>
  </si>
  <si>
    <t>Fiscal year end date</t>
  </si>
  <si>
    <t>Operating profit (EBIT)</t>
  </si>
  <si>
    <t>Pretax profit</t>
  </si>
  <si>
    <t>Stock based compensation</t>
  </si>
  <si>
    <t>Growth rates &amp; margins</t>
  </si>
  <si>
    <t>Revenue growth</t>
  </si>
  <si>
    <t>Gross profit margin</t>
  </si>
  <si>
    <t>R&amp;D % of sales</t>
  </si>
  <si>
    <t>SG&amp;A % of sales</t>
  </si>
  <si>
    <t>Tax rate</t>
  </si>
  <si>
    <t>Cash &amp; equivalents, ST and LT marketable securities</t>
  </si>
  <si>
    <t>Property, plant &amp; equipment</t>
  </si>
  <si>
    <t>Other non current assets</t>
  </si>
  <si>
    <t>Other current liabilities</t>
  </si>
  <si>
    <t>Deferred revenue (current)</t>
  </si>
  <si>
    <t>Commercial paper / revolver</t>
  </si>
  <si>
    <t>Long term debt (includes current portion)</t>
  </si>
  <si>
    <t>Other non current liabilities</t>
  </si>
  <si>
    <t>Increase by stock-based compensation forecasted in the I/S section</t>
  </si>
  <si>
    <t xml:space="preserve">Retained earnings </t>
  </si>
  <si>
    <t>Reference from Retained Earnings schedule</t>
  </si>
  <si>
    <t>Other comprehensive income</t>
  </si>
  <si>
    <t>Balance check</t>
  </si>
  <si>
    <t>Reference from the I/S</t>
  </si>
  <si>
    <t>Decreases / (Increases) in working capital assets</t>
  </si>
  <si>
    <t>Increases / (Decreases) in working capital liabilities</t>
  </si>
  <si>
    <t>Long term debt</t>
  </si>
  <si>
    <t>Commercial paper/ Revolver</t>
  </si>
  <si>
    <t>Share repurchases</t>
  </si>
  <si>
    <t>Common dividends</t>
  </si>
  <si>
    <t>PROPERTY, PLANT &amp; EQUIPMENT</t>
  </si>
  <si>
    <t>Forecast</t>
  </si>
  <si>
    <t>Beginning of period</t>
  </si>
  <si>
    <t>Plus: Capital expenditures</t>
  </si>
  <si>
    <t>Less: Depreciation</t>
  </si>
  <si>
    <t>End of period</t>
  </si>
  <si>
    <t>D&amp;A related to PP&amp;E as a % of capex</t>
  </si>
  <si>
    <t>Revenue x 'as % of revenue' assumption</t>
  </si>
  <si>
    <t>as % of revenue</t>
  </si>
  <si>
    <t>D&amp;A from PP&amp;E + D&amp;A not from PP&amp;E</t>
  </si>
  <si>
    <t>Cash at beginning of period (BOP)</t>
  </si>
  <si>
    <t>Commercial paper / Revolver</t>
  </si>
  <si>
    <t>Draw / (paydown)</t>
  </si>
  <si>
    <t>Discretionary borrowing / (paydown)</t>
  </si>
  <si>
    <t>INTEREST EXPENSE AND INTEREST INCOME</t>
  </si>
  <si>
    <t>Total interest expense (from I/S)</t>
  </si>
  <si>
    <t>Commercial Paper / Revolver</t>
  </si>
  <si>
    <t>Weighted average interest rate</t>
  </si>
  <si>
    <t>End of period balance (from B/S)</t>
  </si>
  <si>
    <t>Interest rate on cash</t>
  </si>
  <si>
    <t>Weighted average interest rate on cash</t>
  </si>
  <si>
    <t>EARNINGS PER SHARE</t>
  </si>
  <si>
    <t xml:space="preserve">Basic shares </t>
  </si>
  <si>
    <t>Diluted Shares</t>
  </si>
  <si>
    <t>$ amount of shares repurchased</t>
  </si>
  <si>
    <t>$ amount of new shares issued</t>
  </si>
  <si>
    <t>Average share price</t>
  </si>
  <si>
    <t>Share price increase</t>
  </si>
  <si>
    <t>Active case:</t>
  </si>
  <si>
    <t>base case</t>
  </si>
  <si>
    <t>Best case</t>
  </si>
  <si>
    <t>NM</t>
  </si>
  <si>
    <t>Weak case</t>
  </si>
  <si>
    <t>High</t>
  </si>
  <si>
    <t>Apple Inc. (NASDAQ: AAPL)</t>
  </si>
  <si>
    <t>Cash/Equivalents</t>
  </si>
  <si>
    <t>Other Current Assets</t>
  </si>
  <si>
    <t>Other Assets</t>
  </si>
  <si>
    <t>Other Non-Current Liabilities</t>
  </si>
  <si>
    <t>Long-Term Debt</t>
  </si>
  <si>
    <t>Retained Earnings (Deficit)</t>
  </si>
  <si>
    <t xml:space="preserve">Accumulated Other comprehensive income </t>
  </si>
  <si>
    <t>Treasury Stock</t>
  </si>
  <si>
    <t>Depreciation and Amortization</t>
  </si>
  <si>
    <t>Stock Based Compensation</t>
  </si>
  <si>
    <t>Deferred Taxes</t>
  </si>
  <si>
    <t>Deferred Revenue</t>
  </si>
  <si>
    <t xml:space="preserve">Other Asset and Other Liabilities </t>
  </si>
  <si>
    <t>Capital Expenditures</t>
  </si>
  <si>
    <t>Proceeds of investments</t>
  </si>
  <si>
    <t>Purchase of Investments</t>
  </si>
  <si>
    <t>Acquisitions/intang assets</t>
  </si>
  <si>
    <t>Proceeds from the issuance of term debt, net</t>
  </si>
  <si>
    <t>Repayments of term debt</t>
  </si>
  <si>
    <t>Issuance of Common</t>
  </si>
  <si>
    <t>Change in commercial paper, net</t>
  </si>
  <si>
    <t>Preferred Stock</t>
  </si>
  <si>
    <t>Dividends</t>
  </si>
  <si>
    <t xml:space="preserve">Research &amp; Development </t>
  </si>
  <si>
    <t>Selling, General &amp; Administrative</t>
  </si>
  <si>
    <t>Other income/(expense), net</t>
  </si>
  <si>
    <t>Cash paid for income taxes, net</t>
  </si>
  <si>
    <t>Cash paid for interest</t>
  </si>
  <si>
    <t>Adjusted Cash Position BOP</t>
  </si>
  <si>
    <t>Adjusted Cash Position EOP</t>
  </si>
  <si>
    <t xml:space="preserve">EOP Restricted Cash Adjustments </t>
  </si>
  <si>
    <t xml:space="preserve">BOP Restricted Cash Adjustments </t>
  </si>
  <si>
    <t>Revenue by End Product</t>
  </si>
  <si>
    <t>Apple Watch</t>
  </si>
  <si>
    <t>iPhone Revenue</t>
  </si>
  <si>
    <t>Mac Revenue</t>
  </si>
  <si>
    <t>iPad Revenue</t>
  </si>
  <si>
    <t>Services Revenue</t>
  </si>
  <si>
    <t>Wearables, Home, and Accessories Revenue</t>
  </si>
  <si>
    <t>(-) Selling, General &amp; Administrative (SG&amp;A)</t>
  </si>
  <si>
    <t xml:space="preserve">(-) Cash Interest </t>
  </si>
  <si>
    <t>(+/-) Proceeds / (Purchases) of Investments</t>
  </si>
  <si>
    <t>(+/-) Proceeds / (Purchases) of Other/Strategic investments</t>
  </si>
  <si>
    <t>(+/-) Issuances / (Share Repurchases)</t>
  </si>
  <si>
    <t>(+/-) Change in commercial paper, net</t>
  </si>
  <si>
    <t>Commerical Paper</t>
  </si>
  <si>
    <t>Term Debt, Current Portion</t>
  </si>
  <si>
    <t>Commercial Paper Outstanding</t>
  </si>
  <si>
    <t>Aggregate Term Debt, Current Portion</t>
  </si>
  <si>
    <t>Aggregate Term Debt, Net of Current Portion</t>
  </si>
  <si>
    <t>Cost of debt</t>
  </si>
  <si>
    <t>Cost of debt (after tax)</t>
  </si>
  <si>
    <t xml:space="preserve">Risk free rate </t>
  </si>
  <si>
    <t>Cost of equity</t>
  </si>
  <si>
    <t>WACC sensitivity to MRP and Beta</t>
  </si>
  <si>
    <t>Market</t>
  </si>
  <si>
    <t>Risk</t>
  </si>
  <si>
    <t>Premium</t>
  </si>
  <si>
    <t>Share price</t>
  </si>
  <si>
    <t>Dil. shares</t>
  </si>
  <si>
    <t>Market cap</t>
  </si>
  <si>
    <t>Alphabet (GOOG)</t>
  </si>
  <si>
    <t>Discounted Cash Flow Valuation</t>
  </si>
  <si>
    <t>Most recent fiscal year end</t>
  </si>
  <si>
    <t>Discount rate (WACC)</t>
  </si>
  <si>
    <t>Link from WACC</t>
  </si>
  <si>
    <t>End of first fiscal year</t>
  </si>
  <si>
    <t>Share price (Public Co)</t>
  </si>
  <si>
    <t>Source: CIQ</t>
  </si>
  <si>
    <t>Most recent quarter end date</t>
  </si>
  <si>
    <t>Share price date</t>
  </si>
  <si>
    <t xml:space="preserve">Valuation date </t>
  </si>
  <si>
    <t>Midyear adjustment?</t>
  </si>
  <si>
    <t>Portion of First Year Cash Flows</t>
  </si>
  <si>
    <t>Case active:</t>
  </si>
  <si>
    <t>Unlevered Free Cash Flows</t>
  </si>
  <si>
    <t>Forecasts</t>
  </si>
  <si>
    <t>% growth</t>
  </si>
  <si>
    <t>Unlevered free cash flows (UFCF)</t>
  </si>
  <si>
    <t>Val date</t>
  </si>
  <si>
    <t xml:space="preserve">Yr 1 - Stub </t>
  </si>
  <si>
    <t>Year 2</t>
  </si>
  <si>
    <t>Year 3</t>
  </si>
  <si>
    <t>Year 4</t>
  </si>
  <si>
    <t>Year 5</t>
  </si>
  <si>
    <t>Date for discounting cash flows</t>
  </si>
  <si>
    <t>Unlevered free cash flows (UFCF) stub adjusted</t>
  </si>
  <si>
    <t>Present value of of unlevered free cash flows</t>
  </si>
  <si>
    <t>Long term growth rate</t>
  </si>
  <si>
    <t>Terminal year EBITDA</t>
  </si>
  <si>
    <t>EBITDA multiple</t>
  </si>
  <si>
    <t>Present value of terminal value</t>
  </si>
  <si>
    <t>Present value of stage 1 cash flows</t>
  </si>
  <si>
    <t>Total enterprise value (TEV)</t>
  </si>
  <si>
    <t>Enterprise value (stage 1 + 2)</t>
  </si>
  <si>
    <t>Terminal value as % of TEV</t>
  </si>
  <si>
    <t>Stage 1 cash flows as % of TEV</t>
  </si>
  <si>
    <t>Cash flows as % of TEV</t>
  </si>
  <si>
    <t>Implied TV exit EBITDA multiple</t>
  </si>
  <si>
    <t>Implied terminal growth rate</t>
  </si>
  <si>
    <t>Net debt</t>
  </si>
  <si>
    <t>Shares outstanding</t>
  </si>
  <si>
    <t>Source doc</t>
  </si>
  <si>
    <t>Source date</t>
  </si>
  <si>
    <t>Date</t>
  </si>
  <si>
    <t>Shares</t>
  </si>
  <si>
    <t>Gross debt and equivalents</t>
  </si>
  <si>
    <t>Restricted stock / RSUs</t>
  </si>
  <si>
    <t>Convertible debt</t>
  </si>
  <si>
    <t>Options / warrants</t>
  </si>
  <si>
    <t>Preferred stock</t>
  </si>
  <si>
    <t>Noncontrolling (minority) interests</t>
  </si>
  <si>
    <t>Convertible preferred stock</t>
  </si>
  <si>
    <t>Nonoperating assets</t>
  </si>
  <si>
    <t>Net diluted shares outstanding</t>
  </si>
  <si>
    <t xml:space="preserve">Cash </t>
  </si>
  <si>
    <t xml:space="preserve">Equity investments </t>
  </si>
  <si>
    <t>Valuation</t>
  </si>
  <si>
    <t>Enterprise value</t>
  </si>
  <si>
    <t xml:space="preserve">Equity value </t>
  </si>
  <si>
    <t>Equity value per share</t>
  </si>
  <si>
    <t>Low</t>
  </si>
  <si>
    <t>Marketable Securities, Current</t>
  </si>
  <si>
    <t>Marketable Securities, Net of Current Portion</t>
  </si>
  <si>
    <t>$ mm except per share</t>
  </si>
  <si>
    <t>Actuals</t>
  </si>
  <si>
    <t>Income Statement</t>
  </si>
  <si>
    <t xml:space="preserve">Balance Sheet </t>
  </si>
  <si>
    <t>Cash from Operating Activities</t>
  </si>
  <si>
    <t>Cash from Investing Activities</t>
  </si>
  <si>
    <t>Supporting Schedules</t>
  </si>
  <si>
    <t>3-Statement Model</t>
  </si>
  <si>
    <t>Historical Financials</t>
  </si>
  <si>
    <t>Fiscal Period</t>
  </si>
  <si>
    <t>Fiscal Period End Date</t>
  </si>
  <si>
    <t xml:space="preserve">$ and shares in millions, except per share data </t>
  </si>
  <si>
    <t>BofA</t>
  </si>
  <si>
    <t>Wells Fargo</t>
  </si>
  <si>
    <t>Margin (%)</t>
  </si>
  <si>
    <t>R&amp;D</t>
  </si>
  <si>
    <t>SG&amp;A</t>
  </si>
  <si>
    <t>Average</t>
  </si>
  <si>
    <t>CAGR</t>
  </si>
  <si>
    <t xml:space="preserve">Cost of sales </t>
  </si>
  <si>
    <t>Depreciation &amp; Amortization</t>
  </si>
  <si>
    <t>JP Morgan</t>
  </si>
  <si>
    <t>Jefferies</t>
  </si>
  <si>
    <t>Morgan Stanley</t>
  </si>
  <si>
    <t>Revenue Drivers</t>
  </si>
  <si>
    <t>Operating Drivers</t>
  </si>
  <si>
    <t xml:space="preserve">Cost of Sales </t>
  </si>
  <si>
    <t xml:space="preserve">Taxes </t>
  </si>
  <si>
    <t>Interest Income</t>
  </si>
  <si>
    <t>Tax Rate</t>
  </si>
  <si>
    <t>Tax Rate (%)</t>
  </si>
  <si>
    <t>Barclays</t>
  </si>
  <si>
    <t>D&amp;A</t>
  </si>
  <si>
    <t>Cash-Flow Items</t>
  </si>
  <si>
    <t>Research &amp; Development (R&amp;D)</t>
  </si>
  <si>
    <t>D&amp;A related to PP&amp;E as a % of capex Step-Up</t>
  </si>
  <si>
    <t>Interest Expense</t>
  </si>
  <si>
    <t>Gross Margin</t>
  </si>
  <si>
    <t>iPhone</t>
  </si>
  <si>
    <t>iPad</t>
  </si>
  <si>
    <t>Mac</t>
  </si>
  <si>
    <t xml:space="preserve">Revenues By Region </t>
  </si>
  <si>
    <t>Americas</t>
  </si>
  <si>
    <t>Europe</t>
  </si>
  <si>
    <t>Japan</t>
  </si>
  <si>
    <t>Asia Pacific</t>
  </si>
  <si>
    <t>iPhone Units</t>
  </si>
  <si>
    <t>iPad Units</t>
  </si>
  <si>
    <t>Variance Check</t>
  </si>
  <si>
    <t>Segments as a % of Total Revenue</t>
  </si>
  <si>
    <t>Growth Rates</t>
  </si>
  <si>
    <t>Y/Y Growth Rates (%)</t>
  </si>
  <si>
    <t>Q/Q Growth Rates (%)</t>
  </si>
  <si>
    <t>Revenue by reportable segment</t>
  </si>
  <si>
    <t>Per Unit Data (k)</t>
  </si>
  <si>
    <t xml:space="preserve">Total Units Sold </t>
  </si>
  <si>
    <t>Total Units Sold per End Market</t>
  </si>
  <si>
    <t>ASP Per End Product</t>
  </si>
  <si>
    <t>Street Consensus</t>
  </si>
  <si>
    <t>Last Updated 1/3/25</t>
  </si>
  <si>
    <t>Median</t>
  </si>
  <si>
    <t xml:space="preserve">Wearables, Home, and Accessories </t>
  </si>
  <si>
    <t>Capex</t>
  </si>
  <si>
    <t xml:space="preserve">Company </t>
  </si>
  <si>
    <t>Price</t>
  </si>
  <si>
    <t>Background</t>
  </si>
  <si>
    <t>Peer Comparables</t>
  </si>
  <si>
    <t>Trading Comps</t>
  </si>
  <si>
    <t>Performance Comps</t>
  </si>
  <si>
    <t>Forward EPS</t>
  </si>
  <si>
    <t>BNP Paribas</t>
  </si>
  <si>
    <t>UBS</t>
  </si>
  <si>
    <t>2026E</t>
  </si>
  <si>
    <t>2027E</t>
  </si>
  <si>
    <t>2028E</t>
  </si>
  <si>
    <t>2029E</t>
  </si>
  <si>
    <t>2030E</t>
  </si>
  <si>
    <t>HSBC</t>
  </si>
  <si>
    <t xml:space="preserve">Interest Income </t>
  </si>
  <si>
    <t>Other Income/Gains (Expenses/Losses)</t>
  </si>
  <si>
    <t>Consolidated Revenue growth</t>
  </si>
  <si>
    <t>Margins</t>
  </si>
  <si>
    <t>EBIT Margin</t>
  </si>
  <si>
    <t>EBITDA Margin</t>
  </si>
  <si>
    <t>Adj. EBITDA Margin</t>
  </si>
  <si>
    <t xml:space="preserve">% of Sales </t>
  </si>
  <si>
    <t>R&amp;D as a % of Sales</t>
  </si>
  <si>
    <t>D&amp;A as a % of Sales</t>
  </si>
  <si>
    <t>SBC as a % of Sales</t>
  </si>
  <si>
    <t>Stockholders' Equity</t>
  </si>
  <si>
    <t>Total Stockholders' Equity</t>
  </si>
  <si>
    <t>Net Change in Cash Position</t>
  </si>
  <si>
    <t>Gross PP&amp;E</t>
  </si>
  <si>
    <t>Non-depreciable PP&amp;E (i.e. land)</t>
  </si>
  <si>
    <t>Apple, Inc</t>
  </si>
  <si>
    <t>Selling, General and Administrative (SG&amp;A)</t>
  </si>
  <si>
    <t>SG&amp;A as a % of Sales</t>
  </si>
  <si>
    <t>straight-line</t>
  </si>
  <si>
    <t xml:space="preserve">Total Depreciation &amp; Amortization </t>
  </si>
  <si>
    <t>Dividend Payout Ratio</t>
  </si>
  <si>
    <t xml:space="preserve"> Straight-line</t>
  </si>
  <si>
    <t>Net Working capital</t>
  </si>
  <si>
    <t>Changes in working capital</t>
  </si>
  <si>
    <t>Days Sales Outstanding (DSO)</t>
  </si>
  <si>
    <t>Days Inventory Outstanding (DIO)</t>
  </si>
  <si>
    <t>Days Payable Outstanding (DPO)</t>
  </si>
  <si>
    <t>Cash Conversion Cycle (CCC)</t>
  </si>
  <si>
    <t>Street Consensus: Last Updated 1/3/25</t>
  </si>
  <si>
    <t>($ in Millions)</t>
  </si>
  <si>
    <t xml:space="preserve">Deferred Revenue </t>
  </si>
  <si>
    <t xml:space="preserve">Other Current Liabilities </t>
  </si>
  <si>
    <t xml:space="preserve">Total Current Liabilities </t>
  </si>
  <si>
    <t>Inventory Turnover Rate</t>
  </si>
  <si>
    <t>Balance Sheet Drivers</t>
  </si>
  <si>
    <t>Working Capital</t>
  </si>
  <si>
    <t xml:space="preserve">Total Book Value per Basic Shares </t>
  </si>
  <si>
    <t>Basic Shares</t>
  </si>
  <si>
    <t>Shareholder Equity</t>
  </si>
  <si>
    <t xml:space="preserve">Book Value per Basic Share </t>
  </si>
  <si>
    <t>Book Value per Fully Diluted Shares</t>
  </si>
  <si>
    <t>Cash + MS</t>
  </si>
  <si>
    <t>Gross Cash &amp; Investments per Basic Shares</t>
  </si>
  <si>
    <t>Total Gross Cash &amp; MS per Basic Shares</t>
  </si>
  <si>
    <t>Gross Cash &amp; Investments per Fully Diluted Shares</t>
  </si>
  <si>
    <t>Total Gross Cash &amp; MS per Fully Diluted Shares</t>
  </si>
  <si>
    <t>Net Cash &amp; Investments per Basic Shares</t>
  </si>
  <si>
    <t>Net Cash &amp; Investments per Fully Diluted Shares</t>
  </si>
  <si>
    <t xml:space="preserve">Net Cash &amp; Investments </t>
  </si>
  <si>
    <t>Per Share Analysis</t>
  </si>
  <si>
    <t>(-) Depreciation &amp; Amortization</t>
  </si>
  <si>
    <t>EBIT Margin (%)</t>
  </si>
  <si>
    <t>(+) EBITDA</t>
  </si>
  <si>
    <t xml:space="preserve">NOPAT </t>
  </si>
  <si>
    <t>(+) Depreciation &amp; Amortization</t>
  </si>
  <si>
    <t>(+/-) Changes in net working capital</t>
  </si>
  <si>
    <t>(-) Capital expenditures</t>
  </si>
  <si>
    <t xml:space="preserve">Net working capital </t>
  </si>
  <si>
    <t>Equity Value</t>
  </si>
  <si>
    <t>Year 6</t>
  </si>
  <si>
    <t xml:space="preserve">EOP FX Adjustments </t>
  </si>
  <si>
    <t>Cash Position BOP</t>
  </si>
  <si>
    <t xml:space="preserve">Other current and non-current assets	</t>
  </si>
  <si>
    <t>Other investing activities</t>
  </si>
  <si>
    <t>4Q25</t>
  </si>
  <si>
    <t>2031E</t>
  </si>
  <si>
    <t>FY25 10K</t>
  </si>
  <si>
    <t>6-Year(A)</t>
  </si>
  <si>
    <t>6-Year(F)</t>
  </si>
  <si>
    <t>Accumulated depreciation</t>
  </si>
  <si>
    <t>Net PP&amp;E (excl. land)</t>
  </si>
  <si>
    <t>DEPRECIATION WATERFALL</t>
  </si>
  <si>
    <t>Average useful life</t>
  </si>
  <si>
    <t>Depreciation from existing PP&amp;E</t>
  </si>
  <si>
    <t>Override Switch</t>
  </si>
  <si>
    <t>Midyear adj.</t>
  </si>
  <si>
    <t>Depreciation from capex purchased in 2026</t>
  </si>
  <si>
    <t>Depreciation from capex purchased in 2027</t>
  </si>
  <si>
    <t>Depreciation from capex purchased in 2028</t>
  </si>
  <si>
    <t>Depreciation from capex purchased in 2029</t>
  </si>
  <si>
    <t>Depreciation from capex purchased in 2030</t>
  </si>
  <si>
    <t>Depreciation from capex purchased in 2031</t>
  </si>
  <si>
    <t>Total Depreciation</t>
  </si>
  <si>
    <t>5-Year Average</t>
  </si>
  <si>
    <t>Total revenue</t>
  </si>
  <si>
    <t>Revenue Build Projections</t>
  </si>
  <si>
    <t>Unit Economics</t>
  </si>
  <si>
    <t>Unit Economics: Iphone</t>
  </si>
  <si>
    <t>Unit Economics: Mac</t>
  </si>
  <si>
    <t>Mac Units</t>
  </si>
  <si>
    <t>Unit Economics: Mac ASP ($)</t>
  </si>
  <si>
    <t>Mac ASP ($)</t>
  </si>
  <si>
    <t>iPad ASP ($)</t>
  </si>
  <si>
    <t xml:space="preserve">Var. from </t>
  </si>
  <si>
    <t>iPhone ASP</t>
  </si>
  <si>
    <t>iPad ASP</t>
  </si>
  <si>
    <t>Mac ASP</t>
  </si>
  <si>
    <t>Operating Scenario:</t>
  </si>
  <si>
    <t>ASP</t>
  </si>
  <si>
    <t>Y/Y Revenue Growth Assumptions</t>
  </si>
  <si>
    <t>Y/Y Unit Economics Growth Assumptions</t>
  </si>
  <si>
    <t>Y/Y ASP Growth Assumptions</t>
  </si>
  <si>
    <t>Cost of Debt</t>
  </si>
  <si>
    <t>Cost of Equity</t>
  </si>
  <si>
    <t>MRP</t>
  </si>
  <si>
    <t>WACC</t>
  </si>
  <si>
    <t>Current ($)</t>
  </si>
  <si>
    <t>Market Capitalization</t>
  </si>
  <si>
    <t>Total Capitalization</t>
  </si>
  <si>
    <t>Target (Override)</t>
  </si>
  <si>
    <t>Weights (%)</t>
  </si>
  <si>
    <t>Capital Weights</t>
  </si>
  <si>
    <t>Weighted Average Cost of Capital (WACC)</t>
  </si>
  <si>
    <t>Weight of Equity</t>
  </si>
  <si>
    <t>Weight of Debt</t>
  </si>
  <si>
    <t>Company</t>
  </si>
  <si>
    <t>Updated as of 1/4/26</t>
  </si>
  <si>
    <t>Amazon.com Inc (AMZN)</t>
  </si>
  <si>
    <t>Microsoft Corp. (MSFT)</t>
  </si>
  <si>
    <t>Apple Inc (AAPL)</t>
  </si>
  <si>
    <t>Industry average del. b</t>
  </si>
  <si>
    <t>Observed β</t>
  </si>
  <si>
    <t>Delev. β</t>
  </si>
  <si>
    <t>Updated as of 10/31/25 Report (FY25 Updates)</t>
  </si>
  <si>
    <t>Updated as of 10/30/25 Report (FY25 Updates)</t>
  </si>
  <si>
    <t>As of 10/31/25</t>
  </si>
  <si>
    <t>Rating</t>
  </si>
  <si>
    <t xml:space="preserve">Hold </t>
  </si>
  <si>
    <t>P/E</t>
  </si>
  <si>
    <t>Buy</t>
  </si>
  <si>
    <t>Neutral</t>
  </si>
  <si>
    <t xml:space="preserve">Broker </t>
  </si>
  <si>
    <r>
      <t xml:space="preserve">BofA </t>
    </r>
    <r>
      <rPr>
        <vertAlign val="superscript"/>
        <sz val="9"/>
        <color theme="1"/>
        <rFont val="Calibri"/>
        <family val="2"/>
      </rPr>
      <t>(1)</t>
    </r>
  </si>
  <si>
    <r>
      <t xml:space="preserve">JP Morgan </t>
    </r>
    <r>
      <rPr>
        <vertAlign val="superscript"/>
        <sz val="9"/>
        <color theme="1"/>
        <rFont val="Calibri"/>
        <family val="2"/>
      </rPr>
      <t>(1)</t>
    </r>
  </si>
  <si>
    <r>
      <t xml:space="preserve">BNP Paribas </t>
    </r>
    <r>
      <rPr>
        <vertAlign val="superscript"/>
        <sz val="9"/>
        <color theme="1"/>
        <rFont val="Calibri"/>
        <family val="2"/>
      </rPr>
      <t>(1)</t>
    </r>
  </si>
  <si>
    <t xml:space="preserve">UBS </t>
  </si>
  <si>
    <r>
      <t xml:space="preserve">HSBC </t>
    </r>
    <r>
      <rPr>
        <vertAlign val="superscript"/>
        <sz val="9"/>
        <color theme="1"/>
        <rFont val="Calibri"/>
        <family val="2"/>
      </rPr>
      <t>(1)</t>
    </r>
  </si>
  <si>
    <t>1) Assumes a 5% haircut on TP</t>
  </si>
  <si>
    <t>Upside ∆</t>
  </si>
  <si>
    <t>Base ∆</t>
  </si>
  <si>
    <t>Bull Case</t>
  </si>
  <si>
    <t>Base Case</t>
  </si>
  <si>
    <t>Down ∆</t>
  </si>
  <si>
    <t>Bear Case</t>
  </si>
  <si>
    <t>Current Price</t>
  </si>
  <si>
    <t>Haircut Assumption</t>
  </si>
  <si>
    <t>Weighting</t>
  </si>
  <si>
    <t>Overweight</t>
  </si>
  <si>
    <t xml:space="preserve">Buy </t>
  </si>
  <si>
    <t>Hold</t>
  </si>
  <si>
    <t>Underweight</t>
  </si>
  <si>
    <t>Upside Assumption</t>
  </si>
  <si>
    <t>Price Targets</t>
  </si>
  <si>
    <t>75th Percentile</t>
  </si>
  <si>
    <t>25th Percentile</t>
  </si>
  <si>
    <t>Forward P/E Multiples</t>
  </si>
  <si>
    <t>Forward EV/EBITDA Multiples</t>
  </si>
  <si>
    <t>FY26E</t>
  </si>
  <si>
    <t>FY27E</t>
  </si>
  <si>
    <t>FY28E</t>
  </si>
  <si>
    <t>Variables Adjustments</t>
  </si>
  <si>
    <t>Other Non-Current Assets</t>
  </si>
  <si>
    <t>Retained Earnings</t>
  </si>
  <si>
    <t>Revolver (Plug)</t>
  </si>
  <si>
    <t xml:space="preserve">Citi </t>
  </si>
  <si>
    <t>Citi</t>
  </si>
  <si>
    <t>Maintain</t>
  </si>
  <si>
    <t>Consensus Estimates - Median</t>
  </si>
  <si>
    <t>Consensus Estimates - Average</t>
  </si>
  <si>
    <t>iPhone ASP ($)</t>
  </si>
  <si>
    <t>Consensus Estimate - Median</t>
  </si>
  <si>
    <t>Consensus Estimates - Bull Case</t>
  </si>
  <si>
    <t>Consensus Estimate - Average</t>
  </si>
  <si>
    <t>Latest</t>
  </si>
  <si>
    <t>Unleveraged Beta Comparables</t>
  </si>
  <si>
    <t>Enterprise Value</t>
  </si>
  <si>
    <r>
      <t xml:space="preserve">Net Debt </t>
    </r>
    <r>
      <rPr>
        <b/>
        <u val="singleAccounting"/>
        <vertAlign val="superscript"/>
        <sz val="9"/>
        <color theme="0"/>
        <rFont val="Calibri"/>
        <family val="2"/>
      </rPr>
      <t>(1)</t>
    </r>
  </si>
  <si>
    <r>
      <t xml:space="preserve">LTM Revenue </t>
    </r>
    <r>
      <rPr>
        <b/>
        <u val="singleAccounting"/>
        <vertAlign val="superscript"/>
        <sz val="9"/>
        <color theme="0"/>
        <rFont val="Calibri"/>
        <family val="2"/>
      </rPr>
      <t>(1)</t>
    </r>
  </si>
  <si>
    <r>
      <t xml:space="preserve">LTM EBITDA </t>
    </r>
    <r>
      <rPr>
        <b/>
        <u val="singleAccounting"/>
        <vertAlign val="superscript"/>
        <sz val="9"/>
        <color theme="0"/>
        <rFont val="Calibri"/>
        <family val="2"/>
      </rPr>
      <t>(1)</t>
    </r>
  </si>
  <si>
    <t>Scope</t>
  </si>
  <si>
    <t>Forecast horizon:</t>
  </si>
  <si>
    <t>Methods:</t>
  </si>
  <si>
    <t>Company Info</t>
  </si>
  <si>
    <t>Ticker:</t>
  </si>
  <si>
    <t>Target Price:</t>
  </si>
  <si>
    <t>Industry:</t>
  </si>
  <si>
    <t>Recommendation:</t>
  </si>
  <si>
    <t>DCF, Peer Comparables</t>
  </si>
  <si>
    <t>Cupertino, California</t>
  </si>
  <si>
    <t xml:space="preserve">Case Assumption: </t>
  </si>
  <si>
    <t>NOPAT</t>
  </si>
  <si>
    <t>UFCF</t>
  </si>
  <si>
    <t>Apple, Inc. (NASDAQ: AAPL) Financial Model Summary Assumptions</t>
  </si>
  <si>
    <t>DCF Assumptions</t>
  </si>
  <si>
    <t>EPS Forecast</t>
  </si>
  <si>
    <t>Revenue Segment Assumptions</t>
  </si>
  <si>
    <t>Basic P/E</t>
  </si>
  <si>
    <t>Diluted P/E</t>
  </si>
  <si>
    <t>Price-to-Earnings (P/E)</t>
  </si>
  <si>
    <t>Share Price</t>
  </si>
  <si>
    <t>P/E Forecast</t>
  </si>
  <si>
    <t>ASP Economics</t>
  </si>
  <si>
    <t>Average FY27E Peer EV/EBITDA Estimate</t>
  </si>
  <si>
    <t>Terminal value - Perpetuity Approach</t>
  </si>
  <si>
    <t>WACC sensitivity to RFR and MRP</t>
  </si>
  <si>
    <t>Rate</t>
  </si>
  <si>
    <t>RFR</t>
  </si>
  <si>
    <t>WACC sensitivity to Cost of Debt and Tax Rate</t>
  </si>
  <si>
    <t>Tax</t>
  </si>
  <si>
    <t>Expense</t>
  </si>
  <si>
    <t>Capital Structure</t>
  </si>
  <si>
    <t>Summary Valuation</t>
  </si>
  <si>
    <t>Comparable Trading Analysis</t>
  </si>
  <si>
    <t>DCF Valuation Analysis: Perpetuity Method</t>
  </si>
  <si>
    <t>DCF Valuation Analysis: Multiple Method</t>
  </si>
  <si>
    <t>52 Week Trading</t>
  </si>
  <si>
    <t>Delta</t>
  </si>
  <si>
    <t>Mid</t>
  </si>
  <si>
    <t>Apple, Inc. (NASDAQ: AAPL) Football Field Estimates</t>
  </si>
  <si>
    <t>Relative</t>
  </si>
  <si>
    <t>Base</t>
  </si>
  <si>
    <t>Weighted</t>
  </si>
  <si>
    <t>Case</t>
  </si>
  <si>
    <t>Weight</t>
  </si>
  <si>
    <t>Value</t>
  </si>
  <si>
    <t xml:space="preserve">Comparable Trading Analysis  </t>
  </si>
  <si>
    <t>Valuation Weighting</t>
  </si>
  <si>
    <t xml:space="preserve">Valuation </t>
  </si>
  <si>
    <t xml:space="preserve">Intrinsic Valuation </t>
  </si>
  <si>
    <t>Method</t>
  </si>
  <si>
    <t>DCF: Perpetuity Method</t>
  </si>
  <si>
    <t>DCF: Multiple Method</t>
  </si>
  <si>
    <t>Bear</t>
  </si>
  <si>
    <t>Bull</t>
  </si>
  <si>
    <t>Valuation Method</t>
  </si>
  <si>
    <t xml:space="preserve">Market Based </t>
  </si>
  <si>
    <t>Summary Weighted Valuation</t>
  </si>
  <si>
    <t>Target Price</t>
  </si>
  <si>
    <t>Upside (Downside)</t>
  </si>
  <si>
    <t>EV/Revenue</t>
  </si>
  <si>
    <t>EV/EBITDA</t>
  </si>
  <si>
    <t xml:space="preserve">Weighted Average Cost of Capital (WACC) </t>
  </si>
  <si>
    <t>See interest on cash schedule</t>
  </si>
  <si>
    <t>See interest expense schedule</t>
  </si>
  <si>
    <t>3-Year Average</t>
  </si>
  <si>
    <t>See D&amp;A schedule</t>
  </si>
  <si>
    <t>Growth in-line with revenue</t>
  </si>
  <si>
    <t>See PP&amp;E schedule</t>
  </si>
  <si>
    <t>Growth in-line with cost of sales</t>
  </si>
  <si>
    <t>See EOP balance from CP/revolver schedule</t>
  </si>
  <si>
    <t>Straight-line</t>
  </si>
  <si>
    <t>See Revenue Projections &amp; Cases</t>
  </si>
  <si>
    <t>R&amp;D Growth (%)</t>
  </si>
  <si>
    <t>SG&amp;A Growth (%)</t>
  </si>
  <si>
    <t>Net change in cash' line on the cash flow statement</t>
  </si>
  <si>
    <t>See Other non current assets Schedule</t>
  </si>
  <si>
    <t>See Retained Earnings schedule</t>
  </si>
  <si>
    <t xml:space="preserve">Assumes all D&amp;A not from PP&amp;E is in non-current assets </t>
  </si>
  <si>
    <t>Conservative Assumption</t>
  </si>
  <si>
    <t>D&amp;A not related to PP&amp;E</t>
  </si>
  <si>
    <t>Cash Available (needed) to Utilize Revolver</t>
  </si>
  <si>
    <t xml:space="preserve">Beginning of period </t>
  </si>
  <si>
    <t xml:space="preserve">End of period </t>
  </si>
  <si>
    <t>(+) Net income</t>
  </si>
  <si>
    <t>(-) Dividends</t>
  </si>
  <si>
    <t>(-) Repurchases</t>
  </si>
  <si>
    <t>(-) Minimum cash balance</t>
  </si>
  <si>
    <t>(+) Free cash flows generated during period</t>
  </si>
  <si>
    <t xml:space="preserve">(+) Additions </t>
  </si>
  <si>
    <t>(-) Amortization of intangible assets</t>
  </si>
  <si>
    <t>Case Scenarios</t>
  </si>
  <si>
    <t>Gross Profit Margin</t>
  </si>
  <si>
    <t>Shares Outstanding</t>
  </si>
  <si>
    <t>Source Doc</t>
  </si>
  <si>
    <t>Terminal value - EBITDA Multiple Approach</t>
  </si>
  <si>
    <t>Consensus Estimate Comparables</t>
  </si>
  <si>
    <t>2020A-3031F</t>
  </si>
  <si>
    <t>January 2026</t>
  </si>
  <si>
    <t>Technology hardware &amp; services</t>
  </si>
  <si>
    <t>Headquarters:</t>
  </si>
  <si>
    <t>Founded:</t>
  </si>
  <si>
    <t>April 1, 1976</t>
  </si>
  <si>
    <t>CEO:</t>
  </si>
  <si>
    <t>Tim Cook</t>
  </si>
  <si>
    <t>CFO:</t>
  </si>
  <si>
    <t>Kevan Parekh</t>
  </si>
  <si>
    <t>Fiscal year end:</t>
  </si>
  <si>
    <t>Last Saturday of September (52/53-week FY)</t>
  </si>
  <si>
    <t>Employees:</t>
  </si>
  <si>
    <t>≈166,000 (FTE, FY2025)</t>
  </si>
  <si>
    <t>Business Snapshot</t>
  </si>
  <si>
    <t>Services:</t>
  </si>
  <si>
    <t>($ in Millions, Except Per Share Data)</t>
  </si>
  <si>
    <t xml:space="preserve">Apple, Inc. (NASDAQ: AAPL) Company Summary </t>
  </si>
  <si>
    <t>Primary platforms:</t>
  </si>
  <si>
    <t>iOS, macOS, iPadOS, watchOS, tvOS, visionOS</t>
  </si>
  <si>
    <t>Hardware products:</t>
  </si>
  <si>
    <t>iPhone, Mac, iPad, Apple Watch, AirPods</t>
  </si>
  <si>
    <t>Services ecosystem:</t>
  </si>
  <si>
    <t>Installed base:</t>
  </si>
  <si>
    <t>&gt;2.2B active devices (2025 est.)</t>
  </si>
  <si>
    <t>Hardware ~78% / Services ~22%</t>
  </si>
  <si>
    <t>Geographic exposure:</t>
  </si>
  <si>
    <t>Americas largest; China strategic</t>
  </si>
  <si>
    <t>Revenue mix (FY2025):</t>
  </si>
  <si>
    <t>Credit Ratings:</t>
  </si>
  <si>
    <t>S&amp;P: AA+ / Moody’s: Aa1 / Fitch: AA+</t>
  </si>
  <si>
    <t>Capital Structure:</t>
  </si>
  <si>
    <t>Net-neutral (aggressive buybacks)</t>
  </si>
  <si>
    <t>Dividend Policy:</t>
  </si>
  <si>
    <t>Quarterly dividend; increases since 2012</t>
  </si>
  <si>
    <t>Legal structure:</t>
  </si>
  <si>
    <t>Exchange Listing:</t>
  </si>
  <si>
    <t>C-Corporation; Delaware reincorporation (1987)</t>
  </si>
  <si>
    <t>NASDAQ Global Select Market</t>
  </si>
  <si>
    <t>Strategic Positioning</t>
  </si>
  <si>
    <t>Advantages:</t>
  </si>
  <si>
    <t>Ecosystem lock-in, Apple Silicon, brand pricing power</t>
  </si>
  <si>
    <t>Risks:</t>
  </si>
  <si>
    <t>China exposure, regulation, smartphone saturation</t>
  </si>
  <si>
    <t>iPhone:</t>
  </si>
  <si>
    <t>Flagship; premium shift + carrier promos</t>
  </si>
  <si>
    <t>Mac:</t>
  </si>
  <si>
    <t>Enterprise + M-series silicon</t>
  </si>
  <si>
    <t>iPad:</t>
  </si>
  <si>
    <t>Education + content creation</t>
  </si>
  <si>
    <t>Wearables:</t>
  </si>
  <si>
    <t>Watch + AirPods attach</t>
  </si>
  <si>
    <t>High-margin recurring subscriptions</t>
  </si>
  <si>
    <t>Supply Chain &amp; Manufacturing</t>
  </si>
  <si>
    <t>Model:</t>
  </si>
  <si>
    <t>Model Outputs</t>
  </si>
  <si>
    <t>Segments</t>
  </si>
  <si>
    <t>Distribution</t>
  </si>
  <si>
    <t>Direct:</t>
  </si>
  <si>
    <t>Indirect:</t>
  </si>
  <si>
    <t>Apple Store, Online, App Store</t>
  </si>
  <si>
    <t>Carriers, Retailers (Best Buy, Amazon)</t>
  </si>
  <si>
    <t>Revenue CAGR (5yr):</t>
  </si>
  <si>
    <t>Gross Margins:</t>
  </si>
  <si>
    <t>OpEx Structure:</t>
  </si>
  <si>
    <t>Capital Returns:</t>
  </si>
  <si>
    <t>Key KPIs:</t>
  </si>
  <si>
    <t>Services-led growth</t>
  </si>
  <si>
    <t>Hardware stable; Services 60-70%+</t>
  </si>
  <si>
    <t>R&amp;D &gt; SG&amp;A</t>
  </si>
  <si>
    <t>Buybacks + Dividends &gt;$100B/yr</t>
  </si>
  <si>
    <t>ASP, Attach Rate, Subs, Installed Base</t>
  </si>
  <si>
    <t>Financial Profile</t>
  </si>
  <si>
    <t>Regulatory &amp; Risks</t>
  </si>
  <si>
    <t>App Store commissions scrutiny (US/EU)</t>
  </si>
  <si>
    <t>EU requires alternative app stores/NFC access</t>
  </si>
  <si>
    <t>Supply chain + demand concentration</t>
  </si>
  <si>
    <t>Replacement-driven market</t>
  </si>
  <si>
    <t>Competition</t>
  </si>
  <si>
    <t>Samsung, Xiaomi, Oppo, Vivo</t>
  </si>
  <si>
    <t>Dell, HP, Lenovo</t>
  </si>
  <si>
    <t>Netflix, Disney+, Amazon Prime</t>
  </si>
  <si>
    <t>Spotify, YouTube Music</t>
  </si>
  <si>
    <t>Garmin, Fitbit</t>
  </si>
  <si>
    <t>Asset-light; EMS partners</t>
  </si>
  <si>
    <t>Foxconn, Pegatron, Luxshare, Quanta</t>
  </si>
  <si>
    <t>TSMC fabs Apple-designed chips</t>
  </si>
  <si>
    <t>China, India, Vietnam diversification</t>
  </si>
  <si>
    <t>Geopolitics, tariffs, export controls</t>
  </si>
  <si>
    <t>Store, Music, TV+, Arcade, Pay, iCloud, AppleCare</t>
  </si>
  <si>
    <t>Key Manufacturers:</t>
  </si>
  <si>
    <t>Silicon:</t>
  </si>
  <si>
    <t>Geographies:</t>
  </si>
  <si>
    <t>Smartphone Saturation:</t>
  </si>
  <si>
    <t>China Exposure:</t>
  </si>
  <si>
    <t>DMA:</t>
  </si>
  <si>
    <t>Antitrust:</t>
  </si>
  <si>
    <t>Fitness:</t>
  </si>
  <si>
    <t>Music:</t>
  </si>
  <si>
    <t>Streaming:</t>
  </si>
  <si>
    <t>PC:</t>
  </si>
  <si>
    <t>Mobile Hardware:</t>
  </si>
  <si>
    <t>Valuation Weights:</t>
  </si>
  <si>
    <t>70% DCF, 30% Peer Comparables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</si>
</sst>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3" formatCode="_(* #,##0.00_);_(* \(#,##0.00\);_(* &quot;-&quot;??_);_(@_)"/>
    <numFmt numFmtId="164" formatCode="_(* #,##0_);_(* \(#,##0\);_(* &quot;-&quot;??_);_(@_)"/>
    <numFmt numFmtId="165" formatCode="_(&quot;$ &quot;#,##0_);_(&quot;$ &quot;\(#,##0\)"/>
    <numFmt numFmtId="166" formatCode="0.0%"/>
    <numFmt numFmtId="167" formatCode="#,##0.0%;\(#,##0.0%\)"/>
    <numFmt numFmtId="168" formatCode="#,##0.0&quot;bps&quot;_);\(#,##0.0&quot;bps&quot;\)"/>
    <numFmt numFmtId="169" formatCode="#,##0.00&quot;bps&quot;_);\(#,##0.00&quot;bps&quot;\)"/>
    <numFmt numFmtId="170" formatCode="_(* #,##0.00&quot;x&quot;_);_(* \(#,##0.00&quot;x&quot;\);_(* &quot;-&quot;_);_(@_)"/>
    <numFmt numFmtId="171" formatCode="_(#,##0_)_%;\(#,##0\)_%;_(&quot;–&quot;_)_%;_(@_)_%"/>
    <numFmt numFmtId="172" formatCode="m/d/yy;@"/>
    <numFmt numFmtId="173" formatCode="#,##0.000_);\(#,##0.000\)"/>
    <numFmt numFmtId="174" formatCode="0\P_);\(0\P\)"/>
    <numFmt numFmtId="175" formatCode="0.0%_);\(0.0%\);@_)"/>
    <numFmt numFmtId="176" formatCode="_(#,##0.0%_);\(#,##0.0%\);_(&quot;–&quot;_)_%;_(@_)_%"/>
    <numFmt numFmtId="177" formatCode="0%_);\(0%\);@_)"/>
    <numFmt numFmtId="178" formatCode="_(* #,##0.0000_);_(* \(#,##0.0000\);_(* &quot;-&quot;??_);_(@_)"/>
    <numFmt numFmtId="179" formatCode="_(* #,##0.00000_);_(* \(#,##0.00000\);_(* &quot;-&quot;??_);_(@_)"/>
    <numFmt numFmtId="180" formatCode="_(* #,##0.0_);_(* \(#,##0.0\);_(* &quot;-&quot;??_);_(@_)"/>
    <numFmt numFmtId="181" formatCode="0.000"/>
    <numFmt numFmtId="182" formatCode="0000\P"/>
    <numFmt numFmtId="183" formatCode="#,##0_);\(#,##0\);@_)"/>
    <numFmt numFmtId="184" formatCode="0.0\x_);\(0.0\x\);@_)"/>
    <numFmt numFmtId="185" formatCode="0.000%_);\(0.000%\);@_)"/>
    <numFmt numFmtId="186" formatCode="#,##0.000_);\(#,##0.000\);@_)"/>
    <numFmt numFmtId="187" formatCode="#,##0.000"/>
    <numFmt numFmtId="188" formatCode="&quot;$&quot;#,##0.00_);\(&quot;$&quot;#,##0.00\);@_)"/>
    <numFmt numFmtId="189" formatCode="General&quot;F&quot;"/>
    <numFmt numFmtId="190" formatCode="General&quot;A&quot;"/>
    <numFmt numFmtId="191" formatCode="#,##0.0_);\(#,##0.0\)"/>
    <numFmt numFmtId="192" formatCode="&quot;$&quot;#,##0"/>
    <numFmt numFmtId="193" formatCode="&quot;$&quot;#,##0.0_);\(&quot;$&quot;#,##0.0\)"/>
    <numFmt numFmtId="194" formatCode="#,##0.00&quot;x&quot;"/>
    <numFmt numFmtId="195" formatCode="0.0\ &quot;Days&quot;"/>
    <numFmt numFmtId="196" formatCode="_(* #,##0.0\ &quot;Days&quot;_);_(* \(#,##0.0\ &quot;Days&quot;\);_(* &quot;-&quot;?_);_(@_)"/>
    <numFmt numFmtId="197" formatCode="0.0&quot;x&quot;"/>
    <numFmt numFmtId="198" formatCode="&quot;$&quot;#,##0.0"/>
    <numFmt numFmtId="199" formatCode="#,##0%;\(#,##0%\)"/>
    <numFmt numFmtId="200" formatCode="[$$-409]#,##0_);\([$$-409]#,##0\)"/>
    <numFmt numFmtId="201" formatCode="_([$AED]\ * #,##0.00_);_([$AED]\ * \(#,##0.00\);_([$AED]\ * &quot;-&quot;??_);_(@_)"/>
    <numFmt numFmtId="202" formatCode="[$$-409]#,##0.00_);\([$$-409]#,##0.00\)"/>
  </numFmts>
  <fonts count="68">
    <font>
      <sz val="11"/>
      <color theme="1"/>
      <name val="Tw Cen MT"/>
      <family val="2"/>
      <scheme val="minor"/>
    </font>
    <font>
      <sz val="11"/>
      <color theme="1"/>
      <name val="Tw Cen MT"/>
      <family val="2"/>
      <scheme val="minor"/>
    </font>
    <font>
      <b/>
      <sz val="9"/>
      <color theme="0"/>
      <name val="Calibri"/>
      <family val="2"/>
    </font>
    <font>
      <i/>
      <sz val="9"/>
      <color theme="0"/>
      <name val="Calibri"/>
      <family val="2"/>
    </font>
    <font>
      <sz val="9"/>
      <color theme="1"/>
      <name val="Calibri"/>
      <family val="2"/>
    </font>
    <font>
      <b/>
      <i/>
      <sz val="9"/>
      <color theme="0"/>
      <name val="Calibri"/>
      <family val="2"/>
    </font>
    <font>
      <sz val="9"/>
      <name val="Calibri"/>
      <family val="2"/>
    </font>
    <font>
      <i/>
      <sz val="9"/>
      <name val="Calibri"/>
      <family val="2"/>
    </font>
    <font>
      <b/>
      <sz val="9"/>
      <name val="Calibri"/>
      <family val="2"/>
    </font>
    <font>
      <b/>
      <i/>
      <sz val="9"/>
      <name val="Calibri"/>
      <family val="2"/>
    </font>
    <font>
      <i/>
      <sz val="8"/>
      <name val="Calibri"/>
      <family val="2"/>
    </font>
    <font>
      <sz val="9"/>
      <color rgb="FF0000CC"/>
      <name val="Calibri"/>
      <family val="2"/>
    </font>
    <font>
      <sz val="9"/>
      <color rgb="FF0000FF"/>
      <name val="Calibri"/>
      <family val="2"/>
    </font>
    <font>
      <sz val="8"/>
      <name val="Calibri"/>
      <family val="2"/>
    </font>
    <font>
      <sz val="8"/>
      <color theme="1"/>
      <name val="Calibri"/>
      <family val="2"/>
    </font>
    <font>
      <b/>
      <sz val="9"/>
      <color theme="1"/>
      <name val="Calibri"/>
      <family val="2"/>
    </font>
    <font>
      <i/>
      <sz val="9"/>
      <color theme="1"/>
      <name val="Calibri"/>
      <family val="2"/>
    </font>
    <font>
      <b/>
      <sz val="9"/>
      <color indexed="8"/>
      <name val="Calibri"/>
      <family val="2"/>
    </font>
    <font>
      <b/>
      <sz val="9"/>
      <color rgb="FF0000FF"/>
      <name val="Calibri"/>
      <family val="2"/>
    </font>
    <font>
      <sz val="9"/>
      <color rgb="FF0000E1"/>
      <name val="Calibri"/>
      <family val="2"/>
    </font>
    <font>
      <sz val="10"/>
      <name val="Arial"/>
      <family val="2"/>
    </font>
    <font>
      <sz val="9"/>
      <color rgb="FFFF0000"/>
      <name val="Tw Cen MT"/>
      <family val="2"/>
      <scheme val="minor"/>
    </font>
    <font>
      <sz val="8"/>
      <color rgb="FFFF0000"/>
      <name val="Calibri"/>
      <family val="2"/>
    </font>
    <font>
      <b/>
      <sz val="8"/>
      <color theme="1"/>
      <name val="Calibri"/>
      <family val="2"/>
    </font>
    <font>
      <i/>
      <sz val="8"/>
      <color theme="1"/>
      <name val="Calibri"/>
      <family val="2"/>
    </font>
    <font>
      <sz val="7"/>
      <color rgb="FFFF0000"/>
      <name val="Calibri"/>
      <family val="2"/>
    </font>
    <font>
      <sz val="9"/>
      <color rgb="FF00B050"/>
      <name val="Calibri"/>
      <family val="2"/>
    </font>
    <font>
      <sz val="9"/>
      <color rgb="FF008000"/>
      <name val="Calibri"/>
      <family val="2"/>
    </font>
    <font>
      <i/>
      <sz val="9"/>
      <color rgb="FF000000"/>
      <name val="Calibri"/>
      <family val="2"/>
    </font>
    <font>
      <sz val="9"/>
      <color rgb="FF000000"/>
      <name val="Calibri"/>
      <family val="2"/>
    </font>
    <font>
      <b/>
      <sz val="9"/>
      <color rgb="FF000000"/>
      <name val="Calibri"/>
      <family val="2"/>
    </font>
    <font>
      <u/>
      <sz val="9"/>
      <color theme="1"/>
      <name val="Calibri"/>
      <family val="2"/>
    </font>
    <font>
      <b/>
      <u/>
      <sz val="9"/>
      <color theme="1"/>
      <name val="Calibri"/>
      <family val="2"/>
    </font>
    <font>
      <sz val="10"/>
      <name val="Arial Narrow MT"/>
      <family val="2"/>
    </font>
    <font>
      <sz val="10"/>
      <name val="Times New Roman"/>
      <family val="1"/>
    </font>
    <font>
      <u/>
      <sz val="11"/>
      <color theme="10"/>
      <name val="Tw Cen MT"/>
      <family val="2"/>
      <scheme val="minor"/>
    </font>
    <font>
      <u/>
      <sz val="9"/>
      <color theme="10"/>
      <name val="Calibri"/>
      <family val="2"/>
    </font>
    <font>
      <b/>
      <u/>
      <sz val="9"/>
      <color rgb="FF0070C0"/>
      <name val="Calibri"/>
      <family val="2"/>
    </font>
    <font>
      <b/>
      <u val="singleAccounting"/>
      <sz val="9"/>
      <color theme="1"/>
      <name val="Calibri"/>
      <family val="2"/>
    </font>
    <font>
      <sz val="9"/>
      <color theme="0"/>
      <name val="Calibri"/>
      <family val="2"/>
    </font>
    <font>
      <i/>
      <sz val="8"/>
      <color rgb="FFFF0000"/>
      <name val="Calibri"/>
      <family val="2"/>
    </font>
    <font>
      <sz val="9"/>
      <color rgb="FF00B03C"/>
      <name val="Calibri"/>
      <family val="2"/>
    </font>
    <font>
      <b/>
      <u val="singleAccounting"/>
      <sz val="9"/>
      <color rgb="FF000000"/>
      <name val="Calibri"/>
      <family val="2"/>
    </font>
    <font>
      <i/>
      <sz val="8"/>
      <color rgb="FF0000FF"/>
      <name val="Calibri"/>
      <family val="2"/>
    </font>
    <font>
      <b/>
      <sz val="11"/>
      <color theme="1"/>
      <name val="Tw Cen MT"/>
      <family val="2"/>
      <scheme val="minor"/>
    </font>
    <font>
      <sz val="10"/>
      <name val="GillSans"/>
      <family val="2"/>
    </font>
    <font>
      <u/>
      <sz val="10"/>
      <color indexed="12"/>
      <name val="Arial Narrow MT"/>
      <family val="2"/>
    </font>
    <font>
      <i/>
      <sz val="8"/>
      <color rgb="FF0000CC"/>
      <name val="Calibri"/>
      <family val="2"/>
    </font>
    <font>
      <i/>
      <sz val="8"/>
      <color rgb="FF00B03C"/>
      <name val="Calibri"/>
      <family val="2"/>
    </font>
    <font>
      <i/>
      <sz val="9"/>
      <color rgb="FF00B03C"/>
      <name val="Calibri"/>
      <family val="2"/>
    </font>
    <font>
      <i/>
      <sz val="9"/>
      <color rgb="FF0000CC"/>
      <name val="Calibri"/>
      <family val="2"/>
    </font>
    <font>
      <b/>
      <u val="singleAccounting"/>
      <sz val="9"/>
      <color theme="0"/>
      <name val="Calibri"/>
      <family val="2"/>
    </font>
    <font>
      <vertAlign val="superscript"/>
      <sz val="9"/>
      <color theme="1"/>
      <name val="Calibri"/>
      <family val="2"/>
    </font>
    <font>
      <b/>
      <sz val="9"/>
      <color rgb="FF00B03C"/>
      <name val="Calibri"/>
      <family val="2"/>
    </font>
    <font>
      <b/>
      <u val="singleAccounting"/>
      <vertAlign val="superscript"/>
      <sz val="9"/>
      <color theme="0"/>
      <name val="Calibri"/>
      <family val="2"/>
    </font>
    <font>
      <sz val="12"/>
      <color theme="1"/>
      <name val="Calibri"/>
      <family val="2"/>
    </font>
    <font>
      <sz val="12"/>
      <color rgb="FF0F238C"/>
      <name val="Calibri"/>
      <family val="2"/>
    </font>
    <font>
      <b/>
      <sz val="18"/>
      <color rgb="FF14213D"/>
      <name val="Calibri"/>
      <family val="2"/>
    </font>
    <font>
      <sz val="12"/>
      <color rgb="FF14213D"/>
      <name val="Calibri"/>
      <family val="2"/>
    </font>
    <font>
      <b/>
      <sz val="14"/>
      <color rgb="FF14213D"/>
      <name val="Calibri"/>
      <family val="2"/>
    </font>
    <font>
      <b/>
      <sz val="12"/>
      <color rgb="FF14213D"/>
      <name val="Calibri"/>
      <family val="2"/>
    </font>
    <font>
      <b/>
      <sz val="12"/>
      <color theme="1"/>
      <name val="Calibri"/>
      <family val="2"/>
    </font>
    <font>
      <u/>
      <sz val="10"/>
      <color theme="10"/>
      <name val="Arial"/>
      <family val="2"/>
    </font>
    <font>
      <sz val="12"/>
      <color rgb="FF00B03C"/>
      <name val="Calibri"/>
      <family val="2"/>
    </font>
    <font>
      <i/>
      <sz val="10"/>
      <name val="Calibri"/>
      <family val="2"/>
    </font>
    <font>
      <sz val="12"/>
      <name val="Calibri"/>
      <family val="2"/>
    </font>
    <font>
      <sz val="12"/>
      <color rgb="FF0000CC"/>
      <name val="Calibri"/>
      <family val="2"/>
    </font>
    <font>
      <b/>
      <i/>
      <sz val="12"/>
      <color theme="1"/>
      <name val="Calibri"/>
      <family val="2"/>
    </font>
  </fonts>
  <fills count="18">
    <fill>
      <patternFill patternType="none"/>
    </fill>
    <fill>
      <patternFill patternType="gray125"/>
    </fill>
    <fill>
      <patternFill patternType="solid">
        <fgColor rgb="FF002060"/>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C9DAF8"/>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rgb="FFC00000"/>
        <bgColor indexed="64"/>
      </patternFill>
    </fill>
    <fill>
      <patternFill patternType="solid">
        <fgColor theme="4" tint="-0.499984740745262"/>
        <bgColor indexed="64"/>
      </patternFill>
    </fill>
    <fill>
      <patternFill patternType="solid">
        <fgColor rgb="FF0E5672"/>
        <bgColor indexed="64"/>
      </patternFill>
    </fill>
    <fill>
      <patternFill patternType="solid">
        <fgColor rgb="FF487B79"/>
        <bgColor indexed="64"/>
      </patternFill>
    </fill>
    <fill>
      <patternFill patternType="solid">
        <fgColor theme="0" tint="-0.14999847407452621"/>
        <bgColor indexed="64"/>
      </patternFill>
    </fill>
    <fill>
      <patternFill patternType="gray0625"/>
    </fill>
    <fill>
      <patternFill patternType="solid">
        <fgColor theme="0"/>
        <bgColor indexed="64"/>
      </patternFill>
    </fill>
    <fill>
      <patternFill patternType="solid">
        <fgColor theme="1"/>
        <bgColor indexed="64"/>
      </patternFill>
    </fill>
  </fills>
  <borders count="59">
    <border>
      <left/>
      <right/>
      <top/>
      <bottom/>
      <diagonal/>
    </border>
    <border>
      <left/>
      <right/>
      <top/>
      <bottom style="medium">
        <color indexed="64"/>
      </bottom>
      <diagonal/>
    </border>
    <border>
      <left/>
      <right/>
      <top style="thin">
        <color indexed="64"/>
      </top>
      <bottom/>
      <diagonal/>
    </border>
    <border>
      <left/>
      <right/>
      <top style="medium">
        <color indexed="64"/>
      </top>
      <bottom/>
      <diagonal/>
    </border>
    <border>
      <left/>
      <right/>
      <top/>
      <bottom style="thin">
        <color theme="0"/>
      </bottom>
      <diagonal/>
    </border>
    <border>
      <left/>
      <right/>
      <top style="thin">
        <color theme="0"/>
      </top>
      <bottom/>
      <diagonal/>
    </border>
    <border>
      <left/>
      <right/>
      <top/>
      <bottom style="thin">
        <color indexed="64"/>
      </bottom>
      <diagonal/>
    </border>
    <border>
      <left style="hair">
        <color rgb="FF000000"/>
      </left>
      <right style="hair">
        <color rgb="FF000000"/>
      </right>
      <top style="hair">
        <color rgb="FF000000"/>
      </top>
      <bottom style="hair">
        <color rgb="FF000000"/>
      </bottom>
      <diagonal/>
    </border>
    <border>
      <left/>
      <right/>
      <top/>
      <bottom style="thin">
        <color rgb="FF000000"/>
      </bottom>
      <diagonal/>
    </border>
    <border>
      <left/>
      <right/>
      <top/>
      <bottom style="hair">
        <color rgb="FF000000"/>
      </bottom>
      <diagonal/>
    </border>
    <border>
      <left/>
      <right/>
      <top/>
      <bottom style="hair">
        <color indexed="64"/>
      </bottom>
      <diagonal/>
    </border>
    <border>
      <left style="hair">
        <color indexed="64"/>
      </left>
      <right/>
      <top/>
      <bottom style="hair">
        <color indexed="64"/>
      </bottom>
      <diagonal/>
    </border>
    <border>
      <left style="hair">
        <color indexed="64"/>
      </left>
      <right/>
      <top/>
      <bottom/>
      <diagonal/>
    </border>
    <border>
      <left/>
      <right style="hair">
        <color indexed="64"/>
      </right>
      <top/>
      <bottom/>
      <diagonal/>
    </border>
    <border>
      <left/>
      <right style="hair">
        <color indexed="64"/>
      </right>
      <top style="thin">
        <color indexed="64"/>
      </top>
      <bottom/>
      <diagonal/>
    </border>
    <border>
      <left/>
      <right style="hair">
        <color indexed="64"/>
      </right>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rgb="FF000000"/>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tted">
        <color indexed="64"/>
      </left>
      <right style="dotted">
        <color indexed="64"/>
      </right>
      <top/>
      <bottom/>
      <diagonal/>
    </border>
    <border>
      <left style="dotted">
        <color indexed="64"/>
      </left>
      <right style="dotted">
        <color indexed="64"/>
      </right>
      <top/>
      <bottom style="dotted">
        <color indexed="64"/>
      </bottom>
      <diagonal/>
    </border>
    <border>
      <left style="medium">
        <color indexed="64"/>
      </left>
      <right style="medium">
        <color indexed="64"/>
      </right>
      <top style="dotted">
        <color indexed="64"/>
      </top>
      <bottom style="dotted">
        <color indexed="64"/>
      </bottom>
      <diagonal/>
    </border>
    <border>
      <left/>
      <right/>
      <top style="hair">
        <color indexed="64"/>
      </top>
      <bottom style="dotted">
        <color indexed="64"/>
      </bottom>
      <diagonal/>
    </border>
    <border>
      <left style="hair">
        <color rgb="FF000000"/>
      </left>
      <right style="hair">
        <color indexed="64"/>
      </right>
      <top style="hair">
        <color indexed="64"/>
      </top>
      <bottom style="dotted">
        <color indexed="64"/>
      </bottom>
      <diagonal/>
    </border>
    <border>
      <left style="dotted">
        <color indexed="64"/>
      </left>
      <right/>
      <top style="hair">
        <color indexed="64"/>
      </top>
      <bottom style="dott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dotted">
        <color indexed="64"/>
      </left>
      <right style="dotted">
        <color indexed="64"/>
      </right>
      <top style="dotted">
        <color indexed="64"/>
      </top>
      <bottom/>
      <diagonal/>
    </border>
    <border>
      <left style="thin">
        <color rgb="FF0F238C"/>
      </left>
      <right/>
      <top/>
      <bottom/>
      <diagonal/>
    </border>
    <border>
      <left/>
      <right style="thin">
        <color rgb="FF0F238C"/>
      </right>
      <top/>
      <bottom/>
      <diagonal/>
    </border>
    <border>
      <left style="thin">
        <color rgb="FF0F238C"/>
      </left>
      <right/>
      <top/>
      <bottom style="thin">
        <color rgb="FF0F238C"/>
      </bottom>
      <diagonal/>
    </border>
    <border>
      <left/>
      <right/>
      <top/>
      <bottom style="thin">
        <color rgb="FF0F238C"/>
      </bottom>
      <diagonal/>
    </border>
    <border>
      <left/>
      <right style="thin">
        <color rgb="FF0F238C"/>
      </right>
      <top/>
      <bottom style="thin">
        <color rgb="FF0F238C"/>
      </bottom>
      <diagonal/>
    </border>
    <border>
      <left/>
      <right style="thin">
        <color theme="0" tint="-0.249977111117893"/>
      </right>
      <top/>
      <bottom/>
      <diagonal/>
    </border>
    <border>
      <left/>
      <right/>
      <top/>
      <bottom style="thin">
        <color theme="0" tint="-0.249977111117893"/>
      </bottom>
      <diagonal/>
    </border>
  </borders>
  <cellStyleXfs count="16">
    <xf numFmtId="0" fontId="0" fillId="0" borderId="0"/>
    <xf numFmtId="9" fontId="1" fillId="0" borderId="0" applyFont="0" applyFill="0" applyBorder="0" applyAlignment="0" applyProtection="0"/>
    <xf numFmtId="43" fontId="1" fillId="0" borderId="0" applyFont="0" applyFill="0" applyBorder="0" applyAlignment="0" applyProtection="0"/>
    <xf numFmtId="0" fontId="20" fillId="0" borderId="0"/>
    <xf numFmtId="0" fontId="33" fillId="0" borderId="0" applyNumberFormat="0" applyFont="0" applyFill="0" applyBorder="0" applyAlignment="0" applyProtection="0"/>
    <xf numFmtId="37" fontId="34" fillId="0" borderId="0"/>
    <xf numFmtId="0" fontId="35" fillId="0" borderId="0" applyNumberFormat="0" applyFill="0" applyBorder="0" applyAlignment="0" applyProtection="0"/>
    <xf numFmtId="0" fontId="33" fillId="0" borderId="0" applyNumberFormat="0" applyFill="0" applyBorder="0" applyAlignment="0" applyProtection="0"/>
    <xf numFmtId="9" fontId="45" fillId="0" borderId="0" applyFont="0" applyFill="0" applyBorder="0" applyAlignment="0" applyProtection="0"/>
    <xf numFmtId="43" fontId="45" fillId="0" borderId="0" applyFont="0" applyFill="0" applyBorder="0" applyAlignment="0" applyProtection="0"/>
    <xf numFmtId="5" fontId="45" fillId="0" borderId="0" applyFont="0" applyFill="0" applyBorder="0" applyAlignment="0" applyProtection="0"/>
    <xf numFmtId="42" fontId="45" fillId="0" borderId="0" applyFont="0" applyFill="0" applyBorder="0" applyAlignment="0" applyProtection="0"/>
    <xf numFmtId="0" fontId="46" fillId="0" borderId="0" applyNumberFormat="0" applyFill="0" applyBorder="0">
      <protection locked="0"/>
    </xf>
    <xf numFmtId="41" fontId="45" fillId="0" borderId="0" applyFont="0" applyFill="0" applyBorder="0" applyAlignment="0" applyProtection="0"/>
    <xf numFmtId="0" fontId="1" fillId="0" borderId="0"/>
    <xf numFmtId="0" fontId="62" fillId="0" borderId="0" applyNumberFormat="0" applyFill="0" applyBorder="0" applyAlignment="0" applyProtection="0"/>
  </cellStyleXfs>
  <cellXfs count="643">
    <xf numFmtId="0" fontId="0" fillId="0" borderId="0" xfId="0"/>
    <xf numFmtId="0" fontId="2" fillId="2" borderId="0" xfId="0" applyFont="1" applyFill="1" applyAlignment="1">
      <alignment vertical="center" wrapText="1"/>
    </xf>
    <xf numFmtId="0" fontId="2" fillId="2" borderId="4" xfId="0" applyFont="1" applyFill="1" applyBorder="1" applyAlignment="1">
      <alignment horizontal="centerContinuous" vertical="center" wrapText="1"/>
    </xf>
    <xf numFmtId="14" fontId="3" fillId="2" borderId="0" xfId="0" applyNumberFormat="1" applyFont="1" applyFill="1" applyAlignment="1">
      <alignment horizontal="center" vertical="center" wrapText="1"/>
    </xf>
    <xf numFmtId="0" fontId="2" fillId="2" borderId="0" xfId="0" applyFont="1" applyFill="1" applyAlignment="1">
      <alignment horizontal="center" vertical="center" wrapText="1"/>
    </xf>
    <xf numFmtId="0" fontId="4" fillId="0" borderId="0" xfId="0" applyFont="1" applyAlignment="1">
      <alignment wrapText="1"/>
    </xf>
    <xf numFmtId="0" fontId="3" fillId="2" borderId="0" xfId="0" applyFont="1" applyFill="1" applyAlignment="1">
      <alignment vertical="center" wrapText="1"/>
    </xf>
    <xf numFmtId="0" fontId="5" fillId="2" borderId="0" xfId="0" applyFont="1" applyFill="1" applyAlignment="1">
      <alignment horizontal="center" vertical="center" wrapText="1"/>
    </xf>
    <xf numFmtId="0" fontId="4" fillId="0" borderId="0" xfId="0" applyFont="1"/>
    <xf numFmtId="0" fontId="4" fillId="3" borderId="0" xfId="0" applyFont="1" applyFill="1"/>
    <xf numFmtId="0" fontId="6" fillId="0" borderId="0" xfId="0" applyFont="1" applyAlignment="1">
      <alignment vertical="top" wrapText="1"/>
    </xf>
    <xf numFmtId="41" fontId="4" fillId="0" borderId="0" xfId="0" applyNumberFormat="1" applyFont="1"/>
    <xf numFmtId="37" fontId="4" fillId="0" borderId="0" xfId="0" applyNumberFormat="1" applyFont="1" applyAlignment="1">
      <alignment wrapText="1"/>
    </xf>
    <xf numFmtId="167" fontId="7" fillId="3" borderId="0" xfId="1" applyNumberFormat="1" applyFont="1" applyFill="1" applyBorder="1" applyAlignment="1">
      <alignment horizontal="right" vertical="center" wrapText="1"/>
    </xf>
    <xf numFmtId="0" fontId="8" fillId="3" borderId="5" xfId="0" applyFont="1" applyFill="1" applyBorder="1" applyAlignment="1">
      <alignment vertical="top" wrapText="1"/>
    </xf>
    <xf numFmtId="5" fontId="8" fillId="3" borderId="2" xfId="0" applyNumberFormat="1" applyFont="1" applyFill="1" applyBorder="1" applyAlignment="1">
      <alignment horizontal="right" vertical="top" wrapText="1"/>
    </xf>
    <xf numFmtId="167" fontId="9" fillId="3" borderId="0" xfId="1" applyNumberFormat="1" applyFont="1" applyFill="1" applyBorder="1" applyAlignment="1">
      <alignment horizontal="right" vertical="center" wrapText="1"/>
    </xf>
    <xf numFmtId="0" fontId="10" fillId="0" borderId="0" xfId="0" applyFont="1" applyAlignment="1">
      <alignment horizontal="left" vertical="center" wrapText="1" indent="1"/>
    </xf>
    <xf numFmtId="167" fontId="10" fillId="0" borderId="0" xfId="1" applyNumberFormat="1" applyFont="1" applyBorder="1" applyAlignment="1">
      <alignment horizontal="right" vertical="center" wrapText="1"/>
    </xf>
    <xf numFmtId="168" fontId="9" fillId="3" borderId="0" xfId="1" applyNumberFormat="1" applyFont="1" applyFill="1" applyBorder="1" applyAlignment="1">
      <alignment horizontal="right" vertical="center" wrapText="1"/>
    </xf>
    <xf numFmtId="9" fontId="6" fillId="0" borderId="0" xfId="1" applyFont="1" applyAlignment="1">
      <alignment horizontal="left" vertical="top" wrapText="1" indent="1"/>
    </xf>
    <xf numFmtId="9" fontId="11" fillId="0" borderId="0" xfId="1" applyFont="1" applyAlignment="1">
      <alignment horizontal="right" vertical="top" wrapText="1"/>
    </xf>
    <xf numFmtId="9" fontId="4" fillId="0" borderId="0" xfId="1" applyFont="1" applyAlignment="1">
      <alignment wrapText="1"/>
    </xf>
    <xf numFmtId="9" fontId="12" fillId="0" borderId="0" xfId="1" applyFont="1" applyAlignment="1">
      <alignment horizontal="right" vertical="top" wrapText="1"/>
    </xf>
    <xf numFmtId="9" fontId="4" fillId="0" borderId="0" xfId="1" applyFont="1"/>
    <xf numFmtId="0" fontId="6" fillId="0" borderId="0" xfId="0" quotePrefix="1" applyFont="1" applyAlignment="1">
      <alignment vertical="top" wrapText="1"/>
    </xf>
    <xf numFmtId="37" fontId="6" fillId="0" borderId="0" xfId="0" applyNumberFormat="1" applyFont="1" applyAlignment="1">
      <alignment horizontal="right" vertical="top" wrapText="1"/>
    </xf>
    <xf numFmtId="0" fontId="8" fillId="0" borderId="0" xfId="0" applyFont="1" applyAlignment="1">
      <alignment vertical="top" wrapText="1"/>
    </xf>
    <xf numFmtId="5" fontId="8" fillId="0" borderId="2" xfId="0" applyNumberFormat="1" applyFont="1" applyBorder="1" applyAlignment="1">
      <alignment horizontal="right" vertical="top" wrapText="1"/>
    </xf>
    <xf numFmtId="9" fontId="13" fillId="0" borderId="0" xfId="1" applyFont="1" applyBorder="1" applyAlignment="1">
      <alignment horizontal="right" vertical="center" wrapText="1"/>
    </xf>
    <xf numFmtId="0" fontId="14" fillId="0" borderId="0" xfId="0" applyFont="1" applyAlignment="1">
      <alignment wrapText="1"/>
    </xf>
    <xf numFmtId="0" fontId="7" fillId="0" borderId="0" xfId="0" applyFont="1" applyAlignment="1">
      <alignment horizontal="left" vertical="center" wrapText="1" indent="1"/>
    </xf>
    <xf numFmtId="9" fontId="6" fillId="0" borderId="0" xfId="1" applyFont="1" applyBorder="1" applyAlignment="1">
      <alignment horizontal="right" vertical="center" wrapText="1"/>
    </xf>
    <xf numFmtId="0" fontId="4" fillId="0" borderId="0" xfId="0" quotePrefix="1" applyFont="1"/>
    <xf numFmtId="41" fontId="6" fillId="0" borderId="0" xfId="0" applyNumberFormat="1" applyFont="1" applyAlignment="1">
      <alignment horizontal="right" vertical="top" wrapText="1"/>
    </xf>
    <xf numFmtId="0" fontId="2" fillId="2" borderId="0" xfId="0" applyFont="1" applyFill="1" applyAlignment="1">
      <alignment wrapText="1"/>
    </xf>
    <xf numFmtId="41" fontId="8" fillId="3" borderId="2" xfId="0" applyNumberFormat="1" applyFont="1" applyFill="1" applyBorder="1" applyAlignment="1">
      <alignment horizontal="right" vertical="top" wrapText="1"/>
    </xf>
    <xf numFmtId="0" fontId="15" fillId="0" borderId="6" xfId="0" applyFont="1" applyBorder="1"/>
    <xf numFmtId="0" fontId="4" fillId="0" borderId="0" xfId="0" quotePrefix="1" applyFont="1" applyAlignment="1">
      <alignment wrapText="1"/>
    </xf>
    <xf numFmtId="0" fontId="15" fillId="0" borderId="0" xfId="0" applyFont="1"/>
    <xf numFmtId="0" fontId="4" fillId="0" borderId="1" xfId="0" applyFont="1" applyBorder="1"/>
    <xf numFmtId="0" fontId="4" fillId="2" borderId="0" xfId="0" applyFont="1" applyFill="1" applyAlignment="1">
      <alignment wrapText="1"/>
    </xf>
    <xf numFmtId="0" fontId="4" fillId="3" borderId="0" xfId="0" applyFont="1" applyFill="1" applyAlignment="1">
      <alignment wrapText="1"/>
    </xf>
    <xf numFmtId="165" fontId="4" fillId="0" borderId="0" xfId="0" applyNumberFormat="1" applyFont="1" applyAlignment="1">
      <alignment wrapText="1"/>
    </xf>
    <xf numFmtId="37" fontId="8" fillId="0" borderId="0" xfId="0" applyNumberFormat="1" applyFont="1" applyAlignment="1">
      <alignment horizontal="right" vertical="top" wrapText="1"/>
    </xf>
    <xf numFmtId="165" fontId="15" fillId="0" borderId="0" xfId="0" applyNumberFormat="1" applyFont="1" applyAlignment="1">
      <alignment wrapText="1"/>
    </xf>
    <xf numFmtId="9" fontId="6" fillId="0" borderId="0" xfId="1" applyFont="1" applyFill="1" applyBorder="1" applyAlignment="1">
      <alignment horizontal="right" vertical="center" wrapText="1"/>
    </xf>
    <xf numFmtId="167" fontId="7" fillId="0" borderId="0" xfId="1" applyNumberFormat="1" applyFont="1" applyBorder="1" applyAlignment="1">
      <alignment horizontal="right" vertical="center" wrapText="1"/>
    </xf>
    <xf numFmtId="37" fontId="15" fillId="0" borderId="0" xfId="0" applyNumberFormat="1" applyFont="1"/>
    <xf numFmtId="37" fontId="6" fillId="0" borderId="0" xfId="1" applyNumberFormat="1" applyFont="1" applyBorder="1" applyAlignment="1">
      <alignment horizontal="right" vertical="center" wrapText="1"/>
    </xf>
    <xf numFmtId="0" fontId="6" fillId="0" borderId="0" xfId="0" applyFont="1" applyAlignment="1">
      <alignment horizontal="left" vertical="top" wrapText="1"/>
    </xf>
    <xf numFmtId="10" fontId="16" fillId="0" borderId="0" xfId="1" applyNumberFormat="1" applyFont="1" applyFill="1" applyAlignment="1">
      <alignment horizontal="center" wrapText="1"/>
    </xf>
    <xf numFmtId="0" fontId="3" fillId="0" borderId="0" xfId="0" applyFont="1" applyAlignment="1">
      <alignment horizontal="left" vertical="center" wrapText="1"/>
    </xf>
    <xf numFmtId="0" fontId="3" fillId="0" borderId="0" xfId="0" applyFont="1" applyAlignment="1">
      <alignment horizontal="center" vertical="center" wrapText="1"/>
    </xf>
    <xf numFmtId="5" fontId="8" fillId="0" borderId="0" xfId="0" applyNumberFormat="1" applyFont="1" applyAlignment="1">
      <alignment horizontal="right" vertical="top" wrapText="1"/>
    </xf>
    <xf numFmtId="37" fontId="15" fillId="0" borderId="0" xfId="0" applyNumberFormat="1" applyFont="1" applyAlignment="1">
      <alignment wrapText="1"/>
    </xf>
    <xf numFmtId="37" fontId="8" fillId="0" borderId="0" xfId="0" applyNumberFormat="1" applyFont="1" applyAlignment="1">
      <alignment wrapText="1"/>
    </xf>
    <xf numFmtId="0" fontId="12" fillId="0" borderId="0" xfId="0" applyFont="1" applyAlignment="1">
      <alignment wrapText="1"/>
    </xf>
    <xf numFmtId="0" fontId="8" fillId="0" borderId="0" xfId="0" applyFont="1" applyAlignment="1">
      <alignment wrapText="1"/>
    </xf>
    <xf numFmtId="0" fontId="15" fillId="0" borderId="0" xfId="0" applyFont="1" applyAlignment="1">
      <alignment wrapText="1"/>
    </xf>
    <xf numFmtId="0" fontId="3" fillId="0" borderId="0" xfId="0" applyFont="1" applyAlignment="1">
      <alignment wrapText="1"/>
    </xf>
    <xf numFmtId="0" fontId="17" fillId="0" borderId="0" xfId="0" applyFont="1" applyAlignment="1">
      <alignment wrapText="1"/>
    </xf>
    <xf numFmtId="164" fontId="4" fillId="0" borderId="0" xfId="2" applyNumberFormat="1" applyFont="1" applyBorder="1" applyAlignment="1">
      <alignment wrapText="1"/>
    </xf>
    <xf numFmtId="0" fontId="4" fillId="0" borderId="0" xfId="0" applyFont="1" applyAlignment="1">
      <alignment horizontal="left" wrapText="1" indent="1"/>
    </xf>
    <xf numFmtId="37" fontId="11" fillId="0" borderId="0" xfId="2" applyNumberFormat="1" applyFont="1" applyBorder="1" applyAlignment="1">
      <alignment wrapText="1"/>
    </xf>
    <xf numFmtId="37" fontId="11" fillId="0" borderId="0" xfId="2" applyNumberFormat="1" applyFont="1" applyFill="1" applyBorder="1" applyAlignment="1">
      <alignment wrapText="1"/>
    </xf>
    <xf numFmtId="0" fontId="4" fillId="0" borderId="0" xfId="0" applyFont="1" applyAlignment="1">
      <alignment horizontal="left" indent="1"/>
    </xf>
    <xf numFmtId="37" fontId="8" fillId="0" borderId="0" xfId="2" applyNumberFormat="1" applyFont="1" applyBorder="1" applyAlignment="1">
      <alignment wrapText="1"/>
    </xf>
    <xf numFmtId="37" fontId="6" fillId="0" borderId="0" xfId="2" applyNumberFormat="1" applyFont="1" applyBorder="1" applyAlignment="1">
      <alignment wrapText="1"/>
    </xf>
    <xf numFmtId="37" fontId="15" fillId="0" borderId="0" xfId="2" applyNumberFormat="1" applyFont="1" applyBorder="1" applyAlignment="1">
      <alignment wrapText="1"/>
    </xf>
    <xf numFmtId="37" fontId="18" fillId="0" borderId="0" xfId="2" applyNumberFormat="1" applyFont="1" applyBorder="1" applyAlignment="1">
      <alignment wrapText="1"/>
    </xf>
    <xf numFmtId="37" fontId="15" fillId="0" borderId="0" xfId="2" applyNumberFormat="1" applyFont="1" applyFill="1" applyBorder="1" applyAlignment="1">
      <alignment wrapText="1"/>
    </xf>
    <xf numFmtId="37" fontId="4" fillId="0" borderId="0" xfId="0" applyNumberFormat="1" applyFont="1"/>
    <xf numFmtId="37" fontId="19" fillId="0" borderId="0" xfId="2" applyNumberFormat="1" applyFont="1" applyFill="1" applyBorder="1" applyAlignment="1">
      <alignment wrapText="1"/>
    </xf>
    <xf numFmtId="37" fontId="12" fillId="0" borderId="0" xfId="2" applyNumberFormat="1" applyFont="1" applyFill="1" applyBorder="1" applyAlignment="1">
      <alignment wrapText="1"/>
    </xf>
    <xf numFmtId="37" fontId="12" fillId="0" borderId="0" xfId="2" applyNumberFormat="1" applyFont="1" applyBorder="1" applyAlignment="1">
      <alignment wrapText="1"/>
    </xf>
    <xf numFmtId="37" fontId="6" fillId="0" borderId="0" xfId="2" applyNumberFormat="1" applyFont="1" applyFill="1" applyBorder="1" applyAlignment="1">
      <alignment wrapText="1"/>
    </xf>
    <xf numFmtId="164" fontId="15" fillId="0" borderId="0" xfId="2" applyNumberFormat="1" applyFont="1" applyBorder="1" applyAlignment="1">
      <alignment wrapText="1"/>
    </xf>
    <xf numFmtId="0" fontId="21" fillId="0" borderId="0" xfId="0" applyFont="1" applyAlignment="1">
      <alignment vertical="top" wrapText="1"/>
    </xf>
    <xf numFmtId="43" fontId="21" fillId="0" borderId="0" xfId="0" applyNumberFormat="1" applyFont="1" applyAlignment="1">
      <alignment wrapText="1"/>
    </xf>
    <xf numFmtId="0" fontId="22" fillId="0" borderId="0" xfId="0" applyFont="1" applyAlignment="1">
      <alignment vertical="top" wrapText="1"/>
    </xf>
    <xf numFmtId="43" fontId="22" fillId="0" borderId="0" xfId="0" applyNumberFormat="1" applyFont="1" applyAlignment="1">
      <alignment wrapText="1"/>
    </xf>
    <xf numFmtId="0" fontId="23" fillId="0" borderId="0" xfId="0" applyFont="1" applyAlignment="1">
      <alignment wrapText="1"/>
    </xf>
    <xf numFmtId="41" fontId="8" fillId="0" borderId="0" xfId="0" applyNumberFormat="1" applyFont="1" applyAlignment="1">
      <alignment horizontal="right" vertical="top" wrapText="1"/>
    </xf>
    <xf numFmtId="0" fontId="17" fillId="0" borderId="6" xfId="0" applyFont="1" applyBorder="1"/>
    <xf numFmtId="0" fontId="4" fillId="0" borderId="1" xfId="0" applyFont="1" applyBorder="1" applyAlignment="1">
      <alignment wrapText="1"/>
    </xf>
    <xf numFmtId="164" fontId="4" fillId="0" borderId="1" xfId="2" applyNumberFormat="1" applyFont="1" applyBorder="1" applyAlignment="1">
      <alignment wrapText="1"/>
    </xf>
    <xf numFmtId="167" fontId="7" fillId="4" borderId="0" xfId="1" applyNumberFormat="1" applyFont="1" applyFill="1" applyBorder="1" applyAlignment="1">
      <alignment horizontal="right" vertical="center" wrapText="1"/>
    </xf>
    <xf numFmtId="167" fontId="9" fillId="4" borderId="0" xfId="1" applyNumberFormat="1" applyFont="1" applyFill="1" applyBorder="1" applyAlignment="1">
      <alignment horizontal="right" vertical="center" wrapText="1"/>
    </xf>
    <xf numFmtId="169" fontId="9" fillId="4" borderId="0" xfId="1" applyNumberFormat="1" applyFont="1" applyFill="1" applyBorder="1" applyAlignment="1">
      <alignment horizontal="right" vertical="center" wrapText="1"/>
    </xf>
    <xf numFmtId="7" fontId="8" fillId="3" borderId="2" xfId="0" applyNumberFormat="1" applyFont="1" applyFill="1" applyBorder="1" applyAlignment="1">
      <alignment horizontal="right" vertical="top" wrapText="1"/>
    </xf>
    <xf numFmtId="0" fontId="8" fillId="0" borderId="6" xfId="0" applyFont="1" applyBorder="1" applyAlignment="1">
      <alignment vertical="top" wrapText="1"/>
    </xf>
    <xf numFmtId="0" fontId="25" fillId="0" borderId="0" xfId="0" applyFont="1" applyAlignment="1">
      <alignment horizontal="right" vertical="center" wrapText="1"/>
    </xf>
    <xf numFmtId="41" fontId="25" fillId="0" borderId="0" xfId="0" applyNumberFormat="1" applyFont="1" applyAlignment="1">
      <alignment horizontal="right" vertical="center" wrapText="1"/>
    </xf>
    <xf numFmtId="0" fontId="15" fillId="0" borderId="0" xfId="0" applyFont="1" applyAlignment="1">
      <alignment horizontal="center"/>
    </xf>
    <xf numFmtId="41" fontId="11" fillId="0" borderId="0" xfId="0" applyNumberFormat="1" applyFont="1"/>
    <xf numFmtId="41" fontId="11" fillId="0" borderId="0" xfId="0" applyNumberFormat="1" applyFont="1" applyAlignment="1">
      <alignment horizontal="right" vertical="top" wrapText="1"/>
    </xf>
    <xf numFmtId="170" fontId="4" fillId="0" borderId="0" xfId="0" applyNumberFormat="1" applyFont="1"/>
    <xf numFmtId="0" fontId="6" fillId="0" borderId="0" xfId="0" applyFont="1"/>
    <xf numFmtId="0" fontId="29" fillId="0" borderId="0" xfId="0" applyFont="1"/>
    <xf numFmtId="0" fontId="15" fillId="0" borderId="8" xfId="0" applyFont="1" applyBorder="1"/>
    <xf numFmtId="37" fontId="12" fillId="0" borderId="0" xfId="0" applyNumberFormat="1" applyFont="1"/>
    <xf numFmtId="0" fontId="4" fillId="0" borderId="0" xfId="0" applyFont="1" applyAlignment="1">
      <alignment horizontal="left"/>
    </xf>
    <xf numFmtId="175" fontId="12" fillId="0" borderId="0" xfId="0" applyNumberFormat="1" applyFont="1"/>
    <xf numFmtId="174" fontId="30" fillId="0" borderId="0" xfId="0" applyNumberFormat="1" applyFont="1"/>
    <xf numFmtId="172" fontId="28" fillId="0" borderId="8" xfId="0" applyNumberFormat="1" applyFont="1" applyBorder="1"/>
    <xf numFmtId="0" fontId="15" fillId="0" borderId="0" xfId="0" applyFont="1" applyAlignment="1">
      <alignment horizontal="left" indent="1"/>
    </xf>
    <xf numFmtId="175" fontId="4" fillId="0" borderId="0" xfId="0" applyNumberFormat="1" applyFont="1"/>
    <xf numFmtId="176" fontId="12" fillId="0" borderId="0" xfId="0" applyNumberFormat="1" applyFont="1"/>
    <xf numFmtId="176" fontId="4" fillId="0" borderId="0" xfId="0" applyNumberFormat="1" applyFont="1"/>
    <xf numFmtId="0" fontId="32" fillId="0" borderId="0" xfId="0" applyFont="1" applyAlignment="1">
      <alignment horizontal="left"/>
    </xf>
    <xf numFmtId="0" fontId="4" fillId="0" borderId="0" xfId="0" applyFont="1" applyAlignment="1">
      <alignment horizontal="left" indent="2"/>
    </xf>
    <xf numFmtId="37" fontId="26" fillId="0" borderId="0" xfId="0" applyNumberFormat="1" applyFont="1"/>
    <xf numFmtId="14" fontId="3" fillId="2" borderId="0" xfId="0" quotePrefix="1" applyNumberFormat="1" applyFont="1" applyFill="1" applyAlignment="1">
      <alignment horizontal="center" vertical="center" wrapText="1"/>
    </xf>
    <xf numFmtId="3" fontId="4" fillId="0" borderId="0" xfId="0" applyNumberFormat="1" applyFont="1" applyAlignment="1">
      <alignment wrapText="1"/>
    </xf>
    <xf numFmtId="43" fontId="22" fillId="0" borderId="10" xfId="0" applyNumberFormat="1" applyFont="1" applyBorder="1" applyAlignment="1">
      <alignment wrapText="1"/>
    </xf>
    <xf numFmtId="179" fontId="22" fillId="0" borderId="10" xfId="0" applyNumberFormat="1" applyFont="1" applyBorder="1" applyAlignment="1">
      <alignment wrapText="1"/>
    </xf>
    <xf numFmtId="178" fontId="22" fillId="0" borderId="10" xfId="0" applyNumberFormat="1" applyFont="1" applyBorder="1" applyAlignment="1">
      <alignment wrapText="1"/>
    </xf>
    <xf numFmtId="41" fontId="6" fillId="0" borderId="10" xfId="0" applyNumberFormat="1" applyFont="1" applyBorder="1" applyAlignment="1">
      <alignment horizontal="right" vertical="top" wrapText="1"/>
    </xf>
    <xf numFmtId="180" fontId="22" fillId="0" borderId="10" xfId="0" applyNumberFormat="1" applyFont="1" applyBorder="1" applyAlignment="1">
      <alignment wrapText="1"/>
    </xf>
    <xf numFmtId="0" fontId="4" fillId="0" borderId="10" xfId="0" applyFont="1" applyBorder="1" applyAlignment="1">
      <alignment wrapText="1"/>
    </xf>
    <xf numFmtId="41" fontId="8" fillId="0" borderId="12" xfId="0" applyNumberFormat="1" applyFont="1" applyBorder="1" applyAlignment="1">
      <alignment horizontal="right" vertical="top" wrapText="1"/>
    </xf>
    <xf numFmtId="0" fontId="8" fillId="5" borderId="12" xfId="0" applyFont="1" applyFill="1" applyBorder="1" applyAlignment="1">
      <alignment horizontal="right" vertical="center" wrapText="1"/>
    </xf>
    <xf numFmtId="0" fontId="4" fillId="0" borderId="12" xfId="0" applyFont="1" applyBorder="1"/>
    <xf numFmtId="0" fontId="22" fillId="0" borderId="11" xfId="0" applyFont="1" applyBorder="1" applyAlignment="1">
      <alignment horizontal="right" vertical="top" wrapText="1"/>
    </xf>
    <xf numFmtId="41" fontId="6" fillId="0" borderId="13" xfId="0" applyNumberFormat="1" applyFont="1" applyBorder="1" applyAlignment="1">
      <alignment horizontal="right" vertical="top" wrapText="1"/>
    </xf>
    <xf numFmtId="37" fontId="4" fillId="0" borderId="13" xfId="0" applyNumberFormat="1" applyFont="1" applyBorder="1" applyAlignment="1">
      <alignment wrapText="1"/>
    </xf>
    <xf numFmtId="180" fontId="22" fillId="0" borderId="15" xfId="0" applyNumberFormat="1" applyFont="1" applyBorder="1" applyAlignment="1">
      <alignment wrapText="1"/>
    </xf>
    <xf numFmtId="41" fontId="8" fillId="0" borderId="16" xfId="0" applyNumberFormat="1" applyFont="1" applyBorder="1" applyAlignment="1">
      <alignment horizontal="right" vertical="top" wrapText="1"/>
    </xf>
    <xf numFmtId="41" fontId="6" fillId="0" borderId="17" xfId="0" applyNumberFormat="1" applyFont="1" applyBorder="1" applyAlignment="1">
      <alignment horizontal="right" vertical="top" wrapText="1"/>
    </xf>
    <xf numFmtId="41" fontId="6" fillId="0" borderId="18" xfId="0" applyNumberFormat="1" applyFont="1" applyBorder="1" applyAlignment="1">
      <alignment horizontal="right" vertical="top" wrapText="1"/>
    </xf>
    <xf numFmtId="41" fontId="26" fillId="0" borderId="0" xfId="0" applyNumberFormat="1" applyFont="1"/>
    <xf numFmtId="0" fontId="15" fillId="0" borderId="17" xfId="0" applyFont="1" applyBorder="1"/>
    <xf numFmtId="0" fontId="4" fillId="0" borderId="17" xfId="0" applyFont="1" applyBorder="1"/>
    <xf numFmtId="0" fontId="4" fillId="6" borderId="17" xfId="0" applyFont="1" applyFill="1" applyBorder="1"/>
    <xf numFmtId="173" fontId="29" fillId="0" borderId="0" xfId="0" applyNumberFormat="1" applyFont="1"/>
    <xf numFmtId="173" fontId="4" fillId="0" borderId="0" xfId="0" applyNumberFormat="1" applyFont="1"/>
    <xf numFmtId="0" fontId="12" fillId="0" borderId="0" xfId="0" applyFont="1"/>
    <xf numFmtId="37" fontId="27" fillId="0" borderId="0" xfId="0" applyNumberFormat="1" applyFont="1"/>
    <xf numFmtId="7" fontId="4" fillId="0" borderId="0" xfId="0" applyNumberFormat="1" applyFont="1"/>
    <xf numFmtId="14" fontId="12" fillId="0" borderId="0" xfId="0" applyNumberFormat="1" applyFont="1" applyAlignment="1">
      <alignment horizontal="right"/>
    </xf>
    <xf numFmtId="0" fontId="36" fillId="0" borderId="0" xfId="6" applyFont="1" applyBorder="1"/>
    <xf numFmtId="7" fontId="27" fillId="0" borderId="0" xfId="0" applyNumberFormat="1" applyFont="1" applyAlignment="1">
      <alignment horizontal="right"/>
    </xf>
    <xf numFmtId="183" fontId="27" fillId="0" borderId="0" xfId="0" applyNumberFormat="1" applyFont="1"/>
    <xf numFmtId="183" fontId="29" fillId="0" borderId="0" xfId="0" applyNumberFormat="1" applyFont="1"/>
    <xf numFmtId="183" fontId="4" fillId="0" borderId="0" xfId="0" applyNumberFormat="1" applyFont="1"/>
    <xf numFmtId="14" fontId="4" fillId="0" borderId="0" xfId="0" applyNumberFormat="1" applyFont="1"/>
    <xf numFmtId="176" fontId="4" fillId="0" borderId="0" xfId="0" applyNumberFormat="1" applyFont="1" applyAlignment="1">
      <alignment horizontal="center"/>
    </xf>
    <xf numFmtId="182" fontId="4" fillId="0" borderId="0" xfId="0" applyNumberFormat="1" applyFont="1"/>
    <xf numFmtId="0" fontId="16" fillId="0" borderId="0" xfId="0" applyFont="1" applyAlignment="1">
      <alignment horizontal="left"/>
    </xf>
    <xf numFmtId="176" fontId="16" fillId="0" borderId="0" xfId="0" applyNumberFormat="1" applyFont="1"/>
    <xf numFmtId="185" fontId="16" fillId="0" borderId="0" xfId="0" applyNumberFormat="1" applyFont="1"/>
    <xf numFmtId="184" fontId="16" fillId="0" borderId="0" xfId="0" applyNumberFormat="1" applyFont="1"/>
    <xf numFmtId="175" fontId="4" fillId="0" borderId="0" xfId="0" quotePrefix="1" applyNumberFormat="1" applyFont="1"/>
    <xf numFmtId="0" fontId="31" fillId="0" borderId="0" xfId="0" applyFont="1" applyAlignment="1">
      <alignment horizontal="left" vertical="center"/>
    </xf>
    <xf numFmtId="14" fontId="29" fillId="0" borderId="0" xfId="0" applyNumberFormat="1" applyFont="1"/>
    <xf numFmtId="186" fontId="12" fillId="0" borderId="0" xfId="0" applyNumberFormat="1" applyFont="1"/>
    <xf numFmtId="0" fontId="29" fillId="0" borderId="0" xfId="0" applyFont="1" applyAlignment="1">
      <alignment horizontal="left" indent="1"/>
    </xf>
    <xf numFmtId="0" fontId="4" fillId="0" borderId="0" xfId="0" applyFont="1" applyAlignment="1">
      <alignment horizontal="left" vertical="center" indent="1"/>
    </xf>
    <xf numFmtId="183" fontId="4" fillId="0" borderId="0" xfId="0" applyNumberFormat="1" applyFont="1" applyAlignment="1">
      <alignment horizontal="right"/>
    </xf>
    <xf numFmtId="37" fontId="16" fillId="0" borderId="9" xfId="0" applyNumberFormat="1" applyFont="1" applyBorder="1" applyAlignment="1">
      <alignment horizontal="right"/>
    </xf>
    <xf numFmtId="37" fontId="4" fillId="0" borderId="0" xfId="0" applyNumberFormat="1" applyFont="1" applyAlignment="1">
      <alignment horizontal="right"/>
    </xf>
    <xf numFmtId="37" fontId="11" fillId="0" borderId="0" xfId="0" applyNumberFormat="1" applyFont="1" applyAlignment="1">
      <alignment horizontal="right" vertical="top" wrapText="1"/>
    </xf>
    <xf numFmtId="0" fontId="12" fillId="0" borderId="0" xfId="0" applyFont="1" applyAlignment="1">
      <alignment horizontal="center"/>
    </xf>
    <xf numFmtId="8" fontId="12" fillId="0" borderId="0" xfId="0" applyNumberFormat="1" applyFont="1" applyAlignment="1">
      <alignment horizontal="center"/>
    </xf>
    <xf numFmtId="14" fontId="12" fillId="0" borderId="0" xfId="0" applyNumberFormat="1" applyFont="1" applyAlignment="1">
      <alignment horizontal="center"/>
    </xf>
    <xf numFmtId="172" fontId="12" fillId="0" borderId="0" xfId="0" applyNumberFormat="1" applyFont="1" applyAlignment="1">
      <alignment horizontal="center"/>
    </xf>
    <xf numFmtId="0" fontId="4" fillId="0" borderId="10" xfId="0" applyFont="1" applyBorder="1"/>
    <xf numFmtId="173" fontId="12" fillId="0" borderId="10" xfId="0" applyNumberFormat="1" applyFont="1" applyBorder="1" applyAlignment="1">
      <alignment horizontal="center"/>
    </xf>
    <xf numFmtId="0" fontId="4" fillId="0" borderId="11" xfId="0" applyFont="1" applyBorder="1"/>
    <xf numFmtId="0" fontId="4" fillId="0" borderId="13" xfId="0" applyFont="1" applyBorder="1"/>
    <xf numFmtId="0" fontId="4" fillId="0" borderId="15" xfId="0" applyFont="1" applyBorder="1"/>
    <xf numFmtId="0" fontId="12" fillId="0" borderId="17" xfId="0" applyFont="1" applyBorder="1" applyAlignment="1">
      <alignment horizontal="center"/>
    </xf>
    <xf numFmtId="0" fontId="4" fillId="0" borderId="18" xfId="0" applyFont="1" applyBorder="1"/>
    <xf numFmtId="0" fontId="30" fillId="0" borderId="16" xfId="0" applyFont="1" applyBorder="1"/>
    <xf numFmtId="0" fontId="30" fillId="0" borderId="12" xfId="0" applyFont="1" applyBorder="1"/>
    <xf numFmtId="0" fontId="15" fillId="0" borderId="12" xfId="0" applyFont="1" applyBorder="1"/>
    <xf numFmtId="0" fontId="15" fillId="0" borderId="11" xfId="0" applyFont="1" applyBorder="1"/>
    <xf numFmtId="0" fontId="4" fillId="0" borderId="0" xfId="0" applyFont="1" applyAlignment="1">
      <alignment horizontal="center"/>
    </xf>
    <xf numFmtId="171" fontId="12" fillId="5" borderId="7" xfId="0" applyNumberFormat="1" applyFont="1" applyFill="1" applyBorder="1" applyAlignment="1">
      <alignment horizontal="center"/>
    </xf>
    <xf numFmtId="0" fontId="4" fillId="0" borderId="0" xfId="0" applyFont="1" applyAlignment="1">
      <alignment vertical="center"/>
    </xf>
    <xf numFmtId="0" fontId="4" fillId="0" borderId="0" xfId="0" applyFont="1" applyAlignment="1">
      <alignment horizontal="left" vertical="center"/>
    </xf>
    <xf numFmtId="190" fontId="5" fillId="2" borderId="0" xfId="0" applyNumberFormat="1" applyFont="1" applyFill="1" applyAlignment="1">
      <alignment horizontal="center" vertical="center" wrapText="1"/>
    </xf>
    <xf numFmtId="0" fontId="2" fillId="2" borderId="16" xfId="0" applyFont="1" applyFill="1" applyBorder="1"/>
    <xf numFmtId="0" fontId="2" fillId="0" borderId="12" xfId="0" applyFont="1" applyBorder="1"/>
    <xf numFmtId="0" fontId="2" fillId="9" borderId="0" xfId="0" applyFont="1" applyFill="1" applyAlignment="1">
      <alignment vertical="center" wrapText="1"/>
    </xf>
    <xf numFmtId="0" fontId="3" fillId="9" borderId="0" xfId="0" applyFont="1" applyFill="1" applyAlignment="1">
      <alignment vertical="center" wrapText="1"/>
    </xf>
    <xf numFmtId="0" fontId="2" fillId="10" borderId="0" xfId="0" applyFont="1" applyFill="1" applyAlignment="1">
      <alignment vertical="center" wrapText="1"/>
    </xf>
    <xf numFmtId="0" fontId="2" fillId="10" borderId="4" xfId="0" applyFont="1" applyFill="1" applyBorder="1" applyAlignment="1">
      <alignment horizontal="centerContinuous" vertical="center" wrapText="1"/>
    </xf>
    <xf numFmtId="0" fontId="3" fillId="10" borderId="0" xfId="0" applyFont="1" applyFill="1" applyAlignment="1">
      <alignment vertical="center" wrapText="1"/>
    </xf>
    <xf numFmtId="14" fontId="3" fillId="10" borderId="0" xfId="0" applyNumberFormat="1" applyFont="1" applyFill="1" applyAlignment="1">
      <alignment horizontal="center" vertical="center" wrapText="1"/>
    </xf>
    <xf numFmtId="167" fontId="7" fillId="0" borderId="0" xfId="1" applyNumberFormat="1" applyFont="1" applyFill="1" applyBorder="1" applyAlignment="1">
      <alignment horizontal="right" vertical="center" wrapText="1"/>
    </xf>
    <xf numFmtId="0" fontId="2" fillId="2" borderId="0" xfId="0" applyFont="1" applyFill="1" applyAlignment="1">
      <alignment horizontal="centerContinuous" vertical="center" wrapText="1"/>
    </xf>
    <xf numFmtId="0" fontId="2" fillId="9" borderId="4" xfId="0" applyFont="1" applyFill="1" applyBorder="1" applyAlignment="1">
      <alignment horizontal="centerContinuous" vertical="center" wrapText="1"/>
    </xf>
    <xf numFmtId="0" fontId="4" fillId="9" borderId="0" xfId="0" applyFont="1" applyFill="1" applyAlignment="1">
      <alignment wrapText="1"/>
    </xf>
    <xf numFmtId="0" fontId="5" fillId="9" borderId="0" xfId="0" applyFont="1" applyFill="1" applyAlignment="1">
      <alignment horizontal="center" vertical="center" wrapText="1"/>
    </xf>
    <xf numFmtId="14" fontId="3" fillId="9" borderId="0" xfId="0" applyNumberFormat="1" applyFont="1" applyFill="1" applyAlignment="1">
      <alignment horizontal="center" vertical="center" wrapText="1"/>
    </xf>
    <xf numFmtId="189" fontId="5" fillId="2" borderId="0" xfId="0" applyNumberFormat="1" applyFont="1" applyFill="1" applyAlignment="1">
      <alignment horizontal="center" vertical="center" wrapText="1"/>
    </xf>
    <xf numFmtId="0" fontId="2" fillId="11" borderId="0" xfId="0" applyFont="1" applyFill="1" applyAlignment="1">
      <alignment vertical="center" wrapText="1"/>
    </xf>
    <xf numFmtId="0" fontId="3" fillId="11" borderId="0" xfId="0" applyFont="1" applyFill="1" applyAlignment="1">
      <alignment vertical="center" wrapText="1"/>
    </xf>
    <xf numFmtId="190" fontId="5" fillId="11" borderId="0" xfId="0" applyNumberFormat="1" applyFont="1" applyFill="1" applyAlignment="1">
      <alignment horizontal="center" vertical="center" wrapText="1"/>
    </xf>
    <xf numFmtId="189" fontId="5" fillId="11" borderId="0" xfId="0" applyNumberFormat="1" applyFont="1" applyFill="1" applyAlignment="1">
      <alignment horizontal="center" vertical="center" wrapText="1"/>
    </xf>
    <xf numFmtId="14" fontId="3" fillId="11" borderId="0" xfId="0" applyNumberFormat="1" applyFont="1" applyFill="1" applyAlignment="1">
      <alignment horizontal="center" vertical="center" wrapText="1"/>
    </xf>
    <xf numFmtId="0" fontId="2" fillId="12" borderId="0" xfId="0" applyFont="1" applyFill="1" applyAlignment="1">
      <alignment vertical="center" wrapText="1"/>
    </xf>
    <xf numFmtId="0" fontId="2" fillId="12" borderId="4" xfId="0" applyFont="1" applyFill="1" applyBorder="1" applyAlignment="1">
      <alignment horizontal="centerContinuous" vertical="center" wrapText="1"/>
    </xf>
    <xf numFmtId="0" fontId="4" fillId="12" borderId="0" xfId="0" applyFont="1" applyFill="1" applyAlignment="1">
      <alignment wrapText="1"/>
    </xf>
    <xf numFmtId="0" fontId="5" fillId="12" borderId="0" xfId="0" applyFont="1" applyFill="1" applyAlignment="1">
      <alignment horizontal="center" vertical="center" wrapText="1"/>
    </xf>
    <xf numFmtId="0" fontId="3" fillId="12" borderId="0" xfId="0" applyFont="1" applyFill="1" applyAlignment="1">
      <alignment vertical="center" wrapText="1"/>
    </xf>
    <xf numFmtId="0" fontId="5" fillId="12" borderId="0" xfId="0" applyFont="1" applyFill="1" applyAlignment="1">
      <alignment vertical="center" wrapText="1"/>
    </xf>
    <xf numFmtId="14" fontId="3" fillId="12" borderId="0" xfId="0" applyNumberFormat="1" applyFont="1" applyFill="1" applyAlignment="1">
      <alignment horizontal="center" vertical="center" wrapText="1"/>
    </xf>
    <xf numFmtId="14" fontId="3" fillId="12" borderId="0" xfId="0" applyNumberFormat="1" applyFont="1" applyFill="1" applyAlignment="1">
      <alignment vertical="center" wrapText="1"/>
    </xf>
    <xf numFmtId="0" fontId="2" fillId="2" borderId="4" xfId="0" applyFont="1" applyFill="1" applyBorder="1" applyAlignment="1">
      <alignment horizontal="centerContinuous" vertical="center"/>
    </xf>
    <xf numFmtId="0" fontId="2" fillId="13" borderId="0" xfId="0" applyFont="1" applyFill="1" applyAlignment="1">
      <alignment vertical="center" wrapText="1"/>
    </xf>
    <xf numFmtId="0" fontId="2" fillId="13" borderId="4" xfId="0" applyFont="1" applyFill="1" applyBorder="1" applyAlignment="1">
      <alignment horizontal="centerContinuous" vertical="center" wrapText="1"/>
    </xf>
    <xf numFmtId="0" fontId="3" fillId="13" borderId="0" xfId="0" applyFont="1" applyFill="1" applyAlignment="1">
      <alignment vertical="center" wrapText="1"/>
    </xf>
    <xf numFmtId="190" fontId="5" fillId="13" borderId="0" xfId="0" applyNumberFormat="1" applyFont="1" applyFill="1" applyAlignment="1">
      <alignment horizontal="center" vertical="center" wrapText="1"/>
    </xf>
    <xf numFmtId="189" fontId="5" fillId="13" borderId="0" xfId="0" applyNumberFormat="1" applyFont="1" applyFill="1" applyAlignment="1">
      <alignment horizontal="center" vertical="center" wrapText="1"/>
    </xf>
    <xf numFmtId="14" fontId="3" fillId="13" borderId="0" xfId="0" applyNumberFormat="1" applyFont="1" applyFill="1" applyAlignment="1">
      <alignment horizontal="center" vertical="center" wrapText="1"/>
    </xf>
    <xf numFmtId="190" fontId="5" fillId="10" borderId="0" xfId="0" applyNumberFormat="1" applyFont="1" applyFill="1" applyAlignment="1">
      <alignment horizontal="center" vertical="center" wrapText="1"/>
    </xf>
    <xf numFmtId="189" fontId="5" fillId="10" borderId="0" xfId="0" applyNumberFormat="1" applyFont="1" applyFill="1" applyAlignment="1">
      <alignment horizontal="center" vertical="center" wrapText="1"/>
    </xf>
    <xf numFmtId="14" fontId="12" fillId="0" borderId="0" xfId="5" applyNumberFormat="1" applyFont="1" applyAlignment="1">
      <alignment horizontal="right"/>
    </xf>
    <xf numFmtId="14" fontId="29" fillId="0" borderId="0" xfId="5" applyNumberFormat="1" applyFont="1" applyAlignment="1">
      <alignment horizontal="right"/>
    </xf>
    <xf numFmtId="7" fontId="12" fillId="0" borderId="0" xfId="0" applyNumberFormat="1" applyFont="1"/>
    <xf numFmtId="0" fontId="37" fillId="0" borderId="0" xfId="0" applyFont="1" applyAlignment="1">
      <alignment horizontal="center"/>
    </xf>
    <xf numFmtId="176" fontId="29" fillId="0" borderId="10" xfId="0" applyNumberFormat="1" applyFont="1" applyBorder="1"/>
    <xf numFmtId="0" fontId="36" fillId="0" borderId="13" xfId="6" applyFont="1" applyBorder="1"/>
    <xf numFmtId="0" fontId="4" fillId="0" borderId="16" xfId="0" applyFont="1" applyBorder="1"/>
    <xf numFmtId="14" fontId="12" fillId="0" borderId="17" xfId="5" applyNumberFormat="1" applyFont="1" applyBorder="1" applyAlignment="1">
      <alignment horizontal="right"/>
    </xf>
    <xf numFmtId="175" fontId="27" fillId="0" borderId="17" xfId="0" applyNumberFormat="1" applyFont="1" applyBorder="1"/>
    <xf numFmtId="0" fontId="2" fillId="2" borderId="0" xfId="0" applyFont="1" applyFill="1" applyAlignment="1">
      <alignment vertical="center"/>
    </xf>
    <xf numFmtId="14" fontId="3" fillId="2" borderId="0" xfId="0" applyNumberFormat="1" applyFont="1" applyFill="1" applyAlignment="1">
      <alignment horizontal="center" vertical="center"/>
    </xf>
    <xf numFmtId="41" fontId="11" fillId="0" borderId="0" xfId="0" applyNumberFormat="1" applyFont="1" applyAlignment="1">
      <alignment vertical="center"/>
    </xf>
    <xf numFmtId="41" fontId="6" fillId="0" borderId="0" xfId="0" applyNumberFormat="1" applyFont="1" applyAlignment="1">
      <alignment vertical="center"/>
    </xf>
    <xf numFmtId="189" fontId="5" fillId="2" borderId="0" xfId="0" applyNumberFormat="1" applyFont="1" applyFill="1" applyAlignment="1">
      <alignment horizontal="center" vertical="center"/>
    </xf>
    <xf numFmtId="166" fontId="4" fillId="0" borderId="0" xfId="1" applyNumberFormat="1" applyFont="1" applyAlignment="1">
      <alignment horizontal="center"/>
    </xf>
    <xf numFmtId="166" fontId="15" fillId="0" borderId="0" xfId="1" applyNumberFormat="1" applyFont="1" applyAlignment="1">
      <alignment horizontal="center"/>
    </xf>
    <xf numFmtId="37" fontId="11" fillId="0" borderId="0" xfId="0" applyNumberFormat="1" applyFont="1"/>
    <xf numFmtId="167" fontId="4" fillId="0" borderId="0" xfId="1" applyNumberFormat="1" applyFont="1" applyAlignment="1">
      <alignment horizontal="center"/>
    </xf>
    <xf numFmtId="167" fontId="15" fillId="0" borderId="0" xfId="1" applyNumberFormat="1" applyFont="1" applyAlignment="1">
      <alignment horizontal="center"/>
    </xf>
    <xf numFmtId="190" fontId="5" fillId="2" borderId="0" xfId="0" applyNumberFormat="1" applyFont="1" applyFill="1" applyAlignment="1">
      <alignment horizontal="center" vertical="center"/>
    </xf>
    <xf numFmtId="0" fontId="4" fillId="0" borderId="1" xfId="0" applyFont="1" applyBorder="1" applyAlignment="1">
      <alignment horizontal="centerContinuous"/>
    </xf>
    <xf numFmtId="37" fontId="6" fillId="0" borderId="0" xfId="0" applyNumberFormat="1" applyFont="1"/>
    <xf numFmtId="0" fontId="16" fillId="0" borderId="12" xfId="0" applyFont="1" applyBorder="1" applyAlignment="1">
      <alignment horizontal="left" indent="2"/>
    </xf>
    <xf numFmtId="0" fontId="16" fillId="0" borderId="0" xfId="0" applyFont="1" applyAlignment="1">
      <alignment horizontal="left" vertical="center" indent="1"/>
    </xf>
    <xf numFmtId="0" fontId="31" fillId="0" borderId="12" xfId="0" applyFont="1" applyBorder="1" applyAlignment="1">
      <alignment horizontal="left" indent="1"/>
    </xf>
    <xf numFmtId="0" fontId="15" fillId="5" borderId="17" xfId="0" applyFont="1" applyFill="1" applyBorder="1"/>
    <xf numFmtId="173" fontId="27" fillId="0" borderId="0" xfId="0" applyNumberFormat="1" applyFont="1" applyAlignment="1">
      <alignment horizontal="right" vertical="center"/>
    </xf>
    <xf numFmtId="0" fontId="2" fillId="2" borderId="0" xfId="0" applyFont="1" applyFill="1" applyAlignment="1">
      <alignment horizontal="left" vertical="center" wrapText="1"/>
    </xf>
    <xf numFmtId="0" fontId="38" fillId="0" borderId="0" xfId="0" applyFont="1" applyAlignment="1">
      <alignment horizontal="center"/>
    </xf>
    <xf numFmtId="173" fontId="11" fillId="0" borderId="0" xfId="0" applyNumberFormat="1" applyFont="1" applyAlignment="1">
      <alignment horizontal="right" vertical="center"/>
    </xf>
    <xf numFmtId="0" fontId="2" fillId="2" borderId="0" xfId="0" applyFont="1" applyFill="1" applyAlignment="1">
      <alignment horizontal="left" vertical="center"/>
    </xf>
    <xf numFmtId="0" fontId="15" fillId="6" borderId="17" xfId="0" applyFont="1" applyFill="1" applyBorder="1"/>
    <xf numFmtId="183" fontId="29" fillId="0" borderId="0" xfId="0" applyNumberFormat="1" applyFont="1" applyAlignment="1">
      <alignment vertical="center"/>
    </xf>
    <xf numFmtId="0" fontId="15" fillId="6" borderId="17" xfId="0" applyFont="1" applyFill="1" applyBorder="1" applyAlignment="1">
      <alignment vertical="center"/>
    </xf>
    <xf numFmtId="0" fontId="30" fillId="6" borderId="17" xfId="0" applyFont="1" applyFill="1" applyBorder="1" applyAlignment="1">
      <alignment vertical="center"/>
    </xf>
    <xf numFmtId="183" fontId="30" fillId="6" borderId="17" xfId="0" applyNumberFormat="1" applyFont="1" applyFill="1" applyBorder="1" applyAlignment="1">
      <alignment vertical="center"/>
    </xf>
    <xf numFmtId="0" fontId="2" fillId="0" borderId="0" xfId="0" applyFont="1" applyAlignment="1">
      <alignment horizontal="left" vertical="center" wrapText="1"/>
    </xf>
    <xf numFmtId="0" fontId="2" fillId="0" borderId="0" xfId="0" applyFont="1" applyAlignment="1">
      <alignment horizontal="centerContinuous" vertical="center" wrapText="1"/>
    </xf>
    <xf numFmtId="183" fontId="42" fillId="0" borderId="9" xfId="0" applyNumberFormat="1" applyFont="1" applyBorder="1" applyAlignment="1">
      <alignment horizontal="center"/>
    </xf>
    <xf numFmtId="183" fontId="42" fillId="0" borderId="0" xfId="0" applyNumberFormat="1" applyFont="1" applyAlignment="1">
      <alignment horizontal="center"/>
    </xf>
    <xf numFmtId="14" fontId="41" fillId="0" borderId="0" xfId="0" applyNumberFormat="1" applyFont="1" applyAlignment="1">
      <alignment horizontal="center"/>
    </xf>
    <xf numFmtId="37" fontId="15" fillId="6" borderId="17" xfId="0" applyNumberFormat="1" applyFont="1" applyFill="1" applyBorder="1"/>
    <xf numFmtId="188" fontId="15" fillId="5" borderId="17" xfId="0" applyNumberFormat="1" applyFont="1" applyFill="1" applyBorder="1" applyAlignment="1">
      <alignment horizontal="right"/>
    </xf>
    <xf numFmtId="176" fontId="43" fillId="14" borderId="19" xfId="0" applyNumberFormat="1" applyFont="1" applyFill="1" applyBorder="1" applyAlignment="1">
      <alignment horizontal="center" vertical="center"/>
    </xf>
    <xf numFmtId="41" fontId="22" fillId="0" borderId="0" xfId="0" applyNumberFormat="1" applyFont="1" applyAlignment="1">
      <alignment horizontal="right" vertical="center" wrapText="1"/>
    </xf>
    <xf numFmtId="0" fontId="40" fillId="0" borderId="0" xfId="0" applyFont="1" applyAlignment="1">
      <alignment horizontal="left" vertical="center" indent="1"/>
    </xf>
    <xf numFmtId="5" fontId="8" fillId="15" borderId="0" xfId="0" applyNumberFormat="1" applyFont="1" applyFill="1" applyAlignment="1">
      <alignment horizontal="right" vertical="top" wrapText="1"/>
    </xf>
    <xf numFmtId="9" fontId="10" fillId="0" borderId="2" xfId="1" applyFont="1" applyBorder="1" applyAlignment="1">
      <alignment horizontal="right"/>
    </xf>
    <xf numFmtId="9" fontId="10" fillId="0" borderId="0" xfId="1" applyFont="1" applyBorder="1" applyAlignment="1">
      <alignment horizontal="right"/>
    </xf>
    <xf numFmtId="9" fontId="10" fillId="0" borderId="6" xfId="1" applyFont="1" applyBorder="1" applyAlignment="1">
      <alignment horizontal="right"/>
    </xf>
    <xf numFmtId="0" fontId="24" fillId="6" borderId="24" xfId="0" applyFont="1" applyFill="1" applyBorder="1" applyAlignment="1">
      <alignment horizontal="left" indent="1"/>
    </xf>
    <xf numFmtId="0" fontId="24" fillId="6" borderId="26" xfId="0" applyFont="1" applyFill="1" applyBorder="1" applyAlignment="1">
      <alignment horizontal="left" indent="1"/>
    </xf>
    <xf numFmtId="166" fontId="10" fillId="0" borderId="0" xfId="1" applyNumberFormat="1" applyFont="1" applyBorder="1" applyAlignment="1">
      <alignment horizontal="right"/>
    </xf>
    <xf numFmtId="175" fontId="10" fillId="0" borderId="0" xfId="1" applyNumberFormat="1" applyFont="1" applyBorder="1" applyAlignment="1">
      <alignment horizontal="right"/>
    </xf>
    <xf numFmtId="175" fontId="10" fillId="0" borderId="6" xfId="1" applyNumberFormat="1" applyFont="1" applyBorder="1" applyAlignment="1">
      <alignment horizontal="right"/>
    </xf>
    <xf numFmtId="0" fontId="23" fillId="6" borderId="24" xfId="0" applyFont="1" applyFill="1" applyBorder="1"/>
    <xf numFmtId="9" fontId="10" fillId="0" borderId="28" xfId="1" applyFont="1" applyBorder="1" applyAlignment="1">
      <alignment horizontal="right"/>
    </xf>
    <xf numFmtId="0" fontId="23" fillId="6" borderId="25" xfId="0" applyFont="1" applyFill="1" applyBorder="1"/>
    <xf numFmtId="9" fontId="10" fillId="0" borderId="23" xfId="1" applyFont="1" applyBorder="1" applyAlignment="1">
      <alignment horizontal="right"/>
    </xf>
    <xf numFmtId="166" fontId="10" fillId="0" borderId="28" xfId="1" applyNumberFormat="1" applyFont="1" applyBorder="1" applyAlignment="1">
      <alignment horizontal="right"/>
    </xf>
    <xf numFmtId="175" fontId="10" fillId="0" borderId="28" xfId="1" applyNumberFormat="1" applyFont="1" applyBorder="1" applyAlignment="1">
      <alignment horizontal="right"/>
    </xf>
    <xf numFmtId="175" fontId="10" fillId="0" borderId="29" xfId="1" applyNumberFormat="1" applyFont="1" applyBorder="1" applyAlignment="1">
      <alignment horizontal="right"/>
    </xf>
    <xf numFmtId="0" fontId="3" fillId="2" borderId="0" xfId="0" applyFont="1" applyFill="1" applyAlignment="1">
      <alignment vertical="center"/>
    </xf>
    <xf numFmtId="0" fontId="5" fillId="2" borderId="0" xfId="0" applyFont="1" applyFill="1" applyAlignment="1">
      <alignment horizontal="center" vertical="center"/>
    </xf>
    <xf numFmtId="0" fontId="15" fillId="0" borderId="1" xfId="0" applyFont="1" applyBorder="1" applyAlignment="1">
      <alignment vertical="center"/>
    </xf>
    <xf numFmtId="0" fontId="16" fillId="0" borderId="0" xfId="0" applyFont="1" applyAlignment="1">
      <alignment horizontal="left" indent="1"/>
    </xf>
    <xf numFmtId="0" fontId="15" fillId="0" borderId="0" xfId="0" applyFont="1" applyAlignment="1">
      <alignment vertical="center"/>
    </xf>
    <xf numFmtId="0" fontId="16" fillId="6" borderId="0" xfId="0" applyFont="1" applyFill="1" applyAlignment="1">
      <alignment horizontal="left" vertical="center" indent="1"/>
    </xf>
    <xf numFmtId="0" fontId="4" fillId="8" borderId="0" xfId="0" applyFont="1" applyFill="1"/>
    <xf numFmtId="0" fontId="44" fillId="5" borderId="2" xfId="0" applyFont="1" applyFill="1" applyBorder="1"/>
    <xf numFmtId="0" fontId="15" fillId="5" borderId="24" xfId="0" applyFont="1" applyFill="1" applyBorder="1"/>
    <xf numFmtId="0" fontId="44" fillId="5" borderId="0" xfId="0" applyFont="1" applyFill="1"/>
    <xf numFmtId="0" fontId="44" fillId="5" borderId="6" xfId="0" applyFont="1" applyFill="1" applyBorder="1"/>
    <xf numFmtId="0" fontId="4" fillId="5" borderId="25" xfId="0" applyFont="1" applyFill="1" applyBorder="1"/>
    <xf numFmtId="167" fontId="4" fillId="6" borderId="0" xfId="1" applyNumberFormat="1" applyFont="1" applyFill="1" applyAlignment="1">
      <alignment horizontal="right" vertical="center"/>
    </xf>
    <xf numFmtId="41" fontId="6" fillId="5" borderId="2" xfId="0" applyNumberFormat="1" applyFont="1" applyFill="1" applyBorder="1" applyAlignment="1">
      <alignment vertical="center"/>
    </xf>
    <xf numFmtId="41" fontId="6" fillId="5" borderId="0" xfId="0" applyNumberFormat="1" applyFont="1" applyFill="1" applyAlignment="1">
      <alignment vertical="center"/>
    </xf>
    <xf numFmtId="167" fontId="15" fillId="5" borderId="28" xfId="1" applyNumberFormat="1" applyFont="1" applyFill="1" applyBorder="1" applyAlignment="1">
      <alignment horizontal="center" vertical="center"/>
    </xf>
    <xf numFmtId="167" fontId="15" fillId="5" borderId="29" xfId="1" applyNumberFormat="1" applyFont="1" applyFill="1" applyBorder="1" applyAlignment="1">
      <alignment horizontal="center" vertical="center"/>
    </xf>
    <xf numFmtId="167" fontId="15" fillId="5" borderId="23" xfId="1" applyNumberFormat="1" applyFont="1" applyFill="1" applyBorder="1" applyAlignment="1">
      <alignment horizontal="center" vertical="center"/>
    </xf>
    <xf numFmtId="41" fontId="6" fillId="0" borderId="0" xfId="0" applyNumberFormat="1" applyFont="1" applyAlignment="1">
      <alignment horizontal="center" vertical="center"/>
    </xf>
    <xf numFmtId="193" fontId="6" fillId="0" borderId="0" xfId="0" applyNumberFormat="1" applyFont="1" applyAlignment="1">
      <alignment horizontal="right" vertical="center"/>
    </xf>
    <xf numFmtId="5" fontId="6" fillId="0" borderId="0" xfId="0" applyNumberFormat="1" applyFont="1" applyAlignment="1">
      <alignment horizontal="right" vertical="center"/>
    </xf>
    <xf numFmtId="194" fontId="6" fillId="0" borderId="0" xfId="0" applyNumberFormat="1" applyFont="1" applyAlignment="1">
      <alignment horizontal="right" vertical="center"/>
    </xf>
    <xf numFmtId="0" fontId="2" fillId="2" borderId="0" xfId="0" applyFont="1" applyFill="1" applyAlignment="1">
      <alignment horizontal="centerContinuous" vertical="center"/>
    </xf>
    <xf numFmtId="0" fontId="15" fillId="5" borderId="32" xfId="0" applyFont="1" applyFill="1" applyBorder="1" applyAlignment="1">
      <alignment vertical="center"/>
    </xf>
    <xf numFmtId="5" fontId="8" fillId="5" borderId="33" xfId="0" applyNumberFormat="1" applyFont="1" applyFill="1" applyBorder="1" applyAlignment="1">
      <alignment horizontal="right" vertical="center"/>
    </xf>
    <xf numFmtId="194" fontId="8" fillId="5" borderId="33" xfId="0" applyNumberFormat="1" applyFont="1" applyFill="1" applyBorder="1" applyAlignment="1">
      <alignment horizontal="right" vertical="center"/>
    </xf>
    <xf numFmtId="0" fontId="2" fillId="0" borderId="0" xfId="0" applyFont="1" applyAlignment="1">
      <alignment horizontal="centerContinuous" vertical="center"/>
    </xf>
    <xf numFmtId="5" fontId="8" fillId="0" borderId="0" xfId="0" applyNumberFormat="1" applyFont="1" applyAlignment="1">
      <alignment horizontal="right" vertical="center"/>
    </xf>
    <xf numFmtId="194" fontId="8" fillId="0" borderId="0" xfId="0" applyNumberFormat="1" applyFont="1" applyAlignment="1">
      <alignment horizontal="right" vertical="center"/>
    </xf>
    <xf numFmtId="167" fontId="6" fillId="6" borderId="0" xfId="1" applyNumberFormat="1" applyFont="1" applyFill="1" applyAlignment="1">
      <alignment horizontal="right" vertical="center"/>
    </xf>
    <xf numFmtId="0" fontId="2" fillId="2" borderId="0" xfId="0" applyFont="1" applyFill="1"/>
    <xf numFmtId="0" fontId="16" fillId="0" borderId="12" xfId="0" applyFont="1" applyBorder="1" applyAlignment="1">
      <alignment horizontal="left" indent="1"/>
    </xf>
    <xf numFmtId="167" fontId="10" fillId="0" borderId="0" xfId="1" applyNumberFormat="1" applyFont="1" applyFill="1" applyBorder="1" applyAlignment="1">
      <alignment horizontal="right" vertical="center"/>
    </xf>
    <xf numFmtId="167" fontId="48" fillId="0" borderId="0" xfId="1" applyNumberFormat="1" applyFont="1" applyFill="1" applyBorder="1" applyAlignment="1">
      <alignment horizontal="right" vertical="center"/>
    </xf>
    <xf numFmtId="0" fontId="16" fillId="0" borderId="11" xfId="0" applyFont="1" applyBorder="1" applyAlignment="1">
      <alignment horizontal="left" indent="2"/>
    </xf>
    <xf numFmtId="167" fontId="10" fillId="0" borderId="10" xfId="1" applyNumberFormat="1" applyFont="1" applyFill="1" applyBorder="1" applyAlignment="1">
      <alignment horizontal="right" vertical="center"/>
    </xf>
    <xf numFmtId="0" fontId="15" fillId="0" borderId="10" xfId="0" applyFont="1" applyBorder="1"/>
    <xf numFmtId="164" fontId="4" fillId="0" borderId="0" xfId="0" applyNumberFormat="1" applyFont="1"/>
    <xf numFmtId="0" fontId="4" fillId="5" borderId="0" xfId="0" applyFont="1" applyFill="1"/>
    <xf numFmtId="0" fontId="4" fillId="0" borderId="6" xfId="0" applyFont="1" applyBorder="1"/>
    <xf numFmtId="41" fontId="6" fillId="0" borderId="0" xfId="0" applyNumberFormat="1" applyFont="1"/>
    <xf numFmtId="0" fontId="4" fillId="0" borderId="2" xfId="0" applyFont="1" applyBorder="1"/>
    <xf numFmtId="0" fontId="4" fillId="5" borderId="24" xfId="0" applyFont="1" applyFill="1" applyBorder="1"/>
    <xf numFmtId="0" fontId="16" fillId="5" borderId="24" xfId="0" applyFont="1" applyFill="1" applyBorder="1" applyAlignment="1">
      <alignment horizontal="left" vertical="center" indent="1"/>
    </xf>
    <xf numFmtId="0" fontId="16" fillId="5" borderId="26" xfId="0" applyFont="1" applyFill="1" applyBorder="1" applyAlignment="1">
      <alignment horizontal="left" vertical="center" indent="1"/>
    </xf>
    <xf numFmtId="167" fontId="7" fillId="5" borderId="0" xfId="1" applyNumberFormat="1" applyFont="1" applyFill="1" applyBorder="1" applyAlignment="1">
      <alignment vertical="center"/>
    </xf>
    <xf numFmtId="167" fontId="7" fillId="5" borderId="6" xfId="1" applyNumberFormat="1" applyFont="1" applyFill="1" applyBorder="1" applyAlignment="1">
      <alignment vertical="center"/>
    </xf>
    <xf numFmtId="167" fontId="41" fillId="6" borderId="0" xfId="1" applyNumberFormat="1" applyFont="1" applyFill="1" applyAlignment="1">
      <alignment horizontal="right" vertical="center"/>
    </xf>
    <xf numFmtId="167" fontId="15" fillId="14" borderId="30" xfId="1" applyNumberFormat="1" applyFont="1" applyFill="1" applyBorder="1" applyAlignment="1">
      <alignment horizontal="center" vertical="center"/>
    </xf>
    <xf numFmtId="0" fontId="0" fillId="14" borderId="30" xfId="0" applyFill="1" applyBorder="1"/>
    <xf numFmtId="0" fontId="0" fillId="14" borderId="27" xfId="0" applyFill="1" applyBorder="1"/>
    <xf numFmtId="167" fontId="15" fillId="14" borderId="35" xfId="1" applyNumberFormat="1" applyFont="1" applyFill="1" applyBorder="1" applyAlignment="1">
      <alignment horizontal="center" vertical="center"/>
    </xf>
    <xf numFmtId="167" fontId="49" fillId="5" borderId="0" xfId="1" applyNumberFormat="1" applyFont="1" applyFill="1" applyBorder="1" applyAlignment="1">
      <alignment vertical="center"/>
    </xf>
    <xf numFmtId="167" fontId="49" fillId="5" borderId="6" xfId="1" applyNumberFormat="1" applyFont="1" applyFill="1" applyBorder="1" applyAlignment="1">
      <alignment vertical="center"/>
    </xf>
    <xf numFmtId="5" fontId="6" fillId="5" borderId="2" xfId="0" applyNumberFormat="1" applyFont="1" applyFill="1" applyBorder="1" applyAlignment="1">
      <alignment vertical="center"/>
    </xf>
    <xf numFmtId="5" fontId="6" fillId="5" borderId="0" xfId="0" applyNumberFormat="1" applyFont="1" applyFill="1" applyAlignment="1">
      <alignment vertical="center"/>
    </xf>
    <xf numFmtId="5" fontId="8" fillId="5" borderId="0" xfId="0" applyNumberFormat="1" applyFont="1" applyFill="1" applyAlignment="1">
      <alignment vertical="center"/>
    </xf>
    <xf numFmtId="41" fontId="8" fillId="5" borderId="0" xfId="0" applyNumberFormat="1" applyFont="1" applyFill="1" applyAlignment="1">
      <alignment vertical="center"/>
    </xf>
    <xf numFmtId="167" fontId="49" fillId="6" borderId="0" xfId="1" applyNumberFormat="1" applyFont="1" applyFill="1" applyBorder="1" applyAlignment="1">
      <alignment vertical="center"/>
    </xf>
    <xf numFmtId="167" fontId="7" fillId="0" borderId="0" xfId="1" applyNumberFormat="1" applyFont="1" applyFill="1" applyBorder="1" applyAlignment="1">
      <alignment vertical="center"/>
    </xf>
    <xf numFmtId="0" fontId="44" fillId="0" borderId="0" xfId="0" applyFont="1"/>
    <xf numFmtId="167" fontId="15" fillId="0" borderId="0" xfId="1" applyNumberFormat="1" applyFont="1" applyFill="1" applyBorder="1" applyAlignment="1">
      <alignment horizontal="center" vertical="center"/>
    </xf>
    <xf numFmtId="167" fontId="16" fillId="6" borderId="0" xfId="1" applyNumberFormat="1" applyFont="1" applyFill="1" applyAlignment="1">
      <alignment horizontal="right" vertical="center"/>
    </xf>
    <xf numFmtId="5" fontId="15" fillId="0" borderId="2" xfId="0" applyNumberFormat="1" applyFont="1" applyBorder="1"/>
    <xf numFmtId="167" fontId="50" fillId="6" borderId="0" xfId="1" applyNumberFormat="1" applyFont="1" applyFill="1" applyAlignment="1">
      <alignment horizontal="right" vertical="center"/>
    </xf>
    <xf numFmtId="167" fontId="4" fillId="5" borderId="0" xfId="1" applyNumberFormat="1" applyFont="1" applyFill="1" applyBorder="1" applyAlignment="1">
      <alignment horizontal="right" vertical="center"/>
    </xf>
    <xf numFmtId="167" fontId="4" fillId="5" borderId="6" xfId="1" applyNumberFormat="1" applyFont="1" applyFill="1" applyBorder="1" applyAlignment="1">
      <alignment horizontal="right" vertical="center"/>
    </xf>
    <xf numFmtId="167" fontId="4" fillId="5" borderId="29" xfId="1" applyNumberFormat="1" applyFont="1" applyFill="1" applyBorder="1" applyAlignment="1">
      <alignment horizontal="right" vertical="center"/>
    </xf>
    <xf numFmtId="167" fontId="16" fillId="5" borderId="0" xfId="1" applyNumberFormat="1" applyFont="1" applyFill="1" applyBorder="1" applyAlignment="1">
      <alignment horizontal="right" vertical="center"/>
    </xf>
    <xf numFmtId="167" fontId="16" fillId="5" borderId="6" xfId="1" applyNumberFormat="1" applyFont="1" applyFill="1" applyBorder="1" applyAlignment="1">
      <alignment horizontal="right" vertical="center"/>
    </xf>
    <xf numFmtId="0" fontId="44" fillId="14" borderId="30" xfId="0" applyFont="1" applyFill="1" applyBorder="1"/>
    <xf numFmtId="0" fontId="0" fillId="0" borderId="0" xfId="0" applyAlignment="1">
      <alignment horizontal="center"/>
    </xf>
    <xf numFmtId="5" fontId="15" fillId="0" borderId="0" xfId="0" applyNumberFormat="1" applyFont="1"/>
    <xf numFmtId="0" fontId="0" fillId="16" borderId="0" xfId="0" applyFill="1"/>
    <xf numFmtId="0" fontId="15" fillId="14" borderId="2" xfId="0" applyFont="1" applyFill="1" applyBorder="1" applyAlignment="1">
      <alignment horizontal="left"/>
    </xf>
    <xf numFmtId="0" fontId="4" fillId="14" borderId="2" xfId="0" applyFont="1" applyFill="1" applyBorder="1"/>
    <xf numFmtId="5" fontId="15" fillId="14" borderId="2" xfId="0" applyNumberFormat="1" applyFont="1" applyFill="1" applyBorder="1"/>
    <xf numFmtId="41" fontId="41" fillId="0" borderId="0" xfId="0" applyNumberFormat="1" applyFont="1"/>
    <xf numFmtId="167" fontId="4" fillId="0" borderId="0" xfId="1" applyNumberFormat="1" applyFont="1"/>
    <xf numFmtId="167" fontId="16" fillId="0" borderId="0" xfId="1" applyNumberFormat="1" applyFont="1"/>
    <xf numFmtId="10" fontId="11" fillId="0" borderId="0" xfId="1" applyNumberFormat="1" applyFont="1"/>
    <xf numFmtId="10" fontId="6" fillId="0" borderId="0" xfId="1" applyNumberFormat="1" applyFont="1"/>
    <xf numFmtId="0" fontId="15" fillId="6" borderId="20" xfId="0" applyFont="1" applyFill="1" applyBorder="1" applyAlignment="1">
      <alignment horizontal="left"/>
    </xf>
    <xf numFmtId="0" fontId="15" fillId="6" borderId="21" xfId="0" applyFont="1" applyFill="1" applyBorder="1"/>
    <xf numFmtId="5" fontId="15" fillId="6" borderId="21" xfId="0" applyNumberFormat="1" applyFont="1" applyFill="1" applyBorder="1"/>
    <xf numFmtId="5" fontId="15" fillId="6" borderId="22" xfId="0" applyNumberFormat="1" applyFont="1" applyFill="1" applyBorder="1"/>
    <xf numFmtId="10" fontId="4" fillId="0" borderId="0" xfId="0" applyNumberFormat="1" applyFont="1"/>
    <xf numFmtId="7" fontId="15" fillId="14" borderId="2" xfId="0" applyNumberFormat="1" applyFont="1" applyFill="1" applyBorder="1"/>
    <xf numFmtId="7" fontId="11" fillId="0" borderId="0" xfId="1" applyNumberFormat="1" applyFont="1"/>
    <xf numFmtId="7" fontId="41" fillId="0" borderId="0" xfId="1" applyNumberFormat="1" applyFont="1"/>
    <xf numFmtId="5" fontId="15" fillId="0" borderId="17" xfId="0" applyNumberFormat="1" applyFont="1" applyBorder="1"/>
    <xf numFmtId="41" fontId="6" fillId="0" borderId="0" xfId="0" applyNumberFormat="1" applyFont="1" applyAlignment="1">
      <alignment horizontal="right" vertical="center" wrapText="1"/>
    </xf>
    <xf numFmtId="0" fontId="0" fillId="0" borderId="6" xfId="0" applyBorder="1"/>
    <xf numFmtId="0" fontId="0" fillId="0" borderId="2" xfId="0" applyBorder="1"/>
    <xf numFmtId="0" fontId="15" fillId="6" borderId="25" xfId="0" applyFont="1" applyFill="1" applyBorder="1"/>
    <xf numFmtId="37" fontId="8" fillId="6" borderId="2" xfId="0" applyNumberFormat="1" applyFont="1" applyFill="1" applyBorder="1" applyAlignment="1">
      <alignment vertical="center"/>
    </xf>
    <xf numFmtId="0" fontId="44" fillId="6" borderId="2" xfId="0" applyFont="1" applyFill="1" applyBorder="1"/>
    <xf numFmtId="0" fontId="15" fillId="6" borderId="26" xfId="0" applyFont="1" applyFill="1" applyBorder="1"/>
    <xf numFmtId="37" fontId="8" fillId="6" borderId="6" xfId="0" applyNumberFormat="1" applyFont="1" applyFill="1" applyBorder="1" applyAlignment="1">
      <alignment vertical="center"/>
    </xf>
    <xf numFmtId="0" fontId="44" fillId="6" borderId="6" xfId="0" applyFont="1" applyFill="1" applyBorder="1"/>
    <xf numFmtId="37" fontId="8" fillId="6" borderId="6" xfId="0" applyNumberFormat="1" applyFont="1" applyFill="1" applyBorder="1" applyAlignment="1">
      <alignment horizontal="right" vertical="center"/>
    </xf>
    <xf numFmtId="37" fontId="8" fillId="6" borderId="29" xfId="0" applyNumberFormat="1" applyFont="1" applyFill="1" applyBorder="1" applyAlignment="1">
      <alignment vertical="center"/>
    </xf>
    <xf numFmtId="37" fontId="8" fillId="6" borderId="23" xfId="0" applyNumberFormat="1" applyFont="1" applyFill="1" applyBorder="1" applyAlignment="1">
      <alignment vertical="center"/>
    </xf>
    <xf numFmtId="41" fontId="26" fillId="0" borderId="0" xfId="0" applyNumberFormat="1" applyFont="1" applyAlignment="1">
      <alignment vertical="center"/>
    </xf>
    <xf numFmtId="195" fontId="7" fillId="0" borderId="0" xfId="0" applyNumberFormat="1" applyFont="1" applyAlignment="1">
      <alignment horizontal="right" vertical="center"/>
    </xf>
    <xf numFmtId="195" fontId="6" fillId="0" borderId="0" xfId="0" applyNumberFormat="1" applyFont="1" applyAlignment="1">
      <alignment vertical="center"/>
    </xf>
    <xf numFmtId="197" fontId="6" fillId="0" borderId="0" xfId="0" applyNumberFormat="1" applyFont="1" applyAlignment="1">
      <alignment vertical="center"/>
    </xf>
    <xf numFmtId="196" fontId="6" fillId="0" borderId="0" xfId="0" applyNumberFormat="1" applyFont="1" applyAlignment="1">
      <alignment vertical="center"/>
    </xf>
    <xf numFmtId="195" fontId="7" fillId="0" borderId="6" xfId="0" applyNumberFormat="1" applyFont="1" applyBorder="1" applyAlignment="1">
      <alignment horizontal="right" vertical="center"/>
    </xf>
    <xf numFmtId="191" fontId="6" fillId="0" borderId="6" xfId="0" applyNumberFormat="1" applyFont="1" applyBorder="1" applyAlignment="1">
      <alignment horizontal="right" vertical="center"/>
    </xf>
    <xf numFmtId="0" fontId="0" fillId="0" borderId="28" xfId="0" applyBorder="1"/>
    <xf numFmtId="195" fontId="6" fillId="0" borderId="28" xfId="0" applyNumberFormat="1" applyFont="1" applyBorder="1" applyAlignment="1">
      <alignment vertical="center"/>
    </xf>
    <xf numFmtId="197" fontId="6" fillId="0" borderId="28" xfId="0" applyNumberFormat="1" applyFont="1" applyBorder="1" applyAlignment="1">
      <alignment vertical="center"/>
    </xf>
    <xf numFmtId="196" fontId="6" fillId="0" borderId="28" xfId="0" applyNumberFormat="1" applyFont="1" applyBorder="1" applyAlignment="1">
      <alignment vertical="center"/>
    </xf>
    <xf numFmtId="191" fontId="6" fillId="0" borderId="29" xfId="0" applyNumberFormat="1" applyFont="1" applyBorder="1" applyAlignment="1">
      <alignment horizontal="right" vertical="center"/>
    </xf>
    <xf numFmtId="0" fontId="0" fillId="0" borderId="23" xfId="0" applyBorder="1"/>
    <xf numFmtId="0" fontId="15" fillId="6" borderId="0" xfId="0" applyFont="1" applyFill="1"/>
    <xf numFmtId="5" fontId="15" fillId="6" borderId="2" xfId="0" applyNumberFormat="1" applyFont="1" applyFill="1" applyBorder="1"/>
    <xf numFmtId="5" fontId="30" fillId="5" borderId="17" xfId="0" applyNumberFormat="1" applyFont="1" applyFill="1" applyBorder="1"/>
    <xf numFmtId="0" fontId="15" fillId="0" borderId="1" xfId="0" applyFont="1" applyBorder="1" applyAlignment="1">
      <alignment horizontal="centerContinuous"/>
    </xf>
    <xf numFmtId="0" fontId="32" fillId="0" borderId="0" xfId="0" applyFont="1" applyAlignment="1">
      <alignment horizontal="center"/>
    </xf>
    <xf numFmtId="37" fontId="15" fillId="0" borderId="0" xfId="0" applyNumberFormat="1" applyFont="1" applyAlignment="1">
      <alignment horizontal="right"/>
    </xf>
    <xf numFmtId="186" fontId="41" fillId="0" borderId="0" xfId="0" applyNumberFormat="1" applyFont="1"/>
    <xf numFmtId="187" fontId="15" fillId="0" borderId="0" xfId="0" applyNumberFormat="1" applyFont="1"/>
    <xf numFmtId="0" fontId="7" fillId="0" borderId="12" xfId="0" applyFont="1" applyBorder="1" applyAlignment="1">
      <alignment horizontal="right" vertical="center" wrapText="1"/>
    </xf>
    <xf numFmtId="41" fontId="11" fillId="0" borderId="17" xfId="0" applyNumberFormat="1" applyFont="1" applyBorder="1" applyAlignment="1">
      <alignment horizontal="right" vertical="top" wrapText="1"/>
    </xf>
    <xf numFmtId="5" fontId="25" fillId="0" borderId="0" xfId="0" applyNumberFormat="1" applyFont="1" applyAlignment="1">
      <alignment horizontal="right" vertical="center" wrapText="1"/>
    </xf>
    <xf numFmtId="5" fontId="8" fillId="5" borderId="2" xfId="0" applyNumberFormat="1" applyFont="1" applyFill="1" applyBorder="1" applyAlignment="1">
      <alignment horizontal="right" vertical="top" wrapText="1"/>
    </xf>
    <xf numFmtId="5" fontId="8" fillId="5" borderId="14" xfId="0" applyNumberFormat="1" applyFont="1" applyFill="1" applyBorder="1" applyAlignment="1">
      <alignment horizontal="right" vertical="top" wrapText="1"/>
    </xf>
    <xf numFmtId="14" fontId="41" fillId="0" borderId="17" xfId="5" applyNumberFormat="1" applyFont="1" applyBorder="1" applyAlignment="1">
      <alignment horizontal="right"/>
    </xf>
    <xf numFmtId="14" fontId="41" fillId="0" borderId="0" xfId="5" applyNumberFormat="1" applyFont="1" applyAlignment="1">
      <alignment horizontal="right"/>
    </xf>
    <xf numFmtId="14" fontId="6" fillId="0" borderId="0" xfId="0" applyNumberFormat="1" applyFont="1" applyAlignment="1">
      <alignment horizontal="right"/>
    </xf>
    <xf numFmtId="189" fontId="3" fillId="13" borderId="0" xfId="0" applyNumberFormat="1" applyFont="1" applyFill="1" applyAlignment="1">
      <alignment horizontal="center" vertical="center" wrapText="1"/>
    </xf>
    <xf numFmtId="2" fontId="43" fillId="14" borderId="19" xfId="0" applyNumberFormat="1" applyFont="1" applyFill="1" applyBorder="1" applyAlignment="1">
      <alignment horizontal="center" vertical="center"/>
    </xf>
    <xf numFmtId="2" fontId="10" fillId="14" borderId="19" xfId="0" applyNumberFormat="1" applyFont="1" applyFill="1" applyBorder="1" applyAlignment="1">
      <alignment horizontal="center" vertical="center"/>
    </xf>
    <xf numFmtId="1" fontId="43" fillId="14" borderId="19" xfId="0" applyNumberFormat="1" applyFont="1" applyFill="1" applyBorder="1" applyAlignment="1">
      <alignment horizontal="center" vertical="center"/>
    </xf>
    <xf numFmtId="0" fontId="4" fillId="15" borderId="0" xfId="0" applyFont="1" applyFill="1"/>
    <xf numFmtId="41" fontId="4" fillId="15" borderId="0" xfId="0" applyNumberFormat="1" applyFont="1" applyFill="1"/>
    <xf numFmtId="37" fontId="8" fillId="3" borderId="2" xfId="0" applyNumberFormat="1" applyFont="1" applyFill="1" applyBorder="1" applyAlignment="1">
      <alignment horizontal="right" vertical="top" wrapText="1"/>
    </xf>
    <xf numFmtId="193" fontId="8" fillId="5" borderId="0" xfId="0" applyNumberFormat="1" applyFont="1" applyFill="1" applyAlignment="1">
      <alignment vertical="center"/>
    </xf>
    <xf numFmtId="193" fontId="6" fillId="5" borderId="0" xfId="0" applyNumberFormat="1" applyFont="1" applyFill="1" applyAlignment="1">
      <alignment vertical="center"/>
    </xf>
    <xf numFmtId="193" fontId="6" fillId="5" borderId="2" xfId="0" applyNumberFormat="1" applyFont="1" applyFill="1" applyBorder="1" applyAlignment="1">
      <alignment vertical="center"/>
    </xf>
    <xf numFmtId="0" fontId="15" fillId="0" borderId="37" xfId="0" applyFont="1" applyBorder="1" applyAlignment="1">
      <alignment horizontal="center"/>
    </xf>
    <xf numFmtId="0" fontId="15" fillId="0" borderId="38" xfId="0" applyFont="1" applyBorder="1" applyAlignment="1">
      <alignment horizontal="center"/>
    </xf>
    <xf numFmtId="198" fontId="29" fillId="0" borderId="0" xfId="0" applyNumberFormat="1" applyFont="1" applyAlignment="1">
      <alignment vertical="center"/>
    </xf>
    <xf numFmtId="37" fontId="29" fillId="0" borderId="0" xfId="0" applyNumberFormat="1" applyFont="1" applyAlignment="1">
      <alignment vertical="center"/>
    </xf>
    <xf numFmtId="0" fontId="4" fillId="0" borderId="39" xfId="0" applyFont="1" applyBorder="1"/>
    <xf numFmtId="0" fontId="4" fillId="0" borderId="39" xfId="0" applyFont="1" applyBorder="1" applyAlignment="1">
      <alignment horizontal="center"/>
    </xf>
    <xf numFmtId="176" fontId="12" fillId="0" borderId="39" xfId="0" applyNumberFormat="1" applyFont="1" applyBorder="1" applyAlignment="1">
      <alignment horizontal="center"/>
    </xf>
    <xf numFmtId="175" fontId="29" fillId="0" borderId="0" xfId="0" applyNumberFormat="1" applyFont="1"/>
    <xf numFmtId="37" fontId="12" fillId="0" borderId="39" xfId="0" applyNumberFormat="1" applyFont="1" applyBorder="1" applyAlignment="1">
      <alignment horizontal="center"/>
    </xf>
    <xf numFmtId="37" fontId="29" fillId="0" borderId="0" xfId="0" applyNumberFormat="1" applyFont="1"/>
    <xf numFmtId="177" fontId="4" fillId="0" borderId="0" xfId="0" applyNumberFormat="1" applyFont="1"/>
    <xf numFmtId="0" fontId="4" fillId="6" borderId="33" xfId="0" applyFont="1" applyFill="1" applyBorder="1"/>
    <xf numFmtId="0" fontId="4" fillId="6" borderId="33" xfId="0" applyFont="1" applyFill="1" applyBorder="1" applyAlignment="1">
      <alignment vertical="center"/>
    </xf>
    <xf numFmtId="0" fontId="4" fillId="6" borderId="43" xfId="0" applyFont="1" applyFill="1" applyBorder="1" applyAlignment="1">
      <alignment horizontal="center" vertical="center"/>
    </xf>
    <xf numFmtId="0" fontId="4" fillId="6" borderId="32" xfId="0" applyFont="1" applyFill="1" applyBorder="1" applyAlignment="1">
      <alignment horizontal="left" vertical="center" indent="2"/>
    </xf>
    <xf numFmtId="0" fontId="4" fillId="0" borderId="0" xfId="0" applyFont="1" applyAlignment="1">
      <alignment horizontal="left" vertical="center" indent="2"/>
    </xf>
    <xf numFmtId="37" fontId="41" fillId="6" borderId="33" xfId="0" applyNumberFormat="1" applyFont="1" applyFill="1" applyBorder="1" applyAlignment="1">
      <alignment vertical="center"/>
    </xf>
    <xf numFmtId="37" fontId="41" fillId="6" borderId="34" xfId="0" applyNumberFormat="1" applyFont="1" applyFill="1" applyBorder="1" applyAlignment="1">
      <alignment vertical="center"/>
    </xf>
    <xf numFmtId="198" fontId="41" fillId="6" borderId="33" xfId="0" applyNumberFormat="1" applyFont="1" applyFill="1" applyBorder="1" applyAlignment="1">
      <alignment vertical="center"/>
    </xf>
    <xf numFmtId="198" fontId="41" fillId="6" borderId="34" xfId="0" applyNumberFormat="1" applyFont="1" applyFill="1" applyBorder="1" applyAlignment="1">
      <alignment vertical="center"/>
    </xf>
    <xf numFmtId="175" fontId="29" fillId="0" borderId="0" xfId="0" applyNumberFormat="1" applyFont="1" applyAlignment="1">
      <alignment vertical="center"/>
    </xf>
    <xf numFmtId="176" fontId="12" fillId="0" borderId="39" xfId="0" applyNumberFormat="1" applyFont="1" applyBorder="1" applyAlignment="1">
      <alignment horizontal="center" vertical="center"/>
    </xf>
    <xf numFmtId="176" fontId="12" fillId="0" borderId="40" xfId="0" applyNumberFormat="1" applyFont="1" applyBorder="1" applyAlignment="1">
      <alignment horizontal="center" vertical="center"/>
    </xf>
    <xf numFmtId="37" fontId="12" fillId="0" borderId="39" xfId="0" applyNumberFormat="1" applyFont="1" applyBorder="1" applyAlignment="1">
      <alignment horizontal="center" vertical="center"/>
    </xf>
    <xf numFmtId="193" fontId="12" fillId="0" borderId="39" xfId="0" applyNumberFormat="1" applyFont="1" applyBorder="1" applyAlignment="1">
      <alignment horizontal="center" vertical="center"/>
    </xf>
    <xf numFmtId="0" fontId="4" fillId="5" borderId="0" xfId="0" applyFont="1" applyFill="1" applyAlignment="1">
      <alignment horizontal="left" indent="1"/>
    </xf>
    <xf numFmtId="198" fontId="29" fillId="5" borderId="0" xfId="0" applyNumberFormat="1" applyFont="1" applyFill="1" applyAlignment="1">
      <alignment vertical="center"/>
    </xf>
    <xf numFmtId="0" fontId="4" fillId="5" borderId="0" xfId="0" applyFont="1" applyFill="1" applyAlignment="1">
      <alignment horizontal="left" indent="2"/>
    </xf>
    <xf numFmtId="37" fontId="4" fillId="5" borderId="39" xfId="0" applyNumberFormat="1" applyFont="1" applyFill="1" applyBorder="1" applyAlignment="1">
      <alignment horizontal="center"/>
    </xf>
    <xf numFmtId="37" fontId="29" fillId="5" borderId="0" xfId="0" applyNumberFormat="1" applyFont="1" applyFill="1" applyAlignment="1">
      <alignment vertical="center"/>
    </xf>
    <xf numFmtId="0" fontId="4" fillId="0" borderId="44" xfId="0" applyFont="1" applyBorder="1"/>
    <xf numFmtId="0" fontId="15" fillId="0" borderId="46" xfId="0" applyFont="1" applyBorder="1" applyAlignment="1">
      <alignment vertical="center"/>
    </xf>
    <xf numFmtId="198" fontId="0" fillId="0" borderId="0" xfId="0" applyNumberFormat="1"/>
    <xf numFmtId="171" fontId="12" fillId="5" borderId="45" xfId="0" applyNumberFormat="1" applyFont="1" applyFill="1" applyBorder="1" applyAlignment="1">
      <alignment horizontal="center" vertical="center"/>
    </xf>
    <xf numFmtId="9" fontId="12" fillId="0" borderId="39" xfId="1" applyFont="1" applyFill="1" applyBorder="1" applyAlignment="1">
      <alignment horizontal="center" vertical="center"/>
    </xf>
    <xf numFmtId="199" fontId="12" fillId="0" borderId="39" xfId="1" applyNumberFormat="1" applyFont="1" applyFill="1" applyBorder="1" applyAlignment="1">
      <alignment horizontal="center" vertical="center"/>
    </xf>
    <xf numFmtId="171" fontId="15" fillId="0" borderId="36" xfId="0" applyNumberFormat="1" applyFont="1" applyBorder="1" applyAlignment="1">
      <alignment horizontal="center" vertical="center"/>
    </xf>
    <xf numFmtId="193" fontId="6" fillId="5" borderId="39" xfId="0" applyNumberFormat="1" applyFont="1" applyFill="1" applyBorder="1" applyAlignment="1">
      <alignment horizontal="center"/>
    </xf>
    <xf numFmtId="167" fontId="10" fillId="0" borderId="0" xfId="1" applyNumberFormat="1" applyFont="1" applyBorder="1" applyAlignment="1">
      <alignment horizontal="right" vertical="center"/>
    </xf>
    <xf numFmtId="41" fontId="47" fillId="0" borderId="0" xfId="0" applyNumberFormat="1" applyFont="1" applyAlignment="1">
      <alignment vertical="center"/>
    </xf>
    <xf numFmtId="41" fontId="10" fillId="0" borderId="0" xfId="0" applyNumberFormat="1" applyFont="1" applyAlignment="1">
      <alignment vertical="center"/>
    </xf>
    <xf numFmtId="193" fontId="47" fillId="0" borderId="0" xfId="0" applyNumberFormat="1" applyFont="1" applyAlignment="1">
      <alignment vertical="center"/>
    </xf>
    <xf numFmtId="193" fontId="10" fillId="0" borderId="0" xfId="0" applyNumberFormat="1" applyFont="1" applyAlignment="1">
      <alignment vertical="center"/>
    </xf>
    <xf numFmtId="166" fontId="10" fillId="0" borderId="6" xfId="1" applyNumberFormat="1" applyFont="1" applyBorder="1" applyAlignment="1">
      <alignment horizontal="right"/>
    </xf>
    <xf numFmtId="167" fontId="10" fillId="0" borderId="6" xfId="1" applyNumberFormat="1" applyFont="1" applyBorder="1" applyAlignment="1">
      <alignment horizontal="right" vertical="center"/>
    </xf>
    <xf numFmtId="167" fontId="10" fillId="0" borderId="28" xfId="1" applyNumberFormat="1" applyFont="1" applyBorder="1" applyAlignment="1">
      <alignment horizontal="right" vertical="center"/>
    </xf>
    <xf numFmtId="41" fontId="10" fillId="0" borderId="28" xfId="0" applyNumberFormat="1" applyFont="1" applyBorder="1" applyAlignment="1">
      <alignment vertical="center"/>
    </xf>
    <xf numFmtId="193" fontId="10" fillId="0" borderId="28" xfId="0" applyNumberFormat="1" applyFont="1" applyBorder="1" applyAlignment="1">
      <alignment vertical="center"/>
    </xf>
    <xf numFmtId="167" fontId="10" fillId="0" borderId="29" xfId="1" applyNumberFormat="1" applyFont="1" applyBorder="1" applyAlignment="1">
      <alignment horizontal="right" vertical="center"/>
    </xf>
    <xf numFmtId="0" fontId="41" fillId="0" borderId="0" xfId="0" applyFont="1" applyAlignment="1">
      <alignment horizontal="center"/>
    </xf>
    <xf numFmtId="0" fontId="41" fillId="0" borderId="10" xfId="0" applyFont="1" applyBorder="1" applyAlignment="1">
      <alignment horizontal="center"/>
    </xf>
    <xf numFmtId="0" fontId="15" fillId="0" borderId="0" xfId="0" applyFont="1" applyAlignment="1">
      <alignment horizontal="left" vertical="center"/>
    </xf>
    <xf numFmtId="175" fontId="41" fillId="6" borderId="33" xfId="0" applyNumberFormat="1" applyFont="1" applyFill="1" applyBorder="1" applyAlignment="1">
      <alignment vertical="center"/>
    </xf>
    <xf numFmtId="175" fontId="41" fillId="6" borderId="34" xfId="0" applyNumberFormat="1" applyFont="1" applyFill="1" applyBorder="1" applyAlignment="1">
      <alignment vertical="center"/>
    </xf>
    <xf numFmtId="175" fontId="4" fillId="5" borderId="0" xfId="0" applyNumberFormat="1" applyFont="1" applyFill="1"/>
    <xf numFmtId="175" fontId="4" fillId="5" borderId="39" xfId="0" applyNumberFormat="1" applyFont="1" applyFill="1" applyBorder="1" applyAlignment="1">
      <alignment horizontal="center"/>
    </xf>
    <xf numFmtId="166" fontId="4" fillId="5" borderId="39" xfId="1" applyNumberFormat="1" applyFont="1" applyFill="1" applyBorder="1" applyAlignment="1">
      <alignment horizontal="center"/>
    </xf>
    <xf numFmtId="166" fontId="30" fillId="6" borderId="0" xfId="0" applyNumberFormat="1" applyFont="1" applyFill="1"/>
    <xf numFmtId="192" fontId="30" fillId="6" borderId="2" xfId="0" applyNumberFormat="1" applyFont="1" applyFill="1" applyBorder="1"/>
    <xf numFmtId="9" fontId="30" fillId="6" borderId="2" xfId="1" applyFont="1" applyFill="1" applyBorder="1"/>
    <xf numFmtId="9" fontId="30" fillId="6" borderId="0" xfId="1" applyFont="1" applyFill="1"/>
    <xf numFmtId="166" fontId="42" fillId="0" borderId="0" xfId="0" applyNumberFormat="1" applyFont="1" applyAlignment="1">
      <alignment horizontal="center" vertical="center"/>
    </xf>
    <xf numFmtId="166" fontId="4" fillId="0" borderId="0" xfId="1" applyNumberFormat="1" applyFont="1" applyFill="1" applyAlignment="1">
      <alignment vertical="center"/>
    </xf>
    <xf numFmtId="166" fontId="30" fillId="6" borderId="0" xfId="1" applyNumberFormat="1" applyFont="1" applyFill="1"/>
    <xf numFmtId="0" fontId="39" fillId="2" borderId="0" xfId="0" applyFont="1" applyFill="1" applyAlignment="1">
      <alignment horizontal="left" vertical="center"/>
    </xf>
    <xf numFmtId="7" fontId="27" fillId="0" borderId="0" xfId="0" applyNumberFormat="1" applyFont="1"/>
    <xf numFmtId="37" fontId="6" fillId="0" borderId="0" xfId="0" applyNumberFormat="1" applyFont="1" applyAlignment="1">
      <alignment vertical="center"/>
    </xf>
    <xf numFmtId="173" fontId="4" fillId="0" borderId="1" xfId="0" applyNumberFormat="1" applyFont="1" applyBorder="1"/>
    <xf numFmtId="37" fontId="4" fillId="0" borderId="1" xfId="0" applyNumberFormat="1" applyFont="1" applyBorder="1"/>
    <xf numFmtId="175" fontId="4" fillId="0" borderId="1" xfId="0" applyNumberFormat="1" applyFont="1" applyBorder="1"/>
    <xf numFmtId="0" fontId="4" fillId="0" borderId="47" xfId="0" applyFont="1" applyBorder="1"/>
    <xf numFmtId="173" fontId="4" fillId="0" borderId="48" xfId="0" applyNumberFormat="1" applyFont="1" applyBorder="1"/>
    <xf numFmtId="0" fontId="15" fillId="0" borderId="49" xfId="0" applyFont="1" applyBorder="1"/>
    <xf numFmtId="173" fontId="15" fillId="0" borderId="50" xfId="0" applyNumberFormat="1" applyFont="1" applyBorder="1"/>
    <xf numFmtId="0" fontId="3" fillId="2" borderId="0" xfId="0" applyFont="1" applyFill="1" applyAlignment="1">
      <alignment horizontal="left" vertical="center"/>
    </xf>
    <xf numFmtId="173" fontId="6" fillId="0" borderId="0" xfId="0" applyNumberFormat="1" applyFont="1"/>
    <xf numFmtId="0" fontId="2" fillId="2" borderId="0" xfId="0" applyFont="1" applyFill="1" applyAlignment="1">
      <alignment horizontal="center" vertical="center"/>
    </xf>
    <xf numFmtId="2" fontId="6" fillId="0" borderId="0" xfId="0" applyNumberFormat="1" applyFont="1"/>
    <xf numFmtId="0" fontId="15" fillId="6" borderId="17" xfId="0" applyFont="1" applyFill="1" applyBorder="1" applyAlignment="1">
      <alignment horizontal="left"/>
    </xf>
    <xf numFmtId="3" fontId="15" fillId="6" borderId="17" xfId="0" applyNumberFormat="1" applyFont="1" applyFill="1" applyBorder="1"/>
    <xf numFmtId="7" fontId="4" fillId="0" borderId="0" xfId="0" applyNumberFormat="1" applyFont="1" applyAlignment="1">
      <alignment vertical="center"/>
    </xf>
    <xf numFmtId="0" fontId="0" fillId="0" borderId="1" xfId="0" applyBorder="1"/>
    <xf numFmtId="0" fontId="51" fillId="2" borderId="0" xfId="0" applyFont="1" applyFill="1" applyAlignment="1">
      <alignment horizontal="center" vertical="center"/>
    </xf>
    <xf numFmtId="0" fontId="0" fillId="0" borderId="3" xfId="0" applyBorder="1"/>
    <xf numFmtId="167" fontId="4" fillId="6" borderId="41" xfId="1" applyNumberFormat="1" applyFont="1" applyFill="1" applyBorder="1" applyAlignment="1">
      <alignment horizontal="right" vertical="center"/>
    </xf>
    <xf numFmtId="7" fontId="11" fillId="5" borderId="31" xfId="0" applyNumberFormat="1" applyFont="1" applyFill="1" applyBorder="1" applyAlignment="1">
      <alignment horizontal="center" vertical="center"/>
    </xf>
    <xf numFmtId="167" fontId="4" fillId="6" borderId="51" xfId="1" applyNumberFormat="1" applyFont="1" applyFill="1" applyBorder="1" applyAlignment="1">
      <alignment horizontal="right" vertical="center"/>
    </xf>
    <xf numFmtId="167" fontId="4" fillId="6" borderId="42" xfId="1" applyNumberFormat="1" applyFont="1" applyFill="1" applyBorder="1" applyAlignment="1">
      <alignment horizontal="right" vertical="center"/>
    </xf>
    <xf numFmtId="167" fontId="11" fillId="5" borderId="31" xfId="1" applyNumberFormat="1" applyFont="1" applyFill="1" applyBorder="1" applyAlignment="1">
      <alignment horizontal="center" vertical="center"/>
    </xf>
    <xf numFmtId="0" fontId="51" fillId="2" borderId="0" xfId="0" applyFont="1" applyFill="1" applyAlignment="1">
      <alignment horizontal="centerContinuous" vertical="center"/>
    </xf>
    <xf numFmtId="193" fontId="11" fillId="0" borderId="0" xfId="0" applyNumberFormat="1" applyFont="1" applyAlignment="1">
      <alignment horizontal="right" vertical="center"/>
    </xf>
    <xf numFmtId="167" fontId="4" fillId="0" borderId="0" xfId="1" applyNumberFormat="1" applyFont="1" applyFill="1" applyBorder="1" applyAlignment="1">
      <alignment horizontal="right" vertical="center"/>
    </xf>
    <xf numFmtId="0" fontId="4" fillId="5" borderId="0" xfId="0" applyFont="1" applyFill="1" applyAlignment="1">
      <alignment vertical="center"/>
    </xf>
    <xf numFmtId="0" fontId="15" fillId="5" borderId="0" xfId="0" applyFont="1" applyFill="1" applyAlignment="1">
      <alignment vertical="center"/>
    </xf>
    <xf numFmtId="41" fontId="6" fillId="5" borderId="0" xfId="0" applyNumberFormat="1" applyFont="1" applyFill="1" applyAlignment="1">
      <alignment horizontal="center" vertical="center"/>
    </xf>
    <xf numFmtId="7" fontId="4" fillId="5" borderId="0" xfId="0" applyNumberFormat="1" applyFont="1" applyFill="1" applyAlignment="1">
      <alignment vertical="center"/>
    </xf>
    <xf numFmtId="193" fontId="6" fillId="5" borderId="0" xfId="0" applyNumberFormat="1" applyFont="1" applyFill="1" applyAlignment="1">
      <alignment horizontal="right" vertical="center"/>
    </xf>
    <xf numFmtId="194" fontId="6" fillId="5" borderId="0" xfId="0" applyNumberFormat="1" applyFont="1" applyFill="1" applyAlignment="1">
      <alignment horizontal="right" vertical="center"/>
    </xf>
    <xf numFmtId="5" fontId="6" fillId="5" borderId="0" xfId="0" applyNumberFormat="1" applyFont="1" applyFill="1" applyAlignment="1">
      <alignment horizontal="right" vertical="center"/>
    </xf>
    <xf numFmtId="193" fontId="8" fillId="5" borderId="0" xfId="0" applyNumberFormat="1" applyFont="1" applyFill="1" applyAlignment="1">
      <alignment horizontal="right" vertical="center"/>
    </xf>
    <xf numFmtId="167" fontId="15" fillId="5" borderId="0" xfId="1" applyNumberFormat="1" applyFont="1" applyFill="1" applyBorder="1" applyAlignment="1">
      <alignment horizontal="right" vertical="center"/>
    </xf>
    <xf numFmtId="194" fontId="8" fillId="5" borderId="0" xfId="0" applyNumberFormat="1" applyFont="1" applyFill="1" applyAlignment="1">
      <alignment horizontal="right" vertical="center"/>
    </xf>
    <xf numFmtId="194" fontId="11" fillId="0" borderId="0" xfId="0" applyNumberFormat="1" applyFont="1" applyAlignment="1">
      <alignment horizontal="right" vertical="center"/>
    </xf>
    <xf numFmtId="7" fontId="11" fillId="0" borderId="0" xfId="0" applyNumberFormat="1" applyFont="1" applyAlignment="1">
      <alignment horizontal="right" vertical="center"/>
    </xf>
    <xf numFmtId="7" fontId="6" fillId="5" borderId="0" xfId="0" applyNumberFormat="1" applyFont="1" applyFill="1" applyAlignment="1">
      <alignment horizontal="right" vertical="center"/>
    </xf>
    <xf numFmtId="0" fontId="15" fillId="14" borderId="0" xfId="0" applyFont="1" applyFill="1"/>
    <xf numFmtId="0" fontId="51" fillId="2" borderId="0" xfId="0" applyFont="1" applyFill="1" applyAlignment="1">
      <alignment horizontal="left" vertical="center"/>
    </xf>
    <xf numFmtId="166" fontId="6" fillId="0" borderId="0" xfId="0" applyNumberFormat="1" applyFont="1"/>
    <xf numFmtId="166" fontId="12" fillId="0" borderId="0" xfId="0" applyNumberFormat="1" applyFont="1" applyAlignment="1">
      <alignment vertical="center"/>
    </xf>
    <xf numFmtId="166" fontId="12" fillId="0" borderId="0" xfId="0" applyNumberFormat="1" applyFont="1"/>
    <xf numFmtId="0" fontId="5" fillId="2" borderId="0" xfId="0" applyFont="1" applyFill="1" applyAlignment="1">
      <alignment horizontal="centerContinuous" vertical="center"/>
    </xf>
    <xf numFmtId="194" fontId="8" fillId="5" borderId="33" xfId="0" applyNumberFormat="1" applyFont="1" applyFill="1" applyBorder="1" applyAlignment="1">
      <alignment horizontal="center" vertical="center"/>
    </xf>
    <xf numFmtId="7" fontId="8" fillId="5" borderId="33" xfId="0" applyNumberFormat="1" applyFont="1" applyFill="1" applyBorder="1" applyAlignment="1">
      <alignment horizontal="right" vertical="center"/>
    </xf>
    <xf numFmtId="39" fontId="8" fillId="5" borderId="33" xfId="0" applyNumberFormat="1" applyFont="1" applyFill="1" applyBorder="1" applyAlignment="1">
      <alignment horizontal="right" vertical="center"/>
    </xf>
    <xf numFmtId="39" fontId="6" fillId="0" borderId="0" xfId="0" applyNumberFormat="1" applyFont="1" applyAlignment="1">
      <alignment horizontal="right" vertical="center"/>
    </xf>
    <xf numFmtId="200" fontId="8" fillId="5" borderId="33" xfId="0" applyNumberFormat="1" applyFont="1" applyFill="1" applyBorder="1" applyAlignment="1">
      <alignment horizontal="right" vertical="center"/>
    </xf>
    <xf numFmtId="5" fontId="8" fillId="5" borderId="0" xfId="0" applyNumberFormat="1" applyFont="1" applyFill="1" applyAlignment="1">
      <alignment horizontal="right" vertical="center"/>
    </xf>
    <xf numFmtId="2" fontId="6" fillId="5" borderId="0" xfId="0" applyNumberFormat="1" applyFont="1" applyFill="1" applyAlignment="1">
      <alignment horizontal="right" vertical="center"/>
    </xf>
    <xf numFmtId="2" fontId="8" fillId="5" borderId="0" xfId="0" applyNumberFormat="1" applyFont="1" applyFill="1" applyAlignment="1">
      <alignment horizontal="right" vertical="center"/>
    </xf>
    <xf numFmtId="5" fontId="11" fillId="0" borderId="0" xfId="0" applyNumberFormat="1" applyFont="1" applyAlignment="1">
      <alignment horizontal="right" vertical="center"/>
    </xf>
    <xf numFmtId="194" fontId="8" fillId="0" borderId="0" xfId="0" applyNumberFormat="1" applyFont="1" applyAlignment="1">
      <alignment horizontal="center" vertical="center"/>
    </xf>
    <xf numFmtId="7" fontId="8" fillId="0" borderId="0" xfId="0" applyNumberFormat="1" applyFont="1" applyAlignment="1">
      <alignment horizontal="right" vertical="center"/>
    </xf>
    <xf numFmtId="39" fontId="8" fillId="0" borderId="0" xfId="0" applyNumberFormat="1" applyFont="1" applyAlignment="1">
      <alignment horizontal="right" vertical="center"/>
    </xf>
    <xf numFmtId="200" fontId="8" fillId="0" borderId="0" xfId="0" applyNumberFormat="1" applyFont="1" applyAlignment="1">
      <alignment horizontal="right" vertical="center"/>
    </xf>
    <xf numFmtId="200" fontId="53" fillId="5" borderId="33" xfId="0" applyNumberFormat="1" applyFont="1" applyFill="1" applyBorder="1" applyAlignment="1">
      <alignment horizontal="right" vertical="center"/>
    </xf>
    <xf numFmtId="0" fontId="51" fillId="2" borderId="0" xfId="0" applyFont="1" applyFill="1" applyAlignment="1">
      <alignment horizontal="center"/>
    </xf>
    <xf numFmtId="0" fontId="55" fillId="0" borderId="0" xfId="0" applyFont="1"/>
    <xf numFmtId="0" fontId="55" fillId="0" borderId="53" xfId="0" applyFont="1" applyBorder="1"/>
    <xf numFmtId="0" fontId="55" fillId="0" borderId="52" xfId="0" applyFont="1" applyBorder="1"/>
    <xf numFmtId="0" fontId="57" fillId="16" borderId="0" xfId="14" applyFont="1" applyFill="1" applyAlignment="1" applyProtection="1">
      <alignment horizontal="left" vertical="center"/>
      <protection locked="0"/>
    </xf>
    <xf numFmtId="0" fontId="55" fillId="16" borderId="0" xfId="0" applyFont="1" applyFill="1"/>
    <xf numFmtId="171" fontId="58" fillId="0" borderId="0" xfId="0" applyNumberFormat="1" applyFont="1" applyAlignment="1">
      <alignment horizontal="left" vertical="center"/>
    </xf>
    <xf numFmtId="0" fontId="59" fillId="0" borderId="8" xfId="0" applyFont="1" applyBorder="1" applyAlignment="1" applyProtection="1">
      <alignment horizontal="left"/>
      <protection locked="0"/>
    </xf>
    <xf numFmtId="201" fontId="55" fillId="0" borderId="0" xfId="0" applyNumberFormat="1" applyFont="1" applyAlignment="1">
      <alignment horizontal="right"/>
    </xf>
    <xf numFmtId="0" fontId="55" fillId="0" borderId="0" xfId="0" applyFont="1" applyAlignment="1">
      <alignment horizontal="right"/>
    </xf>
    <xf numFmtId="0" fontId="59" fillId="0" borderId="0" xfId="0" applyFont="1" applyAlignment="1" applyProtection="1">
      <alignment horizontal="left"/>
      <protection locked="0"/>
    </xf>
    <xf numFmtId="171" fontId="58" fillId="0" borderId="0" xfId="0" applyNumberFormat="1" applyFont="1" applyAlignment="1">
      <alignment horizontal="right" vertical="center"/>
    </xf>
    <xf numFmtId="0" fontId="55" fillId="0" borderId="54" xfId="0" applyFont="1" applyBorder="1"/>
    <xf numFmtId="0" fontId="55" fillId="0" borderId="55" xfId="0" applyFont="1" applyBorder="1"/>
    <xf numFmtId="0" fontId="55" fillId="0" borderId="56" xfId="0" applyFont="1" applyBorder="1"/>
    <xf numFmtId="0" fontId="55" fillId="17" borderId="0" xfId="0" applyFont="1" applyFill="1"/>
    <xf numFmtId="0" fontId="56" fillId="17" borderId="0" xfId="0" applyFont="1" applyFill="1"/>
    <xf numFmtId="0" fontId="55" fillId="0" borderId="0" xfId="0" applyFont="1" applyAlignment="1">
      <alignment horizontal="left" indent="1"/>
    </xf>
    <xf numFmtId="0" fontId="55" fillId="0" borderId="0" xfId="0" applyFont="1" applyAlignment="1">
      <alignment vertical="center"/>
    </xf>
    <xf numFmtId="189" fontId="61" fillId="0" borderId="6" xfId="0" applyNumberFormat="1" applyFont="1" applyBorder="1" applyAlignment="1">
      <alignment vertical="center"/>
    </xf>
    <xf numFmtId="0" fontId="64" fillId="0" borderId="0" xfId="0" applyFont="1" applyAlignment="1">
      <alignment horizontal="left" vertical="center" indent="1"/>
    </xf>
    <xf numFmtId="190" fontId="61" fillId="0" borderId="6" xfId="0" applyNumberFormat="1" applyFont="1" applyBorder="1" applyAlignment="1">
      <alignment vertical="center"/>
    </xf>
    <xf numFmtId="7" fontId="63" fillId="0" borderId="0" xfId="0" applyNumberFormat="1" applyFont="1" applyAlignment="1">
      <alignment horizontal="right" vertical="center"/>
    </xf>
    <xf numFmtId="193" fontId="63" fillId="0" borderId="0" xfId="0" applyNumberFormat="1" applyFont="1" applyAlignment="1">
      <alignment horizontal="right" vertical="center"/>
    </xf>
    <xf numFmtId="0" fontId="61" fillId="0" borderId="0" xfId="0" applyFont="1" applyAlignment="1">
      <alignment vertical="center"/>
    </xf>
    <xf numFmtId="41" fontId="63" fillId="0" borderId="0" xfId="0" applyNumberFormat="1" applyFont="1" applyAlignment="1">
      <alignment horizontal="right" vertical="center"/>
    </xf>
    <xf numFmtId="167" fontId="64" fillId="0" borderId="0" xfId="1" applyNumberFormat="1" applyFont="1" applyBorder="1" applyAlignment="1">
      <alignment horizontal="right" vertical="center" wrapText="1"/>
    </xf>
    <xf numFmtId="0" fontId="59" fillId="6" borderId="8" xfId="0" applyFont="1" applyFill="1" applyBorder="1" applyAlignment="1" applyProtection="1">
      <alignment horizontal="left"/>
      <protection locked="0"/>
    </xf>
    <xf numFmtId="190" fontId="61" fillId="6" borderId="6" xfId="0" applyNumberFormat="1" applyFont="1" applyFill="1" applyBorder="1" applyAlignment="1">
      <alignment vertical="center"/>
    </xf>
    <xf numFmtId="189" fontId="61" fillId="6" borderId="6" xfId="0" applyNumberFormat="1" applyFont="1" applyFill="1" applyBorder="1" applyAlignment="1">
      <alignment vertical="center"/>
    </xf>
    <xf numFmtId="0" fontId="15" fillId="0" borderId="0" xfId="0" applyFont="1" applyAlignment="1">
      <alignment horizontal="left"/>
    </xf>
    <xf numFmtId="7" fontId="15" fillId="0" borderId="0" xfId="0" applyNumberFormat="1" applyFont="1"/>
    <xf numFmtId="194" fontId="8" fillId="14" borderId="2" xfId="0" applyNumberFormat="1" applyFont="1" applyFill="1" applyBorder="1" applyAlignment="1">
      <alignment horizontal="right" vertical="center"/>
    </xf>
    <xf numFmtId="194" fontId="63" fillId="0" borderId="0" xfId="0" applyNumberFormat="1" applyFont="1" applyAlignment="1">
      <alignment horizontal="right" vertical="center"/>
    </xf>
    <xf numFmtId="9" fontId="55" fillId="0" borderId="0" xfId="1" applyFont="1"/>
    <xf numFmtId="9" fontId="55" fillId="17" borderId="0" xfId="1" applyFont="1" applyFill="1" applyBorder="1"/>
    <xf numFmtId="9" fontId="56" fillId="17" borderId="0" xfId="1" applyFont="1" applyFill="1" applyBorder="1"/>
    <xf numFmtId="9" fontId="55" fillId="0" borderId="55" xfId="1" applyFont="1" applyBorder="1"/>
    <xf numFmtId="184" fontId="11" fillId="0" borderId="0" xfId="0" applyNumberFormat="1" applyFont="1"/>
    <xf numFmtId="39" fontId="6" fillId="0" borderId="0" xfId="0" applyNumberFormat="1" applyFont="1"/>
    <xf numFmtId="167" fontId="4" fillId="0" borderId="0" xfId="1" applyNumberFormat="1" applyFont="1" applyFill="1" applyAlignment="1">
      <alignment vertical="center"/>
    </xf>
    <xf numFmtId="167" fontId="12" fillId="7" borderId="0" xfId="0" applyNumberFormat="1" applyFont="1" applyFill="1" applyAlignment="1">
      <alignment vertical="center"/>
    </xf>
    <xf numFmtId="181" fontId="29" fillId="0" borderId="0" xfId="0" applyNumberFormat="1" applyFont="1"/>
    <xf numFmtId="173" fontId="12" fillId="0" borderId="0" xfId="0" applyNumberFormat="1" applyFont="1"/>
    <xf numFmtId="10" fontId="29" fillId="0" borderId="0" xfId="0" applyNumberFormat="1" applyFont="1"/>
    <xf numFmtId="10" fontId="12" fillId="0" borderId="0" xfId="0" applyNumberFormat="1" applyFont="1"/>
    <xf numFmtId="176" fontId="4" fillId="0" borderId="10" xfId="0" applyNumberFormat="1" applyFont="1" applyBorder="1"/>
    <xf numFmtId="176" fontId="4" fillId="0" borderId="12" xfId="0" applyNumberFormat="1" applyFont="1" applyBorder="1"/>
    <xf numFmtId="176" fontId="4" fillId="0" borderId="11" xfId="0" applyNumberFormat="1" applyFont="1" applyBorder="1"/>
    <xf numFmtId="176" fontId="4" fillId="0" borderId="13" xfId="0" applyNumberFormat="1" applyFont="1" applyBorder="1"/>
    <xf numFmtId="176" fontId="4" fillId="0" borderId="17" xfId="0" applyNumberFormat="1" applyFont="1" applyBorder="1"/>
    <xf numFmtId="176" fontId="4" fillId="0" borderId="18" xfId="0" applyNumberFormat="1" applyFont="1" applyBorder="1"/>
    <xf numFmtId="175" fontId="39" fillId="0" borderId="0" xfId="0" applyNumberFormat="1" applyFont="1"/>
    <xf numFmtId="176" fontId="4" fillId="8" borderId="16" xfId="0" applyNumberFormat="1" applyFont="1" applyFill="1" applyBorder="1"/>
    <xf numFmtId="176" fontId="4" fillId="8" borderId="0" xfId="0" applyNumberFormat="1" applyFont="1" applyFill="1"/>
    <xf numFmtId="176" fontId="4" fillId="8" borderId="15" xfId="0" applyNumberFormat="1" applyFont="1" applyFill="1" applyBorder="1"/>
    <xf numFmtId="0" fontId="15" fillId="8" borderId="0" xfId="0" applyFont="1" applyFill="1" applyAlignment="1">
      <alignment horizontal="right"/>
    </xf>
    <xf numFmtId="0" fontId="15" fillId="8" borderId="0" xfId="0" applyFont="1" applyFill="1" applyAlignment="1">
      <alignment horizontal="centerContinuous"/>
    </xf>
    <xf numFmtId="0" fontId="15" fillId="8" borderId="0" xfId="0" applyFont="1" applyFill="1" applyAlignment="1">
      <alignment horizontal="centerContinuous" vertical="center"/>
    </xf>
    <xf numFmtId="173" fontId="15" fillId="0" borderId="0" xfId="0" applyNumberFormat="1" applyFont="1"/>
    <xf numFmtId="167" fontId="11" fillId="0" borderId="0" xfId="1" applyNumberFormat="1" applyFont="1" applyFill="1" applyAlignment="1">
      <alignment vertical="center"/>
    </xf>
    <xf numFmtId="173" fontId="41" fillId="0" borderId="0" xfId="0" applyNumberFormat="1" applyFont="1"/>
    <xf numFmtId="166" fontId="29" fillId="0" borderId="0" xfId="0" applyNumberFormat="1" applyFont="1"/>
    <xf numFmtId="171" fontId="55" fillId="0" borderId="57" xfId="0" applyNumberFormat="1" applyFont="1" applyBorder="1" applyAlignment="1">
      <alignment horizontal="right"/>
    </xf>
    <xf numFmtId="0" fontId="60" fillId="0" borderId="8" xfId="0" applyFont="1" applyBorder="1" applyAlignment="1" applyProtection="1">
      <alignment horizontal="center" vertical="center"/>
      <protection locked="0"/>
    </xf>
    <xf numFmtId="0" fontId="60" fillId="0" borderId="0" xfId="0" applyFont="1" applyAlignment="1" applyProtection="1">
      <alignment horizontal="center" vertical="center"/>
      <protection locked="0"/>
    </xf>
    <xf numFmtId="0" fontId="60" fillId="0" borderId="6" xfId="0" applyFont="1" applyBorder="1" applyAlignment="1" applyProtection="1">
      <alignment horizontal="center" vertical="center"/>
      <protection locked="0"/>
    </xf>
    <xf numFmtId="0" fontId="60" fillId="0" borderId="0" xfId="0" applyFont="1" applyAlignment="1" applyProtection="1">
      <alignment horizontal="left" vertical="center"/>
      <protection locked="0"/>
    </xf>
    <xf numFmtId="0" fontId="60" fillId="0" borderId="6" xfId="0" applyFont="1" applyBorder="1" applyAlignment="1" applyProtection="1">
      <alignment horizontal="left" vertical="center"/>
      <protection locked="0"/>
    </xf>
    <xf numFmtId="7" fontId="66" fillId="0" borderId="0" xfId="0" applyNumberFormat="1" applyFont="1"/>
    <xf numFmtId="7" fontId="55" fillId="0" borderId="0" xfId="0" applyNumberFormat="1" applyFont="1" applyAlignment="1">
      <alignment vertical="center"/>
    </xf>
    <xf numFmtId="9" fontId="66" fillId="0" borderId="0" xfId="1" applyFont="1" applyAlignment="1">
      <alignment horizontal="center" vertical="center"/>
    </xf>
    <xf numFmtId="202" fontId="4" fillId="0" borderId="0" xfId="0" applyNumberFormat="1" applyFont="1"/>
    <xf numFmtId="7" fontId="63" fillId="0" borderId="0" xfId="0" applyNumberFormat="1" applyFont="1" applyAlignment="1">
      <alignment vertical="center"/>
    </xf>
    <xf numFmtId="171" fontId="61" fillId="0" borderId="0" xfId="0" applyNumberFormat="1" applyFont="1" applyAlignment="1">
      <alignment horizontal="left"/>
    </xf>
    <xf numFmtId="171" fontId="55" fillId="0" borderId="0" xfId="0" applyNumberFormat="1" applyFont="1" applyAlignment="1">
      <alignment horizontal="left"/>
    </xf>
    <xf numFmtId="171" fontId="67" fillId="0" borderId="58" xfId="0" applyNumberFormat="1" applyFont="1" applyBorder="1" applyAlignment="1">
      <alignment horizontal="left" vertical="center"/>
    </xf>
    <xf numFmtId="167" fontId="67" fillId="0" borderId="58" xfId="1" applyNumberFormat="1" applyFont="1" applyBorder="1" applyAlignment="1">
      <alignment horizontal="right" vertical="center"/>
    </xf>
    <xf numFmtId="7" fontId="65" fillId="0" borderId="0" xfId="0" applyNumberFormat="1" applyFont="1"/>
    <xf numFmtId="0" fontId="15" fillId="0" borderId="18" xfId="0" applyFont="1" applyBorder="1"/>
    <xf numFmtId="167" fontId="48" fillId="0" borderId="13" xfId="1" applyNumberFormat="1" applyFont="1" applyFill="1" applyBorder="1" applyAlignment="1">
      <alignment horizontal="right" vertical="center"/>
    </xf>
    <xf numFmtId="167" fontId="10" fillId="0" borderId="13" xfId="1" applyNumberFormat="1" applyFont="1" applyFill="1" applyBorder="1" applyAlignment="1">
      <alignment horizontal="right" vertical="center"/>
    </xf>
    <xf numFmtId="167" fontId="10" fillId="0" borderId="15" xfId="1" applyNumberFormat="1" applyFont="1" applyFill="1" applyBorder="1" applyAlignment="1">
      <alignment horizontal="right" vertical="center"/>
    </xf>
    <xf numFmtId="5" fontId="53" fillId="14" borderId="0" xfId="0" applyNumberFormat="1" applyFont="1" applyFill="1"/>
    <xf numFmtId="5" fontId="15" fillId="14" borderId="0" xfId="0" applyNumberFormat="1" applyFont="1" applyFill="1"/>
    <xf numFmtId="0" fontId="0" fillId="5" borderId="0" xfId="0" applyFill="1"/>
    <xf numFmtId="168" fontId="7" fillId="3" borderId="0" xfId="1" applyNumberFormat="1" applyFont="1" applyFill="1" applyBorder="1" applyAlignment="1">
      <alignment horizontal="right" vertical="center" wrapText="1"/>
    </xf>
    <xf numFmtId="171" fontId="58" fillId="0" borderId="0" xfId="0" quotePrefix="1" applyNumberFormat="1" applyFont="1" applyAlignment="1">
      <alignment horizontal="left" vertical="center"/>
    </xf>
    <xf numFmtId="5" fontId="15" fillId="6" borderId="17" xfId="0" applyNumberFormat="1" applyFont="1" applyFill="1" applyBorder="1"/>
    <xf numFmtId="171" fontId="63" fillId="0" borderId="0" xfId="0" applyNumberFormat="1" applyFont="1" applyAlignment="1">
      <alignment horizontal="right" vertical="center"/>
    </xf>
    <xf numFmtId="9" fontId="55" fillId="0" borderId="0" xfId="0" applyNumberFormat="1" applyFont="1"/>
    <xf numFmtId="0" fontId="2" fillId="2" borderId="0" xfId="0" applyFont="1" applyFill="1" applyAlignment="1">
      <alignment horizontal="center" vertical="center" wrapText="1"/>
    </xf>
    <xf numFmtId="0" fontId="5" fillId="12" borderId="0" xfId="0" applyFont="1" applyFill="1" applyAlignment="1">
      <alignment horizontal="center" vertical="center" wrapText="1"/>
    </xf>
    <xf numFmtId="0" fontId="5" fillId="9" borderId="0" xfId="0" applyFont="1" applyFill="1" applyAlignment="1">
      <alignment horizontal="center" vertical="center" wrapText="1"/>
    </xf>
  </cellXfs>
  <cellStyles count="16">
    <cellStyle name="%" xfId="3" xr:uid="{B2D0E839-0EB6-4A26-A036-4291FCE77A81}"/>
    <cellStyle name="******************************************" xfId="4" xr:uid="{7C8B12D3-B631-462E-992D-9CE2477EE747}"/>
    <cellStyle name="Comma" xfId="2" builtinId="3"/>
    <cellStyle name="Comma [0] 2" xfId="13" xr:uid="{BDE7212B-D1B3-496E-BCDA-953C3506620C}"/>
    <cellStyle name="Comma 2" xfId="9" xr:uid="{DB5BEC9A-0B5E-4A8A-8948-B23EED3B8D63}"/>
    <cellStyle name="Currency [0] 2" xfId="11" xr:uid="{BBBE41B8-518A-4376-890F-5FC8D27CFA47}"/>
    <cellStyle name="Currency 2" xfId="10" xr:uid="{E5471D50-9525-4504-9CEB-CEF0D46054B5}"/>
    <cellStyle name="Hyperlink" xfId="6" builtinId="8"/>
    <cellStyle name="Hyperlink 2" xfId="12" xr:uid="{B5070B12-4E72-4158-BE36-0E42A92EC131}"/>
    <cellStyle name="Hyperlink 2 2" xfId="15" xr:uid="{181D088A-619D-4E9B-98C1-749B071C4654}"/>
    <cellStyle name="Normal" xfId="0" builtinId="0"/>
    <cellStyle name="Normal 2" xfId="7" xr:uid="{6F008E06-22BA-4329-A7F8-95C63A5512E3}"/>
    <cellStyle name="Normal 2 2 2" xfId="14" xr:uid="{96F2B2BF-FC68-4634-B2C3-7C4B4F2F1D0F}"/>
    <cellStyle name="Normal_DCF_Model" xfId="5" xr:uid="{82C2EF57-1428-4F27-93CB-A7C5310C2F37}"/>
    <cellStyle name="Percent" xfId="1" builtinId="5"/>
    <cellStyle name="Percent 2" xfId="8" xr:uid="{E0A4DE01-79E4-4846-AF37-608F68CA4E90}"/>
  </cellStyles>
  <dxfs count="2">
    <dxf>
      <font>
        <b/>
        <i val="0"/>
      </font>
      <fill>
        <patternFill patternType="solid">
          <bgColor theme="2"/>
        </patternFill>
      </fill>
      <border>
        <left/>
        <right/>
        <top/>
        <bottom/>
      </border>
    </dxf>
    <dxf>
      <fill>
        <patternFill>
          <bgColor theme="8"/>
        </patternFill>
      </fill>
      <border>
        <left/>
        <right/>
        <top style="thin">
          <color rgb="FF9C0006"/>
        </top>
        <bottom style="thin">
          <color rgb="FF9C0006"/>
        </bottom>
        <vertical/>
        <horizontal/>
      </border>
    </dxf>
  </dxfs>
  <tableStyles count="0" defaultTableStyle="TableStyleMedium2" defaultPivotStyle="PivotStyleLight16"/>
  <colors>
    <mruColors>
      <color rgb="FF00B03C"/>
      <color rgb="FF0000CC"/>
      <color rgb="FF487B79"/>
      <color rgb="FF0E567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SupportingPropertyBag" Target="richData/rdsupportingpropertybag.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 Valuation'!$D$17:$D$21</c:f>
              <c:strCache>
                <c:ptCount val="5"/>
                <c:pt idx="0">
                  <c:v> Comparable Trading Analysis  </c:v>
                </c:pt>
                <c:pt idx="1">
                  <c:v> DCF Valuation Analysis: Perpetuity Method  </c:v>
                </c:pt>
                <c:pt idx="2">
                  <c:v> DCF Valuation Analysis: Multiple Method  </c:v>
                </c:pt>
                <c:pt idx="3">
                  <c:v> 52 Week Trading  </c:v>
                </c:pt>
                <c:pt idx="4">
                  <c:v> Street Consensus  </c:v>
                </c:pt>
              </c:strCache>
            </c:strRef>
          </c:cat>
          <c:val>
            <c:numRef>
              <c:f>'Summary Valuation'!$E$17:$E$21</c:f>
              <c:numCache>
                <c:formatCode>"$"#,##0.00_);\("$"#,##0.00\)</c:formatCode>
                <c:ptCount val="5"/>
                <c:pt idx="0">
                  <c:v>169.14013195569618</c:v>
                </c:pt>
                <c:pt idx="1">
                  <c:v>213.92265814436621</c:v>
                </c:pt>
                <c:pt idx="2">
                  <c:v>218.81903615797995</c:v>
                </c:pt>
                <c:pt idx="3">
                  <c:v>259.81</c:v>
                </c:pt>
                <c:pt idx="4">
                  <c:v>171</c:v>
                </c:pt>
              </c:numCache>
            </c:numRef>
          </c:val>
          <c:extLst>
            <c:ext xmlns:c16="http://schemas.microsoft.com/office/drawing/2014/chart" uri="{C3380CC4-5D6E-409C-BE32-E72D297353CC}">
              <c16:uniqueId val="{00000000-E366-44D8-9C7B-C30BD3D76C15}"/>
            </c:ext>
          </c:extLst>
        </c:ser>
        <c:ser>
          <c:idx val="1"/>
          <c:order val="1"/>
          <c:spPr>
            <a:solidFill>
              <a:schemeClr val="accent2">
                <a:lumMod val="50000"/>
              </a:schemeClr>
            </a:solidFill>
            <a:ln>
              <a:noFill/>
            </a:ln>
            <a:effectLst/>
          </c:spPr>
          <c:invertIfNegative val="0"/>
          <c:dPt>
            <c:idx val="0"/>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0C-E366-44D8-9C7B-C30BD3D76C15}"/>
              </c:ext>
            </c:extLst>
          </c:dPt>
          <c:dPt>
            <c:idx val="1"/>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B-E366-44D8-9C7B-C30BD3D76C15}"/>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A-E366-44D8-9C7B-C30BD3D76C15}"/>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9-E366-44D8-9C7B-C30BD3D76C15}"/>
              </c:ext>
            </c:extLst>
          </c:dPt>
          <c:dLbls>
            <c:delete val="1"/>
          </c:dLbls>
          <c:cat>
            <c:strRef>
              <c:f>'Summary Valuation'!$D$17:$D$21</c:f>
              <c:strCache>
                <c:ptCount val="5"/>
                <c:pt idx="0">
                  <c:v> Comparable Trading Analysis  </c:v>
                </c:pt>
                <c:pt idx="1">
                  <c:v> DCF Valuation Analysis: Perpetuity Method  </c:v>
                </c:pt>
                <c:pt idx="2">
                  <c:v> DCF Valuation Analysis: Multiple Method  </c:v>
                </c:pt>
                <c:pt idx="3">
                  <c:v> 52 Week Trading  </c:v>
                </c:pt>
                <c:pt idx="4">
                  <c:v> Street Consensus  </c:v>
                </c:pt>
              </c:strCache>
            </c:strRef>
          </c:cat>
          <c:val>
            <c:numRef>
              <c:f>'Summary Valuation'!$F$17:$F$21</c:f>
              <c:numCache>
                <c:formatCode>"$"#,##0.00_);\("$"#,##0.00\)</c:formatCode>
                <c:ptCount val="5"/>
                <c:pt idx="0">
                  <c:v>131.95588984815157</c:v>
                </c:pt>
                <c:pt idx="1">
                  <c:v>86.472101326490986</c:v>
                </c:pt>
                <c:pt idx="2">
                  <c:v>99.277407108504178</c:v>
                </c:pt>
                <c:pt idx="3">
                  <c:v>28.800000000000011</c:v>
                </c:pt>
                <c:pt idx="4">
                  <c:v>192.26</c:v>
                </c:pt>
              </c:numCache>
            </c:numRef>
          </c:val>
          <c:extLst>
            <c:ext xmlns:c16="http://schemas.microsoft.com/office/drawing/2014/chart" uri="{C3380CC4-5D6E-409C-BE32-E72D297353CC}">
              <c16:uniqueId val="{00000001-E366-44D8-9C7B-C30BD3D76C15}"/>
            </c:ext>
          </c:extLst>
        </c:ser>
        <c:ser>
          <c:idx val="2"/>
          <c:order val="2"/>
          <c:spPr>
            <a:solidFill>
              <a:schemeClr val="accent3"/>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8-E366-44D8-9C7B-C30BD3D76C15}"/>
              </c:ext>
            </c:extLst>
          </c:dPt>
          <c:dPt>
            <c:idx val="1"/>
            <c:invertIfNegative val="0"/>
            <c:bubble3D val="0"/>
            <c:spPr>
              <a:noFill/>
              <a:ln>
                <a:noFill/>
              </a:ln>
              <a:effectLst/>
            </c:spPr>
            <c:extLst>
              <c:ext xmlns:c16="http://schemas.microsoft.com/office/drawing/2014/chart" uri="{C3380CC4-5D6E-409C-BE32-E72D297353CC}">
                <c16:uniqueId val="{00000007-E366-44D8-9C7B-C30BD3D76C15}"/>
              </c:ext>
            </c:extLst>
          </c:dPt>
          <c:dPt>
            <c:idx val="2"/>
            <c:invertIfNegative val="0"/>
            <c:bubble3D val="0"/>
            <c:spPr>
              <a:noFill/>
              <a:ln>
                <a:noFill/>
              </a:ln>
              <a:effectLst/>
            </c:spPr>
            <c:extLst>
              <c:ext xmlns:c16="http://schemas.microsoft.com/office/drawing/2014/chart" uri="{C3380CC4-5D6E-409C-BE32-E72D297353CC}">
                <c16:uniqueId val="{00000006-E366-44D8-9C7B-C30BD3D76C15}"/>
              </c:ext>
            </c:extLst>
          </c:dPt>
          <c:dPt>
            <c:idx val="3"/>
            <c:invertIfNegative val="0"/>
            <c:bubble3D val="0"/>
            <c:spPr>
              <a:noFill/>
              <a:ln>
                <a:noFill/>
              </a:ln>
              <a:effectLst/>
            </c:spPr>
            <c:extLst>
              <c:ext xmlns:c16="http://schemas.microsoft.com/office/drawing/2014/chart" uri="{C3380CC4-5D6E-409C-BE32-E72D297353CC}">
                <c16:uniqueId val="{00000005-E366-44D8-9C7B-C30BD3D76C15}"/>
              </c:ext>
            </c:extLst>
          </c:dPt>
          <c:dPt>
            <c:idx val="4"/>
            <c:invertIfNegative val="0"/>
            <c:bubble3D val="0"/>
            <c:spPr>
              <a:noFill/>
              <a:ln>
                <a:noFill/>
              </a:ln>
              <a:effectLst/>
            </c:spPr>
            <c:extLst>
              <c:ext xmlns:c16="http://schemas.microsoft.com/office/drawing/2014/chart" uri="{C3380CC4-5D6E-409C-BE32-E72D297353CC}">
                <c16:uniqueId val="{00000004-E366-44D8-9C7B-C30BD3D76C15}"/>
              </c:ext>
            </c:extLst>
          </c:dPt>
          <c:dLbls>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 Valuation'!$D$17:$D$21</c:f>
              <c:strCache>
                <c:ptCount val="5"/>
                <c:pt idx="0">
                  <c:v> Comparable Trading Analysis  </c:v>
                </c:pt>
                <c:pt idx="1">
                  <c:v> DCF Valuation Analysis: Perpetuity Method  </c:v>
                </c:pt>
                <c:pt idx="2">
                  <c:v> DCF Valuation Analysis: Multiple Method  </c:v>
                </c:pt>
                <c:pt idx="3">
                  <c:v> 52 Week Trading  </c:v>
                </c:pt>
                <c:pt idx="4">
                  <c:v> Street Consensus  </c:v>
                </c:pt>
              </c:strCache>
            </c:strRef>
          </c:cat>
          <c:val>
            <c:numRef>
              <c:f>'Summary Valuation'!$G$17:$G$21</c:f>
              <c:numCache>
                <c:formatCode>"$"#,##0.00_);\("$"#,##0.00\)</c:formatCode>
                <c:ptCount val="5"/>
                <c:pt idx="0">
                  <c:v>301.09602180384775</c:v>
                </c:pt>
                <c:pt idx="1">
                  <c:v>300.3947594708572</c:v>
                </c:pt>
                <c:pt idx="2">
                  <c:v>318.09644326648413</c:v>
                </c:pt>
                <c:pt idx="3">
                  <c:v>288.61</c:v>
                </c:pt>
                <c:pt idx="4">
                  <c:v>363.26</c:v>
                </c:pt>
              </c:numCache>
            </c:numRef>
          </c:val>
          <c:extLst>
            <c:ext xmlns:c16="http://schemas.microsoft.com/office/drawing/2014/chart" uri="{C3380CC4-5D6E-409C-BE32-E72D297353CC}">
              <c16:uniqueId val="{00000002-E366-44D8-9C7B-C30BD3D76C15}"/>
            </c:ext>
          </c:extLst>
        </c:ser>
        <c:dLbls>
          <c:dLblPos val="ctr"/>
          <c:showLegendKey val="0"/>
          <c:showVal val="1"/>
          <c:showCatName val="0"/>
          <c:showSerName val="0"/>
          <c:showPercent val="0"/>
          <c:showBubbleSize val="0"/>
        </c:dLbls>
        <c:gapWidth val="150"/>
        <c:overlap val="100"/>
        <c:axId val="1815050832"/>
        <c:axId val="1815051312"/>
      </c:barChart>
      <c:catAx>
        <c:axId val="1815050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815051312"/>
        <c:crosses val="autoZero"/>
        <c:auto val="1"/>
        <c:lblAlgn val="ctr"/>
        <c:lblOffset val="100"/>
        <c:noMultiLvlLbl val="0"/>
      </c:catAx>
      <c:valAx>
        <c:axId val="1815051312"/>
        <c:scaling>
          <c:orientation val="minMax"/>
          <c:max val="400"/>
          <c:min val="150"/>
        </c:scaling>
        <c:delete val="0"/>
        <c:axPos val="b"/>
        <c:numFmt formatCode="&quot;$&quot;#,##0.00_);\(&quot;$&quot;#,##0.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815050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200" baseline="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76AB-4288-8C32-920590F2D502}"/>
              </c:ext>
            </c:extLst>
          </c:dPt>
          <c:dPt>
            <c:idx val="1"/>
            <c:bubble3D val="0"/>
            <c:spPr>
              <a:solidFill>
                <a:schemeClr val="accent2"/>
              </a:solidFill>
              <a:ln w="19050">
                <a:noFill/>
              </a:ln>
              <a:effectLst/>
            </c:spPr>
            <c:extLst>
              <c:ext xmlns:c16="http://schemas.microsoft.com/office/drawing/2014/chart" uri="{C3380CC4-5D6E-409C-BE32-E72D297353CC}">
                <c16:uniqueId val="{00000002-76AB-4288-8C32-920590F2D502}"/>
              </c:ext>
            </c:extLst>
          </c:dPt>
          <c:dPt>
            <c:idx val="2"/>
            <c:bubble3D val="0"/>
            <c:spPr>
              <a:solidFill>
                <a:schemeClr val="accent3"/>
              </a:solidFill>
              <a:ln w="19050">
                <a:noFill/>
              </a:ln>
              <a:effectLst/>
            </c:spPr>
            <c:extLst>
              <c:ext xmlns:c16="http://schemas.microsoft.com/office/drawing/2014/chart" uri="{C3380CC4-5D6E-409C-BE32-E72D297353CC}">
                <c16:uniqueId val="{00000003-76AB-4288-8C32-920590F2D502}"/>
              </c:ext>
            </c:extLst>
          </c:dPt>
          <c:dLbls>
            <c:dLbl>
              <c:idx val="0"/>
              <c:layout>
                <c:manualLayout>
                  <c:x val="-0.12698738136179086"/>
                  <c:y val="0.1216641561222197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6AB-4288-8C32-920590F2D502}"/>
                </c:ext>
              </c:extLst>
            </c:dLbl>
            <c:dLbl>
              <c:idx val="1"/>
              <c:layout>
                <c:manualLayout>
                  <c:x val="6.7358307476260415E-4"/>
                  <c:y val="-0.2235912993853892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6AB-4288-8C32-920590F2D502}"/>
                </c:ext>
              </c:extLst>
            </c:dLbl>
            <c:dLbl>
              <c:idx val="2"/>
              <c:layout>
                <c:manualLayout>
                  <c:x val="0.12398312238589981"/>
                  <c:y val="0.1393860044597010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6AB-4288-8C32-920590F2D502}"/>
                </c:ext>
              </c:extLst>
            </c:dLbl>
            <c:spPr>
              <a:noFill/>
              <a:ln>
                <a:noFill/>
              </a:ln>
              <a:effectLst/>
            </c:spPr>
            <c:txPr>
              <a:bodyPr rot="0" spcFirstLastPara="1" vertOverflow="overflow" horzOverflow="overflow" vert="horz" wrap="square" lIns="38100" tIns="19050" rIns="38100" bIns="19050" anchor="ctr" anchorCtr="0">
                <a:spAutoFit/>
              </a:bodyPr>
              <a:lstStyle/>
              <a:p>
                <a:pPr>
                  <a:defRPr sz="12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Valuation'!$C$27,'Summary Valuation'!$C$28,'Summary Valuation'!$C$33)</c:f>
              <c:strCache>
                <c:ptCount val="3"/>
                <c:pt idx="0">
                  <c:v>DCF: Perpetuity Method</c:v>
                </c:pt>
                <c:pt idx="1">
                  <c:v>DCF: Multiple Method</c:v>
                </c:pt>
                <c:pt idx="2">
                  <c:v> Comparable Trading Analysis    </c:v>
                </c:pt>
              </c:strCache>
            </c:strRef>
          </c:cat>
          <c:val>
            <c:numRef>
              <c:f>('Summary Valuation'!$L$27,'Summary Valuation'!$L$28,'Summary Valuation'!$L$33)</c:f>
              <c:numCache>
                <c:formatCode>"$"#,##0.00_);\("$"#,##0.00\)</c:formatCode>
                <c:ptCount val="3"/>
                <c:pt idx="0">
                  <c:v>265.80591894026077</c:v>
                </c:pt>
                <c:pt idx="1">
                  <c:v>278.38548042308247</c:v>
                </c:pt>
                <c:pt idx="2">
                  <c:v>232.88394118524266</c:v>
                </c:pt>
              </c:numCache>
            </c:numRef>
          </c:val>
          <c:extLst>
            <c:ext xmlns:c16="http://schemas.microsoft.com/office/drawing/2014/chart" uri="{C3380CC4-5D6E-409C-BE32-E72D297353CC}">
              <c16:uniqueId val="{00000000-76AB-4288-8C32-920590F2D502}"/>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50354</xdr:colOff>
      <xdr:row>1</xdr:row>
      <xdr:rowOff>853</xdr:rowOff>
    </xdr:from>
    <xdr:to>
      <xdr:col>3</xdr:col>
      <xdr:colOff>575810</xdr:colOff>
      <xdr:row>9</xdr:row>
      <xdr:rowOff>153866</xdr:rowOff>
    </xdr:to>
    <xdr:pic>
      <xdr:nvPicPr>
        <xdr:cNvPr id="3" name="Picture 2" descr="History of the Apple Logo designed by Rob Janoff – Logo Histories">
          <a:extLst>
            <a:ext uri="{FF2B5EF4-FFF2-40B4-BE49-F238E27FC236}">
              <a16:creationId xmlns:a16="http://schemas.microsoft.com/office/drawing/2014/main" id="{C1119429-D5AC-04CE-E445-1EFC07DE64A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4912" y="198680"/>
          <a:ext cx="1774050" cy="1735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50354</xdr:colOff>
      <xdr:row>1</xdr:row>
      <xdr:rowOff>853</xdr:rowOff>
    </xdr:from>
    <xdr:to>
      <xdr:col>3</xdr:col>
      <xdr:colOff>555697</xdr:colOff>
      <xdr:row>9</xdr:row>
      <xdr:rowOff>115766</xdr:rowOff>
    </xdr:to>
    <xdr:pic>
      <xdr:nvPicPr>
        <xdr:cNvPr id="2" name="Picture 1" descr="History of the Apple Logo designed by Rob Janoff – Logo Histories">
          <a:extLst>
            <a:ext uri="{FF2B5EF4-FFF2-40B4-BE49-F238E27FC236}">
              <a16:creationId xmlns:a16="http://schemas.microsoft.com/office/drawing/2014/main" id="{62119372-F3F6-4B6A-89B1-3DDDB4CC240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818" y="204960"/>
          <a:ext cx="1757200" cy="1747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50354</xdr:colOff>
      <xdr:row>1</xdr:row>
      <xdr:rowOff>853</xdr:rowOff>
    </xdr:from>
    <xdr:to>
      <xdr:col>2</xdr:col>
      <xdr:colOff>1826626</xdr:colOff>
      <xdr:row>9</xdr:row>
      <xdr:rowOff>20516</xdr:rowOff>
    </xdr:to>
    <xdr:pic>
      <xdr:nvPicPr>
        <xdr:cNvPr id="2" name="Picture 1" descr="History of the Apple Logo designed by Rob Janoff – Logo Histories">
          <a:extLst>
            <a:ext uri="{FF2B5EF4-FFF2-40B4-BE49-F238E27FC236}">
              <a16:creationId xmlns:a16="http://schemas.microsoft.com/office/drawing/2014/main" id="{EDFF78AA-541B-4339-9B01-1F619D9390F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4179" y="200878"/>
          <a:ext cx="1768189" cy="175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425823</xdr:colOff>
      <xdr:row>12</xdr:row>
      <xdr:rowOff>54428</xdr:rowOff>
    </xdr:from>
    <xdr:to>
      <xdr:col>28</xdr:col>
      <xdr:colOff>476250</xdr:colOff>
      <xdr:row>46</xdr:row>
      <xdr:rowOff>67235</xdr:rowOff>
    </xdr:to>
    <xdr:graphicFrame macro="">
      <xdr:nvGraphicFramePr>
        <xdr:cNvPr id="4" name="Chart 3">
          <a:extLst>
            <a:ext uri="{FF2B5EF4-FFF2-40B4-BE49-F238E27FC236}">
              <a16:creationId xmlns:a16="http://schemas.microsoft.com/office/drawing/2014/main" id="{27A9B765-3110-3B3F-3301-A721D7E69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40822</xdr:colOff>
      <xdr:row>34</xdr:row>
      <xdr:rowOff>117663</xdr:rowOff>
    </xdr:from>
    <xdr:to>
      <xdr:col>12</xdr:col>
      <xdr:colOff>93249</xdr:colOff>
      <xdr:row>47</xdr:row>
      <xdr:rowOff>54428</xdr:rowOff>
    </xdr:to>
    <xdr:graphicFrame macro="">
      <xdr:nvGraphicFramePr>
        <xdr:cNvPr id="5" name="Chart 4">
          <a:extLst>
            <a:ext uri="{FF2B5EF4-FFF2-40B4-BE49-F238E27FC236}">
              <a16:creationId xmlns:a16="http://schemas.microsoft.com/office/drawing/2014/main" id="{7E2A0FD6-E056-A9FC-9B9B-E6CD7684D2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2">
  <rv s="0">
    <v>https://www.bing.com/financeapi/forcetrigger?t=a1mou2&amp;q=XNAS%3aAAPL&amp;form=skydnc</v>
    <v>Learn more on Bing</v>
  </rv>
  <rv s="1">
    <v>en-US</v>
    <v>a1mou2</v>
    <v>268435456</v>
    <v>1</v>
    <v>Powered by Refinitiv</v>
    <v>0</v>
    <v>APPLE INC. (XNAS:AAPL)</v>
    <v>2</v>
    <v>3</v>
    <v>Finance</v>
    <v>4</v>
    <v>288.62</v>
    <v>183</v>
    <v>1.0946</v>
    <v>-1.155</v>
    <v>-4.4340000000000004E-3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Apple Vision Pro and others.</v>
    <v>166000</v>
    <v>Nasdaq Stock Market</v>
    <v>XNAS</v>
    <v>XNAS</v>
    <v>One Apple Park Way, CUPERTINO, CA, 95014 US</v>
    <v>262.19</v>
    <v>Computers, Phones &amp; Household Electronics</v>
    <v>Stock</v>
    <v>46122.739358853905</v>
    <v>0</v>
    <v>259.0231</v>
    <v>3807333441899</v>
    <v>APPLE INC.</v>
    <v>APPLE INC.</v>
    <v>260.08999999999997</v>
    <v>32.947699999999998</v>
    <v>260.49</v>
    <v>259.33499999999998</v>
    <v>14681140000</v>
    <v>AAPL</v>
    <v>APPLE INC. (XNAS:AAPL)</v>
    <v>13744636</v>
    <v>40472673</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555.45000000000005</v>
    <v>355.67</v>
    <v>1.0896999999999999</v>
    <v>-2.1749999999999998</v>
    <v>-5.8299999999999992E-3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375.64</v>
    <v>6</v>
    <v>Software &amp; IT Services</v>
    <v>Stock</v>
    <v>46122.739379976563</v>
    <v>7</v>
    <v>370.15</v>
    <v>2754128667955</v>
    <v>MICROSOFT CORPORATION</v>
    <v>MICROSOFT CORPORATION</v>
    <v>373.07</v>
    <v>23.206499999999998</v>
    <v>373.07</v>
    <v>370.89499999999998</v>
    <v>7425629000</v>
    <v>MSFT</v>
    <v>MICROSOFT CORPORATION (XNAS:MSFT)</v>
    <v>16313079</v>
    <v>31616493</v>
    <v>1993</v>
  </rv>
  <rv s="2">
    <v>8</v>
  </rv>
  <rv s="0">
    <v>https://www.bing.com/financeapi/forcetrigger?t=a1nhlh&amp;q=XNAS%3aAMZN&amp;form=skydnc</v>
    <v>Learn more on Bing</v>
  </rv>
  <rv s="1">
    <v>en-US</v>
    <v>a1nhlh</v>
    <v>268435456</v>
    <v>1</v>
    <v>Powered by Refinitiv</v>
    <v>0</v>
    <v>AMAZON.COM, INC. (XNAS:AMZN)</v>
    <v>2</v>
    <v>3</v>
    <v>Finance</v>
    <v>4</v>
    <v>258.60000000000002</v>
    <v>165.285</v>
    <v>1.3836999999999999</v>
    <v>4.1100000000000003</v>
    <v>1.7589999999999998E-2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1576000</v>
    <v>Nasdaq Stock Market</v>
    <v>XNAS</v>
    <v>XNAS</v>
    <v>410 Terry Avenue North, SEATTLE, WA, 98109 US</v>
    <v>240.43</v>
    <v>Diversified Retail</v>
    <v>Stock</v>
    <v>46122.739374640623</v>
    <v>10</v>
    <v>235.21</v>
    <v>2552334579200</v>
    <v>AMAZON.COM, INC.</v>
    <v>AMAZON.COM, INC.</v>
    <v>235.38</v>
    <v>33.150199999999998</v>
    <v>233.65</v>
    <v>237.76</v>
    <v>10734920000</v>
    <v>AMZN</v>
    <v>AMAZON.COM, INC. (XNAS:AMZN)</v>
    <v>37181499</v>
    <v>44536501</v>
    <v>1996</v>
  </rv>
  <rv s="2">
    <v>11</v>
  </rv>
  <rv s="0">
    <v>https://www.bing.com/financeapi/forcetrigger?t=a1u3p2&amp;q=XNAS%3aGOOG&amp;form=skydnc</v>
    <v>Learn more on Bing</v>
  </rv>
  <rv s="1">
    <v>en-US</v>
    <v>a1u3p2</v>
    <v>268435456</v>
    <v>1</v>
    <v>Powered by Refinitiv</v>
    <v>0</v>
    <v>ALPHABET INC. (XNAS:GOOG)</v>
    <v>2</v>
    <v>3</v>
    <v>Finance</v>
    <v>4</v>
    <v>350.15</v>
    <v>148.4</v>
    <v>1.1158999999999999</v>
    <v>-1.37</v>
    <v>-4.3299999999999996E-3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190820</v>
    <v>Nasdaq Stock Market</v>
    <v>XNAS</v>
    <v>XNAS</v>
    <v>1600 Amphitheatre Parkway, MOUNTAIN VIEW, CA, 94043 US</v>
    <v>319.5</v>
    <v>Software &amp; IT Services</v>
    <v>Stock</v>
    <v>46122.739355474216</v>
    <v>13</v>
    <v>314.8</v>
    <v>3810555000000</v>
    <v>ALPHABET INC.</v>
    <v>ALPHABET INC.</v>
    <v>318</v>
    <v>29.1831</v>
    <v>316.37</v>
    <v>315</v>
    <v>12097000000</v>
    <v>GOOG</v>
    <v>ALPHABET INC. (XNAS:GOOG)</v>
    <v>6526569</v>
    <v>19818143</v>
    <v>2015</v>
  </rv>
  <rv s="2">
    <v>14</v>
  </rv>
  <rv s="0">
    <v>https://www.bing.com/financeapi/forcetrigger?t=a1yv52&amp;q=XNAS%3aNVDA&amp;form=skydnc</v>
    <v>Learn more on Bing</v>
  </rv>
  <rv s="1">
    <v>en-US</v>
    <v>a1yv52</v>
    <v>268435456</v>
    <v>1</v>
    <v>Powered by Refinitiv</v>
    <v>0</v>
    <v>NVIDIA CORPORATION (XNAS:NVDA)</v>
    <v>2</v>
    <v>3</v>
    <v>Finance</v>
    <v>4</v>
    <v>212.18989999999999</v>
    <v>95.04</v>
    <v>2.3195999999999999</v>
    <v>4.5618999999999996</v>
    <v>2.4805000000000001E-2</v>
    <v>USD</v>
    <v>NVIDIA Corporation is an artificial intelligence (AI) infrastructure company. The Company is engaged in accelerated computing to help solve the challenging computational problems. Its segments include Compute &amp; Networking and Graphics. The Compute &amp; Networking segment includes its Data Center accelerated computing and networking platforms and AI solutions and software, and automotive platforms and autonomous and electric vehicle solutions, including software. The Graphics segment includes GeForce GPUs for gaming and personal computers (PCs), and Quadro/NVIDIA RTX GPUs for enterprise workstation graphics. Its technology stack includes the foundational NVIDIA CUDA development platform that runs on all NVIDIA GPUs, as well as hundreds of domain-specific software libraries, frameworks, algorithms, software development kits (SDKs), and application programming interfaces (APIs). Its platforms address four markets, which include Data Center, Gaming, Professional Visualization, and Automotive.</v>
    <v>42000</v>
    <v>Nasdaq Stock Market</v>
    <v>XNAS</v>
    <v>XNAS</v>
    <v>2788 San Tomas Expressway, SANTA CLARA, CA, 95051 US</v>
    <v>190</v>
    <v>Semiconductors &amp; Semiconductor Equipment</v>
    <v>Stock</v>
    <v>46122.739375149999</v>
    <v>16</v>
    <v>184.3</v>
    <v>4579867170000</v>
    <v>NVIDIA CORPORATION</v>
    <v>NVIDIA CORPORATION</v>
    <v>184.43</v>
    <v>38.4495</v>
    <v>183.91</v>
    <v>188.47190000000001</v>
    <v>24300000000</v>
    <v>NVDA</v>
    <v>NVIDIA CORPORATION (XNAS:NVDA)</v>
    <v>106973767</v>
    <v>171110422</v>
    <v>1998</v>
  </rv>
  <rv s="2">
    <v>17</v>
  </rv>
  <rv s="0">
    <v>https://www.bing.com/financeapi/forcetrigger?t=a1slm7&amp;q=XNAS%3aMETA&amp;form=skydnc</v>
    <v>Learn more on Bing</v>
  </rv>
  <rv s="1">
    <v>en-US</v>
    <v>a1slm7</v>
    <v>268435456</v>
    <v>1</v>
    <v>Powered by Refinitiv</v>
    <v>0</v>
    <v>META PLATFORMS, INC. (XNAS:META)</v>
    <v>2</v>
    <v>3</v>
    <v>Finance</v>
    <v>4</v>
    <v>796.25</v>
    <v>479.8</v>
    <v>1.3089</v>
    <v>-1.0249999999999999</v>
    <v>-1.6309999999999999E-3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78865</v>
    <v>Nasdaq Stock Market</v>
    <v>XNAS</v>
    <v>XNAS</v>
    <v>1 Meta Way, MENLO PARK, CA, 94025 US</v>
    <v>638.58000000000004</v>
    <v>Software &amp; IT Services</v>
    <v>Stock</v>
    <v>46122.739375046091</v>
    <v>19</v>
    <v>624.95000000000005</v>
    <v>1586954272575</v>
    <v>META PLATFORMS, INC.</v>
    <v>META PLATFORMS, INC.</v>
    <v>634.5</v>
    <v>21.462599999999998</v>
    <v>628.39</v>
    <v>627.36500000000001</v>
    <v>2529555000</v>
    <v>META</v>
    <v>META PLATFORMS, INC. (XNAS:META)</v>
    <v>7997866</v>
    <v>17076663</v>
    <v>2004</v>
  </rv>
  <rv s="2">
    <v>20</v>
  </rv>
</rvData>
</file>

<file path=xl/richData/rdrichvaluestructure.xml><?xml version="1.0" encoding="utf-8"?>
<rvStructures xmlns="http://schemas.microsoft.com/office/spreadsheetml/2017/richdata" count="6">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0">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ichStyles>
</richStyleSheet>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71598-03EC-47B9-89A7-33C789683CBE}">
  <sheetPr>
    <tabColor theme="0"/>
  </sheetPr>
  <dimension ref="B1:N52"/>
  <sheetViews>
    <sheetView showGridLines="0" zoomScale="85" zoomScaleNormal="85" workbookViewId="0">
      <selection activeCell="R4" sqref="R4"/>
    </sheetView>
  </sheetViews>
  <sheetFormatPr defaultColWidth="10.875" defaultRowHeight="18.75" customHeight="1"/>
  <cols>
    <col min="1" max="1" width="1.625" style="550" customWidth="1"/>
    <col min="2" max="2" width="3.625" style="550" customWidth="1"/>
    <col min="3" max="13" width="12.625" style="550" customWidth="1"/>
    <col min="14" max="14" width="3.625" style="550" customWidth="1"/>
    <col min="15" max="16384" width="10.875" style="550"/>
  </cols>
  <sheetData>
    <row r="1" spans="2:14" ht="15.75"/>
    <row r="2" spans="2:14" ht="15.75">
      <c r="B2" s="564"/>
      <c r="C2" s="564"/>
      <c r="D2" s="564"/>
      <c r="E2" s="564"/>
      <c r="F2" s="564"/>
      <c r="G2" s="564"/>
      <c r="H2" s="564"/>
      <c r="I2" s="564"/>
      <c r="J2" s="564"/>
      <c r="K2" s="564"/>
      <c r="L2" s="564"/>
      <c r="M2" s="564"/>
      <c r="N2" s="564"/>
    </row>
    <row r="3" spans="2:14" ht="15.75">
      <c r="B3" s="564"/>
      <c r="C3" s="564"/>
      <c r="D3" s="564"/>
      <c r="E3" s="564"/>
      <c r="F3" s="564"/>
      <c r="G3" s="564"/>
      <c r="H3" s="564"/>
      <c r="I3" s="564"/>
      <c r="J3" s="564"/>
      <c r="K3" s="564"/>
      <c r="L3" s="564"/>
      <c r="M3" s="564"/>
      <c r="N3" s="564"/>
    </row>
    <row r="4" spans="2:14" ht="15.75">
      <c r="B4" s="564"/>
      <c r="C4" s="564"/>
      <c r="D4" s="564"/>
      <c r="E4" s="564"/>
      <c r="F4" s="564"/>
      <c r="G4" s="564"/>
      <c r="H4" s="564"/>
      <c r="I4" s="564"/>
      <c r="J4" s="564"/>
      <c r="K4" s="564"/>
      <c r="L4" s="564"/>
      <c r="M4" s="564"/>
      <c r="N4" s="564"/>
    </row>
    <row r="5" spans="2:14" ht="15.75">
      <c r="B5" s="564"/>
      <c r="C5" s="564"/>
      <c r="D5" s="564"/>
      <c r="E5" s="564"/>
      <c r="F5" s="564"/>
      <c r="G5" s="564"/>
      <c r="H5" s="564"/>
      <c r="I5" s="564"/>
      <c r="J5" s="564"/>
      <c r="K5" s="564"/>
      <c r="L5" s="564"/>
      <c r="M5" s="564"/>
      <c r="N5" s="564"/>
    </row>
    <row r="6" spans="2:14" ht="15.75">
      <c r="B6" s="564"/>
      <c r="C6" s="564"/>
      <c r="D6" s="564"/>
      <c r="E6" s="564"/>
      <c r="F6" s="564"/>
      <c r="G6" s="564"/>
      <c r="H6" s="564"/>
      <c r="I6" s="564"/>
      <c r="J6" s="564"/>
      <c r="K6" s="564"/>
      <c r="L6" s="564"/>
      <c r="M6" s="564"/>
      <c r="N6" s="564"/>
    </row>
    <row r="7" spans="2:14" ht="15.75">
      <c r="B7" s="564"/>
      <c r="C7" s="564"/>
      <c r="D7" s="564"/>
      <c r="E7" s="564"/>
      <c r="F7" s="564"/>
      <c r="G7" s="564"/>
      <c r="H7" s="564"/>
      <c r="I7" s="564"/>
      <c r="J7" s="564"/>
      <c r="K7" s="564"/>
      <c r="L7" s="564"/>
      <c r="M7" s="564"/>
      <c r="N7" s="564"/>
    </row>
    <row r="8" spans="2:14" ht="15.75">
      <c r="B8" s="564"/>
      <c r="C8" s="564"/>
      <c r="D8" s="564"/>
      <c r="E8" s="564"/>
      <c r="F8" s="564"/>
      <c r="G8" s="564"/>
      <c r="H8" s="564"/>
      <c r="I8" s="564"/>
      <c r="J8" s="564"/>
      <c r="K8" s="564"/>
      <c r="L8" s="564"/>
      <c r="M8" s="564"/>
      <c r="N8" s="564"/>
    </row>
    <row r="9" spans="2:14" ht="15.75">
      <c r="B9" s="564"/>
      <c r="C9" s="564"/>
      <c r="D9" s="564"/>
      <c r="E9" s="564"/>
      <c r="F9" s="564"/>
      <c r="G9" s="564"/>
      <c r="H9" s="564"/>
      <c r="I9" s="564"/>
      <c r="J9" s="564"/>
      <c r="K9" s="564"/>
      <c r="L9" s="564"/>
      <c r="M9" s="564"/>
      <c r="N9" s="564"/>
    </row>
    <row r="10" spans="2:14" ht="15.75">
      <c r="B10" s="564"/>
      <c r="C10" s="564"/>
      <c r="D10" s="564"/>
      <c r="E10" s="564"/>
      <c r="F10" s="564"/>
      <c r="G10" s="564"/>
      <c r="H10" s="564"/>
      <c r="I10" s="564"/>
      <c r="J10" s="565"/>
      <c r="K10" s="565"/>
      <c r="L10" s="565"/>
      <c r="M10" s="565"/>
      <c r="N10" s="564"/>
    </row>
    <row r="11" spans="2:14" ht="18.75" customHeight="1">
      <c r="B11" s="552"/>
      <c r="N11" s="551"/>
    </row>
    <row r="12" spans="2:14" ht="18.75" customHeight="1">
      <c r="B12" s="552"/>
      <c r="C12" s="553" t="s">
        <v>686</v>
      </c>
      <c r="D12" s="554"/>
      <c r="E12" s="554"/>
      <c r="F12" s="554"/>
      <c r="G12" s="554"/>
      <c r="N12" s="551"/>
    </row>
    <row r="13" spans="2:14" ht="18.75" customHeight="1">
      <c r="B13" s="552"/>
      <c r="C13" s="636" t="s">
        <v>670</v>
      </c>
      <c r="N13" s="551"/>
    </row>
    <row r="14" spans="2:14" ht="18.75" customHeight="1">
      <c r="B14" s="552"/>
      <c r="N14" s="551"/>
    </row>
    <row r="15" spans="2:14" ht="18.75" customHeight="1">
      <c r="B15" s="552"/>
      <c r="C15" s="556" t="s">
        <v>572</v>
      </c>
      <c r="D15" s="556"/>
      <c r="E15" s="556"/>
      <c r="F15" s="556"/>
      <c r="G15" s="556"/>
      <c r="I15" s="556" t="s">
        <v>724</v>
      </c>
      <c r="J15" s="556"/>
      <c r="K15" s="556"/>
      <c r="L15" s="556"/>
      <c r="M15" s="556"/>
      <c r="N15" s="551"/>
    </row>
    <row r="16" spans="2:14" ht="18.75" customHeight="1">
      <c r="B16" s="552"/>
      <c r="C16" s="555" t="s">
        <v>573</v>
      </c>
      <c r="D16" s="555"/>
      <c r="G16" s="560" t="s">
        <v>669</v>
      </c>
      <c r="I16" s="555" t="s">
        <v>582</v>
      </c>
      <c r="J16" s="555"/>
      <c r="M16" s="638" t="str">
        <f>'Revenue Projections &amp; Cases'!D6</f>
        <v>Base case</v>
      </c>
      <c r="N16" s="551"/>
    </row>
    <row r="17" spans="2:14" ht="18.75" customHeight="1">
      <c r="B17" s="552"/>
      <c r="C17" s="555" t="s">
        <v>574</v>
      </c>
      <c r="D17" s="555"/>
      <c r="G17" s="560" t="s">
        <v>580</v>
      </c>
      <c r="H17" s="557"/>
      <c r="I17" s="555" t="s">
        <v>577</v>
      </c>
      <c r="J17" s="555"/>
      <c r="M17" s="571">
        <f ca="1">'Summary Valuation'!D36</f>
        <v>259.70319405860187</v>
      </c>
      <c r="N17" s="551"/>
    </row>
    <row r="18" spans="2:14" ht="18.75" customHeight="1">
      <c r="B18" s="552"/>
      <c r="C18" s="555" t="s">
        <v>771</v>
      </c>
      <c r="D18" s="555"/>
      <c r="G18" s="560" t="s">
        <v>772</v>
      </c>
      <c r="H18" s="558"/>
      <c r="I18" s="555" t="s">
        <v>579</v>
      </c>
      <c r="J18" s="555"/>
      <c r="M18" s="560" t="s">
        <v>542</v>
      </c>
      <c r="N18" s="551"/>
    </row>
    <row r="19" spans="2:14" ht="18.75" customHeight="1">
      <c r="B19" s="552"/>
      <c r="N19" s="551"/>
    </row>
    <row r="20" spans="2:14" ht="18.75" customHeight="1">
      <c r="B20" s="552"/>
      <c r="C20" s="556" t="s">
        <v>575</v>
      </c>
      <c r="D20" s="556"/>
      <c r="E20" s="556"/>
      <c r="F20" s="556"/>
      <c r="G20" s="556"/>
      <c r="I20" s="556" t="s">
        <v>683</v>
      </c>
      <c r="J20" s="556"/>
      <c r="K20" s="556"/>
      <c r="L20" s="556"/>
      <c r="M20" s="556"/>
      <c r="N20" s="551"/>
    </row>
    <row r="21" spans="2:14" ht="18.75" customHeight="1">
      <c r="B21" s="552"/>
      <c r="C21" s="555" t="s">
        <v>576</v>
      </c>
      <c r="D21" s="555"/>
      <c r="E21" s="559"/>
      <c r="F21" s="559"/>
      <c r="G21" s="560" t="s">
        <v>118</v>
      </c>
      <c r="I21" s="555" t="s">
        <v>687</v>
      </c>
      <c r="J21" s="555"/>
      <c r="K21" s="559"/>
      <c r="L21" s="559"/>
      <c r="M21" s="560" t="s">
        <v>688</v>
      </c>
      <c r="N21" s="551"/>
    </row>
    <row r="22" spans="2:14" ht="18.75" customHeight="1">
      <c r="B22" s="552"/>
      <c r="C22" s="555" t="s">
        <v>578</v>
      </c>
      <c r="D22" s="555"/>
      <c r="G22" s="560" t="s">
        <v>671</v>
      </c>
      <c r="I22" s="555" t="s">
        <v>689</v>
      </c>
      <c r="J22" s="555"/>
      <c r="M22" s="560" t="s">
        <v>690</v>
      </c>
      <c r="N22" s="551"/>
    </row>
    <row r="23" spans="2:14" ht="18.75" customHeight="1">
      <c r="B23" s="552"/>
      <c r="C23" s="555" t="s">
        <v>672</v>
      </c>
      <c r="D23" s="555"/>
      <c r="G23" s="560" t="s">
        <v>581</v>
      </c>
      <c r="I23" s="555" t="s">
        <v>691</v>
      </c>
      <c r="J23" s="555"/>
      <c r="M23" s="560" t="s">
        <v>758</v>
      </c>
      <c r="N23" s="551"/>
    </row>
    <row r="24" spans="2:14" ht="18.75" customHeight="1">
      <c r="B24" s="552"/>
      <c r="C24" s="555" t="s">
        <v>673</v>
      </c>
      <c r="D24" s="555"/>
      <c r="G24" s="560" t="s">
        <v>674</v>
      </c>
      <c r="I24" s="555" t="s">
        <v>692</v>
      </c>
      <c r="J24" s="555"/>
      <c r="M24" s="560" t="s">
        <v>693</v>
      </c>
      <c r="N24" s="551"/>
    </row>
    <row r="25" spans="2:14" ht="18.75" customHeight="1">
      <c r="B25" s="552"/>
      <c r="C25" s="555" t="s">
        <v>675</v>
      </c>
      <c r="D25" s="555"/>
      <c r="G25" s="560" t="s">
        <v>676</v>
      </c>
      <c r="I25" s="555" t="s">
        <v>697</v>
      </c>
      <c r="J25" s="555"/>
      <c r="M25" s="560" t="s">
        <v>694</v>
      </c>
      <c r="N25" s="551"/>
    </row>
    <row r="26" spans="2:14" ht="18.75" customHeight="1">
      <c r="B26" s="552"/>
      <c r="C26" s="555" t="s">
        <v>677</v>
      </c>
      <c r="D26" s="555"/>
      <c r="G26" s="560" t="s">
        <v>678</v>
      </c>
      <c r="I26" s="555" t="s">
        <v>695</v>
      </c>
      <c r="J26" s="555"/>
      <c r="M26" s="560" t="s">
        <v>696</v>
      </c>
      <c r="N26" s="551"/>
    </row>
    <row r="27" spans="2:14" ht="18.75" customHeight="1">
      <c r="B27" s="552"/>
      <c r="C27" s="555" t="s">
        <v>679</v>
      </c>
      <c r="D27" s="555"/>
      <c r="G27" s="560" t="s">
        <v>680</v>
      </c>
      <c r="I27" s="555"/>
      <c r="J27" s="555"/>
      <c r="M27" s="560"/>
      <c r="N27" s="551"/>
    </row>
    <row r="28" spans="2:14" ht="18.75" customHeight="1">
      <c r="B28" s="552"/>
      <c r="C28" s="555" t="s">
        <v>681</v>
      </c>
      <c r="D28" s="555"/>
      <c r="G28" s="560" t="s">
        <v>682</v>
      </c>
      <c r="I28" s="556" t="s">
        <v>725</v>
      </c>
      <c r="J28" s="556"/>
      <c r="K28" s="556"/>
      <c r="L28" s="556"/>
      <c r="M28" s="556"/>
      <c r="N28" s="551"/>
    </row>
    <row r="29" spans="2:14" ht="18.75" customHeight="1">
      <c r="B29" s="552"/>
      <c r="C29" s="555" t="s">
        <v>698</v>
      </c>
      <c r="D29" s="555"/>
      <c r="G29" s="560" t="s">
        <v>699</v>
      </c>
      <c r="I29" s="555" t="s">
        <v>713</v>
      </c>
      <c r="J29" s="555"/>
      <c r="K29" s="559"/>
      <c r="L29" s="559"/>
      <c r="M29" s="560" t="s">
        <v>714</v>
      </c>
      <c r="N29" s="551"/>
    </row>
    <row r="30" spans="2:14" ht="18.75" customHeight="1">
      <c r="B30" s="552"/>
      <c r="C30" s="555" t="s">
        <v>700</v>
      </c>
      <c r="D30" s="555"/>
      <c r="G30" s="560" t="s">
        <v>701</v>
      </c>
      <c r="I30" s="555" t="s">
        <v>715</v>
      </c>
      <c r="J30" s="555"/>
      <c r="M30" s="560" t="s">
        <v>716</v>
      </c>
      <c r="N30" s="551"/>
    </row>
    <row r="31" spans="2:14" ht="18.75" customHeight="1">
      <c r="B31" s="552"/>
      <c r="C31" s="555" t="s">
        <v>702</v>
      </c>
      <c r="D31" s="555"/>
      <c r="G31" s="560" t="s">
        <v>703</v>
      </c>
      <c r="I31" s="555" t="s">
        <v>717</v>
      </c>
      <c r="J31" s="555"/>
      <c r="M31" s="560" t="s">
        <v>718</v>
      </c>
      <c r="N31" s="551"/>
    </row>
    <row r="32" spans="2:14" ht="18.75" customHeight="1">
      <c r="B32" s="552"/>
      <c r="C32" s="555" t="s">
        <v>704</v>
      </c>
      <c r="D32" s="555"/>
      <c r="G32" s="560" t="s">
        <v>706</v>
      </c>
      <c r="I32" s="555" t="s">
        <v>719</v>
      </c>
      <c r="J32" s="555"/>
      <c r="M32" s="560" t="s">
        <v>720</v>
      </c>
      <c r="N32" s="551"/>
    </row>
    <row r="33" spans="2:14" ht="18.75" customHeight="1">
      <c r="B33" s="552"/>
      <c r="C33" s="555" t="s">
        <v>705</v>
      </c>
      <c r="D33" s="555"/>
      <c r="G33" s="560" t="s">
        <v>707</v>
      </c>
      <c r="I33" s="555" t="s">
        <v>684</v>
      </c>
      <c r="J33" s="555"/>
      <c r="M33" s="560" t="s">
        <v>721</v>
      </c>
      <c r="N33" s="551"/>
    </row>
    <row r="34" spans="2:14" ht="18.75" customHeight="1">
      <c r="B34" s="552"/>
      <c r="C34" s="555"/>
      <c r="G34" s="560"/>
      <c r="N34" s="551"/>
    </row>
    <row r="35" spans="2:14" ht="18.75" customHeight="1">
      <c r="B35" s="552"/>
      <c r="C35" s="556" t="s">
        <v>741</v>
      </c>
      <c r="D35" s="556"/>
      <c r="E35" s="556"/>
      <c r="F35" s="556"/>
      <c r="G35" s="556"/>
      <c r="I35" s="556" t="s">
        <v>747</v>
      </c>
      <c r="J35" s="556"/>
      <c r="K35" s="556"/>
      <c r="L35" s="556"/>
      <c r="M35" s="556"/>
      <c r="N35" s="551"/>
    </row>
    <row r="36" spans="2:14" ht="18.75" customHeight="1">
      <c r="B36" s="552"/>
      <c r="C36" s="555" t="s">
        <v>731</v>
      </c>
      <c r="D36" s="555"/>
      <c r="E36" s="559"/>
      <c r="F36" s="559"/>
      <c r="G36" s="560" t="s">
        <v>736</v>
      </c>
      <c r="I36" s="555" t="s">
        <v>770</v>
      </c>
      <c r="J36" s="555"/>
      <c r="K36" s="559"/>
      <c r="L36" s="559"/>
      <c r="M36" s="560" t="s">
        <v>748</v>
      </c>
      <c r="N36" s="551"/>
    </row>
    <row r="37" spans="2:14" ht="18.75" customHeight="1">
      <c r="B37" s="552"/>
      <c r="C37" s="555" t="s">
        <v>732</v>
      </c>
      <c r="D37" s="555"/>
      <c r="G37" s="560" t="s">
        <v>737</v>
      </c>
      <c r="I37" s="555" t="s">
        <v>769</v>
      </c>
      <c r="J37" s="555"/>
      <c r="M37" s="560" t="s">
        <v>749</v>
      </c>
      <c r="N37" s="551"/>
    </row>
    <row r="38" spans="2:14" ht="18.75" customHeight="1">
      <c r="B38" s="552"/>
      <c r="C38" s="555" t="s">
        <v>733</v>
      </c>
      <c r="D38" s="555"/>
      <c r="G38" s="560" t="s">
        <v>738</v>
      </c>
      <c r="I38" s="555" t="s">
        <v>768</v>
      </c>
      <c r="J38" s="555"/>
      <c r="M38" s="560" t="s">
        <v>750</v>
      </c>
      <c r="N38" s="551"/>
    </row>
    <row r="39" spans="2:14" ht="18.75" customHeight="1">
      <c r="B39" s="552"/>
      <c r="C39" s="555" t="s">
        <v>734</v>
      </c>
      <c r="D39" s="555"/>
      <c r="G39" s="560" t="s">
        <v>739</v>
      </c>
      <c r="I39" s="555" t="s">
        <v>767</v>
      </c>
      <c r="M39" s="560" t="s">
        <v>751</v>
      </c>
      <c r="N39" s="551"/>
    </row>
    <row r="40" spans="2:14" ht="18.75" customHeight="1">
      <c r="B40" s="552"/>
      <c r="C40" s="555" t="s">
        <v>735</v>
      </c>
      <c r="D40" s="555"/>
      <c r="G40" s="560" t="s">
        <v>740</v>
      </c>
      <c r="I40" s="555" t="s">
        <v>766</v>
      </c>
      <c r="M40" s="560" t="s">
        <v>752</v>
      </c>
      <c r="N40" s="551"/>
    </row>
    <row r="41" spans="2:14" ht="18.75" customHeight="1">
      <c r="B41" s="552"/>
      <c r="N41" s="551"/>
    </row>
    <row r="42" spans="2:14" ht="18.75" customHeight="1">
      <c r="B42" s="552"/>
      <c r="C42" s="556" t="s">
        <v>708</v>
      </c>
      <c r="D42" s="556"/>
      <c r="E42" s="556"/>
      <c r="F42" s="556"/>
      <c r="G42" s="556"/>
      <c r="I42" s="556" t="s">
        <v>726</v>
      </c>
      <c r="J42" s="556"/>
      <c r="K42" s="556"/>
      <c r="L42" s="556"/>
      <c r="M42" s="556"/>
      <c r="N42" s="551"/>
    </row>
    <row r="43" spans="2:14" ht="18.75" customHeight="1">
      <c r="B43" s="552"/>
      <c r="C43" s="555" t="s">
        <v>709</v>
      </c>
      <c r="D43" s="555"/>
      <c r="E43" s="559"/>
      <c r="F43" s="559"/>
      <c r="G43" s="560" t="s">
        <v>710</v>
      </c>
      <c r="I43" s="555" t="s">
        <v>727</v>
      </c>
      <c r="J43" s="555"/>
      <c r="K43" s="559"/>
      <c r="L43" s="559"/>
      <c r="M43" s="560" t="s">
        <v>729</v>
      </c>
      <c r="N43" s="551"/>
    </row>
    <row r="44" spans="2:14" ht="18.75" customHeight="1">
      <c r="B44" s="552"/>
      <c r="C44" s="555" t="s">
        <v>711</v>
      </c>
      <c r="D44" s="555"/>
      <c r="G44" s="560" t="s">
        <v>712</v>
      </c>
      <c r="I44" s="555" t="s">
        <v>728</v>
      </c>
      <c r="J44" s="555"/>
      <c r="M44" s="560" t="s">
        <v>730</v>
      </c>
      <c r="N44" s="551"/>
    </row>
    <row r="45" spans="2:14" ht="18.75" customHeight="1">
      <c r="B45" s="552"/>
      <c r="N45" s="551"/>
    </row>
    <row r="46" spans="2:14" ht="18.75" customHeight="1">
      <c r="B46" s="552"/>
      <c r="C46" s="556" t="s">
        <v>722</v>
      </c>
      <c r="D46" s="556"/>
      <c r="E46" s="556"/>
      <c r="F46" s="556"/>
      <c r="G46" s="556"/>
      <c r="I46" s="556" t="s">
        <v>742</v>
      </c>
      <c r="J46" s="556"/>
      <c r="K46" s="556"/>
      <c r="L46" s="556"/>
      <c r="M46" s="556"/>
      <c r="N46" s="551"/>
    </row>
    <row r="47" spans="2:14" ht="18.75" customHeight="1">
      <c r="B47" s="552"/>
      <c r="C47" s="555" t="s">
        <v>723</v>
      </c>
      <c r="D47" s="555"/>
      <c r="E47" s="559"/>
      <c r="F47" s="559"/>
      <c r="G47" s="560" t="s">
        <v>753</v>
      </c>
      <c r="I47" s="555" t="s">
        <v>765</v>
      </c>
      <c r="J47" s="555"/>
      <c r="K47" s="559"/>
      <c r="L47" s="559"/>
      <c r="M47" s="560" t="s">
        <v>743</v>
      </c>
      <c r="N47" s="551"/>
    </row>
    <row r="48" spans="2:14" ht="18.75" customHeight="1">
      <c r="B48" s="552"/>
      <c r="C48" s="555" t="s">
        <v>759</v>
      </c>
      <c r="D48" s="555"/>
      <c r="G48" s="560" t="s">
        <v>754</v>
      </c>
      <c r="I48" s="555" t="s">
        <v>764</v>
      </c>
      <c r="J48" s="555"/>
      <c r="M48" s="560" t="s">
        <v>744</v>
      </c>
      <c r="N48" s="551"/>
    </row>
    <row r="49" spans="2:14" ht="18.75" customHeight="1">
      <c r="B49" s="552"/>
      <c r="C49" s="555" t="s">
        <v>760</v>
      </c>
      <c r="D49" s="555"/>
      <c r="G49" s="560" t="s">
        <v>755</v>
      </c>
      <c r="I49" s="555" t="s">
        <v>763</v>
      </c>
      <c r="J49" s="555"/>
      <c r="M49" s="560" t="s">
        <v>745</v>
      </c>
      <c r="N49" s="551"/>
    </row>
    <row r="50" spans="2:14" ht="18.75" customHeight="1">
      <c r="B50" s="552"/>
      <c r="C50" s="555" t="s">
        <v>761</v>
      </c>
      <c r="D50" s="555"/>
      <c r="G50" s="560" t="s">
        <v>756</v>
      </c>
      <c r="I50" s="555" t="s">
        <v>762</v>
      </c>
      <c r="J50" s="555"/>
      <c r="M50" s="560" t="s">
        <v>746</v>
      </c>
      <c r="N50" s="551"/>
    </row>
    <row r="51" spans="2:14" ht="18.75" customHeight="1">
      <c r="B51" s="552"/>
      <c r="C51" s="555" t="s">
        <v>711</v>
      </c>
      <c r="D51" s="555"/>
      <c r="G51" s="560" t="s">
        <v>757</v>
      </c>
      <c r="N51" s="551"/>
    </row>
    <row r="52" spans="2:14" ht="18.75" customHeight="1">
      <c r="B52" s="561"/>
      <c r="C52" s="562"/>
      <c r="D52" s="562"/>
      <c r="E52" s="562"/>
      <c r="F52" s="562"/>
      <c r="G52" s="562"/>
      <c r="H52" s="562"/>
      <c r="I52" s="562"/>
      <c r="J52" s="562"/>
      <c r="K52" s="562"/>
      <c r="L52" s="562"/>
      <c r="M52" s="562"/>
      <c r="N52" s="56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4BB6B-6C6B-4C6E-922A-6BBE635A7439}">
  <sheetPr>
    <tabColor theme="0"/>
  </sheetPr>
  <dimension ref="B1:T43"/>
  <sheetViews>
    <sheetView showGridLines="0" zoomScale="70" zoomScaleNormal="70" workbookViewId="0">
      <selection activeCell="C12" sqref="C12"/>
    </sheetView>
  </sheetViews>
  <sheetFormatPr defaultColWidth="10.875" defaultRowHeight="18.75" customHeight="1"/>
  <cols>
    <col min="1" max="1" width="1.625" style="550" customWidth="1"/>
    <col min="2" max="2" width="3.625" style="550" customWidth="1"/>
    <col min="3" max="3" width="12.875" style="550" bestFit="1" customWidth="1"/>
    <col min="4" max="8" width="10.875" style="550"/>
    <col min="9" max="9" width="12.875" style="550" bestFit="1" customWidth="1"/>
    <col min="10" max="10" width="10.875" style="550"/>
    <col min="11" max="11" width="3.625" style="583" customWidth="1"/>
    <col min="12" max="12" width="16.25" style="550" bestFit="1" customWidth="1"/>
    <col min="13" max="19" width="10.875" style="550"/>
    <col min="20" max="20" width="3.625" style="550" customWidth="1"/>
    <col min="21" max="16384" width="10.875" style="550"/>
  </cols>
  <sheetData>
    <row r="1" spans="2:20" ht="15.75"/>
    <row r="2" spans="2:20" ht="15.75">
      <c r="B2" s="564"/>
      <c r="C2" s="564"/>
      <c r="D2" s="564"/>
      <c r="E2" s="564"/>
      <c r="F2" s="564"/>
      <c r="G2" s="564"/>
      <c r="H2" s="564"/>
      <c r="I2" s="564"/>
      <c r="J2" s="564"/>
      <c r="K2" s="584"/>
      <c r="L2" s="564"/>
      <c r="M2" s="564"/>
      <c r="N2" s="564"/>
      <c r="O2" s="564"/>
      <c r="P2" s="564"/>
      <c r="Q2" s="564"/>
      <c r="R2" s="564"/>
      <c r="S2" s="564"/>
      <c r="T2" s="564"/>
    </row>
    <row r="3" spans="2:20" ht="15.75">
      <c r="B3" s="564"/>
      <c r="C3" s="564"/>
      <c r="D3" s="564"/>
      <c r="E3" s="564"/>
      <c r="F3" s="564"/>
      <c r="G3" s="564"/>
      <c r="H3" s="564"/>
      <c r="I3" s="564"/>
      <c r="J3" s="564"/>
      <c r="K3" s="584"/>
      <c r="L3" s="564"/>
      <c r="M3" s="564"/>
      <c r="N3" s="564"/>
      <c r="O3" s="564"/>
      <c r="P3" s="564"/>
      <c r="Q3" s="564"/>
      <c r="R3" s="564"/>
      <c r="S3" s="564"/>
      <c r="T3" s="564"/>
    </row>
    <row r="4" spans="2:20" ht="15.75">
      <c r="B4" s="564"/>
      <c r="C4" s="564"/>
      <c r="D4" s="564"/>
      <c r="E4" s="564"/>
      <c r="F4" s="564"/>
      <c r="G4" s="564"/>
      <c r="H4" s="564"/>
      <c r="I4" s="564"/>
      <c r="J4" s="564"/>
      <c r="K4" s="584"/>
      <c r="L4" s="564"/>
      <c r="M4" s="564"/>
      <c r="N4" s="564"/>
      <c r="O4" s="564"/>
      <c r="P4" s="564"/>
      <c r="Q4" s="564"/>
      <c r="R4" s="564"/>
      <c r="S4" s="564"/>
      <c r="T4" s="564"/>
    </row>
    <row r="5" spans="2:20" ht="15.75">
      <c r="B5" s="564"/>
      <c r="C5" s="564"/>
      <c r="D5" s="564"/>
      <c r="E5" s="564"/>
      <c r="F5" s="564"/>
      <c r="G5" s="564"/>
      <c r="H5" s="564"/>
      <c r="I5" s="564"/>
      <c r="J5" s="564"/>
      <c r="K5" s="584"/>
      <c r="L5" s="564"/>
      <c r="M5" s="564"/>
      <c r="N5" s="564"/>
      <c r="O5" s="564"/>
      <c r="P5" s="564"/>
      <c r="Q5" s="564"/>
      <c r="R5" s="564"/>
      <c r="S5" s="564"/>
      <c r="T5" s="564"/>
    </row>
    <row r="6" spans="2:20" ht="15.75">
      <c r="B6" s="564"/>
      <c r="C6" s="564"/>
      <c r="D6" s="564"/>
      <c r="E6" s="564"/>
      <c r="F6" s="564"/>
      <c r="G6" s="564"/>
      <c r="H6" s="564"/>
      <c r="I6" s="564"/>
      <c r="J6" s="564"/>
      <c r="K6" s="584"/>
      <c r="L6" s="564"/>
      <c r="M6" s="564"/>
      <c r="N6" s="564"/>
      <c r="O6" s="564"/>
      <c r="P6" s="564"/>
      <c r="Q6" s="564"/>
      <c r="R6" s="564"/>
      <c r="S6" s="564"/>
      <c r="T6" s="564"/>
    </row>
    <row r="7" spans="2:20" ht="15.75">
      <c r="B7" s="564"/>
      <c r="C7" s="564"/>
      <c r="D7" s="564"/>
      <c r="E7" s="564"/>
      <c r="F7" s="564"/>
      <c r="G7" s="564"/>
      <c r="H7" s="564"/>
      <c r="I7" s="564"/>
      <c r="J7" s="564"/>
      <c r="K7" s="584"/>
      <c r="L7" s="564"/>
      <c r="M7" s="564"/>
      <c r="N7" s="564"/>
      <c r="O7" s="564"/>
      <c r="P7" s="564"/>
      <c r="Q7" s="564"/>
      <c r="R7" s="564"/>
      <c r="S7" s="564"/>
      <c r="T7" s="564"/>
    </row>
    <row r="8" spans="2:20" ht="15.75">
      <c r="B8" s="564"/>
      <c r="C8" s="564"/>
      <c r="D8" s="564"/>
      <c r="E8" s="564"/>
      <c r="F8" s="564"/>
      <c r="G8" s="564"/>
      <c r="H8" s="564"/>
      <c r="I8" s="564"/>
      <c r="J8" s="564"/>
      <c r="K8" s="584"/>
      <c r="L8" s="564"/>
      <c r="M8" s="564"/>
      <c r="N8" s="564"/>
      <c r="O8" s="564"/>
      <c r="P8" s="564"/>
      <c r="Q8" s="564"/>
      <c r="R8" s="564"/>
      <c r="S8" s="564"/>
      <c r="T8" s="564"/>
    </row>
    <row r="9" spans="2:20" ht="15.75">
      <c r="B9" s="564"/>
      <c r="C9" s="564"/>
      <c r="D9" s="564"/>
      <c r="E9" s="564"/>
      <c r="F9" s="564"/>
      <c r="G9" s="564"/>
      <c r="H9" s="564"/>
      <c r="I9" s="564"/>
      <c r="J9" s="564"/>
      <c r="K9" s="584"/>
      <c r="L9" s="564"/>
      <c r="M9" s="564"/>
      <c r="N9" s="564"/>
      <c r="O9" s="564"/>
      <c r="P9" s="564"/>
      <c r="Q9" s="564"/>
      <c r="R9" s="564"/>
      <c r="S9" s="564"/>
      <c r="T9" s="564"/>
    </row>
    <row r="10" spans="2:20" ht="15.75">
      <c r="B10" s="564"/>
      <c r="C10" s="564"/>
      <c r="D10" s="564"/>
      <c r="E10" s="564"/>
      <c r="F10" s="564"/>
      <c r="G10" s="564"/>
      <c r="H10" s="564"/>
      <c r="I10" s="564"/>
      <c r="J10" s="565"/>
      <c r="K10" s="585"/>
      <c r="L10" s="565"/>
      <c r="M10" s="565"/>
      <c r="N10" s="565"/>
      <c r="O10" s="565"/>
      <c r="P10" s="565"/>
      <c r="Q10" s="565"/>
      <c r="R10" s="565"/>
      <c r="S10" s="565"/>
      <c r="T10" s="564"/>
    </row>
    <row r="11" spans="2:20" ht="18.75" customHeight="1">
      <c r="B11" s="552"/>
      <c r="T11" s="551"/>
    </row>
    <row r="12" spans="2:20" ht="18.75" customHeight="1">
      <c r="B12" s="552"/>
      <c r="C12" s="553" t="s">
        <v>585</v>
      </c>
      <c r="D12" s="554"/>
      <c r="E12" s="554"/>
      <c r="F12" s="554"/>
      <c r="G12" s="554"/>
      <c r="T12" s="551"/>
    </row>
    <row r="13" spans="2:20" ht="18.75" customHeight="1">
      <c r="B13" s="552"/>
      <c r="C13" s="636" t="s">
        <v>670</v>
      </c>
      <c r="T13" s="551"/>
    </row>
    <row r="14" spans="2:20" ht="5.0999999999999996" customHeight="1">
      <c r="B14" s="552"/>
      <c r="C14" s="555"/>
      <c r="T14" s="551"/>
    </row>
    <row r="15" spans="2:20" ht="18.75" customHeight="1">
      <c r="B15" s="552"/>
      <c r="C15" s="556" t="s">
        <v>586</v>
      </c>
      <c r="D15" s="570"/>
      <c r="E15" s="568"/>
      <c r="F15" s="568"/>
      <c r="G15" s="568"/>
      <c r="H15" s="568"/>
      <c r="I15" s="568"/>
      <c r="J15" s="568"/>
      <c r="L15" s="556" t="s">
        <v>588</v>
      </c>
      <c r="M15" s="570"/>
      <c r="N15" s="568"/>
      <c r="O15" s="568"/>
      <c r="P15" s="568"/>
      <c r="Q15" s="568"/>
      <c r="R15" s="568"/>
      <c r="S15" s="568"/>
      <c r="T15" s="551"/>
    </row>
    <row r="16" spans="2:20" ht="18.75" customHeight="1">
      <c r="B16" s="552"/>
      <c r="C16" s="576"/>
      <c r="D16" s="577">
        <v>2025</v>
      </c>
      <c r="E16" s="578">
        <v>2026</v>
      </c>
      <c r="F16" s="578">
        <v>2027</v>
      </c>
      <c r="G16" s="578">
        <v>2028</v>
      </c>
      <c r="H16" s="578">
        <v>2029</v>
      </c>
      <c r="I16" s="578">
        <v>2030</v>
      </c>
      <c r="J16" s="578">
        <v>2031</v>
      </c>
      <c r="L16" s="576"/>
      <c r="M16" s="577">
        <v>2025</v>
      </c>
      <c r="N16" s="578">
        <v>2026</v>
      </c>
      <c r="O16" s="578">
        <v>2027</v>
      </c>
      <c r="P16" s="578">
        <v>2028</v>
      </c>
      <c r="Q16" s="578">
        <v>2029</v>
      </c>
      <c r="R16" s="578">
        <v>2030</v>
      </c>
      <c r="S16" s="578">
        <v>2031</v>
      </c>
      <c r="T16" s="551"/>
    </row>
    <row r="17" spans="2:20" ht="18.75" customHeight="1">
      <c r="B17" s="552"/>
      <c r="C17" s="573" t="s">
        <v>31</v>
      </c>
      <c r="D17" s="572">
        <f>(DCF!E57)/1000</f>
        <v>416.161</v>
      </c>
      <c r="E17" s="572">
        <f ca="1">(DCF!G57)/1000</f>
        <v>460.51707908632949</v>
      </c>
      <c r="F17" s="572">
        <f ca="1">(DCF!H57)/1000</f>
        <v>490.66839750341103</v>
      </c>
      <c r="G17" s="572">
        <f ca="1">(DCF!I57)/1000</f>
        <v>527.61233778640019</v>
      </c>
      <c r="H17" s="572">
        <f ca="1">(DCF!J57)/1000</f>
        <v>561.96092997575386</v>
      </c>
      <c r="I17" s="572">
        <f ca="1">(DCF!K57)/1000</f>
        <v>590.49302548736659</v>
      </c>
      <c r="J17" s="572">
        <f ca="1">(DCF!L57)/1000</f>
        <v>624.14354792570225</v>
      </c>
      <c r="L17" s="573" t="s">
        <v>224</v>
      </c>
      <c r="M17" s="571">
        <f>('Revenue Projections &amp; Cases'!H12)/1000</f>
        <v>209.58600000000001</v>
      </c>
      <c r="N17" s="571">
        <f ca="1">('Revenue Projections &amp; Cases'!J12)/1000</f>
        <v>231.77070033333334</v>
      </c>
      <c r="O17" s="571">
        <f ca="1">('Revenue Projections &amp; Cases'!K12)/1000</f>
        <v>240.37316333333334</v>
      </c>
      <c r="P17" s="571">
        <f ca="1">('Revenue Projections &amp; Cases'!L12)/1000</f>
        <v>253.97996590033759</v>
      </c>
      <c r="Q17" s="571">
        <f ca="1">('Revenue Projections &amp; Cases'!M12)/1000</f>
        <v>263.88355977951051</v>
      </c>
      <c r="R17" s="571">
        <f ca="1">('Revenue Projections &amp; Cases'!N12)/1000</f>
        <v>265.75253460171206</v>
      </c>
      <c r="S17" s="571">
        <f ca="1">('Revenue Projections &amp; Cases'!O12)/1000</f>
        <v>268.52509527897053</v>
      </c>
      <c r="T17" s="551"/>
    </row>
    <row r="18" spans="2:20" ht="18.75" customHeight="1">
      <c r="B18" s="552"/>
      <c r="C18" s="569" t="s">
        <v>45</v>
      </c>
      <c r="D18" s="566"/>
      <c r="E18" s="575">
        <f ca="1">SUM(E17/D17)-1</f>
        <v>0.106583940076868</v>
      </c>
      <c r="F18" s="575">
        <f ca="1">SUM(F17/E17)-1</f>
        <v>6.5472747453584335E-2</v>
      </c>
      <c r="G18" s="575">
        <f t="shared" ref="G18:J18" ca="1" si="0">SUM(G17/F17)-1</f>
        <v>7.5293090957080366E-2</v>
      </c>
      <c r="H18" s="575">
        <f t="shared" ca="1" si="0"/>
        <v>6.5101950294535138E-2</v>
      </c>
      <c r="I18" s="575">
        <f t="shared" ca="1" si="0"/>
        <v>5.0772382900077684E-2</v>
      </c>
      <c r="J18" s="575">
        <f t="shared" ca="1" si="0"/>
        <v>5.6987163244751393E-2</v>
      </c>
      <c r="L18" s="569" t="s">
        <v>45</v>
      </c>
      <c r="N18" s="575">
        <f ca="1">SUM(N17/M17)-1</f>
        <v>0.10585010608214929</v>
      </c>
      <c r="O18" s="575">
        <f t="shared" ref="O18" ca="1" si="1">SUM(O17/N17)-1</f>
        <v>3.7116266152830812E-2</v>
      </c>
      <c r="P18" s="575">
        <f t="shared" ref="P18" ca="1" si="2">SUM(P17/O17)-1</f>
        <v>5.6606995466192078E-2</v>
      </c>
      <c r="Q18" s="575">
        <f t="shared" ref="Q18" ca="1" si="3">SUM(Q17/P17)-1</f>
        <v>3.8993602680689854E-2</v>
      </c>
      <c r="R18" s="575">
        <f t="shared" ref="R18" ca="1" si="4">SUM(R17/Q17)-1</f>
        <v>7.082573934364067E-3</v>
      </c>
      <c r="S18" s="575">
        <f t="shared" ref="S18" ca="1" si="5">SUM(S17/R17)-1</f>
        <v>1.0432866355964299E-2</v>
      </c>
      <c r="T18" s="551"/>
    </row>
    <row r="19" spans="2:20" ht="18.75" customHeight="1">
      <c r="B19" s="552"/>
      <c r="C19" s="573" t="s">
        <v>11</v>
      </c>
      <c r="D19" s="572">
        <f>(DCF!E60)/1000</f>
        <v>144.74799999999999</v>
      </c>
      <c r="E19" s="572">
        <f ca="1">(DCF!G60)/1000</f>
        <v>161.13534253380092</v>
      </c>
      <c r="F19" s="572">
        <f ca="1">(DCF!H60)/1000</f>
        <v>169.60827596619382</v>
      </c>
      <c r="G19" s="572">
        <f ca="1">(DCF!I60)/1000</f>
        <v>186.53540503379762</v>
      </c>
      <c r="H19" s="572">
        <f ca="1">(DCF!J60)/1000</f>
        <v>202.38037990601461</v>
      </c>
      <c r="I19" s="572">
        <f ca="1">(DCF!K60)/1000</f>
        <v>215.32192500356697</v>
      </c>
      <c r="J19" s="572">
        <f ca="1">(DCF!L60)/1000</f>
        <v>225.30757292404431</v>
      </c>
      <c r="L19" s="573" t="s">
        <v>225</v>
      </c>
      <c r="M19" s="571">
        <f>('Revenue Projections &amp; Cases'!H13)/1000</f>
        <v>33.707999999999998</v>
      </c>
      <c r="N19" s="571">
        <f ca="1">('Revenue Projections &amp; Cases'!J13)/1000</f>
        <v>38.380577072995585</v>
      </c>
      <c r="O19" s="571">
        <f ca="1">('Revenue Projections &amp; Cases'!K13)/1000</f>
        <v>40.16150843087518</v>
      </c>
      <c r="P19" s="571">
        <f ca="1">('Revenue Projections &amp; Cases'!L13)/1000</f>
        <v>42.174022995318118</v>
      </c>
      <c r="Q19" s="571">
        <f ca="1">('Revenue Projections &amp; Cases'!M13)/1000</f>
        <v>44.452605232018676</v>
      </c>
      <c r="R19" s="571">
        <f ca="1">('Revenue Projections &amp; Cases'!N13)/1000</f>
        <v>46.614769108081163</v>
      </c>
      <c r="S19" s="571">
        <f ca="1">('Revenue Projections &amp; Cases'!O13)/1000</f>
        <v>48.625643876929644</v>
      </c>
      <c r="T19" s="551"/>
    </row>
    <row r="20" spans="2:20" ht="18.75" customHeight="1">
      <c r="B20" s="552"/>
      <c r="C20" s="569" t="s">
        <v>45</v>
      </c>
      <c r="E20" s="575">
        <f ca="1">SUM(E19/D19)-1</f>
        <v>0.11321291163816372</v>
      </c>
      <c r="F20" s="575">
        <f t="shared" ref="F20:J20" ca="1" si="6">SUM(F19/E19)-1</f>
        <v>5.2582712762816453E-2</v>
      </c>
      <c r="G20" s="575">
        <f t="shared" ca="1" si="6"/>
        <v>9.9801315538268431E-2</v>
      </c>
      <c r="H20" s="575">
        <f t="shared" ca="1" si="6"/>
        <v>8.4943525168029721E-2</v>
      </c>
      <c r="I20" s="575">
        <f t="shared" ca="1" si="6"/>
        <v>6.394663901492037E-2</v>
      </c>
      <c r="J20" s="575">
        <f t="shared" ca="1" si="6"/>
        <v>4.6375434922903969E-2</v>
      </c>
      <c r="L20" s="569" t="s">
        <v>45</v>
      </c>
      <c r="N20" s="575">
        <f ca="1">SUM(N19/M19)-1</f>
        <v>0.13861923202194104</v>
      </c>
      <c r="O20" s="575">
        <f t="shared" ref="O20" ca="1" si="7">SUM(O19/N19)-1</f>
        <v>4.6401891104775883E-2</v>
      </c>
      <c r="P20" s="575">
        <f t="shared" ref="P20" ca="1" si="8">SUM(P19/O19)-1</f>
        <v>5.0110532275121633E-2</v>
      </c>
      <c r="Q20" s="575">
        <f t="shared" ref="Q20" ca="1" si="9">SUM(Q19/P19)-1</f>
        <v>5.4028097745228321E-2</v>
      </c>
      <c r="R20" s="575">
        <f t="shared" ref="R20" ca="1" si="10">SUM(R19/Q19)-1</f>
        <v>4.8639756090270936E-2</v>
      </c>
      <c r="S20" s="575">
        <f t="shared" ref="S20" ca="1" si="11">SUM(S19/R19)-1</f>
        <v>4.313814714358144E-2</v>
      </c>
      <c r="T20" s="551"/>
    </row>
    <row r="21" spans="2:20" ht="18.75" customHeight="1">
      <c r="B21" s="552"/>
      <c r="C21" s="573" t="s">
        <v>32</v>
      </c>
      <c r="D21" s="572">
        <f>(DCF!E62)/1000</f>
        <v>133.05000000000001</v>
      </c>
      <c r="E21" s="572">
        <f ca="1">(DCF!G62)/1000</f>
        <v>147.89095837286465</v>
      </c>
      <c r="F21" s="572">
        <f ca="1">(DCF!H62)/1000</f>
        <v>155.99901200742752</v>
      </c>
      <c r="G21" s="572">
        <f ca="1">(DCF!I62)/1000</f>
        <v>171.57650221667103</v>
      </c>
      <c r="H21" s="572">
        <f ca="1">(DCF!J62)/1000</f>
        <v>185.46188197982008</v>
      </c>
      <c r="I21" s="572">
        <f ca="1">(DCF!K62)/1000</f>
        <v>196.04026840147958</v>
      </c>
      <c r="J21" s="572">
        <f ca="1">(DCF!L62)/1000</f>
        <v>203.30179112164535</v>
      </c>
      <c r="L21" s="573" t="s">
        <v>226</v>
      </c>
      <c r="M21" s="571">
        <f>('Revenue Projections &amp; Cases'!H14)/1000</f>
        <v>28.023</v>
      </c>
      <c r="N21" s="571">
        <f ca="1">('Revenue Projections &amp; Cases'!J14)/1000</f>
        <v>28.581801680000559</v>
      </c>
      <c r="O21" s="571">
        <f ca="1">('Revenue Projections &amp; Cases'!K14)/1000</f>
        <v>29.851725739202514</v>
      </c>
      <c r="P21" s="571">
        <f ca="1">('Revenue Projections &amp; Cases'!L14)/1000</f>
        <v>31.342348890744567</v>
      </c>
      <c r="Q21" s="571">
        <f ca="1">('Revenue Projections &amp; Cases'!M14)/1000</f>
        <v>31.510387710334125</v>
      </c>
      <c r="R21" s="571">
        <f ca="1">('Revenue Projections &amp; Cases'!N14)/1000</f>
        <v>31.657974701894453</v>
      </c>
      <c r="S21" s="571">
        <f ca="1">('Revenue Projections &amp; Cases'!O14)/1000</f>
        <v>32.076853603955598</v>
      </c>
      <c r="T21" s="551"/>
    </row>
    <row r="22" spans="2:20" ht="18.75" customHeight="1">
      <c r="B22" s="552"/>
      <c r="C22" s="569" t="s">
        <v>45</v>
      </c>
      <c r="E22" s="575">
        <f ca="1">SUM(E21/D21)-1</f>
        <v>0.11154421926241742</v>
      </c>
      <c r="F22" s="575">
        <f t="shared" ref="F22" ca="1" si="12">SUM(F21/E21)-1</f>
        <v>5.482453913187002E-2</v>
      </c>
      <c r="G22" s="575">
        <f t="shared" ref="G22" ca="1" si="13">SUM(G21/F21)-1</f>
        <v>9.9856338888234975E-2</v>
      </c>
      <c r="H22" s="575">
        <f t="shared" ref="H22" ca="1" si="14">SUM(H21/G21)-1</f>
        <v>8.0928213267888127E-2</v>
      </c>
      <c r="I22" s="575">
        <f t="shared" ref="I22" ca="1" si="15">SUM(I21/H21)-1</f>
        <v>5.7038062531957534E-2</v>
      </c>
      <c r="J22" s="575">
        <f t="shared" ref="J22" ca="1" si="16">SUM(J21/I21)-1</f>
        <v>3.704097520053673E-2</v>
      </c>
      <c r="L22" s="569" t="s">
        <v>45</v>
      </c>
      <c r="N22" s="575">
        <f ca="1">SUM(N21/M21)-1</f>
        <v>1.99408228954987E-2</v>
      </c>
      <c r="O22" s="575">
        <f t="shared" ref="O22" ca="1" si="17">SUM(O21/N21)-1</f>
        <v>4.4431210929944731E-2</v>
      </c>
      <c r="P22" s="575">
        <f t="shared" ref="P22" ca="1" si="18">SUM(P21/O21)-1</f>
        <v>4.9934237121323388E-2</v>
      </c>
      <c r="Q22" s="575">
        <f t="shared" ref="Q22" ca="1" si="19">SUM(Q21/P21)-1</f>
        <v>5.3613984125862046E-3</v>
      </c>
      <c r="R22" s="575">
        <f t="shared" ref="R22" ca="1" si="20">SUM(R21/Q21)-1</f>
        <v>4.6837567635489297E-3</v>
      </c>
      <c r="S22" s="575">
        <f t="shared" ref="S22" ca="1" si="21">SUM(S21/R21)-1</f>
        <v>1.3231386593914873E-2</v>
      </c>
      <c r="T22" s="551"/>
    </row>
    <row r="23" spans="2:20" ht="18.75" customHeight="1">
      <c r="B23" s="552"/>
      <c r="C23" s="573" t="s">
        <v>583</v>
      </c>
      <c r="D23" s="572">
        <f>(DCF!C66)/1000</f>
        <v>112.331</v>
      </c>
      <c r="E23" s="572">
        <f>(DCF!E66)/1000</f>
        <v>112.331</v>
      </c>
      <c r="F23" s="572">
        <f ca="1">(DCF!G66)/1000</f>
        <v>124.15053096720294</v>
      </c>
      <c r="G23" s="572">
        <f ca="1">(DCF!H66)/1000</f>
        <v>131.00620022423894</v>
      </c>
      <c r="H23" s="572">
        <f ca="1">(DCF!I66)/1000</f>
        <v>144.2063735048223</v>
      </c>
      <c r="I23" s="572">
        <f ca="1">(DCF!J66)/1000</f>
        <v>155.63308857127811</v>
      </c>
      <c r="J23" s="572">
        <f ca="1">(DCF!K66)/1000</f>
        <v>164.25669103643034</v>
      </c>
      <c r="L23" s="573" t="s">
        <v>227</v>
      </c>
      <c r="M23" s="571">
        <f>('Revenue Projections &amp; Cases'!H15)/1000</f>
        <v>109.158</v>
      </c>
      <c r="N23" s="571">
        <f ca="1">('Revenue Projections &amp; Cases'!J15)/1000</f>
        <v>124.465</v>
      </c>
      <c r="O23" s="571">
        <f ca="1">('Revenue Projections &amp; Cases'!K15)/1000</f>
        <v>141.11199999999999</v>
      </c>
      <c r="P23" s="571">
        <f ca="1">('Revenue Projections &amp; Cases'!L15)/1000</f>
        <v>158.61500000000001</v>
      </c>
      <c r="Q23" s="571">
        <f ca="1">('Revenue Projections &amp; Cases'!M15)/1000</f>
        <v>178.28900607319011</v>
      </c>
      <c r="R23" s="571">
        <f ca="1">('Revenue Projections &amp; Cases'!N15)/1000</f>
        <v>200.40330162069174</v>
      </c>
      <c r="S23" s="571">
        <f ca="1">('Revenue Projections &amp; Cases'!O15)/1000</f>
        <v>226.49537351838771</v>
      </c>
      <c r="T23" s="551"/>
    </row>
    <row r="24" spans="2:20" ht="18.75" customHeight="1">
      <c r="B24" s="552"/>
      <c r="C24" s="569" t="s">
        <v>45</v>
      </c>
      <c r="E24" s="575">
        <f>SUM(E23/D23)-1</f>
        <v>0</v>
      </c>
      <c r="F24" s="575">
        <f t="shared" ref="F24" ca="1" si="22">SUM(F23/E23)-1</f>
        <v>0.10522056215294917</v>
      </c>
      <c r="G24" s="575">
        <f t="shared" ref="G24" ca="1" si="23">SUM(G23/F23)-1</f>
        <v>5.5220619707595731E-2</v>
      </c>
      <c r="H24" s="575">
        <f t="shared" ref="H24" ca="1" si="24">SUM(H23/G23)-1</f>
        <v>0.10075991256894001</v>
      </c>
      <c r="I24" s="575">
        <f t="shared" ref="I24" ca="1" si="25">SUM(I23/H23)-1</f>
        <v>7.9238627175335585E-2</v>
      </c>
      <c r="J24" s="575">
        <f t="shared" ref="J24" ca="1" si="26">SUM(J23/I23)-1</f>
        <v>5.5409826691209751E-2</v>
      </c>
      <c r="L24" s="569" t="s">
        <v>45</v>
      </c>
      <c r="N24" s="575">
        <f ca="1">SUM(N23/M23)-1</f>
        <v>0.14022792649187421</v>
      </c>
      <c r="O24" s="575">
        <f t="shared" ref="O24" ca="1" si="27">SUM(O23/N23)-1</f>
        <v>0.13374844333748426</v>
      </c>
      <c r="P24" s="575">
        <f t="shared" ref="P24" ca="1" si="28">SUM(P23/O23)-1</f>
        <v>0.12403622654345492</v>
      </c>
      <c r="Q24" s="575">
        <f t="shared" ref="Q24" ca="1" si="29">SUM(Q23/P23)-1</f>
        <v>0.12403622654345492</v>
      </c>
      <c r="R24" s="575">
        <f t="shared" ref="R24" ca="1" si="30">SUM(R23/Q23)-1</f>
        <v>0.12403622654345492</v>
      </c>
      <c r="S24" s="575">
        <f t="shared" ref="S24" ca="1" si="31">SUM(S23/R23)-1</f>
        <v>0.13019781454040658</v>
      </c>
      <c r="T24" s="551"/>
    </row>
    <row r="25" spans="2:20" ht="18.75" customHeight="1">
      <c r="B25" s="552"/>
      <c r="C25" s="573" t="s">
        <v>584</v>
      </c>
      <c r="D25" s="572">
        <f>(DCF!E72)/1000</f>
        <v>121.089</v>
      </c>
      <c r="E25" s="572">
        <f ca="1">(DCF!G72)/1000</f>
        <v>157.0283284702397</v>
      </c>
      <c r="F25" s="572">
        <f ca="1">(DCF!H72)/1000</f>
        <v>164.5659492003835</v>
      </c>
      <c r="G25" s="572">
        <f ca="1">(DCF!I72)/1000</f>
        <v>179.37211454359007</v>
      </c>
      <c r="H25" s="572">
        <f ca="1">(DCF!J72)/1000</f>
        <v>193.63533912423944</v>
      </c>
      <c r="I25" s="572">
        <f ca="1">(DCF!K72)/1000</f>
        <v>205.06611383159219</v>
      </c>
      <c r="J25" s="572">
        <f ca="1">(DCF!L72)/1000</f>
        <v>216.01593981630825</v>
      </c>
      <c r="L25" s="573" t="s">
        <v>96</v>
      </c>
      <c r="M25" s="571">
        <f>('Revenue Projections &amp; Cases'!H16)/1000</f>
        <v>35.686</v>
      </c>
      <c r="N25" s="571">
        <f ca="1">('Revenue Projections &amp; Cases'!J16)/1000</f>
        <v>37.319000000000003</v>
      </c>
      <c r="O25" s="571">
        <f ca="1">('Revenue Projections &amp; Cases'!K16)/1000</f>
        <v>39.17</v>
      </c>
      <c r="P25" s="571">
        <f ca="1">('Revenue Projections &amp; Cases'!L16)/1000</f>
        <v>41.500999999999998</v>
      </c>
      <c r="Q25" s="571">
        <f ca="1">('Revenue Projections &amp; Cases'!M16)/1000</f>
        <v>43.8253711807005</v>
      </c>
      <c r="R25" s="571">
        <f ca="1">('Revenue Projections &amp; Cases'!N16)/1000</f>
        <v>46.064445454987258</v>
      </c>
      <c r="S25" s="571">
        <f ca="1">('Revenue Projections &amp; Cases'!O16)/1000</f>
        <v>48.420581647458853</v>
      </c>
      <c r="T25" s="551"/>
    </row>
    <row r="26" spans="2:20" ht="18.75" customHeight="1">
      <c r="B26" s="552"/>
      <c r="C26" s="569" t="s">
        <v>45</v>
      </c>
      <c r="E26" s="575">
        <f ca="1">SUM(E25/D25)-1</f>
        <v>0.29680093542964014</v>
      </c>
      <c r="F26" s="575">
        <f t="shared" ref="F26:J26" ca="1" si="32">SUM(F25/E25)-1</f>
        <v>4.8001661888493752E-2</v>
      </c>
      <c r="G26" s="575">
        <f t="shared" ca="1" si="32"/>
        <v>8.9971014144474504E-2</v>
      </c>
      <c r="H26" s="575">
        <f t="shared" ca="1" si="32"/>
        <v>7.9517513728050382E-2</v>
      </c>
      <c r="I26" s="575">
        <f t="shared" ca="1" si="32"/>
        <v>5.9032482185592094E-2</v>
      </c>
      <c r="J26" s="575">
        <f t="shared" ca="1" si="32"/>
        <v>5.3396564552388392E-2</v>
      </c>
      <c r="L26" s="569" t="s">
        <v>45</v>
      </c>
      <c r="N26" s="575">
        <f ca="1">SUM(N25/M25)-1</f>
        <v>4.5760242111752669E-2</v>
      </c>
      <c r="O26" s="575">
        <f t="shared" ref="O26" ca="1" si="33">SUM(O25/N25)-1</f>
        <v>4.9599399769554298E-2</v>
      </c>
      <c r="P26" s="575">
        <f t="shared" ref="P26" ca="1" si="34">SUM(P25/O25)-1</f>
        <v>5.9509828950727428E-2</v>
      </c>
      <c r="Q26" s="575">
        <f t="shared" ref="Q26" ca="1" si="35">SUM(Q25/P25)-1</f>
        <v>5.6007594532673899E-2</v>
      </c>
      <c r="R26" s="575">
        <f t="shared" ref="R26" ca="1" si="36">SUM(R25/Q25)-1</f>
        <v>5.1090822826225901E-2</v>
      </c>
      <c r="S26" s="575">
        <f t="shared" ref="S26" ca="1" si="37">SUM(S25/R25)-1</f>
        <v>5.1148693296958037E-2</v>
      </c>
      <c r="T26" s="551"/>
    </row>
    <row r="27" spans="2:20" ht="18.75" customHeight="1">
      <c r="B27" s="552"/>
      <c r="C27" s="569"/>
      <c r="E27" s="575"/>
      <c r="F27" s="575"/>
      <c r="G27" s="575"/>
      <c r="H27" s="575"/>
      <c r="I27" s="575"/>
      <c r="J27" s="575"/>
      <c r="T27" s="551"/>
    </row>
    <row r="28" spans="2:20" ht="18.75" customHeight="1">
      <c r="B28" s="552"/>
      <c r="C28" s="556" t="s">
        <v>479</v>
      </c>
      <c r="D28" s="570"/>
      <c r="E28" s="568"/>
      <c r="F28" s="568"/>
      <c r="G28" s="568"/>
      <c r="H28" s="568"/>
      <c r="I28" s="568"/>
      <c r="J28" s="568"/>
      <c r="L28" s="556" t="s">
        <v>594</v>
      </c>
      <c r="M28" s="570"/>
      <c r="N28" s="568"/>
      <c r="O28" s="568"/>
      <c r="P28" s="568"/>
      <c r="Q28" s="568"/>
      <c r="R28" s="568"/>
      <c r="S28" s="568"/>
      <c r="T28" s="551"/>
    </row>
    <row r="29" spans="2:20" ht="18.75" customHeight="1">
      <c r="B29" s="552"/>
      <c r="C29" s="576"/>
      <c r="D29" s="577">
        <v>2025</v>
      </c>
      <c r="E29" s="578">
        <v>2026</v>
      </c>
      <c r="F29" s="578">
        <v>2027</v>
      </c>
      <c r="G29" s="578">
        <v>2028</v>
      </c>
      <c r="H29" s="578">
        <v>2029</v>
      </c>
      <c r="I29" s="578">
        <v>2030</v>
      </c>
      <c r="J29" s="578">
        <v>2031</v>
      </c>
      <c r="L29" s="576"/>
      <c r="M29" s="577">
        <v>2025</v>
      </c>
      <c r="N29" s="578">
        <v>2026</v>
      </c>
      <c r="O29" s="578">
        <v>2027</v>
      </c>
      <c r="P29" s="578">
        <v>2028</v>
      </c>
      <c r="Q29" s="578">
        <v>2029</v>
      </c>
      <c r="R29" s="578">
        <v>2030</v>
      </c>
      <c r="S29" s="578">
        <v>2031</v>
      </c>
      <c r="T29" s="551"/>
    </row>
    <row r="30" spans="2:20" ht="18.75" customHeight="1">
      <c r="B30" s="552"/>
      <c r="C30" s="573" t="s">
        <v>360</v>
      </c>
      <c r="D30" s="574">
        <f>'Revenue Projections &amp; Cases'!H27</f>
        <v>231000</v>
      </c>
      <c r="E30" s="574">
        <f ca="1">'Revenue Projections &amp; Cases'!J27</f>
        <v>242463.33333333334</v>
      </c>
      <c r="F30" s="574">
        <f ca="1">'Revenue Projections &amp; Cases'!K27</f>
        <v>247043.33333333334</v>
      </c>
      <c r="G30" s="574">
        <f ca="1">'Revenue Projections &amp; Cases'!L27</f>
        <v>251638.22806158534</v>
      </c>
      <c r="H30" s="574">
        <f ca="1">'Revenue Projections &amp; Cases'!M27</f>
        <v>254787.64099595489</v>
      </c>
      <c r="I30" s="574">
        <f ca="1">'Revenue Projections &amp; Cases'!N27</f>
        <v>256592.19330087095</v>
      </c>
      <c r="J30" s="574">
        <f ca="1">'Revenue Projections &amp; Cases'!O27</f>
        <v>259269.18536156273</v>
      </c>
      <c r="L30" s="573" t="s">
        <v>487</v>
      </c>
      <c r="M30" s="571">
        <f>'Revenue Projections &amp; Cases'!H35</f>
        <v>907</v>
      </c>
      <c r="N30" s="571">
        <f ca="1">'Revenue Projections &amp; Cases'!J35</f>
        <v>955.9</v>
      </c>
      <c r="O30" s="571">
        <f ca="1">'Revenue Projections &amp; Cases'!K35</f>
        <v>973</v>
      </c>
      <c r="P30" s="571">
        <f ca="1">'Revenue Projections &amp; Cases'!L35</f>
        <v>1009.3059701492538</v>
      </c>
      <c r="Q30" s="571">
        <f ca="1">'Revenue Projections &amp; Cases'!M35</f>
        <v>1035.7</v>
      </c>
      <c r="R30" s="571">
        <f ca="1">'Revenue Projections &amp; Cases'!N35</f>
        <v>1035.7</v>
      </c>
      <c r="S30" s="571">
        <f ca="1">'Revenue Projections &amp; Cases'!O35</f>
        <v>1035.7</v>
      </c>
      <c r="T30" s="551"/>
    </row>
    <row r="31" spans="2:20" ht="18.75" customHeight="1">
      <c r="B31" s="552"/>
      <c r="C31" s="569" t="s">
        <v>45</v>
      </c>
      <c r="E31" s="575">
        <f ca="1">SUM(E30/D30)-1</f>
        <v>4.9624819624819683E-2</v>
      </c>
      <c r="F31" s="575">
        <f t="shared" ref="F31" ca="1" si="38">SUM(F30/E30)-1</f>
        <v>1.8889454075530221E-2</v>
      </c>
      <c r="G31" s="575">
        <f t="shared" ref="G31" ca="1" si="39">SUM(G30/F30)-1</f>
        <v>1.8599549586113096E-2</v>
      </c>
      <c r="H31" s="575">
        <f t="shared" ref="H31" ca="1" si="40">SUM(H30/G30)-1</f>
        <v>1.2515637860868845E-2</v>
      </c>
      <c r="I31" s="575">
        <f t="shared" ref="I31" ca="1" si="41">SUM(I30/H30)-1</f>
        <v>7.082573934364067E-3</v>
      </c>
      <c r="J31" s="575">
        <f t="shared" ref="J31" ca="1" si="42">SUM(J30/I30)-1</f>
        <v>1.0432866355964521E-2</v>
      </c>
      <c r="L31" s="569" t="s">
        <v>45</v>
      </c>
      <c r="N31" s="575">
        <f ca="1">SUM(N30/M30)-1</f>
        <v>5.3914002205071698E-2</v>
      </c>
      <c r="O31" s="575">
        <f t="shared" ref="O31" ca="1" si="43">SUM(O30/N30)-1</f>
        <v>1.7888900512605943E-2</v>
      </c>
      <c r="P31" s="575">
        <f t="shared" ref="P31" ca="1" si="44">SUM(P30/O30)-1</f>
        <v>3.7313432835820892E-2</v>
      </c>
      <c r="Q31" s="575">
        <f t="shared" ref="Q31" ca="1" si="45">SUM(Q30/P30)-1</f>
        <v>2.6150672473326697E-2</v>
      </c>
      <c r="R31" s="575">
        <f t="shared" ref="R31" ca="1" si="46">SUM(R30/Q30)-1</f>
        <v>0</v>
      </c>
      <c r="S31" s="575">
        <f t="shared" ref="S31" ca="1" si="47">SUM(S30/R30)-1</f>
        <v>0</v>
      </c>
      <c r="T31" s="551"/>
    </row>
    <row r="32" spans="2:20" ht="18.75" customHeight="1">
      <c r="B32" s="552"/>
      <c r="C32" s="573" t="s">
        <v>361</v>
      </c>
      <c r="D32" s="574">
        <f>'Revenue Projections &amp; Cases'!H28</f>
        <v>50850</v>
      </c>
      <c r="E32" s="574">
        <f ca="1">'Revenue Projections &amp; Cases'!J28</f>
        <v>52340.691742555005</v>
      </c>
      <c r="F32" s="574">
        <f ca="1">'Revenue Projections &amp; Cases'!K28</f>
        <v>52598.726329682759</v>
      </c>
      <c r="G32" s="574">
        <f ca="1">'Revenue Projections &amp; Cases'!L28</f>
        <v>53527.331032499773</v>
      </c>
      <c r="H32" s="574">
        <f ca="1">'Revenue Projections &amp; Cases'!M28</f>
        <v>53477.861552237489</v>
      </c>
      <c r="I32" s="574">
        <f ca="1">'Revenue Projections &amp; Cases'!N28</f>
        <v>54001.767442232245</v>
      </c>
      <c r="J32" s="574">
        <f ca="1">'Revenue Projections &amp; Cases'!O28</f>
        <v>54725.596064198326</v>
      </c>
      <c r="L32" s="573" t="s">
        <v>488</v>
      </c>
      <c r="M32" s="571">
        <f>'Revenue Projections &amp; Cases'!H36</f>
        <v>551</v>
      </c>
      <c r="N32" s="571">
        <f ca="1">'Revenue Projections &amp; Cases'!J36</f>
        <v>546.07229534879173</v>
      </c>
      <c r="O32" s="571">
        <f ca="1">'Revenue Projections &amp; Cases'!K36</f>
        <v>567.53704551884653</v>
      </c>
      <c r="P32" s="571">
        <f ca="1">'Revenue Projections &amp; Cases'!L36</f>
        <v>585.53916823752479</v>
      </c>
      <c r="Q32" s="571">
        <f ca="1">'Revenue Projections &amp; Cases'!M36</f>
        <v>589.22303165683979</v>
      </c>
      <c r="R32" s="571">
        <f ca="1">'Revenue Projections &amp; Cases'!N36</f>
        <v>586.23960291226024</v>
      </c>
      <c r="S32" s="571">
        <f ca="1">'Revenue Projections &amp; Cases'!O36</f>
        <v>586.1398670985036</v>
      </c>
      <c r="T32" s="551"/>
    </row>
    <row r="33" spans="2:20" ht="18.75" customHeight="1">
      <c r="B33" s="552"/>
      <c r="C33" s="569" t="s">
        <v>45</v>
      </c>
      <c r="E33" s="575">
        <f ca="1">SUM(E32/D32)-1</f>
        <v>2.931547182999017E-2</v>
      </c>
      <c r="F33" s="575">
        <f t="shared" ref="F33" ca="1" si="48">SUM(F32/E32)-1</f>
        <v>4.9299040294867869E-3</v>
      </c>
      <c r="G33" s="575">
        <f t="shared" ref="G33" ca="1" si="49">SUM(G32/F32)-1</f>
        <v>1.7654509293564047E-2</v>
      </c>
      <c r="H33" s="575">
        <f t="shared" ref="H33" ca="1" si="50">SUM(H32/G32)-1</f>
        <v>-9.2419104984420297E-4</v>
      </c>
      <c r="I33" s="575">
        <f t="shared" ref="I33" ca="1" si="51">SUM(I32/H32)-1</f>
        <v>9.7966873541306398E-3</v>
      </c>
      <c r="J33" s="575">
        <f t="shared" ref="J33" ca="1" si="52">SUM(J32/I32)-1</f>
        <v>1.3403795028382959E-2</v>
      </c>
      <c r="L33" s="569" t="s">
        <v>45</v>
      </c>
      <c r="N33" s="575">
        <f ca="1">SUM(N32/M32)-1</f>
        <v>-8.9432026337717963E-3</v>
      </c>
      <c r="O33" s="575">
        <f t="shared" ref="O33" ca="1" si="53">SUM(O32/N32)-1</f>
        <v>3.9307524576658315E-2</v>
      </c>
      <c r="P33" s="575">
        <f t="shared" ref="P33" ca="1" si="54">SUM(P32/O32)-1</f>
        <v>3.1719731532627193E-2</v>
      </c>
      <c r="Q33" s="575">
        <f t="shared" ref="Q33" ca="1" si="55">SUM(Q32/P32)-1</f>
        <v>6.2914039216257489E-3</v>
      </c>
      <c r="R33" s="575">
        <f t="shared" ref="R33" ca="1" si="56">SUM(R32/Q32)-1</f>
        <v>-5.0633267613291455E-3</v>
      </c>
      <c r="S33" s="575">
        <f t="shared" ref="S33" ca="1" si="57">SUM(S32/R32)-1</f>
        <v>-1.7012807265348595E-4</v>
      </c>
      <c r="T33" s="551"/>
    </row>
    <row r="34" spans="2:20" ht="18.75" customHeight="1">
      <c r="B34" s="552"/>
      <c r="C34" s="573" t="s">
        <v>482</v>
      </c>
      <c r="D34" s="574">
        <f>'Revenue Projections &amp; Cases'!H29</f>
        <v>26947</v>
      </c>
      <c r="E34" s="574">
        <f ca="1">'Revenue Projections &amp; Cases'!J29</f>
        <v>29179.816771921203</v>
      </c>
      <c r="F34" s="574">
        <f ca="1">'Revenue Projections &amp; Cases'!K29</f>
        <v>30638.807610517266</v>
      </c>
      <c r="G34" s="574">
        <f ca="1">'Revenue Projections &amp; Cases'!L29</f>
        <v>32170.747991043128</v>
      </c>
      <c r="H34" s="574">
        <f ca="1">'Revenue Projections &amp; Cases'!M29</f>
        <v>33779.285390595287</v>
      </c>
      <c r="I34" s="574">
        <f ca="1">'Revenue Projections &amp; Cases'!N29</f>
        <v>35468.249660125053</v>
      </c>
      <c r="J34" s="574">
        <f ca="1">'Revenue Projections &amp; Cases'!O29</f>
        <v>37241.662143131311</v>
      </c>
      <c r="L34" s="573" t="s">
        <v>489</v>
      </c>
      <c r="M34" s="571">
        <f>'Revenue Projections &amp; Cases'!H37</f>
        <v>1251</v>
      </c>
      <c r="N34" s="571">
        <f ca="1">'Revenue Projections &amp; Cases'!J37</f>
        <v>1315.3124768736716</v>
      </c>
      <c r="O34" s="571">
        <f ca="1">'Revenue Projections &amp; Cases'!K37</f>
        <v>1310.8052030422064</v>
      </c>
      <c r="P34" s="571">
        <f ca="1">'Revenue Projections &amp; Cases'!L37</f>
        <v>1310.9431899768097</v>
      </c>
      <c r="Q34" s="571">
        <f ca="1">'Revenue Projections &amp; Cases'!M37</f>
        <v>1315.9723397936364</v>
      </c>
      <c r="R34" s="571">
        <f ca="1">'Revenue Projections &amp; Cases'!N37</f>
        <v>1314.2675365930875</v>
      </c>
      <c r="S34" s="571">
        <f ca="1">'Revenue Projections &amp; Cases'!O37</f>
        <v>1305.6786694977829</v>
      </c>
      <c r="T34" s="551"/>
    </row>
    <row r="35" spans="2:20" ht="18.75" customHeight="1">
      <c r="B35" s="552"/>
      <c r="C35" s="569" t="s">
        <v>45</v>
      </c>
      <c r="E35" s="575">
        <f ca="1">SUM(E34/D34)-1</f>
        <v>8.2859567741166096E-2</v>
      </c>
      <c r="F35" s="575">
        <f t="shared" ref="F35" ca="1" si="58">SUM(F34/E34)-1</f>
        <v>5.0000000000000044E-2</v>
      </c>
      <c r="G35" s="575">
        <f t="shared" ref="G35" ca="1" si="59">SUM(G34/F34)-1</f>
        <v>5.0000000000000044E-2</v>
      </c>
      <c r="H35" s="575">
        <f t="shared" ref="H35" ca="1" si="60">SUM(H34/G34)-1</f>
        <v>5.0000000000000044E-2</v>
      </c>
      <c r="I35" s="575">
        <f t="shared" ref="I35" ca="1" si="61">SUM(I34/H34)-1</f>
        <v>5.0000000000000044E-2</v>
      </c>
      <c r="J35" s="575">
        <f t="shared" ref="J35" ca="1" si="62">SUM(J34/I34)-1</f>
        <v>5.0000000000000044E-2</v>
      </c>
      <c r="L35" s="569" t="s">
        <v>45</v>
      </c>
      <c r="N35" s="575">
        <f ca="1">SUM(N34/M34)-1</f>
        <v>5.1408854415404992E-2</v>
      </c>
      <c r="O35" s="575">
        <f t="shared" ref="O35" ca="1" si="63">SUM(O34/N34)-1</f>
        <v>-3.4267703764039315E-3</v>
      </c>
      <c r="P35" s="575">
        <f t="shared" ref="P35" ca="1" si="64">SUM(P34/O34)-1</f>
        <v>1.0526883344907922E-4</v>
      </c>
      <c r="Q35" s="575">
        <f t="shared" ref="Q35" ca="1" si="65">SUM(Q34/P34)-1</f>
        <v>3.8362835668841466E-3</v>
      </c>
      <c r="R35" s="575">
        <f t="shared" ref="R35" ca="1" si="66">SUM(R34/Q34)-1</f>
        <v>-1.2954703902182674E-3</v>
      </c>
      <c r="S35" s="575">
        <f t="shared" ref="S35" ca="1" si="67">SUM(S34/R34)-1</f>
        <v>-6.5350979584940516E-3</v>
      </c>
      <c r="T35" s="551"/>
    </row>
    <row r="36" spans="2:20" ht="18.75" customHeight="1">
      <c r="B36" s="552"/>
      <c r="C36" s="569"/>
      <c r="E36" s="575"/>
      <c r="F36" s="575"/>
      <c r="G36" s="575"/>
      <c r="H36" s="575"/>
      <c r="I36" s="575"/>
      <c r="J36" s="575"/>
      <c r="T36" s="551"/>
    </row>
    <row r="37" spans="2:20" ht="18.75" customHeight="1">
      <c r="B37" s="552"/>
      <c r="C37" s="556" t="s">
        <v>593</v>
      </c>
      <c r="D37" s="570"/>
      <c r="E37" s="568"/>
      <c r="F37" s="568"/>
      <c r="G37" s="568"/>
      <c r="H37" s="568"/>
      <c r="I37" s="568"/>
      <c r="J37" s="568"/>
      <c r="L37" s="556" t="s">
        <v>587</v>
      </c>
      <c r="M37" s="570"/>
      <c r="N37" s="568"/>
      <c r="O37" s="568"/>
      <c r="P37" s="568"/>
      <c r="Q37" s="568"/>
      <c r="R37" s="568"/>
      <c r="S37" s="568"/>
      <c r="T37" s="551"/>
    </row>
    <row r="38" spans="2:20" ht="18.75" customHeight="1">
      <c r="B38" s="552"/>
      <c r="C38" s="576"/>
      <c r="D38" s="577">
        <v>2025</v>
      </c>
      <c r="E38" s="578">
        <v>2026</v>
      </c>
      <c r="F38" s="578">
        <v>2027</v>
      </c>
      <c r="G38" s="578">
        <v>2028</v>
      </c>
      <c r="H38" s="578">
        <v>2029</v>
      </c>
      <c r="I38" s="578">
        <v>2030</v>
      </c>
      <c r="J38" s="578">
        <v>2031</v>
      </c>
      <c r="L38" s="576"/>
      <c r="M38" s="577">
        <v>2025</v>
      </c>
      <c r="N38" s="578">
        <v>2026</v>
      </c>
      <c r="O38" s="578">
        <v>2027</v>
      </c>
      <c r="P38" s="578">
        <v>2028</v>
      </c>
      <c r="Q38" s="578">
        <v>2029</v>
      </c>
      <c r="R38" s="578">
        <v>2030</v>
      </c>
      <c r="S38" s="578">
        <v>2031</v>
      </c>
      <c r="T38" s="551"/>
    </row>
    <row r="39" spans="2:20" ht="18.75" customHeight="1">
      <c r="B39" s="552"/>
      <c r="C39" s="573" t="s">
        <v>589</v>
      </c>
      <c r="D39" s="582">
        <f>'3 Statement Model'!H225</f>
        <v>34.092882867601105</v>
      </c>
      <c r="E39" s="582">
        <f ca="1">'3 Statement Model'!L225</f>
        <v>32.022217157887724</v>
      </c>
      <c r="F39" s="582">
        <f ca="1">'3 Statement Model'!M225</f>
        <v>31.445589547794576</v>
      </c>
      <c r="G39" s="582">
        <f ca="1">'3 Statement Model'!N225</f>
        <v>30.93104387347104</v>
      </c>
      <c r="H39" s="582">
        <f ca="1">'3 Statement Model'!O225</f>
        <v>30.462534483336785</v>
      </c>
      <c r="I39" s="582">
        <f ca="1">'3 Statement Model'!P225</f>
        <v>30.025514931033296</v>
      </c>
      <c r="J39" s="582">
        <f ca="1">'3 Statement Model'!Q225</f>
        <v>29.611305917014647</v>
      </c>
      <c r="L39" s="573" t="s">
        <v>105</v>
      </c>
      <c r="M39" s="571">
        <f>'3 Statement Model'!H212</f>
        <v>7.4930595042980901</v>
      </c>
      <c r="N39" s="571">
        <f ca="1">'3 Statement Model'!L212</f>
        <v>8.463186626452714</v>
      </c>
      <c r="O39" s="571">
        <f ca="1">'3 Statement Model'!M212</f>
        <v>9.0966520107211366</v>
      </c>
      <c r="P39" s="571">
        <f ca="1">'3 Statement Model'!N212</f>
        <v>10.207129388861752</v>
      </c>
      <c r="Q39" s="571">
        <f ca="1">'3 Statement Model'!O212</f>
        <v>11.22008483599223</v>
      </c>
      <c r="R39" s="571">
        <f ca="1">'3 Statement Model'!P212</f>
        <v>12.0568912999034</v>
      </c>
      <c r="S39" s="571">
        <f ca="1">'3 Statement Model'!Q212</f>
        <v>12.713656710182567</v>
      </c>
      <c r="T39" s="551"/>
    </row>
    <row r="40" spans="2:20" ht="18.75" customHeight="1">
      <c r="B40" s="552"/>
      <c r="C40" s="569" t="s">
        <v>45</v>
      </c>
      <c r="D40" s="566"/>
      <c r="E40" s="575">
        <f ca="1">SUM(E39/D39)-1</f>
        <v>-6.0736011024786651E-2</v>
      </c>
      <c r="F40" s="575">
        <f ca="1">SUM(F39/E39)-1</f>
        <v>-1.8007110727219389E-2</v>
      </c>
      <c r="G40" s="575">
        <f t="shared" ref="G40" ca="1" si="68">SUM(G39/F39)-1</f>
        <v>-1.6363047464620473E-2</v>
      </c>
      <c r="H40" s="575">
        <f t="shared" ref="H40" ca="1" si="69">SUM(H39/G39)-1</f>
        <v>-1.5146898761347227E-2</v>
      </c>
      <c r="I40" s="575">
        <f t="shared" ref="I40" ca="1" si="70">SUM(I39/H39)-1</f>
        <v>-1.4346132379186693E-2</v>
      </c>
      <c r="J40" s="575">
        <f t="shared" ref="J40" ca="1" si="71">SUM(J39/I39)-1</f>
        <v>-1.3795234318880523E-2</v>
      </c>
      <c r="L40" s="569" t="s">
        <v>45</v>
      </c>
      <c r="N40" s="575">
        <f ca="1">SUM(N39/M39)-1</f>
        <v>0.12947009450520852</v>
      </c>
      <c r="O40" s="575">
        <f t="shared" ref="O40:S40" ca="1" si="72">SUM(O39/N39)-1</f>
        <v>7.4849511446249961E-2</v>
      </c>
      <c r="P40" s="575">
        <f t="shared" ca="1" si="72"/>
        <v>0.12207539398361367</v>
      </c>
      <c r="Q40" s="575">
        <f t="shared" ca="1" si="72"/>
        <v>9.9239992806972488E-2</v>
      </c>
      <c r="R40" s="575">
        <f t="shared" ca="1" si="72"/>
        <v>7.4581117357226168E-2</v>
      </c>
      <c r="S40" s="575">
        <f t="shared" ca="1" si="72"/>
        <v>5.447220132808428E-2</v>
      </c>
      <c r="T40" s="551"/>
    </row>
    <row r="41" spans="2:20" ht="18.75" customHeight="1">
      <c r="B41" s="552"/>
      <c r="C41" s="573" t="s">
        <v>590</v>
      </c>
      <c r="D41" s="582">
        <f>'3 Statement Model'!H228</f>
        <v>34.221050759932147</v>
      </c>
      <c r="E41" s="582">
        <f ca="1">'3 Statement Model'!L228</f>
        <v>32.144916927225687</v>
      </c>
      <c r="F41" s="582">
        <f ca="1">'3 Statement Model'!M228</f>
        <v>31.568289317132542</v>
      </c>
      <c r="G41" s="582">
        <f ca="1">'3 Statement Model'!N228</f>
        <v>31.053743642809</v>
      </c>
      <c r="H41" s="582">
        <f ca="1">'3 Statement Model'!O228</f>
        <v>30.585234252674741</v>
      </c>
      <c r="I41" s="582">
        <f ca="1">'3 Statement Model'!P228</f>
        <v>30.148214700371252</v>
      </c>
      <c r="J41" s="582">
        <f ca="1">'3 Statement Model'!Q228</f>
        <v>29.73400568635261</v>
      </c>
      <c r="L41" s="573" t="s">
        <v>107</v>
      </c>
      <c r="M41" s="571">
        <f>'3 Statement Model'!H215</f>
        <v>7.4649957943169394</v>
      </c>
      <c r="N41" s="571">
        <f ca="1">'3 Statement Model'!L215</f>
        <v>8.4308819529243664</v>
      </c>
      <c r="O41" s="571">
        <f ca="1">'3 Statement Model'!M215</f>
        <v>9.0612951026463779</v>
      </c>
      <c r="P41" s="571">
        <f ca="1">'3 Statement Model'!N215</f>
        <v>10.166798907744186</v>
      </c>
      <c r="Q41" s="571">
        <f ca="1">'3 Statement Model'!O215</f>
        <v>11.175072860280187</v>
      </c>
      <c r="R41" s="571">
        <f ca="1">'3 Statement Model'!P215</f>
        <v>12.007821137834641</v>
      </c>
      <c r="S41" s="571">
        <f ca="1">'3 Statement Model'!Q215</f>
        <v>12.661192781768865</v>
      </c>
      <c r="T41" s="551"/>
    </row>
    <row r="42" spans="2:20" ht="18.75" customHeight="1">
      <c r="B42" s="552"/>
      <c r="C42" s="569" t="s">
        <v>45</v>
      </c>
      <c r="E42" s="575">
        <f ca="1">SUM(E41/D41)-1</f>
        <v>-6.0668325098226061E-2</v>
      </c>
      <c r="F42" s="575">
        <f t="shared" ref="F42" ca="1" si="73">SUM(F41/E41)-1</f>
        <v>-1.7938376117088706E-2</v>
      </c>
      <c r="G42" s="575">
        <f t="shared" ref="G42" ca="1" si="74">SUM(G41/F41)-1</f>
        <v>-1.6299447497913455E-2</v>
      </c>
      <c r="H42" s="575">
        <f t="shared" ref="H42" ca="1" si="75">SUM(H41/G41)-1</f>
        <v>-1.5087050228894006E-2</v>
      </c>
      <c r="I42" s="575">
        <f t="shared" ref="I42" ca="1" si="76">SUM(I41/H41)-1</f>
        <v>-1.4288579537862223E-2</v>
      </c>
      <c r="J42" s="575">
        <f t="shared" ref="J42" ca="1" si="77">SUM(J41/I41)-1</f>
        <v>-1.3739089300486507E-2</v>
      </c>
      <c r="L42" s="569" t="s">
        <v>45</v>
      </c>
      <c r="N42" s="575">
        <f ca="1">SUM(N41/M41)-1</f>
        <v>0.12938870767251487</v>
      </c>
      <c r="O42" s="575">
        <f t="shared" ref="O42:S42" ca="1" si="78">SUM(O41/N41)-1</f>
        <v>7.4774282600807096E-2</v>
      </c>
      <c r="P42" s="575">
        <f t="shared" ca="1" si="78"/>
        <v>0.12200284755927893</v>
      </c>
      <c r="Q42" s="575">
        <f t="shared" ca="1" si="78"/>
        <v>9.9173197157267134E-2</v>
      </c>
      <c r="R42" s="575">
        <f t="shared" ca="1" si="78"/>
        <v>7.4518375671116299E-2</v>
      </c>
      <c r="S42" s="575">
        <f t="shared" ca="1" si="78"/>
        <v>5.4412173235621974E-2</v>
      </c>
      <c r="T42" s="551"/>
    </row>
    <row r="43" spans="2:20" ht="18.75" customHeight="1">
      <c r="B43" s="561"/>
      <c r="C43" s="562"/>
      <c r="D43" s="562"/>
      <c r="E43" s="562"/>
      <c r="F43" s="562"/>
      <c r="G43" s="562"/>
      <c r="H43" s="562"/>
      <c r="I43" s="562"/>
      <c r="J43" s="562"/>
      <c r="K43" s="586"/>
      <c r="L43" s="562"/>
      <c r="M43" s="562"/>
      <c r="N43" s="562"/>
      <c r="O43" s="562"/>
      <c r="P43" s="562"/>
      <c r="Q43" s="562"/>
      <c r="R43" s="562"/>
      <c r="S43" s="562"/>
      <c r="T43" s="563"/>
    </row>
  </sheetData>
  <pageMargins left="0.7" right="0.7" top="0.75" bottom="0.75" header="0.3" footer="0.3"/>
  <ignoredErrors>
    <ignoredError sqref="E18:J20 E25:J25 E23:J24 E26:J26 E21:J21 N23:S23 N21:S21 N19:S19 N16:S18 N20:S20 N22:S22 N24:S25 E41:S42 E29:J29 E30:J34 N29:S34" formula="1"/>
    <ignoredError sqref="D31 D35:J35 D36:J38" evalError="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DDA27-45CD-4B5A-8145-AF0A5EB6A490}">
  <sheetPr>
    <tabColor theme="0"/>
  </sheetPr>
  <dimension ref="B2:AD48"/>
  <sheetViews>
    <sheetView showGridLines="0" topLeftCell="C23" zoomScaleNormal="100" workbookViewId="0">
      <selection activeCell="D29" sqref="D29"/>
    </sheetView>
  </sheetViews>
  <sheetFormatPr defaultColWidth="10.875" defaultRowHeight="18.75" customHeight="1"/>
  <cols>
    <col min="1" max="1" width="1.625" style="550" customWidth="1"/>
    <col min="2" max="2" width="3.625" style="550" customWidth="1"/>
    <col min="3" max="3" width="28.625" style="550" bestFit="1" customWidth="1"/>
    <col min="4" max="4" width="15.875" style="550" customWidth="1"/>
    <col min="5" max="9" width="10.875" style="550" customWidth="1"/>
    <col min="10" max="29" width="10.875" style="550"/>
    <col min="30" max="30" width="3.625" style="550" customWidth="1"/>
    <col min="31" max="16384" width="10.875" style="550"/>
  </cols>
  <sheetData>
    <row r="2" spans="2:30" ht="18.75" customHeight="1">
      <c r="B2" s="564"/>
      <c r="C2" s="564"/>
      <c r="D2" s="564"/>
      <c r="E2" s="564"/>
      <c r="F2" s="564"/>
      <c r="G2" s="564"/>
      <c r="H2" s="564"/>
      <c r="I2" s="564"/>
      <c r="J2" s="564"/>
      <c r="K2" s="564"/>
      <c r="L2" s="564"/>
      <c r="M2" s="564"/>
      <c r="N2" s="564"/>
      <c r="O2" s="564"/>
      <c r="P2" s="564"/>
      <c r="Q2" s="564"/>
      <c r="R2" s="564"/>
      <c r="S2" s="564"/>
      <c r="T2" s="564"/>
      <c r="U2" s="564"/>
      <c r="V2" s="564"/>
      <c r="W2" s="564"/>
      <c r="X2" s="564"/>
      <c r="Y2" s="564"/>
      <c r="Z2" s="564"/>
      <c r="AA2" s="564"/>
      <c r="AB2" s="564"/>
      <c r="AC2" s="564"/>
      <c r="AD2" s="564"/>
    </row>
    <row r="3" spans="2:30" ht="18.75" customHeight="1">
      <c r="B3" s="564"/>
      <c r="C3" s="564"/>
      <c r="D3" s="564"/>
      <c r="E3" s="564"/>
      <c r="F3" s="564"/>
      <c r="G3" s="564"/>
      <c r="H3" s="564"/>
      <c r="I3" s="564"/>
      <c r="J3" s="564"/>
      <c r="K3" s="564"/>
      <c r="L3" s="564"/>
      <c r="M3" s="564"/>
      <c r="N3" s="564"/>
      <c r="O3" s="564"/>
      <c r="P3" s="564"/>
      <c r="Q3" s="564"/>
      <c r="R3" s="564"/>
      <c r="S3" s="564"/>
      <c r="T3" s="564"/>
      <c r="U3" s="564"/>
      <c r="V3" s="564"/>
      <c r="W3" s="564"/>
      <c r="X3" s="564"/>
      <c r="Y3" s="564"/>
      <c r="Z3" s="564"/>
      <c r="AA3" s="564"/>
      <c r="AB3" s="564"/>
      <c r="AC3" s="564"/>
      <c r="AD3" s="564"/>
    </row>
    <row r="4" spans="2:30" ht="18.75" customHeight="1">
      <c r="B4" s="564"/>
      <c r="C4" s="564"/>
      <c r="D4" s="564"/>
      <c r="E4" s="564"/>
      <c r="F4" s="564"/>
      <c r="G4" s="564"/>
      <c r="H4" s="564"/>
      <c r="I4" s="564"/>
      <c r="J4" s="564"/>
      <c r="K4" s="564"/>
      <c r="L4" s="564"/>
      <c r="M4" s="564"/>
      <c r="N4" s="564"/>
      <c r="O4" s="564"/>
      <c r="P4" s="564"/>
      <c r="Q4" s="564"/>
      <c r="R4" s="564"/>
      <c r="S4" s="564"/>
      <c r="T4" s="564"/>
      <c r="U4" s="564"/>
      <c r="V4" s="564"/>
      <c r="W4" s="564"/>
      <c r="X4" s="564"/>
      <c r="Y4" s="564"/>
      <c r="Z4" s="564"/>
      <c r="AA4" s="564"/>
      <c r="AB4" s="564"/>
      <c r="AC4" s="564"/>
      <c r="AD4" s="564"/>
    </row>
    <row r="5" spans="2:30" ht="18.75" customHeight="1">
      <c r="B5" s="564"/>
      <c r="C5" s="564"/>
      <c r="D5" s="564"/>
      <c r="E5" s="564"/>
      <c r="F5" s="564"/>
      <c r="G5" s="564"/>
      <c r="H5" s="564"/>
      <c r="I5" s="564"/>
      <c r="J5" s="564"/>
      <c r="K5" s="564"/>
      <c r="L5" s="564"/>
      <c r="M5" s="564"/>
      <c r="N5" s="564"/>
      <c r="O5" s="564"/>
      <c r="P5" s="564"/>
      <c r="Q5" s="564"/>
      <c r="R5" s="564"/>
      <c r="S5" s="564"/>
      <c r="T5" s="564"/>
      <c r="U5" s="564"/>
      <c r="V5" s="564"/>
      <c r="W5" s="564"/>
      <c r="X5" s="564"/>
      <c r="Y5" s="564"/>
      <c r="Z5" s="564"/>
      <c r="AA5" s="564"/>
      <c r="AB5" s="564"/>
      <c r="AC5" s="564"/>
      <c r="AD5" s="564"/>
    </row>
    <row r="6" spans="2:30" ht="18.75" customHeight="1">
      <c r="B6" s="564"/>
      <c r="C6" s="564"/>
      <c r="D6" s="564"/>
      <c r="E6" s="564"/>
      <c r="F6" s="564"/>
      <c r="G6" s="564"/>
      <c r="H6" s="564"/>
      <c r="I6" s="564"/>
      <c r="J6" s="564"/>
      <c r="K6" s="564"/>
      <c r="L6" s="564"/>
      <c r="M6" s="564"/>
      <c r="N6" s="564"/>
      <c r="O6" s="564"/>
      <c r="P6" s="564"/>
      <c r="Q6" s="564"/>
      <c r="R6" s="564"/>
      <c r="S6" s="564"/>
      <c r="T6" s="564"/>
      <c r="U6" s="564"/>
      <c r="V6" s="564"/>
      <c r="W6" s="564"/>
      <c r="X6" s="564"/>
      <c r="Y6" s="564"/>
      <c r="Z6" s="564"/>
      <c r="AA6" s="564"/>
      <c r="AB6" s="564"/>
      <c r="AC6" s="564"/>
      <c r="AD6" s="564"/>
    </row>
    <row r="7" spans="2:30" ht="18.75" customHeight="1">
      <c r="B7" s="564"/>
      <c r="C7" s="564"/>
      <c r="D7" s="564"/>
      <c r="E7" s="564"/>
      <c r="F7" s="564"/>
      <c r="G7" s="564"/>
      <c r="H7" s="564"/>
      <c r="I7" s="564"/>
      <c r="J7" s="564"/>
      <c r="K7" s="564"/>
      <c r="L7" s="564"/>
      <c r="M7" s="564"/>
      <c r="N7" s="564"/>
      <c r="O7" s="564"/>
      <c r="P7" s="564"/>
      <c r="Q7" s="564"/>
      <c r="R7" s="564"/>
      <c r="S7" s="564"/>
      <c r="T7" s="564"/>
      <c r="U7" s="564"/>
      <c r="V7" s="564"/>
      <c r="W7" s="564"/>
      <c r="X7" s="564"/>
      <c r="Y7" s="564"/>
      <c r="Z7" s="564"/>
      <c r="AA7" s="564"/>
      <c r="AB7" s="564"/>
      <c r="AC7" s="564"/>
      <c r="AD7" s="564"/>
    </row>
    <row r="8" spans="2:30" ht="18.75" customHeight="1">
      <c r="B8" s="564"/>
      <c r="C8" s="564"/>
      <c r="D8" s="564"/>
      <c r="E8" s="564"/>
      <c r="F8" s="564"/>
      <c r="G8" s="564"/>
      <c r="H8" s="564"/>
      <c r="I8" s="564"/>
      <c r="J8" s="564"/>
      <c r="K8" s="564"/>
      <c r="L8" s="564"/>
      <c r="M8" s="564"/>
      <c r="N8" s="564"/>
      <c r="O8" s="564"/>
      <c r="P8" s="564"/>
      <c r="Q8" s="564"/>
      <c r="R8" s="564"/>
      <c r="S8" s="564"/>
      <c r="T8" s="564"/>
      <c r="U8" s="564"/>
      <c r="V8" s="564"/>
      <c r="W8" s="564"/>
      <c r="X8" s="564"/>
      <c r="Y8" s="564"/>
      <c r="Z8" s="564"/>
      <c r="AA8" s="564"/>
      <c r="AB8" s="564"/>
      <c r="AC8" s="564"/>
      <c r="AD8" s="564"/>
    </row>
    <row r="9" spans="2:30" ht="18.75" customHeight="1">
      <c r="B9" s="564"/>
      <c r="C9" s="564"/>
      <c r="D9" s="564"/>
      <c r="E9" s="564"/>
      <c r="F9" s="564"/>
      <c r="G9" s="564"/>
      <c r="H9" s="564"/>
      <c r="I9" s="564"/>
      <c r="J9" s="564"/>
      <c r="K9" s="564"/>
      <c r="L9" s="564"/>
      <c r="M9" s="564"/>
      <c r="N9" s="564"/>
      <c r="O9" s="564"/>
      <c r="P9" s="564"/>
      <c r="Q9" s="564"/>
      <c r="R9" s="564"/>
      <c r="S9" s="564"/>
      <c r="T9" s="564"/>
      <c r="U9" s="564"/>
      <c r="V9" s="564"/>
      <c r="W9" s="564"/>
      <c r="X9" s="564"/>
      <c r="Y9" s="564"/>
      <c r="Z9" s="564"/>
      <c r="AA9" s="564"/>
      <c r="AB9" s="564"/>
      <c r="AC9" s="564"/>
      <c r="AD9" s="564"/>
    </row>
    <row r="10" spans="2:30" ht="18.75" customHeight="1">
      <c r="B10" s="564"/>
      <c r="C10" s="564"/>
      <c r="D10" s="564"/>
      <c r="E10" s="564"/>
      <c r="F10" s="564"/>
      <c r="G10" s="564"/>
      <c r="H10" s="564"/>
      <c r="I10" s="564"/>
      <c r="J10" s="565"/>
      <c r="K10" s="565"/>
      <c r="L10" s="565"/>
      <c r="M10" s="565"/>
      <c r="N10" s="565"/>
      <c r="O10" s="565"/>
      <c r="P10" s="565"/>
      <c r="Q10" s="565"/>
      <c r="R10" s="565"/>
      <c r="S10" s="565"/>
      <c r="T10" s="565"/>
      <c r="U10" s="565"/>
      <c r="V10" s="565"/>
      <c r="W10" s="565"/>
      <c r="X10" s="565"/>
      <c r="Y10" s="565"/>
      <c r="Z10" s="565"/>
      <c r="AA10" s="565"/>
      <c r="AB10" s="565"/>
      <c r="AC10" s="565"/>
      <c r="AD10" s="564"/>
    </row>
    <row r="11" spans="2:30" ht="18.75" customHeight="1">
      <c r="B11" s="552"/>
      <c r="AD11" s="551"/>
    </row>
    <row r="12" spans="2:30" ht="18.75" customHeight="1">
      <c r="B12" s="552"/>
      <c r="C12" s="553" t="s">
        <v>611</v>
      </c>
      <c r="D12" s="554"/>
      <c r="E12" s="554"/>
      <c r="F12" s="554"/>
      <c r="G12" s="554"/>
      <c r="AD12" s="551"/>
    </row>
    <row r="13" spans="2:30" ht="18.75" customHeight="1">
      <c r="B13" s="552"/>
      <c r="C13" s="636" t="s">
        <v>670</v>
      </c>
      <c r="AD13" s="551"/>
    </row>
    <row r="14" spans="2:30" ht="18.75" customHeight="1">
      <c r="B14" s="552"/>
      <c r="AD14" s="551"/>
    </row>
    <row r="15" spans="2:30" ht="18.75" customHeight="1">
      <c r="B15" s="552"/>
      <c r="C15" s="556" t="s">
        <v>604</v>
      </c>
      <c r="D15" s="556"/>
      <c r="E15" s="556"/>
      <c r="F15" s="556"/>
      <c r="G15" s="556"/>
      <c r="H15" s="556"/>
      <c r="AD15" s="551"/>
    </row>
    <row r="16" spans="2:30" ht="18.75" customHeight="1">
      <c r="B16" s="552"/>
      <c r="C16" s="556"/>
      <c r="D16" s="556"/>
      <c r="E16" s="613" t="s">
        <v>311</v>
      </c>
      <c r="F16" s="613" t="s">
        <v>609</v>
      </c>
      <c r="G16" s="613" t="s">
        <v>188</v>
      </c>
      <c r="H16" s="613" t="s">
        <v>610</v>
      </c>
      <c r="AD16" s="551"/>
    </row>
    <row r="17" spans="2:30" ht="18.75" customHeight="1">
      <c r="B17" s="552"/>
      <c r="D17" s="612" t="s">
        <v>605</v>
      </c>
      <c r="E17" s="618">
        <v>169.14013195569618</v>
      </c>
      <c r="F17" s="627">
        <f>G17-E17</f>
        <v>131.95588984815157</v>
      </c>
      <c r="G17" s="618">
        <v>301.09602180384775</v>
      </c>
      <c r="H17" s="627">
        <f>MEDIAN(G17,E17)</f>
        <v>235.11807687977196</v>
      </c>
      <c r="AD17" s="551"/>
    </row>
    <row r="18" spans="2:30" ht="18.75" customHeight="1">
      <c r="B18" s="552"/>
      <c r="D18" s="612" t="s">
        <v>606</v>
      </c>
      <c r="E18" s="618">
        <v>213.92265814436621</v>
      </c>
      <c r="F18" s="627">
        <f>G18-E18</f>
        <v>86.472101326490986</v>
      </c>
      <c r="G18" s="618">
        <v>300.3947594708572</v>
      </c>
      <c r="H18" s="627">
        <f t="shared" ref="H18:H21" si="0">MEDIAN(G18,E18)</f>
        <v>257.15870880761167</v>
      </c>
      <c r="AD18" s="551"/>
    </row>
    <row r="19" spans="2:30" ht="18.75" customHeight="1">
      <c r="B19" s="552"/>
      <c r="D19" s="612" t="s">
        <v>607</v>
      </c>
      <c r="E19" s="618">
        <v>218.81903615797995</v>
      </c>
      <c r="F19" s="627">
        <f t="shared" ref="F19:F21" si="1">G19-E19</f>
        <v>99.277407108504178</v>
      </c>
      <c r="G19" s="618">
        <v>318.09644326648413</v>
      </c>
      <c r="H19" s="627">
        <f t="shared" si="0"/>
        <v>268.45773971223207</v>
      </c>
      <c r="AD19" s="551"/>
    </row>
    <row r="20" spans="2:30" ht="18.75" customHeight="1">
      <c r="B20" s="552"/>
      <c r="D20" s="612" t="s">
        <v>608</v>
      </c>
      <c r="E20" s="618">
        <v>259.81</v>
      </c>
      <c r="F20" s="627">
        <f t="shared" si="1"/>
        <v>28.800000000000011</v>
      </c>
      <c r="G20" s="618">
        <v>288.61</v>
      </c>
      <c r="H20" s="627">
        <f t="shared" si="0"/>
        <v>274.21000000000004</v>
      </c>
      <c r="AD20" s="551"/>
    </row>
    <row r="21" spans="2:30" ht="18.75" customHeight="1">
      <c r="B21" s="552"/>
      <c r="D21" s="612" t="s">
        <v>372</v>
      </c>
      <c r="E21" s="618">
        <v>171</v>
      </c>
      <c r="F21" s="627">
        <f t="shared" si="1"/>
        <v>192.26</v>
      </c>
      <c r="G21" s="618">
        <v>363.26</v>
      </c>
      <c r="H21" s="627">
        <f t="shared" si="0"/>
        <v>267.13</v>
      </c>
      <c r="AD21" s="551"/>
    </row>
    <row r="22" spans="2:30" ht="18.75" customHeight="1">
      <c r="B22" s="552"/>
      <c r="AD22" s="551"/>
    </row>
    <row r="23" spans="2:30" ht="18.75" customHeight="1">
      <c r="B23" s="552"/>
      <c r="C23" s="556" t="s">
        <v>619</v>
      </c>
      <c r="D23" s="556"/>
      <c r="E23" s="556"/>
      <c r="F23" s="556"/>
      <c r="G23" s="556"/>
      <c r="H23" s="556"/>
      <c r="I23" s="556"/>
      <c r="J23" s="556"/>
      <c r="K23" s="556"/>
      <c r="L23" s="556"/>
      <c r="M23" s="567"/>
      <c r="N23" s="567"/>
      <c r="AD23" s="551"/>
    </row>
    <row r="24" spans="2:30" ht="18.75" customHeight="1">
      <c r="B24" s="552"/>
      <c r="C24" s="616" t="s">
        <v>621</v>
      </c>
      <c r="D24" s="614" t="s">
        <v>620</v>
      </c>
      <c r="F24" s="614" t="s">
        <v>625</v>
      </c>
      <c r="G24" s="614" t="s">
        <v>612</v>
      </c>
      <c r="H24" s="614" t="s">
        <v>613</v>
      </c>
      <c r="I24" s="614" t="s">
        <v>612</v>
      </c>
      <c r="J24" s="614" t="s">
        <v>626</v>
      </c>
      <c r="K24" s="614" t="s">
        <v>612</v>
      </c>
      <c r="L24" s="614" t="s">
        <v>614</v>
      </c>
      <c r="M24" s="567"/>
      <c r="N24" s="567"/>
      <c r="AD24" s="551"/>
    </row>
    <row r="25" spans="2:30" ht="18.75" customHeight="1">
      <c r="B25" s="552"/>
      <c r="C25" s="617" t="s">
        <v>622</v>
      </c>
      <c r="D25" s="615" t="s">
        <v>616</v>
      </c>
      <c r="E25" s="615"/>
      <c r="F25" s="615" t="s">
        <v>615</v>
      </c>
      <c r="G25" s="615" t="s">
        <v>616</v>
      </c>
      <c r="H25" s="615" t="s">
        <v>615</v>
      </c>
      <c r="I25" s="615" t="s">
        <v>616</v>
      </c>
      <c r="J25" s="615" t="s">
        <v>615</v>
      </c>
      <c r="K25" s="615" t="s">
        <v>616</v>
      </c>
      <c r="L25" s="615" t="s">
        <v>617</v>
      </c>
      <c r="M25" s="567"/>
      <c r="N25" s="567"/>
      <c r="AD25" s="551"/>
    </row>
    <row r="26" spans="2:30" ht="5.0999999999999996" customHeight="1">
      <c r="B26" s="552"/>
      <c r="M26" s="567"/>
      <c r="N26" s="567"/>
      <c r="AD26" s="551"/>
    </row>
    <row r="27" spans="2:30" ht="18.75" customHeight="1">
      <c r="B27" s="552"/>
      <c r="C27" s="550" t="s">
        <v>623</v>
      </c>
      <c r="D27" s="620">
        <v>0.4</v>
      </c>
      <c r="F27" s="619">
        <f>E18</f>
        <v>213.92265814436621</v>
      </c>
      <c r="G27" s="620">
        <v>0.2</v>
      </c>
      <c r="H27" s="619">
        <f>H18</f>
        <v>257.15870880761167</v>
      </c>
      <c r="I27" s="620">
        <v>0.4</v>
      </c>
      <c r="J27" s="619">
        <f>G18</f>
        <v>300.3947594708572</v>
      </c>
      <c r="K27" s="620">
        <v>0.4</v>
      </c>
      <c r="L27" s="619">
        <f>F27*G27+H27*I27+J27*K27</f>
        <v>265.80591894026077</v>
      </c>
      <c r="M27" s="567"/>
      <c r="N27" s="567"/>
      <c r="AD27" s="551"/>
    </row>
    <row r="28" spans="2:30" ht="18.75" customHeight="1">
      <c r="B28" s="552"/>
      <c r="C28" s="550" t="s">
        <v>624</v>
      </c>
      <c r="D28" s="620">
        <v>0.3</v>
      </c>
      <c r="F28" s="619">
        <f>E19</f>
        <v>218.81903615797995</v>
      </c>
      <c r="G28" s="620">
        <v>0.2</v>
      </c>
      <c r="H28" s="619">
        <f>H19</f>
        <v>268.45773971223207</v>
      </c>
      <c r="I28" s="620">
        <v>0.4</v>
      </c>
      <c r="J28" s="619">
        <f>G19</f>
        <v>318.09644326648413</v>
      </c>
      <c r="K28" s="620">
        <v>0.4</v>
      </c>
      <c r="L28" s="619">
        <f>F28*G28+H28*I28+J28*K28</f>
        <v>278.38548042308247</v>
      </c>
      <c r="M28" s="567"/>
      <c r="AD28" s="551"/>
    </row>
    <row r="29" spans="2:30" ht="18.75" customHeight="1">
      <c r="B29" s="552"/>
      <c r="D29" s="639"/>
      <c r="AD29" s="551"/>
    </row>
    <row r="30" spans="2:30" ht="18.75" customHeight="1">
      <c r="B30" s="552"/>
      <c r="C30" s="556" t="s">
        <v>619</v>
      </c>
      <c r="D30" s="556"/>
      <c r="E30" s="556"/>
      <c r="F30" s="556"/>
      <c r="G30" s="556"/>
      <c r="H30" s="556"/>
      <c r="I30" s="556"/>
      <c r="J30" s="556"/>
      <c r="K30" s="556"/>
      <c r="L30" s="556"/>
      <c r="AD30" s="551"/>
    </row>
    <row r="31" spans="2:30" ht="18.75" customHeight="1">
      <c r="B31" s="552"/>
      <c r="C31" s="616" t="s">
        <v>628</v>
      </c>
      <c r="D31" s="614" t="s">
        <v>620</v>
      </c>
      <c r="F31" s="614" t="s">
        <v>625</v>
      </c>
      <c r="G31" s="614" t="s">
        <v>612</v>
      </c>
      <c r="H31" s="614" t="s">
        <v>613</v>
      </c>
      <c r="I31" s="614" t="s">
        <v>612</v>
      </c>
      <c r="J31" s="614" t="s">
        <v>626</v>
      </c>
      <c r="K31" s="614" t="s">
        <v>612</v>
      </c>
      <c r="L31" s="614" t="s">
        <v>614</v>
      </c>
      <c r="AD31" s="551"/>
    </row>
    <row r="32" spans="2:30" ht="18.75" customHeight="1">
      <c r="B32" s="552"/>
      <c r="C32" s="617" t="s">
        <v>627</v>
      </c>
      <c r="D32" s="615" t="s">
        <v>616</v>
      </c>
      <c r="E32" s="615"/>
      <c r="F32" s="615" t="s">
        <v>615</v>
      </c>
      <c r="G32" s="615" t="s">
        <v>616</v>
      </c>
      <c r="H32" s="615" t="s">
        <v>615</v>
      </c>
      <c r="I32" s="615" t="s">
        <v>616</v>
      </c>
      <c r="J32" s="615" t="s">
        <v>615</v>
      </c>
      <c r="K32" s="615" t="s">
        <v>616</v>
      </c>
      <c r="L32" s="615" t="s">
        <v>617</v>
      </c>
      <c r="AD32" s="551"/>
    </row>
    <row r="33" spans="2:30" ht="18.75" customHeight="1">
      <c r="B33" s="552"/>
      <c r="C33" s="555" t="s">
        <v>618</v>
      </c>
      <c r="D33" s="620">
        <v>0.3</v>
      </c>
      <c r="E33" s="559"/>
      <c r="F33" s="622">
        <f ca="1">'Peer Comparables'!F20/DCF!K31</f>
        <v>167.17549030787632</v>
      </c>
      <c r="G33" s="620">
        <v>0.1</v>
      </c>
      <c r="H33" s="622">
        <f ca="1">'Peer Comparables'!F19/DCF!K31</f>
        <v>180.39281142391201</v>
      </c>
      <c r="I33" s="620">
        <v>0.45</v>
      </c>
      <c r="J33" s="622">
        <f ca="1">'Peer Comparables'!F16/DCF!K31</f>
        <v>299.97694891932133</v>
      </c>
      <c r="K33" s="620">
        <v>0.45</v>
      </c>
      <c r="L33" s="619">
        <f ca="1">F33*G33+H33*I33+J33*K33</f>
        <v>232.88394118524266</v>
      </c>
      <c r="AD33" s="551"/>
    </row>
    <row r="34" spans="2:30" ht="18.75" customHeight="1">
      <c r="B34" s="552"/>
      <c r="C34" s="555"/>
      <c r="D34" s="555"/>
      <c r="G34" s="560"/>
      <c r="I34" s="569"/>
      <c r="K34" s="575"/>
      <c r="L34" s="575"/>
      <c r="M34" s="575"/>
      <c r="N34" s="575"/>
      <c r="O34" s="575"/>
      <c r="P34" s="575"/>
      <c r="Q34" s="575"/>
      <c r="R34" s="575"/>
      <c r="S34" s="575"/>
      <c r="T34" s="575"/>
      <c r="U34" s="575"/>
      <c r="V34" s="575"/>
      <c r="W34" s="575"/>
      <c r="X34" s="575"/>
      <c r="Y34" s="575"/>
      <c r="Z34" s="575"/>
      <c r="AA34" s="575"/>
      <c r="AB34" s="575"/>
      <c r="AC34" s="575"/>
      <c r="AD34" s="551"/>
    </row>
    <row r="35" spans="2:30" ht="18.75" customHeight="1">
      <c r="B35" s="552"/>
      <c r="C35" s="556" t="s">
        <v>629</v>
      </c>
      <c r="D35" s="556"/>
      <c r="I35" s="573"/>
      <c r="J35" s="572"/>
      <c r="K35" s="572"/>
      <c r="L35" s="572"/>
      <c r="M35" s="572"/>
      <c r="N35" s="572"/>
      <c r="O35" s="572"/>
      <c r="P35" s="572"/>
      <c r="Q35" s="572"/>
      <c r="R35" s="572"/>
      <c r="S35" s="572"/>
      <c r="T35" s="572"/>
      <c r="U35" s="572"/>
      <c r="V35" s="572"/>
      <c r="W35" s="572"/>
      <c r="X35" s="572"/>
      <c r="Y35" s="572"/>
      <c r="Z35" s="572"/>
      <c r="AA35" s="572"/>
      <c r="AB35" s="572"/>
      <c r="AC35" s="572"/>
      <c r="AD35" s="551"/>
    </row>
    <row r="36" spans="2:30" ht="18.75" customHeight="1">
      <c r="B36" s="552"/>
      <c r="C36" s="623" t="s">
        <v>630</v>
      </c>
      <c r="D36" s="619">
        <f ca="1">D33*L33+D27*L27+D28*L28</f>
        <v>259.70319405860187</v>
      </c>
      <c r="I36" s="569"/>
      <c r="K36" s="575"/>
      <c r="L36" s="575"/>
      <c r="M36" s="575"/>
      <c r="N36" s="575"/>
      <c r="O36" s="575"/>
      <c r="P36" s="575"/>
      <c r="Q36" s="575"/>
      <c r="R36" s="575"/>
      <c r="S36" s="575"/>
      <c r="T36" s="575"/>
      <c r="U36" s="575"/>
      <c r="V36" s="575"/>
      <c r="W36" s="575"/>
      <c r="X36" s="575"/>
      <c r="Y36" s="575"/>
      <c r="Z36" s="575"/>
      <c r="AA36" s="575"/>
      <c r="AB36" s="575"/>
      <c r="AC36" s="575"/>
      <c r="AD36" s="551"/>
    </row>
    <row r="37" spans="2:30" ht="18.75" customHeight="1">
      <c r="B37" s="552"/>
      <c r="C37" s="624" t="s">
        <v>537</v>
      </c>
      <c r="D37" s="571">
        <f ca="1">'Peer Comparables'!D8</f>
        <v>259.33499999999998</v>
      </c>
      <c r="I37" s="573"/>
      <c r="J37" s="571"/>
      <c r="K37" s="571"/>
      <c r="L37" s="571"/>
      <c r="M37" s="571"/>
      <c r="N37" s="571"/>
      <c r="O37" s="571"/>
      <c r="P37" s="571"/>
      <c r="Q37" s="571"/>
      <c r="R37" s="571"/>
      <c r="S37" s="571"/>
      <c r="T37" s="571"/>
      <c r="U37" s="571"/>
      <c r="V37" s="571"/>
      <c r="W37" s="571"/>
      <c r="X37" s="571"/>
      <c r="Y37" s="571"/>
      <c r="Z37" s="571"/>
      <c r="AA37" s="571"/>
      <c r="AB37" s="571"/>
      <c r="AC37" s="571"/>
      <c r="AD37" s="551"/>
    </row>
    <row r="38" spans="2:30" ht="18.75" customHeight="1">
      <c r="B38" s="552"/>
      <c r="C38" s="625" t="s">
        <v>631</v>
      </c>
      <c r="D38" s="626">
        <f ca="1">(D36/D37)-1</f>
        <v>1.4197623097611523E-3</v>
      </c>
      <c r="I38" s="569"/>
      <c r="K38" s="575"/>
      <c r="L38" s="575"/>
      <c r="M38" s="575"/>
      <c r="N38" s="575"/>
      <c r="O38" s="575"/>
      <c r="P38" s="575"/>
      <c r="Q38" s="575"/>
      <c r="R38" s="575"/>
      <c r="S38" s="575"/>
      <c r="T38" s="575"/>
      <c r="U38" s="575"/>
      <c r="V38" s="575"/>
      <c r="W38" s="575"/>
      <c r="X38" s="575"/>
      <c r="Y38" s="575"/>
      <c r="Z38" s="575"/>
      <c r="AA38" s="575"/>
      <c r="AB38" s="575"/>
      <c r="AC38" s="575"/>
      <c r="AD38" s="551"/>
    </row>
    <row r="39" spans="2:30" ht="18.75" customHeight="1">
      <c r="B39" s="552"/>
      <c r="C39" s="555"/>
      <c r="D39" s="555"/>
      <c r="G39" s="560"/>
      <c r="I39" s="573"/>
      <c r="J39" s="571"/>
      <c r="K39" s="571"/>
      <c r="L39" s="571"/>
      <c r="M39" s="571"/>
      <c r="N39" s="571"/>
      <c r="O39" s="571"/>
      <c r="P39" s="571"/>
      <c r="Q39" s="571"/>
      <c r="R39" s="571"/>
      <c r="S39" s="571"/>
      <c r="T39" s="571"/>
      <c r="U39" s="571"/>
      <c r="V39" s="571"/>
      <c r="W39" s="571"/>
      <c r="X39" s="571"/>
      <c r="Y39" s="571"/>
      <c r="Z39" s="571"/>
      <c r="AA39" s="571"/>
      <c r="AB39" s="571"/>
      <c r="AC39" s="571"/>
      <c r="AD39" s="551"/>
    </row>
    <row r="40" spans="2:30" ht="18.75" customHeight="1">
      <c r="B40" s="552"/>
      <c r="C40" s="555"/>
      <c r="D40" s="555"/>
      <c r="G40" s="560"/>
      <c r="I40" s="569"/>
      <c r="K40" s="575"/>
      <c r="L40" s="575"/>
      <c r="M40" s="575"/>
      <c r="N40" s="575"/>
      <c r="O40" s="575"/>
      <c r="P40" s="575"/>
      <c r="Q40" s="575"/>
      <c r="R40" s="575"/>
      <c r="S40" s="575"/>
      <c r="T40" s="575"/>
      <c r="U40" s="575"/>
      <c r="V40" s="575"/>
      <c r="W40" s="575"/>
      <c r="X40" s="575"/>
      <c r="Y40" s="575"/>
      <c r="Z40" s="575"/>
      <c r="AA40" s="575"/>
      <c r="AB40" s="575"/>
      <c r="AC40" s="575"/>
      <c r="AD40" s="551"/>
    </row>
    <row r="41" spans="2:30" ht="18.75" customHeight="1">
      <c r="B41" s="552"/>
      <c r="C41" s="555"/>
      <c r="D41" s="555"/>
      <c r="G41" s="560"/>
      <c r="AD41" s="551"/>
    </row>
    <row r="42" spans="2:30" ht="18.75" customHeight="1">
      <c r="B42" s="552"/>
      <c r="C42" s="555"/>
      <c r="D42" s="555"/>
      <c r="G42" s="560"/>
      <c r="AD42" s="551"/>
    </row>
    <row r="43" spans="2:30" ht="18.75" customHeight="1">
      <c r="B43" s="552"/>
      <c r="C43" s="555"/>
      <c r="D43" s="555"/>
      <c r="G43" s="560"/>
      <c r="AD43" s="551"/>
    </row>
    <row r="44" spans="2:30" ht="18.75" customHeight="1">
      <c r="B44" s="552"/>
      <c r="C44" s="555"/>
      <c r="D44" s="555"/>
      <c r="G44" s="560"/>
      <c r="AD44" s="551"/>
    </row>
    <row r="45" spans="2:30" ht="18.75" customHeight="1">
      <c r="B45" s="552"/>
      <c r="C45" s="555"/>
      <c r="D45" s="555"/>
      <c r="G45" s="560"/>
      <c r="AD45" s="551"/>
    </row>
    <row r="46" spans="2:30" ht="18.75" customHeight="1">
      <c r="B46" s="552"/>
      <c r="C46" s="555"/>
      <c r="D46" s="555"/>
      <c r="G46" s="560"/>
      <c r="AD46" s="551"/>
    </row>
    <row r="47" spans="2:30" ht="18.75" customHeight="1">
      <c r="B47" s="552"/>
      <c r="C47" s="555"/>
      <c r="D47" s="555"/>
      <c r="G47" s="560"/>
      <c r="I47" s="569"/>
      <c r="K47" s="575"/>
      <c r="L47" s="575"/>
      <c r="M47" s="575"/>
      <c r="N47" s="575"/>
      <c r="O47" s="575"/>
      <c r="P47" s="575"/>
      <c r="Q47" s="575"/>
      <c r="R47" s="575"/>
      <c r="S47" s="575"/>
      <c r="T47" s="575"/>
      <c r="U47" s="575"/>
      <c r="V47" s="575"/>
      <c r="W47" s="575"/>
      <c r="X47" s="575"/>
      <c r="Y47" s="575"/>
      <c r="Z47" s="575"/>
      <c r="AA47" s="575"/>
      <c r="AB47" s="575"/>
      <c r="AC47" s="575"/>
      <c r="AD47" s="551"/>
    </row>
    <row r="48" spans="2:30" ht="18.75" customHeight="1">
      <c r="B48" s="561"/>
      <c r="C48" s="562"/>
      <c r="D48" s="562"/>
      <c r="E48" s="562"/>
      <c r="F48" s="562"/>
      <c r="G48" s="562"/>
      <c r="H48" s="562"/>
      <c r="I48" s="562"/>
      <c r="J48" s="562"/>
      <c r="K48" s="562"/>
      <c r="L48" s="562"/>
      <c r="M48" s="562"/>
      <c r="N48" s="562"/>
      <c r="O48" s="562"/>
      <c r="P48" s="562"/>
      <c r="Q48" s="562"/>
      <c r="R48" s="562"/>
      <c r="S48" s="562"/>
      <c r="T48" s="562"/>
      <c r="U48" s="562"/>
      <c r="V48" s="562"/>
      <c r="W48" s="562"/>
      <c r="X48" s="562"/>
      <c r="Y48" s="562"/>
      <c r="Z48" s="562"/>
      <c r="AA48" s="562"/>
      <c r="AB48" s="562"/>
      <c r="AC48" s="562"/>
      <c r="AD48" s="56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7A1EF-DD86-43F0-AF53-6181CD7220DC}">
  <sheetPr>
    <tabColor rgb="FF002060"/>
    <pageSetUpPr autoPageBreaks="0"/>
  </sheetPr>
  <dimension ref="A2:AR139"/>
  <sheetViews>
    <sheetView showGridLines="0" tabSelected="1" zoomScale="115" zoomScaleNormal="115" workbookViewId="0">
      <selection activeCell="B2" sqref="B2"/>
    </sheetView>
  </sheetViews>
  <sheetFormatPr defaultRowHeight="12" outlineLevelCol="1"/>
  <cols>
    <col min="1" max="1" width="1.625" style="5" bestFit="1" customWidth="1"/>
    <col min="2" max="2" width="43.25" style="5" bestFit="1" customWidth="1"/>
    <col min="3" max="8" width="8.625" style="5" hidden="1" customWidth="1" outlineLevel="1"/>
    <col min="9" max="9" width="8.75" style="5" hidden="1" customWidth="1" outlineLevel="1"/>
    <col min="10" max="10" width="8.75" style="5" bestFit="1" customWidth="1" collapsed="1"/>
    <col min="11" max="12" width="9.5" style="5" bestFit="1" customWidth="1"/>
    <col min="13" max="13" width="1.5" style="5" customWidth="1"/>
    <col min="14" max="14" width="8.625" style="5" hidden="1" customWidth="1" outlineLevel="1"/>
    <col min="15" max="16" width="7.875" style="5" hidden="1" customWidth="1" outlineLevel="1"/>
    <col min="17" max="18" width="8.625" style="5" hidden="1" customWidth="1" outlineLevel="1"/>
    <col min="19" max="19" width="8" style="5" hidden="1" customWidth="1" outlineLevel="1"/>
    <col min="20" max="20" width="8.25" style="5" hidden="1" customWidth="1" outlineLevel="1"/>
    <col min="21" max="23" width="8.625" style="5" hidden="1" customWidth="1" outlineLevel="1"/>
    <col min="24" max="24" width="8.75" style="5" hidden="1" customWidth="1" outlineLevel="1"/>
    <col min="25" max="25" width="9.5" style="5" bestFit="1" customWidth="1" collapsed="1"/>
    <col min="26" max="29" width="9.5" style="5" bestFit="1" customWidth="1"/>
    <col min="30" max="30" width="1.5" style="5" customWidth="1"/>
    <col min="31" max="36" width="9" style="5" hidden="1" customWidth="1" outlineLevel="1"/>
    <col min="37" max="37" width="9" style="5" bestFit="1" customWidth="1" collapsed="1"/>
    <col min="38" max="40" width="9" style="5" hidden="1" customWidth="1" outlineLevel="1"/>
    <col min="41" max="41" width="9" style="5" bestFit="1" customWidth="1" collapsed="1"/>
    <col min="42" max="42" width="9" style="5" bestFit="1" customWidth="1"/>
    <col min="43" max="43" width="1.25" style="5" customWidth="1"/>
    <col min="44" max="44" width="8.125" style="5" bestFit="1" customWidth="1"/>
    <col min="45" max="45" width="1.375" style="5" customWidth="1"/>
    <col min="46" max="16384" width="9" style="5"/>
  </cols>
  <sheetData>
    <row r="2" spans="1:44" ht="12.75" customHeight="1">
      <c r="B2" s="1" t="s">
        <v>189</v>
      </c>
      <c r="C2" s="192"/>
      <c r="D2" s="192"/>
      <c r="E2" s="192"/>
      <c r="F2" s="192"/>
      <c r="G2" s="192"/>
      <c r="H2" s="192"/>
      <c r="I2" s="192"/>
      <c r="J2" s="192"/>
      <c r="K2" s="192"/>
      <c r="L2" s="192"/>
      <c r="M2" s="3"/>
      <c r="N2" s="192"/>
      <c r="O2" s="192"/>
      <c r="P2" s="192"/>
      <c r="Q2" s="192"/>
      <c r="R2" s="192"/>
      <c r="S2" s="192"/>
      <c r="T2" s="192"/>
      <c r="U2" s="192"/>
      <c r="V2" s="192"/>
      <c r="W2" s="192"/>
      <c r="X2" s="192"/>
      <c r="Y2" s="192"/>
      <c r="Z2" s="192"/>
      <c r="AA2" s="192"/>
      <c r="AB2" s="192"/>
      <c r="AC2" s="192"/>
      <c r="AD2" s="3"/>
      <c r="AE2" s="192"/>
      <c r="AF2" s="192"/>
      <c r="AG2" s="192"/>
      <c r="AH2" s="192"/>
      <c r="AI2" s="192"/>
      <c r="AJ2" s="192"/>
      <c r="AK2" s="192"/>
      <c r="AL2" s="192"/>
      <c r="AM2" s="192"/>
      <c r="AN2" s="192"/>
      <c r="AO2" s="192"/>
      <c r="AP2" s="192"/>
      <c r="AQ2" s="3"/>
      <c r="AR2" s="1"/>
    </row>
    <row r="3" spans="1:44" ht="12.75" customHeight="1">
      <c r="B3" s="6" t="s">
        <v>322</v>
      </c>
      <c r="C3" s="7"/>
      <c r="D3" s="7"/>
      <c r="E3" s="7"/>
      <c r="F3" s="7"/>
      <c r="G3" s="7"/>
      <c r="H3" s="7"/>
      <c r="I3" s="7"/>
      <c r="J3" s="7"/>
      <c r="K3" s="7"/>
      <c r="L3" s="7"/>
      <c r="M3" s="3"/>
      <c r="N3" s="4"/>
      <c r="O3" s="4"/>
      <c r="P3" s="4"/>
      <c r="Q3" s="4"/>
      <c r="R3" s="4"/>
      <c r="S3" s="4"/>
      <c r="T3" s="4"/>
      <c r="U3" s="4"/>
      <c r="V3" s="4"/>
      <c r="W3" s="4"/>
      <c r="X3" s="4"/>
      <c r="Y3" s="4"/>
      <c r="Z3" s="4"/>
      <c r="AA3" s="4"/>
      <c r="AB3" s="4"/>
      <c r="AC3" s="4"/>
      <c r="AD3" s="3"/>
      <c r="AE3" s="4"/>
      <c r="AF3" s="4"/>
      <c r="AG3" s="4"/>
      <c r="AH3" s="4"/>
      <c r="AI3" s="4"/>
      <c r="AJ3" s="4"/>
      <c r="AK3" s="4"/>
      <c r="AL3" s="4"/>
      <c r="AM3" s="4"/>
      <c r="AN3" s="4"/>
      <c r="AO3" s="4"/>
      <c r="AP3" s="4"/>
      <c r="AQ3" s="3"/>
      <c r="AR3" s="1"/>
    </row>
    <row r="4" spans="1:44" ht="12.75" customHeight="1">
      <c r="B4" s="6" t="s">
        <v>685</v>
      </c>
      <c r="C4" s="3"/>
      <c r="D4" s="3"/>
      <c r="E4" s="3"/>
      <c r="F4" s="3"/>
      <c r="G4" s="3"/>
      <c r="H4" s="3"/>
      <c r="I4" s="3"/>
      <c r="J4" s="11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1"/>
    </row>
    <row r="6" spans="1:44" ht="12.75" customHeight="1">
      <c r="A6" s="5" t="s">
        <v>24</v>
      </c>
      <c r="B6" s="1" t="s">
        <v>316</v>
      </c>
      <c r="C6" s="2" t="s">
        <v>0</v>
      </c>
      <c r="D6" s="2"/>
      <c r="E6" s="2"/>
      <c r="F6" s="2" t="s">
        <v>0</v>
      </c>
      <c r="G6" s="2" t="s">
        <v>0</v>
      </c>
      <c r="H6" s="2"/>
      <c r="I6" s="2"/>
      <c r="J6" s="2" t="s">
        <v>0</v>
      </c>
      <c r="K6" s="2"/>
      <c r="L6" s="2"/>
      <c r="M6" s="3"/>
      <c r="N6" s="2" t="s">
        <v>1</v>
      </c>
      <c r="O6" s="2"/>
      <c r="P6" s="2"/>
      <c r="Q6" s="2"/>
      <c r="R6" s="2"/>
      <c r="S6" s="2"/>
      <c r="T6" s="2" t="s">
        <v>1</v>
      </c>
      <c r="U6" s="2"/>
      <c r="V6" s="2"/>
      <c r="W6" s="2"/>
      <c r="X6" s="2"/>
      <c r="Y6" s="2" t="s">
        <v>1</v>
      </c>
      <c r="Z6" s="2"/>
      <c r="AA6" s="2"/>
      <c r="AB6" s="2"/>
      <c r="AC6" s="2"/>
      <c r="AD6" s="3"/>
      <c r="AE6" s="2"/>
      <c r="AF6" s="2"/>
      <c r="AG6" s="2"/>
      <c r="AH6" s="2"/>
      <c r="AI6" s="2"/>
      <c r="AJ6" s="2"/>
      <c r="AK6" s="2" t="s">
        <v>10</v>
      </c>
      <c r="AL6" s="2"/>
      <c r="AM6" s="2"/>
      <c r="AN6" s="2"/>
      <c r="AO6" s="2"/>
      <c r="AP6" s="2"/>
      <c r="AQ6" s="41"/>
      <c r="AR6" s="640" t="s">
        <v>37</v>
      </c>
    </row>
    <row r="7" spans="1:44" ht="12.75" customHeight="1">
      <c r="B7" s="6" t="s">
        <v>323</v>
      </c>
      <c r="C7" s="7">
        <v>2016</v>
      </c>
      <c r="D7" s="7">
        <v>2017</v>
      </c>
      <c r="E7" s="7">
        <v>2018</v>
      </c>
      <c r="F7" s="7">
        <v>2019</v>
      </c>
      <c r="G7" s="7">
        <v>2020</v>
      </c>
      <c r="H7" s="7">
        <v>2021</v>
      </c>
      <c r="I7" s="7">
        <v>2022</v>
      </c>
      <c r="J7" s="7">
        <v>2023</v>
      </c>
      <c r="K7" s="7">
        <v>2024</v>
      </c>
      <c r="L7" s="7">
        <v>2025</v>
      </c>
      <c r="M7" s="3"/>
      <c r="N7" s="4" t="s">
        <v>39</v>
      </c>
      <c r="O7" s="4" t="s">
        <v>40</v>
      </c>
      <c r="P7" s="4" t="s">
        <v>41</v>
      </c>
      <c r="Q7" s="4" t="s">
        <v>42</v>
      </c>
      <c r="R7" s="4" t="s">
        <v>6</v>
      </c>
      <c r="S7" s="4" t="s">
        <v>7</v>
      </c>
      <c r="T7" s="4" t="s">
        <v>8</v>
      </c>
      <c r="U7" s="4" t="s">
        <v>9</v>
      </c>
      <c r="V7" s="4" t="s">
        <v>2</v>
      </c>
      <c r="W7" s="4" t="s">
        <v>3</v>
      </c>
      <c r="X7" s="4" t="s">
        <v>4</v>
      </c>
      <c r="Y7" s="4" t="s">
        <v>5</v>
      </c>
      <c r="Z7" s="4" t="s">
        <v>43</v>
      </c>
      <c r="AA7" s="4" t="s">
        <v>44</v>
      </c>
      <c r="AB7" s="4" t="s">
        <v>102</v>
      </c>
      <c r="AC7" s="4" t="s">
        <v>457</v>
      </c>
      <c r="AD7" s="3"/>
      <c r="AE7" s="4" t="str">
        <f t="shared" ref="AE7:AE8" si="0">R7</f>
        <v>1Q23</v>
      </c>
      <c r="AF7" s="4" t="str">
        <f t="shared" ref="AF7:AF8" si="1">S7</f>
        <v>2Q23</v>
      </c>
      <c r="AG7" s="4" t="str">
        <f t="shared" ref="AG7:AG8" si="2">T7</f>
        <v>3Q23</v>
      </c>
      <c r="AH7" s="4" t="str">
        <f t="shared" ref="AH7:AH8" si="3">U7</f>
        <v>4Q23</v>
      </c>
      <c r="AI7" s="4" t="str">
        <f t="shared" ref="AI7:AI8" si="4">V7</f>
        <v>1Q24</v>
      </c>
      <c r="AJ7" s="4" t="str">
        <f t="shared" ref="AJ7:AJ8" si="5">W7</f>
        <v>2Q24</v>
      </c>
      <c r="AK7" s="4" t="str">
        <f t="shared" ref="AK7:AK8" si="6">X7</f>
        <v>3Q24</v>
      </c>
      <c r="AL7" s="4" t="str">
        <f t="shared" ref="AL7:AL8" si="7">Y7</f>
        <v>4Q24</v>
      </c>
      <c r="AM7" s="4" t="str">
        <f t="shared" ref="AM7:AM8" si="8">Z7</f>
        <v>1Q25</v>
      </c>
      <c r="AN7" s="4" t="str">
        <f t="shared" ref="AN7:AN8" si="9">AA7</f>
        <v>2Q25</v>
      </c>
      <c r="AO7" s="4" t="str">
        <f>AB7</f>
        <v>3Q25</v>
      </c>
      <c r="AP7" s="4" t="str">
        <f>AC7</f>
        <v>4Q25</v>
      </c>
      <c r="AQ7" s="41"/>
      <c r="AR7" s="640"/>
    </row>
    <row r="8" spans="1:44" ht="12.75" customHeight="1">
      <c r="B8" s="6" t="s">
        <v>324</v>
      </c>
      <c r="C8" s="3">
        <v>42643</v>
      </c>
      <c r="D8" s="3">
        <v>43008</v>
      </c>
      <c r="E8" s="3">
        <v>43372</v>
      </c>
      <c r="F8" s="3">
        <v>43737</v>
      </c>
      <c r="G8" s="3">
        <v>44104</v>
      </c>
      <c r="H8" s="3">
        <v>44469</v>
      </c>
      <c r="I8" s="3">
        <v>44834</v>
      </c>
      <c r="J8" s="113">
        <v>45192</v>
      </c>
      <c r="K8" s="3">
        <v>45559</v>
      </c>
      <c r="L8" s="3">
        <v>45927</v>
      </c>
      <c r="M8" s="3"/>
      <c r="N8" s="3">
        <v>44560</v>
      </c>
      <c r="O8" s="3">
        <v>44650</v>
      </c>
      <c r="P8" s="3">
        <v>44742</v>
      </c>
      <c r="Q8" s="3">
        <f>I8</f>
        <v>44834</v>
      </c>
      <c r="R8" s="3">
        <v>44917</v>
      </c>
      <c r="S8" s="3">
        <v>45008</v>
      </c>
      <c r="T8" s="3">
        <v>45100</v>
      </c>
      <c r="U8" s="3">
        <f>J8</f>
        <v>45192</v>
      </c>
      <c r="V8" s="3">
        <v>45283</v>
      </c>
      <c r="W8" s="3">
        <v>45375</v>
      </c>
      <c r="X8" s="3">
        <v>45467</v>
      </c>
      <c r="Y8" s="3">
        <f>K8</f>
        <v>45559</v>
      </c>
      <c r="Z8" s="3">
        <v>45650</v>
      </c>
      <c r="AA8" s="3">
        <v>45741</v>
      </c>
      <c r="AB8" s="3">
        <v>45833</v>
      </c>
      <c r="AC8" s="3">
        <f>L8</f>
        <v>45927</v>
      </c>
      <c r="AD8" s="3"/>
      <c r="AE8" s="3">
        <f t="shared" si="0"/>
        <v>44917</v>
      </c>
      <c r="AF8" s="3">
        <f t="shared" si="1"/>
        <v>45008</v>
      </c>
      <c r="AG8" s="3">
        <f t="shared" si="2"/>
        <v>45100</v>
      </c>
      <c r="AH8" s="3">
        <f t="shared" si="3"/>
        <v>45192</v>
      </c>
      <c r="AI8" s="3">
        <f t="shared" si="4"/>
        <v>45283</v>
      </c>
      <c r="AJ8" s="3">
        <f t="shared" si="5"/>
        <v>45375</v>
      </c>
      <c r="AK8" s="3">
        <f t="shared" si="6"/>
        <v>45467</v>
      </c>
      <c r="AL8" s="3">
        <f t="shared" si="7"/>
        <v>45559</v>
      </c>
      <c r="AM8" s="3">
        <f t="shared" si="8"/>
        <v>45650</v>
      </c>
      <c r="AN8" s="3">
        <f t="shared" si="9"/>
        <v>45741</v>
      </c>
      <c r="AO8" s="3">
        <f>AB8</f>
        <v>45833</v>
      </c>
      <c r="AP8" s="3">
        <f>AC8</f>
        <v>45927</v>
      </c>
      <c r="AQ8" s="41"/>
      <c r="AR8" s="640"/>
    </row>
    <row r="9" spans="1:44" ht="5.0999999999999996" customHeight="1">
      <c r="AR9" s="191"/>
    </row>
    <row r="10" spans="1:44" ht="12.75" customHeight="1">
      <c r="B10" s="10" t="s">
        <v>93</v>
      </c>
      <c r="C10" s="162">
        <v>215639</v>
      </c>
      <c r="D10" s="162">
        <v>229234</v>
      </c>
      <c r="E10" s="162">
        <v>265595</v>
      </c>
      <c r="F10" s="162">
        <v>260174</v>
      </c>
      <c r="G10" s="162">
        <v>274515</v>
      </c>
      <c r="H10" s="162">
        <v>365817</v>
      </c>
      <c r="I10" s="162">
        <v>394328</v>
      </c>
      <c r="J10" s="162">
        <v>383285</v>
      </c>
      <c r="K10" s="162">
        <v>391035</v>
      </c>
      <c r="L10" s="162">
        <v>416161</v>
      </c>
      <c r="M10" s="12"/>
      <c r="N10" s="162">
        <v>123945</v>
      </c>
      <c r="O10" s="162">
        <v>97278</v>
      </c>
      <c r="P10" s="162">
        <v>82959</v>
      </c>
      <c r="Q10" s="34">
        <f t="shared" ref="Q10" si="10">SUM(I10-SUM(N10:P10))</f>
        <v>90146</v>
      </c>
      <c r="R10" s="162">
        <v>117154</v>
      </c>
      <c r="S10" s="162">
        <v>94836</v>
      </c>
      <c r="T10" s="162">
        <v>81797</v>
      </c>
      <c r="U10" s="34">
        <f t="shared" ref="U10" si="11">SUM(J10-SUM(R10:T10))</f>
        <v>89498</v>
      </c>
      <c r="V10" s="162">
        <v>119575</v>
      </c>
      <c r="W10" s="162">
        <v>90753</v>
      </c>
      <c r="X10" s="162">
        <v>85777</v>
      </c>
      <c r="Y10" s="34">
        <f t="shared" ref="Y10" si="12">SUM(K10-SUM(V10:X10))</f>
        <v>94930</v>
      </c>
      <c r="Z10" s="96">
        <v>124300</v>
      </c>
      <c r="AA10" s="96">
        <v>95359</v>
      </c>
      <c r="AB10" s="96">
        <v>94036</v>
      </c>
      <c r="AC10" s="34">
        <f>SUM(L10-SUM(Z10:AB10))</f>
        <v>102466</v>
      </c>
      <c r="AE10" s="34">
        <f t="shared" ref="AE10:AP10" si="13">SUM(O10:R10)</f>
        <v>387537</v>
      </c>
      <c r="AF10" s="34">
        <f t="shared" si="13"/>
        <v>385095</v>
      </c>
      <c r="AG10" s="34">
        <f t="shared" si="13"/>
        <v>383933</v>
      </c>
      <c r="AH10" s="34">
        <f t="shared" si="13"/>
        <v>383285</v>
      </c>
      <c r="AI10" s="34">
        <f t="shared" si="13"/>
        <v>385706</v>
      </c>
      <c r="AJ10" s="34">
        <f t="shared" si="13"/>
        <v>381623</v>
      </c>
      <c r="AK10" s="34">
        <f t="shared" si="13"/>
        <v>385603</v>
      </c>
      <c r="AL10" s="34">
        <f t="shared" si="13"/>
        <v>391035</v>
      </c>
      <c r="AM10" s="34">
        <f t="shared" si="13"/>
        <v>395760</v>
      </c>
      <c r="AN10" s="34">
        <f t="shared" si="13"/>
        <v>400366</v>
      </c>
      <c r="AO10" s="34">
        <f t="shared" si="13"/>
        <v>408625</v>
      </c>
      <c r="AP10" s="34">
        <f t="shared" si="13"/>
        <v>416161</v>
      </c>
      <c r="AQ10" s="43"/>
      <c r="AR10" s="87">
        <f>SUM(AP10/AL10)-1</f>
        <v>6.425511782832749E-2</v>
      </c>
    </row>
    <row r="11" spans="1:44" ht="12.75" customHeight="1">
      <c r="B11" s="14" t="s">
        <v>12</v>
      </c>
      <c r="C11" s="15">
        <f t="shared" ref="C11:F11" si="14">+SUM(C10:C10)</f>
        <v>215639</v>
      </c>
      <c r="D11" s="15">
        <f t="shared" si="14"/>
        <v>229234</v>
      </c>
      <c r="E11" s="15">
        <f t="shared" si="14"/>
        <v>265595</v>
      </c>
      <c r="F11" s="15">
        <f t="shared" si="14"/>
        <v>260174</v>
      </c>
      <c r="G11" s="15">
        <f t="shared" ref="G11:L11" si="15">+SUM(G10:G10)</f>
        <v>274515</v>
      </c>
      <c r="H11" s="15">
        <f t="shared" si="15"/>
        <v>365817</v>
      </c>
      <c r="I11" s="15">
        <f t="shared" si="15"/>
        <v>394328</v>
      </c>
      <c r="J11" s="15">
        <f t="shared" si="15"/>
        <v>383285</v>
      </c>
      <c r="K11" s="15">
        <f t="shared" si="15"/>
        <v>391035</v>
      </c>
      <c r="L11" s="15">
        <f t="shared" si="15"/>
        <v>416161</v>
      </c>
      <c r="M11" s="12"/>
      <c r="N11" s="15">
        <f t="shared" ref="N11:AB11" si="16">+SUM(N10:N10)</f>
        <v>123945</v>
      </c>
      <c r="O11" s="15">
        <f t="shared" si="16"/>
        <v>97278</v>
      </c>
      <c r="P11" s="15">
        <f t="shared" si="16"/>
        <v>82959</v>
      </c>
      <c r="Q11" s="15">
        <f t="shared" si="16"/>
        <v>90146</v>
      </c>
      <c r="R11" s="15">
        <f t="shared" si="16"/>
        <v>117154</v>
      </c>
      <c r="S11" s="15">
        <f t="shared" si="16"/>
        <v>94836</v>
      </c>
      <c r="T11" s="15">
        <f t="shared" si="16"/>
        <v>81797</v>
      </c>
      <c r="U11" s="15">
        <f t="shared" si="16"/>
        <v>89498</v>
      </c>
      <c r="V11" s="15">
        <f t="shared" si="16"/>
        <v>119575</v>
      </c>
      <c r="W11" s="15">
        <f t="shared" si="16"/>
        <v>90753</v>
      </c>
      <c r="X11" s="15">
        <f t="shared" si="16"/>
        <v>85777</v>
      </c>
      <c r="Y11" s="15">
        <f t="shared" si="16"/>
        <v>94930</v>
      </c>
      <c r="Z11" s="15">
        <f t="shared" si="16"/>
        <v>124300</v>
      </c>
      <c r="AA11" s="15">
        <f t="shared" si="16"/>
        <v>95359</v>
      </c>
      <c r="AB11" s="15">
        <f t="shared" si="16"/>
        <v>94036</v>
      </c>
      <c r="AC11" s="15">
        <f t="shared" ref="AC11" si="17">+SUM(AC10:AC10)</f>
        <v>102466</v>
      </c>
      <c r="AE11" s="15">
        <f t="shared" ref="AE11:AF11" si="18">+SUM(AE10:AE10)</f>
        <v>387537</v>
      </c>
      <c r="AF11" s="15">
        <f t="shared" si="18"/>
        <v>385095</v>
      </c>
      <c r="AG11" s="15">
        <f t="shared" ref="AG11" si="19">+SUM(AG10:AG10)</f>
        <v>383933</v>
      </c>
      <c r="AH11" s="15">
        <f t="shared" ref="AH11" si="20">+SUM(AH10:AH10)</f>
        <v>383285</v>
      </c>
      <c r="AI11" s="15">
        <f t="shared" ref="AI11" si="21">+SUM(AI10:AI10)</f>
        <v>385706</v>
      </c>
      <c r="AJ11" s="15">
        <f t="shared" ref="AJ11" si="22">+SUM(AJ10:AJ10)</f>
        <v>381623</v>
      </c>
      <c r="AK11" s="15">
        <f t="shared" ref="AK11" si="23">+SUM(AK10:AK10)</f>
        <v>385603</v>
      </c>
      <c r="AL11" s="15">
        <f t="shared" ref="AL11:AN11" si="24">+SUM(AL10:AL10)</f>
        <v>391035</v>
      </c>
      <c r="AM11" s="15">
        <f t="shared" si="24"/>
        <v>395760</v>
      </c>
      <c r="AN11" s="15">
        <f t="shared" si="24"/>
        <v>400366</v>
      </c>
      <c r="AO11" s="15">
        <f>+SUM(AO10:AO10)</f>
        <v>408625</v>
      </c>
      <c r="AP11" s="15">
        <f>+SUM(AP10:AP10)</f>
        <v>416161</v>
      </c>
      <c r="AQ11" s="43"/>
      <c r="AR11" s="88">
        <f>SUM(AP11/AL11)-1</f>
        <v>6.425511782832749E-2</v>
      </c>
    </row>
    <row r="12" spans="1:44" s="22" customFormat="1" ht="5.0999999999999996" customHeight="1">
      <c r="B12" s="20"/>
      <c r="C12" s="21"/>
      <c r="D12" s="21"/>
      <c r="E12" s="21"/>
      <c r="F12" s="21"/>
      <c r="G12" s="21"/>
      <c r="H12" s="21"/>
      <c r="I12" s="21"/>
      <c r="J12" s="21"/>
      <c r="K12" s="21"/>
      <c r="L12" s="21"/>
      <c r="N12" s="23"/>
      <c r="O12" s="23"/>
      <c r="P12" s="23"/>
      <c r="Q12" s="24"/>
      <c r="R12" s="23"/>
      <c r="S12" s="23"/>
      <c r="T12" s="23"/>
      <c r="U12" s="24"/>
      <c r="V12" s="23"/>
      <c r="W12" s="23"/>
      <c r="X12" s="23"/>
      <c r="Y12" s="23"/>
      <c r="Z12" s="23"/>
      <c r="AA12" s="23"/>
      <c r="AB12" s="23"/>
      <c r="AC12" s="23"/>
      <c r="AR12" s="87"/>
    </row>
    <row r="13" spans="1:44" ht="12.75" customHeight="1">
      <c r="B13" s="10" t="s">
        <v>13</v>
      </c>
      <c r="C13" s="96">
        <v>-131376</v>
      </c>
      <c r="D13" s="96">
        <v>-141048</v>
      </c>
      <c r="E13" s="96">
        <v>-163756</v>
      </c>
      <c r="F13" s="96">
        <v>-161782</v>
      </c>
      <c r="G13" s="96">
        <v>-169559</v>
      </c>
      <c r="H13" s="96">
        <v>-212981</v>
      </c>
      <c r="I13" s="96">
        <v>-223546</v>
      </c>
      <c r="J13" s="96">
        <v>-214137</v>
      </c>
      <c r="K13" s="96">
        <v>-210352</v>
      </c>
      <c r="L13" s="96">
        <v>-220960</v>
      </c>
      <c r="M13" s="26"/>
      <c r="N13" s="96">
        <v>-69702</v>
      </c>
      <c r="O13" s="96">
        <v>-54719</v>
      </c>
      <c r="P13" s="96">
        <v>-47074</v>
      </c>
      <c r="Q13" s="34">
        <f t="shared" ref="Q13" si="25">SUM(I13-SUM(N13:P13))</f>
        <v>-52051</v>
      </c>
      <c r="R13" s="96">
        <v>-66822</v>
      </c>
      <c r="S13" s="96">
        <v>-52860</v>
      </c>
      <c r="T13" s="96">
        <v>-45384</v>
      </c>
      <c r="U13" s="34">
        <f t="shared" ref="U13" si="26">SUM(J13-SUM(R13:T13))</f>
        <v>-49071</v>
      </c>
      <c r="V13" s="162">
        <v>-64720</v>
      </c>
      <c r="W13" s="162">
        <v>-48482</v>
      </c>
      <c r="X13" s="162">
        <v>-46099</v>
      </c>
      <c r="Y13" s="34">
        <f t="shared" ref="Y13" si="27">SUM(K13-SUM(V13:X13))</f>
        <v>-51051</v>
      </c>
      <c r="Z13" s="96">
        <v>-66025</v>
      </c>
      <c r="AA13" s="96">
        <v>-50492</v>
      </c>
      <c r="AB13" s="96">
        <v>-50318</v>
      </c>
      <c r="AC13" s="34">
        <f>SUM(L13-SUM(Z13:AB13))</f>
        <v>-54125</v>
      </c>
      <c r="AE13" s="34">
        <f t="shared" ref="AE13:AP13" si="28">SUM(O13:R13)</f>
        <v>-220666</v>
      </c>
      <c r="AF13" s="34">
        <f t="shared" si="28"/>
        <v>-218807</v>
      </c>
      <c r="AG13" s="34">
        <f t="shared" si="28"/>
        <v>-217117</v>
      </c>
      <c r="AH13" s="34">
        <f t="shared" si="28"/>
        <v>-214137</v>
      </c>
      <c r="AI13" s="34">
        <f t="shared" si="28"/>
        <v>-212035</v>
      </c>
      <c r="AJ13" s="34">
        <f t="shared" si="28"/>
        <v>-207657</v>
      </c>
      <c r="AK13" s="34">
        <f t="shared" si="28"/>
        <v>-208372</v>
      </c>
      <c r="AL13" s="34">
        <f t="shared" si="28"/>
        <v>-210352</v>
      </c>
      <c r="AM13" s="34">
        <f t="shared" si="28"/>
        <v>-211657</v>
      </c>
      <c r="AN13" s="34">
        <f t="shared" si="28"/>
        <v>-213667</v>
      </c>
      <c r="AO13" s="34">
        <f t="shared" si="28"/>
        <v>-217886</v>
      </c>
      <c r="AP13" s="34">
        <f t="shared" si="28"/>
        <v>-220960</v>
      </c>
      <c r="AQ13" s="12"/>
      <c r="AR13" s="87">
        <f t="shared" ref="AR13:AR14" si="29">SUM(AP13/AL13)-1</f>
        <v>5.0429755837833712E-2</v>
      </c>
    </row>
    <row r="14" spans="1:44" ht="12.75" customHeight="1">
      <c r="B14" s="27" t="s">
        <v>30</v>
      </c>
      <c r="C14" s="28">
        <f t="shared" ref="C14:F14" si="30">+SUM(C11+SUM(C13:C13))</f>
        <v>84263</v>
      </c>
      <c r="D14" s="28">
        <f t="shared" si="30"/>
        <v>88186</v>
      </c>
      <c r="E14" s="28">
        <f t="shared" si="30"/>
        <v>101839</v>
      </c>
      <c r="F14" s="28">
        <f t="shared" si="30"/>
        <v>98392</v>
      </c>
      <c r="G14" s="28">
        <f t="shared" ref="G14:L14" si="31">+SUM(G11+SUM(G13:G13))</f>
        <v>104956</v>
      </c>
      <c r="H14" s="28">
        <f t="shared" si="31"/>
        <v>152836</v>
      </c>
      <c r="I14" s="28">
        <f t="shared" si="31"/>
        <v>170782</v>
      </c>
      <c r="J14" s="28">
        <f t="shared" si="31"/>
        <v>169148</v>
      </c>
      <c r="K14" s="28">
        <f t="shared" si="31"/>
        <v>180683</v>
      </c>
      <c r="L14" s="28">
        <f t="shared" si="31"/>
        <v>195201</v>
      </c>
      <c r="N14" s="28">
        <f t="shared" ref="N14:AB14" si="32">+SUM(N11+SUM(N13:N13))</f>
        <v>54243</v>
      </c>
      <c r="O14" s="28">
        <f t="shared" si="32"/>
        <v>42559</v>
      </c>
      <c r="P14" s="28">
        <f t="shared" si="32"/>
        <v>35885</v>
      </c>
      <c r="Q14" s="28">
        <f t="shared" si="32"/>
        <v>38095</v>
      </c>
      <c r="R14" s="28">
        <f t="shared" si="32"/>
        <v>50332</v>
      </c>
      <c r="S14" s="28">
        <f t="shared" si="32"/>
        <v>41976</v>
      </c>
      <c r="T14" s="28">
        <f t="shared" si="32"/>
        <v>36413</v>
      </c>
      <c r="U14" s="28">
        <f t="shared" si="32"/>
        <v>40427</v>
      </c>
      <c r="V14" s="28">
        <f t="shared" si="32"/>
        <v>54855</v>
      </c>
      <c r="W14" s="28">
        <f t="shared" si="32"/>
        <v>42271</v>
      </c>
      <c r="X14" s="28">
        <f t="shared" si="32"/>
        <v>39678</v>
      </c>
      <c r="Y14" s="28">
        <f t="shared" si="32"/>
        <v>43879</v>
      </c>
      <c r="Z14" s="28">
        <f t="shared" si="32"/>
        <v>58275</v>
      </c>
      <c r="AA14" s="28">
        <f t="shared" si="32"/>
        <v>44867</v>
      </c>
      <c r="AB14" s="28">
        <f t="shared" si="32"/>
        <v>43718</v>
      </c>
      <c r="AC14" s="28">
        <f t="shared" ref="AC14" si="33">+SUM(AC11+SUM(AC13:AC13))</f>
        <v>48341</v>
      </c>
      <c r="AE14" s="28">
        <f t="shared" ref="AE14:AF14" si="34">+SUM(AE11+SUM(AE13:AE13))</f>
        <v>166871</v>
      </c>
      <c r="AF14" s="28">
        <f t="shared" si="34"/>
        <v>166288</v>
      </c>
      <c r="AG14" s="28">
        <f t="shared" ref="AG14" si="35">+SUM(AG11+SUM(AG13:AG13))</f>
        <v>166816</v>
      </c>
      <c r="AH14" s="28">
        <f t="shared" ref="AH14" si="36">+SUM(AH11+SUM(AH13:AH13))</f>
        <v>169148</v>
      </c>
      <c r="AI14" s="28">
        <f t="shared" ref="AI14" si="37">+SUM(AI11+SUM(AI13:AI13))</f>
        <v>173671</v>
      </c>
      <c r="AJ14" s="28">
        <f t="shared" ref="AJ14" si="38">+SUM(AJ11+SUM(AJ13:AJ13))</f>
        <v>173966</v>
      </c>
      <c r="AK14" s="28">
        <f t="shared" ref="AK14" si="39">+SUM(AK11+SUM(AK13:AK13))</f>
        <v>177231</v>
      </c>
      <c r="AL14" s="28">
        <f t="shared" ref="AL14:AN14" si="40">+SUM(AL11+SUM(AL13:AL13))</f>
        <v>180683</v>
      </c>
      <c r="AM14" s="28">
        <f t="shared" si="40"/>
        <v>184103</v>
      </c>
      <c r="AN14" s="28">
        <f t="shared" si="40"/>
        <v>186699</v>
      </c>
      <c r="AO14" s="28">
        <f>+SUM(AO11+SUM(AO13:AO13))</f>
        <v>190739</v>
      </c>
      <c r="AP14" s="28">
        <f>+SUM(AP11+SUM(AP13:AP13))</f>
        <v>195201</v>
      </c>
      <c r="AQ14" s="45"/>
      <c r="AR14" s="88">
        <f t="shared" si="29"/>
        <v>8.0350669404426478E-2</v>
      </c>
    </row>
    <row r="15" spans="1:44" ht="12.75" customHeight="1">
      <c r="B15" s="17" t="s">
        <v>49</v>
      </c>
      <c r="C15" s="18">
        <f t="shared" ref="C15:F15" si="41">C14/C11</f>
        <v>0.39075955648097049</v>
      </c>
      <c r="D15" s="18">
        <f t="shared" si="41"/>
        <v>0.38469860491899105</v>
      </c>
      <c r="E15" s="18">
        <f t="shared" si="41"/>
        <v>0.38343718820007905</v>
      </c>
      <c r="F15" s="18">
        <f t="shared" si="41"/>
        <v>0.37817768109034722</v>
      </c>
      <c r="G15" s="18">
        <f t="shared" ref="G15:L15" si="42">G14/G11</f>
        <v>0.38233247727810865</v>
      </c>
      <c r="H15" s="18">
        <f t="shared" si="42"/>
        <v>0.41779359625167778</v>
      </c>
      <c r="I15" s="18">
        <f t="shared" si="42"/>
        <v>0.43309630561360085</v>
      </c>
      <c r="J15" s="18">
        <f t="shared" si="42"/>
        <v>0.44131129577207562</v>
      </c>
      <c r="K15" s="18">
        <f t="shared" si="42"/>
        <v>0.46206349815233932</v>
      </c>
      <c r="L15" s="18">
        <f t="shared" si="42"/>
        <v>0.46905164107160452</v>
      </c>
      <c r="M15" s="29"/>
      <c r="N15" s="18">
        <f t="shared" ref="N15:AB15" si="43">N14/N11</f>
        <v>0.43763766186615033</v>
      </c>
      <c r="O15" s="18">
        <f t="shared" si="43"/>
        <v>0.43749871502292398</v>
      </c>
      <c r="P15" s="18">
        <f t="shared" si="43"/>
        <v>0.43256307332537758</v>
      </c>
      <c r="Q15" s="18">
        <f t="shared" si="43"/>
        <v>0.4225922392563175</v>
      </c>
      <c r="R15" s="18">
        <f t="shared" si="43"/>
        <v>0.42962254809908323</v>
      </c>
      <c r="S15" s="18">
        <f t="shared" si="43"/>
        <v>0.44261672782487665</v>
      </c>
      <c r="T15" s="18">
        <f t="shared" si="43"/>
        <v>0.44516302553883397</v>
      </c>
      <c r="U15" s="18">
        <f t="shared" si="43"/>
        <v>0.45170841806520817</v>
      </c>
      <c r="V15" s="18">
        <f t="shared" si="43"/>
        <v>0.45874973865774621</v>
      </c>
      <c r="W15" s="18">
        <f t="shared" si="43"/>
        <v>0.46578074554009236</v>
      </c>
      <c r="X15" s="18">
        <f t="shared" si="43"/>
        <v>0.46257155181458898</v>
      </c>
      <c r="Y15" s="18">
        <f t="shared" si="43"/>
        <v>0.4622247972190035</v>
      </c>
      <c r="Z15" s="18">
        <f t="shared" si="43"/>
        <v>0.46882542236524538</v>
      </c>
      <c r="AA15" s="18">
        <f t="shared" si="43"/>
        <v>0.47050619238876246</v>
      </c>
      <c r="AB15" s="18">
        <f t="shared" si="43"/>
        <v>0.46490705687183631</v>
      </c>
      <c r="AC15" s="18">
        <f t="shared" ref="AC15" si="44">AC14/AC11</f>
        <v>0.47177600374758455</v>
      </c>
      <c r="AD15" s="30"/>
      <c r="AE15" s="18">
        <f t="shared" ref="AE15:AF15" si="45">AE14/AE11</f>
        <v>0.43059372395409989</v>
      </c>
      <c r="AF15" s="18">
        <f t="shared" si="45"/>
        <v>0.43181033251535333</v>
      </c>
      <c r="AG15" s="18">
        <f t="shared" ref="AG15" si="46">AG14/AG11</f>
        <v>0.43449247655189838</v>
      </c>
      <c r="AH15" s="18">
        <f t="shared" ref="AH15" si="47">AH14/AH11</f>
        <v>0.44131129577207562</v>
      </c>
      <c r="AI15" s="18">
        <f t="shared" ref="AI15" si="48">AI14/AI11</f>
        <v>0.45026782056799741</v>
      </c>
      <c r="AJ15" s="18">
        <f t="shared" ref="AJ15" si="49">AJ14/AJ11</f>
        <v>0.4558582685005883</v>
      </c>
      <c r="AK15" s="18">
        <f t="shared" ref="AK15" si="50">AK14/AK11</f>
        <v>0.45962038677084982</v>
      </c>
      <c r="AL15" s="18">
        <f t="shared" ref="AL15:AN15" si="51">AL14/AL11</f>
        <v>0.46206349815233932</v>
      </c>
      <c r="AM15" s="18">
        <f t="shared" si="51"/>
        <v>0.46518849807964424</v>
      </c>
      <c r="AN15" s="18">
        <f t="shared" si="51"/>
        <v>0.46632081645294554</v>
      </c>
      <c r="AO15" s="18">
        <f>AO14/AO11</f>
        <v>0.46678250229427959</v>
      </c>
      <c r="AP15" s="18">
        <f>AP14/AP11</f>
        <v>0.46905164107160452</v>
      </c>
      <c r="AQ15" s="45"/>
      <c r="AR15" s="89">
        <f>SUM(AP15-AL15)*1000</f>
        <v>6.9881429192651945</v>
      </c>
    </row>
    <row r="16" spans="1:44" ht="5.0999999999999996" customHeight="1">
      <c r="B16" s="31"/>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E16" s="32"/>
      <c r="AF16" s="32"/>
      <c r="AG16" s="32"/>
      <c r="AH16" s="32"/>
      <c r="AI16" s="32"/>
      <c r="AJ16" s="32"/>
      <c r="AK16" s="32"/>
      <c r="AL16" s="32"/>
      <c r="AM16" s="32"/>
      <c r="AN16" s="32"/>
      <c r="AO16" s="32"/>
      <c r="AP16" s="32"/>
      <c r="AQ16" s="45"/>
      <c r="AR16" s="87"/>
    </row>
    <row r="17" spans="2:44" ht="12.75" customHeight="1">
      <c r="B17" s="10" t="s">
        <v>213</v>
      </c>
      <c r="C17" s="96">
        <v>-10045</v>
      </c>
      <c r="D17" s="96">
        <v>-11581</v>
      </c>
      <c r="E17" s="96">
        <v>-14236</v>
      </c>
      <c r="F17" s="96">
        <v>-16217</v>
      </c>
      <c r="G17" s="96">
        <v>-18752</v>
      </c>
      <c r="H17" s="96">
        <v>-21914</v>
      </c>
      <c r="I17" s="96">
        <v>-26251</v>
      </c>
      <c r="J17" s="96">
        <v>-29915</v>
      </c>
      <c r="K17" s="96">
        <v>-31370</v>
      </c>
      <c r="L17" s="96">
        <v>-34550</v>
      </c>
      <c r="M17" s="34"/>
      <c r="N17" s="96">
        <v>-6306</v>
      </c>
      <c r="O17" s="96">
        <v>-6387</v>
      </c>
      <c r="P17" s="96">
        <v>-6797</v>
      </c>
      <c r="Q17" s="34">
        <f t="shared" ref="Q17:Q18" si="52">SUM(I17-SUM(N17:P17))</f>
        <v>-6761</v>
      </c>
      <c r="R17" s="96">
        <v>-7709</v>
      </c>
      <c r="S17" s="96">
        <v>-7457</v>
      </c>
      <c r="T17" s="96">
        <v>-7442</v>
      </c>
      <c r="U17" s="34">
        <f t="shared" ref="U17:U18" si="53">SUM(J17-SUM(R17:T17))</f>
        <v>-7307</v>
      </c>
      <c r="V17" s="162">
        <v>-7696</v>
      </c>
      <c r="W17" s="162">
        <v>-7903</v>
      </c>
      <c r="X17" s="162">
        <v>-8006</v>
      </c>
      <c r="Y17" s="34">
        <f t="shared" ref="Y17:Y18" si="54">SUM(K17-SUM(V17:X17))</f>
        <v>-7765</v>
      </c>
      <c r="Z17" s="96">
        <v>-8268</v>
      </c>
      <c r="AA17" s="96">
        <v>-8550</v>
      </c>
      <c r="AB17" s="96">
        <v>-8866</v>
      </c>
      <c r="AC17" s="34">
        <f t="shared" ref="AC17:AC18" si="55">SUM(L17-SUM(Z17:AB17))</f>
        <v>-8866</v>
      </c>
      <c r="AE17" s="34">
        <f t="shared" ref="AE17:AP18" si="56">SUM(O17:R17)</f>
        <v>-27654</v>
      </c>
      <c r="AF17" s="34">
        <f t="shared" si="56"/>
        <v>-28724</v>
      </c>
      <c r="AG17" s="34">
        <f t="shared" si="56"/>
        <v>-29369</v>
      </c>
      <c r="AH17" s="34">
        <f t="shared" si="56"/>
        <v>-29915</v>
      </c>
      <c r="AI17" s="34">
        <f t="shared" si="56"/>
        <v>-29902</v>
      </c>
      <c r="AJ17" s="34">
        <f t="shared" si="56"/>
        <v>-30348</v>
      </c>
      <c r="AK17" s="34">
        <f t="shared" si="56"/>
        <v>-30912</v>
      </c>
      <c r="AL17" s="34">
        <f t="shared" si="56"/>
        <v>-31370</v>
      </c>
      <c r="AM17" s="34">
        <f t="shared" si="56"/>
        <v>-31942</v>
      </c>
      <c r="AN17" s="34">
        <f t="shared" si="56"/>
        <v>-32589</v>
      </c>
      <c r="AO17" s="34">
        <f t="shared" si="56"/>
        <v>-33449</v>
      </c>
      <c r="AP17" s="34">
        <f t="shared" si="56"/>
        <v>-34550</v>
      </c>
      <c r="AQ17" s="12"/>
      <c r="AR17" s="87">
        <f t="shared" ref="AR17:AR19" si="57">SUM(AP17/AL17)-1</f>
        <v>0.10137073637233018</v>
      </c>
    </row>
    <row r="18" spans="2:44" ht="12.75" customHeight="1">
      <c r="B18" s="10" t="s">
        <v>214</v>
      </c>
      <c r="C18" s="96">
        <v>-14194</v>
      </c>
      <c r="D18" s="96">
        <v>-15261</v>
      </c>
      <c r="E18" s="96">
        <v>-16705</v>
      </c>
      <c r="F18" s="96">
        <v>-18245</v>
      </c>
      <c r="G18" s="96">
        <v>-19916</v>
      </c>
      <c r="H18" s="96">
        <v>-21973</v>
      </c>
      <c r="I18" s="96">
        <v>-25094</v>
      </c>
      <c r="J18" s="96">
        <v>-24932</v>
      </c>
      <c r="K18" s="96">
        <v>-26097</v>
      </c>
      <c r="L18" s="96">
        <v>-27601</v>
      </c>
      <c r="M18" s="34"/>
      <c r="N18" s="96">
        <v>-6449</v>
      </c>
      <c r="O18" s="96">
        <v>-6193</v>
      </c>
      <c r="P18" s="96">
        <v>-6012</v>
      </c>
      <c r="Q18" s="34">
        <f t="shared" si="52"/>
        <v>-6440</v>
      </c>
      <c r="R18" s="96">
        <v>-6607</v>
      </c>
      <c r="S18" s="96">
        <v>-6201</v>
      </c>
      <c r="T18" s="96">
        <v>-5973</v>
      </c>
      <c r="U18" s="34">
        <f t="shared" si="53"/>
        <v>-6151</v>
      </c>
      <c r="V18" s="162">
        <v>-6786</v>
      </c>
      <c r="W18" s="162">
        <v>-6468</v>
      </c>
      <c r="X18" s="162">
        <v>-6320</v>
      </c>
      <c r="Y18" s="34">
        <f t="shared" si="54"/>
        <v>-6523</v>
      </c>
      <c r="Z18" s="96">
        <v>-7175</v>
      </c>
      <c r="AA18" s="96">
        <v>-6728</v>
      </c>
      <c r="AB18" s="96">
        <v>-6650</v>
      </c>
      <c r="AC18" s="34">
        <f t="shared" si="55"/>
        <v>-7048</v>
      </c>
      <c r="AE18" s="34">
        <f t="shared" si="56"/>
        <v>-25252</v>
      </c>
      <c r="AF18" s="34">
        <f t="shared" si="56"/>
        <v>-25260</v>
      </c>
      <c r="AG18" s="34">
        <f t="shared" si="56"/>
        <v>-25221</v>
      </c>
      <c r="AH18" s="34">
        <f t="shared" si="56"/>
        <v>-24932</v>
      </c>
      <c r="AI18" s="34">
        <f t="shared" si="56"/>
        <v>-25111</v>
      </c>
      <c r="AJ18" s="34">
        <f t="shared" si="56"/>
        <v>-25378</v>
      </c>
      <c r="AK18" s="34">
        <f t="shared" si="56"/>
        <v>-25725</v>
      </c>
      <c r="AL18" s="34">
        <f t="shared" si="56"/>
        <v>-26097</v>
      </c>
      <c r="AM18" s="34">
        <f t="shared" si="56"/>
        <v>-26486</v>
      </c>
      <c r="AN18" s="34">
        <f t="shared" si="56"/>
        <v>-26746</v>
      </c>
      <c r="AO18" s="34">
        <f t="shared" si="56"/>
        <v>-27076</v>
      </c>
      <c r="AP18" s="34">
        <f t="shared" si="56"/>
        <v>-27601</v>
      </c>
      <c r="AQ18" s="12"/>
      <c r="AR18" s="87">
        <f t="shared" si="57"/>
        <v>5.7631145342376566E-2</v>
      </c>
    </row>
    <row r="19" spans="2:44" ht="12.75" customHeight="1">
      <c r="B19" s="27" t="s">
        <v>81</v>
      </c>
      <c r="C19" s="28">
        <f t="shared" ref="C19:F19" si="58">SUM(C14+SUM(C17:C18))</f>
        <v>60024</v>
      </c>
      <c r="D19" s="28">
        <f t="shared" si="58"/>
        <v>61344</v>
      </c>
      <c r="E19" s="28">
        <f t="shared" si="58"/>
        <v>70898</v>
      </c>
      <c r="F19" s="28">
        <f t="shared" si="58"/>
        <v>63930</v>
      </c>
      <c r="G19" s="28">
        <f t="shared" ref="G19:L19" si="59">SUM(G14+SUM(G17:G18))</f>
        <v>66288</v>
      </c>
      <c r="H19" s="28">
        <f t="shared" si="59"/>
        <v>108949</v>
      </c>
      <c r="I19" s="28">
        <f t="shared" si="59"/>
        <v>119437</v>
      </c>
      <c r="J19" s="28">
        <f t="shared" si="59"/>
        <v>114301</v>
      </c>
      <c r="K19" s="28">
        <f t="shared" si="59"/>
        <v>123216</v>
      </c>
      <c r="L19" s="28">
        <f t="shared" si="59"/>
        <v>133050</v>
      </c>
      <c r="N19" s="28">
        <f t="shared" ref="N19:AB19" si="60">SUM(N14+SUM(N17:N18))</f>
        <v>41488</v>
      </c>
      <c r="O19" s="28">
        <f t="shared" si="60"/>
        <v>29979</v>
      </c>
      <c r="P19" s="28">
        <f t="shared" si="60"/>
        <v>23076</v>
      </c>
      <c r="Q19" s="28">
        <f t="shared" si="60"/>
        <v>24894</v>
      </c>
      <c r="R19" s="28">
        <f t="shared" si="60"/>
        <v>36016</v>
      </c>
      <c r="S19" s="28">
        <f t="shared" si="60"/>
        <v>28318</v>
      </c>
      <c r="T19" s="28">
        <f t="shared" si="60"/>
        <v>22998</v>
      </c>
      <c r="U19" s="28">
        <f t="shared" si="60"/>
        <v>26969</v>
      </c>
      <c r="V19" s="28">
        <f t="shared" si="60"/>
        <v>40373</v>
      </c>
      <c r="W19" s="28">
        <f t="shared" si="60"/>
        <v>27900</v>
      </c>
      <c r="X19" s="28">
        <f t="shared" si="60"/>
        <v>25352</v>
      </c>
      <c r="Y19" s="28">
        <f t="shared" si="60"/>
        <v>29591</v>
      </c>
      <c r="Z19" s="28">
        <f t="shared" si="60"/>
        <v>42832</v>
      </c>
      <c r="AA19" s="28">
        <f t="shared" si="60"/>
        <v>29589</v>
      </c>
      <c r="AB19" s="28">
        <f t="shared" si="60"/>
        <v>28202</v>
      </c>
      <c r="AC19" s="28">
        <f t="shared" ref="AC19" si="61">SUM(AC14+SUM(AC17:AC18))</f>
        <v>32427</v>
      </c>
      <c r="AE19" s="28">
        <f t="shared" ref="AE19:AO19" si="62">SUM(AE14+SUM(AE17:AE18))</f>
        <v>113965</v>
      </c>
      <c r="AF19" s="28">
        <f t="shared" si="62"/>
        <v>112304</v>
      </c>
      <c r="AG19" s="28">
        <f t="shared" si="62"/>
        <v>112226</v>
      </c>
      <c r="AH19" s="28">
        <f t="shared" si="62"/>
        <v>114301</v>
      </c>
      <c r="AI19" s="28">
        <f t="shared" si="62"/>
        <v>118658</v>
      </c>
      <c r="AJ19" s="28">
        <f t="shared" si="62"/>
        <v>118240</v>
      </c>
      <c r="AK19" s="28">
        <f t="shared" si="62"/>
        <v>120594</v>
      </c>
      <c r="AL19" s="28">
        <f t="shared" si="62"/>
        <v>123216</v>
      </c>
      <c r="AM19" s="28">
        <f t="shared" si="62"/>
        <v>125675</v>
      </c>
      <c r="AN19" s="28">
        <f t="shared" si="62"/>
        <v>127364</v>
      </c>
      <c r="AO19" s="28">
        <f t="shared" si="62"/>
        <v>130214</v>
      </c>
      <c r="AP19" s="28">
        <f t="shared" ref="AP19" si="63">SUM(AP14+SUM(AP17:AP18))</f>
        <v>133050</v>
      </c>
      <c r="AQ19" s="45"/>
      <c r="AR19" s="88">
        <f t="shared" si="57"/>
        <v>7.9811063498246959E-2</v>
      </c>
    </row>
    <row r="20" spans="2:44" ht="12.75" customHeight="1">
      <c r="B20" s="17" t="s">
        <v>51</v>
      </c>
      <c r="C20" s="18">
        <f t="shared" ref="C20:F20" si="64">C19/C11</f>
        <v>0.27835410106706115</v>
      </c>
      <c r="D20" s="18">
        <f t="shared" si="64"/>
        <v>0.26760428208729942</v>
      </c>
      <c r="E20" s="18">
        <f t="shared" si="64"/>
        <v>0.26694026619477024</v>
      </c>
      <c r="F20" s="18">
        <f t="shared" si="64"/>
        <v>0.24572017188496928</v>
      </c>
      <c r="G20" s="18">
        <f t="shared" ref="G20:L20" si="65">G19/G11</f>
        <v>0.24147314354406862</v>
      </c>
      <c r="H20" s="18">
        <f t="shared" si="65"/>
        <v>0.29782377527561593</v>
      </c>
      <c r="I20" s="18">
        <f t="shared" si="65"/>
        <v>0.30288744395528594</v>
      </c>
      <c r="J20" s="18">
        <f t="shared" si="65"/>
        <v>0.29821412265024722</v>
      </c>
      <c r="K20" s="18">
        <f t="shared" si="65"/>
        <v>0.31510222870075566</v>
      </c>
      <c r="L20" s="18">
        <f t="shared" si="65"/>
        <v>0.31970799762591884</v>
      </c>
      <c r="M20" s="29"/>
      <c r="N20" s="18">
        <f t="shared" ref="N20:AB20" si="66">N19/N11</f>
        <v>0.33472911371979508</v>
      </c>
      <c r="O20" s="18">
        <f t="shared" si="66"/>
        <v>0.30817862209338187</v>
      </c>
      <c r="P20" s="18">
        <f t="shared" si="66"/>
        <v>0.27816150146457891</v>
      </c>
      <c r="Q20" s="18">
        <f t="shared" si="66"/>
        <v>0.27615202005635303</v>
      </c>
      <c r="R20" s="18">
        <f t="shared" si="66"/>
        <v>0.30742441572630896</v>
      </c>
      <c r="S20" s="18">
        <f t="shared" si="66"/>
        <v>0.29859968788223878</v>
      </c>
      <c r="T20" s="18">
        <f t="shared" si="66"/>
        <v>0.28115945572576012</v>
      </c>
      <c r="U20" s="18">
        <f t="shared" si="66"/>
        <v>0.30133634271156895</v>
      </c>
      <c r="V20" s="18">
        <f t="shared" si="66"/>
        <v>0.33763746602550698</v>
      </c>
      <c r="W20" s="18">
        <f t="shared" si="66"/>
        <v>0.30742785362467356</v>
      </c>
      <c r="X20" s="18">
        <f t="shared" si="66"/>
        <v>0.29555708406682446</v>
      </c>
      <c r="Y20" s="18">
        <f t="shared" si="66"/>
        <v>0.31171389444854103</v>
      </c>
      <c r="Z20" s="18">
        <f t="shared" si="66"/>
        <v>0.34458567980691873</v>
      </c>
      <c r="AA20" s="18">
        <f t="shared" si="66"/>
        <v>0.31029058610094484</v>
      </c>
      <c r="AB20" s="18">
        <f t="shared" si="66"/>
        <v>0.29990641881832492</v>
      </c>
      <c r="AC20" s="18">
        <f t="shared" ref="AC20" si="67">AC19/AC11</f>
        <v>0.31646594968086977</v>
      </c>
      <c r="AD20" s="30"/>
      <c r="AE20" s="18">
        <f t="shared" ref="AE20:AO20" si="68">AE19/AE11</f>
        <v>0.29407514637312049</v>
      </c>
      <c r="AF20" s="18">
        <f t="shared" si="68"/>
        <v>0.29162674145340761</v>
      </c>
      <c r="AG20" s="18">
        <f t="shared" si="68"/>
        <v>0.29230620967720933</v>
      </c>
      <c r="AH20" s="18">
        <f t="shared" si="68"/>
        <v>0.29821412265024722</v>
      </c>
      <c r="AI20" s="18">
        <f t="shared" si="68"/>
        <v>0.30763846038174153</v>
      </c>
      <c r="AJ20" s="18">
        <f t="shared" si="68"/>
        <v>0.30983457496010458</v>
      </c>
      <c r="AK20" s="18">
        <f t="shared" si="68"/>
        <v>0.31274134278000948</v>
      </c>
      <c r="AL20" s="18">
        <f t="shared" si="68"/>
        <v>0.31510222870075566</v>
      </c>
      <c r="AM20" s="18">
        <f t="shared" si="68"/>
        <v>0.31755356781888011</v>
      </c>
      <c r="AN20" s="18">
        <f t="shared" si="68"/>
        <v>0.31811892118711377</v>
      </c>
      <c r="AO20" s="18">
        <f t="shared" si="68"/>
        <v>0.31866381156316914</v>
      </c>
      <c r="AP20" s="18">
        <f t="shared" ref="AP20" si="69">AP19/AP11</f>
        <v>0.31970799762591884</v>
      </c>
      <c r="AQ20" s="46"/>
      <c r="AR20" s="89">
        <f>SUM(AP20-AL20)*1000</f>
        <v>4.6057689251631784</v>
      </c>
    </row>
    <row r="21" spans="2:44" ht="5.0999999999999996" customHeight="1">
      <c r="B21" s="31"/>
      <c r="C21" s="47"/>
      <c r="D21" s="47"/>
      <c r="E21" s="47"/>
      <c r="F21" s="47"/>
      <c r="G21" s="47"/>
      <c r="H21" s="47"/>
      <c r="I21" s="47"/>
      <c r="J21" s="47"/>
      <c r="K21" s="47"/>
      <c r="L21" s="47"/>
      <c r="M21" s="32"/>
      <c r="N21" s="47"/>
      <c r="O21" s="47"/>
      <c r="P21" s="47"/>
      <c r="Q21" s="47"/>
      <c r="R21" s="47"/>
      <c r="S21" s="47"/>
      <c r="T21" s="47"/>
      <c r="U21" s="47"/>
      <c r="V21" s="47"/>
      <c r="W21" s="47"/>
      <c r="X21" s="47"/>
      <c r="Y21" s="47"/>
      <c r="Z21" s="47"/>
      <c r="AA21" s="47"/>
      <c r="AB21" s="47"/>
      <c r="AC21" s="47"/>
      <c r="AE21" s="47"/>
      <c r="AF21" s="47"/>
      <c r="AG21" s="47"/>
      <c r="AH21" s="47"/>
      <c r="AI21" s="47"/>
      <c r="AJ21" s="47"/>
      <c r="AK21" s="47"/>
      <c r="AL21" s="47"/>
      <c r="AM21" s="47"/>
      <c r="AN21" s="47"/>
      <c r="AO21" s="47"/>
      <c r="AP21" s="47"/>
      <c r="AQ21" s="46"/>
      <c r="AR21" s="87"/>
    </row>
    <row r="22" spans="2:44" ht="12.75" customHeight="1">
      <c r="B22" s="10" t="s">
        <v>215</v>
      </c>
      <c r="C22" s="96">
        <v>1348</v>
      </c>
      <c r="D22" s="96">
        <v>2745</v>
      </c>
      <c r="E22" s="96">
        <v>2005</v>
      </c>
      <c r="F22" s="96">
        <v>1807</v>
      </c>
      <c r="G22" s="96">
        <v>803</v>
      </c>
      <c r="H22" s="96">
        <v>258</v>
      </c>
      <c r="I22" s="96">
        <v>-334</v>
      </c>
      <c r="J22" s="96">
        <v>-565</v>
      </c>
      <c r="K22" s="96">
        <v>269</v>
      </c>
      <c r="L22" s="96">
        <v>-321</v>
      </c>
      <c r="M22" s="26"/>
      <c r="N22" s="96">
        <v>-247</v>
      </c>
      <c r="O22" s="96">
        <v>160</v>
      </c>
      <c r="P22" s="96">
        <v>-10</v>
      </c>
      <c r="Q22" s="34">
        <f t="shared" ref="Q22" si="70">SUM(I22-SUM(N22:P22))</f>
        <v>-237</v>
      </c>
      <c r="R22" s="96">
        <v>-393</v>
      </c>
      <c r="S22" s="96">
        <v>64</v>
      </c>
      <c r="T22" s="96">
        <v>-265</v>
      </c>
      <c r="U22" s="34">
        <f t="shared" ref="U22" si="71">SUM(J22-SUM(R22:T22))</f>
        <v>29</v>
      </c>
      <c r="V22" s="162">
        <v>-50</v>
      </c>
      <c r="W22" s="162">
        <v>158</v>
      </c>
      <c r="X22" s="162">
        <v>142</v>
      </c>
      <c r="Y22" s="34">
        <f t="shared" ref="Y22" si="72">SUM(K22-SUM(V22:X22))</f>
        <v>19</v>
      </c>
      <c r="Z22" s="96">
        <v>-248</v>
      </c>
      <c r="AA22" s="96">
        <v>-279</v>
      </c>
      <c r="AB22" s="96">
        <v>-171</v>
      </c>
      <c r="AC22" s="34">
        <f>SUM(L22-SUM(Z22:AB22))</f>
        <v>377</v>
      </c>
      <c r="AD22" s="34"/>
      <c r="AE22" s="34">
        <f t="shared" ref="AE22:AP22" si="73">SUM(O22:R22)</f>
        <v>-480</v>
      </c>
      <c r="AF22" s="34">
        <f t="shared" si="73"/>
        <v>-576</v>
      </c>
      <c r="AG22" s="34">
        <f t="shared" si="73"/>
        <v>-831</v>
      </c>
      <c r="AH22" s="34">
        <f t="shared" si="73"/>
        <v>-565</v>
      </c>
      <c r="AI22" s="34">
        <f t="shared" si="73"/>
        <v>-222</v>
      </c>
      <c r="AJ22" s="34">
        <f t="shared" si="73"/>
        <v>-128</v>
      </c>
      <c r="AK22" s="34">
        <f t="shared" si="73"/>
        <v>279</v>
      </c>
      <c r="AL22" s="34">
        <f t="shared" si="73"/>
        <v>269</v>
      </c>
      <c r="AM22" s="34">
        <f t="shared" si="73"/>
        <v>71</v>
      </c>
      <c r="AN22" s="34">
        <f t="shared" si="73"/>
        <v>-366</v>
      </c>
      <c r="AO22" s="34">
        <f t="shared" si="73"/>
        <v>-679</v>
      </c>
      <c r="AP22" s="34">
        <f t="shared" si="73"/>
        <v>-321</v>
      </c>
      <c r="AQ22" s="46"/>
      <c r="AR22" s="87">
        <f t="shared" ref="AR22:AR26" si="74">SUM(AP22/AL22)-1</f>
        <v>-2.1933085501858738</v>
      </c>
    </row>
    <row r="23" spans="2:44" ht="12.75" customHeight="1">
      <c r="B23" s="27" t="s">
        <v>82</v>
      </c>
      <c r="C23" s="28">
        <f t="shared" ref="C23:L23" si="75">SUM(C22:C22)+C19</f>
        <v>61372</v>
      </c>
      <c r="D23" s="28">
        <f t="shared" si="75"/>
        <v>64089</v>
      </c>
      <c r="E23" s="28">
        <f t="shared" si="75"/>
        <v>72903</v>
      </c>
      <c r="F23" s="28">
        <f t="shared" si="75"/>
        <v>65737</v>
      </c>
      <c r="G23" s="28">
        <f t="shared" si="75"/>
        <v>67091</v>
      </c>
      <c r="H23" s="28">
        <f t="shared" si="75"/>
        <v>109207</v>
      </c>
      <c r="I23" s="28">
        <f t="shared" si="75"/>
        <v>119103</v>
      </c>
      <c r="J23" s="28">
        <f t="shared" si="75"/>
        <v>113736</v>
      </c>
      <c r="K23" s="28">
        <f t="shared" si="75"/>
        <v>123485</v>
      </c>
      <c r="L23" s="28">
        <f t="shared" si="75"/>
        <v>132729</v>
      </c>
      <c r="N23" s="28">
        <f t="shared" ref="N23:AC23" si="76">SUM(N22:N22)+N19</f>
        <v>41241</v>
      </c>
      <c r="O23" s="28">
        <f t="shared" si="76"/>
        <v>30139</v>
      </c>
      <c r="P23" s="28">
        <f t="shared" si="76"/>
        <v>23066</v>
      </c>
      <c r="Q23" s="28">
        <f t="shared" si="76"/>
        <v>24657</v>
      </c>
      <c r="R23" s="28">
        <f t="shared" si="76"/>
        <v>35623</v>
      </c>
      <c r="S23" s="28">
        <f t="shared" si="76"/>
        <v>28382</v>
      </c>
      <c r="T23" s="28">
        <f t="shared" si="76"/>
        <v>22733</v>
      </c>
      <c r="U23" s="28">
        <f t="shared" si="76"/>
        <v>26998</v>
      </c>
      <c r="V23" s="28">
        <f t="shared" si="76"/>
        <v>40323</v>
      </c>
      <c r="W23" s="28">
        <f t="shared" si="76"/>
        <v>28058</v>
      </c>
      <c r="X23" s="28">
        <f t="shared" si="76"/>
        <v>25494</v>
      </c>
      <c r="Y23" s="28">
        <f t="shared" si="76"/>
        <v>29610</v>
      </c>
      <c r="Z23" s="28">
        <f t="shared" si="76"/>
        <v>42584</v>
      </c>
      <c r="AA23" s="28">
        <f t="shared" si="76"/>
        <v>29310</v>
      </c>
      <c r="AB23" s="28">
        <f t="shared" si="76"/>
        <v>28031</v>
      </c>
      <c r="AC23" s="28">
        <f t="shared" si="76"/>
        <v>32804</v>
      </c>
      <c r="AE23" s="28">
        <f t="shared" ref="AE23:AP23" si="77">SUM(AE22:AE22)+AE19</f>
        <v>113485</v>
      </c>
      <c r="AF23" s="28">
        <f t="shared" si="77"/>
        <v>111728</v>
      </c>
      <c r="AG23" s="28">
        <f t="shared" si="77"/>
        <v>111395</v>
      </c>
      <c r="AH23" s="28">
        <f t="shared" si="77"/>
        <v>113736</v>
      </c>
      <c r="AI23" s="28">
        <f t="shared" si="77"/>
        <v>118436</v>
      </c>
      <c r="AJ23" s="28">
        <f t="shared" si="77"/>
        <v>118112</v>
      </c>
      <c r="AK23" s="28">
        <f t="shared" si="77"/>
        <v>120873</v>
      </c>
      <c r="AL23" s="28">
        <f t="shared" si="77"/>
        <v>123485</v>
      </c>
      <c r="AM23" s="28">
        <f t="shared" si="77"/>
        <v>125746</v>
      </c>
      <c r="AN23" s="28">
        <f t="shared" si="77"/>
        <v>126998</v>
      </c>
      <c r="AO23" s="28">
        <f t="shared" si="77"/>
        <v>129535</v>
      </c>
      <c r="AP23" s="28">
        <f t="shared" si="77"/>
        <v>132729</v>
      </c>
      <c r="AQ23" s="46"/>
      <c r="AR23" s="88">
        <f t="shared" si="74"/>
        <v>7.4859294651172137E-2</v>
      </c>
    </row>
    <row r="24" spans="2:44" ht="5.0999999999999996" customHeight="1">
      <c r="B24" s="27"/>
      <c r="C24" s="48"/>
      <c r="D24" s="48"/>
      <c r="E24" s="48"/>
      <c r="F24" s="48"/>
      <c r="G24" s="48"/>
      <c r="H24" s="48"/>
      <c r="I24" s="48"/>
      <c r="J24" s="48"/>
      <c r="K24" s="48"/>
      <c r="L24" s="48"/>
      <c r="M24" s="49"/>
      <c r="N24" s="48"/>
      <c r="O24" s="48"/>
      <c r="P24" s="48"/>
      <c r="Q24" s="48"/>
      <c r="R24" s="48"/>
      <c r="S24" s="48"/>
      <c r="T24" s="48"/>
      <c r="U24" s="48"/>
      <c r="V24" s="48"/>
      <c r="W24" s="48"/>
      <c r="X24" s="48"/>
      <c r="Y24" s="48"/>
      <c r="Z24" s="48"/>
      <c r="AA24" s="48"/>
      <c r="AB24" s="48"/>
      <c r="AC24" s="48"/>
      <c r="AE24" s="48"/>
      <c r="AF24" s="48"/>
      <c r="AG24" s="48"/>
      <c r="AH24" s="48"/>
      <c r="AI24" s="48"/>
      <c r="AJ24" s="48"/>
      <c r="AK24" s="48"/>
      <c r="AL24" s="48"/>
      <c r="AM24" s="48"/>
      <c r="AN24" s="48"/>
      <c r="AO24" s="48"/>
      <c r="AP24" s="48"/>
      <c r="AQ24" s="46"/>
      <c r="AR24" s="87"/>
    </row>
    <row r="25" spans="2:44" ht="12.75" customHeight="1">
      <c r="B25" s="50" t="s">
        <v>101</v>
      </c>
      <c r="C25" s="96">
        <v>-15685</v>
      </c>
      <c r="D25" s="96">
        <v>-15738</v>
      </c>
      <c r="E25" s="96">
        <v>-13372</v>
      </c>
      <c r="F25" s="96">
        <v>-10481</v>
      </c>
      <c r="G25" s="96">
        <v>-9680</v>
      </c>
      <c r="H25" s="96">
        <v>-14527</v>
      </c>
      <c r="I25" s="96">
        <v>-19300</v>
      </c>
      <c r="J25" s="96">
        <v>-16741</v>
      </c>
      <c r="K25" s="96">
        <v>-29749</v>
      </c>
      <c r="L25" s="96">
        <v>-20719</v>
      </c>
      <c r="M25" s="34"/>
      <c r="N25" s="96">
        <v>-6611</v>
      </c>
      <c r="O25" s="96">
        <v>-5129</v>
      </c>
      <c r="P25" s="96">
        <v>-3624</v>
      </c>
      <c r="Q25" s="34">
        <f t="shared" ref="Q25" si="78">SUM(I25-SUM(N25:P25))</f>
        <v>-3936</v>
      </c>
      <c r="R25" s="96">
        <v>-5625</v>
      </c>
      <c r="S25" s="96">
        <v>-4222</v>
      </c>
      <c r="T25" s="96">
        <v>-2852</v>
      </c>
      <c r="U25" s="34">
        <f t="shared" ref="U25" si="79">SUM(J25-SUM(R25:T25))</f>
        <v>-4042</v>
      </c>
      <c r="V25" s="162">
        <v>-6407</v>
      </c>
      <c r="W25" s="162">
        <v>-4422</v>
      </c>
      <c r="X25" s="162">
        <v>-4046</v>
      </c>
      <c r="Y25" s="34">
        <f t="shared" ref="Y25" si="80">SUM(K25-SUM(V25:X25))</f>
        <v>-14874</v>
      </c>
      <c r="Z25" s="96">
        <v>-6254</v>
      </c>
      <c r="AA25" s="96">
        <v>-4530</v>
      </c>
      <c r="AB25" s="96">
        <v>-4597</v>
      </c>
      <c r="AC25" s="34">
        <f>SUM(L25-SUM(Z25:AB25))</f>
        <v>-5338</v>
      </c>
      <c r="AD25" s="34"/>
      <c r="AE25" s="34">
        <f t="shared" ref="AE25:AP25" si="81">SUM(O25:R25)</f>
        <v>-18314</v>
      </c>
      <c r="AF25" s="34">
        <f t="shared" si="81"/>
        <v>-17407</v>
      </c>
      <c r="AG25" s="34">
        <f t="shared" si="81"/>
        <v>-16635</v>
      </c>
      <c r="AH25" s="34">
        <f t="shared" si="81"/>
        <v>-16741</v>
      </c>
      <c r="AI25" s="34">
        <f t="shared" si="81"/>
        <v>-17523</v>
      </c>
      <c r="AJ25" s="34">
        <f t="shared" si="81"/>
        <v>-17723</v>
      </c>
      <c r="AK25" s="34">
        <f t="shared" si="81"/>
        <v>-18917</v>
      </c>
      <c r="AL25" s="34">
        <f t="shared" si="81"/>
        <v>-29749</v>
      </c>
      <c r="AM25" s="34">
        <f t="shared" si="81"/>
        <v>-29596</v>
      </c>
      <c r="AN25" s="34">
        <f t="shared" si="81"/>
        <v>-29704</v>
      </c>
      <c r="AO25" s="34">
        <f t="shared" si="81"/>
        <v>-30255</v>
      </c>
      <c r="AP25" s="34">
        <f t="shared" si="81"/>
        <v>-20719</v>
      </c>
      <c r="AQ25" s="46"/>
      <c r="AR25" s="87">
        <f t="shared" si="74"/>
        <v>-0.30353961477696734</v>
      </c>
    </row>
    <row r="26" spans="2:44" ht="12.75" customHeight="1">
      <c r="B26" s="14" t="s">
        <v>83</v>
      </c>
      <c r="C26" s="15">
        <f t="shared" ref="C26:F26" si="82">SUM(C23+C25)</f>
        <v>45687</v>
      </c>
      <c r="D26" s="15">
        <f t="shared" si="82"/>
        <v>48351</v>
      </c>
      <c r="E26" s="15">
        <f t="shared" si="82"/>
        <v>59531</v>
      </c>
      <c r="F26" s="15">
        <f t="shared" si="82"/>
        <v>55256</v>
      </c>
      <c r="G26" s="15">
        <f>SUM(G23+G25)</f>
        <v>57411</v>
      </c>
      <c r="H26" s="15">
        <f>SUM(H23+H25)</f>
        <v>94680</v>
      </c>
      <c r="I26" s="15">
        <f t="shared" ref="I26:K26" si="83">SUM(I23+I25)</f>
        <v>99803</v>
      </c>
      <c r="J26" s="15">
        <f t="shared" si="83"/>
        <v>96995</v>
      </c>
      <c r="K26" s="15">
        <f t="shared" si="83"/>
        <v>93736</v>
      </c>
      <c r="L26" s="15">
        <f t="shared" ref="L26" si="84">SUM(L23+L25)</f>
        <v>112010</v>
      </c>
      <c r="M26" s="12"/>
      <c r="N26" s="15">
        <f t="shared" ref="N26:AO26" si="85">SUM(N23+N25)</f>
        <v>34630</v>
      </c>
      <c r="O26" s="15">
        <f t="shared" si="85"/>
        <v>25010</v>
      </c>
      <c r="P26" s="15">
        <f t="shared" si="85"/>
        <v>19442</v>
      </c>
      <c r="Q26" s="15">
        <f t="shared" si="85"/>
        <v>20721</v>
      </c>
      <c r="R26" s="15">
        <f t="shared" si="85"/>
        <v>29998</v>
      </c>
      <c r="S26" s="15">
        <f t="shared" si="85"/>
        <v>24160</v>
      </c>
      <c r="T26" s="15">
        <f t="shared" si="85"/>
        <v>19881</v>
      </c>
      <c r="U26" s="15">
        <f t="shared" si="85"/>
        <v>22956</v>
      </c>
      <c r="V26" s="15">
        <f t="shared" si="85"/>
        <v>33916</v>
      </c>
      <c r="W26" s="15">
        <f t="shared" si="85"/>
        <v>23636</v>
      </c>
      <c r="X26" s="15">
        <f t="shared" si="85"/>
        <v>21448</v>
      </c>
      <c r="Y26" s="15">
        <f t="shared" si="85"/>
        <v>14736</v>
      </c>
      <c r="Z26" s="15">
        <f t="shared" si="85"/>
        <v>36330</v>
      </c>
      <c r="AA26" s="15">
        <f t="shared" si="85"/>
        <v>24780</v>
      </c>
      <c r="AB26" s="15">
        <f t="shared" ref="AB26:AC26" si="86">SUM(AB23+AB25)</f>
        <v>23434</v>
      </c>
      <c r="AC26" s="15">
        <f t="shared" si="86"/>
        <v>27466</v>
      </c>
      <c r="AE26" s="15">
        <f t="shared" ref="AE26" si="87">SUM(AE23+AE25)</f>
        <v>95171</v>
      </c>
      <c r="AF26" s="15">
        <f t="shared" ref="AF26:AK26" si="88">SUM(AF23+AF25)</f>
        <v>94321</v>
      </c>
      <c r="AG26" s="15">
        <f t="shared" si="88"/>
        <v>94760</v>
      </c>
      <c r="AH26" s="15">
        <f t="shared" si="88"/>
        <v>96995</v>
      </c>
      <c r="AI26" s="15">
        <f t="shared" si="88"/>
        <v>100913</v>
      </c>
      <c r="AJ26" s="15">
        <f t="shared" si="88"/>
        <v>100389</v>
      </c>
      <c r="AK26" s="15">
        <f t="shared" si="88"/>
        <v>101956</v>
      </c>
      <c r="AL26" s="15">
        <f t="shared" ref="AL26:AN26" si="89">SUM(AL23+AL25)</f>
        <v>93736</v>
      </c>
      <c r="AM26" s="15">
        <f t="shared" si="89"/>
        <v>96150</v>
      </c>
      <c r="AN26" s="15">
        <f t="shared" si="89"/>
        <v>97294</v>
      </c>
      <c r="AO26" s="15">
        <f t="shared" si="85"/>
        <v>99280</v>
      </c>
      <c r="AP26" s="15">
        <f t="shared" ref="AP26" si="90">SUM(AP23+AP25)</f>
        <v>112010</v>
      </c>
      <c r="AQ26" s="39"/>
      <c r="AR26" s="88">
        <f t="shared" si="74"/>
        <v>0.19495177946573361</v>
      </c>
    </row>
    <row r="27" spans="2:44" ht="12.75" customHeight="1">
      <c r="B27" s="17" t="s">
        <v>103</v>
      </c>
      <c r="C27" s="18">
        <f t="shared" ref="C27:L27" si="91">C26/C11</f>
        <v>0.211867983064288</v>
      </c>
      <c r="D27" s="18">
        <f t="shared" si="91"/>
        <v>0.21092420845075338</v>
      </c>
      <c r="E27" s="18">
        <f t="shared" si="91"/>
        <v>0.22414202074587247</v>
      </c>
      <c r="F27" s="18">
        <f t="shared" si="91"/>
        <v>0.21238094505984456</v>
      </c>
      <c r="G27" s="18">
        <f t="shared" si="91"/>
        <v>0.20913611278072236</v>
      </c>
      <c r="H27" s="18">
        <f t="shared" si="91"/>
        <v>0.25881793355694238</v>
      </c>
      <c r="I27" s="18">
        <f t="shared" si="91"/>
        <v>0.25309640705199732</v>
      </c>
      <c r="J27" s="18">
        <f t="shared" si="91"/>
        <v>0.25306234264320282</v>
      </c>
      <c r="K27" s="18">
        <f t="shared" si="91"/>
        <v>0.23971255769943867</v>
      </c>
      <c r="L27" s="18">
        <f t="shared" si="91"/>
        <v>0.26915064121818238</v>
      </c>
      <c r="M27" s="29"/>
      <c r="N27" s="18">
        <f t="shared" ref="N27:AC27" si="92">N26/N11</f>
        <v>0.27939812013393039</v>
      </c>
      <c r="O27" s="18">
        <f t="shared" si="92"/>
        <v>0.25709821336787353</v>
      </c>
      <c r="P27" s="18">
        <f t="shared" si="92"/>
        <v>0.23435673043310551</v>
      </c>
      <c r="Q27" s="18">
        <f t="shared" si="92"/>
        <v>0.22986044860559537</v>
      </c>
      <c r="R27" s="18">
        <f t="shared" si="92"/>
        <v>0.2560561312460522</v>
      </c>
      <c r="S27" s="18">
        <f t="shared" si="92"/>
        <v>0.25475557805052934</v>
      </c>
      <c r="T27" s="18">
        <f t="shared" si="92"/>
        <v>0.24305292370135825</v>
      </c>
      <c r="U27" s="18">
        <f t="shared" si="92"/>
        <v>0.25649735189613176</v>
      </c>
      <c r="V27" s="18">
        <f t="shared" si="92"/>
        <v>0.28363788417311309</v>
      </c>
      <c r="W27" s="18">
        <f t="shared" si="92"/>
        <v>0.26044318094167684</v>
      </c>
      <c r="X27" s="18">
        <f t="shared" si="92"/>
        <v>0.25004371801298714</v>
      </c>
      <c r="Y27" s="18">
        <f t="shared" si="92"/>
        <v>0.15523016959865163</v>
      </c>
      <c r="Z27" s="18">
        <f t="shared" si="92"/>
        <v>0.29227674979887369</v>
      </c>
      <c r="AA27" s="18">
        <f t="shared" si="92"/>
        <v>0.25986010759341016</v>
      </c>
      <c r="AB27" s="18">
        <f t="shared" si="92"/>
        <v>0.24920243311072354</v>
      </c>
      <c r="AC27" s="18">
        <f t="shared" si="92"/>
        <v>0.26804988971951671</v>
      </c>
      <c r="AD27" s="30"/>
      <c r="AE27" s="18">
        <f t="shared" ref="AE27:AP27" si="93">AE26/AE11</f>
        <v>0.24557913179902821</v>
      </c>
      <c r="AF27" s="18">
        <f t="shared" si="93"/>
        <v>0.24492917332086889</v>
      </c>
      <c r="AG27" s="18">
        <f t="shared" si="93"/>
        <v>0.2468138972164414</v>
      </c>
      <c r="AH27" s="18">
        <f t="shared" si="93"/>
        <v>0.25306234264320282</v>
      </c>
      <c r="AI27" s="18">
        <f t="shared" si="93"/>
        <v>0.26163191653746637</v>
      </c>
      <c r="AJ27" s="18">
        <f t="shared" si="93"/>
        <v>0.26305804419544943</v>
      </c>
      <c r="AK27" s="18">
        <f t="shared" si="93"/>
        <v>0.26440665658721535</v>
      </c>
      <c r="AL27" s="18">
        <f t="shared" si="93"/>
        <v>0.23971255769943867</v>
      </c>
      <c r="AM27" s="18">
        <f t="shared" si="93"/>
        <v>0.24295027289266222</v>
      </c>
      <c r="AN27" s="18">
        <f t="shared" si="93"/>
        <v>0.24301264343126039</v>
      </c>
      <c r="AO27" s="18">
        <f t="shared" si="93"/>
        <v>0.24296115019883757</v>
      </c>
      <c r="AP27" s="18">
        <f t="shared" si="93"/>
        <v>0.26915064121818238</v>
      </c>
      <c r="AQ27" s="46"/>
      <c r="AR27" s="89">
        <f>SUM(AP27-AL27)*1000</f>
        <v>29.438083518743717</v>
      </c>
    </row>
    <row r="28" spans="2:44" ht="5.0999999999999996" customHeight="1">
      <c r="B28" s="17"/>
      <c r="C28" s="18"/>
      <c r="D28" s="18"/>
      <c r="E28" s="18"/>
      <c r="F28" s="18"/>
      <c r="G28" s="18"/>
      <c r="H28" s="18"/>
      <c r="I28" s="18"/>
      <c r="J28" s="18"/>
      <c r="K28" s="18"/>
      <c r="L28" s="18"/>
      <c r="M28" s="29"/>
      <c r="N28" s="18"/>
      <c r="O28" s="18"/>
      <c r="P28" s="18"/>
      <c r="Q28" s="18"/>
      <c r="R28" s="18"/>
      <c r="S28" s="18"/>
      <c r="T28" s="18"/>
      <c r="U28" s="18"/>
      <c r="V28" s="18"/>
      <c r="W28" s="18"/>
      <c r="X28" s="18"/>
      <c r="Y28" s="18"/>
      <c r="Z28" s="18"/>
      <c r="AA28" s="18"/>
      <c r="AB28" s="18"/>
      <c r="AC28" s="18"/>
      <c r="AD28" s="30"/>
      <c r="AE28" s="18"/>
      <c r="AF28" s="18"/>
      <c r="AG28" s="18"/>
      <c r="AH28" s="18"/>
      <c r="AI28" s="18"/>
      <c r="AJ28" s="18"/>
      <c r="AK28" s="18"/>
      <c r="AL28" s="18"/>
      <c r="AM28" s="18"/>
      <c r="AN28" s="18"/>
      <c r="AO28" s="18"/>
      <c r="AP28" s="18"/>
      <c r="AQ28" s="46"/>
      <c r="AR28" s="89"/>
    </row>
    <row r="29" spans="2:44" ht="12.75" customHeight="1">
      <c r="B29" s="50" t="s">
        <v>104</v>
      </c>
      <c r="C29" s="96">
        <v>21883.281000000003</v>
      </c>
      <c r="D29" s="96">
        <v>20868.968000000001</v>
      </c>
      <c r="E29" s="96">
        <v>19821.510000000002</v>
      </c>
      <c r="F29" s="96">
        <v>18471.335999999999</v>
      </c>
      <c r="G29" s="96">
        <v>17352.118999999999</v>
      </c>
      <c r="H29" s="96">
        <v>16701.272000000001</v>
      </c>
      <c r="I29" s="96">
        <v>16215.963</v>
      </c>
      <c r="J29" s="96">
        <v>15744.231</v>
      </c>
      <c r="K29" s="96">
        <v>15343.782999999999</v>
      </c>
      <c r="L29" s="96">
        <v>14948.5</v>
      </c>
      <c r="M29" s="29"/>
      <c r="N29" s="96">
        <v>16391.723999999998</v>
      </c>
      <c r="O29" s="96">
        <v>16278.802</v>
      </c>
      <c r="P29" s="96">
        <v>16162.945</v>
      </c>
      <c r="Q29" s="34">
        <f>I29</f>
        <v>16215.963</v>
      </c>
      <c r="R29" s="96">
        <v>15892.723</v>
      </c>
      <c r="S29" s="96">
        <v>15787.154</v>
      </c>
      <c r="T29" s="96">
        <v>15697.614</v>
      </c>
      <c r="U29" s="34">
        <f>J29</f>
        <v>15744.231</v>
      </c>
      <c r="V29" s="162">
        <v>15509.763000000001</v>
      </c>
      <c r="W29" s="162">
        <v>15405.856</v>
      </c>
      <c r="X29" s="162">
        <v>15287.521000000001</v>
      </c>
      <c r="Y29" s="34">
        <f>K29</f>
        <v>15343.782999999999</v>
      </c>
      <c r="Z29" s="96">
        <v>15081.724</v>
      </c>
      <c r="AA29" s="96">
        <v>14994.082</v>
      </c>
      <c r="AB29" s="96">
        <v>14902.886</v>
      </c>
      <c r="AC29" s="34">
        <f>L29</f>
        <v>14948.5</v>
      </c>
      <c r="AD29" s="30"/>
      <c r="AE29" s="34">
        <f t="shared" ref="AE29:AP29" si="94">R29</f>
        <v>15892.723</v>
      </c>
      <c r="AF29" s="34">
        <f t="shared" si="94"/>
        <v>15787.154</v>
      </c>
      <c r="AG29" s="34">
        <f t="shared" si="94"/>
        <v>15697.614</v>
      </c>
      <c r="AH29" s="34">
        <f t="shared" si="94"/>
        <v>15744.231</v>
      </c>
      <c r="AI29" s="34">
        <f t="shared" si="94"/>
        <v>15509.763000000001</v>
      </c>
      <c r="AJ29" s="34">
        <f t="shared" si="94"/>
        <v>15405.856</v>
      </c>
      <c r="AK29" s="34">
        <f t="shared" si="94"/>
        <v>15287.521000000001</v>
      </c>
      <c r="AL29" s="34">
        <f t="shared" si="94"/>
        <v>15343.782999999999</v>
      </c>
      <c r="AM29" s="34">
        <f t="shared" si="94"/>
        <v>15081.724</v>
      </c>
      <c r="AN29" s="34">
        <f t="shared" si="94"/>
        <v>14994.082</v>
      </c>
      <c r="AO29" s="34">
        <f t="shared" si="94"/>
        <v>14902.886</v>
      </c>
      <c r="AP29" s="34">
        <f t="shared" si="94"/>
        <v>14948.5</v>
      </c>
      <c r="AQ29" s="46"/>
      <c r="AR29" s="87">
        <f t="shared" ref="AR29" si="95">SUM(AP29/AL29)-1</f>
        <v>-2.5761769441082438E-2</v>
      </c>
    </row>
    <row r="30" spans="2:44" ht="12.75" customHeight="1">
      <c r="B30" s="14" t="s">
        <v>105</v>
      </c>
      <c r="C30" s="90">
        <f t="shared" ref="C30:F30" si="96">C26/C29</f>
        <v>2.0877582296731463</v>
      </c>
      <c r="D30" s="90">
        <f t="shared" si="96"/>
        <v>2.3168850515272243</v>
      </c>
      <c r="E30" s="90">
        <f t="shared" si="96"/>
        <v>3.0033534276651976</v>
      </c>
      <c r="F30" s="90">
        <f t="shared" si="96"/>
        <v>2.9914457730615696</v>
      </c>
      <c r="G30" s="90">
        <f>G26/G29</f>
        <v>3.3085872682177895</v>
      </c>
      <c r="H30" s="90">
        <f t="shared" ref="H30:K30" si="97">H26/H29</f>
        <v>5.6690292811230183</v>
      </c>
      <c r="I30" s="90">
        <f t="shared" si="97"/>
        <v>6.1546144376377772</v>
      </c>
      <c r="J30" s="90">
        <f t="shared" si="97"/>
        <v>6.1606692635543778</v>
      </c>
      <c r="K30" s="90">
        <f t="shared" si="97"/>
        <v>6.1090540709549925</v>
      </c>
      <c r="L30" s="90">
        <f t="shared" ref="L30" si="98">L26/L29</f>
        <v>7.4930595042980901</v>
      </c>
      <c r="M30" s="12"/>
      <c r="N30" s="90">
        <f t="shared" ref="N30" si="99">N26/N29</f>
        <v>2.1126514819307598</v>
      </c>
      <c r="O30" s="90">
        <f t="shared" ref="O30" si="100">O26/O29</f>
        <v>1.5363538422544853</v>
      </c>
      <c r="P30" s="90">
        <f t="shared" ref="P30" si="101">P26/P29</f>
        <v>1.2028748473746584</v>
      </c>
      <c r="Q30" s="90">
        <f t="shared" ref="Q30" si="102">Q26/Q29</f>
        <v>1.2778149530804923</v>
      </c>
      <c r="R30" s="90">
        <f t="shared" ref="R30" si="103">R26/R29</f>
        <v>1.8875305383476451</v>
      </c>
      <c r="S30" s="90">
        <f t="shared" ref="S30" si="104">S26/S29</f>
        <v>1.5303581633523053</v>
      </c>
      <c r="T30" s="90">
        <f t="shared" ref="T30" si="105">T26/T29</f>
        <v>1.2664982079442137</v>
      </c>
      <c r="U30" s="90">
        <f t="shared" ref="U30" si="106">U26/U29</f>
        <v>1.4580578752941316</v>
      </c>
      <c r="V30" s="90">
        <f t="shared" ref="V30" si="107">V26/V29</f>
        <v>2.1867516608732189</v>
      </c>
      <c r="W30" s="90">
        <f t="shared" ref="W30" si="108">W26/W29</f>
        <v>1.5342217920250585</v>
      </c>
      <c r="X30" s="90">
        <f t="shared" ref="X30" si="109">X26/X29</f>
        <v>1.4029743605912299</v>
      </c>
      <c r="Y30" s="90">
        <f t="shared" ref="Y30" si="110">Y26/Y29</f>
        <v>0.96038897317565042</v>
      </c>
      <c r="Z30" s="90">
        <f t="shared" ref="Z30" si="111">Z26/Z29</f>
        <v>2.408875802262394</v>
      </c>
      <c r="AA30" s="90">
        <f t="shared" ref="AA30" si="112">AA26/AA29</f>
        <v>1.6526520263127813</v>
      </c>
      <c r="AB30" s="90">
        <f t="shared" ref="AB30:AC30" si="113">AB26/AB29</f>
        <v>1.5724471085667568</v>
      </c>
      <c r="AC30" s="90">
        <f t="shared" si="113"/>
        <v>1.8373749874569354</v>
      </c>
      <c r="AD30" s="30"/>
      <c r="AE30" s="90">
        <f t="shared" ref="AE30:AF30" si="114">AE26/AE29</f>
        <v>5.9883381847151052</v>
      </c>
      <c r="AF30" s="90">
        <f t="shared" si="114"/>
        <v>5.9745410730775159</v>
      </c>
      <c r="AG30" s="90">
        <f t="shared" ref="AG30" si="115">AG26/AG29</f>
        <v>6.0365861971125039</v>
      </c>
      <c r="AH30" s="90">
        <f t="shared" ref="AH30" si="116">AH26/AH29</f>
        <v>6.1606692635543778</v>
      </c>
      <c r="AI30" s="90">
        <f t="shared" ref="AI30" si="117">AI26/AI29</f>
        <v>6.5064179252771304</v>
      </c>
      <c r="AJ30" s="90">
        <f t="shared" ref="AJ30" si="118">AJ26/AJ29</f>
        <v>6.5162883516501777</v>
      </c>
      <c r="AK30" s="90">
        <f t="shared" ref="AK30" si="119">AK26/AK29</f>
        <v>6.6692304134856135</v>
      </c>
      <c r="AL30" s="90">
        <f t="shared" ref="AL30" si="120">AL26/AL29</f>
        <v>6.1090540709549925</v>
      </c>
      <c r="AM30" s="90">
        <f t="shared" ref="AM30" si="121">AM26/AM29</f>
        <v>6.375265851569754</v>
      </c>
      <c r="AN30" s="90">
        <f t="shared" ref="AN30" si="122">AN26/AN29</f>
        <v>6.4888267251039444</v>
      </c>
      <c r="AO30" s="90">
        <f t="shared" ref="AO30:AP30" si="123">AO26/AO29</f>
        <v>6.6617969163825048</v>
      </c>
      <c r="AP30" s="90">
        <f t="shared" si="123"/>
        <v>7.4930595042980901</v>
      </c>
      <c r="AQ30" s="39"/>
      <c r="AR30" s="88">
        <f t="shared" ref="AR30:AR33" si="124">SUM(AP30/AL30)-1</f>
        <v>0.22654987454166431</v>
      </c>
    </row>
    <row r="31" spans="2:44" ht="5.0999999999999996" customHeight="1">
      <c r="B31" s="17"/>
      <c r="C31" s="18"/>
      <c r="D31" s="18"/>
      <c r="E31" s="18"/>
      <c r="F31" s="18"/>
      <c r="G31" s="18"/>
      <c r="H31" s="18"/>
      <c r="I31" s="18"/>
      <c r="J31" s="18"/>
      <c r="K31" s="18"/>
      <c r="L31" s="18"/>
      <c r="M31" s="29"/>
      <c r="N31" s="18"/>
      <c r="O31" s="18"/>
      <c r="P31" s="18"/>
      <c r="Q31" s="34"/>
      <c r="R31" s="18"/>
      <c r="S31" s="18"/>
      <c r="T31" s="18"/>
      <c r="U31" s="18"/>
      <c r="V31" s="18"/>
      <c r="W31" s="18"/>
      <c r="X31" s="18"/>
      <c r="Y31" s="18"/>
      <c r="Z31" s="18"/>
      <c r="AA31" s="18"/>
      <c r="AB31" s="18"/>
      <c r="AC31" s="18"/>
      <c r="AD31" s="30"/>
      <c r="AE31" s="18"/>
      <c r="AF31" s="18"/>
      <c r="AG31" s="18"/>
      <c r="AH31" s="18"/>
      <c r="AI31" s="18"/>
      <c r="AJ31" s="18"/>
      <c r="AK31" s="18"/>
      <c r="AL31" s="18"/>
      <c r="AM31" s="18"/>
      <c r="AN31" s="18"/>
      <c r="AO31" s="18"/>
      <c r="AP31" s="18"/>
      <c r="AQ31" s="46"/>
      <c r="AR31" s="89"/>
    </row>
    <row r="32" spans="2:44" ht="12.75" customHeight="1">
      <c r="B32" s="50" t="s">
        <v>106</v>
      </c>
      <c r="C32" s="96">
        <v>22001.127</v>
      </c>
      <c r="D32" s="96">
        <v>21006.767</v>
      </c>
      <c r="E32" s="96">
        <v>20000.436000000002</v>
      </c>
      <c r="F32" s="96">
        <v>18595.651000000002</v>
      </c>
      <c r="G32" s="96">
        <v>17528.214</v>
      </c>
      <c r="H32" s="96">
        <v>16864.919000000002</v>
      </c>
      <c r="I32" s="96">
        <v>16325.819</v>
      </c>
      <c r="J32" s="96">
        <v>15812.547</v>
      </c>
      <c r="K32" s="96">
        <v>15408.094999999999</v>
      </c>
      <c r="L32" s="96">
        <v>15004.697</v>
      </c>
      <c r="M32" s="29"/>
      <c r="N32" s="96">
        <v>16519.291000000001</v>
      </c>
      <c r="O32" s="96">
        <v>16403.315999999999</v>
      </c>
      <c r="P32" s="96">
        <v>16262.203</v>
      </c>
      <c r="Q32" s="34">
        <f>I32</f>
        <v>16325.819</v>
      </c>
      <c r="R32" s="96">
        <v>15955.718000000001</v>
      </c>
      <c r="S32" s="96">
        <v>15847.05</v>
      </c>
      <c r="T32" s="96">
        <v>15775.021000000001</v>
      </c>
      <c r="U32" s="34">
        <f>J32</f>
        <v>15812.547</v>
      </c>
      <c r="V32" s="162">
        <v>15576.641</v>
      </c>
      <c r="W32" s="162">
        <v>15464.709000000001</v>
      </c>
      <c r="X32" s="162">
        <v>15348.174999999999</v>
      </c>
      <c r="Y32" s="34">
        <f>K32</f>
        <v>15408.094999999999</v>
      </c>
      <c r="Z32" s="96">
        <v>15150.865</v>
      </c>
      <c r="AA32" s="96">
        <v>15056.133</v>
      </c>
      <c r="AB32" s="96">
        <v>14948.179</v>
      </c>
      <c r="AC32" s="34">
        <f>L32</f>
        <v>15004.697</v>
      </c>
      <c r="AD32" s="34"/>
      <c r="AE32" s="34">
        <f t="shared" ref="AE32:AP32" si="125">R32</f>
        <v>15955.718000000001</v>
      </c>
      <c r="AF32" s="34">
        <f t="shared" si="125"/>
        <v>15847.05</v>
      </c>
      <c r="AG32" s="34">
        <f t="shared" si="125"/>
        <v>15775.021000000001</v>
      </c>
      <c r="AH32" s="34">
        <f t="shared" si="125"/>
        <v>15812.547</v>
      </c>
      <c r="AI32" s="34">
        <f t="shared" si="125"/>
        <v>15576.641</v>
      </c>
      <c r="AJ32" s="34">
        <f t="shared" si="125"/>
        <v>15464.709000000001</v>
      </c>
      <c r="AK32" s="34">
        <f t="shared" si="125"/>
        <v>15348.174999999999</v>
      </c>
      <c r="AL32" s="34">
        <f t="shared" si="125"/>
        <v>15408.094999999999</v>
      </c>
      <c r="AM32" s="34">
        <f t="shared" si="125"/>
        <v>15150.865</v>
      </c>
      <c r="AN32" s="34">
        <f t="shared" si="125"/>
        <v>15056.133</v>
      </c>
      <c r="AO32" s="34">
        <f t="shared" si="125"/>
        <v>14948.179</v>
      </c>
      <c r="AP32" s="34">
        <f t="shared" si="125"/>
        <v>15004.697</v>
      </c>
      <c r="AQ32" s="46"/>
      <c r="AR32" s="87">
        <f t="shared" si="124"/>
        <v>-2.6180913344576284E-2</v>
      </c>
    </row>
    <row r="33" spans="1:44" ht="12.75" customHeight="1">
      <c r="B33" s="14" t="s">
        <v>107</v>
      </c>
      <c r="C33" s="90">
        <f t="shared" ref="C33:F33" si="126">C26/C32</f>
        <v>2.0765754408853692</v>
      </c>
      <c r="D33" s="90">
        <f t="shared" si="126"/>
        <v>2.301686880232451</v>
      </c>
      <c r="E33" s="90">
        <f t="shared" si="126"/>
        <v>2.9764851126245446</v>
      </c>
      <c r="F33" s="90">
        <f t="shared" si="126"/>
        <v>2.9714474637107351</v>
      </c>
      <c r="G33" s="90">
        <f>G26/G32</f>
        <v>3.2753479618630856</v>
      </c>
      <c r="H33" s="90">
        <f t="shared" ref="H33:K33" si="127">H26/H32</f>
        <v>5.6140204408927188</v>
      </c>
      <c r="I33" s="90">
        <f t="shared" si="127"/>
        <v>6.1132002014722815</v>
      </c>
      <c r="J33" s="90">
        <f t="shared" si="127"/>
        <v>6.1340529138031972</v>
      </c>
      <c r="K33" s="90">
        <f t="shared" si="127"/>
        <v>6.0835554297919376</v>
      </c>
      <c r="L33" s="90">
        <f t="shared" ref="L33" si="128">L26/L32</f>
        <v>7.4649957943169394</v>
      </c>
      <c r="M33" s="29"/>
      <c r="N33" s="90">
        <f t="shared" ref="N33" si="129">N26/N32</f>
        <v>2.0963369432743812</v>
      </c>
      <c r="O33" s="90">
        <f t="shared" ref="O33" si="130">O26/O32</f>
        <v>1.5246917147727936</v>
      </c>
      <c r="P33" s="90">
        <f t="shared" ref="P33" si="131">P26/P32</f>
        <v>1.1955329791418789</v>
      </c>
      <c r="Q33" s="90">
        <f t="shared" ref="Q33" si="132">Q26/Q32</f>
        <v>1.2692165703907412</v>
      </c>
      <c r="R33" s="90">
        <f t="shared" ref="R33" si="133">R26/R32</f>
        <v>1.8800783518485347</v>
      </c>
      <c r="S33" s="90">
        <f t="shared" ref="S33" si="134">S26/S32</f>
        <v>1.5245739743359175</v>
      </c>
      <c r="T33" s="90">
        <f t="shared" ref="T33" si="135">T26/T32</f>
        <v>1.2602835837746269</v>
      </c>
      <c r="U33" s="90">
        <f t="shared" ref="U33" si="136">U26/U32</f>
        <v>1.4517585307414422</v>
      </c>
      <c r="V33" s="90">
        <f t="shared" ref="V33" si="137">V26/V32</f>
        <v>2.1773628858750742</v>
      </c>
      <c r="W33" s="90">
        <f t="shared" ref="W33" si="138">W26/W32</f>
        <v>1.5283831076291186</v>
      </c>
      <c r="X33" s="90">
        <f t="shared" ref="X33" si="139">X26/X32</f>
        <v>1.3974299876043894</v>
      </c>
      <c r="Y33" s="90">
        <f t="shared" ref="Y33" si="140">Y26/Y32</f>
        <v>0.95638039614890746</v>
      </c>
      <c r="Z33" s="90">
        <f t="shared" ref="Z33" si="141">Z26/Z32</f>
        <v>2.3978828931549452</v>
      </c>
      <c r="AA33" s="90">
        <f t="shared" ref="AA33" si="142">AA26/AA32</f>
        <v>1.6458409340565736</v>
      </c>
      <c r="AB33" s="90">
        <f t="shared" ref="AB33:AC33" si="143">AB26/AB32</f>
        <v>1.5676825919732431</v>
      </c>
      <c r="AC33" s="90">
        <f t="shared" si="143"/>
        <v>1.8304934781422111</v>
      </c>
      <c r="AD33" s="34"/>
      <c r="AE33" s="90">
        <f t="shared" ref="AE33:AF33" si="144">AE26/AE32</f>
        <v>5.9646955404952626</v>
      </c>
      <c r="AF33" s="90">
        <f t="shared" si="144"/>
        <v>5.9519595129692915</v>
      </c>
      <c r="AG33" s="90">
        <f t="shared" ref="AG33" si="145">AG26/AG32</f>
        <v>6.0069650620433404</v>
      </c>
      <c r="AH33" s="90">
        <f t="shared" ref="AH33" si="146">AH26/AH32</f>
        <v>6.1340529138031972</v>
      </c>
      <c r="AI33" s="90">
        <f t="shared" ref="AI33" si="147">AI26/AI32</f>
        <v>6.4784827486234038</v>
      </c>
      <c r="AJ33" s="90">
        <f t="shared" ref="AJ33" si="148">AJ26/AJ32</f>
        <v>6.4914897525714839</v>
      </c>
      <c r="AK33" s="90">
        <f t="shared" ref="AK33" si="149">AK26/AK32</f>
        <v>6.6428744785617839</v>
      </c>
      <c r="AL33" s="90">
        <f t="shared" ref="AL33" si="150">AL26/AL32</f>
        <v>6.0835554297919376</v>
      </c>
      <c r="AM33" s="90">
        <f t="shared" ref="AM33" si="151">AM26/AM32</f>
        <v>6.3461723142540043</v>
      </c>
      <c r="AN33" s="90">
        <f t="shared" ref="AN33" si="152">AN26/AN32</f>
        <v>6.4620842549677269</v>
      </c>
      <c r="AO33" s="90">
        <f t="shared" ref="AO33:AP33" si="153">AO26/AO32</f>
        <v>6.6416116638688898</v>
      </c>
      <c r="AP33" s="90">
        <f t="shared" si="153"/>
        <v>7.4649957943169394</v>
      </c>
      <c r="AQ33" s="39"/>
      <c r="AR33" s="88">
        <f t="shared" si="124"/>
        <v>0.22707779693432473</v>
      </c>
    </row>
    <row r="34" spans="1:44">
      <c r="B34" s="17"/>
      <c r="C34" s="18"/>
      <c r="D34" s="18"/>
      <c r="E34" s="18"/>
      <c r="F34" s="18"/>
      <c r="G34" s="18"/>
      <c r="H34" s="18"/>
      <c r="I34" s="18"/>
      <c r="J34" s="18"/>
      <c r="K34" s="18"/>
      <c r="L34" s="18"/>
      <c r="M34" s="29"/>
      <c r="N34" s="18"/>
      <c r="O34" s="18"/>
      <c r="P34" s="18"/>
      <c r="Q34" s="18"/>
      <c r="R34" s="18"/>
      <c r="S34" s="18"/>
      <c r="T34" s="18"/>
      <c r="U34" s="18"/>
      <c r="V34" s="18"/>
      <c r="W34" s="18"/>
      <c r="X34" s="18"/>
      <c r="Y34" s="18"/>
      <c r="Z34" s="18"/>
      <c r="AA34" s="18"/>
      <c r="AB34" s="18"/>
      <c r="AC34" s="18"/>
      <c r="AD34" s="30"/>
      <c r="AE34" s="18"/>
      <c r="AF34" s="18"/>
      <c r="AG34" s="18"/>
      <c r="AH34" s="18"/>
      <c r="AI34" s="18"/>
      <c r="AJ34" s="18"/>
      <c r="AK34" s="18"/>
      <c r="AL34" s="18"/>
      <c r="AM34" s="18"/>
      <c r="AN34" s="18"/>
      <c r="AO34" s="18"/>
      <c r="AP34" s="18"/>
      <c r="AQ34" s="46"/>
    </row>
    <row r="35" spans="1:44" ht="12.75" customHeight="1">
      <c r="A35" s="5" t="s">
        <v>24</v>
      </c>
      <c r="B35" s="203" t="s">
        <v>317</v>
      </c>
      <c r="C35" s="204" t="s">
        <v>0</v>
      </c>
      <c r="D35" s="204"/>
      <c r="E35" s="204"/>
      <c r="F35" s="204"/>
      <c r="G35" s="204"/>
      <c r="H35" s="204"/>
      <c r="I35" s="204"/>
      <c r="J35" s="204" t="s">
        <v>0</v>
      </c>
      <c r="K35" s="204"/>
      <c r="L35" s="204"/>
      <c r="M35" s="205"/>
      <c r="N35" s="204" t="s">
        <v>1</v>
      </c>
      <c r="O35" s="204"/>
      <c r="P35" s="204"/>
      <c r="Q35" s="204"/>
      <c r="R35" s="204"/>
      <c r="S35" s="204"/>
      <c r="T35" s="204"/>
      <c r="U35" s="204"/>
      <c r="V35" s="204"/>
      <c r="W35" s="204"/>
      <c r="X35" s="204"/>
      <c r="Y35" s="204" t="s">
        <v>1</v>
      </c>
      <c r="Z35" s="204"/>
      <c r="AA35" s="204"/>
      <c r="AB35" s="204"/>
      <c r="AC35" s="204"/>
      <c r="AD35" s="203"/>
      <c r="AE35" s="204"/>
      <c r="AF35" s="204"/>
      <c r="AG35" s="204"/>
      <c r="AH35" s="204"/>
      <c r="AI35" s="204"/>
      <c r="AJ35" s="204"/>
      <c r="AK35" s="204" t="s">
        <v>10</v>
      </c>
      <c r="AL35" s="204"/>
      <c r="AM35" s="204"/>
      <c r="AN35" s="204"/>
      <c r="AO35" s="204"/>
      <c r="AP35" s="204"/>
      <c r="AQ35" s="205"/>
      <c r="AR35" s="641" t="s">
        <v>37</v>
      </c>
    </row>
    <row r="36" spans="1:44" ht="12.75" customHeight="1">
      <c r="B36" s="207" t="str">
        <f t="shared" ref="B36:L36" si="154">B7</f>
        <v>Fiscal Period</v>
      </c>
      <c r="C36" s="206">
        <f t="shared" si="154"/>
        <v>2016</v>
      </c>
      <c r="D36" s="206">
        <f t="shared" si="154"/>
        <v>2017</v>
      </c>
      <c r="E36" s="206">
        <f t="shared" si="154"/>
        <v>2018</v>
      </c>
      <c r="F36" s="206">
        <f t="shared" si="154"/>
        <v>2019</v>
      </c>
      <c r="G36" s="206">
        <f t="shared" si="154"/>
        <v>2020</v>
      </c>
      <c r="H36" s="206">
        <f t="shared" si="154"/>
        <v>2021</v>
      </c>
      <c r="I36" s="206">
        <f t="shared" si="154"/>
        <v>2022</v>
      </c>
      <c r="J36" s="206">
        <f t="shared" si="154"/>
        <v>2023</v>
      </c>
      <c r="K36" s="206">
        <f t="shared" si="154"/>
        <v>2024</v>
      </c>
      <c r="L36" s="206">
        <f t="shared" si="154"/>
        <v>2025</v>
      </c>
      <c r="M36" s="205"/>
      <c r="N36" s="206" t="str">
        <f t="shared" ref="N36:AC36" si="155">N7</f>
        <v>1Q22</v>
      </c>
      <c r="O36" s="206" t="str">
        <f t="shared" si="155"/>
        <v>2Q22</v>
      </c>
      <c r="P36" s="206" t="str">
        <f t="shared" si="155"/>
        <v>3Q22</v>
      </c>
      <c r="Q36" s="206" t="str">
        <f t="shared" si="155"/>
        <v>4Q22</v>
      </c>
      <c r="R36" s="206" t="str">
        <f t="shared" si="155"/>
        <v>1Q23</v>
      </c>
      <c r="S36" s="206" t="str">
        <f t="shared" si="155"/>
        <v>2Q23</v>
      </c>
      <c r="T36" s="206" t="str">
        <f t="shared" si="155"/>
        <v>3Q23</v>
      </c>
      <c r="U36" s="206" t="str">
        <f t="shared" si="155"/>
        <v>4Q23</v>
      </c>
      <c r="V36" s="206" t="str">
        <f t="shared" si="155"/>
        <v>1Q24</v>
      </c>
      <c r="W36" s="206" t="str">
        <f t="shared" si="155"/>
        <v>2Q24</v>
      </c>
      <c r="X36" s="206" t="str">
        <f t="shared" si="155"/>
        <v>3Q24</v>
      </c>
      <c r="Y36" s="206" t="str">
        <f t="shared" si="155"/>
        <v>4Q24</v>
      </c>
      <c r="Z36" s="206" t="str">
        <f t="shared" si="155"/>
        <v>1Q25</v>
      </c>
      <c r="AA36" s="206" t="str">
        <f t="shared" si="155"/>
        <v>2Q25</v>
      </c>
      <c r="AB36" s="206" t="str">
        <f t="shared" si="155"/>
        <v>3Q25</v>
      </c>
      <c r="AC36" s="206" t="str">
        <f t="shared" si="155"/>
        <v>4Q25</v>
      </c>
      <c r="AD36" s="208"/>
      <c r="AE36" s="206" t="str">
        <f t="shared" ref="AE36:AP36" si="156">AE7</f>
        <v>1Q23</v>
      </c>
      <c r="AF36" s="206" t="str">
        <f t="shared" si="156"/>
        <v>2Q23</v>
      </c>
      <c r="AG36" s="206" t="str">
        <f t="shared" si="156"/>
        <v>3Q23</v>
      </c>
      <c r="AH36" s="206" t="str">
        <f t="shared" si="156"/>
        <v>4Q23</v>
      </c>
      <c r="AI36" s="206" t="str">
        <f t="shared" si="156"/>
        <v>1Q24</v>
      </c>
      <c r="AJ36" s="206" t="str">
        <f t="shared" si="156"/>
        <v>2Q24</v>
      </c>
      <c r="AK36" s="206" t="str">
        <f t="shared" si="156"/>
        <v>3Q24</v>
      </c>
      <c r="AL36" s="206" t="str">
        <f t="shared" si="156"/>
        <v>4Q24</v>
      </c>
      <c r="AM36" s="206" t="str">
        <f t="shared" si="156"/>
        <v>1Q25</v>
      </c>
      <c r="AN36" s="206" t="str">
        <f t="shared" si="156"/>
        <v>2Q25</v>
      </c>
      <c r="AO36" s="206" t="str">
        <f t="shared" si="156"/>
        <v>3Q25</v>
      </c>
      <c r="AP36" s="206" t="str">
        <f t="shared" si="156"/>
        <v>4Q25</v>
      </c>
      <c r="AQ36" s="205"/>
      <c r="AR36" s="641"/>
    </row>
    <row r="37" spans="1:44" ht="12.75" customHeight="1">
      <c r="B37" s="207" t="str">
        <f t="shared" ref="B37:L37" si="157">B8</f>
        <v>Fiscal Period End Date</v>
      </c>
      <c r="C37" s="209">
        <f t="shared" si="157"/>
        <v>42643</v>
      </c>
      <c r="D37" s="209">
        <f t="shared" si="157"/>
        <v>43008</v>
      </c>
      <c r="E37" s="209">
        <f t="shared" si="157"/>
        <v>43372</v>
      </c>
      <c r="F37" s="209">
        <f t="shared" si="157"/>
        <v>43737</v>
      </c>
      <c r="G37" s="209">
        <f t="shared" si="157"/>
        <v>44104</v>
      </c>
      <c r="H37" s="209">
        <f t="shared" si="157"/>
        <v>44469</v>
      </c>
      <c r="I37" s="209">
        <f t="shared" si="157"/>
        <v>44834</v>
      </c>
      <c r="J37" s="209">
        <f t="shared" si="157"/>
        <v>45192</v>
      </c>
      <c r="K37" s="209">
        <f t="shared" si="157"/>
        <v>45559</v>
      </c>
      <c r="L37" s="209">
        <f t="shared" si="157"/>
        <v>45927</v>
      </c>
      <c r="M37" s="205"/>
      <c r="N37" s="209">
        <f t="shared" ref="N37:AC37" si="158">N8</f>
        <v>44560</v>
      </c>
      <c r="O37" s="209">
        <f t="shared" si="158"/>
        <v>44650</v>
      </c>
      <c r="P37" s="209">
        <f t="shared" si="158"/>
        <v>44742</v>
      </c>
      <c r="Q37" s="209">
        <f t="shared" si="158"/>
        <v>44834</v>
      </c>
      <c r="R37" s="209">
        <f t="shared" si="158"/>
        <v>44917</v>
      </c>
      <c r="S37" s="209">
        <f t="shared" si="158"/>
        <v>45008</v>
      </c>
      <c r="T37" s="209">
        <f t="shared" si="158"/>
        <v>45100</v>
      </c>
      <c r="U37" s="209">
        <f t="shared" si="158"/>
        <v>45192</v>
      </c>
      <c r="V37" s="209">
        <f t="shared" si="158"/>
        <v>45283</v>
      </c>
      <c r="W37" s="209">
        <f t="shared" si="158"/>
        <v>45375</v>
      </c>
      <c r="X37" s="209">
        <f t="shared" si="158"/>
        <v>45467</v>
      </c>
      <c r="Y37" s="209">
        <f t="shared" si="158"/>
        <v>45559</v>
      </c>
      <c r="Z37" s="209">
        <f t="shared" si="158"/>
        <v>45650</v>
      </c>
      <c r="AA37" s="209">
        <f t="shared" si="158"/>
        <v>45741</v>
      </c>
      <c r="AB37" s="209">
        <f t="shared" si="158"/>
        <v>45833</v>
      </c>
      <c r="AC37" s="209">
        <f t="shared" si="158"/>
        <v>45927</v>
      </c>
      <c r="AD37" s="210"/>
      <c r="AE37" s="209">
        <f t="shared" ref="AE37:AP37" si="159">AE8</f>
        <v>44917</v>
      </c>
      <c r="AF37" s="209">
        <f t="shared" si="159"/>
        <v>45008</v>
      </c>
      <c r="AG37" s="209">
        <f t="shared" si="159"/>
        <v>45100</v>
      </c>
      <c r="AH37" s="209">
        <f t="shared" si="159"/>
        <v>45192</v>
      </c>
      <c r="AI37" s="209">
        <f t="shared" si="159"/>
        <v>45283</v>
      </c>
      <c r="AJ37" s="209">
        <f t="shared" si="159"/>
        <v>45375</v>
      </c>
      <c r="AK37" s="209">
        <f t="shared" si="159"/>
        <v>45467</v>
      </c>
      <c r="AL37" s="209">
        <f t="shared" si="159"/>
        <v>45559</v>
      </c>
      <c r="AM37" s="209">
        <f t="shared" si="159"/>
        <v>45650</v>
      </c>
      <c r="AN37" s="209">
        <f t="shared" si="159"/>
        <v>45741</v>
      </c>
      <c r="AO37" s="209">
        <f t="shared" si="159"/>
        <v>45833</v>
      </c>
      <c r="AP37" s="209">
        <f t="shared" si="159"/>
        <v>45927</v>
      </c>
      <c r="AQ37" s="205"/>
      <c r="AR37" s="641"/>
    </row>
    <row r="38" spans="1:44" ht="5.0999999999999996" customHeight="1">
      <c r="B38" s="52"/>
      <c r="C38" s="53"/>
      <c r="D38" s="53"/>
      <c r="E38" s="53"/>
      <c r="F38" s="53"/>
      <c r="G38" s="53"/>
      <c r="H38" s="53"/>
      <c r="I38" s="53"/>
      <c r="J38" s="53"/>
      <c r="K38" s="53"/>
      <c r="L38" s="53"/>
    </row>
    <row r="39" spans="1:44" ht="12.75" customHeight="1">
      <c r="B39" s="10" t="s">
        <v>190</v>
      </c>
      <c r="C39" s="96">
        <v>20484</v>
      </c>
      <c r="D39" s="96">
        <v>20289</v>
      </c>
      <c r="E39" s="96">
        <v>25913</v>
      </c>
      <c r="F39" s="96">
        <v>48844</v>
      </c>
      <c r="G39" s="96">
        <v>38016</v>
      </c>
      <c r="H39" s="96">
        <v>34940</v>
      </c>
      <c r="I39" s="96">
        <v>23646</v>
      </c>
      <c r="J39" s="96">
        <v>29965</v>
      </c>
      <c r="K39" s="96">
        <v>29943</v>
      </c>
      <c r="L39" s="96">
        <v>35934</v>
      </c>
      <c r="N39" s="96">
        <v>37119</v>
      </c>
      <c r="O39" s="96">
        <v>28098</v>
      </c>
      <c r="P39" s="96">
        <v>27502</v>
      </c>
      <c r="Q39" s="34">
        <f t="shared" ref="Q39:Q43" si="160">I39</f>
        <v>23646</v>
      </c>
      <c r="R39" s="96">
        <v>20535</v>
      </c>
      <c r="S39" s="96">
        <v>24687</v>
      </c>
      <c r="T39" s="96">
        <v>28408</v>
      </c>
      <c r="U39" s="34">
        <f t="shared" ref="U39:U43" si="161">J39</f>
        <v>29965</v>
      </c>
      <c r="V39" s="96">
        <v>40760</v>
      </c>
      <c r="W39" s="96">
        <v>32695</v>
      </c>
      <c r="X39" s="96">
        <v>25565</v>
      </c>
      <c r="Y39" s="34">
        <f t="shared" ref="Y39:Y43" si="162">K39</f>
        <v>29943</v>
      </c>
      <c r="Z39" s="96">
        <v>30299</v>
      </c>
      <c r="AA39" s="96">
        <v>28162</v>
      </c>
      <c r="AB39" s="96">
        <v>36269</v>
      </c>
      <c r="AC39" s="34">
        <f t="shared" ref="AC39:AC43" si="163">L39</f>
        <v>35934</v>
      </c>
      <c r="AE39" s="34">
        <f t="shared" ref="AE39:AM43" si="164">R39</f>
        <v>20535</v>
      </c>
      <c r="AF39" s="34">
        <f t="shared" si="164"/>
        <v>24687</v>
      </c>
      <c r="AG39" s="34">
        <f t="shared" si="164"/>
        <v>28408</v>
      </c>
      <c r="AH39" s="34">
        <f t="shared" si="164"/>
        <v>29965</v>
      </c>
      <c r="AI39" s="34">
        <f t="shared" si="164"/>
        <v>40760</v>
      </c>
      <c r="AJ39" s="34">
        <f t="shared" si="164"/>
        <v>32695</v>
      </c>
      <c r="AK39" s="34">
        <f t="shared" si="164"/>
        <v>25565</v>
      </c>
      <c r="AL39" s="34">
        <f t="shared" si="164"/>
        <v>29943</v>
      </c>
      <c r="AM39" s="34">
        <f t="shared" si="164"/>
        <v>30299</v>
      </c>
      <c r="AN39" s="34">
        <f t="shared" ref="AN39:AN43" si="165">AA39</f>
        <v>28162</v>
      </c>
      <c r="AO39" s="34">
        <f>AB39</f>
        <v>36269</v>
      </c>
      <c r="AP39" s="34">
        <f>AC39</f>
        <v>35934</v>
      </c>
      <c r="AQ39" s="12"/>
      <c r="AR39" s="87">
        <f t="shared" ref="AR39:AR66" si="166">SUM(AP39/AL39)-1</f>
        <v>0.20008015228934983</v>
      </c>
    </row>
    <row r="40" spans="1:44" ht="12.75" customHeight="1">
      <c r="B40" s="10" t="s">
        <v>312</v>
      </c>
      <c r="C40" s="96">
        <v>46671</v>
      </c>
      <c r="D40" s="96">
        <v>53892</v>
      </c>
      <c r="E40" s="96">
        <v>40388</v>
      </c>
      <c r="F40" s="96">
        <v>51713</v>
      </c>
      <c r="G40" s="96">
        <v>52927</v>
      </c>
      <c r="H40" s="96">
        <v>27699</v>
      </c>
      <c r="I40" s="96">
        <v>24658</v>
      </c>
      <c r="J40" s="96">
        <v>31590</v>
      </c>
      <c r="K40" s="96">
        <v>35228</v>
      </c>
      <c r="L40" s="96">
        <v>18763</v>
      </c>
      <c r="N40" s="96">
        <v>26794</v>
      </c>
      <c r="O40" s="96">
        <v>23413</v>
      </c>
      <c r="P40" s="96">
        <v>20729</v>
      </c>
      <c r="Q40" s="34">
        <f t="shared" si="160"/>
        <v>24658</v>
      </c>
      <c r="R40" s="96">
        <v>30820</v>
      </c>
      <c r="S40" s="96">
        <v>31185</v>
      </c>
      <c r="T40" s="96">
        <v>34074</v>
      </c>
      <c r="U40" s="34">
        <f t="shared" si="161"/>
        <v>31590</v>
      </c>
      <c r="V40" s="96">
        <v>32340</v>
      </c>
      <c r="W40" s="96">
        <v>34455</v>
      </c>
      <c r="X40" s="96">
        <v>36236</v>
      </c>
      <c r="Y40" s="34">
        <f t="shared" si="162"/>
        <v>35228</v>
      </c>
      <c r="Z40" s="96">
        <v>23476</v>
      </c>
      <c r="AA40" s="96">
        <v>20336</v>
      </c>
      <c r="AB40" s="96">
        <v>19103</v>
      </c>
      <c r="AC40" s="34">
        <f t="shared" si="163"/>
        <v>18763</v>
      </c>
      <c r="AE40" s="34">
        <f t="shared" si="164"/>
        <v>30820</v>
      </c>
      <c r="AF40" s="34">
        <f t="shared" si="164"/>
        <v>31185</v>
      </c>
      <c r="AG40" s="34">
        <f t="shared" si="164"/>
        <v>34074</v>
      </c>
      <c r="AH40" s="34">
        <f t="shared" si="164"/>
        <v>31590</v>
      </c>
      <c r="AI40" s="34">
        <f t="shared" si="164"/>
        <v>32340</v>
      </c>
      <c r="AJ40" s="34">
        <f t="shared" si="164"/>
        <v>34455</v>
      </c>
      <c r="AK40" s="34">
        <f t="shared" si="164"/>
        <v>36236</v>
      </c>
      <c r="AL40" s="34">
        <f t="shared" si="164"/>
        <v>35228</v>
      </c>
      <c r="AM40" s="34">
        <f t="shared" si="164"/>
        <v>23476</v>
      </c>
      <c r="AN40" s="34">
        <f t="shared" si="165"/>
        <v>20336</v>
      </c>
      <c r="AO40" s="34">
        <f t="shared" ref="AO40:AP43" si="167">AB40</f>
        <v>19103</v>
      </c>
      <c r="AP40" s="34">
        <f t="shared" si="167"/>
        <v>18763</v>
      </c>
      <c r="AQ40" s="12"/>
      <c r="AR40" s="87">
        <f t="shared" si="166"/>
        <v>-0.46738389917111389</v>
      </c>
    </row>
    <row r="41" spans="1:44" ht="12.75" customHeight="1">
      <c r="B41" s="10" t="s">
        <v>66</v>
      </c>
      <c r="C41" s="96">
        <v>15754</v>
      </c>
      <c r="D41" s="96">
        <v>17874</v>
      </c>
      <c r="E41" s="96">
        <v>23186</v>
      </c>
      <c r="F41" s="96">
        <v>22926</v>
      </c>
      <c r="G41" s="96">
        <v>16120</v>
      </c>
      <c r="H41" s="96">
        <v>26278</v>
      </c>
      <c r="I41" s="96">
        <v>28184</v>
      </c>
      <c r="J41" s="96">
        <v>29508</v>
      </c>
      <c r="K41" s="96">
        <v>66243</v>
      </c>
      <c r="L41" s="96">
        <v>39777</v>
      </c>
      <c r="N41" s="96">
        <v>30213</v>
      </c>
      <c r="O41" s="96">
        <v>20815</v>
      </c>
      <c r="P41" s="96">
        <v>21803</v>
      </c>
      <c r="Q41" s="34">
        <f t="shared" si="160"/>
        <v>28184</v>
      </c>
      <c r="R41" s="96">
        <v>23752</v>
      </c>
      <c r="S41" s="96">
        <v>17936</v>
      </c>
      <c r="T41" s="96">
        <v>19549</v>
      </c>
      <c r="U41" s="34">
        <f t="shared" si="161"/>
        <v>29508</v>
      </c>
      <c r="V41" s="96">
        <v>23194</v>
      </c>
      <c r="W41" s="96">
        <v>21837</v>
      </c>
      <c r="X41" s="96">
        <v>22795</v>
      </c>
      <c r="Y41" s="34">
        <f t="shared" si="162"/>
        <v>66243</v>
      </c>
      <c r="Z41" s="96">
        <v>29639</v>
      </c>
      <c r="AA41" s="96">
        <v>49798</v>
      </c>
      <c r="AB41" s="96">
        <v>46835</v>
      </c>
      <c r="AC41" s="34">
        <f t="shared" si="163"/>
        <v>39777</v>
      </c>
      <c r="AE41" s="34">
        <f t="shared" si="164"/>
        <v>23752</v>
      </c>
      <c r="AF41" s="34">
        <f t="shared" si="164"/>
        <v>17936</v>
      </c>
      <c r="AG41" s="34">
        <f t="shared" si="164"/>
        <v>19549</v>
      </c>
      <c r="AH41" s="34">
        <f t="shared" si="164"/>
        <v>29508</v>
      </c>
      <c r="AI41" s="34">
        <f t="shared" si="164"/>
        <v>23194</v>
      </c>
      <c r="AJ41" s="34">
        <f t="shared" si="164"/>
        <v>21837</v>
      </c>
      <c r="AK41" s="34">
        <f t="shared" si="164"/>
        <v>22795</v>
      </c>
      <c r="AL41" s="34">
        <f t="shared" si="164"/>
        <v>66243</v>
      </c>
      <c r="AM41" s="34">
        <f t="shared" si="164"/>
        <v>29639</v>
      </c>
      <c r="AN41" s="34">
        <f t="shared" si="165"/>
        <v>49798</v>
      </c>
      <c r="AO41" s="34">
        <f t="shared" si="167"/>
        <v>46835</v>
      </c>
      <c r="AP41" s="34">
        <f t="shared" si="167"/>
        <v>39777</v>
      </c>
      <c r="AQ41" s="12"/>
      <c r="AR41" s="87">
        <f t="shared" si="166"/>
        <v>-0.39952900683845838</v>
      </c>
    </row>
    <row r="42" spans="1:44" ht="12.75" customHeight="1">
      <c r="B42" s="10" t="s">
        <v>99</v>
      </c>
      <c r="C42" s="96">
        <v>2132</v>
      </c>
      <c r="D42" s="96">
        <v>4855</v>
      </c>
      <c r="E42" s="96">
        <v>3956</v>
      </c>
      <c r="F42" s="96">
        <v>4106</v>
      </c>
      <c r="G42" s="96">
        <v>4061</v>
      </c>
      <c r="H42" s="96">
        <v>6580</v>
      </c>
      <c r="I42" s="96">
        <v>4946</v>
      </c>
      <c r="J42" s="96">
        <v>6331</v>
      </c>
      <c r="K42" s="96">
        <v>7286</v>
      </c>
      <c r="L42" s="96">
        <v>5718</v>
      </c>
      <c r="N42" s="96">
        <v>5876</v>
      </c>
      <c r="O42" s="96">
        <v>5460</v>
      </c>
      <c r="P42" s="96">
        <v>5433</v>
      </c>
      <c r="Q42" s="34">
        <f t="shared" si="160"/>
        <v>4946</v>
      </c>
      <c r="R42" s="96">
        <v>6820</v>
      </c>
      <c r="S42" s="96">
        <v>7482</v>
      </c>
      <c r="T42" s="96">
        <v>7351</v>
      </c>
      <c r="U42" s="34">
        <f t="shared" si="161"/>
        <v>6331</v>
      </c>
      <c r="V42" s="96">
        <v>6511</v>
      </c>
      <c r="W42" s="96">
        <v>6232</v>
      </c>
      <c r="X42" s="96">
        <v>6165</v>
      </c>
      <c r="Y42" s="34">
        <f t="shared" si="162"/>
        <v>7286</v>
      </c>
      <c r="Z42" s="96">
        <v>6911</v>
      </c>
      <c r="AA42" s="96">
        <v>6269</v>
      </c>
      <c r="AB42" s="96">
        <v>5925</v>
      </c>
      <c r="AC42" s="34">
        <f t="shared" si="163"/>
        <v>5718</v>
      </c>
      <c r="AE42" s="34">
        <f t="shared" si="164"/>
        <v>6820</v>
      </c>
      <c r="AF42" s="34">
        <f t="shared" si="164"/>
        <v>7482</v>
      </c>
      <c r="AG42" s="34">
        <f t="shared" si="164"/>
        <v>7351</v>
      </c>
      <c r="AH42" s="34">
        <f t="shared" si="164"/>
        <v>6331</v>
      </c>
      <c r="AI42" s="34">
        <f t="shared" si="164"/>
        <v>6511</v>
      </c>
      <c r="AJ42" s="34">
        <f t="shared" si="164"/>
        <v>6232</v>
      </c>
      <c r="AK42" s="34">
        <f t="shared" si="164"/>
        <v>6165</v>
      </c>
      <c r="AL42" s="34">
        <f t="shared" si="164"/>
        <v>7286</v>
      </c>
      <c r="AM42" s="34">
        <f t="shared" si="164"/>
        <v>6911</v>
      </c>
      <c r="AN42" s="34">
        <f t="shared" si="165"/>
        <v>6269</v>
      </c>
      <c r="AO42" s="34">
        <f t="shared" si="167"/>
        <v>5925</v>
      </c>
      <c r="AP42" s="34">
        <f t="shared" si="167"/>
        <v>5718</v>
      </c>
      <c r="AQ42" s="12"/>
      <c r="AR42" s="87">
        <f t="shared" si="166"/>
        <v>-0.21520724677463632</v>
      </c>
    </row>
    <row r="43" spans="1:44" ht="12.75" customHeight="1">
      <c r="B43" s="10" t="s">
        <v>191</v>
      </c>
      <c r="C43" s="96">
        <v>21828</v>
      </c>
      <c r="D43" s="96">
        <f>13936+17799</f>
        <v>31735</v>
      </c>
      <c r="E43" s="96">
        <v>37896</v>
      </c>
      <c r="F43" s="96">
        <v>35230</v>
      </c>
      <c r="G43" s="96">
        <v>32589</v>
      </c>
      <c r="H43" s="96">
        <v>39339</v>
      </c>
      <c r="I43" s="96">
        <v>53971</v>
      </c>
      <c r="J43" s="96">
        <v>46172</v>
      </c>
      <c r="K43" s="96">
        <v>14287</v>
      </c>
      <c r="L43" s="96">
        <f>33180+14585</f>
        <v>47765</v>
      </c>
      <c r="N43" s="96">
        <v>53152</v>
      </c>
      <c r="O43" s="96">
        <v>40394</v>
      </c>
      <c r="P43" s="96">
        <v>36825</v>
      </c>
      <c r="Q43" s="34">
        <f t="shared" si="160"/>
        <v>53971</v>
      </c>
      <c r="R43" s="96">
        <v>46850</v>
      </c>
      <c r="S43" s="96">
        <v>31623</v>
      </c>
      <c r="T43" s="96">
        <v>33277</v>
      </c>
      <c r="U43" s="34">
        <f t="shared" si="161"/>
        <v>46172</v>
      </c>
      <c r="V43" s="96">
        <v>40887</v>
      </c>
      <c r="W43" s="96">
        <v>33197</v>
      </c>
      <c r="X43" s="96">
        <v>34674</v>
      </c>
      <c r="Y43" s="34">
        <f t="shared" si="162"/>
        <v>14287</v>
      </c>
      <c r="Z43" s="96">
        <v>42915</v>
      </c>
      <c r="AA43" s="96">
        <v>14109</v>
      </c>
      <c r="AB43" s="96">
        <v>14359</v>
      </c>
      <c r="AC43" s="34">
        <f t="shared" si="163"/>
        <v>47765</v>
      </c>
      <c r="AE43" s="34">
        <f t="shared" si="164"/>
        <v>46850</v>
      </c>
      <c r="AF43" s="34">
        <f t="shared" si="164"/>
        <v>31623</v>
      </c>
      <c r="AG43" s="34">
        <f t="shared" si="164"/>
        <v>33277</v>
      </c>
      <c r="AH43" s="34">
        <f t="shared" si="164"/>
        <v>46172</v>
      </c>
      <c r="AI43" s="34">
        <f t="shared" si="164"/>
        <v>40887</v>
      </c>
      <c r="AJ43" s="34">
        <f t="shared" si="164"/>
        <v>33197</v>
      </c>
      <c r="AK43" s="34">
        <f t="shared" si="164"/>
        <v>34674</v>
      </c>
      <c r="AL43" s="34">
        <f t="shared" si="164"/>
        <v>14287</v>
      </c>
      <c r="AM43" s="34">
        <f t="shared" si="164"/>
        <v>42915</v>
      </c>
      <c r="AN43" s="34">
        <f t="shared" si="165"/>
        <v>14109</v>
      </c>
      <c r="AO43" s="34">
        <f t="shared" si="167"/>
        <v>14359</v>
      </c>
      <c r="AP43" s="34">
        <f t="shared" si="167"/>
        <v>47765</v>
      </c>
      <c r="AQ43" s="12"/>
      <c r="AR43" s="87">
        <f t="shared" si="166"/>
        <v>2.3432491075803177</v>
      </c>
    </row>
    <row r="44" spans="1:44" ht="12.75" customHeight="1">
      <c r="B44" s="27" t="s">
        <v>28</v>
      </c>
      <c r="C44" s="28">
        <f t="shared" ref="C44:K44" si="168">SUM(C39:C43)</f>
        <v>106869</v>
      </c>
      <c r="D44" s="28">
        <f t="shared" si="168"/>
        <v>128645</v>
      </c>
      <c r="E44" s="28">
        <f t="shared" si="168"/>
        <v>131339</v>
      </c>
      <c r="F44" s="28">
        <f t="shared" si="168"/>
        <v>162819</v>
      </c>
      <c r="G44" s="28">
        <f t="shared" si="168"/>
        <v>143713</v>
      </c>
      <c r="H44" s="28">
        <f t="shared" si="168"/>
        <v>134836</v>
      </c>
      <c r="I44" s="28">
        <f t="shared" si="168"/>
        <v>135405</v>
      </c>
      <c r="J44" s="28">
        <f t="shared" si="168"/>
        <v>143566</v>
      </c>
      <c r="K44" s="28">
        <f t="shared" si="168"/>
        <v>152987</v>
      </c>
      <c r="L44" s="28">
        <f t="shared" ref="L44" si="169">SUM(L39:L43)</f>
        <v>147957</v>
      </c>
      <c r="M44" s="54"/>
      <c r="N44" s="28">
        <f t="shared" ref="N44:AB44" si="170">SUM(N39:N43)</f>
        <v>153154</v>
      </c>
      <c r="O44" s="28">
        <f t="shared" si="170"/>
        <v>118180</v>
      </c>
      <c r="P44" s="28">
        <f t="shared" si="170"/>
        <v>112292</v>
      </c>
      <c r="Q44" s="28">
        <f t="shared" si="170"/>
        <v>135405</v>
      </c>
      <c r="R44" s="28">
        <f t="shared" si="170"/>
        <v>128777</v>
      </c>
      <c r="S44" s="28">
        <f t="shared" si="170"/>
        <v>112913</v>
      </c>
      <c r="T44" s="28">
        <f t="shared" si="170"/>
        <v>122659</v>
      </c>
      <c r="U44" s="28">
        <f t="shared" si="170"/>
        <v>143566</v>
      </c>
      <c r="V44" s="28">
        <f t="shared" si="170"/>
        <v>143692</v>
      </c>
      <c r="W44" s="28">
        <f t="shared" si="170"/>
        <v>128416</v>
      </c>
      <c r="X44" s="28">
        <f t="shared" si="170"/>
        <v>125435</v>
      </c>
      <c r="Y44" s="28">
        <f t="shared" si="170"/>
        <v>152987</v>
      </c>
      <c r="Z44" s="28">
        <f t="shared" si="170"/>
        <v>133240</v>
      </c>
      <c r="AA44" s="28">
        <f t="shared" si="170"/>
        <v>118674</v>
      </c>
      <c r="AB44" s="28">
        <f t="shared" si="170"/>
        <v>122491</v>
      </c>
      <c r="AC44" s="28">
        <f t="shared" ref="AC44" si="171">SUM(AC39:AC43)</f>
        <v>147957</v>
      </c>
      <c r="AD44" s="54"/>
      <c r="AE44" s="28">
        <f t="shared" ref="AE44:AO44" si="172">SUM(AE39:AE43)</f>
        <v>128777</v>
      </c>
      <c r="AF44" s="28">
        <f t="shared" si="172"/>
        <v>112913</v>
      </c>
      <c r="AG44" s="28">
        <f t="shared" si="172"/>
        <v>122659</v>
      </c>
      <c r="AH44" s="28">
        <f t="shared" si="172"/>
        <v>143566</v>
      </c>
      <c r="AI44" s="28">
        <f t="shared" si="172"/>
        <v>143692</v>
      </c>
      <c r="AJ44" s="28">
        <f t="shared" si="172"/>
        <v>128416</v>
      </c>
      <c r="AK44" s="28">
        <f t="shared" si="172"/>
        <v>125435</v>
      </c>
      <c r="AL44" s="28">
        <f t="shared" si="172"/>
        <v>152987</v>
      </c>
      <c r="AM44" s="28">
        <f t="shared" si="172"/>
        <v>133240</v>
      </c>
      <c r="AN44" s="28">
        <f t="shared" si="172"/>
        <v>118674</v>
      </c>
      <c r="AO44" s="28">
        <f t="shared" si="172"/>
        <v>122491</v>
      </c>
      <c r="AP44" s="28">
        <f t="shared" ref="AP44" si="173">SUM(AP39:AP43)</f>
        <v>147957</v>
      </c>
      <c r="AQ44" s="45"/>
      <c r="AR44" s="88">
        <f t="shared" si="166"/>
        <v>-3.2878610600900693E-2</v>
      </c>
    </row>
    <row r="45" spans="1:44" ht="5.0999999999999996" customHeight="1">
      <c r="B45" s="27"/>
      <c r="C45" s="55"/>
      <c r="D45" s="55"/>
      <c r="E45" s="55"/>
      <c r="F45" s="55"/>
      <c r="G45" s="55"/>
      <c r="H45" s="55"/>
      <c r="I45" s="55"/>
      <c r="J45" s="44"/>
      <c r="K45" s="44"/>
      <c r="L45" s="44"/>
      <c r="N45" s="44"/>
      <c r="O45" s="44"/>
      <c r="P45" s="44"/>
      <c r="Q45" s="44"/>
      <c r="R45" s="44"/>
      <c r="S45" s="44"/>
      <c r="T45" s="44"/>
      <c r="U45" s="44"/>
      <c r="V45" s="44"/>
      <c r="W45" s="44"/>
      <c r="AE45" s="45"/>
      <c r="AF45" s="45"/>
      <c r="AG45" s="45"/>
      <c r="AH45" s="45"/>
      <c r="AI45" s="45"/>
      <c r="AJ45" s="45"/>
      <c r="AK45" s="45"/>
      <c r="AL45" s="45"/>
      <c r="AM45" s="45"/>
      <c r="AN45" s="45"/>
      <c r="AO45" s="45"/>
      <c r="AP45" s="45"/>
      <c r="AQ45" s="45"/>
      <c r="AR45" s="42"/>
    </row>
    <row r="46" spans="1:44" ht="12.75" customHeight="1">
      <c r="B46" s="10" t="s">
        <v>136</v>
      </c>
      <c r="C46" s="96">
        <v>27010</v>
      </c>
      <c r="D46" s="96">
        <v>33783</v>
      </c>
      <c r="E46" s="96">
        <v>41304</v>
      </c>
      <c r="F46" s="96">
        <v>37378</v>
      </c>
      <c r="G46" s="96">
        <v>36766</v>
      </c>
      <c r="H46" s="96">
        <v>39440</v>
      </c>
      <c r="I46" s="96">
        <v>42117</v>
      </c>
      <c r="J46" s="96">
        <v>43715</v>
      </c>
      <c r="K46" s="96">
        <v>45680</v>
      </c>
      <c r="L46" s="96">
        <v>49834</v>
      </c>
      <c r="N46" s="96">
        <v>39245</v>
      </c>
      <c r="O46" s="96">
        <v>39304</v>
      </c>
      <c r="P46" s="96">
        <v>40335</v>
      </c>
      <c r="Q46" s="34">
        <f t="shared" ref="Q46:Q48" si="174">I46</f>
        <v>42117</v>
      </c>
      <c r="R46" s="96">
        <v>42951</v>
      </c>
      <c r="S46" s="96">
        <v>43398</v>
      </c>
      <c r="T46" s="96">
        <v>43550</v>
      </c>
      <c r="U46" s="34">
        <f t="shared" ref="U46:U48" si="175">J46</f>
        <v>43715</v>
      </c>
      <c r="V46" s="96">
        <v>43666</v>
      </c>
      <c r="W46" s="96">
        <v>43546</v>
      </c>
      <c r="X46" s="96">
        <v>44502</v>
      </c>
      <c r="Y46" s="34">
        <f t="shared" ref="Y46:Y48" si="176">K46</f>
        <v>45680</v>
      </c>
      <c r="Z46" s="96">
        <v>46069</v>
      </c>
      <c r="AA46" s="96">
        <v>46876</v>
      </c>
      <c r="AB46" s="96">
        <v>48508</v>
      </c>
      <c r="AC46" s="34">
        <f t="shared" ref="AC46:AC48" si="177">L46</f>
        <v>49834</v>
      </c>
      <c r="AE46" s="34">
        <f t="shared" ref="AE46:AM48" si="178">R46</f>
        <v>42951</v>
      </c>
      <c r="AF46" s="34">
        <f t="shared" si="178"/>
        <v>43398</v>
      </c>
      <c r="AG46" s="34">
        <f t="shared" si="178"/>
        <v>43550</v>
      </c>
      <c r="AH46" s="34">
        <f t="shared" si="178"/>
        <v>43715</v>
      </c>
      <c r="AI46" s="34">
        <f t="shared" si="178"/>
        <v>43666</v>
      </c>
      <c r="AJ46" s="34">
        <f t="shared" si="178"/>
        <v>43546</v>
      </c>
      <c r="AK46" s="34">
        <f t="shared" si="178"/>
        <v>44502</v>
      </c>
      <c r="AL46" s="34">
        <f t="shared" si="178"/>
        <v>45680</v>
      </c>
      <c r="AM46" s="34">
        <f t="shared" si="178"/>
        <v>46069</v>
      </c>
      <c r="AN46" s="34">
        <f t="shared" ref="AN46:AN48" si="179">AA46</f>
        <v>46876</v>
      </c>
      <c r="AO46" s="34">
        <f t="shared" ref="AO46:AP48" si="180">AB46</f>
        <v>48508</v>
      </c>
      <c r="AP46" s="34">
        <f t="shared" si="180"/>
        <v>49834</v>
      </c>
      <c r="AQ46" s="12"/>
      <c r="AR46" s="87">
        <f t="shared" si="166"/>
        <v>9.0936952714535835E-2</v>
      </c>
    </row>
    <row r="47" spans="1:44" ht="12.75" customHeight="1">
      <c r="B47" s="10" t="s">
        <v>313</v>
      </c>
      <c r="C47" s="96">
        <v>170430</v>
      </c>
      <c r="D47" s="96">
        <v>194714</v>
      </c>
      <c r="E47" s="96">
        <v>170799</v>
      </c>
      <c r="F47" s="96">
        <v>105341</v>
      </c>
      <c r="G47" s="96">
        <v>100887</v>
      </c>
      <c r="H47" s="96">
        <v>127877</v>
      </c>
      <c r="I47" s="96">
        <v>120805</v>
      </c>
      <c r="J47" s="96">
        <v>100544</v>
      </c>
      <c r="K47" s="96">
        <v>91479</v>
      </c>
      <c r="L47" s="96">
        <v>77723</v>
      </c>
      <c r="N47" s="96">
        <v>138683</v>
      </c>
      <c r="O47" s="96">
        <v>141219</v>
      </c>
      <c r="P47" s="96">
        <v>131077</v>
      </c>
      <c r="Q47" s="34">
        <f t="shared" si="174"/>
        <v>120805</v>
      </c>
      <c r="R47" s="96">
        <v>114095</v>
      </c>
      <c r="S47" s="96">
        <v>110461</v>
      </c>
      <c r="T47" s="96">
        <v>104061</v>
      </c>
      <c r="U47" s="34">
        <f t="shared" si="175"/>
        <v>100544</v>
      </c>
      <c r="V47" s="96">
        <v>99475</v>
      </c>
      <c r="W47" s="96">
        <v>95187</v>
      </c>
      <c r="X47" s="96">
        <v>91240</v>
      </c>
      <c r="Y47" s="34">
        <f t="shared" si="176"/>
        <v>91479</v>
      </c>
      <c r="Z47" s="96">
        <v>87593</v>
      </c>
      <c r="AA47" s="96">
        <v>84424</v>
      </c>
      <c r="AB47" s="96">
        <v>77614</v>
      </c>
      <c r="AC47" s="34">
        <f t="shared" si="177"/>
        <v>77723</v>
      </c>
      <c r="AE47" s="34">
        <f t="shared" si="178"/>
        <v>114095</v>
      </c>
      <c r="AF47" s="34">
        <f t="shared" si="178"/>
        <v>110461</v>
      </c>
      <c r="AG47" s="34">
        <f t="shared" si="178"/>
        <v>104061</v>
      </c>
      <c r="AH47" s="34">
        <f t="shared" si="178"/>
        <v>100544</v>
      </c>
      <c r="AI47" s="34">
        <f t="shared" si="178"/>
        <v>99475</v>
      </c>
      <c r="AJ47" s="34">
        <f t="shared" si="178"/>
        <v>95187</v>
      </c>
      <c r="AK47" s="34">
        <f t="shared" si="178"/>
        <v>91240</v>
      </c>
      <c r="AL47" s="34">
        <f t="shared" si="178"/>
        <v>91479</v>
      </c>
      <c r="AM47" s="34">
        <f t="shared" si="178"/>
        <v>87593</v>
      </c>
      <c r="AN47" s="34">
        <f t="shared" si="179"/>
        <v>84424</v>
      </c>
      <c r="AO47" s="34">
        <f t="shared" si="180"/>
        <v>77614</v>
      </c>
      <c r="AP47" s="34">
        <f t="shared" si="180"/>
        <v>77723</v>
      </c>
      <c r="AQ47" s="12"/>
      <c r="AR47" s="87">
        <f t="shared" si="166"/>
        <v>-0.15037330972135676</v>
      </c>
    </row>
    <row r="48" spans="1:44" ht="12.75" customHeight="1">
      <c r="B48" s="10" t="s">
        <v>192</v>
      </c>
      <c r="C48" s="96">
        <f>5414+3206+8757</f>
        <v>17377</v>
      </c>
      <c r="D48" s="96">
        <v>18177</v>
      </c>
      <c r="E48" s="96">
        <v>22283</v>
      </c>
      <c r="F48" s="96">
        <v>32978</v>
      </c>
      <c r="G48" s="96">
        <v>42522</v>
      </c>
      <c r="H48" s="96">
        <v>48849</v>
      </c>
      <c r="I48" s="96">
        <v>54428</v>
      </c>
      <c r="J48" s="96">
        <v>64758</v>
      </c>
      <c r="K48" s="96">
        <v>74834</v>
      </c>
      <c r="L48" s="96">
        <v>83727</v>
      </c>
      <c r="N48" s="96">
        <v>42071</v>
      </c>
      <c r="O48" s="96">
        <v>43921</v>
      </c>
      <c r="P48" s="96">
        <v>44567</v>
      </c>
      <c r="Q48" s="34">
        <f t="shared" si="174"/>
        <v>54428</v>
      </c>
      <c r="R48" s="96">
        <v>52886</v>
      </c>
      <c r="S48" s="96">
        <v>57350</v>
      </c>
      <c r="T48" s="96">
        <v>56730</v>
      </c>
      <c r="U48" s="34">
        <f t="shared" si="175"/>
        <v>64758</v>
      </c>
      <c r="V48" s="96">
        <v>58643</v>
      </c>
      <c r="W48" s="96">
        <v>62224</v>
      </c>
      <c r="X48" s="96">
        <v>62397</v>
      </c>
      <c r="Y48" s="34">
        <f t="shared" si="176"/>
        <v>74834</v>
      </c>
      <c r="Z48" s="96">
        <v>77183</v>
      </c>
      <c r="AA48" s="96">
        <v>81259</v>
      </c>
      <c r="AB48" s="96">
        <v>82882</v>
      </c>
      <c r="AC48" s="34">
        <f t="shared" si="177"/>
        <v>83727</v>
      </c>
      <c r="AE48" s="34">
        <f t="shared" si="178"/>
        <v>52886</v>
      </c>
      <c r="AF48" s="34">
        <f t="shared" si="178"/>
        <v>57350</v>
      </c>
      <c r="AG48" s="34">
        <f t="shared" si="178"/>
        <v>56730</v>
      </c>
      <c r="AH48" s="34">
        <f t="shared" si="178"/>
        <v>64758</v>
      </c>
      <c r="AI48" s="34">
        <f t="shared" si="178"/>
        <v>58643</v>
      </c>
      <c r="AJ48" s="34">
        <f t="shared" si="178"/>
        <v>62224</v>
      </c>
      <c r="AK48" s="34">
        <f t="shared" si="178"/>
        <v>62397</v>
      </c>
      <c r="AL48" s="34">
        <f t="shared" si="178"/>
        <v>74834</v>
      </c>
      <c r="AM48" s="34">
        <f t="shared" si="178"/>
        <v>77183</v>
      </c>
      <c r="AN48" s="34">
        <f t="shared" si="179"/>
        <v>81259</v>
      </c>
      <c r="AO48" s="34">
        <f t="shared" si="180"/>
        <v>82882</v>
      </c>
      <c r="AP48" s="34">
        <f t="shared" si="180"/>
        <v>83727</v>
      </c>
      <c r="AQ48" s="12"/>
      <c r="AR48" s="87">
        <f t="shared" si="166"/>
        <v>0.11883635780527557</v>
      </c>
    </row>
    <row r="49" spans="2:44" ht="12.75" customHeight="1">
      <c r="B49" s="14" t="s">
        <v>29</v>
      </c>
      <c r="C49" s="15">
        <f t="shared" ref="C49:F49" si="181">SUM(C46:C48)+C44</f>
        <v>321686</v>
      </c>
      <c r="D49" s="15">
        <f t="shared" si="181"/>
        <v>375319</v>
      </c>
      <c r="E49" s="15">
        <f t="shared" si="181"/>
        <v>365725</v>
      </c>
      <c r="F49" s="15">
        <f t="shared" si="181"/>
        <v>338516</v>
      </c>
      <c r="G49" s="15">
        <f t="shared" ref="G49:L49" si="182">SUM(G46:G48)+G44</f>
        <v>323888</v>
      </c>
      <c r="H49" s="36">
        <f t="shared" si="182"/>
        <v>351002</v>
      </c>
      <c r="I49" s="15">
        <f t="shared" si="182"/>
        <v>352755</v>
      </c>
      <c r="J49" s="15">
        <f t="shared" si="182"/>
        <v>352583</v>
      </c>
      <c r="K49" s="15">
        <f t="shared" si="182"/>
        <v>364980</v>
      </c>
      <c r="L49" s="15">
        <f t="shared" si="182"/>
        <v>359241</v>
      </c>
      <c r="N49" s="15">
        <f t="shared" ref="N49:AB49" si="183">SUM(N46:N48)+N44</f>
        <v>373153</v>
      </c>
      <c r="O49" s="15">
        <f t="shared" si="183"/>
        <v>342624</v>
      </c>
      <c r="P49" s="15">
        <f t="shared" si="183"/>
        <v>328271</v>
      </c>
      <c r="Q49" s="15">
        <f t="shared" si="183"/>
        <v>352755</v>
      </c>
      <c r="R49" s="15">
        <f t="shared" si="183"/>
        <v>338709</v>
      </c>
      <c r="S49" s="15">
        <f t="shared" si="183"/>
        <v>324122</v>
      </c>
      <c r="T49" s="15">
        <f t="shared" si="183"/>
        <v>327000</v>
      </c>
      <c r="U49" s="15">
        <f t="shared" si="183"/>
        <v>352583</v>
      </c>
      <c r="V49" s="15">
        <f t="shared" si="183"/>
        <v>345476</v>
      </c>
      <c r="W49" s="15">
        <f t="shared" si="183"/>
        <v>329373</v>
      </c>
      <c r="X49" s="15">
        <f t="shared" si="183"/>
        <v>323574</v>
      </c>
      <c r="Y49" s="15">
        <f t="shared" si="183"/>
        <v>364980</v>
      </c>
      <c r="Z49" s="15">
        <f t="shared" si="183"/>
        <v>344085</v>
      </c>
      <c r="AA49" s="15">
        <f t="shared" si="183"/>
        <v>331233</v>
      </c>
      <c r="AB49" s="15">
        <f t="shared" si="183"/>
        <v>331495</v>
      </c>
      <c r="AC49" s="15">
        <f t="shared" ref="AC49" si="184">SUM(AC46:AC48)+AC44</f>
        <v>359241</v>
      </c>
      <c r="AE49" s="15">
        <f t="shared" ref="AE49:AO49" si="185">SUM(AE46:AE48)+AE44</f>
        <v>338709</v>
      </c>
      <c r="AF49" s="15">
        <f t="shared" si="185"/>
        <v>324122</v>
      </c>
      <c r="AG49" s="15">
        <f t="shared" si="185"/>
        <v>327000</v>
      </c>
      <c r="AH49" s="15">
        <f t="shared" si="185"/>
        <v>352583</v>
      </c>
      <c r="AI49" s="15">
        <f t="shared" si="185"/>
        <v>345476</v>
      </c>
      <c r="AJ49" s="15">
        <f t="shared" si="185"/>
        <v>329373</v>
      </c>
      <c r="AK49" s="15">
        <f t="shared" si="185"/>
        <v>323574</v>
      </c>
      <c r="AL49" s="15">
        <f t="shared" si="185"/>
        <v>364980</v>
      </c>
      <c r="AM49" s="15">
        <f t="shared" si="185"/>
        <v>344085</v>
      </c>
      <c r="AN49" s="15">
        <f t="shared" si="185"/>
        <v>331233</v>
      </c>
      <c r="AO49" s="15">
        <f t="shared" si="185"/>
        <v>331495</v>
      </c>
      <c r="AP49" s="15">
        <f t="shared" ref="AP49" si="186">SUM(AP46:AP48)+AP44</f>
        <v>359241</v>
      </c>
      <c r="AQ49" s="45"/>
      <c r="AR49" s="88">
        <f t="shared" si="166"/>
        <v>-1.5724149268453114E-2</v>
      </c>
    </row>
    <row r="50" spans="2:44" ht="12.75" customHeight="1">
      <c r="B50" s="27"/>
      <c r="C50" s="56"/>
      <c r="D50" s="56"/>
      <c r="E50" s="56"/>
      <c r="F50" s="56"/>
      <c r="G50" s="56"/>
      <c r="H50" s="56"/>
      <c r="I50" s="56"/>
      <c r="J50" s="44"/>
      <c r="K50" s="44"/>
      <c r="L50" s="44"/>
      <c r="N50" s="44"/>
      <c r="O50" s="44"/>
      <c r="P50" s="44"/>
      <c r="Q50" s="44"/>
      <c r="R50" s="44"/>
      <c r="S50" s="44"/>
      <c r="T50" s="44"/>
      <c r="U50" s="44"/>
      <c r="V50" s="44"/>
      <c r="W50" s="44"/>
      <c r="AE50" s="45"/>
      <c r="AF50" s="45"/>
      <c r="AG50" s="45"/>
      <c r="AH50" s="45"/>
      <c r="AI50" s="45"/>
      <c r="AJ50" s="45"/>
      <c r="AK50" s="45"/>
      <c r="AL50" s="45"/>
      <c r="AM50" s="45"/>
      <c r="AN50" s="45"/>
      <c r="AO50" s="45"/>
      <c r="AP50" s="45"/>
      <c r="AQ50" s="45"/>
      <c r="AR50" s="42"/>
    </row>
    <row r="51" spans="2:44" ht="12.75" customHeight="1">
      <c r="B51" s="10" t="s">
        <v>67</v>
      </c>
      <c r="C51" s="96">
        <v>37294</v>
      </c>
      <c r="D51" s="96">
        <v>44242</v>
      </c>
      <c r="E51" s="96">
        <v>55888</v>
      </c>
      <c r="F51" s="96">
        <v>46236</v>
      </c>
      <c r="G51" s="96">
        <v>42296</v>
      </c>
      <c r="H51" s="96">
        <v>54763</v>
      </c>
      <c r="I51" s="96">
        <v>64115</v>
      </c>
      <c r="J51" s="96">
        <v>62611</v>
      </c>
      <c r="K51" s="96">
        <v>68960</v>
      </c>
      <c r="L51" s="96">
        <v>69860</v>
      </c>
      <c r="N51" s="96">
        <v>74362</v>
      </c>
      <c r="O51" s="96">
        <v>52682</v>
      </c>
      <c r="P51" s="96">
        <v>48343</v>
      </c>
      <c r="Q51" s="34">
        <f t="shared" ref="Q51:Q53" si="187">I51</f>
        <v>64115</v>
      </c>
      <c r="R51" s="96">
        <v>57918</v>
      </c>
      <c r="S51" s="96">
        <v>42945</v>
      </c>
      <c r="T51" s="96">
        <v>46699</v>
      </c>
      <c r="U51" s="34">
        <f t="shared" ref="U51:U53" si="188">J51</f>
        <v>62611</v>
      </c>
      <c r="V51" s="96">
        <v>58146</v>
      </c>
      <c r="W51" s="96">
        <v>45753</v>
      </c>
      <c r="X51" s="96">
        <v>47574</v>
      </c>
      <c r="Y51" s="34">
        <f t="shared" ref="Y51:Y53" si="189">K51</f>
        <v>68960</v>
      </c>
      <c r="Z51" s="96">
        <v>61910</v>
      </c>
      <c r="AA51" s="96">
        <v>54126</v>
      </c>
      <c r="AB51" s="96">
        <v>50374</v>
      </c>
      <c r="AC51" s="34">
        <f t="shared" ref="AC51:AC55" si="190">L51</f>
        <v>69860</v>
      </c>
      <c r="AE51" s="34">
        <f t="shared" ref="AE51:AM53" si="191">R51</f>
        <v>57918</v>
      </c>
      <c r="AF51" s="34">
        <f t="shared" si="191"/>
        <v>42945</v>
      </c>
      <c r="AG51" s="34">
        <f t="shared" si="191"/>
        <v>46699</v>
      </c>
      <c r="AH51" s="34">
        <f t="shared" si="191"/>
        <v>62611</v>
      </c>
      <c r="AI51" s="34">
        <f t="shared" si="191"/>
        <v>58146</v>
      </c>
      <c r="AJ51" s="34">
        <f t="shared" si="191"/>
        <v>45753</v>
      </c>
      <c r="AK51" s="34">
        <f t="shared" si="191"/>
        <v>47574</v>
      </c>
      <c r="AL51" s="34">
        <f t="shared" si="191"/>
        <v>68960</v>
      </c>
      <c r="AM51" s="34">
        <f t="shared" si="191"/>
        <v>61910</v>
      </c>
      <c r="AN51" s="34">
        <f t="shared" ref="AN51:AN55" si="192">AA51</f>
        <v>54126</v>
      </c>
      <c r="AO51" s="34">
        <f t="shared" ref="AO51:AP55" si="193">AB51</f>
        <v>50374</v>
      </c>
      <c r="AP51" s="34">
        <f t="shared" si="193"/>
        <v>69860</v>
      </c>
      <c r="AQ51" s="12"/>
      <c r="AR51" s="87">
        <f t="shared" si="166"/>
        <v>1.3051044083526753E-2</v>
      </c>
    </row>
    <row r="52" spans="2:44" ht="12.75" customHeight="1">
      <c r="B52" s="10" t="s">
        <v>423</v>
      </c>
      <c r="C52" s="96">
        <v>8080</v>
      </c>
      <c r="D52" s="96">
        <v>7548</v>
      </c>
      <c r="E52" s="96">
        <v>7543</v>
      </c>
      <c r="F52" s="96">
        <v>5522</v>
      </c>
      <c r="G52" s="96">
        <v>6643</v>
      </c>
      <c r="H52" s="96">
        <v>7612</v>
      </c>
      <c r="I52" s="96">
        <v>7912</v>
      </c>
      <c r="J52" s="96">
        <v>8061</v>
      </c>
      <c r="K52" s="96">
        <v>8249</v>
      </c>
      <c r="L52" s="96">
        <v>9055</v>
      </c>
      <c r="N52" s="96">
        <v>7876</v>
      </c>
      <c r="O52" s="96">
        <v>7920</v>
      </c>
      <c r="P52" s="96">
        <v>7728</v>
      </c>
      <c r="Q52" s="34">
        <f t="shared" si="187"/>
        <v>7912</v>
      </c>
      <c r="R52" s="96">
        <v>7992</v>
      </c>
      <c r="S52" s="96">
        <v>8131</v>
      </c>
      <c r="T52" s="96">
        <v>8158</v>
      </c>
      <c r="U52" s="34">
        <f t="shared" si="188"/>
        <v>8061</v>
      </c>
      <c r="V52" s="96">
        <v>8264</v>
      </c>
      <c r="W52" s="96">
        <v>8012</v>
      </c>
      <c r="X52" s="96">
        <v>8053</v>
      </c>
      <c r="Y52" s="34">
        <f t="shared" si="189"/>
        <v>8249</v>
      </c>
      <c r="Z52" s="96">
        <v>8461</v>
      </c>
      <c r="AA52" s="96">
        <v>8976</v>
      </c>
      <c r="AB52" s="96">
        <v>8979</v>
      </c>
      <c r="AC52" s="34">
        <f t="shared" si="190"/>
        <v>9055</v>
      </c>
      <c r="AE52" s="34">
        <f t="shared" si="191"/>
        <v>7992</v>
      </c>
      <c r="AF52" s="34">
        <f t="shared" si="191"/>
        <v>8131</v>
      </c>
      <c r="AG52" s="34">
        <f t="shared" si="191"/>
        <v>8158</v>
      </c>
      <c r="AH52" s="34">
        <f t="shared" si="191"/>
        <v>8061</v>
      </c>
      <c r="AI52" s="34">
        <f t="shared" si="191"/>
        <v>8264</v>
      </c>
      <c r="AJ52" s="34">
        <f t="shared" si="191"/>
        <v>8012</v>
      </c>
      <c r="AK52" s="34">
        <f t="shared" si="191"/>
        <v>8053</v>
      </c>
      <c r="AL52" s="34">
        <f t="shared" si="191"/>
        <v>8249</v>
      </c>
      <c r="AM52" s="34">
        <f t="shared" si="191"/>
        <v>8461</v>
      </c>
      <c r="AN52" s="34">
        <f t="shared" si="192"/>
        <v>8976</v>
      </c>
      <c r="AO52" s="34">
        <f t="shared" si="193"/>
        <v>8979</v>
      </c>
      <c r="AP52" s="34">
        <f t="shared" si="193"/>
        <v>9055</v>
      </c>
      <c r="AQ52" s="12"/>
      <c r="AR52" s="87">
        <f t="shared" si="166"/>
        <v>9.7708813189477439E-2</v>
      </c>
    </row>
    <row r="53" spans="2:44" ht="12.75" customHeight="1">
      <c r="B53" s="10" t="s">
        <v>424</v>
      </c>
      <c r="C53" s="96">
        <v>22027</v>
      </c>
      <c r="D53" s="96">
        <v>30551</v>
      </c>
      <c r="E53" s="96">
        <v>32687</v>
      </c>
      <c r="F53" s="96">
        <v>37720</v>
      </c>
      <c r="G53" s="96">
        <v>42684</v>
      </c>
      <c r="H53" s="96">
        <v>47493</v>
      </c>
      <c r="I53" s="96">
        <v>60845</v>
      </c>
      <c r="J53" s="96">
        <v>58829</v>
      </c>
      <c r="K53" s="96">
        <v>78304</v>
      </c>
      <c r="L53" s="96">
        <v>66387</v>
      </c>
      <c r="N53" s="96">
        <v>49167</v>
      </c>
      <c r="O53" s="96">
        <v>50248</v>
      </c>
      <c r="P53" s="96">
        <v>48811</v>
      </c>
      <c r="Q53" s="34">
        <f t="shared" si="187"/>
        <v>60845</v>
      </c>
      <c r="R53" s="96">
        <v>59893</v>
      </c>
      <c r="S53" s="96">
        <v>56425</v>
      </c>
      <c r="T53" s="96">
        <v>58897</v>
      </c>
      <c r="U53" s="34">
        <f t="shared" si="188"/>
        <v>58829</v>
      </c>
      <c r="V53" s="96">
        <v>54611</v>
      </c>
      <c r="W53" s="96">
        <v>57298</v>
      </c>
      <c r="X53" s="96">
        <v>60889</v>
      </c>
      <c r="Y53" s="34">
        <f t="shared" si="189"/>
        <v>78304</v>
      </c>
      <c r="Z53" s="96">
        <v>61151</v>
      </c>
      <c r="AA53" s="96">
        <v>61849</v>
      </c>
      <c r="AB53" s="96">
        <v>62499</v>
      </c>
      <c r="AC53" s="34">
        <f t="shared" si="190"/>
        <v>66387</v>
      </c>
      <c r="AE53" s="34">
        <f t="shared" si="191"/>
        <v>59893</v>
      </c>
      <c r="AF53" s="34">
        <f t="shared" si="191"/>
        <v>56425</v>
      </c>
      <c r="AG53" s="34">
        <f t="shared" si="191"/>
        <v>58897</v>
      </c>
      <c r="AH53" s="34">
        <f t="shared" si="191"/>
        <v>58829</v>
      </c>
      <c r="AI53" s="34">
        <f t="shared" si="191"/>
        <v>54611</v>
      </c>
      <c r="AJ53" s="34">
        <f t="shared" si="191"/>
        <v>57298</v>
      </c>
      <c r="AK53" s="34">
        <f t="shared" si="191"/>
        <v>60889</v>
      </c>
      <c r="AL53" s="34">
        <f t="shared" si="191"/>
        <v>78304</v>
      </c>
      <c r="AM53" s="34">
        <f t="shared" si="191"/>
        <v>61151</v>
      </c>
      <c r="AN53" s="34">
        <f t="shared" si="192"/>
        <v>61849</v>
      </c>
      <c r="AO53" s="34">
        <f t="shared" si="193"/>
        <v>62499</v>
      </c>
      <c r="AP53" s="34">
        <f t="shared" si="193"/>
        <v>66387</v>
      </c>
      <c r="AQ53" s="12"/>
      <c r="AR53" s="87">
        <f t="shared" si="166"/>
        <v>-0.15218890478136493</v>
      </c>
    </row>
    <row r="54" spans="2:44" ht="12.75" customHeight="1">
      <c r="B54" s="10" t="s">
        <v>235</v>
      </c>
      <c r="C54" s="96">
        <v>8105</v>
      </c>
      <c r="D54" s="96">
        <v>11977</v>
      </c>
      <c r="E54" s="96">
        <v>11964</v>
      </c>
      <c r="F54" s="96">
        <v>5980</v>
      </c>
      <c r="G54" s="96">
        <v>4996</v>
      </c>
      <c r="H54" s="96">
        <v>6000</v>
      </c>
      <c r="I54" s="96">
        <v>9982</v>
      </c>
      <c r="J54" s="96">
        <v>5985</v>
      </c>
      <c r="K54" s="96">
        <v>9967</v>
      </c>
      <c r="L54" s="96">
        <v>7979</v>
      </c>
      <c r="N54" s="96">
        <v>5000</v>
      </c>
      <c r="O54" s="96">
        <v>6999</v>
      </c>
      <c r="P54" s="96">
        <v>10982</v>
      </c>
      <c r="Q54" s="34">
        <v>9982</v>
      </c>
      <c r="R54" s="96">
        <v>1743</v>
      </c>
      <c r="S54" s="96">
        <v>1996</v>
      </c>
      <c r="T54" s="96">
        <v>3993</v>
      </c>
      <c r="U54" s="34">
        <v>5985</v>
      </c>
      <c r="V54" s="96">
        <v>1998</v>
      </c>
      <c r="W54" s="96">
        <v>1997</v>
      </c>
      <c r="X54" s="96">
        <v>2994</v>
      </c>
      <c r="Y54" s="34">
        <v>9967</v>
      </c>
      <c r="Z54" s="96">
        <v>1995</v>
      </c>
      <c r="AA54" s="96">
        <v>5982</v>
      </c>
      <c r="AB54" s="96">
        <v>9923</v>
      </c>
      <c r="AC54" s="34">
        <f t="shared" si="190"/>
        <v>7979</v>
      </c>
      <c r="AE54" s="34">
        <f t="shared" ref="AE54:AM54" si="194">R54</f>
        <v>1743</v>
      </c>
      <c r="AF54" s="34">
        <f t="shared" si="194"/>
        <v>1996</v>
      </c>
      <c r="AG54" s="34">
        <f t="shared" si="194"/>
        <v>3993</v>
      </c>
      <c r="AH54" s="34">
        <f t="shared" si="194"/>
        <v>5985</v>
      </c>
      <c r="AI54" s="34">
        <f t="shared" si="194"/>
        <v>1998</v>
      </c>
      <c r="AJ54" s="34">
        <f t="shared" si="194"/>
        <v>1997</v>
      </c>
      <c r="AK54" s="34">
        <f t="shared" si="194"/>
        <v>2994</v>
      </c>
      <c r="AL54" s="34">
        <f t="shared" si="194"/>
        <v>9967</v>
      </c>
      <c r="AM54" s="34">
        <f t="shared" si="194"/>
        <v>1995</v>
      </c>
      <c r="AN54" s="34">
        <f t="shared" ref="AN54" si="195">AA54</f>
        <v>5982</v>
      </c>
      <c r="AO54" s="34">
        <f t="shared" ref="AO54:AP54" si="196">AB54</f>
        <v>9923</v>
      </c>
      <c r="AP54" s="34">
        <f t="shared" si="196"/>
        <v>7979</v>
      </c>
      <c r="AQ54" s="12"/>
      <c r="AR54" s="87">
        <f t="shared" si="166"/>
        <v>-0.19945821209992975</v>
      </c>
    </row>
    <row r="55" spans="2:44" ht="12.75" customHeight="1">
      <c r="B55" s="10" t="s">
        <v>236</v>
      </c>
      <c r="C55" s="96">
        <v>3500</v>
      </c>
      <c r="D55" s="96">
        <v>6496</v>
      </c>
      <c r="E55" s="96">
        <v>8784</v>
      </c>
      <c r="F55" s="96">
        <v>10260</v>
      </c>
      <c r="G55" s="96">
        <v>8773</v>
      </c>
      <c r="H55" s="96">
        <v>9613</v>
      </c>
      <c r="I55" s="96">
        <v>11128</v>
      </c>
      <c r="J55" s="96">
        <v>9822</v>
      </c>
      <c r="K55" s="96">
        <v>10912</v>
      </c>
      <c r="L55" s="96">
        <v>12350</v>
      </c>
      <c r="N55" s="96">
        <v>11169</v>
      </c>
      <c r="O55" s="96">
        <v>9659</v>
      </c>
      <c r="P55" s="96">
        <v>14009</v>
      </c>
      <c r="Q55" s="34">
        <v>11128</v>
      </c>
      <c r="R55" s="96">
        <v>9740</v>
      </c>
      <c r="S55" s="96">
        <v>10578</v>
      </c>
      <c r="T55" s="96">
        <v>7216</v>
      </c>
      <c r="U55" s="34">
        <v>9822</v>
      </c>
      <c r="V55" s="96">
        <v>10954</v>
      </c>
      <c r="W55" s="96">
        <v>10762</v>
      </c>
      <c r="X55" s="96">
        <v>12114</v>
      </c>
      <c r="Y55" s="34">
        <v>10912</v>
      </c>
      <c r="Z55" s="96">
        <v>10848</v>
      </c>
      <c r="AA55" s="96">
        <v>13638</v>
      </c>
      <c r="AB55" s="96">
        <v>9345</v>
      </c>
      <c r="AC55" s="34">
        <f t="shared" si="190"/>
        <v>12350</v>
      </c>
      <c r="AE55" s="34">
        <f t="shared" ref="AE55:AM55" si="197">R55</f>
        <v>9740</v>
      </c>
      <c r="AF55" s="34">
        <f t="shared" si="197"/>
        <v>10578</v>
      </c>
      <c r="AG55" s="34">
        <f t="shared" si="197"/>
        <v>7216</v>
      </c>
      <c r="AH55" s="34">
        <f t="shared" si="197"/>
        <v>9822</v>
      </c>
      <c r="AI55" s="34">
        <f t="shared" si="197"/>
        <v>10954</v>
      </c>
      <c r="AJ55" s="34">
        <f t="shared" si="197"/>
        <v>10762</v>
      </c>
      <c r="AK55" s="34">
        <f t="shared" si="197"/>
        <v>12114</v>
      </c>
      <c r="AL55" s="34">
        <f t="shared" si="197"/>
        <v>10912</v>
      </c>
      <c r="AM55" s="34">
        <f t="shared" si="197"/>
        <v>10848</v>
      </c>
      <c r="AN55" s="34">
        <f t="shared" si="192"/>
        <v>13638</v>
      </c>
      <c r="AO55" s="34">
        <f t="shared" si="193"/>
        <v>9345</v>
      </c>
      <c r="AP55" s="34">
        <f t="shared" si="193"/>
        <v>12350</v>
      </c>
      <c r="AQ55" s="12"/>
      <c r="AR55" s="87">
        <f t="shared" si="166"/>
        <v>0.13178152492668627</v>
      </c>
    </row>
    <row r="56" spans="2:44" ht="12.75" customHeight="1">
      <c r="B56" s="27" t="s">
        <v>25</v>
      </c>
      <c r="C56" s="28">
        <f t="shared" ref="C56:F56" si="198">SUM(C51:C55)</f>
        <v>79006</v>
      </c>
      <c r="D56" s="28">
        <f t="shared" si="198"/>
        <v>100814</v>
      </c>
      <c r="E56" s="28">
        <f t="shared" si="198"/>
        <v>116866</v>
      </c>
      <c r="F56" s="28">
        <f t="shared" si="198"/>
        <v>105718</v>
      </c>
      <c r="G56" s="28">
        <f t="shared" ref="G56:L56" si="199">SUM(G51:G55)</f>
        <v>105392</v>
      </c>
      <c r="H56" s="28">
        <f t="shared" si="199"/>
        <v>125481</v>
      </c>
      <c r="I56" s="28">
        <f t="shared" si="199"/>
        <v>153982</v>
      </c>
      <c r="J56" s="28">
        <f t="shared" si="199"/>
        <v>145308</v>
      </c>
      <c r="K56" s="28">
        <f t="shared" si="199"/>
        <v>176392</v>
      </c>
      <c r="L56" s="28">
        <f t="shared" si="199"/>
        <v>165631</v>
      </c>
      <c r="N56" s="28">
        <f t="shared" ref="N56:AB56" si="200">SUM(N51:N55)</f>
        <v>147574</v>
      </c>
      <c r="O56" s="28">
        <f t="shared" si="200"/>
        <v>127508</v>
      </c>
      <c r="P56" s="28">
        <f t="shared" si="200"/>
        <v>129873</v>
      </c>
      <c r="Q56" s="28">
        <f t="shared" si="200"/>
        <v>153982</v>
      </c>
      <c r="R56" s="28">
        <f t="shared" si="200"/>
        <v>137286</v>
      </c>
      <c r="S56" s="28">
        <f t="shared" si="200"/>
        <v>120075</v>
      </c>
      <c r="T56" s="28">
        <f t="shared" si="200"/>
        <v>124963</v>
      </c>
      <c r="U56" s="28">
        <f t="shared" si="200"/>
        <v>145308</v>
      </c>
      <c r="V56" s="28">
        <f t="shared" si="200"/>
        <v>133973</v>
      </c>
      <c r="W56" s="28">
        <f t="shared" si="200"/>
        <v>123822</v>
      </c>
      <c r="X56" s="28">
        <f t="shared" si="200"/>
        <v>131624</v>
      </c>
      <c r="Y56" s="28">
        <f t="shared" si="200"/>
        <v>176392</v>
      </c>
      <c r="Z56" s="28">
        <f t="shared" si="200"/>
        <v>144365</v>
      </c>
      <c r="AA56" s="28">
        <f t="shared" si="200"/>
        <v>144571</v>
      </c>
      <c r="AB56" s="28">
        <f t="shared" si="200"/>
        <v>141120</v>
      </c>
      <c r="AC56" s="28">
        <f t="shared" ref="AC56" si="201">SUM(AC51:AC55)</f>
        <v>165631</v>
      </c>
      <c r="AD56" s="54"/>
      <c r="AE56" s="28">
        <f t="shared" ref="AE56:AO56" si="202">SUM(AE51:AE55)</f>
        <v>137286</v>
      </c>
      <c r="AF56" s="28">
        <f t="shared" si="202"/>
        <v>120075</v>
      </c>
      <c r="AG56" s="28">
        <f t="shared" si="202"/>
        <v>124963</v>
      </c>
      <c r="AH56" s="28">
        <f t="shared" si="202"/>
        <v>145308</v>
      </c>
      <c r="AI56" s="28">
        <f t="shared" si="202"/>
        <v>133973</v>
      </c>
      <c r="AJ56" s="28">
        <f t="shared" si="202"/>
        <v>123822</v>
      </c>
      <c r="AK56" s="28">
        <f t="shared" si="202"/>
        <v>131624</v>
      </c>
      <c r="AL56" s="28">
        <f t="shared" si="202"/>
        <v>176392</v>
      </c>
      <c r="AM56" s="28">
        <f t="shared" si="202"/>
        <v>144365</v>
      </c>
      <c r="AN56" s="28">
        <f t="shared" si="202"/>
        <v>144571</v>
      </c>
      <c r="AO56" s="28">
        <f t="shared" si="202"/>
        <v>141120</v>
      </c>
      <c r="AP56" s="28">
        <f t="shared" ref="AP56" si="203">SUM(AP51:AP55)</f>
        <v>165631</v>
      </c>
      <c r="AQ56" s="45"/>
      <c r="AR56" s="88">
        <f t="shared" si="166"/>
        <v>-6.1006168080184997E-2</v>
      </c>
    </row>
    <row r="57" spans="2:44" ht="5.0999999999999996" customHeight="1">
      <c r="B57" s="27"/>
      <c r="C57" s="56"/>
      <c r="D57" s="56"/>
      <c r="E57" s="56"/>
      <c r="F57" s="56"/>
      <c r="G57" s="56"/>
      <c r="H57" s="56"/>
      <c r="I57" s="56"/>
      <c r="J57" s="44"/>
      <c r="K57" s="44"/>
      <c r="L57" s="44"/>
      <c r="N57" s="44"/>
      <c r="O57" s="44"/>
      <c r="P57" s="44"/>
      <c r="Q57" s="44"/>
      <c r="R57" s="44"/>
      <c r="S57" s="44"/>
      <c r="T57" s="44"/>
      <c r="U57" s="44"/>
      <c r="V57" s="44"/>
      <c r="W57" s="44"/>
      <c r="AE57" s="45"/>
      <c r="AF57" s="45"/>
      <c r="AG57" s="45"/>
      <c r="AH57" s="45"/>
      <c r="AI57" s="45"/>
      <c r="AJ57" s="45"/>
      <c r="AK57" s="45"/>
      <c r="AL57" s="45"/>
      <c r="AM57" s="45"/>
      <c r="AN57" s="45"/>
      <c r="AO57" s="45"/>
      <c r="AP57" s="45"/>
      <c r="AQ57" s="45"/>
      <c r="AR57" s="42"/>
    </row>
    <row r="58" spans="2:44" ht="12.75" customHeight="1">
      <c r="B58" s="10" t="s">
        <v>194</v>
      </c>
      <c r="C58" s="96">
        <v>75427</v>
      </c>
      <c r="D58" s="96">
        <v>97207</v>
      </c>
      <c r="E58" s="96">
        <v>93735</v>
      </c>
      <c r="F58" s="96">
        <v>91807</v>
      </c>
      <c r="G58" s="96">
        <v>98667</v>
      </c>
      <c r="H58" s="96">
        <v>109106</v>
      </c>
      <c r="I58" s="96">
        <v>98959</v>
      </c>
      <c r="J58" s="96">
        <v>95281</v>
      </c>
      <c r="K58" s="96">
        <v>85750</v>
      </c>
      <c r="L58" s="96">
        <v>78328</v>
      </c>
      <c r="M58" s="57"/>
      <c r="N58" s="96">
        <v>106629</v>
      </c>
      <c r="O58" s="96">
        <v>103323</v>
      </c>
      <c r="P58" s="96">
        <v>94700</v>
      </c>
      <c r="Q58" s="34">
        <f t="shared" ref="Q58:Q59" si="204">I58</f>
        <v>98959</v>
      </c>
      <c r="R58" s="96">
        <v>99627</v>
      </c>
      <c r="S58" s="96">
        <v>97041</v>
      </c>
      <c r="T58" s="96">
        <v>98071</v>
      </c>
      <c r="U58" s="34">
        <f t="shared" ref="U58:U59" si="205">J58</f>
        <v>95281</v>
      </c>
      <c r="V58" s="96">
        <v>95088</v>
      </c>
      <c r="W58" s="96">
        <v>91831</v>
      </c>
      <c r="X58" s="96">
        <v>86196</v>
      </c>
      <c r="Y58" s="34">
        <f t="shared" ref="Y58:Y59" si="206">K58</f>
        <v>85750</v>
      </c>
      <c r="Z58" s="96">
        <v>83956</v>
      </c>
      <c r="AA58" s="96">
        <v>78566</v>
      </c>
      <c r="AB58" s="96">
        <v>82430</v>
      </c>
      <c r="AC58" s="34">
        <f t="shared" ref="AC58:AC59" si="207">L58</f>
        <v>78328</v>
      </c>
      <c r="AE58" s="34">
        <f t="shared" ref="AE58:AM59" si="208">R58</f>
        <v>99627</v>
      </c>
      <c r="AF58" s="34">
        <f t="shared" si="208"/>
        <v>97041</v>
      </c>
      <c r="AG58" s="34">
        <f t="shared" si="208"/>
        <v>98071</v>
      </c>
      <c r="AH58" s="34">
        <f t="shared" si="208"/>
        <v>95281</v>
      </c>
      <c r="AI58" s="34">
        <f t="shared" si="208"/>
        <v>95088</v>
      </c>
      <c r="AJ58" s="34">
        <f t="shared" si="208"/>
        <v>91831</v>
      </c>
      <c r="AK58" s="34">
        <f t="shared" si="208"/>
        <v>86196</v>
      </c>
      <c r="AL58" s="34">
        <f t="shared" si="208"/>
        <v>85750</v>
      </c>
      <c r="AM58" s="34">
        <f t="shared" si="208"/>
        <v>83956</v>
      </c>
      <c r="AN58" s="34">
        <f t="shared" ref="AN58:AN59" si="209">AA58</f>
        <v>78566</v>
      </c>
      <c r="AO58" s="34">
        <f t="shared" ref="AO58:AP59" si="210">AB58</f>
        <v>82430</v>
      </c>
      <c r="AP58" s="34">
        <f t="shared" si="210"/>
        <v>78328</v>
      </c>
      <c r="AQ58" s="45"/>
      <c r="AR58" s="87">
        <f t="shared" si="166"/>
        <v>-8.6553935860058329E-2</v>
      </c>
    </row>
    <row r="59" spans="2:44" ht="12.75" customHeight="1">
      <c r="B59" s="10" t="s">
        <v>193</v>
      </c>
      <c r="C59" s="96">
        <f>36074+2930</f>
        <v>39004</v>
      </c>
      <c r="D59" s="96">
        <f>40415+2836</f>
        <v>43251</v>
      </c>
      <c r="E59" s="96">
        <f>45180+2797</f>
        <v>47977</v>
      </c>
      <c r="F59" s="96">
        <v>50503</v>
      </c>
      <c r="G59" s="96">
        <v>54490</v>
      </c>
      <c r="H59" s="96">
        <v>53325</v>
      </c>
      <c r="I59" s="96">
        <v>49142</v>
      </c>
      <c r="J59" s="96">
        <v>49848</v>
      </c>
      <c r="K59" s="96">
        <v>45888</v>
      </c>
      <c r="L59" s="96">
        <v>41549</v>
      </c>
      <c r="M59" s="57"/>
      <c r="N59" s="96">
        <v>55056</v>
      </c>
      <c r="O59" s="96">
        <v>52432</v>
      </c>
      <c r="P59" s="96">
        <v>53629</v>
      </c>
      <c r="Q59" s="34">
        <f t="shared" si="204"/>
        <v>49142</v>
      </c>
      <c r="R59" s="96">
        <v>53107</v>
      </c>
      <c r="S59" s="96">
        <v>52886</v>
      </c>
      <c r="T59" s="96">
        <v>51730</v>
      </c>
      <c r="U59" s="34">
        <f t="shared" si="205"/>
        <v>49848</v>
      </c>
      <c r="V59" s="96">
        <v>50353</v>
      </c>
      <c r="W59" s="96">
        <v>47564</v>
      </c>
      <c r="X59" s="96">
        <v>47084</v>
      </c>
      <c r="Y59" s="34">
        <f t="shared" si="206"/>
        <v>45888</v>
      </c>
      <c r="Z59" s="96">
        <v>49006</v>
      </c>
      <c r="AA59" s="96">
        <v>41300</v>
      </c>
      <c r="AB59" s="96">
        <v>42115</v>
      </c>
      <c r="AC59" s="34">
        <f t="shared" si="207"/>
        <v>41549</v>
      </c>
      <c r="AE59" s="34">
        <f t="shared" si="208"/>
        <v>53107</v>
      </c>
      <c r="AF59" s="34">
        <f t="shared" si="208"/>
        <v>52886</v>
      </c>
      <c r="AG59" s="34">
        <f t="shared" si="208"/>
        <v>51730</v>
      </c>
      <c r="AH59" s="34">
        <f t="shared" si="208"/>
        <v>49848</v>
      </c>
      <c r="AI59" s="34">
        <f t="shared" si="208"/>
        <v>50353</v>
      </c>
      <c r="AJ59" s="34">
        <f t="shared" si="208"/>
        <v>47564</v>
      </c>
      <c r="AK59" s="34">
        <f t="shared" si="208"/>
        <v>47084</v>
      </c>
      <c r="AL59" s="34">
        <f t="shared" si="208"/>
        <v>45888</v>
      </c>
      <c r="AM59" s="34">
        <f t="shared" si="208"/>
        <v>49006</v>
      </c>
      <c r="AN59" s="34">
        <f t="shared" si="209"/>
        <v>41300</v>
      </c>
      <c r="AO59" s="34">
        <f t="shared" si="210"/>
        <v>42115</v>
      </c>
      <c r="AP59" s="34">
        <f t="shared" si="210"/>
        <v>41549</v>
      </c>
      <c r="AQ59" s="12"/>
      <c r="AR59" s="87">
        <f t="shared" si="166"/>
        <v>-9.4556311018131112E-2</v>
      </c>
    </row>
    <row r="60" spans="2:44" ht="12.75" customHeight="1">
      <c r="B60" s="14" t="s">
        <v>23</v>
      </c>
      <c r="C60" s="15">
        <f t="shared" ref="C60:L60" si="211">SUM(C58:C59)+C56</f>
        <v>193437</v>
      </c>
      <c r="D60" s="15">
        <f t="shared" si="211"/>
        <v>241272</v>
      </c>
      <c r="E60" s="15">
        <f t="shared" si="211"/>
        <v>258578</v>
      </c>
      <c r="F60" s="15">
        <f t="shared" si="211"/>
        <v>248028</v>
      </c>
      <c r="G60" s="15">
        <f t="shared" si="211"/>
        <v>258549</v>
      </c>
      <c r="H60" s="15">
        <f t="shared" si="211"/>
        <v>287912</v>
      </c>
      <c r="I60" s="15">
        <f t="shared" si="211"/>
        <v>302083</v>
      </c>
      <c r="J60" s="15">
        <f t="shared" si="211"/>
        <v>290437</v>
      </c>
      <c r="K60" s="15">
        <f t="shared" si="211"/>
        <v>308030</v>
      </c>
      <c r="L60" s="15">
        <f t="shared" si="211"/>
        <v>285508</v>
      </c>
      <c r="N60" s="15">
        <f t="shared" ref="N60:AC60" si="212">SUM(N58:N59)+N56</f>
        <v>309259</v>
      </c>
      <c r="O60" s="15">
        <f t="shared" si="212"/>
        <v>283263</v>
      </c>
      <c r="P60" s="15">
        <f t="shared" si="212"/>
        <v>278202</v>
      </c>
      <c r="Q60" s="15">
        <f t="shared" si="212"/>
        <v>302083</v>
      </c>
      <c r="R60" s="15">
        <f t="shared" si="212"/>
        <v>290020</v>
      </c>
      <c r="S60" s="15">
        <f t="shared" si="212"/>
        <v>270002</v>
      </c>
      <c r="T60" s="15">
        <f t="shared" si="212"/>
        <v>274764</v>
      </c>
      <c r="U60" s="15">
        <f t="shared" si="212"/>
        <v>290437</v>
      </c>
      <c r="V60" s="15">
        <f t="shared" si="212"/>
        <v>279414</v>
      </c>
      <c r="W60" s="15">
        <f t="shared" si="212"/>
        <v>263217</v>
      </c>
      <c r="X60" s="15">
        <f t="shared" si="212"/>
        <v>264904</v>
      </c>
      <c r="Y60" s="15">
        <f t="shared" si="212"/>
        <v>308030</v>
      </c>
      <c r="Z60" s="15">
        <f t="shared" si="212"/>
        <v>277327</v>
      </c>
      <c r="AA60" s="15">
        <f t="shared" si="212"/>
        <v>264437</v>
      </c>
      <c r="AB60" s="15">
        <f t="shared" si="212"/>
        <v>265665</v>
      </c>
      <c r="AC60" s="15">
        <f t="shared" si="212"/>
        <v>285508</v>
      </c>
      <c r="AE60" s="15">
        <f t="shared" ref="AE60:AP60" si="213">SUM(AE58:AE59)+AE56</f>
        <v>290020</v>
      </c>
      <c r="AF60" s="15">
        <f t="shared" si="213"/>
        <v>270002</v>
      </c>
      <c r="AG60" s="15">
        <f t="shared" si="213"/>
        <v>274764</v>
      </c>
      <c r="AH60" s="15">
        <f t="shared" si="213"/>
        <v>290437</v>
      </c>
      <c r="AI60" s="15">
        <f t="shared" si="213"/>
        <v>279414</v>
      </c>
      <c r="AJ60" s="15">
        <f t="shared" si="213"/>
        <v>263217</v>
      </c>
      <c r="AK60" s="15">
        <f t="shared" si="213"/>
        <v>264904</v>
      </c>
      <c r="AL60" s="15">
        <f t="shared" si="213"/>
        <v>308030</v>
      </c>
      <c r="AM60" s="15">
        <f t="shared" si="213"/>
        <v>277327</v>
      </c>
      <c r="AN60" s="15">
        <f t="shared" si="213"/>
        <v>264437</v>
      </c>
      <c r="AO60" s="15">
        <f t="shared" si="213"/>
        <v>265665</v>
      </c>
      <c r="AP60" s="15">
        <f t="shared" si="213"/>
        <v>285508</v>
      </c>
      <c r="AQ60" s="45"/>
      <c r="AR60" s="88">
        <f t="shared" si="166"/>
        <v>-7.3116254910235989E-2</v>
      </c>
    </row>
    <row r="61" spans="2:44" ht="5.0999999999999996" customHeight="1">
      <c r="B61" s="27"/>
      <c r="C61" s="55"/>
      <c r="D61" s="55"/>
      <c r="E61" s="55"/>
      <c r="F61" s="55"/>
      <c r="G61" s="55"/>
      <c r="H61" s="55"/>
      <c r="I61" s="55"/>
      <c r="J61" s="44"/>
      <c r="K61" s="44"/>
      <c r="L61" s="44"/>
      <c r="N61" s="44"/>
      <c r="O61" s="44"/>
      <c r="P61" s="44"/>
      <c r="Q61" s="44"/>
      <c r="R61" s="44"/>
      <c r="S61" s="44"/>
      <c r="T61" s="44"/>
      <c r="U61" s="44"/>
      <c r="V61" s="44"/>
      <c r="W61" s="44"/>
      <c r="AE61" s="45"/>
      <c r="AF61" s="45"/>
      <c r="AG61" s="45"/>
      <c r="AH61" s="45"/>
      <c r="AI61" s="45"/>
      <c r="AJ61" s="45"/>
      <c r="AK61" s="45"/>
      <c r="AL61" s="45"/>
      <c r="AM61" s="45"/>
      <c r="AN61" s="45"/>
      <c r="AO61" s="45"/>
      <c r="AP61" s="45"/>
      <c r="AQ61" s="45"/>
      <c r="AR61" s="42"/>
    </row>
    <row r="62" spans="2:44" ht="12.75" customHeight="1">
      <c r="B62" s="10" t="s">
        <v>94</v>
      </c>
      <c r="C62" s="96">
        <v>31251</v>
      </c>
      <c r="D62" s="96">
        <v>35867</v>
      </c>
      <c r="E62" s="96">
        <v>40201</v>
      </c>
      <c r="F62" s="96">
        <v>45174</v>
      </c>
      <c r="G62" s="96">
        <v>50779</v>
      </c>
      <c r="H62" s="96">
        <v>57365</v>
      </c>
      <c r="I62" s="96">
        <v>64849</v>
      </c>
      <c r="J62" s="96">
        <v>73812</v>
      </c>
      <c r="K62" s="96">
        <v>83276</v>
      </c>
      <c r="L62" s="96">
        <v>93568</v>
      </c>
      <c r="M62" s="34"/>
      <c r="N62" s="96">
        <v>58424</v>
      </c>
      <c r="O62" s="96">
        <v>61181</v>
      </c>
      <c r="P62" s="96">
        <v>62115</v>
      </c>
      <c r="Q62" s="34">
        <f t="shared" ref="Q62:Q64" si="214">I62</f>
        <v>64849</v>
      </c>
      <c r="R62" s="96">
        <v>66399</v>
      </c>
      <c r="S62" s="96">
        <v>69568</v>
      </c>
      <c r="T62" s="96">
        <v>70667</v>
      </c>
      <c r="U62" s="34">
        <f t="shared" ref="U62:U64" si="215">J62</f>
        <v>73812</v>
      </c>
      <c r="V62" s="96">
        <v>75236</v>
      </c>
      <c r="W62" s="96">
        <v>75236</v>
      </c>
      <c r="X62" s="96">
        <v>79850</v>
      </c>
      <c r="Y62" s="34">
        <f t="shared" ref="Y62:Y64" si="216">K62</f>
        <v>83276</v>
      </c>
      <c r="Z62" s="96">
        <v>84768</v>
      </c>
      <c r="AA62" s="96">
        <v>88711</v>
      </c>
      <c r="AB62" s="96">
        <v>89806</v>
      </c>
      <c r="AC62" s="34">
        <f t="shared" ref="AC62:AC64" si="217">L62</f>
        <v>93568</v>
      </c>
      <c r="AE62" s="34">
        <f t="shared" ref="AE62:AM64" si="218">R62</f>
        <v>66399</v>
      </c>
      <c r="AF62" s="34">
        <f t="shared" si="218"/>
        <v>69568</v>
      </c>
      <c r="AG62" s="34">
        <f t="shared" si="218"/>
        <v>70667</v>
      </c>
      <c r="AH62" s="34">
        <f t="shared" si="218"/>
        <v>73812</v>
      </c>
      <c r="AI62" s="34">
        <f t="shared" si="218"/>
        <v>75236</v>
      </c>
      <c r="AJ62" s="34">
        <f t="shared" si="218"/>
        <v>75236</v>
      </c>
      <c r="AK62" s="34">
        <f t="shared" si="218"/>
        <v>79850</v>
      </c>
      <c r="AL62" s="34">
        <f t="shared" si="218"/>
        <v>83276</v>
      </c>
      <c r="AM62" s="34">
        <f t="shared" si="218"/>
        <v>84768</v>
      </c>
      <c r="AN62" s="34">
        <f t="shared" ref="AN62:AN64" si="219">AA62</f>
        <v>88711</v>
      </c>
      <c r="AO62" s="34">
        <f t="shared" ref="AO62:AP64" si="220">AB62</f>
        <v>89806</v>
      </c>
      <c r="AP62" s="34">
        <f t="shared" si="220"/>
        <v>93568</v>
      </c>
      <c r="AQ62" s="12"/>
      <c r="AR62" s="87">
        <f t="shared" si="166"/>
        <v>0.12358902925212556</v>
      </c>
    </row>
    <row r="63" spans="2:44" ht="12.75" customHeight="1">
      <c r="B63" s="10" t="s">
        <v>195</v>
      </c>
      <c r="C63" s="96">
        <v>96364</v>
      </c>
      <c r="D63" s="96">
        <v>98330</v>
      </c>
      <c r="E63" s="96">
        <v>70400</v>
      </c>
      <c r="F63" s="96">
        <v>45898</v>
      </c>
      <c r="G63" s="96">
        <v>14966</v>
      </c>
      <c r="H63" s="96">
        <v>5562</v>
      </c>
      <c r="I63" s="96">
        <v>-3068</v>
      </c>
      <c r="J63" s="96">
        <v>-214</v>
      </c>
      <c r="K63" s="96">
        <v>-19154</v>
      </c>
      <c r="L63" s="96">
        <v>-14264</v>
      </c>
      <c r="M63" s="34"/>
      <c r="N63" s="96">
        <v>6397</v>
      </c>
      <c r="O63" s="96">
        <v>4674</v>
      </c>
      <c r="P63" s="96">
        <v>-2749</v>
      </c>
      <c r="Q63" s="34">
        <f t="shared" si="214"/>
        <v>-3068</v>
      </c>
      <c r="R63" s="96">
        <v>-4798</v>
      </c>
      <c r="S63" s="96">
        <v>-3702</v>
      </c>
      <c r="T63" s="96">
        <v>-6630</v>
      </c>
      <c r="U63" s="34">
        <f t="shared" si="215"/>
        <v>-214</v>
      </c>
      <c r="V63" s="96">
        <v>204</v>
      </c>
      <c r="W63" s="96">
        <v>-120</v>
      </c>
      <c r="X63" s="96">
        <v>-12764</v>
      </c>
      <c r="Y63" s="34">
        <f t="shared" si="216"/>
        <v>-19154</v>
      </c>
      <c r="Z63" s="96">
        <v>-11221</v>
      </c>
      <c r="AA63" s="96">
        <v>-15552</v>
      </c>
      <c r="AB63" s="96">
        <v>-17613</v>
      </c>
      <c r="AC63" s="34">
        <f t="shared" si="217"/>
        <v>-14264</v>
      </c>
      <c r="AE63" s="34">
        <f t="shared" si="218"/>
        <v>-4798</v>
      </c>
      <c r="AF63" s="34">
        <f t="shared" si="218"/>
        <v>-3702</v>
      </c>
      <c r="AG63" s="34">
        <f t="shared" si="218"/>
        <v>-6630</v>
      </c>
      <c r="AH63" s="34">
        <f t="shared" si="218"/>
        <v>-214</v>
      </c>
      <c r="AI63" s="34">
        <f t="shared" si="218"/>
        <v>204</v>
      </c>
      <c r="AJ63" s="34">
        <f t="shared" si="218"/>
        <v>-120</v>
      </c>
      <c r="AK63" s="34">
        <f t="shared" si="218"/>
        <v>-12764</v>
      </c>
      <c r="AL63" s="34">
        <f t="shared" si="218"/>
        <v>-19154</v>
      </c>
      <c r="AM63" s="34">
        <f t="shared" si="218"/>
        <v>-11221</v>
      </c>
      <c r="AN63" s="34">
        <f t="shared" si="219"/>
        <v>-15552</v>
      </c>
      <c r="AO63" s="34">
        <f t="shared" si="220"/>
        <v>-17613</v>
      </c>
      <c r="AP63" s="34">
        <f t="shared" si="220"/>
        <v>-14264</v>
      </c>
      <c r="AQ63" s="12"/>
      <c r="AR63" s="87">
        <f t="shared" si="166"/>
        <v>-0.2552991542236609</v>
      </c>
    </row>
    <row r="64" spans="2:44" ht="12.75" customHeight="1">
      <c r="B64" s="10" t="s">
        <v>196</v>
      </c>
      <c r="C64" s="96">
        <v>634</v>
      </c>
      <c r="D64" s="96">
        <v>-150</v>
      </c>
      <c r="E64" s="96">
        <v>-3454</v>
      </c>
      <c r="F64" s="96">
        <v>-584</v>
      </c>
      <c r="G64" s="96">
        <v>-406</v>
      </c>
      <c r="H64" s="96">
        <v>163</v>
      </c>
      <c r="I64" s="96">
        <v>-11109</v>
      </c>
      <c r="J64" s="96">
        <v>-11452</v>
      </c>
      <c r="K64" s="96">
        <v>-7172</v>
      </c>
      <c r="L64" s="96">
        <v>-5571</v>
      </c>
      <c r="M64" s="34"/>
      <c r="N64" s="96">
        <v>-927</v>
      </c>
      <c r="O64" s="96">
        <v>-6494</v>
      </c>
      <c r="P64" s="96">
        <v>-9297</v>
      </c>
      <c r="Q64" s="34">
        <f t="shared" si="214"/>
        <v>-11109</v>
      </c>
      <c r="R64" s="96">
        <v>-12912</v>
      </c>
      <c r="S64" s="96">
        <v>-11746</v>
      </c>
      <c r="T64" s="96">
        <v>-11801</v>
      </c>
      <c r="U64" s="34">
        <f t="shared" si="215"/>
        <v>-11452</v>
      </c>
      <c r="V64" s="96">
        <v>-9378</v>
      </c>
      <c r="W64" s="96">
        <v>-8960</v>
      </c>
      <c r="X64" s="96">
        <v>-8416</v>
      </c>
      <c r="Y64" s="34">
        <f t="shared" si="216"/>
        <v>-7172</v>
      </c>
      <c r="Z64" s="96">
        <v>-6789</v>
      </c>
      <c r="AA64" s="96">
        <v>-6363</v>
      </c>
      <c r="AB64" s="96">
        <v>-6363</v>
      </c>
      <c r="AC64" s="34">
        <f t="shared" si="217"/>
        <v>-5571</v>
      </c>
      <c r="AE64" s="34">
        <f t="shared" si="218"/>
        <v>-12912</v>
      </c>
      <c r="AF64" s="34">
        <f t="shared" si="218"/>
        <v>-11746</v>
      </c>
      <c r="AG64" s="34">
        <f t="shared" si="218"/>
        <v>-11801</v>
      </c>
      <c r="AH64" s="34">
        <f t="shared" si="218"/>
        <v>-11452</v>
      </c>
      <c r="AI64" s="34">
        <f t="shared" si="218"/>
        <v>-9378</v>
      </c>
      <c r="AJ64" s="34">
        <f t="shared" si="218"/>
        <v>-8960</v>
      </c>
      <c r="AK64" s="34">
        <f t="shared" si="218"/>
        <v>-8416</v>
      </c>
      <c r="AL64" s="34">
        <f t="shared" si="218"/>
        <v>-7172</v>
      </c>
      <c r="AM64" s="34">
        <f t="shared" si="218"/>
        <v>-6789</v>
      </c>
      <c r="AN64" s="34">
        <f t="shared" si="219"/>
        <v>-6363</v>
      </c>
      <c r="AO64" s="34">
        <f t="shared" si="220"/>
        <v>-6363</v>
      </c>
      <c r="AP64" s="34">
        <f t="shared" si="220"/>
        <v>-5571</v>
      </c>
      <c r="AQ64" s="12"/>
      <c r="AR64" s="87">
        <f t="shared" si="166"/>
        <v>-0.22322922476296714</v>
      </c>
    </row>
    <row r="65" spans="1:44" ht="12.75" customHeight="1">
      <c r="B65" s="14" t="s">
        <v>22</v>
      </c>
      <c r="C65" s="15">
        <f t="shared" ref="C65:K65" si="221">SUM(C62:C64)</f>
        <v>128249</v>
      </c>
      <c r="D65" s="15">
        <f t="shared" si="221"/>
        <v>134047</v>
      </c>
      <c r="E65" s="15">
        <f t="shared" si="221"/>
        <v>107147</v>
      </c>
      <c r="F65" s="15">
        <f t="shared" si="221"/>
        <v>90488</v>
      </c>
      <c r="G65" s="15">
        <f t="shared" si="221"/>
        <v>65339</v>
      </c>
      <c r="H65" s="15">
        <f t="shared" si="221"/>
        <v>63090</v>
      </c>
      <c r="I65" s="15">
        <f t="shared" si="221"/>
        <v>50672</v>
      </c>
      <c r="J65" s="15">
        <f t="shared" si="221"/>
        <v>62146</v>
      </c>
      <c r="K65" s="15">
        <f t="shared" si="221"/>
        <v>56950</v>
      </c>
      <c r="L65" s="15">
        <f t="shared" ref="L65" si="222">SUM(L62:L64)</f>
        <v>73733</v>
      </c>
      <c r="M65" s="58"/>
      <c r="N65" s="15">
        <f t="shared" ref="N65:AB65" si="223">SUM(N62:N64)</f>
        <v>63894</v>
      </c>
      <c r="O65" s="15">
        <f t="shared" si="223"/>
        <v>59361</v>
      </c>
      <c r="P65" s="15">
        <f t="shared" si="223"/>
        <v>50069</v>
      </c>
      <c r="Q65" s="15">
        <f t="shared" si="223"/>
        <v>50672</v>
      </c>
      <c r="R65" s="15">
        <f t="shared" si="223"/>
        <v>48689</v>
      </c>
      <c r="S65" s="15">
        <f t="shared" si="223"/>
        <v>54120</v>
      </c>
      <c r="T65" s="15">
        <f t="shared" si="223"/>
        <v>52236</v>
      </c>
      <c r="U65" s="15">
        <f t="shared" si="223"/>
        <v>62146</v>
      </c>
      <c r="V65" s="15">
        <f t="shared" si="223"/>
        <v>66062</v>
      </c>
      <c r="W65" s="15">
        <f t="shared" si="223"/>
        <v>66156</v>
      </c>
      <c r="X65" s="15">
        <f t="shared" si="223"/>
        <v>58670</v>
      </c>
      <c r="Y65" s="15">
        <f t="shared" si="223"/>
        <v>56950</v>
      </c>
      <c r="Z65" s="36">
        <f t="shared" si="223"/>
        <v>66758</v>
      </c>
      <c r="AA65" s="36">
        <f t="shared" si="223"/>
        <v>66796</v>
      </c>
      <c r="AB65" s="36">
        <f t="shared" si="223"/>
        <v>65830</v>
      </c>
      <c r="AC65" s="36">
        <f t="shared" ref="AC65" si="224">SUM(AC62:AC64)</f>
        <v>73733</v>
      </c>
      <c r="AE65" s="15">
        <f t="shared" ref="AE65:AO65" si="225">SUM(AE62:AE64)</f>
        <v>48689</v>
      </c>
      <c r="AF65" s="15">
        <f t="shared" si="225"/>
        <v>54120</v>
      </c>
      <c r="AG65" s="15">
        <f t="shared" si="225"/>
        <v>52236</v>
      </c>
      <c r="AH65" s="15">
        <f t="shared" si="225"/>
        <v>62146</v>
      </c>
      <c r="AI65" s="15">
        <f t="shared" si="225"/>
        <v>66062</v>
      </c>
      <c r="AJ65" s="15">
        <f t="shared" si="225"/>
        <v>66156</v>
      </c>
      <c r="AK65" s="15">
        <f t="shared" si="225"/>
        <v>58670</v>
      </c>
      <c r="AL65" s="15">
        <f t="shared" si="225"/>
        <v>56950</v>
      </c>
      <c r="AM65" s="15">
        <f t="shared" si="225"/>
        <v>66758</v>
      </c>
      <c r="AN65" s="15">
        <f t="shared" si="225"/>
        <v>66796</v>
      </c>
      <c r="AO65" s="15">
        <f t="shared" si="225"/>
        <v>65830</v>
      </c>
      <c r="AP65" s="15">
        <f t="shared" ref="AP65" si="226">SUM(AP62:AP64)</f>
        <v>73733</v>
      </c>
      <c r="AQ65" s="45"/>
      <c r="AR65" s="88">
        <f t="shared" si="166"/>
        <v>0.29469710272168559</v>
      </c>
    </row>
    <row r="66" spans="1:44" ht="12.75" customHeight="1">
      <c r="B66" s="27" t="s">
        <v>84</v>
      </c>
      <c r="C66" s="34">
        <f t="shared" ref="C66:K66" si="227">SUM(C65+C60)</f>
        <v>321686</v>
      </c>
      <c r="D66" s="34">
        <f t="shared" si="227"/>
        <v>375319</v>
      </c>
      <c r="E66" s="34">
        <f t="shared" si="227"/>
        <v>365725</v>
      </c>
      <c r="F66" s="34">
        <f t="shared" si="227"/>
        <v>338516</v>
      </c>
      <c r="G66" s="34">
        <f t="shared" si="227"/>
        <v>323888</v>
      </c>
      <c r="H66" s="34">
        <f t="shared" si="227"/>
        <v>351002</v>
      </c>
      <c r="I66" s="34">
        <f t="shared" si="227"/>
        <v>352755</v>
      </c>
      <c r="J66" s="34">
        <f t="shared" si="227"/>
        <v>352583</v>
      </c>
      <c r="K66" s="34">
        <f t="shared" si="227"/>
        <v>364980</v>
      </c>
      <c r="L66" s="34">
        <f t="shared" ref="L66" si="228">SUM(L65+L60)</f>
        <v>359241</v>
      </c>
      <c r="M66" s="34"/>
      <c r="N66" s="34">
        <f t="shared" ref="N66:AB66" si="229">SUM(N65+N60)</f>
        <v>373153</v>
      </c>
      <c r="O66" s="34">
        <f t="shared" si="229"/>
        <v>342624</v>
      </c>
      <c r="P66" s="34">
        <f t="shared" si="229"/>
        <v>328271</v>
      </c>
      <c r="Q66" s="34">
        <f t="shared" si="229"/>
        <v>352755</v>
      </c>
      <c r="R66" s="34">
        <f t="shared" si="229"/>
        <v>338709</v>
      </c>
      <c r="S66" s="34">
        <f t="shared" si="229"/>
        <v>324122</v>
      </c>
      <c r="T66" s="34">
        <f t="shared" si="229"/>
        <v>327000</v>
      </c>
      <c r="U66" s="34">
        <f t="shared" si="229"/>
        <v>352583</v>
      </c>
      <c r="V66" s="34">
        <f t="shared" si="229"/>
        <v>345476</v>
      </c>
      <c r="W66" s="34">
        <f t="shared" si="229"/>
        <v>329373</v>
      </c>
      <c r="X66" s="34">
        <f t="shared" si="229"/>
        <v>323574</v>
      </c>
      <c r="Y66" s="34">
        <f t="shared" si="229"/>
        <v>364980</v>
      </c>
      <c r="Z66" s="34">
        <f t="shared" si="229"/>
        <v>344085</v>
      </c>
      <c r="AA66" s="34">
        <f t="shared" si="229"/>
        <v>331233</v>
      </c>
      <c r="AB66" s="34">
        <f t="shared" si="229"/>
        <v>331495</v>
      </c>
      <c r="AC66" s="34">
        <f t="shared" ref="AC66" si="230">SUM(AC65+AC60)</f>
        <v>359241</v>
      </c>
      <c r="AD66" s="34"/>
      <c r="AE66" s="34">
        <f t="shared" ref="AE66:AO66" si="231">SUM(AE65+AE60)</f>
        <v>338709</v>
      </c>
      <c r="AF66" s="34">
        <f t="shared" si="231"/>
        <v>324122</v>
      </c>
      <c r="AG66" s="34">
        <f t="shared" si="231"/>
        <v>327000</v>
      </c>
      <c r="AH66" s="34">
        <f t="shared" si="231"/>
        <v>352583</v>
      </c>
      <c r="AI66" s="34">
        <f t="shared" si="231"/>
        <v>345476</v>
      </c>
      <c r="AJ66" s="34">
        <f t="shared" si="231"/>
        <v>329373</v>
      </c>
      <c r="AK66" s="34">
        <f t="shared" si="231"/>
        <v>323574</v>
      </c>
      <c r="AL66" s="34">
        <f t="shared" si="231"/>
        <v>364980</v>
      </c>
      <c r="AM66" s="34">
        <f t="shared" si="231"/>
        <v>344085</v>
      </c>
      <c r="AN66" s="34">
        <f t="shared" si="231"/>
        <v>331233</v>
      </c>
      <c r="AO66" s="34">
        <f t="shared" si="231"/>
        <v>331495</v>
      </c>
      <c r="AP66" s="34">
        <f t="shared" ref="AP66" si="232">SUM(AP65+AP60)</f>
        <v>359241</v>
      </c>
      <c r="AQ66" s="12"/>
      <c r="AR66" s="88">
        <f t="shared" si="166"/>
        <v>-1.5724149268453114E-2</v>
      </c>
    </row>
    <row r="67" spans="1:44" ht="5.0999999999999996" customHeight="1">
      <c r="B67" s="27"/>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12"/>
    </row>
    <row r="68" spans="1:44" ht="12.75" customHeight="1">
      <c r="B68" s="80" t="s">
        <v>97</v>
      </c>
      <c r="C68" s="81">
        <f t="shared" ref="C68:L68" si="233">C66-C49</f>
        <v>0</v>
      </c>
      <c r="D68" s="81">
        <f t="shared" si="233"/>
        <v>0</v>
      </c>
      <c r="E68" s="81">
        <f t="shared" si="233"/>
        <v>0</v>
      </c>
      <c r="F68" s="81">
        <f t="shared" si="233"/>
        <v>0</v>
      </c>
      <c r="G68" s="81">
        <f t="shared" si="233"/>
        <v>0</v>
      </c>
      <c r="H68" s="81">
        <f t="shared" si="233"/>
        <v>0</v>
      </c>
      <c r="I68" s="81">
        <f t="shared" si="233"/>
        <v>0</v>
      </c>
      <c r="J68" s="81">
        <f t="shared" si="233"/>
        <v>0</v>
      </c>
      <c r="K68" s="81">
        <f t="shared" si="233"/>
        <v>0</v>
      </c>
      <c r="L68" s="81">
        <f t="shared" si="233"/>
        <v>0</v>
      </c>
      <c r="M68" s="82"/>
      <c r="N68" s="81">
        <f t="shared" ref="N68:AC68" si="234">N66-N49</f>
        <v>0</v>
      </c>
      <c r="O68" s="81">
        <f t="shared" si="234"/>
        <v>0</v>
      </c>
      <c r="P68" s="81">
        <f t="shared" si="234"/>
        <v>0</v>
      </c>
      <c r="Q68" s="81">
        <f t="shared" si="234"/>
        <v>0</v>
      </c>
      <c r="R68" s="81">
        <f t="shared" si="234"/>
        <v>0</v>
      </c>
      <c r="S68" s="81">
        <f t="shared" si="234"/>
        <v>0</v>
      </c>
      <c r="T68" s="81">
        <f t="shared" si="234"/>
        <v>0</v>
      </c>
      <c r="U68" s="81">
        <f t="shared" si="234"/>
        <v>0</v>
      </c>
      <c r="V68" s="81">
        <f t="shared" si="234"/>
        <v>0</v>
      </c>
      <c r="W68" s="81">
        <f t="shared" si="234"/>
        <v>0</v>
      </c>
      <c r="X68" s="81">
        <f t="shared" si="234"/>
        <v>0</v>
      </c>
      <c r="Y68" s="81">
        <f t="shared" si="234"/>
        <v>0</v>
      </c>
      <c r="Z68" s="81">
        <f t="shared" si="234"/>
        <v>0</v>
      </c>
      <c r="AA68" s="81">
        <f t="shared" si="234"/>
        <v>0</v>
      </c>
      <c r="AB68" s="81">
        <f t="shared" si="234"/>
        <v>0</v>
      </c>
      <c r="AC68" s="81">
        <f t="shared" si="234"/>
        <v>0</v>
      </c>
      <c r="AD68" s="30"/>
      <c r="AE68" s="81">
        <f t="shared" ref="AE68:AP68" si="235">AE66-AE49</f>
        <v>0</v>
      </c>
      <c r="AF68" s="81">
        <f t="shared" si="235"/>
        <v>0</v>
      </c>
      <c r="AG68" s="81">
        <f t="shared" si="235"/>
        <v>0</v>
      </c>
      <c r="AH68" s="81">
        <f t="shared" si="235"/>
        <v>0</v>
      </c>
      <c r="AI68" s="81">
        <f t="shared" si="235"/>
        <v>0</v>
      </c>
      <c r="AJ68" s="81">
        <f t="shared" si="235"/>
        <v>0</v>
      </c>
      <c r="AK68" s="81">
        <f t="shared" si="235"/>
        <v>0</v>
      </c>
      <c r="AL68" s="81">
        <f t="shared" si="235"/>
        <v>0</v>
      </c>
      <c r="AM68" s="81">
        <f t="shared" si="235"/>
        <v>0</v>
      </c>
      <c r="AN68" s="81">
        <f t="shared" si="235"/>
        <v>0</v>
      </c>
      <c r="AO68" s="81">
        <f t="shared" si="235"/>
        <v>0</v>
      </c>
      <c r="AP68" s="81">
        <f t="shared" si="235"/>
        <v>0</v>
      </c>
    </row>
    <row r="69" spans="1:44">
      <c r="B69" s="78"/>
      <c r="C69" s="79"/>
      <c r="D69" s="79"/>
      <c r="E69" s="79"/>
      <c r="F69" s="79"/>
      <c r="G69" s="79"/>
      <c r="H69" s="59"/>
      <c r="I69" s="26"/>
      <c r="J69" s="26"/>
      <c r="K69" s="26"/>
      <c r="L69" s="26"/>
      <c r="M69" s="59"/>
    </row>
    <row r="70" spans="1:44" ht="12.75" customHeight="1">
      <c r="A70" s="5" t="s">
        <v>24</v>
      </c>
      <c r="B70" s="185" t="s">
        <v>19</v>
      </c>
      <c r="C70" s="193" t="s">
        <v>0</v>
      </c>
      <c r="D70" s="193"/>
      <c r="E70" s="193"/>
      <c r="F70" s="193"/>
      <c r="G70" s="193"/>
      <c r="H70" s="193"/>
      <c r="I70" s="193"/>
      <c r="J70" s="193" t="s">
        <v>0</v>
      </c>
      <c r="K70" s="193"/>
      <c r="L70" s="193"/>
      <c r="M70" s="194"/>
      <c r="N70" s="193" t="s">
        <v>1</v>
      </c>
      <c r="O70" s="193"/>
      <c r="P70" s="193"/>
      <c r="Q70" s="193"/>
      <c r="R70" s="193"/>
      <c r="S70" s="193"/>
      <c r="T70" s="193"/>
      <c r="U70" s="193"/>
      <c r="V70" s="193"/>
      <c r="W70" s="193"/>
      <c r="X70" s="193"/>
      <c r="Y70" s="193" t="s">
        <v>1</v>
      </c>
      <c r="Z70" s="193"/>
      <c r="AA70" s="193"/>
      <c r="AB70" s="193"/>
      <c r="AC70" s="193"/>
      <c r="AD70" s="185"/>
      <c r="AE70" s="193"/>
      <c r="AF70" s="193"/>
      <c r="AG70" s="193"/>
      <c r="AH70" s="193"/>
      <c r="AI70" s="193"/>
      <c r="AJ70" s="193"/>
      <c r="AK70" s="193" t="s">
        <v>10</v>
      </c>
      <c r="AL70" s="193"/>
      <c r="AM70" s="193"/>
      <c r="AN70" s="193"/>
      <c r="AO70" s="193"/>
      <c r="AP70" s="193"/>
      <c r="AQ70" s="194"/>
      <c r="AR70" s="642" t="s">
        <v>37</v>
      </c>
    </row>
    <row r="71" spans="1:44" ht="12.75" customHeight="1">
      <c r="B71" s="186" t="str">
        <f t="shared" ref="B71:L71" si="236">B7</f>
        <v>Fiscal Period</v>
      </c>
      <c r="C71" s="195">
        <f t="shared" si="236"/>
        <v>2016</v>
      </c>
      <c r="D71" s="195">
        <f t="shared" si="236"/>
        <v>2017</v>
      </c>
      <c r="E71" s="195">
        <f t="shared" si="236"/>
        <v>2018</v>
      </c>
      <c r="F71" s="195">
        <f t="shared" si="236"/>
        <v>2019</v>
      </c>
      <c r="G71" s="195">
        <f t="shared" si="236"/>
        <v>2020</v>
      </c>
      <c r="H71" s="195">
        <f t="shared" si="236"/>
        <v>2021</v>
      </c>
      <c r="I71" s="195">
        <f t="shared" si="236"/>
        <v>2022</v>
      </c>
      <c r="J71" s="195">
        <f t="shared" si="236"/>
        <v>2023</v>
      </c>
      <c r="K71" s="195">
        <f t="shared" si="236"/>
        <v>2024</v>
      </c>
      <c r="L71" s="195">
        <f t="shared" si="236"/>
        <v>2025</v>
      </c>
      <c r="M71" s="194"/>
      <c r="N71" s="195" t="str">
        <f t="shared" ref="N71:AC71" si="237">N7</f>
        <v>1Q22</v>
      </c>
      <c r="O71" s="195" t="str">
        <f t="shared" si="237"/>
        <v>2Q22</v>
      </c>
      <c r="P71" s="195" t="str">
        <f t="shared" si="237"/>
        <v>3Q22</v>
      </c>
      <c r="Q71" s="195" t="str">
        <f t="shared" si="237"/>
        <v>4Q22</v>
      </c>
      <c r="R71" s="195" t="str">
        <f t="shared" si="237"/>
        <v>1Q23</v>
      </c>
      <c r="S71" s="195" t="str">
        <f t="shared" si="237"/>
        <v>2Q23</v>
      </c>
      <c r="T71" s="195" t="str">
        <f t="shared" si="237"/>
        <v>3Q23</v>
      </c>
      <c r="U71" s="195" t="str">
        <f t="shared" si="237"/>
        <v>4Q23</v>
      </c>
      <c r="V71" s="195" t="str">
        <f t="shared" si="237"/>
        <v>1Q24</v>
      </c>
      <c r="W71" s="195" t="str">
        <f t="shared" si="237"/>
        <v>2Q24</v>
      </c>
      <c r="X71" s="195" t="str">
        <f t="shared" si="237"/>
        <v>3Q24</v>
      </c>
      <c r="Y71" s="195" t="str">
        <f t="shared" si="237"/>
        <v>4Q24</v>
      </c>
      <c r="Z71" s="195" t="str">
        <f t="shared" si="237"/>
        <v>1Q25</v>
      </c>
      <c r="AA71" s="195" t="str">
        <f t="shared" si="237"/>
        <v>2Q25</v>
      </c>
      <c r="AB71" s="195" t="str">
        <f t="shared" si="237"/>
        <v>3Q25</v>
      </c>
      <c r="AC71" s="195" t="str">
        <f t="shared" si="237"/>
        <v>4Q25</v>
      </c>
      <c r="AD71" s="195"/>
      <c r="AE71" s="195" t="str">
        <f t="shared" ref="AE71:AP71" si="238">AE7</f>
        <v>1Q23</v>
      </c>
      <c r="AF71" s="195" t="str">
        <f t="shared" si="238"/>
        <v>2Q23</v>
      </c>
      <c r="AG71" s="195" t="str">
        <f t="shared" si="238"/>
        <v>3Q23</v>
      </c>
      <c r="AH71" s="195" t="str">
        <f t="shared" si="238"/>
        <v>4Q23</v>
      </c>
      <c r="AI71" s="195" t="str">
        <f t="shared" si="238"/>
        <v>1Q24</v>
      </c>
      <c r="AJ71" s="195" t="str">
        <f t="shared" si="238"/>
        <v>2Q24</v>
      </c>
      <c r="AK71" s="195" t="str">
        <f t="shared" si="238"/>
        <v>3Q24</v>
      </c>
      <c r="AL71" s="195" t="str">
        <f t="shared" si="238"/>
        <v>4Q24</v>
      </c>
      <c r="AM71" s="195" t="str">
        <f t="shared" si="238"/>
        <v>1Q25</v>
      </c>
      <c r="AN71" s="195" t="str">
        <f t="shared" si="238"/>
        <v>2Q25</v>
      </c>
      <c r="AO71" s="195" t="str">
        <f t="shared" si="238"/>
        <v>3Q25</v>
      </c>
      <c r="AP71" s="195" t="str">
        <f t="shared" si="238"/>
        <v>4Q25</v>
      </c>
      <c r="AQ71" s="194"/>
      <c r="AR71" s="642"/>
    </row>
    <row r="72" spans="1:44" ht="12.75" customHeight="1">
      <c r="B72" s="186" t="str">
        <f t="shared" ref="B72:L72" si="239">B8</f>
        <v>Fiscal Period End Date</v>
      </c>
      <c r="C72" s="196">
        <f t="shared" si="239"/>
        <v>42643</v>
      </c>
      <c r="D72" s="196">
        <f t="shared" si="239"/>
        <v>43008</v>
      </c>
      <c r="E72" s="196">
        <f t="shared" si="239"/>
        <v>43372</v>
      </c>
      <c r="F72" s="196">
        <f t="shared" si="239"/>
        <v>43737</v>
      </c>
      <c r="G72" s="196">
        <f t="shared" si="239"/>
        <v>44104</v>
      </c>
      <c r="H72" s="196">
        <f t="shared" si="239"/>
        <v>44469</v>
      </c>
      <c r="I72" s="196">
        <f t="shared" si="239"/>
        <v>44834</v>
      </c>
      <c r="J72" s="196">
        <f t="shared" si="239"/>
        <v>45192</v>
      </c>
      <c r="K72" s="196">
        <f t="shared" si="239"/>
        <v>45559</v>
      </c>
      <c r="L72" s="196">
        <f t="shared" si="239"/>
        <v>45927</v>
      </c>
      <c r="M72" s="194"/>
      <c r="N72" s="196">
        <f t="shared" ref="N72:AC72" si="240">N8</f>
        <v>44560</v>
      </c>
      <c r="O72" s="196">
        <f t="shared" si="240"/>
        <v>44650</v>
      </c>
      <c r="P72" s="196">
        <f t="shared" si="240"/>
        <v>44742</v>
      </c>
      <c r="Q72" s="196">
        <f t="shared" si="240"/>
        <v>44834</v>
      </c>
      <c r="R72" s="196">
        <f t="shared" si="240"/>
        <v>44917</v>
      </c>
      <c r="S72" s="196">
        <f t="shared" si="240"/>
        <v>45008</v>
      </c>
      <c r="T72" s="196">
        <f t="shared" si="240"/>
        <v>45100</v>
      </c>
      <c r="U72" s="196">
        <f t="shared" si="240"/>
        <v>45192</v>
      </c>
      <c r="V72" s="196">
        <f t="shared" si="240"/>
        <v>45283</v>
      </c>
      <c r="W72" s="196">
        <f t="shared" si="240"/>
        <v>45375</v>
      </c>
      <c r="X72" s="196">
        <f t="shared" si="240"/>
        <v>45467</v>
      </c>
      <c r="Y72" s="196">
        <f t="shared" si="240"/>
        <v>45559</v>
      </c>
      <c r="Z72" s="196">
        <f t="shared" si="240"/>
        <v>45650</v>
      </c>
      <c r="AA72" s="196">
        <f t="shared" si="240"/>
        <v>45741</v>
      </c>
      <c r="AB72" s="196">
        <f t="shared" si="240"/>
        <v>45833</v>
      </c>
      <c r="AC72" s="196">
        <f t="shared" si="240"/>
        <v>45927</v>
      </c>
      <c r="AD72" s="196"/>
      <c r="AE72" s="196">
        <f t="shared" ref="AE72:AP72" si="241">AE8</f>
        <v>44917</v>
      </c>
      <c r="AF72" s="196">
        <f t="shared" si="241"/>
        <v>45008</v>
      </c>
      <c r="AG72" s="196">
        <f t="shared" si="241"/>
        <v>45100</v>
      </c>
      <c r="AH72" s="196">
        <f t="shared" si="241"/>
        <v>45192</v>
      </c>
      <c r="AI72" s="196">
        <f t="shared" si="241"/>
        <v>45283</v>
      </c>
      <c r="AJ72" s="196">
        <f t="shared" si="241"/>
        <v>45375</v>
      </c>
      <c r="AK72" s="196">
        <f t="shared" si="241"/>
        <v>45467</v>
      </c>
      <c r="AL72" s="196">
        <f t="shared" si="241"/>
        <v>45559</v>
      </c>
      <c r="AM72" s="196">
        <f t="shared" si="241"/>
        <v>45650</v>
      </c>
      <c r="AN72" s="196">
        <f t="shared" si="241"/>
        <v>45741</v>
      </c>
      <c r="AO72" s="196">
        <f t="shared" si="241"/>
        <v>45833</v>
      </c>
      <c r="AP72" s="196">
        <f t="shared" si="241"/>
        <v>45927</v>
      </c>
      <c r="AQ72" s="194"/>
      <c r="AR72" s="642"/>
    </row>
    <row r="73" spans="1:44" ht="5.0999999999999996" customHeight="1">
      <c r="B73" s="60"/>
      <c r="C73" s="53"/>
      <c r="D73" s="53"/>
      <c r="E73" s="53"/>
      <c r="F73" s="53"/>
      <c r="G73" s="53"/>
      <c r="H73" s="53"/>
      <c r="I73" s="53"/>
      <c r="J73" s="53"/>
      <c r="K73" s="53"/>
      <c r="L73" s="53"/>
    </row>
    <row r="74" spans="1:44" ht="12.75" customHeight="1">
      <c r="B74" s="61" t="s">
        <v>85</v>
      </c>
      <c r="C74" s="62"/>
      <c r="D74" s="62"/>
      <c r="E74" s="62"/>
      <c r="F74" s="62"/>
      <c r="G74" s="62"/>
      <c r="H74" s="62"/>
      <c r="I74" s="62"/>
      <c r="J74" s="62"/>
      <c r="K74" s="62"/>
      <c r="L74" s="62"/>
    </row>
    <row r="75" spans="1:44" ht="12.75" customHeight="1">
      <c r="B75" s="63" t="s">
        <v>86</v>
      </c>
      <c r="C75" s="96">
        <f t="shared" ref="C75:L75" si="242">C26</f>
        <v>45687</v>
      </c>
      <c r="D75" s="34">
        <f t="shared" si="242"/>
        <v>48351</v>
      </c>
      <c r="E75" s="34">
        <f t="shared" si="242"/>
        <v>59531</v>
      </c>
      <c r="F75" s="34">
        <f t="shared" si="242"/>
        <v>55256</v>
      </c>
      <c r="G75" s="34">
        <f t="shared" si="242"/>
        <v>57411</v>
      </c>
      <c r="H75" s="34">
        <f t="shared" si="242"/>
        <v>94680</v>
      </c>
      <c r="I75" s="34">
        <f t="shared" si="242"/>
        <v>99803</v>
      </c>
      <c r="J75" s="34">
        <f t="shared" si="242"/>
        <v>96995</v>
      </c>
      <c r="K75" s="34">
        <f t="shared" si="242"/>
        <v>93736</v>
      </c>
      <c r="L75" s="34">
        <f t="shared" si="242"/>
        <v>112010</v>
      </c>
      <c r="M75" s="34"/>
      <c r="N75" s="34">
        <f t="shared" ref="N75:AC75" si="243">N26</f>
        <v>34630</v>
      </c>
      <c r="O75" s="34">
        <f t="shared" si="243"/>
        <v>25010</v>
      </c>
      <c r="P75" s="34">
        <f t="shared" si="243"/>
        <v>19442</v>
      </c>
      <c r="Q75" s="34">
        <f t="shared" si="243"/>
        <v>20721</v>
      </c>
      <c r="R75" s="34">
        <f t="shared" si="243"/>
        <v>29998</v>
      </c>
      <c r="S75" s="34">
        <f t="shared" si="243"/>
        <v>24160</v>
      </c>
      <c r="T75" s="34">
        <f t="shared" si="243"/>
        <v>19881</v>
      </c>
      <c r="U75" s="34">
        <f t="shared" si="243"/>
        <v>22956</v>
      </c>
      <c r="V75" s="34">
        <f t="shared" si="243"/>
        <v>33916</v>
      </c>
      <c r="W75" s="34">
        <f t="shared" si="243"/>
        <v>23636</v>
      </c>
      <c r="X75" s="34">
        <f t="shared" si="243"/>
        <v>21448</v>
      </c>
      <c r="Y75" s="34">
        <f t="shared" si="243"/>
        <v>14736</v>
      </c>
      <c r="Z75" s="34">
        <f t="shared" si="243"/>
        <v>36330</v>
      </c>
      <c r="AA75" s="34">
        <f t="shared" si="243"/>
        <v>24780</v>
      </c>
      <c r="AB75" s="34">
        <f t="shared" si="243"/>
        <v>23434</v>
      </c>
      <c r="AC75" s="34">
        <f t="shared" si="243"/>
        <v>27466</v>
      </c>
      <c r="AE75" s="34">
        <f t="shared" ref="AE75:AP75" si="244">SUM(O75:R75)</f>
        <v>95171</v>
      </c>
      <c r="AF75" s="34">
        <f t="shared" si="244"/>
        <v>94321</v>
      </c>
      <c r="AG75" s="34">
        <f t="shared" si="244"/>
        <v>94760</v>
      </c>
      <c r="AH75" s="34">
        <f t="shared" si="244"/>
        <v>96995</v>
      </c>
      <c r="AI75" s="34">
        <f t="shared" si="244"/>
        <v>100913</v>
      </c>
      <c r="AJ75" s="34">
        <f t="shared" si="244"/>
        <v>100389</v>
      </c>
      <c r="AK75" s="34">
        <f t="shared" si="244"/>
        <v>101956</v>
      </c>
      <c r="AL75" s="34">
        <f t="shared" si="244"/>
        <v>93736</v>
      </c>
      <c r="AM75" s="34">
        <f t="shared" si="244"/>
        <v>96150</v>
      </c>
      <c r="AN75" s="34">
        <f t="shared" si="244"/>
        <v>97294</v>
      </c>
      <c r="AO75" s="34">
        <f t="shared" si="244"/>
        <v>99280</v>
      </c>
      <c r="AP75" s="34">
        <f t="shared" si="244"/>
        <v>112010</v>
      </c>
      <c r="AQ75" s="12"/>
      <c r="AR75" s="87">
        <f t="shared" ref="AR75" si="245">SUM(AP75/AL75)-1</f>
        <v>0.19495177946573361</v>
      </c>
    </row>
    <row r="76" spans="1:44" ht="5.0999999999999996" customHeight="1">
      <c r="C76" s="96"/>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E76" s="34"/>
      <c r="AF76" s="34"/>
      <c r="AG76" s="34"/>
      <c r="AH76" s="34"/>
      <c r="AI76" s="34"/>
      <c r="AJ76" s="34"/>
      <c r="AK76" s="34"/>
      <c r="AL76" s="34"/>
      <c r="AM76" s="34"/>
      <c r="AN76" s="34"/>
      <c r="AO76" s="34"/>
      <c r="AP76" s="34"/>
      <c r="AQ76" s="12"/>
      <c r="AR76" s="87"/>
    </row>
    <row r="77" spans="1:44" ht="12.75" customHeight="1">
      <c r="B77" s="39" t="s">
        <v>95</v>
      </c>
      <c r="C77" s="96"/>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E77" s="34"/>
      <c r="AF77" s="34"/>
      <c r="AG77" s="34"/>
      <c r="AH77" s="34"/>
      <c r="AI77" s="34"/>
      <c r="AJ77" s="34"/>
      <c r="AK77" s="34"/>
      <c r="AL77" s="34"/>
      <c r="AM77" s="34"/>
      <c r="AN77" s="34"/>
      <c r="AO77" s="34"/>
      <c r="AP77" s="34"/>
      <c r="AQ77" s="65"/>
      <c r="AR77" s="87"/>
    </row>
    <row r="78" spans="1:44" ht="12.75" customHeight="1">
      <c r="B78" s="66" t="s">
        <v>198</v>
      </c>
      <c r="C78" s="96">
        <v>10505</v>
      </c>
      <c r="D78" s="96">
        <v>10157</v>
      </c>
      <c r="E78" s="96">
        <v>10903</v>
      </c>
      <c r="F78" s="96">
        <v>12547</v>
      </c>
      <c r="G78" s="96">
        <v>11056</v>
      </c>
      <c r="H78" s="96">
        <v>11284</v>
      </c>
      <c r="I78" s="96">
        <v>11104</v>
      </c>
      <c r="J78" s="96">
        <v>11519</v>
      </c>
      <c r="K78" s="96">
        <v>11445</v>
      </c>
      <c r="L78" s="96">
        <v>11698</v>
      </c>
      <c r="M78" s="34"/>
      <c r="N78" s="96">
        <v>2697</v>
      </c>
      <c r="O78" s="96">
        <f>5434-N78</f>
        <v>2737</v>
      </c>
      <c r="P78" s="96">
        <f>8239-SUM(N78:O78)</f>
        <v>2805</v>
      </c>
      <c r="Q78" s="34">
        <f t="shared" ref="Q78:Q81" si="246">SUM(I78-SUM(N78:P78))</f>
        <v>2865</v>
      </c>
      <c r="R78" s="96">
        <v>2916</v>
      </c>
      <c r="S78" s="96">
        <f>5814-R78</f>
        <v>2898</v>
      </c>
      <c r="T78" s="96">
        <v>3052</v>
      </c>
      <c r="U78" s="34">
        <f t="shared" ref="U78:U81" si="247">SUM(J78-SUM(R78:T78))</f>
        <v>2653</v>
      </c>
      <c r="V78" s="96">
        <v>2848</v>
      </c>
      <c r="W78" s="96">
        <f>5684-V78</f>
        <v>2836</v>
      </c>
      <c r="X78" s="96">
        <f>8534-W78-V78</f>
        <v>2850</v>
      </c>
      <c r="Y78" s="34">
        <f t="shared" ref="Y78:Y81" si="248">SUM(K78-SUM(V78:X78))</f>
        <v>2911</v>
      </c>
      <c r="Z78" s="96">
        <v>3080</v>
      </c>
      <c r="AA78" s="96">
        <f>5741-Z78</f>
        <v>2661</v>
      </c>
      <c r="AB78" s="96">
        <f>8571-AA78-Z78</f>
        <v>2830</v>
      </c>
      <c r="AC78" s="34">
        <f t="shared" ref="AC78:AC81" si="249">SUM(L78-SUM(Z78:AB78))</f>
        <v>3127</v>
      </c>
      <c r="AE78" s="34">
        <f t="shared" ref="AE78:AP81" si="250">SUM(O78:R78)</f>
        <v>11323</v>
      </c>
      <c r="AF78" s="34">
        <f t="shared" si="250"/>
        <v>11484</v>
      </c>
      <c r="AG78" s="34">
        <f t="shared" si="250"/>
        <v>11731</v>
      </c>
      <c r="AH78" s="34">
        <f t="shared" si="250"/>
        <v>11519</v>
      </c>
      <c r="AI78" s="34">
        <f t="shared" si="250"/>
        <v>11451</v>
      </c>
      <c r="AJ78" s="34">
        <f t="shared" si="250"/>
        <v>11389</v>
      </c>
      <c r="AK78" s="34">
        <f t="shared" si="250"/>
        <v>11187</v>
      </c>
      <c r="AL78" s="34">
        <f t="shared" si="250"/>
        <v>11445</v>
      </c>
      <c r="AM78" s="34">
        <f t="shared" si="250"/>
        <v>11677</v>
      </c>
      <c r="AN78" s="34">
        <f t="shared" si="250"/>
        <v>11502</v>
      </c>
      <c r="AO78" s="34">
        <f t="shared" si="250"/>
        <v>11482</v>
      </c>
      <c r="AP78" s="34">
        <f t="shared" si="250"/>
        <v>11698</v>
      </c>
      <c r="AQ78" s="12"/>
      <c r="AR78" s="87">
        <f t="shared" ref="AR78:AR81" si="251">SUM(AP78/AL78)-1</f>
        <v>2.2105723023154278E-2</v>
      </c>
    </row>
    <row r="79" spans="1:44" ht="12.75" customHeight="1">
      <c r="B79" s="66" t="s">
        <v>199</v>
      </c>
      <c r="C79" s="96">
        <v>4210</v>
      </c>
      <c r="D79" s="96">
        <v>4840</v>
      </c>
      <c r="E79" s="96">
        <v>5340</v>
      </c>
      <c r="F79" s="96">
        <v>6068</v>
      </c>
      <c r="G79" s="96">
        <v>6829</v>
      </c>
      <c r="H79" s="96">
        <v>7906</v>
      </c>
      <c r="I79" s="96">
        <v>9038</v>
      </c>
      <c r="J79" s="96">
        <v>10833</v>
      </c>
      <c r="K79" s="96">
        <v>11688</v>
      </c>
      <c r="L79" s="96">
        <v>12863</v>
      </c>
      <c r="M79" s="34"/>
      <c r="N79" s="96">
        <v>2265</v>
      </c>
      <c r="O79" s="96">
        <f>4517-N79</f>
        <v>2252</v>
      </c>
      <c r="P79" s="96">
        <f>6760-SUM(N79:O79)</f>
        <v>2243</v>
      </c>
      <c r="Q79" s="34">
        <f t="shared" si="246"/>
        <v>2278</v>
      </c>
      <c r="R79" s="96">
        <v>2905</v>
      </c>
      <c r="S79" s="96">
        <f>5591-R79</f>
        <v>2686</v>
      </c>
      <c r="T79" s="96">
        <v>2617</v>
      </c>
      <c r="U79" s="34">
        <f t="shared" si="247"/>
        <v>2625</v>
      </c>
      <c r="V79" s="96">
        <v>2997</v>
      </c>
      <c r="W79" s="96">
        <f>5961-V79+3</f>
        <v>2967</v>
      </c>
      <c r="X79" s="96">
        <f>8830-W79-V79</f>
        <v>2866</v>
      </c>
      <c r="Y79" s="34">
        <f t="shared" si="248"/>
        <v>2858</v>
      </c>
      <c r="Z79" s="96">
        <v>3286</v>
      </c>
      <c r="AA79" s="96">
        <f>6512-Z79</f>
        <v>3226</v>
      </c>
      <c r="AB79" s="96">
        <f>9680-AA79-Z79</f>
        <v>3168</v>
      </c>
      <c r="AC79" s="34">
        <f t="shared" si="249"/>
        <v>3183</v>
      </c>
      <c r="AE79" s="34">
        <f t="shared" si="250"/>
        <v>9678</v>
      </c>
      <c r="AF79" s="34">
        <f t="shared" si="250"/>
        <v>10112</v>
      </c>
      <c r="AG79" s="34">
        <f t="shared" si="250"/>
        <v>10486</v>
      </c>
      <c r="AH79" s="34">
        <f t="shared" si="250"/>
        <v>10833</v>
      </c>
      <c r="AI79" s="34">
        <f t="shared" si="250"/>
        <v>10925</v>
      </c>
      <c r="AJ79" s="34">
        <f t="shared" si="250"/>
        <v>11206</v>
      </c>
      <c r="AK79" s="34">
        <f t="shared" si="250"/>
        <v>11455</v>
      </c>
      <c r="AL79" s="34">
        <f t="shared" si="250"/>
        <v>11688</v>
      </c>
      <c r="AM79" s="34">
        <f t="shared" si="250"/>
        <v>11977</v>
      </c>
      <c r="AN79" s="34">
        <f t="shared" si="250"/>
        <v>12236</v>
      </c>
      <c r="AO79" s="34">
        <f t="shared" si="250"/>
        <v>12538</v>
      </c>
      <c r="AP79" s="34">
        <f t="shared" si="250"/>
        <v>12863</v>
      </c>
      <c r="AQ79" s="12"/>
      <c r="AR79" s="87">
        <f t="shared" si="251"/>
        <v>0.10053045859000687</v>
      </c>
    </row>
    <row r="80" spans="1:44" ht="12.75" customHeight="1">
      <c r="B80" s="66" t="s">
        <v>200</v>
      </c>
      <c r="C80" s="96">
        <v>4938</v>
      </c>
      <c r="D80" s="96">
        <v>5966</v>
      </c>
      <c r="E80" s="96">
        <v>-32590</v>
      </c>
      <c r="F80" s="96">
        <v>-340</v>
      </c>
      <c r="G80" s="96">
        <v>-215</v>
      </c>
      <c r="H80" s="96">
        <v>-4774</v>
      </c>
      <c r="I80" s="96">
        <v>895</v>
      </c>
      <c r="J80" s="96">
        <v>0</v>
      </c>
      <c r="K80" s="96">
        <v>0</v>
      </c>
      <c r="L80" s="96">
        <v>0</v>
      </c>
      <c r="M80" s="34"/>
      <c r="N80" s="96">
        <v>682</v>
      </c>
      <c r="O80" s="96">
        <f>1088-N80</f>
        <v>406</v>
      </c>
      <c r="P80" s="96">
        <f>2756-SUM(N80:O80)</f>
        <v>1668</v>
      </c>
      <c r="Q80" s="34">
        <f t="shared" si="246"/>
        <v>-1861</v>
      </c>
      <c r="R80" s="96">
        <v>0</v>
      </c>
      <c r="S80" s="96">
        <f t="shared" ref="S80" si="252">R80</f>
        <v>0</v>
      </c>
      <c r="T80" s="96">
        <v>0</v>
      </c>
      <c r="U80" s="34">
        <f t="shared" si="247"/>
        <v>0</v>
      </c>
      <c r="V80" s="96">
        <f t="shared" ref="V80" si="253">U80</f>
        <v>0</v>
      </c>
      <c r="W80" s="96">
        <v>0</v>
      </c>
      <c r="X80" s="96">
        <v>0</v>
      </c>
      <c r="Y80" s="34">
        <f t="shared" si="248"/>
        <v>0</v>
      </c>
      <c r="Z80" s="96">
        <f t="shared" ref="Z80:AA80" si="254">Y80</f>
        <v>0</v>
      </c>
      <c r="AA80" s="96">
        <f t="shared" si="254"/>
        <v>0</v>
      </c>
      <c r="AB80" s="96">
        <v>0</v>
      </c>
      <c r="AC80" s="34">
        <f t="shared" si="249"/>
        <v>0</v>
      </c>
      <c r="AE80" s="34">
        <f t="shared" si="250"/>
        <v>213</v>
      </c>
      <c r="AF80" s="34">
        <f t="shared" si="250"/>
        <v>-193</v>
      </c>
      <c r="AG80" s="34">
        <f t="shared" si="250"/>
        <v>-1861</v>
      </c>
      <c r="AH80" s="34">
        <f t="shared" si="250"/>
        <v>0</v>
      </c>
      <c r="AI80" s="34">
        <f t="shared" si="250"/>
        <v>0</v>
      </c>
      <c r="AJ80" s="34">
        <f t="shared" si="250"/>
        <v>0</v>
      </c>
      <c r="AK80" s="34">
        <f t="shared" si="250"/>
        <v>0</v>
      </c>
      <c r="AL80" s="34">
        <f t="shared" si="250"/>
        <v>0</v>
      </c>
      <c r="AM80" s="34">
        <f t="shared" si="250"/>
        <v>0</v>
      </c>
      <c r="AN80" s="34">
        <f t="shared" si="250"/>
        <v>0</v>
      </c>
      <c r="AO80" s="34">
        <f t="shared" si="250"/>
        <v>0</v>
      </c>
      <c r="AP80" s="34">
        <f t="shared" si="250"/>
        <v>0</v>
      </c>
      <c r="AQ80" s="12"/>
      <c r="AR80" s="87" t="e">
        <f t="shared" si="251"/>
        <v>#DIV/0!</v>
      </c>
    </row>
    <row r="81" spans="2:44" ht="12.75" customHeight="1">
      <c r="B81" s="66" t="s">
        <v>96</v>
      </c>
      <c r="C81" s="96">
        <v>0</v>
      </c>
      <c r="D81" s="96">
        <v>-166</v>
      </c>
      <c r="E81" s="96">
        <v>-444</v>
      </c>
      <c r="F81" s="96">
        <v>-652</v>
      </c>
      <c r="G81" s="96">
        <v>-97</v>
      </c>
      <c r="H81" s="96">
        <v>-147</v>
      </c>
      <c r="I81" s="96">
        <v>111</v>
      </c>
      <c r="J81" s="96">
        <v>-2227</v>
      </c>
      <c r="K81" s="96">
        <v>-2266</v>
      </c>
      <c r="L81" s="96">
        <v>-89</v>
      </c>
      <c r="M81" s="34"/>
      <c r="N81" s="96">
        <v>167</v>
      </c>
      <c r="O81" s="96">
        <f>-20-N81</f>
        <v>-187</v>
      </c>
      <c r="P81" s="96">
        <f>-61-SUM(N81:O81)</f>
        <v>-41</v>
      </c>
      <c r="Q81" s="34">
        <f t="shared" si="246"/>
        <v>172</v>
      </c>
      <c r="R81" s="96">
        <v>-317</v>
      </c>
      <c r="S81" s="96">
        <f>-1732-R81</f>
        <v>-1415</v>
      </c>
      <c r="T81" s="96">
        <v>81</v>
      </c>
      <c r="U81" s="34">
        <f t="shared" si="247"/>
        <v>-576</v>
      </c>
      <c r="V81" s="96">
        <v>-989</v>
      </c>
      <c r="W81" s="96">
        <f>-1971-V81</f>
        <v>-982</v>
      </c>
      <c r="X81" s="96">
        <f>-1964-W81-V81</f>
        <v>7</v>
      </c>
      <c r="Y81" s="34">
        <f t="shared" si="248"/>
        <v>-302</v>
      </c>
      <c r="Z81" s="96">
        <v>-2009</v>
      </c>
      <c r="AA81" s="96">
        <f>-2217-Z81</f>
        <v>-208</v>
      </c>
      <c r="AB81" s="96">
        <f>-1748-AA81-Z81</f>
        <v>469</v>
      </c>
      <c r="AC81" s="34">
        <f t="shared" si="249"/>
        <v>1659</v>
      </c>
      <c r="AE81" s="34">
        <f t="shared" si="250"/>
        <v>-373</v>
      </c>
      <c r="AF81" s="34">
        <f t="shared" si="250"/>
        <v>-1601</v>
      </c>
      <c r="AG81" s="34">
        <f t="shared" si="250"/>
        <v>-1479</v>
      </c>
      <c r="AH81" s="34">
        <f t="shared" si="250"/>
        <v>-2227</v>
      </c>
      <c r="AI81" s="34">
        <f t="shared" si="250"/>
        <v>-2899</v>
      </c>
      <c r="AJ81" s="34">
        <f t="shared" si="250"/>
        <v>-2466</v>
      </c>
      <c r="AK81" s="34">
        <f t="shared" si="250"/>
        <v>-2540</v>
      </c>
      <c r="AL81" s="34">
        <f t="shared" si="250"/>
        <v>-2266</v>
      </c>
      <c r="AM81" s="34">
        <f t="shared" si="250"/>
        <v>-3286</v>
      </c>
      <c r="AN81" s="34">
        <f t="shared" si="250"/>
        <v>-2512</v>
      </c>
      <c r="AO81" s="34">
        <f t="shared" si="250"/>
        <v>-2050</v>
      </c>
      <c r="AP81" s="34">
        <f t="shared" si="250"/>
        <v>-89</v>
      </c>
      <c r="AQ81" s="12"/>
      <c r="AR81" s="87">
        <f t="shared" si="251"/>
        <v>-0.9607237422771403</v>
      </c>
    </row>
    <row r="82" spans="2:44" ht="5.0999999999999996" customHeight="1">
      <c r="B82" s="8"/>
      <c r="C82" s="96"/>
      <c r="D82" s="96"/>
      <c r="E82" s="96"/>
      <c r="F82" s="96"/>
      <c r="G82" s="96"/>
      <c r="H82" s="96"/>
      <c r="I82" s="96"/>
      <c r="J82" s="96"/>
      <c r="K82" s="96"/>
      <c r="L82" s="96"/>
      <c r="M82" s="34"/>
      <c r="N82" s="96"/>
      <c r="O82" s="34"/>
      <c r="P82" s="34"/>
      <c r="Q82" s="34"/>
      <c r="R82" s="96"/>
      <c r="S82" s="34"/>
      <c r="T82" s="34"/>
      <c r="U82" s="34"/>
      <c r="V82" s="96"/>
      <c r="W82" s="34"/>
      <c r="X82" s="34"/>
      <c r="Y82" s="34"/>
      <c r="Z82" s="96"/>
      <c r="AA82" s="34"/>
      <c r="AB82" s="34"/>
      <c r="AC82" s="34"/>
      <c r="AE82" s="34"/>
      <c r="AF82" s="34"/>
      <c r="AG82" s="34"/>
      <c r="AH82" s="34"/>
      <c r="AI82" s="34"/>
      <c r="AJ82" s="34"/>
      <c r="AK82" s="34"/>
      <c r="AL82" s="34"/>
      <c r="AM82" s="34"/>
      <c r="AN82" s="34"/>
      <c r="AO82" s="34"/>
      <c r="AP82" s="34"/>
      <c r="AQ82" s="12"/>
      <c r="AR82" s="87"/>
    </row>
    <row r="83" spans="2:44" ht="12.75" customHeight="1">
      <c r="B83" s="39" t="s">
        <v>18</v>
      </c>
      <c r="C83" s="96"/>
      <c r="D83" s="96"/>
      <c r="E83" s="96"/>
      <c r="F83" s="96"/>
      <c r="G83" s="96"/>
      <c r="H83" s="96"/>
      <c r="I83" s="96"/>
      <c r="J83" s="96"/>
      <c r="K83" s="96"/>
      <c r="L83" s="96"/>
      <c r="M83" s="34"/>
      <c r="N83" s="96"/>
      <c r="O83" s="34"/>
      <c r="P83" s="34"/>
      <c r="Q83" s="34"/>
      <c r="R83" s="96"/>
      <c r="S83" s="34"/>
      <c r="T83" s="34"/>
      <c r="U83" s="34"/>
      <c r="V83" s="96"/>
      <c r="W83" s="34"/>
      <c r="X83" s="34"/>
      <c r="Y83" s="34"/>
      <c r="Z83" s="96"/>
      <c r="AA83" s="34"/>
      <c r="AB83" s="34"/>
      <c r="AC83" s="34"/>
      <c r="AE83" s="34"/>
      <c r="AF83" s="34"/>
      <c r="AG83" s="34"/>
      <c r="AH83" s="34"/>
      <c r="AI83" s="34"/>
      <c r="AJ83" s="34"/>
      <c r="AK83" s="34"/>
      <c r="AL83" s="34"/>
      <c r="AM83" s="34"/>
      <c r="AN83" s="34"/>
      <c r="AO83" s="34"/>
      <c r="AP83" s="34"/>
      <c r="AQ83" s="65"/>
      <c r="AR83" s="87"/>
    </row>
    <row r="84" spans="2:44" ht="12.75" customHeight="1">
      <c r="B84" s="66" t="s">
        <v>66</v>
      </c>
      <c r="C84" s="96">
        <v>1095</v>
      </c>
      <c r="D84" s="96">
        <v>-2093</v>
      </c>
      <c r="E84" s="96">
        <v>-5322</v>
      </c>
      <c r="F84" s="96">
        <v>245</v>
      </c>
      <c r="G84" s="96">
        <v>6917</v>
      </c>
      <c r="H84" s="96">
        <v>-10125</v>
      </c>
      <c r="I84" s="96">
        <v>-1823</v>
      </c>
      <c r="J84" s="96">
        <v>-1688</v>
      </c>
      <c r="K84" s="96">
        <v>-3788</v>
      </c>
      <c r="L84" s="96">
        <v>-6682</v>
      </c>
      <c r="M84" s="34"/>
      <c r="N84" s="96">
        <v>-3934</v>
      </c>
      <c r="O84" s="96">
        <f>5542-N84</f>
        <v>9476</v>
      </c>
      <c r="P84" s="96">
        <f>4561-SUM(N84:O84)</f>
        <v>-981</v>
      </c>
      <c r="Q84" s="34">
        <f t="shared" ref="Q84:Q89" si="255">SUM(I84-SUM(N84:P84))</f>
        <v>-6384</v>
      </c>
      <c r="R84" s="96">
        <v>4275</v>
      </c>
      <c r="S84" s="96">
        <f>9596-R84</f>
        <v>5321</v>
      </c>
      <c r="T84" s="96">
        <v>-1987</v>
      </c>
      <c r="U84" s="34">
        <f t="shared" ref="U84:U89" si="256">SUM(J84-SUM(R84:T84))</f>
        <v>-9297</v>
      </c>
      <c r="V84" s="96">
        <v>6555</v>
      </c>
      <c r="W84" s="96">
        <f>7727-V84</f>
        <v>1172</v>
      </c>
      <c r="X84" s="96">
        <f>6697-W84-V84</f>
        <v>-1030</v>
      </c>
      <c r="Y84" s="34">
        <f t="shared" ref="Y84:Y89" si="257">SUM(K84-SUM(V84:X84))</f>
        <v>-10485</v>
      </c>
      <c r="Z84" s="96">
        <v>3597</v>
      </c>
      <c r="AA84" s="96">
        <f>7266-Z84</f>
        <v>3669</v>
      </c>
      <c r="AB84" s="96">
        <f>5685-AA84-Z84</f>
        <v>-1581</v>
      </c>
      <c r="AC84" s="34">
        <f t="shared" ref="AC84:AC89" si="258">SUM(L84-SUM(Z84:AB84))</f>
        <v>-12367</v>
      </c>
      <c r="AE84" s="34">
        <f t="shared" ref="AE84:AP89" si="259">SUM(O84:R84)</f>
        <v>6386</v>
      </c>
      <c r="AF84" s="34">
        <f t="shared" si="259"/>
        <v>2231</v>
      </c>
      <c r="AG84" s="34">
        <f t="shared" si="259"/>
        <v>1225</v>
      </c>
      <c r="AH84" s="34">
        <f t="shared" si="259"/>
        <v>-1688</v>
      </c>
      <c r="AI84" s="34">
        <f t="shared" si="259"/>
        <v>592</v>
      </c>
      <c r="AJ84" s="34">
        <f t="shared" si="259"/>
        <v>-3557</v>
      </c>
      <c r="AK84" s="34">
        <f t="shared" si="259"/>
        <v>-2600</v>
      </c>
      <c r="AL84" s="34">
        <f t="shared" si="259"/>
        <v>-3788</v>
      </c>
      <c r="AM84" s="34">
        <f t="shared" si="259"/>
        <v>-6746</v>
      </c>
      <c r="AN84" s="34">
        <f t="shared" si="259"/>
        <v>-4249</v>
      </c>
      <c r="AO84" s="34">
        <f t="shared" si="259"/>
        <v>-4800</v>
      </c>
      <c r="AP84" s="34">
        <f t="shared" si="259"/>
        <v>-6682</v>
      </c>
      <c r="AQ84" s="65"/>
      <c r="AR84" s="87">
        <f t="shared" ref="AR84:AR90" si="260">SUM(AP84/AL84)-1</f>
        <v>0.76399155227032733</v>
      </c>
    </row>
    <row r="85" spans="2:44" ht="12.75" customHeight="1">
      <c r="B85" s="66" t="s">
        <v>99</v>
      </c>
      <c r="C85" s="96">
        <v>217</v>
      </c>
      <c r="D85" s="96">
        <v>-2723</v>
      </c>
      <c r="E85" s="96">
        <v>828</v>
      </c>
      <c r="F85" s="96">
        <v>-289</v>
      </c>
      <c r="G85" s="96">
        <v>-127</v>
      </c>
      <c r="H85" s="96">
        <v>-2642</v>
      </c>
      <c r="I85" s="96">
        <v>1484</v>
      </c>
      <c r="J85" s="96">
        <v>-1618</v>
      </c>
      <c r="K85" s="96">
        <v>-1046</v>
      </c>
      <c r="L85" s="96">
        <v>-9197</v>
      </c>
      <c r="M85" s="34"/>
      <c r="N85" s="96">
        <v>681</v>
      </c>
      <c r="O85" s="96">
        <f>1065-N85</f>
        <v>384</v>
      </c>
      <c r="P85" s="96">
        <f>1049-SUM(N85:O85)</f>
        <v>-16</v>
      </c>
      <c r="Q85" s="34">
        <f t="shared" si="255"/>
        <v>435</v>
      </c>
      <c r="R85" s="96">
        <v>-1807</v>
      </c>
      <c r="S85" s="96">
        <f>-2548-R85</f>
        <v>-741</v>
      </c>
      <c r="T85" s="96">
        <v>-22</v>
      </c>
      <c r="U85" s="34">
        <f t="shared" si="256"/>
        <v>952</v>
      </c>
      <c r="V85" s="96">
        <v>-137</v>
      </c>
      <c r="W85" s="96">
        <f>53-V85</f>
        <v>190</v>
      </c>
      <c r="X85" s="96">
        <f>41-W85-V85</f>
        <v>-12</v>
      </c>
      <c r="Y85" s="34">
        <f t="shared" si="257"/>
        <v>-1087</v>
      </c>
      <c r="Z85" s="96">
        <v>215</v>
      </c>
      <c r="AA85" s="96">
        <f>858-Z85</f>
        <v>643</v>
      </c>
      <c r="AB85" s="96">
        <f>1223-AA85-Z85</f>
        <v>365</v>
      </c>
      <c r="AC85" s="34">
        <f t="shared" si="258"/>
        <v>-10420</v>
      </c>
      <c r="AE85" s="34">
        <f t="shared" si="259"/>
        <v>-1004</v>
      </c>
      <c r="AF85" s="34">
        <f t="shared" si="259"/>
        <v>-2129</v>
      </c>
      <c r="AG85" s="34">
        <f t="shared" si="259"/>
        <v>-2135</v>
      </c>
      <c r="AH85" s="34">
        <f t="shared" si="259"/>
        <v>-1618</v>
      </c>
      <c r="AI85" s="34">
        <f t="shared" si="259"/>
        <v>52</v>
      </c>
      <c r="AJ85" s="34">
        <f t="shared" si="259"/>
        <v>983</v>
      </c>
      <c r="AK85" s="34">
        <f t="shared" si="259"/>
        <v>993</v>
      </c>
      <c r="AL85" s="34">
        <f t="shared" si="259"/>
        <v>-1046</v>
      </c>
      <c r="AM85" s="34">
        <f t="shared" si="259"/>
        <v>-694</v>
      </c>
      <c r="AN85" s="34">
        <f t="shared" si="259"/>
        <v>-241</v>
      </c>
      <c r="AO85" s="34">
        <f t="shared" si="259"/>
        <v>136</v>
      </c>
      <c r="AP85" s="34">
        <f t="shared" si="259"/>
        <v>-9197</v>
      </c>
      <c r="AQ85" s="65"/>
      <c r="AR85" s="87">
        <f t="shared" si="260"/>
        <v>7.792543021032504</v>
      </c>
    </row>
    <row r="86" spans="2:44" ht="12.75" customHeight="1">
      <c r="B86" s="66" t="s">
        <v>455</v>
      </c>
      <c r="C86" s="96">
        <v>1039</v>
      </c>
      <c r="D86" s="96">
        <v>-9572</v>
      </c>
      <c r="E86" s="96">
        <v>-8433</v>
      </c>
      <c r="F86" s="96">
        <v>3804</v>
      </c>
      <c r="G86" s="96">
        <v>-8035</v>
      </c>
      <c r="H86" s="96">
        <v>-11945</v>
      </c>
      <c r="I86" s="96">
        <v>-14019</v>
      </c>
      <c r="J86" s="96">
        <v>-4413</v>
      </c>
      <c r="K86" s="96">
        <v>-13087</v>
      </c>
      <c r="L86" s="96">
        <v>1400</v>
      </c>
      <c r="M86" s="34"/>
      <c r="N86" s="96">
        <f>-9812-4921</f>
        <v>-14733</v>
      </c>
      <c r="O86" s="96">
        <f>643-3542-N86</f>
        <v>11834</v>
      </c>
      <c r="P86" s="96">
        <f>4789-3289-SUM(N86:O86)</f>
        <v>4399</v>
      </c>
      <c r="Q86" s="34">
        <f t="shared" si="255"/>
        <v>-15519</v>
      </c>
      <c r="R86" s="96">
        <f>-4099+2320</f>
        <v>-1779</v>
      </c>
      <c r="S86" s="96">
        <f>14785-4092-R86</f>
        <v>12472</v>
      </c>
      <c r="T86" s="96">
        <v>-2445</v>
      </c>
      <c r="U86" s="34">
        <f t="shared" si="256"/>
        <v>-12661</v>
      </c>
      <c r="V86" s="96">
        <f>4569-1457</f>
        <v>3112</v>
      </c>
      <c r="W86" s="96">
        <f>12161-4438-V86</f>
        <v>4611</v>
      </c>
      <c r="X86" s="96">
        <f>11100-5626-W86-V86</f>
        <v>-2249</v>
      </c>
      <c r="Y86" s="34">
        <f t="shared" si="257"/>
        <v>-18561</v>
      </c>
      <c r="Z86" s="96">
        <v>4105</v>
      </c>
      <c r="AA86" s="96">
        <f>9171+-4371-Z86</f>
        <v>695</v>
      </c>
      <c r="AB86" s="96">
        <f>13555+-6116-AA86-Z86</f>
        <v>2639</v>
      </c>
      <c r="AC86" s="34">
        <f t="shared" si="258"/>
        <v>-6039</v>
      </c>
      <c r="AE86" s="34">
        <f t="shared" si="259"/>
        <v>-1065</v>
      </c>
      <c r="AF86" s="34">
        <f t="shared" si="259"/>
        <v>-427</v>
      </c>
      <c r="AG86" s="34">
        <f t="shared" si="259"/>
        <v>-7271</v>
      </c>
      <c r="AH86" s="34">
        <f t="shared" si="259"/>
        <v>-4413</v>
      </c>
      <c r="AI86" s="34">
        <f t="shared" si="259"/>
        <v>478</v>
      </c>
      <c r="AJ86" s="34">
        <f t="shared" si="259"/>
        <v>-7383</v>
      </c>
      <c r="AK86" s="34">
        <f t="shared" si="259"/>
        <v>-7187</v>
      </c>
      <c r="AL86" s="34">
        <f t="shared" si="259"/>
        <v>-13087</v>
      </c>
      <c r="AM86" s="34">
        <f t="shared" si="259"/>
        <v>-12094</v>
      </c>
      <c r="AN86" s="34">
        <f t="shared" si="259"/>
        <v>-16010</v>
      </c>
      <c r="AO86" s="34">
        <f t="shared" si="259"/>
        <v>-11122</v>
      </c>
      <c r="AP86" s="34">
        <f t="shared" si="259"/>
        <v>1400</v>
      </c>
      <c r="AQ86" s="65"/>
      <c r="AR86" s="87">
        <f t="shared" si="260"/>
        <v>-1.1069763887827615</v>
      </c>
    </row>
    <row r="87" spans="2:44" ht="12.75" customHeight="1">
      <c r="B87" s="66" t="s">
        <v>67</v>
      </c>
      <c r="C87" s="96">
        <v>1791</v>
      </c>
      <c r="D87" s="96">
        <v>9618</v>
      </c>
      <c r="E87" s="96">
        <v>9175</v>
      </c>
      <c r="F87" s="96">
        <v>-1923</v>
      </c>
      <c r="G87" s="96">
        <v>-4062</v>
      </c>
      <c r="H87" s="96">
        <v>12326</v>
      </c>
      <c r="I87" s="96">
        <v>9448</v>
      </c>
      <c r="J87" s="96">
        <v>-1889</v>
      </c>
      <c r="K87" s="96">
        <v>6020</v>
      </c>
      <c r="L87" s="96">
        <v>902</v>
      </c>
      <c r="M87" s="34"/>
      <c r="N87" s="96">
        <v>19813</v>
      </c>
      <c r="O87" s="96">
        <f>-1750-N87</f>
        <v>-21563</v>
      </c>
      <c r="P87" s="96">
        <f>-6108-SUM(N87:O87)</f>
        <v>-4358</v>
      </c>
      <c r="Q87" s="34">
        <f t="shared" si="255"/>
        <v>15556</v>
      </c>
      <c r="R87" s="96">
        <v>-6075</v>
      </c>
      <c r="S87" s="96">
        <f>-20764-R87</f>
        <v>-14689</v>
      </c>
      <c r="T87" s="96">
        <v>3974</v>
      </c>
      <c r="U87" s="34">
        <f t="shared" si="256"/>
        <v>14901</v>
      </c>
      <c r="V87" s="96">
        <v>-4542</v>
      </c>
      <c r="W87" s="96">
        <f>-16710-V87</f>
        <v>-12168</v>
      </c>
      <c r="X87" s="96">
        <f>-15171-W87-V87</f>
        <v>1539</v>
      </c>
      <c r="Y87" s="34">
        <f t="shared" si="257"/>
        <v>21191</v>
      </c>
      <c r="Z87" s="96">
        <v>-6671</v>
      </c>
      <c r="AA87" s="96">
        <f>-14604-Z87</f>
        <v>-7933</v>
      </c>
      <c r="AB87" s="96">
        <f>-18479-AA87-Z87</f>
        <v>-3875</v>
      </c>
      <c r="AC87" s="34">
        <f t="shared" si="258"/>
        <v>19381</v>
      </c>
      <c r="AE87" s="34">
        <f t="shared" si="259"/>
        <v>-16440</v>
      </c>
      <c r="AF87" s="34">
        <f t="shared" si="259"/>
        <v>-9566</v>
      </c>
      <c r="AG87" s="34">
        <f t="shared" si="259"/>
        <v>-1234</v>
      </c>
      <c r="AH87" s="34">
        <f t="shared" si="259"/>
        <v>-1889</v>
      </c>
      <c r="AI87" s="34">
        <f t="shared" si="259"/>
        <v>-356</v>
      </c>
      <c r="AJ87" s="34">
        <f t="shared" si="259"/>
        <v>2165</v>
      </c>
      <c r="AK87" s="34">
        <f t="shared" si="259"/>
        <v>-270</v>
      </c>
      <c r="AL87" s="34">
        <f t="shared" si="259"/>
        <v>6020</v>
      </c>
      <c r="AM87" s="34">
        <f t="shared" si="259"/>
        <v>3891</v>
      </c>
      <c r="AN87" s="34">
        <f t="shared" si="259"/>
        <v>8126</v>
      </c>
      <c r="AO87" s="34">
        <f t="shared" si="259"/>
        <v>2712</v>
      </c>
      <c r="AP87" s="34">
        <f t="shared" si="259"/>
        <v>902</v>
      </c>
      <c r="AQ87" s="65"/>
      <c r="AR87" s="87">
        <f t="shared" si="260"/>
        <v>-0.85016611295681066</v>
      </c>
    </row>
    <row r="88" spans="2:44" ht="12.75" customHeight="1">
      <c r="B88" s="66" t="s">
        <v>201</v>
      </c>
      <c r="C88" s="96">
        <v>-1554</v>
      </c>
      <c r="D88" s="96">
        <v>-626</v>
      </c>
      <c r="E88" s="96">
        <v>-44</v>
      </c>
      <c r="F88" s="96">
        <v>-625</v>
      </c>
      <c r="G88" s="96">
        <v>2081</v>
      </c>
      <c r="H88" s="96">
        <v>1676</v>
      </c>
      <c r="I88" s="96">
        <v>478</v>
      </c>
      <c r="J88" s="96">
        <v>0</v>
      </c>
      <c r="K88" s="96">
        <v>0</v>
      </c>
      <c r="L88" s="96">
        <v>0</v>
      </c>
      <c r="M88" s="34"/>
      <c r="N88" s="96">
        <v>462</v>
      </c>
      <c r="O88" s="96">
        <f>627-N88</f>
        <v>165</v>
      </c>
      <c r="P88" s="96">
        <f>260-SUM(N88:O88)</f>
        <v>-367</v>
      </c>
      <c r="Q88" s="34">
        <f t="shared" si="255"/>
        <v>218</v>
      </c>
      <c r="R88" s="96">
        <v>131</v>
      </c>
      <c r="S88" s="96">
        <f>0-R88</f>
        <v>-131</v>
      </c>
      <c r="T88" s="96">
        <v>0</v>
      </c>
      <c r="U88" s="34">
        <f t="shared" si="256"/>
        <v>0</v>
      </c>
      <c r="V88" s="96">
        <v>0</v>
      </c>
      <c r="W88" s="96">
        <v>0</v>
      </c>
      <c r="X88" s="96">
        <v>0</v>
      </c>
      <c r="Y88" s="34">
        <f t="shared" si="257"/>
        <v>0</v>
      </c>
      <c r="Z88" s="96">
        <v>0</v>
      </c>
      <c r="AA88" s="96">
        <v>0</v>
      </c>
      <c r="AB88" s="96">
        <v>0</v>
      </c>
      <c r="AC88" s="34">
        <f t="shared" si="258"/>
        <v>0</v>
      </c>
      <c r="AE88" s="34">
        <f t="shared" si="259"/>
        <v>147</v>
      </c>
      <c r="AF88" s="34">
        <f t="shared" si="259"/>
        <v>-149</v>
      </c>
      <c r="AG88" s="34">
        <f t="shared" si="259"/>
        <v>218</v>
      </c>
      <c r="AH88" s="34">
        <f t="shared" si="259"/>
        <v>0</v>
      </c>
      <c r="AI88" s="34">
        <f t="shared" si="259"/>
        <v>-131</v>
      </c>
      <c r="AJ88" s="34">
        <f t="shared" si="259"/>
        <v>0</v>
      </c>
      <c r="AK88" s="34">
        <f t="shared" si="259"/>
        <v>0</v>
      </c>
      <c r="AL88" s="34">
        <f t="shared" si="259"/>
        <v>0</v>
      </c>
      <c r="AM88" s="34">
        <f t="shared" si="259"/>
        <v>0</v>
      </c>
      <c r="AN88" s="34">
        <f t="shared" si="259"/>
        <v>0</v>
      </c>
      <c r="AO88" s="34">
        <f t="shared" si="259"/>
        <v>0</v>
      </c>
      <c r="AP88" s="34">
        <f t="shared" si="259"/>
        <v>0</v>
      </c>
      <c r="AQ88" s="65"/>
      <c r="AR88" s="87" t="e">
        <f t="shared" si="260"/>
        <v>#DIV/0!</v>
      </c>
    </row>
    <row r="89" spans="2:44" ht="12.75" customHeight="1">
      <c r="B89" s="66" t="s">
        <v>202</v>
      </c>
      <c r="C89" s="96">
        <v>-2104</v>
      </c>
      <c r="D89" s="96">
        <v>-154</v>
      </c>
      <c r="E89" s="96">
        <v>38490</v>
      </c>
      <c r="F89" s="96">
        <v>-4700</v>
      </c>
      <c r="G89" s="96">
        <v>8916</v>
      </c>
      <c r="H89" s="96">
        <v>5799</v>
      </c>
      <c r="I89" s="96">
        <v>5632</v>
      </c>
      <c r="J89" s="96">
        <v>3031</v>
      </c>
      <c r="K89" s="96">
        <v>15552</v>
      </c>
      <c r="L89" s="96">
        <f>-347-11076</f>
        <v>-11423</v>
      </c>
      <c r="M89" s="34"/>
      <c r="N89" s="96">
        <v>4236</v>
      </c>
      <c r="O89" s="96">
        <f>1888-N89</f>
        <v>-2348</v>
      </c>
      <c r="P89" s="96">
        <f>-14-SUM(N89:O89)</f>
        <v>-1902</v>
      </c>
      <c r="Q89" s="34">
        <f t="shared" si="255"/>
        <v>5646</v>
      </c>
      <c r="R89" s="96">
        <v>3758</v>
      </c>
      <c r="S89" s="96">
        <f>1757-R89</f>
        <v>-2001</v>
      </c>
      <c r="T89" s="96">
        <v>1229</v>
      </c>
      <c r="U89" s="34">
        <f t="shared" si="256"/>
        <v>45</v>
      </c>
      <c r="V89" s="96">
        <v>-3865</v>
      </c>
      <c r="W89" s="96">
        <f>-3437-V89</f>
        <v>428</v>
      </c>
      <c r="X89" s="96">
        <f>2-W89-V89</f>
        <v>3439</v>
      </c>
      <c r="Y89" s="34">
        <f t="shared" si="257"/>
        <v>15550</v>
      </c>
      <c r="Z89" s="96">
        <v>-11998</v>
      </c>
      <c r="AA89" s="96">
        <f>-15579-Z89</f>
        <v>-3581</v>
      </c>
      <c r="AB89" s="96">
        <f>-15161-AA89-Z89</f>
        <v>418</v>
      </c>
      <c r="AC89" s="34">
        <f t="shared" si="258"/>
        <v>3738</v>
      </c>
      <c r="AE89" s="34">
        <f t="shared" si="259"/>
        <v>5154</v>
      </c>
      <c r="AF89" s="34">
        <f t="shared" si="259"/>
        <v>5501</v>
      </c>
      <c r="AG89" s="34">
        <f t="shared" si="259"/>
        <v>8632</v>
      </c>
      <c r="AH89" s="34">
        <f t="shared" si="259"/>
        <v>3031</v>
      </c>
      <c r="AI89" s="34">
        <f t="shared" si="259"/>
        <v>-4592</v>
      </c>
      <c r="AJ89" s="34">
        <f t="shared" si="259"/>
        <v>-2163</v>
      </c>
      <c r="AK89" s="34">
        <f t="shared" si="259"/>
        <v>47</v>
      </c>
      <c r="AL89" s="34">
        <f t="shared" si="259"/>
        <v>15552</v>
      </c>
      <c r="AM89" s="34">
        <f t="shared" si="259"/>
        <v>7419</v>
      </c>
      <c r="AN89" s="34">
        <f t="shared" si="259"/>
        <v>3410</v>
      </c>
      <c r="AO89" s="34">
        <f t="shared" si="259"/>
        <v>389</v>
      </c>
      <c r="AP89" s="34">
        <f t="shared" si="259"/>
        <v>-11423</v>
      </c>
      <c r="AQ89" s="65"/>
      <c r="AR89" s="87">
        <f t="shared" si="260"/>
        <v>-1.7345036008230452</v>
      </c>
    </row>
    <row r="90" spans="2:44" ht="12.75" customHeight="1">
      <c r="B90" s="14" t="s">
        <v>88</v>
      </c>
      <c r="C90" s="15">
        <f t="shared" ref="C90:K90" si="261">SUM(C75:C89)</f>
        <v>65824</v>
      </c>
      <c r="D90" s="15">
        <f t="shared" si="261"/>
        <v>63598</v>
      </c>
      <c r="E90" s="15">
        <f t="shared" si="261"/>
        <v>77434</v>
      </c>
      <c r="F90" s="15">
        <f t="shared" si="261"/>
        <v>69391</v>
      </c>
      <c r="G90" s="15">
        <f t="shared" si="261"/>
        <v>80674</v>
      </c>
      <c r="H90" s="15">
        <f t="shared" si="261"/>
        <v>104038</v>
      </c>
      <c r="I90" s="15">
        <f t="shared" si="261"/>
        <v>122151</v>
      </c>
      <c r="J90" s="15">
        <f t="shared" si="261"/>
        <v>110543</v>
      </c>
      <c r="K90" s="15">
        <f t="shared" si="261"/>
        <v>118254</v>
      </c>
      <c r="L90" s="15">
        <f t="shared" ref="L90" si="262">SUM(L75:L89)</f>
        <v>111482</v>
      </c>
      <c r="N90" s="15">
        <f t="shared" ref="N90:AC90" si="263">SUM(N75:N89)</f>
        <v>46966</v>
      </c>
      <c r="O90" s="15">
        <f t="shared" si="263"/>
        <v>28166</v>
      </c>
      <c r="P90" s="15">
        <f t="shared" si="263"/>
        <v>22892</v>
      </c>
      <c r="Q90" s="15">
        <f t="shared" si="263"/>
        <v>24127</v>
      </c>
      <c r="R90" s="15">
        <f t="shared" si="263"/>
        <v>34005</v>
      </c>
      <c r="S90" s="15">
        <f t="shared" si="263"/>
        <v>28560</v>
      </c>
      <c r="T90" s="15">
        <f t="shared" si="263"/>
        <v>26380</v>
      </c>
      <c r="U90" s="15">
        <f t="shared" si="263"/>
        <v>21598</v>
      </c>
      <c r="V90" s="15">
        <f t="shared" si="263"/>
        <v>39895</v>
      </c>
      <c r="W90" s="15">
        <f t="shared" si="263"/>
        <v>22690</v>
      </c>
      <c r="X90" s="15">
        <f t="shared" si="263"/>
        <v>28858</v>
      </c>
      <c r="Y90" s="15">
        <f t="shared" si="263"/>
        <v>26811</v>
      </c>
      <c r="Z90" s="15">
        <f t="shared" si="263"/>
        <v>29935</v>
      </c>
      <c r="AA90" s="15">
        <f t="shared" si="263"/>
        <v>23952</v>
      </c>
      <c r="AB90" s="15">
        <f t="shared" si="263"/>
        <v>27867</v>
      </c>
      <c r="AC90" s="15">
        <f t="shared" si="263"/>
        <v>29728</v>
      </c>
      <c r="AE90" s="15">
        <f t="shared" ref="AE90:AO90" si="264">SUM(AE75:AE89)</f>
        <v>109190</v>
      </c>
      <c r="AF90" s="15">
        <f t="shared" si="264"/>
        <v>109584</v>
      </c>
      <c r="AG90" s="15">
        <f t="shared" si="264"/>
        <v>113072</v>
      </c>
      <c r="AH90" s="15">
        <f t="shared" si="264"/>
        <v>110543</v>
      </c>
      <c r="AI90" s="15">
        <f t="shared" si="264"/>
        <v>116433</v>
      </c>
      <c r="AJ90" s="15">
        <f t="shared" si="264"/>
        <v>110563</v>
      </c>
      <c r="AK90" s="15">
        <f t="shared" si="264"/>
        <v>113041</v>
      </c>
      <c r="AL90" s="15">
        <f t="shared" si="264"/>
        <v>118254</v>
      </c>
      <c r="AM90" s="15">
        <f t="shared" si="264"/>
        <v>108294</v>
      </c>
      <c r="AN90" s="15">
        <f t="shared" si="264"/>
        <v>109556</v>
      </c>
      <c r="AO90" s="15">
        <f t="shared" si="264"/>
        <v>108565</v>
      </c>
      <c r="AP90" s="15">
        <f t="shared" ref="AP90" si="265">SUM(AP75:AP89)</f>
        <v>111482</v>
      </c>
      <c r="AQ90" s="45"/>
      <c r="AR90" s="88">
        <f t="shared" si="260"/>
        <v>-5.7266561807634453E-2</v>
      </c>
    </row>
    <row r="91" spans="2:44" ht="12.75" customHeight="1">
      <c r="B91" s="59"/>
      <c r="C91" s="67"/>
      <c r="D91" s="67"/>
      <c r="E91" s="67"/>
      <c r="F91" s="67"/>
      <c r="G91" s="67"/>
      <c r="H91" s="67"/>
      <c r="I91" s="67"/>
      <c r="J91" s="67"/>
      <c r="K91" s="67"/>
      <c r="L91" s="67"/>
      <c r="N91" s="67"/>
      <c r="O91" s="67"/>
      <c r="P91" s="67"/>
      <c r="Q91" s="67"/>
      <c r="R91" s="67"/>
      <c r="S91" s="67"/>
      <c r="T91" s="67"/>
      <c r="U91" s="67"/>
      <c r="V91" s="67"/>
      <c r="W91" s="67"/>
      <c r="X91" s="67"/>
      <c r="Y91" s="67"/>
      <c r="Z91" s="67"/>
      <c r="AA91" s="67"/>
      <c r="AB91" s="67"/>
      <c r="AC91" s="67"/>
      <c r="AE91" s="45"/>
      <c r="AF91" s="45"/>
      <c r="AG91" s="45"/>
      <c r="AH91" s="45"/>
      <c r="AI91" s="45"/>
      <c r="AJ91" s="45"/>
      <c r="AK91" s="45"/>
      <c r="AL91" s="45"/>
      <c r="AM91" s="45"/>
      <c r="AN91" s="45"/>
      <c r="AO91" s="45"/>
      <c r="AP91" s="45"/>
      <c r="AQ91" s="45"/>
      <c r="AR91" s="42"/>
    </row>
    <row r="92" spans="2:44" ht="12.75" customHeight="1">
      <c r="B92" s="59" t="s">
        <v>89</v>
      </c>
      <c r="C92" s="64"/>
      <c r="D92" s="64"/>
      <c r="E92" s="64"/>
      <c r="F92" s="64"/>
      <c r="G92" s="64"/>
      <c r="H92" s="64"/>
      <c r="I92" s="64"/>
      <c r="J92" s="64"/>
      <c r="K92" s="64"/>
      <c r="L92" s="64"/>
      <c r="N92" s="64"/>
      <c r="O92" s="64"/>
      <c r="P92" s="68"/>
      <c r="Q92" s="64"/>
      <c r="R92" s="64"/>
      <c r="S92" s="64"/>
      <c r="T92" s="68"/>
      <c r="U92" s="64"/>
      <c r="V92" s="64"/>
      <c r="W92" s="64"/>
      <c r="X92" s="64"/>
      <c r="Y92" s="64"/>
      <c r="Z92" s="64"/>
      <c r="AA92" s="64"/>
      <c r="AB92" s="64"/>
      <c r="AC92" s="64"/>
      <c r="AE92" s="64"/>
      <c r="AF92" s="64"/>
      <c r="AG92" s="64"/>
      <c r="AH92" s="64"/>
      <c r="AI92" s="64"/>
      <c r="AJ92" s="64"/>
      <c r="AK92" s="64"/>
      <c r="AL92" s="64"/>
      <c r="AM92" s="64"/>
      <c r="AN92" s="64"/>
      <c r="AO92" s="64"/>
      <c r="AP92" s="64"/>
      <c r="AQ92" s="65"/>
      <c r="AR92" s="42"/>
    </row>
    <row r="93" spans="2:44" ht="12.75" customHeight="1">
      <c r="B93" s="66" t="s">
        <v>203</v>
      </c>
      <c r="C93" s="96">
        <v>-12734</v>
      </c>
      <c r="D93" s="96">
        <v>-12451</v>
      </c>
      <c r="E93" s="96">
        <v>-13313</v>
      </c>
      <c r="F93" s="96">
        <v>-10495</v>
      </c>
      <c r="G93" s="96">
        <v>-7309</v>
      </c>
      <c r="H93" s="96">
        <v>-11085</v>
      </c>
      <c r="I93" s="96">
        <v>-10708</v>
      </c>
      <c r="J93" s="96">
        <v>-10959</v>
      </c>
      <c r="K93" s="96">
        <v>-9447</v>
      </c>
      <c r="L93" s="96">
        <v>-12715</v>
      </c>
      <c r="M93" s="34"/>
      <c r="N93" s="96">
        <v>-2803</v>
      </c>
      <c r="O93" s="96">
        <f>-5317-N93</f>
        <v>-2514</v>
      </c>
      <c r="P93" s="96">
        <f>-7419-SUM(N93:O93)</f>
        <v>-2102</v>
      </c>
      <c r="Q93" s="34">
        <f t="shared" ref="Q93:Q97" si="266">SUM(I93-SUM(N93:P93))</f>
        <v>-3289</v>
      </c>
      <c r="R93" s="96">
        <v>-3787</v>
      </c>
      <c r="S93" s="96">
        <f>-6703-R93</f>
        <v>-2916</v>
      </c>
      <c r="T93" s="96">
        <v>-2093</v>
      </c>
      <c r="U93" s="34">
        <f t="shared" ref="U93:U97" si="267">SUM(J93-SUM(R93:T93))</f>
        <v>-2163</v>
      </c>
      <c r="V93" s="96">
        <v>-2392</v>
      </c>
      <c r="W93" s="96">
        <f>-4388-V93</f>
        <v>-1996</v>
      </c>
      <c r="X93" s="96">
        <f>-6539-W93-V93</f>
        <v>-2151</v>
      </c>
      <c r="Y93" s="34">
        <f t="shared" ref="Y93:Y97" si="268">SUM(K93-SUM(V93:X93))</f>
        <v>-2908</v>
      </c>
      <c r="Z93" s="96">
        <v>-2940</v>
      </c>
      <c r="AA93" s="96">
        <f>-6011-Z93</f>
        <v>-3071</v>
      </c>
      <c r="AB93" s="96">
        <f>-9473-AA93-Z93</f>
        <v>-3462</v>
      </c>
      <c r="AC93" s="34">
        <f t="shared" ref="AC93:AC97" si="269">SUM(L93-SUM(Z93:AB93))</f>
        <v>-3242</v>
      </c>
      <c r="AD93" s="34"/>
      <c r="AE93" s="34">
        <f t="shared" ref="AE93:AP97" si="270">SUM(O93:R93)</f>
        <v>-11692</v>
      </c>
      <c r="AF93" s="34">
        <f t="shared" si="270"/>
        <v>-12094</v>
      </c>
      <c r="AG93" s="34">
        <f t="shared" si="270"/>
        <v>-12085</v>
      </c>
      <c r="AH93" s="34">
        <f t="shared" si="270"/>
        <v>-10959</v>
      </c>
      <c r="AI93" s="34">
        <f t="shared" si="270"/>
        <v>-9564</v>
      </c>
      <c r="AJ93" s="34">
        <f t="shared" si="270"/>
        <v>-8644</v>
      </c>
      <c r="AK93" s="34">
        <f t="shared" si="270"/>
        <v>-8702</v>
      </c>
      <c r="AL93" s="34">
        <f t="shared" si="270"/>
        <v>-9447</v>
      </c>
      <c r="AM93" s="34">
        <f t="shared" si="270"/>
        <v>-9995</v>
      </c>
      <c r="AN93" s="34">
        <f t="shared" si="270"/>
        <v>-11070</v>
      </c>
      <c r="AO93" s="34">
        <f t="shared" si="270"/>
        <v>-12381</v>
      </c>
      <c r="AP93" s="34">
        <f t="shared" si="270"/>
        <v>-12715</v>
      </c>
      <c r="AQ93" s="65"/>
      <c r="AR93" s="87">
        <f t="shared" ref="AR93:AR98" si="271">SUM(AP93/AL93)-1</f>
        <v>0.34592992484386587</v>
      </c>
    </row>
    <row r="94" spans="2:44" ht="12.75" customHeight="1">
      <c r="B94" s="66" t="s">
        <v>204</v>
      </c>
      <c r="C94" s="96">
        <v>111794</v>
      </c>
      <c r="D94" s="96">
        <v>126339</v>
      </c>
      <c r="E94" s="96">
        <v>103719</v>
      </c>
      <c r="F94" s="96">
        <v>97090</v>
      </c>
      <c r="G94" s="96">
        <v>120391</v>
      </c>
      <c r="H94" s="96">
        <v>106483</v>
      </c>
      <c r="I94" s="96">
        <v>67363</v>
      </c>
      <c r="J94" s="96">
        <v>45514</v>
      </c>
      <c r="K94" s="96">
        <v>62346</v>
      </c>
      <c r="L94" s="96">
        <f>40907+12890</f>
        <v>53797</v>
      </c>
      <c r="M94" s="34"/>
      <c r="N94" s="96">
        <f>11309+10675</f>
        <v>21984</v>
      </c>
      <c r="O94" s="96">
        <f>18000+24668-N94</f>
        <v>20684</v>
      </c>
      <c r="P94" s="96">
        <f>24203+33609-SUM(N94:O94)</f>
        <v>15144</v>
      </c>
      <c r="Q94" s="34">
        <f t="shared" si="266"/>
        <v>9551</v>
      </c>
      <c r="R94" s="96">
        <f>7127+509</f>
        <v>7636</v>
      </c>
      <c r="S94" s="96">
        <f>17124+1897-R94</f>
        <v>11385</v>
      </c>
      <c r="T94" s="96">
        <v>12795</v>
      </c>
      <c r="U94" s="34">
        <f t="shared" si="267"/>
        <v>13698</v>
      </c>
      <c r="V94" s="96">
        <f>13046+1337</f>
        <v>14383</v>
      </c>
      <c r="W94" s="96">
        <f>27462+4314-V94</f>
        <v>17393</v>
      </c>
      <c r="X94" s="96">
        <f>39838+7382-W94-V94</f>
        <v>15444</v>
      </c>
      <c r="Y94" s="34">
        <f t="shared" si="268"/>
        <v>15126</v>
      </c>
      <c r="Z94" s="96">
        <v>19459</v>
      </c>
      <c r="AA94" s="96">
        <f>26587+5210-Z94</f>
        <v>12338</v>
      </c>
      <c r="AB94" s="96">
        <f>35036+10785-AA94-Z94</f>
        <v>14024</v>
      </c>
      <c r="AC94" s="34">
        <f t="shared" si="269"/>
        <v>7976</v>
      </c>
      <c r="AD94" s="34"/>
      <c r="AE94" s="34">
        <f t="shared" si="270"/>
        <v>53015</v>
      </c>
      <c r="AF94" s="34">
        <f t="shared" si="270"/>
        <v>43716</v>
      </c>
      <c r="AG94" s="34">
        <f t="shared" si="270"/>
        <v>41367</v>
      </c>
      <c r="AH94" s="34">
        <f t="shared" si="270"/>
        <v>45514</v>
      </c>
      <c r="AI94" s="34">
        <f t="shared" si="270"/>
        <v>52261</v>
      </c>
      <c r="AJ94" s="34">
        <f t="shared" si="270"/>
        <v>58269</v>
      </c>
      <c r="AK94" s="34">
        <f t="shared" si="270"/>
        <v>60918</v>
      </c>
      <c r="AL94" s="34">
        <f t="shared" si="270"/>
        <v>62346</v>
      </c>
      <c r="AM94" s="34">
        <f t="shared" si="270"/>
        <v>67422</v>
      </c>
      <c r="AN94" s="34">
        <f t="shared" si="270"/>
        <v>62367</v>
      </c>
      <c r="AO94" s="34">
        <f t="shared" si="270"/>
        <v>60947</v>
      </c>
      <c r="AP94" s="34">
        <f t="shared" si="270"/>
        <v>53797</v>
      </c>
      <c r="AQ94" s="65"/>
      <c r="AR94" s="87">
        <f t="shared" si="271"/>
        <v>-0.13712186828345041</v>
      </c>
    </row>
    <row r="95" spans="2:44" ht="12.75" customHeight="1">
      <c r="B95" s="66" t="s">
        <v>205</v>
      </c>
      <c r="C95" s="96">
        <v>-142428</v>
      </c>
      <c r="D95" s="96">
        <v>-159486</v>
      </c>
      <c r="E95" s="96">
        <v>-71356</v>
      </c>
      <c r="F95" s="96">
        <v>-39630</v>
      </c>
      <c r="G95" s="96">
        <v>-114938</v>
      </c>
      <c r="H95" s="96">
        <v>-109558</v>
      </c>
      <c r="I95" s="96">
        <v>-76923</v>
      </c>
      <c r="J95" s="96">
        <v>-29513</v>
      </c>
      <c r="K95" s="96">
        <v>-48656</v>
      </c>
      <c r="L95" s="96">
        <v>-24407</v>
      </c>
      <c r="M95" s="34"/>
      <c r="N95" s="96">
        <v>-34913</v>
      </c>
      <c r="O95" s="96">
        <f>-61987-N95</f>
        <v>-27074</v>
      </c>
      <c r="P95" s="96">
        <f>-70178-SUM(N95:O95)</f>
        <v>-8191</v>
      </c>
      <c r="Q95" s="34">
        <f t="shared" si="266"/>
        <v>-6745</v>
      </c>
      <c r="R95" s="96">
        <v>-5153</v>
      </c>
      <c r="S95" s="96">
        <f>-11197-R95</f>
        <v>-6044</v>
      </c>
      <c r="T95" s="96">
        <v>-9759</v>
      </c>
      <c r="U95" s="34">
        <f t="shared" si="267"/>
        <v>-8557</v>
      </c>
      <c r="V95" s="96">
        <v>-9780</v>
      </c>
      <c r="W95" s="96">
        <f>-25042-V95</f>
        <v>-15262</v>
      </c>
      <c r="X95" s="96">
        <f>-38074-W95-V95</f>
        <v>-13032</v>
      </c>
      <c r="Y95" s="34">
        <f t="shared" si="268"/>
        <v>-10582</v>
      </c>
      <c r="Z95" s="96">
        <v>-6124</v>
      </c>
      <c r="AA95" s="96">
        <f>-12442-Z95</f>
        <v>-6318</v>
      </c>
      <c r="AB95" s="96">
        <f>-17591-AA95-Z95</f>
        <v>-5149</v>
      </c>
      <c r="AC95" s="34">
        <f t="shared" si="269"/>
        <v>-6816</v>
      </c>
      <c r="AD95" s="34"/>
      <c r="AE95" s="34">
        <f t="shared" si="270"/>
        <v>-47163</v>
      </c>
      <c r="AF95" s="34">
        <f t="shared" si="270"/>
        <v>-26133</v>
      </c>
      <c r="AG95" s="34">
        <f t="shared" si="270"/>
        <v>-27701</v>
      </c>
      <c r="AH95" s="34">
        <f t="shared" si="270"/>
        <v>-29513</v>
      </c>
      <c r="AI95" s="34">
        <f t="shared" si="270"/>
        <v>-34140</v>
      </c>
      <c r="AJ95" s="34">
        <f t="shared" si="270"/>
        <v>-43358</v>
      </c>
      <c r="AK95" s="34">
        <f t="shared" si="270"/>
        <v>-46631</v>
      </c>
      <c r="AL95" s="34">
        <f t="shared" si="270"/>
        <v>-48656</v>
      </c>
      <c r="AM95" s="34">
        <f t="shared" si="270"/>
        <v>-45000</v>
      </c>
      <c r="AN95" s="34">
        <f t="shared" si="270"/>
        <v>-36056</v>
      </c>
      <c r="AO95" s="34">
        <f t="shared" si="270"/>
        <v>-28173</v>
      </c>
      <c r="AP95" s="34">
        <f t="shared" si="270"/>
        <v>-24407</v>
      </c>
      <c r="AQ95" s="65"/>
      <c r="AR95" s="87">
        <f t="shared" si="271"/>
        <v>-0.49837635646169021</v>
      </c>
    </row>
    <row r="96" spans="2:44" ht="12.75" customHeight="1">
      <c r="B96" s="66" t="s">
        <v>206</v>
      </c>
      <c r="C96" s="96">
        <v>-1111</v>
      </c>
      <c r="D96" s="96">
        <v>-673</v>
      </c>
      <c r="E96" s="96">
        <v>-721</v>
      </c>
      <c r="F96" s="96">
        <v>-624</v>
      </c>
      <c r="G96" s="96">
        <v>-1524</v>
      </c>
      <c r="H96" s="96">
        <v>-33</v>
      </c>
      <c r="I96" s="96">
        <v>-306</v>
      </c>
      <c r="J96" s="96">
        <v>0</v>
      </c>
      <c r="K96" s="96">
        <v>0</v>
      </c>
      <c r="L96" s="96">
        <v>0</v>
      </c>
      <c r="M96" s="34"/>
      <c r="N96" s="96">
        <v>0</v>
      </c>
      <c r="O96" s="96">
        <v>-167</v>
      </c>
      <c r="P96" s="96">
        <f>-169-SUM(N96:O96)</f>
        <v>-2</v>
      </c>
      <c r="Q96" s="34">
        <f t="shared" si="266"/>
        <v>-137</v>
      </c>
      <c r="R96" s="96">
        <v>0</v>
      </c>
      <c r="S96" s="96">
        <v>0</v>
      </c>
      <c r="T96" s="96">
        <v>0</v>
      </c>
      <c r="U96" s="34">
        <f t="shared" si="267"/>
        <v>0</v>
      </c>
      <c r="V96" s="96">
        <v>0</v>
      </c>
      <c r="W96" s="96">
        <v>0</v>
      </c>
      <c r="X96" s="96">
        <v>0</v>
      </c>
      <c r="Y96" s="34">
        <f t="shared" si="268"/>
        <v>0</v>
      </c>
      <c r="Z96" s="96">
        <v>0</v>
      </c>
      <c r="AA96" s="96">
        <v>0</v>
      </c>
      <c r="AB96" s="96">
        <v>0</v>
      </c>
      <c r="AC96" s="34">
        <f t="shared" si="269"/>
        <v>0</v>
      </c>
      <c r="AD96" s="34"/>
      <c r="AE96" s="34">
        <f t="shared" si="270"/>
        <v>-306</v>
      </c>
      <c r="AF96" s="34">
        <f t="shared" si="270"/>
        <v>-139</v>
      </c>
      <c r="AG96" s="34">
        <f t="shared" si="270"/>
        <v>-137</v>
      </c>
      <c r="AH96" s="34">
        <f t="shared" si="270"/>
        <v>0</v>
      </c>
      <c r="AI96" s="34">
        <f t="shared" si="270"/>
        <v>0</v>
      </c>
      <c r="AJ96" s="34">
        <f t="shared" si="270"/>
        <v>0</v>
      </c>
      <c r="AK96" s="34">
        <f t="shared" si="270"/>
        <v>0</v>
      </c>
      <c r="AL96" s="34">
        <f t="shared" si="270"/>
        <v>0</v>
      </c>
      <c r="AM96" s="34">
        <f t="shared" si="270"/>
        <v>0</v>
      </c>
      <c r="AN96" s="34">
        <f t="shared" si="270"/>
        <v>0</v>
      </c>
      <c r="AO96" s="34">
        <f t="shared" si="270"/>
        <v>0</v>
      </c>
      <c r="AP96" s="34">
        <f t="shared" si="270"/>
        <v>0</v>
      </c>
      <c r="AQ96" s="65"/>
      <c r="AR96" s="87" t="e">
        <f t="shared" si="271"/>
        <v>#DIV/0!</v>
      </c>
    </row>
    <row r="97" spans="2:44" ht="12.75" customHeight="1">
      <c r="B97" s="66" t="s">
        <v>456</v>
      </c>
      <c r="C97" s="96">
        <v>-1498</v>
      </c>
      <c r="D97" s="96">
        <v>-175</v>
      </c>
      <c r="E97" s="96">
        <v>-2263</v>
      </c>
      <c r="F97" s="96">
        <v>-445</v>
      </c>
      <c r="G97" s="96">
        <v>-909</v>
      </c>
      <c r="H97" s="96">
        <v>-352</v>
      </c>
      <c r="I97" s="96">
        <v>-1780</v>
      </c>
      <c r="J97" s="96">
        <v>-1337</v>
      </c>
      <c r="K97" s="96">
        <v>-1308</v>
      </c>
      <c r="L97" s="96">
        <v>-1480</v>
      </c>
      <c r="M97" s="34"/>
      <c r="N97" s="96">
        <v>-374</v>
      </c>
      <c r="O97" s="96">
        <f>-568-N97</f>
        <v>-194</v>
      </c>
      <c r="P97" s="96">
        <f>-1183-SUM(N97:O97)</f>
        <v>-615</v>
      </c>
      <c r="Q97" s="34">
        <f t="shared" si="266"/>
        <v>-597</v>
      </c>
      <c r="R97" s="96">
        <v>-141</v>
      </c>
      <c r="S97" s="96">
        <f>-247-R97</f>
        <v>-106</v>
      </c>
      <c r="T97" s="96">
        <v>-506</v>
      </c>
      <c r="U97" s="34">
        <f t="shared" si="267"/>
        <v>-584</v>
      </c>
      <c r="V97" s="96">
        <v>-284</v>
      </c>
      <c r="W97" s="96">
        <f>-729-V97</f>
        <v>-445</v>
      </c>
      <c r="X97" s="96">
        <f>-1117-W97-V97</f>
        <v>-388</v>
      </c>
      <c r="Y97" s="34">
        <f t="shared" si="268"/>
        <v>-191</v>
      </c>
      <c r="Z97" s="96">
        <v>-603</v>
      </c>
      <c r="AA97" s="96">
        <f>-635-Z97</f>
        <v>-32</v>
      </c>
      <c r="AB97" s="96">
        <f>-975-AA97-Z97</f>
        <v>-340</v>
      </c>
      <c r="AC97" s="34">
        <f t="shared" si="269"/>
        <v>-505</v>
      </c>
      <c r="AD97" s="34"/>
      <c r="AE97" s="34">
        <f t="shared" si="270"/>
        <v>-1547</v>
      </c>
      <c r="AF97" s="34">
        <f t="shared" si="270"/>
        <v>-1459</v>
      </c>
      <c r="AG97" s="34">
        <f t="shared" si="270"/>
        <v>-1350</v>
      </c>
      <c r="AH97" s="34">
        <f t="shared" si="270"/>
        <v>-1337</v>
      </c>
      <c r="AI97" s="34">
        <f t="shared" si="270"/>
        <v>-1480</v>
      </c>
      <c r="AJ97" s="34">
        <f t="shared" si="270"/>
        <v>-1819</v>
      </c>
      <c r="AK97" s="34">
        <f t="shared" si="270"/>
        <v>-1701</v>
      </c>
      <c r="AL97" s="34">
        <f t="shared" si="270"/>
        <v>-1308</v>
      </c>
      <c r="AM97" s="34">
        <f t="shared" si="270"/>
        <v>-1627</v>
      </c>
      <c r="AN97" s="34">
        <f t="shared" si="270"/>
        <v>-1214</v>
      </c>
      <c r="AO97" s="34">
        <f t="shared" si="270"/>
        <v>-1166</v>
      </c>
      <c r="AP97" s="34">
        <f t="shared" si="270"/>
        <v>-1480</v>
      </c>
      <c r="AQ97" s="65"/>
      <c r="AR97" s="87">
        <f t="shared" si="271"/>
        <v>0.13149847094801226</v>
      </c>
    </row>
    <row r="98" spans="2:44" ht="12.75" customHeight="1">
      <c r="B98" s="14" t="s">
        <v>90</v>
      </c>
      <c r="C98" s="15">
        <f t="shared" ref="C98:K98" si="272">SUM(C93:C97)</f>
        <v>-45977</v>
      </c>
      <c r="D98" s="15">
        <f t="shared" si="272"/>
        <v>-46446</v>
      </c>
      <c r="E98" s="15">
        <f t="shared" si="272"/>
        <v>16066</v>
      </c>
      <c r="F98" s="15">
        <f t="shared" si="272"/>
        <v>45896</v>
      </c>
      <c r="G98" s="15">
        <f t="shared" si="272"/>
        <v>-4289</v>
      </c>
      <c r="H98" s="15">
        <f t="shared" si="272"/>
        <v>-14545</v>
      </c>
      <c r="I98" s="15">
        <f t="shared" si="272"/>
        <v>-22354</v>
      </c>
      <c r="J98" s="15">
        <f t="shared" si="272"/>
        <v>3705</v>
      </c>
      <c r="K98" s="15">
        <f t="shared" si="272"/>
        <v>2935</v>
      </c>
      <c r="L98" s="15">
        <f t="shared" ref="L98" si="273">SUM(L93:L97)</f>
        <v>15195</v>
      </c>
      <c r="N98" s="15">
        <f t="shared" ref="N98:AB98" si="274">SUM(N93:N97)</f>
        <v>-16106</v>
      </c>
      <c r="O98" s="15">
        <f t="shared" si="274"/>
        <v>-9265</v>
      </c>
      <c r="P98" s="15">
        <f t="shared" si="274"/>
        <v>4234</v>
      </c>
      <c r="Q98" s="15">
        <f t="shared" si="274"/>
        <v>-1217</v>
      </c>
      <c r="R98" s="15">
        <f t="shared" si="274"/>
        <v>-1445</v>
      </c>
      <c r="S98" s="15">
        <f t="shared" si="274"/>
        <v>2319</v>
      </c>
      <c r="T98" s="15">
        <f t="shared" si="274"/>
        <v>437</v>
      </c>
      <c r="U98" s="15">
        <f t="shared" si="274"/>
        <v>2394</v>
      </c>
      <c r="V98" s="15">
        <f t="shared" si="274"/>
        <v>1927</v>
      </c>
      <c r="W98" s="15">
        <f t="shared" si="274"/>
        <v>-310</v>
      </c>
      <c r="X98" s="15">
        <f t="shared" si="274"/>
        <v>-127</v>
      </c>
      <c r="Y98" s="15">
        <f t="shared" si="274"/>
        <v>1445</v>
      </c>
      <c r="Z98" s="15">
        <f t="shared" si="274"/>
        <v>9792</v>
      </c>
      <c r="AA98" s="15">
        <f t="shared" si="274"/>
        <v>2917</v>
      </c>
      <c r="AB98" s="15">
        <f t="shared" si="274"/>
        <v>5073</v>
      </c>
      <c r="AC98" s="15">
        <f t="shared" ref="AC98" si="275">SUM(AC93:AC97)</f>
        <v>-2587</v>
      </c>
      <c r="AE98" s="15">
        <f t="shared" ref="AE98:AO98" si="276">SUM(AE93:AE97)</f>
        <v>-7693</v>
      </c>
      <c r="AF98" s="15">
        <f t="shared" si="276"/>
        <v>3891</v>
      </c>
      <c r="AG98" s="15">
        <f t="shared" si="276"/>
        <v>94</v>
      </c>
      <c r="AH98" s="15">
        <f t="shared" si="276"/>
        <v>3705</v>
      </c>
      <c r="AI98" s="15">
        <f t="shared" si="276"/>
        <v>7077</v>
      </c>
      <c r="AJ98" s="15">
        <f t="shared" si="276"/>
        <v>4448</v>
      </c>
      <c r="AK98" s="15">
        <f t="shared" si="276"/>
        <v>3884</v>
      </c>
      <c r="AL98" s="15">
        <f t="shared" si="276"/>
        <v>2935</v>
      </c>
      <c r="AM98" s="15">
        <f t="shared" si="276"/>
        <v>10800</v>
      </c>
      <c r="AN98" s="15">
        <f t="shared" si="276"/>
        <v>14027</v>
      </c>
      <c r="AO98" s="15">
        <f t="shared" si="276"/>
        <v>19227</v>
      </c>
      <c r="AP98" s="15">
        <f t="shared" ref="AP98" si="277">SUM(AP93:AP97)</f>
        <v>15195</v>
      </c>
      <c r="AQ98" s="45"/>
      <c r="AR98" s="88">
        <f t="shared" si="271"/>
        <v>4.1771720613287906</v>
      </c>
    </row>
    <row r="99" spans="2:44" ht="12.75" customHeight="1">
      <c r="B99" s="58"/>
      <c r="C99" s="67"/>
      <c r="D99" s="67"/>
      <c r="E99" s="67"/>
      <c r="F99" s="67"/>
      <c r="G99" s="67"/>
      <c r="H99" s="67"/>
      <c r="I99" s="67"/>
      <c r="J99" s="67"/>
      <c r="K99" s="67"/>
      <c r="L99" s="67"/>
      <c r="N99" s="67"/>
      <c r="O99" s="67"/>
      <c r="P99" s="67"/>
      <c r="Q99" s="67"/>
      <c r="R99" s="67"/>
      <c r="S99" s="67"/>
      <c r="T99" s="67"/>
      <c r="U99" s="67"/>
      <c r="V99" s="67"/>
      <c r="W99" s="67"/>
      <c r="X99" s="67"/>
      <c r="Y99" s="67"/>
      <c r="Z99" s="67"/>
      <c r="AA99" s="67"/>
      <c r="AB99" s="67"/>
      <c r="AC99" s="67"/>
      <c r="AE99" s="45"/>
      <c r="AF99" s="45"/>
      <c r="AG99" s="45"/>
      <c r="AH99" s="45"/>
      <c r="AI99" s="45"/>
      <c r="AJ99" s="45"/>
      <c r="AK99" s="45"/>
      <c r="AL99" s="45"/>
      <c r="AM99" s="45"/>
      <c r="AN99" s="45"/>
      <c r="AO99" s="45"/>
      <c r="AP99" s="45"/>
      <c r="AQ99" s="45"/>
      <c r="AR99" s="42"/>
    </row>
    <row r="100" spans="2:44" ht="12.75" customHeight="1">
      <c r="B100" s="59" t="s">
        <v>91</v>
      </c>
      <c r="C100" s="69"/>
      <c r="D100" s="69"/>
      <c r="E100" s="69"/>
      <c r="F100" s="69"/>
      <c r="G100" s="69"/>
      <c r="H100" s="69"/>
      <c r="I100" s="69"/>
      <c r="J100" s="69"/>
      <c r="K100" s="69"/>
      <c r="L100" s="69"/>
      <c r="N100" s="69"/>
      <c r="O100" s="69"/>
      <c r="P100" s="69"/>
      <c r="Q100" s="69"/>
      <c r="R100" s="69"/>
      <c r="S100" s="69"/>
      <c r="T100" s="69"/>
      <c r="U100" s="70"/>
      <c r="V100" s="69"/>
      <c r="W100" s="69"/>
      <c r="X100" s="69"/>
      <c r="Y100" s="69"/>
      <c r="Z100" s="69"/>
      <c r="AA100" s="69"/>
      <c r="AB100" s="69"/>
      <c r="AC100" s="69"/>
      <c r="AE100" s="69"/>
      <c r="AF100" s="69"/>
      <c r="AG100" s="69"/>
      <c r="AH100" s="69"/>
      <c r="AI100" s="69"/>
      <c r="AJ100" s="69"/>
      <c r="AK100" s="69"/>
      <c r="AL100" s="69"/>
      <c r="AM100" s="69"/>
      <c r="AN100" s="69"/>
      <c r="AO100" s="69"/>
      <c r="AP100" s="69"/>
      <c r="AQ100" s="71"/>
      <c r="AR100" s="42"/>
    </row>
    <row r="101" spans="2:44" ht="12.75" customHeight="1">
      <c r="B101" s="66" t="s">
        <v>207</v>
      </c>
      <c r="C101" s="96">
        <v>22454</v>
      </c>
      <c r="D101" s="96">
        <v>28662</v>
      </c>
      <c r="E101" s="96">
        <v>6969</v>
      </c>
      <c r="F101" s="96">
        <v>6963</v>
      </c>
      <c r="G101" s="96">
        <v>16091</v>
      </c>
      <c r="H101" s="96">
        <v>20393</v>
      </c>
      <c r="I101" s="96">
        <v>5465</v>
      </c>
      <c r="J101" s="96">
        <v>5228</v>
      </c>
      <c r="K101" s="96">
        <v>0</v>
      </c>
      <c r="L101" s="96">
        <v>4481</v>
      </c>
      <c r="M101" s="72"/>
      <c r="N101" s="96">
        <v>0</v>
      </c>
      <c r="O101" s="96">
        <v>0</v>
      </c>
      <c r="P101" s="96">
        <v>0</v>
      </c>
      <c r="Q101" s="34">
        <f t="shared" ref="Q101:Q108" si="278">SUM(I101-SUM(N101:P101))</f>
        <v>5465</v>
      </c>
      <c r="R101" s="96">
        <v>0</v>
      </c>
      <c r="S101" s="96">
        <v>0</v>
      </c>
      <c r="T101" s="96">
        <v>5228</v>
      </c>
      <c r="U101" s="34">
        <f t="shared" ref="U101:U108" si="279">SUM(J101-SUM(R101:T101))</f>
        <v>0</v>
      </c>
      <c r="V101" s="96">
        <v>0</v>
      </c>
      <c r="W101" s="96">
        <v>0</v>
      </c>
      <c r="X101" s="96">
        <v>0</v>
      </c>
      <c r="Y101" s="34">
        <f t="shared" ref="Y101:Y108" si="280">SUM(K101-SUM(V101:X101))</f>
        <v>0</v>
      </c>
      <c r="Z101" s="96">
        <v>0</v>
      </c>
      <c r="AA101" s="96">
        <v>0</v>
      </c>
      <c r="AB101" s="96">
        <f>4481-AA101-Z101</f>
        <v>4481</v>
      </c>
      <c r="AC101" s="34">
        <f t="shared" ref="AC101:AC108" si="281">SUM(L101-SUM(Z101:AB101))</f>
        <v>0</v>
      </c>
      <c r="AE101" s="34">
        <f t="shared" ref="AE101:AP108" si="282">SUM(O101:R101)</f>
        <v>5465</v>
      </c>
      <c r="AF101" s="34">
        <f t="shared" si="282"/>
        <v>5465</v>
      </c>
      <c r="AG101" s="34">
        <f t="shared" si="282"/>
        <v>10693</v>
      </c>
      <c r="AH101" s="34">
        <f t="shared" si="282"/>
        <v>5228</v>
      </c>
      <c r="AI101" s="34">
        <f t="shared" si="282"/>
        <v>5228</v>
      </c>
      <c r="AJ101" s="34">
        <f t="shared" si="282"/>
        <v>5228</v>
      </c>
      <c r="AK101" s="34">
        <f t="shared" si="282"/>
        <v>0</v>
      </c>
      <c r="AL101" s="34">
        <f t="shared" si="282"/>
        <v>0</v>
      </c>
      <c r="AM101" s="34">
        <f t="shared" si="282"/>
        <v>0</v>
      </c>
      <c r="AN101" s="34">
        <f t="shared" si="282"/>
        <v>0</v>
      </c>
      <c r="AO101" s="34">
        <f t="shared" si="282"/>
        <v>4481</v>
      </c>
      <c r="AP101" s="34">
        <f t="shared" si="282"/>
        <v>4481</v>
      </c>
      <c r="AQ101" s="12"/>
      <c r="AR101" s="87" t="e">
        <f t="shared" ref="AR101:AR109" si="283">SUM(AP101/AL101)-1</f>
        <v>#DIV/0!</v>
      </c>
    </row>
    <row r="102" spans="2:44" ht="12.75" customHeight="1">
      <c r="B102" s="66" t="s">
        <v>208</v>
      </c>
      <c r="C102" s="96">
        <v>0</v>
      </c>
      <c r="D102" s="96">
        <v>-3500</v>
      </c>
      <c r="E102" s="96">
        <v>-6500</v>
      </c>
      <c r="F102" s="96">
        <v>-8805</v>
      </c>
      <c r="G102" s="96">
        <v>-12629</v>
      </c>
      <c r="H102" s="96">
        <v>-8750</v>
      </c>
      <c r="I102" s="96">
        <v>-9543</v>
      </c>
      <c r="J102" s="96">
        <v>-11151.108</v>
      </c>
      <c r="K102" s="96">
        <v>-9958</v>
      </c>
      <c r="L102" s="96">
        <v>-10932</v>
      </c>
      <c r="M102" s="72"/>
      <c r="N102" s="96">
        <v>0</v>
      </c>
      <c r="O102" s="96">
        <v>-3750</v>
      </c>
      <c r="P102" s="96">
        <v>-3000</v>
      </c>
      <c r="Q102" s="34">
        <f t="shared" si="278"/>
        <v>-2793</v>
      </c>
      <c r="R102" s="96">
        <v>-1401</v>
      </c>
      <c r="S102" s="96">
        <v>-2250</v>
      </c>
      <c r="T102" s="96">
        <v>-7500</v>
      </c>
      <c r="U102" s="34">
        <f t="shared" si="279"/>
        <v>-0.10800000000017462</v>
      </c>
      <c r="V102" s="96">
        <v>0</v>
      </c>
      <c r="W102" s="96">
        <v>-3150</v>
      </c>
      <c r="X102" s="96">
        <v>-4250</v>
      </c>
      <c r="Y102" s="34">
        <f t="shared" si="280"/>
        <v>-2558</v>
      </c>
      <c r="Z102" s="96">
        <v>-1009</v>
      </c>
      <c r="AA102" s="96">
        <f>-4009-Z102</f>
        <v>-3000</v>
      </c>
      <c r="AB102" s="96">
        <f>-9682-AA102-Z102</f>
        <v>-5673</v>
      </c>
      <c r="AC102" s="34">
        <f t="shared" si="281"/>
        <v>-1250</v>
      </c>
      <c r="AE102" s="34">
        <f t="shared" si="282"/>
        <v>-10944</v>
      </c>
      <c r="AF102" s="34">
        <f t="shared" si="282"/>
        <v>-9444</v>
      </c>
      <c r="AG102" s="34">
        <f t="shared" si="282"/>
        <v>-13944</v>
      </c>
      <c r="AH102" s="34">
        <f t="shared" si="282"/>
        <v>-11151.108</v>
      </c>
      <c r="AI102" s="34">
        <f t="shared" si="282"/>
        <v>-9750.1080000000002</v>
      </c>
      <c r="AJ102" s="34">
        <f t="shared" si="282"/>
        <v>-10650.108</v>
      </c>
      <c r="AK102" s="34">
        <f t="shared" si="282"/>
        <v>-7400.1080000000002</v>
      </c>
      <c r="AL102" s="34">
        <f t="shared" si="282"/>
        <v>-9958</v>
      </c>
      <c r="AM102" s="34">
        <f t="shared" si="282"/>
        <v>-10967</v>
      </c>
      <c r="AN102" s="34">
        <f t="shared" si="282"/>
        <v>-10817</v>
      </c>
      <c r="AO102" s="34">
        <f t="shared" si="282"/>
        <v>-12240</v>
      </c>
      <c r="AP102" s="34">
        <f t="shared" si="282"/>
        <v>-10932</v>
      </c>
      <c r="AQ102" s="12"/>
      <c r="AR102" s="87">
        <f t="shared" si="283"/>
        <v>9.7810805382607002E-2</v>
      </c>
    </row>
    <row r="103" spans="2:44" ht="12.75" customHeight="1">
      <c r="B103" s="66" t="s">
        <v>209</v>
      </c>
      <c r="C103" s="96">
        <v>495</v>
      </c>
      <c r="D103" s="96">
        <v>555</v>
      </c>
      <c r="E103" s="96">
        <v>669</v>
      </c>
      <c r="F103" s="96">
        <v>781</v>
      </c>
      <c r="G103" s="96">
        <v>880</v>
      </c>
      <c r="H103" s="96">
        <v>1105</v>
      </c>
      <c r="I103" s="96">
        <v>0</v>
      </c>
      <c r="J103" s="96">
        <v>0</v>
      </c>
      <c r="K103" s="96">
        <v>0</v>
      </c>
      <c r="L103" s="96">
        <v>0</v>
      </c>
      <c r="M103" s="72"/>
      <c r="N103" s="96">
        <v>0</v>
      </c>
      <c r="O103" s="96">
        <v>0</v>
      </c>
      <c r="P103" s="96">
        <v>0</v>
      </c>
      <c r="Q103" s="34">
        <f t="shared" si="278"/>
        <v>0</v>
      </c>
      <c r="R103" s="96">
        <v>0</v>
      </c>
      <c r="S103" s="96">
        <v>0</v>
      </c>
      <c r="T103" s="96">
        <v>0</v>
      </c>
      <c r="U103" s="34">
        <f t="shared" si="279"/>
        <v>0</v>
      </c>
      <c r="V103" s="96">
        <v>0</v>
      </c>
      <c r="W103" s="96">
        <v>0</v>
      </c>
      <c r="X103" s="96">
        <v>0</v>
      </c>
      <c r="Y103" s="34">
        <f t="shared" si="280"/>
        <v>0</v>
      </c>
      <c r="Z103" s="96">
        <v>0</v>
      </c>
      <c r="AA103" s="96">
        <v>0</v>
      </c>
      <c r="AB103" s="96">
        <v>0</v>
      </c>
      <c r="AC103" s="34">
        <f t="shared" si="281"/>
        <v>0</v>
      </c>
      <c r="AE103" s="34">
        <f t="shared" si="282"/>
        <v>0</v>
      </c>
      <c r="AF103" s="34">
        <f t="shared" si="282"/>
        <v>0</v>
      </c>
      <c r="AG103" s="34">
        <f t="shared" si="282"/>
        <v>0</v>
      </c>
      <c r="AH103" s="34">
        <f t="shared" si="282"/>
        <v>0</v>
      </c>
      <c r="AI103" s="34">
        <f t="shared" si="282"/>
        <v>0</v>
      </c>
      <c r="AJ103" s="34">
        <f t="shared" si="282"/>
        <v>0</v>
      </c>
      <c r="AK103" s="34">
        <f t="shared" si="282"/>
        <v>0</v>
      </c>
      <c r="AL103" s="34">
        <f t="shared" si="282"/>
        <v>0</v>
      </c>
      <c r="AM103" s="34">
        <f t="shared" si="282"/>
        <v>0</v>
      </c>
      <c r="AN103" s="34">
        <f t="shared" si="282"/>
        <v>0</v>
      </c>
      <c r="AO103" s="34">
        <f t="shared" si="282"/>
        <v>0</v>
      </c>
      <c r="AP103" s="34">
        <f t="shared" si="282"/>
        <v>0</v>
      </c>
      <c r="AQ103" s="12"/>
      <c r="AR103" s="87" t="e">
        <f t="shared" si="283"/>
        <v>#DIV/0!</v>
      </c>
    </row>
    <row r="104" spans="2:44" ht="12.75" customHeight="1">
      <c r="B104" s="66" t="s">
        <v>197</v>
      </c>
      <c r="C104" s="96">
        <v>-29722</v>
      </c>
      <c r="D104" s="96">
        <v>-32900</v>
      </c>
      <c r="E104" s="96">
        <v>-72738</v>
      </c>
      <c r="F104" s="96">
        <v>-66897</v>
      </c>
      <c r="G104" s="96">
        <v>-72358</v>
      </c>
      <c r="H104" s="96">
        <v>-85971</v>
      </c>
      <c r="I104" s="96">
        <v>-89402</v>
      </c>
      <c r="J104" s="96">
        <v>-77550</v>
      </c>
      <c r="K104" s="96">
        <v>-94949</v>
      </c>
      <c r="L104" s="96">
        <v>-90711</v>
      </c>
      <c r="M104" s="72"/>
      <c r="N104" s="96">
        <v>-20478</v>
      </c>
      <c r="O104" s="96">
        <f>-43109-N104</f>
        <v>-22631</v>
      </c>
      <c r="P104" s="96">
        <f>-64974-SUM(N104:O104)</f>
        <v>-21865</v>
      </c>
      <c r="Q104" s="34">
        <f t="shared" si="278"/>
        <v>-24428</v>
      </c>
      <c r="R104" s="96">
        <v>-19475</v>
      </c>
      <c r="S104" s="96">
        <f>-39069-R104</f>
        <v>-19594</v>
      </c>
      <c r="T104" s="96">
        <v>-17478</v>
      </c>
      <c r="U104" s="34">
        <f t="shared" si="279"/>
        <v>-21003</v>
      </c>
      <c r="V104" s="96">
        <v>-20139</v>
      </c>
      <c r="W104" s="96">
        <f>-43344-V104</f>
        <v>-23205</v>
      </c>
      <c r="X104" s="96">
        <f>-69866-W104-V104</f>
        <v>-26522</v>
      </c>
      <c r="Y104" s="34">
        <f t="shared" si="280"/>
        <v>-25083</v>
      </c>
      <c r="Z104" s="96">
        <v>-23606</v>
      </c>
      <c r="AA104" s="96">
        <f>-49504-Z104</f>
        <v>-25898</v>
      </c>
      <c r="AB104" s="96">
        <f>-70579-AA104-Z104</f>
        <v>-21075</v>
      </c>
      <c r="AC104" s="34">
        <f t="shared" si="281"/>
        <v>-20132</v>
      </c>
      <c r="AE104" s="34">
        <f t="shared" si="282"/>
        <v>-88399</v>
      </c>
      <c r="AF104" s="34">
        <f t="shared" si="282"/>
        <v>-85362</v>
      </c>
      <c r="AG104" s="34">
        <f t="shared" si="282"/>
        <v>-80975</v>
      </c>
      <c r="AH104" s="34">
        <f t="shared" si="282"/>
        <v>-77550</v>
      </c>
      <c r="AI104" s="34">
        <f t="shared" si="282"/>
        <v>-78214</v>
      </c>
      <c r="AJ104" s="34">
        <f t="shared" si="282"/>
        <v>-81825</v>
      </c>
      <c r="AK104" s="34">
        <f t="shared" si="282"/>
        <v>-90869</v>
      </c>
      <c r="AL104" s="34">
        <f t="shared" si="282"/>
        <v>-94949</v>
      </c>
      <c r="AM104" s="34">
        <f t="shared" si="282"/>
        <v>-98416</v>
      </c>
      <c r="AN104" s="34">
        <f t="shared" si="282"/>
        <v>-101109</v>
      </c>
      <c r="AO104" s="34">
        <f t="shared" si="282"/>
        <v>-95662</v>
      </c>
      <c r="AP104" s="34">
        <f t="shared" si="282"/>
        <v>-90711</v>
      </c>
      <c r="AQ104" s="12"/>
      <c r="AR104" s="87">
        <f t="shared" si="283"/>
        <v>-4.4634487988288396E-2</v>
      </c>
    </row>
    <row r="105" spans="2:44" ht="12.75" customHeight="1">
      <c r="B105" s="66" t="s">
        <v>210</v>
      </c>
      <c r="C105" s="96">
        <v>-397</v>
      </c>
      <c r="D105" s="96">
        <v>3852</v>
      </c>
      <c r="E105" s="96">
        <v>-37</v>
      </c>
      <c r="F105" s="96">
        <v>-5977</v>
      </c>
      <c r="G105" s="96">
        <v>-963</v>
      </c>
      <c r="H105" s="96">
        <v>1022</v>
      </c>
      <c r="I105" s="96">
        <v>3955</v>
      </c>
      <c r="J105" s="96">
        <v>-3978</v>
      </c>
      <c r="K105" s="96">
        <v>3960</v>
      </c>
      <c r="L105" s="96">
        <v>-2032</v>
      </c>
      <c r="M105" s="72"/>
      <c r="N105" s="96">
        <v>-1000</v>
      </c>
      <c r="O105" s="96">
        <f>999-N105</f>
        <v>1999</v>
      </c>
      <c r="P105" s="96">
        <f>4970-SUM(N105:O105)</f>
        <v>3971</v>
      </c>
      <c r="Q105" s="34">
        <f t="shared" si="278"/>
        <v>-1015</v>
      </c>
      <c r="R105" s="96">
        <v>-8214</v>
      </c>
      <c r="S105" s="96">
        <f>-7960-R105</f>
        <v>254</v>
      </c>
      <c r="T105" s="96">
        <v>1989</v>
      </c>
      <c r="U105" s="34">
        <f t="shared" si="279"/>
        <v>1993</v>
      </c>
      <c r="V105" s="96">
        <v>-3984</v>
      </c>
      <c r="W105" s="96">
        <f>-3982-V105</f>
        <v>2</v>
      </c>
      <c r="X105" s="96">
        <f>-2985-W105-V105</f>
        <v>997</v>
      </c>
      <c r="Y105" s="34">
        <f t="shared" si="280"/>
        <v>6945</v>
      </c>
      <c r="Z105" s="96">
        <v>-7944</v>
      </c>
      <c r="AA105" s="96">
        <f>-3968-Z105</f>
        <v>3976</v>
      </c>
      <c r="AB105" s="96">
        <f>-65-AA105-Z105</f>
        <v>3903</v>
      </c>
      <c r="AC105" s="34">
        <f t="shared" si="281"/>
        <v>-1967</v>
      </c>
      <c r="AE105" s="34">
        <f t="shared" si="282"/>
        <v>-3259</v>
      </c>
      <c r="AF105" s="34">
        <f t="shared" si="282"/>
        <v>-5004</v>
      </c>
      <c r="AG105" s="34">
        <f t="shared" si="282"/>
        <v>-6986</v>
      </c>
      <c r="AH105" s="34">
        <f t="shared" si="282"/>
        <v>-3978</v>
      </c>
      <c r="AI105" s="34">
        <f t="shared" si="282"/>
        <v>252</v>
      </c>
      <c r="AJ105" s="34">
        <f t="shared" si="282"/>
        <v>0</v>
      </c>
      <c r="AK105" s="34">
        <f t="shared" si="282"/>
        <v>-992</v>
      </c>
      <c r="AL105" s="34">
        <f t="shared" si="282"/>
        <v>3960</v>
      </c>
      <c r="AM105" s="34">
        <f t="shared" si="282"/>
        <v>0</v>
      </c>
      <c r="AN105" s="34">
        <f t="shared" si="282"/>
        <v>3974</v>
      </c>
      <c r="AO105" s="34">
        <f t="shared" si="282"/>
        <v>6880</v>
      </c>
      <c r="AP105" s="34">
        <f t="shared" si="282"/>
        <v>-2032</v>
      </c>
      <c r="AQ105" s="12"/>
      <c r="AR105" s="87">
        <f t="shared" si="283"/>
        <v>-1.5131313131313131</v>
      </c>
    </row>
    <row r="106" spans="2:44" ht="12.75" customHeight="1">
      <c r="B106" s="66" t="s">
        <v>211</v>
      </c>
      <c r="C106" s="96">
        <v>0</v>
      </c>
      <c r="D106" s="96">
        <v>0</v>
      </c>
      <c r="E106" s="96">
        <v>0</v>
      </c>
      <c r="F106" s="96">
        <v>0</v>
      </c>
      <c r="G106" s="96">
        <v>0</v>
      </c>
      <c r="H106" s="96">
        <v>0</v>
      </c>
      <c r="I106" s="96">
        <v>0</v>
      </c>
      <c r="J106" s="96">
        <v>0</v>
      </c>
      <c r="K106" s="96">
        <v>0</v>
      </c>
      <c r="L106" s="96">
        <v>0</v>
      </c>
      <c r="M106" s="34"/>
      <c r="N106" s="96">
        <v>0</v>
      </c>
      <c r="O106" s="96">
        <v>0</v>
      </c>
      <c r="P106" s="96">
        <v>0</v>
      </c>
      <c r="Q106" s="34">
        <f t="shared" si="278"/>
        <v>0</v>
      </c>
      <c r="R106" s="96">
        <v>0</v>
      </c>
      <c r="S106" s="96">
        <v>0</v>
      </c>
      <c r="T106" s="96">
        <v>0</v>
      </c>
      <c r="U106" s="34">
        <f t="shared" si="279"/>
        <v>0</v>
      </c>
      <c r="V106" s="96">
        <v>0</v>
      </c>
      <c r="W106" s="96">
        <v>0</v>
      </c>
      <c r="X106" s="96">
        <v>0</v>
      </c>
      <c r="Y106" s="34">
        <f t="shared" si="280"/>
        <v>0</v>
      </c>
      <c r="Z106" s="96">
        <v>0</v>
      </c>
      <c r="AA106" s="96">
        <v>0</v>
      </c>
      <c r="AB106" s="96">
        <v>0</v>
      </c>
      <c r="AC106" s="34">
        <f t="shared" si="281"/>
        <v>0</v>
      </c>
      <c r="AE106" s="34">
        <f t="shared" si="282"/>
        <v>0</v>
      </c>
      <c r="AF106" s="34">
        <f t="shared" si="282"/>
        <v>0</v>
      </c>
      <c r="AG106" s="34">
        <f t="shared" si="282"/>
        <v>0</v>
      </c>
      <c r="AH106" s="34">
        <f t="shared" si="282"/>
        <v>0</v>
      </c>
      <c r="AI106" s="34">
        <f t="shared" si="282"/>
        <v>0</v>
      </c>
      <c r="AJ106" s="34">
        <f t="shared" si="282"/>
        <v>0</v>
      </c>
      <c r="AK106" s="34">
        <f t="shared" si="282"/>
        <v>0</v>
      </c>
      <c r="AL106" s="34">
        <f t="shared" si="282"/>
        <v>0</v>
      </c>
      <c r="AM106" s="34">
        <f t="shared" si="282"/>
        <v>0</v>
      </c>
      <c r="AN106" s="34">
        <f t="shared" si="282"/>
        <v>0</v>
      </c>
      <c r="AO106" s="34">
        <f t="shared" si="282"/>
        <v>0</v>
      </c>
      <c r="AP106" s="34">
        <f t="shared" si="282"/>
        <v>0</v>
      </c>
      <c r="AQ106" s="12"/>
      <c r="AR106" s="87" t="e">
        <f t="shared" si="283"/>
        <v>#DIV/0!</v>
      </c>
    </row>
    <row r="107" spans="2:44" ht="12.75" customHeight="1">
      <c r="B107" s="66" t="s">
        <v>96</v>
      </c>
      <c r="C107" s="96">
        <v>-1163</v>
      </c>
      <c r="D107" s="96">
        <v>-1247</v>
      </c>
      <c r="E107" s="96">
        <v>-2527</v>
      </c>
      <c r="F107" s="96">
        <v>-2922</v>
      </c>
      <c r="G107" s="96">
        <v>-3760</v>
      </c>
      <c r="H107" s="96">
        <v>-6685</v>
      </c>
      <c r="I107" s="96">
        <v>-6383</v>
      </c>
      <c r="J107" s="96">
        <v>-6012</v>
      </c>
      <c r="K107" s="96">
        <v>-5802</v>
      </c>
      <c r="L107" s="96">
        <f>-5960-111</f>
        <v>-6071</v>
      </c>
      <c r="M107" s="72"/>
      <c r="N107" s="96">
        <f>-2888-61</f>
        <v>-2949</v>
      </c>
      <c r="O107" s="96">
        <f>-3218-105-N107</f>
        <v>-374</v>
      </c>
      <c r="P107" s="96">
        <f>-148-5915-SUM(N107:O107)</f>
        <v>-2740</v>
      </c>
      <c r="Q107" s="34">
        <f t="shared" si="278"/>
        <v>-320</v>
      </c>
      <c r="R107" s="96">
        <f>-2316-389</f>
        <v>-2705</v>
      </c>
      <c r="S107" s="96">
        <f>-2734-455-R107</f>
        <v>-484</v>
      </c>
      <c r="T107" s="96">
        <v>-2438</v>
      </c>
      <c r="U107" s="34">
        <f t="shared" si="279"/>
        <v>-385</v>
      </c>
      <c r="V107" s="96">
        <f>-2591-46</f>
        <v>-2637</v>
      </c>
      <c r="W107" s="96">
        <f>-2875-V107-132</f>
        <v>-370</v>
      </c>
      <c r="X107" s="96">
        <f>-5163-191-W107-V107</f>
        <v>-2347</v>
      </c>
      <c r="Y107" s="34">
        <f t="shared" si="280"/>
        <v>-448</v>
      </c>
      <c r="Z107" s="96">
        <f>-2921-35</f>
        <v>-2956</v>
      </c>
      <c r="AA107" s="96">
        <f>-3205+-77-Z107</f>
        <v>-326</v>
      </c>
      <c r="AB107" s="96">
        <f>-5719+-87-AA107-Z107</f>
        <v>-2524</v>
      </c>
      <c r="AC107" s="34">
        <f t="shared" si="281"/>
        <v>-265</v>
      </c>
      <c r="AE107" s="34">
        <f t="shared" si="282"/>
        <v>-6139</v>
      </c>
      <c r="AF107" s="34">
        <f t="shared" si="282"/>
        <v>-6249</v>
      </c>
      <c r="AG107" s="34">
        <f t="shared" si="282"/>
        <v>-5947</v>
      </c>
      <c r="AH107" s="34">
        <f t="shared" si="282"/>
        <v>-6012</v>
      </c>
      <c r="AI107" s="34">
        <f t="shared" si="282"/>
        <v>-5944</v>
      </c>
      <c r="AJ107" s="34">
        <f t="shared" si="282"/>
        <v>-5830</v>
      </c>
      <c r="AK107" s="34">
        <f t="shared" si="282"/>
        <v>-5739</v>
      </c>
      <c r="AL107" s="34">
        <f t="shared" si="282"/>
        <v>-5802</v>
      </c>
      <c r="AM107" s="34">
        <f t="shared" si="282"/>
        <v>-6121</v>
      </c>
      <c r="AN107" s="34">
        <f t="shared" si="282"/>
        <v>-6077</v>
      </c>
      <c r="AO107" s="34">
        <f t="shared" si="282"/>
        <v>-6254</v>
      </c>
      <c r="AP107" s="34">
        <f t="shared" si="282"/>
        <v>-6071</v>
      </c>
      <c r="AQ107" s="12"/>
      <c r="AR107" s="87">
        <f t="shared" si="283"/>
        <v>4.6363322992071687E-2</v>
      </c>
    </row>
    <row r="108" spans="2:44" ht="12.75" customHeight="1">
      <c r="B108" s="66" t="s">
        <v>212</v>
      </c>
      <c r="C108" s="96">
        <v>-12150</v>
      </c>
      <c r="D108" s="96">
        <v>-12769</v>
      </c>
      <c r="E108" s="96">
        <v>-13712</v>
      </c>
      <c r="F108" s="96">
        <v>-14119</v>
      </c>
      <c r="G108" s="96">
        <v>-14081</v>
      </c>
      <c r="H108" s="96">
        <v>-14467</v>
      </c>
      <c r="I108" s="96">
        <v>-14841</v>
      </c>
      <c r="J108" s="96">
        <v>-14875</v>
      </c>
      <c r="K108" s="96">
        <v>-15234</v>
      </c>
      <c r="L108" s="96">
        <v>-15421</v>
      </c>
      <c r="M108" s="72"/>
      <c r="N108" s="96">
        <v>-3732</v>
      </c>
      <c r="O108" s="96">
        <f>-7327-N108</f>
        <v>-3595</v>
      </c>
      <c r="P108" s="96">
        <f>-11138-SUM(N108:O108)</f>
        <v>-3811</v>
      </c>
      <c r="Q108" s="34">
        <f t="shared" si="278"/>
        <v>-3703</v>
      </c>
      <c r="R108" s="96">
        <v>-3768</v>
      </c>
      <c r="S108" s="96">
        <f>-7418-R108</f>
        <v>-3650</v>
      </c>
      <c r="T108" s="96">
        <v>-3849</v>
      </c>
      <c r="U108" s="34">
        <f t="shared" si="279"/>
        <v>-3608</v>
      </c>
      <c r="V108" s="96">
        <v>-3825</v>
      </c>
      <c r="W108" s="96">
        <f>-7535-V108</f>
        <v>-3710</v>
      </c>
      <c r="X108" s="96">
        <f>-11430-W108-V108</f>
        <v>-3895</v>
      </c>
      <c r="Y108" s="34">
        <f t="shared" si="280"/>
        <v>-3804</v>
      </c>
      <c r="Z108" s="96">
        <v>-3856</v>
      </c>
      <c r="AA108" s="96">
        <f>-7614-Z108</f>
        <v>-3758</v>
      </c>
      <c r="AB108" s="96">
        <f>-11559-AA108-Z108</f>
        <v>-3945</v>
      </c>
      <c r="AC108" s="34">
        <f t="shared" si="281"/>
        <v>-3862</v>
      </c>
      <c r="AE108" s="34">
        <f t="shared" si="282"/>
        <v>-14877</v>
      </c>
      <c r="AF108" s="34">
        <f t="shared" si="282"/>
        <v>-14932</v>
      </c>
      <c r="AG108" s="34">
        <f t="shared" si="282"/>
        <v>-14970</v>
      </c>
      <c r="AH108" s="34">
        <f t="shared" si="282"/>
        <v>-14875</v>
      </c>
      <c r="AI108" s="34">
        <f t="shared" si="282"/>
        <v>-14932</v>
      </c>
      <c r="AJ108" s="34">
        <f t="shared" si="282"/>
        <v>-14992</v>
      </c>
      <c r="AK108" s="34">
        <f t="shared" si="282"/>
        <v>-15038</v>
      </c>
      <c r="AL108" s="34">
        <f t="shared" si="282"/>
        <v>-15234</v>
      </c>
      <c r="AM108" s="34">
        <f t="shared" si="282"/>
        <v>-15265</v>
      </c>
      <c r="AN108" s="34">
        <f t="shared" si="282"/>
        <v>-15313</v>
      </c>
      <c r="AO108" s="34">
        <f t="shared" si="282"/>
        <v>-15363</v>
      </c>
      <c r="AP108" s="34">
        <f t="shared" si="282"/>
        <v>-15421</v>
      </c>
      <c r="AQ108" s="12"/>
      <c r="AR108" s="87">
        <f t="shared" si="283"/>
        <v>1.2275173952999818E-2</v>
      </c>
    </row>
    <row r="109" spans="2:44" ht="12.75" customHeight="1">
      <c r="B109" s="14" t="s">
        <v>92</v>
      </c>
      <c r="C109" s="15">
        <f t="shared" ref="C109:K109" si="284">SUM(C101:C108)</f>
        <v>-20483</v>
      </c>
      <c r="D109" s="15">
        <f t="shared" si="284"/>
        <v>-17347</v>
      </c>
      <c r="E109" s="15">
        <f t="shared" si="284"/>
        <v>-87876</v>
      </c>
      <c r="F109" s="15">
        <f t="shared" si="284"/>
        <v>-90976</v>
      </c>
      <c r="G109" s="15">
        <f t="shared" si="284"/>
        <v>-86820</v>
      </c>
      <c r="H109" s="15">
        <f t="shared" si="284"/>
        <v>-93353</v>
      </c>
      <c r="I109" s="15">
        <f t="shared" si="284"/>
        <v>-110749</v>
      </c>
      <c r="J109" s="15">
        <f t="shared" si="284"/>
        <v>-108338.10800000001</v>
      </c>
      <c r="K109" s="15">
        <f t="shared" si="284"/>
        <v>-121983</v>
      </c>
      <c r="L109" s="15">
        <f t="shared" ref="L109" si="285">SUM(L101:L108)</f>
        <v>-120686</v>
      </c>
      <c r="M109" s="34"/>
      <c r="N109" s="15">
        <f t="shared" ref="N109:AB109" si="286">SUM(N101:N108)</f>
        <v>-28159</v>
      </c>
      <c r="O109" s="15">
        <f t="shared" si="286"/>
        <v>-28351</v>
      </c>
      <c r="P109" s="15">
        <f t="shared" si="286"/>
        <v>-27445</v>
      </c>
      <c r="Q109" s="15">
        <f t="shared" si="286"/>
        <v>-26794</v>
      </c>
      <c r="R109" s="15">
        <f t="shared" si="286"/>
        <v>-35563</v>
      </c>
      <c r="S109" s="15">
        <f t="shared" si="286"/>
        <v>-25724</v>
      </c>
      <c r="T109" s="15">
        <f t="shared" si="286"/>
        <v>-24048</v>
      </c>
      <c r="U109" s="15">
        <f t="shared" si="286"/>
        <v>-23003.108</v>
      </c>
      <c r="V109" s="15">
        <f t="shared" si="286"/>
        <v>-30585</v>
      </c>
      <c r="W109" s="15">
        <f t="shared" si="286"/>
        <v>-30433</v>
      </c>
      <c r="X109" s="15">
        <f t="shared" si="286"/>
        <v>-36017</v>
      </c>
      <c r="Y109" s="15">
        <f t="shared" si="286"/>
        <v>-24948</v>
      </c>
      <c r="Z109" s="15">
        <f t="shared" si="286"/>
        <v>-39371</v>
      </c>
      <c r="AA109" s="36">
        <f t="shared" si="286"/>
        <v>-29006</v>
      </c>
      <c r="AB109" s="36">
        <f t="shared" si="286"/>
        <v>-24833</v>
      </c>
      <c r="AC109" s="36">
        <f t="shared" ref="AC109" si="287">SUM(AC101:AC108)</f>
        <v>-27476</v>
      </c>
      <c r="AE109" s="36">
        <f t="shared" ref="AE109:AO109" si="288">SUM(AE101:AE108)</f>
        <v>-118153</v>
      </c>
      <c r="AF109" s="36">
        <f t="shared" si="288"/>
        <v>-115526</v>
      </c>
      <c r="AG109" s="15">
        <f t="shared" si="288"/>
        <v>-112129</v>
      </c>
      <c r="AH109" s="15">
        <f t="shared" si="288"/>
        <v>-108338.10800000001</v>
      </c>
      <c r="AI109" s="15">
        <f t="shared" si="288"/>
        <v>-103360.10800000001</v>
      </c>
      <c r="AJ109" s="15">
        <f t="shared" si="288"/>
        <v>-108069.10800000001</v>
      </c>
      <c r="AK109" s="15">
        <f t="shared" si="288"/>
        <v>-120038.10800000001</v>
      </c>
      <c r="AL109" s="15">
        <f t="shared" si="288"/>
        <v>-121983</v>
      </c>
      <c r="AM109" s="15">
        <f t="shared" si="288"/>
        <v>-130769</v>
      </c>
      <c r="AN109" s="15">
        <f t="shared" si="288"/>
        <v>-129342</v>
      </c>
      <c r="AO109" s="15">
        <f t="shared" si="288"/>
        <v>-118158</v>
      </c>
      <c r="AP109" s="15">
        <f t="shared" ref="AP109" si="289">SUM(AP101:AP108)</f>
        <v>-120686</v>
      </c>
      <c r="AQ109" s="45"/>
      <c r="AR109" s="88">
        <f t="shared" si="283"/>
        <v>-1.0632629136846927E-2</v>
      </c>
    </row>
    <row r="110" spans="2:44" ht="5.0999999999999996" customHeight="1">
      <c r="B110" s="8"/>
      <c r="C110" s="73"/>
      <c r="D110" s="73"/>
      <c r="E110" s="73"/>
      <c r="F110" s="73"/>
      <c r="G110" s="73"/>
      <c r="H110" s="73"/>
      <c r="I110" s="73"/>
      <c r="J110" s="73"/>
      <c r="K110" s="73"/>
      <c r="L110" s="73"/>
      <c r="M110" s="34"/>
      <c r="N110" s="73"/>
      <c r="O110" s="73"/>
      <c r="P110" s="73"/>
      <c r="Q110" s="73"/>
      <c r="R110" s="73"/>
      <c r="S110" s="73"/>
      <c r="T110" s="73"/>
      <c r="U110" s="73"/>
      <c r="V110" s="74"/>
      <c r="W110" s="73"/>
      <c r="X110" s="73"/>
      <c r="Y110" s="73"/>
      <c r="Z110" s="73"/>
      <c r="AA110" s="73"/>
      <c r="AB110" s="73"/>
      <c r="AC110" s="73"/>
      <c r="AE110" s="12"/>
      <c r="AF110" s="12"/>
      <c r="AG110" s="12"/>
      <c r="AH110" s="12"/>
      <c r="AI110" s="12"/>
      <c r="AJ110" s="12"/>
      <c r="AK110" s="12"/>
      <c r="AL110" s="12"/>
      <c r="AM110" s="12"/>
      <c r="AN110" s="12"/>
      <c r="AO110" s="12"/>
      <c r="AP110" s="12"/>
      <c r="AQ110" s="12"/>
      <c r="AR110" s="51"/>
    </row>
    <row r="111" spans="2:44" ht="5.0999999999999996" customHeight="1">
      <c r="B111" s="83"/>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12"/>
      <c r="AR111" s="51"/>
    </row>
    <row r="112" spans="2:44">
      <c r="B112" s="128" t="s">
        <v>454</v>
      </c>
      <c r="C112" s="407">
        <v>21120</v>
      </c>
      <c r="D112" s="129">
        <f t="shared" ref="D112:G112" si="290">C119</f>
        <v>20484</v>
      </c>
      <c r="E112" s="129">
        <f t="shared" si="290"/>
        <v>20289</v>
      </c>
      <c r="F112" s="129">
        <f t="shared" si="290"/>
        <v>25913</v>
      </c>
      <c r="G112" s="129">
        <f t="shared" si="290"/>
        <v>48844</v>
      </c>
      <c r="H112" s="129">
        <f>G119</f>
        <v>38016</v>
      </c>
      <c r="I112" s="129">
        <f t="shared" ref="I112:L112" si="291">H119</f>
        <v>34940</v>
      </c>
      <c r="J112" s="129">
        <f t="shared" si="291"/>
        <v>23646</v>
      </c>
      <c r="K112" s="129">
        <f t="shared" si="291"/>
        <v>29964.999999999993</v>
      </c>
      <c r="L112" s="129">
        <f t="shared" si="291"/>
        <v>29943</v>
      </c>
      <c r="M112" s="129"/>
      <c r="N112" s="129">
        <f>I112</f>
        <v>34940</v>
      </c>
      <c r="O112" s="129">
        <f t="shared" ref="O112:AC112" si="292">N119</f>
        <v>37119</v>
      </c>
      <c r="P112" s="129">
        <f t="shared" si="292"/>
        <v>28098</v>
      </c>
      <c r="Q112" s="129">
        <f t="shared" si="292"/>
        <v>27502</v>
      </c>
      <c r="R112" s="129">
        <f t="shared" si="292"/>
        <v>23646</v>
      </c>
      <c r="S112" s="129">
        <f t="shared" si="292"/>
        <v>20535</v>
      </c>
      <c r="T112" s="129">
        <f t="shared" si="292"/>
        <v>24687</v>
      </c>
      <c r="U112" s="129">
        <f t="shared" si="292"/>
        <v>28408</v>
      </c>
      <c r="V112" s="129">
        <f t="shared" si="292"/>
        <v>29965</v>
      </c>
      <c r="W112" s="129">
        <f t="shared" si="292"/>
        <v>40760</v>
      </c>
      <c r="X112" s="129">
        <f t="shared" si="292"/>
        <v>32695</v>
      </c>
      <c r="Y112" s="129">
        <f t="shared" si="292"/>
        <v>25565</v>
      </c>
      <c r="Z112" s="129">
        <f t="shared" si="292"/>
        <v>29943</v>
      </c>
      <c r="AA112" s="129">
        <f t="shared" si="292"/>
        <v>30299</v>
      </c>
      <c r="AB112" s="129">
        <f t="shared" si="292"/>
        <v>28162</v>
      </c>
      <c r="AC112" s="129">
        <f t="shared" si="292"/>
        <v>36269</v>
      </c>
      <c r="AD112" s="129"/>
      <c r="AE112" s="129">
        <f t="shared" ref="AE112:AP112" si="293">N119</f>
        <v>37119</v>
      </c>
      <c r="AF112" s="129">
        <f t="shared" si="293"/>
        <v>28098</v>
      </c>
      <c r="AG112" s="129">
        <f t="shared" si="293"/>
        <v>27502</v>
      </c>
      <c r="AH112" s="129">
        <f t="shared" si="293"/>
        <v>23646</v>
      </c>
      <c r="AI112" s="129">
        <f t="shared" si="293"/>
        <v>20535</v>
      </c>
      <c r="AJ112" s="129">
        <f t="shared" si="293"/>
        <v>24687</v>
      </c>
      <c r="AK112" s="129">
        <f t="shared" si="293"/>
        <v>28408</v>
      </c>
      <c r="AL112" s="129">
        <f t="shared" si="293"/>
        <v>29965</v>
      </c>
      <c r="AM112" s="129">
        <f t="shared" si="293"/>
        <v>40760</v>
      </c>
      <c r="AN112" s="129">
        <f t="shared" si="293"/>
        <v>32695</v>
      </c>
      <c r="AO112" s="129">
        <f t="shared" si="293"/>
        <v>25565</v>
      </c>
      <c r="AP112" s="130">
        <f t="shared" si="293"/>
        <v>29943</v>
      </c>
      <c r="AQ112" s="12"/>
      <c r="AR112" s="51"/>
    </row>
    <row r="113" spans="2:44">
      <c r="B113" s="406" t="s">
        <v>221</v>
      </c>
      <c r="C113" s="96">
        <v>0</v>
      </c>
      <c r="D113" s="34">
        <f t="shared" ref="D113:F113" si="294">-C117</f>
        <v>0</v>
      </c>
      <c r="E113" s="34">
        <f t="shared" si="294"/>
        <v>0</v>
      </c>
      <c r="F113" s="34">
        <f t="shared" si="294"/>
        <v>0</v>
      </c>
      <c r="G113" s="34">
        <f>-F117</f>
        <v>1380</v>
      </c>
      <c r="H113" s="34">
        <f>-G117</f>
        <v>1773</v>
      </c>
      <c r="I113" s="34">
        <f>-H117</f>
        <v>989</v>
      </c>
      <c r="J113" s="34">
        <f t="shared" ref="J113:L113" si="295">-I117</f>
        <v>1331</v>
      </c>
      <c r="K113" s="34">
        <f t="shared" si="295"/>
        <v>921.89200000000005</v>
      </c>
      <c r="L113" s="34">
        <f t="shared" si="295"/>
        <v>149.891999999993</v>
      </c>
      <c r="M113" s="34"/>
      <c r="N113" s="34">
        <f>I113</f>
        <v>989</v>
      </c>
      <c r="O113" s="34">
        <f>-N117</f>
        <v>1511</v>
      </c>
      <c r="P113" s="34">
        <f t="shared" ref="P113:AC113" si="296">-O117</f>
        <v>1082</v>
      </c>
      <c r="Q113" s="34">
        <f t="shared" si="296"/>
        <v>1359</v>
      </c>
      <c r="R113" s="34">
        <f t="shared" si="296"/>
        <v>1331</v>
      </c>
      <c r="S113" s="34">
        <f t="shared" si="296"/>
        <v>1439</v>
      </c>
      <c r="T113" s="34">
        <f t="shared" si="296"/>
        <v>2442</v>
      </c>
      <c r="U113" s="34">
        <f t="shared" si="296"/>
        <v>1490</v>
      </c>
      <c r="V113" s="34">
        <f t="shared" si="296"/>
        <v>921.89199999999983</v>
      </c>
      <c r="W113" s="34">
        <f t="shared" si="296"/>
        <v>1363.8919999999998</v>
      </c>
      <c r="X113" s="34">
        <f t="shared" si="296"/>
        <v>1375.8919999999998</v>
      </c>
      <c r="Y113" s="34">
        <f t="shared" si="296"/>
        <v>1219.8919999999998</v>
      </c>
      <c r="Z113" s="34">
        <f t="shared" si="296"/>
        <v>149.89199999999983</v>
      </c>
      <c r="AA113" s="34">
        <f t="shared" si="296"/>
        <v>149.89199999999983</v>
      </c>
      <c r="AB113" s="34">
        <f t="shared" si="296"/>
        <v>149.89199999999983</v>
      </c>
      <c r="AC113" s="34">
        <f t="shared" si="296"/>
        <v>149.89199999999983</v>
      </c>
      <c r="AD113" s="34"/>
      <c r="AE113" s="34">
        <f t="shared" ref="AE113:AP113" si="297">-N117</f>
        <v>1511</v>
      </c>
      <c r="AF113" s="34">
        <f t="shared" si="297"/>
        <v>1082</v>
      </c>
      <c r="AG113" s="34">
        <f t="shared" si="297"/>
        <v>1359</v>
      </c>
      <c r="AH113" s="34">
        <f t="shared" si="297"/>
        <v>1331</v>
      </c>
      <c r="AI113" s="34">
        <f t="shared" si="297"/>
        <v>1439</v>
      </c>
      <c r="AJ113" s="34">
        <f t="shared" si="297"/>
        <v>2442</v>
      </c>
      <c r="AK113" s="34">
        <f t="shared" si="297"/>
        <v>1490</v>
      </c>
      <c r="AL113" s="34">
        <f t="shared" si="297"/>
        <v>921.89199999999983</v>
      </c>
      <c r="AM113" s="34">
        <f t="shared" si="297"/>
        <v>1363.8919999999998</v>
      </c>
      <c r="AN113" s="34">
        <f t="shared" si="297"/>
        <v>1375.8919999999998</v>
      </c>
      <c r="AO113" s="34">
        <f t="shared" si="297"/>
        <v>1219.8919999999998</v>
      </c>
      <c r="AP113" s="125">
        <f t="shared" si="297"/>
        <v>149.89199999999983</v>
      </c>
      <c r="AQ113" s="12"/>
      <c r="AR113" s="51"/>
    </row>
    <row r="114" spans="2:44">
      <c r="B114" s="122" t="s">
        <v>218</v>
      </c>
      <c r="C114" s="409">
        <f t="shared" ref="C114:L114" si="298">SUM(C112:C113)</f>
        <v>21120</v>
      </c>
      <c r="D114" s="409">
        <f t="shared" si="298"/>
        <v>20484</v>
      </c>
      <c r="E114" s="409">
        <f t="shared" si="298"/>
        <v>20289</v>
      </c>
      <c r="F114" s="409">
        <f t="shared" si="298"/>
        <v>25913</v>
      </c>
      <c r="G114" s="409">
        <f t="shared" si="298"/>
        <v>50224</v>
      </c>
      <c r="H114" s="409">
        <f t="shared" si="298"/>
        <v>39789</v>
      </c>
      <c r="I114" s="409">
        <f t="shared" si="298"/>
        <v>35929</v>
      </c>
      <c r="J114" s="409">
        <f t="shared" si="298"/>
        <v>24977</v>
      </c>
      <c r="K114" s="409">
        <f t="shared" si="298"/>
        <v>30886.891999999993</v>
      </c>
      <c r="L114" s="409">
        <f t="shared" si="298"/>
        <v>30092.891999999993</v>
      </c>
      <c r="M114" s="34"/>
      <c r="N114" s="409">
        <f t="shared" ref="N114:AC114" si="299">SUM(N112:N113)</f>
        <v>35929</v>
      </c>
      <c r="O114" s="409">
        <f t="shared" si="299"/>
        <v>38630</v>
      </c>
      <c r="P114" s="409">
        <f t="shared" si="299"/>
        <v>29180</v>
      </c>
      <c r="Q114" s="409">
        <f t="shared" si="299"/>
        <v>28861</v>
      </c>
      <c r="R114" s="409">
        <f t="shared" si="299"/>
        <v>24977</v>
      </c>
      <c r="S114" s="409">
        <f t="shared" si="299"/>
        <v>21974</v>
      </c>
      <c r="T114" s="409">
        <f t="shared" si="299"/>
        <v>27129</v>
      </c>
      <c r="U114" s="409">
        <f t="shared" si="299"/>
        <v>29898</v>
      </c>
      <c r="V114" s="409">
        <f t="shared" si="299"/>
        <v>30886.892</v>
      </c>
      <c r="W114" s="409">
        <f t="shared" si="299"/>
        <v>42123.892</v>
      </c>
      <c r="X114" s="409">
        <f t="shared" si="299"/>
        <v>34070.892</v>
      </c>
      <c r="Y114" s="409">
        <f t="shared" si="299"/>
        <v>26784.892</v>
      </c>
      <c r="Z114" s="409">
        <f t="shared" si="299"/>
        <v>30092.892</v>
      </c>
      <c r="AA114" s="409">
        <f t="shared" si="299"/>
        <v>30448.892</v>
      </c>
      <c r="AB114" s="409">
        <f t="shared" si="299"/>
        <v>28311.892</v>
      </c>
      <c r="AC114" s="409">
        <f t="shared" si="299"/>
        <v>36418.892</v>
      </c>
      <c r="AD114" s="34"/>
      <c r="AE114" s="409">
        <f t="shared" ref="AE114:AP114" si="300">SUM(AE112:AE113)</f>
        <v>38630</v>
      </c>
      <c r="AF114" s="409">
        <f t="shared" si="300"/>
        <v>29180</v>
      </c>
      <c r="AG114" s="409">
        <f t="shared" si="300"/>
        <v>28861</v>
      </c>
      <c r="AH114" s="409">
        <f t="shared" si="300"/>
        <v>24977</v>
      </c>
      <c r="AI114" s="409">
        <f t="shared" si="300"/>
        <v>21974</v>
      </c>
      <c r="AJ114" s="409">
        <f t="shared" si="300"/>
        <v>27129</v>
      </c>
      <c r="AK114" s="409">
        <f t="shared" si="300"/>
        <v>29898</v>
      </c>
      <c r="AL114" s="409">
        <f t="shared" si="300"/>
        <v>30886.892</v>
      </c>
      <c r="AM114" s="409">
        <f t="shared" si="300"/>
        <v>42123.892</v>
      </c>
      <c r="AN114" s="409">
        <f t="shared" si="300"/>
        <v>34070.892</v>
      </c>
      <c r="AO114" s="409">
        <f t="shared" si="300"/>
        <v>26784.892</v>
      </c>
      <c r="AP114" s="410">
        <f t="shared" si="300"/>
        <v>30092.892</v>
      </c>
      <c r="AQ114" s="12"/>
      <c r="AR114" s="51"/>
    </row>
    <row r="115" spans="2:44" ht="5.0999999999999996" customHeight="1">
      <c r="B115" s="121"/>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125"/>
      <c r="AQ115" s="12"/>
      <c r="AR115" s="51"/>
    </row>
    <row r="116" spans="2:44">
      <c r="B116" s="406" t="s">
        <v>453</v>
      </c>
      <c r="C116" s="96">
        <v>0</v>
      </c>
      <c r="D116" s="96">
        <v>0</v>
      </c>
      <c r="E116" s="96">
        <v>0</v>
      </c>
      <c r="F116" s="96">
        <v>0</v>
      </c>
      <c r="G116" s="96">
        <v>0</v>
      </c>
      <c r="H116" s="96">
        <v>0</v>
      </c>
      <c r="I116" s="96">
        <v>0</v>
      </c>
      <c r="J116" s="96">
        <v>0</v>
      </c>
      <c r="K116" s="96">
        <v>0</v>
      </c>
      <c r="L116" s="96">
        <v>0</v>
      </c>
      <c r="M116" s="34"/>
      <c r="N116" s="96">
        <v>0</v>
      </c>
      <c r="O116" s="96">
        <v>0</v>
      </c>
      <c r="P116" s="96">
        <v>0</v>
      </c>
      <c r="Q116" s="34">
        <f t="shared" ref="Q116" si="301">SUM(I116-SUM(N116:P116))</f>
        <v>0</v>
      </c>
      <c r="R116" s="96">
        <v>0</v>
      </c>
      <c r="S116" s="96">
        <v>0</v>
      </c>
      <c r="T116" s="96">
        <v>0</v>
      </c>
      <c r="U116" s="34">
        <f t="shared" ref="U116" si="302">SUM(J116-SUM(R116:T116))</f>
        <v>0</v>
      </c>
      <c r="V116" s="96">
        <v>0</v>
      </c>
      <c r="W116" s="96">
        <v>0</v>
      </c>
      <c r="X116" s="96">
        <v>0</v>
      </c>
      <c r="Y116" s="34">
        <f t="shared" ref="Y116" si="303">SUM(K116-SUM(V116:X116))</f>
        <v>0</v>
      </c>
      <c r="Z116" s="96">
        <v>0</v>
      </c>
      <c r="AA116" s="96">
        <v>0</v>
      </c>
      <c r="AB116" s="96">
        <v>0</v>
      </c>
      <c r="AC116" s="34">
        <f t="shared" ref="AC116" si="304">SUM(L116-SUM(Z116:AB116))</f>
        <v>0</v>
      </c>
      <c r="AD116" s="34"/>
      <c r="AE116" s="34">
        <f t="shared" ref="AE116" si="305">R116</f>
        <v>0</v>
      </c>
      <c r="AF116" s="34">
        <f t="shared" ref="AF116" si="306">S116</f>
        <v>0</v>
      </c>
      <c r="AG116" s="34">
        <f t="shared" ref="AG116" si="307">T116</f>
        <v>0</v>
      </c>
      <c r="AH116" s="34">
        <f t="shared" ref="AH116" si="308">U116</f>
        <v>0</v>
      </c>
      <c r="AI116" s="34">
        <f t="shared" ref="AI116" si="309">V116</f>
        <v>0</v>
      </c>
      <c r="AJ116" s="34">
        <f t="shared" ref="AJ116" si="310">W116</f>
        <v>0</v>
      </c>
      <c r="AK116" s="34">
        <f t="shared" ref="AK116" si="311">X116</f>
        <v>0</v>
      </c>
      <c r="AL116" s="34">
        <f t="shared" ref="AL116" si="312">Y116</f>
        <v>0</v>
      </c>
      <c r="AM116" s="34">
        <f t="shared" ref="AM116" si="313">Z116</f>
        <v>0</v>
      </c>
      <c r="AN116" s="34">
        <f t="shared" ref="AN116" si="314">AA116</f>
        <v>0</v>
      </c>
      <c r="AO116" s="34">
        <f>AB116</f>
        <v>0</v>
      </c>
      <c r="AP116" s="125">
        <f>AC116</f>
        <v>0</v>
      </c>
      <c r="AQ116" s="12"/>
      <c r="AR116" s="51"/>
    </row>
    <row r="117" spans="2:44">
      <c r="B117" s="406" t="s">
        <v>220</v>
      </c>
      <c r="C117" s="96">
        <v>0</v>
      </c>
      <c r="D117" s="96">
        <v>0</v>
      </c>
      <c r="E117" s="96">
        <v>0</v>
      </c>
      <c r="F117" s="96">
        <f>-23-1357</f>
        <v>-1380</v>
      </c>
      <c r="G117" s="96">
        <f>-(1737+36)</f>
        <v>-1773</v>
      </c>
      <c r="H117" s="96">
        <v>-989</v>
      </c>
      <c r="I117" s="96">
        <v>-1331</v>
      </c>
      <c r="J117" s="96">
        <v>-921.89200000000005</v>
      </c>
      <c r="K117" s="96">
        <v>-149.891999999993</v>
      </c>
      <c r="L117" s="96">
        <v>-149.891999999993</v>
      </c>
      <c r="M117" s="34"/>
      <c r="N117" s="96">
        <v>-1511</v>
      </c>
      <c r="O117" s="96">
        <v>-1082</v>
      </c>
      <c r="P117" s="96">
        <v>-1359</v>
      </c>
      <c r="Q117" s="96">
        <v>-1331</v>
      </c>
      <c r="R117" s="96">
        <v>-1439</v>
      </c>
      <c r="S117" s="96">
        <v>-2442</v>
      </c>
      <c r="T117" s="96">
        <v>-1490</v>
      </c>
      <c r="U117" s="96">
        <v>-921.89199999999983</v>
      </c>
      <c r="V117" s="96">
        <v>-1363.8919999999998</v>
      </c>
      <c r="W117" s="96">
        <v>-1375.8919999999998</v>
      </c>
      <c r="X117" s="96">
        <v>-1219.8919999999998</v>
      </c>
      <c r="Y117" s="96">
        <v>-149.89199999999983</v>
      </c>
      <c r="Z117" s="96">
        <v>-149.89199999999983</v>
      </c>
      <c r="AA117" s="96">
        <v>-149.89199999999983</v>
      </c>
      <c r="AB117" s="96">
        <v>-149.89199999999983</v>
      </c>
      <c r="AC117" s="34">
        <f>L117</f>
        <v>-149.891999999993</v>
      </c>
      <c r="AD117" s="34"/>
      <c r="AE117" s="34">
        <f t="shared" ref="AE117:AN117" si="315">R117</f>
        <v>-1439</v>
      </c>
      <c r="AF117" s="34">
        <f t="shared" si="315"/>
        <v>-2442</v>
      </c>
      <c r="AG117" s="34">
        <f t="shared" si="315"/>
        <v>-1490</v>
      </c>
      <c r="AH117" s="34">
        <f t="shared" si="315"/>
        <v>-921.89199999999983</v>
      </c>
      <c r="AI117" s="34">
        <f t="shared" si="315"/>
        <v>-1363.8919999999998</v>
      </c>
      <c r="AJ117" s="34">
        <f t="shared" si="315"/>
        <v>-1375.8919999999998</v>
      </c>
      <c r="AK117" s="34">
        <f t="shared" si="315"/>
        <v>-1219.8919999999998</v>
      </c>
      <c r="AL117" s="34">
        <f t="shared" si="315"/>
        <v>-149.89199999999983</v>
      </c>
      <c r="AM117" s="34">
        <f t="shared" si="315"/>
        <v>-149.89199999999983</v>
      </c>
      <c r="AN117" s="34">
        <f t="shared" si="315"/>
        <v>-149.89199999999983</v>
      </c>
      <c r="AO117" s="34">
        <f>AB117</f>
        <v>-149.89199999999983</v>
      </c>
      <c r="AP117" s="125">
        <f>AC117</f>
        <v>-149.891999999993</v>
      </c>
      <c r="AQ117" s="12"/>
      <c r="AR117" s="51"/>
    </row>
    <row r="118" spans="2:44">
      <c r="B118" s="121" t="s">
        <v>98</v>
      </c>
      <c r="C118" s="34">
        <f t="shared" ref="C118:L118" si="316">+C109+C98+C90</f>
        <v>-636</v>
      </c>
      <c r="D118" s="34">
        <f t="shared" si="316"/>
        <v>-195</v>
      </c>
      <c r="E118" s="34">
        <f t="shared" si="316"/>
        <v>5624</v>
      </c>
      <c r="F118" s="34">
        <f t="shared" si="316"/>
        <v>24311</v>
      </c>
      <c r="G118" s="34">
        <f t="shared" si="316"/>
        <v>-10435</v>
      </c>
      <c r="H118" s="34">
        <f t="shared" si="316"/>
        <v>-3860</v>
      </c>
      <c r="I118" s="34">
        <f t="shared" si="316"/>
        <v>-10952</v>
      </c>
      <c r="J118" s="34">
        <f t="shared" si="316"/>
        <v>5909.8919999999925</v>
      </c>
      <c r="K118" s="34">
        <f t="shared" si="316"/>
        <v>-794</v>
      </c>
      <c r="L118" s="34">
        <f t="shared" si="316"/>
        <v>5991</v>
      </c>
      <c r="M118" s="34"/>
      <c r="N118" s="34">
        <f t="shared" ref="N118:AC118" si="317">+N109+N98+N90</f>
        <v>2701</v>
      </c>
      <c r="O118" s="34">
        <f t="shared" si="317"/>
        <v>-9450</v>
      </c>
      <c r="P118" s="34">
        <f t="shared" si="317"/>
        <v>-319</v>
      </c>
      <c r="Q118" s="34">
        <f t="shared" si="317"/>
        <v>-3884</v>
      </c>
      <c r="R118" s="34">
        <f t="shared" si="317"/>
        <v>-3003</v>
      </c>
      <c r="S118" s="34">
        <f t="shared" si="317"/>
        <v>5155</v>
      </c>
      <c r="T118" s="34">
        <f t="shared" si="317"/>
        <v>2769</v>
      </c>
      <c r="U118" s="34">
        <f t="shared" si="317"/>
        <v>988.89199999999983</v>
      </c>
      <c r="V118" s="34">
        <f t="shared" si="317"/>
        <v>11237</v>
      </c>
      <c r="W118" s="34">
        <f t="shared" si="317"/>
        <v>-8053</v>
      </c>
      <c r="X118" s="34">
        <f t="shared" si="317"/>
        <v>-7286</v>
      </c>
      <c r="Y118" s="34">
        <f t="shared" si="317"/>
        <v>3308</v>
      </c>
      <c r="Z118" s="34">
        <f t="shared" si="317"/>
        <v>356</v>
      </c>
      <c r="AA118" s="34">
        <f t="shared" si="317"/>
        <v>-2137</v>
      </c>
      <c r="AB118" s="34">
        <f t="shared" si="317"/>
        <v>8107</v>
      </c>
      <c r="AC118" s="34">
        <f t="shared" si="317"/>
        <v>-335</v>
      </c>
      <c r="AD118" s="34"/>
      <c r="AE118" s="34">
        <f t="shared" ref="AE118:AP118" si="318">+AE109+AE98+AE90</f>
        <v>-16656</v>
      </c>
      <c r="AF118" s="34">
        <f t="shared" si="318"/>
        <v>-2051</v>
      </c>
      <c r="AG118" s="34">
        <f t="shared" si="318"/>
        <v>1037</v>
      </c>
      <c r="AH118" s="34">
        <f t="shared" si="318"/>
        <v>5909.8919999999925</v>
      </c>
      <c r="AI118" s="34">
        <f t="shared" si="318"/>
        <v>20149.891999999993</v>
      </c>
      <c r="AJ118" s="34">
        <f t="shared" si="318"/>
        <v>6941.8919999999925</v>
      </c>
      <c r="AK118" s="34">
        <f t="shared" si="318"/>
        <v>-3113.1080000000075</v>
      </c>
      <c r="AL118" s="34">
        <f t="shared" si="318"/>
        <v>-794</v>
      </c>
      <c r="AM118" s="34">
        <f t="shared" si="318"/>
        <v>-11675</v>
      </c>
      <c r="AN118" s="34">
        <f t="shared" si="318"/>
        <v>-5759</v>
      </c>
      <c r="AO118" s="34">
        <f t="shared" si="318"/>
        <v>9634</v>
      </c>
      <c r="AP118" s="125">
        <f t="shared" si="318"/>
        <v>5991</v>
      </c>
      <c r="AQ118" s="12"/>
      <c r="AR118" s="51"/>
    </row>
    <row r="119" spans="2:44">
      <c r="B119" s="122" t="s">
        <v>219</v>
      </c>
      <c r="C119" s="409">
        <f t="shared" ref="C119:F119" si="319">SUM(C114:C118)</f>
        <v>20484</v>
      </c>
      <c r="D119" s="409">
        <f t="shared" si="319"/>
        <v>20289</v>
      </c>
      <c r="E119" s="409">
        <f t="shared" si="319"/>
        <v>25913</v>
      </c>
      <c r="F119" s="409">
        <f t="shared" si="319"/>
        <v>48844</v>
      </c>
      <c r="G119" s="409">
        <f>SUM(G114:G118)</f>
        <v>38016</v>
      </c>
      <c r="H119" s="409">
        <f t="shared" ref="H119:K119" si="320">SUM(H114:H118)</f>
        <v>34940</v>
      </c>
      <c r="I119" s="409">
        <f t="shared" si="320"/>
        <v>23646</v>
      </c>
      <c r="J119" s="409">
        <f t="shared" si="320"/>
        <v>29964.999999999993</v>
      </c>
      <c r="K119" s="409">
        <f t="shared" si="320"/>
        <v>29943</v>
      </c>
      <c r="L119" s="409">
        <f t="shared" ref="L119" si="321">SUM(L114:L118)</f>
        <v>35934</v>
      </c>
      <c r="M119" s="34"/>
      <c r="N119" s="409">
        <f t="shared" ref="N119" si="322">SUM(N114:N118)</f>
        <v>37119</v>
      </c>
      <c r="O119" s="409">
        <f t="shared" ref="O119" si="323">SUM(O114:O118)</f>
        <v>28098</v>
      </c>
      <c r="P119" s="409">
        <f t="shared" ref="P119" si="324">SUM(P114:P118)</f>
        <v>27502</v>
      </c>
      <c r="Q119" s="409">
        <f t="shared" ref="Q119" si="325">SUM(Q114:Q118)</f>
        <v>23646</v>
      </c>
      <c r="R119" s="409">
        <f t="shared" ref="R119" si="326">SUM(R114:R118)</f>
        <v>20535</v>
      </c>
      <c r="S119" s="409">
        <f t="shared" ref="S119" si="327">SUM(S114:S118)</f>
        <v>24687</v>
      </c>
      <c r="T119" s="409">
        <f t="shared" ref="T119" si="328">SUM(T114:T118)</f>
        <v>28408</v>
      </c>
      <c r="U119" s="409">
        <f t="shared" ref="U119" si="329">SUM(U114:U118)</f>
        <v>29965</v>
      </c>
      <c r="V119" s="409">
        <f t="shared" ref="V119" si="330">SUM(V114:V118)</f>
        <v>40760</v>
      </c>
      <c r="W119" s="409">
        <f t="shared" ref="W119" si="331">SUM(W114:W118)</f>
        <v>32695</v>
      </c>
      <c r="X119" s="409">
        <f t="shared" ref="X119" si="332">SUM(X114:X118)</f>
        <v>25565</v>
      </c>
      <c r="Y119" s="409">
        <f t="shared" ref="Y119" si="333">SUM(Y114:Y118)</f>
        <v>29943</v>
      </c>
      <c r="Z119" s="409">
        <f t="shared" ref="Z119" si="334">SUM(Z114:Z118)</f>
        <v>30299</v>
      </c>
      <c r="AA119" s="409">
        <f t="shared" ref="AA119" si="335">SUM(AA114:AA118)</f>
        <v>28162</v>
      </c>
      <c r="AB119" s="409">
        <f t="shared" ref="AB119:AC119" si="336">SUM(AB114:AB118)</f>
        <v>36269</v>
      </c>
      <c r="AC119" s="409">
        <f t="shared" si="336"/>
        <v>35934.000000000007</v>
      </c>
      <c r="AD119" s="34"/>
      <c r="AE119" s="409">
        <f t="shared" ref="AE119" si="337">SUM(AE114:AE118)</f>
        <v>20535</v>
      </c>
      <c r="AF119" s="409">
        <f t="shared" ref="AF119" si="338">SUM(AF114:AF118)</f>
        <v>24687</v>
      </c>
      <c r="AG119" s="409">
        <f t="shared" ref="AG119" si="339">SUM(AG114:AG118)</f>
        <v>28408</v>
      </c>
      <c r="AH119" s="409">
        <f t="shared" ref="AH119" si="340">SUM(AH114:AH118)</f>
        <v>29964.999999999993</v>
      </c>
      <c r="AI119" s="409">
        <f t="shared" ref="AI119" si="341">SUM(AI114:AI118)</f>
        <v>40759.999999999993</v>
      </c>
      <c r="AJ119" s="409">
        <f t="shared" ref="AJ119" si="342">SUM(AJ114:AJ118)</f>
        <v>32694.999999999993</v>
      </c>
      <c r="AK119" s="409">
        <f t="shared" ref="AK119" si="343">SUM(AK114:AK118)</f>
        <v>25564.999999999993</v>
      </c>
      <c r="AL119" s="409">
        <f t="shared" ref="AL119" si="344">SUM(AL114:AL118)</f>
        <v>29943</v>
      </c>
      <c r="AM119" s="409">
        <f t="shared" ref="AM119" si="345">SUM(AM114:AM118)</f>
        <v>30299</v>
      </c>
      <c r="AN119" s="409">
        <f t="shared" ref="AN119" si="346">SUM(AN114:AN118)</f>
        <v>28162</v>
      </c>
      <c r="AO119" s="409">
        <f t="shared" ref="AO119:AP119" si="347">SUM(AO114:AO118)</f>
        <v>36269</v>
      </c>
      <c r="AP119" s="410">
        <f t="shared" si="347"/>
        <v>35934.000000000007</v>
      </c>
      <c r="AQ119" s="12"/>
      <c r="AR119" s="51"/>
    </row>
    <row r="120" spans="2:44" ht="5.0999999999999996" customHeight="1">
      <c r="B120" s="123"/>
      <c r="C120" s="73"/>
      <c r="D120" s="73"/>
      <c r="E120" s="73"/>
      <c r="F120" s="73"/>
      <c r="G120" s="73"/>
      <c r="H120" s="73"/>
      <c r="I120" s="73"/>
      <c r="J120" s="73"/>
      <c r="K120" s="73"/>
      <c r="L120" s="73"/>
      <c r="M120" s="34"/>
      <c r="N120" s="73"/>
      <c r="O120" s="73"/>
      <c r="P120" s="73"/>
      <c r="Q120" s="73"/>
      <c r="R120" s="73"/>
      <c r="S120" s="73"/>
      <c r="T120" s="73"/>
      <c r="U120" s="73"/>
      <c r="V120" s="74"/>
      <c r="W120" s="73"/>
      <c r="X120" s="73"/>
      <c r="Y120" s="73"/>
      <c r="Z120" s="73"/>
      <c r="AA120" s="73"/>
      <c r="AB120" s="73"/>
      <c r="AC120" s="73"/>
      <c r="AE120" s="12"/>
      <c r="AF120" s="12"/>
      <c r="AG120" s="12"/>
      <c r="AH120" s="12"/>
      <c r="AI120" s="12"/>
      <c r="AJ120" s="12"/>
      <c r="AK120" s="12"/>
      <c r="AL120" s="12"/>
      <c r="AM120" s="12"/>
      <c r="AN120" s="12"/>
      <c r="AO120" s="12"/>
      <c r="AP120" s="126"/>
      <c r="AQ120" s="12"/>
      <c r="AR120" s="51"/>
    </row>
    <row r="121" spans="2:44">
      <c r="B121" s="124" t="s">
        <v>97</v>
      </c>
      <c r="C121" s="115">
        <f t="shared" ref="C121:L121" si="348">C119-C39</f>
        <v>0</v>
      </c>
      <c r="D121" s="115">
        <f t="shared" si="348"/>
        <v>0</v>
      </c>
      <c r="E121" s="115">
        <f t="shared" si="348"/>
        <v>0</v>
      </c>
      <c r="F121" s="115">
        <f t="shared" si="348"/>
        <v>0</v>
      </c>
      <c r="G121" s="115">
        <f t="shared" si="348"/>
        <v>0</v>
      </c>
      <c r="H121" s="115">
        <f t="shared" si="348"/>
        <v>0</v>
      </c>
      <c r="I121" s="115">
        <f t="shared" si="348"/>
        <v>0</v>
      </c>
      <c r="J121" s="116">
        <f t="shared" si="348"/>
        <v>0</v>
      </c>
      <c r="K121" s="117">
        <f t="shared" si="348"/>
        <v>0</v>
      </c>
      <c r="L121" s="117">
        <f t="shared" si="348"/>
        <v>0</v>
      </c>
      <c r="M121" s="118"/>
      <c r="N121" s="119">
        <f t="shared" ref="N121:AC121" si="349">N119-N39</f>
        <v>0</v>
      </c>
      <c r="O121" s="119">
        <f t="shared" si="349"/>
        <v>0</v>
      </c>
      <c r="P121" s="119">
        <f t="shared" si="349"/>
        <v>0</v>
      </c>
      <c r="Q121" s="119">
        <f t="shared" si="349"/>
        <v>0</v>
      </c>
      <c r="R121" s="119">
        <f t="shared" si="349"/>
        <v>0</v>
      </c>
      <c r="S121" s="119">
        <f t="shared" si="349"/>
        <v>0</v>
      </c>
      <c r="T121" s="119">
        <f t="shared" si="349"/>
        <v>0</v>
      </c>
      <c r="U121" s="119">
        <f t="shared" si="349"/>
        <v>0</v>
      </c>
      <c r="V121" s="119">
        <f t="shared" si="349"/>
        <v>0</v>
      </c>
      <c r="W121" s="119">
        <f t="shared" si="349"/>
        <v>0</v>
      </c>
      <c r="X121" s="119">
        <f t="shared" si="349"/>
        <v>0</v>
      </c>
      <c r="Y121" s="119">
        <f t="shared" si="349"/>
        <v>0</v>
      </c>
      <c r="Z121" s="119">
        <f t="shared" si="349"/>
        <v>0</v>
      </c>
      <c r="AA121" s="119">
        <f t="shared" si="349"/>
        <v>0</v>
      </c>
      <c r="AB121" s="119">
        <f t="shared" si="349"/>
        <v>0</v>
      </c>
      <c r="AC121" s="119">
        <f t="shared" si="349"/>
        <v>0</v>
      </c>
      <c r="AD121" s="120"/>
      <c r="AE121" s="119">
        <f t="shared" ref="AE121:AP121" si="350">AE119-AE39</f>
        <v>0</v>
      </c>
      <c r="AF121" s="119">
        <f t="shared" si="350"/>
        <v>0</v>
      </c>
      <c r="AG121" s="119">
        <f t="shared" si="350"/>
        <v>0</v>
      </c>
      <c r="AH121" s="119">
        <f t="shared" si="350"/>
        <v>0</v>
      </c>
      <c r="AI121" s="119">
        <f t="shared" si="350"/>
        <v>0</v>
      </c>
      <c r="AJ121" s="119">
        <f t="shared" si="350"/>
        <v>0</v>
      </c>
      <c r="AK121" s="119">
        <f t="shared" si="350"/>
        <v>0</v>
      </c>
      <c r="AL121" s="119">
        <f t="shared" si="350"/>
        <v>0</v>
      </c>
      <c r="AM121" s="119">
        <f t="shared" si="350"/>
        <v>0</v>
      </c>
      <c r="AN121" s="119">
        <f t="shared" si="350"/>
        <v>0</v>
      </c>
      <c r="AO121" s="119">
        <f t="shared" si="350"/>
        <v>0</v>
      </c>
      <c r="AP121" s="127">
        <f t="shared" si="350"/>
        <v>0</v>
      </c>
      <c r="AQ121" s="12"/>
      <c r="AR121" s="51"/>
    </row>
    <row r="122" spans="2:44" ht="5.0999999999999996" customHeight="1">
      <c r="B122" s="8"/>
      <c r="C122" s="73"/>
      <c r="D122" s="73"/>
      <c r="E122" s="73"/>
      <c r="F122" s="73"/>
      <c r="G122" s="73"/>
      <c r="H122" s="73"/>
      <c r="I122" s="73"/>
      <c r="J122" s="73"/>
      <c r="K122" s="73"/>
      <c r="L122" s="73"/>
      <c r="M122" s="34"/>
      <c r="N122" s="73"/>
      <c r="O122" s="73"/>
      <c r="P122" s="73"/>
      <c r="Q122" s="73"/>
      <c r="R122" s="73"/>
      <c r="S122" s="73"/>
      <c r="T122" s="73"/>
      <c r="U122" s="73"/>
      <c r="V122" s="74"/>
      <c r="W122" s="73"/>
      <c r="X122" s="73"/>
      <c r="Y122" s="73"/>
      <c r="Z122" s="73"/>
      <c r="AA122" s="73"/>
      <c r="AB122" s="73"/>
      <c r="AC122" s="73"/>
      <c r="AE122" s="12"/>
      <c r="AF122" s="12"/>
      <c r="AG122" s="12"/>
      <c r="AH122" s="12"/>
      <c r="AI122" s="12"/>
      <c r="AJ122" s="12"/>
      <c r="AK122" s="12"/>
      <c r="AL122" s="12"/>
      <c r="AM122" s="12"/>
      <c r="AN122" s="12"/>
      <c r="AO122" s="12"/>
      <c r="AP122" s="12"/>
      <c r="AQ122" s="12"/>
      <c r="AR122" s="51"/>
    </row>
    <row r="123" spans="2:44" ht="12.75" customHeight="1">
      <c r="B123" s="84" t="s">
        <v>100</v>
      </c>
      <c r="C123" s="68"/>
      <c r="D123" s="68"/>
      <c r="E123" s="68"/>
      <c r="F123" s="68"/>
      <c r="G123" s="68"/>
      <c r="H123" s="68"/>
      <c r="I123" s="68"/>
      <c r="J123" s="68"/>
      <c r="K123" s="68"/>
      <c r="L123" s="68"/>
      <c r="M123" s="12"/>
      <c r="N123" s="68"/>
      <c r="O123" s="68"/>
      <c r="P123" s="68"/>
      <c r="Q123" s="96"/>
      <c r="R123" s="68"/>
      <c r="S123" s="68"/>
      <c r="T123" s="68"/>
      <c r="U123" s="68"/>
      <c r="V123" s="75"/>
      <c r="W123" s="68"/>
      <c r="X123" s="68"/>
      <c r="Y123" s="68"/>
      <c r="Z123" s="68"/>
      <c r="AA123" s="68"/>
      <c r="AB123" s="68"/>
      <c r="AC123" s="68"/>
      <c r="AE123" s="68"/>
      <c r="AF123" s="68"/>
      <c r="AG123" s="68"/>
      <c r="AH123" s="68"/>
      <c r="AI123" s="68"/>
      <c r="AJ123" s="68"/>
      <c r="AK123" s="68"/>
      <c r="AL123" s="68"/>
      <c r="AM123" s="68"/>
      <c r="AN123" s="68"/>
      <c r="AO123" s="68"/>
      <c r="AP123" s="68"/>
      <c r="AQ123" s="76"/>
      <c r="AR123" s="51"/>
    </row>
    <row r="124" spans="2:44" ht="12.75" customHeight="1">
      <c r="B124" s="8" t="s">
        <v>216</v>
      </c>
      <c r="C124" s="96">
        <v>10444</v>
      </c>
      <c r="D124" s="96">
        <v>11591</v>
      </c>
      <c r="E124" s="96">
        <v>10417</v>
      </c>
      <c r="F124" s="96">
        <v>15263</v>
      </c>
      <c r="G124" s="96">
        <v>9501</v>
      </c>
      <c r="H124" s="96">
        <v>25385</v>
      </c>
      <c r="I124" s="96">
        <v>19573</v>
      </c>
      <c r="J124" s="96">
        <v>18679</v>
      </c>
      <c r="K124" s="96">
        <v>26102</v>
      </c>
      <c r="L124" s="96">
        <v>43369</v>
      </c>
      <c r="M124" s="34"/>
      <c r="N124" s="96">
        <v>5235</v>
      </c>
      <c r="O124" s="96">
        <f>9301-N124</f>
        <v>4066</v>
      </c>
      <c r="P124" s="96">
        <f>12251-O124-N124</f>
        <v>2950</v>
      </c>
      <c r="Q124" s="34">
        <f t="shared" ref="Q124:Q125" si="351">SUM(I124-SUM(N124:P124))</f>
        <v>7322</v>
      </c>
      <c r="R124" s="96">
        <v>828</v>
      </c>
      <c r="S124" s="96">
        <f>4894-R124</f>
        <v>4066</v>
      </c>
      <c r="T124" s="96">
        <f>7020-S124-R124</f>
        <v>2126</v>
      </c>
      <c r="U124" s="34">
        <f t="shared" ref="U124:U125" si="352">SUM(J124-SUM(R124:T124))</f>
        <v>11659</v>
      </c>
      <c r="V124" s="96">
        <v>7255</v>
      </c>
      <c r="W124" s="96">
        <f>14531-V124</f>
        <v>7276</v>
      </c>
      <c r="X124" s="96">
        <f>19230-W124-V124</f>
        <v>4699</v>
      </c>
      <c r="Y124" s="34">
        <f t="shared" ref="Y124:Y125" si="353">SUM(K124-SUM(V124:X124))</f>
        <v>6872</v>
      </c>
      <c r="Z124" s="96">
        <v>18651</v>
      </c>
      <c r="AA124" s="96">
        <f>31683-Z124</f>
        <v>13032</v>
      </c>
      <c r="AB124" s="96">
        <f>37332-AA124-Z124</f>
        <v>5649</v>
      </c>
      <c r="AC124" s="34">
        <f t="shared" ref="AC124:AC125" si="354">SUM(L124-SUM(Z124:AB124))</f>
        <v>6037</v>
      </c>
      <c r="AD124" s="34"/>
      <c r="AE124" s="34">
        <f t="shared" ref="AE124:AP125" si="355">SUM(O124:R124)</f>
        <v>15166</v>
      </c>
      <c r="AF124" s="34">
        <f t="shared" si="355"/>
        <v>15166</v>
      </c>
      <c r="AG124" s="34">
        <f t="shared" si="355"/>
        <v>14342</v>
      </c>
      <c r="AH124" s="34">
        <f t="shared" si="355"/>
        <v>18679</v>
      </c>
      <c r="AI124" s="34">
        <f t="shared" si="355"/>
        <v>25106</v>
      </c>
      <c r="AJ124" s="34">
        <f t="shared" si="355"/>
        <v>28316</v>
      </c>
      <c r="AK124" s="34">
        <f t="shared" si="355"/>
        <v>30889</v>
      </c>
      <c r="AL124" s="34">
        <f t="shared" si="355"/>
        <v>26102</v>
      </c>
      <c r="AM124" s="34">
        <f t="shared" si="355"/>
        <v>37498</v>
      </c>
      <c r="AN124" s="34">
        <f t="shared" si="355"/>
        <v>43254</v>
      </c>
      <c r="AO124" s="34">
        <f t="shared" si="355"/>
        <v>44204</v>
      </c>
      <c r="AP124" s="34">
        <f t="shared" si="355"/>
        <v>43369</v>
      </c>
      <c r="AQ124" s="12"/>
      <c r="AR124" s="51"/>
    </row>
    <row r="125" spans="2:44" ht="12.75" customHeight="1">
      <c r="B125" s="5" t="s">
        <v>217</v>
      </c>
      <c r="C125" s="96">
        <v>1316</v>
      </c>
      <c r="D125" s="96">
        <v>2092</v>
      </c>
      <c r="E125" s="96">
        <v>3022</v>
      </c>
      <c r="F125" s="96">
        <v>3423</v>
      </c>
      <c r="G125" s="96">
        <v>3002</v>
      </c>
      <c r="H125" s="96">
        <v>2687</v>
      </c>
      <c r="I125" s="96">
        <v>2865</v>
      </c>
      <c r="J125" s="96">
        <v>3803</v>
      </c>
      <c r="K125" s="96">
        <v>0</v>
      </c>
      <c r="L125" s="96">
        <v>0</v>
      </c>
      <c r="M125" s="34"/>
      <c r="N125" s="96">
        <v>531</v>
      </c>
      <c r="O125" s="96">
        <f>1406-N125</f>
        <v>875</v>
      </c>
      <c r="P125" s="96">
        <f>1910-O125-N125</f>
        <v>504</v>
      </c>
      <c r="Q125" s="34">
        <f t="shared" si="351"/>
        <v>955</v>
      </c>
      <c r="R125" s="96">
        <v>703</v>
      </c>
      <c r="S125" s="96">
        <f>1873-R125</f>
        <v>1170</v>
      </c>
      <c r="T125" s="96">
        <f>2590-S125-R125</f>
        <v>717</v>
      </c>
      <c r="U125" s="34">
        <f t="shared" si="352"/>
        <v>1213</v>
      </c>
      <c r="V125" s="96">
        <v>0</v>
      </c>
      <c r="W125" s="96">
        <v>0</v>
      </c>
      <c r="X125" s="96">
        <v>0</v>
      </c>
      <c r="Y125" s="34">
        <f t="shared" si="353"/>
        <v>0</v>
      </c>
      <c r="Z125" s="96">
        <v>0</v>
      </c>
      <c r="AA125" s="96">
        <v>0</v>
      </c>
      <c r="AB125" s="96">
        <v>0</v>
      </c>
      <c r="AC125" s="34">
        <f t="shared" si="354"/>
        <v>0</v>
      </c>
      <c r="AD125" s="34"/>
      <c r="AE125" s="34">
        <f t="shared" si="355"/>
        <v>3037</v>
      </c>
      <c r="AF125" s="34">
        <f t="shared" si="355"/>
        <v>3332</v>
      </c>
      <c r="AG125" s="34">
        <f t="shared" si="355"/>
        <v>3545</v>
      </c>
      <c r="AH125" s="34">
        <f t="shared" si="355"/>
        <v>3803</v>
      </c>
      <c r="AI125" s="34">
        <f t="shared" si="355"/>
        <v>3100</v>
      </c>
      <c r="AJ125" s="34">
        <f t="shared" si="355"/>
        <v>1930</v>
      </c>
      <c r="AK125" s="34">
        <f t="shared" si="355"/>
        <v>1213</v>
      </c>
      <c r="AL125" s="34">
        <f t="shared" si="355"/>
        <v>0</v>
      </c>
      <c r="AM125" s="34">
        <f t="shared" si="355"/>
        <v>0</v>
      </c>
      <c r="AN125" s="34">
        <f t="shared" si="355"/>
        <v>0</v>
      </c>
      <c r="AO125" s="34">
        <f t="shared" si="355"/>
        <v>0</v>
      </c>
      <c r="AP125" s="34">
        <f t="shared" si="355"/>
        <v>0</v>
      </c>
      <c r="AR125" s="51"/>
    </row>
    <row r="126" spans="2:44" ht="5.0999999999999996" customHeight="1" thickBot="1">
      <c r="B126" s="85"/>
      <c r="C126" s="86"/>
      <c r="D126" s="86"/>
      <c r="E126" s="86"/>
      <c r="F126" s="86"/>
      <c r="G126" s="86"/>
      <c r="H126" s="86"/>
      <c r="I126" s="86"/>
      <c r="J126" s="86"/>
      <c r="K126" s="86"/>
      <c r="L126" s="86"/>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5"/>
      <c r="AK126" s="85"/>
      <c r="AL126" s="85"/>
      <c r="AM126" s="85"/>
      <c r="AN126" s="85"/>
      <c r="AO126" s="85"/>
      <c r="AP126" s="85"/>
      <c r="AR126" s="51"/>
    </row>
    <row r="127" spans="2:44" ht="12.75" customHeight="1">
      <c r="B127" s="59"/>
      <c r="C127" s="77"/>
      <c r="D127" s="77"/>
      <c r="E127" s="77"/>
      <c r="F127" s="77"/>
      <c r="G127" s="77"/>
      <c r="H127" s="77"/>
      <c r="I127" s="77"/>
      <c r="J127" s="77"/>
      <c r="K127" s="77"/>
      <c r="L127" s="77"/>
    </row>
    <row r="128" spans="2:44" ht="12.75" customHeight="1">
      <c r="C128" s="62"/>
      <c r="D128" s="62"/>
      <c r="E128" s="62"/>
      <c r="F128" s="62"/>
      <c r="G128" s="62"/>
      <c r="H128" s="62"/>
      <c r="I128" s="62"/>
      <c r="J128" s="62"/>
      <c r="K128" s="62"/>
      <c r="L128" s="62"/>
    </row>
    <row r="129" spans="3:14" ht="12.75" customHeight="1">
      <c r="C129" s="62"/>
      <c r="D129" s="62"/>
      <c r="E129" s="62"/>
      <c r="F129" s="62"/>
      <c r="G129" s="62"/>
      <c r="H129" s="62"/>
      <c r="I129" s="62"/>
      <c r="J129" s="62"/>
      <c r="K129" s="62"/>
      <c r="L129" s="62"/>
    </row>
    <row r="130" spans="3:14" ht="12.75" customHeight="1">
      <c r="C130" s="62"/>
      <c r="D130" s="62"/>
      <c r="E130" s="62"/>
      <c r="F130" s="62"/>
      <c r="G130" s="62"/>
      <c r="H130" s="62"/>
      <c r="I130" s="62"/>
      <c r="J130" s="62"/>
      <c r="K130" s="62"/>
      <c r="L130" s="62"/>
    </row>
    <row r="131" spans="3:14" ht="12.75" customHeight="1">
      <c r="C131" s="62"/>
      <c r="D131" s="62"/>
      <c r="E131" s="62"/>
      <c r="F131" s="62"/>
      <c r="G131" s="62"/>
      <c r="H131" s="62"/>
      <c r="I131" s="62"/>
      <c r="J131" s="62"/>
      <c r="K131" s="62"/>
      <c r="L131" s="62"/>
    </row>
    <row r="132" spans="3:14" ht="12.75" customHeight="1">
      <c r="C132" s="62"/>
      <c r="D132" s="62"/>
      <c r="E132" s="62"/>
      <c r="F132" s="62"/>
      <c r="G132" s="62"/>
      <c r="H132" s="62"/>
      <c r="I132" s="62"/>
      <c r="J132" s="62"/>
      <c r="K132" s="62"/>
      <c r="L132" s="62"/>
      <c r="N132" s="114"/>
    </row>
    <row r="133" spans="3:14" ht="12.75" customHeight="1">
      <c r="C133" s="62"/>
      <c r="D133" s="62"/>
      <c r="E133" s="62"/>
      <c r="F133" s="62"/>
      <c r="G133" s="62"/>
      <c r="H133" s="62"/>
      <c r="I133" s="62"/>
      <c r="J133" s="62"/>
      <c r="K133" s="62"/>
      <c r="L133" s="62"/>
    </row>
    <row r="134" spans="3:14" ht="12.75" customHeight="1">
      <c r="C134" s="62"/>
      <c r="D134" s="62"/>
      <c r="E134" s="62"/>
      <c r="F134" s="62"/>
      <c r="G134" s="62"/>
      <c r="H134" s="62"/>
      <c r="I134" s="62"/>
      <c r="J134" s="62"/>
      <c r="K134" s="62"/>
      <c r="L134" s="62"/>
      <c r="N134" s="114"/>
    </row>
    <row r="135" spans="3:14">
      <c r="N135" s="114"/>
    </row>
    <row r="136" spans="3:14">
      <c r="N136" s="114"/>
    </row>
    <row r="138" spans="3:14">
      <c r="N138" s="114"/>
    </row>
    <row r="139" spans="3:14">
      <c r="N139" s="114"/>
    </row>
  </sheetData>
  <mergeCells count="3">
    <mergeCell ref="AR6:AR8"/>
    <mergeCell ref="AR35:AR37"/>
    <mergeCell ref="AR70:AR72"/>
  </mergeCells>
  <pageMargins left="0.7" right="0.7" top="0.75" bottom="0.75" header="0.3" footer="0.3"/>
  <pageSetup orientation="landscape" r:id="rId1"/>
  <ignoredErrors>
    <ignoredError sqref="AO14:AO16 AO26:AO27 M44" formulaRange="1"/>
    <ignoredError sqref="AR10:AR106"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C0D2-A617-43BF-9493-F1D2AA08251E}">
  <sheetPr>
    <tabColor theme="6" tint="-0.249977111117893"/>
  </sheetPr>
  <dimension ref="A2:AS82"/>
  <sheetViews>
    <sheetView showGridLines="0" zoomScaleNormal="100" workbookViewId="0">
      <selection activeCell="AV21" sqref="AV21"/>
    </sheetView>
  </sheetViews>
  <sheetFormatPr defaultRowHeight="12" outlineLevelCol="1"/>
  <cols>
    <col min="1" max="1" width="1.5" style="8" customWidth="1"/>
    <col min="2" max="2" width="46.5" style="8" bestFit="1" customWidth="1"/>
    <col min="3" max="8" width="8.25" style="8" hidden="1" customWidth="1" outlineLevel="1"/>
    <col min="9" max="9" width="8.625" style="8" hidden="1" customWidth="1" outlineLevel="1"/>
    <col min="10" max="10" width="8.25" style="8" bestFit="1" customWidth="1" collapsed="1"/>
    <col min="11" max="12" width="9" style="8"/>
    <col min="13" max="13" width="1.5" style="8" customWidth="1"/>
    <col min="14" max="14" width="8.625" style="8" hidden="1" customWidth="1" outlineLevel="1"/>
    <col min="15" max="16" width="7.875" style="8" hidden="1" customWidth="1" outlineLevel="1"/>
    <col min="17" max="17" width="8.75" style="8" hidden="1" customWidth="1" outlineLevel="1"/>
    <col min="18" max="18" width="8.625" style="8" hidden="1" customWidth="1" outlineLevel="1"/>
    <col min="19" max="20" width="8" style="8" hidden="1" customWidth="1" outlineLevel="1"/>
    <col min="21" max="21" width="8.75" style="8" hidden="1" customWidth="1" outlineLevel="1"/>
    <col min="22" max="22" width="8.5" style="8" hidden="1" customWidth="1" outlineLevel="1"/>
    <col min="23" max="23" width="8.25" style="8" hidden="1" customWidth="1" outlineLevel="1"/>
    <col min="24" max="24" width="8.5" style="8" hidden="1" customWidth="1" outlineLevel="1"/>
    <col min="25" max="25" width="9.125" style="8" bestFit="1" customWidth="1" collapsed="1"/>
    <col min="26" max="29" width="9.125" style="8" bestFit="1" customWidth="1"/>
    <col min="30" max="30" width="1.5" style="8" customWidth="1"/>
    <col min="31" max="38" width="8.75" style="8" hidden="1" customWidth="1" outlineLevel="1"/>
    <col min="39" max="39" width="8.75" style="8" customWidth="1" collapsed="1"/>
    <col min="40" max="42" width="8.75" style="8" hidden="1" customWidth="1" outlineLevel="1"/>
    <col min="43" max="43" width="8.75" style="8" bestFit="1" customWidth="1" collapsed="1"/>
    <col min="44" max="44" width="1.5" style="8" customWidth="1"/>
    <col min="45" max="45" width="9.875" style="8" bestFit="1" customWidth="1"/>
    <col min="46" max="16384" width="9" style="8"/>
  </cols>
  <sheetData>
    <row r="2" spans="2:45" s="5" customFormat="1" ht="12.75" customHeight="1">
      <c r="B2" s="1" t="s">
        <v>189</v>
      </c>
      <c r="C2" s="2" t="s">
        <v>0</v>
      </c>
      <c r="D2" s="2"/>
      <c r="E2" s="2"/>
      <c r="F2" s="2"/>
      <c r="G2" s="2"/>
      <c r="H2" s="2"/>
      <c r="I2" s="2"/>
      <c r="J2" s="2" t="s">
        <v>0</v>
      </c>
      <c r="K2" s="2"/>
      <c r="L2" s="2"/>
      <c r="M2" s="3"/>
      <c r="N2" s="2" t="s">
        <v>1</v>
      </c>
      <c r="O2" s="2"/>
      <c r="P2" s="2"/>
      <c r="Q2" s="2"/>
      <c r="R2" s="2"/>
      <c r="S2" s="2"/>
      <c r="T2" s="2"/>
      <c r="U2" s="2"/>
      <c r="V2" s="2"/>
      <c r="W2" s="2"/>
      <c r="X2" s="2"/>
      <c r="Y2" s="2" t="s">
        <v>1</v>
      </c>
      <c r="Z2" s="2"/>
      <c r="AA2" s="2"/>
      <c r="AB2" s="2"/>
      <c r="AC2" s="2"/>
      <c r="AD2" s="3"/>
      <c r="AE2" s="2" t="s">
        <v>10</v>
      </c>
      <c r="AF2" s="2"/>
      <c r="AG2" s="2"/>
      <c r="AH2" s="2"/>
      <c r="AI2" s="2" t="s">
        <v>10</v>
      </c>
      <c r="AJ2" s="2"/>
      <c r="AK2" s="2"/>
      <c r="AL2" s="2" t="s">
        <v>10</v>
      </c>
      <c r="AM2" s="2" t="s">
        <v>10</v>
      </c>
      <c r="AN2" s="2"/>
      <c r="AO2" s="2"/>
      <c r="AP2" s="2"/>
      <c r="AQ2" s="2"/>
      <c r="AR2" s="3"/>
      <c r="AS2" s="640" t="s">
        <v>37</v>
      </c>
    </row>
    <row r="3" spans="2:45" s="5" customFormat="1" ht="12.75" customHeight="1">
      <c r="B3" s="6" t="s">
        <v>38</v>
      </c>
      <c r="C3" s="7">
        <f>'Historical Financials'!C7</f>
        <v>2016</v>
      </c>
      <c r="D3" s="7">
        <f>'Historical Financials'!D7</f>
        <v>2017</v>
      </c>
      <c r="E3" s="7">
        <f>'Historical Financials'!E7</f>
        <v>2018</v>
      </c>
      <c r="F3" s="7">
        <f>'Historical Financials'!F7</f>
        <v>2019</v>
      </c>
      <c r="G3" s="7">
        <f>'Historical Financials'!G7</f>
        <v>2020</v>
      </c>
      <c r="H3" s="7">
        <f>'Historical Financials'!H7</f>
        <v>2021</v>
      </c>
      <c r="I3" s="7">
        <f>'Historical Financials'!I7</f>
        <v>2022</v>
      </c>
      <c r="J3" s="7">
        <f>'Historical Financials'!J7</f>
        <v>2023</v>
      </c>
      <c r="K3" s="7">
        <f>'Historical Financials'!K7</f>
        <v>2024</v>
      </c>
      <c r="L3" s="7">
        <f>'Historical Financials'!L7</f>
        <v>2025</v>
      </c>
      <c r="M3" s="3"/>
      <c r="N3" s="7" t="str">
        <f>'Historical Financials'!N7</f>
        <v>1Q22</v>
      </c>
      <c r="O3" s="7" t="str">
        <f>'Historical Financials'!O7</f>
        <v>2Q22</v>
      </c>
      <c r="P3" s="7" t="str">
        <f>'Historical Financials'!P7</f>
        <v>3Q22</v>
      </c>
      <c r="Q3" s="7" t="str">
        <f>'Historical Financials'!Q7</f>
        <v>4Q22</v>
      </c>
      <c r="R3" s="7" t="str">
        <f>'Historical Financials'!R7</f>
        <v>1Q23</v>
      </c>
      <c r="S3" s="7" t="str">
        <f>'Historical Financials'!S7</f>
        <v>2Q23</v>
      </c>
      <c r="T3" s="7" t="str">
        <f>'Historical Financials'!T7</f>
        <v>3Q23</v>
      </c>
      <c r="U3" s="7" t="str">
        <f>'Historical Financials'!U7</f>
        <v>4Q23</v>
      </c>
      <c r="V3" s="7" t="str">
        <f>'Historical Financials'!V7</f>
        <v>1Q24</v>
      </c>
      <c r="W3" s="7" t="str">
        <f>'Historical Financials'!W7</f>
        <v>2Q24</v>
      </c>
      <c r="X3" s="7" t="str">
        <f>'Historical Financials'!X7</f>
        <v>3Q24</v>
      </c>
      <c r="Y3" s="7" t="str">
        <f>'Historical Financials'!Y7</f>
        <v>4Q24</v>
      </c>
      <c r="Z3" s="7" t="str">
        <f>'Historical Financials'!Z7</f>
        <v>1Q25</v>
      </c>
      <c r="AA3" s="7" t="str">
        <f>'Historical Financials'!AA7</f>
        <v>2Q25</v>
      </c>
      <c r="AB3" s="7" t="str">
        <f>'Historical Financials'!AB7</f>
        <v>3Q25</v>
      </c>
      <c r="AC3" s="7" t="str">
        <f>'Historical Financials'!AC7</f>
        <v>4Q25</v>
      </c>
      <c r="AD3" s="4"/>
      <c r="AE3" s="4" t="str">
        <f t="shared" ref="AE3:AO4" si="0">Q3</f>
        <v>4Q22</v>
      </c>
      <c r="AF3" s="4" t="str">
        <f t="shared" si="0"/>
        <v>1Q23</v>
      </c>
      <c r="AG3" s="4" t="str">
        <f t="shared" si="0"/>
        <v>2Q23</v>
      </c>
      <c r="AH3" s="4" t="str">
        <f t="shared" si="0"/>
        <v>3Q23</v>
      </c>
      <c r="AI3" s="4" t="str">
        <f t="shared" si="0"/>
        <v>4Q23</v>
      </c>
      <c r="AJ3" s="4" t="str">
        <f t="shared" si="0"/>
        <v>1Q24</v>
      </c>
      <c r="AK3" s="4" t="str">
        <f t="shared" si="0"/>
        <v>2Q24</v>
      </c>
      <c r="AL3" s="4" t="str">
        <f t="shared" si="0"/>
        <v>3Q24</v>
      </c>
      <c r="AM3" s="4" t="str">
        <f t="shared" si="0"/>
        <v>4Q24</v>
      </c>
      <c r="AN3" s="4" t="str">
        <f t="shared" si="0"/>
        <v>1Q25</v>
      </c>
      <c r="AO3" s="4" t="str">
        <f t="shared" si="0"/>
        <v>2Q25</v>
      </c>
      <c r="AP3" s="4" t="str">
        <f>AB3</f>
        <v>3Q25</v>
      </c>
      <c r="AQ3" s="4" t="str">
        <f>AC3</f>
        <v>4Q25</v>
      </c>
      <c r="AR3" s="3"/>
      <c r="AS3" s="640"/>
    </row>
    <row r="4" spans="2:45" s="5" customFormat="1" ht="12.75" customHeight="1">
      <c r="B4" s="282" t="s">
        <v>422</v>
      </c>
      <c r="C4" s="3">
        <f>'Historical Financials'!C8</f>
        <v>42643</v>
      </c>
      <c r="D4" s="3">
        <f>'Historical Financials'!D8</f>
        <v>43008</v>
      </c>
      <c r="E4" s="3">
        <f>'Historical Financials'!E8</f>
        <v>43372</v>
      </c>
      <c r="F4" s="3">
        <f>'Historical Financials'!F8</f>
        <v>43737</v>
      </c>
      <c r="G4" s="3">
        <f>'Historical Financials'!G8</f>
        <v>44104</v>
      </c>
      <c r="H4" s="3">
        <f>'Historical Financials'!H8</f>
        <v>44469</v>
      </c>
      <c r="I4" s="3">
        <f>'Historical Financials'!I8</f>
        <v>44834</v>
      </c>
      <c r="J4" s="3">
        <f>'Historical Financials'!J8</f>
        <v>45192</v>
      </c>
      <c r="K4" s="3">
        <f>'Historical Financials'!K8</f>
        <v>45559</v>
      </c>
      <c r="L4" s="3">
        <f>'Historical Financials'!L8</f>
        <v>45927</v>
      </c>
      <c r="M4" s="3"/>
      <c r="N4" s="3">
        <f>'Historical Financials'!N8</f>
        <v>44560</v>
      </c>
      <c r="O4" s="3">
        <f>'Historical Financials'!O8</f>
        <v>44650</v>
      </c>
      <c r="P4" s="3">
        <f>'Historical Financials'!P8</f>
        <v>44742</v>
      </c>
      <c r="Q4" s="3">
        <f>'Historical Financials'!Q8</f>
        <v>44834</v>
      </c>
      <c r="R4" s="3">
        <f>'Historical Financials'!R8</f>
        <v>44917</v>
      </c>
      <c r="S4" s="3">
        <f>'Historical Financials'!S8</f>
        <v>45008</v>
      </c>
      <c r="T4" s="3">
        <f>'Historical Financials'!T8</f>
        <v>45100</v>
      </c>
      <c r="U4" s="3">
        <f>'Historical Financials'!U8</f>
        <v>45192</v>
      </c>
      <c r="V4" s="3">
        <f>'Historical Financials'!V8</f>
        <v>45283</v>
      </c>
      <c r="W4" s="3">
        <f>'Historical Financials'!W8</f>
        <v>45375</v>
      </c>
      <c r="X4" s="3">
        <f>'Historical Financials'!X8</f>
        <v>45467</v>
      </c>
      <c r="Y4" s="3">
        <f>'Historical Financials'!Y8</f>
        <v>45559</v>
      </c>
      <c r="Z4" s="3">
        <f>'Historical Financials'!Z8</f>
        <v>45650</v>
      </c>
      <c r="AA4" s="3">
        <f>'Historical Financials'!AA8</f>
        <v>45741</v>
      </c>
      <c r="AB4" s="3">
        <f>'Historical Financials'!AB8</f>
        <v>45833</v>
      </c>
      <c r="AC4" s="3">
        <f>'Historical Financials'!AC8</f>
        <v>45927</v>
      </c>
      <c r="AD4" s="3"/>
      <c r="AE4" s="3">
        <f t="shared" si="0"/>
        <v>44834</v>
      </c>
      <c r="AF4" s="3">
        <f t="shared" si="0"/>
        <v>44917</v>
      </c>
      <c r="AG4" s="3">
        <f t="shared" si="0"/>
        <v>45008</v>
      </c>
      <c r="AH4" s="3">
        <f t="shared" si="0"/>
        <v>45100</v>
      </c>
      <c r="AI4" s="3">
        <f t="shared" si="0"/>
        <v>45192</v>
      </c>
      <c r="AJ4" s="3">
        <f t="shared" si="0"/>
        <v>45283</v>
      </c>
      <c r="AK4" s="3">
        <f t="shared" si="0"/>
        <v>45375</v>
      </c>
      <c r="AL4" s="3">
        <f t="shared" si="0"/>
        <v>45467</v>
      </c>
      <c r="AM4" s="3">
        <f t="shared" si="0"/>
        <v>45559</v>
      </c>
      <c r="AN4" s="3">
        <f t="shared" si="0"/>
        <v>45650</v>
      </c>
      <c r="AO4" s="3">
        <f t="shared" si="0"/>
        <v>45741</v>
      </c>
      <c r="AP4" s="3">
        <f>AB4</f>
        <v>45833</v>
      </c>
      <c r="AQ4" s="3">
        <f>AC4</f>
        <v>45927</v>
      </c>
      <c r="AR4" s="3"/>
      <c r="AS4" s="640"/>
    </row>
    <row r="5" spans="2:45" ht="5.0999999999999996" customHeight="1">
      <c r="AS5" s="9"/>
    </row>
    <row r="6" spans="2:45" ht="12.75" customHeight="1">
      <c r="B6" s="10" t="str">
        <f>'Revenue Drivers'!B9</f>
        <v>iPhone Revenue</v>
      </c>
      <c r="C6" s="131">
        <f>'Revenue Drivers'!C9</f>
        <v>136700</v>
      </c>
      <c r="D6" s="131">
        <f>'Revenue Drivers'!D9</f>
        <v>141319</v>
      </c>
      <c r="E6" s="131">
        <f>'Revenue Drivers'!E9</f>
        <v>164888</v>
      </c>
      <c r="F6" s="131">
        <f>'Revenue Drivers'!F9</f>
        <v>142381</v>
      </c>
      <c r="G6" s="131">
        <f>'Revenue Drivers'!G9</f>
        <v>137781</v>
      </c>
      <c r="H6" s="131">
        <f>'Revenue Drivers'!H9</f>
        <v>191973</v>
      </c>
      <c r="I6" s="131">
        <f>'Revenue Drivers'!I9</f>
        <v>205489</v>
      </c>
      <c r="J6" s="131">
        <f>'Revenue Drivers'!J9</f>
        <v>200583</v>
      </c>
      <c r="K6" s="131">
        <f>'Revenue Drivers'!K9</f>
        <v>201183</v>
      </c>
      <c r="L6" s="131">
        <f>'Revenue Drivers'!L9</f>
        <v>209586</v>
      </c>
      <c r="M6" s="11"/>
      <c r="N6" s="131">
        <f>'Revenue Drivers'!N9</f>
        <v>71628</v>
      </c>
      <c r="O6" s="131">
        <f>'Revenue Drivers'!O9</f>
        <v>50570</v>
      </c>
      <c r="P6" s="131">
        <f>'Revenue Drivers'!P9</f>
        <v>40665</v>
      </c>
      <c r="Q6" s="131">
        <f>'Revenue Drivers'!Q9</f>
        <v>42626</v>
      </c>
      <c r="R6" s="131">
        <f>'Revenue Drivers'!R9</f>
        <v>65775</v>
      </c>
      <c r="S6" s="131">
        <f>'Revenue Drivers'!S9</f>
        <v>51334</v>
      </c>
      <c r="T6" s="131">
        <f>'Revenue Drivers'!T9</f>
        <v>39669</v>
      </c>
      <c r="U6" s="131">
        <f>'Revenue Drivers'!U9</f>
        <v>43805</v>
      </c>
      <c r="V6" s="131">
        <f>'Revenue Drivers'!V9</f>
        <v>69702</v>
      </c>
      <c r="W6" s="131">
        <f>'Revenue Drivers'!W9</f>
        <v>45963</v>
      </c>
      <c r="X6" s="131">
        <f>'Revenue Drivers'!X9</f>
        <v>39296</v>
      </c>
      <c r="Y6" s="131">
        <f>'Revenue Drivers'!Y9</f>
        <v>46222</v>
      </c>
      <c r="Z6" s="131">
        <f>'Revenue Drivers'!Z9</f>
        <v>69138</v>
      </c>
      <c r="AA6" s="131">
        <f>'Revenue Drivers'!AA9</f>
        <v>46841</v>
      </c>
      <c r="AB6" s="131">
        <f>'Revenue Drivers'!AB9</f>
        <v>44582</v>
      </c>
      <c r="AC6" s="131">
        <f>'Revenue Drivers'!AC9</f>
        <v>49025</v>
      </c>
      <c r="AD6" s="5"/>
      <c r="AE6" s="11">
        <f t="shared" ref="AE6:AE10" si="1">SUM(N6:Q6)</f>
        <v>205489</v>
      </c>
      <c r="AF6" s="11">
        <f t="shared" ref="AF6:AF10" si="2">SUM(O6:R6)</f>
        <v>199636</v>
      </c>
      <c r="AG6" s="11">
        <f t="shared" ref="AG6:AG10" si="3">SUM(P6:S6)</f>
        <v>200400</v>
      </c>
      <c r="AH6" s="11">
        <f t="shared" ref="AH6:AH10" si="4">SUM(Q6:T6)</f>
        <v>199404</v>
      </c>
      <c r="AI6" s="11">
        <f t="shared" ref="AI6:AI10" si="5">SUM(R6:U6)</f>
        <v>200583</v>
      </c>
      <c r="AJ6" s="11">
        <f t="shared" ref="AJ6:AJ10" si="6">SUM(S6:V6)</f>
        <v>204510</v>
      </c>
      <c r="AK6" s="11">
        <f t="shared" ref="AK6:AK10" si="7">SUM(T6:W6)</f>
        <v>199139</v>
      </c>
      <c r="AL6" s="11">
        <f t="shared" ref="AL6:AL10" si="8">SUM(U6:X6)</f>
        <v>198766</v>
      </c>
      <c r="AM6" s="11">
        <f t="shared" ref="AM6:AM10" si="9">SUM(V6:Y6)</f>
        <v>201183</v>
      </c>
      <c r="AN6" s="11">
        <f t="shared" ref="AN6:AN10" si="10">SUM(W6:Z6)</f>
        <v>200619</v>
      </c>
      <c r="AO6" s="11">
        <f t="shared" ref="AO6:AO10" si="11">SUM(X6:AA6)</f>
        <v>201497</v>
      </c>
      <c r="AP6" s="11">
        <f>SUM(Y6:AB6)</f>
        <v>206783</v>
      </c>
      <c r="AQ6" s="11">
        <f>SUM(Z6:AC6)</f>
        <v>209586</v>
      </c>
      <c r="AS6" s="13">
        <f>SUM(AQ6/AM6)-1</f>
        <v>4.1767942619406195E-2</v>
      </c>
    </row>
    <row r="7" spans="2:45" ht="12.75" customHeight="1">
      <c r="B7" s="10" t="str">
        <f>'Revenue Drivers'!B10</f>
        <v>Mac Revenue</v>
      </c>
      <c r="C7" s="131">
        <f>'Revenue Drivers'!C10</f>
        <v>22831</v>
      </c>
      <c r="D7" s="131">
        <f>'Revenue Drivers'!D10</f>
        <v>25850</v>
      </c>
      <c r="E7" s="131">
        <f>'Revenue Drivers'!E10</f>
        <v>25198</v>
      </c>
      <c r="F7" s="131">
        <f>'Revenue Drivers'!F10</f>
        <v>25740</v>
      </c>
      <c r="G7" s="131">
        <f>'Revenue Drivers'!G10</f>
        <v>28622</v>
      </c>
      <c r="H7" s="131">
        <f>'Revenue Drivers'!H10</f>
        <v>35190</v>
      </c>
      <c r="I7" s="131">
        <f>'Revenue Drivers'!I10</f>
        <v>40177</v>
      </c>
      <c r="J7" s="131">
        <f>'Revenue Drivers'!J10</f>
        <v>29357</v>
      </c>
      <c r="K7" s="131">
        <f>'Revenue Drivers'!K10</f>
        <v>29984</v>
      </c>
      <c r="L7" s="131">
        <f>'Revenue Drivers'!L10</f>
        <v>33708</v>
      </c>
      <c r="M7" s="11"/>
      <c r="N7" s="131">
        <f>'Revenue Drivers'!N10</f>
        <v>10852</v>
      </c>
      <c r="O7" s="131">
        <f>'Revenue Drivers'!O10</f>
        <v>10435</v>
      </c>
      <c r="P7" s="131">
        <f>'Revenue Drivers'!P10</f>
        <v>7382</v>
      </c>
      <c r="Q7" s="131">
        <f>'Revenue Drivers'!Q10</f>
        <v>11508</v>
      </c>
      <c r="R7" s="131">
        <f>'Revenue Drivers'!R10</f>
        <v>7735</v>
      </c>
      <c r="S7" s="131">
        <f>'Revenue Drivers'!S10</f>
        <v>7168</v>
      </c>
      <c r="T7" s="131">
        <f>'Revenue Drivers'!T10</f>
        <v>6840</v>
      </c>
      <c r="U7" s="131">
        <f>'Revenue Drivers'!U10</f>
        <v>7614</v>
      </c>
      <c r="V7" s="131">
        <f>'Revenue Drivers'!V10</f>
        <v>7780</v>
      </c>
      <c r="W7" s="131">
        <f>'Revenue Drivers'!W10</f>
        <v>7451</v>
      </c>
      <c r="X7" s="131">
        <f>'Revenue Drivers'!X10</f>
        <v>7009</v>
      </c>
      <c r="Y7" s="131">
        <f>'Revenue Drivers'!Y10</f>
        <v>7744</v>
      </c>
      <c r="Z7" s="131">
        <f>'Revenue Drivers'!Z10</f>
        <v>8987</v>
      </c>
      <c r="AA7" s="131">
        <f>'Revenue Drivers'!AA10</f>
        <v>7949</v>
      </c>
      <c r="AB7" s="131">
        <f>'Revenue Drivers'!AB10</f>
        <v>8046</v>
      </c>
      <c r="AC7" s="131">
        <f>'Revenue Drivers'!AC10</f>
        <v>8726</v>
      </c>
      <c r="AD7" s="5"/>
      <c r="AE7" s="11">
        <f t="shared" si="1"/>
        <v>40177</v>
      </c>
      <c r="AF7" s="11">
        <f t="shared" si="2"/>
        <v>37060</v>
      </c>
      <c r="AG7" s="11">
        <f t="shared" si="3"/>
        <v>33793</v>
      </c>
      <c r="AH7" s="11">
        <f t="shared" si="4"/>
        <v>33251</v>
      </c>
      <c r="AI7" s="11">
        <f t="shared" si="5"/>
        <v>29357</v>
      </c>
      <c r="AJ7" s="11">
        <f t="shared" si="6"/>
        <v>29402</v>
      </c>
      <c r="AK7" s="11">
        <f t="shared" si="7"/>
        <v>29685</v>
      </c>
      <c r="AL7" s="11">
        <f t="shared" si="8"/>
        <v>29854</v>
      </c>
      <c r="AM7" s="11">
        <f t="shared" si="9"/>
        <v>29984</v>
      </c>
      <c r="AN7" s="11">
        <f t="shared" si="10"/>
        <v>31191</v>
      </c>
      <c r="AO7" s="11">
        <f t="shared" si="11"/>
        <v>31689</v>
      </c>
      <c r="AP7" s="11">
        <f t="shared" ref="AP7:AQ10" si="12">SUM(Y7:AB7)</f>
        <v>32726</v>
      </c>
      <c r="AQ7" s="11">
        <f t="shared" si="12"/>
        <v>33708</v>
      </c>
      <c r="AS7" s="13">
        <f t="shared" ref="AS7:AS11" si="13">SUM(AQ7/AM7)-1</f>
        <v>0.12419957310565644</v>
      </c>
    </row>
    <row r="8" spans="2:45" ht="12.75" customHeight="1">
      <c r="B8" s="10" t="str">
        <f>'Revenue Drivers'!B11</f>
        <v>iPad Revenue</v>
      </c>
      <c r="C8" s="131">
        <f>'Revenue Drivers'!C11</f>
        <v>20628</v>
      </c>
      <c r="D8" s="131">
        <f>'Revenue Drivers'!D11</f>
        <v>19222</v>
      </c>
      <c r="E8" s="131">
        <f>'Revenue Drivers'!E11</f>
        <v>18380</v>
      </c>
      <c r="F8" s="131">
        <f>'Revenue Drivers'!F11</f>
        <v>21280</v>
      </c>
      <c r="G8" s="131">
        <f>'Revenue Drivers'!G11</f>
        <v>23724</v>
      </c>
      <c r="H8" s="131">
        <f>'Revenue Drivers'!H11</f>
        <v>31862</v>
      </c>
      <c r="I8" s="131">
        <f>'Revenue Drivers'!I11</f>
        <v>29292</v>
      </c>
      <c r="J8" s="131">
        <f>'Revenue Drivers'!J11</f>
        <v>28300</v>
      </c>
      <c r="K8" s="131">
        <f>'Revenue Drivers'!K11</f>
        <v>26694</v>
      </c>
      <c r="L8" s="131">
        <f>'Revenue Drivers'!L11</f>
        <v>28023</v>
      </c>
      <c r="M8" s="11"/>
      <c r="N8" s="131">
        <f>'Revenue Drivers'!N11</f>
        <v>7248</v>
      </c>
      <c r="O8" s="131">
        <f>'Revenue Drivers'!O11</f>
        <v>7646</v>
      </c>
      <c r="P8" s="131">
        <f>'Revenue Drivers'!P11</f>
        <v>7224</v>
      </c>
      <c r="Q8" s="131">
        <f>'Revenue Drivers'!Q11</f>
        <v>7174</v>
      </c>
      <c r="R8" s="131">
        <f>'Revenue Drivers'!R11</f>
        <v>9396</v>
      </c>
      <c r="S8" s="131">
        <f>'Revenue Drivers'!S11</f>
        <v>6670</v>
      </c>
      <c r="T8" s="131">
        <f>'Revenue Drivers'!T11</f>
        <v>5791</v>
      </c>
      <c r="U8" s="131">
        <f>'Revenue Drivers'!U11</f>
        <v>6443</v>
      </c>
      <c r="V8" s="131">
        <f>'Revenue Drivers'!V11</f>
        <v>7023</v>
      </c>
      <c r="W8" s="131">
        <f>'Revenue Drivers'!W11</f>
        <v>5559</v>
      </c>
      <c r="X8" s="131">
        <f>'Revenue Drivers'!X11</f>
        <v>7162</v>
      </c>
      <c r="Y8" s="131">
        <f>'Revenue Drivers'!Y11</f>
        <v>6950</v>
      </c>
      <c r="Z8" s="131">
        <f>'Revenue Drivers'!Z11</f>
        <v>8088</v>
      </c>
      <c r="AA8" s="131">
        <f>'Revenue Drivers'!AA11</f>
        <v>6402</v>
      </c>
      <c r="AB8" s="131">
        <f>'Revenue Drivers'!AB11</f>
        <v>6581</v>
      </c>
      <c r="AC8" s="131">
        <f>'Revenue Drivers'!AC11</f>
        <v>6952</v>
      </c>
      <c r="AD8" s="5"/>
      <c r="AE8" s="11">
        <f t="shared" si="1"/>
        <v>29292</v>
      </c>
      <c r="AF8" s="11">
        <f t="shared" si="2"/>
        <v>31440</v>
      </c>
      <c r="AG8" s="11">
        <f t="shared" si="3"/>
        <v>30464</v>
      </c>
      <c r="AH8" s="11">
        <f t="shared" si="4"/>
        <v>29031</v>
      </c>
      <c r="AI8" s="11">
        <f t="shared" si="5"/>
        <v>28300</v>
      </c>
      <c r="AJ8" s="11">
        <f t="shared" si="6"/>
        <v>25927</v>
      </c>
      <c r="AK8" s="11">
        <f t="shared" si="7"/>
        <v>24816</v>
      </c>
      <c r="AL8" s="11">
        <f t="shared" si="8"/>
        <v>26187</v>
      </c>
      <c r="AM8" s="11">
        <f t="shared" si="9"/>
        <v>26694</v>
      </c>
      <c r="AN8" s="11">
        <f t="shared" si="10"/>
        <v>27759</v>
      </c>
      <c r="AO8" s="11">
        <f t="shared" si="11"/>
        <v>28602</v>
      </c>
      <c r="AP8" s="11">
        <f t="shared" si="12"/>
        <v>28021</v>
      </c>
      <c r="AQ8" s="11">
        <f t="shared" si="12"/>
        <v>28023</v>
      </c>
      <c r="AS8" s="13">
        <f t="shared" si="13"/>
        <v>4.9786468869408962E-2</v>
      </c>
    </row>
    <row r="9" spans="2:45" ht="12.75" customHeight="1">
      <c r="B9" s="10" t="str">
        <f>'Revenue Drivers'!B12</f>
        <v>Services Revenue</v>
      </c>
      <c r="C9" s="131">
        <f>'Revenue Drivers'!C12</f>
        <v>24348</v>
      </c>
      <c r="D9" s="131">
        <f>'Revenue Drivers'!D12</f>
        <v>29980</v>
      </c>
      <c r="E9" s="131">
        <f>'Revenue Drivers'!E12</f>
        <v>39748</v>
      </c>
      <c r="F9" s="131">
        <f>'Revenue Drivers'!F12</f>
        <v>46291</v>
      </c>
      <c r="G9" s="131">
        <f>'Revenue Drivers'!G12</f>
        <v>53768</v>
      </c>
      <c r="H9" s="131">
        <f>'Revenue Drivers'!H12</f>
        <v>68425</v>
      </c>
      <c r="I9" s="131">
        <f>'Revenue Drivers'!I12</f>
        <v>78129</v>
      </c>
      <c r="J9" s="131">
        <f>'Revenue Drivers'!J12</f>
        <v>85200</v>
      </c>
      <c r="K9" s="131">
        <f>'Revenue Drivers'!K12</f>
        <v>96169</v>
      </c>
      <c r="L9" s="131">
        <f>'Revenue Drivers'!L12</f>
        <v>109158</v>
      </c>
      <c r="M9" s="11"/>
      <c r="N9" s="131">
        <f>'Revenue Drivers'!N12</f>
        <v>19516</v>
      </c>
      <c r="O9" s="131">
        <f>'Revenue Drivers'!O12</f>
        <v>19821</v>
      </c>
      <c r="P9" s="131">
        <f>'Revenue Drivers'!P12</f>
        <v>19604</v>
      </c>
      <c r="Q9" s="131">
        <f>'Revenue Drivers'!Q12</f>
        <v>19188</v>
      </c>
      <c r="R9" s="131">
        <f>'Revenue Drivers'!R12</f>
        <v>20766</v>
      </c>
      <c r="S9" s="131">
        <f>'Revenue Drivers'!S12</f>
        <v>20907</v>
      </c>
      <c r="T9" s="131">
        <f>'Revenue Drivers'!T12</f>
        <v>21213</v>
      </c>
      <c r="U9" s="131">
        <f>'Revenue Drivers'!U12</f>
        <v>22314</v>
      </c>
      <c r="V9" s="131">
        <f>'Revenue Drivers'!V12</f>
        <v>23117</v>
      </c>
      <c r="W9" s="131">
        <f>'Revenue Drivers'!W12</f>
        <v>23867</v>
      </c>
      <c r="X9" s="131">
        <f>'Revenue Drivers'!X12</f>
        <v>24213</v>
      </c>
      <c r="Y9" s="131">
        <f>'Revenue Drivers'!Y12</f>
        <v>24972</v>
      </c>
      <c r="Z9" s="131">
        <f>'Revenue Drivers'!Z12</f>
        <v>26340</v>
      </c>
      <c r="AA9" s="131">
        <f>'Revenue Drivers'!AA12</f>
        <v>26645</v>
      </c>
      <c r="AB9" s="131">
        <f>'Revenue Drivers'!AB12</f>
        <v>27423</v>
      </c>
      <c r="AC9" s="131">
        <f>'Revenue Drivers'!AC12</f>
        <v>28750</v>
      </c>
      <c r="AD9" s="5"/>
      <c r="AE9" s="11">
        <f t="shared" si="1"/>
        <v>78129</v>
      </c>
      <c r="AF9" s="11">
        <f t="shared" si="2"/>
        <v>79379</v>
      </c>
      <c r="AG9" s="11">
        <f t="shared" si="3"/>
        <v>80465</v>
      </c>
      <c r="AH9" s="11">
        <f t="shared" si="4"/>
        <v>82074</v>
      </c>
      <c r="AI9" s="11">
        <f t="shared" si="5"/>
        <v>85200</v>
      </c>
      <c r="AJ9" s="11">
        <f t="shared" si="6"/>
        <v>87551</v>
      </c>
      <c r="AK9" s="11">
        <f t="shared" si="7"/>
        <v>90511</v>
      </c>
      <c r="AL9" s="11">
        <f t="shared" si="8"/>
        <v>93511</v>
      </c>
      <c r="AM9" s="11">
        <f t="shared" si="9"/>
        <v>96169</v>
      </c>
      <c r="AN9" s="11">
        <f t="shared" si="10"/>
        <v>99392</v>
      </c>
      <c r="AO9" s="11">
        <f t="shared" si="11"/>
        <v>102170</v>
      </c>
      <c r="AP9" s="11">
        <f t="shared" si="12"/>
        <v>105380</v>
      </c>
      <c r="AQ9" s="11">
        <f t="shared" si="12"/>
        <v>109158</v>
      </c>
      <c r="AS9" s="13">
        <f t="shared" si="13"/>
        <v>0.13506431386413498</v>
      </c>
    </row>
    <row r="10" spans="2:45" ht="12.75" customHeight="1">
      <c r="B10" s="10" t="str">
        <f>'Revenue Drivers'!B13</f>
        <v>Wearables, Home, and Accessories Revenue</v>
      </c>
      <c r="C10" s="131">
        <f>'Revenue Drivers'!C13</f>
        <v>11132</v>
      </c>
      <c r="D10" s="131">
        <f>'Revenue Drivers'!D13</f>
        <v>12863</v>
      </c>
      <c r="E10" s="131">
        <f>'Revenue Drivers'!E13</f>
        <v>17381</v>
      </c>
      <c r="F10" s="131">
        <f>'Revenue Drivers'!F13</f>
        <v>24482</v>
      </c>
      <c r="G10" s="131">
        <f>'Revenue Drivers'!G13</f>
        <v>30620</v>
      </c>
      <c r="H10" s="131">
        <f>'Revenue Drivers'!H13</f>
        <v>38367</v>
      </c>
      <c r="I10" s="131">
        <f>'Revenue Drivers'!I13</f>
        <v>41241</v>
      </c>
      <c r="J10" s="131">
        <f>'Revenue Drivers'!J13</f>
        <v>39845</v>
      </c>
      <c r="K10" s="131">
        <f>'Revenue Drivers'!K13</f>
        <v>37005</v>
      </c>
      <c r="L10" s="131">
        <f>'Revenue Drivers'!L13</f>
        <v>35686</v>
      </c>
      <c r="M10" s="11"/>
      <c r="N10" s="131">
        <f>'Revenue Drivers'!N13</f>
        <v>14701</v>
      </c>
      <c r="O10" s="131">
        <f>'Revenue Drivers'!O13</f>
        <v>8806</v>
      </c>
      <c r="P10" s="131">
        <f>'Revenue Drivers'!P13</f>
        <v>8084</v>
      </c>
      <c r="Q10" s="131">
        <f>'Revenue Drivers'!Q13</f>
        <v>9650</v>
      </c>
      <c r="R10" s="131">
        <f>'Revenue Drivers'!R13</f>
        <v>13482</v>
      </c>
      <c r="S10" s="131">
        <f>'Revenue Drivers'!S13</f>
        <v>8757</v>
      </c>
      <c r="T10" s="131">
        <f>'Revenue Drivers'!T13</f>
        <v>8284</v>
      </c>
      <c r="U10" s="131">
        <f>'Revenue Drivers'!U13</f>
        <v>9322</v>
      </c>
      <c r="V10" s="131">
        <f>'Revenue Drivers'!V13</f>
        <v>11953</v>
      </c>
      <c r="W10" s="131">
        <f>'Revenue Drivers'!W13</f>
        <v>7913</v>
      </c>
      <c r="X10" s="131">
        <f>'Revenue Drivers'!X13</f>
        <v>8097</v>
      </c>
      <c r="Y10" s="131">
        <f>'Revenue Drivers'!Y13</f>
        <v>9042</v>
      </c>
      <c r="Z10" s="131">
        <f>'Revenue Drivers'!Z13</f>
        <v>11747</v>
      </c>
      <c r="AA10" s="131">
        <f>'Revenue Drivers'!AA13</f>
        <v>7522</v>
      </c>
      <c r="AB10" s="131">
        <f>'Revenue Drivers'!AB13</f>
        <v>7404</v>
      </c>
      <c r="AC10" s="131">
        <f>'Revenue Drivers'!AC13</f>
        <v>9013</v>
      </c>
      <c r="AD10" s="5"/>
      <c r="AE10" s="11">
        <f t="shared" si="1"/>
        <v>41241</v>
      </c>
      <c r="AF10" s="11">
        <f t="shared" si="2"/>
        <v>40022</v>
      </c>
      <c r="AG10" s="11">
        <f t="shared" si="3"/>
        <v>39973</v>
      </c>
      <c r="AH10" s="11">
        <f t="shared" si="4"/>
        <v>40173</v>
      </c>
      <c r="AI10" s="11">
        <f t="shared" si="5"/>
        <v>39845</v>
      </c>
      <c r="AJ10" s="11">
        <f t="shared" si="6"/>
        <v>38316</v>
      </c>
      <c r="AK10" s="11">
        <f t="shared" si="7"/>
        <v>37472</v>
      </c>
      <c r="AL10" s="11">
        <f t="shared" si="8"/>
        <v>37285</v>
      </c>
      <c r="AM10" s="11">
        <f t="shared" si="9"/>
        <v>37005</v>
      </c>
      <c r="AN10" s="11">
        <f t="shared" si="10"/>
        <v>36799</v>
      </c>
      <c r="AO10" s="11">
        <f t="shared" si="11"/>
        <v>36408</v>
      </c>
      <c r="AP10" s="11">
        <f t="shared" si="12"/>
        <v>35715</v>
      </c>
      <c r="AQ10" s="11">
        <f t="shared" si="12"/>
        <v>35686</v>
      </c>
      <c r="AS10" s="13">
        <f t="shared" si="13"/>
        <v>-3.5643831914606183E-2</v>
      </c>
    </row>
    <row r="11" spans="2:45" ht="12.75" customHeight="1">
      <c r="B11" s="14" t="s">
        <v>12</v>
      </c>
      <c r="C11" s="15">
        <f t="shared" ref="C11:F11" si="14">SUM(C6:C10)</f>
        <v>215639</v>
      </c>
      <c r="D11" s="15">
        <f t="shared" si="14"/>
        <v>229234</v>
      </c>
      <c r="E11" s="15">
        <f t="shared" si="14"/>
        <v>265595</v>
      </c>
      <c r="F11" s="15">
        <f t="shared" si="14"/>
        <v>260174</v>
      </c>
      <c r="G11" s="15">
        <f>SUM(G6:G10)</f>
        <v>274515</v>
      </c>
      <c r="H11" s="15">
        <f t="shared" ref="H11:K11" si="15">SUM(H6:H10)</f>
        <v>365817</v>
      </c>
      <c r="I11" s="15">
        <f t="shared" si="15"/>
        <v>394328</v>
      </c>
      <c r="J11" s="15">
        <f t="shared" si="15"/>
        <v>383285</v>
      </c>
      <c r="K11" s="15">
        <f t="shared" si="15"/>
        <v>391035</v>
      </c>
      <c r="L11" s="15">
        <f t="shared" ref="L11" si="16">SUM(L6:L10)</f>
        <v>416161</v>
      </c>
      <c r="M11" s="11"/>
      <c r="N11" s="15">
        <f t="shared" ref="N11" si="17">SUM(N6:N10)</f>
        <v>123945</v>
      </c>
      <c r="O11" s="15">
        <f t="shared" ref="O11" si="18">SUM(O6:O10)</f>
        <v>97278</v>
      </c>
      <c r="P11" s="15">
        <f t="shared" ref="P11" si="19">SUM(P6:P10)</f>
        <v>82959</v>
      </c>
      <c r="Q11" s="15">
        <f t="shared" ref="Q11" si="20">SUM(Q6:Q10)</f>
        <v>90146</v>
      </c>
      <c r="R11" s="15">
        <f t="shared" ref="R11" si="21">SUM(R6:R10)</f>
        <v>117154</v>
      </c>
      <c r="S11" s="15">
        <f t="shared" ref="S11" si="22">SUM(S6:S10)</f>
        <v>94836</v>
      </c>
      <c r="T11" s="15">
        <f t="shared" ref="T11" si="23">SUM(T6:T10)</f>
        <v>81797</v>
      </c>
      <c r="U11" s="15">
        <f t="shared" ref="U11" si="24">SUM(U6:U10)</f>
        <v>89498</v>
      </c>
      <c r="V11" s="15">
        <f t="shared" ref="V11" si="25">SUM(V6:V10)</f>
        <v>119575</v>
      </c>
      <c r="W11" s="15">
        <f t="shared" ref="W11" si="26">SUM(W6:W10)</f>
        <v>90753</v>
      </c>
      <c r="X11" s="15">
        <f t="shared" ref="X11" si="27">SUM(X6:X10)</f>
        <v>85777</v>
      </c>
      <c r="Y11" s="15">
        <f t="shared" ref="Y11" si="28">SUM(Y6:Y10)</f>
        <v>94930</v>
      </c>
      <c r="Z11" s="15">
        <f t="shared" ref="Z11" si="29">SUM(Z6:Z10)</f>
        <v>124300</v>
      </c>
      <c r="AA11" s="15">
        <f t="shared" ref="AA11" si="30">SUM(AA6:AA10)</f>
        <v>95359</v>
      </c>
      <c r="AB11" s="15">
        <f t="shared" ref="AB11" si="31">SUM(AB6:AB10)</f>
        <v>94036</v>
      </c>
      <c r="AC11" s="15">
        <f t="shared" ref="AC11" si="32">SUM(AC6:AC10)</f>
        <v>102466</v>
      </c>
      <c r="AD11" s="5"/>
      <c r="AE11" s="15">
        <f t="shared" ref="AE11" si="33">SUM(AE6:AE10)</f>
        <v>394328</v>
      </c>
      <c r="AF11" s="15">
        <f t="shared" ref="AF11" si="34">SUM(AF6:AF10)</f>
        <v>387537</v>
      </c>
      <c r="AG11" s="15">
        <f t="shared" ref="AG11" si="35">SUM(AG6:AG10)</f>
        <v>385095</v>
      </c>
      <c r="AH11" s="15">
        <f t="shared" ref="AH11" si="36">SUM(AH6:AH10)</f>
        <v>383933</v>
      </c>
      <c r="AI11" s="15">
        <f t="shared" ref="AI11" si="37">SUM(AI6:AI10)</f>
        <v>383285</v>
      </c>
      <c r="AJ11" s="15">
        <f t="shared" ref="AJ11" si="38">SUM(AJ6:AJ10)</f>
        <v>385706</v>
      </c>
      <c r="AK11" s="15">
        <f t="shared" ref="AK11" si="39">SUM(AK6:AK10)</f>
        <v>381623</v>
      </c>
      <c r="AL11" s="15">
        <f t="shared" ref="AL11" si="40">SUM(AL6:AL10)</f>
        <v>385603</v>
      </c>
      <c r="AM11" s="15">
        <f t="shared" ref="AM11" si="41">SUM(AM6:AM10)</f>
        <v>391035</v>
      </c>
      <c r="AN11" s="15">
        <f t="shared" ref="AN11" si="42">SUM(AN6:AN10)</f>
        <v>395760</v>
      </c>
      <c r="AO11" s="15">
        <f t="shared" ref="AO11" si="43">SUM(AO6:AO10)</f>
        <v>400366</v>
      </c>
      <c r="AP11" s="15">
        <f t="shared" ref="AP11:AQ11" si="44">SUM(AP6:AP10)</f>
        <v>408625</v>
      </c>
      <c r="AQ11" s="15">
        <f t="shared" si="44"/>
        <v>416161</v>
      </c>
      <c r="AS11" s="13">
        <f t="shared" si="13"/>
        <v>6.425511782832749E-2</v>
      </c>
    </row>
    <row r="12" spans="2:45" ht="12.75" customHeight="1">
      <c r="B12" s="17" t="s">
        <v>45</v>
      </c>
      <c r="C12" s="266"/>
      <c r="D12" s="18">
        <f t="shared" ref="D12:G12" si="45">SUM(D11/C11)-1</f>
        <v>6.304518199398057E-2</v>
      </c>
      <c r="E12" s="18">
        <f t="shared" si="45"/>
        <v>0.15861957650261305</v>
      </c>
      <c r="F12" s="18">
        <f t="shared" si="45"/>
        <v>-2.04107758052674E-2</v>
      </c>
      <c r="G12" s="18">
        <f t="shared" si="45"/>
        <v>5.5120803769784787E-2</v>
      </c>
      <c r="H12" s="18">
        <f>SUM(H11/G11)-1</f>
        <v>0.33259384733074704</v>
      </c>
      <c r="I12" s="18">
        <f>SUM(I11/H11)-1</f>
        <v>7.7937876041846099E-2</v>
      </c>
      <c r="J12" s="18">
        <f t="shared" ref="J12:L12" si="46">SUM(J11/I11)-1</f>
        <v>-2.800460530319937E-2</v>
      </c>
      <c r="K12" s="18">
        <f t="shared" si="46"/>
        <v>2.021994077514111E-2</v>
      </c>
      <c r="L12" s="18">
        <f t="shared" si="46"/>
        <v>6.425511782832749E-2</v>
      </c>
      <c r="M12" s="12"/>
      <c r="N12" s="266"/>
      <c r="O12" s="266"/>
      <c r="P12" s="266"/>
      <c r="Q12" s="266"/>
      <c r="R12" s="18">
        <f>SUM(R11/N11)-1</f>
        <v>-5.4790431239662762E-2</v>
      </c>
      <c r="S12" s="18">
        <f t="shared" ref="S12:AC12" si="47">SUM(S11/O11)-1</f>
        <v>-2.5103312156911084E-2</v>
      </c>
      <c r="T12" s="18">
        <f t="shared" si="47"/>
        <v>-1.4006919080509661E-2</v>
      </c>
      <c r="U12" s="18">
        <f t="shared" si="47"/>
        <v>-7.1883389168682088E-3</v>
      </c>
      <c r="V12" s="18">
        <f t="shared" si="47"/>
        <v>2.0665107465387411E-2</v>
      </c>
      <c r="W12" s="18">
        <f t="shared" si="47"/>
        <v>-4.3053270909781061E-2</v>
      </c>
      <c r="X12" s="18">
        <f t="shared" si="47"/>
        <v>4.8657041211780383E-2</v>
      </c>
      <c r="Y12" s="18">
        <f t="shared" si="47"/>
        <v>6.0694093722764686E-2</v>
      </c>
      <c r="Z12" s="18">
        <f t="shared" si="47"/>
        <v>3.9514948776918191E-2</v>
      </c>
      <c r="AA12" s="18">
        <f t="shared" si="47"/>
        <v>5.075314314678292E-2</v>
      </c>
      <c r="AB12" s="18">
        <f t="shared" si="47"/>
        <v>9.628455180293094E-2</v>
      </c>
      <c r="AC12" s="18">
        <f t="shared" si="47"/>
        <v>7.9384809859896821E-2</v>
      </c>
      <c r="AD12" s="5"/>
      <c r="AE12" s="266"/>
      <c r="AF12" s="266"/>
      <c r="AG12" s="266"/>
      <c r="AH12" s="266"/>
      <c r="AI12" s="18">
        <f t="shared" ref="AI12:AL12" si="48">SUM(AI11/AE11)-1</f>
        <v>-2.800460530319937E-2</v>
      </c>
      <c r="AJ12" s="18">
        <f t="shared" si="48"/>
        <v>-4.7247101567076122E-3</v>
      </c>
      <c r="AK12" s="18">
        <f t="shared" si="48"/>
        <v>-9.0159571014943873E-3</v>
      </c>
      <c r="AL12" s="18">
        <f t="shared" si="48"/>
        <v>4.3497172683775176E-3</v>
      </c>
      <c r="AM12" s="18">
        <f>SUM(AM11/AI11)-1</f>
        <v>2.021994077514111E-2</v>
      </c>
      <c r="AN12" s="18">
        <f t="shared" ref="AN12:AQ12" si="49">SUM(AN11/AJ11)-1</f>
        <v>2.6066485872659584E-2</v>
      </c>
      <c r="AO12" s="18">
        <f t="shared" si="49"/>
        <v>4.9113916089963183E-2</v>
      </c>
      <c r="AP12" s="18">
        <f t="shared" si="49"/>
        <v>5.9703892345235987E-2</v>
      </c>
      <c r="AQ12" s="18">
        <f t="shared" si="49"/>
        <v>6.425511782832749E-2</v>
      </c>
      <c r="AS12" s="19">
        <f>SUM(AQ12-AM12)*10000</f>
        <v>440.35177053186379</v>
      </c>
    </row>
    <row r="13" spans="2:45" ht="12.75" customHeight="1">
      <c r="B13" s="17" t="s">
        <v>46</v>
      </c>
      <c r="C13" s="18" t="s">
        <v>47</v>
      </c>
      <c r="D13" s="18" t="s">
        <v>47</v>
      </c>
      <c r="E13" s="18" t="s">
        <v>47</v>
      </c>
      <c r="F13" s="18" t="s">
        <v>47</v>
      </c>
      <c r="G13" s="18" t="s">
        <v>47</v>
      </c>
      <c r="H13" s="18" t="s">
        <v>47</v>
      </c>
      <c r="I13" s="18" t="s">
        <v>47</v>
      </c>
      <c r="J13" s="18" t="s">
        <v>47</v>
      </c>
      <c r="K13" s="18" t="s">
        <v>47</v>
      </c>
      <c r="L13" s="18" t="s">
        <v>47</v>
      </c>
      <c r="M13" s="12"/>
      <c r="N13" s="266"/>
      <c r="O13" s="18">
        <f>SUM(O11/N11)-1</f>
        <v>-0.21515188188309331</v>
      </c>
      <c r="P13" s="18">
        <f t="shared" ref="P13:AC13" si="50">SUM(P11/O11)-1</f>
        <v>-0.14719669401097879</v>
      </c>
      <c r="Q13" s="18">
        <f t="shared" si="50"/>
        <v>8.6633156137368994E-2</v>
      </c>
      <c r="R13" s="18">
        <f t="shared" si="50"/>
        <v>0.29960286646107415</v>
      </c>
      <c r="S13" s="18">
        <f t="shared" si="50"/>
        <v>-0.19050139133106847</v>
      </c>
      <c r="T13" s="18">
        <f t="shared" si="50"/>
        <v>-0.13748998270698887</v>
      </c>
      <c r="U13" s="18">
        <f t="shared" si="50"/>
        <v>9.4147707128623193E-2</v>
      </c>
      <c r="V13" s="18">
        <f t="shared" si="50"/>
        <v>0.33606337571789324</v>
      </c>
      <c r="W13" s="18">
        <f t="shared" si="50"/>
        <v>-0.24103700606314027</v>
      </c>
      <c r="X13" s="18">
        <f t="shared" si="50"/>
        <v>-5.4830143356142447E-2</v>
      </c>
      <c r="Y13" s="18">
        <f t="shared" si="50"/>
        <v>0.10670692609907095</v>
      </c>
      <c r="Z13" s="18">
        <f t="shared" si="50"/>
        <v>0.30938586326767092</v>
      </c>
      <c r="AA13" s="18">
        <f t="shared" si="50"/>
        <v>-0.23283185840707965</v>
      </c>
      <c r="AB13" s="18">
        <f t="shared" si="50"/>
        <v>-1.387388710032611E-2</v>
      </c>
      <c r="AC13" s="18">
        <f t="shared" si="50"/>
        <v>8.9646518354672633E-2</v>
      </c>
      <c r="AD13" s="5"/>
      <c r="AE13" s="18" t="s">
        <v>47</v>
      </c>
      <c r="AF13" s="18" t="s">
        <v>47</v>
      </c>
      <c r="AG13" s="18" t="s">
        <v>47</v>
      </c>
      <c r="AH13" s="18" t="s">
        <v>47</v>
      </c>
      <c r="AI13" s="18" t="s">
        <v>47</v>
      </c>
      <c r="AJ13" s="18" t="s">
        <v>47</v>
      </c>
      <c r="AK13" s="18" t="s">
        <v>47</v>
      </c>
      <c r="AL13" s="18" t="s">
        <v>47</v>
      </c>
      <c r="AM13" s="18" t="s">
        <v>47</v>
      </c>
      <c r="AN13" s="18" t="s">
        <v>47</v>
      </c>
      <c r="AO13" s="18" t="s">
        <v>47</v>
      </c>
      <c r="AP13" s="18" t="s">
        <v>47</v>
      </c>
      <c r="AQ13" s="18" t="s">
        <v>47</v>
      </c>
      <c r="AS13" s="9"/>
    </row>
    <row r="14" spans="2:45" ht="5.0999999999999996" customHeight="1">
      <c r="B14" s="20"/>
      <c r="C14" s="131"/>
      <c r="D14" s="131"/>
      <c r="E14" s="131"/>
      <c r="F14" s="131"/>
      <c r="G14" s="131"/>
      <c r="H14" s="21"/>
      <c r="I14" s="21"/>
      <c r="J14" s="21"/>
      <c r="K14" s="21"/>
      <c r="L14" s="21"/>
      <c r="M14" s="22"/>
      <c r="N14" s="23"/>
      <c r="O14" s="23"/>
      <c r="P14" s="23"/>
      <c r="Q14" s="24"/>
      <c r="R14" s="23"/>
      <c r="S14" s="23"/>
      <c r="T14" s="23"/>
      <c r="U14" s="24"/>
      <c r="V14" s="23"/>
      <c r="W14" s="23"/>
      <c r="X14" s="23"/>
      <c r="Y14" s="23"/>
      <c r="Z14" s="23"/>
      <c r="AA14" s="23"/>
      <c r="AB14" s="23"/>
      <c r="AC14" s="23"/>
      <c r="AD14" s="22"/>
      <c r="AE14" s="22"/>
      <c r="AF14" s="22"/>
      <c r="AG14" s="22"/>
      <c r="AH14" s="22"/>
      <c r="AI14" s="22"/>
      <c r="AJ14" s="22"/>
      <c r="AK14" s="22"/>
      <c r="AL14" s="22"/>
      <c r="AM14" s="22"/>
      <c r="AN14" s="22"/>
      <c r="AO14" s="22"/>
      <c r="AP14" s="22"/>
      <c r="AQ14" s="22"/>
      <c r="AS14" s="9"/>
    </row>
    <row r="15" spans="2:45" ht="12.75" customHeight="1">
      <c r="B15" s="25" t="s">
        <v>48</v>
      </c>
      <c r="C15" s="131">
        <f>'Historical Financials'!C13</f>
        <v>-131376</v>
      </c>
      <c r="D15" s="131">
        <f>'Historical Financials'!D13</f>
        <v>-141048</v>
      </c>
      <c r="E15" s="131">
        <f>'Historical Financials'!E13</f>
        <v>-163756</v>
      </c>
      <c r="F15" s="131">
        <f>'Historical Financials'!F13</f>
        <v>-161782</v>
      </c>
      <c r="G15" s="131">
        <f>'Historical Financials'!G13</f>
        <v>-169559</v>
      </c>
      <c r="H15" s="131">
        <f>'Historical Financials'!H13</f>
        <v>-212981</v>
      </c>
      <c r="I15" s="131">
        <f>'Historical Financials'!I13</f>
        <v>-223546</v>
      </c>
      <c r="J15" s="131">
        <f>'Historical Financials'!J13</f>
        <v>-214137</v>
      </c>
      <c r="K15" s="131">
        <f>'Historical Financials'!K13</f>
        <v>-210352</v>
      </c>
      <c r="L15" s="131">
        <f>'Historical Financials'!L13</f>
        <v>-220960</v>
      </c>
      <c r="M15" s="11"/>
      <c r="N15" s="131">
        <f>'Historical Financials'!N13</f>
        <v>-69702</v>
      </c>
      <c r="O15" s="131">
        <f>'Historical Financials'!O13</f>
        <v>-54719</v>
      </c>
      <c r="P15" s="131">
        <f>'Historical Financials'!P13</f>
        <v>-47074</v>
      </c>
      <c r="Q15" s="131">
        <f>'Historical Financials'!Q13</f>
        <v>-52051</v>
      </c>
      <c r="R15" s="131">
        <f>'Historical Financials'!R13</f>
        <v>-66822</v>
      </c>
      <c r="S15" s="131">
        <f>'Historical Financials'!S13</f>
        <v>-52860</v>
      </c>
      <c r="T15" s="131">
        <f>'Historical Financials'!T13</f>
        <v>-45384</v>
      </c>
      <c r="U15" s="131">
        <f>'Historical Financials'!U13</f>
        <v>-49071</v>
      </c>
      <c r="V15" s="131">
        <f>'Historical Financials'!V13</f>
        <v>-64720</v>
      </c>
      <c r="W15" s="131">
        <f>'Historical Financials'!W13</f>
        <v>-48482</v>
      </c>
      <c r="X15" s="131">
        <f>'Historical Financials'!X13</f>
        <v>-46099</v>
      </c>
      <c r="Y15" s="131">
        <f>'Historical Financials'!Y13</f>
        <v>-51051</v>
      </c>
      <c r="Z15" s="131">
        <f>'Historical Financials'!Z13</f>
        <v>-66025</v>
      </c>
      <c r="AA15" s="131">
        <f>'Historical Financials'!AA13</f>
        <v>-50492</v>
      </c>
      <c r="AB15" s="131">
        <f>'Historical Financials'!AB13</f>
        <v>-50318</v>
      </c>
      <c r="AC15" s="131">
        <f>'Historical Financials'!AC13</f>
        <v>-54125</v>
      </c>
      <c r="AD15" s="5"/>
      <c r="AE15" s="12">
        <f t="shared" ref="AE15" si="51">SUM(N15:Q15)</f>
        <v>-223546</v>
      </c>
      <c r="AF15" s="12">
        <f t="shared" ref="AF15:AQ15" si="52">SUM(O15:R15)</f>
        <v>-220666</v>
      </c>
      <c r="AG15" s="12">
        <f t="shared" si="52"/>
        <v>-218807</v>
      </c>
      <c r="AH15" s="12">
        <f t="shared" si="52"/>
        <v>-217117</v>
      </c>
      <c r="AI15" s="12">
        <f t="shared" si="52"/>
        <v>-214137</v>
      </c>
      <c r="AJ15" s="12">
        <f t="shared" si="52"/>
        <v>-212035</v>
      </c>
      <c r="AK15" s="11">
        <f t="shared" si="52"/>
        <v>-207657</v>
      </c>
      <c r="AL15" s="11">
        <f t="shared" si="52"/>
        <v>-208372</v>
      </c>
      <c r="AM15" s="11">
        <f t="shared" si="52"/>
        <v>-210352</v>
      </c>
      <c r="AN15" s="11">
        <f t="shared" si="52"/>
        <v>-211657</v>
      </c>
      <c r="AO15" s="11">
        <f t="shared" si="52"/>
        <v>-213667</v>
      </c>
      <c r="AP15" s="11">
        <f t="shared" si="52"/>
        <v>-217886</v>
      </c>
      <c r="AQ15" s="11">
        <f t="shared" si="52"/>
        <v>-220960</v>
      </c>
      <c r="AS15" s="13">
        <f t="shared" ref="AS15:AS16" si="53">SUM(AQ15/AM15)-1</f>
        <v>5.0429755837833712E-2</v>
      </c>
    </row>
    <row r="16" spans="2:45" ht="12.75" customHeight="1">
      <c r="B16" s="27" t="s">
        <v>30</v>
      </c>
      <c r="C16" s="28">
        <f t="shared" ref="C16:F16" si="54">+C11+C15</f>
        <v>84263</v>
      </c>
      <c r="D16" s="28">
        <f t="shared" si="54"/>
        <v>88186</v>
      </c>
      <c r="E16" s="28">
        <f t="shared" si="54"/>
        <v>101839</v>
      </c>
      <c r="F16" s="28">
        <f t="shared" si="54"/>
        <v>98392</v>
      </c>
      <c r="G16" s="28">
        <f t="shared" ref="G16:L16" si="55">+G11+G15</f>
        <v>104956</v>
      </c>
      <c r="H16" s="28">
        <f t="shared" si="55"/>
        <v>152836</v>
      </c>
      <c r="I16" s="28">
        <f t="shared" si="55"/>
        <v>170782</v>
      </c>
      <c r="J16" s="28">
        <f t="shared" si="55"/>
        <v>169148</v>
      </c>
      <c r="K16" s="28">
        <f t="shared" si="55"/>
        <v>180683</v>
      </c>
      <c r="L16" s="28">
        <f t="shared" si="55"/>
        <v>195201</v>
      </c>
      <c r="M16" s="5"/>
      <c r="N16" s="28">
        <f t="shared" ref="N16:AB16" si="56">+N11+N15</f>
        <v>54243</v>
      </c>
      <c r="O16" s="28">
        <f t="shared" si="56"/>
        <v>42559</v>
      </c>
      <c r="P16" s="28">
        <f t="shared" si="56"/>
        <v>35885</v>
      </c>
      <c r="Q16" s="28">
        <f t="shared" si="56"/>
        <v>38095</v>
      </c>
      <c r="R16" s="28">
        <f t="shared" si="56"/>
        <v>50332</v>
      </c>
      <c r="S16" s="28">
        <f t="shared" si="56"/>
        <v>41976</v>
      </c>
      <c r="T16" s="28">
        <f t="shared" si="56"/>
        <v>36413</v>
      </c>
      <c r="U16" s="28">
        <f t="shared" si="56"/>
        <v>40427</v>
      </c>
      <c r="V16" s="28">
        <f t="shared" si="56"/>
        <v>54855</v>
      </c>
      <c r="W16" s="28">
        <f t="shared" si="56"/>
        <v>42271</v>
      </c>
      <c r="X16" s="28">
        <f t="shared" si="56"/>
        <v>39678</v>
      </c>
      <c r="Y16" s="28">
        <f t="shared" si="56"/>
        <v>43879</v>
      </c>
      <c r="Z16" s="28">
        <f t="shared" si="56"/>
        <v>58275</v>
      </c>
      <c r="AA16" s="28">
        <f t="shared" si="56"/>
        <v>44867</v>
      </c>
      <c r="AB16" s="28">
        <f t="shared" si="56"/>
        <v>43718</v>
      </c>
      <c r="AC16" s="28">
        <f t="shared" ref="AC16" si="57">+AC11+AC15</f>
        <v>48341</v>
      </c>
      <c r="AD16" s="5"/>
      <c r="AE16" s="28">
        <f t="shared" ref="AE16:AP16" si="58">+AE11+AE15</f>
        <v>170782</v>
      </c>
      <c r="AF16" s="28">
        <f t="shared" si="58"/>
        <v>166871</v>
      </c>
      <c r="AG16" s="28">
        <f t="shared" si="58"/>
        <v>166288</v>
      </c>
      <c r="AH16" s="28">
        <f t="shared" si="58"/>
        <v>166816</v>
      </c>
      <c r="AI16" s="28">
        <f t="shared" si="58"/>
        <v>169148</v>
      </c>
      <c r="AJ16" s="28">
        <f t="shared" si="58"/>
        <v>173671</v>
      </c>
      <c r="AK16" s="28">
        <f t="shared" si="58"/>
        <v>173966</v>
      </c>
      <c r="AL16" s="28">
        <f t="shared" si="58"/>
        <v>177231</v>
      </c>
      <c r="AM16" s="28">
        <f t="shared" si="58"/>
        <v>180683</v>
      </c>
      <c r="AN16" s="28">
        <f t="shared" si="58"/>
        <v>184103</v>
      </c>
      <c r="AO16" s="28">
        <f t="shared" si="58"/>
        <v>186699</v>
      </c>
      <c r="AP16" s="28">
        <f t="shared" si="58"/>
        <v>190739</v>
      </c>
      <c r="AQ16" s="28">
        <f t="shared" ref="AQ16" si="59">+AQ11+AQ15</f>
        <v>195201</v>
      </c>
      <c r="AS16" s="16">
        <f t="shared" si="53"/>
        <v>8.0350669404426478E-2</v>
      </c>
    </row>
    <row r="17" spans="2:45" ht="12.75" customHeight="1">
      <c r="B17" s="17" t="s">
        <v>49</v>
      </c>
      <c r="C17" s="18">
        <f t="shared" ref="C17:F17" si="60">C16/C11</f>
        <v>0.39075955648097049</v>
      </c>
      <c r="D17" s="18">
        <f t="shared" si="60"/>
        <v>0.38469860491899105</v>
      </c>
      <c r="E17" s="18">
        <f t="shared" si="60"/>
        <v>0.38343718820007905</v>
      </c>
      <c r="F17" s="18">
        <f t="shared" si="60"/>
        <v>0.37817768109034722</v>
      </c>
      <c r="G17" s="18">
        <f t="shared" ref="G17:L17" si="61">G16/G11</f>
        <v>0.38233247727810865</v>
      </c>
      <c r="H17" s="18">
        <f t="shared" si="61"/>
        <v>0.41779359625167778</v>
      </c>
      <c r="I17" s="18">
        <f t="shared" si="61"/>
        <v>0.43309630561360085</v>
      </c>
      <c r="J17" s="18">
        <f t="shared" si="61"/>
        <v>0.44131129577207562</v>
      </c>
      <c r="K17" s="18">
        <f t="shared" si="61"/>
        <v>0.46206349815233932</v>
      </c>
      <c r="L17" s="18">
        <f t="shared" si="61"/>
        <v>0.46905164107160452</v>
      </c>
      <c r="M17" s="29"/>
      <c r="N17" s="18">
        <f t="shared" ref="N17:AB17" si="62">N16/N11</f>
        <v>0.43763766186615033</v>
      </c>
      <c r="O17" s="18">
        <f t="shared" si="62"/>
        <v>0.43749871502292398</v>
      </c>
      <c r="P17" s="18">
        <f t="shared" si="62"/>
        <v>0.43256307332537758</v>
      </c>
      <c r="Q17" s="18">
        <f t="shared" si="62"/>
        <v>0.4225922392563175</v>
      </c>
      <c r="R17" s="18">
        <f t="shared" si="62"/>
        <v>0.42962254809908323</v>
      </c>
      <c r="S17" s="18">
        <f t="shared" si="62"/>
        <v>0.44261672782487665</v>
      </c>
      <c r="T17" s="18">
        <f t="shared" si="62"/>
        <v>0.44516302553883397</v>
      </c>
      <c r="U17" s="18">
        <f t="shared" si="62"/>
        <v>0.45170841806520817</v>
      </c>
      <c r="V17" s="18">
        <f t="shared" si="62"/>
        <v>0.45874973865774621</v>
      </c>
      <c r="W17" s="18">
        <f t="shared" si="62"/>
        <v>0.46578074554009236</v>
      </c>
      <c r="X17" s="18">
        <f t="shared" si="62"/>
        <v>0.46257155181458898</v>
      </c>
      <c r="Y17" s="18">
        <f t="shared" si="62"/>
        <v>0.4622247972190035</v>
      </c>
      <c r="Z17" s="18">
        <f t="shared" si="62"/>
        <v>0.46882542236524538</v>
      </c>
      <c r="AA17" s="18">
        <f t="shared" si="62"/>
        <v>0.47050619238876246</v>
      </c>
      <c r="AB17" s="18">
        <f t="shared" si="62"/>
        <v>0.46490705687183631</v>
      </c>
      <c r="AC17" s="18">
        <f t="shared" ref="AC17" si="63">AC16/AC11</f>
        <v>0.47177600374758455</v>
      </c>
      <c r="AD17" s="30"/>
      <c r="AE17" s="18">
        <f t="shared" ref="AE17:AP17" si="64">AE16/AE11</f>
        <v>0.43309630561360085</v>
      </c>
      <c r="AF17" s="18">
        <f t="shared" si="64"/>
        <v>0.43059372395409989</v>
      </c>
      <c r="AG17" s="18">
        <f t="shared" si="64"/>
        <v>0.43181033251535333</v>
      </c>
      <c r="AH17" s="18">
        <f t="shared" si="64"/>
        <v>0.43449247655189838</v>
      </c>
      <c r="AI17" s="18">
        <f t="shared" si="64"/>
        <v>0.44131129577207562</v>
      </c>
      <c r="AJ17" s="18">
        <f t="shared" si="64"/>
        <v>0.45026782056799741</v>
      </c>
      <c r="AK17" s="18">
        <f t="shared" si="64"/>
        <v>0.4558582685005883</v>
      </c>
      <c r="AL17" s="18">
        <f t="shared" si="64"/>
        <v>0.45962038677084982</v>
      </c>
      <c r="AM17" s="18">
        <f t="shared" si="64"/>
        <v>0.46206349815233932</v>
      </c>
      <c r="AN17" s="18">
        <f t="shared" si="64"/>
        <v>0.46518849807964424</v>
      </c>
      <c r="AO17" s="18">
        <f t="shared" si="64"/>
        <v>0.46632081645294554</v>
      </c>
      <c r="AP17" s="18">
        <f t="shared" si="64"/>
        <v>0.46678250229427959</v>
      </c>
      <c r="AQ17" s="18">
        <f t="shared" ref="AQ17" si="65">AQ16/AQ11</f>
        <v>0.46905164107160452</v>
      </c>
      <c r="AS17" s="19">
        <f>SUM(AQ17-AM17)*10000</f>
        <v>69.88142919265195</v>
      </c>
    </row>
    <row r="18" spans="2:45" ht="5.0999999999999996" customHeight="1">
      <c r="B18" s="31"/>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5"/>
      <c r="AE18" s="32"/>
      <c r="AF18" s="32"/>
      <c r="AG18" s="32"/>
      <c r="AH18" s="32"/>
      <c r="AI18" s="32"/>
      <c r="AJ18" s="32"/>
      <c r="AK18" s="32"/>
      <c r="AL18" s="32"/>
      <c r="AM18" s="32"/>
      <c r="AN18" s="32"/>
      <c r="AO18" s="32"/>
      <c r="AP18" s="32"/>
      <c r="AQ18" s="32"/>
      <c r="AS18" s="9"/>
    </row>
    <row r="19" spans="2:45" ht="12.75" customHeight="1">
      <c r="B19" s="25" t="s">
        <v>110</v>
      </c>
      <c r="C19" s="131">
        <f>'Historical Financials'!C17</f>
        <v>-10045</v>
      </c>
      <c r="D19" s="131">
        <f>'Historical Financials'!D17</f>
        <v>-11581</v>
      </c>
      <c r="E19" s="131">
        <f>'Historical Financials'!E17</f>
        <v>-14236</v>
      </c>
      <c r="F19" s="131">
        <f>'Historical Financials'!F17</f>
        <v>-16217</v>
      </c>
      <c r="G19" s="131">
        <f>'Historical Financials'!G17</f>
        <v>-18752</v>
      </c>
      <c r="H19" s="131">
        <f>'Historical Financials'!H17</f>
        <v>-21914</v>
      </c>
      <c r="I19" s="131">
        <f>'Historical Financials'!I17</f>
        <v>-26251</v>
      </c>
      <c r="J19" s="131">
        <f>'Historical Financials'!J17</f>
        <v>-29915</v>
      </c>
      <c r="K19" s="131">
        <f>'Historical Financials'!K17</f>
        <v>-31370</v>
      </c>
      <c r="L19" s="131">
        <f>'Historical Financials'!L17</f>
        <v>-34550</v>
      </c>
      <c r="M19" s="131"/>
      <c r="N19" s="131">
        <f>'Historical Financials'!N17</f>
        <v>-6306</v>
      </c>
      <c r="O19" s="131">
        <f>'Historical Financials'!O17</f>
        <v>-6387</v>
      </c>
      <c r="P19" s="131">
        <f>'Historical Financials'!P17</f>
        <v>-6797</v>
      </c>
      <c r="Q19" s="131">
        <f>'Historical Financials'!Q17</f>
        <v>-6761</v>
      </c>
      <c r="R19" s="131">
        <f>'Historical Financials'!R17</f>
        <v>-7709</v>
      </c>
      <c r="S19" s="131">
        <f>'Historical Financials'!S17</f>
        <v>-7457</v>
      </c>
      <c r="T19" s="131">
        <f>'Historical Financials'!T17</f>
        <v>-7442</v>
      </c>
      <c r="U19" s="131">
        <f>'Historical Financials'!U17</f>
        <v>-7307</v>
      </c>
      <c r="V19" s="131">
        <f>'Historical Financials'!V17</f>
        <v>-7696</v>
      </c>
      <c r="W19" s="131">
        <f>'Historical Financials'!W17</f>
        <v>-7903</v>
      </c>
      <c r="X19" s="131">
        <f>'Historical Financials'!X17</f>
        <v>-8006</v>
      </c>
      <c r="Y19" s="131">
        <f>'Historical Financials'!Y17</f>
        <v>-7765</v>
      </c>
      <c r="Z19" s="131">
        <f>'Historical Financials'!Z17</f>
        <v>-8268</v>
      </c>
      <c r="AA19" s="131">
        <f>'Historical Financials'!AA17</f>
        <v>-8550</v>
      </c>
      <c r="AB19" s="131">
        <f>'Historical Financials'!AB17</f>
        <v>-8866</v>
      </c>
      <c r="AC19" s="131">
        <f>'Historical Financials'!AC17</f>
        <v>-8866</v>
      </c>
      <c r="AD19" s="5"/>
      <c r="AE19" s="12">
        <f t="shared" ref="AE19:AE20" si="66">SUM(N19:Q19)</f>
        <v>-26251</v>
      </c>
      <c r="AF19" s="12">
        <f t="shared" ref="AF19:AQ20" si="67">SUM(O19:R19)</f>
        <v>-27654</v>
      </c>
      <c r="AG19" s="12">
        <f t="shared" si="67"/>
        <v>-28724</v>
      </c>
      <c r="AH19" s="12">
        <f t="shared" si="67"/>
        <v>-29369</v>
      </c>
      <c r="AI19" s="12">
        <f t="shared" si="67"/>
        <v>-29915</v>
      </c>
      <c r="AJ19" s="12">
        <f t="shared" si="67"/>
        <v>-29902</v>
      </c>
      <c r="AK19" s="11">
        <f t="shared" si="67"/>
        <v>-30348</v>
      </c>
      <c r="AL19" s="11">
        <f t="shared" si="67"/>
        <v>-30912</v>
      </c>
      <c r="AM19" s="11">
        <f t="shared" si="67"/>
        <v>-31370</v>
      </c>
      <c r="AN19" s="11">
        <f t="shared" si="67"/>
        <v>-31942</v>
      </c>
      <c r="AO19" s="11">
        <f t="shared" si="67"/>
        <v>-32589</v>
      </c>
      <c r="AP19" s="11">
        <f t="shared" si="67"/>
        <v>-33449</v>
      </c>
      <c r="AQ19" s="11">
        <f t="shared" si="67"/>
        <v>-34550</v>
      </c>
      <c r="AS19" s="13">
        <f t="shared" ref="AS19:AS21" si="68">SUM(AQ19/AM19)-1</f>
        <v>0.10137073637233018</v>
      </c>
    </row>
    <row r="20" spans="2:45" ht="12.75" customHeight="1">
      <c r="B20" s="25" t="s">
        <v>229</v>
      </c>
      <c r="C20" s="131">
        <f>'Historical Financials'!C18</f>
        <v>-14194</v>
      </c>
      <c r="D20" s="131">
        <f>'Historical Financials'!D18</f>
        <v>-15261</v>
      </c>
      <c r="E20" s="131">
        <f>'Historical Financials'!E18</f>
        <v>-16705</v>
      </c>
      <c r="F20" s="131">
        <f>'Historical Financials'!F18</f>
        <v>-18245</v>
      </c>
      <c r="G20" s="131">
        <f>'Historical Financials'!G18</f>
        <v>-19916</v>
      </c>
      <c r="H20" s="131">
        <f>'Historical Financials'!H18</f>
        <v>-21973</v>
      </c>
      <c r="I20" s="131">
        <f>'Historical Financials'!I18</f>
        <v>-25094</v>
      </c>
      <c r="J20" s="131">
        <f>'Historical Financials'!J18</f>
        <v>-24932</v>
      </c>
      <c r="K20" s="131">
        <f>'Historical Financials'!K18</f>
        <v>-26097</v>
      </c>
      <c r="L20" s="131">
        <f>'Historical Financials'!L18</f>
        <v>-27601</v>
      </c>
      <c r="M20" s="131"/>
      <c r="N20" s="131">
        <f>'Historical Financials'!N18</f>
        <v>-6449</v>
      </c>
      <c r="O20" s="131">
        <f>'Historical Financials'!O18</f>
        <v>-6193</v>
      </c>
      <c r="P20" s="131">
        <f>'Historical Financials'!P18</f>
        <v>-6012</v>
      </c>
      <c r="Q20" s="131">
        <f>'Historical Financials'!Q18</f>
        <v>-6440</v>
      </c>
      <c r="R20" s="131">
        <f>'Historical Financials'!R18</f>
        <v>-6607</v>
      </c>
      <c r="S20" s="131">
        <f>'Historical Financials'!S18</f>
        <v>-6201</v>
      </c>
      <c r="T20" s="131">
        <f>'Historical Financials'!T18</f>
        <v>-5973</v>
      </c>
      <c r="U20" s="131">
        <f>'Historical Financials'!U18</f>
        <v>-6151</v>
      </c>
      <c r="V20" s="131">
        <f>'Historical Financials'!V18</f>
        <v>-6786</v>
      </c>
      <c r="W20" s="131">
        <f>'Historical Financials'!W18</f>
        <v>-6468</v>
      </c>
      <c r="X20" s="131">
        <f>'Historical Financials'!X18</f>
        <v>-6320</v>
      </c>
      <c r="Y20" s="131">
        <f>'Historical Financials'!Y18</f>
        <v>-6523</v>
      </c>
      <c r="Z20" s="131">
        <f>'Historical Financials'!Z18</f>
        <v>-7175</v>
      </c>
      <c r="AA20" s="131">
        <f>'Historical Financials'!AA18</f>
        <v>-6728</v>
      </c>
      <c r="AB20" s="131">
        <f>'Historical Financials'!AB18</f>
        <v>-6650</v>
      </c>
      <c r="AC20" s="131">
        <f>'Historical Financials'!AC18</f>
        <v>-7048</v>
      </c>
      <c r="AD20" s="5"/>
      <c r="AE20" s="12">
        <f t="shared" si="66"/>
        <v>-25094</v>
      </c>
      <c r="AF20" s="12">
        <f t="shared" si="67"/>
        <v>-25252</v>
      </c>
      <c r="AG20" s="12">
        <f t="shared" si="67"/>
        <v>-25260</v>
      </c>
      <c r="AH20" s="12">
        <f t="shared" si="67"/>
        <v>-25221</v>
      </c>
      <c r="AI20" s="12">
        <f t="shared" si="67"/>
        <v>-24932</v>
      </c>
      <c r="AJ20" s="12">
        <f t="shared" si="67"/>
        <v>-25111</v>
      </c>
      <c r="AK20" s="11">
        <f t="shared" si="67"/>
        <v>-25378</v>
      </c>
      <c r="AL20" s="11">
        <f t="shared" si="67"/>
        <v>-25725</v>
      </c>
      <c r="AM20" s="11">
        <f t="shared" si="67"/>
        <v>-26097</v>
      </c>
      <c r="AN20" s="11">
        <f t="shared" si="67"/>
        <v>-26486</v>
      </c>
      <c r="AO20" s="11">
        <f t="shared" si="67"/>
        <v>-26746</v>
      </c>
      <c r="AP20" s="11">
        <f t="shared" si="67"/>
        <v>-27076</v>
      </c>
      <c r="AQ20" s="11">
        <f t="shared" si="67"/>
        <v>-27601</v>
      </c>
      <c r="AS20" s="13">
        <f t="shared" si="68"/>
        <v>5.7631145342376566E-2</v>
      </c>
    </row>
    <row r="21" spans="2:45" ht="12.75" customHeight="1">
      <c r="B21" s="14" t="s">
        <v>50</v>
      </c>
      <c r="C21" s="15">
        <f t="shared" ref="C21:F21" si="69">SUM(C16+SUM(C19:C20))</f>
        <v>60024</v>
      </c>
      <c r="D21" s="15">
        <f t="shared" si="69"/>
        <v>61344</v>
      </c>
      <c r="E21" s="15">
        <f t="shared" si="69"/>
        <v>70898</v>
      </c>
      <c r="F21" s="15">
        <f t="shared" si="69"/>
        <v>63930</v>
      </c>
      <c r="G21" s="15">
        <f t="shared" ref="G21:L21" si="70">SUM(G16+SUM(G19:G20))</f>
        <v>66288</v>
      </c>
      <c r="H21" s="15">
        <f t="shared" si="70"/>
        <v>108949</v>
      </c>
      <c r="I21" s="15">
        <f t="shared" si="70"/>
        <v>119437</v>
      </c>
      <c r="J21" s="15">
        <f t="shared" si="70"/>
        <v>114301</v>
      </c>
      <c r="K21" s="15">
        <f t="shared" si="70"/>
        <v>123216</v>
      </c>
      <c r="L21" s="15">
        <f t="shared" si="70"/>
        <v>133050</v>
      </c>
      <c r="M21" s="12"/>
      <c r="N21" s="15">
        <f t="shared" ref="N21:AB21" si="71">SUM(N16+SUM(N19:N20))</f>
        <v>41488</v>
      </c>
      <c r="O21" s="15">
        <f t="shared" si="71"/>
        <v>29979</v>
      </c>
      <c r="P21" s="15">
        <f t="shared" si="71"/>
        <v>23076</v>
      </c>
      <c r="Q21" s="15">
        <f t="shared" si="71"/>
        <v>24894</v>
      </c>
      <c r="R21" s="15">
        <f t="shared" si="71"/>
        <v>36016</v>
      </c>
      <c r="S21" s="15">
        <f t="shared" si="71"/>
        <v>28318</v>
      </c>
      <c r="T21" s="15">
        <f t="shared" si="71"/>
        <v>22998</v>
      </c>
      <c r="U21" s="15">
        <f t="shared" si="71"/>
        <v>26969</v>
      </c>
      <c r="V21" s="15">
        <f t="shared" si="71"/>
        <v>40373</v>
      </c>
      <c r="W21" s="15">
        <f t="shared" si="71"/>
        <v>27900</v>
      </c>
      <c r="X21" s="15">
        <f t="shared" si="71"/>
        <v>25352</v>
      </c>
      <c r="Y21" s="15">
        <f t="shared" si="71"/>
        <v>29591</v>
      </c>
      <c r="Z21" s="15">
        <f t="shared" si="71"/>
        <v>42832</v>
      </c>
      <c r="AA21" s="15">
        <f t="shared" si="71"/>
        <v>29589</v>
      </c>
      <c r="AB21" s="15">
        <f t="shared" si="71"/>
        <v>28202</v>
      </c>
      <c r="AC21" s="15">
        <f t="shared" ref="AC21" si="72">SUM(AC16+SUM(AC19:AC20))</f>
        <v>32427</v>
      </c>
      <c r="AD21" s="5"/>
      <c r="AE21" s="15">
        <f t="shared" ref="AE21:AP21" si="73">SUM(AE16+SUM(AE19:AE20))</f>
        <v>119437</v>
      </c>
      <c r="AF21" s="15">
        <f t="shared" si="73"/>
        <v>113965</v>
      </c>
      <c r="AG21" s="15">
        <f t="shared" si="73"/>
        <v>112304</v>
      </c>
      <c r="AH21" s="15">
        <f t="shared" si="73"/>
        <v>112226</v>
      </c>
      <c r="AI21" s="15">
        <f t="shared" si="73"/>
        <v>114301</v>
      </c>
      <c r="AJ21" s="15">
        <f t="shared" si="73"/>
        <v>118658</v>
      </c>
      <c r="AK21" s="15">
        <f t="shared" si="73"/>
        <v>118240</v>
      </c>
      <c r="AL21" s="15">
        <f t="shared" si="73"/>
        <v>120594</v>
      </c>
      <c r="AM21" s="15">
        <f t="shared" si="73"/>
        <v>123216</v>
      </c>
      <c r="AN21" s="15">
        <f t="shared" si="73"/>
        <v>125675</v>
      </c>
      <c r="AO21" s="15">
        <f t="shared" si="73"/>
        <v>127364</v>
      </c>
      <c r="AP21" s="15">
        <f t="shared" si="73"/>
        <v>130214</v>
      </c>
      <c r="AQ21" s="15">
        <f t="shared" ref="AQ21" si="74">SUM(AQ16+SUM(AQ19:AQ20))</f>
        <v>133050</v>
      </c>
      <c r="AS21" s="16">
        <f t="shared" si="68"/>
        <v>7.9811063498246959E-2</v>
      </c>
    </row>
    <row r="22" spans="2:45" ht="12.75" customHeight="1">
      <c r="B22" s="17" t="s">
        <v>51</v>
      </c>
      <c r="C22" s="18">
        <f t="shared" ref="C22:F22" si="75">C21/C11</f>
        <v>0.27835410106706115</v>
      </c>
      <c r="D22" s="18">
        <f t="shared" si="75"/>
        <v>0.26760428208729942</v>
      </c>
      <c r="E22" s="18">
        <f t="shared" si="75"/>
        <v>0.26694026619477024</v>
      </c>
      <c r="F22" s="18">
        <f t="shared" si="75"/>
        <v>0.24572017188496928</v>
      </c>
      <c r="G22" s="18">
        <f t="shared" ref="G22:L22" si="76">G21/G11</f>
        <v>0.24147314354406862</v>
      </c>
      <c r="H22" s="18">
        <f t="shared" si="76"/>
        <v>0.29782377527561593</v>
      </c>
      <c r="I22" s="18">
        <f t="shared" si="76"/>
        <v>0.30288744395528594</v>
      </c>
      <c r="J22" s="18">
        <f t="shared" si="76"/>
        <v>0.29821412265024722</v>
      </c>
      <c r="K22" s="18">
        <f t="shared" si="76"/>
        <v>0.31510222870075566</v>
      </c>
      <c r="L22" s="18">
        <f t="shared" si="76"/>
        <v>0.31970799762591884</v>
      </c>
      <c r="M22" s="29"/>
      <c r="N22" s="18">
        <f t="shared" ref="N22:AB22" si="77">N21/N11</f>
        <v>0.33472911371979508</v>
      </c>
      <c r="O22" s="18">
        <f t="shared" si="77"/>
        <v>0.30817862209338187</v>
      </c>
      <c r="P22" s="18">
        <f t="shared" si="77"/>
        <v>0.27816150146457891</v>
      </c>
      <c r="Q22" s="18">
        <f t="shared" si="77"/>
        <v>0.27615202005635303</v>
      </c>
      <c r="R22" s="18">
        <f t="shared" si="77"/>
        <v>0.30742441572630896</v>
      </c>
      <c r="S22" s="18">
        <f t="shared" si="77"/>
        <v>0.29859968788223878</v>
      </c>
      <c r="T22" s="18">
        <f t="shared" si="77"/>
        <v>0.28115945572576012</v>
      </c>
      <c r="U22" s="18">
        <f t="shared" si="77"/>
        <v>0.30133634271156895</v>
      </c>
      <c r="V22" s="18">
        <f t="shared" si="77"/>
        <v>0.33763746602550698</v>
      </c>
      <c r="W22" s="18">
        <f t="shared" si="77"/>
        <v>0.30742785362467356</v>
      </c>
      <c r="X22" s="18">
        <f t="shared" si="77"/>
        <v>0.29555708406682446</v>
      </c>
      <c r="Y22" s="18">
        <f t="shared" si="77"/>
        <v>0.31171389444854103</v>
      </c>
      <c r="Z22" s="18">
        <f t="shared" si="77"/>
        <v>0.34458567980691873</v>
      </c>
      <c r="AA22" s="18">
        <f t="shared" si="77"/>
        <v>0.31029058610094484</v>
      </c>
      <c r="AB22" s="18">
        <f t="shared" si="77"/>
        <v>0.29990641881832492</v>
      </c>
      <c r="AC22" s="18">
        <f t="shared" ref="AC22" si="78">AC21/AC11</f>
        <v>0.31646594968086977</v>
      </c>
      <c r="AD22" s="30"/>
      <c r="AE22" s="18">
        <f t="shared" ref="AE22:AP22" si="79">AE21/AE11</f>
        <v>0.30288744395528594</v>
      </c>
      <c r="AF22" s="18">
        <f t="shared" si="79"/>
        <v>0.29407514637312049</v>
      </c>
      <c r="AG22" s="18">
        <f t="shared" si="79"/>
        <v>0.29162674145340761</v>
      </c>
      <c r="AH22" s="18">
        <f t="shared" si="79"/>
        <v>0.29230620967720933</v>
      </c>
      <c r="AI22" s="18">
        <f t="shared" si="79"/>
        <v>0.29821412265024722</v>
      </c>
      <c r="AJ22" s="18">
        <f t="shared" si="79"/>
        <v>0.30763846038174153</v>
      </c>
      <c r="AK22" s="18">
        <f t="shared" si="79"/>
        <v>0.30983457496010458</v>
      </c>
      <c r="AL22" s="18">
        <f t="shared" si="79"/>
        <v>0.31274134278000948</v>
      </c>
      <c r="AM22" s="18">
        <f t="shared" si="79"/>
        <v>0.31510222870075566</v>
      </c>
      <c r="AN22" s="18">
        <f t="shared" si="79"/>
        <v>0.31755356781888011</v>
      </c>
      <c r="AO22" s="18">
        <f t="shared" si="79"/>
        <v>0.31811892118711377</v>
      </c>
      <c r="AP22" s="18">
        <f t="shared" si="79"/>
        <v>0.31866381156316914</v>
      </c>
      <c r="AQ22" s="18">
        <f t="shared" ref="AQ22" si="80">AQ21/AQ11</f>
        <v>0.31970799762591884</v>
      </c>
      <c r="AS22" s="19">
        <f>SUM(AQ22-AM22)*10000</f>
        <v>46.057689251631786</v>
      </c>
    </row>
    <row r="23" spans="2:45" ht="5.0999999999999996" customHeight="1">
      <c r="AS23" s="9"/>
    </row>
    <row r="24" spans="2:45" ht="12.75" customHeight="1">
      <c r="B24" s="33" t="s">
        <v>52</v>
      </c>
      <c r="C24" s="131">
        <f>'Historical Financials'!C78</f>
        <v>10505</v>
      </c>
      <c r="D24" s="131">
        <f>'Historical Financials'!D78</f>
        <v>10157</v>
      </c>
      <c r="E24" s="131">
        <f>'Historical Financials'!E78</f>
        <v>10903</v>
      </c>
      <c r="F24" s="131">
        <f>'Historical Financials'!F78</f>
        <v>12547</v>
      </c>
      <c r="G24" s="131">
        <f>'Historical Financials'!G78</f>
        <v>11056</v>
      </c>
      <c r="H24" s="131">
        <f>'Historical Financials'!H78</f>
        <v>11284</v>
      </c>
      <c r="I24" s="131">
        <f>'Historical Financials'!I78</f>
        <v>11104</v>
      </c>
      <c r="J24" s="131">
        <f>'Historical Financials'!J78</f>
        <v>11519</v>
      </c>
      <c r="K24" s="131">
        <f>'Historical Financials'!K78</f>
        <v>11445</v>
      </c>
      <c r="L24" s="131">
        <f>'Historical Financials'!L78</f>
        <v>11698</v>
      </c>
      <c r="N24" s="131">
        <f>'Historical Financials'!N78</f>
        <v>2697</v>
      </c>
      <c r="O24" s="131">
        <f>'Historical Financials'!O78</f>
        <v>2737</v>
      </c>
      <c r="P24" s="131">
        <f>'Historical Financials'!P78</f>
        <v>2805</v>
      </c>
      <c r="Q24" s="131">
        <f>'Historical Financials'!Q78</f>
        <v>2865</v>
      </c>
      <c r="R24" s="131">
        <f>'Historical Financials'!R78</f>
        <v>2916</v>
      </c>
      <c r="S24" s="131">
        <f>'Historical Financials'!S78</f>
        <v>2898</v>
      </c>
      <c r="T24" s="131">
        <f>'Historical Financials'!T78</f>
        <v>3052</v>
      </c>
      <c r="U24" s="131">
        <f>'Historical Financials'!U78</f>
        <v>2653</v>
      </c>
      <c r="V24" s="131">
        <f>'Historical Financials'!V78</f>
        <v>2848</v>
      </c>
      <c r="W24" s="131">
        <f>'Historical Financials'!W78</f>
        <v>2836</v>
      </c>
      <c r="X24" s="131">
        <f>'Historical Financials'!X78</f>
        <v>2850</v>
      </c>
      <c r="Y24" s="131">
        <f>'Historical Financials'!Y78</f>
        <v>2911</v>
      </c>
      <c r="Z24" s="131">
        <f>'Historical Financials'!Z78</f>
        <v>3080</v>
      </c>
      <c r="AA24" s="131">
        <f>'Historical Financials'!AA78</f>
        <v>2661</v>
      </c>
      <c r="AB24" s="131">
        <f>'Historical Financials'!AB78</f>
        <v>2830</v>
      </c>
      <c r="AC24" s="131">
        <f>'Historical Financials'!AC78</f>
        <v>3127</v>
      </c>
      <c r="AE24" s="12">
        <f t="shared" ref="AE24:AQ24" si="81">SUM(N24:Q24)</f>
        <v>11104</v>
      </c>
      <c r="AF24" s="12">
        <f t="shared" si="81"/>
        <v>11323</v>
      </c>
      <c r="AG24" s="12">
        <f t="shared" si="81"/>
        <v>11484</v>
      </c>
      <c r="AH24" s="12">
        <f t="shared" si="81"/>
        <v>11731</v>
      </c>
      <c r="AI24" s="12">
        <f t="shared" si="81"/>
        <v>11519</v>
      </c>
      <c r="AJ24" s="12">
        <f t="shared" si="81"/>
        <v>11451</v>
      </c>
      <c r="AK24" s="11">
        <f t="shared" si="81"/>
        <v>11389</v>
      </c>
      <c r="AL24" s="11">
        <f t="shared" si="81"/>
        <v>11187</v>
      </c>
      <c r="AM24" s="11">
        <f t="shared" si="81"/>
        <v>11445</v>
      </c>
      <c r="AN24" s="11">
        <f t="shared" si="81"/>
        <v>11677</v>
      </c>
      <c r="AO24" s="11">
        <f t="shared" si="81"/>
        <v>11502</v>
      </c>
      <c r="AP24" s="11">
        <f t="shared" si="81"/>
        <v>11482</v>
      </c>
      <c r="AQ24" s="11">
        <f t="shared" si="81"/>
        <v>11698</v>
      </c>
      <c r="AS24" s="13">
        <f t="shared" ref="AS24:AS25" si="82">SUM(AQ24/AM24)-1</f>
        <v>2.2105723023154278E-2</v>
      </c>
    </row>
    <row r="25" spans="2:45" ht="12.75" customHeight="1">
      <c r="B25" s="27" t="s">
        <v>11</v>
      </c>
      <c r="C25" s="28">
        <f t="shared" ref="C25" si="83">SUM(C21+C24)</f>
        <v>70529</v>
      </c>
      <c r="D25" s="28">
        <f t="shared" ref="D25:F25" si="84">SUM(D21+D24)</f>
        <v>71501</v>
      </c>
      <c r="E25" s="28">
        <f t="shared" si="84"/>
        <v>81801</v>
      </c>
      <c r="F25" s="28">
        <f t="shared" si="84"/>
        <v>76477</v>
      </c>
      <c r="G25" s="28">
        <f t="shared" ref="G25" si="85">SUM(G21+G24)</f>
        <v>77344</v>
      </c>
      <c r="H25" s="28">
        <f t="shared" ref="H25:I25" si="86">SUM(H21+H24)</f>
        <v>120233</v>
      </c>
      <c r="I25" s="28">
        <f t="shared" si="86"/>
        <v>130541</v>
      </c>
      <c r="J25" s="28">
        <f>SUM(J21+J24)</f>
        <v>125820</v>
      </c>
      <c r="K25" s="28">
        <f>SUM(K21+K24)</f>
        <v>134661</v>
      </c>
      <c r="L25" s="28">
        <f>SUM(L21+L24)</f>
        <v>144748</v>
      </c>
      <c r="N25" s="28">
        <f t="shared" ref="N25:AO25" si="87">SUM(N21+N24)</f>
        <v>44185</v>
      </c>
      <c r="O25" s="28">
        <f t="shared" si="87"/>
        <v>32716</v>
      </c>
      <c r="P25" s="28">
        <f t="shared" si="87"/>
        <v>25881</v>
      </c>
      <c r="Q25" s="28">
        <f t="shared" si="87"/>
        <v>27759</v>
      </c>
      <c r="R25" s="28">
        <f t="shared" si="87"/>
        <v>38932</v>
      </c>
      <c r="S25" s="28">
        <f t="shared" si="87"/>
        <v>31216</v>
      </c>
      <c r="T25" s="28">
        <f t="shared" si="87"/>
        <v>26050</v>
      </c>
      <c r="U25" s="28">
        <f t="shared" si="87"/>
        <v>29622</v>
      </c>
      <c r="V25" s="28">
        <f t="shared" si="87"/>
        <v>43221</v>
      </c>
      <c r="W25" s="28">
        <f t="shared" si="87"/>
        <v>30736</v>
      </c>
      <c r="X25" s="28">
        <f>SUM(X21+X24)</f>
        <v>28202</v>
      </c>
      <c r="Y25" s="28">
        <f>SUM(Y21+Y24)</f>
        <v>32502</v>
      </c>
      <c r="Z25" s="28">
        <f t="shared" ref="Z25:AA25" si="88">SUM(Z21+Z24)</f>
        <v>45912</v>
      </c>
      <c r="AA25" s="28">
        <f t="shared" si="88"/>
        <v>32250</v>
      </c>
      <c r="AB25" s="28">
        <f t="shared" ref="AB25" si="89">SUM(AB21+AB24)</f>
        <v>31032</v>
      </c>
      <c r="AC25" s="28">
        <f t="shared" ref="AC25" si="90">SUM(AC21+AC24)</f>
        <v>35554</v>
      </c>
      <c r="AE25" s="28">
        <f t="shared" ref="AE25:AL25" si="91">SUM(AE21+AE24)</f>
        <v>130541</v>
      </c>
      <c r="AF25" s="28">
        <f t="shared" si="91"/>
        <v>125288</v>
      </c>
      <c r="AG25" s="28">
        <f t="shared" si="91"/>
        <v>123788</v>
      </c>
      <c r="AH25" s="28">
        <f t="shared" si="91"/>
        <v>123957</v>
      </c>
      <c r="AI25" s="28">
        <f t="shared" si="91"/>
        <v>125820</v>
      </c>
      <c r="AJ25" s="28">
        <f t="shared" si="91"/>
        <v>130109</v>
      </c>
      <c r="AK25" s="28">
        <f t="shared" si="91"/>
        <v>129629</v>
      </c>
      <c r="AL25" s="28">
        <f t="shared" si="91"/>
        <v>131781</v>
      </c>
      <c r="AM25" s="28">
        <f t="shared" si="87"/>
        <v>134661</v>
      </c>
      <c r="AN25" s="28">
        <f t="shared" si="87"/>
        <v>137352</v>
      </c>
      <c r="AO25" s="28">
        <f t="shared" si="87"/>
        <v>138866</v>
      </c>
      <c r="AP25" s="28">
        <f t="shared" ref="AP25:AQ25" si="92">SUM(AP21+AP24)</f>
        <v>141696</v>
      </c>
      <c r="AQ25" s="28">
        <f t="shared" si="92"/>
        <v>144748</v>
      </c>
      <c r="AS25" s="16">
        <f t="shared" si="82"/>
        <v>7.4906617357661132E-2</v>
      </c>
    </row>
    <row r="26" spans="2:45" ht="12.75" customHeight="1">
      <c r="B26" s="17" t="s">
        <v>53</v>
      </c>
      <c r="C26" s="18">
        <f t="shared" ref="C26:F26" si="93">C25/C11</f>
        <v>0.32706977865784947</v>
      </c>
      <c r="D26" s="18">
        <f t="shared" si="93"/>
        <v>0.31191271800867237</v>
      </c>
      <c r="E26" s="18">
        <f t="shared" si="93"/>
        <v>0.30799149080366722</v>
      </c>
      <c r="F26" s="18">
        <f t="shared" si="93"/>
        <v>0.29394559025882677</v>
      </c>
      <c r="G26" s="18">
        <f t="shared" ref="G26:L26" si="94">G25/G11</f>
        <v>0.2817478097736007</v>
      </c>
      <c r="H26" s="18">
        <f t="shared" si="94"/>
        <v>0.32866979938056462</v>
      </c>
      <c r="I26" s="18">
        <f t="shared" si="94"/>
        <v>0.3310467428130896</v>
      </c>
      <c r="J26" s="18">
        <f t="shared" si="94"/>
        <v>0.32826747720364741</v>
      </c>
      <c r="K26" s="18">
        <f t="shared" si="94"/>
        <v>0.34437070850435381</v>
      </c>
      <c r="L26" s="18">
        <f t="shared" si="94"/>
        <v>0.34781731108873731</v>
      </c>
      <c r="N26" s="18">
        <f t="shared" ref="N26:AB26" si="95">N25/N11</f>
        <v>0.35648876517810318</v>
      </c>
      <c r="O26" s="18">
        <f t="shared" si="95"/>
        <v>0.33631448014967413</v>
      </c>
      <c r="P26" s="18">
        <f t="shared" si="95"/>
        <v>0.31197338444291761</v>
      </c>
      <c r="Q26" s="18">
        <f t="shared" si="95"/>
        <v>0.30793379628602491</v>
      </c>
      <c r="R26" s="18">
        <f t="shared" si="95"/>
        <v>0.33231473103777931</v>
      </c>
      <c r="S26" s="18">
        <f t="shared" si="95"/>
        <v>0.32915770382555148</v>
      </c>
      <c r="T26" s="18">
        <f t="shared" si="95"/>
        <v>0.31847133757961782</v>
      </c>
      <c r="U26" s="18">
        <f t="shared" si="95"/>
        <v>0.33097946322822858</v>
      </c>
      <c r="V26" s="18">
        <f t="shared" si="95"/>
        <v>0.36145515366924524</v>
      </c>
      <c r="W26" s="18">
        <f t="shared" si="95"/>
        <v>0.33867750928343965</v>
      </c>
      <c r="X26" s="18">
        <f t="shared" si="95"/>
        <v>0.32878277393706939</v>
      </c>
      <c r="Y26" s="18">
        <f t="shared" si="95"/>
        <v>0.34237859475402926</v>
      </c>
      <c r="Z26" s="18">
        <f t="shared" si="95"/>
        <v>0.36936444086886566</v>
      </c>
      <c r="AA26" s="18">
        <f t="shared" si="95"/>
        <v>0.33819566060885703</v>
      </c>
      <c r="AB26" s="18">
        <f t="shared" si="95"/>
        <v>0.33000127610702285</v>
      </c>
      <c r="AC26" s="18">
        <f t="shared" ref="AC26" si="96">AC25/AC11</f>
        <v>0.34698338961216402</v>
      </c>
      <c r="AE26" s="18">
        <f t="shared" ref="AE26:AP26" si="97">AE25/AE11</f>
        <v>0.3310467428130896</v>
      </c>
      <c r="AF26" s="18">
        <f t="shared" si="97"/>
        <v>0.32329300170048281</v>
      </c>
      <c r="AG26" s="18">
        <f t="shared" si="97"/>
        <v>0.3214479544008621</v>
      </c>
      <c r="AH26" s="18">
        <f t="shared" si="97"/>
        <v>0.32286102002172257</v>
      </c>
      <c r="AI26" s="18">
        <f t="shared" si="97"/>
        <v>0.32826747720364741</v>
      </c>
      <c r="AJ26" s="18">
        <f t="shared" si="97"/>
        <v>0.33732687591066773</v>
      </c>
      <c r="AK26" s="18">
        <f t="shared" si="97"/>
        <v>0.33967816405195705</v>
      </c>
      <c r="AL26" s="18">
        <f t="shared" si="97"/>
        <v>0.34175304652712762</v>
      </c>
      <c r="AM26" s="18">
        <f t="shared" si="97"/>
        <v>0.34437070850435381</v>
      </c>
      <c r="AN26" s="18">
        <f t="shared" si="97"/>
        <v>0.34705882352941175</v>
      </c>
      <c r="AO26" s="18">
        <f t="shared" si="97"/>
        <v>0.34684763441451072</v>
      </c>
      <c r="AP26" s="18">
        <f t="shared" si="97"/>
        <v>0.3467629244417253</v>
      </c>
      <c r="AQ26" s="18">
        <f t="shared" ref="AQ26" si="98">AQ25/AQ11</f>
        <v>0.34781731108873731</v>
      </c>
      <c r="AS26" s="19">
        <f>SUM(AQ26-AM26)*10000</f>
        <v>34.46602584383507</v>
      </c>
    </row>
    <row r="27" spans="2:45" ht="5.0999999999999996" customHeight="1">
      <c r="AS27" s="9"/>
    </row>
    <row r="28" spans="2:45" ht="12.75" customHeight="1">
      <c r="B28" s="33" t="s">
        <v>54</v>
      </c>
      <c r="C28" s="131">
        <f>'Historical Financials'!C79</f>
        <v>4210</v>
      </c>
      <c r="D28" s="131">
        <f>'Historical Financials'!D79</f>
        <v>4840</v>
      </c>
      <c r="E28" s="131">
        <f>'Historical Financials'!E79</f>
        <v>5340</v>
      </c>
      <c r="F28" s="131">
        <f>'Historical Financials'!F79</f>
        <v>6068</v>
      </c>
      <c r="G28" s="131">
        <f>'Historical Financials'!G79</f>
        <v>6829</v>
      </c>
      <c r="H28" s="131">
        <f>'Historical Financials'!H79</f>
        <v>7906</v>
      </c>
      <c r="I28" s="131">
        <f>'Historical Financials'!I79</f>
        <v>9038</v>
      </c>
      <c r="J28" s="131">
        <f>'Historical Financials'!J79</f>
        <v>10833</v>
      </c>
      <c r="K28" s="131">
        <f>'Historical Financials'!K79</f>
        <v>11688</v>
      </c>
      <c r="L28" s="131">
        <f>'Historical Financials'!L79</f>
        <v>12863</v>
      </c>
      <c r="N28" s="131">
        <f>'Historical Financials'!N79</f>
        <v>2265</v>
      </c>
      <c r="O28" s="131">
        <f>'Historical Financials'!O79</f>
        <v>2252</v>
      </c>
      <c r="P28" s="131">
        <f>'Historical Financials'!P79</f>
        <v>2243</v>
      </c>
      <c r="Q28" s="131">
        <f>'Historical Financials'!Q79</f>
        <v>2278</v>
      </c>
      <c r="R28" s="131">
        <f>'Historical Financials'!R79</f>
        <v>2905</v>
      </c>
      <c r="S28" s="131">
        <f>'Historical Financials'!S79</f>
        <v>2686</v>
      </c>
      <c r="T28" s="131">
        <f>'Historical Financials'!T79</f>
        <v>2617</v>
      </c>
      <c r="U28" s="131">
        <f>'Historical Financials'!U79</f>
        <v>2625</v>
      </c>
      <c r="V28" s="131">
        <f>'Historical Financials'!V79</f>
        <v>2997</v>
      </c>
      <c r="W28" s="131">
        <f>'Historical Financials'!W79</f>
        <v>2967</v>
      </c>
      <c r="X28" s="131">
        <f>'Historical Financials'!X79</f>
        <v>2866</v>
      </c>
      <c r="Y28" s="131">
        <f>'Historical Financials'!Y79</f>
        <v>2858</v>
      </c>
      <c r="Z28" s="131">
        <f>'Historical Financials'!Z79</f>
        <v>3286</v>
      </c>
      <c r="AA28" s="131">
        <f>'Historical Financials'!AA79</f>
        <v>3226</v>
      </c>
      <c r="AB28" s="131">
        <f>'Historical Financials'!AB79</f>
        <v>3168</v>
      </c>
      <c r="AC28" s="131">
        <f>'Historical Financials'!AC79</f>
        <v>3183</v>
      </c>
      <c r="AE28" s="34">
        <f t="shared" ref="AE28" si="99">SUM(N28:Q28)</f>
        <v>9038</v>
      </c>
      <c r="AF28" s="34">
        <f t="shared" ref="AF28:AQ28" si="100">SUM(O28:R28)</f>
        <v>9678</v>
      </c>
      <c r="AG28" s="34">
        <f t="shared" si="100"/>
        <v>10112</v>
      </c>
      <c r="AH28" s="34">
        <f t="shared" si="100"/>
        <v>10486</v>
      </c>
      <c r="AI28" s="34">
        <f t="shared" si="100"/>
        <v>10833</v>
      </c>
      <c r="AJ28" s="34">
        <f t="shared" si="100"/>
        <v>10925</v>
      </c>
      <c r="AK28" s="34">
        <f t="shared" si="100"/>
        <v>11206</v>
      </c>
      <c r="AL28" s="34">
        <f t="shared" si="100"/>
        <v>11455</v>
      </c>
      <c r="AM28" s="34">
        <f t="shared" si="100"/>
        <v>11688</v>
      </c>
      <c r="AN28" s="34">
        <f t="shared" si="100"/>
        <v>11977</v>
      </c>
      <c r="AO28" s="34">
        <f t="shared" si="100"/>
        <v>12236</v>
      </c>
      <c r="AP28" s="34">
        <f t="shared" si="100"/>
        <v>12538</v>
      </c>
      <c r="AQ28" s="34">
        <f t="shared" si="100"/>
        <v>12863</v>
      </c>
      <c r="AS28" s="13">
        <f t="shared" ref="AS28:AS29" si="101">SUM(AQ28/AM28)-1</f>
        <v>0.10053045859000687</v>
      </c>
    </row>
    <row r="29" spans="2:45" ht="12.75" customHeight="1">
      <c r="B29" s="14" t="s">
        <v>55</v>
      </c>
      <c r="C29" s="15">
        <f t="shared" ref="C29:F29" si="102">+SUM(C25+SUM(C28:C28))</f>
        <v>74739</v>
      </c>
      <c r="D29" s="15">
        <f t="shared" si="102"/>
        <v>76341</v>
      </c>
      <c r="E29" s="15">
        <f t="shared" si="102"/>
        <v>87141</v>
      </c>
      <c r="F29" s="15">
        <f t="shared" si="102"/>
        <v>82545</v>
      </c>
      <c r="G29" s="15">
        <f t="shared" ref="G29:L29" si="103">+SUM(G25+SUM(G28:G28))</f>
        <v>84173</v>
      </c>
      <c r="H29" s="15">
        <f t="shared" si="103"/>
        <v>128139</v>
      </c>
      <c r="I29" s="15">
        <f t="shared" si="103"/>
        <v>139579</v>
      </c>
      <c r="J29" s="15">
        <f t="shared" si="103"/>
        <v>136653</v>
      </c>
      <c r="K29" s="15">
        <f t="shared" si="103"/>
        <v>146349</v>
      </c>
      <c r="L29" s="15">
        <f t="shared" si="103"/>
        <v>157611</v>
      </c>
      <c r="M29" s="12"/>
      <c r="N29" s="15">
        <f t="shared" ref="N29:AB29" si="104">+SUM(N25+SUM(N28:N28))</f>
        <v>46450</v>
      </c>
      <c r="O29" s="15">
        <f t="shared" si="104"/>
        <v>34968</v>
      </c>
      <c r="P29" s="15">
        <f t="shared" si="104"/>
        <v>28124</v>
      </c>
      <c r="Q29" s="15">
        <f t="shared" si="104"/>
        <v>30037</v>
      </c>
      <c r="R29" s="15">
        <f t="shared" si="104"/>
        <v>41837</v>
      </c>
      <c r="S29" s="15">
        <f t="shared" si="104"/>
        <v>33902</v>
      </c>
      <c r="T29" s="15">
        <f t="shared" si="104"/>
        <v>28667</v>
      </c>
      <c r="U29" s="15">
        <f t="shared" si="104"/>
        <v>32247</v>
      </c>
      <c r="V29" s="15">
        <f t="shared" si="104"/>
        <v>46218</v>
      </c>
      <c r="W29" s="15">
        <f t="shared" si="104"/>
        <v>33703</v>
      </c>
      <c r="X29" s="15">
        <f t="shared" si="104"/>
        <v>31068</v>
      </c>
      <c r="Y29" s="15">
        <f t="shared" si="104"/>
        <v>35360</v>
      </c>
      <c r="Z29" s="15">
        <f t="shared" si="104"/>
        <v>49198</v>
      </c>
      <c r="AA29" s="15">
        <f t="shared" si="104"/>
        <v>35476</v>
      </c>
      <c r="AB29" s="15">
        <f t="shared" si="104"/>
        <v>34200</v>
      </c>
      <c r="AC29" s="15">
        <f t="shared" ref="AC29" si="105">+SUM(AC25+SUM(AC28:AC28))</f>
        <v>38737</v>
      </c>
      <c r="AD29" s="5"/>
      <c r="AE29" s="15">
        <f t="shared" ref="AE29:AP29" si="106">+SUM(AE25+SUM(AE28:AE28))</f>
        <v>139579</v>
      </c>
      <c r="AF29" s="15">
        <f t="shared" si="106"/>
        <v>134966</v>
      </c>
      <c r="AG29" s="15">
        <f t="shared" si="106"/>
        <v>133900</v>
      </c>
      <c r="AH29" s="15">
        <f t="shared" si="106"/>
        <v>134443</v>
      </c>
      <c r="AI29" s="15">
        <f t="shared" si="106"/>
        <v>136653</v>
      </c>
      <c r="AJ29" s="15">
        <f t="shared" si="106"/>
        <v>141034</v>
      </c>
      <c r="AK29" s="15">
        <f t="shared" si="106"/>
        <v>140835</v>
      </c>
      <c r="AL29" s="15">
        <f t="shared" si="106"/>
        <v>143236</v>
      </c>
      <c r="AM29" s="15">
        <f t="shared" si="106"/>
        <v>146349</v>
      </c>
      <c r="AN29" s="15">
        <f t="shared" si="106"/>
        <v>149329</v>
      </c>
      <c r="AO29" s="15">
        <f t="shared" si="106"/>
        <v>151102</v>
      </c>
      <c r="AP29" s="15">
        <f t="shared" si="106"/>
        <v>154234</v>
      </c>
      <c r="AQ29" s="15">
        <f t="shared" ref="AQ29" si="107">+SUM(AQ25+SUM(AQ28:AQ28))</f>
        <v>157611</v>
      </c>
      <c r="AS29" s="16">
        <f t="shared" si="101"/>
        <v>7.6953036918598672E-2</v>
      </c>
    </row>
    <row r="30" spans="2:45" ht="12.75" customHeight="1">
      <c r="B30" s="17" t="s">
        <v>56</v>
      </c>
      <c r="C30" s="18">
        <f t="shared" ref="C30:F30" si="108">C29/C11</f>
        <v>0.34659314873469083</v>
      </c>
      <c r="D30" s="18">
        <f t="shared" si="108"/>
        <v>0.3330265143914079</v>
      </c>
      <c r="E30" s="18">
        <f t="shared" si="108"/>
        <v>0.32809729098815865</v>
      </c>
      <c r="F30" s="18">
        <f t="shared" si="108"/>
        <v>0.31726844342632238</v>
      </c>
      <c r="G30" s="18">
        <f t="shared" ref="G30:L30" si="109">G29/G11</f>
        <v>0.30662441032366172</v>
      </c>
      <c r="H30" s="18">
        <f t="shared" si="109"/>
        <v>0.35028169822616229</v>
      </c>
      <c r="I30" s="18">
        <f t="shared" si="109"/>
        <v>0.35396674849363979</v>
      </c>
      <c r="J30" s="18">
        <f t="shared" si="109"/>
        <v>0.35653104087037063</v>
      </c>
      <c r="K30" s="18">
        <f t="shared" si="109"/>
        <v>0.37426061605738614</v>
      </c>
      <c r="L30" s="18">
        <f t="shared" si="109"/>
        <v>0.37872602190017807</v>
      </c>
      <c r="N30" s="18">
        <f t="shared" ref="N30:AB30" si="110">N29/N11</f>
        <v>0.37476299971761667</v>
      </c>
      <c r="O30" s="18">
        <f t="shared" si="110"/>
        <v>0.35946462715105165</v>
      </c>
      <c r="P30" s="18">
        <f t="shared" si="110"/>
        <v>0.33901083667835918</v>
      </c>
      <c r="Q30" s="18">
        <f t="shared" si="110"/>
        <v>0.33320391365118807</v>
      </c>
      <c r="R30" s="18">
        <f t="shared" si="110"/>
        <v>0.35711115284155898</v>
      </c>
      <c r="S30" s="18">
        <f t="shared" si="110"/>
        <v>0.3574802817495466</v>
      </c>
      <c r="T30" s="18">
        <f t="shared" si="110"/>
        <v>0.35046517598444932</v>
      </c>
      <c r="U30" s="18">
        <f t="shared" si="110"/>
        <v>0.36030972759167801</v>
      </c>
      <c r="V30" s="18">
        <f t="shared" si="110"/>
        <v>0.38651892117917624</v>
      </c>
      <c r="W30" s="18">
        <f t="shared" si="110"/>
        <v>0.37137064339470871</v>
      </c>
      <c r="X30" s="18">
        <f t="shared" si="110"/>
        <v>0.36219499399605953</v>
      </c>
      <c r="Y30" s="18">
        <f t="shared" si="110"/>
        <v>0.37248498893921839</v>
      </c>
      <c r="Z30" s="18">
        <f t="shared" si="110"/>
        <v>0.39580048270313756</v>
      </c>
      <c r="AA30" s="18">
        <f t="shared" si="110"/>
        <v>0.37202571335689344</v>
      </c>
      <c r="AB30" s="18">
        <f t="shared" si="110"/>
        <v>0.36369050151005999</v>
      </c>
      <c r="AC30" s="18">
        <f t="shared" ref="AC30" si="111">AC29/AC11</f>
        <v>0.37804735229246772</v>
      </c>
      <c r="AE30" s="18">
        <f t="shared" ref="AE30:AP30" si="112">AE29/AE11</f>
        <v>0.35396674849363979</v>
      </c>
      <c r="AF30" s="18">
        <f t="shared" si="112"/>
        <v>0.34826610104325523</v>
      </c>
      <c r="AG30" s="18">
        <f t="shared" si="112"/>
        <v>0.34770641010659709</v>
      </c>
      <c r="AH30" s="18">
        <f t="shared" si="112"/>
        <v>0.35017307707334355</v>
      </c>
      <c r="AI30" s="18">
        <f t="shared" si="112"/>
        <v>0.35653104087037063</v>
      </c>
      <c r="AJ30" s="18">
        <f t="shared" si="112"/>
        <v>0.36565155844088504</v>
      </c>
      <c r="AK30" s="18">
        <f t="shared" si="112"/>
        <v>0.36904222229792227</v>
      </c>
      <c r="AL30" s="18">
        <f t="shared" si="112"/>
        <v>0.37145976561385674</v>
      </c>
      <c r="AM30" s="18">
        <f t="shared" si="112"/>
        <v>0.37426061605738614</v>
      </c>
      <c r="AN30" s="18">
        <f t="shared" si="112"/>
        <v>0.37732211441277541</v>
      </c>
      <c r="AO30" s="18">
        <f t="shared" si="112"/>
        <v>0.37740967015181109</v>
      </c>
      <c r="AP30" s="18">
        <f t="shared" si="112"/>
        <v>0.37744631385744876</v>
      </c>
      <c r="AQ30" s="18">
        <f t="shared" ref="AQ30" si="113">AQ29/AQ11</f>
        <v>0.37872602190017807</v>
      </c>
      <c r="AS30" s="19">
        <f>SUM(AQ30-AM30)*10000</f>
        <v>44.654058427919253</v>
      </c>
    </row>
    <row r="31" spans="2:45" ht="5.0999999999999996" customHeight="1">
      <c r="AS31" s="9"/>
    </row>
    <row r="32" spans="2:45" ht="12.75" customHeight="1">
      <c r="B32" s="25" t="s">
        <v>57</v>
      </c>
      <c r="C32" s="131">
        <f>'Historical Financials'!C93</f>
        <v>-12734</v>
      </c>
      <c r="D32" s="131">
        <f>'Historical Financials'!D93</f>
        <v>-12451</v>
      </c>
      <c r="E32" s="131">
        <f>'Historical Financials'!E93</f>
        <v>-13313</v>
      </c>
      <c r="F32" s="131">
        <f>'Historical Financials'!F93</f>
        <v>-10495</v>
      </c>
      <c r="G32" s="131">
        <f>'Historical Financials'!G93</f>
        <v>-7309</v>
      </c>
      <c r="H32" s="131">
        <f>'Historical Financials'!H93</f>
        <v>-11085</v>
      </c>
      <c r="I32" s="131">
        <f>'Historical Financials'!I93</f>
        <v>-10708</v>
      </c>
      <c r="J32" s="131">
        <f>'Historical Financials'!J93</f>
        <v>-10959</v>
      </c>
      <c r="K32" s="131">
        <f>'Historical Financials'!K93</f>
        <v>-9447</v>
      </c>
      <c r="L32" s="131">
        <f>'Historical Financials'!L93</f>
        <v>-12715</v>
      </c>
      <c r="N32" s="131">
        <f>'Historical Financials'!N93</f>
        <v>-2803</v>
      </c>
      <c r="O32" s="131">
        <f>'Historical Financials'!O93</f>
        <v>-2514</v>
      </c>
      <c r="P32" s="131">
        <f>'Historical Financials'!P93</f>
        <v>-2102</v>
      </c>
      <c r="Q32" s="131">
        <f>'Historical Financials'!Q93</f>
        <v>-3289</v>
      </c>
      <c r="R32" s="131">
        <f>'Historical Financials'!R93</f>
        <v>-3787</v>
      </c>
      <c r="S32" s="131">
        <f>'Historical Financials'!S93</f>
        <v>-2916</v>
      </c>
      <c r="T32" s="131">
        <f>'Historical Financials'!T93</f>
        <v>-2093</v>
      </c>
      <c r="U32" s="131">
        <f>'Historical Financials'!U93</f>
        <v>-2163</v>
      </c>
      <c r="V32" s="131">
        <f>'Historical Financials'!V93</f>
        <v>-2392</v>
      </c>
      <c r="W32" s="131">
        <f>'Historical Financials'!W93</f>
        <v>-1996</v>
      </c>
      <c r="X32" s="131">
        <f>'Historical Financials'!X93</f>
        <v>-2151</v>
      </c>
      <c r="Y32" s="131">
        <f>'Historical Financials'!Y93</f>
        <v>-2908</v>
      </c>
      <c r="Z32" s="131">
        <f>'Historical Financials'!Z93</f>
        <v>-2940</v>
      </c>
      <c r="AA32" s="131">
        <f>'Historical Financials'!AA93</f>
        <v>-3071</v>
      </c>
      <c r="AB32" s="131">
        <f>'Historical Financials'!AB93</f>
        <v>-3462</v>
      </c>
      <c r="AC32" s="131">
        <f>'Historical Financials'!AC93</f>
        <v>-3242</v>
      </c>
      <c r="AE32" s="34">
        <f t="shared" ref="AE32:AE35" si="114">SUM(N32:Q32)</f>
        <v>-10708</v>
      </c>
      <c r="AF32" s="34">
        <f t="shared" ref="AF32:AQ35" si="115">SUM(O32:R32)</f>
        <v>-11692</v>
      </c>
      <c r="AG32" s="34">
        <f t="shared" si="115"/>
        <v>-12094</v>
      </c>
      <c r="AH32" s="34">
        <f t="shared" si="115"/>
        <v>-12085</v>
      </c>
      <c r="AI32" s="34">
        <f t="shared" si="115"/>
        <v>-10959</v>
      </c>
      <c r="AJ32" s="34">
        <f t="shared" si="115"/>
        <v>-9564</v>
      </c>
      <c r="AK32" s="34">
        <f t="shared" si="115"/>
        <v>-8644</v>
      </c>
      <c r="AL32" s="34">
        <f t="shared" si="115"/>
        <v>-8702</v>
      </c>
      <c r="AM32" s="34">
        <f t="shared" si="115"/>
        <v>-9447</v>
      </c>
      <c r="AN32" s="34">
        <f t="shared" si="115"/>
        <v>-9995</v>
      </c>
      <c r="AO32" s="34">
        <f t="shared" si="115"/>
        <v>-11070</v>
      </c>
      <c r="AP32" s="34">
        <f t="shared" si="115"/>
        <v>-12381</v>
      </c>
      <c r="AQ32" s="34">
        <f t="shared" si="115"/>
        <v>-12715</v>
      </c>
      <c r="AS32" s="13">
        <f t="shared" ref="AS32:AS36" si="116">SUM(AQ32/AM32)-1</f>
        <v>0.34592992484386587</v>
      </c>
    </row>
    <row r="33" spans="1:45" ht="12.75" customHeight="1">
      <c r="B33" s="25" t="s">
        <v>58</v>
      </c>
      <c r="C33" s="131">
        <f>-'Historical Financials'!C124</f>
        <v>-10444</v>
      </c>
      <c r="D33" s="131">
        <f>-'Historical Financials'!D124</f>
        <v>-11591</v>
      </c>
      <c r="E33" s="131">
        <f>-'Historical Financials'!E124</f>
        <v>-10417</v>
      </c>
      <c r="F33" s="131">
        <f>-'Historical Financials'!F124</f>
        <v>-15263</v>
      </c>
      <c r="G33" s="131">
        <f>-'Historical Financials'!G124</f>
        <v>-9501</v>
      </c>
      <c r="H33" s="131">
        <f>-'Historical Financials'!H124</f>
        <v>-25385</v>
      </c>
      <c r="I33" s="131">
        <f>-'Historical Financials'!I124</f>
        <v>-19573</v>
      </c>
      <c r="J33" s="131">
        <f>-'Historical Financials'!J124</f>
        <v>-18679</v>
      </c>
      <c r="K33" s="131">
        <f>-'Historical Financials'!K124</f>
        <v>-26102</v>
      </c>
      <c r="L33" s="131">
        <f>-'Historical Financials'!L124</f>
        <v>-43369</v>
      </c>
      <c r="N33" s="131">
        <f>-'Historical Financials'!N124</f>
        <v>-5235</v>
      </c>
      <c r="O33" s="131">
        <f>-'Historical Financials'!O124</f>
        <v>-4066</v>
      </c>
      <c r="P33" s="131">
        <f>-'Historical Financials'!P124</f>
        <v>-2950</v>
      </c>
      <c r="Q33" s="131">
        <f>-'Historical Financials'!Q124</f>
        <v>-7322</v>
      </c>
      <c r="R33" s="131">
        <f>-'Historical Financials'!R124</f>
        <v>-828</v>
      </c>
      <c r="S33" s="131">
        <f>-'Historical Financials'!S124</f>
        <v>-4066</v>
      </c>
      <c r="T33" s="131">
        <f>-'Historical Financials'!T124</f>
        <v>-2126</v>
      </c>
      <c r="U33" s="131">
        <f>-'Historical Financials'!U124</f>
        <v>-11659</v>
      </c>
      <c r="V33" s="131">
        <f>-'Historical Financials'!V124</f>
        <v>-7255</v>
      </c>
      <c r="W33" s="131">
        <f>-'Historical Financials'!W124</f>
        <v>-7276</v>
      </c>
      <c r="X33" s="131">
        <f>-'Historical Financials'!X124</f>
        <v>-4699</v>
      </c>
      <c r="Y33" s="131">
        <f>-'Historical Financials'!Y124</f>
        <v>-6872</v>
      </c>
      <c r="Z33" s="131">
        <f>-'Historical Financials'!Z124</f>
        <v>-18651</v>
      </c>
      <c r="AA33" s="131">
        <f>-'Historical Financials'!AA124</f>
        <v>-13032</v>
      </c>
      <c r="AB33" s="131">
        <f>-'Historical Financials'!AB124</f>
        <v>-5649</v>
      </c>
      <c r="AC33" s="131">
        <f>-'Historical Financials'!AC124</f>
        <v>-6037</v>
      </c>
      <c r="AE33" s="34">
        <f t="shared" si="114"/>
        <v>-19573</v>
      </c>
      <c r="AF33" s="34">
        <f t="shared" si="115"/>
        <v>-15166</v>
      </c>
      <c r="AG33" s="34">
        <f t="shared" si="115"/>
        <v>-15166</v>
      </c>
      <c r="AH33" s="34">
        <f t="shared" si="115"/>
        <v>-14342</v>
      </c>
      <c r="AI33" s="34">
        <f t="shared" si="115"/>
        <v>-18679</v>
      </c>
      <c r="AJ33" s="34">
        <f t="shared" si="115"/>
        <v>-25106</v>
      </c>
      <c r="AK33" s="34">
        <f t="shared" si="115"/>
        <v>-28316</v>
      </c>
      <c r="AL33" s="34">
        <f t="shared" si="115"/>
        <v>-30889</v>
      </c>
      <c r="AM33" s="34">
        <f t="shared" si="115"/>
        <v>-26102</v>
      </c>
      <c r="AN33" s="34">
        <f t="shared" si="115"/>
        <v>-37498</v>
      </c>
      <c r="AO33" s="34">
        <f t="shared" si="115"/>
        <v>-43254</v>
      </c>
      <c r="AP33" s="34">
        <f t="shared" si="115"/>
        <v>-44204</v>
      </c>
      <c r="AQ33" s="34">
        <f t="shared" si="115"/>
        <v>-43369</v>
      </c>
      <c r="AS33" s="13">
        <f t="shared" si="116"/>
        <v>0.66152019002375306</v>
      </c>
    </row>
    <row r="34" spans="1:45" ht="12.75" customHeight="1">
      <c r="B34" s="25" t="s">
        <v>230</v>
      </c>
      <c r="C34" s="131">
        <f>-'Historical Financials'!C125</f>
        <v>-1316</v>
      </c>
      <c r="D34" s="131">
        <f>-'Historical Financials'!D125</f>
        <v>-2092</v>
      </c>
      <c r="E34" s="131">
        <f>-'Historical Financials'!E125</f>
        <v>-3022</v>
      </c>
      <c r="F34" s="131">
        <f>-'Historical Financials'!F125</f>
        <v>-3423</v>
      </c>
      <c r="G34" s="131">
        <f>-'Historical Financials'!G125</f>
        <v>-3002</v>
      </c>
      <c r="H34" s="131">
        <f>-'Historical Financials'!H125</f>
        <v>-2687</v>
      </c>
      <c r="I34" s="131">
        <f>-'Historical Financials'!I125</f>
        <v>-2865</v>
      </c>
      <c r="J34" s="131">
        <f>-'Historical Financials'!J125</f>
        <v>-3803</v>
      </c>
      <c r="K34" s="131">
        <f>-'Historical Financials'!K125</f>
        <v>0</v>
      </c>
      <c r="L34" s="131">
        <f>-'Historical Financials'!L125</f>
        <v>0</v>
      </c>
      <c r="N34" s="131">
        <f>-'Historical Financials'!N125</f>
        <v>-531</v>
      </c>
      <c r="O34" s="131">
        <f>-'Historical Financials'!O125</f>
        <v>-875</v>
      </c>
      <c r="P34" s="131">
        <f>-'Historical Financials'!P125</f>
        <v>-504</v>
      </c>
      <c r="Q34" s="131">
        <f>-'Historical Financials'!Q125</f>
        <v>-955</v>
      </c>
      <c r="R34" s="131">
        <f>-'Historical Financials'!R125</f>
        <v>-703</v>
      </c>
      <c r="S34" s="131">
        <f>-'Historical Financials'!S125</f>
        <v>-1170</v>
      </c>
      <c r="T34" s="131">
        <f>-'Historical Financials'!T125</f>
        <v>-717</v>
      </c>
      <c r="U34" s="131">
        <f>-'Historical Financials'!U125</f>
        <v>-1213</v>
      </c>
      <c r="V34" s="131">
        <f>-'Historical Financials'!V125</f>
        <v>0</v>
      </c>
      <c r="W34" s="131">
        <f>-'Historical Financials'!W125</f>
        <v>0</v>
      </c>
      <c r="X34" s="131">
        <f>-'Historical Financials'!X125</f>
        <v>0</v>
      </c>
      <c r="Y34" s="131">
        <f>-'Historical Financials'!Y125</f>
        <v>0</v>
      </c>
      <c r="Z34" s="131">
        <f>-'Historical Financials'!Z125</f>
        <v>0</v>
      </c>
      <c r="AA34" s="131">
        <f>-'Historical Financials'!AA125</f>
        <v>0</v>
      </c>
      <c r="AB34" s="131">
        <f>-'Historical Financials'!AB125</f>
        <v>0</v>
      </c>
      <c r="AC34" s="131">
        <f>-'Historical Financials'!AC125</f>
        <v>0</v>
      </c>
      <c r="AE34" s="34">
        <f t="shared" si="114"/>
        <v>-2865</v>
      </c>
      <c r="AF34" s="34">
        <f t="shared" si="115"/>
        <v>-3037</v>
      </c>
      <c r="AG34" s="34">
        <f t="shared" si="115"/>
        <v>-3332</v>
      </c>
      <c r="AH34" s="34">
        <f t="shared" si="115"/>
        <v>-3545</v>
      </c>
      <c r="AI34" s="34">
        <f t="shared" si="115"/>
        <v>-3803</v>
      </c>
      <c r="AJ34" s="34">
        <f t="shared" si="115"/>
        <v>-3100</v>
      </c>
      <c r="AK34" s="34">
        <f t="shared" si="115"/>
        <v>-1930</v>
      </c>
      <c r="AL34" s="34">
        <f t="shared" si="115"/>
        <v>-1213</v>
      </c>
      <c r="AM34" s="34">
        <f t="shared" si="115"/>
        <v>0</v>
      </c>
      <c r="AN34" s="34">
        <f t="shared" si="115"/>
        <v>0</v>
      </c>
      <c r="AO34" s="34">
        <f t="shared" si="115"/>
        <v>0</v>
      </c>
      <c r="AP34" s="34">
        <f t="shared" si="115"/>
        <v>0</v>
      </c>
      <c r="AQ34" s="34">
        <f t="shared" si="115"/>
        <v>0</v>
      </c>
      <c r="AS34" s="13" t="e">
        <f t="shared" si="116"/>
        <v>#DIV/0!</v>
      </c>
    </row>
    <row r="35" spans="1:45" ht="12.75" customHeight="1">
      <c r="B35" s="25" t="s">
        <v>59</v>
      </c>
      <c r="C35" s="131">
        <f>SUM('Historical Financials'!C84:C89)</f>
        <v>484</v>
      </c>
      <c r="D35" s="131">
        <f>SUM('Historical Financials'!D84:D89)</f>
        <v>-5550</v>
      </c>
      <c r="E35" s="131">
        <f>SUM('Historical Financials'!E84:E89)</f>
        <v>34694</v>
      </c>
      <c r="F35" s="131">
        <f>SUM('Historical Financials'!F84:F89)</f>
        <v>-3488</v>
      </c>
      <c r="G35" s="131">
        <f>SUM('Historical Financials'!G84:G89)</f>
        <v>5690</v>
      </c>
      <c r="H35" s="131">
        <f>SUM('Historical Financials'!H84:H89)</f>
        <v>-4911</v>
      </c>
      <c r="I35" s="131">
        <f>SUM('Historical Financials'!I84:I89)</f>
        <v>1200</v>
      </c>
      <c r="J35" s="131">
        <f>SUM('Historical Financials'!J84:J89)</f>
        <v>-6577</v>
      </c>
      <c r="K35" s="131">
        <f>SUM('Historical Financials'!K84:K89)</f>
        <v>3651</v>
      </c>
      <c r="L35" s="131">
        <f>SUM('Historical Financials'!L84:L89)</f>
        <v>-25000</v>
      </c>
      <c r="N35" s="131">
        <f>SUM('Historical Financials'!N84:N89)</f>
        <v>6525</v>
      </c>
      <c r="O35" s="131">
        <f>SUM('Historical Financials'!O84:O89)</f>
        <v>-2052</v>
      </c>
      <c r="P35" s="131">
        <f>SUM('Historical Financials'!P84:P89)</f>
        <v>-3225</v>
      </c>
      <c r="Q35" s="131">
        <f>SUM('Historical Financials'!Q84:Q89)</f>
        <v>-48</v>
      </c>
      <c r="R35" s="131">
        <f>SUM('Historical Financials'!R84:R89)</f>
        <v>-1497</v>
      </c>
      <c r="S35" s="131">
        <f>SUM('Historical Financials'!S84:S89)</f>
        <v>231</v>
      </c>
      <c r="T35" s="131">
        <f>SUM('Historical Financials'!T84:T89)</f>
        <v>749</v>
      </c>
      <c r="U35" s="131">
        <f>SUM('Historical Financials'!U84:U89)</f>
        <v>-6060</v>
      </c>
      <c r="V35" s="131">
        <f>SUM('Historical Financials'!V84:V89)</f>
        <v>1123</v>
      </c>
      <c r="W35" s="131">
        <f>SUM('Historical Financials'!W84:W89)</f>
        <v>-5767</v>
      </c>
      <c r="X35" s="131">
        <f>SUM('Historical Financials'!X84:X89)</f>
        <v>1687</v>
      </c>
      <c r="Y35" s="131">
        <f>SUM('Historical Financials'!Y84:Y89)</f>
        <v>6608</v>
      </c>
      <c r="Z35" s="131">
        <f>SUM('Historical Financials'!Z84:Z89)</f>
        <v>-10752</v>
      </c>
      <c r="AA35" s="131">
        <f>SUM('Historical Financials'!AA84:AA89)</f>
        <v>-6507</v>
      </c>
      <c r="AB35" s="131">
        <f>SUM('Historical Financials'!AB84:AB89)</f>
        <v>-2034</v>
      </c>
      <c r="AC35" s="131">
        <f>SUM('Historical Financials'!AC84:AC89)</f>
        <v>-5707</v>
      </c>
      <c r="AE35" s="34">
        <f t="shared" si="114"/>
        <v>1200</v>
      </c>
      <c r="AF35" s="34">
        <f t="shared" si="115"/>
        <v>-6822</v>
      </c>
      <c r="AG35" s="34">
        <f t="shared" si="115"/>
        <v>-4539</v>
      </c>
      <c r="AH35" s="34">
        <f t="shared" si="115"/>
        <v>-565</v>
      </c>
      <c r="AI35" s="34">
        <f t="shared" si="115"/>
        <v>-6577</v>
      </c>
      <c r="AJ35" s="34">
        <f t="shared" si="115"/>
        <v>-3957</v>
      </c>
      <c r="AK35" s="34">
        <f t="shared" si="115"/>
        <v>-9955</v>
      </c>
      <c r="AL35" s="34">
        <f t="shared" si="115"/>
        <v>-9017</v>
      </c>
      <c r="AM35" s="34">
        <f t="shared" si="115"/>
        <v>3651</v>
      </c>
      <c r="AN35" s="34">
        <f t="shared" si="115"/>
        <v>-8224</v>
      </c>
      <c r="AO35" s="34">
        <f t="shared" si="115"/>
        <v>-8964</v>
      </c>
      <c r="AP35" s="34">
        <f t="shared" si="115"/>
        <v>-12685</v>
      </c>
      <c r="AQ35" s="34">
        <f t="shared" si="115"/>
        <v>-25000</v>
      </c>
      <c r="AS35" s="13">
        <f t="shared" si="116"/>
        <v>-7.8474390577923856</v>
      </c>
    </row>
    <row r="36" spans="1:45" ht="12.75" customHeight="1">
      <c r="B36" s="14" t="s">
        <v>60</v>
      </c>
      <c r="C36" s="15">
        <f t="shared" ref="C36:F36" si="117">SUM(C29+SUM(C32:C35))</f>
        <v>50729</v>
      </c>
      <c r="D36" s="15">
        <f t="shared" si="117"/>
        <v>44657</v>
      </c>
      <c r="E36" s="15">
        <f t="shared" si="117"/>
        <v>95083</v>
      </c>
      <c r="F36" s="15">
        <f t="shared" si="117"/>
        <v>49876</v>
      </c>
      <c r="G36" s="15">
        <f t="shared" ref="G36:L36" si="118">SUM(G29+SUM(G32:G35))</f>
        <v>70051</v>
      </c>
      <c r="H36" s="15">
        <f t="shared" si="118"/>
        <v>84071</v>
      </c>
      <c r="I36" s="15">
        <f t="shared" si="118"/>
        <v>107633</v>
      </c>
      <c r="J36" s="15">
        <f t="shared" si="118"/>
        <v>96635</v>
      </c>
      <c r="K36" s="15">
        <f t="shared" si="118"/>
        <v>114451</v>
      </c>
      <c r="L36" s="15">
        <f t="shared" si="118"/>
        <v>76527</v>
      </c>
      <c r="N36" s="15">
        <f t="shared" ref="N36:AB36" si="119">SUM(N29+SUM(N32:N35))</f>
        <v>44406</v>
      </c>
      <c r="O36" s="15">
        <f t="shared" si="119"/>
        <v>25461</v>
      </c>
      <c r="P36" s="15">
        <f t="shared" si="119"/>
        <v>19343</v>
      </c>
      <c r="Q36" s="15">
        <f t="shared" si="119"/>
        <v>18423</v>
      </c>
      <c r="R36" s="15">
        <f t="shared" si="119"/>
        <v>35022</v>
      </c>
      <c r="S36" s="15">
        <f t="shared" si="119"/>
        <v>25981</v>
      </c>
      <c r="T36" s="15">
        <f t="shared" si="119"/>
        <v>24480</v>
      </c>
      <c r="U36" s="15">
        <f t="shared" si="119"/>
        <v>11152</v>
      </c>
      <c r="V36" s="15">
        <f t="shared" si="119"/>
        <v>37694</v>
      </c>
      <c r="W36" s="15">
        <f t="shared" si="119"/>
        <v>18664</v>
      </c>
      <c r="X36" s="15">
        <f t="shared" si="119"/>
        <v>25905</v>
      </c>
      <c r="Y36" s="15">
        <f t="shared" si="119"/>
        <v>32188</v>
      </c>
      <c r="Z36" s="15">
        <f t="shared" si="119"/>
        <v>16855</v>
      </c>
      <c r="AA36" s="15">
        <f t="shared" si="119"/>
        <v>12866</v>
      </c>
      <c r="AB36" s="15">
        <f t="shared" si="119"/>
        <v>23055</v>
      </c>
      <c r="AC36" s="15">
        <f t="shared" ref="AC36" si="120">SUM(AC29+SUM(AC32:AC35))</f>
        <v>23751</v>
      </c>
      <c r="AE36" s="15">
        <f t="shared" ref="AE36:AP36" si="121">SUM(AE29+SUM(AE32:AE35))</f>
        <v>107633</v>
      </c>
      <c r="AF36" s="15">
        <f t="shared" si="121"/>
        <v>98249</v>
      </c>
      <c r="AG36" s="15">
        <f t="shared" si="121"/>
        <v>98769</v>
      </c>
      <c r="AH36" s="15">
        <f t="shared" si="121"/>
        <v>103906</v>
      </c>
      <c r="AI36" s="15">
        <f t="shared" si="121"/>
        <v>96635</v>
      </c>
      <c r="AJ36" s="15">
        <f t="shared" si="121"/>
        <v>99307</v>
      </c>
      <c r="AK36" s="15">
        <f t="shared" si="121"/>
        <v>91990</v>
      </c>
      <c r="AL36" s="15">
        <f t="shared" si="121"/>
        <v>93415</v>
      </c>
      <c r="AM36" s="15">
        <f t="shared" si="121"/>
        <v>114451</v>
      </c>
      <c r="AN36" s="15">
        <f t="shared" si="121"/>
        <v>93612</v>
      </c>
      <c r="AO36" s="15">
        <f t="shared" si="121"/>
        <v>87814</v>
      </c>
      <c r="AP36" s="15">
        <f t="shared" si="121"/>
        <v>84964</v>
      </c>
      <c r="AQ36" s="15">
        <f t="shared" ref="AQ36" si="122">SUM(AQ29+SUM(AQ32:AQ35))</f>
        <v>76527</v>
      </c>
      <c r="AS36" s="16">
        <f t="shared" si="116"/>
        <v>-0.33135577670793614</v>
      </c>
    </row>
    <row r="37" spans="1:45" ht="5.0999999999999996" customHeight="1"/>
    <row r="38" spans="1:45" ht="12.75" customHeight="1">
      <c r="B38" s="33" t="s">
        <v>231</v>
      </c>
      <c r="C38" s="131">
        <f>SUM('Historical Financials'!C94:C95)</f>
        <v>-30634</v>
      </c>
      <c r="D38" s="131">
        <f>SUM('Historical Financials'!D94:D95)</f>
        <v>-33147</v>
      </c>
      <c r="E38" s="131">
        <f>SUM('Historical Financials'!E94:E95)</f>
        <v>32363</v>
      </c>
      <c r="F38" s="131">
        <f>SUM('Historical Financials'!F94:F95)</f>
        <v>57460</v>
      </c>
      <c r="G38" s="131">
        <f>SUM('Historical Financials'!G94:G95)</f>
        <v>5453</v>
      </c>
      <c r="H38" s="131">
        <f>SUM('Historical Financials'!H94:H95)</f>
        <v>-3075</v>
      </c>
      <c r="I38" s="131">
        <f>SUM('Historical Financials'!I94:I95)</f>
        <v>-9560</v>
      </c>
      <c r="J38" s="131">
        <f>SUM('Historical Financials'!J94:J95)</f>
        <v>16001</v>
      </c>
      <c r="K38" s="131">
        <f>SUM('Historical Financials'!K94:K95)</f>
        <v>13690</v>
      </c>
      <c r="L38" s="131">
        <f>SUM('Historical Financials'!L94:L95)</f>
        <v>29390</v>
      </c>
      <c r="M38" s="34"/>
      <c r="N38" s="131">
        <f>SUM('Historical Financials'!N94:N95)</f>
        <v>-12929</v>
      </c>
      <c r="O38" s="131">
        <f>SUM('Historical Financials'!O94:O95)</f>
        <v>-6390</v>
      </c>
      <c r="P38" s="131">
        <f>SUM('Historical Financials'!P94:P95)</f>
        <v>6953</v>
      </c>
      <c r="Q38" s="131">
        <f>SUM('Historical Financials'!Q94:Q95)</f>
        <v>2806</v>
      </c>
      <c r="R38" s="131">
        <f>SUM('Historical Financials'!R94:R95)</f>
        <v>2483</v>
      </c>
      <c r="S38" s="131">
        <f>SUM('Historical Financials'!S94:S95)</f>
        <v>5341</v>
      </c>
      <c r="T38" s="131">
        <f>SUM('Historical Financials'!T94:T95)</f>
        <v>3036</v>
      </c>
      <c r="U38" s="131">
        <f>SUM('Historical Financials'!U94:U95)</f>
        <v>5141</v>
      </c>
      <c r="V38" s="131">
        <f>SUM('Historical Financials'!V94:V95)</f>
        <v>4603</v>
      </c>
      <c r="W38" s="131">
        <f>SUM('Historical Financials'!W94:W95)</f>
        <v>2131</v>
      </c>
      <c r="X38" s="131">
        <f>SUM('Historical Financials'!X94:X95)</f>
        <v>2412</v>
      </c>
      <c r="Y38" s="131">
        <f>SUM('Historical Financials'!Y94:Y95)</f>
        <v>4544</v>
      </c>
      <c r="Z38" s="131">
        <f>SUM('Historical Financials'!Z94:Z95)</f>
        <v>13335</v>
      </c>
      <c r="AA38" s="131">
        <f>SUM('Historical Financials'!AA94:AA95)</f>
        <v>6020</v>
      </c>
      <c r="AB38" s="131">
        <f>SUM('Historical Financials'!AB94:AB95)</f>
        <v>8875</v>
      </c>
      <c r="AC38" s="131">
        <f>SUM('Historical Financials'!AC94:AC95)</f>
        <v>1160</v>
      </c>
      <c r="AE38" s="34">
        <f t="shared" ref="AE38:AE42" si="123">SUM(N38:Q38)</f>
        <v>-9560</v>
      </c>
      <c r="AF38" s="34">
        <f t="shared" ref="AF38:AQ42" si="124">SUM(O38:R38)</f>
        <v>5852</v>
      </c>
      <c r="AG38" s="34">
        <f t="shared" si="124"/>
        <v>17583</v>
      </c>
      <c r="AH38" s="34">
        <f t="shared" si="124"/>
        <v>13666</v>
      </c>
      <c r="AI38" s="34">
        <f t="shared" si="124"/>
        <v>16001</v>
      </c>
      <c r="AJ38" s="34">
        <f t="shared" si="124"/>
        <v>18121</v>
      </c>
      <c r="AK38" s="34">
        <f t="shared" si="124"/>
        <v>14911</v>
      </c>
      <c r="AL38" s="34">
        <f t="shared" si="124"/>
        <v>14287</v>
      </c>
      <c r="AM38" s="34">
        <f t="shared" si="124"/>
        <v>13690</v>
      </c>
      <c r="AN38" s="34">
        <f t="shared" si="124"/>
        <v>22422</v>
      </c>
      <c r="AO38" s="34">
        <f t="shared" si="124"/>
        <v>26311</v>
      </c>
      <c r="AP38" s="34">
        <f t="shared" si="124"/>
        <v>32774</v>
      </c>
      <c r="AQ38" s="34">
        <f t="shared" si="124"/>
        <v>29390</v>
      </c>
    </row>
    <row r="39" spans="1:45" ht="12.75" customHeight="1">
      <c r="B39" s="33" t="s">
        <v>232</v>
      </c>
      <c r="C39" s="131">
        <f>'Historical Financials'!C97</f>
        <v>-1498</v>
      </c>
      <c r="D39" s="131">
        <f>'Historical Financials'!D97</f>
        <v>-175</v>
      </c>
      <c r="E39" s="131">
        <f>'Historical Financials'!E97</f>
        <v>-2263</v>
      </c>
      <c r="F39" s="131">
        <f>'Historical Financials'!F97</f>
        <v>-445</v>
      </c>
      <c r="G39" s="131">
        <f>'Historical Financials'!G97</f>
        <v>-909</v>
      </c>
      <c r="H39" s="131">
        <f>'Historical Financials'!H97</f>
        <v>-352</v>
      </c>
      <c r="I39" s="131">
        <f>'Historical Financials'!I97</f>
        <v>-1780</v>
      </c>
      <c r="J39" s="131">
        <f>'Historical Financials'!J97</f>
        <v>-1337</v>
      </c>
      <c r="K39" s="131">
        <f>'Historical Financials'!K97</f>
        <v>-1308</v>
      </c>
      <c r="L39" s="131">
        <f>'Historical Financials'!L97</f>
        <v>-1480</v>
      </c>
      <c r="M39" s="34"/>
      <c r="N39" s="131">
        <f>'Historical Financials'!N97</f>
        <v>-374</v>
      </c>
      <c r="O39" s="131">
        <f>'Historical Financials'!O97</f>
        <v>-194</v>
      </c>
      <c r="P39" s="131">
        <f>'Historical Financials'!P97</f>
        <v>-615</v>
      </c>
      <c r="Q39" s="131">
        <f>'Historical Financials'!Q97</f>
        <v>-597</v>
      </c>
      <c r="R39" s="131">
        <f>'Historical Financials'!R97</f>
        <v>-141</v>
      </c>
      <c r="S39" s="131">
        <f>'Historical Financials'!S97</f>
        <v>-106</v>
      </c>
      <c r="T39" s="131">
        <f>'Historical Financials'!T97</f>
        <v>-506</v>
      </c>
      <c r="U39" s="131">
        <f>'Historical Financials'!U97</f>
        <v>-584</v>
      </c>
      <c r="V39" s="131">
        <f>'Historical Financials'!V97</f>
        <v>-284</v>
      </c>
      <c r="W39" s="131">
        <f>'Historical Financials'!W97</f>
        <v>-445</v>
      </c>
      <c r="X39" s="131">
        <f>'Historical Financials'!X97</f>
        <v>-388</v>
      </c>
      <c r="Y39" s="131">
        <f>'Historical Financials'!Y97</f>
        <v>-191</v>
      </c>
      <c r="Z39" s="131">
        <f>'Historical Financials'!Z97</f>
        <v>-603</v>
      </c>
      <c r="AA39" s="131">
        <f>'Historical Financials'!AA97</f>
        <v>-32</v>
      </c>
      <c r="AB39" s="131">
        <f>'Historical Financials'!AB97</f>
        <v>-340</v>
      </c>
      <c r="AC39" s="131">
        <f>'Historical Financials'!AC97</f>
        <v>-505</v>
      </c>
      <c r="AE39" s="34">
        <f t="shared" si="123"/>
        <v>-1780</v>
      </c>
      <c r="AF39" s="34">
        <f t="shared" si="124"/>
        <v>-1547</v>
      </c>
      <c r="AG39" s="34">
        <f t="shared" si="124"/>
        <v>-1459</v>
      </c>
      <c r="AH39" s="34">
        <f t="shared" si="124"/>
        <v>-1350</v>
      </c>
      <c r="AI39" s="34">
        <f t="shared" si="124"/>
        <v>-1337</v>
      </c>
      <c r="AJ39" s="34">
        <f t="shared" si="124"/>
        <v>-1480</v>
      </c>
      <c r="AK39" s="34">
        <f t="shared" si="124"/>
        <v>-1819</v>
      </c>
      <c r="AL39" s="34">
        <f t="shared" si="124"/>
        <v>-1701</v>
      </c>
      <c r="AM39" s="34">
        <f t="shared" si="124"/>
        <v>-1308</v>
      </c>
      <c r="AN39" s="34">
        <f t="shared" si="124"/>
        <v>-1627</v>
      </c>
      <c r="AO39" s="34">
        <f t="shared" si="124"/>
        <v>-1214</v>
      </c>
      <c r="AP39" s="34">
        <f t="shared" si="124"/>
        <v>-1166</v>
      </c>
      <c r="AQ39" s="34">
        <f t="shared" si="124"/>
        <v>-1480</v>
      </c>
    </row>
    <row r="40" spans="1:45" ht="12.75" customHeight="1">
      <c r="B40" s="33" t="s">
        <v>112</v>
      </c>
      <c r="C40" s="131">
        <f>SUM('Historical Financials'!C101:C102)</f>
        <v>22454</v>
      </c>
      <c r="D40" s="131">
        <f>SUM('Historical Financials'!D101:D102)</f>
        <v>25162</v>
      </c>
      <c r="E40" s="131">
        <f>SUM('Historical Financials'!E101:E102)</f>
        <v>469</v>
      </c>
      <c r="F40" s="131">
        <f>SUM('Historical Financials'!F101:F102)</f>
        <v>-1842</v>
      </c>
      <c r="G40" s="131">
        <f>SUM('Historical Financials'!G101:G102)</f>
        <v>3462</v>
      </c>
      <c r="H40" s="131">
        <f>SUM('Historical Financials'!H101:H102)</f>
        <v>11643</v>
      </c>
      <c r="I40" s="131">
        <f>SUM('Historical Financials'!I101:I102)</f>
        <v>-4078</v>
      </c>
      <c r="J40" s="131">
        <f>SUM('Historical Financials'!J101:J102)</f>
        <v>-5923.1080000000002</v>
      </c>
      <c r="K40" s="131">
        <f>SUM('Historical Financials'!K101:K102)</f>
        <v>-9958</v>
      </c>
      <c r="L40" s="131">
        <f>SUM('Historical Financials'!L101:L102)</f>
        <v>-6451</v>
      </c>
      <c r="M40" s="34"/>
      <c r="N40" s="131">
        <f>SUM('Historical Financials'!N101:N102)</f>
        <v>0</v>
      </c>
      <c r="O40" s="131">
        <f>SUM('Historical Financials'!O101:O102)</f>
        <v>-3750</v>
      </c>
      <c r="P40" s="131">
        <f>SUM('Historical Financials'!P101:P102)</f>
        <v>-3000</v>
      </c>
      <c r="Q40" s="131">
        <f>SUM('Historical Financials'!Q101:Q102)</f>
        <v>2672</v>
      </c>
      <c r="R40" s="131">
        <f>SUM('Historical Financials'!R101:R102)</f>
        <v>-1401</v>
      </c>
      <c r="S40" s="131">
        <f>SUM('Historical Financials'!S101:S102)</f>
        <v>-2250</v>
      </c>
      <c r="T40" s="131">
        <f>SUM('Historical Financials'!T101:T102)</f>
        <v>-2272</v>
      </c>
      <c r="U40" s="131">
        <f>SUM('Historical Financials'!U101:U102)</f>
        <v>-0.10800000000017462</v>
      </c>
      <c r="V40" s="131">
        <f>SUM('Historical Financials'!V101:V102)</f>
        <v>0</v>
      </c>
      <c r="W40" s="131">
        <f>SUM('Historical Financials'!W101:W102)</f>
        <v>-3150</v>
      </c>
      <c r="X40" s="131">
        <f>SUM('Historical Financials'!X101:X102)</f>
        <v>-4250</v>
      </c>
      <c r="Y40" s="131">
        <f>SUM('Historical Financials'!Y101:Y102)</f>
        <v>-2558</v>
      </c>
      <c r="Z40" s="131">
        <f>SUM('Historical Financials'!Z101:Z102)</f>
        <v>-1009</v>
      </c>
      <c r="AA40" s="131">
        <f>SUM('Historical Financials'!AA101:AA102)</f>
        <v>-3000</v>
      </c>
      <c r="AB40" s="131">
        <f>SUM('Historical Financials'!AB101:AB102)</f>
        <v>-1192</v>
      </c>
      <c r="AC40" s="131">
        <f>SUM('Historical Financials'!AC101:AC102)</f>
        <v>-1250</v>
      </c>
      <c r="AE40" s="34">
        <f t="shared" si="123"/>
        <v>-4078</v>
      </c>
      <c r="AF40" s="34">
        <f t="shared" si="124"/>
        <v>-5479</v>
      </c>
      <c r="AG40" s="34">
        <f t="shared" si="124"/>
        <v>-3979</v>
      </c>
      <c r="AH40" s="34">
        <f t="shared" si="124"/>
        <v>-3251</v>
      </c>
      <c r="AI40" s="34">
        <f t="shared" si="124"/>
        <v>-5923.1080000000002</v>
      </c>
      <c r="AJ40" s="34">
        <f t="shared" si="124"/>
        <v>-4522.1080000000002</v>
      </c>
      <c r="AK40" s="34">
        <f t="shared" si="124"/>
        <v>-5422.1080000000002</v>
      </c>
      <c r="AL40" s="34">
        <f t="shared" si="124"/>
        <v>-7400.1080000000002</v>
      </c>
      <c r="AM40" s="34">
        <f t="shared" si="124"/>
        <v>-9958</v>
      </c>
      <c r="AN40" s="34">
        <f t="shared" si="124"/>
        <v>-10967</v>
      </c>
      <c r="AO40" s="34">
        <f t="shared" si="124"/>
        <v>-10817</v>
      </c>
      <c r="AP40" s="34">
        <f t="shared" si="124"/>
        <v>-7759</v>
      </c>
      <c r="AQ40" s="34">
        <f t="shared" si="124"/>
        <v>-6451</v>
      </c>
    </row>
    <row r="41" spans="1:45" ht="12.75" customHeight="1">
      <c r="B41" s="33" t="s">
        <v>233</v>
      </c>
      <c r="C41" s="131">
        <f>SUM('Historical Financials'!C103:C104)</f>
        <v>-29227</v>
      </c>
      <c r="D41" s="131">
        <f>SUM('Historical Financials'!D103:D104)</f>
        <v>-32345</v>
      </c>
      <c r="E41" s="131">
        <f>SUM('Historical Financials'!E103:E104)</f>
        <v>-72069</v>
      </c>
      <c r="F41" s="131">
        <f>SUM('Historical Financials'!F103:F104)</f>
        <v>-66116</v>
      </c>
      <c r="G41" s="131">
        <f>SUM('Historical Financials'!G103:G104)</f>
        <v>-71478</v>
      </c>
      <c r="H41" s="131">
        <f>SUM('Historical Financials'!H103:H104)</f>
        <v>-84866</v>
      </c>
      <c r="I41" s="131">
        <f>SUM('Historical Financials'!I103:I104)</f>
        <v>-89402</v>
      </c>
      <c r="J41" s="131">
        <f>SUM('Historical Financials'!J103:J104)</f>
        <v>-77550</v>
      </c>
      <c r="K41" s="131">
        <f>SUM('Historical Financials'!K103:K104)</f>
        <v>-94949</v>
      </c>
      <c r="L41" s="131">
        <f>SUM('Historical Financials'!L103:L104)</f>
        <v>-90711</v>
      </c>
      <c r="M41" s="34"/>
      <c r="N41" s="131">
        <f>SUM('Historical Financials'!N103:N104)</f>
        <v>-20478</v>
      </c>
      <c r="O41" s="131">
        <f>SUM('Historical Financials'!O103:O104)</f>
        <v>-22631</v>
      </c>
      <c r="P41" s="131">
        <f>SUM('Historical Financials'!P103:P104)</f>
        <v>-21865</v>
      </c>
      <c r="Q41" s="131">
        <f>SUM('Historical Financials'!Q103:Q104)</f>
        <v>-24428</v>
      </c>
      <c r="R41" s="131">
        <f>SUM('Historical Financials'!R103:R104)</f>
        <v>-19475</v>
      </c>
      <c r="S41" s="131">
        <f>SUM('Historical Financials'!S103:S104)</f>
        <v>-19594</v>
      </c>
      <c r="T41" s="131">
        <f>SUM('Historical Financials'!T103:T104)</f>
        <v>-17478</v>
      </c>
      <c r="U41" s="131">
        <f>SUM('Historical Financials'!U103:U104)</f>
        <v>-21003</v>
      </c>
      <c r="V41" s="131">
        <f>SUM('Historical Financials'!V103:V104)</f>
        <v>-20139</v>
      </c>
      <c r="W41" s="131">
        <f>SUM('Historical Financials'!W103:W104)</f>
        <v>-23205</v>
      </c>
      <c r="X41" s="131">
        <f>SUM('Historical Financials'!X103:X104)</f>
        <v>-26522</v>
      </c>
      <c r="Y41" s="131">
        <f>SUM('Historical Financials'!Y103:Y104)</f>
        <v>-25083</v>
      </c>
      <c r="Z41" s="131">
        <f>SUM('Historical Financials'!Z103:Z104)</f>
        <v>-23606</v>
      </c>
      <c r="AA41" s="131">
        <f>SUM('Historical Financials'!AA103:AA104)</f>
        <v>-25898</v>
      </c>
      <c r="AB41" s="131">
        <f>SUM('Historical Financials'!AB103:AB104)</f>
        <v>-21075</v>
      </c>
      <c r="AC41" s="131">
        <f>SUM('Historical Financials'!AC103:AC104)</f>
        <v>-20132</v>
      </c>
      <c r="AE41" s="34">
        <f t="shared" si="123"/>
        <v>-89402</v>
      </c>
      <c r="AF41" s="34">
        <f t="shared" si="124"/>
        <v>-88399</v>
      </c>
      <c r="AG41" s="34">
        <f t="shared" si="124"/>
        <v>-85362</v>
      </c>
      <c r="AH41" s="34">
        <f t="shared" si="124"/>
        <v>-80975</v>
      </c>
      <c r="AI41" s="34">
        <f t="shared" si="124"/>
        <v>-77550</v>
      </c>
      <c r="AJ41" s="34">
        <f t="shared" si="124"/>
        <v>-78214</v>
      </c>
      <c r="AK41" s="34">
        <f t="shared" si="124"/>
        <v>-81825</v>
      </c>
      <c r="AL41" s="34">
        <f t="shared" si="124"/>
        <v>-90869</v>
      </c>
      <c r="AM41" s="34">
        <f t="shared" si="124"/>
        <v>-94949</v>
      </c>
      <c r="AN41" s="34">
        <f t="shared" si="124"/>
        <v>-98416</v>
      </c>
      <c r="AO41" s="34">
        <f t="shared" si="124"/>
        <v>-101109</v>
      </c>
      <c r="AP41" s="34">
        <f t="shared" si="124"/>
        <v>-95662</v>
      </c>
      <c r="AQ41" s="34">
        <f t="shared" si="124"/>
        <v>-90711</v>
      </c>
    </row>
    <row r="42" spans="1:45" ht="12.75" customHeight="1">
      <c r="B42" s="33" t="s">
        <v>234</v>
      </c>
      <c r="C42" s="131">
        <f>'Historical Financials'!C105</f>
        <v>-397</v>
      </c>
      <c r="D42" s="131">
        <f>'Historical Financials'!D105</f>
        <v>3852</v>
      </c>
      <c r="E42" s="131">
        <f>'Historical Financials'!E105</f>
        <v>-37</v>
      </c>
      <c r="F42" s="131">
        <f>'Historical Financials'!F105</f>
        <v>-5977</v>
      </c>
      <c r="G42" s="131">
        <f>'Historical Financials'!G105</f>
        <v>-963</v>
      </c>
      <c r="H42" s="131">
        <f>'Historical Financials'!H105</f>
        <v>1022</v>
      </c>
      <c r="I42" s="131">
        <f>'Historical Financials'!I105</f>
        <v>3955</v>
      </c>
      <c r="J42" s="131">
        <f>'Historical Financials'!J105</f>
        <v>-3978</v>
      </c>
      <c r="K42" s="131">
        <f>'Historical Financials'!K105</f>
        <v>3960</v>
      </c>
      <c r="L42" s="131">
        <f>'Historical Financials'!L105</f>
        <v>-2032</v>
      </c>
      <c r="M42" s="34"/>
      <c r="N42" s="131">
        <f>'Historical Financials'!N105</f>
        <v>-1000</v>
      </c>
      <c r="O42" s="131">
        <f>'Historical Financials'!O105</f>
        <v>1999</v>
      </c>
      <c r="P42" s="131">
        <f>'Historical Financials'!P105</f>
        <v>3971</v>
      </c>
      <c r="Q42" s="131">
        <f>'Historical Financials'!Q105</f>
        <v>-1015</v>
      </c>
      <c r="R42" s="131">
        <f>'Historical Financials'!R105</f>
        <v>-8214</v>
      </c>
      <c r="S42" s="131">
        <f>'Historical Financials'!S105</f>
        <v>254</v>
      </c>
      <c r="T42" s="131">
        <f>'Historical Financials'!T105</f>
        <v>1989</v>
      </c>
      <c r="U42" s="131">
        <f>'Historical Financials'!U105</f>
        <v>1993</v>
      </c>
      <c r="V42" s="131">
        <f>'Historical Financials'!V105</f>
        <v>-3984</v>
      </c>
      <c r="W42" s="131">
        <f>'Historical Financials'!W105</f>
        <v>2</v>
      </c>
      <c r="X42" s="131">
        <f>'Historical Financials'!X105</f>
        <v>997</v>
      </c>
      <c r="Y42" s="131">
        <f>'Historical Financials'!Y105</f>
        <v>6945</v>
      </c>
      <c r="Z42" s="131">
        <f>'Historical Financials'!Z105</f>
        <v>-7944</v>
      </c>
      <c r="AA42" s="131">
        <f>'Historical Financials'!AA105</f>
        <v>3976</v>
      </c>
      <c r="AB42" s="131">
        <f>'Historical Financials'!AB105</f>
        <v>3903</v>
      </c>
      <c r="AC42" s="131">
        <f>'Historical Financials'!AC105</f>
        <v>-1967</v>
      </c>
      <c r="AE42" s="34">
        <f t="shared" si="123"/>
        <v>3955</v>
      </c>
      <c r="AF42" s="34">
        <f t="shared" si="124"/>
        <v>-3259</v>
      </c>
      <c r="AG42" s="34">
        <f t="shared" si="124"/>
        <v>-5004</v>
      </c>
      <c r="AH42" s="34">
        <f t="shared" si="124"/>
        <v>-6986</v>
      </c>
      <c r="AI42" s="34">
        <f t="shared" si="124"/>
        <v>-3978</v>
      </c>
      <c r="AJ42" s="34">
        <f t="shared" si="124"/>
        <v>252</v>
      </c>
      <c r="AK42" s="34">
        <f t="shared" si="124"/>
        <v>0</v>
      </c>
      <c r="AL42" s="34">
        <f t="shared" si="124"/>
        <v>-992</v>
      </c>
      <c r="AM42" s="34">
        <f t="shared" si="124"/>
        <v>3960</v>
      </c>
      <c r="AN42" s="34">
        <f t="shared" si="124"/>
        <v>0</v>
      </c>
      <c r="AO42" s="34">
        <f t="shared" si="124"/>
        <v>3974</v>
      </c>
      <c r="AP42" s="34">
        <f t="shared" si="124"/>
        <v>6880</v>
      </c>
      <c r="AQ42" s="34">
        <f t="shared" si="124"/>
        <v>-2032</v>
      </c>
    </row>
    <row r="43" spans="1:45" ht="12.75" customHeight="1">
      <c r="B43" s="33" t="s">
        <v>113</v>
      </c>
      <c r="C43" s="131">
        <f>'Historical Financials'!C108</f>
        <v>-12150</v>
      </c>
      <c r="D43" s="131">
        <f>'Historical Financials'!D108</f>
        <v>-12769</v>
      </c>
      <c r="E43" s="131">
        <f>'Historical Financials'!E108</f>
        <v>-13712</v>
      </c>
      <c r="F43" s="131">
        <f>'Historical Financials'!F108</f>
        <v>-14119</v>
      </c>
      <c r="G43" s="131">
        <f>'Historical Financials'!G108</f>
        <v>-14081</v>
      </c>
      <c r="H43" s="131">
        <f>'Historical Financials'!H108</f>
        <v>-14467</v>
      </c>
      <c r="I43" s="131">
        <f>'Historical Financials'!I108</f>
        <v>-14841</v>
      </c>
      <c r="J43" s="131">
        <f>'Historical Financials'!J108</f>
        <v>-14875</v>
      </c>
      <c r="K43" s="131">
        <f>'Historical Financials'!K108</f>
        <v>-15234</v>
      </c>
      <c r="L43" s="131">
        <f>'Historical Financials'!L108</f>
        <v>-15421</v>
      </c>
      <c r="M43" s="34"/>
      <c r="N43" s="131">
        <f>'Historical Financials'!N108</f>
        <v>-3732</v>
      </c>
      <c r="O43" s="131">
        <f>'Historical Financials'!O108</f>
        <v>-3595</v>
      </c>
      <c r="P43" s="131">
        <f>'Historical Financials'!P108</f>
        <v>-3811</v>
      </c>
      <c r="Q43" s="131">
        <f>'Historical Financials'!Q108</f>
        <v>-3703</v>
      </c>
      <c r="R43" s="131">
        <f>'Historical Financials'!R108</f>
        <v>-3768</v>
      </c>
      <c r="S43" s="131">
        <f>'Historical Financials'!S108</f>
        <v>-3650</v>
      </c>
      <c r="T43" s="131">
        <f>'Historical Financials'!T108</f>
        <v>-3849</v>
      </c>
      <c r="U43" s="131">
        <f>'Historical Financials'!U108</f>
        <v>-3608</v>
      </c>
      <c r="V43" s="131">
        <f>'Historical Financials'!V108</f>
        <v>-3825</v>
      </c>
      <c r="W43" s="131">
        <f>'Historical Financials'!W108</f>
        <v>-3710</v>
      </c>
      <c r="X43" s="131">
        <f>'Historical Financials'!X108</f>
        <v>-3895</v>
      </c>
      <c r="Y43" s="131">
        <f>'Historical Financials'!Y108</f>
        <v>-3804</v>
      </c>
      <c r="Z43" s="131">
        <f>'Historical Financials'!Z108</f>
        <v>-3856</v>
      </c>
      <c r="AA43" s="131">
        <f>'Historical Financials'!AA108</f>
        <v>-3758</v>
      </c>
      <c r="AB43" s="131">
        <f>'Historical Financials'!AB108</f>
        <v>-3945</v>
      </c>
      <c r="AC43" s="131">
        <f>'Historical Financials'!AC108</f>
        <v>-3862</v>
      </c>
      <c r="AE43" s="34"/>
      <c r="AF43" s="34"/>
      <c r="AG43" s="34"/>
      <c r="AH43" s="34"/>
      <c r="AI43" s="34"/>
      <c r="AJ43" s="34"/>
      <c r="AK43" s="34">
        <f t="shared" ref="AK43" si="125">SUM(T43:W43)</f>
        <v>-14992</v>
      </c>
      <c r="AL43" s="34">
        <f t="shared" ref="AL43" si="126">SUM(U43:X43)</f>
        <v>-15038</v>
      </c>
      <c r="AM43" s="34">
        <f t="shared" ref="AM43" si="127">SUM(V43:Y43)</f>
        <v>-15234</v>
      </c>
      <c r="AN43" s="34">
        <f t="shared" ref="AN43" si="128">SUM(W43:Z43)</f>
        <v>-15265</v>
      </c>
      <c r="AO43" s="34">
        <f t="shared" ref="AO43:AQ44" si="129">SUM(X43:AA43)</f>
        <v>-15313</v>
      </c>
      <c r="AP43" s="34">
        <f t="shared" si="129"/>
        <v>-15363</v>
      </c>
      <c r="AQ43" s="34">
        <f t="shared" si="129"/>
        <v>-15421</v>
      </c>
    </row>
    <row r="44" spans="1:45" ht="12.75" customHeight="1">
      <c r="B44" s="33" t="s">
        <v>111</v>
      </c>
      <c r="C44" s="34"/>
      <c r="D44" s="34"/>
      <c r="E44" s="34"/>
      <c r="F44" s="34"/>
      <c r="G44" s="34"/>
      <c r="H44" s="34">
        <f>SUM(H49-G49)-SUM(H36:H43)</f>
        <v>2948</v>
      </c>
      <c r="I44" s="34">
        <f>SUM(I49-H49)-SUM(I36:I43)</f>
        <v>-3221</v>
      </c>
      <c r="J44" s="34">
        <f>SUM(J49-I49)-SUM(J36:J43)</f>
        <v>-2653.8919999999925</v>
      </c>
      <c r="K44" s="34">
        <f>SUM(K49-J49)-SUM(K36:K43)</f>
        <v>-10674</v>
      </c>
      <c r="L44" s="34">
        <f>SUM(L49-K49)-SUM(L36:L43)</f>
        <v>16169</v>
      </c>
      <c r="M44" s="34"/>
      <c r="N44" s="34">
        <f>SUM(N49-H49)-SUM(N36:N43)</f>
        <v>-3714</v>
      </c>
      <c r="O44" s="34">
        <f t="shared" ref="O44:AC44" si="130">SUM(O49-N49)-SUM(O36:O43)</f>
        <v>79</v>
      </c>
      <c r="P44" s="34">
        <f t="shared" si="130"/>
        <v>-1572</v>
      </c>
      <c r="Q44" s="34">
        <f t="shared" si="130"/>
        <v>1986</v>
      </c>
      <c r="R44" s="34">
        <f t="shared" si="130"/>
        <v>-7617</v>
      </c>
      <c r="S44" s="34">
        <f t="shared" si="130"/>
        <v>-1824</v>
      </c>
      <c r="T44" s="34">
        <f t="shared" si="130"/>
        <v>-1679</v>
      </c>
      <c r="U44" s="34">
        <f t="shared" si="130"/>
        <v>8466.1080000000002</v>
      </c>
      <c r="V44" s="34">
        <f t="shared" si="130"/>
        <v>-3270</v>
      </c>
      <c r="W44" s="34">
        <f t="shared" si="130"/>
        <v>1648</v>
      </c>
      <c r="X44" s="34">
        <f t="shared" si="130"/>
        <v>-1389</v>
      </c>
      <c r="Y44" s="34">
        <f t="shared" si="130"/>
        <v>-7663</v>
      </c>
      <c r="Z44" s="34">
        <f t="shared" si="130"/>
        <v>7184</v>
      </c>
      <c r="AA44" s="34">
        <f t="shared" si="130"/>
        <v>7689</v>
      </c>
      <c r="AB44" s="34">
        <f t="shared" si="130"/>
        <v>-1174</v>
      </c>
      <c r="AC44" s="34">
        <f t="shared" si="130"/>
        <v>2470</v>
      </c>
      <c r="AE44" s="34">
        <f t="shared" ref="AE44" si="131">SUM(N44:Q44)</f>
        <v>-3221</v>
      </c>
      <c r="AF44" s="34">
        <f t="shared" ref="AF44:AN44" si="132">SUM(O44:R44)</f>
        <v>-7124</v>
      </c>
      <c r="AG44" s="34">
        <f t="shared" si="132"/>
        <v>-9027</v>
      </c>
      <c r="AH44" s="34">
        <f t="shared" si="132"/>
        <v>-9134</v>
      </c>
      <c r="AI44" s="34">
        <f t="shared" si="132"/>
        <v>-2653.8919999999998</v>
      </c>
      <c r="AJ44" s="34">
        <f t="shared" si="132"/>
        <v>1693.1080000000002</v>
      </c>
      <c r="AK44" s="34">
        <f t="shared" si="132"/>
        <v>5165.1080000000002</v>
      </c>
      <c r="AL44" s="34">
        <f t="shared" si="132"/>
        <v>5455.1080000000002</v>
      </c>
      <c r="AM44" s="34">
        <f t="shared" si="132"/>
        <v>-10674</v>
      </c>
      <c r="AN44" s="34">
        <f t="shared" si="132"/>
        <v>-220</v>
      </c>
      <c r="AO44" s="34">
        <f t="shared" si="129"/>
        <v>5821</v>
      </c>
      <c r="AP44" s="34">
        <f t="shared" si="129"/>
        <v>6036</v>
      </c>
      <c r="AQ44" s="34">
        <f t="shared" si="129"/>
        <v>16169</v>
      </c>
    </row>
    <row r="45" spans="1:45" ht="12.75" customHeight="1">
      <c r="B45" s="14" t="s">
        <v>61</v>
      </c>
      <c r="C45" s="15">
        <f t="shared" ref="C45:F45" si="133">SUM(C36+SUM(C38:C44))</f>
        <v>-723</v>
      </c>
      <c r="D45" s="15">
        <f t="shared" si="133"/>
        <v>-4765</v>
      </c>
      <c r="E45" s="15">
        <f t="shared" si="133"/>
        <v>39834</v>
      </c>
      <c r="F45" s="15">
        <f t="shared" si="133"/>
        <v>18837</v>
      </c>
      <c r="G45" s="15">
        <f t="shared" ref="G45:L45" si="134">SUM(G36+SUM(G38:G44))</f>
        <v>-8465</v>
      </c>
      <c r="H45" s="15">
        <f t="shared" si="134"/>
        <v>-3076</v>
      </c>
      <c r="I45" s="15">
        <f t="shared" si="134"/>
        <v>-11294</v>
      </c>
      <c r="J45" s="15">
        <f t="shared" si="134"/>
        <v>6319</v>
      </c>
      <c r="K45" s="15">
        <f t="shared" si="134"/>
        <v>-22</v>
      </c>
      <c r="L45" s="15">
        <f t="shared" si="134"/>
        <v>5991</v>
      </c>
      <c r="N45" s="15">
        <f t="shared" ref="N45:AB45" si="135">SUM(N36+SUM(N38:N44))</f>
        <v>2179</v>
      </c>
      <c r="O45" s="15">
        <f t="shared" si="135"/>
        <v>-9021</v>
      </c>
      <c r="P45" s="15">
        <f t="shared" si="135"/>
        <v>-596</v>
      </c>
      <c r="Q45" s="15">
        <f t="shared" si="135"/>
        <v>-3856</v>
      </c>
      <c r="R45" s="15">
        <f t="shared" si="135"/>
        <v>-3111</v>
      </c>
      <c r="S45" s="15">
        <f t="shared" si="135"/>
        <v>4152</v>
      </c>
      <c r="T45" s="15">
        <f t="shared" si="135"/>
        <v>3721</v>
      </c>
      <c r="U45" s="15">
        <f t="shared" si="135"/>
        <v>1557</v>
      </c>
      <c r="V45" s="15">
        <f t="shared" si="135"/>
        <v>10795</v>
      </c>
      <c r="W45" s="15">
        <f t="shared" si="135"/>
        <v>-8065</v>
      </c>
      <c r="X45" s="15">
        <f t="shared" si="135"/>
        <v>-7130</v>
      </c>
      <c r="Y45" s="15">
        <f t="shared" si="135"/>
        <v>4378</v>
      </c>
      <c r="Z45" s="15">
        <f t="shared" si="135"/>
        <v>356</v>
      </c>
      <c r="AA45" s="15">
        <f t="shared" si="135"/>
        <v>-2137</v>
      </c>
      <c r="AB45" s="15">
        <f t="shared" si="135"/>
        <v>8107</v>
      </c>
      <c r="AC45" s="15">
        <f t="shared" ref="AC45" si="136">SUM(AC36+SUM(AC38:AC44))</f>
        <v>-335</v>
      </c>
      <c r="AE45" s="15">
        <f t="shared" ref="AE45:AP45" si="137">SUM(AE36+SUM(AE38:AE44))</f>
        <v>3547</v>
      </c>
      <c r="AF45" s="15">
        <f t="shared" si="137"/>
        <v>-1707</v>
      </c>
      <c r="AG45" s="15">
        <f t="shared" si="137"/>
        <v>11521</v>
      </c>
      <c r="AH45" s="15">
        <f t="shared" si="137"/>
        <v>15876</v>
      </c>
      <c r="AI45" s="15">
        <f t="shared" si="137"/>
        <v>21194</v>
      </c>
      <c r="AJ45" s="15">
        <f t="shared" si="137"/>
        <v>35156.999999999993</v>
      </c>
      <c r="AK45" s="15">
        <f t="shared" si="137"/>
        <v>8008</v>
      </c>
      <c r="AL45" s="15">
        <f t="shared" si="137"/>
        <v>-2843</v>
      </c>
      <c r="AM45" s="15">
        <f t="shared" si="137"/>
        <v>-22</v>
      </c>
      <c r="AN45" s="15">
        <f t="shared" si="137"/>
        <v>-10461</v>
      </c>
      <c r="AO45" s="15">
        <f t="shared" si="137"/>
        <v>-4533</v>
      </c>
      <c r="AP45" s="15">
        <f t="shared" si="137"/>
        <v>10704</v>
      </c>
      <c r="AQ45" s="15">
        <f t="shared" ref="AQ45" si="138">SUM(AQ36+SUM(AQ38:AQ44))</f>
        <v>5991</v>
      </c>
    </row>
    <row r="46" spans="1:45" ht="5.0999999999999996" customHeight="1"/>
    <row r="47" spans="1:45" ht="12.75" customHeight="1">
      <c r="A47" s="5"/>
      <c r="B47" s="35" t="s">
        <v>62</v>
      </c>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row>
    <row r="48" spans="1:45" ht="5.0999999999999996" customHeight="1"/>
    <row r="49" spans="2:43" ht="12.75" customHeight="1">
      <c r="B49" s="8" t="s">
        <v>63</v>
      </c>
      <c r="C49" s="131">
        <f>'Historical Financials'!C39</f>
        <v>20484</v>
      </c>
      <c r="D49" s="131">
        <f>'Historical Financials'!D39</f>
        <v>20289</v>
      </c>
      <c r="E49" s="131">
        <f>'Historical Financials'!E39</f>
        <v>25913</v>
      </c>
      <c r="F49" s="131">
        <f>'Historical Financials'!F39</f>
        <v>48844</v>
      </c>
      <c r="G49" s="131">
        <f>'Historical Financials'!G39</f>
        <v>38016</v>
      </c>
      <c r="H49" s="131">
        <f>'Historical Financials'!H39</f>
        <v>34940</v>
      </c>
      <c r="I49" s="131">
        <f>'Historical Financials'!I39</f>
        <v>23646</v>
      </c>
      <c r="J49" s="131">
        <f>'Historical Financials'!J39</f>
        <v>29965</v>
      </c>
      <c r="K49" s="131">
        <f>'Historical Financials'!K39</f>
        <v>29943</v>
      </c>
      <c r="L49" s="131">
        <f>'Historical Financials'!L39</f>
        <v>35934</v>
      </c>
      <c r="M49" s="34"/>
      <c r="N49" s="131">
        <f>'Historical Financials'!N39</f>
        <v>37119</v>
      </c>
      <c r="O49" s="131">
        <f>'Historical Financials'!O39</f>
        <v>28098</v>
      </c>
      <c r="P49" s="131">
        <f>'Historical Financials'!P39</f>
        <v>27502</v>
      </c>
      <c r="Q49" s="131">
        <f>'Historical Financials'!Q39</f>
        <v>23646</v>
      </c>
      <c r="R49" s="131">
        <f>'Historical Financials'!R39</f>
        <v>20535</v>
      </c>
      <c r="S49" s="131">
        <f>'Historical Financials'!S39</f>
        <v>24687</v>
      </c>
      <c r="T49" s="131">
        <f>'Historical Financials'!T39</f>
        <v>28408</v>
      </c>
      <c r="U49" s="131">
        <f>'Historical Financials'!U39</f>
        <v>29965</v>
      </c>
      <c r="V49" s="131">
        <f>'Historical Financials'!V39</f>
        <v>40760</v>
      </c>
      <c r="W49" s="131">
        <f>'Historical Financials'!W39</f>
        <v>32695</v>
      </c>
      <c r="X49" s="131">
        <f>'Historical Financials'!X39</f>
        <v>25565</v>
      </c>
      <c r="Y49" s="131">
        <f>'Historical Financials'!Y39</f>
        <v>29943</v>
      </c>
      <c r="Z49" s="131">
        <f>'Historical Financials'!Z39</f>
        <v>30299</v>
      </c>
      <c r="AA49" s="131">
        <f>'Historical Financials'!AA39</f>
        <v>28162</v>
      </c>
      <c r="AB49" s="131">
        <f>'Historical Financials'!AB39</f>
        <v>36269</v>
      </c>
      <c r="AC49" s="131">
        <f>'Historical Financials'!AC39</f>
        <v>35934</v>
      </c>
      <c r="AE49" s="11">
        <f t="shared" ref="AE49:AQ51" si="139">Q49</f>
        <v>23646</v>
      </c>
      <c r="AF49" s="11">
        <f t="shared" si="139"/>
        <v>20535</v>
      </c>
      <c r="AG49" s="11">
        <f t="shared" si="139"/>
        <v>24687</v>
      </c>
      <c r="AH49" s="11">
        <f t="shared" si="139"/>
        <v>28408</v>
      </c>
      <c r="AI49" s="11">
        <f t="shared" si="139"/>
        <v>29965</v>
      </c>
      <c r="AJ49" s="11">
        <f t="shared" si="139"/>
        <v>40760</v>
      </c>
      <c r="AK49" s="11">
        <f t="shared" si="139"/>
        <v>32695</v>
      </c>
      <c r="AL49" s="11">
        <f t="shared" si="139"/>
        <v>25565</v>
      </c>
      <c r="AM49" s="11">
        <f t="shared" si="139"/>
        <v>29943</v>
      </c>
      <c r="AN49" s="11">
        <f t="shared" si="139"/>
        <v>30299</v>
      </c>
      <c r="AO49" s="11">
        <f t="shared" si="139"/>
        <v>28162</v>
      </c>
      <c r="AP49" s="11">
        <f t="shared" si="139"/>
        <v>36269</v>
      </c>
      <c r="AQ49" s="11">
        <f t="shared" si="139"/>
        <v>35934</v>
      </c>
    </row>
    <row r="50" spans="2:43" ht="12.75" customHeight="1">
      <c r="B50" s="8" t="s">
        <v>312</v>
      </c>
      <c r="C50" s="131">
        <f>'Historical Financials'!C40</f>
        <v>46671</v>
      </c>
      <c r="D50" s="131">
        <f>'Historical Financials'!D40</f>
        <v>53892</v>
      </c>
      <c r="E50" s="131">
        <f>'Historical Financials'!E40</f>
        <v>40388</v>
      </c>
      <c r="F50" s="131">
        <f>'Historical Financials'!F40</f>
        <v>51713</v>
      </c>
      <c r="G50" s="131">
        <f>'Historical Financials'!G40</f>
        <v>52927</v>
      </c>
      <c r="H50" s="131">
        <f>'Historical Financials'!H40</f>
        <v>27699</v>
      </c>
      <c r="I50" s="131">
        <f>'Historical Financials'!I40</f>
        <v>24658</v>
      </c>
      <c r="J50" s="131">
        <f>'Historical Financials'!J40</f>
        <v>31590</v>
      </c>
      <c r="K50" s="131">
        <f>'Historical Financials'!K40</f>
        <v>35228</v>
      </c>
      <c r="L50" s="131">
        <f>'Historical Financials'!L40</f>
        <v>18763</v>
      </c>
      <c r="M50" s="34"/>
      <c r="N50" s="131">
        <f>'Historical Financials'!N40</f>
        <v>26794</v>
      </c>
      <c r="O50" s="131">
        <f>'Historical Financials'!O40</f>
        <v>23413</v>
      </c>
      <c r="P50" s="131">
        <f>'Historical Financials'!P40</f>
        <v>20729</v>
      </c>
      <c r="Q50" s="131">
        <f>'Historical Financials'!Q40</f>
        <v>24658</v>
      </c>
      <c r="R50" s="131">
        <f>'Historical Financials'!R40</f>
        <v>30820</v>
      </c>
      <c r="S50" s="131">
        <f>'Historical Financials'!S40</f>
        <v>31185</v>
      </c>
      <c r="T50" s="131">
        <f>'Historical Financials'!T40</f>
        <v>34074</v>
      </c>
      <c r="U50" s="131">
        <f>'Historical Financials'!U40</f>
        <v>31590</v>
      </c>
      <c r="V50" s="131">
        <f>'Historical Financials'!V40</f>
        <v>32340</v>
      </c>
      <c r="W50" s="131">
        <f>'Historical Financials'!W40</f>
        <v>34455</v>
      </c>
      <c r="X50" s="131">
        <f>'Historical Financials'!X40</f>
        <v>36236</v>
      </c>
      <c r="Y50" s="131">
        <f>'Historical Financials'!Y40</f>
        <v>35228</v>
      </c>
      <c r="Z50" s="131">
        <f>'Historical Financials'!Z40</f>
        <v>23476</v>
      </c>
      <c r="AA50" s="131">
        <f>'Historical Financials'!AA40</f>
        <v>20336</v>
      </c>
      <c r="AB50" s="131">
        <f>'Historical Financials'!AB40</f>
        <v>19103</v>
      </c>
      <c r="AC50" s="131">
        <f>'Historical Financials'!AC40</f>
        <v>18763</v>
      </c>
      <c r="AE50" s="11">
        <f t="shared" si="139"/>
        <v>24658</v>
      </c>
      <c r="AF50" s="11">
        <f t="shared" si="139"/>
        <v>30820</v>
      </c>
      <c r="AG50" s="11">
        <f t="shared" si="139"/>
        <v>31185</v>
      </c>
      <c r="AH50" s="11">
        <f t="shared" si="139"/>
        <v>34074</v>
      </c>
      <c r="AI50" s="11">
        <f t="shared" si="139"/>
        <v>31590</v>
      </c>
      <c r="AJ50" s="11">
        <f t="shared" si="139"/>
        <v>32340</v>
      </c>
      <c r="AK50" s="11">
        <f t="shared" si="139"/>
        <v>34455</v>
      </c>
      <c r="AL50" s="11">
        <f t="shared" si="139"/>
        <v>36236</v>
      </c>
      <c r="AM50" s="11">
        <f t="shared" si="139"/>
        <v>35228</v>
      </c>
      <c r="AN50" s="11">
        <f t="shared" si="139"/>
        <v>23476</v>
      </c>
      <c r="AO50" s="11">
        <f t="shared" si="139"/>
        <v>20336</v>
      </c>
      <c r="AP50" s="11">
        <f t="shared" si="139"/>
        <v>19103</v>
      </c>
      <c r="AQ50" s="11">
        <f t="shared" si="139"/>
        <v>18763</v>
      </c>
    </row>
    <row r="51" spans="2:43" ht="12.75" customHeight="1">
      <c r="B51" s="8" t="s">
        <v>313</v>
      </c>
      <c r="C51" s="131">
        <f>'Historical Financials'!C47</f>
        <v>170430</v>
      </c>
      <c r="D51" s="131">
        <f>'Historical Financials'!D47</f>
        <v>194714</v>
      </c>
      <c r="E51" s="131">
        <f>'Historical Financials'!E47</f>
        <v>170799</v>
      </c>
      <c r="F51" s="131">
        <f>'Historical Financials'!F47</f>
        <v>105341</v>
      </c>
      <c r="G51" s="131">
        <f>'Historical Financials'!G47</f>
        <v>100887</v>
      </c>
      <c r="H51" s="131">
        <f>'Historical Financials'!H47</f>
        <v>127877</v>
      </c>
      <c r="I51" s="131">
        <f>'Historical Financials'!I47</f>
        <v>120805</v>
      </c>
      <c r="J51" s="131">
        <f>'Historical Financials'!J47</f>
        <v>100544</v>
      </c>
      <c r="K51" s="131">
        <f>'Historical Financials'!K47</f>
        <v>91479</v>
      </c>
      <c r="L51" s="131">
        <f>'Historical Financials'!L47</f>
        <v>77723</v>
      </c>
      <c r="M51" s="131"/>
      <c r="N51" s="131">
        <f>'Historical Financials'!N47</f>
        <v>138683</v>
      </c>
      <c r="O51" s="131">
        <f>'Historical Financials'!O47</f>
        <v>141219</v>
      </c>
      <c r="P51" s="131">
        <f>'Historical Financials'!P47</f>
        <v>131077</v>
      </c>
      <c r="Q51" s="131">
        <f>'Historical Financials'!Q47</f>
        <v>120805</v>
      </c>
      <c r="R51" s="131">
        <f>'Historical Financials'!R47</f>
        <v>114095</v>
      </c>
      <c r="S51" s="131">
        <f>'Historical Financials'!S47</f>
        <v>110461</v>
      </c>
      <c r="T51" s="131">
        <f>'Historical Financials'!T47</f>
        <v>104061</v>
      </c>
      <c r="U51" s="131">
        <f>'Historical Financials'!U47</f>
        <v>100544</v>
      </c>
      <c r="V51" s="131">
        <f>'Historical Financials'!V47</f>
        <v>99475</v>
      </c>
      <c r="W51" s="131">
        <f>'Historical Financials'!W47</f>
        <v>95187</v>
      </c>
      <c r="X51" s="131">
        <f>'Historical Financials'!X47</f>
        <v>91240</v>
      </c>
      <c r="Y51" s="131">
        <f>'Historical Financials'!Y47</f>
        <v>91479</v>
      </c>
      <c r="Z51" s="131">
        <f>'Historical Financials'!Z47</f>
        <v>87593</v>
      </c>
      <c r="AA51" s="131">
        <f>'Historical Financials'!AA47</f>
        <v>84424</v>
      </c>
      <c r="AB51" s="131">
        <f>'Historical Financials'!AB47</f>
        <v>77614</v>
      </c>
      <c r="AC51" s="131">
        <f>'Historical Financials'!AC47</f>
        <v>77723</v>
      </c>
      <c r="AE51" s="11">
        <f t="shared" si="139"/>
        <v>120805</v>
      </c>
      <c r="AF51" s="11">
        <f t="shared" si="139"/>
        <v>114095</v>
      </c>
      <c r="AG51" s="11">
        <f t="shared" si="139"/>
        <v>110461</v>
      </c>
      <c r="AH51" s="11">
        <f t="shared" si="139"/>
        <v>104061</v>
      </c>
      <c r="AI51" s="11">
        <f t="shared" si="139"/>
        <v>100544</v>
      </c>
      <c r="AJ51" s="11">
        <f t="shared" si="139"/>
        <v>99475</v>
      </c>
      <c r="AK51" s="11">
        <f t="shared" si="139"/>
        <v>95187</v>
      </c>
      <c r="AL51" s="11">
        <f t="shared" si="139"/>
        <v>91240</v>
      </c>
      <c r="AM51" s="11">
        <f t="shared" si="139"/>
        <v>91479</v>
      </c>
      <c r="AN51" s="11">
        <f t="shared" si="139"/>
        <v>87593</v>
      </c>
      <c r="AO51" s="11">
        <f t="shared" si="139"/>
        <v>84424</v>
      </c>
      <c r="AP51" s="11">
        <f t="shared" si="139"/>
        <v>77614</v>
      </c>
      <c r="AQ51" s="11">
        <f t="shared" si="139"/>
        <v>77723</v>
      </c>
    </row>
    <row r="52" spans="2:43" ht="12.75" customHeight="1">
      <c r="B52" s="14" t="s">
        <v>64</v>
      </c>
      <c r="C52" s="15">
        <f t="shared" ref="C52:F52" si="140">SUM(C49:C51)</f>
        <v>237585</v>
      </c>
      <c r="D52" s="15">
        <f t="shared" si="140"/>
        <v>268895</v>
      </c>
      <c r="E52" s="15">
        <f t="shared" si="140"/>
        <v>237100</v>
      </c>
      <c r="F52" s="15">
        <f t="shared" si="140"/>
        <v>205898</v>
      </c>
      <c r="G52" s="15">
        <f>SUM(G49:G51)</f>
        <v>191830</v>
      </c>
      <c r="H52" s="15">
        <f t="shared" ref="H52:K52" si="141">SUM(H49:H51)</f>
        <v>190516</v>
      </c>
      <c r="I52" s="15">
        <f t="shared" si="141"/>
        <v>169109</v>
      </c>
      <c r="J52" s="15">
        <f t="shared" si="141"/>
        <v>162099</v>
      </c>
      <c r="K52" s="15">
        <f t="shared" si="141"/>
        <v>156650</v>
      </c>
      <c r="L52" s="15">
        <f t="shared" ref="L52" si="142">SUM(L49:L51)</f>
        <v>132420</v>
      </c>
      <c r="M52" s="34"/>
      <c r="N52" s="15">
        <f t="shared" ref="N52" si="143">SUM(N49:N51)</f>
        <v>202596</v>
      </c>
      <c r="O52" s="15">
        <f t="shared" ref="O52" si="144">SUM(O49:O51)</f>
        <v>192730</v>
      </c>
      <c r="P52" s="15">
        <f t="shared" ref="P52" si="145">SUM(P49:P51)</f>
        <v>179308</v>
      </c>
      <c r="Q52" s="15">
        <f t="shared" ref="Q52" si="146">SUM(Q49:Q51)</f>
        <v>169109</v>
      </c>
      <c r="R52" s="15">
        <f t="shared" ref="R52" si="147">SUM(R49:R51)</f>
        <v>165450</v>
      </c>
      <c r="S52" s="15">
        <f t="shared" ref="S52" si="148">SUM(S49:S51)</f>
        <v>166333</v>
      </c>
      <c r="T52" s="15">
        <f t="shared" ref="T52" si="149">SUM(T49:T51)</f>
        <v>166543</v>
      </c>
      <c r="U52" s="15">
        <f t="shared" ref="U52" si="150">SUM(U49:U51)</f>
        <v>162099</v>
      </c>
      <c r="V52" s="15">
        <f t="shared" ref="V52" si="151">SUM(V49:V51)</f>
        <v>172575</v>
      </c>
      <c r="W52" s="15">
        <f t="shared" ref="W52" si="152">SUM(W49:W51)</f>
        <v>162337</v>
      </c>
      <c r="X52" s="15">
        <f t="shared" ref="X52" si="153">SUM(X49:X51)</f>
        <v>153041</v>
      </c>
      <c r="Y52" s="15">
        <f t="shared" ref="Y52" si="154">SUM(Y49:Y51)</f>
        <v>156650</v>
      </c>
      <c r="Z52" s="15">
        <f t="shared" ref="Z52" si="155">SUM(Z49:Z51)</f>
        <v>141368</v>
      </c>
      <c r="AA52" s="15">
        <f t="shared" ref="AA52" si="156">SUM(AA49:AA51)</f>
        <v>132922</v>
      </c>
      <c r="AB52" s="15">
        <f t="shared" ref="AB52" si="157">SUM(AB49:AB51)</f>
        <v>132986</v>
      </c>
      <c r="AC52" s="15">
        <f t="shared" ref="AC52" si="158">SUM(AC49:AC51)</f>
        <v>132420</v>
      </c>
      <c r="AE52" s="15">
        <f t="shared" ref="AE52" si="159">SUM(AE49:AE51)</f>
        <v>169109</v>
      </c>
      <c r="AF52" s="15">
        <f t="shared" ref="AF52" si="160">SUM(AF49:AF51)</f>
        <v>165450</v>
      </c>
      <c r="AG52" s="15">
        <f t="shared" ref="AG52" si="161">SUM(AG49:AG51)</f>
        <v>166333</v>
      </c>
      <c r="AH52" s="15">
        <f t="shared" ref="AH52" si="162">SUM(AH49:AH51)</f>
        <v>166543</v>
      </c>
      <c r="AI52" s="15">
        <f t="shared" ref="AI52" si="163">SUM(AI49:AI51)</f>
        <v>162099</v>
      </c>
      <c r="AJ52" s="15">
        <f t="shared" ref="AJ52" si="164">SUM(AJ49:AJ51)</f>
        <v>172575</v>
      </c>
      <c r="AK52" s="15">
        <f t="shared" ref="AK52" si="165">SUM(AK49:AK51)</f>
        <v>162337</v>
      </c>
      <c r="AL52" s="15">
        <f t="shared" ref="AL52" si="166">SUM(AL49:AL51)</f>
        <v>153041</v>
      </c>
      <c r="AM52" s="15">
        <f t="shared" ref="AM52" si="167">SUM(AM49:AM51)</f>
        <v>156650</v>
      </c>
      <c r="AN52" s="15">
        <f t="shared" ref="AN52" si="168">SUM(AN49:AN51)</f>
        <v>141368</v>
      </c>
      <c r="AO52" s="15">
        <f t="shared" ref="AO52" si="169">SUM(AO49:AO51)</f>
        <v>132922</v>
      </c>
      <c r="AP52" s="15">
        <f t="shared" ref="AP52:AQ52" si="170">SUM(AP49:AP51)</f>
        <v>132986</v>
      </c>
      <c r="AQ52" s="15">
        <f t="shared" si="170"/>
        <v>132420</v>
      </c>
    </row>
    <row r="53" spans="2:43" ht="5.0999999999999996" customHeight="1"/>
    <row r="54" spans="2:43" ht="12.75" customHeight="1">
      <c r="B54" s="37" t="s">
        <v>65</v>
      </c>
    </row>
    <row r="55" spans="2:43" ht="12.75" customHeight="1">
      <c r="B55" s="8" t="s">
        <v>66</v>
      </c>
      <c r="C55" s="131">
        <f>'Historical Financials'!C41</f>
        <v>15754</v>
      </c>
      <c r="D55" s="131">
        <f>'Historical Financials'!D41</f>
        <v>17874</v>
      </c>
      <c r="E55" s="131">
        <f>'Historical Financials'!E41</f>
        <v>23186</v>
      </c>
      <c r="F55" s="131">
        <f>'Historical Financials'!F41</f>
        <v>22926</v>
      </c>
      <c r="G55" s="131">
        <f>'Historical Financials'!G41</f>
        <v>16120</v>
      </c>
      <c r="H55" s="131">
        <f>'Historical Financials'!H41</f>
        <v>26278</v>
      </c>
      <c r="I55" s="131">
        <f>'Historical Financials'!I41</f>
        <v>28184</v>
      </c>
      <c r="J55" s="131">
        <f>'Historical Financials'!J41</f>
        <v>29508</v>
      </c>
      <c r="K55" s="131">
        <f>'Historical Financials'!K41</f>
        <v>66243</v>
      </c>
      <c r="L55" s="131">
        <f>'Historical Financials'!L41</f>
        <v>39777</v>
      </c>
      <c r="N55" s="131">
        <f>'Historical Financials'!N41</f>
        <v>30213</v>
      </c>
      <c r="O55" s="131">
        <f>'Historical Financials'!O41</f>
        <v>20815</v>
      </c>
      <c r="P55" s="131">
        <f>'Historical Financials'!P41</f>
        <v>21803</v>
      </c>
      <c r="Q55" s="131">
        <f>'Historical Financials'!Q41</f>
        <v>28184</v>
      </c>
      <c r="R55" s="131">
        <f>'Historical Financials'!R41</f>
        <v>23752</v>
      </c>
      <c r="S55" s="131">
        <f>'Historical Financials'!S41</f>
        <v>17936</v>
      </c>
      <c r="T55" s="131">
        <f>'Historical Financials'!T41</f>
        <v>19549</v>
      </c>
      <c r="U55" s="131">
        <f>'Historical Financials'!U41</f>
        <v>29508</v>
      </c>
      <c r="V55" s="131">
        <f>'Historical Financials'!V41</f>
        <v>23194</v>
      </c>
      <c r="W55" s="131">
        <f>'Historical Financials'!W41</f>
        <v>21837</v>
      </c>
      <c r="X55" s="131">
        <f>'Historical Financials'!X41</f>
        <v>22795</v>
      </c>
      <c r="Y55" s="131">
        <f>'Historical Financials'!Y41</f>
        <v>66243</v>
      </c>
      <c r="Z55" s="131">
        <f>'Historical Financials'!Z41</f>
        <v>29639</v>
      </c>
      <c r="AA55" s="131">
        <f>'Historical Financials'!AA41</f>
        <v>49798</v>
      </c>
      <c r="AB55" s="131">
        <f>'Historical Financials'!AB41</f>
        <v>46835</v>
      </c>
      <c r="AC55" s="131">
        <f>'Historical Financials'!AC41</f>
        <v>39777</v>
      </c>
      <c r="AD55" s="11"/>
      <c r="AE55" s="11">
        <f t="shared" ref="AE55:AQ56" si="171">Q55</f>
        <v>28184</v>
      </c>
      <c r="AF55" s="11">
        <f t="shared" si="171"/>
        <v>23752</v>
      </c>
      <c r="AG55" s="11">
        <f t="shared" si="171"/>
        <v>17936</v>
      </c>
      <c r="AH55" s="11">
        <f t="shared" si="171"/>
        <v>19549</v>
      </c>
      <c r="AI55" s="11">
        <f t="shared" si="171"/>
        <v>29508</v>
      </c>
      <c r="AJ55" s="11">
        <f t="shared" si="171"/>
        <v>23194</v>
      </c>
      <c r="AK55" s="11">
        <f t="shared" si="171"/>
        <v>21837</v>
      </c>
      <c r="AL55" s="11">
        <f t="shared" si="171"/>
        <v>22795</v>
      </c>
      <c r="AM55" s="11">
        <f t="shared" si="171"/>
        <v>66243</v>
      </c>
      <c r="AN55" s="11">
        <f t="shared" si="171"/>
        <v>29639</v>
      </c>
      <c r="AO55" s="11">
        <f t="shared" si="171"/>
        <v>49798</v>
      </c>
      <c r="AP55" s="11">
        <f t="shared" si="171"/>
        <v>46835</v>
      </c>
      <c r="AQ55" s="11">
        <f t="shared" si="171"/>
        <v>39777</v>
      </c>
    </row>
    <row r="56" spans="2:43" ht="12.75" customHeight="1">
      <c r="B56" s="8" t="s">
        <v>67</v>
      </c>
      <c r="C56" s="131">
        <f>'Historical Financials'!C51</f>
        <v>37294</v>
      </c>
      <c r="D56" s="131">
        <f>'Historical Financials'!D51</f>
        <v>44242</v>
      </c>
      <c r="E56" s="131">
        <f>'Historical Financials'!E51</f>
        <v>55888</v>
      </c>
      <c r="F56" s="131">
        <f>'Historical Financials'!F51</f>
        <v>46236</v>
      </c>
      <c r="G56" s="131">
        <f>'Historical Financials'!G51</f>
        <v>42296</v>
      </c>
      <c r="H56" s="131">
        <f>'Historical Financials'!H51</f>
        <v>54763</v>
      </c>
      <c r="I56" s="131">
        <f>'Historical Financials'!I51</f>
        <v>64115</v>
      </c>
      <c r="J56" s="131">
        <f>'Historical Financials'!J51</f>
        <v>62611</v>
      </c>
      <c r="K56" s="131">
        <f>'Historical Financials'!K51</f>
        <v>68960</v>
      </c>
      <c r="L56" s="131">
        <f>'Historical Financials'!L51</f>
        <v>69860</v>
      </c>
      <c r="M56" s="131"/>
      <c r="N56" s="131">
        <f>'Historical Financials'!N51</f>
        <v>74362</v>
      </c>
      <c r="O56" s="131">
        <f>'Historical Financials'!O51</f>
        <v>52682</v>
      </c>
      <c r="P56" s="131">
        <f>'Historical Financials'!P51</f>
        <v>48343</v>
      </c>
      <c r="Q56" s="131">
        <f>'Historical Financials'!Q51</f>
        <v>64115</v>
      </c>
      <c r="R56" s="131">
        <f>'Historical Financials'!R51</f>
        <v>57918</v>
      </c>
      <c r="S56" s="131">
        <f>'Historical Financials'!S51</f>
        <v>42945</v>
      </c>
      <c r="T56" s="131">
        <f>'Historical Financials'!T51</f>
        <v>46699</v>
      </c>
      <c r="U56" s="131">
        <f>'Historical Financials'!U51</f>
        <v>62611</v>
      </c>
      <c r="V56" s="131">
        <f>'Historical Financials'!V51</f>
        <v>58146</v>
      </c>
      <c r="W56" s="131">
        <f>'Historical Financials'!W51</f>
        <v>45753</v>
      </c>
      <c r="X56" s="131">
        <f>'Historical Financials'!X51</f>
        <v>47574</v>
      </c>
      <c r="Y56" s="131">
        <f>'Historical Financials'!Y51</f>
        <v>68960</v>
      </c>
      <c r="Z56" s="131">
        <f>'Historical Financials'!Z51</f>
        <v>61910</v>
      </c>
      <c r="AA56" s="131">
        <f>'Historical Financials'!AA51</f>
        <v>54126</v>
      </c>
      <c r="AB56" s="131">
        <f>'Historical Financials'!AB51</f>
        <v>50374</v>
      </c>
      <c r="AC56" s="131">
        <f>'Historical Financials'!AC51</f>
        <v>69860</v>
      </c>
      <c r="AE56" s="11">
        <f t="shared" si="171"/>
        <v>64115</v>
      </c>
      <c r="AF56" s="11">
        <f t="shared" si="171"/>
        <v>57918</v>
      </c>
      <c r="AG56" s="11">
        <f t="shared" si="171"/>
        <v>42945</v>
      </c>
      <c r="AH56" s="11">
        <f t="shared" si="171"/>
        <v>46699</v>
      </c>
      <c r="AI56" s="11">
        <f t="shared" si="171"/>
        <v>62611</v>
      </c>
      <c r="AJ56" s="11">
        <f t="shared" si="171"/>
        <v>58146</v>
      </c>
      <c r="AK56" s="11">
        <f t="shared" si="171"/>
        <v>45753</v>
      </c>
      <c r="AL56" s="11">
        <f t="shared" si="171"/>
        <v>47574</v>
      </c>
      <c r="AM56" s="11">
        <f t="shared" si="171"/>
        <v>68960</v>
      </c>
      <c r="AN56" s="11">
        <f t="shared" si="171"/>
        <v>61910</v>
      </c>
      <c r="AO56" s="11">
        <f t="shared" si="171"/>
        <v>54126</v>
      </c>
      <c r="AP56" s="11">
        <f t="shared" si="171"/>
        <v>50374</v>
      </c>
      <c r="AQ56" s="11">
        <f t="shared" si="171"/>
        <v>69860</v>
      </c>
    </row>
    <row r="57" spans="2:43" ht="12.75" customHeight="1">
      <c r="B57" s="8" t="s">
        <v>15</v>
      </c>
      <c r="C57" s="131">
        <f>'Historical Financials'!C42</f>
        <v>2132</v>
      </c>
      <c r="D57" s="131">
        <f>'Historical Financials'!D42</f>
        <v>4855</v>
      </c>
      <c r="E57" s="131">
        <f>'Historical Financials'!E42</f>
        <v>3956</v>
      </c>
      <c r="F57" s="131">
        <f>'Historical Financials'!F42</f>
        <v>4106</v>
      </c>
      <c r="G57" s="131">
        <f>'Historical Financials'!G42</f>
        <v>4061</v>
      </c>
      <c r="H57" s="131">
        <f>'Historical Financials'!H42</f>
        <v>6580</v>
      </c>
      <c r="I57" s="131">
        <f>'Historical Financials'!I42</f>
        <v>4946</v>
      </c>
      <c r="J57" s="131">
        <f>'Historical Financials'!J42</f>
        <v>6331</v>
      </c>
      <c r="K57" s="131">
        <f>'Historical Financials'!K42</f>
        <v>7286</v>
      </c>
      <c r="L57" s="131">
        <f>'Historical Financials'!L42</f>
        <v>5718</v>
      </c>
      <c r="M57" s="131"/>
      <c r="N57" s="131">
        <f>'Historical Financials'!N42</f>
        <v>5876</v>
      </c>
      <c r="O57" s="131">
        <f>'Historical Financials'!O42</f>
        <v>5460</v>
      </c>
      <c r="P57" s="131">
        <f>'Historical Financials'!P42</f>
        <v>5433</v>
      </c>
      <c r="Q57" s="131">
        <f>'Historical Financials'!Q42</f>
        <v>4946</v>
      </c>
      <c r="R57" s="131">
        <f>'Historical Financials'!R42</f>
        <v>6820</v>
      </c>
      <c r="S57" s="131">
        <f>'Historical Financials'!S42</f>
        <v>7482</v>
      </c>
      <c r="T57" s="131">
        <f>'Historical Financials'!T42</f>
        <v>7351</v>
      </c>
      <c r="U57" s="131">
        <f>'Historical Financials'!U42</f>
        <v>6331</v>
      </c>
      <c r="V57" s="131">
        <f>'Historical Financials'!V42</f>
        <v>6511</v>
      </c>
      <c r="W57" s="131">
        <f>'Historical Financials'!W42</f>
        <v>6232</v>
      </c>
      <c r="X57" s="131">
        <f>'Historical Financials'!X42</f>
        <v>6165</v>
      </c>
      <c r="Y57" s="131">
        <f>'Historical Financials'!Y42</f>
        <v>7286</v>
      </c>
      <c r="Z57" s="131">
        <f>'Historical Financials'!Z42</f>
        <v>6911</v>
      </c>
      <c r="AA57" s="131">
        <f>'Historical Financials'!AA42</f>
        <v>6269</v>
      </c>
      <c r="AB57" s="131">
        <f>'Historical Financials'!AB42</f>
        <v>5925</v>
      </c>
      <c r="AC57" s="131">
        <f>'Historical Financials'!AC42</f>
        <v>5718</v>
      </c>
      <c r="AE57" s="11"/>
      <c r="AF57" s="11"/>
      <c r="AG57" s="11"/>
      <c r="AH57" s="11"/>
      <c r="AI57" s="11"/>
      <c r="AJ57" s="11"/>
      <c r="AK57" s="11">
        <f t="shared" ref="AK57:AQ60" si="172">W57</f>
        <v>6232</v>
      </c>
      <c r="AL57" s="11">
        <f t="shared" si="172"/>
        <v>6165</v>
      </c>
      <c r="AM57" s="11">
        <f t="shared" si="172"/>
        <v>7286</v>
      </c>
      <c r="AN57" s="11">
        <f t="shared" si="172"/>
        <v>6911</v>
      </c>
      <c r="AO57" s="11">
        <f t="shared" si="172"/>
        <v>6269</v>
      </c>
      <c r="AP57" s="11">
        <f t="shared" si="172"/>
        <v>5925</v>
      </c>
      <c r="AQ57" s="11">
        <f t="shared" si="172"/>
        <v>5718</v>
      </c>
    </row>
    <row r="58" spans="2:43" ht="12.75" customHeight="1">
      <c r="B58" s="8" t="s">
        <v>68</v>
      </c>
      <c r="C58" s="131">
        <f>'Historical Financials'!C46</f>
        <v>27010</v>
      </c>
      <c r="D58" s="131">
        <f>'Historical Financials'!D46</f>
        <v>33783</v>
      </c>
      <c r="E58" s="131">
        <f>'Historical Financials'!E46</f>
        <v>41304</v>
      </c>
      <c r="F58" s="131">
        <f>'Historical Financials'!F46</f>
        <v>37378</v>
      </c>
      <c r="G58" s="131">
        <f>'Historical Financials'!G46</f>
        <v>36766</v>
      </c>
      <c r="H58" s="131">
        <f>'Historical Financials'!H46</f>
        <v>39440</v>
      </c>
      <c r="I58" s="131">
        <f>'Historical Financials'!I46</f>
        <v>42117</v>
      </c>
      <c r="J58" s="131">
        <f>'Historical Financials'!J46</f>
        <v>43715</v>
      </c>
      <c r="K58" s="131">
        <f>'Historical Financials'!K46</f>
        <v>45680</v>
      </c>
      <c r="L58" s="131">
        <f>'Historical Financials'!L46</f>
        <v>49834</v>
      </c>
      <c r="M58" s="131"/>
      <c r="N58" s="131">
        <f>'Historical Financials'!N46</f>
        <v>39245</v>
      </c>
      <c r="O58" s="131">
        <f>'Historical Financials'!O46</f>
        <v>39304</v>
      </c>
      <c r="P58" s="131">
        <f>'Historical Financials'!P46</f>
        <v>40335</v>
      </c>
      <c r="Q58" s="131">
        <f>'Historical Financials'!Q46</f>
        <v>42117</v>
      </c>
      <c r="R58" s="131">
        <f>'Historical Financials'!R46</f>
        <v>42951</v>
      </c>
      <c r="S58" s="131">
        <f>'Historical Financials'!S46</f>
        <v>43398</v>
      </c>
      <c r="T58" s="131">
        <f>'Historical Financials'!T46</f>
        <v>43550</v>
      </c>
      <c r="U58" s="131">
        <f>'Historical Financials'!U46</f>
        <v>43715</v>
      </c>
      <c r="V58" s="131">
        <f>'Historical Financials'!V46</f>
        <v>43666</v>
      </c>
      <c r="W58" s="131">
        <f>'Historical Financials'!W46</f>
        <v>43546</v>
      </c>
      <c r="X58" s="131">
        <f>'Historical Financials'!X46</f>
        <v>44502</v>
      </c>
      <c r="Y58" s="131">
        <f>'Historical Financials'!Y46</f>
        <v>45680</v>
      </c>
      <c r="Z58" s="131">
        <f>'Historical Financials'!Z46</f>
        <v>46069</v>
      </c>
      <c r="AA58" s="131">
        <f>'Historical Financials'!AA46</f>
        <v>46876</v>
      </c>
      <c r="AB58" s="131">
        <f>'Historical Financials'!AB46</f>
        <v>48508</v>
      </c>
      <c r="AC58" s="131">
        <f>'Historical Financials'!AC46</f>
        <v>49834</v>
      </c>
      <c r="AE58" s="11">
        <f t="shared" ref="AE58:AJ60" si="173">Q58</f>
        <v>42117</v>
      </c>
      <c r="AF58" s="11">
        <f t="shared" si="173"/>
        <v>42951</v>
      </c>
      <c r="AG58" s="11">
        <f t="shared" si="173"/>
        <v>43398</v>
      </c>
      <c r="AH58" s="11">
        <f t="shared" si="173"/>
        <v>43550</v>
      </c>
      <c r="AI58" s="11">
        <f t="shared" si="173"/>
        <v>43715</v>
      </c>
      <c r="AJ58" s="11">
        <f t="shared" si="173"/>
        <v>43666</v>
      </c>
      <c r="AK58" s="11">
        <f t="shared" si="172"/>
        <v>43546</v>
      </c>
      <c r="AL58" s="11">
        <f t="shared" si="172"/>
        <v>44502</v>
      </c>
      <c r="AM58" s="11">
        <f t="shared" si="172"/>
        <v>45680</v>
      </c>
      <c r="AN58" s="11">
        <f t="shared" si="172"/>
        <v>46069</v>
      </c>
      <c r="AO58" s="11">
        <f t="shared" si="172"/>
        <v>46876</v>
      </c>
      <c r="AP58" s="11">
        <f t="shared" si="172"/>
        <v>48508</v>
      </c>
      <c r="AQ58" s="11">
        <f t="shared" si="172"/>
        <v>49834</v>
      </c>
    </row>
    <row r="59" spans="2:43" ht="12.75" customHeight="1">
      <c r="B59" s="8" t="s">
        <v>69</v>
      </c>
      <c r="C59" s="131">
        <f>'Historical Financials'!C60</f>
        <v>193437</v>
      </c>
      <c r="D59" s="131">
        <f>'Historical Financials'!D60</f>
        <v>241272</v>
      </c>
      <c r="E59" s="131">
        <f>'Historical Financials'!E60</f>
        <v>258578</v>
      </c>
      <c r="F59" s="131">
        <f>'Historical Financials'!F60</f>
        <v>248028</v>
      </c>
      <c r="G59" s="131">
        <f>'Historical Financials'!G60</f>
        <v>258549</v>
      </c>
      <c r="H59" s="131">
        <f>'Historical Financials'!H60</f>
        <v>287912</v>
      </c>
      <c r="I59" s="131">
        <f>'Historical Financials'!I60</f>
        <v>302083</v>
      </c>
      <c r="J59" s="131">
        <f>'Historical Financials'!J60</f>
        <v>290437</v>
      </c>
      <c r="K59" s="131">
        <f>'Historical Financials'!K60</f>
        <v>308030</v>
      </c>
      <c r="L59" s="131">
        <f>'Historical Financials'!L60</f>
        <v>285508</v>
      </c>
      <c r="M59" s="131"/>
      <c r="N59" s="131">
        <f>'Historical Financials'!N60</f>
        <v>309259</v>
      </c>
      <c r="O59" s="131">
        <f>'Historical Financials'!O60</f>
        <v>283263</v>
      </c>
      <c r="P59" s="131">
        <f>'Historical Financials'!P60</f>
        <v>278202</v>
      </c>
      <c r="Q59" s="131">
        <f>'Historical Financials'!Q60</f>
        <v>302083</v>
      </c>
      <c r="R59" s="131">
        <f>'Historical Financials'!R60</f>
        <v>290020</v>
      </c>
      <c r="S59" s="131">
        <f>'Historical Financials'!S60</f>
        <v>270002</v>
      </c>
      <c r="T59" s="131">
        <f>'Historical Financials'!T60</f>
        <v>274764</v>
      </c>
      <c r="U59" s="131">
        <f>'Historical Financials'!U60</f>
        <v>290437</v>
      </c>
      <c r="V59" s="131">
        <f>'Historical Financials'!V60</f>
        <v>279414</v>
      </c>
      <c r="W59" s="131">
        <f>'Historical Financials'!W60</f>
        <v>263217</v>
      </c>
      <c r="X59" s="131">
        <f>'Historical Financials'!X60</f>
        <v>264904</v>
      </c>
      <c r="Y59" s="131">
        <f>'Historical Financials'!Y60</f>
        <v>308030</v>
      </c>
      <c r="Z59" s="131">
        <f>'Historical Financials'!Z60</f>
        <v>277327</v>
      </c>
      <c r="AA59" s="131">
        <f>'Historical Financials'!AA60</f>
        <v>264437</v>
      </c>
      <c r="AB59" s="131">
        <f>'Historical Financials'!AB60</f>
        <v>265665</v>
      </c>
      <c r="AC59" s="131">
        <f>'Historical Financials'!AC60</f>
        <v>285508</v>
      </c>
      <c r="AE59" s="11">
        <f t="shared" si="173"/>
        <v>302083</v>
      </c>
      <c r="AF59" s="11">
        <f t="shared" si="173"/>
        <v>290020</v>
      </c>
      <c r="AG59" s="11">
        <f t="shared" si="173"/>
        <v>270002</v>
      </c>
      <c r="AH59" s="11">
        <f t="shared" si="173"/>
        <v>274764</v>
      </c>
      <c r="AI59" s="11">
        <f t="shared" si="173"/>
        <v>290437</v>
      </c>
      <c r="AJ59" s="11">
        <f t="shared" si="173"/>
        <v>279414</v>
      </c>
      <c r="AK59" s="11">
        <f t="shared" si="172"/>
        <v>263217</v>
      </c>
      <c r="AL59" s="11">
        <f t="shared" si="172"/>
        <v>264904</v>
      </c>
      <c r="AM59" s="11">
        <f t="shared" si="172"/>
        <v>308030</v>
      </c>
      <c r="AN59" s="11">
        <f t="shared" si="172"/>
        <v>277327</v>
      </c>
      <c r="AO59" s="11">
        <f t="shared" si="172"/>
        <v>264437</v>
      </c>
      <c r="AP59" s="11">
        <f t="shared" si="172"/>
        <v>265665</v>
      </c>
      <c r="AQ59" s="11">
        <f t="shared" si="172"/>
        <v>285508</v>
      </c>
    </row>
    <row r="60" spans="2:43" ht="12.75" customHeight="1">
      <c r="B60" s="8" t="s">
        <v>23</v>
      </c>
      <c r="C60" s="131">
        <f>'Historical Financials'!C60</f>
        <v>193437</v>
      </c>
      <c r="D60" s="131">
        <f>'Historical Financials'!D60</f>
        <v>241272</v>
      </c>
      <c r="E60" s="131">
        <f>'Historical Financials'!E60</f>
        <v>258578</v>
      </c>
      <c r="F60" s="131">
        <f>'Historical Financials'!F60</f>
        <v>248028</v>
      </c>
      <c r="G60" s="131">
        <f>'Historical Financials'!G60</f>
        <v>258549</v>
      </c>
      <c r="H60" s="131">
        <f>'Historical Financials'!H60</f>
        <v>287912</v>
      </c>
      <c r="I60" s="131">
        <f>'Historical Financials'!I60</f>
        <v>302083</v>
      </c>
      <c r="J60" s="131">
        <f>'Historical Financials'!J60</f>
        <v>290437</v>
      </c>
      <c r="K60" s="131">
        <f>'Historical Financials'!K60</f>
        <v>308030</v>
      </c>
      <c r="L60" s="131">
        <f>'Historical Financials'!L60</f>
        <v>285508</v>
      </c>
      <c r="M60" s="131"/>
      <c r="N60" s="131">
        <f>'Historical Financials'!N60</f>
        <v>309259</v>
      </c>
      <c r="O60" s="131">
        <f>'Historical Financials'!O60</f>
        <v>283263</v>
      </c>
      <c r="P60" s="131">
        <f>'Historical Financials'!P60</f>
        <v>278202</v>
      </c>
      <c r="Q60" s="131">
        <f>'Historical Financials'!Q60</f>
        <v>302083</v>
      </c>
      <c r="R60" s="131">
        <f>'Historical Financials'!R60</f>
        <v>290020</v>
      </c>
      <c r="S60" s="131">
        <f>'Historical Financials'!S60</f>
        <v>270002</v>
      </c>
      <c r="T60" s="131">
        <f>'Historical Financials'!T60</f>
        <v>274764</v>
      </c>
      <c r="U60" s="131">
        <f>'Historical Financials'!U60</f>
        <v>290437</v>
      </c>
      <c r="V60" s="131">
        <f>'Historical Financials'!V60</f>
        <v>279414</v>
      </c>
      <c r="W60" s="131">
        <f>'Historical Financials'!W60</f>
        <v>263217</v>
      </c>
      <c r="X60" s="131">
        <f>'Historical Financials'!X60</f>
        <v>264904</v>
      </c>
      <c r="Y60" s="131">
        <f>'Historical Financials'!Y60</f>
        <v>308030</v>
      </c>
      <c r="Z60" s="131">
        <f>'Historical Financials'!Z60</f>
        <v>277327</v>
      </c>
      <c r="AA60" s="131">
        <f>'Historical Financials'!AA60</f>
        <v>264437</v>
      </c>
      <c r="AB60" s="131">
        <f>'Historical Financials'!AB60</f>
        <v>265665</v>
      </c>
      <c r="AC60" s="131">
        <f>'Historical Financials'!AC60</f>
        <v>285508</v>
      </c>
      <c r="AE60" s="11">
        <f t="shared" si="173"/>
        <v>302083</v>
      </c>
      <c r="AF60" s="11">
        <f t="shared" si="173"/>
        <v>290020</v>
      </c>
      <c r="AG60" s="11">
        <f t="shared" si="173"/>
        <v>270002</v>
      </c>
      <c r="AH60" s="11">
        <f t="shared" si="173"/>
        <v>274764</v>
      </c>
      <c r="AI60" s="11">
        <f t="shared" si="173"/>
        <v>290437</v>
      </c>
      <c r="AJ60" s="11">
        <f t="shared" si="173"/>
        <v>279414</v>
      </c>
      <c r="AK60" s="11">
        <f t="shared" si="172"/>
        <v>263217</v>
      </c>
      <c r="AL60" s="11">
        <f t="shared" si="172"/>
        <v>264904</v>
      </c>
      <c r="AM60" s="11">
        <f t="shared" si="172"/>
        <v>308030</v>
      </c>
      <c r="AN60" s="11">
        <f t="shared" si="172"/>
        <v>277327</v>
      </c>
      <c r="AO60" s="11">
        <f t="shared" si="172"/>
        <v>264437</v>
      </c>
      <c r="AP60" s="11">
        <f t="shared" si="172"/>
        <v>265665</v>
      </c>
      <c r="AQ60" s="11">
        <f t="shared" si="172"/>
        <v>285508</v>
      </c>
    </row>
    <row r="61" spans="2:43" ht="5.0999999999999996" customHeight="1"/>
    <row r="62" spans="2:43" ht="12.75" customHeight="1">
      <c r="B62" s="37" t="s">
        <v>70</v>
      </c>
    </row>
    <row r="63" spans="2:43" ht="12.75" customHeight="1">
      <c r="B63" s="8" t="s">
        <v>71</v>
      </c>
      <c r="C63" s="131">
        <f>+'Historical Financials'!C54+'Historical Financials'!C55</f>
        <v>11605</v>
      </c>
      <c r="D63" s="131">
        <f>+'Historical Financials'!D54+'Historical Financials'!D55</f>
        <v>18473</v>
      </c>
      <c r="E63" s="131">
        <f>+'Historical Financials'!E54+'Historical Financials'!E55</f>
        <v>20748</v>
      </c>
      <c r="F63" s="131">
        <f>+'Historical Financials'!F54+'Historical Financials'!F55</f>
        <v>16240</v>
      </c>
      <c r="G63" s="131">
        <f>+'Historical Financials'!G54+'Historical Financials'!G55</f>
        <v>13769</v>
      </c>
      <c r="H63" s="131">
        <f>+'Historical Financials'!H54+'Historical Financials'!H55</f>
        <v>15613</v>
      </c>
      <c r="I63" s="131">
        <f>+'Historical Financials'!I54+'Historical Financials'!I55</f>
        <v>21110</v>
      </c>
      <c r="J63" s="131">
        <f>+'Historical Financials'!J54+'Historical Financials'!J55</f>
        <v>15807</v>
      </c>
      <c r="K63" s="131">
        <f>+'Historical Financials'!K54+'Historical Financials'!K55</f>
        <v>20879</v>
      </c>
      <c r="L63" s="131">
        <f>+'Historical Financials'!L54+'Historical Financials'!L55</f>
        <v>20329</v>
      </c>
      <c r="N63" s="131">
        <f>+'Historical Financials'!N54+'Historical Financials'!N55</f>
        <v>16169</v>
      </c>
      <c r="O63" s="131">
        <f>+'Historical Financials'!O54+'Historical Financials'!O55</f>
        <v>16658</v>
      </c>
      <c r="P63" s="131">
        <f>+'Historical Financials'!P54+'Historical Financials'!P55</f>
        <v>24991</v>
      </c>
      <c r="Q63" s="131">
        <f>+'Historical Financials'!Q54+'Historical Financials'!Q55</f>
        <v>21110</v>
      </c>
      <c r="R63" s="131">
        <f>+'Historical Financials'!R54+'Historical Financials'!R55</f>
        <v>11483</v>
      </c>
      <c r="S63" s="131">
        <f>+'Historical Financials'!S54+'Historical Financials'!S55</f>
        <v>12574</v>
      </c>
      <c r="T63" s="131">
        <f>+'Historical Financials'!T54+'Historical Financials'!T55</f>
        <v>11209</v>
      </c>
      <c r="U63" s="131">
        <f>+'Historical Financials'!U54+'Historical Financials'!U55</f>
        <v>15807</v>
      </c>
      <c r="V63" s="131">
        <f>+'Historical Financials'!V54+'Historical Financials'!V55</f>
        <v>12952</v>
      </c>
      <c r="W63" s="131">
        <f>+'Historical Financials'!W54+'Historical Financials'!W55</f>
        <v>12759</v>
      </c>
      <c r="X63" s="131">
        <f>+'Historical Financials'!X54+'Historical Financials'!X55</f>
        <v>15108</v>
      </c>
      <c r="Y63" s="131">
        <f>+'Historical Financials'!Y54+'Historical Financials'!Y55</f>
        <v>20879</v>
      </c>
      <c r="Z63" s="131">
        <f>+'Historical Financials'!Z54+'Historical Financials'!Z55</f>
        <v>12843</v>
      </c>
      <c r="AA63" s="131">
        <f>+'Historical Financials'!AA54+'Historical Financials'!AA55</f>
        <v>19620</v>
      </c>
      <c r="AB63" s="131">
        <f>+'Historical Financials'!AB54+'Historical Financials'!AB55</f>
        <v>19268</v>
      </c>
      <c r="AC63" s="131">
        <f>+'Historical Financials'!AC54+'Historical Financials'!AC55</f>
        <v>20329</v>
      </c>
      <c r="AE63" s="11">
        <f t="shared" ref="AE63:AQ64" si="174">Q63</f>
        <v>21110</v>
      </c>
      <c r="AF63" s="11">
        <f t="shared" si="174"/>
        <v>11483</v>
      </c>
      <c r="AG63" s="11">
        <f t="shared" si="174"/>
        <v>12574</v>
      </c>
      <c r="AH63" s="11">
        <f t="shared" si="174"/>
        <v>11209</v>
      </c>
      <c r="AI63" s="11">
        <f t="shared" si="174"/>
        <v>15807</v>
      </c>
      <c r="AJ63" s="11">
        <f t="shared" si="174"/>
        <v>12952</v>
      </c>
      <c r="AK63" s="11">
        <f t="shared" si="174"/>
        <v>12759</v>
      </c>
      <c r="AL63" s="11">
        <f t="shared" si="174"/>
        <v>15108</v>
      </c>
      <c r="AM63" s="11">
        <f t="shared" si="174"/>
        <v>20879</v>
      </c>
      <c r="AN63" s="11">
        <f t="shared" si="174"/>
        <v>12843</v>
      </c>
      <c r="AO63" s="11">
        <f t="shared" si="174"/>
        <v>19620</v>
      </c>
      <c r="AP63" s="11">
        <f t="shared" si="174"/>
        <v>19268</v>
      </c>
      <c r="AQ63" s="11">
        <f t="shared" si="174"/>
        <v>20329</v>
      </c>
    </row>
    <row r="64" spans="2:43" ht="12.75" customHeight="1">
      <c r="B64" s="8" t="s">
        <v>72</v>
      </c>
      <c r="C64" s="131">
        <f>'Historical Financials'!C58</f>
        <v>75427</v>
      </c>
      <c r="D64" s="131">
        <f>'Historical Financials'!D58</f>
        <v>97207</v>
      </c>
      <c r="E64" s="131">
        <f>'Historical Financials'!E58</f>
        <v>93735</v>
      </c>
      <c r="F64" s="131">
        <f>'Historical Financials'!F58</f>
        <v>91807</v>
      </c>
      <c r="G64" s="131">
        <f>'Historical Financials'!G58</f>
        <v>98667</v>
      </c>
      <c r="H64" s="131">
        <f>'Historical Financials'!H58</f>
        <v>109106</v>
      </c>
      <c r="I64" s="131">
        <f>'Historical Financials'!I58</f>
        <v>98959</v>
      </c>
      <c r="J64" s="131">
        <f>'Historical Financials'!J58</f>
        <v>95281</v>
      </c>
      <c r="K64" s="131">
        <f>'Historical Financials'!K58</f>
        <v>85750</v>
      </c>
      <c r="L64" s="131">
        <f>'Historical Financials'!L58</f>
        <v>78328</v>
      </c>
      <c r="N64" s="131">
        <f>'Historical Financials'!N58</f>
        <v>106629</v>
      </c>
      <c r="O64" s="131">
        <f>'Historical Financials'!O58</f>
        <v>103323</v>
      </c>
      <c r="P64" s="131">
        <f>'Historical Financials'!P58</f>
        <v>94700</v>
      </c>
      <c r="Q64" s="131">
        <f>'Historical Financials'!Q58</f>
        <v>98959</v>
      </c>
      <c r="R64" s="131">
        <f>'Historical Financials'!R58</f>
        <v>99627</v>
      </c>
      <c r="S64" s="131">
        <f>'Historical Financials'!S58</f>
        <v>97041</v>
      </c>
      <c r="T64" s="131">
        <f>'Historical Financials'!T58</f>
        <v>98071</v>
      </c>
      <c r="U64" s="131">
        <f>'Historical Financials'!U58</f>
        <v>95281</v>
      </c>
      <c r="V64" s="131">
        <f>'Historical Financials'!V58</f>
        <v>95088</v>
      </c>
      <c r="W64" s="131">
        <f>'Historical Financials'!W58</f>
        <v>91831</v>
      </c>
      <c r="X64" s="131">
        <f>'Historical Financials'!X58</f>
        <v>86196</v>
      </c>
      <c r="Y64" s="131">
        <f>'Historical Financials'!Y58</f>
        <v>85750</v>
      </c>
      <c r="Z64" s="131">
        <f>'Historical Financials'!Z58</f>
        <v>83956</v>
      </c>
      <c r="AA64" s="131">
        <f>'Historical Financials'!AA58</f>
        <v>78566</v>
      </c>
      <c r="AB64" s="131">
        <f>'Historical Financials'!AB58</f>
        <v>82430</v>
      </c>
      <c r="AC64" s="131">
        <f>'Historical Financials'!AC58</f>
        <v>78328</v>
      </c>
      <c r="AE64" s="11">
        <f t="shared" si="174"/>
        <v>98959</v>
      </c>
      <c r="AF64" s="11">
        <f t="shared" si="174"/>
        <v>99627</v>
      </c>
      <c r="AG64" s="11">
        <f t="shared" si="174"/>
        <v>97041</v>
      </c>
      <c r="AH64" s="11">
        <f t="shared" si="174"/>
        <v>98071</v>
      </c>
      <c r="AI64" s="11">
        <f t="shared" si="174"/>
        <v>95281</v>
      </c>
      <c r="AJ64" s="11">
        <f t="shared" si="174"/>
        <v>95088</v>
      </c>
      <c r="AK64" s="11">
        <f t="shared" si="174"/>
        <v>91831</v>
      </c>
      <c r="AL64" s="11">
        <f t="shared" si="174"/>
        <v>86196</v>
      </c>
      <c r="AM64" s="11">
        <f t="shared" si="174"/>
        <v>85750</v>
      </c>
      <c r="AN64" s="11">
        <f t="shared" si="174"/>
        <v>83956</v>
      </c>
      <c r="AO64" s="11">
        <f t="shared" si="174"/>
        <v>78566</v>
      </c>
      <c r="AP64" s="11">
        <f t="shared" si="174"/>
        <v>82430</v>
      </c>
      <c r="AQ64" s="11">
        <f t="shared" si="174"/>
        <v>78328</v>
      </c>
    </row>
    <row r="65" spans="1:43">
      <c r="K65" s="11"/>
      <c r="L65" s="11"/>
    </row>
    <row r="66" spans="1:43" ht="12.75" customHeight="1">
      <c r="B66" s="38" t="s">
        <v>237</v>
      </c>
      <c r="C66" s="131">
        <f>'Historical Financials'!C54</f>
        <v>8105</v>
      </c>
      <c r="D66" s="131">
        <f>'Historical Financials'!D54</f>
        <v>11977</v>
      </c>
      <c r="E66" s="131">
        <f>'Historical Financials'!E54</f>
        <v>11964</v>
      </c>
      <c r="F66" s="131">
        <f>'Historical Financials'!F54</f>
        <v>5980</v>
      </c>
      <c r="G66" s="131">
        <f>'Historical Financials'!G54</f>
        <v>4996</v>
      </c>
      <c r="H66" s="131">
        <f>'Historical Financials'!H54</f>
        <v>6000</v>
      </c>
      <c r="I66" s="131">
        <f>'Historical Financials'!I54</f>
        <v>9982</v>
      </c>
      <c r="J66" s="131">
        <f>'Historical Financials'!J54</f>
        <v>5985</v>
      </c>
      <c r="K66" s="131">
        <f>'Historical Financials'!K54</f>
        <v>9967</v>
      </c>
      <c r="L66" s="131">
        <f>'Historical Financials'!L54</f>
        <v>7979</v>
      </c>
      <c r="N66" s="131">
        <f>'Historical Financials'!N54</f>
        <v>5000</v>
      </c>
      <c r="O66" s="131">
        <f>'Historical Financials'!O54</f>
        <v>6999</v>
      </c>
      <c r="P66" s="131">
        <f>'Historical Financials'!P54</f>
        <v>10982</v>
      </c>
      <c r="Q66" s="131">
        <f>'Historical Financials'!Q54</f>
        <v>9982</v>
      </c>
      <c r="R66" s="131">
        <f>'Historical Financials'!R54</f>
        <v>1743</v>
      </c>
      <c r="S66" s="131">
        <f>'Historical Financials'!S54</f>
        <v>1996</v>
      </c>
      <c r="T66" s="131">
        <f>'Historical Financials'!T54</f>
        <v>3993</v>
      </c>
      <c r="U66" s="131">
        <f>'Historical Financials'!U54</f>
        <v>5985</v>
      </c>
      <c r="V66" s="131">
        <f>'Historical Financials'!V54</f>
        <v>1998</v>
      </c>
      <c r="W66" s="131">
        <f>'Historical Financials'!W54</f>
        <v>1997</v>
      </c>
      <c r="X66" s="131">
        <f>'Historical Financials'!X54</f>
        <v>2994</v>
      </c>
      <c r="Y66" s="131">
        <f>'Historical Financials'!Y54</f>
        <v>9967</v>
      </c>
      <c r="Z66" s="131">
        <f>'Historical Financials'!Z54</f>
        <v>1995</v>
      </c>
      <c r="AA66" s="131">
        <f>'Historical Financials'!AA54</f>
        <v>5982</v>
      </c>
      <c r="AB66" s="131">
        <f>'Historical Financials'!AB54</f>
        <v>9923</v>
      </c>
      <c r="AC66" s="131">
        <f>'Historical Financials'!AC54</f>
        <v>7979</v>
      </c>
      <c r="AE66" s="11">
        <f t="shared" ref="AE66:AQ66" si="175">Q66</f>
        <v>9982</v>
      </c>
      <c r="AF66" s="11">
        <f t="shared" si="175"/>
        <v>1743</v>
      </c>
      <c r="AG66" s="11">
        <f t="shared" si="175"/>
        <v>1996</v>
      </c>
      <c r="AH66" s="11">
        <f t="shared" si="175"/>
        <v>3993</v>
      </c>
      <c r="AI66" s="11">
        <f t="shared" si="175"/>
        <v>5985</v>
      </c>
      <c r="AJ66" s="11">
        <f t="shared" si="175"/>
        <v>1998</v>
      </c>
      <c r="AK66" s="11">
        <f t="shared" si="175"/>
        <v>1997</v>
      </c>
      <c r="AL66" s="11">
        <f t="shared" si="175"/>
        <v>2994</v>
      </c>
      <c r="AM66" s="11">
        <f t="shared" si="175"/>
        <v>9967</v>
      </c>
      <c r="AN66" s="11">
        <f t="shared" si="175"/>
        <v>1995</v>
      </c>
      <c r="AO66" s="11">
        <f t="shared" si="175"/>
        <v>5982</v>
      </c>
      <c r="AP66" s="11">
        <f t="shared" si="175"/>
        <v>9923</v>
      </c>
      <c r="AQ66" s="11">
        <f t="shared" si="175"/>
        <v>7979</v>
      </c>
    </row>
    <row r="67" spans="1:43" ht="12.75" customHeight="1">
      <c r="B67" s="33" t="s">
        <v>238</v>
      </c>
      <c r="C67" s="131">
        <f>'Historical Financials'!C55</f>
        <v>3500</v>
      </c>
      <c r="D67" s="131">
        <f>'Historical Financials'!D55</f>
        <v>6496</v>
      </c>
      <c r="E67" s="131">
        <f>'Historical Financials'!E55</f>
        <v>8784</v>
      </c>
      <c r="F67" s="131">
        <f>'Historical Financials'!F55</f>
        <v>10260</v>
      </c>
      <c r="G67" s="131">
        <f>'Historical Financials'!G55</f>
        <v>8773</v>
      </c>
      <c r="H67" s="131">
        <f>'Historical Financials'!H55</f>
        <v>9613</v>
      </c>
      <c r="I67" s="131">
        <f>'Historical Financials'!I55</f>
        <v>11128</v>
      </c>
      <c r="J67" s="131">
        <f>'Historical Financials'!J55</f>
        <v>9822</v>
      </c>
      <c r="K67" s="131">
        <f>'Historical Financials'!K55</f>
        <v>10912</v>
      </c>
      <c r="L67" s="131">
        <f>'Historical Financials'!L55</f>
        <v>12350</v>
      </c>
      <c r="N67" s="131">
        <f>'Historical Financials'!N55</f>
        <v>11169</v>
      </c>
      <c r="O67" s="131">
        <f>'Historical Financials'!O55</f>
        <v>9659</v>
      </c>
      <c r="P67" s="131">
        <f>'Historical Financials'!P55</f>
        <v>14009</v>
      </c>
      <c r="Q67" s="131">
        <f>'Historical Financials'!Q55</f>
        <v>11128</v>
      </c>
      <c r="R67" s="131">
        <f>'Historical Financials'!R55</f>
        <v>9740</v>
      </c>
      <c r="S67" s="131">
        <f>'Historical Financials'!S55</f>
        <v>10578</v>
      </c>
      <c r="T67" s="131">
        <f>'Historical Financials'!T55</f>
        <v>7216</v>
      </c>
      <c r="U67" s="131">
        <f>'Historical Financials'!U55</f>
        <v>9822</v>
      </c>
      <c r="V67" s="131">
        <f>'Historical Financials'!V55</f>
        <v>10954</v>
      </c>
      <c r="W67" s="131">
        <f>'Historical Financials'!W55</f>
        <v>10762</v>
      </c>
      <c r="X67" s="131">
        <f>'Historical Financials'!X55</f>
        <v>12114</v>
      </c>
      <c r="Y67" s="131">
        <f>'Historical Financials'!Y55</f>
        <v>10912</v>
      </c>
      <c r="Z67" s="131">
        <f>'Historical Financials'!Z55</f>
        <v>10848</v>
      </c>
      <c r="AA67" s="131">
        <f>'Historical Financials'!AA55</f>
        <v>13638</v>
      </c>
      <c r="AB67" s="131">
        <f>'Historical Financials'!AB55</f>
        <v>9345</v>
      </c>
      <c r="AC67" s="131">
        <f>'Historical Financials'!AC55</f>
        <v>12350</v>
      </c>
      <c r="AE67" s="11"/>
      <c r="AF67" s="11"/>
      <c r="AG67" s="11"/>
      <c r="AH67" s="11"/>
      <c r="AI67" s="11"/>
      <c r="AJ67" s="11"/>
      <c r="AK67" s="11"/>
      <c r="AL67" s="11">
        <f t="shared" ref="AL67:AQ67" si="176">X67</f>
        <v>12114</v>
      </c>
      <c r="AM67" s="11">
        <f t="shared" si="176"/>
        <v>10912</v>
      </c>
      <c r="AN67" s="11">
        <f t="shared" si="176"/>
        <v>10848</v>
      </c>
      <c r="AO67" s="11">
        <f t="shared" si="176"/>
        <v>13638</v>
      </c>
      <c r="AP67" s="11">
        <f t="shared" si="176"/>
        <v>9345</v>
      </c>
      <c r="AQ67" s="11">
        <f t="shared" si="176"/>
        <v>12350</v>
      </c>
    </row>
    <row r="68" spans="1:43" ht="12.75" customHeight="1">
      <c r="B68" s="33" t="s">
        <v>239</v>
      </c>
      <c r="C68" s="131">
        <f>'Historical Financials'!C58</f>
        <v>75427</v>
      </c>
      <c r="D68" s="131">
        <f>'Historical Financials'!D58</f>
        <v>97207</v>
      </c>
      <c r="E68" s="131">
        <f>'Historical Financials'!E58</f>
        <v>93735</v>
      </c>
      <c r="F68" s="131">
        <f>'Historical Financials'!F58</f>
        <v>91807</v>
      </c>
      <c r="G68" s="131">
        <f>'Historical Financials'!G58</f>
        <v>98667</v>
      </c>
      <c r="H68" s="131">
        <f>'Historical Financials'!H58</f>
        <v>109106</v>
      </c>
      <c r="I68" s="131">
        <f>'Historical Financials'!I58</f>
        <v>98959</v>
      </c>
      <c r="J68" s="131">
        <f>'Historical Financials'!J58</f>
        <v>95281</v>
      </c>
      <c r="K68" s="131">
        <f>'Historical Financials'!K58</f>
        <v>85750</v>
      </c>
      <c r="L68" s="131">
        <f>'Historical Financials'!L58</f>
        <v>78328</v>
      </c>
      <c r="M68" s="98"/>
      <c r="N68" s="131">
        <f>'Historical Financials'!N58</f>
        <v>106629</v>
      </c>
      <c r="O68" s="131">
        <f>'Historical Financials'!O58</f>
        <v>103323</v>
      </c>
      <c r="P68" s="131">
        <f>'Historical Financials'!P58</f>
        <v>94700</v>
      </c>
      <c r="Q68" s="131">
        <f>'Historical Financials'!Q58</f>
        <v>98959</v>
      </c>
      <c r="R68" s="131">
        <f>'Historical Financials'!R58</f>
        <v>99627</v>
      </c>
      <c r="S68" s="131">
        <f>'Historical Financials'!S58</f>
        <v>97041</v>
      </c>
      <c r="T68" s="131">
        <f>'Historical Financials'!T58</f>
        <v>98071</v>
      </c>
      <c r="U68" s="131">
        <f>'Historical Financials'!U58</f>
        <v>95281</v>
      </c>
      <c r="V68" s="131">
        <f>'Historical Financials'!V58</f>
        <v>95088</v>
      </c>
      <c r="W68" s="131">
        <f>'Historical Financials'!W58</f>
        <v>91831</v>
      </c>
      <c r="X68" s="131">
        <f>'Historical Financials'!X58</f>
        <v>86196</v>
      </c>
      <c r="Y68" s="131">
        <f>'Historical Financials'!Y58</f>
        <v>85750</v>
      </c>
      <c r="Z68" s="131">
        <f>'Historical Financials'!Z58</f>
        <v>83956</v>
      </c>
      <c r="AA68" s="131">
        <f>'Historical Financials'!AA58</f>
        <v>78566</v>
      </c>
      <c r="AB68" s="131">
        <f>'Historical Financials'!AB58</f>
        <v>82430</v>
      </c>
      <c r="AC68" s="131">
        <f>'Historical Financials'!AC58</f>
        <v>78328</v>
      </c>
      <c r="AE68" s="11">
        <f t="shared" ref="AE68" si="177">Q68</f>
        <v>98959</v>
      </c>
      <c r="AF68" s="11">
        <f t="shared" ref="AF68" si="178">R68</f>
        <v>99627</v>
      </c>
      <c r="AG68" s="11">
        <f t="shared" ref="AG68" si="179">S68</f>
        <v>97041</v>
      </c>
      <c r="AH68" s="11">
        <f t="shared" ref="AH68" si="180">T68</f>
        <v>98071</v>
      </c>
      <c r="AI68" s="11">
        <f t="shared" ref="AI68" si="181">U68</f>
        <v>95281</v>
      </c>
      <c r="AJ68" s="11">
        <f t="shared" ref="AJ68" si="182">V68</f>
        <v>95088</v>
      </c>
      <c r="AK68" s="11">
        <f t="shared" ref="AK68" si="183">W68</f>
        <v>91831</v>
      </c>
      <c r="AL68" s="11">
        <f t="shared" ref="AL68" si="184">X68</f>
        <v>86196</v>
      </c>
      <c r="AM68" s="11">
        <f t="shared" ref="AM68" si="185">Y68</f>
        <v>85750</v>
      </c>
      <c r="AN68" s="11">
        <f t="shared" ref="AN68" si="186">Z68</f>
        <v>83956</v>
      </c>
      <c r="AO68" s="11">
        <f>AA68</f>
        <v>78566</v>
      </c>
      <c r="AP68" s="11">
        <f>AB68</f>
        <v>82430</v>
      </c>
      <c r="AQ68" s="11">
        <f>AC68</f>
        <v>78328</v>
      </c>
    </row>
    <row r="69" spans="1:43" ht="12.75" customHeight="1">
      <c r="B69" s="14" t="s">
        <v>34</v>
      </c>
      <c r="C69" s="15">
        <f t="shared" ref="C69:F69" si="187">SUM(C66:C68)</f>
        <v>87032</v>
      </c>
      <c r="D69" s="15">
        <f t="shared" si="187"/>
        <v>115680</v>
      </c>
      <c r="E69" s="15">
        <f t="shared" si="187"/>
        <v>114483</v>
      </c>
      <c r="F69" s="15">
        <f t="shared" si="187"/>
        <v>108047</v>
      </c>
      <c r="G69" s="15">
        <f t="shared" ref="G69:L69" si="188">SUM(G66:G68)</f>
        <v>112436</v>
      </c>
      <c r="H69" s="15">
        <f t="shared" si="188"/>
        <v>124719</v>
      </c>
      <c r="I69" s="15">
        <f t="shared" si="188"/>
        <v>120069</v>
      </c>
      <c r="J69" s="15">
        <f t="shared" si="188"/>
        <v>111088</v>
      </c>
      <c r="K69" s="15">
        <f t="shared" si="188"/>
        <v>106629</v>
      </c>
      <c r="L69" s="15">
        <f t="shared" si="188"/>
        <v>98657</v>
      </c>
      <c r="N69" s="15">
        <f t="shared" ref="N69:AB69" si="189">SUM(N66:N68)</f>
        <v>122798</v>
      </c>
      <c r="O69" s="15">
        <f t="shared" si="189"/>
        <v>119981</v>
      </c>
      <c r="P69" s="15">
        <f t="shared" si="189"/>
        <v>119691</v>
      </c>
      <c r="Q69" s="15">
        <f t="shared" si="189"/>
        <v>120069</v>
      </c>
      <c r="R69" s="15">
        <f t="shared" si="189"/>
        <v>111110</v>
      </c>
      <c r="S69" s="15">
        <f t="shared" si="189"/>
        <v>109615</v>
      </c>
      <c r="T69" s="15">
        <f t="shared" si="189"/>
        <v>109280</v>
      </c>
      <c r="U69" s="15">
        <f t="shared" si="189"/>
        <v>111088</v>
      </c>
      <c r="V69" s="15">
        <f t="shared" si="189"/>
        <v>108040</v>
      </c>
      <c r="W69" s="15">
        <f t="shared" si="189"/>
        <v>104590</v>
      </c>
      <c r="X69" s="15">
        <f t="shared" si="189"/>
        <v>101304</v>
      </c>
      <c r="Y69" s="15">
        <f t="shared" si="189"/>
        <v>106629</v>
      </c>
      <c r="Z69" s="15">
        <f t="shared" si="189"/>
        <v>96799</v>
      </c>
      <c r="AA69" s="15">
        <f t="shared" si="189"/>
        <v>98186</v>
      </c>
      <c r="AB69" s="15">
        <f t="shared" si="189"/>
        <v>101698</v>
      </c>
      <c r="AC69" s="15">
        <f t="shared" ref="AC69" si="190">SUM(AC66:AC68)</f>
        <v>98657</v>
      </c>
      <c r="AE69" s="15">
        <f t="shared" ref="AE69:AP69" si="191">SUM(AE66:AE68)</f>
        <v>108941</v>
      </c>
      <c r="AF69" s="15">
        <f t="shared" si="191"/>
        <v>101370</v>
      </c>
      <c r="AG69" s="15">
        <f t="shared" si="191"/>
        <v>99037</v>
      </c>
      <c r="AH69" s="15">
        <f t="shared" si="191"/>
        <v>102064</v>
      </c>
      <c r="AI69" s="15">
        <f t="shared" si="191"/>
        <v>101266</v>
      </c>
      <c r="AJ69" s="15">
        <f t="shared" si="191"/>
        <v>97086</v>
      </c>
      <c r="AK69" s="15">
        <f t="shared" si="191"/>
        <v>93828</v>
      </c>
      <c r="AL69" s="15">
        <f t="shared" si="191"/>
        <v>101304</v>
      </c>
      <c r="AM69" s="15">
        <f t="shared" si="191"/>
        <v>106629</v>
      </c>
      <c r="AN69" s="15">
        <f t="shared" si="191"/>
        <v>96799</v>
      </c>
      <c r="AO69" s="15">
        <f t="shared" si="191"/>
        <v>98186</v>
      </c>
      <c r="AP69" s="15">
        <f t="shared" si="191"/>
        <v>101698</v>
      </c>
      <c r="AQ69" s="15">
        <f t="shared" ref="AQ69" si="192">SUM(AQ66:AQ68)</f>
        <v>98657</v>
      </c>
    </row>
    <row r="70" spans="1:43" ht="5.0999999999999996" customHeight="1"/>
    <row r="71" spans="1:43" ht="12.75" customHeight="1">
      <c r="B71" s="8" t="s">
        <v>73</v>
      </c>
      <c r="C71" s="131">
        <f>'Historical Financials'!C65</f>
        <v>128249</v>
      </c>
      <c r="D71" s="131">
        <f>'Historical Financials'!D65</f>
        <v>134047</v>
      </c>
      <c r="E71" s="131">
        <f>'Historical Financials'!E65</f>
        <v>107147</v>
      </c>
      <c r="F71" s="131">
        <f>'Historical Financials'!F65</f>
        <v>90488</v>
      </c>
      <c r="G71" s="131">
        <f>'Historical Financials'!G65</f>
        <v>65339</v>
      </c>
      <c r="H71" s="131">
        <f>'Historical Financials'!H65</f>
        <v>63090</v>
      </c>
      <c r="I71" s="131">
        <f>'Historical Financials'!I65</f>
        <v>50672</v>
      </c>
      <c r="J71" s="131">
        <f>'Historical Financials'!J65</f>
        <v>62146</v>
      </c>
      <c r="K71" s="131">
        <f>'Historical Financials'!K65</f>
        <v>56950</v>
      </c>
      <c r="L71" s="131">
        <f>'Historical Financials'!L65</f>
        <v>73733</v>
      </c>
      <c r="N71" s="131">
        <f>'Historical Financials'!N65</f>
        <v>63894</v>
      </c>
      <c r="O71" s="131">
        <f>'Historical Financials'!O65</f>
        <v>59361</v>
      </c>
      <c r="P71" s="131">
        <f>'Historical Financials'!P65</f>
        <v>50069</v>
      </c>
      <c r="Q71" s="131">
        <f>'Historical Financials'!Q65</f>
        <v>50672</v>
      </c>
      <c r="R71" s="131">
        <f>'Historical Financials'!R65</f>
        <v>48689</v>
      </c>
      <c r="S71" s="131">
        <f>'Historical Financials'!S65</f>
        <v>54120</v>
      </c>
      <c r="T71" s="131">
        <f>'Historical Financials'!T65</f>
        <v>52236</v>
      </c>
      <c r="U71" s="131">
        <f>'Historical Financials'!U65</f>
        <v>62146</v>
      </c>
      <c r="V71" s="131">
        <f>'Historical Financials'!V65</f>
        <v>66062</v>
      </c>
      <c r="W71" s="131">
        <f>'Historical Financials'!W65</f>
        <v>66156</v>
      </c>
      <c r="X71" s="131">
        <f>'Historical Financials'!X65</f>
        <v>58670</v>
      </c>
      <c r="Y71" s="131">
        <f>'Historical Financials'!Y65</f>
        <v>56950</v>
      </c>
      <c r="Z71" s="131">
        <f>'Historical Financials'!Z65</f>
        <v>66758</v>
      </c>
      <c r="AA71" s="131">
        <f>'Historical Financials'!AA65</f>
        <v>66796</v>
      </c>
      <c r="AB71" s="131">
        <f>'Historical Financials'!AB65</f>
        <v>65830</v>
      </c>
      <c r="AC71" s="131">
        <f>'Historical Financials'!AC65</f>
        <v>73733</v>
      </c>
      <c r="AE71" s="11">
        <f t="shared" ref="AE71:AQ71" si="193">Q71</f>
        <v>50672</v>
      </c>
      <c r="AF71" s="11">
        <f t="shared" si="193"/>
        <v>48689</v>
      </c>
      <c r="AG71" s="11">
        <f t="shared" si="193"/>
        <v>54120</v>
      </c>
      <c r="AH71" s="11">
        <f t="shared" si="193"/>
        <v>52236</v>
      </c>
      <c r="AI71" s="11">
        <f t="shared" si="193"/>
        <v>62146</v>
      </c>
      <c r="AJ71" s="11">
        <f t="shared" si="193"/>
        <v>66062</v>
      </c>
      <c r="AK71" s="11">
        <f t="shared" si="193"/>
        <v>66156</v>
      </c>
      <c r="AL71" s="11">
        <f t="shared" si="193"/>
        <v>58670</v>
      </c>
      <c r="AM71" s="11">
        <f t="shared" si="193"/>
        <v>56950</v>
      </c>
      <c r="AN71" s="11">
        <f t="shared" si="193"/>
        <v>66758</v>
      </c>
      <c r="AO71" s="11">
        <f t="shared" si="193"/>
        <v>66796</v>
      </c>
      <c r="AP71" s="11">
        <f t="shared" si="193"/>
        <v>65830</v>
      </c>
      <c r="AQ71" s="11">
        <f t="shared" si="193"/>
        <v>73733</v>
      </c>
    </row>
    <row r="72" spans="1:43" ht="12.75" customHeight="1">
      <c r="B72" s="14" t="s">
        <v>74</v>
      </c>
      <c r="C72" s="15">
        <f t="shared" ref="C72:F72" si="194">SUM(C69:C71)</f>
        <v>215281</v>
      </c>
      <c r="D72" s="15">
        <f t="shared" si="194"/>
        <v>249727</v>
      </c>
      <c r="E72" s="15">
        <f t="shared" si="194"/>
        <v>221630</v>
      </c>
      <c r="F72" s="15">
        <f t="shared" si="194"/>
        <v>198535</v>
      </c>
      <c r="G72" s="15">
        <f>SUM(G69:G71)</f>
        <v>177775</v>
      </c>
      <c r="H72" s="15">
        <f>SUM(H69:H71)</f>
        <v>187809</v>
      </c>
      <c r="I72" s="15">
        <f t="shared" ref="I72:K72" si="195">SUM(I69:I71)</f>
        <v>170741</v>
      </c>
      <c r="J72" s="15">
        <f t="shared" si="195"/>
        <v>173234</v>
      </c>
      <c r="K72" s="15">
        <f t="shared" si="195"/>
        <v>163579</v>
      </c>
      <c r="L72" s="15">
        <f t="shared" ref="L72" si="196">SUM(L69:L71)</f>
        <v>172390</v>
      </c>
      <c r="N72" s="15">
        <f t="shared" ref="N72:W72" si="197">SUM(N69:N71)</f>
        <v>186692</v>
      </c>
      <c r="O72" s="15">
        <f t="shared" si="197"/>
        <v>179342</v>
      </c>
      <c r="P72" s="15">
        <f t="shared" si="197"/>
        <v>169760</v>
      </c>
      <c r="Q72" s="15">
        <f t="shared" si="197"/>
        <v>170741</v>
      </c>
      <c r="R72" s="15">
        <f t="shared" si="197"/>
        <v>159799</v>
      </c>
      <c r="S72" s="15">
        <f t="shared" si="197"/>
        <v>163735</v>
      </c>
      <c r="T72" s="15">
        <f t="shared" si="197"/>
        <v>161516</v>
      </c>
      <c r="U72" s="15">
        <f t="shared" si="197"/>
        <v>173234</v>
      </c>
      <c r="V72" s="15">
        <f t="shared" si="197"/>
        <v>174102</v>
      </c>
      <c r="W72" s="15">
        <f t="shared" si="197"/>
        <v>170746</v>
      </c>
      <c r="X72" s="15">
        <f>SUM(X69:X71)</f>
        <v>159974</v>
      </c>
      <c r="Y72" s="15">
        <f>SUM(Y69:Y71)</f>
        <v>163579</v>
      </c>
      <c r="Z72" s="15">
        <f t="shared" ref="Z72:AA72" si="198">SUM(Z69:Z71)</f>
        <v>163557</v>
      </c>
      <c r="AA72" s="15">
        <f t="shared" si="198"/>
        <v>164982</v>
      </c>
      <c r="AB72" s="15">
        <f t="shared" ref="AB72" si="199">SUM(AB69:AB71)</f>
        <v>167528</v>
      </c>
      <c r="AC72" s="15">
        <f t="shared" ref="AC72" si="200">SUM(AC69:AC71)</f>
        <v>172390</v>
      </c>
      <c r="AE72" s="15">
        <f t="shared" ref="AE72:AL72" si="201">SUM(AE69:AE71)</f>
        <v>159613</v>
      </c>
      <c r="AF72" s="15">
        <f t="shared" si="201"/>
        <v>150059</v>
      </c>
      <c r="AG72" s="15">
        <f t="shared" si="201"/>
        <v>153157</v>
      </c>
      <c r="AH72" s="15">
        <f t="shared" si="201"/>
        <v>154300</v>
      </c>
      <c r="AI72" s="15">
        <f t="shared" si="201"/>
        <v>163412</v>
      </c>
      <c r="AJ72" s="15">
        <f t="shared" si="201"/>
        <v>163148</v>
      </c>
      <c r="AK72" s="15">
        <f t="shared" si="201"/>
        <v>159984</v>
      </c>
      <c r="AL72" s="15">
        <f t="shared" si="201"/>
        <v>159974</v>
      </c>
      <c r="AM72" s="15">
        <f>SUM(AM69:AM71)</f>
        <v>163579</v>
      </c>
      <c r="AN72" s="15">
        <f t="shared" ref="AN72:AO72" si="202">SUM(AN69:AN71)</f>
        <v>163557</v>
      </c>
      <c r="AO72" s="15">
        <f t="shared" si="202"/>
        <v>164982</v>
      </c>
      <c r="AP72" s="15">
        <f t="shared" ref="AP72:AQ72" si="203">SUM(AP69:AP71)</f>
        <v>167528</v>
      </c>
      <c r="AQ72" s="15">
        <f t="shared" si="203"/>
        <v>172390</v>
      </c>
    </row>
    <row r="73" spans="1:43" ht="5.0999999999999996" customHeight="1"/>
    <row r="74" spans="1:43" ht="12.75" customHeight="1">
      <c r="A74" s="5"/>
      <c r="B74" s="35" t="s">
        <v>114</v>
      </c>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row>
    <row r="75" spans="1:43" ht="5.0999999999999996" customHeight="1"/>
    <row r="76" spans="1:43" ht="12.75" customHeight="1">
      <c r="B76" s="8" t="s">
        <v>75</v>
      </c>
      <c r="C76" s="97">
        <f t="shared" ref="C76" si="204">C69/C29</f>
        <v>1.1644790537737995</v>
      </c>
      <c r="D76" s="97">
        <f t="shared" ref="D76:F76" si="205">D69/D29</f>
        <v>1.5153063229457304</v>
      </c>
      <c r="E76" s="97">
        <f t="shared" si="205"/>
        <v>1.3137673425827108</v>
      </c>
      <c r="F76" s="97">
        <f t="shared" si="205"/>
        <v>1.3089466351686958</v>
      </c>
      <c r="G76" s="97">
        <f t="shared" ref="G76:L76" si="206">G69/G29</f>
        <v>1.3357727537333823</v>
      </c>
      <c r="H76" s="97">
        <f t="shared" si="206"/>
        <v>0.97331023341839717</v>
      </c>
      <c r="I76" s="97">
        <f t="shared" si="206"/>
        <v>0.86022252631126461</v>
      </c>
      <c r="J76" s="97">
        <f t="shared" si="206"/>
        <v>0.81292031642188611</v>
      </c>
      <c r="K76" s="97">
        <f t="shared" si="206"/>
        <v>0.72859397741016341</v>
      </c>
      <c r="L76" s="97">
        <f t="shared" si="206"/>
        <v>0.62595250331512398</v>
      </c>
      <c r="N76" s="266"/>
      <c r="O76" s="266"/>
      <c r="P76" s="266"/>
      <c r="Q76" s="97">
        <f t="shared" ref="Q76:AC76" si="207">SUM(Q69/SUM(N29:Q29))</f>
        <v>0.86022252631126461</v>
      </c>
      <c r="R76" s="97">
        <f t="shared" si="207"/>
        <v>0.82324437265681727</v>
      </c>
      <c r="S76" s="97">
        <f t="shared" si="207"/>
        <v>0.81863330843913373</v>
      </c>
      <c r="T76" s="97">
        <f t="shared" si="207"/>
        <v>0.81283517922093373</v>
      </c>
      <c r="U76" s="97">
        <f t="shared" si="207"/>
        <v>0.81292031642188611</v>
      </c>
      <c r="V76" s="97">
        <f t="shared" si="207"/>
        <v>0.76605641192903839</v>
      </c>
      <c r="W76" s="97">
        <f t="shared" si="207"/>
        <v>0.74264209891007205</v>
      </c>
      <c r="X76" s="97">
        <f t="shared" si="207"/>
        <v>0.70725236672344938</v>
      </c>
      <c r="Y76" s="97">
        <f t="shared" si="207"/>
        <v>0.72859397741016341</v>
      </c>
      <c r="Z76" s="97">
        <f t="shared" si="207"/>
        <v>0.64822639942676907</v>
      </c>
      <c r="AA76" s="97">
        <f t="shared" si="207"/>
        <v>0.64979947320353137</v>
      </c>
      <c r="AB76" s="97">
        <f t="shared" si="207"/>
        <v>0.65937471634010658</v>
      </c>
      <c r="AC76" s="97">
        <f t="shared" si="207"/>
        <v>0.62595250331512398</v>
      </c>
      <c r="AE76" s="97">
        <f t="shared" ref="AE76:AP76" si="208">AE69/AE29</f>
        <v>0.78049706617757686</v>
      </c>
      <c r="AF76" s="97">
        <f t="shared" si="208"/>
        <v>0.75107804928648692</v>
      </c>
      <c r="AG76" s="97">
        <f t="shared" si="208"/>
        <v>0.73963405526512327</v>
      </c>
      <c r="AH76" s="97">
        <f t="shared" si="208"/>
        <v>0.75916187529287504</v>
      </c>
      <c r="AI76" s="97">
        <f t="shared" si="208"/>
        <v>0.7410448361909362</v>
      </c>
      <c r="AJ76" s="97">
        <f t="shared" si="208"/>
        <v>0.68838719741338972</v>
      </c>
      <c r="AK76" s="97">
        <f t="shared" si="208"/>
        <v>0.66622643519011604</v>
      </c>
      <c r="AL76" s="97">
        <f t="shared" si="208"/>
        <v>0.70725236672344938</v>
      </c>
      <c r="AM76" s="97">
        <f t="shared" si="208"/>
        <v>0.72859397741016341</v>
      </c>
      <c r="AN76" s="97">
        <f t="shared" si="208"/>
        <v>0.64822639942676907</v>
      </c>
      <c r="AO76" s="97">
        <f t="shared" si="208"/>
        <v>0.64979947320353137</v>
      </c>
      <c r="AP76" s="97">
        <f t="shared" si="208"/>
        <v>0.65937471634010658</v>
      </c>
      <c r="AQ76" s="97">
        <f t="shared" ref="AQ76" si="209">AQ69/AQ29</f>
        <v>0.62595250331512398</v>
      </c>
    </row>
    <row r="77" spans="1:43" ht="12.75" customHeight="1">
      <c r="B77" s="8" t="s">
        <v>76</v>
      </c>
      <c r="C77" s="97">
        <f t="shared" ref="C77" si="210">SUM(C69-C49)/C29</f>
        <v>0.89040527703073358</v>
      </c>
      <c r="D77" s="97">
        <f t="shared" ref="D77:F77" si="211">SUM(D69-D49)/D29</f>
        <v>1.2495382559830235</v>
      </c>
      <c r="E77" s="97">
        <f t="shared" si="211"/>
        <v>1.0163987101364456</v>
      </c>
      <c r="F77" s="97">
        <f t="shared" si="211"/>
        <v>0.71722090980677211</v>
      </c>
      <c r="G77" s="97">
        <f t="shared" ref="G77:L77" si="212">SUM(G69-G49)/G29</f>
        <v>0.88413149109571953</v>
      </c>
      <c r="H77" s="97">
        <f t="shared" si="212"/>
        <v>0.70063758886833827</v>
      </c>
      <c r="I77" s="97">
        <f t="shared" si="212"/>
        <v>0.69081308792869989</v>
      </c>
      <c r="J77" s="97">
        <f t="shared" si="212"/>
        <v>0.59364229105837418</v>
      </c>
      <c r="K77" s="97">
        <f t="shared" si="212"/>
        <v>0.52399401430826309</v>
      </c>
      <c r="L77" s="97">
        <f t="shared" si="212"/>
        <v>0.39796080222827085</v>
      </c>
      <c r="N77" s="266"/>
      <c r="O77" s="266"/>
      <c r="P77" s="266"/>
      <c r="Q77" s="97">
        <f t="shared" ref="Q77:AC77" si="213">SUM(Q69-Q49)/SUM(N29:Q29)</f>
        <v>0.69081308792869989</v>
      </c>
      <c r="R77" s="97">
        <f t="shared" si="213"/>
        <v>0.67109494242994527</v>
      </c>
      <c r="S77" s="97">
        <f t="shared" si="213"/>
        <v>0.63426437640029876</v>
      </c>
      <c r="T77" s="97">
        <f t="shared" si="213"/>
        <v>0.60153373548641431</v>
      </c>
      <c r="U77" s="97">
        <f t="shared" si="213"/>
        <v>0.59364229105837418</v>
      </c>
      <c r="V77" s="97">
        <f t="shared" si="213"/>
        <v>0.47704808769516571</v>
      </c>
      <c r="W77" s="97">
        <f t="shared" si="213"/>
        <v>0.51049100010650761</v>
      </c>
      <c r="X77" s="97">
        <f t="shared" si="213"/>
        <v>0.52877070010332594</v>
      </c>
      <c r="Y77" s="97">
        <f t="shared" si="213"/>
        <v>0.52399401430826309</v>
      </c>
      <c r="Z77" s="97">
        <f t="shared" si="213"/>
        <v>0.44532542238948897</v>
      </c>
      <c r="AA77" s="97">
        <f t="shared" si="213"/>
        <v>0.46342205927122077</v>
      </c>
      <c r="AB77" s="97">
        <f t="shared" si="213"/>
        <v>0.42421904379060388</v>
      </c>
      <c r="AC77" s="97">
        <f t="shared" si="213"/>
        <v>0.39796080222827085</v>
      </c>
      <c r="AE77" s="97">
        <f t="shared" ref="AE77:AP77" si="214">SUM(AE69-AE49)/AE29</f>
        <v>0.61108762779501213</v>
      </c>
      <c r="AF77" s="97">
        <f t="shared" si="214"/>
        <v>0.59892861905961503</v>
      </c>
      <c r="AG77" s="97">
        <f t="shared" si="214"/>
        <v>0.55526512322628829</v>
      </c>
      <c r="AH77" s="97">
        <f t="shared" si="214"/>
        <v>0.54786043155835562</v>
      </c>
      <c r="AI77" s="97">
        <f t="shared" si="214"/>
        <v>0.52176681082742415</v>
      </c>
      <c r="AJ77" s="97">
        <f t="shared" si="214"/>
        <v>0.39937887317951698</v>
      </c>
      <c r="AK77" s="97">
        <f t="shared" si="214"/>
        <v>0.43407533638655166</v>
      </c>
      <c r="AL77" s="97">
        <f t="shared" si="214"/>
        <v>0.52877070010332594</v>
      </c>
      <c r="AM77" s="97">
        <f t="shared" si="214"/>
        <v>0.52399401430826309</v>
      </c>
      <c r="AN77" s="97">
        <f t="shared" si="214"/>
        <v>0.44532542238948897</v>
      </c>
      <c r="AO77" s="97">
        <f t="shared" si="214"/>
        <v>0.46342205927122077</v>
      </c>
      <c r="AP77" s="97">
        <f t="shared" si="214"/>
        <v>0.42421904379060388</v>
      </c>
      <c r="AQ77" s="97">
        <f t="shared" ref="AQ77" si="215">SUM(AQ69-AQ49)/AQ29</f>
        <v>0.39796080222827085</v>
      </c>
    </row>
    <row r="78" spans="1:43" ht="12.75" customHeight="1">
      <c r="B78" s="8" t="s">
        <v>77</v>
      </c>
      <c r="C78" s="97">
        <f t="shared" ref="C78" si="216">C29/-C33</f>
        <v>7.1561662198391423</v>
      </c>
      <c r="D78" s="97">
        <f t="shared" ref="D78:F78" si="217">D29/-D33</f>
        <v>6.5862306962298334</v>
      </c>
      <c r="E78" s="97">
        <f t="shared" si="217"/>
        <v>8.3652683114140345</v>
      </c>
      <c r="F78" s="97">
        <f t="shared" si="217"/>
        <v>5.4081766363100305</v>
      </c>
      <c r="G78" s="97">
        <f t="shared" ref="G78:L78" si="218">G29/-G33</f>
        <v>8.85938322281865</v>
      </c>
      <c r="H78" s="97">
        <f t="shared" si="218"/>
        <v>5.0478235178254875</v>
      </c>
      <c r="I78" s="97">
        <f t="shared" si="218"/>
        <v>7.1312011444336587</v>
      </c>
      <c r="J78" s="97">
        <f t="shared" si="218"/>
        <v>7.3158627335510467</v>
      </c>
      <c r="K78" s="97">
        <f t="shared" si="218"/>
        <v>5.6068117385640948</v>
      </c>
      <c r="L78" s="97">
        <f t="shared" si="218"/>
        <v>3.6341857086859277</v>
      </c>
      <c r="N78" s="266"/>
      <c r="O78" s="266"/>
      <c r="P78" s="266"/>
      <c r="Q78" s="97" cm="1">
        <f t="array" ref="Q78">SUM(N29:Q29)/SUM(-N33:Q33)</f>
        <v>7.1312011444336587</v>
      </c>
      <c r="R78" s="97" cm="1">
        <f t="array" ref="R78">SUM(O29:R29)/SUM(-O33:R33)</f>
        <v>8.8992483186074107</v>
      </c>
      <c r="S78" s="97" cm="1">
        <f t="array" ref="S78">SUM(P29:S29)/SUM(-P33:S33)</f>
        <v>8.8289595147039428</v>
      </c>
      <c r="T78" s="97" cm="1">
        <f t="array" ref="T78">SUM(Q29:T29)/SUM(-Q33:T33)</f>
        <v>9.3740761400083663</v>
      </c>
      <c r="U78" s="97" cm="1">
        <f t="array" ref="U78">SUM(R29:U29)/SUM(-R33:U33)</f>
        <v>7.3158627335510467</v>
      </c>
      <c r="V78" s="97" cm="1">
        <f t="array" ref="V78">SUM(S29:V29)/SUM(-S33:V33)</f>
        <v>5.6175416235162912</v>
      </c>
      <c r="W78" s="97" cm="1">
        <f t="array" ref="W78">SUM(T29:W29)/SUM(-T33:W33)</f>
        <v>4.9736897866930354</v>
      </c>
      <c r="X78" s="97" cm="1">
        <f t="array" ref="X78">SUM(U29:X29)/SUM(-U33:X33)</f>
        <v>4.6371200103596752</v>
      </c>
      <c r="Y78" s="97" cm="1">
        <f t="array" ref="Y78">SUM(V29:Y29)/SUM(-V33:Y33)</f>
        <v>5.6068117385640948</v>
      </c>
      <c r="Z78" s="97" cm="1">
        <f t="array" ref="Z78">SUM(W29:Z29)/SUM(-W33:Z33)</f>
        <v>3.9823190570163742</v>
      </c>
      <c r="AA78" s="97" cm="1">
        <f t="array" ref="AA78">SUM(X29:AA29)/SUM(-X33:AA33)</f>
        <v>3.4933647755120916</v>
      </c>
      <c r="AB78" s="97" cm="1">
        <f t="array" ref="AB78">SUM(Y29:AB29)/SUM(-Y33:AB33)</f>
        <v>3.4891412541851414</v>
      </c>
      <c r="AC78" s="97" cm="1">
        <f t="array" ref="AC78">SUM(Z29:AC29)/SUM(-Z33:AC33)</f>
        <v>3.6341857086859277</v>
      </c>
      <c r="AE78" s="97">
        <f t="shared" ref="AE78:AP78" si="219">AE29/-AE33</f>
        <v>7.1312011444336587</v>
      </c>
      <c r="AF78" s="97">
        <f t="shared" si="219"/>
        <v>8.8992483186074107</v>
      </c>
      <c r="AG78" s="97">
        <f t="shared" si="219"/>
        <v>8.8289595147039428</v>
      </c>
      <c r="AH78" s="97">
        <f t="shared" si="219"/>
        <v>9.3740761400083663</v>
      </c>
      <c r="AI78" s="97">
        <f t="shared" si="219"/>
        <v>7.3158627335510467</v>
      </c>
      <c r="AJ78" s="97">
        <f t="shared" si="219"/>
        <v>5.6175416235162912</v>
      </c>
      <c r="AK78" s="97">
        <f t="shared" si="219"/>
        <v>4.9736897866930354</v>
      </c>
      <c r="AL78" s="97">
        <f t="shared" si="219"/>
        <v>4.6371200103596752</v>
      </c>
      <c r="AM78" s="97">
        <f t="shared" si="219"/>
        <v>5.6068117385640948</v>
      </c>
      <c r="AN78" s="97">
        <f t="shared" si="219"/>
        <v>3.9823190570163742</v>
      </c>
      <c r="AO78" s="97">
        <f t="shared" si="219"/>
        <v>3.4933647755120916</v>
      </c>
      <c r="AP78" s="97">
        <f t="shared" si="219"/>
        <v>3.4891412541851414</v>
      </c>
      <c r="AQ78" s="97">
        <f t="shared" ref="AQ78" si="220">AQ29/-AQ33</f>
        <v>3.6341857086859277</v>
      </c>
    </row>
    <row r="79" spans="1:43" ht="12.75" customHeight="1">
      <c r="B79" s="8" t="s">
        <v>78</v>
      </c>
      <c r="C79" s="97" cm="1">
        <f t="array" ref="C79">SUM(C29+C32)/SUM(-C33:C34)</f>
        <v>5.2725340136054424</v>
      </c>
      <c r="D79" s="97" cm="1">
        <f t="array" ref="D79">SUM(D29+D32)/SUM(-D33:D34)</f>
        <v>4.6692976686399179</v>
      </c>
      <c r="E79" s="97" cm="1">
        <f t="array" ref="E79">SUM(E29+E32)/SUM(-E33:E34)</f>
        <v>5.4935635091896717</v>
      </c>
      <c r="F79" s="97" cm="1">
        <f t="array" ref="F79">SUM(F29+F32)/SUM(-F33:F34)</f>
        <v>3.8558278925398692</v>
      </c>
      <c r="G79" s="97" cm="1">
        <f t="array" ref="G79">SUM(G29+G32)/SUM(-G33:G34)</f>
        <v>6.1476445653043266</v>
      </c>
      <c r="H79" s="97" cm="1">
        <f t="array" ref="H79">SUM(H29+H32)/SUM(-H33:H34)</f>
        <v>4.1697777144485606</v>
      </c>
      <c r="I79" s="97" cm="1">
        <f t="array" ref="I79">SUM(I29+I32)/SUM(-I33:I34)</f>
        <v>5.743426330332472</v>
      </c>
      <c r="J79" s="97" cm="1">
        <f t="array" ref="J79">SUM(J29+J32)/SUM(-J33:J34)</f>
        <v>5.5908726981585266</v>
      </c>
      <c r="K79" s="97" cm="1">
        <f t="array" ref="K79">SUM(K29+K32)/SUM(-K33:K34)</f>
        <v>5.2448854493908517</v>
      </c>
      <c r="L79" s="97" cm="1">
        <f t="array" ref="L79">SUM(L29+L32)/SUM(-L33:L34)</f>
        <v>3.3410039429085292</v>
      </c>
      <c r="N79" s="266"/>
      <c r="O79" s="266"/>
      <c r="P79" s="266"/>
      <c r="Q79" s="97" cm="1">
        <f t="array" ref="Q79">SUM(N29:Q29+N32:Q32)/SUM(-N33:Q34)</f>
        <v>5.743426330332472</v>
      </c>
      <c r="R79" s="97" cm="1">
        <f t="array" ref="R79">SUM(O29:R29+O32:R32)/SUM(-O33:R34)</f>
        <v>6.7721804098225569</v>
      </c>
      <c r="S79" s="97" cm="1">
        <f t="array" ref="S79">SUM(P29:S29+P32:S32)/SUM(-P33:S34)</f>
        <v>6.5848199805384366</v>
      </c>
      <c r="T79" s="97" cm="1">
        <f t="array" ref="T79">SUM(Q29:T29+Q32:T32)/SUM(-Q33:T34)</f>
        <v>6.8406104992452619</v>
      </c>
      <c r="U79" s="97" cm="1">
        <f t="array" ref="U79">SUM(R29:U29+R32:U32)/SUM(-R33:U34)</f>
        <v>5.5908726981585266</v>
      </c>
      <c r="V79" s="97" cm="1">
        <f t="array" ref="V79">SUM(S29:V29+S32:V32)/SUM(-S33:V34)</f>
        <v>4.6610650216266043</v>
      </c>
      <c r="W79" s="97" cm="1">
        <f t="array" ref="W79">SUM(T29:W29+T32:W32)/SUM(-T33:W34)</f>
        <v>4.3705283343251997</v>
      </c>
      <c r="X79" s="97" cm="1">
        <f t="array" ref="X79">SUM(U29:X29+U32:X32)/SUM(-U33:X34)</f>
        <v>4.190829231823562</v>
      </c>
      <c r="Y79" s="97" cm="1">
        <f t="array" ref="Y79">SUM(V29:Y29+V32:Y32)/SUM(-V33:Y34)</f>
        <v>5.2448854493908517</v>
      </c>
      <c r="Z79" s="97" cm="1">
        <f t="array" ref="Z79">SUM(W29:Z29+W32:Z32)/SUM(-W33:Z34)</f>
        <v>3.7157715078137499</v>
      </c>
      <c r="AA79" s="97" cm="1">
        <f t="array" ref="AA79">SUM(X29:AA29+X32:AA32)/SUM(-X33:AA34)</f>
        <v>3.2374346881213296</v>
      </c>
      <c r="AB79" s="97" cm="1">
        <f t="array" ref="AB79">SUM(Y29:AB29+Y32:AB32)/SUM(-Y33:AB34)</f>
        <v>3.209053479323138</v>
      </c>
      <c r="AC79" s="97" cm="1">
        <f t="array" ref="AC79">SUM(Z29:AC29+Z32:AC32)/SUM(-Z33:AC34)</f>
        <v>3.3410039429085292</v>
      </c>
      <c r="AE79" s="97" cm="1">
        <f t="array" ref="AE79">SUM(AE29+AE32)/SUM(-AE33:AE34)</f>
        <v>5.743426330332472</v>
      </c>
      <c r="AF79" s="97" cm="1">
        <f t="array" ref="AF79">SUM(AF29+AF32)/SUM(-AF33:AF34)</f>
        <v>6.7721804098225569</v>
      </c>
      <c r="AG79" s="97" cm="1">
        <f t="array" ref="AG79">SUM(AG29+AG32)/SUM(-AG33:AG34)</f>
        <v>6.5848199805384366</v>
      </c>
      <c r="AH79" s="97" cm="1">
        <f t="array" ref="AH79">SUM(AH29+AH32)/SUM(-AH33:AH34)</f>
        <v>6.8406104992452619</v>
      </c>
      <c r="AI79" s="97" cm="1">
        <f t="array" ref="AI79">SUM(AI29+AI32)/SUM(-AI33:AI34)</f>
        <v>5.5908726981585266</v>
      </c>
      <c r="AJ79" s="97" cm="1">
        <f t="array" ref="AJ79">SUM(AJ29+AJ32)/SUM(-AJ33:AJ34)</f>
        <v>4.6610650216266043</v>
      </c>
      <c r="AK79" s="97" cm="1">
        <f t="array" ref="AK79">SUM(AK29+AK32)/SUM(-AK33:AK34)</f>
        <v>4.3705283343251997</v>
      </c>
      <c r="AL79" s="97" cm="1">
        <f t="array" ref="AL79">SUM(AL29+AL32)/SUM(-AL33:AL34)</f>
        <v>4.190829231823562</v>
      </c>
      <c r="AM79" s="97" cm="1">
        <f t="array" ref="AM79">SUM(AM29+AM32)/SUM(-AM33:AM34)</f>
        <v>5.2448854493908517</v>
      </c>
      <c r="AN79" s="97" cm="1">
        <f t="array" ref="AN79">SUM(AN29+AN32)/SUM(-AN33:AN34)</f>
        <v>3.7157715078137499</v>
      </c>
      <c r="AO79" s="97" cm="1">
        <f t="array" ref="AO79">SUM(AO29+AO32)/SUM(-AO33:AO34)</f>
        <v>3.2374346881213296</v>
      </c>
      <c r="AP79" s="97" cm="1">
        <f t="array" ref="AP79">SUM(AP29+AP32)/SUM(-AP33:AP34)</f>
        <v>3.209053479323138</v>
      </c>
      <c r="AQ79" s="97" cm="1">
        <f t="array" ref="AQ79">SUM(AQ29+AQ32)/SUM(-AQ33:AQ34)</f>
        <v>3.3410039429085292</v>
      </c>
    </row>
    <row r="80" spans="1:43" ht="12.75" customHeight="1">
      <c r="B80" s="8" t="s">
        <v>79</v>
      </c>
      <c r="C80" s="97" cm="1">
        <f t="array" ref="C80">SUM(C29)/SUM(-C32:C34)</f>
        <v>3.0513186902915002</v>
      </c>
      <c r="D80" s="97" cm="1">
        <f t="array" ref="D80">SUM(D29)/SUM(-D32:D34)</f>
        <v>2.9211372158873496</v>
      </c>
      <c r="E80" s="97" cm="1">
        <f t="array" ref="E80">SUM(E29)/SUM(-E32:E34)</f>
        <v>3.2573639354066986</v>
      </c>
      <c r="F80" s="97" cm="1">
        <f t="array" ref="F80">SUM(F29)/SUM(-F32:F34)</f>
        <v>2.8287241698365375</v>
      </c>
      <c r="G80" s="97" cm="1">
        <f t="array" ref="G80">SUM(G29)/SUM(-G32:G34)</f>
        <v>4.2485867151221486</v>
      </c>
      <c r="H80" s="97" cm="1">
        <f t="array" ref="H80">SUM(H29)/SUM(-H32:H34)</f>
        <v>3.2724417090175448</v>
      </c>
      <c r="I80" s="97" cm="1">
        <f t="array" ref="I80">SUM(I29)/SUM(-I32:I34)</f>
        <v>4.2110360224461472</v>
      </c>
      <c r="J80" s="97" cm="1">
        <f t="array" ref="J80">SUM(J29)/SUM(-J32:J34)</f>
        <v>4.0863909572082173</v>
      </c>
      <c r="K80" s="97" cm="1">
        <f t="array" ref="K80">SUM(K29)/SUM(-K32:K34)</f>
        <v>4.1168246645475257</v>
      </c>
      <c r="L80" s="97" cm="1">
        <f t="array" ref="L80">SUM(L29)/SUM(-L32:L34)</f>
        <v>2.8102667427430283</v>
      </c>
      <c r="N80" s="266"/>
      <c r="O80" s="266"/>
      <c r="P80" s="266"/>
      <c r="Q80" s="97" cm="1">
        <f t="array" ref="Q80">SUM(N29:Q29)/SUM(-N32:Q34)</f>
        <v>4.2110360224461472</v>
      </c>
      <c r="R80" s="97" cm="1">
        <f t="array" ref="R80">SUM(O29:R29)/SUM(-O32:R34)</f>
        <v>4.514668004683057</v>
      </c>
      <c r="S80" s="97" cm="1">
        <f t="array" ref="S80">SUM(P29:S29)/SUM(-P32:S34)</f>
        <v>4.37696129707113</v>
      </c>
      <c r="T80" s="97" cm="1">
        <f t="array" ref="T80">SUM(Q29:T29)/SUM(-Q32:T34)</f>
        <v>4.48561991191779</v>
      </c>
      <c r="U80" s="97" cm="1">
        <f t="array" ref="U80">SUM(R29:U29)/SUM(-R32:U34)</f>
        <v>4.0863909572082173</v>
      </c>
      <c r="V80" s="97" cm="1">
        <f t="array" ref="V80">SUM(S29:V29)/SUM(-S32:V34)</f>
        <v>3.7340217103521312</v>
      </c>
      <c r="W80" s="97" cm="1">
        <f t="array" ref="W80">SUM(T29:W29)/SUM(-T32:W34)</f>
        <v>3.6213679609154026</v>
      </c>
      <c r="X80" s="97" cm="1">
        <f t="array" ref="X80">SUM(U29:X29)/SUM(-U32:X34)</f>
        <v>3.5103421233212431</v>
      </c>
      <c r="Y80" s="97" cm="1">
        <f t="array" ref="Y80">SUM(V29:Y29)/SUM(-V32:Y34)</f>
        <v>4.1168246645475257</v>
      </c>
      <c r="Z80" s="97" cm="1">
        <f t="array" ref="Z80">SUM(W29:Z29)/SUM(-W32:Z34)</f>
        <v>3.1442317815256984</v>
      </c>
      <c r="AA80" s="97" cm="1">
        <f t="array" ref="AA80">SUM(X29:AA29)/SUM(-X32:AA34)</f>
        <v>2.7814962079375598</v>
      </c>
      <c r="AB80" s="97" cm="1">
        <f t="array" ref="AB80">SUM(Y29:AB29)/SUM(-Y32:AB34)</f>
        <v>2.7257046920561985</v>
      </c>
      <c r="AC80" s="97" cm="1">
        <f t="array" ref="AC80">SUM(Z29:AC29)/SUM(-Z32:AC34)</f>
        <v>2.8102667427430283</v>
      </c>
      <c r="AE80" s="97" cm="1">
        <f t="array" ref="AE80">SUM(AE29)/SUM(-AE32:AE34)</f>
        <v>4.2110360224461472</v>
      </c>
      <c r="AF80" s="97" cm="1">
        <f t="array" ref="AF80">SUM(AF29)/SUM(-AF32:AF34)</f>
        <v>4.514668004683057</v>
      </c>
      <c r="AG80" s="97" cm="1">
        <f t="array" ref="AG80">SUM(AG29)/SUM(-AG32:AG34)</f>
        <v>4.37696129707113</v>
      </c>
      <c r="AH80" s="97" cm="1">
        <f t="array" ref="AH80">SUM(AH29)/SUM(-AH32:AH34)</f>
        <v>4.48561991191779</v>
      </c>
      <c r="AI80" s="97" cm="1">
        <f t="array" ref="AI80">SUM(AI29)/SUM(-AI32:AI34)</f>
        <v>4.0863909572082173</v>
      </c>
      <c r="AJ80" s="97" cm="1">
        <f t="array" ref="AJ80">SUM(AJ29)/SUM(-AJ32:AJ34)</f>
        <v>3.7340217103521312</v>
      </c>
      <c r="AK80" s="97" cm="1">
        <f t="array" ref="AK80">SUM(AK29)/SUM(-AK32:AK34)</f>
        <v>3.6213679609154026</v>
      </c>
      <c r="AL80" s="97" cm="1">
        <f t="array" ref="AL80">SUM(AL29)/SUM(-AL32:AL34)</f>
        <v>3.5103421233212431</v>
      </c>
      <c r="AM80" s="97" cm="1">
        <f t="array" ref="AM80">SUM(AM29)/SUM(-AM32:AM34)</f>
        <v>4.1168246645475257</v>
      </c>
      <c r="AN80" s="97" cm="1">
        <f t="array" ref="AN80">SUM(AN29)/SUM(-AN32:AN34)</f>
        <v>3.1442317815256984</v>
      </c>
      <c r="AO80" s="97" cm="1">
        <f t="array" ref="AO80">SUM(AO29)/SUM(-AO32:AO34)</f>
        <v>2.7814962079375598</v>
      </c>
      <c r="AP80" s="97" cm="1">
        <f t="array" ref="AP80">SUM(AP29)/SUM(-AP32:AP34)</f>
        <v>2.7257046920561985</v>
      </c>
      <c r="AQ80" s="97" cm="1">
        <f t="array" ref="AQ80">SUM(AQ29)/SUM(-AQ32:AQ34)</f>
        <v>2.8102667427430283</v>
      </c>
    </row>
    <row r="81" spans="2:43" ht="12.75" customHeight="1">
      <c r="B81" s="8" t="s">
        <v>80</v>
      </c>
      <c r="C81" s="97">
        <f t="shared" ref="C81" si="221">C72/C69</f>
        <v>2.4735844287158746</v>
      </c>
      <c r="D81" s="97">
        <f t="shared" ref="D81:F81" si="222">D72/D69</f>
        <v>2.1587742047026279</v>
      </c>
      <c r="E81" s="97">
        <f t="shared" si="222"/>
        <v>1.9359206170348435</v>
      </c>
      <c r="F81" s="97">
        <f t="shared" si="222"/>
        <v>1.8374873897470545</v>
      </c>
      <c r="G81" s="97">
        <f>G72/G69</f>
        <v>1.5811217047920594</v>
      </c>
      <c r="H81" s="97">
        <f>H72/H69</f>
        <v>1.5058571669112164</v>
      </c>
      <c r="I81" s="97">
        <f t="shared" ref="I81:K81" si="223">I72/I69</f>
        <v>1.4220240028650193</v>
      </c>
      <c r="J81" s="97">
        <f t="shared" si="223"/>
        <v>1.5594303615151952</v>
      </c>
      <c r="K81" s="97">
        <f t="shared" si="223"/>
        <v>1.5340948522446989</v>
      </c>
      <c r="L81" s="97">
        <f t="shared" ref="L81" si="224">L72/L69</f>
        <v>1.7473671406995956</v>
      </c>
      <c r="N81" s="266"/>
      <c r="O81" s="266"/>
      <c r="P81" s="266"/>
      <c r="Q81" s="97">
        <f t="shared" ref="Q81:AA81" si="225">Q72/Q69</f>
        <v>1.4220240028650193</v>
      </c>
      <c r="R81" s="97">
        <f t="shared" si="225"/>
        <v>1.4382053820538205</v>
      </c>
      <c r="S81" s="97">
        <f t="shared" si="225"/>
        <v>1.4937280481685902</v>
      </c>
      <c r="T81" s="97">
        <f t="shared" si="225"/>
        <v>1.4780014641288433</v>
      </c>
      <c r="U81" s="97">
        <f t="shared" si="225"/>
        <v>1.5594303615151952</v>
      </c>
      <c r="V81" s="97">
        <f t="shared" si="225"/>
        <v>1.6114587189929657</v>
      </c>
      <c r="W81" s="97">
        <f t="shared" si="225"/>
        <v>1.6325270102304235</v>
      </c>
      <c r="X81" s="97">
        <f t="shared" si="225"/>
        <v>1.5791479112374636</v>
      </c>
      <c r="Y81" s="97">
        <f t="shared" si="225"/>
        <v>1.5340948522446989</v>
      </c>
      <c r="Z81" s="97">
        <f t="shared" si="225"/>
        <v>1.6896558848748437</v>
      </c>
      <c r="AA81" s="97">
        <f t="shared" si="225"/>
        <v>1.6803006538610392</v>
      </c>
      <c r="AB81" s="97">
        <f t="shared" ref="AB81" si="226">AB72/AB69</f>
        <v>1.6473086983028182</v>
      </c>
      <c r="AC81" s="97">
        <f t="shared" ref="AC81" si="227">AC72/AC69</f>
        <v>1.7473671406995956</v>
      </c>
      <c r="AE81" s="97">
        <f t="shared" ref="AE81:AO81" si="228">AE72/AE69</f>
        <v>1.4651325029144215</v>
      </c>
      <c r="AF81" s="97">
        <f t="shared" si="228"/>
        <v>1.4803097563381671</v>
      </c>
      <c r="AG81" s="97">
        <f t="shared" si="228"/>
        <v>1.5464624332320245</v>
      </c>
      <c r="AH81" s="97">
        <f t="shared" si="228"/>
        <v>1.5117965198306944</v>
      </c>
      <c r="AI81" s="97">
        <f t="shared" si="228"/>
        <v>1.613690676041317</v>
      </c>
      <c r="AJ81" s="97">
        <f t="shared" si="228"/>
        <v>1.6804482623653256</v>
      </c>
      <c r="AK81" s="97">
        <f t="shared" si="228"/>
        <v>1.7050773756234812</v>
      </c>
      <c r="AL81" s="97">
        <f t="shared" si="228"/>
        <v>1.5791479112374636</v>
      </c>
      <c r="AM81" s="97">
        <f t="shared" si="228"/>
        <v>1.5340948522446989</v>
      </c>
      <c r="AN81" s="97">
        <f t="shared" si="228"/>
        <v>1.6896558848748437</v>
      </c>
      <c r="AO81" s="97">
        <f t="shared" si="228"/>
        <v>1.6803006538610392</v>
      </c>
      <c r="AP81" s="97">
        <f t="shared" ref="AP81:AQ81" si="229">AP72/AP69</f>
        <v>1.6473086983028182</v>
      </c>
      <c r="AQ81" s="97">
        <f t="shared" si="229"/>
        <v>1.7473671406995956</v>
      </c>
    </row>
    <row r="82" spans="2:43" ht="5.0999999999999996" customHeight="1" thickBot="1">
      <c r="B82" s="40"/>
      <c r="C82" s="40"/>
      <c r="D82" s="40"/>
      <c r="E82" s="40"/>
      <c r="F82" s="40"/>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row>
  </sheetData>
  <mergeCells count="1">
    <mergeCell ref="AS2:AS4"/>
  </mergeCells>
  <pageMargins left="0.7" right="0.7" top="0.75" bottom="0.75" header="0.3" footer="0.3"/>
  <ignoredErrors>
    <ignoredError sqref="M42:M43 M36:AB37 M38:Z41 AR37:AS42 AR35:AR36 M32:M35 AE32:AO42 C38:K43 G36:K37 L40:L4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77D2-8829-42BE-A7B1-460B1A987ED3}">
  <sheetPr>
    <tabColor rgb="FFC00000"/>
  </sheetPr>
  <dimension ref="A2:AR102"/>
  <sheetViews>
    <sheetView showGridLines="0" zoomScaleNormal="100" workbookViewId="0"/>
  </sheetViews>
  <sheetFormatPr defaultRowHeight="12" outlineLevelRow="1" outlineLevelCol="1"/>
  <cols>
    <col min="1" max="1" width="1.5" style="8" customWidth="1"/>
    <col min="2" max="2" width="46.5" style="8" bestFit="1" customWidth="1"/>
    <col min="3" max="9" width="7.875" style="8" hidden="1" customWidth="1" outlineLevel="1"/>
    <col min="10" max="10" width="7.875" style="8" bestFit="1" customWidth="1" collapsed="1"/>
    <col min="11" max="12" width="7.875" style="8" bestFit="1" customWidth="1"/>
    <col min="13" max="13" width="1.5" style="8" customWidth="1"/>
    <col min="14" max="14" width="8.625" style="8" hidden="1" customWidth="1" outlineLevel="1"/>
    <col min="15" max="16" width="7.875" style="8" hidden="1" customWidth="1" outlineLevel="1"/>
    <col min="17" max="17" width="8.75" style="8" hidden="1" customWidth="1" outlineLevel="1"/>
    <col min="18" max="18" width="8.625" style="8" hidden="1" customWidth="1" outlineLevel="1"/>
    <col min="19" max="20" width="8" style="8" hidden="1" customWidth="1" outlineLevel="1"/>
    <col min="21" max="21" width="8.75" style="8" hidden="1" customWidth="1" outlineLevel="1"/>
    <col min="22" max="22" width="8.5" style="8" hidden="1" customWidth="1" outlineLevel="1"/>
    <col min="23" max="23" width="8.25" style="8" hidden="1" customWidth="1" outlineLevel="1"/>
    <col min="24" max="24" width="8.5" style="8" hidden="1" customWidth="1" outlineLevel="1"/>
    <col min="25" max="25" width="9.125" style="8" bestFit="1" customWidth="1" collapsed="1"/>
    <col min="26" max="29" width="9.125" style="8" bestFit="1" customWidth="1"/>
    <col min="30" max="30" width="1.5" style="8" customWidth="1"/>
    <col min="31" max="37" width="8.75" style="8" hidden="1" customWidth="1" outlineLevel="1"/>
    <col min="38" max="38" width="8.75" style="8" customWidth="1" collapsed="1"/>
    <col min="39" max="41" width="8.75" style="8" hidden="1" customWidth="1" outlineLevel="1"/>
    <col min="42" max="42" width="8.75" style="8" bestFit="1" customWidth="1" collapsed="1"/>
    <col min="43" max="43" width="1.5" style="8" customWidth="1"/>
    <col min="44" max="44" width="9.875" style="8" bestFit="1" customWidth="1"/>
    <col min="45" max="16384" width="9" style="8"/>
  </cols>
  <sheetData>
    <row r="2" spans="1:44" s="5" customFormat="1" ht="12.75" customHeight="1">
      <c r="B2" s="1" t="s">
        <v>189</v>
      </c>
      <c r="C2" s="2" t="s">
        <v>0</v>
      </c>
      <c r="D2" s="2"/>
      <c r="E2" s="2"/>
      <c r="F2" s="2"/>
      <c r="G2" s="2"/>
      <c r="H2" s="2"/>
      <c r="I2" s="2"/>
      <c r="J2" s="2" t="s">
        <v>0</v>
      </c>
      <c r="K2" s="2"/>
      <c r="L2" s="2"/>
      <c r="M2" s="3"/>
      <c r="N2" s="2" t="s">
        <v>1</v>
      </c>
      <c r="O2" s="2"/>
      <c r="P2" s="2"/>
      <c r="Q2" s="2"/>
      <c r="R2" s="2"/>
      <c r="S2" s="2"/>
      <c r="T2" s="2"/>
      <c r="U2" s="2"/>
      <c r="V2" s="2"/>
      <c r="W2" s="2"/>
      <c r="X2" s="2"/>
      <c r="Y2" s="2" t="s">
        <v>1</v>
      </c>
      <c r="Z2" s="2"/>
      <c r="AA2" s="2"/>
      <c r="AB2" s="2"/>
      <c r="AC2" s="2"/>
      <c r="AD2" s="3"/>
      <c r="AE2" s="2" t="s">
        <v>10</v>
      </c>
      <c r="AF2" s="2"/>
      <c r="AG2" s="2"/>
      <c r="AH2" s="2"/>
      <c r="AI2" s="2" t="s">
        <v>10</v>
      </c>
      <c r="AJ2" s="2"/>
      <c r="AK2" s="2"/>
      <c r="AL2" s="2" t="s">
        <v>10</v>
      </c>
      <c r="AM2" s="2"/>
      <c r="AN2" s="2"/>
      <c r="AO2" s="2"/>
      <c r="AP2" s="2"/>
      <c r="AQ2" s="3"/>
      <c r="AR2" s="640" t="s">
        <v>37</v>
      </c>
    </row>
    <row r="3" spans="1:44" s="5" customFormat="1" ht="12.75" customHeight="1">
      <c r="B3" s="6" t="s">
        <v>108</v>
      </c>
      <c r="C3" s="7">
        <f>'Historical Financials'!C7</f>
        <v>2016</v>
      </c>
      <c r="D3" s="7">
        <f>'Historical Financials'!D7</f>
        <v>2017</v>
      </c>
      <c r="E3" s="7">
        <f>'Historical Financials'!E7</f>
        <v>2018</v>
      </c>
      <c r="F3" s="7">
        <f>'Historical Financials'!F7</f>
        <v>2019</v>
      </c>
      <c r="G3" s="7">
        <f>'Historical Financials'!G7</f>
        <v>2020</v>
      </c>
      <c r="H3" s="7">
        <f>'Historical Financials'!H7</f>
        <v>2021</v>
      </c>
      <c r="I3" s="7">
        <f>'Historical Financials'!I7</f>
        <v>2022</v>
      </c>
      <c r="J3" s="7">
        <f>'Historical Financials'!J7</f>
        <v>2023</v>
      </c>
      <c r="K3" s="7">
        <f>'Historical Financials'!K7</f>
        <v>2024</v>
      </c>
      <c r="L3" s="7">
        <f>'Historical Financials'!L7</f>
        <v>2025</v>
      </c>
      <c r="M3" s="3"/>
      <c r="N3" s="7" t="str">
        <f>'Historical Financials'!N7</f>
        <v>1Q22</v>
      </c>
      <c r="O3" s="7" t="str">
        <f>'Historical Financials'!O7</f>
        <v>2Q22</v>
      </c>
      <c r="P3" s="7" t="str">
        <f>'Historical Financials'!P7</f>
        <v>3Q22</v>
      </c>
      <c r="Q3" s="7" t="str">
        <f>'Historical Financials'!Q7</f>
        <v>4Q22</v>
      </c>
      <c r="R3" s="7" t="str">
        <f>'Historical Financials'!R7</f>
        <v>1Q23</v>
      </c>
      <c r="S3" s="7" t="str">
        <f>'Historical Financials'!S7</f>
        <v>2Q23</v>
      </c>
      <c r="T3" s="7" t="str">
        <f>'Historical Financials'!T7</f>
        <v>3Q23</v>
      </c>
      <c r="U3" s="7" t="str">
        <f>'Historical Financials'!U7</f>
        <v>4Q23</v>
      </c>
      <c r="V3" s="7" t="str">
        <f>'Historical Financials'!V7</f>
        <v>1Q24</v>
      </c>
      <c r="W3" s="7" t="str">
        <f>'Historical Financials'!W7</f>
        <v>2Q24</v>
      </c>
      <c r="X3" s="7" t="str">
        <f>'Historical Financials'!X7</f>
        <v>3Q24</v>
      </c>
      <c r="Y3" s="7" t="str">
        <f>'Historical Financials'!Y7</f>
        <v>4Q24</v>
      </c>
      <c r="Z3" s="7" t="str">
        <f>'Historical Financials'!Z7</f>
        <v>1Q25</v>
      </c>
      <c r="AA3" s="7" t="str">
        <f>'Historical Financials'!AA7</f>
        <v>2Q25</v>
      </c>
      <c r="AB3" s="7" t="str">
        <f>'Historical Financials'!AB7</f>
        <v>3Q25</v>
      </c>
      <c r="AC3" s="7" t="str">
        <f>'Historical Financials'!AC7</f>
        <v>4Q25</v>
      </c>
      <c r="AD3" s="3"/>
      <c r="AE3" s="4" t="str">
        <f t="shared" ref="AE3:AO4" si="0">R3</f>
        <v>1Q23</v>
      </c>
      <c r="AF3" s="4" t="str">
        <f t="shared" si="0"/>
        <v>2Q23</v>
      </c>
      <c r="AG3" s="4" t="str">
        <f t="shared" si="0"/>
        <v>3Q23</v>
      </c>
      <c r="AH3" s="4" t="str">
        <f t="shared" si="0"/>
        <v>4Q23</v>
      </c>
      <c r="AI3" s="4" t="str">
        <f t="shared" si="0"/>
        <v>1Q24</v>
      </c>
      <c r="AJ3" s="4" t="str">
        <f t="shared" si="0"/>
        <v>2Q24</v>
      </c>
      <c r="AK3" s="4" t="str">
        <f t="shared" si="0"/>
        <v>3Q24</v>
      </c>
      <c r="AL3" s="4" t="str">
        <f t="shared" si="0"/>
        <v>4Q24</v>
      </c>
      <c r="AM3" s="4" t="str">
        <f t="shared" si="0"/>
        <v>1Q25</v>
      </c>
      <c r="AN3" s="4" t="str">
        <f t="shared" si="0"/>
        <v>2Q25</v>
      </c>
      <c r="AO3" s="4" t="str">
        <f t="shared" si="0"/>
        <v>3Q25</v>
      </c>
      <c r="AP3" s="4" t="str">
        <f>AC3</f>
        <v>4Q25</v>
      </c>
      <c r="AQ3" s="3"/>
      <c r="AR3" s="640"/>
    </row>
    <row r="4" spans="1:44" s="5" customFormat="1" ht="12.75" customHeight="1">
      <c r="B4" s="282" t="s">
        <v>422</v>
      </c>
      <c r="C4" s="3">
        <f>'Historical Financials'!C8</f>
        <v>42643</v>
      </c>
      <c r="D4" s="3">
        <f>'Historical Financials'!D8</f>
        <v>43008</v>
      </c>
      <c r="E4" s="3">
        <f>'Historical Financials'!E8</f>
        <v>43372</v>
      </c>
      <c r="F4" s="3">
        <f>'Historical Financials'!F8</f>
        <v>43737</v>
      </c>
      <c r="G4" s="3">
        <f>'Historical Financials'!G8</f>
        <v>44104</v>
      </c>
      <c r="H4" s="3">
        <f>'Historical Financials'!H8</f>
        <v>44469</v>
      </c>
      <c r="I4" s="3">
        <f>'Historical Financials'!I8</f>
        <v>44834</v>
      </c>
      <c r="J4" s="3">
        <f>'Historical Financials'!J8</f>
        <v>45192</v>
      </c>
      <c r="K4" s="3">
        <f>'Historical Financials'!K8</f>
        <v>45559</v>
      </c>
      <c r="L4" s="3">
        <f>'Historical Financials'!L8</f>
        <v>45927</v>
      </c>
      <c r="M4" s="3"/>
      <c r="N4" s="3">
        <f>'Historical Financials'!N8</f>
        <v>44560</v>
      </c>
      <c r="O4" s="3">
        <f>'Historical Financials'!O8</f>
        <v>44650</v>
      </c>
      <c r="P4" s="3">
        <f>'Historical Financials'!P8</f>
        <v>44742</v>
      </c>
      <c r="Q4" s="3">
        <f>'Historical Financials'!Q8</f>
        <v>44834</v>
      </c>
      <c r="R4" s="3">
        <f>'Historical Financials'!R8</f>
        <v>44917</v>
      </c>
      <c r="S4" s="3">
        <f>'Historical Financials'!S8</f>
        <v>45008</v>
      </c>
      <c r="T4" s="3">
        <f>'Historical Financials'!T8</f>
        <v>45100</v>
      </c>
      <c r="U4" s="3">
        <f>'Historical Financials'!U8</f>
        <v>45192</v>
      </c>
      <c r="V4" s="3">
        <f>'Historical Financials'!V8</f>
        <v>45283</v>
      </c>
      <c r="W4" s="3">
        <f>'Historical Financials'!W8</f>
        <v>45375</v>
      </c>
      <c r="X4" s="3">
        <f>'Historical Financials'!X8</f>
        <v>45467</v>
      </c>
      <c r="Y4" s="3">
        <f>'Historical Financials'!Y8</f>
        <v>45559</v>
      </c>
      <c r="Z4" s="3">
        <f>'Historical Financials'!Z8</f>
        <v>45650</v>
      </c>
      <c r="AA4" s="3">
        <f>'Historical Financials'!AA8</f>
        <v>45741</v>
      </c>
      <c r="AB4" s="3">
        <f>'Historical Financials'!AB8</f>
        <v>45833</v>
      </c>
      <c r="AC4" s="3">
        <f>'Historical Financials'!AC8</f>
        <v>45927</v>
      </c>
      <c r="AD4" s="3"/>
      <c r="AE4" s="3">
        <f t="shared" si="0"/>
        <v>44917</v>
      </c>
      <c r="AF4" s="3">
        <f t="shared" si="0"/>
        <v>45008</v>
      </c>
      <c r="AG4" s="3">
        <f t="shared" si="0"/>
        <v>45100</v>
      </c>
      <c r="AH4" s="3">
        <f t="shared" si="0"/>
        <v>45192</v>
      </c>
      <c r="AI4" s="3">
        <f t="shared" si="0"/>
        <v>45283</v>
      </c>
      <c r="AJ4" s="3">
        <f t="shared" si="0"/>
        <v>45375</v>
      </c>
      <c r="AK4" s="3">
        <f t="shared" si="0"/>
        <v>45467</v>
      </c>
      <c r="AL4" s="3">
        <f t="shared" si="0"/>
        <v>45559</v>
      </c>
      <c r="AM4" s="3">
        <f t="shared" si="0"/>
        <v>45650</v>
      </c>
      <c r="AN4" s="3">
        <f t="shared" si="0"/>
        <v>45741</v>
      </c>
      <c r="AO4" s="3">
        <f t="shared" si="0"/>
        <v>45833</v>
      </c>
      <c r="AP4" s="3">
        <f>AC4</f>
        <v>45927</v>
      </c>
      <c r="AQ4" s="3"/>
      <c r="AR4" s="640"/>
    </row>
    <row r="5" spans="1:44" ht="5.0999999999999996" customHeight="1"/>
    <row r="6" spans="1:44">
      <c r="A6" s="39" t="s">
        <v>24</v>
      </c>
      <c r="B6" s="1" t="s">
        <v>367</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1:44" ht="5.0999999999999996" customHeight="1"/>
    <row r="8" spans="1:44">
      <c r="A8" s="94" t="s">
        <v>24</v>
      </c>
      <c r="B8" s="91" t="s">
        <v>222</v>
      </c>
      <c r="C8" s="27"/>
      <c r="D8" s="27"/>
      <c r="E8" s="27"/>
      <c r="F8" s="27"/>
      <c r="G8" s="11"/>
      <c r="H8" s="11"/>
      <c r="I8" s="11"/>
      <c r="J8" s="11"/>
      <c r="K8" s="11"/>
      <c r="L8" s="11"/>
      <c r="M8" s="11"/>
      <c r="N8" s="11"/>
      <c r="O8" s="11"/>
      <c r="P8" s="11"/>
      <c r="Q8" s="11"/>
      <c r="R8" s="11"/>
      <c r="S8" s="11"/>
      <c r="T8" s="11"/>
      <c r="U8" s="11"/>
      <c r="V8" s="11"/>
      <c r="W8" s="11"/>
      <c r="X8" s="11"/>
      <c r="Y8" s="11"/>
      <c r="Z8" s="11"/>
      <c r="AA8" s="11"/>
      <c r="AB8" s="11"/>
      <c r="AC8" s="11"/>
      <c r="AD8" s="5"/>
      <c r="AE8" s="12"/>
      <c r="AF8" s="12"/>
      <c r="AG8" s="12"/>
      <c r="AH8" s="12"/>
      <c r="AI8" s="12"/>
      <c r="AJ8" s="12"/>
      <c r="AK8" s="12"/>
      <c r="AL8" s="12"/>
      <c r="AM8" s="12"/>
      <c r="AN8" s="12"/>
    </row>
    <row r="9" spans="1:44" ht="12.75" customHeight="1">
      <c r="B9" s="10" t="s">
        <v>224</v>
      </c>
      <c r="C9" s="95">
        <v>136700</v>
      </c>
      <c r="D9" s="95">
        <v>141319</v>
      </c>
      <c r="E9" s="95">
        <v>164888</v>
      </c>
      <c r="F9" s="95">
        <v>142381</v>
      </c>
      <c r="G9" s="95">
        <v>137781</v>
      </c>
      <c r="H9" s="95">
        <v>191973</v>
      </c>
      <c r="I9" s="95">
        <v>205489</v>
      </c>
      <c r="J9" s="95">
        <v>200583</v>
      </c>
      <c r="K9" s="95">
        <v>201183</v>
      </c>
      <c r="L9" s="95">
        <v>209586</v>
      </c>
      <c r="M9" s="95"/>
      <c r="N9" s="95">
        <v>71628</v>
      </c>
      <c r="O9" s="95">
        <v>50570</v>
      </c>
      <c r="P9" s="95">
        <v>40665</v>
      </c>
      <c r="Q9" s="34">
        <f t="shared" ref="Q9:Q13" si="1">SUM(I9-SUM(N9:P9))</f>
        <v>42626</v>
      </c>
      <c r="R9" s="95">
        <v>65775</v>
      </c>
      <c r="S9" s="95">
        <v>51334</v>
      </c>
      <c r="T9" s="95">
        <v>39669</v>
      </c>
      <c r="U9" s="34">
        <f t="shared" ref="U9:U13" si="2">SUM(J9-SUM(R9:T9))</f>
        <v>43805</v>
      </c>
      <c r="V9" s="95">
        <v>69702</v>
      </c>
      <c r="W9" s="95">
        <v>45963</v>
      </c>
      <c r="X9" s="95">
        <v>39296</v>
      </c>
      <c r="Y9" s="34">
        <f t="shared" ref="Y9:Y13" si="3">SUM(K9-SUM(V9:X9))</f>
        <v>46222</v>
      </c>
      <c r="Z9" s="95">
        <v>69138</v>
      </c>
      <c r="AA9" s="95">
        <v>46841</v>
      </c>
      <c r="AB9" s="95">
        <v>44582</v>
      </c>
      <c r="AC9" s="34">
        <f>SUM(L9-SUM(Z9:AB9))</f>
        <v>49025</v>
      </c>
      <c r="AD9" s="5"/>
      <c r="AE9" s="12">
        <f t="shared" ref="AE9:AO13" si="4">SUM(O9:R9)</f>
        <v>199636</v>
      </c>
      <c r="AF9" s="12">
        <f t="shared" si="4"/>
        <v>200400</v>
      </c>
      <c r="AG9" s="12">
        <f t="shared" si="4"/>
        <v>199404</v>
      </c>
      <c r="AH9" s="12">
        <f t="shared" si="4"/>
        <v>200583</v>
      </c>
      <c r="AI9" s="12">
        <f t="shared" si="4"/>
        <v>204510</v>
      </c>
      <c r="AJ9" s="12">
        <f t="shared" si="4"/>
        <v>199139</v>
      </c>
      <c r="AK9" s="12">
        <f t="shared" si="4"/>
        <v>198766</v>
      </c>
      <c r="AL9" s="12">
        <f t="shared" si="4"/>
        <v>201183</v>
      </c>
      <c r="AM9" s="12">
        <f t="shared" si="4"/>
        <v>200619</v>
      </c>
      <c r="AN9" s="12">
        <f t="shared" si="4"/>
        <v>201497</v>
      </c>
      <c r="AO9" s="12">
        <f t="shared" si="4"/>
        <v>206783</v>
      </c>
      <c r="AP9" s="12">
        <f>SUM(Z9:AC9)</f>
        <v>209586</v>
      </c>
      <c r="AR9" s="13">
        <f>SUM(AP9/AL9)-1</f>
        <v>4.1767942619406195E-2</v>
      </c>
    </row>
    <row r="10" spans="1:44" ht="12.75" customHeight="1">
      <c r="B10" s="10" t="s">
        <v>225</v>
      </c>
      <c r="C10" s="95">
        <v>22831</v>
      </c>
      <c r="D10" s="95">
        <v>25850</v>
      </c>
      <c r="E10" s="95">
        <v>25198</v>
      </c>
      <c r="F10" s="95">
        <v>25740</v>
      </c>
      <c r="G10" s="95">
        <v>28622</v>
      </c>
      <c r="H10" s="95">
        <v>35190</v>
      </c>
      <c r="I10" s="95">
        <v>40177</v>
      </c>
      <c r="J10" s="95">
        <v>29357</v>
      </c>
      <c r="K10" s="95">
        <v>29984</v>
      </c>
      <c r="L10" s="95">
        <v>33708</v>
      </c>
      <c r="M10" s="95"/>
      <c r="N10" s="95">
        <v>10852</v>
      </c>
      <c r="O10" s="95">
        <v>10435</v>
      </c>
      <c r="P10" s="95">
        <v>7382</v>
      </c>
      <c r="Q10" s="34">
        <f t="shared" si="1"/>
        <v>11508</v>
      </c>
      <c r="R10" s="95">
        <v>7735</v>
      </c>
      <c r="S10" s="95">
        <v>7168</v>
      </c>
      <c r="T10" s="95">
        <v>6840</v>
      </c>
      <c r="U10" s="34">
        <f t="shared" si="2"/>
        <v>7614</v>
      </c>
      <c r="V10" s="95">
        <v>7780</v>
      </c>
      <c r="W10" s="95">
        <v>7451</v>
      </c>
      <c r="X10" s="95">
        <v>7009</v>
      </c>
      <c r="Y10" s="34">
        <f t="shared" si="3"/>
        <v>7744</v>
      </c>
      <c r="Z10" s="95">
        <v>8987</v>
      </c>
      <c r="AA10" s="95">
        <v>7949</v>
      </c>
      <c r="AB10" s="95">
        <v>8046</v>
      </c>
      <c r="AC10" s="34">
        <f t="shared" ref="AC10:AC13" si="5">SUM(L10-SUM(Z10:AB10))</f>
        <v>8726</v>
      </c>
      <c r="AD10" s="5"/>
      <c r="AE10" s="12">
        <f t="shared" si="4"/>
        <v>37060</v>
      </c>
      <c r="AF10" s="12">
        <f t="shared" si="4"/>
        <v>33793</v>
      </c>
      <c r="AG10" s="12">
        <f t="shared" si="4"/>
        <v>33251</v>
      </c>
      <c r="AH10" s="12">
        <f t="shared" si="4"/>
        <v>29357</v>
      </c>
      <c r="AI10" s="12">
        <f t="shared" si="4"/>
        <v>29402</v>
      </c>
      <c r="AJ10" s="12">
        <f t="shared" si="4"/>
        <v>29685</v>
      </c>
      <c r="AK10" s="12">
        <f t="shared" si="4"/>
        <v>29854</v>
      </c>
      <c r="AL10" s="12">
        <f t="shared" si="4"/>
        <v>29984</v>
      </c>
      <c r="AM10" s="12">
        <f t="shared" si="4"/>
        <v>31191</v>
      </c>
      <c r="AN10" s="12">
        <f t="shared" si="4"/>
        <v>31689</v>
      </c>
      <c r="AO10" s="12">
        <f t="shared" si="4"/>
        <v>32726</v>
      </c>
      <c r="AP10" s="12">
        <f t="shared" ref="AP10:AP13" si="6">SUM(Z10:AC10)</f>
        <v>33708</v>
      </c>
      <c r="AR10" s="13">
        <f t="shared" ref="AR10:AR14" si="7">SUM(AP10/AL10)-1</f>
        <v>0.12419957310565644</v>
      </c>
    </row>
    <row r="11" spans="1:44" ht="12.75" customHeight="1">
      <c r="B11" s="10" t="s">
        <v>226</v>
      </c>
      <c r="C11" s="95">
        <v>20628</v>
      </c>
      <c r="D11" s="95">
        <v>19222</v>
      </c>
      <c r="E11" s="95">
        <v>18380</v>
      </c>
      <c r="F11" s="95">
        <v>21280</v>
      </c>
      <c r="G11" s="95">
        <v>23724</v>
      </c>
      <c r="H11" s="95">
        <v>31862</v>
      </c>
      <c r="I11" s="95">
        <v>29292</v>
      </c>
      <c r="J11" s="95">
        <v>28300</v>
      </c>
      <c r="K11" s="95">
        <v>26694</v>
      </c>
      <c r="L11" s="95">
        <v>28023</v>
      </c>
      <c r="M11" s="95"/>
      <c r="N11" s="95">
        <v>7248</v>
      </c>
      <c r="O11" s="95">
        <v>7646</v>
      </c>
      <c r="P11" s="95">
        <v>7224</v>
      </c>
      <c r="Q11" s="34">
        <f t="shared" si="1"/>
        <v>7174</v>
      </c>
      <c r="R11" s="95">
        <v>9396</v>
      </c>
      <c r="S11" s="95">
        <v>6670</v>
      </c>
      <c r="T11" s="95">
        <v>5791</v>
      </c>
      <c r="U11" s="34">
        <f t="shared" si="2"/>
        <v>6443</v>
      </c>
      <c r="V11" s="95">
        <v>7023</v>
      </c>
      <c r="W11" s="95">
        <v>5559</v>
      </c>
      <c r="X11" s="95">
        <v>7162</v>
      </c>
      <c r="Y11" s="34">
        <f t="shared" si="3"/>
        <v>6950</v>
      </c>
      <c r="Z11" s="95">
        <v>8088</v>
      </c>
      <c r="AA11" s="95">
        <v>6402</v>
      </c>
      <c r="AB11" s="95">
        <v>6581</v>
      </c>
      <c r="AC11" s="34">
        <f t="shared" si="5"/>
        <v>6952</v>
      </c>
      <c r="AD11" s="5"/>
      <c r="AE11" s="12">
        <f t="shared" si="4"/>
        <v>31440</v>
      </c>
      <c r="AF11" s="12">
        <f t="shared" si="4"/>
        <v>30464</v>
      </c>
      <c r="AG11" s="12">
        <f t="shared" si="4"/>
        <v>29031</v>
      </c>
      <c r="AH11" s="12">
        <f t="shared" si="4"/>
        <v>28300</v>
      </c>
      <c r="AI11" s="12">
        <f t="shared" si="4"/>
        <v>25927</v>
      </c>
      <c r="AJ11" s="12">
        <f t="shared" si="4"/>
        <v>24816</v>
      </c>
      <c r="AK11" s="12">
        <f t="shared" si="4"/>
        <v>26187</v>
      </c>
      <c r="AL11" s="12">
        <f t="shared" si="4"/>
        <v>26694</v>
      </c>
      <c r="AM11" s="12">
        <f t="shared" si="4"/>
        <v>27759</v>
      </c>
      <c r="AN11" s="12">
        <f t="shared" si="4"/>
        <v>28602</v>
      </c>
      <c r="AO11" s="12">
        <f t="shared" si="4"/>
        <v>28021</v>
      </c>
      <c r="AP11" s="12">
        <f t="shared" si="6"/>
        <v>28023</v>
      </c>
      <c r="AR11" s="13">
        <f t="shared" si="7"/>
        <v>4.9786468869408962E-2</v>
      </c>
    </row>
    <row r="12" spans="1:44" ht="12.75" customHeight="1">
      <c r="B12" s="10" t="s">
        <v>227</v>
      </c>
      <c r="C12" s="95">
        <v>24348</v>
      </c>
      <c r="D12" s="95">
        <v>29980</v>
      </c>
      <c r="E12" s="95">
        <v>39748</v>
      </c>
      <c r="F12" s="95">
        <v>46291</v>
      </c>
      <c r="G12" s="95">
        <v>53768</v>
      </c>
      <c r="H12" s="95">
        <v>68425</v>
      </c>
      <c r="I12" s="95">
        <v>78129</v>
      </c>
      <c r="J12" s="95">
        <v>85200</v>
      </c>
      <c r="K12" s="95">
        <v>96169</v>
      </c>
      <c r="L12" s="95">
        <v>109158</v>
      </c>
      <c r="M12" s="95"/>
      <c r="N12" s="95">
        <v>19516</v>
      </c>
      <c r="O12" s="95">
        <v>19821</v>
      </c>
      <c r="P12" s="95">
        <v>19604</v>
      </c>
      <c r="Q12" s="34">
        <f t="shared" si="1"/>
        <v>19188</v>
      </c>
      <c r="R12" s="95">
        <v>20766</v>
      </c>
      <c r="S12" s="95">
        <v>20907</v>
      </c>
      <c r="T12" s="95">
        <v>21213</v>
      </c>
      <c r="U12" s="34">
        <f t="shared" si="2"/>
        <v>22314</v>
      </c>
      <c r="V12" s="95">
        <v>23117</v>
      </c>
      <c r="W12" s="95">
        <v>23867</v>
      </c>
      <c r="X12" s="95">
        <v>24213</v>
      </c>
      <c r="Y12" s="34">
        <f t="shared" si="3"/>
        <v>24972</v>
      </c>
      <c r="Z12" s="95">
        <v>26340</v>
      </c>
      <c r="AA12" s="95">
        <v>26645</v>
      </c>
      <c r="AB12" s="95">
        <v>27423</v>
      </c>
      <c r="AC12" s="34">
        <f t="shared" si="5"/>
        <v>28750</v>
      </c>
      <c r="AD12" s="5"/>
      <c r="AE12" s="12">
        <f t="shared" si="4"/>
        <v>79379</v>
      </c>
      <c r="AF12" s="12">
        <f t="shared" si="4"/>
        <v>80465</v>
      </c>
      <c r="AG12" s="12">
        <f t="shared" si="4"/>
        <v>82074</v>
      </c>
      <c r="AH12" s="12">
        <f t="shared" si="4"/>
        <v>85200</v>
      </c>
      <c r="AI12" s="12">
        <f t="shared" si="4"/>
        <v>87551</v>
      </c>
      <c r="AJ12" s="12">
        <f t="shared" si="4"/>
        <v>90511</v>
      </c>
      <c r="AK12" s="12">
        <f t="shared" si="4"/>
        <v>93511</v>
      </c>
      <c r="AL12" s="12">
        <f t="shared" si="4"/>
        <v>96169</v>
      </c>
      <c r="AM12" s="12">
        <f t="shared" si="4"/>
        <v>99392</v>
      </c>
      <c r="AN12" s="12">
        <f t="shared" si="4"/>
        <v>102170</v>
      </c>
      <c r="AO12" s="12">
        <f t="shared" si="4"/>
        <v>105380</v>
      </c>
      <c r="AP12" s="12">
        <f t="shared" si="6"/>
        <v>109158</v>
      </c>
      <c r="AR12" s="13">
        <f t="shared" si="7"/>
        <v>0.13506431386413498</v>
      </c>
    </row>
    <row r="13" spans="1:44" ht="12.75" customHeight="1">
      <c r="B13" s="10" t="s">
        <v>228</v>
      </c>
      <c r="C13" s="95">
        <v>11132</v>
      </c>
      <c r="D13" s="95">
        <v>12863</v>
      </c>
      <c r="E13" s="95">
        <v>17381</v>
      </c>
      <c r="F13" s="95">
        <v>24482</v>
      </c>
      <c r="G13" s="95">
        <v>30620</v>
      </c>
      <c r="H13" s="95">
        <v>38367</v>
      </c>
      <c r="I13" s="95">
        <v>41241</v>
      </c>
      <c r="J13" s="95">
        <v>39845</v>
      </c>
      <c r="K13" s="95">
        <v>37005</v>
      </c>
      <c r="L13" s="95">
        <v>35686</v>
      </c>
      <c r="M13" s="95"/>
      <c r="N13" s="95">
        <v>14701</v>
      </c>
      <c r="O13" s="95">
        <v>8806</v>
      </c>
      <c r="P13" s="95">
        <v>8084</v>
      </c>
      <c r="Q13" s="34">
        <f t="shared" si="1"/>
        <v>9650</v>
      </c>
      <c r="R13" s="95">
        <v>13482</v>
      </c>
      <c r="S13" s="95">
        <v>8757</v>
      </c>
      <c r="T13" s="95">
        <v>8284</v>
      </c>
      <c r="U13" s="34">
        <f t="shared" si="2"/>
        <v>9322</v>
      </c>
      <c r="V13" s="95">
        <v>11953</v>
      </c>
      <c r="W13" s="95">
        <v>7913</v>
      </c>
      <c r="X13" s="95">
        <v>8097</v>
      </c>
      <c r="Y13" s="34">
        <f t="shared" si="3"/>
        <v>9042</v>
      </c>
      <c r="Z13" s="95">
        <v>11747</v>
      </c>
      <c r="AA13" s="95">
        <v>7522</v>
      </c>
      <c r="AB13" s="95">
        <v>7404</v>
      </c>
      <c r="AC13" s="34">
        <f t="shared" si="5"/>
        <v>9013</v>
      </c>
      <c r="AD13" s="5"/>
      <c r="AE13" s="12">
        <f>SUM(O13:R13)</f>
        <v>40022</v>
      </c>
      <c r="AF13" s="12">
        <f t="shared" si="4"/>
        <v>39973</v>
      </c>
      <c r="AG13" s="12">
        <f t="shared" si="4"/>
        <v>40173</v>
      </c>
      <c r="AH13" s="12">
        <f t="shared" si="4"/>
        <v>39845</v>
      </c>
      <c r="AI13" s="12">
        <f t="shared" si="4"/>
        <v>38316</v>
      </c>
      <c r="AJ13" s="12">
        <f t="shared" si="4"/>
        <v>37472</v>
      </c>
      <c r="AK13" s="12">
        <f t="shared" si="4"/>
        <v>37285</v>
      </c>
      <c r="AL13" s="12">
        <f t="shared" si="4"/>
        <v>37005</v>
      </c>
      <c r="AM13" s="12">
        <f t="shared" si="4"/>
        <v>36799</v>
      </c>
      <c r="AN13" s="12">
        <f t="shared" si="4"/>
        <v>36408</v>
      </c>
      <c r="AO13" s="12">
        <f t="shared" si="4"/>
        <v>35715</v>
      </c>
      <c r="AP13" s="12">
        <f t="shared" si="6"/>
        <v>35686</v>
      </c>
      <c r="AR13" s="13">
        <f t="shared" si="7"/>
        <v>-3.5643831914606183E-2</v>
      </c>
    </row>
    <row r="14" spans="1:44" ht="12.75" customHeight="1">
      <c r="B14" s="14" t="s">
        <v>109</v>
      </c>
      <c r="C14" s="15">
        <f t="shared" ref="C14:AO14" si="8">SUM(C9:C13)</f>
        <v>215639</v>
      </c>
      <c r="D14" s="15">
        <f t="shared" si="8"/>
        <v>229234</v>
      </c>
      <c r="E14" s="15">
        <f t="shared" si="8"/>
        <v>265595</v>
      </c>
      <c r="F14" s="15">
        <f t="shared" si="8"/>
        <v>260174</v>
      </c>
      <c r="G14" s="15">
        <f t="shared" si="8"/>
        <v>274515</v>
      </c>
      <c r="H14" s="15">
        <f t="shared" si="8"/>
        <v>365817</v>
      </c>
      <c r="I14" s="15">
        <f t="shared" si="8"/>
        <v>394328</v>
      </c>
      <c r="J14" s="15">
        <f t="shared" si="8"/>
        <v>383285</v>
      </c>
      <c r="K14" s="15">
        <f t="shared" si="8"/>
        <v>391035</v>
      </c>
      <c r="L14" s="15">
        <f t="shared" si="8"/>
        <v>416161</v>
      </c>
      <c r="M14" s="12"/>
      <c r="N14" s="15">
        <f t="shared" si="8"/>
        <v>123945</v>
      </c>
      <c r="O14" s="15">
        <f t="shared" si="8"/>
        <v>97278</v>
      </c>
      <c r="P14" s="15">
        <f t="shared" si="8"/>
        <v>82959</v>
      </c>
      <c r="Q14" s="15">
        <f t="shared" si="8"/>
        <v>90146</v>
      </c>
      <c r="R14" s="15">
        <f t="shared" si="8"/>
        <v>117154</v>
      </c>
      <c r="S14" s="15">
        <f t="shared" si="8"/>
        <v>94836</v>
      </c>
      <c r="T14" s="15">
        <f t="shared" si="8"/>
        <v>81797</v>
      </c>
      <c r="U14" s="15">
        <f t="shared" si="8"/>
        <v>89498</v>
      </c>
      <c r="V14" s="15">
        <f t="shared" si="8"/>
        <v>119575</v>
      </c>
      <c r="W14" s="15">
        <f t="shared" si="8"/>
        <v>90753</v>
      </c>
      <c r="X14" s="15">
        <f t="shared" si="8"/>
        <v>85777</v>
      </c>
      <c r="Y14" s="15">
        <f t="shared" si="8"/>
        <v>94930</v>
      </c>
      <c r="Z14" s="15">
        <f t="shared" si="8"/>
        <v>124300</v>
      </c>
      <c r="AA14" s="15">
        <f t="shared" si="8"/>
        <v>95359</v>
      </c>
      <c r="AB14" s="15">
        <f t="shared" si="8"/>
        <v>94036</v>
      </c>
      <c r="AC14" s="15">
        <f t="shared" ref="AC14" si="9">SUM(AC9:AC13)</f>
        <v>102466</v>
      </c>
      <c r="AD14" s="5"/>
      <c r="AE14" s="15">
        <f t="shared" si="8"/>
        <v>387537</v>
      </c>
      <c r="AF14" s="15">
        <f t="shared" si="8"/>
        <v>385095</v>
      </c>
      <c r="AG14" s="15">
        <f t="shared" si="8"/>
        <v>383933</v>
      </c>
      <c r="AH14" s="15">
        <f t="shared" si="8"/>
        <v>383285</v>
      </c>
      <c r="AI14" s="15">
        <f t="shared" si="8"/>
        <v>385706</v>
      </c>
      <c r="AJ14" s="15">
        <f t="shared" si="8"/>
        <v>381623</v>
      </c>
      <c r="AK14" s="15">
        <f t="shared" si="8"/>
        <v>385603</v>
      </c>
      <c r="AL14" s="15">
        <f t="shared" si="8"/>
        <v>391035</v>
      </c>
      <c r="AM14" s="15">
        <f t="shared" si="8"/>
        <v>395760</v>
      </c>
      <c r="AN14" s="15">
        <f t="shared" si="8"/>
        <v>400366</v>
      </c>
      <c r="AO14" s="15">
        <f t="shared" si="8"/>
        <v>408625</v>
      </c>
      <c r="AP14" s="15">
        <f t="shared" ref="AP14" si="10">SUM(AP9:AP13)</f>
        <v>416161</v>
      </c>
      <c r="AR14" s="16">
        <f t="shared" si="7"/>
        <v>6.425511782832749E-2</v>
      </c>
    </row>
    <row r="15" spans="1:44" hidden="1" outlineLevel="1">
      <c r="B15" s="92" t="s">
        <v>362</v>
      </c>
      <c r="C15" s="93">
        <f>C14-'Historical Financials'!C11</f>
        <v>0</v>
      </c>
      <c r="D15" s="93">
        <f>D14-'Historical Financials'!D11</f>
        <v>0</v>
      </c>
      <c r="E15" s="93">
        <f>E14-'Historical Financials'!E11</f>
        <v>0</v>
      </c>
      <c r="F15" s="93">
        <f>F14-'Historical Financials'!F11</f>
        <v>0</v>
      </c>
      <c r="G15" s="93">
        <f>G14-'Historical Financials'!G11</f>
        <v>0</v>
      </c>
      <c r="H15" s="93">
        <f>H14-'Historical Financials'!H11</f>
        <v>0</v>
      </c>
      <c r="I15" s="93">
        <f>I14-'Historical Financials'!I11</f>
        <v>0</v>
      </c>
      <c r="J15" s="93">
        <f>J14-'Historical Financials'!J11</f>
        <v>0</v>
      </c>
      <c r="K15" s="93">
        <f>K14-'Historical Financials'!K11</f>
        <v>0</v>
      </c>
      <c r="L15" s="93">
        <f>L14-'Historical Financials'!L11</f>
        <v>0</v>
      </c>
      <c r="M15" s="12"/>
      <c r="N15" s="93">
        <f>N14-'Historical Financials'!N11</f>
        <v>0</v>
      </c>
      <c r="O15" s="93">
        <f>O14-'Historical Financials'!O11</f>
        <v>0</v>
      </c>
      <c r="P15" s="93">
        <f>P14-'Historical Financials'!P11</f>
        <v>0</v>
      </c>
      <c r="Q15" s="93">
        <f>Q14-'Historical Financials'!Q11</f>
        <v>0</v>
      </c>
      <c r="R15" s="93">
        <f>R14-'Historical Financials'!R11</f>
        <v>0</v>
      </c>
      <c r="S15" s="93">
        <f>S14-'Historical Financials'!S11</f>
        <v>0</v>
      </c>
      <c r="T15" s="93">
        <f>T14-'Historical Financials'!T11</f>
        <v>0</v>
      </c>
      <c r="U15" s="93">
        <f>U14-'Historical Financials'!U11</f>
        <v>0</v>
      </c>
      <c r="V15" s="93">
        <f>V14-'Historical Financials'!V11</f>
        <v>0</v>
      </c>
      <c r="W15" s="93">
        <f>W14-'Historical Financials'!W11</f>
        <v>0</v>
      </c>
      <c r="X15" s="93">
        <f>X14-'Historical Financials'!X11</f>
        <v>0</v>
      </c>
      <c r="Y15" s="93">
        <f>Y14-'Historical Financials'!Y11</f>
        <v>0</v>
      </c>
      <c r="Z15" s="93">
        <f>Z14-'Historical Financials'!Z11</f>
        <v>0</v>
      </c>
      <c r="AA15" s="93">
        <f>AA14-'Historical Financials'!AA11</f>
        <v>0</v>
      </c>
      <c r="AB15" s="93">
        <f>AB14-'Historical Financials'!AB11</f>
        <v>0</v>
      </c>
      <c r="AC15" s="93">
        <f>AC14-'Historical Financials'!AC11</f>
        <v>0</v>
      </c>
      <c r="AD15" s="93"/>
      <c r="AE15" s="93">
        <f>AE14-'Historical Financials'!AE11</f>
        <v>0</v>
      </c>
      <c r="AF15" s="93">
        <f>AF14-'Historical Financials'!AF11</f>
        <v>0</v>
      </c>
      <c r="AG15" s="93">
        <f>AG14-'Historical Financials'!AG11</f>
        <v>0</v>
      </c>
      <c r="AH15" s="93">
        <f>AH14-'Historical Financials'!AH11</f>
        <v>0</v>
      </c>
      <c r="AI15" s="93">
        <f>AI14-'Historical Financials'!AI11</f>
        <v>0</v>
      </c>
      <c r="AJ15" s="93">
        <f>AJ14-'Historical Financials'!AJ11</f>
        <v>0</v>
      </c>
      <c r="AK15" s="93">
        <f>AK14-'Historical Financials'!AK11</f>
        <v>0</v>
      </c>
      <c r="AL15" s="93">
        <f>AL14-'Historical Financials'!AL11</f>
        <v>0</v>
      </c>
      <c r="AM15" s="93">
        <f>AM14-'Historical Financials'!AM11</f>
        <v>0</v>
      </c>
      <c r="AN15" s="93">
        <f>AN14-'Historical Financials'!AN11</f>
        <v>0</v>
      </c>
      <c r="AO15" s="93">
        <f>AO14-'Historical Financials'!AO11</f>
        <v>0</v>
      </c>
      <c r="AP15" s="93">
        <f>AP14-'Historical Financials'!AQ11</f>
        <v>416161</v>
      </c>
      <c r="AR15" s="9"/>
    </row>
    <row r="16" spans="1:44" ht="5.0999999999999996" customHeight="1" collapsed="1">
      <c r="B16" s="92"/>
      <c r="C16" s="93"/>
      <c r="D16" s="93"/>
      <c r="E16" s="93"/>
      <c r="F16" s="93"/>
      <c r="G16" s="93"/>
      <c r="H16" s="93"/>
      <c r="I16" s="93"/>
      <c r="J16" s="93"/>
      <c r="K16" s="93"/>
      <c r="L16" s="93"/>
      <c r="M16" s="12"/>
      <c r="N16" s="93"/>
      <c r="O16" s="93"/>
      <c r="P16" s="93"/>
      <c r="Q16" s="93"/>
      <c r="R16" s="93"/>
      <c r="S16" s="93"/>
      <c r="T16" s="93"/>
      <c r="U16" s="93"/>
      <c r="V16" s="93"/>
      <c r="W16" s="93"/>
      <c r="X16" s="93"/>
      <c r="Y16" s="93"/>
      <c r="Z16" s="93"/>
      <c r="AA16" s="93"/>
      <c r="AB16" s="93"/>
      <c r="AC16" s="93"/>
      <c r="AD16" s="93"/>
      <c r="AE16" s="93"/>
      <c r="AF16" s="93"/>
      <c r="AG16" s="93"/>
      <c r="AH16" s="93"/>
      <c r="AI16" s="93"/>
      <c r="AJ16" s="93"/>
      <c r="AK16" s="93"/>
      <c r="AL16" s="93"/>
      <c r="AM16" s="93"/>
      <c r="AN16" s="93"/>
      <c r="AO16" s="93"/>
      <c r="AP16" s="93"/>
      <c r="AR16" s="9"/>
    </row>
    <row r="17" spans="2:44">
      <c r="B17" s="277" t="s">
        <v>363</v>
      </c>
      <c r="C17" s="267"/>
      <c r="D17" s="267"/>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78"/>
      <c r="AR17" s="9"/>
    </row>
    <row r="18" spans="2:44">
      <c r="B18" s="270" t="str">
        <f>B9&amp;"(%)"</f>
        <v>iPhone Revenue(%)</v>
      </c>
      <c r="C18" s="272">
        <f t="shared" ref="C18:L18" si="11">SUM(C9/C$14)</f>
        <v>0.63392985498912535</v>
      </c>
      <c r="D18" s="272">
        <f t="shared" si="11"/>
        <v>0.61648359318425716</v>
      </c>
      <c r="E18" s="272">
        <f t="shared" si="11"/>
        <v>0.62082494022854351</v>
      </c>
      <c r="F18" s="272">
        <f t="shared" si="11"/>
        <v>0.54725299222827795</v>
      </c>
      <c r="G18" s="272">
        <f t="shared" si="11"/>
        <v>0.50190699961750729</v>
      </c>
      <c r="H18" s="272">
        <f t="shared" si="11"/>
        <v>0.52477878283404</v>
      </c>
      <c r="I18" s="272">
        <f t="shared" si="11"/>
        <v>0.52111186626361805</v>
      </c>
      <c r="J18" s="272">
        <f t="shared" si="11"/>
        <v>0.52332598458066448</v>
      </c>
      <c r="K18" s="272">
        <f t="shared" si="11"/>
        <v>0.51448847289884536</v>
      </c>
      <c r="L18" s="272">
        <f t="shared" si="11"/>
        <v>0.50361759030759734</v>
      </c>
      <c r="M18" s="268"/>
      <c r="N18" s="272">
        <f t="shared" ref="N18:AC18" si="12">SUM(N9/N$14)</f>
        <v>0.57790148856347578</v>
      </c>
      <c r="O18" s="272">
        <f t="shared" si="12"/>
        <v>0.51985032587018642</v>
      </c>
      <c r="P18" s="272">
        <f t="shared" si="12"/>
        <v>0.49018189708169096</v>
      </c>
      <c r="Q18" s="272">
        <f t="shared" si="12"/>
        <v>0.47285514609633261</v>
      </c>
      <c r="R18" s="272">
        <f t="shared" si="12"/>
        <v>0.56144049712344435</v>
      </c>
      <c r="S18" s="272">
        <f t="shared" si="12"/>
        <v>0.54129233624362061</v>
      </c>
      <c r="T18" s="272">
        <f t="shared" si="12"/>
        <v>0.48496888638947638</v>
      </c>
      <c r="U18" s="272">
        <f t="shared" si="12"/>
        <v>0.48945227826320142</v>
      </c>
      <c r="V18" s="272">
        <f t="shared" si="12"/>
        <v>0.58291448881455155</v>
      </c>
      <c r="W18" s="272">
        <f t="shared" si="12"/>
        <v>0.50646259627780899</v>
      </c>
      <c r="X18" s="272">
        <f t="shared" si="12"/>
        <v>0.4581181435582965</v>
      </c>
      <c r="Y18" s="272">
        <f t="shared" si="12"/>
        <v>0.4869061413673233</v>
      </c>
      <c r="Z18" s="272">
        <f t="shared" si="12"/>
        <v>0.55621882542236523</v>
      </c>
      <c r="AA18" s="272">
        <f t="shared" si="12"/>
        <v>0.49120691282416973</v>
      </c>
      <c r="AB18" s="272">
        <f t="shared" si="12"/>
        <v>0.474095027436301</v>
      </c>
      <c r="AC18" s="272">
        <f t="shared" si="12"/>
        <v>0.47845138875334259</v>
      </c>
      <c r="AD18" s="268"/>
      <c r="AE18" s="272">
        <f t="shared" ref="AE18:AP18" si="13">SUM(AE9/AE$14)</f>
        <v>0.51514048981129545</v>
      </c>
      <c r="AF18" s="272">
        <f t="shared" si="13"/>
        <v>0.52039107233280102</v>
      </c>
      <c r="AG18" s="272">
        <f t="shared" si="13"/>
        <v>0.51937186957099291</v>
      </c>
      <c r="AH18" s="272">
        <f t="shared" si="13"/>
        <v>0.52332598458066448</v>
      </c>
      <c r="AI18" s="272">
        <f t="shared" si="13"/>
        <v>0.53022250107594904</v>
      </c>
      <c r="AJ18" s="272">
        <f t="shared" si="13"/>
        <v>0.52182127387500232</v>
      </c>
      <c r="AK18" s="272">
        <f t="shared" si="13"/>
        <v>0.51546798131757277</v>
      </c>
      <c r="AL18" s="272">
        <f t="shared" si="13"/>
        <v>0.51448847289884536</v>
      </c>
      <c r="AM18" s="272">
        <f t="shared" si="13"/>
        <v>0.50692086112795631</v>
      </c>
      <c r="AN18" s="272">
        <f t="shared" si="13"/>
        <v>0.50328199697276987</v>
      </c>
      <c r="AO18" s="272">
        <f t="shared" si="13"/>
        <v>0.50604588559192409</v>
      </c>
      <c r="AP18" s="279">
        <f t="shared" si="13"/>
        <v>0.50361759030759734</v>
      </c>
      <c r="AR18" s="635">
        <f>SUM(AP18-AL18)*10000</f>
        <v>-108.70882591248021</v>
      </c>
    </row>
    <row r="19" spans="2:44">
      <c r="B19" s="270" t="str">
        <f t="shared" ref="B19:B22" si="14">B10&amp;"(%)"</f>
        <v>Mac Revenue(%)</v>
      </c>
      <c r="C19" s="272">
        <f t="shared" ref="C19:K19" si="15">SUM(C10/C$14)</f>
        <v>0.10587602428132202</v>
      </c>
      <c r="D19" s="272">
        <f t="shared" si="15"/>
        <v>0.11276686704415576</v>
      </c>
      <c r="E19" s="272">
        <f t="shared" si="15"/>
        <v>9.487377397917883E-2</v>
      </c>
      <c r="F19" s="272">
        <f t="shared" si="15"/>
        <v>9.8933790463305332E-2</v>
      </c>
      <c r="G19" s="272">
        <f t="shared" si="15"/>
        <v>0.10426388357648944</v>
      </c>
      <c r="H19" s="272">
        <f t="shared" si="15"/>
        <v>9.6195638803008063E-2</v>
      </c>
      <c r="I19" s="272">
        <f t="shared" si="15"/>
        <v>0.10188726136617232</v>
      </c>
      <c r="J19" s="272">
        <f t="shared" si="15"/>
        <v>7.659313565623492E-2</v>
      </c>
      <c r="K19" s="272">
        <f t="shared" si="15"/>
        <v>7.6678558185328677E-2</v>
      </c>
      <c r="L19" s="272">
        <f t="shared" ref="L19" si="16">SUM(L10/L$14)</f>
        <v>8.0997498564257586E-2</v>
      </c>
      <c r="M19" s="268"/>
      <c r="N19" s="272">
        <f t="shared" ref="N19:AB19" si="17">SUM(N10/N$14)</f>
        <v>8.7554963895276131E-2</v>
      </c>
      <c r="O19" s="272">
        <f t="shared" si="17"/>
        <v>0.10726988630522831</v>
      </c>
      <c r="P19" s="272">
        <f t="shared" si="17"/>
        <v>8.8983714847093137E-2</v>
      </c>
      <c r="Q19" s="272">
        <f t="shared" si="17"/>
        <v>0.1276595744680851</v>
      </c>
      <c r="R19" s="272">
        <f t="shared" si="17"/>
        <v>6.6024207453437359E-2</v>
      </c>
      <c r="S19" s="272">
        <f t="shared" si="17"/>
        <v>7.5583111898435196E-2</v>
      </c>
      <c r="T19" s="272">
        <f t="shared" si="17"/>
        <v>8.3621648715723071E-2</v>
      </c>
      <c r="U19" s="272">
        <f t="shared" si="17"/>
        <v>8.5074526805068273E-2</v>
      </c>
      <c r="V19" s="272">
        <f t="shared" si="17"/>
        <v>6.5063767509931009E-2</v>
      </c>
      <c r="W19" s="272">
        <f t="shared" si="17"/>
        <v>8.2101969080911927E-2</v>
      </c>
      <c r="X19" s="272">
        <f t="shared" si="17"/>
        <v>8.1711880807209397E-2</v>
      </c>
      <c r="Y19" s="272">
        <f t="shared" si="17"/>
        <v>8.1575898030127464E-2</v>
      </c>
      <c r="Z19" s="272">
        <f t="shared" si="17"/>
        <v>7.2300884955752209E-2</v>
      </c>
      <c r="AA19" s="272">
        <f t="shared" si="17"/>
        <v>8.3358676160614098E-2</v>
      </c>
      <c r="AB19" s="272">
        <f t="shared" si="17"/>
        <v>8.5562975881577269E-2</v>
      </c>
      <c r="AC19" s="272">
        <f t="shared" ref="AC19" si="18">SUM(AC10/AC$14)</f>
        <v>8.5159955497433298E-2</v>
      </c>
      <c r="AD19" s="268"/>
      <c r="AE19" s="272">
        <f t="shared" ref="AE19:AO19" si="19">SUM(AE10/AE$14)</f>
        <v>9.5629578595076078E-2</v>
      </c>
      <c r="AF19" s="272">
        <f t="shared" si="19"/>
        <v>8.7752372791129463E-2</v>
      </c>
      <c r="AG19" s="272">
        <f t="shared" si="19"/>
        <v>8.660625682085156E-2</v>
      </c>
      <c r="AH19" s="272">
        <f t="shared" si="19"/>
        <v>7.659313565623492E-2</v>
      </c>
      <c r="AI19" s="272">
        <f t="shared" si="19"/>
        <v>7.6229044920224212E-2</v>
      </c>
      <c r="AJ19" s="272">
        <f t="shared" si="19"/>
        <v>7.7786192132025589E-2</v>
      </c>
      <c r="AK19" s="272">
        <f t="shared" si="19"/>
        <v>7.7421596823676164E-2</v>
      </c>
      <c r="AL19" s="272">
        <f t="shared" si="19"/>
        <v>7.6678558185328677E-2</v>
      </c>
      <c r="AM19" s="272">
        <f t="shared" si="19"/>
        <v>7.8812916919345055E-2</v>
      </c>
      <c r="AN19" s="272">
        <f t="shared" si="19"/>
        <v>7.9150077678923791E-2</v>
      </c>
      <c r="AO19" s="272">
        <f t="shared" si="19"/>
        <v>8.0088100336494342E-2</v>
      </c>
      <c r="AP19" s="279">
        <f t="shared" ref="AP19" si="20">SUM(AP10/AP$14)</f>
        <v>8.0997498564257586E-2</v>
      </c>
      <c r="AR19" s="635">
        <f t="shared" ref="AR19:AR22" si="21">SUM(AP19-AL19)*10000</f>
        <v>43.189403789289095</v>
      </c>
    </row>
    <row r="20" spans="2:44">
      <c r="B20" s="270" t="str">
        <f t="shared" si="14"/>
        <v>iPad Revenue(%)</v>
      </c>
      <c r="C20" s="272">
        <f t="shared" ref="C20:K20" si="22">SUM(C11/C$14)</f>
        <v>9.5659875996457047E-2</v>
      </c>
      <c r="D20" s="272">
        <f t="shared" si="22"/>
        <v>8.3853180592756746E-2</v>
      </c>
      <c r="E20" s="272">
        <f t="shared" si="22"/>
        <v>6.9203109998305687E-2</v>
      </c>
      <c r="F20" s="272">
        <f t="shared" si="22"/>
        <v>8.1791416513564003E-2</v>
      </c>
      <c r="G20" s="272">
        <f t="shared" si="22"/>
        <v>8.6421507021474234E-2</v>
      </c>
      <c r="H20" s="272">
        <f t="shared" si="22"/>
        <v>8.7098193905696022E-2</v>
      </c>
      <c r="I20" s="272">
        <f t="shared" si="22"/>
        <v>7.4283337728997187E-2</v>
      </c>
      <c r="J20" s="272">
        <f t="shared" si="22"/>
        <v>7.3835396636967268E-2</v>
      </c>
      <c r="K20" s="272">
        <f t="shared" si="22"/>
        <v>6.8264989067474774E-2</v>
      </c>
      <c r="L20" s="272">
        <f t="shared" ref="L20" si="23">SUM(L11/L$14)</f>
        <v>6.7336920086216626E-2</v>
      </c>
      <c r="M20" s="268"/>
      <c r="N20" s="272">
        <f t="shared" ref="N20:AB20" si="24">SUM(N11/N$14)</f>
        <v>5.8477550526443184E-2</v>
      </c>
      <c r="O20" s="272">
        <f t="shared" si="24"/>
        <v>7.8599477785316313E-2</v>
      </c>
      <c r="P20" s="272">
        <f t="shared" si="24"/>
        <v>8.7079159584855167E-2</v>
      </c>
      <c r="Q20" s="272">
        <f t="shared" si="24"/>
        <v>7.9582011403722855E-2</v>
      </c>
      <c r="R20" s="272">
        <f t="shared" si="24"/>
        <v>8.020212711473787E-2</v>
      </c>
      <c r="S20" s="272">
        <f t="shared" si="24"/>
        <v>7.0331941456830735E-2</v>
      </c>
      <c r="T20" s="272">
        <f t="shared" si="24"/>
        <v>7.0797217501864365E-2</v>
      </c>
      <c r="U20" s="272">
        <f t="shared" si="24"/>
        <v>7.1990435540459002E-2</v>
      </c>
      <c r="V20" s="272">
        <f t="shared" si="24"/>
        <v>5.8733012753501984E-2</v>
      </c>
      <c r="W20" s="272">
        <f t="shared" si="24"/>
        <v>6.1254173415754849E-2</v>
      </c>
      <c r="X20" s="272">
        <f t="shared" si="24"/>
        <v>8.34955757370857E-2</v>
      </c>
      <c r="Y20" s="272">
        <f t="shared" si="24"/>
        <v>7.3211840303381445E-2</v>
      </c>
      <c r="Z20" s="272">
        <f t="shared" si="24"/>
        <v>6.5068382944489134E-2</v>
      </c>
      <c r="AA20" s="272">
        <f t="shared" si="24"/>
        <v>6.7135771138539621E-2</v>
      </c>
      <c r="AB20" s="272">
        <f t="shared" si="24"/>
        <v>6.9983835977710671E-2</v>
      </c>
      <c r="AC20" s="272">
        <f t="shared" ref="AC20" si="25">SUM(AC11/AC$14)</f>
        <v>6.7846895555598932E-2</v>
      </c>
      <c r="AD20" s="268"/>
      <c r="AE20" s="272">
        <f t="shared" ref="AE20:AO20" si="26">SUM(AE11/AE$14)</f>
        <v>8.1127737480550244E-2</v>
      </c>
      <c r="AF20" s="272">
        <f t="shared" si="26"/>
        <v>7.9107752632467318E-2</v>
      </c>
      <c r="AG20" s="272">
        <f t="shared" si="26"/>
        <v>7.5614755699562164E-2</v>
      </c>
      <c r="AH20" s="272">
        <f t="shared" si="26"/>
        <v>7.3835396636967268E-2</v>
      </c>
      <c r="AI20" s="272">
        <f t="shared" si="26"/>
        <v>6.721959212457157E-2</v>
      </c>
      <c r="AJ20" s="272">
        <f t="shared" si="26"/>
        <v>6.5027527166863636E-2</v>
      </c>
      <c r="AK20" s="272">
        <f t="shared" si="26"/>
        <v>6.7911816038775635E-2</v>
      </c>
      <c r="AL20" s="272">
        <f t="shared" si="26"/>
        <v>6.8264989067474774E-2</v>
      </c>
      <c r="AM20" s="272">
        <f t="shared" si="26"/>
        <v>7.0140994542146756E-2</v>
      </c>
      <c r="AN20" s="272">
        <f t="shared" si="26"/>
        <v>7.1439632736046518E-2</v>
      </c>
      <c r="AO20" s="272">
        <f t="shared" si="26"/>
        <v>6.8573875802997855E-2</v>
      </c>
      <c r="AP20" s="279">
        <f t="shared" ref="AP20" si="27">SUM(AP11/AP$14)</f>
        <v>6.7336920086216626E-2</v>
      </c>
      <c r="AR20" s="635">
        <f t="shared" si="21"/>
        <v>-9.2806898125814836</v>
      </c>
    </row>
    <row r="21" spans="2:44">
      <c r="B21" s="270" t="str">
        <f t="shared" si="14"/>
        <v>Services Revenue(%)</v>
      </c>
      <c r="C21" s="272">
        <f t="shared" ref="C21:K21" si="28">SUM(C12/C$14)</f>
        <v>0.11291092984107698</v>
      </c>
      <c r="D21" s="272">
        <f t="shared" si="28"/>
        <v>0.13078339164347347</v>
      </c>
      <c r="E21" s="272">
        <f t="shared" si="28"/>
        <v>0.14965643178523691</v>
      </c>
      <c r="F21" s="272">
        <f t="shared" si="28"/>
        <v>0.17792323598822327</v>
      </c>
      <c r="G21" s="272">
        <f t="shared" si="28"/>
        <v>0.19586543540425841</v>
      </c>
      <c r="H21" s="272">
        <f t="shared" si="28"/>
        <v>0.18704707545029345</v>
      </c>
      <c r="I21" s="272">
        <f t="shared" si="28"/>
        <v>0.19813201192915542</v>
      </c>
      <c r="J21" s="272">
        <f t="shared" si="28"/>
        <v>0.222288897295746</v>
      </c>
      <c r="K21" s="272">
        <f t="shared" si="28"/>
        <v>0.24593450714130449</v>
      </c>
      <c r="L21" s="272">
        <f t="shared" ref="L21" si="29">SUM(L12/L$14)</f>
        <v>0.26229752427546071</v>
      </c>
      <c r="M21" s="268"/>
      <c r="N21" s="272">
        <f t="shared" ref="N21:AB21" si="30">SUM(N12/N$14)</f>
        <v>0.15745693654443504</v>
      </c>
      <c r="O21" s="272">
        <f t="shared" si="30"/>
        <v>0.20375624498858941</v>
      </c>
      <c r="P21" s="272">
        <f t="shared" si="30"/>
        <v>0.2363095022842609</v>
      </c>
      <c r="Q21" s="272">
        <f t="shared" si="30"/>
        <v>0.21285470237170812</v>
      </c>
      <c r="R21" s="272">
        <f t="shared" si="30"/>
        <v>0.17725387097324888</v>
      </c>
      <c r="S21" s="272">
        <f t="shared" si="30"/>
        <v>0.22045425787675565</v>
      </c>
      <c r="T21" s="272">
        <f t="shared" si="30"/>
        <v>0.25933713950389381</v>
      </c>
      <c r="U21" s="272">
        <f t="shared" si="30"/>
        <v>0.24932400724038525</v>
      </c>
      <c r="V21" s="272">
        <f t="shared" si="30"/>
        <v>0.1933263642065649</v>
      </c>
      <c r="W21" s="272">
        <f t="shared" si="30"/>
        <v>0.26298855134265536</v>
      </c>
      <c r="X21" s="272">
        <f t="shared" si="30"/>
        <v>0.28227846625552305</v>
      </c>
      <c r="Y21" s="272">
        <f t="shared" si="30"/>
        <v>0.26305698936058147</v>
      </c>
      <c r="Z21" s="272">
        <f t="shared" si="30"/>
        <v>0.21190667739340305</v>
      </c>
      <c r="AA21" s="272">
        <f t="shared" si="30"/>
        <v>0.27941777912939525</v>
      </c>
      <c r="AB21" s="272">
        <f t="shared" si="30"/>
        <v>0.29162235739504022</v>
      </c>
      <c r="AC21" s="272">
        <f t="shared" ref="AC21" si="31">SUM(AC12/AC$14)</f>
        <v>0.2805808756075186</v>
      </c>
      <c r="AD21" s="268"/>
      <c r="AE21" s="272">
        <f t="shared" ref="AE21:AO21" si="32">SUM(AE12/AE$14)</f>
        <v>0.20482947434696558</v>
      </c>
      <c r="AF21" s="272">
        <f t="shared" si="32"/>
        <v>0.20894844129370674</v>
      </c>
      <c r="AG21" s="272">
        <f t="shared" si="32"/>
        <v>0.21377167370348471</v>
      </c>
      <c r="AH21" s="272">
        <f t="shared" si="32"/>
        <v>0.222288897295746</v>
      </c>
      <c r="AI21" s="272">
        <f t="shared" si="32"/>
        <v>0.22698895013300285</v>
      </c>
      <c r="AJ21" s="272">
        <f t="shared" si="32"/>
        <v>0.23717386006608615</v>
      </c>
      <c r="AK21" s="272">
        <f t="shared" si="32"/>
        <v>0.2425058933670122</v>
      </c>
      <c r="AL21" s="272">
        <f t="shared" si="32"/>
        <v>0.24593450714130449</v>
      </c>
      <c r="AM21" s="272">
        <f t="shared" si="32"/>
        <v>0.25114210632706691</v>
      </c>
      <c r="AN21" s="272">
        <f t="shared" si="32"/>
        <v>0.25519149977770339</v>
      </c>
      <c r="AO21" s="272">
        <f t="shared" si="32"/>
        <v>0.25788926277148977</v>
      </c>
      <c r="AP21" s="279">
        <f t="shared" ref="AP21" si="33">SUM(AP12/AP$14)</f>
        <v>0.26229752427546071</v>
      </c>
      <c r="AR21" s="635">
        <f t="shared" si="21"/>
        <v>163.6301713415622</v>
      </c>
    </row>
    <row r="22" spans="2:44">
      <c r="B22" s="270" t="str">
        <f t="shared" si="14"/>
        <v>Wearables, Home, and Accessories Revenue(%)</v>
      </c>
      <c r="C22" s="272">
        <f t="shared" ref="C22:K22" si="34">SUM(C13/C$14)</f>
        <v>5.1623314892018608E-2</v>
      </c>
      <c r="D22" s="272">
        <f t="shared" si="34"/>
        <v>5.6112967535356884E-2</v>
      </c>
      <c r="E22" s="272">
        <f t="shared" si="34"/>
        <v>6.5441744008735106E-2</v>
      </c>
      <c r="F22" s="272">
        <f t="shared" si="34"/>
        <v>9.4098564806629412E-2</v>
      </c>
      <c r="G22" s="272">
        <f t="shared" si="34"/>
        <v>0.11154217438027066</v>
      </c>
      <c r="H22" s="272">
        <f t="shared" si="34"/>
        <v>0.10488030900696249</v>
      </c>
      <c r="I22" s="272">
        <f t="shared" si="34"/>
        <v>0.10458552271205697</v>
      </c>
      <c r="J22" s="272">
        <f t="shared" si="34"/>
        <v>0.1039565858303873</v>
      </c>
      <c r="K22" s="272">
        <f t="shared" si="34"/>
        <v>9.4633472707046681E-2</v>
      </c>
      <c r="L22" s="272">
        <f t="shared" ref="L22" si="35">SUM(L13/L$14)</f>
        <v>8.5750466766467789E-2</v>
      </c>
      <c r="M22" s="268"/>
      <c r="N22" s="272">
        <f t="shared" ref="N22:AB22" si="36">SUM(N13/N$14)</f>
        <v>0.11860906047036993</v>
      </c>
      <c r="O22" s="272">
        <f t="shared" si="36"/>
        <v>9.0524065050679489E-2</v>
      </c>
      <c r="P22" s="272">
        <f t="shared" si="36"/>
        <v>9.7445726202099833E-2</v>
      </c>
      <c r="Q22" s="272">
        <f t="shared" si="36"/>
        <v>0.10704856566015131</v>
      </c>
      <c r="R22" s="272">
        <f t="shared" si="36"/>
        <v>0.11507929733513153</v>
      </c>
      <c r="S22" s="272">
        <f t="shared" si="36"/>
        <v>9.2338352524357833E-2</v>
      </c>
      <c r="T22" s="272">
        <f t="shared" si="36"/>
        <v>0.10127510788904238</v>
      </c>
      <c r="U22" s="272">
        <f t="shared" si="36"/>
        <v>0.10415875215088605</v>
      </c>
      <c r="V22" s="272">
        <f t="shared" si="36"/>
        <v>9.9962366715450557E-2</v>
      </c>
      <c r="W22" s="272">
        <f t="shared" si="36"/>
        <v>8.7192709882868882E-2</v>
      </c>
      <c r="X22" s="272">
        <f t="shared" si="36"/>
        <v>9.4395933641885352E-2</v>
      </c>
      <c r="Y22" s="272">
        <f t="shared" si="36"/>
        <v>9.5249130938586321E-2</v>
      </c>
      <c r="Z22" s="272">
        <f t="shared" si="36"/>
        <v>9.4505229283990341E-2</v>
      </c>
      <c r="AA22" s="272">
        <f t="shared" si="36"/>
        <v>7.8880860747281331E-2</v>
      </c>
      <c r="AB22" s="272">
        <f t="shared" si="36"/>
        <v>7.8735803309370883E-2</v>
      </c>
      <c r="AC22" s="272">
        <f t="shared" ref="AC22" si="37">SUM(AC13/AC$14)</f>
        <v>8.7960884586106611E-2</v>
      </c>
      <c r="AD22" s="268"/>
      <c r="AE22" s="272">
        <f t="shared" ref="AE22:AO22" si="38">SUM(AE13/AE$14)</f>
        <v>0.10327271976611266</v>
      </c>
      <c r="AF22" s="272">
        <f t="shared" si="38"/>
        <v>0.10380036094989548</v>
      </c>
      <c r="AG22" s="272">
        <f t="shared" si="38"/>
        <v>0.1046354442051087</v>
      </c>
      <c r="AH22" s="272">
        <f t="shared" si="38"/>
        <v>0.1039565858303873</v>
      </c>
      <c r="AI22" s="272">
        <f t="shared" si="38"/>
        <v>9.9339911746252327E-2</v>
      </c>
      <c r="AJ22" s="272">
        <f t="shared" si="38"/>
        <v>9.819114676002233E-2</v>
      </c>
      <c r="AK22" s="272">
        <f t="shared" si="38"/>
        <v>9.6692712452963278E-2</v>
      </c>
      <c r="AL22" s="272">
        <f t="shared" si="38"/>
        <v>9.4633472707046681E-2</v>
      </c>
      <c r="AM22" s="272">
        <f t="shared" si="38"/>
        <v>9.2983121083484943E-2</v>
      </c>
      <c r="AN22" s="272">
        <f t="shared" si="38"/>
        <v>9.0936792834556385E-2</v>
      </c>
      <c r="AO22" s="272">
        <f t="shared" si="38"/>
        <v>8.7402875497093913E-2</v>
      </c>
      <c r="AP22" s="279">
        <f t="shared" ref="AP22" si="39">SUM(AP13/AP$14)</f>
        <v>8.5750466766467789E-2</v>
      </c>
      <c r="AR22" s="635">
        <f t="shared" si="21"/>
        <v>-88.830059405788916</v>
      </c>
    </row>
    <row r="23" spans="2:44">
      <c r="B23" s="275" t="s">
        <v>365</v>
      </c>
      <c r="C23" s="268"/>
      <c r="D23" s="268"/>
      <c r="E23" s="268"/>
      <c r="F23" s="268"/>
      <c r="G23" s="268"/>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76"/>
      <c r="AR23" s="9"/>
    </row>
    <row r="24" spans="2:44">
      <c r="B24" s="270" t="str">
        <f>B9&amp;"(%)"</f>
        <v>iPhone Revenue(%)</v>
      </c>
      <c r="C24" s="268" t="s">
        <v>47</v>
      </c>
      <c r="D24" s="273">
        <f>SUM(D9/C9)-1</f>
        <v>3.3789319678127372E-2</v>
      </c>
      <c r="E24" s="273">
        <f t="shared" ref="E24:K24" si="40">SUM(E9/D9)-1</f>
        <v>0.16677870633106662</v>
      </c>
      <c r="F24" s="273">
        <f t="shared" si="40"/>
        <v>-0.13649871427878313</v>
      </c>
      <c r="G24" s="273">
        <f t="shared" si="40"/>
        <v>-3.2307681502447672E-2</v>
      </c>
      <c r="H24" s="273">
        <f t="shared" si="40"/>
        <v>0.39331983364905176</v>
      </c>
      <c r="I24" s="273">
        <f t="shared" si="40"/>
        <v>7.0405734139696641E-2</v>
      </c>
      <c r="J24" s="273">
        <f t="shared" si="40"/>
        <v>-2.3874757286278081E-2</v>
      </c>
      <c r="K24" s="273">
        <f t="shared" si="40"/>
        <v>2.9912804175826757E-3</v>
      </c>
      <c r="L24" s="273">
        <f t="shared" ref="L24" si="41">SUM(L9/K9)-1</f>
        <v>4.1767942619406195E-2</v>
      </c>
      <c r="M24" s="268"/>
      <c r="N24" s="273" t="s">
        <v>47</v>
      </c>
      <c r="O24" s="273" t="s">
        <v>47</v>
      </c>
      <c r="P24" s="273" t="s">
        <v>47</v>
      </c>
      <c r="Q24" s="273" t="s">
        <v>47</v>
      </c>
      <c r="R24" s="273">
        <f>SUM(R9/N9)-1</f>
        <v>-8.1713854917071505E-2</v>
      </c>
      <c r="S24" s="273">
        <f t="shared" ref="S24:AB24" si="42">SUM(S9/R9)-1</f>
        <v>-0.21955150133029266</v>
      </c>
      <c r="T24" s="273">
        <f t="shared" si="42"/>
        <v>-0.22723730860638169</v>
      </c>
      <c r="U24" s="273">
        <f t="shared" si="42"/>
        <v>0.10426277445864529</v>
      </c>
      <c r="V24" s="273">
        <f t="shared" si="42"/>
        <v>0.59118822052277142</v>
      </c>
      <c r="W24" s="273">
        <f t="shared" si="42"/>
        <v>-0.3405784625979168</v>
      </c>
      <c r="X24" s="273">
        <f t="shared" si="42"/>
        <v>-0.14505145443073775</v>
      </c>
      <c r="Y24" s="273">
        <f t="shared" si="42"/>
        <v>0.17625203583061899</v>
      </c>
      <c r="Z24" s="273">
        <f t="shared" si="42"/>
        <v>0.49578122971745064</v>
      </c>
      <c r="AA24" s="273">
        <f t="shared" si="42"/>
        <v>-0.3224999276808701</v>
      </c>
      <c r="AB24" s="273">
        <f t="shared" si="42"/>
        <v>-4.8226980636621786E-2</v>
      </c>
      <c r="AC24" s="273">
        <f t="shared" ref="AC24" si="43">SUM(AC9/AB9)-1</f>
        <v>9.9659055224081472E-2</v>
      </c>
      <c r="AD24" s="268"/>
      <c r="AE24" s="273" t="s">
        <v>47</v>
      </c>
      <c r="AF24" s="273" t="s">
        <v>47</v>
      </c>
      <c r="AG24" s="273" t="s">
        <v>47</v>
      </c>
      <c r="AH24" s="273" t="s">
        <v>47</v>
      </c>
      <c r="AI24" s="273">
        <f t="shared" ref="AI24:AN27" si="44">SUM(AI9/AE9)-1</f>
        <v>2.4414434270372043E-2</v>
      </c>
      <c r="AJ24" s="273">
        <f t="shared" si="44"/>
        <v>-6.2924151696607256E-3</v>
      </c>
      <c r="AK24" s="273">
        <f t="shared" si="44"/>
        <v>-3.199534613147148E-3</v>
      </c>
      <c r="AL24" s="273">
        <f t="shared" si="44"/>
        <v>2.9912804175826757E-3</v>
      </c>
      <c r="AM24" s="273">
        <f t="shared" si="44"/>
        <v>-1.9025964500513415E-2</v>
      </c>
      <c r="AN24" s="273">
        <f t="shared" si="44"/>
        <v>1.1840975399093123E-2</v>
      </c>
      <c r="AO24" s="273">
        <f>SUM(AO9/AK9)-1</f>
        <v>4.0333859915679726E-2</v>
      </c>
      <c r="AP24" s="280">
        <f>SUM(AP9/AL9)-1</f>
        <v>4.1767942619406195E-2</v>
      </c>
      <c r="AR24" s="635">
        <f t="shared" ref="AR24:AR28" si="45">SUM(AP24-AL24)*10000</f>
        <v>387.76662201823518</v>
      </c>
    </row>
    <row r="25" spans="2:44">
      <c r="B25" s="270" t="str">
        <f t="shared" ref="B25:B28" si="46">B10&amp;"(%)"</f>
        <v>Mac Revenue(%)</v>
      </c>
      <c r="C25" s="268" t="s">
        <v>47</v>
      </c>
      <c r="D25" s="273">
        <f t="shared" ref="D25:K25" si="47">SUM(D10/C10)-1</f>
        <v>0.13223249091148004</v>
      </c>
      <c r="E25" s="273">
        <f t="shared" si="47"/>
        <v>-2.5222437137330744E-2</v>
      </c>
      <c r="F25" s="273">
        <f t="shared" si="47"/>
        <v>2.1509643622509733E-2</v>
      </c>
      <c r="G25" s="273">
        <f t="shared" si="47"/>
        <v>0.11196581196581201</v>
      </c>
      <c r="H25" s="273">
        <f t="shared" si="47"/>
        <v>0.22947383131856625</v>
      </c>
      <c r="I25" s="273">
        <f t="shared" si="47"/>
        <v>0.14171639670360903</v>
      </c>
      <c r="J25" s="273">
        <f t="shared" si="47"/>
        <v>-0.26930831072504169</v>
      </c>
      <c r="K25" s="273">
        <f t="shared" si="47"/>
        <v>2.1357768164322E-2</v>
      </c>
      <c r="L25" s="273">
        <f t="shared" ref="L25" si="48">SUM(L10/K10)-1</f>
        <v>0.12419957310565644</v>
      </c>
      <c r="M25" s="268"/>
      <c r="N25" s="273" t="s">
        <v>47</v>
      </c>
      <c r="O25" s="273" t="s">
        <v>47</v>
      </c>
      <c r="P25" s="273" t="s">
        <v>47</v>
      </c>
      <c r="Q25" s="273" t="s">
        <v>47</v>
      </c>
      <c r="R25" s="273">
        <f t="shared" ref="R25:R28" si="49">SUM(R10/N10)-1</f>
        <v>-0.28722816070770363</v>
      </c>
      <c r="S25" s="273">
        <f t="shared" ref="S25:AB25" si="50">SUM(S10/R10)-1</f>
        <v>-7.3303167420814441E-2</v>
      </c>
      <c r="T25" s="273">
        <f t="shared" si="50"/>
        <v>-4.5758928571428603E-2</v>
      </c>
      <c r="U25" s="273">
        <f t="shared" si="50"/>
        <v>0.11315789473684212</v>
      </c>
      <c r="V25" s="273">
        <f t="shared" si="50"/>
        <v>2.1801943787759459E-2</v>
      </c>
      <c r="W25" s="273">
        <f t="shared" si="50"/>
        <v>-4.2287917737789171E-2</v>
      </c>
      <c r="X25" s="273">
        <f t="shared" si="50"/>
        <v>-5.9320896523956557E-2</v>
      </c>
      <c r="Y25" s="273">
        <f t="shared" si="50"/>
        <v>0.10486517334855194</v>
      </c>
      <c r="Z25" s="273">
        <f t="shared" si="50"/>
        <v>0.16051136363636354</v>
      </c>
      <c r="AA25" s="273">
        <f t="shared" si="50"/>
        <v>-0.11550016690775566</v>
      </c>
      <c r="AB25" s="273">
        <f t="shared" si="50"/>
        <v>1.2202792804126394E-2</v>
      </c>
      <c r="AC25" s="273">
        <f t="shared" ref="AC25" si="51">SUM(AC10/AB10)-1</f>
        <v>8.4514044245587838E-2</v>
      </c>
      <c r="AD25" s="268"/>
      <c r="AE25" s="273" t="s">
        <v>47</v>
      </c>
      <c r="AF25" s="273" t="s">
        <v>47</v>
      </c>
      <c r="AG25" s="273" t="s">
        <v>47</v>
      </c>
      <c r="AH25" s="273" t="s">
        <v>47</v>
      </c>
      <c r="AI25" s="273">
        <f t="shared" si="44"/>
        <v>-0.20663788451160281</v>
      </c>
      <c r="AJ25" s="273">
        <f t="shared" si="44"/>
        <v>-0.12156363743970644</v>
      </c>
      <c r="AK25" s="273">
        <f t="shared" si="44"/>
        <v>-0.1021623409822261</v>
      </c>
      <c r="AL25" s="273">
        <f t="shared" si="44"/>
        <v>2.1357768164322E-2</v>
      </c>
      <c r="AM25" s="273">
        <f t="shared" si="44"/>
        <v>6.0846200938711625E-2</v>
      </c>
      <c r="AN25" s="273">
        <f t="shared" si="44"/>
        <v>6.75088428499242E-2</v>
      </c>
      <c r="AO25" s="273">
        <f t="shared" ref="AO25:AP27" si="52">SUM(AO10/AK10)-1</f>
        <v>9.6201514034970126E-2</v>
      </c>
      <c r="AP25" s="280">
        <f t="shared" si="52"/>
        <v>0.12419957310565644</v>
      </c>
      <c r="AR25" s="635">
        <f t="shared" si="45"/>
        <v>1028.4180494133443</v>
      </c>
    </row>
    <row r="26" spans="2:44">
      <c r="B26" s="270" t="str">
        <f t="shared" si="46"/>
        <v>iPad Revenue(%)</v>
      </c>
      <c r="C26" s="268" t="s">
        <v>47</v>
      </c>
      <c r="D26" s="273">
        <f t="shared" ref="D26:K26" si="53">SUM(D11/C11)-1</f>
        <v>-6.8159782819468662E-2</v>
      </c>
      <c r="E26" s="273">
        <f t="shared" si="53"/>
        <v>-4.3803974612423247E-2</v>
      </c>
      <c r="F26" s="273">
        <f t="shared" si="53"/>
        <v>0.15778019586507064</v>
      </c>
      <c r="G26" s="273">
        <f t="shared" si="53"/>
        <v>0.11484962406015042</v>
      </c>
      <c r="H26" s="273">
        <f t="shared" si="53"/>
        <v>0.34302815714044854</v>
      </c>
      <c r="I26" s="273">
        <f t="shared" si="53"/>
        <v>-8.0660347749670458E-2</v>
      </c>
      <c r="J26" s="273">
        <f t="shared" si="53"/>
        <v>-3.3865901952751631E-2</v>
      </c>
      <c r="K26" s="273">
        <f t="shared" si="53"/>
        <v>-5.674911660777382E-2</v>
      </c>
      <c r="L26" s="273">
        <f t="shared" ref="L26" si="54">SUM(L11/K11)-1</f>
        <v>4.9786468869408962E-2</v>
      </c>
      <c r="M26" s="268"/>
      <c r="N26" s="273" t="s">
        <v>47</v>
      </c>
      <c r="O26" s="273" t="s">
        <v>47</v>
      </c>
      <c r="P26" s="273" t="s">
        <v>47</v>
      </c>
      <c r="Q26" s="273" t="s">
        <v>47</v>
      </c>
      <c r="R26" s="273">
        <f t="shared" si="49"/>
        <v>0.29635761589403975</v>
      </c>
      <c r="S26" s="273">
        <f t="shared" ref="S26:AB26" si="55">SUM(S11/R11)-1</f>
        <v>-0.29012345679012341</v>
      </c>
      <c r="T26" s="273">
        <f t="shared" si="55"/>
        <v>-0.13178410794602702</v>
      </c>
      <c r="U26" s="273">
        <f t="shared" si="55"/>
        <v>0.11258849939561388</v>
      </c>
      <c r="V26" s="273">
        <f t="shared" si="55"/>
        <v>9.0020176936209895E-2</v>
      </c>
      <c r="W26" s="273">
        <f t="shared" si="55"/>
        <v>-0.20845792396411789</v>
      </c>
      <c r="X26" s="273">
        <f t="shared" si="55"/>
        <v>0.28836121604605136</v>
      </c>
      <c r="Y26" s="273">
        <f t="shared" si="55"/>
        <v>-2.9600670203853707E-2</v>
      </c>
      <c r="Z26" s="273">
        <f t="shared" si="55"/>
        <v>0.16374100719424467</v>
      </c>
      <c r="AA26" s="273">
        <f t="shared" si="55"/>
        <v>-0.20845697329376855</v>
      </c>
      <c r="AB26" s="273">
        <f t="shared" si="55"/>
        <v>2.7960012496095032E-2</v>
      </c>
      <c r="AC26" s="273">
        <f t="shared" ref="AC26" si="56">SUM(AC11/AB11)-1</f>
        <v>5.6374411183710782E-2</v>
      </c>
      <c r="AD26" s="268"/>
      <c r="AE26" s="273" t="s">
        <v>47</v>
      </c>
      <c r="AF26" s="273" t="s">
        <v>47</v>
      </c>
      <c r="AG26" s="273" t="s">
        <v>47</v>
      </c>
      <c r="AH26" s="273" t="s">
        <v>47</v>
      </c>
      <c r="AI26" s="273">
        <f t="shared" si="44"/>
        <v>-0.17534987277353686</v>
      </c>
      <c r="AJ26" s="273">
        <f t="shared" si="44"/>
        <v>-0.18539915966386555</v>
      </c>
      <c r="AK26" s="273">
        <f t="shared" si="44"/>
        <v>-9.7964245117288407E-2</v>
      </c>
      <c r="AL26" s="273">
        <f t="shared" si="44"/>
        <v>-5.674911660777382E-2</v>
      </c>
      <c r="AM26" s="273">
        <f t="shared" si="44"/>
        <v>7.065992980290825E-2</v>
      </c>
      <c r="AN26" s="273">
        <f t="shared" si="44"/>
        <v>0.15256286266924568</v>
      </c>
      <c r="AO26" s="273">
        <f t="shared" si="52"/>
        <v>7.0034750066827023E-2</v>
      </c>
      <c r="AP26" s="280">
        <f t="shared" si="52"/>
        <v>4.9786468869408962E-2</v>
      </c>
      <c r="AR26" s="635">
        <f t="shared" si="45"/>
        <v>1065.3558547718278</v>
      </c>
    </row>
    <row r="27" spans="2:44">
      <c r="B27" s="270" t="str">
        <f t="shared" si="46"/>
        <v>Services Revenue(%)</v>
      </c>
      <c r="C27" s="268" t="s">
        <v>47</v>
      </c>
      <c r="D27" s="273">
        <f t="shared" ref="D27:K27" si="57">SUM(D12/C12)-1</f>
        <v>0.23131263348118947</v>
      </c>
      <c r="E27" s="273">
        <f t="shared" si="57"/>
        <v>0.3258172114743163</v>
      </c>
      <c r="F27" s="273">
        <f t="shared" si="57"/>
        <v>0.16461205595250084</v>
      </c>
      <c r="G27" s="273">
        <f t="shared" si="57"/>
        <v>0.16152167807997242</v>
      </c>
      <c r="H27" s="273">
        <f t="shared" si="57"/>
        <v>0.27259708376729663</v>
      </c>
      <c r="I27" s="273">
        <f t="shared" si="57"/>
        <v>0.14181951041286078</v>
      </c>
      <c r="J27" s="273">
        <f t="shared" si="57"/>
        <v>9.0504166186691215E-2</v>
      </c>
      <c r="K27" s="273">
        <f t="shared" si="57"/>
        <v>0.12874413145539898</v>
      </c>
      <c r="L27" s="273">
        <f t="shared" ref="L27" si="58">SUM(L12/K12)-1</f>
        <v>0.13506431386413498</v>
      </c>
      <c r="M27" s="268"/>
      <c r="N27" s="273" t="s">
        <v>47</v>
      </c>
      <c r="O27" s="273" t="s">
        <v>47</v>
      </c>
      <c r="P27" s="273" t="s">
        <v>47</v>
      </c>
      <c r="Q27" s="273" t="s">
        <v>47</v>
      </c>
      <c r="R27" s="273">
        <f t="shared" si="49"/>
        <v>6.4050010248001721E-2</v>
      </c>
      <c r="S27" s="273">
        <f t="shared" ref="S27:AB27" si="59">SUM(S12/R12)-1</f>
        <v>6.7899451025714708E-3</v>
      </c>
      <c r="T27" s="273">
        <f t="shared" si="59"/>
        <v>1.4636246233318939E-2</v>
      </c>
      <c r="U27" s="273">
        <f t="shared" si="59"/>
        <v>5.1902135482958522E-2</v>
      </c>
      <c r="V27" s="273">
        <f t="shared" si="59"/>
        <v>3.5986376266021303E-2</v>
      </c>
      <c r="W27" s="273">
        <f t="shared" si="59"/>
        <v>3.2443656183760883E-2</v>
      </c>
      <c r="X27" s="273">
        <f t="shared" si="59"/>
        <v>1.4497004231784461E-2</v>
      </c>
      <c r="Y27" s="273">
        <f t="shared" si="59"/>
        <v>3.1346797175071162E-2</v>
      </c>
      <c r="Z27" s="273">
        <f t="shared" si="59"/>
        <v>5.4781355117731856E-2</v>
      </c>
      <c r="AA27" s="273">
        <f t="shared" si="59"/>
        <v>1.1579347000759244E-2</v>
      </c>
      <c r="AB27" s="273">
        <f t="shared" si="59"/>
        <v>2.9198723963220097E-2</v>
      </c>
      <c r="AC27" s="273">
        <f t="shared" ref="AC27" si="60">SUM(AC12/AB12)-1</f>
        <v>4.8390037559712606E-2</v>
      </c>
      <c r="AD27" s="268"/>
      <c r="AE27" s="273" t="s">
        <v>47</v>
      </c>
      <c r="AF27" s="273" t="s">
        <v>47</v>
      </c>
      <c r="AG27" s="273" t="s">
        <v>47</v>
      </c>
      <c r="AH27" s="273" t="s">
        <v>47</v>
      </c>
      <c r="AI27" s="273">
        <f t="shared" si="44"/>
        <v>0.10294914272036682</v>
      </c>
      <c r="AJ27" s="273">
        <f t="shared" si="44"/>
        <v>0.12484931336605976</v>
      </c>
      <c r="AK27" s="273">
        <f t="shared" si="44"/>
        <v>0.13934985500889452</v>
      </c>
      <c r="AL27" s="273">
        <f t="shared" si="44"/>
        <v>0.12874413145539898</v>
      </c>
      <c r="AM27" s="273">
        <f t="shared" si="44"/>
        <v>0.13524688467293355</v>
      </c>
      <c r="AN27" s="273">
        <f t="shared" si="44"/>
        <v>0.12881307244423335</v>
      </c>
      <c r="AO27" s="273">
        <f t="shared" si="52"/>
        <v>0.12692624397129748</v>
      </c>
      <c r="AP27" s="280">
        <f t="shared" si="52"/>
        <v>0.13506431386413498</v>
      </c>
      <c r="AR27" s="635">
        <f t="shared" si="45"/>
        <v>63.201824087359967</v>
      </c>
    </row>
    <row r="28" spans="2:44">
      <c r="B28" s="270" t="str">
        <f t="shared" si="46"/>
        <v>Wearables, Home, and Accessories Revenue(%)</v>
      </c>
      <c r="C28" s="268" t="s">
        <v>47</v>
      </c>
      <c r="D28" s="273">
        <f t="shared" ref="D28:K28" si="61">SUM(D13/C13)-1</f>
        <v>0.15549766439094492</v>
      </c>
      <c r="E28" s="273">
        <f t="shared" si="61"/>
        <v>0.35123999067091649</v>
      </c>
      <c r="F28" s="273">
        <f t="shared" si="61"/>
        <v>0.40854956561762834</v>
      </c>
      <c r="G28" s="273">
        <f t="shared" si="61"/>
        <v>0.25071481088146386</v>
      </c>
      <c r="H28" s="273">
        <f t="shared" si="61"/>
        <v>0.2530045721750489</v>
      </c>
      <c r="I28" s="273">
        <f t="shared" si="61"/>
        <v>7.4908124169208001E-2</v>
      </c>
      <c r="J28" s="273">
        <f t="shared" si="61"/>
        <v>-3.3849809655439933E-2</v>
      </c>
      <c r="K28" s="273">
        <f t="shared" si="61"/>
        <v>-7.1276195256619435E-2</v>
      </c>
      <c r="L28" s="273">
        <f t="shared" ref="L28" si="62">SUM(L13/K13)-1</f>
        <v>-3.5643831914606183E-2</v>
      </c>
      <c r="M28" s="268"/>
      <c r="N28" s="273" t="s">
        <v>47</v>
      </c>
      <c r="O28" s="273" t="s">
        <v>47</v>
      </c>
      <c r="P28" s="273" t="s">
        <v>47</v>
      </c>
      <c r="Q28" s="273" t="s">
        <v>47</v>
      </c>
      <c r="R28" s="273">
        <f t="shared" si="49"/>
        <v>-8.2919529283722149E-2</v>
      </c>
      <c r="S28" s="273">
        <f t="shared" ref="S28:AB28" si="63">SUM(S13/R13)-1</f>
        <v>-0.35046728971962615</v>
      </c>
      <c r="T28" s="273">
        <f t="shared" si="63"/>
        <v>-5.4013931711773489E-2</v>
      </c>
      <c r="U28" s="273">
        <f t="shared" si="63"/>
        <v>0.12530178657653313</v>
      </c>
      <c r="V28" s="273">
        <f t="shared" si="63"/>
        <v>0.28223557176571545</v>
      </c>
      <c r="W28" s="273">
        <f t="shared" si="63"/>
        <v>-0.33799046264536103</v>
      </c>
      <c r="X28" s="273">
        <f t="shared" si="63"/>
        <v>2.3252875015796759E-2</v>
      </c>
      <c r="Y28" s="273">
        <f t="shared" si="63"/>
        <v>0.1167098925527974</v>
      </c>
      <c r="Z28" s="273">
        <f t="shared" si="63"/>
        <v>0.2991594779915947</v>
      </c>
      <c r="AA28" s="273">
        <f t="shared" si="63"/>
        <v>-0.35966629777815617</v>
      </c>
      <c r="AB28" s="273">
        <f t="shared" si="63"/>
        <v>-1.5687317202871531E-2</v>
      </c>
      <c r="AC28" s="273">
        <f t="shared" ref="AC28" si="64">SUM(AC13/AB13)-1</f>
        <v>0.21731496488384661</v>
      </c>
      <c r="AD28" s="268"/>
      <c r="AE28" s="273" t="s">
        <v>47</v>
      </c>
      <c r="AF28" s="273" t="s">
        <v>47</v>
      </c>
      <c r="AG28" s="273" t="s">
        <v>47</v>
      </c>
      <c r="AH28" s="273" t="s">
        <v>47</v>
      </c>
      <c r="AI28" s="273">
        <f t="shared" ref="AI28" si="65">SUM(AI13/AE13)-1</f>
        <v>-4.2626555394532972E-2</v>
      </c>
      <c r="AJ28" s="273">
        <f t="shared" ref="AJ28" si="66">SUM(AJ13/AF13)-1</f>
        <v>-6.2567232882195456E-2</v>
      </c>
      <c r="AK28" s="273">
        <f t="shared" ref="AK28" si="67">SUM(AK13/AG13)-1</f>
        <v>-7.1889079730167005E-2</v>
      </c>
      <c r="AL28" s="273">
        <f t="shared" ref="AL28" si="68">SUM(AL13/AH13)-1</f>
        <v>-7.1276195256619435E-2</v>
      </c>
      <c r="AM28" s="273">
        <f t="shared" ref="AM28" si="69">SUM(AM13/AI13)-1</f>
        <v>-3.9591815429585564E-2</v>
      </c>
      <c r="AN28" s="273">
        <f t="shared" ref="AN28" si="70">SUM(AN13/AJ13)-1</f>
        <v>-2.8394534585824083E-2</v>
      </c>
      <c r="AO28" s="273">
        <f t="shared" ref="AO28:AP28" si="71">SUM(AO13/AK13)-1</f>
        <v>-4.2108086361807739E-2</v>
      </c>
      <c r="AP28" s="280">
        <f t="shared" si="71"/>
        <v>-3.5643831914606183E-2</v>
      </c>
      <c r="AR28" s="635">
        <f t="shared" si="45"/>
        <v>356.32363342013252</v>
      </c>
    </row>
    <row r="29" spans="2:44">
      <c r="B29" s="275" t="s">
        <v>366</v>
      </c>
      <c r="C29" s="268"/>
      <c r="D29" s="273"/>
      <c r="E29" s="273"/>
      <c r="F29" s="273"/>
      <c r="G29" s="273"/>
      <c r="H29" s="273"/>
      <c r="I29" s="273"/>
      <c r="J29" s="273"/>
      <c r="K29" s="273"/>
      <c r="L29" s="273"/>
      <c r="M29" s="268"/>
      <c r="N29" s="273"/>
      <c r="O29" s="273"/>
      <c r="P29" s="273"/>
      <c r="Q29" s="273"/>
      <c r="R29" s="273"/>
      <c r="S29" s="273"/>
      <c r="T29" s="273"/>
      <c r="U29" s="273"/>
      <c r="V29" s="273"/>
      <c r="W29" s="273"/>
      <c r="X29" s="273"/>
      <c r="Y29" s="273"/>
      <c r="Z29" s="273"/>
      <c r="AA29" s="273"/>
      <c r="AB29" s="273"/>
      <c r="AC29" s="273"/>
      <c r="AD29" s="268"/>
      <c r="AE29" s="273"/>
      <c r="AF29" s="273"/>
      <c r="AG29" s="273"/>
      <c r="AH29" s="273"/>
      <c r="AI29" s="273"/>
      <c r="AJ29" s="273"/>
      <c r="AK29" s="273"/>
      <c r="AL29" s="273"/>
      <c r="AM29" s="273"/>
      <c r="AN29" s="273"/>
      <c r="AO29" s="273"/>
      <c r="AP29" s="280"/>
      <c r="AR29" s="9"/>
    </row>
    <row r="30" spans="2:44">
      <c r="B30" s="270" t="str">
        <f>B9&amp;"(%)"</f>
        <v>iPhone Revenue(%)</v>
      </c>
      <c r="C30" s="268" t="s">
        <v>47</v>
      </c>
      <c r="D30" s="268" t="s">
        <v>47</v>
      </c>
      <c r="E30" s="268" t="s">
        <v>47</v>
      </c>
      <c r="F30" s="268" t="s">
        <v>47</v>
      </c>
      <c r="G30" s="268" t="s">
        <v>47</v>
      </c>
      <c r="H30" s="268" t="s">
        <v>47</v>
      </c>
      <c r="I30" s="268" t="s">
        <v>47</v>
      </c>
      <c r="J30" s="268" t="s">
        <v>47</v>
      </c>
      <c r="K30" s="268" t="s">
        <v>47</v>
      </c>
      <c r="L30" s="268" t="s">
        <v>47</v>
      </c>
      <c r="M30" s="268"/>
      <c r="N30" s="273" t="s">
        <v>47</v>
      </c>
      <c r="O30" s="273">
        <f t="shared" ref="O30:AB30" si="72">SUM(O9/N9)-1</f>
        <v>-0.29399117663483554</v>
      </c>
      <c r="P30" s="273">
        <f t="shared" si="72"/>
        <v>-0.1958671148902511</v>
      </c>
      <c r="Q30" s="273">
        <f t="shared" si="72"/>
        <v>4.8223287839665563E-2</v>
      </c>
      <c r="R30" s="273">
        <f t="shared" si="72"/>
        <v>0.5430723032890723</v>
      </c>
      <c r="S30" s="273">
        <f t="shared" si="72"/>
        <v>-0.21955150133029266</v>
      </c>
      <c r="T30" s="273">
        <f t="shared" si="72"/>
        <v>-0.22723730860638169</v>
      </c>
      <c r="U30" s="273">
        <f t="shared" si="72"/>
        <v>0.10426277445864529</v>
      </c>
      <c r="V30" s="273">
        <f t="shared" si="72"/>
        <v>0.59118822052277142</v>
      </c>
      <c r="W30" s="273">
        <f t="shared" si="72"/>
        <v>-0.3405784625979168</v>
      </c>
      <c r="X30" s="273">
        <f t="shared" si="72"/>
        <v>-0.14505145443073775</v>
      </c>
      <c r="Y30" s="273">
        <f t="shared" si="72"/>
        <v>0.17625203583061899</v>
      </c>
      <c r="Z30" s="273">
        <f t="shared" si="72"/>
        <v>0.49578122971745064</v>
      </c>
      <c r="AA30" s="273">
        <f t="shared" si="72"/>
        <v>-0.3224999276808701</v>
      </c>
      <c r="AB30" s="273">
        <f t="shared" si="72"/>
        <v>-4.8226980636621786E-2</v>
      </c>
      <c r="AC30" s="273">
        <f t="shared" ref="AC30" si="73">SUM(AC9/AB9)-1</f>
        <v>9.9659055224081472E-2</v>
      </c>
      <c r="AD30" s="268"/>
      <c r="AE30" s="273" t="s">
        <v>47</v>
      </c>
      <c r="AF30" s="273" t="s">
        <v>47</v>
      </c>
      <c r="AG30" s="273" t="s">
        <v>47</v>
      </c>
      <c r="AH30" s="273" t="s">
        <v>47</v>
      </c>
      <c r="AI30" s="273" t="s">
        <v>47</v>
      </c>
      <c r="AJ30" s="273" t="s">
        <v>47</v>
      </c>
      <c r="AK30" s="273" t="s">
        <v>47</v>
      </c>
      <c r="AL30" s="273" t="s">
        <v>47</v>
      </c>
      <c r="AM30" s="273" t="s">
        <v>47</v>
      </c>
      <c r="AN30" s="273" t="s">
        <v>47</v>
      </c>
      <c r="AO30" s="273" t="s">
        <v>47</v>
      </c>
      <c r="AP30" s="280" t="s">
        <v>47</v>
      </c>
      <c r="AR30" s="635">
        <f>SUM(AC30-AB30)*10000</f>
        <v>1478.8603586070326</v>
      </c>
    </row>
    <row r="31" spans="2:44">
      <c r="B31" s="270" t="str">
        <f t="shared" ref="B31:B34" si="74">B10&amp;"(%)"</f>
        <v>Mac Revenue(%)</v>
      </c>
      <c r="C31" s="268" t="s">
        <v>47</v>
      </c>
      <c r="D31" s="268" t="s">
        <v>47</v>
      </c>
      <c r="E31" s="268" t="s">
        <v>47</v>
      </c>
      <c r="F31" s="268" t="s">
        <v>47</v>
      </c>
      <c r="G31" s="268" t="s">
        <v>47</v>
      </c>
      <c r="H31" s="268" t="s">
        <v>47</v>
      </c>
      <c r="I31" s="268" t="s">
        <v>47</v>
      </c>
      <c r="J31" s="268" t="s">
        <v>47</v>
      </c>
      <c r="K31" s="268" t="s">
        <v>47</v>
      </c>
      <c r="L31" s="268" t="s">
        <v>47</v>
      </c>
      <c r="M31" s="268"/>
      <c r="N31" s="273" t="s">
        <v>47</v>
      </c>
      <c r="O31" s="273">
        <f t="shared" ref="O31:AB31" si="75">SUM(O10/N10)-1</f>
        <v>-3.842609657206042E-2</v>
      </c>
      <c r="P31" s="273">
        <f t="shared" si="75"/>
        <v>-0.29257307139434596</v>
      </c>
      <c r="Q31" s="273">
        <f t="shared" si="75"/>
        <v>0.55892712002167433</v>
      </c>
      <c r="R31" s="273">
        <f t="shared" si="75"/>
        <v>-0.32785888077858882</v>
      </c>
      <c r="S31" s="273">
        <f t="shared" si="75"/>
        <v>-7.3303167420814441E-2</v>
      </c>
      <c r="T31" s="273">
        <f t="shared" si="75"/>
        <v>-4.5758928571428603E-2</v>
      </c>
      <c r="U31" s="273">
        <f t="shared" si="75"/>
        <v>0.11315789473684212</v>
      </c>
      <c r="V31" s="273">
        <f t="shared" si="75"/>
        <v>2.1801943787759459E-2</v>
      </c>
      <c r="W31" s="273">
        <f t="shared" si="75"/>
        <v>-4.2287917737789171E-2</v>
      </c>
      <c r="X31" s="273">
        <f t="shared" si="75"/>
        <v>-5.9320896523956557E-2</v>
      </c>
      <c r="Y31" s="273">
        <f t="shared" si="75"/>
        <v>0.10486517334855194</v>
      </c>
      <c r="Z31" s="273">
        <f t="shared" si="75"/>
        <v>0.16051136363636354</v>
      </c>
      <c r="AA31" s="273">
        <f t="shared" si="75"/>
        <v>-0.11550016690775566</v>
      </c>
      <c r="AB31" s="273">
        <f t="shared" si="75"/>
        <v>1.2202792804126394E-2</v>
      </c>
      <c r="AC31" s="273">
        <f t="shared" ref="AC31" si="76">SUM(AC10/AB10)-1</f>
        <v>8.4514044245587838E-2</v>
      </c>
      <c r="AD31" s="268"/>
      <c r="AE31" s="273" t="s">
        <v>47</v>
      </c>
      <c r="AF31" s="273" t="s">
        <v>47</v>
      </c>
      <c r="AG31" s="273" t="s">
        <v>47</v>
      </c>
      <c r="AH31" s="273" t="s">
        <v>47</v>
      </c>
      <c r="AI31" s="273" t="s">
        <v>47</v>
      </c>
      <c r="AJ31" s="273" t="s">
        <v>47</v>
      </c>
      <c r="AK31" s="273" t="s">
        <v>47</v>
      </c>
      <c r="AL31" s="273" t="s">
        <v>47</v>
      </c>
      <c r="AM31" s="273" t="s">
        <v>47</v>
      </c>
      <c r="AN31" s="273" t="s">
        <v>47</v>
      </c>
      <c r="AO31" s="273" t="s">
        <v>47</v>
      </c>
      <c r="AP31" s="280" t="s">
        <v>47</v>
      </c>
      <c r="AR31" s="635">
        <f t="shared" ref="AR31:AR34" si="77">SUM(AC31-AB31)*10000</f>
        <v>723.11251441461445</v>
      </c>
    </row>
    <row r="32" spans="2:44">
      <c r="B32" s="270" t="str">
        <f t="shared" si="74"/>
        <v>iPad Revenue(%)</v>
      </c>
      <c r="C32" s="268" t="s">
        <v>47</v>
      </c>
      <c r="D32" s="268" t="s">
        <v>47</v>
      </c>
      <c r="E32" s="268" t="s">
        <v>47</v>
      </c>
      <c r="F32" s="268" t="s">
        <v>47</v>
      </c>
      <c r="G32" s="268" t="s">
        <v>47</v>
      </c>
      <c r="H32" s="268" t="s">
        <v>47</v>
      </c>
      <c r="I32" s="268" t="s">
        <v>47</v>
      </c>
      <c r="J32" s="268" t="s">
        <v>47</v>
      </c>
      <c r="K32" s="268" t="s">
        <v>47</v>
      </c>
      <c r="L32" s="268" t="s">
        <v>47</v>
      </c>
      <c r="M32" s="268"/>
      <c r="N32" s="273" t="s">
        <v>47</v>
      </c>
      <c r="O32" s="273">
        <f t="shared" ref="O32:AB32" si="78">SUM(O11/N11)-1</f>
        <v>5.4911699779249368E-2</v>
      </c>
      <c r="P32" s="273">
        <f t="shared" si="78"/>
        <v>-5.5192257389484745E-2</v>
      </c>
      <c r="Q32" s="273">
        <f t="shared" si="78"/>
        <v>-6.9213732004429485E-3</v>
      </c>
      <c r="R32" s="273">
        <f t="shared" si="78"/>
        <v>0.30972957903540554</v>
      </c>
      <c r="S32" s="273">
        <f t="shared" si="78"/>
        <v>-0.29012345679012341</v>
      </c>
      <c r="T32" s="273">
        <f t="shared" si="78"/>
        <v>-0.13178410794602702</v>
      </c>
      <c r="U32" s="273">
        <f t="shared" si="78"/>
        <v>0.11258849939561388</v>
      </c>
      <c r="V32" s="273">
        <f t="shared" si="78"/>
        <v>9.0020176936209895E-2</v>
      </c>
      <c r="W32" s="273">
        <f t="shared" si="78"/>
        <v>-0.20845792396411789</v>
      </c>
      <c r="X32" s="273">
        <f t="shared" si="78"/>
        <v>0.28836121604605136</v>
      </c>
      <c r="Y32" s="273">
        <f t="shared" si="78"/>
        <v>-2.9600670203853707E-2</v>
      </c>
      <c r="Z32" s="273">
        <f t="shared" si="78"/>
        <v>0.16374100719424467</v>
      </c>
      <c r="AA32" s="273">
        <f t="shared" si="78"/>
        <v>-0.20845697329376855</v>
      </c>
      <c r="AB32" s="273">
        <f t="shared" si="78"/>
        <v>2.7960012496095032E-2</v>
      </c>
      <c r="AC32" s="273">
        <f t="shared" ref="AC32" si="79">SUM(AC11/AB11)-1</f>
        <v>5.6374411183710782E-2</v>
      </c>
      <c r="AD32" s="268"/>
      <c r="AE32" s="273" t="s">
        <v>47</v>
      </c>
      <c r="AF32" s="273" t="s">
        <v>47</v>
      </c>
      <c r="AG32" s="273" t="s">
        <v>47</v>
      </c>
      <c r="AH32" s="273" t="s">
        <v>47</v>
      </c>
      <c r="AI32" s="273" t="s">
        <v>47</v>
      </c>
      <c r="AJ32" s="273" t="s">
        <v>47</v>
      </c>
      <c r="AK32" s="273" t="s">
        <v>47</v>
      </c>
      <c r="AL32" s="273" t="s">
        <v>47</v>
      </c>
      <c r="AM32" s="273" t="s">
        <v>47</v>
      </c>
      <c r="AN32" s="273" t="s">
        <v>47</v>
      </c>
      <c r="AO32" s="273" t="s">
        <v>47</v>
      </c>
      <c r="AP32" s="280" t="s">
        <v>47</v>
      </c>
      <c r="AR32" s="635">
        <f t="shared" si="77"/>
        <v>284.1439868761575</v>
      </c>
    </row>
    <row r="33" spans="1:44">
      <c r="B33" s="270" t="str">
        <f t="shared" si="74"/>
        <v>Services Revenue(%)</v>
      </c>
      <c r="C33" s="268" t="s">
        <v>47</v>
      </c>
      <c r="D33" s="268" t="s">
        <v>47</v>
      </c>
      <c r="E33" s="268" t="s">
        <v>47</v>
      </c>
      <c r="F33" s="268" t="s">
        <v>47</v>
      </c>
      <c r="G33" s="268" t="s">
        <v>47</v>
      </c>
      <c r="H33" s="268" t="s">
        <v>47</v>
      </c>
      <c r="I33" s="268" t="s">
        <v>47</v>
      </c>
      <c r="J33" s="268" t="s">
        <v>47</v>
      </c>
      <c r="K33" s="268" t="s">
        <v>47</v>
      </c>
      <c r="L33" s="268" t="s">
        <v>47</v>
      </c>
      <c r="M33" s="268"/>
      <c r="N33" s="273" t="s">
        <v>47</v>
      </c>
      <c r="O33" s="273">
        <f t="shared" ref="O33:AB33" si="80">SUM(O12/N12)-1</f>
        <v>1.5628202500512334E-2</v>
      </c>
      <c r="P33" s="273">
        <f t="shared" si="80"/>
        <v>-1.0947984460925264E-2</v>
      </c>
      <c r="Q33" s="273">
        <f t="shared" si="80"/>
        <v>-2.1220159151193685E-2</v>
      </c>
      <c r="R33" s="273">
        <f t="shared" si="80"/>
        <v>8.2238899312069957E-2</v>
      </c>
      <c r="S33" s="273">
        <f t="shared" si="80"/>
        <v>6.7899451025714708E-3</v>
      </c>
      <c r="T33" s="273">
        <f t="shared" si="80"/>
        <v>1.4636246233318939E-2</v>
      </c>
      <c r="U33" s="273">
        <f t="shared" si="80"/>
        <v>5.1902135482958522E-2</v>
      </c>
      <c r="V33" s="273">
        <f t="shared" si="80"/>
        <v>3.5986376266021303E-2</v>
      </c>
      <c r="W33" s="273">
        <f t="shared" si="80"/>
        <v>3.2443656183760883E-2</v>
      </c>
      <c r="X33" s="273">
        <f t="shared" si="80"/>
        <v>1.4497004231784461E-2</v>
      </c>
      <c r="Y33" s="273">
        <f t="shared" si="80"/>
        <v>3.1346797175071162E-2</v>
      </c>
      <c r="Z33" s="273">
        <f t="shared" si="80"/>
        <v>5.4781355117731856E-2</v>
      </c>
      <c r="AA33" s="273">
        <f t="shared" si="80"/>
        <v>1.1579347000759244E-2</v>
      </c>
      <c r="AB33" s="273">
        <f t="shared" si="80"/>
        <v>2.9198723963220097E-2</v>
      </c>
      <c r="AC33" s="273">
        <f t="shared" ref="AC33" si="81">SUM(AC12/AB12)-1</f>
        <v>4.8390037559712606E-2</v>
      </c>
      <c r="AD33" s="268"/>
      <c r="AE33" s="273" t="s">
        <v>47</v>
      </c>
      <c r="AF33" s="273" t="s">
        <v>47</v>
      </c>
      <c r="AG33" s="273" t="s">
        <v>47</v>
      </c>
      <c r="AH33" s="273" t="s">
        <v>47</v>
      </c>
      <c r="AI33" s="273" t="s">
        <v>47</v>
      </c>
      <c r="AJ33" s="273" t="s">
        <v>47</v>
      </c>
      <c r="AK33" s="273" t="s">
        <v>47</v>
      </c>
      <c r="AL33" s="273" t="s">
        <v>47</v>
      </c>
      <c r="AM33" s="273" t="s">
        <v>47</v>
      </c>
      <c r="AN33" s="273" t="s">
        <v>47</v>
      </c>
      <c r="AO33" s="273" t="s">
        <v>47</v>
      </c>
      <c r="AP33" s="280" t="s">
        <v>47</v>
      </c>
      <c r="AR33" s="635">
        <f t="shared" si="77"/>
        <v>191.91313596492509</v>
      </c>
    </row>
    <row r="34" spans="1:44">
      <c r="B34" s="271" t="str">
        <f t="shared" si="74"/>
        <v>Wearables, Home, and Accessories Revenue(%)</v>
      </c>
      <c r="C34" s="269" t="s">
        <v>47</v>
      </c>
      <c r="D34" s="269" t="s">
        <v>47</v>
      </c>
      <c r="E34" s="269" t="s">
        <v>47</v>
      </c>
      <c r="F34" s="269" t="s">
        <v>47</v>
      </c>
      <c r="G34" s="269" t="s">
        <v>47</v>
      </c>
      <c r="H34" s="269" t="s">
        <v>47</v>
      </c>
      <c r="I34" s="269" t="s">
        <v>47</v>
      </c>
      <c r="J34" s="269" t="s">
        <v>47</v>
      </c>
      <c r="K34" s="269" t="s">
        <v>47</v>
      </c>
      <c r="L34" s="269" t="s">
        <v>47</v>
      </c>
      <c r="M34" s="269"/>
      <c r="N34" s="274" t="s">
        <v>47</v>
      </c>
      <c r="O34" s="274">
        <f t="shared" ref="O34:AB34" si="82">SUM(O13/N13)-1</f>
        <v>-0.40099312971906675</v>
      </c>
      <c r="P34" s="274">
        <f t="shared" si="82"/>
        <v>-8.1989552577787839E-2</v>
      </c>
      <c r="Q34" s="274">
        <f t="shared" si="82"/>
        <v>0.19371598218703623</v>
      </c>
      <c r="R34" s="274">
        <f t="shared" si="82"/>
        <v>0.39709844559585483</v>
      </c>
      <c r="S34" s="274">
        <f t="shared" si="82"/>
        <v>-0.35046728971962615</v>
      </c>
      <c r="T34" s="274">
        <f t="shared" si="82"/>
        <v>-5.4013931711773489E-2</v>
      </c>
      <c r="U34" s="274">
        <f t="shared" si="82"/>
        <v>0.12530178657653313</v>
      </c>
      <c r="V34" s="274">
        <f t="shared" si="82"/>
        <v>0.28223557176571545</v>
      </c>
      <c r="W34" s="274">
        <f t="shared" si="82"/>
        <v>-0.33799046264536103</v>
      </c>
      <c r="X34" s="274">
        <f t="shared" si="82"/>
        <v>2.3252875015796759E-2</v>
      </c>
      <c r="Y34" s="274">
        <f t="shared" si="82"/>
        <v>0.1167098925527974</v>
      </c>
      <c r="Z34" s="274">
        <f t="shared" si="82"/>
        <v>0.2991594779915947</v>
      </c>
      <c r="AA34" s="274">
        <f t="shared" si="82"/>
        <v>-0.35966629777815617</v>
      </c>
      <c r="AB34" s="274">
        <f t="shared" si="82"/>
        <v>-1.5687317202871531E-2</v>
      </c>
      <c r="AC34" s="274">
        <f t="shared" ref="AC34" si="83">SUM(AC13/AB13)-1</f>
        <v>0.21731496488384661</v>
      </c>
      <c r="AD34" s="269"/>
      <c r="AE34" s="274" t="s">
        <v>47</v>
      </c>
      <c r="AF34" s="274" t="s">
        <v>47</v>
      </c>
      <c r="AG34" s="274" t="s">
        <v>47</v>
      </c>
      <c r="AH34" s="274" t="s">
        <v>47</v>
      </c>
      <c r="AI34" s="274" t="s">
        <v>47</v>
      </c>
      <c r="AJ34" s="274" t="s">
        <v>47</v>
      </c>
      <c r="AK34" s="274" t="s">
        <v>47</v>
      </c>
      <c r="AL34" s="274" t="s">
        <v>47</v>
      </c>
      <c r="AM34" s="274" t="s">
        <v>47</v>
      </c>
      <c r="AN34" s="274" t="s">
        <v>47</v>
      </c>
      <c r="AO34" s="274" t="s">
        <v>47</v>
      </c>
      <c r="AP34" s="281" t="s">
        <v>47</v>
      </c>
      <c r="AR34" s="635">
        <f t="shared" si="77"/>
        <v>2330.0228208671815</v>
      </c>
    </row>
    <row r="35" spans="1:44">
      <c r="B35" s="20"/>
      <c r="C35" s="20"/>
      <c r="D35" s="20"/>
      <c r="E35" s="20"/>
      <c r="F35" s="20"/>
      <c r="G35" s="21"/>
      <c r="H35" s="21"/>
      <c r="I35" s="21"/>
      <c r="J35" s="21"/>
      <c r="K35" s="21"/>
      <c r="L35" s="21"/>
      <c r="M35" s="22"/>
      <c r="N35" s="23"/>
      <c r="O35" s="23"/>
      <c r="P35" s="23"/>
      <c r="Q35" s="24"/>
      <c r="R35" s="23"/>
      <c r="S35" s="23"/>
      <c r="T35" s="23"/>
      <c r="U35" s="24"/>
      <c r="V35" s="23"/>
      <c r="W35" s="23"/>
      <c r="X35" s="23"/>
      <c r="Y35" s="23"/>
      <c r="Z35" s="23"/>
      <c r="AA35" s="23"/>
      <c r="AB35" s="23"/>
      <c r="AC35" s="23"/>
      <c r="AD35" s="22"/>
      <c r="AE35" s="22"/>
      <c r="AF35" s="22"/>
      <c r="AG35" s="22"/>
      <c r="AH35" s="22"/>
      <c r="AI35" s="22"/>
      <c r="AJ35" s="22"/>
      <c r="AK35" s="22"/>
      <c r="AL35" s="22"/>
      <c r="AM35" s="22"/>
      <c r="AN35" s="22"/>
      <c r="AO35" s="22"/>
      <c r="AP35" s="22"/>
    </row>
    <row r="36" spans="1:44">
      <c r="A36" s="39" t="s">
        <v>24</v>
      </c>
      <c r="B36" s="1" t="s">
        <v>368</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row>
    <row r="37" spans="1:44" ht="5.0999999999999996" customHeight="1"/>
    <row r="38" spans="1:44">
      <c r="A38" s="94" t="s">
        <v>24</v>
      </c>
      <c r="B38" s="91" t="s">
        <v>370</v>
      </c>
      <c r="C38" s="27"/>
      <c r="D38" s="27"/>
      <c r="E38" s="27"/>
      <c r="F38" s="27"/>
      <c r="G38" s="11"/>
      <c r="H38" s="11"/>
      <c r="I38" s="11"/>
      <c r="J38" s="11"/>
      <c r="K38" s="11"/>
      <c r="L38" s="11"/>
      <c r="M38" s="11"/>
      <c r="N38" s="11"/>
      <c r="O38" s="11"/>
      <c r="P38" s="11"/>
      <c r="Q38" s="11"/>
      <c r="R38" s="11"/>
      <c r="S38" s="11"/>
      <c r="T38" s="11"/>
      <c r="U38" s="11"/>
      <c r="V38" s="11"/>
      <c r="W38" s="11"/>
      <c r="X38" s="11"/>
      <c r="Y38" s="11"/>
      <c r="Z38" s="11"/>
      <c r="AA38" s="11"/>
      <c r="AB38" s="11"/>
      <c r="AC38" s="11"/>
      <c r="AD38" s="5"/>
      <c r="AE38" s="12"/>
      <c r="AF38" s="12"/>
      <c r="AG38" s="12"/>
      <c r="AH38" s="12"/>
      <c r="AI38" s="12"/>
      <c r="AJ38" s="12"/>
      <c r="AK38" s="12"/>
      <c r="AL38" s="12"/>
      <c r="AM38" s="12"/>
      <c r="AN38" s="12"/>
    </row>
    <row r="39" spans="1:44" ht="12.75" customHeight="1">
      <c r="B39" s="10" t="s">
        <v>352</v>
      </c>
      <c r="C39" s="95">
        <v>211884</v>
      </c>
      <c r="D39" s="95">
        <v>216756</v>
      </c>
      <c r="E39" s="95">
        <v>217722</v>
      </c>
      <c r="F39" s="95">
        <v>186000</v>
      </c>
      <c r="G39" s="95">
        <v>186860</v>
      </c>
      <c r="H39" s="95">
        <v>235000</v>
      </c>
      <c r="I39" s="95">
        <v>245000</v>
      </c>
      <c r="J39" s="95">
        <v>218000</v>
      </c>
      <c r="K39" s="95">
        <v>224000</v>
      </c>
      <c r="L39" s="95">
        <v>231000</v>
      </c>
      <c r="M39" s="95"/>
      <c r="N39" s="95">
        <v>82000</v>
      </c>
      <c r="O39" s="95">
        <v>60000</v>
      </c>
      <c r="P39" s="95">
        <v>50000</v>
      </c>
      <c r="Q39" s="34">
        <f t="shared" ref="Q39:Q42" si="84">SUM(I39-SUM(N39:P39))</f>
        <v>53000</v>
      </c>
      <c r="R39" s="95">
        <v>70000</v>
      </c>
      <c r="S39" s="95">
        <v>55000</v>
      </c>
      <c r="T39" s="95">
        <v>42000</v>
      </c>
      <c r="U39" s="34">
        <f t="shared" ref="U39:U42" si="85">SUM(J39-SUM(R39:T39))</f>
        <v>51000</v>
      </c>
      <c r="V39" s="95">
        <v>77000</v>
      </c>
      <c r="W39" s="95">
        <v>52000</v>
      </c>
      <c r="X39" s="95">
        <v>43000</v>
      </c>
      <c r="Y39" s="34">
        <f t="shared" ref="Y39:Y42" si="86">SUM(K39-SUM(V39:X39))</f>
        <v>52000</v>
      </c>
      <c r="Z39" s="95">
        <v>75000</v>
      </c>
      <c r="AA39" s="95">
        <v>53000</v>
      </c>
      <c r="AB39" s="95">
        <v>49000</v>
      </c>
      <c r="AC39" s="34">
        <f t="shared" ref="AC39:AC42" si="87">SUM(L39-SUM(Z39:AB39))</f>
        <v>54000</v>
      </c>
      <c r="AD39" s="5"/>
      <c r="AE39" s="12">
        <f t="shared" ref="AE39" si="88">SUM(O39:R39)</f>
        <v>233000</v>
      </c>
      <c r="AF39" s="12">
        <f t="shared" ref="AF39" si="89">SUM(P39:S39)</f>
        <v>228000</v>
      </c>
      <c r="AG39" s="12">
        <f t="shared" ref="AG39" si="90">SUM(Q39:T39)</f>
        <v>220000</v>
      </c>
      <c r="AH39" s="12">
        <f t="shared" ref="AH39" si="91">SUM(R39:U39)</f>
        <v>218000</v>
      </c>
      <c r="AI39" s="12">
        <f t="shared" ref="AI39" si="92">SUM(S39:V39)</f>
        <v>225000</v>
      </c>
      <c r="AJ39" s="12">
        <f t="shared" ref="AJ39" si="93">SUM(T39:W39)</f>
        <v>222000</v>
      </c>
      <c r="AK39" s="12">
        <f t="shared" ref="AK39" si="94">SUM(U39:X39)</f>
        <v>223000</v>
      </c>
      <c r="AL39" s="12">
        <f t="shared" ref="AL39" si="95">SUM(V39:Y39)</f>
        <v>224000</v>
      </c>
      <c r="AM39" s="12">
        <f t="shared" ref="AM39" si="96">SUM(W39:Z39)</f>
        <v>222000</v>
      </c>
      <c r="AN39" s="12">
        <f t="shared" ref="AN39" si="97">SUM(X39:AA39)</f>
        <v>223000</v>
      </c>
      <c r="AO39" s="12">
        <f t="shared" ref="AO39" si="98">SUM(Y39:AB39)</f>
        <v>229000</v>
      </c>
      <c r="AP39" s="12">
        <f>SUM(Z39:AC39)</f>
        <v>231000</v>
      </c>
      <c r="AR39" s="13">
        <f t="shared" ref="AR39:AR43" si="99">SUM(AP39/AL39)-1</f>
        <v>3.125E-2</v>
      </c>
    </row>
    <row r="40" spans="1:44" ht="12.75" customHeight="1">
      <c r="B40" s="10" t="s">
        <v>353</v>
      </c>
      <c r="C40" s="95">
        <v>45590</v>
      </c>
      <c r="D40" s="95">
        <v>43753</v>
      </c>
      <c r="E40" s="95">
        <v>43535</v>
      </c>
      <c r="F40" s="95">
        <v>45307.857150009942</v>
      </c>
      <c r="G40" s="95">
        <v>52625.999999999956</v>
      </c>
      <c r="H40" s="95">
        <v>68510.999999999927</v>
      </c>
      <c r="I40" s="95">
        <v>59348.239999999991</v>
      </c>
      <c r="J40" s="95">
        <v>52508.535999999993</v>
      </c>
      <c r="K40" s="95">
        <v>50349.696340000002</v>
      </c>
      <c r="L40" s="95">
        <v>50850</v>
      </c>
      <c r="M40" s="95"/>
      <c r="N40" s="95">
        <v>15647.999999999989</v>
      </c>
      <c r="O40" s="95">
        <v>15806</v>
      </c>
      <c r="P40" s="95">
        <v>14810</v>
      </c>
      <c r="Q40" s="34">
        <f t="shared" si="84"/>
        <v>13084.240000000005</v>
      </c>
      <c r="R40" s="95">
        <v>14709.119999999988</v>
      </c>
      <c r="S40" s="95">
        <v>13435.1</v>
      </c>
      <c r="T40" s="95">
        <v>12588.5</v>
      </c>
      <c r="U40" s="34">
        <f t="shared" si="85"/>
        <v>11775.816000000006</v>
      </c>
      <c r="V40" s="95">
        <v>11767.295999999991</v>
      </c>
      <c r="W40" s="95">
        <v>12991.7417</v>
      </c>
      <c r="X40" s="95">
        <v>13343.810000000001</v>
      </c>
      <c r="Y40" s="34">
        <f t="shared" si="86"/>
        <v>12246.848640000004</v>
      </c>
      <c r="Z40" s="95">
        <v>12237.98784</v>
      </c>
      <c r="AA40" s="95">
        <v>13251.576534000002</v>
      </c>
      <c r="AB40" s="95">
        <v>13610.686200000002</v>
      </c>
      <c r="AC40" s="34">
        <f t="shared" si="87"/>
        <v>11749.749425999995</v>
      </c>
      <c r="AD40" s="5"/>
      <c r="AE40" s="12">
        <f t="shared" ref="AE40:AE42" si="100">SUM(O40:R40)</f>
        <v>58409.359999999993</v>
      </c>
      <c r="AF40" s="12">
        <f t="shared" ref="AF40:AF42" si="101">SUM(P40:S40)</f>
        <v>56038.459999999992</v>
      </c>
      <c r="AG40" s="12">
        <f t="shared" ref="AG40:AG42" si="102">SUM(Q40:T40)</f>
        <v>53816.959999999992</v>
      </c>
      <c r="AH40" s="12">
        <f t="shared" ref="AH40:AH42" si="103">SUM(R40:U40)</f>
        <v>52508.535999999993</v>
      </c>
      <c r="AI40" s="12">
        <f t="shared" ref="AI40:AI42" si="104">SUM(S40:V40)</f>
        <v>49566.712</v>
      </c>
      <c r="AJ40" s="12">
        <f t="shared" ref="AJ40:AJ42" si="105">SUM(T40:W40)</f>
        <v>49123.353699999992</v>
      </c>
      <c r="AK40" s="12">
        <f t="shared" ref="AK40:AK42" si="106">SUM(U40:X40)</f>
        <v>49878.663700000005</v>
      </c>
      <c r="AL40" s="12">
        <f t="shared" ref="AL40:AL42" si="107">SUM(V40:Y40)</f>
        <v>50349.696340000002</v>
      </c>
      <c r="AM40" s="12">
        <f t="shared" ref="AM40:AM42" si="108">SUM(W40:Z40)</f>
        <v>50820.388180000009</v>
      </c>
      <c r="AN40" s="12">
        <f t="shared" ref="AN40:AN42" si="109">SUM(X40:AA40)</f>
        <v>51080.223014000003</v>
      </c>
      <c r="AO40" s="12">
        <f t="shared" ref="AO40:AO42" si="110">SUM(Y40:AB40)</f>
        <v>51347.099214000009</v>
      </c>
      <c r="AP40" s="12">
        <f t="shared" ref="AP40:AP42" si="111">SUM(Z40:AC40)</f>
        <v>50850</v>
      </c>
      <c r="AR40" s="13">
        <f t="shared" si="99"/>
        <v>9.9365775042923321E-3</v>
      </c>
    </row>
    <row r="41" spans="1:44" ht="12.75" customHeight="1">
      <c r="B41" s="10" t="s">
        <v>354</v>
      </c>
      <c r="C41" s="95">
        <v>18484</v>
      </c>
      <c r="D41" s="95">
        <v>19251</v>
      </c>
      <c r="E41" s="95">
        <v>18209</v>
      </c>
      <c r="F41" s="95">
        <v>18433.59</v>
      </c>
      <c r="G41" s="95">
        <v>20907.113499999999</v>
      </c>
      <c r="H41" s="95">
        <v>27537.025875000003</v>
      </c>
      <c r="I41" s="95">
        <v>28368.573</v>
      </c>
      <c r="J41" s="95">
        <v>24996.715700000001</v>
      </c>
      <c r="K41" s="95">
        <v>24935.375601</v>
      </c>
      <c r="L41" s="95">
        <v>26947</v>
      </c>
      <c r="M41" s="95"/>
      <c r="N41" s="95">
        <v>7608.5730000000003</v>
      </c>
      <c r="O41" s="95">
        <v>7160.0000000000009</v>
      </c>
      <c r="P41" s="95">
        <v>5500</v>
      </c>
      <c r="Q41" s="34">
        <f t="shared" si="84"/>
        <v>8100</v>
      </c>
      <c r="R41" s="95">
        <v>6847.7157000000007</v>
      </c>
      <c r="S41" s="95">
        <v>6444.0000000000009</v>
      </c>
      <c r="T41" s="95">
        <v>5225</v>
      </c>
      <c r="U41" s="34">
        <f t="shared" si="85"/>
        <v>6480</v>
      </c>
      <c r="V41" s="95">
        <v>6368.3756009999997</v>
      </c>
      <c r="W41" s="95">
        <v>6444.0000000000009</v>
      </c>
      <c r="X41" s="95">
        <v>5643</v>
      </c>
      <c r="Y41" s="34">
        <f t="shared" si="86"/>
        <v>6480</v>
      </c>
      <c r="Z41" s="95">
        <v>7005.2131611000004</v>
      </c>
      <c r="AA41" s="95">
        <v>6766.2000000000016</v>
      </c>
      <c r="AB41" s="95">
        <v>6545.8799999999992</v>
      </c>
      <c r="AC41" s="34">
        <f t="shared" si="87"/>
        <v>6629.7068388999978</v>
      </c>
      <c r="AD41" s="5"/>
      <c r="AE41" s="12">
        <f t="shared" si="100"/>
        <v>27607.715700000001</v>
      </c>
      <c r="AF41" s="12">
        <f t="shared" si="101"/>
        <v>26891.715700000001</v>
      </c>
      <c r="AG41" s="12">
        <f t="shared" si="102"/>
        <v>26616.715700000001</v>
      </c>
      <c r="AH41" s="12">
        <f t="shared" si="103"/>
        <v>24996.715700000001</v>
      </c>
      <c r="AI41" s="12">
        <f t="shared" si="104"/>
        <v>24517.375601</v>
      </c>
      <c r="AJ41" s="12">
        <f t="shared" si="105"/>
        <v>24517.375601</v>
      </c>
      <c r="AK41" s="12">
        <f t="shared" si="106"/>
        <v>24935.375601</v>
      </c>
      <c r="AL41" s="12">
        <f t="shared" si="107"/>
        <v>24935.375601</v>
      </c>
      <c r="AM41" s="12">
        <f t="shared" si="108"/>
        <v>25572.2131611</v>
      </c>
      <c r="AN41" s="12">
        <f t="shared" si="109"/>
        <v>25894.413161100001</v>
      </c>
      <c r="AO41" s="12">
        <f t="shared" si="110"/>
        <v>26797.293161100002</v>
      </c>
      <c r="AP41" s="12">
        <f t="shared" si="111"/>
        <v>26947</v>
      </c>
      <c r="AR41" s="13">
        <f t="shared" si="99"/>
        <v>8.0673515057031242E-2</v>
      </c>
    </row>
    <row r="42" spans="1:44" ht="12.75" customHeight="1">
      <c r="B42" s="10" t="s">
        <v>223</v>
      </c>
      <c r="C42" s="95">
        <v>10500</v>
      </c>
      <c r="D42" s="95">
        <v>14000</v>
      </c>
      <c r="E42" s="95">
        <v>20700</v>
      </c>
      <c r="F42" s="95">
        <v>30350</v>
      </c>
      <c r="G42" s="95">
        <v>41627.5</v>
      </c>
      <c r="H42" s="95">
        <v>49942.75</v>
      </c>
      <c r="I42" s="95">
        <v>54498.707499999997</v>
      </c>
      <c r="J42" s="95">
        <v>47633.540874999999</v>
      </c>
      <c r="K42" s="95">
        <v>43243.039787499998</v>
      </c>
      <c r="L42" s="95">
        <v>43916</v>
      </c>
      <c r="M42" s="95"/>
      <c r="N42" s="95">
        <v>25582.899999999994</v>
      </c>
      <c r="O42" s="95">
        <v>7688.5200000000013</v>
      </c>
      <c r="P42" s="95">
        <v>10411.5375</v>
      </c>
      <c r="Q42" s="34">
        <f t="shared" si="84"/>
        <v>10815.75</v>
      </c>
      <c r="R42" s="95">
        <v>21745.464999999997</v>
      </c>
      <c r="S42" s="95">
        <v>7304.094000000001</v>
      </c>
      <c r="T42" s="95">
        <v>8849.8068749999984</v>
      </c>
      <c r="U42" s="34">
        <f t="shared" si="85"/>
        <v>9734.1750000000029</v>
      </c>
      <c r="V42" s="95">
        <v>18483.645249999994</v>
      </c>
      <c r="W42" s="95">
        <v>6573.6846000000005</v>
      </c>
      <c r="X42" s="95">
        <v>7964.8261874999989</v>
      </c>
      <c r="Y42" s="34">
        <f t="shared" si="86"/>
        <v>10220.883750000001</v>
      </c>
      <c r="Z42" s="95">
        <v>18668.481702499997</v>
      </c>
      <c r="AA42" s="95">
        <v>6902.3688300000013</v>
      </c>
      <c r="AB42" s="95">
        <v>8124.1227112499992</v>
      </c>
      <c r="AC42" s="34">
        <f t="shared" si="87"/>
        <v>10221.026756250001</v>
      </c>
      <c r="AD42" s="5"/>
      <c r="AE42" s="12">
        <f t="shared" si="100"/>
        <v>50661.272499999999</v>
      </c>
      <c r="AF42" s="12">
        <f t="shared" si="101"/>
        <v>50276.8465</v>
      </c>
      <c r="AG42" s="12">
        <f t="shared" si="102"/>
        <v>48715.115874999989</v>
      </c>
      <c r="AH42" s="12">
        <f t="shared" si="103"/>
        <v>47633.540874999999</v>
      </c>
      <c r="AI42" s="12">
        <f t="shared" si="104"/>
        <v>44371.721124999996</v>
      </c>
      <c r="AJ42" s="12">
        <f t="shared" si="105"/>
        <v>43641.311725</v>
      </c>
      <c r="AK42" s="12">
        <f t="shared" si="106"/>
        <v>42756.3310375</v>
      </c>
      <c r="AL42" s="12">
        <f t="shared" si="107"/>
        <v>43243.039787499998</v>
      </c>
      <c r="AM42" s="12">
        <f t="shared" si="108"/>
        <v>43427.876239999998</v>
      </c>
      <c r="AN42" s="12">
        <f t="shared" si="109"/>
        <v>43756.560469999997</v>
      </c>
      <c r="AO42" s="12">
        <f t="shared" si="110"/>
        <v>43915.85699375</v>
      </c>
      <c r="AP42" s="12">
        <f t="shared" si="111"/>
        <v>43916</v>
      </c>
      <c r="AR42" s="13">
        <f t="shared" si="99"/>
        <v>1.5562278133243845E-2</v>
      </c>
    </row>
    <row r="43" spans="1:44" ht="12.75" customHeight="1">
      <c r="B43" s="14" t="s">
        <v>369</v>
      </c>
      <c r="C43" s="420">
        <f t="shared" ref="C43:L43" si="112">SUM(C39:C42)</f>
        <v>286458</v>
      </c>
      <c r="D43" s="420">
        <f t="shared" si="112"/>
        <v>293760</v>
      </c>
      <c r="E43" s="420">
        <f t="shared" si="112"/>
        <v>300166</v>
      </c>
      <c r="F43" s="420">
        <f t="shared" si="112"/>
        <v>280091.44715000992</v>
      </c>
      <c r="G43" s="420">
        <f t="shared" si="112"/>
        <v>302020.61349999998</v>
      </c>
      <c r="H43" s="420">
        <f t="shared" si="112"/>
        <v>380990.77587499993</v>
      </c>
      <c r="I43" s="420">
        <f t="shared" si="112"/>
        <v>387215.52049999998</v>
      </c>
      <c r="J43" s="420">
        <f t="shared" si="112"/>
        <v>343138.79257499997</v>
      </c>
      <c r="K43" s="420">
        <f t="shared" si="112"/>
        <v>342528.11172849999</v>
      </c>
      <c r="L43" s="420">
        <f t="shared" si="112"/>
        <v>352713</v>
      </c>
      <c r="M43" s="12"/>
      <c r="N43" s="420">
        <f t="shared" ref="N43:AC43" si="113">SUM(N39:N42)</f>
        <v>130839.47299999998</v>
      </c>
      <c r="O43" s="420">
        <f t="shared" si="113"/>
        <v>90654.52</v>
      </c>
      <c r="P43" s="420">
        <f t="shared" si="113"/>
        <v>80721.537500000006</v>
      </c>
      <c r="Q43" s="420">
        <f t="shared" si="113"/>
        <v>84999.99</v>
      </c>
      <c r="R43" s="420">
        <f t="shared" si="113"/>
        <v>113302.30069999999</v>
      </c>
      <c r="S43" s="420">
        <f t="shared" si="113"/>
        <v>82183.194000000003</v>
      </c>
      <c r="T43" s="420">
        <f t="shared" si="113"/>
        <v>68663.306874999995</v>
      </c>
      <c r="U43" s="420">
        <f t="shared" si="113"/>
        <v>78989.991000000009</v>
      </c>
      <c r="V43" s="420">
        <f t="shared" si="113"/>
        <v>113619.31685099998</v>
      </c>
      <c r="W43" s="420">
        <f t="shared" si="113"/>
        <v>78009.426299999992</v>
      </c>
      <c r="X43" s="420">
        <f t="shared" si="113"/>
        <v>69951.6361875</v>
      </c>
      <c r="Y43" s="420">
        <f t="shared" si="113"/>
        <v>80947.732390000019</v>
      </c>
      <c r="Z43" s="420">
        <f t="shared" si="113"/>
        <v>112911.6827036</v>
      </c>
      <c r="AA43" s="420">
        <f t="shared" si="113"/>
        <v>79920.145364000011</v>
      </c>
      <c r="AB43" s="420">
        <f t="shared" si="113"/>
        <v>77280.688911250007</v>
      </c>
      <c r="AC43" s="420">
        <f t="shared" si="113"/>
        <v>82600.483021149994</v>
      </c>
      <c r="AD43" s="5"/>
      <c r="AE43" s="420">
        <f t="shared" ref="AE43:AJ43" si="114">SUM(AE39:AE41)</f>
        <v>319017.07569999999</v>
      </c>
      <c r="AF43" s="420">
        <f t="shared" si="114"/>
        <v>310930.17569999996</v>
      </c>
      <c r="AG43" s="420">
        <f t="shared" si="114"/>
        <v>300433.67569999996</v>
      </c>
      <c r="AH43" s="420">
        <f t="shared" si="114"/>
        <v>295505.25169999996</v>
      </c>
      <c r="AI43" s="420">
        <f t="shared" si="114"/>
        <v>299084.08760099998</v>
      </c>
      <c r="AJ43" s="420">
        <f t="shared" si="114"/>
        <v>295640.72930099996</v>
      </c>
      <c r="AK43" s="420">
        <f t="shared" ref="AK43:AP43" si="115">SUM(AK39:AK42)</f>
        <v>340570.37033850001</v>
      </c>
      <c r="AL43" s="420">
        <f t="shared" si="115"/>
        <v>342528.11172849999</v>
      </c>
      <c r="AM43" s="420">
        <f t="shared" si="115"/>
        <v>341820.47758110001</v>
      </c>
      <c r="AN43" s="420">
        <f t="shared" si="115"/>
        <v>343731.19664510002</v>
      </c>
      <c r="AO43" s="420">
        <f t="shared" si="115"/>
        <v>351060.24936885003</v>
      </c>
      <c r="AP43" s="420">
        <f t="shared" si="115"/>
        <v>352713</v>
      </c>
      <c r="AR43" s="16">
        <f t="shared" si="99"/>
        <v>2.973445951663356E-2</v>
      </c>
    </row>
    <row r="45" spans="1:44">
      <c r="B45" s="277" t="s">
        <v>363</v>
      </c>
      <c r="C45" s="267"/>
      <c r="D45" s="267"/>
      <c r="E45" s="267"/>
      <c r="F45" s="267"/>
      <c r="G45" s="267"/>
      <c r="H45" s="267"/>
      <c r="I45" s="267"/>
      <c r="J45" s="267"/>
      <c r="K45" s="267"/>
      <c r="L45" s="267"/>
      <c r="M45" s="267"/>
      <c r="N45" s="267"/>
      <c r="O45" s="267"/>
      <c r="P45" s="267"/>
      <c r="Q45" s="267"/>
      <c r="R45" s="267"/>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78"/>
      <c r="AR45" s="9"/>
    </row>
    <row r="46" spans="1:44">
      <c r="B46" s="270" t="str">
        <f>B39&amp;"(%)"</f>
        <v>iPhone(%)</v>
      </c>
      <c r="C46" s="272">
        <f>SUM(C39/C$43)</f>
        <v>0.73966864252351128</v>
      </c>
      <c r="D46" s="272">
        <f t="shared" ref="D46:K46" si="116">SUM(D39/D$43)</f>
        <v>0.73786764705882357</v>
      </c>
      <c r="E46" s="272">
        <f t="shared" si="116"/>
        <v>0.72533864594924147</v>
      </c>
      <c r="F46" s="272">
        <f t="shared" si="116"/>
        <v>0.66406883142127182</v>
      </c>
      <c r="G46" s="272">
        <f t="shared" si="116"/>
        <v>0.61869949151666104</v>
      </c>
      <c r="H46" s="272">
        <f t="shared" si="116"/>
        <v>0.61681283348734317</v>
      </c>
      <c r="I46" s="272">
        <f t="shared" si="116"/>
        <v>0.6327225718732522</v>
      </c>
      <c r="J46" s="272">
        <f t="shared" si="116"/>
        <v>0.63531143874486784</v>
      </c>
      <c r="K46" s="272">
        <f t="shared" si="116"/>
        <v>0.65396092270975525</v>
      </c>
      <c r="L46" s="272">
        <f t="shared" ref="L46" si="117">SUM(L39/L$43)</f>
        <v>0.65492340798326121</v>
      </c>
      <c r="M46" s="268"/>
      <c r="N46" s="272">
        <f t="shared" ref="N46:AB46" si="118">SUM(N39/N$43)</f>
        <v>0.62672218192135343</v>
      </c>
      <c r="O46" s="272">
        <f t="shared" si="118"/>
        <v>0.66185337476829609</v>
      </c>
      <c r="P46" s="272">
        <f t="shared" si="118"/>
        <v>0.61941337527174822</v>
      </c>
      <c r="Q46" s="272">
        <f t="shared" si="118"/>
        <v>0.62352948512111583</v>
      </c>
      <c r="R46" s="272">
        <f t="shared" si="118"/>
        <v>0.61781622762758259</v>
      </c>
      <c r="S46" s="272">
        <f t="shared" si="118"/>
        <v>0.66923658382028806</v>
      </c>
      <c r="T46" s="272">
        <f t="shared" si="118"/>
        <v>0.61168041435085629</v>
      </c>
      <c r="U46" s="272">
        <f t="shared" si="118"/>
        <v>0.64565142183647029</v>
      </c>
      <c r="V46" s="272">
        <f t="shared" si="118"/>
        <v>0.67770166318617775</v>
      </c>
      <c r="W46" s="272">
        <f t="shared" si="118"/>
        <v>0.66658610973530519</v>
      </c>
      <c r="X46" s="272">
        <f t="shared" si="118"/>
        <v>0.61471042485327709</v>
      </c>
      <c r="Y46" s="272">
        <f t="shared" si="118"/>
        <v>0.64238982939593603</v>
      </c>
      <c r="Z46" s="272">
        <f t="shared" si="118"/>
        <v>0.66423596039109201</v>
      </c>
      <c r="AA46" s="272">
        <f t="shared" si="118"/>
        <v>0.66316195695852453</v>
      </c>
      <c r="AB46" s="272">
        <f t="shared" si="118"/>
        <v>0.63405231876584511</v>
      </c>
      <c r="AC46" s="272">
        <f t="shared" ref="AC46" si="119">SUM(AC39/AC$43)</f>
        <v>0.65374920369622058</v>
      </c>
      <c r="AD46" s="268"/>
      <c r="AE46" s="272">
        <f t="shared" ref="AE46:AO46" si="120">SUM(AE39/AE$43)</f>
        <v>0.73036842773617094</v>
      </c>
      <c r="AF46" s="272">
        <f t="shared" si="120"/>
        <v>0.73328360454787478</v>
      </c>
      <c r="AG46" s="272">
        <f t="shared" si="120"/>
        <v>0.73227476742548148</v>
      </c>
      <c r="AH46" s="272">
        <f t="shared" si="120"/>
        <v>0.73771954557787656</v>
      </c>
      <c r="AI46" s="272">
        <f t="shared" si="120"/>
        <v>0.75229679320207243</v>
      </c>
      <c r="AJ46" s="272">
        <f t="shared" si="120"/>
        <v>0.75091142050991122</v>
      </c>
      <c r="AK46" s="272">
        <f t="shared" si="120"/>
        <v>0.65478391375725264</v>
      </c>
      <c r="AL46" s="272">
        <f t="shared" si="120"/>
        <v>0.65396092270975525</v>
      </c>
      <c r="AM46" s="272">
        <f t="shared" si="120"/>
        <v>0.6494637230951984</v>
      </c>
      <c r="AN46" s="272">
        <f t="shared" si="120"/>
        <v>0.6487627604841637</v>
      </c>
      <c r="AO46" s="272">
        <f t="shared" si="120"/>
        <v>0.65230968305783765</v>
      </c>
      <c r="AP46" s="279">
        <f t="shared" ref="AP46" si="121">SUM(AP39/AP$43)</f>
        <v>0.65492340798326121</v>
      </c>
      <c r="AR46" s="635">
        <f t="shared" ref="AR46:AR49" si="122">SUM(AP46-AL46)*10000</f>
        <v>9.6248527350595303</v>
      </c>
    </row>
    <row r="47" spans="1:44">
      <c r="B47" s="270" t="str">
        <f t="shared" ref="B47:B49" si="123">B40&amp;"(%)"</f>
        <v>iPad(%)</v>
      </c>
      <c r="C47" s="272">
        <f t="shared" ref="C47:K49" si="124">SUM(C40/C$43)</f>
        <v>0.15915073064812293</v>
      </c>
      <c r="D47" s="272">
        <f t="shared" si="124"/>
        <v>0.14894131263616558</v>
      </c>
      <c r="E47" s="272">
        <f t="shared" si="124"/>
        <v>0.14503641318470448</v>
      </c>
      <c r="F47" s="272">
        <f t="shared" si="124"/>
        <v>0.16176094490219903</v>
      </c>
      <c r="G47" s="272">
        <f t="shared" si="124"/>
        <v>0.17424638467599152</v>
      </c>
      <c r="H47" s="272">
        <f t="shared" si="124"/>
        <v>0.17982325121298434</v>
      </c>
      <c r="I47" s="272">
        <f t="shared" si="124"/>
        <v>0.15326926958755516</v>
      </c>
      <c r="J47" s="272">
        <f t="shared" si="124"/>
        <v>0.15302419060801231</v>
      </c>
      <c r="K47" s="272">
        <f t="shared" si="124"/>
        <v>0.14699434766367139</v>
      </c>
      <c r="L47" s="272">
        <f t="shared" ref="L47" si="125">SUM(L40/L$43)</f>
        <v>0.14416820474436723</v>
      </c>
      <c r="M47" s="268"/>
      <c r="N47" s="272">
        <f t="shared" ref="N47:AB47" si="126">SUM(N40/N$43)</f>
        <v>0.11959693539884551</v>
      </c>
      <c r="O47" s="272">
        <f t="shared" si="126"/>
        <v>0.17435424069312813</v>
      </c>
      <c r="P47" s="272">
        <f t="shared" si="126"/>
        <v>0.18347024175549181</v>
      </c>
      <c r="Q47" s="272">
        <f t="shared" si="126"/>
        <v>0.15393225340379457</v>
      </c>
      <c r="R47" s="272">
        <f t="shared" si="126"/>
        <v>0.129821900430306</v>
      </c>
      <c r="S47" s="272">
        <f t="shared" si="126"/>
        <v>0.1634774623142537</v>
      </c>
      <c r="T47" s="272">
        <f t="shared" si="126"/>
        <v>0.1833366403822799</v>
      </c>
      <c r="U47" s="272">
        <f t="shared" si="126"/>
        <v>0.14907984987616982</v>
      </c>
      <c r="V47" s="272">
        <f t="shared" si="126"/>
        <v>0.10356774117407858</v>
      </c>
      <c r="W47" s="272">
        <f t="shared" si="126"/>
        <v>0.1665406645863258</v>
      </c>
      <c r="X47" s="272">
        <f t="shared" si="126"/>
        <v>0.19075765382003276</v>
      </c>
      <c r="Y47" s="272">
        <f t="shared" si="126"/>
        <v>0.15129328862475874</v>
      </c>
      <c r="Z47" s="272">
        <f t="shared" si="126"/>
        <v>0.10838548808209207</v>
      </c>
      <c r="AA47" s="272">
        <f t="shared" si="126"/>
        <v>0.16581021560515288</v>
      </c>
      <c r="AB47" s="272">
        <f t="shared" si="126"/>
        <v>0.17612014581845489</v>
      </c>
      <c r="AC47" s="272">
        <f t="shared" ref="AC47" si="127">SUM(AC40/AC$43)</f>
        <v>0.14224795057180781</v>
      </c>
      <c r="AD47" s="268"/>
      <c r="AE47" s="272">
        <f t="shared" ref="AE47:AO47" si="128">SUM(AE40/AE$43)</f>
        <v>0.1830916413230729</v>
      </c>
      <c r="AF47" s="272">
        <f t="shared" si="128"/>
        <v>0.18022843834259603</v>
      </c>
      <c r="AG47" s="272">
        <f t="shared" si="128"/>
        <v>0.17913091757975652</v>
      </c>
      <c r="AH47" s="272">
        <f t="shared" si="128"/>
        <v>0.17769070328843836</v>
      </c>
      <c r="AI47" s="272">
        <f t="shared" si="128"/>
        <v>0.16572834883186971</v>
      </c>
      <c r="AJ47" s="272">
        <f t="shared" si="128"/>
        <v>0.16615895183368376</v>
      </c>
      <c r="AK47" s="272">
        <f t="shared" si="128"/>
        <v>0.14645626291689604</v>
      </c>
      <c r="AL47" s="272">
        <f t="shared" si="128"/>
        <v>0.14699434766367139</v>
      </c>
      <c r="AM47" s="272">
        <f t="shared" si="128"/>
        <v>0.14867566899336043</v>
      </c>
      <c r="AN47" s="272">
        <f t="shared" si="128"/>
        <v>0.14860514120497467</v>
      </c>
      <c r="AO47" s="272">
        <f t="shared" si="128"/>
        <v>0.14626292582630432</v>
      </c>
      <c r="AP47" s="279">
        <f t="shared" ref="AP47" si="129">SUM(AP40/AP$43)</f>
        <v>0.14416820474436723</v>
      </c>
      <c r="AR47" s="635">
        <f t="shared" si="122"/>
        <v>-28.261429193041643</v>
      </c>
    </row>
    <row r="48" spans="1:44">
      <c r="B48" s="270" t="str">
        <f t="shared" si="123"/>
        <v>Mac(%)</v>
      </c>
      <c r="C48" s="272">
        <f t="shared" si="124"/>
        <v>6.4526038721208698E-2</v>
      </c>
      <c r="D48" s="272">
        <f t="shared" si="124"/>
        <v>6.5533088235294121E-2</v>
      </c>
      <c r="E48" s="272">
        <f t="shared" si="124"/>
        <v>6.0663099751470856E-2</v>
      </c>
      <c r="F48" s="272">
        <f t="shared" si="124"/>
        <v>6.581275575375721E-2</v>
      </c>
      <c r="G48" s="272">
        <f t="shared" si="124"/>
        <v>6.9224127643857006E-2</v>
      </c>
      <c r="H48" s="272">
        <f t="shared" si="124"/>
        <v>7.2277408322438452E-2</v>
      </c>
      <c r="I48" s="272">
        <f t="shared" si="124"/>
        <v>7.3263005995649402E-2</v>
      </c>
      <c r="J48" s="272">
        <f t="shared" si="124"/>
        <v>7.2847245024144164E-2</v>
      </c>
      <c r="K48" s="272">
        <f t="shared" si="124"/>
        <v>7.279804123278695E-2</v>
      </c>
      <c r="L48" s="272">
        <f t="shared" ref="L48" si="130">SUM(L41/L$43)</f>
        <v>7.639922543257549E-2</v>
      </c>
      <c r="M48" s="268"/>
      <c r="N48" s="272">
        <f t="shared" ref="N48:AB48" si="131">SUM(N41/N$43)</f>
        <v>5.8151969169120708E-2</v>
      </c>
      <c r="O48" s="272">
        <f t="shared" si="131"/>
        <v>7.8981169389016684E-2</v>
      </c>
      <c r="P48" s="272">
        <f t="shared" si="131"/>
        <v>6.8135471279892307E-2</v>
      </c>
      <c r="Q48" s="272">
        <f t="shared" si="131"/>
        <v>9.5294128858132807E-2</v>
      </c>
      <c r="R48" s="272">
        <f t="shared" si="131"/>
        <v>6.0437569737716731E-2</v>
      </c>
      <c r="S48" s="272">
        <f t="shared" si="131"/>
        <v>7.8410191747962488E-2</v>
      </c>
      <c r="T48" s="272">
        <f t="shared" si="131"/>
        <v>7.6095956309124385E-2</v>
      </c>
      <c r="U48" s="272">
        <f t="shared" si="131"/>
        <v>8.2035710068633874E-2</v>
      </c>
      <c r="V48" s="272">
        <f t="shared" si="131"/>
        <v>5.6050113462233431E-2</v>
      </c>
      <c r="W48" s="272">
        <f t="shared" si="131"/>
        <v>8.2605401752582838E-2</v>
      </c>
      <c r="X48" s="272">
        <f t="shared" si="131"/>
        <v>8.067002156853588E-2</v>
      </c>
      <c r="Y48" s="272">
        <f t="shared" si="131"/>
        <v>8.0051655663185881E-2</v>
      </c>
      <c r="Z48" s="272">
        <f t="shared" si="131"/>
        <v>6.2041526557434348E-2</v>
      </c>
      <c r="AA48" s="272">
        <f t="shared" si="131"/>
        <v>8.4662008173071124E-2</v>
      </c>
      <c r="AB48" s="272">
        <f t="shared" si="131"/>
        <v>8.4702661068632029E-2</v>
      </c>
      <c r="AC48" s="272">
        <f t="shared" ref="AC48" si="132">SUM(AC41/AC$43)</f>
        <v>8.0262325308708554E-2</v>
      </c>
      <c r="AD48" s="268"/>
      <c r="AE48" s="272">
        <f t="shared" ref="AE48:AO48" si="133">SUM(AE41/AE$43)</f>
        <v>8.6539930940756224E-2</v>
      </c>
      <c r="AF48" s="272">
        <f t="shared" si="133"/>
        <v>8.6487957109529279E-2</v>
      </c>
      <c r="AG48" s="272">
        <f t="shared" si="133"/>
        <v>8.8594314994762099E-2</v>
      </c>
      <c r="AH48" s="272">
        <f t="shared" si="133"/>
        <v>8.4589751133685193E-2</v>
      </c>
      <c r="AI48" s="272">
        <f t="shared" si="133"/>
        <v>8.1974857966057926E-2</v>
      </c>
      <c r="AJ48" s="272">
        <f t="shared" si="133"/>
        <v>8.2929627656405172E-2</v>
      </c>
      <c r="AK48" s="272">
        <f t="shared" si="133"/>
        <v>7.3216514919416525E-2</v>
      </c>
      <c r="AL48" s="272">
        <f t="shared" si="133"/>
        <v>7.279804123278695E-2</v>
      </c>
      <c r="AM48" s="272">
        <f t="shared" si="133"/>
        <v>7.4811823276540707E-2</v>
      </c>
      <c r="AN48" s="272">
        <f t="shared" si="133"/>
        <v>7.5333322706334957E-2</v>
      </c>
      <c r="AO48" s="272">
        <f t="shared" si="133"/>
        <v>7.6332462046834512E-2</v>
      </c>
      <c r="AP48" s="279">
        <f t="shared" ref="AP48" si="134">SUM(AP41/AP$43)</f>
        <v>7.639922543257549E-2</v>
      </c>
      <c r="AR48" s="635">
        <f t="shared" si="122"/>
        <v>36.011841997885405</v>
      </c>
    </row>
    <row r="49" spans="1:44">
      <c r="B49" s="270" t="str">
        <f t="shared" si="123"/>
        <v>Apple Watch(%)</v>
      </c>
      <c r="C49" s="272">
        <f t="shared" si="124"/>
        <v>3.665458810715707E-2</v>
      </c>
      <c r="D49" s="272">
        <f t="shared" si="124"/>
        <v>4.7657952069716777E-2</v>
      </c>
      <c r="E49" s="272">
        <f t="shared" si="124"/>
        <v>6.8961841114583269E-2</v>
      </c>
      <c r="F49" s="272">
        <f t="shared" si="124"/>
        <v>0.10835746792277204</v>
      </c>
      <c r="G49" s="272">
        <f t="shared" si="124"/>
        <v>0.13782999616349034</v>
      </c>
      <c r="H49" s="272">
        <f t="shared" si="124"/>
        <v>0.13108650697723406</v>
      </c>
      <c r="I49" s="272">
        <f t="shared" si="124"/>
        <v>0.14074515254354325</v>
      </c>
      <c r="J49" s="272">
        <f t="shared" si="124"/>
        <v>0.13881712562297577</v>
      </c>
      <c r="K49" s="272">
        <f t="shared" si="124"/>
        <v>0.12624668839378642</v>
      </c>
      <c r="L49" s="272">
        <f t="shared" ref="L49" si="135">SUM(L42/L$43)</f>
        <v>0.1245091618397961</v>
      </c>
      <c r="M49" s="268"/>
      <c r="N49" s="272">
        <f t="shared" ref="N49:AB49" si="136">SUM(N42/N$43)</f>
        <v>0.19552891351068036</v>
      </c>
      <c r="O49" s="272">
        <f t="shared" si="136"/>
        <v>8.4811215149559013E-2</v>
      </c>
      <c r="P49" s="272">
        <f t="shared" si="136"/>
        <v>0.1289809116928676</v>
      </c>
      <c r="Q49" s="272">
        <f t="shared" si="136"/>
        <v>0.12724413261695677</v>
      </c>
      <c r="R49" s="272">
        <f t="shared" si="136"/>
        <v>0.19192430220439466</v>
      </c>
      <c r="S49" s="272">
        <f t="shared" si="136"/>
        <v>8.8875762117495705E-2</v>
      </c>
      <c r="T49" s="272">
        <f t="shared" si="136"/>
        <v>0.12888698895773942</v>
      </c>
      <c r="U49" s="272">
        <f t="shared" si="136"/>
        <v>0.12323301821872598</v>
      </c>
      <c r="V49" s="272">
        <f t="shared" si="136"/>
        <v>0.16268048217751027</v>
      </c>
      <c r="W49" s="272">
        <f t="shared" si="136"/>
        <v>8.4267823925786273E-2</v>
      </c>
      <c r="X49" s="272">
        <f t="shared" si="136"/>
        <v>0.11386189975815424</v>
      </c>
      <c r="Y49" s="272">
        <f t="shared" si="136"/>
        <v>0.12626522631611914</v>
      </c>
      <c r="Z49" s="272">
        <f t="shared" si="136"/>
        <v>0.16533702496938152</v>
      </c>
      <c r="AA49" s="272">
        <f t="shared" si="136"/>
        <v>8.6365819263251362E-2</v>
      </c>
      <c r="AB49" s="272">
        <f t="shared" si="136"/>
        <v>0.10512487434706788</v>
      </c>
      <c r="AC49" s="272">
        <f t="shared" ref="AC49" si="137">SUM(AC42/AC$43)</f>
        <v>0.12374052042326301</v>
      </c>
      <c r="AD49" s="268"/>
      <c r="AE49" s="272">
        <f t="shared" ref="AE49:AO49" si="138">SUM(AE42/AE$43)</f>
        <v>0.15880426584952237</v>
      </c>
      <c r="AF49" s="272">
        <f t="shared" si="138"/>
        <v>0.16169818959131668</v>
      </c>
      <c r="AG49" s="272">
        <f t="shared" si="138"/>
        <v>0.1621493188521409</v>
      </c>
      <c r="AH49" s="272">
        <f t="shared" si="138"/>
        <v>0.16119355104848718</v>
      </c>
      <c r="AI49" s="272">
        <f t="shared" si="138"/>
        <v>0.14835868227197402</v>
      </c>
      <c r="AJ49" s="272">
        <f t="shared" si="138"/>
        <v>0.14761603324475492</v>
      </c>
      <c r="AK49" s="272">
        <f t="shared" si="138"/>
        <v>0.12554330840643474</v>
      </c>
      <c r="AL49" s="272">
        <f t="shared" si="138"/>
        <v>0.12624668839378642</v>
      </c>
      <c r="AM49" s="272">
        <f t="shared" si="138"/>
        <v>0.12704878463490046</v>
      </c>
      <c r="AN49" s="272">
        <f t="shared" si="138"/>
        <v>0.1272987756045266</v>
      </c>
      <c r="AO49" s="272">
        <f t="shared" si="138"/>
        <v>0.1250949290690235</v>
      </c>
      <c r="AP49" s="279">
        <f t="shared" ref="AP49" si="139">SUM(AP42/AP$43)</f>
        <v>0.1245091618397961</v>
      </c>
      <c r="AR49" s="635">
        <f t="shared" si="122"/>
        <v>-17.37526553990315</v>
      </c>
    </row>
    <row r="50" spans="1:44">
      <c r="B50" s="275" t="s">
        <v>365</v>
      </c>
      <c r="C50" s="268"/>
      <c r="D50" s="268"/>
      <c r="E50" s="268"/>
      <c r="F50" s="268"/>
      <c r="G50" s="268"/>
      <c r="H50" s="268"/>
      <c r="I50" s="268"/>
      <c r="J50" s="268"/>
      <c r="K50" s="268"/>
      <c r="L50" s="268"/>
      <c r="M50" s="268"/>
      <c r="N50" s="268"/>
      <c r="O50" s="268"/>
      <c r="P50" s="268"/>
      <c r="Q50" s="268"/>
      <c r="R50" s="268"/>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76"/>
      <c r="AR50" s="9"/>
    </row>
    <row r="51" spans="1:44">
      <c r="B51" s="270" t="str">
        <f>B39&amp;"(%)"</f>
        <v>iPhone(%)</v>
      </c>
      <c r="C51" s="268" t="s">
        <v>47</v>
      </c>
      <c r="D51" s="273">
        <f>SUM(D39/C39)-1</f>
        <v>2.2993713541371585E-2</v>
      </c>
      <c r="E51" s="273">
        <f t="shared" ref="E51:K51" si="140">SUM(E39/D39)-1</f>
        <v>4.4566240380889965E-3</v>
      </c>
      <c r="F51" s="273">
        <f t="shared" si="140"/>
        <v>-0.14569956182654942</v>
      </c>
      <c r="G51" s="273">
        <f t="shared" si="140"/>
        <v>4.6236559139785083E-3</v>
      </c>
      <c r="H51" s="273">
        <f t="shared" si="140"/>
        <v>0.25762603018302466</v>
      </c>
      <c r="I51" s="273">
        <f t="shared" si="140"/>
        <v>4.2553191489361764E-2</v>
      </c>
      <c r="J51" s="273">
        <f t="shared" si="140"/>
        <v>-0.11020408163265305</v>
      </c>
      <c r="K51" s="273">
        <f t="shared" si="140"/>
        <v>2.7522935779816571E-2</v>
      </c>
      <c r="L51" s="273">
        <f t="shared" ref="L51" si="141">SUM(L39/K39)-1</f>
        <v>3.125E-2</v>
      </c>
      <c r="M51" s="268"/>
      <c r="N51" s="273" t="s">
        <v>47</v>
      </c>
      <c r="O51" s="273" t="s">
        <v>47</v>
      </c>
      <c r="P51" s="273" t="s">
        <v>47</v>
      </c>
      <c r="Q51" s="273" t="s">
        <v>47</v>
      </c>
      <c r="R51" s="273">
        <f t="shared" ref="R51:AB51" si="142">SUM(R39/Q39)-1</f>
        <v>0.320754716981132</v>
      </c>
      <c r="S51" s="273">
        <f t="shared" si="142"/>
        <v>-0.2142857142857143</v>
      </c>
      <c r="T51" s="273">
        <f t="shared" si="142"/>
        <v>-0.23636363636363633</v>
      </c>
      <c r="U51" s="273">
        <f t="shared" si="142"/>
        <v>0.21428571428571419</v>
      </c>
      <c r="V51" s="273">
        <f t="shared" si="142"/>
        <v>0.50980392156862742</v>
      </c>
      <c r="W51" s="273">
        <f t="shared" si="142"/>
        <v>-0.32467532467532467</v>
      </c>
      <c r="X51" s="273">
        <f t="shared" si="142"/>
        <v>-0.17307692307692313</v>
      </c>
      <c r="Y51" s="273">
        <f t="shared" si="142"/>
        <v>0.20930232558139528</v>
      </c>
      <c r="Z51" s="273">
        <f t="shared" si="142"/>
        <v>0.44230769230769229</v>
      </c>
      <c r="AA51" s="273">
        <f t="shared" si="142"/>
        <v>-0.29333333333333333</v>
      </c>
      <c r="AB51" s="273">
        <f t="shared" si="142"/>
        <v>-7.547169811320753E-2</v>
      </c>
      <c r="AC51" s="273">
        <f t="shared" ref="AC51" si="143">SUM(AC39/AB39)-1</f>
        <v>0.1020408163265305</v>
      </c>
      <c r="AD51" s="268"/>
      <c r="AE51" s="273" t="s">
        <v>47</v>
      </c>
      <c r="AF51" s="273" t="s">
        <v>47</v>
      </c>
      <c r="AG51" s="273" t="s">
        <v>47</v>
      </c>
      <c r="AH51" s="273" t="s">
        <v>47</v>
      </c>
      <c r="AI51" s="273">
        <f t="shared" ref="AI51:AI54" si="144">SUM(AI39/AE39)-1</f>
        <v>-3.4334763948497882E-2</v>
      </c>
      <c r="AJ51" s="273">
        <f t="shared" ref="AJ51:AJ54" si="145">SUM(AJ39/AF39)-1</f>
        <v>-2.6315789473684181E-2</v>
      </c>
      <c r="AK51" s="273">
        <f t="shared" ref="AK51:AK54" si="146">SUM(AK39/AG39)-1</f>
        <v>1.3636363636363669E-2</v>
      </c>
      <c r="AL51" s="273">
        <f t="shared" ref="AL51:AL54" si="147">SUM(AL39/AH39)-1</f>
        <v>2.7522935779816571E-2</v>
      </c>
      <c r="AM51" s="273">
        <f t="shared" ref="AM51:AM54" si="148">SUM(AM39/AI39)-1</f>
        <v>-1.3333333333333308E-2</v>
      </c>
      <c r="AN51" s="273">
        <f t="shared" ref="AN51:AN54" si="149">SUM(AN39/AJ39)-1</f>
        <v>4.5045045045044585E-3</v>
      </c>
      <c r="AO51" s="273">
        <f t="shared" ref="AO51:AP54" si="150">SUM(AO39/AK39)-1</f>
        <v>2.6905829596412634E-2</v>
      </c>
      <c r="AP51" s="280">
        <f t="shared" si="150"/>
        <v>3.125E-2</v>
      </c>
      <c r="AR51" s="635">
        <f t="shared" ref="AR51:AR54" si="151">SUM(AP51-AL51)*10000</f>
        <v>37.270642201834292</v>
      </c>
    </row>
    <row r="52" spans="1:44">
      <c r="B52" s="270" t="str">
        <f t="shared" ref="B52:B54" si="152">B40&amp;"(%)"</f>
        <v>iPad(%)</v>
      </c>
      <c r="C52" s="268" t="s">
        <v>47</v>
      </c>
      <c r="D52" s="273">
        <f t="shared" ref="D52:K54" si="153">SUM(D40/C40)-1</f>
        <v>-4.0293924106163614E-2</v>
      </c>
      <c r="E52" s="273">
        <f t="shared" si="153"/>
        <v>-4.98251548465245E-3</v>
      </c>
      <c r="F52" s="273">
        <f t="shared" si="153"/>
        <v>4.0722571494428372E-2</v>
      </c>
      <c r="G52" s="273">
        <f t="shared" si="153"/>
        <v>0.16152039205386282</v>
      </c>
      <c r="H52" s="273">
        <f t="shared" si="153"/>
        <v>0.30184699578155261</v>
      </c>
      <c r="I52" s="273">
        <f t="shared" si="153"/>
        <v>-0.1337414429799586</v>
      </c>
      <c r="J52" s="273">
        <f t="shared" si="153"/>
        <v>-0.11524695593331835</v>
      </c>
      <c r="K52" s="273">
        <f t="shared" si="153"/>
        <v>-4.1114070672242486E-2</v>
      </c>
      <c r="L52" s="273">
        <f t="shared" ref="L52" si="154">SUM(L40/K40)-1</f>
        <v>9.9365775042923321E-3</v>
      </c>
      <c r="M52" s="268"/>
      <c r="N52" s="273" t="s">
        <v>47</v>
      </c>
      <c r="O52" s="273" t="s">
        <v>47</v>
      </c>
      <c r="P52" s="273" t="s">
        <v>47</v>
      </c>
      <c r="Q52" s="273" t="s">
        <v>47</v>
      </c>
      <c r="R52" s="273">
        <f t="shared" ref="R52:AB52" si="155">SUM(R40/Q40)-1</f>
        <v>0.12418604366780062</v>
      </c>
      <c r="S52" s="273">
        <f t="shared" si="155"/>
        <v>-8.6614290997693133E-2</v>
      </c>
      <c r="T52" s="273">
        <f t="shared" si="155"/>
        <v>-6.3014045299253474E-2</v>
      </c>
      <c r="U52" s="273">
        <f t="shared" si="155"/>
        <v>-6.4557651825078E-2</v>
      </c>
      <c r="V52" s="273">
        <f t="shared" si="155"/>
        <v>-7.2351673973292119E-4</v>
      </c>
      <c r="W52" s="273">
        <f t="shared" si="155"/>
        <v>0.10405497575653833</v>
      </c>
      <c r="X52" s="273">
        <f t="shared" si="155"/>
        <v>2.7099391916020066E-2</v>
      </c>
      <c r="Y52" s="273">
        <f t="shared" si="155"/>
        <v>-8.2207507451020123E-2</v>
      </c>
      <c r="Z52" s="273">
        <f t="shared" si="155"/>
        <v>-7.2351673973203301E-4</v>
      </c>
      <c r="AA52" s="273">
        <f t="shared" si="155"/>
        <v>8.2823149299681154E-2</v>
      </c>
      <c r="AB52" s="273">
        <f t="shared" si="155"/>
        <v>2.7099391916020066E-2</v>
      </c>
      <c r="AC52" s="273">
        <f t="shared" ref="AC52" si="156">SUM(AC40/AB40)-1</f>
        <v>-0.13672615374822228</v>
      </c>
      <c r="AD52" s="268"/>
      <c r="AE52" s="273" t="s">
        <v>47</v>
      </c>
      <c r="AF52" s="273" t="s">
        <v>47</v>
      </c>
      <c r="AG52" s="273" t="s">
        <v>47</v>
      </c>
      <c r="AH52" s="273" t="s">
        <v>47</v>
      </c>
      <c r="AI52" s="273">
        <f t="shared" si="144"/>
        <v>-0.15139094145184939</v>
      </c>
      <c r="AJ52" s="273">
        <f t="shared" si="145"/>
        <v>-0.12339929220039236</v>
      </c>
      <c r="AK52" s="273">
        <f t="shared" si="146"/>
        <v>-7.3179464243242065E-2</v>
      </c>
      <c r="AL52" s="273">
        <f t="shared" si="147"/>
        <v>-4.1114070672242486E-2</v>
      </c>
      <c r="AM52" s="273">
        <f t="shared" si="148"/>
        <v>2.5292704103512254E-2</v>
      </c>
      <c r="AN52" s="273">
        <f t="shared" si="149"/>
        <v>3.9835824849230761E-2</v>
      </c>
      <c r="AO52" s="273">
        <f t="shared" si="150"/>
        <v>2.9440153465859709E-2</v>
      </c>
      <c r="AP52" s="280">
        <f t="shared" si="150"/>
        <v>9.9365775042923321E-3</v>
      </c>
      <c r="AR52" s="635">
        <f t="shared" si="151"/>
        <v>510.50648176534821</v>
      </c>
    </row>
    <row r="53" spans="1:44">
      <c r="B53" s="270" t="str">
        <f t="shared" si="152"/>
        <v>Mac(%)</v>
      </c>
      <c r="C53" s="268" t="s">
        <v>47</v>
      </c>
      <c r="D53" s="273">
        <f t="shared" si="153"/>
        <v>4.1495347327418219E-2</v>
      </c>
      <c r="E53" s="273">
        <f t="shared" si="153"/>
        <v>-5.4127058334631939E-2</v>
      </c>
      <c r="F53" s="273">
        <f t="shared" si="153"/>
        <v>1.2334010654072136E-2</v>
      </c>
      <c r="G53" s="273">
        <f t="shared" si="153"/>
        <v>0.13418566323760039</v>
      </c>
      <c r="H53" s="273">
        <f t="shared" si="153"/>
        <v>0.31711275566567343</v>
      </c>
      <c r="I53" s="273">
        <f t="shared" si="153"/>
        <v>3.0197419604232945E-2</v>
      </c>
      <c r="J53" s="273">
        <f t="shared" si="153"/>
        <v>-0.11885889713240072</v>
      </c>
      <c r="K53" s="273">
        <f t="shared" si="153"/>
        <v>-2.4539263372107545E-3</v>
      </c>
      <c r="L53" s="273">
        <f t="shared" ref="L53" si="157">SUM(L41/K41)-1</f>
        <v>8.0673515057031242E-2</v>
      </c>
      <c r="M53" s="268"/>
      <c r="N53" s="273" t="s">
        <v>47</v>
      </c>
      <c r="O53" s="273" t="s">
        <v>47</v>
      </c>
      <c r="P53" s="273" t="s">
        <v>47</v>
      </c>
      <c r="Q53" s="273" t="s">
        <v>47</v>
      </c>
      <c r="R53" s="273">
        <f t="shared" ref="R53:AB53" si="158">SUM(R41/Q41)-1</f>
        <v>-0.15460299999999993</v>
      </c>
      <c r="S53" s="273">
        <f t="shared" si="158"/>
        <v>-5.8956258946322726E-2</v>
      </c>
      <c r="T53" s="273">
        <f t="shared" si="158"/>
        <v>-0.1891682184978275</v>
      </c>
      <c r="U53" s="273">
        <f t="shared" si="158"/>
        <v>0.24019138755980851</v>
      </c>
      <c r="V53" s="273">
        <f t="shared" si="158"/>
        <v>-1.722598750000004E-2</v>
      </c>
      <c r="W53" s="273">
        <f t="shared" si="158"/>
        <v>1.1874990380298156E-2</v>
      </c>
      <c r="X53" s="273">
        <f t="shared" si="158"/>
        <v>-0.12430167597765374</v>
      </c>
      <c r="Y53" s="273">
        <f t="shared" si="158"/>
        <v>0.14832535885167464</v>
      </c>
      <c r="Z53" s="273">
        <f t="shared" si="158"/>
        <v>8.1051413750000023E-2</v>
      </c>
      <c r="AA53" s="273">
        <f t="shared" si="158"/>
        <v>-3.411932736426071E-2</v>
      </c>
      <c r="AB53" s="273">
        <f t="shared" si="158"/>
        <v>-3.2561851556265342E-2</v>
      </c>
      <c r="AC53" s="273">
        <f t="shared" ref="AC53" si="159">SUM(AC41/AB41)-1</f>
        <v>1.2806045772302266E-2</v>
      </c>
      <c r="AD53" s="268"/>
      <c r="AE53" s="273" t="s">
        <v>47</v>
      </c>
      <c r="AF53" s="273" t="s">
        <v>47</v>
      </c>
      <c r="AG53" s="273" t="s">
        <v>47</v>
      </c>
      <c r="AH53" s="273" t="s">
        <v>47</v>
      </c>
      <c r="AI53" s="273">
        <f t="shared" si="144"/>
        <v>-0.11193755153744944</v>
      </c>
      <c r="AJ53" s="273">
        <f t="shared" si="145"/>
        <v>-8.829262236325075E-2</v>
      </c>
      <c r="AK53" s="273">
        <f t="shared" si="146"/>
        <v>-6.3168578646237705E-2</v>
      </c>
      <c r="AL53" s="273">
        <f t="shared" si="147"/>
        <v>-2.4539263372107545E-3</v>
      </c>
      <c r="AM53" s="273">
        <f t="shared" si="148"/>
        <v>4.3024081258394409E-2</v>
      </c>
      <c r="AN53" s="273">
        <f t="shared" si="149"/>
        <v>5.6165781464955655E-2</v>
      </c>
      <c r="AO53" s="273">
        <f t="shared" si="150"/>
        <v>7.4669721839896175E-2</v>
      </c>
      <c r="AP53" s="280">
        <f t="shared" si="150"/>
        <v>8.0673515057031242E-2</v>
      </c>
      <c r="AR53" s="635">
        <f t="shared" si="151"/>
        <v>831.27441394241998</v>
      </c>
    </row>
    <row r="54" spans="1:44">
      <c r="B54" s="270" t="str">
        <f t="shared" si="152"/>
        <v>Apple Watch(%)</v>
      </c>
      <c r="C54" s="268" t="s">
        <v>47</v>
      </c>
      <c r="D54" s="273">
        <f t="shared" si="153"/>
        <v>0.33333333333333326</v>
      </c>
      <c r="E54" s="273">
        <f t="shared" si="153"/>
        <v>0.47857142857142865</v>
      </c>
      <c r="F54" s="273">
        <f t="shared" si="153"/>
        <v>0.46618357487922713</v>
      </c>
      <c r="G54" s="273">
        <f t="shared" si="153"/>
        <v>0.37158154859967052</v>
      </c>
      <c r="H54" s="273">
        <f t="shared" si="153"/>
        <v>0.19975376854242999</v>
      </c>
      <c r="I54" s="273">
        <f t="shared" si="153"/>
        <v>9.1223601023171508E-2</v>
      </c>
      <c r="J54" s="273">
        <f t="shared" si="153"/>
        <v>-0.12596934752993905</v>
      </c>
      <c r="K54" s="273">
        <f t="shared" si="153"/>
        <v>-9.2172469374501409E-2</v>
      </c>
      <c r="L54" s="273">
        <f t="shared" ref="L54" si="160">SUM(L42/K42)-1</f>
        <v>1.5562278133243845E-2</v>
      </c>
      <c r="M54" s="268"/>
      <c r="N54" s="273" t="s">
        <v>47</v>
      </c>
      <c r="O54" s="273" t="s">
        <v>47</v>
      </c>
      <c r="P54" s="273" t="s">
        <v>47</v>
      </c>
      <c r="Q54" s="273" t="s">
        <v>47</v>
      </c>
      <c r="R54" s="273">
        <f t="shared" ref="R54:AB54" si="161">SUM(R42/Q42)-1</f>
        <v>1.0105369484316848</v>
      </c>
      <c r="S54" s="273">
        <f t="shared" si="161"/>
        <v>-0.6641095511178996</v>
      </c>
      <c r="T54" s="273">
        <f t="shared" si="161"/>
        <v>0.21162280701754344</v>
      </c>
      <c r="U54" s="273">
        <f t="shared" si="161"/>
        <v>9.9930782387836592E-2</v>
      </c>
      <c r="V54" s="273">
        <f t="shared" si="161"/>
        <v>0.8988404512965904</v>
      </c>
      <c r="W54" s="273">
        <f t="shared" si="161"/>
        <v>-0.64435128941895248</v>
      </c>
      <c r="X54" s="273">
        <f t="shared" si="161"/>
        <v>0.21162280701754366</v>
      </c>
      <c r="Y54" s="273">
        <f t="shared" si="161"/>
        <v>0.28325257945247562</v>
      </c>
      <c r="Z54" s="273">
        <f t="shared" si="161"/>
        <v>0.82650367219957821</v>
      </c>
      <c r="AA54" s="273">
        <f t="shared" si="161"/>
        <v>-0.63026619197019818</v>
      </c>
      <c r="AB54" s="273">
        <f t="shared" si="161"/>
        <v>0.17700501253132805</v>
      </c>
      <c r="AC54" s="273">
        <f t="shared" ref="AC54" si="162">SUM(AC42/AB42)-1</f>
        <v>0.25810836683895522</v>
      </c>
      <c r="AD54" s="268"/>
      <c r="AE54" s="273" t="s">
        <v>47</v>
      </c>
      <c r="AF54" s="273" t="s">
        <v>47</v>
      </c>
      <c r="AG54" s="273" t="s">
        <v>47</v>
      </c>
      <c r="AH54" s="273" t="s">
        <v>47</v>
      </c>
      <c r="AI54" s="273">
        <f t="shared" si="144"/>
        <v>-0.1241490997882061</v>
      </c>
      <c r="AJ54" s="273">
        <f t="shared" si="145"/>
        <v>-0.13197993185590906</v>
      </c>
      <c r="AK54" s="273">
        <f t="shared" si="146"/>
        <v>-0.12231901188103234</v>
      </c>
      <c r="AL54" s="273">
        <f t="shared" si="147"/>
        <v>-9.2172469374501409E-2</v>
      </c>
      <c r="AM54" s="273">
        <f t="shared" si="148"/>
        <v>-2.1271315627831577E-2</v>
      </c>
      <c r="AN54" s="273">
        <f t="shared" si="149"/>
        <v>2.6408176208410072E-3</v>
      </c>
      <c r="AO54" s="273">
        <f t="shared" si="150"/>
        <v>2.7119397949113555E-2</v>
      </c>
      <c r="AP54" s="280">
        <f t="shared" si="150"/>
        <v>1.5562278133243845E-2</v>
      </c>
      <c r="AR54" s="635">
        <f t="shared" si="151"/>
        <v>1077.3474750774526</v>
      </c>
    </row>
    <row r="55" spans="1:44">
      <c r="B55" s="275" t="s">
        <v>366</v>
      </c>
      <c r="C55" s="268"/>
      <c r="D55" s="273"/>
      <c r="E55" s="273"/>
      <c r="F55" s="273"/>
      <c r="G55" s="273"/>
      <c r="H55" s="273"/>
      <c r="I55" s="273"/>
      <c r="J55" s="273"/>
      <c r="K55" s="273"/>
      <c r="L55" s="273"/>
      <c r="M55" s="268"/>
      <c r="N55" s="273"/>
      <c r="O55" s="273"/>
      <c r="P55" s="273"/>
      <c r="Q55" s="273"/>
      <c r="R55" s="273"/>
      <c r="S55" s="273"/>
      <c r="T55" s="273"/>
      <c r="U55" s="273"/>
      <c r="V55" s="273"/>
      <c r="W55" s="273"/>
      <c r="X55" s="273"/>
      <c r="Y55" s="273"/>
      <c r="Z55" s="273"/>
      <c r="AA55" s="273"/>
      <c r="AB55" s="273"/>
      <c r="AC55" s="273"/>
      <c r="AD55" s="268"/>
      <c r="AE55" s="273"/>
      <c r="AF55" s="273"/>
      <c r="AG55" s="273"/>
      <c r="AH55" s="273"/>
      <c r="AI55" s="273"/>
      <c r="AJ55" s="273"/>
      <c r="AK55" s="273"/>
      <c r="AL55" s="273"/>
      <c r="AM55" s="273"/>
      <c r="AN55" s="273"/>
      <c r="AO55" s="273"/>
      <c r="AP55" s="280"/>
      <c r="AR55" s="9"/>
    </row>
    <row r="56" spans="1:44">
      <c r="B56" s="270" t="str">
        <f>B39&amp;"(%)"</f>
        <v>iPhone(%)</v>
      </c>
      <c r="C56" s="268" t="s">
        <v>47</v>
      </c>
      <c r="D56" s="268" t="s">
        <v>47</v>
      </c>
      <c r="E56" s="268" t="s">
        <v>47</v>
      </c>
      <c r="F56" s="268" t="s">
        <v>47</v>
      </c>
      <c r="G56" s="268" t="s">
        <v>47</v>
      </c>
      <c r="H56" s="268" t="s">
        <v>47</v>
      </c>
      <c r="I56" s="268" t="s">
        <v>47</v>
      </c>
      <c r="J56" s="268" t="s">
        <v>47</v>
      </c>
      <c r="K56" s="268" t="s">
        <v>47</v>
      </c>
      <c r="L56" s="268" t="s">
        <v>47</v>
      </c>
      <c r="M56" s="268"/>
      <c r="N56" s="273" t="s">
        <v>47</v>
      </c>
      <c r="O56" s="273">
        <f>SUM(O39/N39)-1</f>
        <v>-0.26829268292682928</v>
      </c>
      <c r="P56" s="273">
        <f t="shared" ref="P56:AB56" si="163">SUM(P39/O39)-1</f>
        <v>-0.16666666666666663</v>
      </c>
      <c r="Q56" s="273">
        <f t="shared" si="163"/>
        <v>6.0000000000000053E-2</v>
      </c>
      <c r="R56" s="273">
        <f t="shared" si="163"/>
        <v>0.320754716981132</v>
      </c>
      <c r="S56" s="273">
        <f t="shared" si="163"/>
        <v>-0.2142857142857143</v>
      </c>
      <c r="T56" s="273">
        <f t="shared" si="163"/>
        <v>-0.23636363636363633</v>
      </c>
      <c r="U56" s="273">
        <f t="shared" si="163"/>
        <v>0.21428571428571419</v>
      </c>
      <c r="V56" s="273">
        <f t="shared" si="163"/>
        <v>0.50980392156862742</v>
      </c>
      <c r="W56" s="273">
        <f t="shared" si="163"/>
        <v>-0.32467532467532467</v>
      </c>
      <c r="X56" s="273">
        <f t="shared" si="163"/>
        <v>-0.17307692307692313</v>
      </c>
      <c r="Y56" s="273">
        <f t="shared" si="163"/>
        <v>0.20930232558139528</v>
      </c>
      <c r="Z56" s="273">
        <f t="shared" si="163"/>
        <v>0.44230769230769229</v>
      </c>
      <c r="AA56" s="273">
        <f t="shared" si="163"/>
        <v>-0.29333333333333333</v>
      </c>
      <c r="AB56" s="273">
        <f t="shared" si="163"/>
        <v>-7.547169811320753E-2</v>
      </c>
      <c r="AC56" s="273">
        <f t="shared" ref="AC56" si="164">SUM(AC39/AB39)-1</f>
        <v>0.1020408163265305</v>
      </c>
      <c r="AD56" s="268"/>
      <c r="AE56" s="273" t="s">
        <v>47</v>
      </c>
      <c r="AF56" s="273" t="s">
        <v>47</v>
      </c>
      <c r="AG56" s="273" t="s">
        <v>47</v>
      </c>
      <c r="AH56" s="273" t="s">
        <v>47</v>
      </c>
      <c r="AI56" s="273" t="s">
        <v>47</v>
      </c>
      <c r="AJ56" s="273" t="s">
        <v>47</v>
      </c>
      <c r="AK56" s="273" t="s">
        <v>47</v>
      </c>
      <c r="AL56" s="273" t="s">
        <v>47</v>
      </c>
      <c r="AM56" s="273" t="s">
        <v>47</v>
      </c>
      <c r="AN56" s="273" t="s">
        <v>47</v>
      </c>
      <c r="AO56" s="273" t="s">
        <v>47</v>
      </c>
      <c r="AP56" s="280" t="s">
        <v>47</v>
      </c>
      <c r="AR56" s="635">
        <f t="shared" ref="AR56:AR59" si="165">SUM(AC56-AB56)*10000</f>
        <v>1775.1251443973804</v>
      </c>
    </row>
    <row r="57" spans="1:44">
      <c r="B57" s="270" t="str">
        <f t="shared" ref="B57:B59" si="166">B40&amp;"(%)"</f>
        <v>iPad(%)</v>
      </c>
      <c r="C57" s="268" t="s">
        <v>47</v>
      </c>
      <c r="D57" s="268" t="s">
        <v>47</v>
      </c>
      <c r="E57" s="268" t="s">
        <v>47</v>
      </c>
      <c r="F57" s="268" t="s">
        <v>47</v>
      </c>
      <c r="G57" s="268" t="s">
        <v>47</v>
      </c>
      <c r="H57" s="268" t="s">
        <v>47</v>
      </c>
      <c r="I57" s="268" t="s">
        <v>47</v>
      </c>
      <c r="J57" s="268" t="s">
        <v>47</v>
      </c>
      <c r="K57" s="268" t="s">
        <v>47</v>
      </c>
      <c r="L57" s="268" t="s">
        <v>47</v>
      </c>
      <c r="M57" s="268"/>
      <c r="N57" s="273" t="s">
        <v>47</v>
      </c>
      <c r="O57" s="273">
        <f t="shared" ref="O57:AB59" si="167">SUM(O40/N40)-1</f>
        <v>1.0097137014315694E-2</v>
      </c>
      <c r="P57" s="273">
        <f t="shared" si="167"/>
        <v>-6.3014045299253474E-2</v>
      </c>
      <c r="Q57" s="273">
        <f t="shared" si="167"/>
        <v>-0.11652667116812931</v>
      </c>
      <c r="R57" s="273">
        <f t="shared" si="167"/>
        <v>0.12418604366780062</v>
      </c>
      <c r="S57" s="273">
        <f t="shared" si="167"/>
        <v>-8.6614290997693133E-2</v>
      </c>
      <c r="T57" s="273">
        <f t="shared" si="167"/>
        <v>-6.3014045299253474E-2</v>
      </c>
      <c r="U57" s="273">
        <f t="shared" si="167"/>
        <v>-6.4557651825078E-2</v>
      </c>
      <c r="V57" s="273">
        <f t="shared" si="167"/>
        <v>-7.2351673973292119E-4</v>
      </c>
      <c r="W57" s="273">
        <f t="shared" si="167"/>
        <v>0.10405497575653833</v>
      </c>
      <c r="X57" s="273">
        <f t="shared" si="167"/>
        <v>2.7099391916020066E-2</v>
      </c>
      <c r="Y57" s="273">
        <f t="shared" si="167"/>
        <v>-8.2207507451020123E-2</v>
      </c>
      <c r="Z57" s="273">
        <f t="shared" si="167"/>
        <v>-7.2351673973203301E-4</v>
      </c>
      <c r="AA57" s="273">
        <f t="shared" si="167"/>
        <v>8.2823149299681154E-2</v>
      </c>
      <c r="AB57" s="273">
        <f t="shared" si="167"/>
        <v>2.7099391916020066E-2</v>
      </c>
      <c r="AC57" s="273">
        <f t="shared" ref="AC57" si="168">SUM(AC40/AB40)-1</f>
        <v>-0.13672615374822228</v>
      </c>
      <c r="AD57" s="268"/>
      <c r="AE57" s="273" t="s">
        <v>47</v>
      </c>
      <c r="AF57" s="273" t="s">
        <v>47</v>
      </c>
      <c r="AG57" s="273" t="s">
        <v>47</v>
      </c>
      <c r="AH57" s="273" t="s">
        <v>47</v>
      </c>
      <c r="AI57" s="273" t="s">
        <v>47</v>
      </c>
      <c r="AJ57" s="273" t="s">
        <v>47</v>
      </c>
      <c r="AK57" s="273" t="s">
        <v>47</v>
      </c>
      <c r="AL57" s="273" t="s">
        <v>47</v>
      </c>
      <c r="AM57" s="273" t="s">
        <v>47</v>
      </c>
      <c r="AN57" s="273" t="s">
        <v>47</v>
      </c>
      <c r="AO57" s="273" t="s">
        <v>47</v>
      </c>
      <c r="AP57" s="280" t="s">
        <v>47</v>
      </c>
      <c r="AR57" s="635">
        <f t="shared" si="165"/>
        <v>-1638.2554566424235</v>
      </c>
    </row>
    <row r="58" spans="1:44">
      <c r="B58" s="270" t="str">
        <f t="shared" si="166"/>
        <v>Mac(%)</v>
      </c>
      <c r="C58" s="268" t="s">
        <v>47</v>
      </c>
      <c r="D58" s="268" t="s">
        <v>47</v>
      </c>
      <c r="E58" s="268" t="s">
        <v>47</v>
      </c>
      <c r="F58" s="268" t="s">
        <v>47</v>
      </c>
      <c r="G58" s="268" t="s">
        <v>47</v>
      </c>
      <c r="H58" s="268" t="s">
        <v>47</v>
      </c>
      <c r="I58" s="268" t="s">
        <v>47</v>
      </c>
      <c r="J58" s="268" t="s">
        <v>47</v>
      </c>
      <c r="K58" s="268" t="s">
        <v>47</v>
      </c>
      <c r="L58" s="268" t="s">
        <v>47</v>
      </c>
      <c r="M58" s="268"/>
      <c r="N58" s="273" t="s">
        <v>47</v>
      </c>
      <c r="O58" s="273">
        <f t="shared" si="167"/>
        <v>-5.8956258946322726E-2</v>
      </c>
      <c r="P58" s="273">
        <f t="shared" si="167"/>
        <v>-0.23184357541899447</v>
      </c>
      <c r="Q58" s="273">
        <f t="shared" si="167"/>
        <v>0.47272727272727266</v>
      </c>
      <c r="R58" s="273">
        <f t="shared" si="167"/>
        <v>-0.15460299999999993</v>
      </c>
      <c r="S58" s="273">
        <f t="shared" si="167"/>
        <v>-5.8956258946322726E-2</v>
      </c>
      <c r="T58" s="273">
        <f t="shared" si="167"/>
        <v>-0.1891682184978275</v>
      </c>
      <c r="U58" s="273">
        <f t="shared" si="167"/>
        <v>0.24019138755980851</v>
      </c>
      <c r="V58" s="273">
        <f t="shared" si="167"/>
        <v>-1.722598750000004E-2</v>
      </c>
      <c r="W58" s="273">
        <f t="shared" si="167"/>
        <v>1.1874990380298156E-2</v>
      </c>
      <c r="X58" s="273">
        <f t="shared" si="167"/>
        <v>-0.12430167597765374</v>
      </c>
      <c r="Y58" s="273">
        <f t="shared" si="167"/>
        <v>0.14832535885167464</v>
      </c>
      <c r="Z58" s="273">
        <f t="shared" si="167"/>
        <v>8.1051413750000023E-2</v>
      </c>
      <c r="AA58" s="273">
        <f t="shared" si="167"/>
        <v>-3.411932736426071E-2</v>
      </c>
      <c r="AB58" s="273">
        <f t="shared" si="167"/>
        <v>-3.2561851556265342E-2</v>
      </c>
      <c r="AC58" s="273">
        <f t="shared" ref="AC58" si="169">SUM(AC41/AB41)-1</f>
        <v>1.2806045772302266E-2</v>
      </c>
      <c r="AD58" s="268"/>
      <c r="AE58" s="273" t="s">
        <v>47</v>
      </c>
      <c r="AF58" s="273" t="s">
        <v>47</v>
      </c>
      <c r="AG58" s="273" t="s">
        <v>47</v>
      </c>
      <c r="AH58" s="273" t="s">
        <v>47</v>
      </c>
      <c r="AI58" s="273" t="s">
        <v>47</v>
      </c>
      <c r="AJ58" s="273" t="s">
        <v>47</v>
      </c>
      <c r="AK58" s="273" t="s">
        <v>47</v>
      </c>
      <c r="AL58" s="273" t="s">
        <v>47</v>
      </c>
      <c r="AM58" s="273" t="s">
        <v>47</v>
      </c>
      <c r="AN58" s="273" t="s">
        <v>47</v>
      </c>
      <c r="AO58" s="273" t="s">
        <v>47</v>
      </c>
      <c r="AP58" s="280" t="s">
        <v>47</v>
      </c>
      <c r="AR58" s="635">
        <f t="shared" si="165"/>
        <v>453.67897328567608</v>
      </c>
    </row>
    <row r="59" spans="1:44">
      <c r="B59" s="271" t="str">
        <f t="shared" si="166"/>
        <v>Apple Watch(%)</v>
      </c>
      <c r="C59" s="269" t="s">
        <v>47</v>
      </c>
      <c r="D59" s="269" t="s">
        <v>47</v>
      </c>
      <c r="E59" s="269" t="s">
        <v>47</v>
      </c>
      <c r="F59" s="269" t="s">
        <v>47</v>
      </c>
      <c r="G59" s="269" t="s">
        <v>47</v>
      </c>
      <c r="H59" s="269" t="s">
        <v>47</v>
      </c>
      <c r="I59" s="269" t="s">
        <v>47</v>
      </c>
      <c r="J59" s="269" t="s">
        <v>47</v>
      </c>
      <c r="K59" s="269" t="s">
        <v>47</v>
      </c>
      <c r="L59" s="269" t="s">
        <v>47</v>
      </c>
      <c r="M59" s="269"/>
      <c r="N59" s="274" t="s">
        <v>47</v>
      </c>
      <c r="O59" s="274">
        <f t="shared" si="167"/>
        <v>-0.69946644047391016</v>
      </c>
      <c r="P59" s="274">
        <f t="shared" si="167"/>
        <v>0.35416666666666652</v>
      </c>
      <c r="Q59" s="274">
        <f t="shared" si="167"/>
        <v>3.8823516699622918E-2</v>
      </c>
      <c r="R59" s="274">
        <f t="shared" si="167"/>
        <v>1.0105369484316848</v>
      </c>
      <c r="S59" s="274">
        <f t="shared" si="167"/>
        <v>-0.6641095511178996</v>
      </c>
      <c r="T59" s="274">
        <f t="shared" si="167"/>
        <v>0.21162280701754344</v>
      </c>
      <c r="U59" s="274">
        <f t="shared" si="167"/>
        <v>9.9930782387836592E-2</v>
      </c>
      <c r="V59" s="274">
        <f t="shared" si="167"/>
        <v>0.8988404512965904</v>
      </c>
      <c r="W59" s="274">
        <f t="shared" si="167"/>
        <v>-0.64435128941895248</v>
      </c>
      <c r="X59" s="274">
        <f t="shared" si="167"/>
        <v>0.21162280701754366</v>
      </c>
      <c r="Y59" s="274">
        <f t="shared" si="167"/>
        <v>0.28325257945247562</v>
      </c>
      <c r="Z59" s="274">
        <f t="shared" si="167"/>
        <v>0.82650367219957821</v>
      </c>
      <c r="AA59" s="274">
        <f t="shared" si="167"/>
        <v>-0.63026619197019818</v>
      </c>
      <c r="AB59" s="274">
        <f t="shared" si="167"/>
        <v>0.17700501253132805</v>
      </c>
      <c r="AC59" s="274">
        <f t="shared" ref="AC59" si="170">SUM(AC42/AB42)-1</f>
        <v>0.25810836683895522</v>
      </c>
      <c r="AD59" s="269"/>
      <c r="AE59" s="274" t="s">
        <v>47</v>
      </c>
      <c r="AF59" s="274" t="s">
        <v>47</v>
      </c>
      <c r="AG59" s="274" t="s">
        <v>47</v>
      </c>
      <c r="AH59" s="274" t="s">
        <v>47</v>
      </c>
      <c r="AI59" s="274" t="s">
        <v>47</v>
      </c>
      <c r="AJ59" s="274" t="s">
        <v>47</v>
      </c>
      <c r="AK59" s="274" t="s">
        <v>47</v>
      </c>
      <c r="AL59" s="274" t="s">
        <v>47</v>
      </c>
      <c r="AM59" s="274" t="s">
        <v>47</v>
      </c>
      <c r="AN59" s="274" t="s">
        <v>47</v>
      </c>
      <c r="AO59" s="274" t="s">
        <v>47</v>
      </c>
      <c r="AP59" s="281" t="s">
        <v>47</v>
      </c>
      <c r="AR59" s="635">
        <f t="shared" si="165"/>
        <v>811.0335430762716</v>
      </c>
    </row>
    <row r="61" spans="1:44">
      <c r="A61" s="94" t="s">
        <v>24</v>
      </c>
      <c r="B61" s="91" t="s">
        <v>371</v>
      </c>
      <c r="C61" s="27"/>
      <c r="D61" s="27"/>
      <c r="E61" s="27"/>
      <c r="F61" s="27"/>
      <c r="G61" s="11"/>
      <c r="H61" s="11"/>
      <c r="I61" s="11"/>
      <c r="J61" s="11"/>
      <c r="K61" s="11"/>
      <c r="L61" s="11"/>
      <c r="M61" s="11"/>
      <c r="N61" s="11"/>
      <c r="O61" s="11"/>
      <c r="P61" s="11"/>
      <c r="Q61" s="11"/>
      <c r="R61" s="11"/>
      <c r="S61" s="11"/>
      <c r="T61" s="11"/>
      <c r="U61" s="11"/>
      <c r="V61" s="11"/>
      <c r="W61" s="11"/>
      <c r="X61" s="11"/>
      <c r="Y61" s="11"/>
      <c r="Z61" s="11"/>
      <c r="AA61" s="11"/>
      <c r="AB61" s="11"/>
      <c r="AC61" s="11"/>
      <c r="AD61" s="5"/>
      <c r="AE61" s="12"/>
      <c r="AF61" s="12"/>
      <c r="AG61" s="12"/>
      <c r="AH61" s="12"/>
      <c r="AI61" s="12"/>
      <c r="AJ61" s="12"/>
      <c r="AK61" s="12"/>
      <c r="AL61" s="12"/>
      <c r="AM61" s="12"/>
      <c r="AN61" s="12"/>
    </row>
    <row r="62" spans="1:44" ht="12.75" customHeight="1">
      <c r="B62" s="10" t="s">
        <v>352</v>
      </c>
      <c r="C62" s="95">
        <v>618.72432052380634</v>
      </c>
      <c r="D62" s="95">
        <v>617.99173040255369</v>
      </c>
      <c r="E62" s="95">
        <v>783.87255006504722</v>
      </c>
      <c r="F62" s="95">
        <v>775.8604651162791</v>
      </c>
      <c r="G62" s="95">
        <v>695.89473684210532</v>
      </c>
      <c r="H62" s="95">
        <v>793.22448979591832</v>
      </c>
      <c r="I62" s="95">
        <v>804.2641509433962</v>
      </c>
      <c r="J62" s="95">
        <v>858.92156862745094</v>
      </c>
      <c r="K62" s="95">
        <v>888.88461538461536</v>
      </c>
      <c r="L62" s="95">
        <v>907</v>
      </c>
      <c r="M62" s="95"/>
      <c r="N62" s="95">
        <v>873.51219512195121</v>
      </c>
      <c r="O62" s="95">
        <v>842.83333333333337</v>
      </c>
      <c r="P62" s="95">
        <v>813.3</v>
      </c>
      <c r="Q62" s="34">
        <f t="shared" ref="Q62:Q64" si="171">I62</f>
        <v>804.2641509433962</v>
      </c>
      <c r="R62" s="95">
        <v>939.64285714285711</v>
      </c>
      <c r="S62" s="95">
        <v>933.34545454545457</v>
      </c>
      <c r="T62" s="95">
        <v>944.5</v>
      </c>
      <c r="U62" s="34">
        <f t="shared" ref="U62:U64" si="172">J62</f>
        <v>858.92156862745094</v>
      </c>
      <c r="V62" s="95">
        <v>905.22077922077926</v>
      </c>
      <c r="W62" s="95">
        <v>883.90384615384619</v>
      </c>
      <c r="X62" s="95">
        <v>913.8604651162791</v>
      </c>
      <c r="Y62" s="34">
        <f>K62</f>
        <v>888.88461538461536</v>
      </c>
      <c r="Z62" s="95">
        <v>921.84</v>
      </c>
      <c r="AA62" s="95">
        <v>883.79245283018872</v>
      </c>
      <c r="AB62" s="95">
        <v>909.83673469387759</v>
      </c>
      <c r="AC62" s="34">
        <f>L62</f>
        <v>907</v>
      </c>
      <c r="AD62" s="5"/>
      <c r="AE62" s="12">
        <f t="shared" ref="AE62:AE65" si="173">SUM(O62:R62)</f>
        <v>3400.0403414195862</v>
      </c>
      <c r="AF62" s="12">
        <f t="shared" ref="AF62:AF65" si="174">SUM(P62:S62)</f>
        <v>3490.5524626317078</v>
      </c>
      <c r="AG62" s="12">
        <f t="shared" ref="AG62:AG65" si="175">SUM(Q62:T62)</f>
        <v>3621.7524626317081</v>
      </c>
      <c r="AH62" s="12">
        <f t="shared" ref="AH62:AH65" si="176">SUM(R62:U62)</f>
        <v>3676.4098803157626</v>
      </c>
      <c r="AI62" s="12">
        <f t="shared" ref="AI62:AI65" si="177">SUM(S62:V62)</f>
        <v>3641.9878023936849</v>
      </c>
      <c r="AJ62" s="12">
        <f t="shared" ref="AJ62:AJ65" si="178">SUM(T62:W62)</f>
        <v>3592.5461940020764</v>
      </c>
      <c r="AK62" s="12">
        <f t="shared" ref="AK62:AK65" si="179">SUM(U62:X62)</f>
        <v>3561.9066591183555</v>
      </c>
      <c r="AL62" s="12">
        <f t="shared" ref="AL62:AL65" si="180">SUM(V62:Y62)</f>
        <v>3591.8697058755197</v>
      </c>
      <c r="AM62" s="12">
        <f t="shared" ref="AM62:AM65" si="181">SUM(W62:Z62)</f>
        <v>3608.4889266547407</v>
      </c>
      <c r="AN62" s="12">
        <f t="shared" ref="AN62:AN65" si="182">SUM(X62:AA62)</f>
        <v>3608.3775333310832</v>
      </c>
      <c r="AO62" s="12">
        <f>SUM(Y62:AB62)</f>
        <v>3604.3538029086817</v>
      </c>
      <c r="AP62" s="12">
        <f>SUM(Z62:AC62)</f>
        <v>3622.4691875240665</v>
      </c>
      <c r="AR62" s="13">
        <f t="shared" ref="AR62:AR65" si="183">SUM(AP62/AL62)-1</f>
        <v>8.5190956672209772E-3</v>
      </c>
    </row>
    <row r="63" spans="1:44" ht="12.75" customHeight="1">
      <c r="B63" s="10" t="s">
        <v>353</v>
      </c>
      <c r="C63" s="95">
        <v>459.15614546239345</v>
      </c>
      <c r="D63" s="95">
        <v>467.84815030021304</v>
      </c>
      <c r="E63" s="95">
        <v>410.66089287555417</v>
      </c>
      <c r="F63" s="95">
        <v>459.23500286035687</v>
      </c>
      <c r="G63" s="95">
        <v>451.02853351028568</v>
      </c>
      <c r="H63" s="95">
        <v>477.60157425628017</v>
      </c>
      <c r="I63" s="95">
        <v>548.29321382059618</v>
      </c>
      <c r="J63" s="95">
        <v>547.13830447078976</v>
      </c>
      <c r="K63" s="95">
        <v>567.4929285318575</v>
      </c>
      <c r="L63" s="95">
        <v>551</v>
      </c>
      <c r="M63" s="95"/>
      <c r="N63" s="95">
        <v>463.19018404908007</v>
      </c>
      <c r="O63" s="95">
        <v>483.74035176515247</v>
      </c>
      <c r="P63" s="95">
        <v>487.77852802160703</v>
      </c>
      <c r="Q63" s="34">
        <f t="shared" si="171"/>
        <v>548.29321382059618</v>
      </c>
      <c r="R63" s="95">
        <v>638.78736457381592</v>
      </c>
      <c r="S63" s="95">
        <v>496.46076322468758</v>
      </c>
      <c r="T63" s="95">
        <v>460.0230368987568</v>
      </c>
      <c r="U63" s="34">
        <f t="shared" si="172"/>
        <v>547.13830447078976</v>
      </c>
      <c r="V63" s="95">
        <v>596.82360331549455</v>
      </c>
      <c r="W63" s="95">
        <v>427.88720160592476</v>
      </c>
      <c r="X63" s="95">
        <v>536.72826576517491</v>
      </c>
      <c r="Y63" s="34">
        <f t="shared" ref="Y63:Y65" si="184">K63</f>
        <v>567.4929285318575</v>
      </c>
      <c r="Z63" s="95">
        <v>634.23350520464317</v>
      </c>
      <c r="AA63" s="95">
        <v>458.53701709296558</v>
      </c>
      <c r="AB63" s="95">
        <v>459.3461474800219</v>
      </c>
      <c r="AC63" s="34">
        <f t="shared" ref="AC63:AC65" si="185">L63</f>
        <v>551</v>
      </c>
      <c r="AD63" s="5"/>
      <c r="AE63" s="12">
        <f t="shared" si="173"/>
        <v>2158.5994581811715</v>
      </c>
      <c r="AF63" s="12">
        <f t="shared" si="174"/>
        <v>2171.3198696407067</v>
      </c>
      <c r="AG63" s="12">
        <f t="shared" si="175"/>
        <v>2143.5643785178563</v>
      </c>
      <c r="AH63" s="12">
        <f t="shared" si="176"/>
        <v>2142.4094691680502</v>
      </c>
      <c r="AI63" s="12">
        <f t="shared" si="177"/>
        <v>2100.4457079097288</v>
      </c>
      <c r="AJ63" s="12">
        <f t="shared" si="178"/>
        <v>2031.8721462909659</v>
      </c>
      <c r="AK63" s="12">
        <f t="shared" si="179"/>
        <v>2108.5773751573843</v>
      </c>
      <c r="AL63" s="12">
        <f t="shared" si="180"/>
        <v>2128.9319992184519</v>
      </c>
      <c r="AM63" s="12">
        <f t="shared" si="181"/>
        <v>2166.3419011076003</v>
      </c>
      <c r="AN63" s="12">
        <f t="shared" si="182"/>
        <v>2196.9917165946413</v>
      </c>
      <c r="AO63" s="12">
        <f t="shared" ref="AO63:AP65" si="186">SUM(Y63:AB63)</f>
        <v>2119.6095983094883</v>
      </c>
      <c r="AP63" s="12">
        <f t="shared" si="186"/>
        <v>2103.1166697776307</v>
      </c>
      <c r="AR63" s="13">
        <f t="shared" si="183"/>
        <v>-1.2125953036686066E-2</v>
      </c>
    </row>
    <row r="64" spans="1:44" ht="12.75" customHeight="1">
      <c r="B64" s="10" t="s">
        <v>354</v>
      </c>
      <c r="C64" s="95">
        <v>1153.6661379451493</v>
      </c>
      <c r="D64" s="95">
        <v>1311.5134608243595</v>
      </c>
      <c r="E64" s="95">
        <v>1365.3085251934326</v>
      </c>
      <c r="F64" s="95">
        <v>1368.4271736971227</v>
      </c>
      <c r="G64" s="95">
        <v>1313.4846558179534</v>
      </c>
      <c r="H64" s="95">
        <v>1269.8014348893382</v>
      </c>
      <c r="I64" s="95">
        <v>1404.5723869425155</v>
      </c>
      <c r="J64" s="95">
        <v>1153.3969191970486</v>
      </c>
      <c r="K64" s="95">
        <v>1172.6038851864198</v>
      </c>
      <c r="L64" s="95">
        <v>1251</v>
      </c>
      <c r="M64" s="95"/>
      <c r="N64" s="95">
        <v>1410.458039797262</v>
      </c>
      <c r="O64" s="95">
        <v>1439.9909510103876</v>
      </c>
      <c r="P64" s="95">
        <v>1319.0704925880682</v>
      </c>
      <c r="Q64" s="34">
        <f t="shared" si="171"/>
        <v>1404.5723869425155</v>
      </c>
      <c r="R64" s="95">
        <v>1110.1514005826607</v>
      </c>
      <c r="S64" s="95">
        <v>1091.2346590078948</v>
      </c>
      <c r="T64" s="95">
        <v>1282.6794674922251</v>
      </c>
      <c r="U64" s="34">
        <f t="shared" si="172"/>
        <v>1153.3969191970486</v>
      </c>
      <c r="V64" s="95">
        <v>1199.3479033721178</v>
      </c>
      <c r="W64" s="95">
        <v>1133.6491846206545</v>
      </c>
      <c r="X64" s="95">
        <v>1216.2039200240122</v>
      </c>
      <c r="Y64" s="34">
        <f t="shared" si="184"/>
        <v>1172.6038851864198</v>
      </c>
      <c r="Z64" s="95">
        <v>1219.3200690733481</v>
      </c>
      <c r="AA64" s="95">
        <v>1152.5273010526332</v>
      </c>
      <c r="AB64" s="95">
        <v>1228.3659592242523</v>
      </c>
      <c r="AC64" s="34">
        <f t="shared" si="185"/>
        <v>1251</v>
      </c>
      <c r="AD64" s="5"/>
      <c r="AE64" s="12">
        <f t="shared" si="173"/>
        <v>5273.7852311236329</v>
      </c>
      <c r="AF64" s="12">
        <f t="shared" si="174"/>
        <v>4925.028939121139</v>
      </c>
      <c r="AG64" s="12">
        <f t="shared" si="175"/>
        <v>4888.6379140252957</v>
      </c>
      <c r="AH64" s="12">
        <f t="shared" si="176"/>
        <v>4637.4624462798292</v>
      </c>
      <c r="AI64" s="12">
        <f t="shared" si="177"/>
        <v>4726.6589490692859</v>
      </c>
      <c r="AJ64" s="12">
        <f t="shared" si="178"/>
        <v>4769.0734746820463</v>
      </c>
      <c r="AK64" s="12">
        <f t="shared" si="179"/>
        <v>4702.5979272138329</v>
      </c>
      <c r="AL64" s="12">
        <f t="shared" si="180"/>
        <v>4721.8048932032043</v>
      </c>
      <c r="AM64" s="12">
        <f t="shared" si="181"/>
        <v>4741.7770589044349</v>
      </c>
      <c r="AN64" s="12">
        <f t="shared" si="182"/>
        <v>4760.6551753364138</v>
      </c>
      <c r="AO64" s="12">
        <f t="shared" si="186"/>
        <v>4772.8172145366534</v>
      </c>
      <c r="AP64" s="12">
        <f t="shared" si="186"/>
        <v>4851.2133293502338</v>
      </c>
      <c r="AR64" s="13">
        <f t="shared" si="183"/>
        <v>2.7406561489507153E-2</v>
      </c>
    </row>
    <row r="65" spans="1:44" ht="12.75" customHeight="1">
      <c r="B65" s="10" t="s">
        <v>223</v>
      </c>
      <c r="C65" s="95">
        <v>452.12599999999998</v>
      </c>
      <c r="D65" s="95">
        <v>432.12599999999998</v>
      </c>
      <c r="E65" s="95">
        <v>400.726</v>
      </c>
      <c r="F65" s="95">
        <v>400</v>
      </c>
      <c r="G65" s="95">
        <v>375</v>
      </c>
      <c r="H65" s="95">
        <v>350</v>
      </c>
      <c r="I65" s="95">
        <v>412.476</v>
      </c>
      <c r="J65" s="95">
        <v>412.476</v>
      </c>
      <c r="K65" s="95">
        <v>412.476</v>
      </c>
      <c r="L65" s="95">
        <v>416</v>
      </c>
      <c r="M65" s="95"/>
      <c r="N65" s="95">
        <v>350</v>
      </c>
      <c r="O65" s="95">
        <v>350</v>
      </c>
      <c r="P65" s="95">
        <v>350</v>
      </c>
      <c r="Q65" s="34">
        <f>I65</f>
        <v>412.476</v>
      </c>
      <c r="R65" s="95">
        <v>421.25600000000003</v>
      </c>
      <c r="S65" s="95">
        <v>412.476</v>
      </c>
      <c r="T65" s="95">
        <v>412.476</v>
      </c>
      <c r="U65" s="34">
        <f>J65</f>
        <v>412.476</v>
      </c>
      <c r="V65" s="95">
        <v>421.25600000000003</v>
      </c>
      <c r="W65" s="95">
        <v>412.476</v>
      </c>
      <c r="X65" s="95">
        <v>412.476</v>
      </c>
      <c r="Y65" s="34">
        <f t="shared" si="184"/>
        <v>412.476</v>
      </c>
      <c r="Z65" s="95">
        <v>421.25600000000003</v>
      </c>
      <c r="AA65" s="95">
        <v>412.476</v>
      </c>
      <c r="AB65" s="95">
        <v>412.476</v>
      </c>
      <c r="AC65" s="34">
        <f t="shared" si="185"/>
        <v>416</v>
      </c>
      <c r="AD65" s="5"/>
      <c r="AE65" s="12">
        <f t="shared" si="173"/>
        <v>1533.7320000000002</v>
      </c>
      <c r="AF65" s="12">
        <f t="shared" si="174"/>
        <v>1596.2080000000001</v>
      </c>
      <c r="AG65" s="12">
        <f t="shared" si="175"/>
        <v>1658.6840000000002</v>
      </c>
      <c r="AH65" s="12">
        <f t="shared" si="176"/>
        <v>1658.6840000000002</v>
      </c>
      <c r="AI65" s="12">
        <f t="shared" si="177"/>
        <v>1658.684</v>
      </c>
      <c r="AJ65" s="12">
        <f t="shared" si="178"/>
        <v>1658.6840000000002</v>
      </c>
      <c r="AK65" s="12">
        <f t="shared" si="179"/>
        <v>1658.6840000000002</v>
      </c>
      <c r="AL65" s="12">
        <f t="shared" si="180"/>
        <v>1658.6840000000002</v>
      </c>
      <c r="AM65" s="12">
        <f t="shared" si="181"/>
        <v>1658.684</v>
      </c>
      <c r="AN65" s="12">
        <f t="shared" si="182"/>
        <v>1658.6840000000002</v>
      </c>
      <c r="AO65" s="12">
        <f t="shared" si="186"/>
        <v>1658.6840000000002</v>
      </c>
      <c r="AP65" s="12">
        <f t="shared" si="186"/>
        <v>1662.2080000000001</v>
      </c>
      <c r="AR65" s="13">
        <f t="shared" si="183"/>
        <v>2.1245758685801697E-3</v>
      </c>
    </row>
    <row r="67" spans="1:44">
      <c r="B67" s="277" t="s">
        <v>365</v>
      </c>
      <c r="C67" s="267"/>
      <c r="D67" s="267"/>
      <c r="E67" s="267"/>
      <c r="F67" s="267"/>
      <c r="G67" s="267"/>
      <c r="H67" s="267"/>
      <c r="I67" s="267"/>
      <c r="J67" s="267"/>
      <c r="K67" s="267"/>
      <c r="L67" s="267"/>
      <c r="M67" s="267"/>
      <c r="N67" s="267"/>
      <c r="O67" s="267"/>
      <c r="P67" s="267"/>
      <c r="Q67" s="267"/>
      <c r="R67" s="267"/>
      <c r="S67" s="267"/>
      <c r="T67" s="267"/>
      <c r="U67" s="267"/>
      <c r="V67" s="267"/>
      <c r="W67" s="267"/>
      <c r="X67" s="267"/>
      <c r="Y67" s="267"/>
      <c r="Z67" s="267"/>
      <c r="AA67" s="267"/>
      <c r="AB67" s="267"/>
      <c r="AC67" s="267"/>
      <c r="AD67" s="267"/>
      <c r="AE67" s="267"/>
      <c r="AF67" s="267"/>
      <c r="AG67" s="267"/>
      <c r="AH67" s="267"/>
      <c r="AI67" s="267"/>
      <c r="AJ67" s="267"/>
      <c r="AK67" s="267"/>
      <c r="AL67" s="267"/>
      <c r="AM67" s="267"/>
      <c r="AN67" s="267"/>
      <c r="AO67" s="267"/>
      <c r="AP67" s="278"/>
      <c r="AR67" s="9"/>
    </row>
    <row r="68" spans="1:44">
      <c r="B68" s="270" t="str">
        <f>B62&amp;"(%)"</f>
        <v>iPhone(%)</v>
      </c>
      <c r="C68" s="268" t="s">
        <v>47</v>
      </c>
      <c r="D68" s="273">
        <f>SUM(D62/C62)-1</f>
        <v>-1.1840331743100396E-3</v>
      </c>
      <c r="E68" s="273">
        <f t="shared" ref="E68:K68" si="187">SUM(E62/D62)-1</f>
        <v>0.26841915757422896</v>
      </c>
      <c r="F68" s="273">
        <f t="shared" si="187"/>
        <v>-1.0221157697259953E-2</v>
      </c>
      <c r="G68" s="273">
        <f t="shared" si="187"/>
        <v>-0.10306715172320224</v>
      </c>
      <c r="H68" s="273">
        <f t="shared" si="187"/>
        <v>0.13986275193786479</v>
      </c>
      <c r="I68" s="273">
        <f t="shared" si="187"/>
        <v>1.3917448703983037E-2</v>
      </c>
      <c r="J68" s="273">
        <f t="shared" si="187"/>
        <v>6.7959534961171686E-2</v>
      </c>
      <c r="K68" s="273">
        <f t="shared" si="187"/>
        <v>3.4884496852308766E-2</v>
      </c>
      <c r="L68" s="273">
        <f t="shared" ref="L68" si="188">SUM(L62/K62)-1</f>
        <v>2.0379905672623488E-2</v>
      </c>
      <c r="M68" s="268"/>
      <c r="N68" s="273" t="s">
        <v>47</v>
      </c>
      <c r="O68" s="273" t="s">
        <v>47</v>
      </c>
      <c r="P68" s="273" t="s">
        <v>47</v>
      </c>
      <c r="Q68" s="273" t="s">
        <v>47</v>
      </c>
      <c r="R68" s="273">
        <f t="shared" ref="R68:AB68" si="189">SUM(R62/Q62)-1</f>
        <v>0.16832617249029758</v>
      </c>
      <c r="S68" s="273">
        <f t="shared" si="189"/>
        <v>-6.7019107840088354E-3</v>
      </c>
      <c r="T68" s="273">
        <f t="shared" si="189"/>
        <v>1.1951143491642835E-2</v>
      </c>
      <c r="U68" s="273">
        <f t="shared" si="189"/>
        <v>-9.0607126916409819E-2</v>
      </c>
      <c r="V68" s="273">
        <f t="shared" si="189"/>
        <v>5.3903886320277206E-2</v>
      </c>
      <c r="W68" s="273">
        <f t="shared" si="189"/>
        <v>-2.3548877308453786E-2</v>
      </c>
      <c r="X68" s="273">
        <f t="shared" si="189"/>
        <v>3.3891264409340316E-2</v>
      </c>
      <c r="Y68" s="273">
        <f t="shared" si="189"/>
        <v>-2.7330047293911308E-2</v>
      </c>
      <c r="Z68" s="273">
        <f t="shared" si="189"/>
        <v>3.7074985937432414E-2</v>
      </c>
      <c r="AA68" s="273">
        <f t="shared" si="189"/>
        <v>-4.1273482567269038E-2</v>
      </c>
      <c r="AB68" s="273">
        <f t="shared" si="189"/>
        <v>2.9468776046102985E-2</v>
      </c>
      <c r="AC68" s="273">
        <f t="shared" ref="AC68" si="190">SUM(AC62/AB62)-1</f>
        <v>-3.1178502534655594E-3</v>
      </c>
      <c r="AD68" s="268"/>
      <c r="AE68" s="273" t="s">
        <v>47</v>
      </c>
      <c r="AF68" s="273" t="s">
        <v>47</v>
      </c>
      <c r="AG68" s="273" t="s">
        <v>47</v>
      </c>
      <c r="AH68" s="273" t="s">
        <v>47</v>
      </c>
      <c r="AI68" s="273">
        <f t="shared" ref="AI68:AI71" si="191">SUM(AI62/AE62)-1</f>
        <v>7.1160173609316812E-2</v>
      </c>
      <c r="AJ68" s="273">
        <f t="shared" ref="AJ68:AJ71" si="192">SUM(AJ62/AF62)-1</f>
        <v>2.9219939382738813E-2</v>
      </c>
      <c r="AK68" s="273">
        <f t="shared" ref="AK68:AK71" si="193">SUM(AK62/AG62)-1</f>
        <v>-1.6523990562807955E-2</v>
      </c>
      <c r="AL68" s="273">
        <f t="shared" ref="AL68:AL71" si="194">SUM(AL62/AH62)-1</f>
        <v>-2.2995307158999889E-2</v>
      </c>
      <c r="AM68" s="273">
        <f t="shared" ref="AM68:AM71" si="195">SUM(AM62/AI62)-1</f>
        <v>-9.1979648358314625E-3</v>
      </c>
      <c r="AN68" s="273">
        <f t="shared" ref="AN68:AN71" si="196">SUM(AN62/AJ62)-1</f>
        <v>4.4067183757965367E-3</v>
      </c>
      <c r="AO68" s="273">
        <f t="shared" ref="AO68:AP71" si="197">SUM(AO62/AK62)-1</f>
        <v>1.1916972524157243E-2</v>
      </c>
      <c r="AP68" s="280">
        <f t="shared" si="197"/>
        <v>8.5190956672209772E-3</v>
      </c>
      <c r="AR68" s="635">
        <f t="shared" ref="AR68:AR71" si="198">SUM(AP68-AL68)*10000</f>
        <v>315.14402826220868</v>
      </c>
    </row>
    <row r="69" spans="1:44">
      <c r="B69" s="270" t="str">
        <f t="shared" ref="B69:B71" si="199">B63&amp;"(%)"</f>
        <v>iPad(%)</v>
      </c>
      <c r="C69" s="268" t="s">
        <v>47</v>
      </c>
      <c r="D69" s="273">
        <f t="shared" ref="D69:K69" si="200">SUM(D63/C63)-1</f>
        <v>1.8930389854776575E-2</v>
      </c>
      <c r="E69" s="273">
        <f t="shared" si="200"/>
        <v>-0.1222346553854331</v>
      </c>
      <c r="F69" s="273">
        <f t="shared" si="200"/>
        <v>0.1182827749793125</v>
      </c>
      <c r="G69" s="273">
        <f t="shared" si="200"/>
        <v>-1.7869869019035978E-2</v>
      </c>
      <c r="H69" s="273">
        <f t="shared" si="200"/>
        <v>5.8916540244539739E-2</v>
      </c>
      <c r="I69" s="273">
        <f t="shared" si="200"/>
        <v>0.14801383281534797</v>
      </c>
      <c r="J69" s="273">
        <f t="shared" si="200"/>
        <v>-2.1063717746182542E-3</v>
      </c>
      <c r="K69" s="273">
        <f t="shared" si="200"/>
        <v>3.7201972325361821E-2</v>
      </c>
      <c r="L69" s="273">
        <f t="shared" ref="L69" si="201">SUM(L63/K63)-1</f>
        <v>-2.9062791274819588E-2</v>
      </c>
      <c r="M69" s="268"/>
      <c r="N69" s="273" t="s">
        <v>47</v>
      </c>
      <c r="O69" s="273" t="s">
        <v>47</v>
      </c>
      <c r="P69" s="273" t="s">
        <v>47</v>
      </c>
      <c r="Q69" s="273" t="s">
        <v>47</v>
      </c>
      <c r="R69" s="273">
        <f t="shared" ref="R69:AB69" si="202">SUM(R63/Q63)-1</f>
        <v>0.16504700126168226</v>
      </c>
      <c r="S69" s="273">
        <f t="shared" si="202"/>
        <v>-0.22280747748366214</v>
      </c>
      <c r="T69" s="273">
        <f t="shared" si="202"/>
        <v>-7.3394977055699084E-2</v>
      </c>
      <c r="U69" s="273">
        <f t="shared" si="202"/>
        <v>0.18937153269392804</v>
      </c>
      <c r="V69" s="273">
        <f t="shared" si="202"/>
        <v>9.0809395793924663E-2</v>
      </c>
      <c r="W69" s="273">
        <f t="shared" si="202"/>
        <v>-0.28305918326803536</v>
      </c>
      <c r="X69" s="273">
        <f t="shared" si="202"/>
        <v>0.25436859001800793</v>
      </c>
      <c r="Y69" s="273">
        <f t="shared" si="202"/>
        <v>5.7318879457230798E-2</v>
      </c>
      <c r="Z69" s="273">
        <f t="shared" si="202"/>
        <v>0.11760600585006054</v>
      </c>
      <c r="AA69" s="273">
        <f t="shared" si="202"/>
        <v>-0.27702176985270899</v>
      </c>
      <c r="AB69" s="273">
        <f t="shared" si="202"/>
        <v>1.7645912039687683E-3</v>
      </c>
      <c r="AC69" s="273">
        <f t="shared" ref="AC69" si="203">SUM(AC63/AB63)-1</f>
        <v>0.1995311227116896</v>
      </c>
      <c r="AD69" s="268"/>
      <c r="AE69" s="273" t="s">
        <v>47</v>
      </c>
      <c r="AF69" s="273" t="s">
        <v>47</v>
      </c>
      <c r="AG69" s="273" t="s">
        <v>47</v>
      </c>
      <c r="AH69" s="273" t="s">
        <v>47</v>
      </c>
      <c r="AI69" s="273">
        <f t="shared" si="191"/>
        <v>-2.6940500726541861E-2</v>
      </c>
      <c r="AJ69" s="273">
        <f t="shared" si="192"/>
        <v>-6.4222561263078903E-2</v>
      </c>
      <c r="AK69" s="273">
        <f t="shared" si="193"/>
        <v>-1.6321881307182151E-2</v>
      </c>
      <c r="AL69" s="273">
        <f t="shared" si="194"/>
        <v>-6.2908002151577103E-3</v>
      </c>
      <c r="AM69" s="273">
        <f t="shared" si="195"/>
        <v>3.1372481064244395E-2</v>
      </c>
      <c r="AN69" s="273">
        <f t="shared" si="196"/>
        <v>8.1264744243425557E-2</v>
      </c>
      <c r="AO69" s="273">
        <f t="shared" si="197"/>
        <v>5.2320693952625508E-3</v>
      </c>
      <c r="AP69" s="280">
        <f t="shared" si="197"/>
        <v>-1.2125953036686066E-2</v>
      </c>
      <c r="AR69" s="635">
        <f t="shared" si="198"/>
        <v>-58.351528215283551</v>
      </c>
    </row>
    <row r="70" spans="1:44">
      <c r="B70" s="270" t="str">
        <f t="shared" si="199"/>
        <v>Mac(%)</v>
      </c>
      <c r="C70" s="268" t="s">
        <v>47</v>
      </c>
      <c r="D70" s="273">
        <f t="shared" ref="D70:K70" si="204">SUM(D64/C64)-1</f>
        <v>0.13682235933556974</v>
      </c>
      <c r="E70" s="273">
        <f t="shared" si="204"/>
        <v>4.1017546503304469E-2</v>
      </c>
      <c r="F70" s="273">
        <f t="shared" si="204"/>
        <v>2.2842078886515793E-3</v>
      </c>
      <c r="G70" s="273">
        <f t="shared" si="204"/>
        <v>-4.015012193212264E-2</v>
      </c>
      <c r="H70" s="273">
        <f t="shared" si="204"/>
        <v>-3.325750379734127E-2</v>
      </c>
      <c r="I70" s="273">
        <f t="shared" si="204"/>
        <v>0.10613545421369164</v>
      </c>
      <c r="J70" s="273">
        <f t="shared" si="204"/>
        <v>-0.17882700107199723</v>
      </c>
      <c r="K70" s="273">
        <f t="shared" si="204"/>
        <v>1.6652520628148038E-2</v>
      </c>
      <c r="L70" s="273">
        <f t="shared" ref="L70" si="205">SUM(L64/K64)-1</f>
        <v>6.6856434473707038E-2</v>
      </c>
      <c r="M70" s="268"/>
      <c r="N70" s="273" t="s">
        <v>47</v>
      </c>
      <c r="O70" s="273" t="s">
        <v>47</v>
      </c>
      <c r="P70" s="273" t="s">
        <v>47</v>
      </c>
      <c r="Q70" s="273" t="s">
        <v>47</v>
      </c>
      <c r="R70" s="273">
        <f t="shared" ref="R70:AB70" si="206">SUM(R64/Q64)-1</f>
        <v>-0.20961610031416955</v>
      </c>
      <c r="S70" s="273">
        <f t="shared" si="206"/>
        <v>-1.7039785352554127E-2</v>
      </c>
      <c r="T70" s="273">
        <f t="shared" si="206"/>
        <v>0.17543871696522539</v>
      </c>
      <c r="U70" s="273">
        <f t="shared" si="206"/>
        <v>-0.10079100162719334</v>
      </c>
      <c r="V70" s="273">
        <f t="shared" si="206"/>
        <v>3.9839697341188085E-2</v>
      </c>
      <c r="W70" s="273">
        <f t="shared" si="206"/>
        <v>-5.4778699797400798E-2</v>
      </c>
      <c r="X70" s="273">
        <f t="shared" si="206"/>
        <v>7.2822118626568288E-2</v>
      </c>
      <c r="Y70" s="273">
        <f t="shared" si="206"/>
        <v>-3.5849279976610804E-2</v>
      </c>
      <c r="Z70" s="273">
        <f t="shared" si="206"/>
        <v>3.9839697341188085E-2</v>
      </c>
      <c r="AA70" s="273">
        <f t="shared" si="206"/>
        <v>-5.4778699797400798E-2</v>
      </c>
      <c r="AB70" s="273">
        <f t="shared" si="206"/>
        <v>6.5802049202959179E-2</v>
      </c>
      <c r="AC70" s="273">
        <f t="shared" ref="AC70" si="207">SUM(AC64/AB64)-1</f>
        <v>1.8426138078624144E-2</v>
      </c>
      <c r="AD70" s="268"/>
      <c r="AE70" s="273" t="s">
        <v>47</v>
      </c>
      <c r="AF70" s="273" t="s">
        <v>47</v>
      </c>
      <c r="AG70" s="273" t="s">
        <v>47</v>
      </c>
      <c r="AH70" s="273" t="s">
        <v>47</v>
      </c>
      <c r="AI70" s="273">
        <f t="shared" si="191"/>
        <v>-0.10374451330051149</v>
      </c>
      <c r="AJ70" s="273">
        <f t="shared" si="192"/>
        <v>-3.1665898082402499E-2</v>
      </c>
      <c r="AK70" s="273">
        <f t="shared" si="193"/>
        <v>-3.8055587278763681E-2</v>
      </c>
      <c r="AL70" s="273">
        <f t="shared" si="194"/>
        <v>1.8187197826482482E-2</v>
      </c>
      <c r="AM70" s="273">
        <f t="shared" si="195"/>
        <v>3.1984769787813949E-3</v>
      </c>
      <c r="AN70" s="273">
        <f t="shared" si="196"/>
        <v>-1.7651854999347627E-3</v>
      </c>
      <c r="AO70" s="273">
        <f t="shared" si="197"/>
        <v>1.493202021726403E-2</v>
      </c>
      <c r="AP70" s="280">
        <f t="shared" si="197"/>
        <v>2.7406561489507153E-2</v>
      </c>
      <c r="AR70" s="635">
        <f t="shared" si="198"/>
        <v>92.193636630246715</v>
      </c>
    </row>
    <row r="71" spans="1:44">
      <c r="B71" s="270" t="str">
        <f t="shared" si="199"/>
        <v>Apple Watch(%)</v>
      </c>
      <c r="C71" s="268" t="s">
        <v>47</v>
      </c>
      <c r="D71" s="273">
        <f t="shared" ref="D71:K71" si="208">SUM(D65/C65)-1</f>
        <v>-4.4235456487793257E-2</v>
      </c>
      <c r="E71" s="273">
        <f t="shared" si="208"/>
        <v>-7.2663991520991567E-2</v>
      </c>
      <c r="F71" s="273">
        <f t="shared" si="208"/>
        <v>-1.8117117431860619E-3</v>
      </c>
      <c r="G71" s="273">
        <f t="shared" si="208"/>
        <v>-6.25E-2</v>
      </c>
      <c r="H71" s="273">
        <f t="shared" si="208"/>
        <v>-6.6666666666666652E-2</v>
      </c>
      <c r="I71" s="273">
        <f t="shared" si="208"/>
        <v>0.17850285714285707</v>
      </c>
      <c r="J71" s="273">
        <f t="shared" si="208"/>
        <v>0</v>
      </c>
      <c r="K71" s="273">
        <f t="shared" si="208"/>
        <v>0</v>
      </c>
      <c r="L71" s="273">
        <f t="shared" ref="L71" si="209">SUM(L65/K65)-1</f>
        <v>8.5435273809870704E-3</v>
      </c>
      <c r="M71" s="268"/>
      <c r="N71" s="273" t="s">
        <v>47</v>
      </c>
      <c r="O71" s="273" t="s">
        <v>47</v>
      </c>
      <c r="P71" s="273" t="s">
        <v>47</v>
      </c>
      <c r="Q71" s="273" t="s">
        <v>47</v>
      </c>
      <c r="R71" s="273">
        <f t="shared" ref="R71:AB71" si="210">SUM(R65/Q65)-1</f>
        <v>2.1286086948089089E-2</v>
      </c>
      <c r="S71" s="273">
        <f t="shared" si="210"/>
        <v>-2.0842433104810487E-2</v>
      </c>
      <c r="T71" s="273">
        <f t="shared" si="210"/>
        <v>0</v>
      </c>
      <c r="U71" s="273">
        <f t="shared" si="210"/>
        <v>0</v>
      </c>
      <c r="V71" s="273">
        <f t="shared" si="210"/>
        <v>2.1286086948089089E-2</v>
      </c>
      <c r="W71" s="273">
        <f t="shared" si="210"/>
        <v>-2.0842433104810487E-2</v>
      </c>
      <c r="X71" s="273">
        <f t="shared" si="210"/>
        <v>0</v>
      </c>
      <c r="Y71" s="273">
        <f t="shared" si="210"/>
        <v>0</v>
      </c>
      <c r="Z71" s="273">
        <f t="shared" si="210"/>
        <v>2.1286086948089089E-2</v>
      </c>
      <c r="AA71" s="273">
        <f t="shared" si="210"/>
        <v>-2.0842433104810487E-2</v>
      </c>
      <c r="AB71" s="273">
        <f t="shared" si="210"/>
        <v>0</v>
      </c>
      <c r="AC71" s="273">
        <f t="shared" ref="AC71" si="211">SUM(AC65/AB65)-1</f>
        <v>8.5435273809870704E-3</v>
      </c>
      <c r="AD71" s="268"/>
      <c r="AE71" s="273" t="s">
        <v>47</v>
      </c>
      <c r="AF71" s="273" t="s">
        <v>47</v>
      </c>
      <c r="AG71" s="273" t="s">
        <v>47</v>
      </c>
      <c r="AH71" s="273" t="s">
        <v>47</v>
      </c>
      <c r="AI71" s="273">
        <f t="shared" si="191"/>
        <v>8.1469252776886547E-2</v>
      </c>
      <c r="AJ71" s="273">
        <f t="shared" si="192"/>
        <v>3.9140262421940131E-2</v>
      </c>
      <c r="AK71" s="273">
        <f t="shared" si="193"/>
        <v>0</v>
      </c>
      <c r="AL71" s="273">
        <f t="shared" si="194"/>
        <v>0</v>
      </c>
      <c r="AM71" s="273">
        <f t="shared" si="195"/>
        <v>0</v>
      </c>
      <c r="AN71" s="273">
        <f t="shared" si="196"/>
        <v>0</v>
      </c>
      <c r="AO71" s="273">
        <f t="shared" si="197"/>
        <v>0</v>
      </c>
      <c r="AP71" s="280">
        <f t="shared" si="197"/>
        <v>2.1245758685801697E-3</v>
      </c>
      <c r="AR71" s="635">
        <f t="shared" si="198"/>
        <v>21.245758685801697</v>
      </c>
    </row>
    <row r="72" spans="1:44">
      <c r="B72" s="275" t="s">
        <v>366</v>
      </c>
      <c r="C72" s="268"/>
      <c r="D72" s="273"/>
      <c r="E72" s="273"/>
      <c r="F72" s="273"/>
      <c r="G72" s="273"/>
      <c r="H72" s="273"/>
      <c r="I72" s="273"/>
      <c r="J72" s="273"/>
      <c r="K72" s="273"/>
      <c r="L72" s="273"/>
      <c r="M72" s="268"/>
      <c r="N72" s="273"/>
      <c r="O72" s="273"/>
      <c r="P72" s="273"/>
      <c r="Q72" s="273"/>
      <c r="R72" s="273"/>
      <c r="S72" s="273"/>
      <c r="T72" s="273"/>
      <c r="U72" s="273"/>
      <c r="V72" s="273"/>
      <c r="W72" s="273"/>
      <c r="X72" s="273"/>
      <c r="Y72" s="273"/>
      <c r="Z72" s="273"/>
      <c r="AA72" s="273"/>
      <c r="AB72" s="273"/>
      <c r="AC72" s="273"/>
      <c r="AD72" s="268"/>
      <c r="AE72" s="273"/>
      <c r="AF72" s="273"/>
      <c r="AG72" s="273"/>
      <c r="AH72" s="273"/>
      <c r="AI72" s="273"/>
      <c r="AJ72" s="273"/>
      <c r="AK72" s="273"/>
      <c r="AL72" s="273"/>
      <c r="AM72" s="273"/>
      <c r="AN72" s="273"/>
      <c r="AO72" s="273"/>
      <c r="AP72" s="280"/>
      <c r="AR72" s="9"/>
    </row>
    <row r="73" spans="1:44">
      <c r="B73" s="270" t="str">
        <f>B62&amp;"(%)"</f>
        <v>iPhone(%)</v>
      </c>
      <c r="C73" s="268" t="s">
        <v>47</v>
      </c>
      <c r="D73" s="268" t="s">
        <v>47</v>
      </c>
      <c r="E73" s="268" t="s">
        <v>47</v>
      </c>
      <c r="F73" s="268" t="s">
        <v>47</v>
      </c>
      <c r="G73" s="268" t="s">
        <v>47</v>
      </c>
      <c r="H73" s="268" t="s">
        <v>47</v>
      </c>
      <c r="I73" s="268" t="s">
        <v>47</v>
      </c>
      <c r="J73" s="268" t="s">
        <v>47</v>
      </c>
      <c r="K73" s="268" t="s">
        <v>47</v>
      </c>
      <c r="L73" s="268" t="s">
        <v>47</v>
      </c>
      <c r="M73" s="268"/>
      <c r="N73" s="273" t="s">
        <v>47</v>
      </c>
      <c r="O73" s="273">
        <f>SUM(O62/N62)-1</f>
        <v>-3.5121274734275176E-2</v>
      </c>
      <c r="P73" s="273">
        <f t="shared" ref="P73:AB73" si="212">SUM(P62/O62)-1</f>
        <v>-3.5040537868301413E-2</v>
      </c>
      <c r="Q73" s="273">
        <f t="shared" si="212"/>
        <v>-1.1110105811636184E-2</v>
      </c>
      <c r="R73" s="273">
        <f t="shared" si="212"/>
        <v>0.16832617249029758</v>
      </c>
      <c r="S73" s="273">
        <f t="shared" si="212"/>
        <v>-6.7019107840088354E-3</v>
      </c>
      <c r="T73" s="273">
        <f t="shared" si="212"/>
        <v>1.1951143491642835E-2</v>
      </c>
      <c r="U73" s="273">
        <f t="shared" si="212"/>
        <v>-9.0607126916409819E-2</v>
      </c>
      <c r="V73" s="273">
        <f t="shared" si="212"/>
        <v>5.3903886320277206E-2</v>
      </c>
      <c r="W73" s="273">
        <f t="shared" si="212"/>
        <v>-2.3548877308453786E-2</v>
      </c>
      <c r="X73" s="273">
        <f t="shared" si="212"/>
        <v>3.3891264409340316E-2</v>
      </c>
      <c r="Y73" s="273">
        <f t="shared" si="212"/>
        <v>-2.7330047293911308E-2</v>
      </c>
      <c r="Z73" s="273">
        <f t="shared" si="212"/>
        <v>3.7074985937432414E-2</v>
      </c>
      <c r="AA73" s="273">
        <f t="shared" si="212"/>
        <v>-4.1273482567269038E-2</v>
      </c>
      <c r="AB73" s="273">
        <f t="shared" si="212"/>
        <v>2.9468776046102985E-2</v>
      </c>
      <c r="AC73" s="273">
        <f t="shared" ref="AC73" si="213">SUM(AC62/AB62)-1</f>
        <v>-3.1178502534655594E-3</v>
      </c>
      <c r="AD73" s="268"/>
      <c r="AE73" s="273" t="s">
        <v>47</v>
      </c>
      <c r="AF73" s="273" t="s">
        <v>47</v>
      </c>
      <c r="AG73" s="273" t="s">
        <v>47</v>
      </c>
      <c r="AH73" s="273" t="s">
        <v>47</v>
      </c>
      <c r="AI73" s="273" t="s">
        <v>47</v>
      </c>
      <c r="AJ73" s="273" t="s">
        <v>47</v>
      </c>
      <c r="AK73" s="273" t="s">
        <v>47</v>
      </c>
      <c r="AL73" s="273" t="s">
        <v>47</v>
      </c>
      <c r="AM73" s="273" t="s">
        <v>47</v>
      </c>
      <c r="AN73" s="273" t="s">
        <v>47</v>
      </c>
      <c r="AO73" s="273" t="s">
        <v>47</v>
      </c>
      <c r="AP73" s="280" t="s">
        <v>47</v>
      </c>
      <c r="AR73" s="635">
        <f t="shared" ref="AR73:AR76" si="214">SUM(AC73-AB73)*10000</f>
        <v>-325.86626299568542</v>
      </c>
    </row>
    <row r="74" spans="1:44">
      <c r="B74" s="270" t="str">
        <f t="shared" ref="B74:B76" si="215">B63&amp;"(%)"</f>
        <v>iPad(%)</v>
      </c>
      <c r="C74" s="268" t="s">
        <v>47</v>
      </c>
      <c r="D74" s="268" t="s">
        <v>47</v>
      </c>
      <c r="E74" s="268" t="s">
        <v>47</v>
      </c>
      <c r="F74" s="268" t="s">
        <v>47</v>
      </c>
      <c r="G74" s="268" t="s">
        <v>47</v>
      </c>
      <c r="H74" s="268" t="s">
        <v>47</v>
      </c>
      <c r="I74" s="268" t="s">
        <v>47</v>
      </c>
      <c r="J74" s="268" t="s">
        <v>47</v>
      </c>
      <c r="K74" s="268" t="s">
        <v>47</v>
      </c>
      <c r="L74" s="268" t="s">
        <v>47</v>
      </c>
      <c r="M74" s="268"/>
      <c r="N74" s="273" t="s">
        <v>47</v>
      </c>
      <c r="O74" s="273">
        <f t="shared" ref="O74:AB74" si="216">SUM(O63/N63)-1</f>
        <v>4.436658725456688E-2</v>
      </c>
      <c r="P74" s="273">
        <f t="shared" si="216"/>
        <v>8.3478176706148766E-3</v>
      </c>
      <c r="Q74" s="273">
        <f t="shared" si="216"/>
        <v>0.12406180740352002</v>
      </c>
      <c r="R74" s="273">
        <f t="shared" si="216"/>
        <v>0.16504700126168226</v>
      </c>
      <c r="S74" s="273">
        <f t="shared" si="216"/>
        <v>-0.22280747748366214</v>
      </c>
      <c r="T74" s="273">
        <f t="shared" si="216"/>
        <v>-7.3394977055699084E-2</v>
      </c>
      <c r="U74" s="273">
        <f t="shared" si="216"/>
        <v>0.18937153269392804</v>
      </c>
      <c r="V74" s="273">
        <f t="shared" si="216"/>
        <v>9.0809395793924663E-2</v>
      </c>
      <c r="W74" s="273">
        <f t="shared" si="216"/>
        <v>-0.28305918326803536</v>
      </c>
      <c r="X74" s="273">
        <f t="shared" si="216"/>
        <v>0.25436859001800793</v>
      </c>
      <c r="Y74" s="273">
        <f t="shared" si="216"/>
        <v>5.7318879457230798E-2</v>
      </c>
      <c r="Z74" s="273">
        <f t="shared" si="216"/>
        <v>0.11760600585006054</v>
      </c>
      <c r="AA74" s="273">
        <f t="shared" si="216"/>
        <v>-0.27702176985270899</v>
      </c>
      <c r="AB74" s="273">
        <f t="shared" si="216"/>
        <v>1.7645912039687683E-3</v>
      </c>
      <c r="AC74" s="273">
        <f t="shared" ref="AC74" si="217">SUM(AC63/AB63)-1</f>
        <v>0.1995311227116896</v>
      </c>
      <c r="AD74" s="268"/>
      <c r="AE74" s="273" t="s">
        <v>47</v>
      </c>
      <c r="AF74" s="273" t="s">
        <v>47</v>
      </c>
      <c r="AG74" s="273" t="s">
        <v>47</v>
      </c>
      <c r="AH74" s="273" t="s">
        <v>47</v>
      </c>
      <c r="AI74" s="273" t="s">
        <v>47</v>
      </c>
      <c r="AJ74" s="273" t="s">
        <v>47</v>
      </c>
      <c r="AK74" s="273" t="s">
        <v>47</v>
      </c>
      <c r="AL74" s="273" t="s">
        <v>47</v>
      </c>
      <c r="AM74" s="273" t="s">
        <v>47</v>
      </c>
      <c r="AN74" s="273" t="s">
        <v>47</v>
      </c>
      <c r="AO74" s="273" t="s">
        <v>47</v>
      </c>
      <c r="AP74" s="280" t="s">
        <v>47</v>
      </c>
      <c r="AR74" s="635">
        <f t="shared" si="214"/>
        <v>1977.6653150772083</v>
      </c>
    </row>
    <row r="75" spans="1:44">
      <c r="B75" s="270" t="str">
        <f t="shared" si="215"/>
        <v>Mac(%)</v>
      </c>
      <c r="C75" s="268" t="s">
        <v>47</v>
      </c>
      <c r="D75" s="268" t="s">
        <v>47</v>
      </c>
      <c r="E75" s="268" t="s">
        <v>47</v>
      </c>
      <c r="F75" s="268" t="s">
        <v>47</v>
      </c>
      <c r="G75" s="268" t="s">
        <v>47</v>
      </c>
      <c r="H75" s="268" t="s">
        <v>47</v>
      </c>
      <c r="I75" s="268" t="s">
        <v>47</v>
      </c>
      <c r="J75" s="268" t="s">
        <v>47</v>
      </c>
      <c r="K75" s="268" t="s">
        <v>47</v>
      </c>
      <c r="L75" s="268" t="s">
        <v>47</v>
      </c>
      <c r="M75" s="268"/>
      <c r="N75" s="273" t="s">
        <v>47</v>
      </c>
      <c r="O75" s="273">
        <f t="shared" ref="O75:AB75" si="218">SUM(O64/N64)-1</f>
        <v>2.0938525202331082E-2</v>
      </c>
      <c r="P75" s="273">
        <f t="shared" si="218"/>
        <v>-8.3973068259542871E-2</v>
      </c>
      <c r="Q75" s="273">
        <f t="shared" si="218"/>
        <v>6.4819806700921134E-2</v>
      </c>
      <c r="R75" s="273">
        <f t="shared" si="218"/>
        <v>-0.20961610031416955</v>
      </c>
      <c r="S75" s="273">
        <f t="shared" si="218"/>
        <v>-1.7039785352554127E-2</v>
      </c>
      <c r="T75" s="273">
        <f t="shared" si="218"/>
        <v>0.17543871696522539</v>
      </c>
      <c r="U75" s="273">
        <f t="shared" si="218"/>
        <v>-0.10079100162719334</v>
      </c>
      <c r="V75" s="273">
        <f t="shared" si="218"/>
        <v>3.9839697341188085E-2</v>
      </c>
      <c r="W75" s="273">
        <f t="shared" si="218"/>
        <v>-5.4778699797400798E-2</v>
      </c>
      <c r="X75" s="273">
        <f t="shared" si="218"/>
        <v>7.2822118626568288E-2</v>
      </c>
      <c r="Y75" s="273">
        <f t="shared" si="218"/>
        <v>-3.5849279976610804E-2</v>
      </c>
      <c r="Z75" s="273">
        <f t="shared" si="218"/>
        <v>3.9839697341188085E-2</v>
      </c>
      <c r="AA75" s="273">
        <f t="shared" si="218"/>
        <v>-5.4778699797400798E-2</v>
      </c>
      <c r="AB75" s="273">
        <f t="shared" si="218"/>
        <v>6.5802049202959179E-2</v>
      </c>
      <c r="AC75" s="273">
        <f t="shared" ref="AC75" si="219">SUM(AC64/AB64)-1</f>
        <v>1.8426138078624144E-2</v>
      </c>
      <c r="AD75" s="268"/>
      <c r="AE75" s="273" t="s">
        <v>47</v>
      </c>
      <c r="AF75" s="273" t="s">
        <v>47</v>
      </c>
      <c r="AG75" s="273" t="s">
        <v>47</v>
      </c>
      <c r="AH75" s="273" t="s">
        <v>47</v>
      </c>
      <c r="AI75" s="273" t="s">
        <v>47</v>
      </c>
      <c r="AJ75" s="273" t="s">
        <v>47</v>
      </c>
      <c r="AK75" s="273" t="s">
        <v>47</v>
      </c>
      <c r="AL75" s="273" t="s">
        <v>47</v>
      </c>
      <c r="AM75" s="273" t="s">
        <v>47</v>
      </c>
      <c r="AN75" s="273" t="s">
        <v>47</v>
      </c>
      <c r="AO75" s="273" t="s">
        <v>47</v>
      </c>
      <c r="AP75" s="280" t="s">
        <v>47</v>
      </c>
      <c r="AR75" s="635">
        <f t="shared" si="214"/>
        <v>-473.75911124335033</v>
      </c>
    </row>
    <row r="76" spans="1:44">
      <c r="B76" s="271" t="str">
        <f t="shared" si="215"/>
        <v>Apple Watch(%)</v>
      </c>
      <c r="C76" s="269" t="s">
        <v>47</v>
      </c>
      <c r="D76" s="269" t="s">
        <v>47</v>
      </c>
      <c r="E76" s="269" t="s">
        <v>47</v>
      </c>
      <c r="F76" s="269" t="s">
        <v>47</v>
      </c>
      <c r="G76" s="269" t="s">
        <v>47</v>
      </c>
      <c r="H76" s="269" t="s">
        <v>47</v>
      </c>
      <c r="I76" s="269" t="s">
        <v>47</v>
      </c>
      <c r="J76" s="269" t="s">
        <v>47</v>
      </c>
      <c r="K76" s="269" t="s">
        <v>47</v>
      </c>
      <c r="L76" s="269" t="s">
        <v>47</v>
      </c>
      <c r="M76" s="269"/>
      <c r="N76" s="274" t="s">
        <v>47</v>
      </c>
      <c r="O76" s="274">
        <f t="shared" ref="O76:AB76" si="220">SUM(O65/N65)-1</f>
        <v>0</v>
      </c>
      <c r="P76" s="274">
        <f t="shared" si="220"/>
        <v>0</v>
      </c>
      <c r="Q76" s="274">
        <f t="shared" si="220"/>
        <v>0.17850285714285707</v>
      </c>
      <c r="R76" s="274">
        <f t="shared" si="220"/>
        <v>2.1286086948089089E-2</v>
      </c>
      <c r="S76" s="274">
        <f t="shared" si="220"/>
        <v>-2.0842433104810487E-2</v>
      </c>
      <c r="T76" s="274">
        <f t="shared" si="220"/>
        <v>0</v>
      </c>
      <c r="U76" s="274">
        <f t="shared" si="220"/>
        <v>0</v>
      </c>
      <c r="V76" s="274">
        <f t="shared" si="220"/>
        <v>2.1286086948089089E-2</v>
      </c>
      <c r="W76" s="274">
        <f t="shared" si="220"/>
        <v>-2.0842433104810487E-2</v>
      </c>
      <c r="X76" s="274">
        <f t="shared" si="220"/>
        <v>0</v>
      </c>
      <c r="Y76" s="274">
        <f t="shared" si="220"/>
        <v>0</v>
      </c>
      <c r="Z76" s="274">
        <f t="shared" si="220"/>
        <v>2.1286086948089089E-2</v>
      </c>
      <c r="AA76" s="274">
        <f t="shared" si="220"/>
        <v>-2.0842433104810487E-2</v>
      </c>
      <c r="AB76" s="274">
        <f t="shared" si="220"/>
        <v>0</v>
      </c>
      <c r="AC76" s="274">
        <f t="shared" ref="AC76" si="221">SUM(AC65/AB65)-1</f>
        <v>8.5435273809870704E-3</v>
      </c>
      <c r="AD76" s="269"/>
      <c r="AE76" s="274" t="s">
        <v>47</v>
      </c>
      <c r="AF76" s="274" t="s">
        <v>47</v>
      </c>
      <c r="AG76" s="274" t="s">
        <v>47</v>
      </c>
      <c r="AH76" s="274" t="s">
        <v>47</v>
      </c>
      <c r="AI76" s="274" t="s">
        <v>47</v>
      </c>
      <c r="AJ76" s="274" t="s">
        <v>47</v>
      </c>
      <c r="AK76" s="274" t="s">
        <v>47</v>
      </c>
      <c r="AL76" s="274" t="s">
        <v>47</v>
      </c>
      <c r="AM76" s="274" t="s">
        <v>47</v>
      </c>
      <c r="AN76" s="274" t="s">
        <v>47</v>
      </c>
      <c r="AO76" s="274" t="s">
        <v>47</v>
      </c>
      <c r="AP76" s="281" t="s">
        <v>47</v>
      </c>
      <c r="AR76" s="635">
        <f t="shared" si="214"/>
        <v>85.435273809870708</v>
      </c>
    </row>
    <row r="78" spans="1:44">
      <c r="A78" s="94" t="s">
        <v>24</v>
      </c>
      <c r="B78" s="1" t="s">
        <v>355</v>
      </c>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1:44" ht="5.0999999999999996" customHeight="1"/>
    <row r="80" spans="1:44">
      <c r="A80" s="94" t="s">
        <v>24</v>
      </c>
      <c r="B80" s="91" t="s">
        <v>222</v>
      </c>
      <c r="C80" s="27"/>
      <c r="D80" s="27"/>
      <c r="E80" s="27"/>
      <c r="F80" s="27"/>
      <c r="G80" s="11"/>
      <c r="H80" s="11"/>
      <c r="I80" s="11"/>
      <c r="J80" s="11"/>
      <c r="K80" s="11"/>
      <c r="L80" s="11"/>
      <c r="M80" s="11"/>
      <c r="N80" s="11"/>
      <c r="O80" s="11"/>
      <c r="P80" s="11"/>
      <c r="Q80" s="11"/>
      <c r="R80" s="11"/>
      <c r="S80" s="11"/>
      <c r="T80" s="11"/>
      <c r="U80" s="11"/>
      <c r="V80" s="11"/>
      <c r="W80" s="11"/>
      <c r="X80" s="11"/>
      <c r="Y80" s="11"/>
      <c r="Z80" s="11"/>
      <c r="AA80" s="11"/>
      <c r="AB80" s="11"/>
      <c r="AC80" s="11"/>
      <c r="AD80" s="5"/>
      <c r="AE80" s="12"/>
      <c r="AF80" s="12"/>
      <c r="AG80" s="12"/>
      <c r="AH80" s="12"/>
      <c r="AI80" s="12"/>
      <c r="AJ80" s="12"/>
      <c r="AK80" s="12"/>
      <c r="AL80" s="12"/>
      <c r="AM80" s="12"/>
      <c r="AN80" s="12"/>
    </row>
    <row r="81" spans="2:44" ht="12.75" customHeight="1">
      <c r="B81" s="10" t="s">
        <v>356</v>
      </c>
      <c r="C81" s="95">
        <v>86613</v>
      </c>
      <c r="D81" s="95">
        <v>96600</v>
      </c>
      <c r="E81" s="95">
        <v>112093</v>
      </c>
      <c r="F81" s="95">
        <v>116914</v>
      </c>
      <c r="G81" s="95">
        <v>124556</v>
      </c>
      <c r="H81" s="95">
        <v>153306</v>
      </c>
      <c r="I81" s="95">
        <v>169658</v>
      </c>
      <c r="J81" s="95">
        <v>162560</v>
      </c>
      <c r="K81" s="95">
        <v>167045</v>
      </c>
      <c r="L81" s="95">
        <v>178353</v>
      </c>
      <c r="M81" s="95"/>
      <c r="N81" s="95">
        <v>51496</v>
      </c>
      <c r="O81" s="95">
        <v>40882</v>
      </c>
      <c r="P81" s="95">
        <v>37472</v>
      </c>
      <c r="Q81" s="34">
        <f>SUM(I81-SUM(N81:P81))</f>
        <v>39808</v>
      </c>
      <c r="R81" s="95">
        <v>49278</v>
      </c>
      <c r="S81" s="95">
        <v>37784</v>
      </c>
      <c r="T81" s="95">
        <v>35383</v>
      </c>
      <c r="U81" s="34">
        <f>SUM(J81-SUM(R81:T81))</f>
        <v>40115</v>
      </c>
      <c r="V81" s="95">
        <v>50430</v>
      </c>
      <c r="W81" s="95">
        <v>37273</v>
      </c>
      <c r="X81" s="95">
        <v>37678</v>
      </c>
      <c r="Y81" s="34">
        <f>SUM(K81-SUM(V81:X81))</f>
        <v>41664</v>
      </c>
      <c r="Z81" s="95">
        <v>52648</v>
      </c>
      <c r="AA81" s="95">
        <v>40315</v>
      </c>
      <c r="AB81" s="95">
        <v>41198</v>
      </c>
      <c r="AC81" s="34">
        <f t="shared" ref="AC81:AC84" si="222">SUM(L81-SUM(Z81:AB81))</f>
        <v>44192</v>
      </c>
      <c r="AD81" s="5"/>
      <c r="AE81" s="12">
        <f t="shared" ref="AE81:AE84" si="223">SUM(O81:R81)</f>
        <v>167440</v>
      </c>
      <c r="AF81" s="12">
        <f t="shared" ref="AF81:AF84" si="224">SUM(P81:S81)</f>
        <v>164342</v>
      </c>
      <c r="AG81" s="12">
        <f t="shared" ref="AG81:AG84" si="225">SUM(Q81:T81)</f>
        <v>162253</v>
      </c>
      <c r="AH81" s="12">
        <f t="shared" ref="AH81:AH84" si="226">SUM(R81:U81)</f>
        <v>162560</v>
      </c>
      <c r="AI81" s="12">
        <f t="shared" ref="AI81:AI84" si="227">SUM(S81:V81)</f>
        <v>163712</v>
      </c>
      <c r="AJ81" s="12">
        <f t="shared" ref="AJ81:AJ84" si="228">SUM(T81:W81)</f>
        <v>163201</v>
      </c>
      <c r="AK81" s="12">
        <f t="shared" ref="AK81:AK84" si="229">SUM(U81:X81)</f>
        <v>165496</v>
      </c>
      <c r="AL81" s="12">
        <f t="shared" ref="AL81:AL84" si="230">SUM(V81:Y81)</f>
        <v>167045</v>
      </c>
      <c r="AM81" s="12">
        <f t="shared" ref="AM81:AM84" si="231">SUM(W81:Z81)</f>
        <v>169263</v>
      </c>
      <c r="AN81" s="12">
        <f t="shared" ref="AN81:AN84" si="232">SUM(X81:AA81)</f>
        <v>172305</v>
      </c>
      <c r="AO81" s="12">
        <f t="shared" ref="AO81:AO84" si="233">SUM(Y81:AB81)</f>
        <v>175825</v>
      </c>
      <c r="AP81" s="12">
        <f t="shared" ref="AP81:AP84" si="234">SUM(Z81:AC81)</f>
        <v>178353</v>
      </c>
      <c r="AR81" s="13">
        <f t="shared" ref="AR81:AR85" si="235">SUM(AP81/AL81)-1</f>
        <v>6.7694333862132972E-2</v>
      </c>
    </row>
    <row r="82" spans="2:44" ht="12.75" customHeight="1">
      <c r="B82" s="10" t="s">
        <v>357</v>
      </c>
      <c r="C82" s="95">
        <v>49952</v>
      </c>
      <c r="D82" s="95">
        <v>54938</v>
      </c>
      <c r="E82" s="95">
        <v>62420</v>
      </c>
      <c r="F82" s="95">
        <v>60288</v>
      </c>
      <c r="G82" s="95">
        <v>68640</v>
      </c>
      <c r="H82" s="95">
        <v>89307</v>
      </c>
      <c r="I82" s="95">
        <v>95118</v>
      </c>
      <c r="J82" s="95">
        <v>94294</v>
      </c>
      <c r="K82" s="95">
        <v>101328</v>
      </c>
      <c r="L82" s="95">
        <v>111032</v>
      </c>
      <c r="M82" s="95"/>
      <c r="N82" s="95">
        <v>29749</v>
      </c>
      <c r="O82" s="95">
        <v>23287</v>
      </c>
      <c r="P82" s="95">
        <v>19287</v>
      </c>
      <c r="Q82" s="34">
        <f t="shared" ref="Q82:Q84" si="236">SUM(I82-SUM(N82:P82))</f>
        <v>22795</v>
      </c>
      <c r="R82" s="95">
        <v>27681</v>
      </c>
      <c r="S82" s="95">
        <v>23945</v>
      </c>
      <c r="T82" s="95">
        <v>20205</v>
      </c>
      <c r="U82" s="34">
        <f t="shared" ref="U82:U84" si="237">SUM(J82-SUM(R82:T82))</f>
        <v>22463</v>
      </c>
      <c r="V82" s="95">
        <v>30397</v>
      </c>
      <c r="W82" s="95">
        <v>24123</v>
      </c>
      <c r="X82" s="95">
        <v>21884</v>
      </c>
      <c r="Y82" s="34">
        <f t="shared" ref="Y82:Y84" si="238">SUM(K82-SUM(V82:X82))</f>
        <v>24924</v>
      </c>
      <c r="Z82" s="95">
        <v>33861</v>
      </c>
      <c r="AA82" s="95">
        <v>24454</v>
      </c>
      <c r="AB82" s="95">
        <v>24014</v>
      </c>
      <c r="AC82" s="34">
        <f t="shared" si="222"/>
        <v>28703</v>
      </c>
      <c r="AD82" s="5"/>
      <c r="AE82" s="12">
        <f t="shared" si="223"/>
        <v>93050</v>
      </c>
      <c r="AF82" s="12">
        <f t="shared" si="224"/>
        <v>93708</v>
      </c>
      <c r="AG82" s="12">
        <f t="shared" si="225"/>
        <v>94626</v>
      </c>
      <c r="AH82" s="12">
        <f t="shared" si="226"/>
        <v>94294</v>
      </c>
      <c r="AI82" s="12">
        <f t="shared" si="227"/>
        <v>97010</v>
      </c>
      <c r="AJ82" s="12">
        <f t="shared" si="228"/>
        <v>97188</v>
      </c>
      <c r="AK82" s="12">
        <f t="shared" si="229"/>
        <v>98867</v>
      </c>
      <c r="AL82" s="12">
        <f t="shared" si="230"/>
        <v>101328</v>
      </c>
      <c r="AM82" s="12">
        <f t="shared" si="231"/>
        <v>104792</v>
      </c>
      <c r="AN82" s="12">
        <f t="shared" si="232"/>
        <v>105123</v>
      </c>
      <c r="AO82" s="12">
        <f t="shared" si="233"/>
        <v>107253</v>
      </c>
      <c r="AP82" s="12">
        <f t="shared" si="234"/>
        <v>111032</v>
      </c>
      <c r="AR82" s="13">
        <f t="shared" si="235"/>
        <v>9.5768198326227738E-2</v>
      </c>
    </row>
    <row r="83" spans="2:44" ht="12.75" customHeight="1">
      <c r="B83" s="10" t="s">
        <v>358</v>
      </c>
      <c r="C83" s="95">
        <v>16928</v>
      </c>
      <c r="D83" s="95">
        <v>17733</v>
      </c>
      <c r="E83" s="95">
        <v>21733</v>
      </c>
      <c r="F83" s="95">
        <v>21506</v>
      </c>
      <c r="G83" s="95">
        <v>21418</v>
      </c>
      <c r="H83" s="95">
        <v>28482</v>
      </c>
      <c r="I83" s="95">
        <v>25977</v>
      </c>
      <c r="J83" s="95">
        <v>24257</v>
      </c>
      <c r="K83" s="95">
        <v>25052</v>
      </c>
      <c r="L83" s="95">
        <v>28703</v>
      </c>
      <c r="M83" s="95"/>
      <c r="N83" s="95">
        <v>7107</v>
      </c>
      <c r="O83" s="95">
        <v>7724</v>
      </c>
      <c r="P83" s="95">
        <v>5446</v>
      </c>
      <c r="Q83" s="34">
        <f t="shared" si="236"/>
        <v>5700</v>
      </c>
      <c r="R83" s="95">
        <v>6755</v>
      </c>
      <c r="S83" s="95">
        <v>7176</v>
      </c>
      <c r="T83" s="95">
        <v>4821</v>
      </c>
      <c r="U83" s="34">
        <f t="shared" si="237"/>
        <v>5505</v>
      </c>
      <c r="V83" s="95">
        <v>7767</v>
      </c>
      <c r="W83" s="95">
        <v>6262</v>
      </c>
      <c r="X83" s="95">
        <v>5097</v>
      </c>
      <c r="Y83" s="34">
        <f t="shared" si="238"/>
        <v>5926</v>
      </c>
      <c r="Z83" s="95">
        <v>8987</v>
      </c>
      <c r="AA83" s="95">
        <v>7298</v>
      </c>
      <c r="AB83" s="95">
        <v>5782</v>
      </c>
      <c r="AC83" s="34">
        <f t="shared" si="222"/>
        <v>6636</v>
      </c>
      <c r="AD83" s="5"/>
      <c r="AE83" s="12">
        <f t="shared" si="223"/>
        <v>25625</v>
      </c>
      <c r="AF83" s="12">
        <f t="shared" si="224"/>
        <v>25077</v>
      </c>
      <c r="AG83" s="12">
        <f t="shared" si="225"/>
        <v>24452</v>
      </c>
      <c r="AH83" s="12">
        <f t="shared" si="226"/>
        <v>24257</v>
      </c>
      <c r="AI83" s="12">
        <f t="shared" si="227"/>
        <v>25269</v>
      </c>
      <c r="AJ83" s="12">
        <f t="shared" si="228"/>
        <v>24355</v>
      </c>
      <c r="AK83" s="12">
        <f t="shared" si="229"/>
        <v>24631</v>
      </c>
      <c r="AL83" s="12">
        <f t="shared" si="230"/>
        <v>25052</v>
      </c>
      <c r="AM83" s="12">
        <f t="shared" si="231"/>
        <v>26272</v>
      </c>
      <c r="AN83" s="12">
        <f t="shared" si="232"/>
        <v>27308</v>
      </c>
      <c r="AO83" s="12">
        <f t="shared" si="233"/>
        <v>27993</v>
      </c>
      <c r="AP83" s="12">
        <f t="shared" si="234"/>
        <v>28703</v>
      </c>
      <c r="AR83" s="13">
        <f t="shared" si="235"/>
        <v>0.14573686731598268</v>
      </c>
    </row>
    <row r="84" spans="2:44" ht="12.75" customHeight="1">
      <c r="B84" s="10" t="s">
        <v>359</v>
      </c>
      <c r="C84" s="95">
        <v>62146</v>
      </c>
      <c r="D84" s="95">
        <v>59963</v>
      </c>
      <c r="E84" s="95">
        <v>69349</v>
      </c>
      <c r="F84" s="95">
        <v>61466</v>
      </c>
      <c r="G84" s="95">
        <v>59901</v>
      </c>
      <c r="H84" s="95">
        <v>94722</v>
      </c>
      <c r="I84" s="95">
        <v>103575</v>
      </c>
      <c r="J84" s="95">
        <v>102174</v>
      </c>
      <c r="K84" s="95">
        <v>97610</v>
      </c>
      <c r="L84" s="95">
        <f>64377+33696</f>
        <v>98073</v>
      </c>
      <c r="M84" s="95"/>
      <c r="N84" s="95">
        <v>35593</v>
      </c>
      <c r="O84" s="95">
        <v>25385</v>
      </c>
      <c r="P84" s="95">
        <v>20754</v>
      </c>
      <c r="Q84" s="34">
        <f t="shared" si="236"/>
        <v>21843</v>
      </c>
      <c r="R84" s="95">
        <v>33440</v>
      </c>
      <c r="S84" s="95">
        <v>25931</v>
      </c>
      <c r="T84" s="95">
        <v>21388</v>
      </c>
      <c r="U84" s="34">
        <f t="shared" si="237"/>
        <v>21415</v>
      </c>
      <c r="V84" s="95">
        <v>30981</v>
      </c>
      <c r="W84" s="95">
        <v>23095</v>
      </c>
      <c r="X84" s="95">
        <v>21118</v>
      </c>
      <c r="Y84" s="34">
        <f t="shared" si="238"/>
        <v>22416</v>
      </c>
      <c r="Z84" s="95">
        <v>28804</v>
      </c>
      <c r="AA84" s="95">
        <v>23292</v>
      </c>
      <c r="AB84" s="95">
        <v>23042</v>
      </c>
      <c r="AC84" s="34">
        <f t="shared" si="222"/>
        <v>22935</v>
      </c>
      <c r="AD84" s="5"/>
      <c r="AE84" s="12">
        <f t="shared" si="223"/>
        <v>101422</v>
      </c>
      <c r="AF84" s="12">
        <f t="shared" si="224"/>
        <v>101968</v>
      </c>
      <c r="AG84" s="12">
        <f t="shared" si="225"/>
        <v>102602</v>
      </c>
      <c r="AH84" s="12">
        <f t="shared" si="226"/>
        <v>102174</v>
      </c>
      <c r="AI84" s="12">
        <f t="shared" si="227"/>
        <v>99715</v>
      </c>
      <c r="AJ84" s="12">
        <f t="shared" si="228"/>
        <v>96879</v>
      </c>
      <c r="AK84" s="12">
        <f t="shared" si="229"/>
        <v>96609</v>
      </c>
      <c r="AL84" s="12">
        <f t="shared" si="230"/>
        <v>97610</v>
      </c>
      <c r="AM84" s="12">
        <f t="shared" si="231"/>
        <v>95433</v>
      </c>
      <c r="AN84" s="12">
        <f t="shared" si="232"/>
        <v>95630</v>
      </c>
      <c r="AO84" s="12">
        <f t="shared" si="233"/>
        <v>97554</v>
      </c>
      <c r="AP84" s="12">
        <f t="shared" si="234"/>
        <v>98073</v>
      </c>
      <c r="AR84" s="13">
        <f t="shared" si="235"/>
        <v>4.7433664583547142E-3</v>
      </c>
    </row>
    <row r="85" spans="2:44" ht="12.75" customHeight="1">
      <c r="B85" s="14" t="s">
        <v>109</v>
      </c>
      <c r="C85" s="15">
        <f t="shared" ref="C85:L85" si="239">SUM(C81:C84)</f>
        <v>215639</v>
      </c>
      <c r="D85" s="15">
        <f t="shared" si="239"/>
        <v>229234</v>
      </c>
      <c r="E85" s="15">
        <f t="shared" si="239"/>
        <v>265595</v>
      </c>
      <c r="F85" s="15">
        <f t="shared" si="239"/>
        <v>260174</v>
      </c>
      <c r="G85" s="15">
        <f t="shared" si="239"/>
        <v>274515</v>
      </c>
      <c r="H85" s="15">
        <f t="shared" si="239"/>
        <v>365817</v>
      </c>
      <c r="I85" s="15">
        <f t="shared" si="239"/>
        <v>394328</v>
      </c>
      <c r="J85" s="15">
        <f t="shared" si="239"/>
        <v>383285</v>
      </c>
      <c r="K85" s="15">
        <f t="shared" si="239"/>
        <v>391035</v>
      </c>
      <c r="L85" s="15">
        <f t="shared" si="239"/>
        <v>416161</v>
      </c>
      <c r="M85" s="12"/>
      <c r="N85" s="15">
        <f t="shared" ref="N85:AC85" si="240">SUM(N81:N84)</f>
        <v>123945</v>
      </c>
      <c r="O85" s="15">
        <f t="shared" si="240"/>
        <v>97278</v>
      </c>
      <c r="P85" s="15">
        <f t="shared" si="240"/>
        <v>82959</v>
      </c>
      <c r="Q85" s="15">
        <f t="shared" si="240"/>
        <v>90146</v>
      </c>
      <c r="R85" s="15">
        <f t="shared" si="240"/>
        <v>117154</v>
      </c>
      <c r="S85" s="15">
        <f t="shared" si="240"/>
        <v>94836</v>
      </c>
      <c r="T85" s="15">
        <f t="shared" si="240"/>
        <v>81797</v>
      </c>
      <c r="U85" s="15">
        <f t="shared" si="240"/>
        <v>89498</v>
      </c>
      <c r="V85" s="15">
        <f t="shared" si="240"/>
        <v>119575</v>
      </c>
      <c r="W85" s="15">
        <f t="shared" si="240"/>
        <v>90753</v>
      </c>
      <c r="X85" s="15">
        <f t="shared" si="240"/>
        <v>85777</v>
      </c>
      <c r="Y85" s="15">
        <f t="shared" si="240"/>
        <v>94930</v>
      </c>
      <c r="Z85" s="15">
        <f t="shared" si="240"/>
        <v>124300</v>
      </c>
      <c r="AA85" s="15">
        <f t="shared" si="240"/>
        <v>95359</v>
      </c>
      <c r="AB85" s="15">
        <f t="shared" si="240"/>
        <v>94036</v>
      </c>
      <c r="AC85" s="15">
        <f t="shared" si="240"/>
        <v>102466</v>
      </c>
      <c r="AD85" s="5"/>
      <c r="AE85" s="15">
        <f t="shared" ref="AE85:AJ85" si="241">SUM(AE81:AE83)</f>
        <v>286115</v>
      </c>
      <c r="AF85" s="15">
        <f t="shared" si="241"/>
        <v>283127</v>
      </c>
      <c r="AG85" s="15">
        <f t="shared" si="241"/>
        <v>281331</v>
      </c>
      <c r="AH85" s="15">
        <f t="shared" si="241"/>
        <v>281111</v>
      </c>
      <c r="AI85" s="15">
        <f t="shared" si="241"/>
        <v>285991</v>
      </c>
      <c r="AJ85" s="15">
        <f t="shared" si="241"/>
        <v>284744</v>
      </c>
      <c r="AK85" s="15">
        <f t="shared" ref="AK85:AP85" si="242">SUM(AK81:AK84)</f>
        <v>385603</v>
      </c>
      <c r="AL85" s="15">
        <f t="shared" si="242"/>
        <v>391035</v>
      </c>
      <c r="AM85" s="15">
        <f t="shared" si="242"/>
        <v>395760</v>
      </c>
      <c r="AN85" s="15">
        <f t="shared" si="242"/>
        <v>400366</v>
      </c>
      <c r="AO85" s="15">
        <f t="shared" si="242"/>
        <v>408625</v>
      </c>
      <c r="AP85" s="15">
        <f t="shared" si="242"/>
        <v>416161</v>
      </c>
      <c r="AR85" s="16">
        <f t="shared" si="235"/>
        <v>6.425511782832749E-2</v>
      </c>
    </row>
    <row r="86" spans="2:44" outlineLevel="1">
      <c r="B86" s="92" t="s">
        <v>362</v>
      </c>
      <c r="C86" s="93">
        <f>C85-C14</f>
        <v>0</v>
      </c>
      <c r="D86" s="93">
        <f t="shared" ref="D86:L86" si="243">D85-D14</f>
        <v>0</v>
      </c>
      <c r="E86" s="93">
        <f t="shared" si="243"/>
        <v>0</v>
      </c>
      <c r="F86" s="93">
        <f t="shared" si="243"/>
        <v>0</v>
      </c>
      <c r="G86" s="93">
        <f t="shared" si="243"/>
        <v>0</v>
      </c>
      <c r="H86" s="93">
        <f t="shared" si="243"/>
        <v>0</v>
      </c>
      <c r="I86" s="93">
        <f t="shared" si="243"/>
        <v>0</v>
      </c>
      <c r="J86" s="93">
        <f t="shared" si="243"/>
        <v>0</v>
      </c>
      <c r="K86" s="93">
        <f t="shared" si="243"/>
        <v>0</v>
      </c>
      <c r="L86" s="93">
        <f t="shared" si="243"/>
        <v>0</v>
      </c>
      <c r="M86" s="12"/>
      <c r="N86" s="93">
        <f t="shared" ref="N86" si="244">N85-N14</f>
        <v>0</v>
      </c>
      <c r="O86" s="93">
        <f t="shared" ref="O86" si="245">O85-O14</f>
        <v>0</v>
      </c>
      <c r="P86" s="93">
        <f t="shared" ref="P86" si="246">P85-P14</f>
        <v>0</v>
      </c>
      <c r="Q86" s="93">
        <f t="shared" ref="Q86" si="247">Q85-Q14</f>
        <v>0</v>
      </c>
      <c r="R86" s="93">
        <f t="shared" ref="R86" si="248">R85-R14</f>
        <v>0</v>
      </c>
      <c r="S86" s="93">
        <f t="shared" ref="S86" si="249">S85-S14</f>
        <v>0</v>
      </c>
      <c r="T86" s="93">
        <f t="shared" ref="T86" si="250">T85-T14</f>
        <v>0</v>
      </c>
      <c r="U86" s="93">
        <f t="shared" ref="U86" si="251">U85-U14</f>
        <v>0</v>
      </c>
      <c r="V86" s="93">
        <f t="shared" ref="V86" si="252">V85-V14</f>
        <v>0</v>
      </c>
      <c r="W86" s="93">
        <f t="shared" ref="W86" si="253">W85-W14</f>
        <v>0</v>
      </c>
      <c r="X86" s="93">
        <f t="shared" ref="X86" si="254">X85-X14</f>
        <v>0</v>
      </c>
      <c r="Y86" s="93">
        <f t="shared" ref="Y86" si="255">Y85-Y14</f>
        <v>0</v>
      </c>
      <c r="Z86" s="93">
        <f t="shared" ref="Z86" si="256">Z85-Z14</f>
        <v>0</v>
      </c>
      <c r="AA86" s="93">
        <f t="shared" ref="AA86" si="257">AA85-AA14</f>
        <v>0</v>
      </c>
      <c r="AB86" s="93">
        <f t="shared" ref="AB86" si="258">AB85-AB14</f>
        <v>0</v>
      </c>
      <c r="AC86" s="93">
        <f t="shared" ref="AC86" si="259">AC85-AC14</f>
        <v>0</v>
      </c>
      <c r="AD86" s="93"/>
      <c r="AE86" s="408">
        <f>AE85-AE14</f>
        <v>-101422</v>
      </c>
      <c r="AF86" s="93">
        <f t="shared" ref="AF86" si="260">AF85-AF14</f>
        <v>-101968</v>
      </c>
      <c r="AG86" s="93">
        <f t="shared" ref="AG86" si="261">AG85-AG14</f>
        <v>-102602</v>
      </c>
      <c r="AH86" s="93">
        <f t="shared" ref="AH86" si="262">AH85-AH14</f>
        <v>-102174</v>
      </c>
      <c r="AI86" s="93">
        <f t="shared" ref="AI86" si="263">AI85-AI14</f>
        <v>-99715</v>
      </c>
      <c r="AJ86" s="93">
        <f t="shared" ref="AJ86" si="264">AJ85-AJ14</f>
        <v>-96879</v>
      </c>
      <c r="AK86" s="93">
        <f t="shared" ref="AK86" si="265">AK85-AK14</f>
        <v>0</v>
      </c>
      <c r="AL86" s="93">
        <f t="shared" ref="AL86" si="266">AL85-AL14</f>
        <v>0</v>
      </c>
      <c r="AM86" s="93">
        <f t="shared" ref="AM86" si="267">AM85-AM14</f>
        <v>0</v>
      </c>
      <c r="AN86" s="93">
        <f t="shared" ref="AN86" si="268">AN85-AN14</f>
        <v>0</v>
      </c>
      <c r="AO86" s="93">
        <f t="shared" ref="AO86" si="269">AO85-AO14</f>
        <v>0</v>
      </c>
      <c r="AP86" s="93">
        <f t="shared" ref="AP86" si="270">AP85-AP14</f>
        <v>0</v>
      </c>
      <c r="AR86" s="9"/>
    </row>
    <row r="87" spans="2:44" ht="5.0999999999999996" customHeight="1">
      <c r="B87" s="92"/>
      <c r="C87" s="93"/>
      <c r="D87" s="93"/>
      <c r="E87" s="93"/>
      <c r="F87" s="93"/>
      <c r="G87" s="93"/>
      <c r="H87" s="93"/>
      <c r="I87" s="93"/>
      <c r="J87" s="93"/>
      <c r="K87" s="93"/>
      <c r="L87" s="93"/>
      <c r="M87" s="12"/>
      <c r="N87" s="93"/>
      <c r="O87" s="93"/>
      <c r="P87" s="93"/>
      <c r="Q87" s="93"/>
      <c r="R87" s="93"/>
      <c r="S87" s="93"/>
      <c r="T87" s="93"/>
      <c r="U87" s="93"/>
      <c r="V87" s="93"/>
      <c r="W87" s="93"/>
      <c r="X87" s="93"/>
      <c r="Y87" s="93"/>
      <c r="Z87" s="93"/>
      <c r="AA87" s="93"/>
      <c r="AB87" s="93"/>
      <c r="AC87" s="93"/>
      <c r="AD87" s="93"/>
      <c r="AE87" s="93"/>
      <c r="AF87" s="93"/>
      <c r="AG87" s="93"/>
      <c r="AH87" s="93"/>
      <c r="AI87" s="93"/>
      <c r="AJ87" s="93"/>
      <c r="AK87" s="93"/>
      <c r="AL87" s="93"/>
      <c r="AM87" s="93"/>
      <c r="AN87" s="93"/>
      <c r="AO87" s="93"/>
      <c r="AP87" s="93"/>
      <c r="AR87" s="9"/>
    </row>
    <row r="88" spans="2:44">
      <c r="B88" s="277" t="s">
        <v>363</v>
      </c>
      <c r="C88" s="267"/>
      <c r="D88" s="267"/>
      <c r="E88" s="267"/>
      <c r="F88" s="267"/>
      <c r="G88" s="267"/>
      <c r="H88" s="267"/>
      <c r="I88" s="267"/>
      <c r="J88" s="267"/>
      <c r="K88" s="267"/>
      <c r="L88" s="267"/>
      <c r="M88" s="267"/>
      <c r="N88" s="267"/>
      <c r="O88" s="267"/>
      <c r="P88" s="267"/>
      <c r="Q88" s="267"/>
      <c r="R88" s="267"/>
      <c r="S88" s="267"/>
      <c r="T88" s="267"/>
      <c r="U88" s="267"/>
      <c r="V88" s="267"/>
      <c r="W88" s="267"/>
      <c r="X88" s="267"/>
      <c r="Y88" s="267"/>
      <c r="Z88" s="267"/>
      <c r="AA88" s="267"/>
      <c r="AB88" s="267"/>
      <c r="AC88" s="267"/>
      <c r="AD88" s="267"/>
      <c r="AE88" s="267"/>
      <c r="AF88" s="267"/>
      <c r="AG88" s="267"/>
      <c r="AH88" s="267"/>
      <c r="AI88" s="267"/>
      <c r="AJ88" s="267"/>
      <c r="AK88" s="267"/>
      <c r="AL88" s="267"/>
      <c r="AM88" s="267"/>
      <c r="AN88" s="267"/>
      <c r="AO88" s="267"/>
      <c r="AP88" s="278"/>
      <c r="AR88" s="9"/>
    </row>
    <row r="89" spans="2:44">
      <c r="B89" s="270" t="str">
        <f>B81&amp;"(%)"</f>
        <v>Americas(%)</v>
      </c>
      <c r="C89" s="272">
        <f>SUM(C81/C$85)</f>
        <v>0.4016573996355019</v>
      </c>
      <c r="D89" s="272">
        <f t="shared" ref="D89:K89" si="271">SUM(D81/D$85)</f>
        <v>0.4214034567298045</v>
      </c>
      <c r="E89" s="272">
        <f t="shared" si="271"/>
        <v>0.42204484271164744</v>
      </c>
      <c r="F89" s="272">
        <f t="shared" si="271"/>
        <v>0.44936849954261376</v>
      </c>
      <c r="G89" s="272">
        <f t="shared" si="271"/>
        <v>0.45373112580369013</v>
      </c>
      <c r="H89" s="272">
        <f t="shared" si="271"/>
        <v>0.41907839165484384</v>
      </c>
      <c r="I89" s="272">
        <f t="shared" si="271"/>
        <v>0.43024588667302349</v>
      </c>
      <c r="J89" s="272">
        <f t="shared" si="271"/>
        <v>0.42412304160089748</v>
      </c>
      <c r="K89" s="272">
        <f t="shared" si="271"/>
        <v>0.42718682470878566</v>
      </c>
      <c r="L89" s="272">
        <f t="shared" ref="L89" si="272">SUM(L81/L$85)</f>
        <v>0.42856730928655018</v>
      </c>
      <c r="M89" s="268"/>
      <c r="N89" s="272">
        <f t="shared" ref="N89:AB89" si="273">SUM(N81/N$85)</f>
        <v>0.41547460567187061</v>
      </c>
      <c r="O89" s="272">
        <f t="shared" si="273"/>
        <v>0.42025946257118774</v>
      </c>
      <c r="P89" s="272">
        <f t="shared" si="273"/>
        <v>0.45169300497836279</v>
      </c>
      <c r="Q89" s="272">
        <f t="shared" si="273"/>
        <v>0.44159474630044593</v>
      </c>
      <c r="R89" s="272">
        <f t="shared" si="273"/>
        <v>0.42062584290762584</v>
      </c>
      <c r="S89" s="272">
        <f t="shared" si="273"/>
        <v>0.39841410434855962</v>
      </c>
      <c r="T89" s="272">
        <f t="shared" si="273"/>
        <v>0.43257087668251892</v>
      </c>
      <c r="U89" s="272">
        <f t="shared" si="273"/>
        <v>0.44822230664372387</v>
      </c>
      <c r="V89" s="272">
        <f t="shared" si="273"/>
        <v>0.42174367551745767</v>
      </c>
      <c r="W89" s="272">
        <f t="shared" si="273"/>
        <v>0.41070818595528524</v>
      </c>
      <c r="X89" s="272">
        <f t="shared" si="273"/>
        <v>0.43925527822143468</v>
      </c>
      <c r="Y89" s="272">
        <f t="shared" si="273"/>
        <v>0.43889181502159486</v>
      </c>
      <c r="Z89" s="272">
        <f t="shared" si="273"/>
        <v>0.42355591311343521</v>
      </c>
      <c r="AA89" s="272">
        <f t="shared" si="273"/>
        <v>0.422770792478948</v>
      </c>
      <c r="AB89" s="272">
        <f t="shared" si="273"/>
        <v>0.43810880939214769</v>
      </c>
      <c r="AC89" s="272">
        <f t="shared" ref="AC89" si="274">SUM(AC81/AC$85)</f>
        <v>0.43128452364686826</v>
      </c>
      <c r="AD89" s="268"/>
      <c r="AE89" s="272">
        <f t="shared" ref="AE89:AO89" si="275">SUM(AE81/AE$85)</f>
        <v>0.58521923002988308</v>
      </c>
      <c r="AF89" s="272">
        <f t="shared" si="275"/>
        <v>0.58045329481116248</v>
      </c>
      <c r="AG89" s="272">
        <f t="shared" si="275"/>
        <v>0.5767334563201354</v>
      </c>
      <c r="AH89" s="272">
        <f t="shared" si="275"/>
        <v>0.57827690840984525</v>
      </c>
      <c r="AI89" s="272">
        <f t="shared" si="275"/>
        <v>0.57243759419002693</v>
      </c>
      <c r="AJ89" s="272">
        <f t="shared" si="275"/>
        <v>0.57314991711853458</v>
      </c>
      <c r="AK89" s="272">
        <f t="shared" si="275"/>
        <v>0.42918753225467643</v>
      </c>
      <c r="AL89" s="272">
        <f t="shared" si="275"/>
        <v>0.42718682470878566</v>
      </c>
      <c r="AM89" s="272">
        <f t="shared" si="275"/>
        <v>0.42769102486355365</v>
      </c>
      <c r="AN89" s="272">
        <f t="shared" si="275"/>
        <v>0.4303687126279454</v>
      </c>
      <c r="AO89" s="272">
        <f t="shared" si="275"/>
        <v>0.43028449066992963</v>
      </c>
      <c r="AP89" s="279">
        <f t="shared" ref="AP89" si="276">SUM(AP81/AP$85)</f>
        <v>0.42856730928655018</v>
      </c>
      <c r="AR89" s="635">
        <f t="shared" ref="AR89:AR97" si="277">SUM(AP89-AL89)*10000</f>
        <v>13.804845777645181</v>
      </c>
    </row>
    <row r="90" spans="2:44">
      <c r="B90" s="270" t="str">
        <f>B82&amp;"(%)"</f>
        <v>Europe(%)</v>
      </c>
      <c r="C90" s="272">
        <f t="shared" ref="C90:K92" si="278">SUM(C82/C$85)</f>
        <v>0.23164640904474609</v>
      </c>
      <c r="D90" s="272">
        <f t="shared" si="278"/>
        <v>0.23965903836254657</v>
      </c>
      <c r="E90" s="272">
        <f t="shared" si="278"/>
        <v>0.23501948455354957</v>
      </c>
      <c r="F90" s="272">
        <f t="shared" si="278"/>
        <v>0.23172184768654824</v>
      </c>
      <c r="G90" s="272">
        <f t="shared" si="278"/>
        <v>0.25004098136713843</v>
      </c>
      <c r="H90" s="272">
        <f t="shared" si="278"/>
        <v>0.2441302618522376</v>
      </c>
      <c r="I90" s="272">
        <f t="shared" si="278"/>
        <v>0.24121543486640562</v>
      </c>
      <c r="J90" s="272">
        <f t="shared" si="278"/>
        <v>0.24601536715498912</v>
      </c>
      <c r="K90" s="272">
        <f t="shared" si="278"/>
        <v>0.25912769956653497</v>
      </c>
      <c r="L90" s="272">
        <f t="shared" ref="L90" si="279">SUM(L82/L$85)</f>
        <v>0.26680058919504712</v>
      </c>
      <c r="M90" s="268"/>
      <c r="N90" s="272">
        <f t="shared" ref="N90:AB90" si="280">SUM(N82/N$85)</f>
        <v>0.24001774980838275</v>
      </c>
      <c r="O90" s="272">
        <f t="shared" si="280"/>
        <v>0.23938608935216596</v>
      </c>
      <c r="P90" s="272">
        <f t="shared" si="280"/>
        <v>0.23248833761255561</v>
      </c>
      <c r="Q90" s="272">
        <f t="shared" si="280"/>
        <v>0.25286757038581859</v>
      </c>
      <c r="R90" s="272">
        <f t="shared" si="280"/>
        <v>0.2362787442170135</v>
      </c>
      <c r="S90" s="272">
        <f t="shared" si="280"/>
        <v>0.25248850647433463</v>
      </c>
      <c r="T90" s="272">
        <f t="shared" si="280"/>
        <v>0.24701394916683986</v>
      </c>
      <c r="U90" s="272">
        <f t="shared" si="280"/>
        <v>0.25098884891282486</v>
      </c>
      <c r="V90" s="272">
        <f t="shared" si="280"/>
        <v>0.25420865565544637</v>
      </c>
      <c r="W90" s="272">
        <f t="shared" si="280"/>
        <v>0.26580939473075271</v>
      </c>
      <c r="X90" s="272">
        <f t="shared" si="280"/>
        <v>0.25512666565629483</v>
      </c>
      <c r="Y90" s="272">
        <f t="shared" si="280"/>
        <v>0.26255135362898979</v>
      </c>
      <c r="Z90" s="272">
        <f t="shared" si="280"/>
        <v>0.27241351568785199</v>
      </c>
      <c r="AA90" s="272">
        <f t="shared" si="280"/>
        <v>0.25644144758229426</v>
      </c>
      <c r="AB90" s="272">
        <f t="shared" si="280"/>
        <v>0.25537028372112808</v>
      </c>
      <c r="AC90" s="272">
        <f t="shared" ref="AC90" si="281">SUM(AC82/AC$85)</f>
        <v>0.28012218687174284</v>
      </c>
      <c r="AD90" s="268"/>
      <c r="AE90" s="272">
        <f t="shared" ref="AE90:AO90" si="282">SUM(AE82/AE$85)</f>
        <v>0.32521888052007059</v>
      </c>
      <c r="AF90" s="272">
        <f t="shared" si="282"/>
        <v>0.33097514542943623</v>
      </c>
      <c r="AG90" s="272">
        <f t="shared" si="282"/>
        <v>0.33635113087430818</v>
      </c>
      <c r="AH90" s="272">
        <f t="shared" si="282"/>
        <v>0.33543333416337318</v>
      </c>
      <c r="AI90" s="272">
        <f t="shared" si="282"/>
        <v>0.33920647852554803</v>
      </c>
      <c r="AJ90" s="272">
        <f t="shared" si="282"/>
        <v>0.34131711291546091</v>
      </c>
      <c r="AK90" s="272">
        <f t="shared" si="282"/>
        <v>0.25639582679595335</v>
      </c>
      <c r="AL90" s="272">
        <f t="shared" si="282"/>
        <v>0.25912769956653497</v>
      </c>
      <c r="AM90" s="272">
        <f t="shared" si="282"/>
        <v>0.26478673943804326</v>
      </c>
      <c r="AN90" s="272">
        <f t="shared" si="282"/>
        <v>0.26256725096536671</v>
      </c>
      <c r="AO90" s="272">
        <f t="shared" si="282"/>
        <v>0.26247292750076479</v>
      </c>
      <c r="AP90" s="279">
        <f t="shared" ref="AP90" si="283">SUM(AP82/AP$85)</f>
        <v>0.26680058919504712</v>
      </c>
      <c r="AR90" s="635">
        <f t="shared" si="277"/>
        <v>76.728896285121479</v>
      </c>
    </row>
    <row r="91" spans="2:44">
      <c r="B91" s="270" t="str">
        <f>B83&amp;"(%)"</f>
        <v>Japan(%)</v>
      </c>
      <c r="C91" s="272">
        <f t="shared" si="278"/>
        <v>7.8501569753152256E-2</v>
      </c>
      <c r="D91" s="272">
        <f t="shared" si="278"/>
        <v>7.7357634556828397E-2</v>
      </c>
      <c r="E91" s="272">
        <f t="shared" si="278"/>
        <v>8.1827594645983548E-2</v>
      </c>
      <c r="F91" s="272">
        <f t="shared" si="278"/>
        <v>8.2660065955860312E-2</v>
      </c>
      <c r="G91" s="272">
        <f t="shared" si="278"/>
        <v>7.8021237455148176E-2</v>
      </c>
      <c r="H91" s="272">
        <f t="shared" si="278"/>
        <v>7.7858601431863475E-2</v>
      </c>
      <c r="I91" s="272">
        <f t="shared" si="278"/>
        <v>6.5876630622223126E-2</v>
      </c>
      <c r="J91" s="272">
        <f t="shared" si="278"/>
        <v>6.3287110113883924E-2</v>
      </c>
      <c r="K91" s="272">
        <f t="shared" si="278"/>
        <v>6.4065876456071702E-2</v>
      </c>
      <c r="L91" s="272">
        <f t="shared" ref="L91" si="284">SUM(L83/L$85)</f>
        <v>6.8970903087987576E-2</v>
      </c>
      <c r="M91" s="268"/>
      <c r="N91" s="272">
        <f t="shared" ref="N91:AB91" si="285">SUM(N83/N$85)</f>
        <v>5.7339949171003268E-2</v>
      </c>
      <c r="O91" s="272">
        <f t="shared" si="285"/>
        <v>7.9401303480745908E-2</v>
      </c>
      <c r="P91" s="272">
        <f t="shared" si="285"/>
        <v>6.5646885811063302E-2</v>
      </c>
      <c r="Q91" s="272">
        <f t="shared" si="285"/>
        <v>6.3230758990970207E-2</v>
      </c>
      <c r="R91" s="272">
        <f t="shared" si="285"/>
        <v>5.7659149495535793E-2</v>
      </c>
      <c r="S91" s="272">
        <f t="shared" si="285"/>
        <v>7.5667468050107559E-2</v>
      </c>
      <c r="T91" s="272">
        <f t="shared" si="285"/>
        <v>5.8938591879897799E-2</v>
      </c>
      <c r="U91" s="272">
        <f t="shared" si="285"/>
        <v>6.1509754407919733E-2</v>
      </c>
      <c r="V91" s="272">
        <f t="shared" si="285"/>
        <v>6.495504913234372E-2</v>
      </c>
      <c r="W91" s="272">
        <f t="shared" si="285"/>
        <v>6.9000473813537841E-2</v>
      </c>
      <c r="X91" s="272">
        <f t="shared" si="285"/>
        <v>5.9421523252153843E-2</v>
      </c>
      <c r="Y91" s="272">
        <f t="shared" si="285"/>
        <v>6.2424944696091854E-2</v>
      </c>
      <c r="Z91" s="272">
        <f t="shared" si="285"/>
        <v>7.2300884955752209E-2</v>
      </c>
      <c r="AA91" s="272">
        <f t="shared" si="285"/>
        <v>7.6531842825532992E-2</v>
      </c>
      <c r="AB91" s="272">
        <f t="shared" si="285"/>
        <v>6.1487090050618913E-2</v>
      </c>
      <c r="AC91" s="272">
        <f t="shared" ref="AC91" si="286">SUM(AC83/AC$85)</f>
        <v>6.4762945757617166E-2</v>
      </c>
      <c r="AD91" s="268"/>
      <c r="AE91" s="272">
        <f t="shared" ref="AE91:AO91" si="287">SUM(AE83/AE$85)</f>
        <v>8.9561889450046311E-2</v>
      </c>
      <c r="AF91" s="272">
        <f t="shared" si="287"/>
        <v>8.8571559759401258E-2</v>
      </c>
      <c r="AG91" s="272">
        <f t="shared" si="287"/>
        <v>8.6915412805556438E-2</v>
      </c>
      <c r="AH91" s="272">
        <f t="shared" si="287"/>
        <v>8.6289757426781591E-2</v>
      </c>
      <c r="AI91" s="272">
        <f t="shared" si="287"/>
        <v>8.835592728442504E-2</v>
      </c>
      <c r="AJ91" s="272">
        <f t="shared" si="287"/>
        <v>8.5532969966004554E-2</v>
      </c>
      <c r="AK91" s="272">
        <f t="shared" si="287"/>
        <v>6.3876577723721031E-2</v>
      </c>
      <c r="AL91" s="272">
        <f t="shared" si="287"/>
        <v>6.4065876456071702E-2</v>
      </c>
      <c r="AM91" s="272">
        <f t="shared" si="287"/>
        <v>6.638366686880938E-2</v>
      </c>
      <c r="AN91" s="272">
        <f t="shared" si="287"/>
        <v>6.820759005509959E-2</v>
      </c>
      <c r="AO91" s="272">
        <f t="shared" si="287"/>
        <v>6.8505353319057813E-2</v>
      </c>
      <c r="AP91" s="279">
        <f t="shared" ref="AP91" si="288">SUM(AP83/AP$85)</f>
        <v>6.8970903087987576E-2</v>
      </c>
      <c r="AR91" s="635">
        <f t="shared" si="277"/>
        <v>49.050266319158737</v>
      </c>
    </row>
    <row r="92" spans="2:44">
      <c r="B92" s="270" t="str">
        <f>B84&amp;"(%)"</f>
        <v>Asia Pacific(%)</v>
      </c>
      <c r="C92" s="272">
        <f t="shared" si="278"/>
        <v>0.28819462156659975</v>
      </c>
      <c r="D92" s="272">
        <f t="shared" si="278"/>
        <v>0.26157987035082053</v>
      </c>
      <c r="E92" s="272">
        <f t="shared" si="278"/>
        <v>0.26110807808881942</v>
      </c>
      <c r="F92" s="272">
        <f t="shared" si="278"/>
        <v>0.23624958681497768</v>
      </c>
      <c r="G92" s="272">
        <f t="shared" si="278"/>
        <v>0.21820665537402328</v>
      </c>
      <c r="H92" s="272">
        <f t="shared" si="278"/>
        <v>0.25893274506105513</v>
      </c>
      <c r="I92" s="272">
        <f t="shared" si="278"/>
        <v>0.26266204783834779</v>
      </c>
      <c r="J92" s="272">
        <f t="shared" si="278"/>
        <v>0.26657448113022947</v>
      </c>
      <c r="K92" s="272">
        <f t="shared" si="278"/>
        <v>0.24961959926860766</v>
      </c>
      <c r="L92" s="272">
        <f t="shared" ref="L92" si="289">SUM(L84/L$85)</f>
        <v>0.23566119843041516</v>
      </c>
      <c r="M92" s="268"/>
      <c r="N92" s="272">
        <f t="shared" ref="N92:AB92" si="290">SUM(N84/N$85)</f>
        <v>0.28716769534874337</v>
      </c>
      <c r="O92" s="272">
        <f t="shared" si="290"/>
        <v>0.26095314459590041</v>
      </c>
      <c r="P92" s="272">
        <f t="shared" si="290"/>
        <v>0.25017177159801829</v>
      </c>
      <c r="Q92" s="272">
        <f t="shared" si="290"/>
        <v>0.24230692432276529</v>
      </c>
      <c r="R92" s="272">
        <f t="shared" si="290"/>
        <v>0.28543626337982486</v>
      </c>
      <c r="S92" s="272">
        <f t="shared" si="290"/>
        <v>0.27342992112699821</v>
      </c>
      <c r="T92" s="272">
        <f t="shared" si="290"/>
        <v>0.26147658227074344</v>
      </c>
      <c r="U92" s="272">
        <f t="shared" si="290"/>
        <v>0.23927909003553152</v>
      </c>
      <c r="V92" s="272">
        <f t="shared" si="290"/>
        <v>0.25909261969475222</v>
      </c>
      <c r="W92" s="272">
        <f t="shared" si="290"/>
        <v>0.25448194550042424</v>
      </c>
      <c r="X92" s="272">
        <f t="shared" si="290"/>
        <v>0.2461965328701167</v>
      </c>
      <c r="Y92" s="272">
        <f t="shared" si="290"/>
        <v>0.23613188665332349</v>
      </c>
      <c r="Z92" s="272">
        <f t="shared" si="290"/>
        <v>0.23172968624296059</v>
      </c>
      <c r="AA92" s="272">
        <f t="shared" si="290"/>
        <v>0.24425591711322475</v>
      </c>
      <c r="AB92" s="272">
        <f t="shared" si="290"/>
        <v>0.24503381683610531</v>
      </c>
      <c r="AC92" s="272">
        <f t="shared" ref="AC92" si="291">SUM(AC84/AC$85)</f>
        <v>0.22383034372377178</v>
      </c>
      <c r="AD92" s="268"/>
      <c r="AE92" s="272">
        <f t="shared" ref="AE92:AO92" si="292">SUM(AE84/AE$85)</f>
        <v>0.35447984202156474</v>
      </c>
      <c r="AF92" s="272">
        <f t="shared" si="292"/>
        <v>0.36014933227844748</v>
      </c>
      <c r="AG92" s="272">
        <f t="shared" si="292"/>
        <v>0.36470207691296019</v>
      </c>
      <c r="AH92" s="272">
        <f t="shared" si="292"/>
        <v>0.36346496579642917</v>
      </c>
      <c r="AI92" s="272">
        <f t="shared" si="292"/>
        <v>0.34866481812364725</v>
      </c>
      <c r="AJ92" s="272">
        <f t="shared" si="292"/>
        <v>0.34023192762621862</v>
      </c>
      <c r="AK92" s="272">
        <f t="shared" si="292"/>
        <v>0.2505400632256492</v>
      </c>
      <c r="AL92" s="272">
        <f t="shared" si="292"/>
        <v>0.24961959926860766</v>
      </c>
      <c r="AM92" s="272">
        <f t="shared" si="292"/>
        <v>0.2411385688295937</v>
      </c>
      <c r="AN92" s="272">
        <f t="shared" si="292"/>
        <v>0.23885644635158829</v>
      </c>
      <c r="AO92" s="272">
        <f t="shared" si="292"/>
        <v>0.23873722851024778</v>
      </c>
      <c r="AP92" s="279">
        <f t="shared" ref="AP92" si="293">SUM(AP84/AP$85)</f>
        <v>0.23566119843041516</v>
      </c>
      <c r="AR92" s="635">
        <f t="shared" si="277"/>
        <v>-139.58400838192497</v>
      </c>
    </row>
    <row r="93" spans="2:44">
      <c r="B93" s="275" t="s">
        <v>365</v>
      </c>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c r="AD93" s="268"/>
      <c r="AE93" s="268"/>
      <c r="AF93" s="268"/>
      <c r="AG93" s="268"/>
      <c r="AH93" s="268"/>
      <c r="AI93" s="268"/>
      <c r="AJ93" s="268"/>
      <c r="AK93" s="268"/>
      <c r="AL93" s="268"/>
      <c r="AM93" s="268"/>
      <c r="AN93" s="268"/>
      <c r="AO93" s="268"/>
      <c r="AP93" s="276"/>
      <c r="AR93" s="9"/>
    </row>
    <row r="94" spans="2:44">
      <c r="B94" s="270" t="str">
        <f>B81&amp;"(%)"</f>
        <v>Americas(%)</v>
      </c>
      <c r="C94" s="268" t="s">
        <v>47</v>
      </c>
      <c r="D94" s="273">
        <f t="shared" ref="D94:L94" si="294">SUM(D81/C81)-1</f>
        <v>0.11530601641785876</v>
      </c>
      <c r="E94" s="273">
        <f t="shared" si="294"/>
        <v>0.16038302277432703</v>
      </c>
      <c r="F94" s="273">
        <f t="shared" si="294"/>
        <v>4.3008930084840191E-2</v>
      </c>
      <c r="G94" s="273">
        <f t="shared" si="294"/>
        <v>6.5364284858956179E-2</v>
      </c>
      <c r="H94" s="273">
        <f t="shared" si="294"/>
        <v>0.23081987218600464</v>
      </c>
      <c r="I94" s="273">
        <f t="shared" si="294"/>
        <v>0.10666249200944522</v>
      </c>
      <c r="J94" s="273">
        <f t="shared" si="294"/>
        <v>-4.1837107592922251E-2</v>
      </c>
      <c r="K94" s="273">
        <f t="shared" si="294"/>
        <v>2.7589812992125928E-2</v>
      </c>
      <c r="L94" s="273">
        <f t="shared" si="294"/>
        <v>6.7694333862132972E-2</v>
      </c>
      <c r="M94" s="268"/>
      <c r="N94" s="273" t="s">
        <v>47</v>
      </c>
      <c r="O94" s="273" t="s">
        <v>47</v>
      </c>
      <c r="P94" s="273" t="s">
        <v>47</v>
      </c>
      <c r="Q94" s="273" t="s">
        <v>47</v>
      </c>
      <c r="R94" s="273">
        <f>SUM(R81/N81)-1</f>
        <v>-4.3071306509243401E-2</v>
      </c>
      <c r="S94" s="273">
        <f t="shared" ref="S94:AC94" si="295">SUM(S81/R81)-1</f>
        <v>-0.23324810260156659</v>
      </c>
      <c r="T94" s="273">
        <f t="shared" si="295"/>
        <v>-6.3545416049121339E-2</v>
      </c>
      <c r="U94" s="273">
        <f t="shared" si="295"/>
        <v>0.13373654014639791</v>
      </c>
      <c r="V94" s="273">
        <f t="shared" si="295"/>
        <v>0.25713573476255758</v>
      </c>
      <c r="W94" s="273">
        <f t="shared" si="295"/>
        <v>-0.26089629188974817</v>
      </c>
      <c r="X94" s="273">
        <f t="shared" si="295"/>
        <v>1.0865774152872154E-2</v>
      </c>
      <c r="Y94" s="273">
        <f t="shared" si="295"/>
        <v>0.10579117787568348</v>
      </c>
      <c r="Z94" s="273">
        <f t="shared" si="295"/>
        <v>0.26363287250384015</v>
      </c>
      <c r="AA94" s="273">
        <f t="shared" si="295"/>
        <v>-0.23425391277921292</v>
      </c>
      <c r="AB94" s="273">
        <f t="shared" si="295"/>
        <v>2.1902517673322519E-2</v>
      </c>
      <c r="AC94" s="273">
        <f t="shared" si="295"/>
        <v>7.2673430749065515E-2</v>
      </c>
      <c r="AD94" s="268"/>
      <c r="AE94" s="273" t="s">
        <v>47</v>
      </c>
      <c r="AF94" s="273" t="s">
        <v>47</v>
      </c>
      <c r="AG94" s="273" t="s">
        <v>47</v>
      </c>
      <c r="AH94" s="273" t="s">
        <v>47</v>
      </c>
      <c r="AI94" s="273">
        <f t="shared" ref="AI94:AP97" si="296">SUM(AI81/AE81)-1</f>
        <v>-2.22646918299092E-2</v>
      </c>
      <c r="AJ94" s="273">
        <f t="shared" si="296"/>
        <v>-6.9428387143882775E-3</v>
      </c>
      <c r="AK94" s="273">
        <f t="shared" si="296"/>
        <v>1.9987303778666643E-2</v>
      </c>
      <c r="AL94" s="273">
        <f t="shared" si="296"/>
        <v>2.7589812992125928E-2</v>
      </c>
      <c r="AM94" s="273">
        <f t="shared" si="296"/>
        <v>3.3907105160281503E-2</v>
      </c>
      <c r="AN94" s="273">
        <f t="shared" si="296"/>
        <v>5.5783971911936847E-2</v>
      </c>
      <c r="AO94" s="273">
        <f t="shared" si="296"/>
        <v>6.2412384589355607E-2</v>
      </c>
      <c r="AP94" s="280">
        <f t="shared" si="296"/>
        <v>6.7694333862132972E-2</v>
      </c>
      <c r="AR94" s="635">
        <f t="shared" si="277"/>
        <v>401.04520870007042</v>
      </c>
    </row>
    <row r="95" spans="2:44">
      <c r="B95" s="270" t="str">
        <f>B82&amp;"(%)"</f>
        <v>Europe(%)</v>
      </c>
      <c r="C95" s="268" t="s">
        <v>47</v>
      </c>
      <c r="D95" s="273">
        <f t="shared" ref="D95:L95" si="297">SUM(D82/C82)-1</f>
        <v>9.9815823190262609E-2</v>
      </c>
      <c r="E95" s="273">
        <f t="shared" si="297"/>
        <v>0.13618988678146282</v>
      </c>
      <c r="F95" s="273">
        <f t="shared" si="297"/>
        <v>-3.4155719320730582E-2</v>
      </c>
      <c r="G95" s="273">
        <f t="shared" si="297"/>
        <v>0.13853503184713367</v>
      </c>
      <c r="H95" s="273">
        <f t="shared" si="297"/>
        <v>0.30109265734265733</v>
      </c>
      <c r="I95" s="273">
        <f t="shared" si="297"/>
        <v>6.5067687863213486E-2</v>
      </c>
      <c r="J95" s="273">
        <f t="shared" si="297"/>
        <v>-8.662923947097334E-3</v>
      </c>
      <c r="K95" s="273">
        <f t="shared" si="297"/>
        <v>7.4596474855239903E-2</v>
      </c>
      <c r="L95" s="273">
        <f t="shared" si="297"/>
        <v>9.5768198326227738E-2</v>
      </c>
      <c r="M95" s="268"/>
      <c r="N95" s="273" t="s">
        <v>47</v>
      </c>
      <c r="O95" s="273" t="s">
        <v>47</v>
      </c>
      <c r="P95" s="273" t="s">
        <v>47</v>
      </c>
      <c r="Q95" s="273" t="s">
        <v>47</v>
      </c>
      <c r="R95" s="273">
        <f>SUM(R82/N82)-1</f>
        <v>-6.9514941678711861E-2</v>
      </c>
      <c r="S95" s="273">
        <f t="shared" ref="S95:AC95" si="298">SUM(S82/R82)-1</f>
        <v>-0.13496622231855782</v>
      </c>
      <c r="T95" s="273">
        <f t="shared" si="298"/>
        <v>-0.15619127166423052</v>
      </c>
      <c r="U95" s="273">
        <f t="shared" si="298"/>
        <v>0.11175451620885912</v>
      </c>
      <c r="V95" s="273">
        <f t="shared" si="298"/>
        <v>0.35320304500734534</v>
      </c>
      <c r="W95" s="273">
        <f t="shared" si="298"/>
        <v>-0.20640194756061458</v>
      </c>
      <c r="X95" s="273">
        <f t="shared" si="298"/>
        <v>-9.2815984744849311E-2</v>
      </c>
      <c r="Y95" s="273">
        <f t="shared" si="298"/>
        <v>0.13891427526960332</v>
      </c>
      <c r="Z95" s="273">
        <f t="shared" si="298"/>
        <v>0.35857005296100142</v>
      </c>
      <c r="AA95" s="273">
        <f t="shared" si="298"/>
        <v>-0.27781223236171404</v>
      </c>
      <c r="AB95" s="273">
        <f t="shared" si="298"/>
        <v>-1.7992966385867337E-2</v>
      </c>
      <c r="AC95" s="273">
        <f t="shared" si="298"/>
        <v>0.19526109769301248</v>
      </c>
      <c r="AD95" s="268"/>
      <c r="AE95" s="273" t="s">
        <v>47</v>
      </c>
      <c r="AF95" s="273" t="s">
        <v>47</v>
      </c>
      <c r="AG95" s="273" t="s">
        <v>47</v>
      </c>
      <c r="AH95" s="273" t="s">
        <v>47</v>
      </c>
      <c r="AI95" s="273">
        <f t="shared" si="296"/>
        <v>4.2557764642665141E-2</v>
      </c>
      <c r="AJ95" s="273">
        <f t="shared" si="296"/>
        <v>3.7136637213471602E-2</v>
      </c>
      <c r="AK95" s="273">
        <f t="shared" si="296"/>
        <v>4.4818548813222669E-2</v>
      </c>
      <c r="AL95" s="273">
        <f t="shared" si="296"/>
        <v>7.4596474855239903E-2</v>
      </c>
      <c r="AM95" s="273">
        <f t="shared" si="296"/>
        <v>8.0218534171734968E-2</v>
      </c>
      <c r="AN95" s="273">
        <f t="shared" si="296"/>
        <v>8.1645882207679987E-2</v>
      </c>
      <c r="AO95" s="273">
        <f t="shared" si="296"/>
        <v>8.4821022181314376E-2</v>
      </c>
      <c r="AP95" s="280">
        <f t="shared" si="296"/>
        <v>9.5768198326227738E-2</v>
      </c>
      <c r="AR95" s="635">
        <f t="shared" si="277"/>
        <v>211.71723470987837</v>
      </c>
    </row>
    <row r="96" spans="2:44">
      <c r="B96" s="270" t="str">
        <f>B83&amp;"(%)"</f>
        <v>Japan(%)</v>
      </c>
      <c r="C96" s="268" t="s">
        <v>47</v>
      </c>
      <c r="D96" s="273">
        <f t="shared" ref="D96:L96" si="299">SUM(D83/C83)-1</f>
        <v>4.7554347826086918E-2</v>
      </c>
      <c r="E96" s="273">
        <f t="shared" si="299"/>
        <v>0.22556814977725148</v>
      </c>
      <c r="F96" s="273">
        <f t="shared" si="299"/>
        <v>-1.0444945474623824E-2</v>
      </c>
      <c r="G96" s="273">
        <f t="shared" si="299"/>
        <v>-4.0918813354412498E-3</v>
      </c>
      <c r="H96" s="273">
        <f t="shared" si="299"/>
        <v>0.32981604258100661</v>
      </c>
      <c r="I96" s="273">
        <f t="shared" si="299"/>
        <v>-8.7950284390141187E-2</v>
      </c>
      <c r="J96" s="273">
        <f t="shared" si="299"/>
        <v>-6.621241867806138E-2</v>
      </c>
      <c r="K96" s="273">
        <f t="shared" si="299"/>
        <v>3.2774044605680785E-2</v>
      </c>
      <c r="L96" s="273">
        <f t="shared" si="299"/>
        <v>0.14573686731598268</v>
      </c>
      <c r="M96" s="268"/>
      <c r="N96" s="273" t="s">
        <v>47</v>
      </c>
      <c r="O96" s="273" t="s">
        <v>47</v>
      </c>
      <c r="P96" s="273" t="s">
        <v>47</v>
      </c>
      <c r="Q96" s="273" t="s">
        <v>47</v>
      </c>
      <c r="R96" s="273">
        <f>SUM(R83/N83)-1</f>
        <v>-4.9528633741381722E-2</v>
      </c>
      <c r="S96" s="273">
        <f t="shared" ref="S96:AC96" si="300">SUM(S83/R83)-1</f>
        <v>6.2324204293116248E-2</v>
      </c>
      <c r="T96" s="273">
        <f t="shared" si="300"/>
        <v>-0.32817725752508364</v>
      </c>
      <c r="U96" s="273">
        <f t="shared" si="300"/>
        <v>0.14187927815805845</v>
      </c>
      <c r="V96" s="273">
        <f t="shared" si="300"/>
        <v>0.41089918256130797</v>
      </c>
      <c r="W96" s="273">
        <f t="shared" si="300"/>
        <v>-0.19376850778936527</v>
      </c>
      <c r="X96" s="273">
        <f t="shared" si="300"/>
        <v>-0.1860427978281699</v>
      </c>
      <c r="Y96" s="273">
        <f t="shared" si="300"/>
        <v>0.16264469295664119</v>
      </c>
      <c r="Z96" s="273">
        <f t="shared" si="300"/>
        <v>0.51653729328383391</v>
      </c>
      <c r="AA96" s="273">
        <f t="shared" si="300"/>
        <v>-0.18793813285857353</v>
      </c>
      <c r="AB96" s="273">
        <f t="shared" si="300"/>
        <v>-0.20772814469717726</v>
      </c>
      <c r="AC96" s="273">
        <f t="shared" si="300"/>
        <v>0.14769975786924938</v>
      </c>
      <c r="AD96" s="268"/>
      <c r="AE96" s="273" t="s">
        <v>47</v>
      </c>
      <c r="AF96" s="273" t="s">
        <v>47</v>
      </c>
      <c r="AG96" s="273" t="s">
        <v>47</v>
      </c>
      <c r="AH96" s="273" t="s">
        <v>47</v>
      </c>
      <c r="AI96" s="273">
        <f t="shared" si="296"/>
        <v>-1.3892682926829214E-2</v>
      </c>
      <c r="AJ96" s="273">
        <f t="shared" si="296"/>
        <v>-2.8791322726003932E-2</v>
      </c>
      <c r="AK96" s="273">
        <f t="shared" si="296"/>
        <v>7.3204645836741911E-3</v>
      </c>
      <c r="AL96" s="273">
        <f t="shared" si="296"/>
        <v>3.2774044605680785E-2</v>
      </c>
      <c r="AM96" s="273">
        <f t="shared" si="296"/>
        <v>3.9692904349202474E-2</v>
      </c>
      <c r="AN96" s="273">
        <f t="shared" si="296"/>
        <v>0.12124820365428035</v>
      </c>
      <c r="AO96" s="273">
        <f t="shared" si="296"/>
        <v>0.13649466119930165</v>
      </c>
      <c r="AP96" s="280">
        <f t="shared" si="296"/>
        <v>0.14573686731598268</v>
      </c>
      <c r="AR96" s="635">
        <f t="shared" si="277"/>
        <v>1129.6282271030188</v>
      </c>
    </row>
    <row r="97" spans="2:44">
      <c r="B97" s="270" t="str">
        <f>B84&amp;"(%)"</f>
        <v>Asia Pacific(%)</v>
      </c>
      <c r="C97" s="268" t="s">
        <v>47</v>
      </c>
      <c r="D97" s="273">
        <f t="shared" ref="D97:L97" si="301">SUM(D84/C84)-1</f>
        <v>-3.5126959096321575E-2</v>
      </c>
      <c r="E97" s="273">
        <f t="shared" si="301"/>
        <v>0.15652986008038283</v>
      </c>
      <c r="F97" s="273">
        <f t="shared" si="301"/>
        <v>-0.1136714300134104</v>
      </c>
      <c r="G97" s="273">
        <f t="shared" si="301"/>
        <v>-2.5461230599030382E-2</v>
      </c>
      <c r="H97" s="273">
        <f t="shared" si="301"/>
        <v>0.58130916011418843</v>
      </c>
      <c r="I97" s="273">
        <f t="shared" si="301"/>
        <v>9.34629758662191E-2</v>
      </c>
      <c r="J97" s="273">
        <f t="shared" si="301"/>
        <v>-1.3526430123099176E-2</v>
      </c>
      <c r="K97" s="273">
        <f t="shared" si="301"/>
        <v>-4.4668898154129222E-2</v>
      </c>
      <c r="L97" s="273">
        <f t="shared" si="301"/>
        <v>4.7433664583547142E-3</v>
      </c>
      <c r="M97" s="268"/>
      <c r="N97" s="273" t="s">
        <v>47</v>
      </c>
      <c r="O97" s="273" t="s">
        <v>47</v>
      </c>
      <c r="P97" s="273" t="s">
        <v>47</v>
      </c>
      <c r="Q97" s="273" t="s">
        <v>47</v>
      </c>
      <c r="R97" s="273">
        <f>SUM(R84/N84)-1</f>
        <v>-6.0489422077374733E-2</v>
      </c>
      <c r="S97" s="273">
        <f t="shared" ref="S97:AC97" si="302">SUM(S84/R84)-1</f>
        <v>-0.22455143540669853</v>
      </c>
      <c r="T97" s="273">
        <f t="shared" si="302"/>
        <v>-0.17519571169642512</v>
      </c>
      <c r="U97" s="273">
        <f t="shared" si="302"/>
        <v>1.262390125303936E-3</v>
      </c>
      <c r="V97" s="273">
        <f t="shared" si="302"/>
        <v>0.44669624095260341</v>
      </c>
      <c r="W97" s="273">
        <f t="shared" si="302"/>
        <v>-0.25454310706562089</v>
      </c>
      <c r="X97" s="273">
        <f t="shared" si="302"/>
        <v>-8.5602944360251176E-2</v>
      </c>
      <c r="Y97" s="273">
        <f t="shared" si="302"/>
        <v>6.1464153802443411E-2</v>
      </c>
      <c r="Z97" s="273">
        <f t="shared" si="302"/>
        <v>0.28497501784439683</v>
      </c>
      <c r="AA97" s="273">
        <f t="shared" si="302"/>
        <v>-0.19136231079016808</v>
      </c>
      <c r="AB97" s="273">
        <f t="shared" si="302"/>
        <v>-1.0733298986776552E-2</v>
      </c>
      <c r="AC97" s="273">
        <f t="shared" si="302"/>
        <v>-4.6436941237739671E-3</v>
      </c>
      <c r="AD97" s="268"/>
      <c r="AE97" s="273" t="s">
        <v>47</v>
      </c>
      <c r="AF97" s="273" t="s">
        <v>47</v>
      </c>
      <c r="AG97" s="273" t="s">
        <v>47</v>
      </c>
      <c r="AH97" s="273" t="s">
        <v>47</v>
      </c>
      <c r="AI97" s="273">
        <f t="shared" si="296"/>
        <v>-1.6830667902427487E-2</v>
      </c>
      <c r="AJ97" s="273">
        <f t="shared" si="296"/>
        <v>-4.99078142162247E-2</v>
      </c>
      <c r="AK97" s="273">
        <f t="shared" si="296"/>
        <v>-5.8410167443129768E-2</v>
      </c>
      <c r="AL97" s="273">
        <f t="shared" si="296"/>
        <v>-4.4668898154129222E-2</v>
      </c>
      <c r="AM97" s="273">
        <f t="shared" si="296"/>
        <v>-4.2942385799528693E-2</v>
      </c>
      <c r="AN97" s="273">
        <f t="shared" si="296"/>
        <v>-1.2892370895653316E-2</v>
      </c>
      <c r="AO97" s="273">
        <f t="shared" si="296"/>
        <v>9.7816973573889854E-3</v>
      </c>
      <c r="AP97" s="280">
        <f t="shared" si="296"/>
        <v>4.7433664583547142E-3</v>
      </c>
      <c r="AR97" s="635">
        <f t="shared" si="277"/>
        <v>494.12264612483938</v>
      </c>
    </row>
    <row r="98" spans="2:44">
      <c r="B98" s="275" t="s">
        <v>366</v>
      </c>
      <c r="C98" s="268"/>
      <c r="D98" s="273"/>
      <c r="E98" s="273"/>
      <c r="F98" s="273"/>
      <c r="G98" s="273"/>
      <c r="H98" s="273"/>
      <c r="I98" s="273"/>
      <c r="J98" s="273"/>
      <c r="K98" s="273"/>
      <c r="L98" s="273"/>
      <c r="M98" s="268"/>
      <c r="N98" s="273"/>
      <c r="O98" s="273"/>
      <c r="P98" s="273"/>
      <c r="Q98" s="273"/>
      <c r="R98" s="273"/>
      <c r="S98" s="273"/>
      <c r="T98" s="273"/>
      <c r="U98" s="273"/>
      <c r="V98" s="273"/>
      <c r="W98" s="273"/>
      <c r="X98" s="273"/>
      <c r="Y98" s="273"/>
      <c r="Z98" s="273"/>
      <c r="AA98" s="273"/>
      <c r="AB98" s="273"/>
      <c r="AC98" s="273"/>
      <c r="AD98" s="268"/>
      <c r="AE98" s="273"/>
      <c r="AF98" s="273"/>
      <c r="AG98" s="273"/>
      <c r="AH98" s="273"/>
      <c r="AI98" s="273"/>
      <c r="AJ98" s="273"/>
      <c r="AK98" s="273"/>
      <c r="AL98" s="273"/>
      <c r="AM98" s="273"/>
      <c r="AN98" s="273"/>
      <c r="AO98" s="273"/>
      <c r="AP98" s="280"/>
      <c r="AR98" s="9"/>
    </row>
    <row r="99" spans="2:44">
      <c r="B99" s="270" t="str">
        <f>B81&amp;"(%)"</f>
        <v>Americas(%)</v>
      </c>
      <c r="C99" s="268" t="s">
        <v>47</v>
      </c>
      <c r="D99" s="268" t="s">
        <v>47</v>
      </c>
      <c r="E99" s="268" t="s">
        <v>47</v>
      </c>
      <c r="F99" s="268" t="s">
        <v>47</v>
      </c>
      <c r="G99" s="268" t="s">
        <v>47</v>
      </c>
      <c r="H99" s="268" t="s">
        <v>47</v>
      </c>
      <c r="I99" s="268" t="s">
        <v>47</v>
      </c>
      <c r="J99" s="268" t="s">
        <v>47</v>
      </c>
      <c r="K99" s="268" t="s">
        <v>47</v>
      </c>
      <c r="L99" s="268" t="s">
        <v>47</v>
      </c>
      <c r="M99" s="268"/>
      <c r="N99" s="273" t="s">
        <v>47</v>
      </c>
      <c r="O99" s="273">
        <f t="shared" ref="O99:AC99" si="303">SUM(O81/N81)-1</f>
        <v>-0.20611309616280871</v>
      </c>
      <c r="P99" s="273">
        <f t="shared" si="303"/>
        <v>-8.3410792035614745E-2</v>
      </c>
      <c r="Q99" s="273">
        <f t="shared" si="303"/>
        <v>6.233988044406491E-2</v>
      </c>
      <c r="R99" s="273">
        <f t="shared" si="303"/>
        <v>0.23789188102893899</v>
      </c>
      <c r="S99" s="273">
        <f t="shared" si="303"/>
        <v>-0.23324810260156659</v>
      </c>
      <c r="T99" s="273">
        <f t="shared" si="303"/>
        <v>-6.3545416049121339E-2</v>
      </c>
      <c r="U99" s="273">
        <f t="shared" si="303"/>
        <v>0.13373654014639791</v>
      </c>
      <c r="V99" s="273">
        <f t="shared" si="303"/>
        <v>0.25713573476255758</v>
      </c>
      <c r="W99" s="273">
        <f t="shared" si="303"/>
        <v>-0.26089629188974817</v>
      </c>
      <c r="X99" s="273">
        <f t="shared" si="303"/>
        <v>1.0865774152872154E-2</v>
      </c>
      <c r="Y99" s="273">
        <f t="shared" si="303"/>
        <v>0.10579117787568348</v>
      </c>
      <c r="Z99" s="273">
        <f t="shared" si="303"/>
        <v>0.26363287250384015</v>
      </c>
      <c r="AA99" s="273">
        <f t="shared" si="303"/>
        <v>-0.23425391277921292</v>
      </c>
      <c r="AB99" s="273">
        <f t="shared" si="303"/>
        <v>2.1902517673322519E-2</v>
      </c>
      <c r="AC99" s="273">
        <f t="shared" si="303"/>
        <v>7.2673430749065515E-2</v>
      </c>
      <c r="AD99" s="268"/>
      <c r="AE99" s="273" t="s">
        <v>47</v>
      </c>
      <c r="AF99" s="273" t="s">
        <v>47</v>
      </c>
      <c r="AG99" s="273" t="s">
        <v>47</v>
      </c>
      <c r="AH99" s="273" t="s">
        <v>47</v>
      </c>
      <c r="AI99" s="273" t="s">
        <v>47</v>
      </c>
      <c r="AJ99" s="273" t="s">
        <v>47</v>
      </c>
      <c r="AK99" s="273" t="s">
        <v>47</v>
      </c>
      <c r="AL99" s="273" t="s">
        <v>47</v>
      </c>
      <c r="AM99" s="273" t="s">
        <v>47</v>
      </c>
      <c r="AN99" s="273" t="s">
        <v>47</v>
      </c>
      <c r="AO99" s="273" t="s">
        <v>47</v>
      </c>
      <c r="AP99" s="280" t="s">
        <v>47</v>
      </c>
      <c r="AR99" s="635">
        <f t="shared" ref="AR99:AR102" si="304">SUM(AC99-AB99)*10000</f>
        <v>507.70913075742999</v>
      </c>
    </row>
    <row r="100" spans="2:44">
      <c r="B100" s="270" t="str">
        <f>B82&amp;"(%)"</f>
        <v>Europe(%)</v>
      </c>
      <c r="C100" s="268" t="s">
        <v>47</v>
      </c>
      <c r="D100" s="268" t="s">
        <v>47</v>
      </c>
      <c r="E100" s="268" t="s">
        <v>47</v>
      </c>
      <c r="F100" s="268" t="s">
        <v>47</v>
      </c>
      <c r="G100" s="268" t="s">
        <v>47</v>
      </c>
      <c r="H100" s="268" t="s">
        <v>47</v>
      </c>
      <c r="I100" s="268" t="s">
        <v>47</v>
      </c>
      <c r="J100" s="268" t="s">
        <v>47</v>
      </c>
      <c r="K100" s="268" t="s">
        <v>47</v>
      </c>
      <c r="L100" s="268" t="s">
        <v>47</v>
      </c>
      <c r="M100" s="268"/>
      <c r="N100" s="273" t="s">
        <v>47</v>
      </c>
      <c r="O100" s="273">
        <f t="shared" ref="O100:AC100" si="305">SUM(O82/N82)-1</f>
        <v>-0.21721738545833469</v>
      </c>
      <c r="P100" s="273">
        <f t="shared" si="305"/>
        <v>-0.17176965689011037</v>
      </c>
      <c r="Q100" s="273">
        <f t="shared" si="305"/>
        <v>0.18188417068491725</v>
      </c>
      <c r="R100" s="273">
        <f t="shared" si="305"/>
        <v>0.21434525115156822</v>
      </c>
      <c r="S100" s="273">
        <f t="shared" si="305"/>
        <v>-0.13496622231855782</v>
      </c>
      <c r="T100" s="273">
        <f t="shared" si="305"/>
        <v>-0.15619127166423052</v>
      </c>
      <c r="U100" s="273">
        <f t="shared" si="305"/>
        <v>0.11175451620885912</v>
      </c>
      <c r="V100" s="273">
        <f t="shared" si="305"/>
        <v>0.35320304500734534</v>
      </c>
      <c r="W100" s="273">
        <f t="shared" si="305"/>
        <v>-0.20640194756061458</v>
      </c>
      <c r="X100" s="273">
        <f t="shared" si="305"/>
        <v>-9.2815984744849311E-2</v>
      </c>
      <c r="Y100" s="273">
        <f t="shared" si="305"/>
        <v>0.13891427526960332</v>
      </c>
      <c r="Z100" s="273">
        <f t="shared" si="305"/>
        <v>0.35857005296100142</v>
      </c>
      <c r="AA100" s="273">
        <f t="shared" si="305"/>
        <v>-0.27781223236171404</v>
      </c>
      <c r="AB100" s="273">
        <f t="shared" si="305"/>
        <v>-1.7992966385867337E-2</v>
      </c>
      <c r="AC100" s="273">
        <f t="shared" si="305"/>
        <v>0.19526109769301248</v>
      </c>
      <c r="AD100" s="268"/>
      <c r="AE100" s="273" t="s">
        <v>47</v>
      </c>
      <c r="AF100" s="273" t="s">
        <v>47</v>
      </c>
      <c r="AG100" s="273" t="s">
        <v>47</v>
      </c>
      <c r="AH100" s="273" t="s">
        <v>47</v>
      </c>
      <c r="AI100" s="273" t="s">
        <v>47</v>
      </c>
      <c r="AJ100" s="273" t="s">
        <v>47</v>
      </c>
      <c r="AK100" s="273" t="s">
        <v>47</v>
      </c>
      <c r="AL100" s="273" t="s">
        <v>47</v>
      </c>
      <c r="AM100" s="273" t="s">
        <v>47</v>
      </c>
      <c r="AN100" s="273" t="s">
        <v>47</v>
      </c>
      <c r="AO100" s="273" t="s">
        <v>47</v>
      </c>
      <c r="AP100" s="280" t="s">
        <v>47</v>
      </c>
      <c r="AR100" s="635">
        <f t="shared" si="304"/>
        <v>2132.5406407887981</v>
      </c>
    </row>
    <row r="101" spans="2:44">
      <c r="B101" s="270" t="str">
        <f>B83&amp;"(%)"</f>
        <v>Japan(%)</v>
      </c>
      <c r="C101" s="268" t="s">
        <v>47</v>
      </c>
      <c r="D101" s="268" t="s">
        <v>47</v>
      </c>
      <c r="E101" s="268" t="s">
        <v>47</v>
      </c>
      <c r="F101" s="268" t="s">
        <v>47</v>
      </c>
      <c r="G101" s="268" t="s">
        <v>47</v>
      </c>
      <c r="H101" s="268" t="s">
        <v>47</v>
      </c>
      <c r="I101" s="268" t="s">
        <v>47</v>
      </c>
      <c r="J101" s="268" t="s">
        <v>47</v>
      </c>
      <c r="K101" s="268" t="s">
        <v>47</v>
      </c>
      <c r="L101" s="268" t="s">
        <v>47</v>
      </c>
      <c r="M101" s="268"/>
      <c r="N101" s="273" t="s">
        <v>47</v>
      </c>
      <c r="O101" s="273">
        <f t="shared" ref="O101:AC101" si="306">SUM(O83/N83)-1</f>
        <v>8.681581539327432E-2</v>
      </c>
      <c r="P101" s="273">
        <f t="shared" si="306"/>
        <v>-0.29492490937338167</v>
      </c>
      <c r="Q101" s="273">
        <f t="shared" si="306"/>
        <v>4.6639735585751074E-2</v>
      </c>
      <c r="R101" s="273">
        <f t="shared" si="306"/>
        <v>0.18508771929824563</v>
      </c>
      <c r="S101" s="273">
        <f t="shared" si="306"/>
        <v>6.2324204293116248E-2</v>
      </c>
      <c r="T101" s="273">
        <f t="shared" si="306"/>
        <v>-0.32817725752508364</v>
      </c>
      <c r="U101" s="273">
        <f t="shared" si="306"/>
        <v>0.14187927815805845</v>
      </c>
      <c r="V101" s="273">
        <f t="shared" si="306"/>
        <v>0.41089918256130797</v>
      </c>
      <c r="W101" s="273">
        <f t="shared" si="306"/>
        <v>-0.19376850778936527</v>
      </c>
      <c r="X101" s="273">
        <f t="shared" si="306"/>
        <v>-0.1860427978281699</v>
      </c>
      <c r="Y101" s="273">
        <f t="shared" si="306"/>
        <v>0.16264469295664119</v>
      </c>
      <c r="Z101" s="273">
        <f t="shared" si="306"/>
        <v>0.51653729328383391</v>
      </c>
      <c r="AA101" s="273">
        <f t="shared" si="306"/>
        <v>-0.18793813285857353</v>
      </c>
      <c r="AB101" s="273">
        <f t="shared" si="306"/>
        <v>-0.20772814469717726</v>
      </c>
      <c r="AC101" s="273">
        <f t="shared" si="306"/>
        <v>0.14769975786924938</v>
      </c>
      <c r="AD101" s="268"/>
      <c r="AE101" s="273" t="s">
        <v>47</v>
      </c>
      <c r="AF101" s="273" t="s">
        <v>47</v>
      </c>
      <c r="AG101" s="273" t="s">
        <v>47</v>
      </c>
      <c r="AH101" s="273" t="s">
        <v>47</v>
      </c>
      <c r="AI101" s="273" t="s">
        <v>47</v>
      </c>
      <c r="AJ101" s="273" t="s">
        <v>47</v>
      </c>
      <c r="AK101" s="273" t="s">
        <v>47</v>
      </c>
      <c r="AL101" s="273" t="s">
        <v>47</v>
      </c>
      <c r="AM101" s="273" t="s">
        <v>47</v>
      </c>
      <c r="AN101" s="273" t="s">
        <v>47</v>
      </c>
      <c r="AO101" s="273" t="s">
        <v>47</v>
      </c>
      <c r="AP101" s="280" t="s">
        <v>47</v>
      </c>
      <c r="AR101" s="635">
        <f t="shared" si="304"/>
        <v>3554.2790256642666</v>
      </c>
    </row>
    <row r="102" spans="2:44">
      <c r="B102" s="271" t="str">
        <f>B84&amp;"(%)"</f>
        <v>Asia Pacific(%)</v>
      </c>
      <c r="C102" s="269" t="s">
        <v>47</v>
      </c>
      <c r="D102" s="269" t="s">
        <v>47</v>
      </c>
      <c r="E102" s="269" t="s">
        <v>47</v>
      </c>
      <c r="F102" s="269" t="s">
        <v>47</v>
      </c>
      <c r="G102" s="269" t="s">
        <v>47</v>
      </c>
      <c r="H102" s="269" t="s">
        <v>47</v>
      </c>
      <c r="I102" s="269" t="s">
        <v>47</v>
      </c>
      <c r="J102" s="269" t="s">
        <v>47</v>
      </c>
      <c r="K102" s="269" t="s">
        <v>47</v>
      </c>
      <c r="L102" s="269" t="s">
        <v>47</v>
      </c>
      <c r="M102" s="269"/>
      <c r="N102" s="274" t="s">
        <v>47</v>
      </c>
      <c r="O102" s="274">
        <f t="shared" ref="O102:AC102" si="307">SUM(O84/N84)-1</f>
        <v>-0.28679796589216977</v>
      </c>
      <c r="P102" s="274">
        <f t="shared" si="307"/>
        <v>-0.18243056923379952</v>
      </c>
      <c r="Q102" s="274">
        <f t="shared" si="307"/>
        <v>5.2471812662619355E-2</v>
      </c>
      <c r="R102" s="274">
        <f t="shared" si="307"/>
        <v>0.53092523920706869</v>
      </c>
      <c r="S102" s="274">
        <f t="shared" si="307"/>
        <v>-0.22455143540669853</v>
      </c>
      <c r="T102" s="274">
        <f t="shared" si="307"/>
        <v>-0.17519571169642512</v>
      </c>
      <c r="U102" s="274">
        <f t="shared" si="307"/>
        <v>1.262390125303936E-3</v>
      </c>
      <c r="V102" s="274">
        <f t="shared" si="307"/>
        <v>0.44669624095260341</v>
      </c>
      <c r="W102" s="274">
        <f t="shared" si="307"/>
        <v>-0.25454310706562089</v>
      </c>
      <c r="X102" s="274">
        <f t="shared" si="307"/>
        <v>-8.5602944360251176E-2</v>
      </c>
      <c r="Y102" s="274">
        <f t="shared" si="307"/>
        <v>6.1464153802443411E-2</v>
      </c>
      <c r="Z102" s="274">
        <f t="shared" si="307"/>
        <v>0.28497501784439683</v>
      </c>
      <c r="AA102" s="274">
        <f t="shared" si="307"/>
        <v>-0.19136231079016808</v>
      </c>
      <c r="AB102" s="274">
        <f t="shared" si="307"/>
        <v>-1.0733298986776552E-2</v>
      </c>
      <c r="AC102" s="274">
        <f t="shared" si="307"/>
        <v>-4.6436941237739671E-3</v>
      </c>
      <c r="AD102" s="269"/>
      <c r="AE102" s="274" t="s">
        <v>47</v>
      </c>
      <c r="AF102" s="274" t="s">
        <v>47</v>
      </c>
      <c r="AG102" s="274" t="s">
        <v>47</v>
      </c>
      <c r="AH102" s="274" t="s">
        <v>47</v>
      </c>
      <c r="AI102" s="274" t="s">
        <v>47</v>
      </c>
      <c r="AJ102" s="274" t="s">
        <v>47</v>
      </c>
      <c r="AK102" s="274" t="s">
        <v>47</v>
      </c>
      <c r="AL102" s="274" t="s">
        <v>47</v>
      </c>
      <c r="AM102" s="274" t="s">
        <v>47</v>
      </c>
      <c r="AN102" s="274" t="s">
        <v>47</v>
      </c>
      <c r="AO102" s="274" t="s">
        <v>47</v>
      </c>
      <c r="AP102" s="281" t="s">
        <v>47</v>
      </c>
      <c r="AR102" s="635">
        <f t="shared" si="304"/>
        <v>60.896048630025845</v>
      </c>
    </row>
  </sheetData>
  <mergeCells count="1">
    <mergeCell ref="AR2:AR4"/>
  </mergeCells>
  <pageMargins left="0.7" right="0.7" top="0.75" bottom="0.75" header="0.3" footer="0.3"/>
  <ignoredErrors>
    <ignoredError sqref="AC81:AC85 U81"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30AD9-97DF-4BD6-B94D-59FD98150685}">
  <sheetPr>
    <tabColor theme="6" tint="-0.249977111117893"/>
  </sheetPr>
  <dimension ref="A2:AP66"/>
  <sheetViews>
    <sheetView showGridLines="0" zoomScaleNormal="100" workbookViewId="0">
      <selection activeCell="AU21" sqref="AU21"/>
    </sheetView>
  </sheetViews>
  <sheetFormatPr defaultRowHeight="14.25" outlineLevelCol="1"/>
  <cols>
    <col min="1" max="1" width="1.625" customWidth="1"/>
    <col min="2" max="2" width="33.75" bestFit="1" customWidth="1"/>
    <col min="3" max="3" width="9" hidden="1" customWidth="1" outlineLevel="1"/>
    <col min="4" max="6" width="9.375" hidden="1" customWidth="1" outlineLevel="1"/>
    <col min="7" max="9" width="8.625" hidden="1" customWidth="1" outlineLevel="1"/>
    <col min="10" max="10" width="9.375" bestFit="1" customWidth="1" collapsed="1"/>
    <col min="11" max="12" width="9.375" bestFit="1" customWidth="1"/>
    <col min="13" max="13" width="1.625" customWidth="1"/>
    <col min="14" max="23" width="9" hidden="1" customWidth="1" outlineLevel="1"/>
    <col min="24" max="24" width="0" hidden="1" customWidth="1" outlineLevel="1"/>
    <col min="25" max="25" width="9" collapsed="1"/>
    <col min="30" max="30" width="1.625" customWidth="1"/>
    <col min="31" max="36" width="9" hidden="1" customWidth="1" outlineLevel="1"/>
    <col min="37" max="37" width="0" hidden="1" customWidth="1" outlineLevel="1"/>
    <col min="38" max="38" width="9" collapsed="1"/>
    <col min="39" max="41" width="0" hidden="1" customWidth="1" outlineLevel="1"/>
    <col min="42" max="42" width="9" collapsed="1"/>
  </cols>
  <sheetData>
    <row r="2" spans="1:42">
      <c r="B2" s="229" t="s">
        <v>189</v>
      </c>
      <c r="C2" s="2" t="s">
        <v>0</v>
      </c>
      <c r="D2" s="2"/>
      <c r="E2" s="2"/>
      <c r="F2" s="2" t="s">
        <v>0</v>
      </c>
      <c r="G2" s="2"/>
      <c r="H2" s="2"/>
      <c r="I2" s="2"/>
      <c r="J2" s="2" t="s">
        <v>0</v>
      </c>
      <c r="K2" s="2"/>
      <c r="L2" s="2"/>
      <c r="M2" s="3"/>
      <c r="N2" s="2" t="s">
        <v>1</v>
      </c>
      <c r="O2" s="2"/>
      <c r="P2" s="2"/>
      <c r="Q2" s="2"/>
      <c r="R2" s="2"/>
      <c r="S2" s="2"/>
      <c r="T2" s="2" t="s">
        <v>1</v>
      </c>
      <c r="U2" s="2"/>
      <c r="V2" s="2"/>
      <c r="W2" s="2"/>
      <c r="X2" s="2"/>
      <c r="Y2" s="2" t="s">
        <v>1</v>
      </c>
      <c r="Z2" s="2"/>
      <c r="AA2" s="2"/>
      <c r="AB2" s="2"/>
      <c r="AC2" s="2"/>
      <c r="AD2" s="3"/>
      <c r="AE2" s="2"/>
      <c r="AF2" s="2"/>
      <c r="AG2" s="2"/>
      <c r="AH2" s="2"/>
      <c r="AI2" s="2"/>
      <c r="AJ2" s="2"/>
      <c r="AK2" s="2" t="s">
        <v>10</v>
      </c>
      <c r="AL2" s="2" t="s">
        <v>10</v>
      </c>
      <c r="AM2" s="2"/>
      <c r="AN2" s="2"/>
      <c r="AO2" s="2"/>
      <c r="AP2" s="2"/>
    </row>
    <row r="3" spans="1:42">
      <c r="B3" s="282" t="s">
        <v>427</v>
      </c>
      <c r="C3" s="7">
        <f>'Historical Financials'!C7</f>
        <v>2016</v>
      </c>
      <c r="D3" s="7">
        <f>'Historical Financials'!D7</f>
        <v>2017</v>
      </c>
      <c r="E3" s="7">
        <f>'Historical Financials'!E7</f>
        <v>2018</v>
      </c>
      <c r="F3" s="7">
        <f>'Historical Financials'!F7</f>
        <v>2019</v>
      </c>
      <c r="G3" s="7">
        <f>'Historical Financials'!G7</f>
        <v>2020</v>
      </c>
      <c r="H3" s="7">
        <f>'Historical Financials'!H7</f>
        <v>2021</v>
      </c>
      <c r="I3" s="7">
        <f>'Historical Financials'!I7</f>
        <v>2022</v>
      </c>
      <c r="J3" s="7">
        <f>'Historical Financials'!J7</f>
        <v>2023</v>
      </c>
      <c r="K3" s="7">
        <f>'Historical Financials'!K7</f>
        <v>2024</v>
      </c>
      <c r="L3" s="7">
        <f>'Historical Financials'!L7</f>
        <v>2025</v>
      </c>
      <c r="M3" s="3"/>
      <c r="N3" s="7" t="str">
        <f>'Historical Financials'!N7</f>
        <v>1Q22</v>
      </c>
      <c r="O3" s="7" t="str">
        <f>'Historical Financials'!O7</f>
        <v>2Q22</v>
      </c>
      <c r="P3" s="7" t="str">
        <f>'Historical Financials'!P7</f>
        <v>3Q22</v>
      </c>
      <c r="Q3" s="7" t="str">
        <f>'Historical Financials'!Q7</f>
        <v>4Q22</v>
      </c>
      <c r="R3" s="7" t="str">
        <f>'Historical Financials'!R7</f>
        <v>1Q23</v>
      </c>
      <c r="S3" s="7" t="str">
        <f>'Historical Financials'!S7</f>
        <v>2Q23</v>
      </c>
      <c r="T3" s="7" t="str">
        <f>'Historical Financials'!T7</f>
        <v>3Q23</v>
      </c>
      <c r="U3" s="7" t="str">
        <f>'Historical Financials'!U7</f>
        <v>4Q23</v>
      </c>
      <c r="V3" s="7" t="str">
        <f>'Historical Financials'!V7</f>
        <v>1Q24</v>
      </c>
      <c r="W3" s="7" t="str">
        <f>'Historical Financials'!W7</f>
        <v>2Q24</v>
      </c>
      <c r="X3" s="7" t="str">
        <f>'Historical Financials'!X7</f>
        <v>3Q24</v>
      </c>
      <c r="Y3" s="7" t="str">
        <f>'Historical Financials'!Y7</f>
        <v>4Q24</v>
      </c>
      <c r="Z3" s="7" t="str">
        <f>'Historical Financials'!Z7</f>
        <v>1Q25</v>
      </c>
      <c r="AA3" s="7" t="str">
        <f>'Historical Financials'!AA7</f>
        <v>2Q25</v>
      </c>
      <c r="AB3" s="7" t="str">
        <f>'Historical Financials'!AB7</f>
        <v>3Q25</v>
      </c>
      <c r="AC3" s="7" t="str">
        <f>'Historical Financials'!AC7</f>
        <v>4Q25</v>
      </c>
      <c r="AD3" s="3"/>
      <c r="AE3" s="4" t="str">
        <f t="shared" ref="AE3:AP4" si="0">R3</f>
        <v>1Q23</v>
      </c>
      <c r="AF3" s="4" t="str">
        <f t="shared" si="0"/>
        <v>2Q23</v>
      </c>
      <c r="AG3" s="4" t="str">
        <f t="shared" si="0"/>
        <v>3Q23</v>
      </c>
      <c r="AH3" s="4" t="str">
        <f t="shared" si="0"/>
        <v>4Q23</v>
      </c>
      <c r="AI3" s="4" t="str">
        <f t="shared" si="0"/>
        <v>1Q24</v>
      </c>
      <c r="AJ3" s="4" t="str">
        <f t="shared" si="0"/>
        <v>2Q24</v>
      </c>
      <c r="AK3" s="4" t="str">
        <f t="shared" si="0"/>
        <v>3Q24</v>
      </c>
      <c r="AL3" s="4" t="str">
        <f t="shared" si="0"/>
        <v>4Q24</v>
      </c>
      <c r="AM3" s="4" t="str">
        <f t="shared" si="0"/>
        <v>1Q25</v>
      </c>
      <c r="AN3" s="4" t="str">
        <f t="shared" si="0"/>
        <v>2Q25</v>
      </c>
      <c r="AO3" s="4" t="str">
        <f t="shared" si="0"/>
        <v>3Q25</v>
      </c>
      <c r="AP3" s="4" t="str">
        <f t="shared" si="0"/>
        <v>4Q25</v>
      </c>
    </row>
    <row r="4" spans="1:42">
      <c r="B4" s="282" t="s">
        <v>422</v>
      </c>
      <c r="C4" s="113">
        <f>'Historical Financials'!C8</f>
        <v>42643</v>
      </c>
      <c r="D4" s="113">
        <f>'Historical Financials'!D8</f>
        <v>43008</v>
      </c>
      <c r="E4" s="113">
        <f>'Historical Financials'!E8</f>
        <v>43372</v>
      </c>
      <c r="F4" s="113">
        <f>'Historical Financials'!F8</f>
        <v>43737</v>
      </c>
      <c r="G4" s="113">
        <f>'Historical Financials'!G8</f>
        <v>44104</v>
      </c>
      <c r="H4" s="113">
        <f>'Historical Financials'!H8</f>
        <v>44469</v>
      </c>
      <c r="I4" s="113">
        <f>'Historical Financials'!I8</f>
        <v>44834</v>
      </c>
      <c r="J4" s="113">
        <f>'Historical Financials'!J8</f>
        <v>45192</v>
      </c>
      <c r="K4" s="113">
        <f>'Historical Financials'!K8</f>
        <v>45559</v>
      </c>
      <c r="L4" s="113">
        <f>'Historical Financials'!L8</f>
        <v>45927</v>
      </c>
      <c r="M4" s="3"/>
      <c r="N4" s="113">
        <f>'Historical Financials'!N8</f>
        <v>44560</v>
      </c>
      <c r="O4" s="113">
        <f>'Historical Financials'!O8</f>
        <v>44650</v>
      </c>
      <c r="P4" s="113">
        <f>'Historical Financials'!P8</f>
        <v>44742</v>
      </c>
      <c r="Q4" s="113">
        <f>'Historical Financials'!Q8</f>
        <v>44834</v>
      </c>
      <c r="R4" s="113">
        <f>'Historical Financials'!R8</f>
        <v>44917</v>
      </c>
      <c r="S4" s="113">
        <f>'Historical Financials'!S8</f>
        <v>45008</v>
      </c>
      <c r="T4" s="113">
        <f>'Historical Financials'!T8</f>
        <v>45100</v>
      </c>
      <c r="U4" s="113">
        <f>'Historical Financials'!U8</f>
        <v>45192</v>
      </c>
      <c r="V4" s="113">
        <f>'Historical Financials'!V8</f>
        <v>45283</v>
      </c>
      <c r="W4" s="113">
        <f>'Historical Financials'!W8</f>
        <v>45375</v>
      </c>
      <c r="X4" s="113">
        <f>'Historical Financials'!X8</f>
        <v>45467</v>
      </c>
      <c r="Y4" s="113">
        <f>'Historical Financials'!Y8</f>
        <v>45559</v>
      </c>
      <c r="Z4" s="113">
        <f>'Historical Financials'!Z8</f>
        <v>45650</v>
      </c>
      <c r="AA4" s="113">
        <f>'Historical Financials'!AA8</f>
        <v>45741</v>
      </c>
      <c r="AB4" s="113">
        <f>'Historical Financials'!AB8</f>
        <v>45833</v>
      </c>
      <c r="AC4" s="113">
        <f>'Historical Financials'!AC8</f>
        <v>45927</v>
      </c>
      <c r="AD4" s="3"/>
      <c r="AE4" s="3">
        <f t="shared" si="0"/>
        <v>44917</v>
      </c>
      <c r="AF4" s="3">
        <f t="shared" si="0"/>
        <v>45008</v>
      </c>
      <c r="AG4" s="3">
        <f t="shared" si="0"/>
        <v>45100</v>
      </c>
      <c r="AH4" s="3">
        <f t="shared" si="0"/>
        <v>45192</v>
      </c>
      <c r="AI4" s="3">
        <f t="shared" si="0"/>
        <v>45283</v>
      </c>
      <c r="AJ4" s="3">
        <f t="shared" si="0"/>
        <v>45375</v>
      </c>
      <c r="AK4" s="3">
        <f t="shared" si="0"/>
        <v>45467</v>
      </c>
      <c r="AL4" s="3">
        <f t="shared" si="0"/>
        <v>45559</v>
      </c>
      <c r="AM4" s="3">
        <f t="shared" si="0"/>
        <v>45650</v>
      </c>
      <c r="AN4" s="3">
        <f t="shared" si="0"/>
        <v>45741</v>
      </c>
      <c r="AO4" s="3">
        <f t="shared" si="0"/>
        <v>45833</v>
      </c>
      <c r="AP4" s="3">
        <f t="shared" si="0"/>
        <v>45927</v>
      </c>
    </row>
    <row r="5" spans="1:42" ht="5.0999999999999996" customHeight="1"/>
    <row r="6" spans="1:42" s="8" customFormat="1" ht="12">
      <c r="A6" s="39" t="s">
        <v>24</v>
      </c>
      <c r="B6" s="1" t="s">
        <v>428</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row>
    <row r="7" spans="1:42" ht="5.0999999999999996" customHeight="1"/>
    <row r="8" spans="1:42">
      <c r="B8" s="180" t="s">
        <v>66</v>
      </c>
      <c r="C8" s="385">
        <f>'Historical Financials'!C41</f>
        <v>15754</v>
      </c>
      <c r="D8" s="385">
        <f>'Historical Financials'!D41</f>
        <v>17874</v>
      </c>
      <c r="E8" s="385">
        <f>'Historical Financials'!E41</f>
        <v>23186</v>
      </c>
      <c r="F8" s="385">
        <f>'Historical Financials'!F41</f>
        <v>22926</v>
      </c>
      <c r="G8" s="385">
        <f>'Historical Financials'!G41</f>
        <v>16120</v>
      </c>
      <c r="H8" s="385">
        <f>'Historical Financials'!H41</f>
        <v>26278</v>
      </c>
      <c r="I8" s="385">
        <f>'Historical Financials'!I41</f>
        <v>28184</v>
      </c>
      <c r="J8" s="385">
        <f>'Historical Financials'!J41</f>
        <v>29508</v>
      </c>
      <c r="K8" s="385">
        <f>'Historical Financials'!K41</f>
        <v>66243</v>
      </c>
      <c r="L8" s="385">
        <f>'Historical Financials'!L41</f>
        <v>39777</v>
      </c>
      <c r="N8" s="385">
        <f>'Historical Financials'!N41</f>
        <v>30213</v>
      </c>
      <c r="O8" s="385">
        <f>'Historical Financials'!O41</f>
        <v>20815</v>
      </c>
      <c r="P8" s="385">
        <f>'Historical Financials'!P41</f>
        <v>21803</v>
      </c>
      <c r="Q8" s="385">
        <f>'Historical Financials'!Q41</f>
        <v>28184</v>
      </c>
      <c r="R8" s="385">
        <f>'Historical Financials'!R41</f>
        <v>23752</v>
      </c>
      <c r="S8" s="385">
        <f>'Historical Financials'!S41</f>
        <v>17936</v>
      </c>
      <c r="T8" s="385">
        <f>'Historical Financials'!T41</f>
        <v>19549</v>
      </c>
      <c r="U8" s="385">
        <f>'Historical Financials'!U41</f>
        <v>29508</v>
      </c>
      <c r="V8" s="385">
        <f>'Historical Financials'!V41</f>
        <v>23194</v>
      </c>
      <c r="W8" s="385">
        <f>'Historical Financials'!W41</f>
        <v>21837</v>
      </c>
      <c r="X8" s="385">
        <f>'Historical Financials'!X41</f>
        <v>22795</v>
      </c>
      <c r="Y8" s="385">
        <f>'Historical Financials'!Y41</f>
        <v>66243</v>
      </c>
      <c r="Z8" s="385">
        <f>'Historical Financials'!Z41</f>
        <v>29639</v>
      </c>
      <c r="AA8" s="385">
        <f>'Historical Financials'!AA41</f>
        <v>49798</v>
      </c>
      <c r="AB8" s="385">
        <f>'Historical Financials'!AB41</f>
        <v>46835</v>
      </c>
      <c r="AC8" s="385">
        <f>'Historical Financials'!AC41</f>
        <v>39777</v>
      </c>
      <c r="AE8" s="385">
        <f>'Historical Financials'!AE41</f>
        <v>23752</v>
      </c>
      <c r="AF8" s="385">
        <f>'Historical Financials'!AF41</f>
        <v>17936</v>
      </c>
      <c r="AG8" s="385">
        <f>'Historical Financials'!AG41</f>
        <v>19549</v>
      </c>
      <c r="AH8" s="385">
        <f>'Historical Financials'!AH41</f>
        <v>29508</v>
      </c>
      <c r="AI8" s="385">
        <f>'Historical Financials'!AI41</f>
        <v>23194</v>
      </c>
      <c r="AJ8" s="385">
        <f>'Historical Financials'!AJ41</f>
        <v>21837</v>
      </c>
      <c r="AK8" s="385">
        <f>'Historical Financials'!AK41</f>
        <v>22795</v>
      </c>
      <c r="AL8" s="385">
        <f>'Historical Financials'!AL41</f>
        <v>66243</v>
      </c>
      <c r="AM8" s="385">
        <f>'Historical Financials'!AM41</f>
        <v>29639</v>
      </c>
      <c r="AN8" s="385">
        <f>'Historical Financials'!AN41</f>
        <v>49798</v>
      </c>
      <c r="AO8" s="385">
        <f>'Historical Financials'!AO41</f>
        <v>46835</v>
      </c>
      <c r="AP8" s="385">
        <f>'Historical Financials'!AP41</f>
        <v>39777</v>
      </c>
    </row>
    <row r="9" spans="1:42">
      <c r="B9" s="180" t="s">
        <v>99</v>
      </c>
      <c r="C9" s="385">
        <f>'Historical Financials'!C42</f>
        <v>2132</v>
      </c>
      <c r="D9" s="385">
        <f>'Historical Financials'!D42</f>
        <v>4855</v>
      </c>
      <c r="E9" s="385">
        <f>'Historical Financials'!E42</f>
        <v>3956</v>
      </c>
      <c r="F9" s="385">
        <f>'Historical Financials'!F42</f>
        <v>4106</v>
      </c>
      <c r="G9" s="385">
        <f>'Historical Financials'!G42</f>
        <v>4061</v>
      </c>
      <c r="H9" s="385">
        <f>'Historical Financials'!H42</f>
        <v>6580</v>
      </c>
      <c r="I9" s="385">
        <f>'Historical Financials'!I42</f>
        <v>4946</v>
      </c>
      <c r="J9" s="385">
        <f>'Historical Financials'!J42</f>
        <v>6331</v>
      </c>
      <c r="K9" s="385">
        <f>'Historical Financials'!K42</f>
        <v>7286</v>
      </c>
      <c r="L9" s="385">
        <f>'Historical Financials'!L42</f>
        <v>5718</v>
      </c>
      <c r="N9" s="385">
        <f>'Historical Financials'!N42</f>
        <v>5876</v>
      </c>
      <c r="O9" s="385">
        <f>'Historical Financials'!O42</f>
        <v>5460</v>
      </c>
      <c r="P9" s="385">
        <f>'Historical Financials'!P42</f>
        <v>5433</v>
      </c>
      <c r="Q9" s="385">
        <f>'Historical Financials'!Q42</f>
        <v>4946</v>
      </c>
      <c r="R9" s="385">
        <f>'Historical Financials'!R42</f>
        <v>6820</v>
      </c>
      <c r="S9" s="385">
        <f>'Historical Financials'!S42</f>
        <v>7482</v>
      </c>
      <c r="T9" s="385">
        <f>'Historical Financials'!T42</f>
        <v>7351</v>
      </c>
      <c r="U9" s="385">
        <f>'Historical Financials'!U42</f>
        <v>6331</v>
      </c>
      <c r="V9" s="385">
        <f>'Historical Financials'!V42</f>
        <v>6511</v>
      </c>
      <c r="W9" s="385">
        <f>'Historical Financials'!W42</f>
        <v>6232</v>
      </c>
      <c r="X9" s="385">
        <f>'Historical Financials'!X42</f>
        <v>6165</v>
      </c>
      <c r="Y9" s="385">
        <f>'Historical Financials'!Y42</f>
        <v>7286</v>
      </c>
      <c r="Z9" s="385">
        <f>'Historical Financials'!Z42</f>
        <v>6911</v>
      </c>
      <c r="AA9" s="385">
        <f>'Historical Financials'!AA42</f>
        <v>6269</v>
      </c>
      <c r="AB9" s="385">
        <f>'Historical Financials'!AB42</f>
        <v>5925</v>
      </c>
      <c r="AC9" s="385">
        <f>'Historical Financials'!AC42</f>
        <v>5718</v>
      </c>
      <c r="AE9" s="385">
        <f>'Historical Financials'!AE42</f>
        <v>6820</v>
      </c>
      <c r="AF9" s="385">
        <f>'Historical Financials'!AF42</f>
        <v>7482</v>
      </c>
      <c r="AG9" s="385">
        <f>'Historical Financials'!AG42</f>
        <v>7351</v>
      </c>
      <c r="AH9" s="385">
        <f>'Historical Financials'!AH42</f>
        <v>6331</v>
      </c>
      <c r="AI9" s="385">
        <f>'Historical Financials'!AI42</f>
        <v>6511</v>
      </c>
      <c r="AJ9" s="385">
        <f>'Historical Financials'!AJ42</f>
        <v>6232</v>
      </c>
      <c r="AK9" s="385">
        <f>'Historical Financials'!AK42</f>
        <v>6165</v>
      </c>
      <c r="AL9" s="385">
        <f>'Historical Financials'!AL42</f>
        <v>7286</v>
      </c>
      <c r="AM9" s="385">
        <f>'Historical Financials'!AM42</f>
        <v>6911</v>
      </c>
      <c r="AN9" s="385">
        <f>'Historical Financials'!AN42</f>
        <v>6269</v>
      </c>
      <c r="AO9" s="385">
        <f>'Historical Financials'!AO42</f>
        <v>5925</v>
      </c>
      <c r="AP9" s="385">
        <f>'Historical Financials'!AP42</f>
        <v>5718</v>
      </c>
    </row>
    <row r="10" spans="1:42">
      <c r="B10" s="180" t="s">
        <v>191</v>
      </c>
      <c r="C10" s="385">
        <f>'Historical Financials'!C43</f>
        <v>21828</v>
      </c>
      <c r="D10" s="385">
        <f>'Historical Financials'!D43</f>
        <v>31735</v>
      </c>
      <c r="E10" s="385">
        <f>'Historical Financials'!E43</f>
        <v>37896</v>
      </c>
      <c r="F10" s="385">
        <f>'Historical Financials'!F43</f>
        <v>35230</v>
      </c>
      <c r="G10" s="385">
        <f>'Historical Financials'!G43</f>
        <v>32589</v>
      </c>
      <c r="H10" s="385">
        <f>'Historical Financials'!H43</f>
        <v>39339</v>
      </c>
      <c r="I10" s="385">
        <f>'Historical Financials'!I43</f>
        <v>53971</v>
      </c>
      <c r="J10" s="385">
        <f>'Historical Financials'!J43</f>
        <v>46172</v>
      </c>
      <c r="K10" s="385">
        <f>'Historical Financials'!K43</f>
        <v>14287</v>
      </c>
      <c r="L10" s="385">
        <f>'Historical Financials'!L43</f>
        <v>47765</v>
      </c>
      <c r="N10" s="385">
        <f>'Historical Financials'!N43</f>
        <v>53152</v>
      </c>
      <c r="O10" s="385">
        <f>'Historical Financials'!O43</f>
        <v>40394</v>
      </c>
      <c r="P10" s="385">
        <f>'Historical Financials'!P43</f>
        <v>36825</v>
      </c>
      <c r="Q10" s="385">
        <f>'Historical Financials'!Q43</f>
        <v>53971</v>
      </c>
      <c r="R10" s="385">
        <f>'Historical Financials'!R43</f>
        <v>46850</v>
      </c>
      <c r="S10" s="385">
        <f>'Historical Financials'!S43</f>
        <v>31623</v>
      </c>
      <c r="T10" s="385">
        <f>'Historical Financials'!T43</f>
        <v>33277</v>
      </c>
      <c r="U10" s="385">
        <f>'Historical Financials'!U43</f>
        <v>46172</v>
      </c>
      <c r="V10" s="385">
        <f>'Historical Financials'!V43</f>
        <v>40887</v>
      </c>
      <c r="W10" s="385">
        <f>'Historical Financials'!W43</f>
        <v>33197</v>
      </c>
      <c r="X10" s="385">
        <f>'Historical Financials'!X43</f>
        <v>34674</v>
      </c>
      <c r="Y10" s="385">
        <f>'Historical Financials'!Y43</f>
        <v>14287</v>
      </c>
      <c r="Z10" s="385">
        <f>'Historical Financials'!Z43</f>
        <v>42915</v>
      </c>
      <c r="AA10" s="385">
        <f>'Historical Financials'!AA43</f>
        <v>14109</v>
      </c>
      <c r="AB10" s="385">
        <f>'Historical Financials'!AB43</f>
        <v>14359</v>
      </c>
      <c r="AC10" s="385">
        <f>'Historical Financials'!AC43</f>
        <v>47765</v>
      </c>
      <c r="AE10" s="385">
        <f>'Historical Financials'!AE43</f>
        <v>46850</v>
      </c>
      <c r="AF10" s="385">
        <f>'Historical Financials'!AF43</f>
        <v>31623</v>
      </c>
      <c r="AG10" s="385">
        <f>'Historical Financials'!AG43</f>
        <v>33277</v>
      </c>
      <c r="AH10" s="385">
        <f>'Historical Financials'!AH43</f>
        <v>46172</v>
      </c>
      <c r="AI10" s="385">
        <f>'Historical Financials'!AI43</f>
        <v>40887</v>
      </c>
      <c r="AJ10" s="385">
        <f>'Historical Financials'!AJ43</f>
        <v>33197</v>
      </c>
      <c r="AK10" s="385">
        <f>'Historical Financials'!AK43</f>
        <v>34674</v>
      </c>
      <c r="AL10" s="385">
        <f>'Historical Financials'!AL43</f>
        <v>14287</v>
      </c>
      <c r="AM10" s="385">
        <f>'Historical Financials'!AM43</f>
        <v>42915</v>
      </c>
      <c r="AN10" s="385">
        <f>'Historical Financials'!AN43</f>
        <v>14109</v>
      </c>
      <c r="AO10" s="385">
        <f>'Historical Financials'!AO43</f>
        <v>14359</v>
      </c>
      <c r="AP10" s="385">
        <f>'Historical Financials'!AP43</f>
        <v>47765</v>
      </c>
    </row>
    <row r="11" spans="1:42">
      <c r="B11" s="14" t="s">
        <v>28</v>
      </c>
      <c r="C11" s="15">
        <f t="shared" ref="C11:L11" si="1">SUM(C8:C10)</f>
        <v>39714</v>
      </c>
      <c r="D11" s="15">
        <f t="shared" si="1"/>
        <v>54464</v>
      </c>
      <c r="E11" s="15">
        <f t="shared" si="1"/>
        <v>65038</v>
      </c>
      <c r="F11" s="15">
        <f t="shared" si="1"/>
        <v>62262</v>
      </c>
      <c r="G11" s="15">
        <f t="shared" si="1"/>
        <v>52770</v>
      </c>
      <c r="H11" s="15">
        <f t="shared" si="1"/>
        <v>72197</v>
      </c>
      <c r="I11" s="15">
        <f t="shared" si="1"/>
        <v>87101</v>
      </c>
      <c r="J11" s="15">
        <f t="shared" si="1"/>
        <v>82011</v>
      </c>
      <c r="K11" s="15">
        <f t="shared" si="1"/>
        <v>87816</v>
      </c>
      <c r="L11" s="15">
        <f t="shared" si="1"/>
        <v>93260</v>
      </c>
      <c r="N11" s="15">
        <f>SUM(N8:N10)</f>
        <v>89241</v>
      </c>
      <c r="O11" s="15">
        <f t="shared" ref="O11:AE11" si="2">SUM(O8:O10)</f>
        <v>66669</v>
      </c>
      <c r="P11" s="15">
        <f t="shared" si="2"/>
        <v>64061</v>
      </c>
      <c r="Q11" s="15">
        <f t="shared" si="2"/>
        <v>87101</v>
      </c>
      <c r="R11" s="15">
        <f t="shared" si="2"/>
        <v>77422</v>
      </c>
      <c r="S11" s="15">
        <f t="shared" si="2"/>
        <v>57041</v>
      </c>
      <c r="T11" s="15">
        <f t="shared" si="2"/>
        <v>60177</v>
      </c>
      <c r="U11" s="15">
        <f t="shared" si="2"/>
        <v>82011</v>
      </c>
      <c r="V11" s="15">
        <f t="shared" si="2"/>
        <v>70592</v>
      </c>
      <c r="W11" s="15">
        <f t="shared" si="2"/>
        <v>61266</v>
      </c>
      <c r="X11" s="15">
        <f t="shared" si="2"/>
        <v>63634</v>
      </c>
      <c r="Y11" s="15">
        <f t="shared" si="2"/>
        <v>87816</v>
      </c>
      <c r="Z11" s="15">
        <f t="shared" si="2"/>
        <v>79465</v>
      </c>
      <c r="AA11" s="15">
        <f t="shared" si="2"/>
        <v>70176</v>
      </c>
      <c r="AB11" s="15">
        <f t="shared" si="2"/>
        <v>67119</v>
      </c>
      <c r="AC11" s="15">
        <f t="shared" si="2"/>
        <v>93260</v>
      </c>
      <c r="AE11" s="15">
        <f t="shared" si="2"/>
        <v>77422</v>
      </c>
      <c r="AF11" s="15">
        <f t="shared" ref="AF11" si="3">SUM(AF8:AF10)</f>
        <v>57041</v>
      </c>
      <c r="AG11" s="15">
        <f t="shared" ref="AG11" si="4">SUM(AG8:AG10)</f>
        <v>60177</v>
      </c>
      <c r="AH11" s="15">
        <f t="shared" ref="AH11" si="5">SUM(AH8:AH10)</f>
        <v>82011</v>
      </c>
      <c r="AI11" s="15">
        <f t="shared" ref="AI11" si="6">SUM(AI8:AI10)</f>
        <v>70592</v>
      </c>
      <c r="AJ11" s="15">
        <f t="shared" ref="AJ11" si="7">SUM(AJ8:AJ10)</f>
        <v>61266</v>
      </c>
      <c r="AK11" s="15">
        <f t="shared" ref="AK11" si="8">SUM(AK8:AK10)</f>
        <v>63634</v>
      </c>
      <c r="AL11" s="15">
        <f t="shared" ref="AL11" si="9">SUM(AL8:AL10)</f>
        <v>87816</v>
      </c>
      <c r="AM11" s="15">
        <f t="shared" ref="AM11" si="10">SUM(AM8:AM10)</f>
        <v>79465</v>
      </c>
      <c r="AN11" s="15">
        <f t="shared" ref="AN11" si="11">SUM(AN8:AN10)</f>
        <v>70176</v>
      </c>
      <c r="AO11" s="15">
        <f t="shared" ref="AO11:AP11" si="12">SUM(AO8:AO10)</f>
        <v>67119</v>
      </c>
      <c r="AP11" s="15">
        <f t="shared" si="12"/>
        <v>93260</v>
      </c>
    </row>
    <row r="12" spans="1:42" ht="5.0999999999999996" customHeight="1">
      <c r="B12" s="8"/>
    </row>
    <row r="13" spans="1:42">
      <c r="B13" s="180" t="s">
        <v>67</v>
      </c>
      <c r="C13" s="385">
        <f>'Historical Financials'!C51</f>
        <v>37294</v>
      </c>
      <c r="D13" s="385">
        <f>'Historical Financials'!D51</f>
        <v>44242</v>
      </c>
      <c r="E13" s="385">
        <f>'Historical Financials'!E51</f>
        <v>55888</v>
      </c>
      <c r="F13" s="385">
        <f>'Historical Financials'!F51</f>
        <v>46236</v>
      </c>
      <c r="G13" s="385">
        <f>'Historical Financials'!G51</f>
        <v>42296</v>
      </c>
      <c r="H13" s="385">
        <f>'Historical Financials'!H51</f>
        <v>54763</v>
      </c>
      <c r="I13" s="385">
        <f>'Historical Financials'!I51</f>
        <v>64115</v>
      </c>
      <c r="J13" s="385">
        <f>'Historical Financials'!J51</f>
        <v>62611</v>
      </c>
      <c r="K13" s="385">
        <f>'Historical Financials'!K51</f>
        <v>68960</v>
      </c>
      <c r="L13" s="385">
        <f>'Historical Financials'!L51</f>
        <v>69860</v>
      </c>
      <c r="N13" s="385">
        <f>'Historical Financials'!N51</f>
        <v>74362</v>
      </c>
      <c r="O13" s="385">
        <f>'Historical Financials'!O51</f>
        <v>52682</v>
      </c>
      <c r="P13" s="385">
        <f>'Historical Financials'!P51</f>
        <v>48343</v>
      </c>
      <c r="Q13" s="385">
        <f>'Historical Financials'!Q51</f>
        <v>64115</v>
      </c>
      <c r="R13" s="385">
        <f>'Historical Financials'!R51</f>
        <v>57918</v>
      </c>
      <c r="S13" s="385">
        <f>'Historical Financials'!S51</f>
        <v>42945</v>
      </c>
      <c r="T13" s="385">
        <f>'Historical Financials'!T51</f>
        <v>46699</v>
      </c>
      <c r="U13" s="385">
        <f>'Historical Financials'!U51</f>
        <v>62611</v>
      </c>
      <c r="V13" s="385">
        <f>'Historical Financials'!V51</f>
        <v>58146</v>
      </c>
      <c r="W13" s="385">
        <f>'Historical Financials'!W51</f>
        <v>45753</v>
      </c>
      <c r="X13" s="385">
        <f>'Historical Financials'!X51</f>
        <v>47574</v>
      </c>
      <c r="Y13" s="385">
        <f>'Historical Financials'!Y51</f>
        <v>68960</v>
      </c>
      <c r="Z13" s="385">
        <f>'Historical Financials'!Z51</f>
        <v>61910</v>
      </c>
      <c r="AA13" s="385">
        <f>'Historical Financials'!AA51</f>
        <v>54126</v>
      </c>
      <c r="AB13" s="385">
        <f>'Historical Financials'!AB51</f>
        <v>50374</v>
      </c>
      <c r="AC13" s="385">
        <f>'Historical Financials'!AC51</f>
        <v>69860</v>
      </c>
      <c r="AE13" s="385">
        <f>'Historical Financials'!AE51</f>
        <v>57918</v>
      </c>
      <c r="AF13" s="385">
        <f>'Historical Financials'!AF51</f>
        <v>42945</v>
      </c>
      <c r="AG13" s="385">
        <f>'Historical Financials'!AG51</f>
        <v>46699</v>
      </c>
      <c r="AH13" s="385">
        <f>'Historical Financials'!AH51</f>
        <v>62611</v>
      </c>
      <c r="AI13" s="385">
        <f>'Historical Financials'!AI51</f>
        <v>58146</v>
      </c>
      <c r="AJ13" s="385">
        <f>'Historical Financials'!AJ51</f>
        <v>45753</v>
      </c>
      <c r="AK13" s="385">
        <f>'Historical Financials'!AK51</f>
        <v>47574</v>
      </c>
      <c r="AL13" s="385">
        <f>'Historical Financials'!AL51</f>
        <v>68960</v>
      </c>
      <c r="AM13" s="385">
        <f>'Historical Financials'!AM51</f>
        <v>61910</v>
      </c>
      <c r="AN13" s="385">
        <f>'Historical Financials'!AN51</f>
        <v>54126</v>
      </c>
      <c r="AO13" s="385">
        <f>'Historical Financials'!AO51</f>
        <v>50374</v>
      </c>
      <c r="AP13" s="385">
        <f>'Historical Financials'!AP51</f>
        <v>69860</v>
      </c>
    </row>
    <row r="14" spans="1:42">
      <c r="B14" s="180" t="s">
        <v>423</v>
      </c>
      <c r="C14" s="385">
        <f>'Historical Financials'!C52</f>
        <v>8080</v>
      </c>
      <c r="D14" s="385">
        <f>'Historical Financials'!D52</f>
        <v>7548</v>
      </c>
      <c r="E14" s="385">
        <f>'Historical Financials'!E52</f>
        <v>7543</v>
      </c>
      <c r="F14" s="385">
        <f>'Historical Financials'!F52</f>
        <v>5522</v>
      </c>
      <c r="G14" s="385">
        <f>'Historical Financials'!G52</f>
        <v>6643</v>
      </c>
      <c r="H14" s="385">
        <f>'Historical Financials'!H52</f>
        <v>7612</v>
      </c>
      <c r="I14" s="385">
        <f>'Historical Financials'!I52</f>
        <v>7912</v>
      </c>
      <c r="J14" s="385">
        <f>'Historical Financials'!J52</f>
        <v>8061</v>
      </c>
      <c r="K14" s="385">
        <f>'Historical Financials'!K52</f>
        <v>8249</v>
      </c>
      <c r="L14" s="385">
        <f>'Historical Financials'!L52</f>
        <v>9055</v>
      </c>
      <c r="N14" s="385">
        <f>'Historical Financials'!N52</f>
        <v>7876</v>
      </c>
      <c r="O14" s="385">
        <f>'Historical Financials'!O52</f>
        <v>7920</v>
      </c>
      <c r="P14" s="385">
        <f>'Historical Financials'!P52</f>
        <v>7728</v>
      </c>
      <c r="Q14" s="385">
        <f>'Historical Financials'!Q52</f>
        <v>7912</v>
      </c>
      <c r="R14" s="385">
        <f>'Historical Financials'!R52</f>
        <v>7992</v>
      </c>
      <c r="S14" s="385">
        <f>'Historical Financials'!S52</f>
        <v>8131</v>
      </c>
      <c r="T14" s="385">
        <f>'Historical Financials'!T52</f>
        <v>8158</v>
      </c>
      <c r="U14" s="385">
        <f>'Historical Financials'!U52</f>
        <v>8061</v>
      </c>
      <c r="V14" s="385">
        <f>'Historical Financials'!V52</f>
        <v>8264</v>
      </c>
      <c r="W14" s="385">
        <f>'Historical Financials'!W52</f>
        <v>8012</v>
      </c>
      <c r="X14" s="385">
        <f>'Historical Financials'!X52</f>
        <v>8053</v>
      </c>
      <c r="Y14" s="385">
        <f>'Historical Financials'!Y52</f>
        <v>8249</v>
      </c>
      <c r="Z14" s="385">
        <f>'Historical Financials'!Z52</f>
        <v>8461</v>
      </c>
      <c r="AA14" s="385">
        <f>'Historical Financials'!AA52</f>
        <v>8976</v>
      </c>
      <c r="AB14" s="385">
        <f>'Historical Financials'!AB52</f>
        <v>8979</v>
      </c>
      <c r="AC14" s="385">
        <f>'Historical Financials'!AC52</f>
        <v>9055</v>
      </c>
      <c r="AE14" s="385">
        <f>'Historical Financials'!AE52</f>
        <v>7992</v>
      </c>
      <c r="AF14" s="385">
        <f>'Historical Financials'!AF52</f>
        <v>8131</v>
      </c>
      <c r="AG14" s="385">
        <f>'Historical Financials'!AG52</f>
        <v>8158</v>
      </c>
      <c r="AH14" s="385">
        <f>'Historical Financials'!AH52</f>
        <v>8061</v>
      </c>
      <c r="AI14" s="385">
        <f>'Historical Financials'!AI52</f>
        <v>8264</v>
      </c>
      <c r="AJ14" s="385">
        <f>'Historical Financials'!AJ52</f>
        <v>8012</v>
      </c>
      <c r="AK14" s="385">
        <f>'Historical Financials'!AK52</f>
        <v>8053</v>
      </c>
      <c r="AL14" s="385">
        <f>'Historical Financials'!AL52</f>
        <v>8249</v>
      </c>
      <c r="AM14" s="385">
        <f>'Historical Financials'!AM52</f>
        <v>8461</v>
      </c>
      <c r="AN14" s="385">
        <f>'Historical Financials'!AN52</f>
        <v>8976</v>
      </c>
      <c r="AO14" s="385">
        <f>'Historical Financials'!AO52</f>
        <v>8979</v>
      </c>
      <c r="AP14" s="385">
        <f>'Historical Financials'!AP52</f>
        <v>9055</v>
      </c>
    </row>
    <row r="15" spans="1:42">
      <c r="B15" s="180" t="s">
        <v>424</v>
      </c>
      <c r="C15" s="385">
        <f>'Historical Financials'!C53</f>
        <v>22027</v>
      </c>
      <c r="D15" s="385">
        <f>'Historical Financials'!D53</f>
        <v>30551</v>
      </c>
      <c r="E15" s="385">
        <f>'Historical Financials'!E53</f>
        <v>32687</v>
      </c>
      <c r="F15" s="385">
        <f>'Historical Financials'!F53</f>
        <v>37720</v>
      </c>
      <c r="G15" s="385">
        <f>'Historical Financials'!G53</f>
        <v>42684</v>
      </c>
      <c r="H15" s="385">
        <f>'Historical Financials'!H53</f>
        <v>47493</v>
      </c>
      <c r="I15" s="385">
        <f>'Historical Financials'!I53</f>
        <v>60845</v>
      </c>
      <c r="J15" s="385">
        <f>'Historical Financials'!J53</f>
        <v>58829</v>
      </c>
      <c r="K15" s="385">
        <f>'Historical Financials'!K53</f>
        <v>78304</v>
      </c>
      <c r="L15" s="385">
        <f>'Historical Financials'!L53</f>
        <v>66387</v>
      </c>
      <c r="N15" s="385">
        <f>'Historical Financials'!N53</f>
        <v>49167</v>
      </c>
      <c r="O15" s="385">
        <f>'Historical Financials'!O53</f>
        <v>50248</v>
      </c>
      <c r="P15" s="385">
        <f>'Historical Financials'!P53</f>
        <v>48811</v>
      </c>
      <c r="Q15" s="385">
        <f>'Historical Financials'!Q53</f>
        <v>60845</v>
      </c>
      <c r="R15" s="385">
        <f>'Historical Financials'!R53</f>
        <v>59893</v>
      </c>
      <c r="S15" s="385">
        <f>'Historical Financials'!S53</f>
        <v>56425</v>
      </c>
      <c r="T15" s="385">
        <f>'Historical Financials'!T53</f>
        <v>58897</v>
      </c>
      <c r="U15" s="385">
        <f>'Historical Financials'!U53</f>
        <v>58829</v>
      </c>
      <c r="V15" s="385">
        <f>'Historical Financials'!V53</f>
        <v>54611</v>
      </c>
      <c r="W15" s="385">
        <f>'Historical Financials'!W53</f>
        <v>57298</v>
      </c>
      <c r="X15" s="385">
        <f>'Historical Financials'!X53</f>
        <v>60889</v>
      </c>
      <c r="Y15" s="385">
        <f>'Historical Financials'!Y53</f>
        <v>78304</v>
      </c>
      <c r="Z15" s="385">
        <f>'Historical Financials'!Z53</f>
        <v>61151</v>
      </c>
      <c r="AA15" s="385">
        <f>'Historical Financials'!AA53</f>
        <v>61849</v>
      </c>
      <c r="AB15" s="385">
        <f>'Historical Financials'!AB53</f>
        <v>62499</v>
      </c>
      <c r="AC15" s="385">
        <f>'Historical Financials'!AC53</f>
        <v>66387</v>
      </c>
      <c r="AE15" s="385">
        <f>'Historical Financials'!AE53</f>
        <v>59893</v>
      </c>
      <c r="AF15" s="385">
        <f>'Historical Financials'!AF53</f>
        <v>56425</v>
      </c>
      <c r="AG15" s="385">
        <f>'Historical Financials'!AG53</f>
        <v>58897</v>
      </c>
      <c r="AH15" s="385">
        <f>'Historical Financials'!AH53</f>
        <v>58829</v>
      </c>
      <c r="AI15" s="385">
        <f>'Historical Financials'!AI53</f>
        <v>54611</v>
      </c>
      <c r="AJ15" s="385">
        <f>'Historical Financials'!AJ53</f>
        <v>57298</v>
      </c>
      <c r="AK15" s="385">
        <f>'Historical Financials'!AK53</f>
        <v>60889</v>
      </c>
      <c r="AL15" s="385">
        <f>'Historical Financials'!AL53</f>
        <v>78304</v>
      </c>
      <c r="AM15" s="385">
        <f>'Historical Financials'!AM53</f>
        <v>61151</v>
      </c>
      <c r="AN15" s="385">
        <f>'Historical Financials'!AN53</f>
        <v>61849</v>
      </c>
      <c r="AO15" s="385">
        <f>'Historical Financials'!AO53</f>
        <v>62499</v>
      </c>
      <c r="AP15" s="385">
        <f>'Historical Financials'!AP53</f>
        <v>66387</v>
      </c>
    </row>
    <row r="16" spans="1:42">
      <c r="B16" s="14" t="s">
        <v>425</v>
      </c>
      <c r="C16" s="15">
        <f t="shared" ref="C16:L16" si="13">SUM(C13:C15)</f>
        <v>67401</v>
      </c>
      <c r="D16" s="15">
        <f t="shared" si="13"/>
        <v>82341</v>
      </c>
      <c r="E16" s="15">
        <f t="shared" si="13"/>
        <v>96118</v>
      </c>
      <c r="F16" s="15">
        <f t="shared" si="13"/>
        <v>89478</v>
      </c>
      <c r="G16" s="15">
        <f t="shared" si="13"/>
        <v>91623</v>
      </c>
      <c r="H16" s="15">
        <f t="shared" si="13"/>
        <v>109868</v>
      </c>
      <c r="I16" s="15">
        <f t="shared" si="13"/>
        <v>132872</v>
      </c>
      <c r="J16" s="15">
        <f t="shared" si="13"/>
        <v>129501</v>
      </c>
      <c r="K16" s="15">
        <f t="shared" si="13"/>
        <v>155513</v>
      </c>
      <c r="L16" s="15">
        <f t="shared" si="13"/>
        <v>145302</v>
      </c>
      <c r="N16" s="15">
        <f>SUM(N13:N15)</f>
        <v>131405</v>
      </c>
      <c r="O16" s="15">
        <f t="shared" ref="O16:AE16" si="14">SUM(O13:O15)</f>
        <v>110850</v>
      </c>
      <c r="P16" s="15">
        <f t="shared" si="14"/>
        <v>104882</v>
      </c>
      <c r="Q16" s="15">
        <f t="shared" si="14"/>
        <v>132872</v>
      </c>
      <c r="R16" s="15">
        <f t="shared" si="14"/>
        <v>125803</v>
      </c>
      <c r="S16" s="15">
        <f t="shared" si="14"/>
        <v>107501</v>
      </c>
      <c r="T16" s="15">
        <f t="shared" si="14"/>
        <v>113754</v>
      </c>
      <c r="U16" s="15">
        <f t="shared" si="14"/>
        <v>129501</v>
      </c>
      <c r="V16" s="15">
        <f t="shared" si="14"/>
        <v>121021</v>
      </c>
      <c r="W16" s="15">
        <f t="shared" si="14"/>
        <v>111063</v>
      </c>
      <c r="X16" s="15">
        <f t="shared" si="14"/>
        <v>116516</v>
      </c>
      <c r="Y16" s="15">
        <f t="shared" si="14"/>
        <v>155513</v>
      </c>
      <c r="Z16" s="15">
        <f t="shared" si="14"/>
        <v>131522</v>
      </c>
      <c r="AA16" s="15">
        <f t="shared" si="14"/>
        <v>124951</v>
      </c>
      <c r="AB16" s="15">
        <f t="shared" si="14"/>
        <v>121852</v>
      </c>
      <c r="AC16" s="15">
        <f t="shared" si="14"/>
        <v>145302</v>
      </c>
      <c r="AE16" s="15">
        <f t="shared" si="14"/>
        <v>125803</v>
      </c>
      <c r="AF16" s="15">
        <f t="shared" ref="AF16" si="15">SUM(AF13:AF15)</f>
        <v>107501</v>
      </c>
      <c r="AG16" s="15">
        <f t="shared" ref="AG16" si="16">SUM(AG13:AG15)</f>
        <v>113754</v>
      </c>
      <c r="AH16" s="15">
        <f t="shared" ref="AH16" si="17">SUM(AH13:AH15)</f>
        <v>129501</v>
      </c>
      <c r="AI16" s="15">
        <f t="shared" ref="AI16" si="18">SUM(AI13:AI15)</f>
        <v>121021</v>
      </c>
      <c r="AJ16" s="15">
        <f t="shared" ref="AJ16" si="19">SUM(AJ13:AJ15)</f>
        <v>111063</v>
      </c>
      <c r="AK16" s="15">
        <f t="shared" ref="AK16" si="20">SUM(AK13:AK15)</f>
        <v>116516</v>
      </c>
      <c r="AL16" s="15">
        <f t="shared" ref="AL16" si="21">SUM(AL13:AL15)</f>
        <v>155513</v>
      </c>
      <c r="AM16" s="15">
        <f t="shared" ref="AM16" si="22">SUM(AM13:AM15)</f>
        <v>131522</v>
      </c>
      <c r="AN16" s="15">
        <f t="shared" ref="AN16" si="23">SUM(AN13:AN15)</f>
        <v>124951</v>
      </c>
      <c r="AO16" s="15">
        <f t="shared" ref="AO16:AP16" si="24">SUM(AO13:AO15)</f>
        <v>121852</v>
      </c>
      <c r="AP16" s="15">
        <f t="shared" si="24"/>
        <v>145302</v>
      </c>
    </row>
    <row r="17" spans="1:42" ht="5.0999999999999996" customHeight="1">
      <c r="B17" s="27"/>
      <c r="C17" s="54"/>
      <c r="D17" s="54"/>
      <c r="E17" s="54"/>
      <c r="F17" s="54"/>
      <c r="G17" s="54"/>
      <c r="H17" s="54"/>
      <c r="I17" s="54"/>
      <c r="J17" s="54"/>
      <c r="K17" s="54"/>
      <c r="L17" s="54"/>
    </row>
    <row r="18" spans="1:42">
      <c r="B18" s="376" t="s">
        <v>415</v>
      </c>
      <c r="C18" s="377">
        <f>C11-C16</f>
        <v>-27687</v>
      </c>
      <c r="D18" s="377">
        <f t="shared" ref="D18:K18" si="25">D11-D16</f>
        <v>-27877</v>
      </c>
      <c r="E18" s="377">
        <f t="shared" si="25"/>
        <v>-31080</v>
      </c>
      <c r="F18" s="377">
        <f t="shared" si="25"/>
        <v>-27216</v>
      </c>
      <c r="G18" s="377">
        <f t="shared" si="25"/>
        <v>-38853</v>
      </c>
      <c r="H18" s="377">
        <f t="shared" si="25"/>
        <v>-37671</v>
      </c>
      <c r="I18" s="377">
        <f t="shared" si="25"/>
        <v>-45771</v>
      </c>
      <c r="J18" s="377">
        <f t="shared" si="25"/>
        <v>-47490</v>
      </c>
      <c r="K18" s="377">
        <f t="shared" si="25"/>
        <v>-67697</v>
      </c>
      <c r="L18" s="377">
        <f t="shared" ref="L18" si="26">L11-L16</f>
        <v>-52042</v>
      </c>
      <c r="M18" s="378"/>
      <c r="N18" s="377">
        <f t="shared" ref="N18:O18" si="27">N11-N16</f>
        <v>-42164</v>
      </c>
      <c r="O18" s="377">
        <f t="shared" si="27"/>
        <v>-44181</v>
      </c>
      <c r="P18" s="377">
        <f t="shared" ref="P18:AE18" si="28">P11-P16</f>
        <v>-40821</v>
      </c>
      <c r="Q18" s="377">
        <f t="shared" si="28"/>
        <v>-45771</v>
      </c>
      <c r="R18" s="377">
        <f t="shared" si="28"/>
        <v>-48381</v>
      </c>
      <c r="S18" s="377">
        <f t="shared" si="28"/>
        <v>-50460</v>
      </c>
      <c r="T18" s="377">
        <f t="shared" si="28"/>
        <v>-53577</v>
      </c>
      <c r="U18" s="377">
        <f t="shared" si="28"/>
        <v>-47490</v>
      </c>
      <c r="V18" s="377">
        <f t="shared" si="28"/>
        <v>-50429</v>
      </c>
      <c r="W18" s="377">
        <f t="shared" si="28"/>
        <v>-49797</v>
      </c>
      <c r="X18" s="377">
        <f t="shared" si="28"/>
        <v>-52882</v>
      </c>
      <c r="Y18" s="377">
        <f t="shared" si="28"/>
        <v>-67697</v>
      </c>
      <c r="Z18" s="377">
        <f t="shared" si="28"/>
        <v>-52057</v>
      </c>
      <c r="AA18" s="377">
        <f t="shared" si="28"/>
        <v>-54775</v>
      </c>
      <c r="AB18" s="377">
        <f t="shared" si="28"/>
        <v>-54733</v>
      </c>
      <c r="AC18" s="377">
        <f t="shared" ref="AC18" si="29">AC11-AC16</f>
        <v>-52042</v>
      </c>
      <c r="AD18" s="378"/>
      <c r="AE18" s="377">
        <f t="shared" si="28"/>
        <v>-48381</v>
      </c>
      <c r="AF18" s="377">
        <f t="shared" ref="AF18:AO18" si="30">AF11-AF16</f>
        <v>-50460</v>
      </c>
      <c r="AG18" s="377">
        <f t="shared" si="30"/>
        <v>-53577</v>
      </c>
      <c r="AH18" s="377">
        <f t="shared" si="30"/>
        <v>-47490</v>
      </c>
      <c r="AI18" s="377">
        <f t="shared" si="30"/>
        <v>-50429</v>
      </c>
      <c r="AJ18" s="377">
        <f t="shared" si="30"/>
        <v>-49797</v>
      </c>
      <c r="AK18" s="377">
        <f t="shared" si="30"/>
        <v>-52882</v>
      </c>
      <c r="AL18" s="377">
        <f t="shared" si="30"/>
        <v>-67697</v>
      </c>
      <c r="AM18" s="377">
        <f t="shared" si="30"/>
        <v>-52057</v>
      </c>
      <c r="AN18" s="377">
        <f t="shared" si="30"/>
        <v>-54775</v>
      </c>
      <c r="AO18" s="377">
        <f t="shared" si="30"/>
        <v>-54733</v>
      </c>
      <c r="AP18" s="384">
        <f t="shared" ref="AP18" si="31">AP11-AP16</f>
        <v>-52042</v>
      </c>
    </row>
    <row r="19" spans="1:42">
      <c r="B19" s="379" t="s">
        <v>416</v>
      </c>
      <c r="C19" s="382" t="s">
        <v>47</v>
      </c>
      <c r="D19" s="380">
        <f>SUM(D18-C18)</f>
        <v>-190</v>
      </c>
      <c r="E19" s="380">
        <f t="shared" ref="E19:L19" si="32">SUM(E18-D18)</f>
        <v>-3203</v>
      </c>
      <c r="F19" s="380">
        <f t="shared" si="32"/>
        <v>3864</v>
      </c>
      <c r="G19" s="380">
        <f t="shared" si="32"/>
        <v>-11637</v>
      </c>
      <c r="H19" s="380">
        <f t="shared" si="32"/>
        <v>1182</v>
      </c>
      <c r="I19" s="380">
        <f t="shared" si="32"/>
        <v>-8100</v>
      </c>
      <c r="J19" s="380">
        <f t="shared" si="32"/>
        <v>-1719</v>
      </c>
      <c r="K19" s="380">
        <f t="shared" si="32"/>
        <v>-20207</v>
      </c>
      <c r="L19" s="380">
        <f t="shared" si="32"/>
        <v>15655</v>
      </c>
      <c r="M19" s="381"/>
      <c r="N19" s="382" t="s">
        <v>47</v>
      </c>
      <c r="O19" s="380">
        <f t="shared" ref="O19" si="33">SUM(O18-N18)</f>
        <v>-2017</v>
      </c>
      <c r="P19" s="380">
        <f t="shared" ref="P19" si="34">SUM(P18-O18)</f>
        <v>3360</v>
      </c>
      <c r="Q19" s="380">
        <f t="shared" ref="Q19" si="35">SUM(Q18-P18)</f>
        <v>-4950</v>
      </c>
      <c r="R19" s="380">
        <f t="shared" ref="R19" si="36">SUM(R18-Q18)</f>
        <v>-2610</v>
      </c>
      <c r="S19" s="380">
        <f t="shared" ref="S19" si="37">SUM(S18-R18)</f>
        <v>-2079</v>
      </c>
      <c r="T19" s="380">
        <f t="shared" ref="T19" si="38">SUM(T18-S18)</f>
        <v>-3117</v>
      </c>
      <c r="U19" s="380">
        <f t="shared" ref="U19" si="39">SUM(U18-T18)</f>
        <v>6087</v>
      </c>
      <c r="V19" s="380">
        <f t="shared" ref="V19" si="40">SUM(V18-U18)</f>
        <v>-2939</v>
      </c>
      <c r="W19" s="380">
        <f t="shared" ref="W19" si="41">SUM(W18-V18)</f>
        <v>632</v>
      </c>
      <c r="X19" s="380">
        <f t="shared" ref="X19" si="42">SUM(X18-W18)</f>
        <v>-3085</v>
      </c>
      <c r="Y19" s="380">
        <f t="shared" ref="Y19" si="43">SUM(Y18-X18)</f>
        <v>-14815</v>
      </c>
      <c r="Z19" s="380">
        <f t="shared" ref="Z19" si="44">SUM(Z18-Y18)</f>
        <v>15640</v>
      </c>
      <c r="AA19" s="380">
        <f t="shared" ref="AA19" si="45">SUM(AA18-Z18)</f>
        <v>-2718</v>
      </c>
      <c r="AB19" s="380">
        <f t="shared" ref="AB19:AC19" si="46">SUM(AB18-AA18)</f>
        <v>42</v>
      </c>
      <c r="AC19" s="380">
        <f t="shared" si="46"/>
        <v>2691</v>
      </c>
      <c r="AD19" s="381"/>
      <c r="AE19" s="382" t="s">
        <v>47</v>
      </c>
      <c r="AF19" s="380">
        <f t="shared" ref="AF19" si="47">SUM(AF18-AE18)</f>
        <v>-2079</v>
      </c>
      <c r="AG19" s="380">
        <f t="shared" ref="AG19" si="48">SUM(AG18-AF18)</f>
        <v>-3117</v>
      </c>
      <c r="AH19" s="380">
        <f t="shared" ref="AH19" si="49">SUM(AH18-AG18)</f>
        <v>6087</v>
      </c>
      <c r="AI19" s="380">
        <f t="shared" ref="AI19" si="50">SUM(AI18-AH18)</f>
        <v>-2939</v>
      </c>
      <c r="AJ19" s="380">
        <f t="shared" ref="AJ19" si="51">SUM(AJ18-AI18)</f>
        <v>632</v>
      </c>
      <c r="AK19" s="380">
        <f t="shared" ref="AK19" si="52">SUM(AK18-AJ18)</f>
        <v>-3085</v>
      </c>
      <c r="AL19" s="380">
        <f t="shared" ref="AL19" si="53">SUM(AL18-AK18)</f>
        <v>-14815</v>
      </c>
      <c r="AM19" s="380">
        <f>SUM(AM18-AL18)</f>
        <v>15640</v>
      </c>
      <c r="AN19" s="380">
        <f t="shared" ref="AN19" si="54">SUM(AN18-AM18)</f>
        <v>-2718</v>
      </c>
      <c r="AO19" s="380">
        <f t="shared" ref="AO19:AP19" si="55">SUM(AO18-AN18)</f>
        <v>42</v>
      </c>
      <c r="AP19" s="383">
        <f t="shared" si="55"/>
        <v>2691</v>
      </c>
    </row>
    <row r="20" spans="1:42" ht="5.0999999999999996" customHeight="1">
      <c r="B20" s="8"/>
    </row>
    <row r="21" spans="1:42">
      <c r="B21" s="277" t="s">
        <v>420</v>
      </c>
      <c r="C21" s="375"/>
      <c r="D21" s="375"/>
      <c r="E21" s="375"/>
      <c r="F21" s="375"/>
      <c r="G21" s="375"/>
      <c r="H21" s="375"/>
      <c r="I21" s="375"/>
      <c r="J21" s="375"/>
      <c r="K21" s="375"/>
      <c r="L21" s="375"/>
      <c r="M21" s="375"/>
      <c r="N21" s="375"/>
      <c r="O21" s="375"/>
      <c r="P21" s="375"/>
      <c r="Q21" s="375"/>
      <c r="R21" s="375"/>
      <c r="S21" s="375"/>
      <c r="T21" s="375"/>
      <c r="U21" s="375"/>
      <c r="V21" s="375"/>
      <c r="W21" s="375"/>
      <c r="X21" s="375"/>
      <c r="Y21" s="375"/>
      <c r="Z21" s="375"/>
      <c r="AA21" s="375"/>
      <c r="AB21" s="375"/>
      <c r="AC21" s="375"/>
      <c r="AD21" s="375"/>
      <c r="AE21" s="375"/>
      <c r="AF21" s="375"/>
      <c r="AG21" s="375"/>
      <c r="AH21" s="375"/>
      <c r="AI21" s="375"/>
      <c r="AJ21" s="375"/>
      <c r="AK21" s="375"/>
      <c r="AL21" s="375"/>
      <c r="AM21" s="375"/>
      <c r="AN21" s="375"/>
      <c r="AO21" s="375"/>
      <c r="AP21" s="397"/>
    </row>
    <row r="22" spans="1:42">
      <c r="B22" s="270" t="s">
        <v>417</v>
      </c>
      <c r="C22" s="386" t="s">
        <v>47</v>
      </c>
      <c r="D22" s="387" cm="1">
        <f t="array" ref="D22">AVERAGE(C8:D8/'Historical Financials'!D10)*360</f>
        <v>26.405507036478006</v>
      </c>
      <c r="E22" s="387" cm="1">
        <f t="array" ref="E22">AVERAGE(D8:E8/'Historical Financials'!E10)*360</f>
        <v>27.827331086805099</v>
      </c>
      <c r="F22" s="387" cm="1">
        <f t="array" ref="F22">AVERAGE(E8:F8/'Historical Financials'!F10)*360</f>
        <v>31.902342278628918</v>
      </c>
      <c r="G22" s="387" cm="1">
        <f t="array" ref="G22">AVERAGE(F8:G8/'Historical Financials'!G10)*360</f>
        <v>25.602535380580296</v>
      </c>
      <c r="H22" s="387" cm="1">
        <f t="array" ref="H22">AVERAGE(G8:H8/'Historical Financials'!H10)*360</f>
        <v>20.861906363017575</v>
      </c>
      <c r="I22" s="387" cm="1">
        <f t="array" ref="I22">AVERAGE(H8:I8/'Historical Financials'!I10)*360</f>
        <v>24.860420766468522</v>
      </c>
      <c r="J22" s="387" cm="1">
        <f t="array" ref="J22">AVERAGE(I8:J8/'Historical Financials'!J10)*360</f>
        <v>27.093572667858119</v>
      </c>
      <c r="K22" s="387" cm="1">
        <f t="array" ref="K22">AVERAGE(J8:K8/'Historical Financials'!K10)*360</f>
        <v>44.075798841535928</v>
      </c>
      <c r="L22" s="387" cm="1">
        <f t="array" ref="L22">AVERAGE(K8:L8/'Historical Financials'!L10)*360</f>
        <v>45.856291194994249</v>
      </c>
      <c r="N22" s="386" t="s">
        <v>47</v>
      </c>
      <c r="O22" s="387" cm="1">
        <f t="array" ref="O22">AVERAGE(N8:O8/('Historical Financials'!O10*4)*360)</f>
        <v>23.605131684450747</v>
      </c>
      <c r="P22" s="387" cm="1">
        <f t="array" ref="P22">AVERAGE(O8:P8/('Historical Financials'!P10*4)*360)</f>
        <v>23.11756409792789</v>
      </c>
      <c r="Q22" s="387" cm="1">
        <f t="array" ref="Q22">AVERAGE(P8:Q8/('Historical Financials'!Q10*4)*360)</f>
        <v>24.95302065538127</v>
      </c>
      <c r="R22" s="387" cm="1">
        <f t="array" ref="R22">AVERAGE(Q8:R8/('Historical Financials'!R10*4)*360)</f>
        <v>19.949126790378479</v>
      </c>
      <c r="S22" s="387" cm="1">
        <f t="array" ref="S22">AVERAGE(R8:S8/('Historical Financials'!S10*4)*360)</f>
        <v>19.781095786410226</v>
      </c>
      <c r="T22" s="387" cm="1">
        <f t="array" ref="T22">AVERAGE(S8:T8/('Historical Financials'!T10*4)*360)</f>
        <v>20.622088829663682</v>
      </c>
      <c r="U22" s="387" cm="1">
        <f t="array" ref="U22">AVERAGE(T8:U8/('Historical Financials'!U10*4)*360)</f>
        <v>24.666081923618407</v>
      </c>
      <c r="V22" s="387" cm="1">
        <f t="array" ref="V22">AVERAGE(U8:V8/('Historical Financials'!V10*4)*360)</f>
        <v>19.833493623249009</v>
      </c>
      <c r="W22" s="387" cm="1">
        <f t="array" ref="W22">AVERAGE(V8:W8/('Historical Financials'!W10*4)*360)</f>
        <v>22.328683349310765</v>
      </c>
      <c r="X22" s="387" cm="1">
        <f t="array" ref="X22">AVERAGE(W8:X8/('Historical Financials'!X10*4)*360)</f>
        <v>23.414668267717452</v>
      </c>
      <c r="Y22" s="387" cm="1">
        <f t="array" ref="Y22">AVERAGE(X8:Y8/('Historical Financials'!Y10*4)*360)</f>
        <v>42.206994627620354</v>
      </c>
      <c r="Z22" s="387" cm="1">
        <f t="array" ref="Z22">AVERAGE(Y8:Z8/('Historical Financials'!Z10*4)*360)</f>
        <v>34.711906677393401</v>
      </c>
      <c r="AA22" s="387" cm="1">
        <f t="array" ref="AA22">AVERAGE(Z8:AA8/('Historical Financials'!AA10*4)*360)</f>
        <v>37.486393523422016</v>
      </c>
      <c r="AB22" s="387" cm="1">
        <f t="array" ref="AB22">AVERAGE(AA8:AB8/('Historical Financials'!AB10*4)*360)</f>
        <v>46.242768726870558</v>
      </c>
      <c r="AC22" s="387" cm="1">
        <f t="array" ref="AC22">AVERAGE(AB8:AC8/('Historical Financials'!AC10*4)*360)</f>
        <v>38.037397770967928</v>
      </c>
      <c r="AE22" s="386" t="s">
        <v>47</v>
      </c>
      <c r="AF22" s="387" cm="1">
        <f t="array" ref="AF22">AVERAGE(AE8:AF8/'Historical Financials'!AF10)*360</f>
        <v>19.48568535036809</v>
      </c>
      <c r="AG22" s="387" cm="1">
        <f t="array" ref="AG22">AVERAGE(AF8:AG8/'Historical Financials'!AG10)*360</f>
        <v>17.57416007480472</v>
      </c>
      <c r="AH22" s="387" cm="1">
        <f t="array" ref="AH22">AVERAGE(AG8:AH8/'Historical Financials'!AH10)*360</f>
        <v>23.038365706980446</v>
      </c>
      <c r="AI22" s="387" cm="1">
        <f t="array" ref="AI22">AVERAGE(AH8:AI8/'Historical Financials'!AI10)*360</f>
        <v>24.594794999299985</v>
      </c>
      <c r="AJ22" s="387" cm="1">
        <f t="array" ref="AJ22">AVERAGE(AI8:AJ8/'Historical Financials'!AJ10)*360</f>
        <v>21.239757561782177</v>
      </c>
      <c r="AK22" s="387" cm="1">
        <f t="array" ref="AK22">AVERAGE(AJ8:AK8/'Historical Financials'!AK10)*360</f>
        <v>20.834277741615082</v>
      </c>
      <c r="AL22" s="387" cm="1">
        <f t="array" ref="AL22">AVERAGE(AK8:AL8/'Historical Financials'!AL10)*360</f>
        <v>40.985691817867966</v>
      </c>
      <c r="AM22" s="387" cm="1">
        <f t="array" ref="AM22">AVERAGE(AL8:AM8/'Historical Financials'!AM10)*360</f>
        <v>43.609157064887803</v>
      </c>
      <c r="AN22" s="387" cm="1">
        <f t="array" ref="AN22">AVERAGE(AM8:AN8/'Historical Financials'!AN10)*360</f>
        <v>35.713971715879971</v>
      </c>
      <c r="AO22" s="387" cm="1">
        <f t="array" ref="AO22">AVERAGE(AN8:AO8/'Historical Financials'!AO10)*360</f>
        <v>42.566999082288163</v>
      </c>
      <c r="AP22" s="393" cm="1">
        <f t="array" ref="AP22">AVERAGE(AO8:AP8/'Historical Financials'!AP10)*360</f>
        <v>37.461847698366739</v>
      </c>
    </row>
    <row r="23" spans="1:42">
      <c r="B23" s="270" t="s">
        <v>426</v>
      </c>
      <c r="C23" s="386" t="s">
        <v>47</v>
      </c>
      <c r="D23" s="388">
        <f>('Historical Financials'!D10)/AVERAGE(C9:D9)</f>
        <v>65.617289251467014</v>
      </c>
      <c r="E23" s="388">
        <f>('Historical Financials'!E10)/AVERAGE(D9:E9)</f>
        <v>60.287141073657928</v>
      </c>
      <c r="F23" s="388">
        <f>('Historical Financials'!F10)/AVERAGE(E9:F9)</f>
        <v>64.543289506325976</v>
      </c>
      <c r="G23" s="388">
        <f>('Historical Financials'!G10)/AVERAGE(F9:G9)</f>
        <v>67.225419370637937</v>
      </c>
      <c r="H23" s="388">
        <f>('Historical Financials'!H10)/AVERAGE(G9:H9)</f>
        <v>68.756131942486604</v>
      </c>
      <c r="I23" s="388">
        <f>('Historical Financials'!I10)/AVERAGE(H9:I9)</f>
        <v>68.42408467811903</v>
      </c>
      <c r="J23" s="388">
        <f>('Historical Financials'!J10)/AVERAGE(I9:J9)</f>
        <v>67.976412166356297</v>
      </c>
      <c r="K23" s="388">
        <f>('Historical Financials'!K10)/AVERAGE(J9:K9)</f>
        <v>57.433355364617761</v>
      </c>
      <c r="L23" s="388">
        <f>('Historical Financials'!L10)/AVERAGE(K9:L9)</f>
        <v>64.005075361427259</v>
      </c>
      <c r="N23" s="386" t="s">
        <v>47</v>
      </c>
      <c r="O23" s="388">
        <f>('Historical Financials'!O10*4)/AVERAGE(N9:O9)</f>
        <v>68.65067043048694</v>
      </c>
      <c r="P23" s="388">
        <f>('Historical Financials'!P10*4)/AVERAGE(O9:P9)</f>
        <v>60.926466538143764</v>
      </c>
      <c r="Q23" s="388">
        <f>('Historical Financials'!Q10*4)/AVERAGE(P9:Q9)</f>
        <v>69.483379901724632</v>
      </c>
      <c r="R23" s="388">
        <f>('Historical Financials'!R10*4)/AVERAGE(Q9:R9)</f>
        <v>79.655957844637086</v>
      </c>
      <c r="S23" s="388">
        <f>('Historical Financials'!S10*4)/AVERAGE(R9:S9)</f>
        <v>53.047685638372258</v>
      </c>
      <c r="T23" s="388">
        <f>('Historical Financials'!T10*4)/AVERAGE(S9:T9)</f>
        <v>44.116227330951254</v>
      </c>
      <c r="U23" s="388">
        <f>('Historical Financials'!U10*4)/AVERAGE(T9:U9)</f>
        <v>52.330361058324804</v>
      </c>
      <c r="V23" s="388">
        <f>('Historical Financials'!V10*4)/AVERAGE(U9:V9)</f>
        <v>74.489954835695372</v>
      </c>
      <c r="W23" s="388">
        <f>('Historical Financials'!W10*4)/AVERAGE(V9:W9)</f>
        <v>56.974338852703447</v>
      </c>
      <c r="X23" s="388">
        <f>('Historical Financials'!X10*4)/AVERAGE(W9:X9)</f>
        <v>55.353391949665244</v>
      </c>
      <c r="Y23" s="388">
        <f>('Historical Financials'!Y10*4)/AVERAGE(X9:Y9)</f>
        <v>56.45974277005427</v>
      </c>
      <c r="Z23" s="388">
        <f>('Historical Financials'!Z10*4)/AVERAGE(Y9:Z9)</f>
        <v>70.042966823976897</v>
      </c>
      <c r="AA23" s="388">
        <f>('Historical Financials'!AA10*4)/AVERAGE(Z9:AA9)</f>
        <v>57.88103186646434</v>
      </c>
      <c r="AB23" s="388">
        <f>('Historical Financials'!AB10*4)/AVERAGE(AA9:AB9)</f>
        <v>61.693291782844021</v>
      </c>
      <c r="AC23" s="388">
        <f>('Historical Financials'!AC10*4)/AVERAGE(AB9:AC9)</f>
        <v>70.405222021815689</v>
      </c>
      <c r="AE23" s="386" t="s">
        <v>47</v>
      </c>
      <c r="AF23" s="388">
        <f>('Historical Financials'!AF10)/AVERAGE(AE9:AF9)</f>
        <v>53.851908823940711</v>
      </c>
      <c r="AG23" s="388">
        <f>('Historical Financials'!AG10)/AVERAGE(AF9:AG9)</f>
        <v>51.767410503606826</v>
      </c>
      <c r="AH23" s="388">
        <f>('Historical Financials'!AH10)/AVERAGE(AG9:AH9)</f>
        <v>56.027627539833361</v>
      </c>
      <c r="AI23" s="388">
        <f>('Historical Financials'!AI10)/AVERAGE(AH9:AI9)</f>
        <v>60.069459585734307</v>
      </c>
      <c r="AJ23" s="388">
        <f>('Historical Financials'!AJ10)/AVERAGE(AI9:AJ9)</f>
        <v>59.895315074943106</v>
      </c>
      <c r="AK23" s="388">
        <f>('Historical Financials'!AK10)/AVERAGE(AJ9:AK9)</f>
        <v>62.209082842623218</v>
      </c>
      <c r="AL23" s="388">
        <f>('Historical Financials'!AL10)/AVERAGE(AK9:AL9)</f>
        <v>58.142145565385476</v>
      </c>
      <c r="AM23" s="388">
        <f>('Historical Financials'!AM10)/AVERAGE(AL9:AM9)</f>
        <v>55.752623793759248</v>
      </c>
      <c r="AN23" s="388">
        <f>('Historical Financials'!AN10)/AVERAGE(AM9:AN9)</f>
        <v>60.753566009104702</v>
      </c>
      <c r="AO23" s="388">
        <f>('Historical Financials'!AO10)/AVERAGE(AN9:AO9)</f>
        <v>67.020665901262916</v>
      </c>
      <c r="AP23" s="394">
        <f>('Historical Financials'!AP10)/AVERAGE(AO9:AP9)</f>
        <v>71.486902001202438</v>
      </c>
    </row>
    <row r="24" spans="1:42">
      <c r="B24" s="270" t="s">
        <v>418</v>
      </c>
      <c r="C24" s="386" t="s">
        <v>47</v>
      </c>
      <c r="D24" s="389" cm="1">
        <f t="array" ref="D24">-AVERAGE(C9:D9/'Historical Financials'!D13)*360</f>
        <v>8.9165390505359881</v>
      </c>
      <c r="E24" s="389" cm="1">
        <f t="array" ref="E24">-AVERAGE(D9:E9/'Historical Financials'!E13)*360</f>
        <v>9.6850191748699288</v>
      </c>
      <c r="F24" s="389" cm="1">
        <f t="array" ref="F24">-AVERAGE(E9:F9/'Historical Financials'!F13)*360</f>
        <v>8.9698483143983871</v>
      </c>
      <c r="G24" s="389" cm="1">
        <f t="array" ref="G24">-AVERAGE(F9:G9/'Historical Financials'!G13)*360</f>
        <v>8.669902511810049</v>
      </c>
      <c r="H24" s="389" cm="1">
        <f t="array" ref="H24">-AVERAGE(G9:H9/'Historical Financials'!H13)*360</f>
        <v>8.9931965762204129</v>
      </c>
      <c r="I24" s="389" cm="1">
        <f t="array" ref="I24">-AVERAGE(H9:I9/'Historical Financials'!I13)*360</f>
        <v>9.2807744267399102</v>
      </c>
      <c r="J24" s="389" cm="1">
        <f t="array" ref="J24">-AVERAGE(I9:J9/'Historical Financials'!J13)*360</f>
        <v>9.4792586054721983</v>
      </c>
      <c r="K24" s="389" cm="1">
        <f t="array" ref="K24">-AVERAGE(J9:K9/'Historical Financials'!K13)*360</f>
        <v>11.652183007530235</v>
      </c>
      <c r="L24" s="389" cm="1">
        <f t="array" ref="L24">-AVERAGE(K9:L9/'Historical Financials'!L13)*360</f>
        <v>10.593410572049239</v>
      </c>
      <c r="N24" s="386" t="s">
        <v>47</v>
      </c>
      <c r="O24" s="389" cm="1">
        <f t="array" ref="O24">-AVERAGE(N9:O9/('Historical Financials'!O13*4)*360)</f>
        <v>9.3225387890860567</v>
      </c>
      <c r="P24" s="389" cm="1">
        <f t="array" ref="P24">-AVERAGE(O9:P9/('Historical Financials'!P13*4)*360)</f>
        <v>10.413073033946553</v>
      </c>
      <c r="Q24" s="389" cm="1">
        <f t="array" ref="Q24">-AVERAGE(P9:Q9/('Historical Financials'!Q13*4)*360)</f>
        <v>8.9730264548231542</v>
      </c>
      <c r="R24" s="389" cm="1">
        <f t="array" ref="R24">-AVERAGE(Q9:R9/('Historical Financials'!R13*4)*360)</f>
        <v>7.9235880398671092</v>
      </c>
      <c r="S24" s="389" cm="1">
        <f t="array" ref="S24">-AVERAGE(R9:S9/('Historical Financials'!S13*4)*360)</f>
        <v>12.175368898978434</v>
      </c>
      <c r="T24" s="389" cm="1">
        <f t="array" ref="T24">-AVERAGE(S9:T9/('Historical Financials'!T13*4)*360)</f>
        <v>14.707496033844526</v>
      </c>
      <c r="U24" s="389" cm="1">
        <f t="array" ref="U24">-AVERAGE(T9:U9/('Historical Financials'!U13*4)*360)</f>
        <v>12.546921807177355</v>
      </c>
      <c r="V24" s="389" cm="1">
        <f t="array" ref="V24">-AVERAGE(U9:V9/('Historical Financials'!V13*4)*360)</f>
        <v>8.9290791100123599</v>
      </c>
      <c r="W24" s="389" cm="1">
        <f t="array" ref="W24">-AVERAGE(V9:W9/('Historical Financials'!W13*4)*360)</f>
        <v>11.827791757765768</v>
      </c>
      <c r="X24" s="389" cm="1">
        <f t="array" ref="X24">-AVERAGE(W9:X9/('Historical Financials'!X13*4)*360)</f>
        <v>12.101455563027399</v>
      </c>
      <c r="Y24" s="389" cm="1">
        <f t="array" ref="Y24">-AVERAGE(X9:Y9/('Historical Financials'!Y13*4)*360)</f>
        <v>11.856672739025679</v>
      </c>
      <c r="Z24" s="389" cm="1">
        <f t="array" ref="Z24">-AVERAGE(Y9:Z9/('Historical Financials'!Z13*4)*360)</f>
        <v>9.6761075350246131</v>
      </c>
      <c r="AA24" s="389" cm="1">
        <f t="array" ref="AA24">-AVERAGE(Z9:AA9/('Historical Financials'!AA13*4)*360)</f>
        <v>11.746415273706727</v>
      </c>
      <c r="AB24" s="389" cm="1">
        <f t="array" ref="AB24">-AVERAGE(AA9:AB9/('Historical Financials'!AB13*4)*360)</f>
        <v>10.905242656703367</v>
      </c>
      <c r="AC24" s="389" cm="1">
        <f t="array" ref="AC24">-AVERAGE(AB9:AC9/('Historical Financials'!AC13*4)*360)</f>
        <v>9.680092378752887</v>
      </c>
      <c r="AE24" s="386" t="s">
        <v>47</v>
      </c>
      <c r="AF24" s="389" cm="1">
        <f t="array" ref="AF24">-AVERAGE(AE9:AF9/'Historical Financials'!AF13)*360</f>
        <v>11.765437120384631</v>
      </c>
      <c r="AG24" s="389" cm="1">
        <f t="array" ref="AG24">-AVERAGE(AF9:AG9/'Historical Financials'!AG13)*360</f>
        <v>12.297240658262595</v>
      </c>
      <c r="AH24" s="389" cm="1">
        <f t="array" ref="AH24">-AVERAGE(AG9:AH9/'Historical Financials'!AH13)*360</f>
        <v>11.500861597948976</v>
      </c>
      <c r="AI24" s="389" cm="1">
        <f t="array" ref="AI24">-AVERAGE(AH9:AI9/'Historical Financials'!AI13)*360</f>
        <v>10.901785082651449</v>
      </c>
      <c r="AJ24" s="389" cm="1">
        <f t="array" ref="AJ24">-AVERAGE(AI9:AJ9/'Historical Financials'!AJ13)*360</f>
        <v>11.04581112122394</v>
      </c>
      <c r="AK24" s="389" cm="1">
        <f t="array" ref="AK24">-AVERAGE(AJ9:AK9/'Historical Financials'!AK13)*360</f>
        <v>10.709020405812682</v>
      </c>
      <c r="AL24" s="389" cm="1">
        <f t="array" ref="AL24">-AVERAGE(AK9:AL9/'Historical Financials'!AL13)*360</f>
        <v>11.510135392104662</v>
      </c>
      <c r="AM24" s="389" cm="1">
        <f t="array" ref="AM24">-AVERAGE(AL9:AM9/'Historical Financials'!AM13)*360</f>
        <v>12.073590762412771</v>
      </c>
      <c r="AN24" s="389" cm="1">
        <f t="array" ref="AN24">-AVERAGE(AM9:AN9/'Historical Financials'!AN13)*360</f>
        <v>11.103258809268629</v>
      </c>
      <c r="AO24" s="389" cm="1">
        <f t="array" ref="AO24">-AVERAGE(AN9:AO9/'Historical Financials'!AO13)*360</f>
        <v>10.073708269462013</v>
      </c>
      <c r="AP24" s="395" cm="1">
        <f t="array" ref="AP24">-AVERAGE(AO9:AP9/'Historical Financials'!AP13)*360</f>
        <v>9.484703113685736</v>
      </c>
    </row>
    <row r="25" spans="1:42">
      <c r="B25" s="270" t="s">
        <v>419</v>
      </c>
      <c r="C25" s="386" t="s">
        <v>47</v>
      </c>
      <c r="D25" s="389" cm="1">
        <f t="array" ref="D25">-AVERAGE(C13:D13/'Historical Financials'!D13)*360</f>
        <v>104.05308831036244</v>
      </c>
      <c r="E25" s="389" cm="1">
        <f t="array" ref="E25">-AVERAGE(D13:E13/'Historical Financials'!E13)*360</f>
        <v>110.062532059894</v>
      </c>
      <c r="F25" s="389" cm="1">
        <f t="array" ref="F25">-AVERAGE(E13:F13/'Historical Financials'!F13)*360</f>
        <v>113.62401256011177</v>
      </c>
      <c r="G25" s="389" cm="1">
        <f t="array" ref="G25">-AVERAGE(F13:G13/'Historical Financials'!G13)*360</f>
        <v>93.983569141124917</v>
      </c>
      <c r="H25" s="389" cm="1">
        <f t="array" ref="H25">-AVERAGE(G13:H13/'Historical Financials'!H13)*360</f>
        <v>82.029007282339734</v>
      </c>
      <c r="I25" s="389" cm="1">
        <f t="array" ref="I25">-AVERAGE(H13:I13/'Historical Financials'!I13)*360</f>
        <v>95.720970180633969</v>
      </c>
      <c r="J25" s="389" cm="1">
        <f t="array" ref="J25">-AVERAGE(I13:J13/'Historical Financials'!J13)*360</f>
        <v>106.52376749464129</v>
      </c>
      <c r="K25" s="389" cm="1">
        <f t="array" ref="K25">-AVERAGE(J13:K13/'Historical Financials'!K13)*360</f>
        <v>112.58642656119265</v>
      </c>
      <c r="L25" s="389" cm="1">
        <f t="array" ref="L25">-AVERAGE(K13:L13/'Historical Financials'!L13)*360</f>
        <v>113.08653149891384</v>
      </c>
      <c r="N25" s="386" t="s">
        <v>47</v>
      </c>
      <c r="O25" s="389" cm="1">
        <f t="array" ref="O25">-AVERAGE(N13:O13/('Historical Financials'!O13*4)*360)</f>
        <v>104.47888302052303</v>
      </c>
      <c r="P25" s="389" cm="1">
        <f t="array" ref="P25">-AVERAGE(O13:P13/('Historical Financials'!P13*4)*360)</f>
        <v>96.574011131410117</v>
      </c>
      <c r="Q25" s="389" cm="1">
        <f t="array" ref="Q25">-AVERAGE(P13:Q13/('Historical Financials'!Q13*4)*360)</f>
        <v>97.224068701850115</v>
      </c>
      <c r="R25" s="389" cm="1">
        <f t="array" ref="R25">-AVERAGE(Q13:R13/('Historical Financials'!R13*4)*360)</f>
        <v>82.180793750561193</v>
      </c>
      <c r="S25" s="389" cm="1">
        <f t="array" ref="S25">-AVERAGE(R13:S13/('Historical Financials'!S13*4)*360)</f>
        <v>85.865209988649255</v>
      </c>
      <c r="T25" s="389" cm="1">
        <f t="array" ref="T25">-AVERAGE(S13:T13/('Historical Financials'!T13*4)*360)</f>
        <v>88.885510312004243</v>
      </c>
      <c r="U25" s="389" cm="1">
        <f t="array" ref="U25">-AVERAGE(T13:U13/('Historical Financials'!U13*4)*360)</f>
        <v>100.24148682521245</v>
      </c>
      <c r="V25" s="389" cm="1">
        <f t="array" ref="V25">-AVERAGE(U13:V13/('Historical Financials'!V13*4)*360)</f>
        <v>83.962685414091467</v>
      </c>
      <c r="W25" s="389" cm="1">
        <f t="array" ref="W25">-AVERAGE(V13:W13/('Historical Financials'!W13*4)*360)</f>
        <v>96.436925044346367</v>
      </c>
      <c r="X25" s="389" cm="1">
        <f t="array" ref="X25">-AVERAGE(W13:X13/('Historical Financials'!X13*4)*360)</f>
        <v>91.102084643918516</v>
      </c>
      <c r="Y25" s="389" cm="1">
        <f t="array" ref="Y25">-AVERAGE(X13:Y13/('Historical Financials'!Y13*4)*360)</f>
        <v>102.72139625080803</v>
      </c>
      <c r="Z25" s="389" cm="1">
        <f t="array" ref="Z25">-AVERAGE(Y13:Z13/('Historical Financials'!Z13*4)*360)</f>
        <v>89.195759182127972</v>
      </c>
      <c r="AA25" s="389" cm="1">
        <f t="array" ref="AA25">-AVERAGE(Z13:AA13/('Historical Financials'!AA13*4)*360)</f>
        <v>103.41479838390239</v>
      </c>
      <c r="AB25" s="389" cm="1">
        <f t="array" ref="AB25">-AVERAGE(AA13:AB13/('Historical Financials'!AB13*4)*360)</f>
        <v>93.455622242537459</v>
      </c>
      <c r="AC25" s="389" cm="1">
        <f t="array" ref="AC25">-AVERAGE(AB13:AC13/('Historical Financials'!AC13*4)*360)</f>
        <v>99.963602771362588</v>
      </c>
      <c r="AE25" s="386" t="s">
        <v>47</v>
      </c>
      <c r="AF25" s="389" cm="1">
        <f t="array" ref="AF25">-AVERAGE(AE13:AF13/'Historical Financials'!AF13)*360</f>
        <v>82.974219289145225</v>
      </c>
      <c r="AG25" s="389" cm="1">
        <f t="array" ref="AG25">-AVERAGE(AF13:AG13/'Historical Financials'!AG13)*360</f>
        <v>74.319007723946072</v>
      </c>
      <c r="AH25" s="389" cm="1">
        <f t="array" ref="AH25">-AVERAGE(AG13:AH13/'Historical Financials'!AH13)*360</f>
        <v>91.884167612322955</v>
      </c>
      <c r="AI25" s="389" cm="1">
        <f t="array" ref="AI25">-AVERAGE(AH13:AI13/'Historical Financials'!AI13)*360</f>
        <v>102.51260405121796</v>
      </c>
      <c r="AJ25" s="389" cm="1">
        <f t="array" ref="AJ25">-AVERAGE(AI13:AJ13/'Historical Financials'!AJ13)*360</f>
        <v>90.061110388766082</v>
      </c>
      <c r="AK25" s="389" cm="1">
        <f t="array" ref="AK25">-AVERAGE(AJ13:AK13/'Historical Financials'!AK13)*360</f>
        <v>80.619565008734384</v>
      </c>
      <c r="AL25" s="389" cm="1">
        <f t="array" ref="AL25">-AVERAGE(AK13:AL13/'Historical Financials'!AL13)*360</f>
        <v>99.719137445805117</v>
      </c>
      <c r="AM25" s="389" cm="1">
        <f t="array" ref="AM25">-AVERAGE(AL13:AM13/'Historical Financials'!AM13)*360</f>
        <v>111.29610643635694</v>
      </c>
      <c r="AN25" s="389" cm="1">
        <f t="array" ref="AN25">-AVERAGE(AM13:AN13/'Historical Financials'!AN13)*360</f>
        <v>97.752484005485158</v>
      </c>
      <c r="AO25" s="389" cm="1">
        <f t="array" ref="AO25">-AVERAGE(AN13:AO13/'Historical Financials'!AO13)*360</f>
        <v>86.329548479480096</v>
      </c>
      <c r="AP25" s="395" cm="1">
        <f t="array" ref="AP25">-AVERAGE(AO13:AP13/'Historical Financials'!AP13)*360</f>
        <v>97.945872556118772</v>
      </c>
    </row>
    <row r="26" spans="1:42">
      <c r="B26" s="271" t="s">
        <v>420</v>
      </c>
      <c r="C26" s="390" t="s">
        <v>47</v>
      </c>
      <c r="D26" s="391">
        <f>D22+D24-D25</f>
        <v>-68.731042223348453</v>
      </c>
      <c r="E26" s="391">
        <f t="shared" ref="E26:L26" si="56">E22+E24-E25</f>
        <v>-72.550181798218972</v>
      </c>
      <c r="F26" s="391">
        <f t="shared" si="56"/>
        <v>-72.751821967084453</v>
      </c>
      <c r="G26" s="391">
        <f t="shared" si="56"/>
        <v>-59.711131248734574</v>
      </c>
      <c r="H26" s="391">
        <f t="shared" si="56"/>
        <v>-52.173904343101746</v>
      </c>
      <c r="I26" s="391">
        <f t="shared" si="56"/>
        <v>-61.579774987425537</v>
      </c>
      <c r="J26" s="391">
        <f t="shared" si="56"/>
        <v>-69.950936221310968</v>
      </c>
      <c r="K26" s="391">
        <f t="shared" si="56"/>
        <v>-56.858444712126492</v>
      </c>
      <c r="L26" s="391">
        <f t="shared" si="56"/>
        <v>-56.636829731870357</v>
      </c>
      <c r="M26" s="374"/>
      <c r="N26" s="390" t="s">
        <v>47</v>
      </c>
      <c r="O26" s="391">
        <f t="shared" ref="O26" si="57">O22+O24-O25</f>
        <v>-71.551212546986221</v>
      </c>
      <c r="P26" s="391">
        <f t="shared" ref="P26" si="58">P22+P24-P25</f>
        <v>-63.043373999535675</v>
      </c>
      <c r="Q26" s="391">
        <f t="shared" ref="Q26" si="59">Q22+Q24-Q25</f>
        <v>-63.298021591645693</v>
      </c>
      <c r="R26" s="391">
        <f t="shared" ref="R26" si="60">R22+R24-R25</f>
        <v>-54.308078920315609</v>
      </c>
      <c r="S26" s="391">
        <f t="shared" ref="S26" si="61">S22+S24-S25</f>
        <v>-53.908745303260595</v>
      </c>
      <c r="T26" s="391">
        <f t="shared" ref="T26" si="62">T22+T24-T25</f>
        <v>-53.555925448496033</v>
      </c>
      <c r="U26" s="391">
        <f t="shared" ref="U26" si="63">U22+U24-U25</f>
        <v>-63.028483094416686</v>
      </c>
      <c r="V26" s="391">
        <f t="shared" ref="V26" si="64">V22+V24-V25</f>
        <v>-55.200112680830102</v>
      </c>
      <c r="W26" s="391">
        <f t="shared" ref="W26" si="65">W22+W24-W25</f>
        <v>-62.280449937269836</v>
      </c>
      <c r="X26" s="391">
        <f t="shared" ref="X26" si="66">X22+X24-X25</f>
        <v>-55.585960813173664</v>
      </c>
      <c r="Y26" s="391">
        <f t="shared" ref="Y26" si="67">Y22+Y24-Y25</f>
        <v>-48.657728884161997</v>
      </c>
      <c r="Z26" s="391">
        <f t="shared" ref="Z26" si="68">Z22+Z24-Z25</f>
        <v>-44.807744969709958</v>
      </c>
      <c r="AA26" s="391">
        <f t="shared" ref="AA26" si="69">AA22+AA24-AA25</f>
        <v>-54.181989586773653</v>
      </c>
      <c r="AB26" s="391">
        <f t="shared" ref="AB26:AC26" si="70">AB22+AB24-AB25</f>
        <v>-36.307610858963535</v>
      </c>
      <c r="AC26" s="391">
        <f t="shared" si="70"/>
        <v>-52.246112621641771</v>
      </c>
      <c r="AD26" s="374"/>
      <c r="AE26" s="390" t="s">
        <v>47</v>
      </c>
      <c r="AF26" s="391">
        <f t="shared" ref="AF26" si="71">AF22+AF24-AF25</f>
        <v>-51.723096818392506</v>
      </c>
      <c r="AG26" s="391">
        <f t="shared" ref="AG26" si="72">AG22+AG24-AG25</f>
        <v>-44.447606990878754</v>
      </c>
      <c r="AH26" s="391">
        <f t="shared" ref="AH26" si="73">AH22+AH24-AH25</f>
        <v>-57.344940307393529</v>
      </c>
      <c r="AI26" s="391">
        <f t="shared" ref="AI26" si="74">AI22+AI24-AI25</f>
        <v>-67.016023969266527</v>
      </c>
      <c r="AJ26" s="391">
        <f t="shared" ref="AJ26" si="75">AJ22+AJ24-AJ25</f>
        <v>-57.775541705759963</v>
      </c>
      <c r="AK26" s="391">
        <f t="shared" ref="AK26" si="76">AK22+AK24-AK25</f>
        <v>-49.076266861306621</v>
      </c>
      <c r="AL26" s="391">
        <f t="shared" ref="AL26" si="77">AL22+AL24-AL25</f>
        <v>-47.223310235832486</v>
      </c>
      <c r="AM26" s="391">
        <f t="shared" ref="AM26" si="78">AM22+AM24-AM25</f>
        <v>-55.613358609056363</v>
      </c>
      <c r="AN26" s="391">
        <f t="shared" ref="AN26" si="79">AN22+AN24-AN25</f>
        <v>-50.935253480336556</v>
      </c>
      <c r="AO26" s="391">
        <f t="shared" ref="AO26:AP26" si="80">AO22+AO24-AO25</f>
        <v>-33.688841127729916</v>
      </c>
      <c r="AP26" s="396">
        <f t="shared" si="80"/>
        <v>-50.999321744066293</v>
      </c>
    </row>
    <row r="28" spans="1:42" s="8" customFormat="1" ht="12">
      <c r="A28" s="39" t="s">
        <v>24</v>
      </c>
      <c r="B28" s="1" t="s">
        <v>442</v>
      </c>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row>
    <row r="29" spans="1:42" ht="5.0999999999999996" customHeight="1"/>
    <row r="30" spans="1:42" ht="15" thickBot="1">
      <c r="B30" s="284" t="s">
        <v>432</v>
      </c>
    </row>
    <row r="31" spans="1:42">
      <c r="B31" s="180" t="s">
        <v>430</v>
      </c>
      <c r="C31" s="385">
        <f>'Historical Financials'!C29</f>
        <v>21883.281000000003</v>
      </c>
      <c r="D31" s="385">
        <f>'Historical Financials'!D29</f>
        <v>20868.968000000001</v>
      </c>
      <c r="E31" s="385">
        <f>'Historical Financials'!E29</f>
        <v>19821.510000000002</v>
      </c>
      <c r="F31" s="385">
        <f>'Historical Financials'!F29</f>
        <v>18471.335999999999</v>
      </c>
      <c r="G31" s="385">
        <f>'Historical Financials'!G29</f>
        <v>17352.118999999999</v>
      </c>
      <c r="H31" s="385">
        <f>'Historical Financials'!H29</f>
        <v>16701.272000000001</v>
      </c>
      <c r="I31" s="385">
        <f>'Historical Financials'!I29</f>
        <v>16215.963</v>
      </c>
      <c r="J31" s="385">
        <f>'Historical Financials'!J29</f>
        <v>15744.231</v>
      </c>
      <c r="K31" s="385">
        <f>'Historical Financials'!K29</f>
        <v>15343.782999999999</v>
      </c>
      <c r="L31" s="385">
        <f>'Historical Financials'!L29</f>
        <v>14948.5</v>
      </c>
      <c r="N31" s="385">
        <f>'Historical Financials'!N29</f>
        <v>16391.723999999998</v>
      </c>
      <c r="O31" s="385">
        <f>'Historical Financials'!O29</f>
        <v>16278.802</v>
      </c>
      <c r="P31" s="385">
        <f>'Historical Financials'!P29</f>
        <v>16162.945</v>
      </c>
      <c r="Q31" s="385">
        <f>'Historical Financials'!Q29</f>
        <v>16215.963</v>
      </c>
      <c r="R31" s="385">
        <f>'Historical Financials'!R29</f>
        <v>15892.723</v>
      </c>
      <c r="S31" s="385">
        <f>'Historical Financials'!S29</f>
        <v>15787.154</v>
      </c>
      <c r="T31" s="385">
        <f>'Historical Financials'!T29</f>
        <v>15697.614</v>
      </c>
      <c r="U31" s="385">
        <f>'Historical Financials'!U29</f>
        <v>15744.231</v>
      </c>
      <c r="V31" s="385">
        <f>'Historical Financials'!V29</f>
        <v>15509.763000000001</v>
      </c>
      <c r="W31" s="385">
        <f>'Historical Financials'!W29</f>
        <v>15405.856</v>
      </c>
      <c r="X31" s="385">
        <f>'Historical Financials'!X29</f>
        <v>15287.521000000001</v>
      </c>
      <c r="Y31" s="385">
        <f>'Historical Financials'!Y29</f>
        <v>15343.782999999999</v>
      </c>
      <c r="Z31" s="385">
        <f>'Historical Financials'!Z29</f>
        <v>15081.724</v>
      </c>
      <c r="AA31" s="385">
        <f>'Historical Financials'!AA29</f>
        <v>14994.082</v>
      </c>
      <c r="AB31" s="385">
        <f>'Historical Financials'!AB29</f>
        <v>14902.886</v>
      </c>
      <c r="AC31" s="385">
        <f>'Historical Financials'!AC29</f>
        <v>14948.5</v>
      </c>
      <c r="AE31" s="385">
        <f>'Historical Financials'!AE29</f>
        <v>15892.723</v>
      </c>
      <c r="AF31" s="385">
        <f>'Historical Financials'!AF29</f>
        <v>15787.154</v>
      </c>
      <c r="AG31" s="385">
        <f>'Historical Financials'!AG29</f>
        <v>15697.614</v>
      </c>
      <c r="AH31" s="385">
        <f>'Historical Financials'!AH29</f>
        <v>15744.231</v>
      </c>
      <c r="AI31" s="385">
        <f>'Historical Financials'!AI29</f>
        <v>15509.763000000001</v>
      </c>
      <c r="AJ31" s="385">
        <f>'Historical Financials'!AJ29</f>
        <v>15405.856</v>
      </c>
      <c r="AK31" s="385">
        <f>'Historical Financials'!AK29</f>
        <v>15287.521000000001</v>
      </c>
      <c r="AL31" s="385">
        <f>'Historical Financials'!AL29</f>
        <v>15343.782999999999</v>
      </c>
      <c r="AM31" s="385">
        <f>'Historical Financials'!AM29</f>
        <v>15081.724</v>
      </c>
      <c r="AN31" s="385">
        <f>'Historical Financials'!AN29</f>
        <v>14994.082</v>
      </c>
      <c r="AO31" s="385">
        <f>'Historical Financials'!AO29</f>
        <v>14902.886</v>
      </c>
      <c r="AP31" s="385">
        <f>'Historical Financials'!AP29</f>
        <v>14948.5</v>
      </c>
    </row>
    <row r="32" spans="1:42">
      <c r="B32" s="180" t="s">
        <v>431</v>
      </c>
      <c r="C32" s="385">
        <f>'Historical Financials'!C65</f>
        <v>128249</v>
      </c>
      <c r="D32" s="385">
        <f>'Historical Financials'!D65</f>
        <v>134047</v>
      </c>
      <c r="E32" s="385">
        <f>'Historical Financials'!E65</f>
        <v>107147</v>
      </c>
      <c r="F32" s="385">
        <f>'Historical Financials'!F65</f>
        <v>90488</v>
      </c>
      <c r="G32" s="385">
        <f>'Historical Financials'!G65</f>
        <v>65339</v>
      </c>
      <c r="H32" s="385">
        <f>'Historical Financials'!H65</f>
        <v>63090</v>
      </c>
      <c r="I32" s="385">
        <f>'Historical Financials'!I65</f>
        <v>50672</v>
      </c>
      <c r="J32" s="385">
        <f>'Historical Financials'!J65</f>
        <v>62146</v>
      </c>
      <c r="K32" s="385">
        <f>'Historical Financials'!K65</f>
        <v>56950</v>
      </c>
      <c r="L32" s="385">
        <f>'Historical Financials'!L65</f>
        <v>73733</v>
      </c>
      <c r="N32" s="385">
        <f>'Historical Financials'!N65</f>
        <v>63894</v>
      </c>
      <c r="O32" s="385">
        <f>'Historical Financials'!O65</f>
        <v>59361</v>
      </c>
      <c r="P32" s="385">
        <f>'Historical Financials'!P65</f>
        <v>50069</v>
      </c>
      <c r="Q32" s="385">
        <f>'Historical Financials'!Q65</f>
        <v>50672</v>
      </c>
      <c r="R32" s="385">
        <f>'Historical Financials'!R65</f>
        <v>48689</v>
      </c>
      <c r="S32" s="385">
        <f>'Historical Financials'!S65</f>
        <v>54120</v>
      </c>
      <c r="T32" s="385">
        <f>'Historical Financials'!T65</f>
        <v>52236</v>
      </c>
      <c r="U32" s="385">
        <f>'Historical Financials'!U65</f>
        <v>62146</v>
      </c>
      <c r="V32" s="385">
        <f>'Historical Financials'!V65</f>
        <v>66062</v>
      </c>
      <c r="W32" s="385">
        <f>'Historical Financials'!W65</f>
        <v>66156</v>
      </c>
      <c r="X32" s="385">
        <f>'Historical Financials'!X65</f>
        <v>58670</v>
      </c>
      <c r="Y32" s="385">
        <f>'Historical Financials'!Y65</f>
        <v>56950</v>
      </c>
      <c r="Z32" s="385">
        <f>'Historical Financials'!Z65</f>
        <v>66758</v>
      </c>
      <c r="AA32" s="385">
        <f>'Historical Financials'!AA65</f>
        <v>66796</v>
      </c>
      <c r="AB32" s="385">
        <f>'Historical Financials'!AB65</f>
        <v>65830</v>
      </c>
      <c r="AC32" s="385">
        <f>'Historical Financials'!AC65</f>
        <v>73733</v>
      </c>
      <c r="AE32" s="385">
        <f>'Historical Financials'!AE65</f>
        <v>48689</v>
      </c>
      <c r="AF32" s="385">
        <f>'Historical Financials'!AF65</f>
        <v>54120</v>
      </c>
      <c r="AG32" s="385">
        <f>'Historical Financials'!AG65</f>
        <v>52236</v>
      </c>
      <c r="AH32" s="385">
        <f>'Historical Financials'!AH65</f>
        <v>62146</v>
      </c>
      <c r="AI32" s="385">
        <f>'Historical Financials'!AI65</f>
        <v>66062</v>
      </c>
      <c r="AJ32" s="385">
        <f>'Historical Financials'!AJ65</f>
        <v>66156</v>
      </c>
      <c r="AK32" s="385">
        <f>'Historical Financials'!AK65</f>
        <v>58670</v>
      </c>
      <c r="AL32" s="385">
        <f>'Historical Financials'!AL65</f>
        <v>56950</v>
      </c>
      <c r="AM32" s="385">
        <f>'Historical Financials'!AM65</f>
        <v>66758</v>
      </c>
      <c r="AN32" s="385">
        <f>'Historical Financials'!AN65</f>
        <v>66796</v>
      </c>
      <c r="AO32" s="385">
        <f>'Historical Financials'!AO65</f>
        <v>65830</v>
      </c>
      <c r="AP32" s="385">
        <f>'Historical Financials'!AP65</f>
        <v>73733</v>
      </c>
    </row>
    <row r="33" spans="2:42">
      <c r="B33" s="14" t="s">
        <v>429</v>
      </c>
      <c r="C33" s="90">
        <f>C32/C31</f>
        <v>5.8605928425449543</v>
      </c>
      <c r="D33" s="90">
        <f t="shared" ref="D33:N33" si="81">D32/D31</f>
        <v>6.4232692292211091</v>
      </c>
      <c r="E33" s="90">
        <f t="shared" si="81"/>
        <v>5.4055922076572367</v>
      </c>
      <c r="F33" s="90">
        <f t="shared" si="81"/>
        <v>4.8988335223830051</v>
      </c>
      <c r="G33" s="90">
        <f t="shared" si="81"/>
        <v>3.7654767120949324</v>
      </c>
      <c r="H33" s="90">
        <f t="shared" si="81"/>
        <v>3.7775565837141025</v>
      </c>
      <c r="I33" s="90">
        <f t="shared" si="81"/>
        <v>3.1248221274308534</v>
      </c>
      <c r="J33" s="90">
        <f t="shared" si="81"/>
        <v>3.947223589389663</v>
      </c>
      <c r="K33" s="90">
        <f t="shared" si="81"/>
        <v>3.7116009787156141</v>
      </c>
      <c r="L33" s="90">
        <f t="shared" si="81"/>
        <v>4.9324681406161153</v>
      </c>
      <c r="N33" s="90">
        <f t="shared" si="81"/>
        <v>3.8979426447151018</v>
      </c>
      <c r="O33" s="90">
        <f t="shared" ref="O33" si="82">O32/O31</f>
        <v>3.6465214086392845</v>
      </c>
      <c r="P33" s="90">
        <f t="shared" ref="P33" si="83">P32/P31</f>
        <v>3.0977646709804434</v>
      </c>
      <c r="Q33" s="90">
        <f t="shared" ref="Q33" si="84">Q32/Q31</f>
        <v>3.1248221274308534</v>
      </c>
      <c r="R33" s="90">
        <f t="shared" ref="R33" si="85">R32/R31</f>
        <v>3.0636033862793681</v>
      </c>
      <c r="S33" s="90">
        <f t="shared" ref="S33" si="86">S32/S31</f>
        <v>3.4281036341319022</v>
      </c>
      <c r="T33" s="90">
        <f t="shared" ref="T33" si="87">T32/T31</f>
        <v>3.3276394743812658</v>
      </c>
      <c r="U33" s="90">
        <f t="shared" ref="U33" si="88">U32/U31</f>
        <v>3.947223589389663</v>
      </c>
      <c r="V33" s="90">
        <f t="shared" ref="V33" si="89">V32/V31</f>
        <v>4.2593816552838364</v>
      </c>
      <c r="W33" s="90">
        <f t="shared" ref="W33" si="90">W32/W31</f>
        <v>4.2942112401933397</v>
      </c>
      <c r="X33" s="90">
        <f t="shared" ref="X33" si="91">X32/X31</f>
        <v>3.8377706889167968</v>
      </c>
      <c r="Y33" s="90">
        <f t="shared" ref="Y33" si="92">Y32/Y31</f>
        <v>3.7116009787156141</v>
      </c>
      <c r="Z33" s="90">
        <f t="shared" ref="Z33" si="93">Z32/Z31</f>
        <v>4.4264170329598924</v>
      </c>
      <c r="AA33" s="90">
        <f t="shared" ref="AA33" si="94">AA32/AA31</f>
        <v>4.4548242433247998</v>
      </c>
      <c r="AB33" s="90">
        <f t="shared" ref="AB33:AE33" si="95">AB32/AB31</f>
        <v>4.4172652196359818</v>
      </c>
      <c r="AC33" s="90">
        <f t="shared" si="95"/>
        <v>4.9324681406161153</v>
      </c>
      <c r="AE33" s="90">
        <f t="shared" si="95"/>
        <v>3.0636033862793681</v>
      </c>
      <c r="AF33" s="90">
        <f t="shared" ref="AF33" si="96">AF32/AF31</f>
        <v>3.4281036341319022</v>
      </c>
      <c r="AG33" s="90">
        <f t="shared" ref="AG33" si="97">AG32/AG31</f>
        <v>3.3276394743812658</v>
      </c>
      <c r="AH33" s="90">
        <f t="shared" ref="AH33" si="98">AH32/AH31</f>
        <v>3.947223589389663</v>
      </c>
      <c r="AI33" s="90">
        <f t="shared" ref="AI33" si="99">AI32/AI31</f>
        <v>4.2593816552838364</v>
      </c>
      <c r="AJ33" s="90">
        <f t="shared" ref="AJ33" si="100">AJ32/AJ31</f>
        <v>4.2942112401933397</v>
      </c>
      <c r="AK33" s="90">
        <f t="shared" ref="AK33" si="101">AK32/AK31</f>
        <v>3.8377706889167968</v>
      </c>
      <c r="AL33" s="90">
        <f t="shared" ref="AL33" si="102">AL32/AL31</f>
        <v>3.7116009787156141</v>
      </c>
      <c r="AM33" s="90">
        <f t="shared" ref="AM33" si="103">AM32/AM31</f>
        <v>4.4264170329598924</v>
      </c>
      <c r="AN33" s="90">
        <f t="shared" ref="AN33" si="104">AN32/AN31</f>
        <v>4.4548242433247998</v>
      </c>
      <c r="AO33" s="90">
        <f t="shared" ref="AO33:AP33" si="105">AO32/AO31</f>
        <v>4.4172652196359818</v>
      </c>
      <c r="AP33" s="90">
        <f t="shared" si="105"/>
        <v>4.9324681406161153</v>
      </c>
    </row>
    <row r="35" spans="2:42" ht="15" thickBot="1">
      <c r="B35" s="284" t="s">
        <v>433</v>
      </c>
    </row>
    <row r="36" spans="2:42">
      <c r="B36" s="180" t="s">
        <v>106</v>
      </c>
      <c r="C36" s="385">
        <f>'Historical Financials'!C32</f>
        <v>22001.127</v>
      </c>
      <c r="D36" s="385">
        <f>'Historical Financials'!D32</f>
        <v>21006.767</v>
      </c>
      <c r="E36" s="385">
        <f>'Historical Financials'!E32</f>
        <v>20000.436000000002</v>
      </c>
      <c r="F36" s="385">
        <f>'Historical Financials'!F32</f>
        <v>18595.651000000002</v>
      </c>
      <c r="G36" s="385">
        <f>'Historical Financials'!G32</f>
        <v>17528.214</v>
      </c>
      <c r="H36" s="385">
        <f>'Historical Financials'!H32</f>
        <v>16864.919000000002</v>
      </c>
      <c r="I36" s="385">
        <f>'Historical Financials'!I32</f>
        <v>16325.819</v>
      </c>
      <c r="J36" s="385">
        <f>'Historical Financials'!J32</f>
        <v>15812.547</v>
      </c>
      <c r="K36" s="385">
        <f>'Historical Financials'!K32</f>
        <v>15408.094999999999</v>
      </c>
      <c r="L36" s="385">
        <f>'Historical Financials'!L32</f>
        <v>15004.697</v>
      </c>
      <c r="N36" s="385">
        <f>'Historical Financials'!N32</f>
        <v>16519.291000000001</v>
      </c>
      <c r="O36" s="385">
        <f>'Historical Financials'!O32</f>
        <v>16403.315999999999</v>
      </c>
      <c r="P36" s="385">
        <f>'Historical Financials'!P32</f>
        <v>16262.203</v>
      </c>
      <c r="Q36" s="385">
        <f>'Historical Financials'!Q32</f>
        <v>16325.819</v>
      </c>
      <c r="R36" s="385">
        <f>'Historical Financials'!R32</f>
        <v>15955.718000000001</v>
      </c>
      <c r="S36" s="385">
        <f>'Historical Financials'!S32</f>
        <v>15847.05</v>
      </c>
      <c r="T36" s="385">
        <f>'Historical Financials'!T32</f>
        <v>15775.021000000001</v>
      </c>
      <c r="U36" s="385">
        <f>'Historical Financials'!U32</f>
        <v>15812.547</v>
      </c>
      <c r="V36" s="385">
        <f>'Historical Financials'!V32</f>
        <v>15576.641</v>
      </c>
      <c r="W36" s="385">
        <f>'Historical Financials'!W32</f>
        <v>15464.709000000001</v>
      </c>
      <c r="X36" s="385">
        <f>'Historical Financials'!X32</f>
        <v>15348.174999999999</v>
      </c>
      <c r="Y36" s="385">
        <f>'Historical Financials'!Y32</f>
        <v>15408.094999999999</v>
      </c>
      <c r="Z36" s="385">
        <f>'Historical Financials'!Z32</f>
        <v>15150.865</v>
      </c>
      <c r="AA36" s="385">
        <f>'Historical Financials'!AA32</f>
        <v>15056.133</v>
      </c>
      <c r="AB36" s="385">
        <f>'Historical Financials'!AB32</f>
        <v>14948.179</v>
      </c>
      <c r="AC36" s="385">
        <f>'Historical Financials'!AC32</f>
        <v>15004.697</v>
      </c>
      <c r="AE36" s="385">
        <f>'Historical Financials'!AE32</f>
        <v>15955.718000000001</v>
      </c>
      <c r="AF36" s="385">
        <f>'Historical Financials'!AF32</f>
        <v>15847.05</v>
      </c>
      <c r="AG36" s="385">
        <f>'Historical Financials'!AG32</f>
        <v>15775.021000000001</v>
      </c>
      <c r="AH36" s="385">
        <f>'Historical Financials'!AH32</f>
        <v>15812.547</v>
      </c>
      <c r="AI36" s="385">
        <f>'Historical Financials'!AI32</f>
        <v>15576.641</v>
      </c>
      <c r="AJ36" s="385">
        <f>'Historical Financials'!AJ32</f>
        <v>15464.709000000001</v>
      </c>
      <c r="AK36" s="385">
        <f>'Historical Financials'!AK32</f>
        <v>15348.174999999999</v>
      </c>
      <c r="AL36" s="385">
        <f>'Historical Financials'!AL32</f>
        <v>15408.094999999999</v>
      </c>
      <c r="AM36" s="385">
        <f>'Historical Financials'!AM32</f>
        <v>15150.865</v>
      </c>
      <c r="AN36" s="385">
        <f>'Historical Financials'!AN32</f>
        <v>15056.133</v>
      </c>
      <c r="AO36" s="385">
        <f>'Historical Financials'!AO32</f>
        <v>14948.179</v>
      </c>
      <c r="AP36" s="385">
        <f>'Historical Financials'!AP32</f>
        <v>15004.697</v>
      </c>
    </row>
    <row r="37" spans="2:42">
      <c r="B37" s="180" t="s">
        <v>431</v>
      </c>
      <c r="C37" s="232">
        <f>C32</f>
        <v>128249</v>
      </c>
      <c r="D37" s="232">
        <f t="shared" ref="D37:AO37" si="106">D32</f>
        <v>134047</v>
      </c>
      <c r="E37" s="232">
        <f t="shared" si="106"/>
        <v>107147</v>
      </c>
      <c r="F37" s="232">
        <f t="shared" si="106"/>
        <v>90488</v>
      </c>
      <c r="G37" s="232">
        <f t="shared" si="106"/>
        <v>65339</v>
      </c>
      <c r="H37" s="232">
        <f t="shared" si="106"/>
        <v>63090</v>
      </c>
      <c r="I37" s="232">
        <f t="shared" si="106"/>
        <v>50672</v>
      </c>
      <c r="J37" s="232">
        <f t="shared" si="106"/>
        <v>62146</v>
      </c>
      <c r="K37" s="232">
        <f t="shared" si="106"/>
        <v>56950</v>
      </c>
      <c r="L37" s="232">
        <f t="shared" ref="L37" si="107">L32</f>
        <v>73733</v>
      </c>
      <c r="N37" s="232">
        <f t="shared" si="106"/>
        <v>63894</v>
      </c>
      <c r="O37" s="232">
        <f t="shared" si="106"/>
        <v>59361</v>
      </c>
      <c r="P37" s="232">
        <f t="shared" si="106"/>
        <v>50069</v>
      </c>
      <c r="Q37" s="232">
        <f t="shared" si="106"/>
        <v>50672</v>
      </c>
      <c r="R37" s="232">
        <f t="shared" si="106"/>
        <v>48689</v>
      </c>
      <c r="S37" s="232">
        <f t="shared" si="106"/>
        <v>54120</v>
      </c>
      <c r="T37" s="232">
        <f t="shared" si="106"/>
        <v>52236</v>
      </c>
      <c r="U37" s="232">
        <f t="shared" si="106"/>
        <v>62146</v>
      </c>
      <c r="V37" s="232">
        <f t="shared" si="106"/>
        <v>66062</v>
      </c>
      <c r="W37" s="232">
        <f t="shared" si="106"/>
        <v>66156</v>
      </c>
      <c r="X37" s="232">
        <f t="shared" si="106"/>
        <v>58670</v>
      </c>
      <c r="Y37" s="232">
        <f t="shared" si="106"/>
        <v>56950</v>
      </c>
      <c r="Z37" s="232">
        <f t="shared" si="106"/>
        <v>66758</v>
      </c>
      <c r="AA37" s="232">
        <f t="shared" si="106"/>
        <v>66796</v>
      </c>
      <c r="AB37" s="232">
        <f t="shared" si="106"/>
        <v>65830</v>
      </c>
      <c r="AC37" s="232">
        <f t="shared" ref="AC37" si="108">AC32</f>
        <v>73733</v>
      </c>
      <c r="AE37" s="232">
        <f t="shared" si="106"/>
        <v>48689</v>
      </c>
      <c r="AF37" s="232">
        <f t="shared" si="106"/>
        <v>54120</v>
      </c>
      <c r="AG37" s="232">
        <f t="shared" si="106"/>
        <v>52236</v>
      </c>
      <c r="AH37" s="232">
        <f t="shared" si="106"/>
        <v>62146</v>
      </c>
      <c r="AI37" s="232">
        <f t="shared" si="106"/>
        <v>66062</v>
      </c>
      <c r="AJ37" s="232">
        <f t="shared" si="106"/>
        <v>66156</v>
      </c>
      <c r="AK37" s="232">
        <f t="shared" si="106"/>
        <v>58670</v>
      </c>
      <c r="AL37" s="232">
        <f t="shared" si="106"/>
        <v>56950</v>
      </c>
      <c r="AM37" s="232">
        <f t="shared" si="106"/>
        <v>66758</v>
      </c>
      <c r="AN37" s="232">
        <f t="shared" si="106"/>
        <v>66796</v>
      </c>
      <c r="AO37" s="232">
        <f t="shared" si="106"/>
        <v>65830</v>
      </c>
      <c r="AP37" s="232">
        <f t="shared" ref="AP37" si="109">AP32</f>
        <v>73733</v>
      </c>
    </row>
    <row r="38" spans="2:42">
      <c r="B38" s="14" t="s">
        <v>429</v>
      </c>
      <c r="C38" s="90">
        <f>C37/C36</f>
        <v>5.8292013859108218</v>
      </c>
      <c r="D38" s="90">
        <f t="shared" ref="D38" si="110">D37/D36</f>
        <v>6.3811342316502104</v>
      </c>
      <c r="E38" s="90">
        <f t="shared" ref="E38" si="111">E37/E36</f>
        <v>5.3572332123159709</v>
      </c>
      <c r="F38" s="90">
        <f t="shared" ref="F38" si="112">F37/F36</f>
        <v>4.8660840107184198</v>
      </c>
      <c r="G38" s="90">
        <f t="shared" ref="G38" si="113">G37/G36</f>
        <v>3.7276473233382479</v>
      </c>
      <c r="H38" s="90">
        <f t="shared" ref="H38" si="114">H37/H36</f>
        <v>3.740901453484597</v>
      </c>
      <c r="I38" s="90">
        <f t="shared" ref="I38" si="115">I37/I36</f>
        <v>3.1037952827971451</v>
      </c>
      <c r="J38" s="90">
        <f t="shared" ref="J38" si="116">J37/J36</f>
        <v>3.9301701364112942</v>
      </c>
      <c r="K38" s="90">
        <f t="shared" ref="K38:N38" si="117">K37/K36</f>
        <v>3.6961090907084881</v>
      </c>
      <c r="L38" s="90">
        <f t="shared" si="117"/>
        <v>4.9139945978249342</v>
      </c>
      <c r="N38" s="90">
        <f t="shared" si="117"/>
        <v>3.8678415435626139</v>
      </c>
      <c r="O38" s="90">
        <f t="shared" ref="O38" si="118">O37/O36</f>
        <v>3.6188414586416555</v>
      </c>
      <c r="P38" s="90">
        <f t="shared" ref="P38" si="119">P37/P36</f>
        <v>3.0788571511498168</v>
      </c>
      <c r="Q38" s="90">
        <f t="shared" ref="Q38" si="120">Q37/Q36</f>
        <v>3.1037952827971451</v>
      </c>
      <c r="R38" s="90">
        <f t="shared" ref="R38" si="121">R37/R36</f>
        <v>3.0515079296337526</v>
      </c>
      <c r="S38" s="90">
        <f t="shared" ref="S38" si="122">S37/S36</f>
        <v>3.4151466676763182</v>
      </c>
      <c r="T38" s="90">
        <f t="shared" ref="T38" si="123">T37/T36</f>
        <v>3.3113109643403962</v>
      </c>
      <c r="U38" s="90">
        <f t="shared" ref="U38" si="124">U37/U36</f>
        <v>3.9301701364112942</v>
      </c>
      <c r="V38" s="90">
        <f t="shared" ref="V38" si="125">V37/V36</f>
        <v>4.2410940844049758</v>
      </c>
      <c r="W38" s="90">
        <f t="shared" ref="W38" si="126">W37/W36</f>
        <v>4.2778690501062773</v>
      </c>
      <c r="X38" s="90">
        <f t="shared" ref="X38" si="127">X37/X36</f>
        <v>3.822604316148337</v>
      </c>
      <c r="Y38" s="90">
        <f t="shared" ref="Y38" si="128">Y37/Y36</f>
        <v>3.6961090907084881</v>
      </c>
      <c r="Z38" s="90">
        <f t="shared" ref="Z38" si="129">Z37/Z36</f>
        <v>4.406217070774507</v>
      </c>
      <c r="AA38" s="90">
        <f t="shared" ref="AA38" si="130">AA37/AA36</f>
        <v>4.4364645291058471</v>
      </c>
      <c r="AB38" s="90">
        <f t="shared" ref="AB38:AE38" si="131">AB37/AB36</f>
        <v>4.4038809008107274</v>
      </c>
      <c r="AC38" s="90">
        <f t="shared" si="131"/>
        <v>4.9139945978249342</v>
      </c>
      <c r="AE38" s="90">
        <f t="shared" si="131"/>
        <v>3.0515079296337526</v>
      </c>
      <c r="AF38" s="90">
        <f t="shared" ref="AF38" si="132">AF37/AF36</f>
        <v>3.4151466676763182</v>
      </c>
      <c r="AG38" s="90">
        <f t="shared" ref="AG38" si="133">AG37/AG36</f>
        <v>3.3113109643403962</v>
      </c>
      <c r="AH38" s="90">
        <f t="shared" ref="AH38" si="134">AH37/AH36</f>
        <v>3.9301701364112942</v>
      </c>
      <c r="AI38" s="90">
        <f t="shared" ref="AI38" si="135">AI37/AI36</f>
        <v>4.2410940844049758</v>
      </c>
      <c r="AJ38" s="90">
        <f t="shared" ref="AJ38" si="136">AJ37/AJ36</f>
        <v>4.2778690501062773</v>
      </c>
      <c r="AK38" s="90">
        <f t="shared" ref="AK38" si="137">AK37/AK36</f>
        <v>3.822604316148337</v>
      </c>
      <c r="AL38" s="90">
        <f t="shared" ref="AL38" si="138">AL37/AL36</f>
        <v>3.6961090907084881</v>
      </c>
      <c r="AM38" s="90">
        <f t="shared" ref="AM38" si="139">AM37/AM36</f>
        <v>4.406217070774507</v>
      </c>
      <c r="AN38" s="90">
        <f t="shared" ref="AN38" si="140">AN37/AN36</f>
        <v>4.4364645291058471</v>
      </c>
      <c r="AO38" s="90">
        <f t="shared" ref="AO38:AP38" si="141">AO37/AO36</f>
        <v>4.4038809008107274</v>
      </c>
      <c r="AP38" s="90">
        <f t="shared" si="141"/>
        <v>4.9139945978249342</v>
      </c>
    </row>
    <row r="40" spans="2:42" ht="15" thickBot="1">
      <c r="B40" s="284" t="s">
        <v>435</v>
      </c>
    </row>
    <row r="41" spans="2:42">
      <c r="B41" s="180" t="s">
        <v>434</v>
      </c>
      <c r="C41" s="385">
        <f>SUM('Historical Financials'!C39+'Historical Financials'!C40+'Historical Financials'!C47)</f>
        <v>237585</v>
      </c>
      <c r="D41" s="385">
        <f>SUM('Historical Financials'!D39+'Historical Financials'!D40+'Historical Financials'!D47)</f>
        <v>268895</v>
      </c>
      <c r="E41" s="385">
        <f>SUM('Historical Financials'!E39+'Historical Financials'!E40+'Historical Financials'!E47)</f>
        <v>237100</v>
      </c>
      <c r="F41" s="385">
        <f>SUM('Historical Financials'!F39+'Historical Financials'!F40+'Historical Financials'!F47)</f>
        <v>205898</v>
      </c>
      <c r="G41" s="385">
        <f>SUM('Historical Financials'!G39+'Historical Financials'!G40+'Historical Financials'!G47)</f>
        <v>191830</v>
      </c>
      <c r="H41" s="385">
        <f>SUM('Historical Financials'!H39+'Historical Financials'!H40+'Historical Financials'!H47)</f>
        <v>190516</v>
      </c>
      <c r="I41" s="385">
        <f>SUM('Historical Financials'!I39+'Historical Financials'!I40+'Historical Financials'!I47)</f>
        <v>169109</v>
      </c>
      <c r="J41" s="385">
        <f>SUM('Historical Financials'!J39+'Historical Financials'!J40+'Historical Financials'!J47)</f>
        <v>162099</v>
      </c>
      <c r="K41" s="385">
        <f>SUM('Historical Financials'!K39+'Historical Financials'!K40+'Historical Financials'!K47)</f>
        <v>156650</v>
      </c>
      <c r="L41" s="385">
        <f>SUM('Historical Financials'!L39+'Historical Financials'!L40+'Historical Financials'!L47)</f>
        <v>132420</v>
      </c>
      <c r="N41" s="385">
        <f>SUM('Historical Financials'!N39+'Historical Financials'!N40+'Historical Financials'!N47)</f>
        <v>202596</v>
      </c>
      <c r="O41" s="385">
        <f>SUM('Historical Financials'!O39+'Historical Financials'!O40+'Historical Financials'!O47)</f>
        <v>192730</v>
      </c>
      <c r="P41" s="385">
        <f>SUM('Historical Financials'!P39+'Historical Financials'!P40+'Historical Financials'!P47)</f>
        <v>179308</v>
      </c>
      <c r="Q41" s="385">
        <f>SUM('Historical Financials'!Q39+'Historical Financials'!Q40+'Historical Financials'!Q47)</f>
        <v>169109</v>
      </c>
      <c r="R41" s="385">
        <f>SUM('Historical Financials'!R39+'Historical Financials'!R40+'Historical Financials'!R47)</f>
        <v>165450</v>
      </c>
      <c r="S41" s="385">
        <f>SUM('Historical Financials'!S39+'Historical Financials'!S40+'Historical Financials'!S47)</f>
        <v>166333</v>
      </c>
      <c r="T41" s="385">
        <f>SUM('Historical Financials'!T39+'Historical Financials'!T40+'Historical Financials'!T47)</f>
        <v>166543</v>
      </c>
      <c r="U41" s="385">
        <f>SUM('Historical Financials'!U39+'Historical Financials'!U40+'Historical Financials'!U47)</f>
        <v>162099</v>
      </c>
      <c r="V41" s="385">
        <f>SUM('Historical Financials'!V39+'Historical Financials'!V40+'Historical Financials'!V47)</f>
        <v>172575</v>
      </c>
      <c r="W41" s="385">
        <f>SUM('Historical Financials'!W39+'Historical Financials'!W40+'Historical Financials'!W47)</f>
        <v>162337</v>
      </c>
      <c r="X41" s="385">
        <f>SUM('Historical Financials'!X39+'Historical Financials'!X40+'Historical Financials'!X47)</f>
        <v>153041</v>
      </c>
      <c r="Y41" s="385">
        <f>SUM('Historical Financials'!Y39+'Historical Financials'!Y40+'Historical Financials'!Y47)</f>
        <v>156650</v>
      </c>
      <c r="Z41" s="385">
        <f>SUM('Historical Financials'!Z39+'Historical Financials'!Z40+'Historical Financials'!Z47)</f>
        <v>141368</v>
      </c>
      <c r="AA41" s="385">
        <f>SUM('Historical Financials'!AA39+'Historical Financials'!AA40+'Historical Financials'!AA47)</f>
        <v>132922</v>
      </c>
      <c r="AB41" s="385">
        <f>SUM('Historical Financials'!AB39+'Historical Financials'!AB40+'Historical Financials'!AB47)</f>
        <v>132986</v>
      </c>
      <c r="AC41" s="385">
        <f>SUM('Historical Financials'!AC39+'Historical Financials'!AC40+'Historical Financials'!AC47)</f>
        <v>132420</v>
      </c>
      <c r="AE41" s="385">
        <f>SUM('Historical Financials'!AE39+'Historical Financials'!AE40+'Historical Financials'!AE47)</f>
        <v>165450</v>
      </c>
      <c r="AF41" s="385">
        <f>SUM('Historical Financials'!AF39+'Historical Financials'!AF40+'Historical Financials'!AF47)</f>
        <v>166333</v>
      </c>
      <c r="AG41" s="385">
        <f>SUM('Historical Financials'!AG39+'Historical Financials'!AG40+'Historical Financials'!AG47)</f>
        <v>166543</v>
      </c>
      <c r="AH41" s="385">
        <f>SUM('Historical Financials'!AH39+'Historical Financials'!AH40+'Historical Financials'!AH47)</f>
        <v>162099</v>
      </c>
      <c r="AI41" s="385">
        <f>SUM('Historical Financials'!AI39+'Historical Financials'!AI40+'Historical Financials'!AI47)</f>
        <v>172575</v>
      </c>
      <c r="AJ41" s="385">
        <f>SUM('Historical Financials'!AJ39+'Historical Financials'!AJ40+'Historical Financials'!AJ47)</f>
        <v>162337</v>
      </c>
      <c r="AK41" s="385">
        <f>SUM('Historical Financials'!AK39+'Historical Financials'!AK40+'Historical Financials'!AK47)</f>
        <v>153041</v>
      </c>
      <c r="AL41" s="385">
        <f>SUM('Historical Financials'!AL39+'Historical Financials'!AL40+'Historical Financials'!AL47)</f>
        <v>156650</v>
      </c>
      <c r="AM41" s="385">
        <f>SUM('Historical Financials'!AM39+'Historical Financials'!AM40+'Historical Financials'!AM47)</f>
        <v>141368</v>
      </c>
      <c r="AN41" s="385">
        <f>SUM('Historical Financials'!AN39+'Historical Financials'!AN40+'Historical Financials'!AN47)</f>
        <v>132922</v>
      </c>
      <c r="AO41" s="385">
        <f>SUM('Historical Financials'!AO39+'Historical Financials'!AO40+'Historical Financials'!AO47)</f>
        <v>132986</v>
      </c>
      <c r="AP41" s="385">
        <f>SUM('Historical Financials'!AP39+'Historical Financials'!AP40+'Historical Financials'!AP47)</f>
        <v>132420</v>
      </c>
    </row>
    <row r="42" spans="2:42">
      <c r="B42" s="180" t="s">
        <v>430</v>
      </c>
      <c r="C42" s="232">
        <f>C31</f>
        <v>21883.281000000003</v>
      </c>
      <c r="D42" s="232">
        <f t="shared" ref="D42:AO42" si="142">D31</f>
        <v>20868.968000000001</v>
      </c>
      <c r="E42" s="232">
        <f t="shared" si="142"/>
        <v>19821.510000000002</v>
      </c>
      <c r="F42" s="232">
        <f t="shared" si="142"/>
        <v>18471.335999999999</v>
      </c>
      <c r="G42" s="232">
        <f t="shared" si="142"/>
        <v>17352.118999999999</v>
      </c>
      <c r="H42" s="232">
        <f t="shared" si="142"/>
        <v>16701.272000000001</v>
      </c>
      <c r="I42" s="232">
        <f t="shared" si="142"/>
        <v>16215.963</v>
      </c>
      <c r="J42" s="232">
        <f t="shared" si="142"/>
        <v>15744.231</v>
      </c>
      <c r="K42" s="232">
        <f t="shared" si="142"/>
        <v>15343.782999999999</v>
      </c>
      <c r="L42" s="232">
        <f t="shared" ref="L42" si="143">L31</f>
        <v>14948.5</v>
      </c>
      <c r="N42" s="232">
        <f t="shared" si="142"/>
        <v>16391.723999999998</v>
      </c>
      <c r="O42" s="232">
        <f t="shared" si="142"/>
        <v>16278.802</v>
      </c>
      <c r="P42" s="232">
        <f t="shared" si="142"/>
        <v>16162.945</v>
      </c>
      <c r="Q42" s="232">
        <f t="shared" si="142"/>
        <v>16215.963</v>
      </c>
      <c r="R42" s="232">
        <f t="shared" si="142"/>
        <v>15892.723</v>
      </c>
      <c r="S42" s="232">
        <f t="shared" si="142"/>
        <v>15787.154</v>
      </c>
      <c r="T42" s="232">
        <f t="shared" si="142"/>
        <v>15697.614</v>
      </c>
      <c r="U42" s="232">
        <f t="shared" si="142"/>
        <v>15744.231</v>
      </c>
      <c r="V42" s="232">
        <f t="shared" si="142"/>
        <v>15509.763000000001</v>
      </c>
      <c r="W42" s="232">
        <f t="shared" si="142"/>
        <v>15405.856</v>
      </c>
      <c r="X42" s="232">
        <f t="shared" si="142"/>
        <v>15287.521000000001</v>
      </c>
      <c r="Y42" s="232">
        <f t="shared" si="142"/>
        <v>15343.782999999999</v>
      </c>
      <c r="Z42" s="232">
        <f t="shared" si="142"/>
        <v>15081.724</v>
      </c>
      <c r="AA42" s="232">
        <f t="shared" si="142"/>
        <v>14994.082</v>
      </c>
      <c r="AB42" s="232">
        <f t="shared" si="142"/>
        <v>14902.886</v>
      </c>
      <c r="AC42" s="232">
        <f t="shared" ref="AC42" si="144">AC31</f>
        <v>14948.5</v>
      </c>
      <c r="AE42" s="232">
        <f t="shared" si="142"/>
        <v>15892.723</v>
      </c>
      <c r="AF42" s="232">
        <f t="shared" si="142"/>
        <v>15787.154</v>
      </c>
      <c r="AG42" s="232">
        <f t="shared" si="142"/>
        <v>15697.614</v>
      </c>
      <c r="AH42" s="232">
        <f t="shared" si="142"/>
        <v>15744.231</v>
      </c>
      <c r="AI42" s="232">
        <f t="shared" si="142"/>
        <v>15509.763000000001</v>
      </c>
      <c r="AJ42" s="232">
        <f t="shared" si="142"/>
        <v>15405.856</v>
      </c>
      <c r="AK42" s="232">
        <f t="shared" si="142"/>
        <v>15287.521000000001</v>
      </c>
      <c r="AL42" s="232">
        <f t="shared" si="142"/>
        <v>15343.782999999999</v>
      </c>
      <c r="AM42" s="232">
        <f t="shared" si="142"/>
        <v>15081.724</v>
      </c>
      <c r="AN42" s="232">
        <f t="shared" si="142"/>
        <v>14994.082</v>
      </c>
      <c r="AO42" s="232">
        <f t="shared" si="142"/>
        <v>14902.886</v>
      </c>
      <c r="AP42" s="232">
        <f t="shared" ref="AP42" si="145">AP31</f>
        <v>14948.5</v>
      </c>
    </row>
    <row r="43" spans="2:42">
      <c r="B43" s="14" t="s">
        <v>436</v>
      </c>
      <c r="C43" s="90">
        <f>C41/C42</f>
        <v>10.856918576332314</v>
      </c>
      <c r="D43" s="90">
        <f t="shared" ref="D43:L43" si="146">D41/D42</f>
        <v>12.884920806817087</v>
      </c>
      <c r="E43" s="90">
        <f t="shared" si="146"/>
        <v>11.961752661628704</v>
      </c>
      <c r="F43" s="90">
        <f t="shared" si="146"/>
        <v>11.146892677389443</v>
      </c>
      <c r="G43" s="90">
        <f t="shared" si="146"/>
        <v>11.055133957990952</v>
      </c>
      <c r="H43" s="90">
        <f t="shared" si="146"/>
        <v>11.407274847089491</v>
      </c>
      <c r="I43" s="90">
        <f t="shared" si="146"/>
        <v>10.428551175159933</v>
      </c>
      <c r="J43" s="90">
        <f t="shared" si="146"/>
        <v>10.295771193905882</v>
      </c>
      <c r="K43" s="90">
        <f t="shared" si="146"/>
        <v>10.209346678064986</v>
      </c>
      <c r="L43" s="90">
        <f t="shared" si="146"/>
        <v>8.8584138876810385</v>
      </c>
      <c r="N43" s="90">
        <f t="shared" ref="N43" si="147">N41/N42</f>
        <v>12.359651736449443</v>
      </c>
      <c r="O43" s="90">
        <f t="shared" ref="O43" si="148">O41/O42</f>
        <v>11.839323311383724</v>
      </c>
      <c r="P43" s="90">
        <f t="shared" ref="P43" si="149">P41/P42</f>
        <v>11.093770349401053</v>
      </c>
      <c r="Q43" s="90">
        <f t="shared" ref="Q43" si="150">Q41/Q42</f>
        <v>10.428551175159933</v>
      </c>
      <c r="R43" s="90">
        <f t="shared" ref="R43" si="151">R41/R42</f>
        <v>10.410424947317084</v>
      </c>
      <c r="S43" s="90">
        <f t="shared" ref="S43" si="152">S41/S42</f>
        <v>10.535971207983401</v>
      </c>
      <c r="T43" s="90">
        <f t="shared" ref="T43" si="153">T41/T42</f>
        <v>10.60944676050768</v>
      </c>
      <c r="U43" s="90">
        <f t="shared" ref="U43" si="154">U41/U42</f>
        <v>10.295771193905882</v>
      </c>
      <c r="V43" s="90">
        <f t="shared" ref="V43" si="155">V41/V42</f>
        <v>11.126862480103661</v>
      </c>
      <c r="W43" s="90">
        <f t="shared" ref="W43" si="156">W41/W42</f>
        <v>10.537356703840411</v>
      </c>
      <c r="X43" s="90">
        <f t="shared" ref="X43" si="157">X41/X42</f>
        <v>10.010844792952369</v>
      </c>
      <c r="Y43" s="90">
        <f t="shared" ref="Y43" si="158">Y41/Y42</f>
        <v>10.209346678064986</v>
      </c>
      <c r="Z43" s="90">
        <f t="shared" ref="Z43" si="159">Z41/Z42</f>
        <v>9.3734642007770468</v>
      </c>
      <c r="AA43" s="90">
        <f t="shared" ref="AA43" si="160">AA41/AA42</f>
        <v>8.8649641905386396</v>
      </c>
      <c r="AB43" s="90">
        <f t="shared" ref="AB43:AC43" si="161">AB41/AB42</f>
        <v>8.9235064939770723</v>
      </c>
      <c r="AC43" s="90">
        <f t="shared" si="161"/>
        <v>8.8584138876810385</v>
      </c>
      <c r="AE43" s="90">
        <f t="shared" ref="AE43" si="162">AE41/AE42</f>
        <v>10.410424947317084</v>
      </c>
      <c r="AF43" s="90">
        <f t="shared" ref="AF43" si="163">AF41/AF42</f>
        <v>10.535971207983401</v>
      </c>
      <c r="AG43" s="90">
        <f t="shared" ref="AG43" si="164">AG41/AG42</f>
        <v>10.60944676050768</v>
      </c>
      <c r="AH43" s="90">
        <f t="shared" ref="AH43" si="165">AH41/AH42</f>
        <v>10.295771193905882</v>
      </c>
      <c r="AI43" s="90">
        <f t="shared" ref="AI43" si="166">AI41/AI42</f>
        <v>11.126862480103661</v>
      </c>
      <c r="AJ43" s="90">
        <f t="shared" ref="AJ43" si="167">AJ41/AJ42</f>
        <v>10.537356703840411</v>
      </c>
      <c r="AK43" s="90">
        <f t="shared" ref="AK43" si="168">AK41/AK42</f>
        <v>10.010844792952369</v>
      </c>
      <c r="AL43" s="90">
        <f t="shared" ref="AL43" si="169">AL41/AL42</f>
        <v>10.209346678064986</v>
      </c>
      <c r="AM43" s="90">
        <f t="shared" ref="AM43" si="170">AM41/AM42</f>
        <v>9.3734642007770468</v>
      </c>
      <c r="AN43" s="90">
        <f t="shared" ref="AN43" si="171">AN41/AN42</f>
        <v>8.8649641905386396</v>
      </c>
      <c r="AO43" s="90">
        <f t="shared" ref="AO43:AP43" si="172">AO41/AO42</f>
        <v>8.9235064939770723</v>
      </c>
      <c r="AP43" s="90">
        <f t="shared" si="172"/>
        <v>8.8584138876810385</v>
      </c>
    </row>
    <row r="45" spans="2:42" ht="15" thickBot="1">
      <c r="B45" s="284" t="s">
        <v>437</v>
      </c>
    </row>
    <row r="46" spans="2:42">
      <c r="B46" s="180" t="s">
        <v>434</v>
      </c>
      <c r="C46" s="232">
        <f>C41</f>
        <v>237585</v>
      </c>
      <c r="D46" s="232">
        <f t="shared" ref="D46:AO46" si="173">D41</f>
        <v>268895</v>
      </c>
      <c r="E46" s="232">
        <f t="shared" si="173"/>
        <v>237100</v>
      </c>
      <c r="F46" s="232">
        <f t="shared" si="173"/>
        <v>205898</v>
      </c>
      <c r="G46" s="232">
        <f t="shared" si="173"/>
        <v>191830</v>
      </c>
      <c r="H46" s="232">
        <f t="shared" si="173"/>
        <v>190516</v>
      </c>
      <c r="I46" s="232">
        <f t="shared" si="173"/>
        <v>169109</v>
      </c>
      <c r="J46" s="232">
        <f t="shared" si="173"/>
        <v>162099</v>
      </c>
      <c r="K46" s="232">
        <f t="shared" si="173"/>
        <v>156650</v>
      </c>
      <c r="L46" s="232">
        <f t="shared" ref="L46" si="174">L41</f>
        <v>132420</v>
      </c>
      <c r="N46" s="232">
        <f t="shared" si="173"/>
        <v>202596</v>
      </c>
      <c r="O46" s="232">
        <f t="shared" si="173"/>
        <v>192730</v>
      </c>
      <c r="P46" s="232">
        <f t="shared" si="173"/>
        <v>179308</v>
      </c>
      <c r="Q46" s="232">
        <f t="shared" si="173"/>
        <v>169109</v>
      </c>
      <c r="R46" s="232">
        <f t="shared" si="173"/>
        <v>165450</v>
      </c>
      <c r="S46" s="232">
        <f t="shared" si="173"/>
        <v>166333</v>
      </c>
      <c r="T46" s="232">
        <f t="shared" si="173"/>
        <v>166543</v>
      </c>
      <c r="U46" s="232">
        <f t="shared" si="173"/>
        <v>162099</v>
      </c>
      <c r="V46" s="232">
        <f t="shared" si="173"/>
        <v>172575</v>
      </c>
      <c r="W46" s="232">
        <f t="shared" si="173"/>
        <v>162337</v>
      </c>
      <c r="X46" s="232">
        <f t="shared" si="173"/>
        <v>153041</v>
      </c>
      <c r="Y46" s="232">
        <f t="shared" si="173"/>
        <v>156650</v>
      </c>
      <c r="Z46" s="232">
        <f t="shared" si="173"/>
        <v>141368</v>
      </c>
      <c r="AA46" s="232">
        <f t="shared" si="173"/>
        <v>132922</v>
      </c>
      <c r="AB46" s="232">
        <f t="shared" si="173"/>
        <v>132986</v>
      </c>
      <c r="AC46" s="232">
        <f t="shared" ref="AC46" si="175">AC41</f>
        <v>132420</v>
      </c>
      <c r="AE46" s="232">
        <f t="shared" si="173"/>
        <v>165450</v>
      </c>
      <c r="AF46" s="232">
        <f t="shared" si="173"/>
        <v>166333</v>
      </c>
      <c r="AG46" s="232">
        <f t="shared" si="173"/>
        <v>166543</v>
      </c>
      <c r="AH46" s="232">
        <f t="shared" si="173"/>
        <v>162099</v>
      </c>
      <c r="AI46" s="232">
        <f t="shared" si="173"/>
        <v>172575</v>
      </c>
      <c r="AJ46" s="232">
        <f t="shared" si="173"/>
        <v>162337</v>
      </c>
      <c r="AK46" s="232">
        <f t="shared" si="173"/>
        <v>153041</v>
      </c>
      <c r="AL46" s="232">
        <f t="shared" si="173"/>
        <v>156650</v>
      </c>
      <c r="AM46" s="232">
        <f t="shared" si="173"/>
        <v>141368</v>
      </c>
      <c r="AN46" s="232">
        <f t="shared" si="173"/>
        <v>132922</v>
      </c>
      <c r="AO46" s="232">
        <f t="shared" si="173"/>
        <v>132986</v>
      </c>
      <c r="AP46" s="232">
        <f t="shared" ref="AP46" si="176">AP41</f>
        <v>132420</v>
      </c>
    </row>
    <row r="47" spans="2:42">
      <c r="B47" s="180" t="s">
        <v>106</v>
      </c>
      <c r="C47" s="232">
        <f>C36</f>
        <v>22001.127</v>
      </c>
      <c r="D47" s="232">
        <f t="shared" ref="D47:AO47" si="177">D36</f>
        <v>21006.767</v>
      </c>
      <c r="E47" s="232">
        <f t="shared" si="177"/>
        <v>20000.436000000002</v>
      </c>
      <c r="F47" s="232">
        <f t="shared" si="177"/>
        <v>18595.651000000002</v>
      </c>
      <c r="G47" s="232">
        <f t="shared" si="177"/>
        <v>17528.214</v>
      </c>
      <c r="H47" s="232">
        <f t="shared" si="177"/>
        <v>16864.919000000002</v>
      </c>
      <c r="I47" s="232">
        <f t="shared" si="177"/>
        <v>16325.819</v>
      </c>
      <c r="J47" s="232">
        <f t="shared" si="177"/>
        <v>15812.547</v>
      </c>
      <c r="K47" s="232">
        <f t="shared" si="177"/>
        <v>15408.094999999999</v>
      </c>
      <c r="L47" s="232">
        <f t="shared" ref="L47" si="178">L36</f>
        <v>15004.697</v>
      </c>
      <c r="N47" s="232">
        <f t="shared" si="177"/>
        <v>16519.291000000001</v>
      </c>
      <c r="O47" s="232">
        <f t="shared" si="177"/>
        <v>16403.315999999999</v>
      </c>
      <c r="P47" s="232">
        <f t="shared" si="177"/>
        <v>16262.203</v>
      </c>
      <c r="Q47" s="232">
        <f t="shared" si="177"/>
        <v>16325.819</v>
      </c>
      <c r="R47" s="232">
        <f t="shared" si="177"/>
        <v>15955.718000000001</v>
      </c>
      <c r="S47" s="232">
        <f t="shared" si="177"/>
        <v>15847.05</v>
      </c>
      <c r="T47" s="232">
        <f t="shared" si="177"/>
        <v>15775.021000000001</v>
      </c>
      <c r="U47" s="232">
        <f t="shared" si="177"/>
        <v>15812.547</v>
      </c>
      <c r="V47" s="232">
        <f t="shared" si="177"/>
        <v>15576.641</v>
      </c>
      <c r="W47" s="232">
        <f t="shared" si="177"/>
        <v>15464.709000000001</v>
      </c>
      <c r="X47" s="232">
        <f t="shared" si="177"/>
        <v>15348.174999999999</v>
      </c>
      <c r="Y47" s="232">
        <f t="shared" si="177"/>
        <v>15408.094999999999</v>
      </c>
      <c r="Z47" s="232">
        <f t="shared" si="177"/>
        <v>15150.865</v>
      </c>
      <c r="AA47" s="232">
        <f t="shared" si="177"/>
        <v>15056.133</v>
      </c>
      <c r="AB47" s="232">
        <f t="shared" si="177"/>
        <v>14948.179</v>
      </c>
      <c r="AC47" s="232">
        <f t="shared" ref="AC47" si="179">AC36</f>
        <v>15004.697</v>
      </c>
      <c r="AE47" s="232">
        <f t="shared" si="177"/>
        <v>15955.718000000001</v>
      </c>
      <c r="AF47" s="232">
        <f t="shared" si="177"/>
        <v>15847.05</v>
      </c>
      <c r="AG47" s="232">
        <f t="shared" si="177"/>
        <v>15775.021000000001</v>
      </c>
      <c r="AH47" s="232">
        <f t="shared" si="177"/>
        <v>15812.547</v>
      </c>
      <c r="AI47" s="232">
        <f t="shared" si="177"/>
        <v>15576.641</v>
      </c>
      <c r="AJ47" s="232">
        <f t="shared" si="177"/>
        <v>15464.709000000001</v>
      </c>
      <c r="AK47" s="232">
        <f t="shared" si="177"/>
        <v>15348.174999999999</v>
      </c>
      <c r="AL47" s="232">
        <f t="shared" si="177"/>
        <v>15408.094999999999</v>
      </c>
      <c r="AM47" s="232">
        <f t="shared" si="177"/>
        <v>15150.865</v>
      </c>
      <c r="AN47" s="232">
        <f t="shared" si="177"/>
        <v>15056.133</v>
      </c>
      <c r="AO47" s="232">
        <f t="shared" si="177"/>
        <v>14948.179</v>
      </c>
      <c r="AP47" s="232">
        <f t="shared" ref="AP47" si="180">AP36</f>
        <v>15004.697</v>
      </c>
    </row>
    <row r="48" spans="2:42">
      <c r="B48" s="14" t="s">
        <v>438</v>
      </c>
      <c r="C48" s="90">
        <f>C46/C47</f>
        <v>10.798764990538894</v>
      </c>
      <c r="D48" s="90">
        <f t="shared" ref="D48" si="181">D46/D47</f>
        <v>12.800399033321025</v>
      </c>
      <c r="E48" s="90">
        <f t="shared" ref="E48" si="182">E46/E47</f>
        <v>11.854741566633846</v>
      </c>
      <c r="F48" s="90">
        <f t="shared" ref="F48" si="183">F46/F47</f>
        <v>11.072373857736951</v>
      </c>
      <c r="G48" s="90">
        <f t="shared" ref="G48" si="184">G46/G47</f>
        <v>10.94406994346372</v>
      </c>
      <c r="H48" s="90">
        <f t="shared" ref="H48" si="185">H46/H47</f>
        <v>11.296585533556371</v>
      </c>
      <c r="I48" s="90">
        <f t="shared" ref="I48" si="186">I46/I47</f>
        <v>10.358377732841458</v>
      </c>
      <c r="J48" s="90">
        <f t="shared" ref="J48" si="187">J46/J47</f>
        <v>10.251289687866224</v>
      </c>
      <c r="K48" s="90">
        <f t="shared" ref="K48:L48" si="188">K46/K47</f>
        <v>10.166733785065578</v>
      </c>
      <c r="L48" s="90">
        <f t="shared" si="188"/>
        <v>8.8252365242697</v>
      </c>
      <c r="N48" s="90">
        <f t="shared" ref="N48" si="189">N46/N47</f>
        <v>12.264206738654824</v>
      </c>
      <c r="O48" s="90">
        <f t="shared" ref="O48" si="190">O46/O47</f>
        <v>11.749453586091983</v>
      </c>
      <c r="P48" s="90">
        <f t="shared" ref="P48" si="191">P46/P47</f>
        <v>11.026058400574634</v>
      </c>
      <c r="Q48" s="90">
        <f t="shared" ref="Q48" si="192">Q46/Q47</f>
        <v>10.358377732841458</v>
      </c>
      <c r="R48" s="90">
        <f t="shared" ref="R48" si="193">R46/R47</f>
        <v>10.369323398671247</v>
      </c>
      <c r="S48" s="90">
        <f t="shared" ref="S48" si="194">S46/S47</f>
        <v>10.496149125547026</v>
      </c>
      <c r="T48" s="90">
        <f t="shared" ref="T48" si="195">T46/T47</f>
        <v>10.557386896664037</v>
      </c>
      <c r="U48" s="90">
        <f t="shared" ref="U48" si="196">U46/U47</f>
        <v>10.251289687866224</v>
      </c>
      <c r="V48" s="90">
        <f t="shared" ref="V48" si="197">V46/V47</f>
        <v>11.079089516154349</v>
      </c>
      <c r="W48" s="90">
        <f t="shared" ref="W48" si="198">W46/W47</f>
        <v>10.49725539614098</v>
      </c>
      <c r="X48" s="90">
        <f t="shared" ref="X48" si="199">X46/X47</f>
        <v>9.9712832307424168</v>
      </c>
      <c r="Y48" s="90">
        <f t="shared" ref="Y48" si="200">Y46/Y47</f>
        <v>10.166733785065578</v>
      </c>
      <c r="Z48" s="90">
        <f t="shared" ref="Z48" si="201">Z46/Z47</f>
        <v>9.3306883798383797</v>
      </c>
      <c r="AA48" s="90">
        <f t="shared" ref="AA48" si="202">AA46/AA47</f>
        <v>8.8284289199623842</v>
      </c>
      <c r="AB48" s="90">
        <f t="shared" ref="AB48:AC48" si="203">AB46/AB47</f>
        <v>8.8964682587758688</v>
      </c>
      <c r="AC48" s="90">
        <f t="shared" si="203"/>
        <v>8.8252365242697</v>
      </c>
      <c r="AE48" s="90">
        <f t="shared" ref="AE48" si="204">AE46/AE47</f>
        <v>10.369323398671247</v>
      </c>
      <c r="AF48" s="90">
        <f t="shared" ref="AF48" si="205">AF46/AF47</f>
        <v>10.496149125547026</v>
      </c>
      <c r="AG48" s="90">
        <f t="shared" ref="AG48" si="206">AG46/AG47</f>
        <v>10.557386896664037</v>
      </c>
      <c r="AH48" s="90">
        <f t="shared" ref="AH48" si="207">AH46/AH47</f>
        <v>10.251289687866224</v>
      </c>
      <c r="AI48" s="90">
        <f t="shared" ref="AI48" si="208">AI46/AI47</f>
        <v>11.079089516154349</v>
      </c>
      <c r="AJ48" s="90">
        <f t="shared" ref="AJ48" si="209">AJ46/AJ47</f>
        <v>10.49725539614098</v>
      </c>
      <c r="AK48" s="90">
        <f t="shared" ref="AK48" si="210">AK46/AK47</f>
        <v>9.9712832307424168</v>
      </c>
      <c r="AL48" s="90">
        <f t="shared" ref="AL48" si="211">AL46/AL47</f>
        <v>10.166733785065578</v>
      </c>
      <c r="AM48" s="90">
        <f t="shared" ref="AM48" si="212">AM46/AM47</f>
        <v>9.3306883798383797</v>
      </c>
      <c r="AN48" s="90">
        <f t="shared" ref="AN48" si="213">AN46/AN47</f>
        <v>8.8284289199623842</v>
      </c>
      <c r="AO48" s="90">
        <f t="shared" ref="AO48:AP48" si="214">AO46/AO47</f>
        <v>8.8964682587758688</v>
      </c>
      <c r="AP48" s="90">
        <f t="shared" si="214"/>
        <v>8.8252365242697</v>
      </c>
    </row>
    <row r="50" spans="2:42" ht="15" thickBot="1">
      <c r="B50" s="284" t="s">
        <v>439</v>
      </c>
    </row>
    <row r="51" spans="2:42">
      <c r="B51" s="180" t="s">
        <v>34</v>
      </c>
      <c r="C51" s="385">
        <f>-SUM('Historical Financials'!C58+'Historical Financials'!C55+'Historical Financials'!C54)</f>
        <v>-87032</v>
      </c>
      <c r="D51" s="385">
        <f>-SUM('Historical Financials'!D58+'Historical Financials'!D55+'Historical Financials'!D54)</f>
        <v>-115680</v>
      </c>
      <c r="E51" s="385">
        <f>-SUM('Historical Financials'!E58+'Historical Financials'!E55+'Historical Financials'!E54)</f>
        <v>-114483</v>
      </c>
      <c r="F51" s="385">
        <f>-SUM('Historical Financials'!F58+'Historical Financials'!F55+'Historical Financials'!F54)</f>
        <v>-108047</v>
      </c>
      <c r="G51" s="385">
        <f>-SUM('Historical Financials'!G58+'Historical Financials'!G55+'Historical Financials'!G54)</f>
        <v>-112436</v>
      </c>
      <c r="H51" s="385">
        <f>-SUM('Historical Financials'!H58+'Historical Financials'!H55+'Historical Financials'!H54)</f>
        <v>-124719</v>
      </c>
      <c r="I51" s="385">
        <f>-SUM('Historical Financials'!I58+'Historical Financials'!I55+'Historical Financials'!I54)</f>
        <v>-120069</v>
      </c>
      <c r="J51" s="385">
        <f>-SUM('Historical Financials'!J58+'Historical Financials'!J55+'Historical Financials'!J54)</f>
        <v>-111088</v>
      </c>
      <c r="K51" s="385">
        <f>-SUM('Historical Financials'!K58+'Historical Financials'!K55+'Historical Financials'!K54)</f>
        <v>-106629</v>
      </c>
      <c r="L51" s="385">
        <f>-SUM('Historical Financials'!L58+'Historical Financials'!L55+'Historical Financials'!L54)</f>
        <v>-98657</v>
      </c>
      <c r="N51" s="385">
        <f>-SUM('Historical Financials'!N58+'Historical Financials'!N55+'Historical Financials'!N54)</f>
        <v>-122798</v>
      </c>
      <c r="O51" s="385">
        <f>-SUM('Historical Financials'!O58+'Historical Financials'!O55+'Historical Financials'!O54)</f>
        <v>-119981</v>
      </c>
      <c r="P51" s="385">
        <f>-SUM('Historical Financials'!P58+'Historical Financials'!P55+'Historical Financials'!P54)</f>
        <v>-119691</v>
      </c>
      <c r="Q51" s="385">
        <f>-SUM('Historical Financials'!Q58+'Historical Financials'!Q55+'Historical Financials'!Q54)</f>
        <v>-120069</v>
      </c>
      <c r="R51" s="385">
        <f>-SUM('Historical Financials'!R58+'Historical Financials'!R55+'Historical Financials'!R54)</f>
        <v>-111110</v>
      </c>
      <c r="S51" s="385">
        <f>-SUM('Historical Financials'!S58+'Historical Financials'!S55+'Historical Financials'!S54)</f>
        <v>-109615</v>
      </c>
      <c r="T51" s="385">
        <f>-SUM('Historical Financials'!T58+'Historical Financials'!T55+'Historical Financials'!T54)</f>
        <v>-109280</v>
      </c>
      <c r="U51" s="385">
        <f>-SUM('Historical Financials'!U58+'Historical Financials'!U55+'Historical Financials'!U54)</f>
        <v>-111088</v>
      </c>
      <c r="V51" s="385">
        <f>-SUM('Historical Financials'!V58+'Historical Financials'!V55+'Historical Financials'!V54)</f>
        <v>-108040</v>
      </c>
      <c r="W51" s="385">
        <f>-SUM('Historical Financials'!W58+'Historical Financials'!W55+'Historical Financials'!W54)</f>
        <v>-104590</v>
      </c>
      <c r="X51" s="385">
        <f>-SUM('Historical Financials'!X58+'Historical Financials'!X55+'Historical Financials'!X54)</f>
        <v>-101304</v>
      </c>
      <c r="Y51" s="385">
        <f>-SUM('Historical Financials'!Y58+'Historical Financials'!Y55+'Historical Financials'!Y54)</f>
        <v>-106629</v>
      </c>
      <c r="Z51" s="385">
        <f>-SUM('Historical Financials'!Z58+'Historical Financials'!Z55+'Historical Financials'!Z54)</f>
        <v>-96799</v>
      </c>
      <c r="AA51" s="385">
        <f>-SUM('Historical Financials'!AA58+'Historical Financials'!AA55+'Historical Financials'!AA54)</f>
        <v>-98186</v>
      </c>
      <c r="AB51" s="385">
        <f>-SUM('Historical Financials'!AB58+'Historical Financials'!AB55+'Historical Financials'!AB54)</f>
        <v>-101698</v>
      </c>
      <c r="AC51" s="385">
        <f>-SUM('Historical Financials'!AC58+'Historical Financials'!AC55+'Historical Financials'!AC54)</f>
        <v>-98657</v>
      </c>
      <c r="AE51" s="385">
        <f>-SUM('Historical Financials'!AE58+'Historical Financials'!AE55+'Historical Financials'!AE54)</f>
        <v>-111110</v>
      </c>
      <c r="AF51" s="385">
        <f>-SUM('Historical Financials'!AF58+'Historical Financials'!AF55+'Historical Financials'!AF54)</f>
        <v>-109615</v>
      </c>
      <c r="AG51" s="385">
        <f>-SUM('Historical Financials'!AG58+'Historical Financials'!AG55+'Historical Financials'!AG54)</f>
        <v>-109280</v>
      </c>
      <c r="AH51" s="385">
        <f>-SUM('Historical Financials'!AH58+'Historical Financials'!AH55+'Historical Financials'!AH54)</f>
        <v>-111088</v>
      </c>
      <c r="AI51" s="385">
        <f>-SUM('Historical Financials'!AI58+'Historical Financials'!AI55+'Historical Financials'!AI54)</f>
        <v>-108040</v>
      </c>
      <c r="AJ51" s="385">
        <f>-SUM('Historical Financials'!AJ58+'Historical Financials'!AJ55+'Historical Financials'!AJ54)</f>
        <v>-104590</v>
      </c>
      <c r="AK51" s="385">
        <f>-SUM('Historical Financials'!AK58+'Historical Financials'!AK55+'Historical Financials'!AK54)</f>
        <v>-101304</v>
      </c>
      <c r="AL51" s="385">
        <f>-SUM('Historical Financials'!AL58+'Historical Financials'!AL55+'Historical Financials'!AL54)</f>
        <v>-106629</v>
      </c>
      <c r="AM51" s="385">
        <f>-SUM('Historical Financials'!AM58+'Historical Financials'!AM55+'Historical Financials'!AM54)</f>
        <v>-96799</v>
      </c>
      <c r="AN51" s="385">
        <f>-SUM('Historical Financials'!AN58+'Historical Financials'!AN55+'Historical Financials'!AN54)</f>
        <v>-98186</v>
      </c>
      <c r="AO51" s="385">
        <f>-SUM('Historical Financials'!AO58+'Historical Financials'!AO55+'Historical Financials'!AO54)</f>
        <v>-101698</v>
      </c>
      <c r="AP51" s="385">
        <f>-SUM('Historical Financials'!AP58+'Historical Financials'!AP55+'Historical Financials'!AP54)</f>
        <v>-98657</v>
      </c>
    </row>
    <row r="52" spans="2:42">
      <c r="B52" s="180" t="s">
        <v>441</v>
      </c>
      <c r="C52" s="232">
        <f>C41+C51</f>
        <v>150553</v>
      </c>
      <c r="D52" s="232">
        <f t="shared" ref="D52:L52" si="215">D41+D51</f>
        <v>153215</v>
      </c>
      <c r="E52" s="232">
        <f t="shared" si="215"/>
        <v>122617</v>
      </c>
      <c r="F52" s="232">
        <f t="shared" si="215"/>
        <v>97851</v>
      </c>
      <c r="G52" s="232">
        <f t="shared" si="215"/>
        <v>79394</v>
      </c>
      <c r="H52" s="232">
        <f t="shared" si="215"/>
        <v>65797</v>
      </c>
      <c r="I52" s="232">
        <f t="shared" si="215"/>
        <v>49040</v>
      </c>
      <c r="J52" s="232">
        <f t="shared" si="215"/>
        <v>51011</v>
      </c>
      <c r="K52" s="232">
        <f t="shared" si="215"/>
        <v>50021</v>
      </c>
      <c r="L52" s="232">
        <f t="shared" si="215"/>
        <v>33763</v>
      </c>
      <c r="N52" s="232">
        <f t="shared" ref="N52" si="216">N41+N51</f>
        <v>79798</v>
      </c>
      <c r="O52" s="232">
        <f t="shared" ref="O52" si="217">O41+O51</f>
        <v>72749</v>
      </c>
      <c r="P52" s="232">
        <f t="shared" ref="P52" si="218">P41+P51</f>
        <v>59617</v>
      </c>
      <c r="Q52" s="232">
        <f t="shared" ref="Q52" si="219">Q41+Q51</f>
        <v>49040</v>
      </c>
      <c r="R52" s="232">
        <f t="shared" ref="R52" si="220">R41+R51</f>
        <v>54340</v>
      </c>
      <c r="S52" s="232">
        <f t="shared" ref="S52" si="221">S41+S51</f>
        <v>56718</v>
      </c>
      <c r="T52" s="232">
        <f t="shared" ref="T52" si="222">T41+T51</f>
        <v>57263</v>
      </c>
      <c r="U52" s="232">
        <f t="shared" ref="U52" si="223">U41+U51</f>
        <v>51011</v>
      </c>
      <c r="V52" s="232">
        <f t="shared" ref="V52" si="224">V41+V51</f>
        <v>64535</v>
      </c>
      <c r="W52" s="232">
        <f t="shared" ref="W52" si="225">W41+W51</f>
        <v>57747</v>
      </c>
      <c r="X52" s="232">
        <f t="shared" ref="X52" si="226">X41+X51</f>
        <v>51737</v>
      </c>
      <c r="Y52" s="232">
        <f t="shared" ref="Y52" si="227">Y41+Y51</f>
        <v>50021</v>
      </c>
      <c r="Z52" s="232">
        <f t="shared" ref="Z52" si="228">Z41+Z51</f>
        <v>44569</v>
      </c>
      <c r="AA52" s="232">
        <f t="shared" ref="AA52" si="229">AA41+AA51</f>
        <v>34736</v>
      </c>
      <c r="AB52" s="232">
        <f t="shared" ref="AB52:AC52" si="230">AB41+AB51</f>
        <v>31288</v>
      </c>
      <c r="AC52" s="232">
        <f t="shared" si="230"/>
        <v>33763</v>
      </c>
      <c r="AE52" s="232">
        <f t="shared" ref="AE52" si="231">AE41+AE51</f>
        <v>54340</v>
      </c>
      <c r="AF52" s="232">
        <f t="shared" ref="AF52" si="232">AF41+AF51</f>
        <v>56718</v>
      </c>
      <c r="AG52" s="232">
        <f t="shared" ref="AG52" si="233">AG41+AG51</f>
        <v>57263</v>
      </c>
      <c r="AH52" s="232">
        <f t="shared" ref="AH52" si="234">AH41+AH51</f>
        <v>51011</v>
      </c>
      <c r="AI52" s="232">
        <f t="shared" ref="AI52" si="235">AI41+AI51</f>
        <v>64535</v>
      </c>
      <c r="AJ52" s="232">
        <f t="shared" ref="AJ52" si="236">AJ41+AJ51</f>
        <v>57747</v>
      </c>
      <c r="AK52" s="232">
        <f t="shared" ref="AK52" si="237">AK41+AK51</f>
        <v>51737</v>
      </c>
      <c r="AL52" s="232">
        <f t="shared" ref="AL52" si="238">AL41+AL51</f>
        <v>50021</v>
      </c>
      <c r="AM52" s="232">
        <f t="shared" ref="AM52" si="239">AM41+AM51</f>
        <v>44569</v>
      </c>
      <c r="AN52" s="232">
        <f t="shared" ref="AN52" si="240">AN41+AN51</f>
        <v>34736</v>
      </c>
      <c r="AO52" s="232">
        <f t="shared" ref="AO52:AP52" si="241">AO41+AO51</f>
        <v>31288</v>
      </c>
      <c r="AP52" s="232">
        <f t="shared" si="241"/>
        <v>33763</v>
      </c>
    </row>
    <row r="53" spans="2:42">
      <c r="B53" s="180" t="s">
        <v>430</v>
      </c>
      <c r="C53" s="232">
        <f>C31</f>
        <v>21883.281000000003</v>
      </c>
      <c r="D53" s="232">
        <f t="shared" ref="D53:AO53" si="242">D31</f>
        <v>20868.968000000001</v>
      </c>
      <c r="E53" s="232">
        <f t="shared" si="242"/>
        <v>19821.510000000002</v>
      </c>
      <c r="F53" s="232">
        <f t="shared" si="242"/>
        <v>18471.335999999999</v>
      </c>
      <c r="G53" s="232">
        <f t="shared" si="242"/>
        <v>17352.118999999999</v>
      </c>
      <c r="H53" s="232">
        <f t="shared" si="242"/>
        <v>16701.272000000001</v>
      </c>
      <c r="I53" s="232">
        <f t="shared" si="242"/>
        <v>16215.963</v>
      </c>
      <c r="J53" s="232">
        <f t="shared" si="242"/>
        <v>15744.231</v>
      </c>
      <c r="K53" s="232">
        <f t="shared" si="242"/>
        <v>15343.782999999999</v>
      </c>
      <c r="L53" s="232">
        <f t="shared" ref="L53" si="243">L31</f>
        <v>14948.5</v>
      </c>
      <c r="N53" s="232">
        <f t="shared" si="242"/>
        <v>16391.723999999998</v>
      </c>
      <c r="O53" s="232">
        <f t="shared" si="242"/>
        <v>16278.802</v>
      </c>
      <c r="P53" s="232">
        <f t="shared" si="242"/>
        <v>16162.945</v>
      </c>
      <c r="Q53" s="232">
        <f t="shared" si="242"/>
        <v>16215.963</v>
      </c>
      <c r="R53" s="232">
        <f t="shared" si="242"/>
        <v>15892.723</v>
      </c>
      <c r="S53" s="232">
        <f t="shared" si="242"/>
        <v>15787.154</v>
      </c>
      <c r="T53" s="232">
        <f t="shared" si="242"/>
        <v>15697.614</v>
      </c>
      <c r="U53" s="232">
        <f t="shared" si="242"/>
        <v>15744.231</v>
      </c>
      <c r="V53" s="232">
        <f t="shared" si="242"/>
        <v>15509.763000000001</v>
      </c>
      <c r="W53" s="232">
        <f t="shared" si="242"/>
        <v>15405.856</v>
      </c>
      <c r="X53" s="232">
        <f t="shared" si="242"/>
        <v>15287.521000000001</v>
      </c>
      <c r="Y53" s="232">
        <f t="shared" si="242"/>
        <v>15343.782999999999</v>
      </c>
      <c r="Z53" s="232">
        <f t="shared" si="242"/>
        <v>15081.724</v>
      </c>
      <c r="AA53" s="232">
        <f t="shared" si="242"/>
        <v>14994.082</v>
      </c>
      <c r="AB53" s="232">
        <f t="shared" si="242"/>
        <v>14902.886</v>
      </c>
      <c r="AC53" s="232">
        <f t="shared" ref="AC53" si="244">AC31</f>
        <v>14948.5</v>
      </c>
      <c r="AE53" s="232">
        <f t="shared" si="242"/>
        <v>15892.723</v>
      </c>
      <c r="AF53" s="232">
        <f t="shared" si="242"/>
        <v>15787.154</v>
      </c>
      <c r="AG53" s="232">
        <f t="shared" si="242"/>
        <v>15697.614</v>
      </c>
      <c r="AH53" s="232">
        <f t="shared" si="242"/>
        <v>15744.231</v>
      </c>
      <c r="AI53" s="232">
        <f t="shared" si="242"/>
        <v>15509.763000000001</v>
      </c>
      <c r="AJ53" s="232">
        <f t="shared" si="242"/>
        <v>15405.856</v>
      </c>
      <c r="AK53" s="232">
        <f t="shared" si="242"/>
        <v>15287.521000000001</v>
      </c>
      <c r="AL53" s="232">
        <f t="shared" si="242"/>
        <v>15343.782999999999</v>
      </c>
      <c r="AM53" s="232">
        <f t="shared" si="242"/>
        <v>15081.724</v>
      </c>
      <c r="AN53" s="232">
        <f t="shared" si="242"/>
        <v>14994.082</v>
      </c>
      <c r="AO53" s="232">
        <f t="shared" si="242"/>
        <v>14902.886</v>
      </c>
      <c r="AP53" s="232">
        <f t="shared" ref="AP53" si="245">AP31</f>
        <v>14948.5</v>
      </c>
    </row>
    <row r="54" spans="2:42">
      <c r="B54" s="14" t="s">
        <v>436</v>
      </c>
      <c r="C54" s="90">
        <f>C52/C53</f>
        <v>6.8798184330768306</v>
      </c>
      <c r="D54" s="90">
        <f t="shared" ref="D54:L54" si="246">D52/D53</f>
        <v>7.3417621800943866</v>
      </c>
      <c r="E54" s="90">
        <f t="shared" si="246"/>
        <v>6.1860574698900326</v>
      </c>
      <c r="F54" s="90">
        <f t="shared" si="246"/>
        <v>5.2974511426785806</v>
      </c>
      <c r="G54" s="90">
        <f t="shared" si="246"/>
        <v>4.57546424157188</v>
      </c>
      <c r="H54" s="90">
        <f t="shared" si="246"/>
        <v>3.939640046578488</v>
      </c>
      <c r="I54" s="90">
        <f t="shared" si="246"/>
        <v>3.024180555912714</v>
      </c>
      <c r="J54" s="90">
        <f t="shared" si="246"/>
        <v>3.2399804093321549</v>
      </c>
      <c r="K54" s="90">
        <f t="shared" si="246"/>
        <v>3.2600174285572208</v>
      </c>
      <c r="L54" s="90">
        <f t="shared" si="246"/>
        <v>2.2586212663477943</v>
      </c>
      <c r="N54" s="90">
        <f t="shared" ref="N54" si="247">N52/N53</f>
        <v>4.8681883613950561</v>
      </c>
      <c r="O54" s="90">
        <f t="shared" ref="O54" si="248">O52/O53</f>
        <v>4.4689406505466431</v>
      </c>
      <c r="P54" s="90">
        <f t="shared" ref="P54" si="249">P52/P53</f>
        <v>3.6884985997291952</v>
      </c>
      <c r="Q54" s="90">
        <f t="shared" ref="Q54" si="250">Q52/Q53</f>
        <v>3.024180555912714</v>
      </c>
      <c r="R54" s="90">
        <f t="shared" ref="R54" si="251">R52/R53</f>
        <v>3.4191749267888203</v>
      </c>
      <c r="S54" s="90">
        <f t="shared" ref="S54" si="252">S52/S53</f>
        <v>3.5926678108036443</v>
      </c>
      <c r="T54" s="90">
        <f t="shared" ref="T54" si="253">T52/T53</f>
        <v>3.6478792254670043</v>
      </c>
      <c r="U54" s="90">
        <f t="shared" ref="U54" si="254">U52/U53</f>
        <v>3.2399804093321549</v>
      </c>
      <c r="V54" s="90">
        <f t="shared" ref="V54" si="255">V52/V53</f>
        <v>4.1609275396406762</v>
      </c>
      <c r="W54" s="90">
        <f t="shared" ref="W54" si="256">W52/W53</f>
        <v>3.7483798368620347</v>
      </c>
      <c r="X54" s="90">
        <f t="shared" ref="X54" si="257">X52/X53</f>
        <v>3.3842635441024087</v>
      </c>
      <c r="Y54" s="90">
        <f t="shared" ref="Y54" si="258">Y52/Y53</f>
        <v>3.2600174285572208</v>
      </c>
      <c r="Z54" s="90">
        <f t="shared" ref="Z54" si="259">Z52/Z53</f>
        <v>2.9551661335269097</v>
      </c>
      <c r="AA54" s="90">
        <f t="shared" ref="AA54" si="260">AA52/AA53</f>
        <v>2.3166473279257778</v>
      </c>
      <c r="AB54" s="90">
        <f t="shared" ref="AB54:AC54" si="261">AB52/AB53</f>
        <v>2.0994591248970167</v>
      </c>
      <c r="AC54" s="90">
        <f t="shared" si="261"/>
        <v>2.2586212663477943</v>
      </c>
      <c r="AE54" s="90">
        <f t="shared" ref="AE54" si="262">AE52/AE53</f>
        <v>3.4191749267888203</v>
      </c>
      <c r="AF54" s="90">
        <f t="shared" ref="AF54" si="263">AF52/AF53</f>
        <v>3.5926678108036443</v>
      </c>
      <c r="AG54" s="90">
        <f t="shared" ref="AG54" si="264">AG52/AG53</f>
        <v>3.6478792254670043</v>
      </c>
      <c r="AH54" s="90">
        <f t="shared" ref="AH54" si="265">AH52/AH53</f>
        <v>3.2399804093321549</v>
      </c>
      <c r="AI54" s="90">
        <f t="shared" ref="AI54" si="266">AI52/AI53</f>
        <v>4.1609275396406762</v>
      </c>
      <c r="AJ54" s="90">
        <f t="shared" ref="AJ54" si="267">AJ52/AJ53</f>
        <v>3.7483798368620347</v>
      </c>
      <c r="AK54" s="90">
        <f t="shared" ref="AK54" si="268">AK52/AK53</f>
        <v>3.3842635441024087</v>
      </c>
      <c r="AL54" s="90">
        <f t="shared" ref="AL54" si="269">AL52/AL53</f>
        <v>3.2600174285572208</v>
      </c>
      <c r="AM54" s="90">
        <f t="shared" ref="AM54" si="270">AM52/AM53</f>
        <v>2.9551661335269097</v>
      </c>
      <c r="AN54" s="90">
        <f t="shared" ref="AN54" si="271">AN52/AN53</f>
        <v>2.3166473279257778</v>
      </c>
      <c r="AO54" s="90">
        <f t="shared" ref="AO54:AP54" si="272">AO52/AO53</f>
        <v>2.0994591248970167</v>
      </c>
      <c r="AP54" s="90">
        <f t="shared" si="272"/>
        <v>2.2586212663477943</v>
      </c>
    </row>
    <row r="56" spans="2:42" ht="15" thickBot="1">
      <c r="B56" s="284" t="s">
        <v>440</v>
      </c>
    </row>
    <row r="57" spans="2:42">
      <c r="B57" s="180" t="s">
        <v>34</v>
      </c>
      <c r="C57" s="232">
        <f>C51</f>
        <v>-87032</v>
      </c>
      <c r="D57" s="232">
        <f t="shared" ref="D57:K57" si="273">D51</f>
        <v>-115680</v>
      </c>
      <c r="E57" s="232">
        <f t="shared" si="273"/>
        <v>-114483</v>
      </c>
      <c r="F57" s="232">
        <f t="shared" si="273"/>
        <v>-108047</v>
      </c>
      <c r="G57" s="232">
        <f t="shared" si="273"/>
        <v>-112436</v>
      </c>
      <c r="H57" s="232">
        <f t="shared" si="273"/>
        <v>-124719</v>
      </c>
      <c r="I57" s="232">
        <f t="shared" si="273"/>
        <v>-120069</v>
      </c>
      <c r="J57" s="232">
        <f t="shared" si="273"/>
        <v>-111088</v>
      </c>
      <c r="K57" s="232">
        <f t="shared" si="273"/>
        <v>-106629</v>
      </c>
      <c r="L57" s="232">
        <f t="shared" ref="L57" si="274">L51</f>
        <v>-98657</v>
      </c>
      <c r="N57" s="232">
        <f t="shared" ref="N57:AB57" si="275">N51</f>
        <v>-122798</v>
      </c>
      <c r="O57" s="232">
        <f t="shared" si="275"/>
        <v>-119981</v>
      </c>
      <c r="P57" s="232">
        <f t="shared" si="275"/>
        <v>-119691</v>
      </c>
      <c r="Q57" s="232">
        <f t="shared" si="275"/>
        <v>-120069</v>
      </c>
      <c r="R57" s="232">
        <f t="shared" si="275"/>
        <v>-111110</v>
      </c>
      <c r="S57" s="232">
        <f t="shared" si="275"/>
        <v>-109615</v>
      </c>
      <c r="T57" s="232">
        <f t="shared" si="275"/>
        <v>-109280</v>
      </c>
      <c r="U57" s="232">
        <f t="shared" si="275"/>
        <v>-111088</v>
      </c>
      <c r="V57" s="232">
        <f t="shared" si="275"/>
        <v>-108040</v>
      </c>
      <c r="W57" s="232">
        <f t="shared" si="275"/>
        <v>-104590</v>
      </c>
      <c r="X57" s="232">
        <f t="shared" si="275"/>
        <v>-101304</v>
      </c>
      <c r="Y57" s="232">
        <f t="shared" si="275"/>
        <v>-106629</v>
      </c>
      <c r="Z57" s="232">
        <f t="shared" si="275"/>
        <v>-96799</v>
      </c>
      <c r="AA57" s="232">
        <f t="shared" si="275"/>
        <v>-98186</v>
      </c>
      <c r="AB57" s="232">
        <f t="shared" si="275"/>
        <v>-101698</v>
      </c>
      <c r="AC57" s="232">
        <f t="shared" ref="AC57" si="276">AC51</f>
        <v>-98657</v>
      </c>
      <c r="AE57" s="232">
        <f t="shared" ref="AE57:AO57" si="277">AE51</f>
        <v>-111110</v>
      </c>
      <c r="AF57" s="232">
        <f t="shared" si="277"/>
        <v>-109615</v>
      </c>
      <c r="AG57" s="232">
        <f t="shared" si="277"/>
        <v>-109280</v>
      </c>
      <c r="AH57" s="232">
        <f t="shared" si="277"/>
        <v>-111088</v>
      </c>
      <c r="AI57" s="232">
        <f t="shared" si="277"/>
        <v>-108040</v>
      </c>
      <c r="AJ57" s="232">
        <f t="shared" si="277"/>
        <v>-104590</v>
      </c>
      <c r="AK57" s="232">
        <f t="shared" si="277"/>
        <v>-101304</v>
      </c>
      <c r="AL57" s="232">
        <f t="shared" si="277"/>
        <v>-106629</v>
      </c>
      <c r="AM57" s="232">
        <f t="shared" si="277"/>
        <v>-96799</v>
      </c>
      <c r="AN57" s="232">
        <f t="shared" si="277"/>
        <v>-98186</v>
      </c>
      <c r="AO57" s="232">
        <f t="shared" si="277"/>
        <v>-101698</v>
      </c>
      <c r="AP57" s="232">
        <f t="shared" ref="AP57" si="278">AP51</f>
        <v>-98657</v>
      </c>
    </row>
    <row r="58" spans="2:42">
      <c r="B58" s="180" t="s">
        <v>441</v>
      </c>
      <c r="C58" s="232">
        <f>C41+C57</f>
        <v>150553</v>
      </c>
      <c r="D58" s="232">
        <f t="shared" ref="D58:L58" si="279">D41+D57</f>
        <v>153215</v>
      </c>
      <c r="E58" s="232">
        <f t="shared" si="279"/>
        <v>122617</v>
      </c>
      <c r="F58" s="232">
        <f t="shared" si="279"/>
        <v>97851</v>
      </c>
      <c r="G58" s="232">
        <f t="shared" si="279"/>
        <v>79394</v>
      </c>
      <c r="H58" s="232">
        <f t="shared" si="279"/>
        <v>65797</v>
      </c>
      <c r="I58" s="232">
        <f t="shared" si="279"/>
        <v>49040</v>
      </c>
      <c r="J58" s="232">
        <f t="shared" si="279"/>
        <v>51011</v>
      </c>
      <c r="K58" s="232">
        <f t="shared" si="279"/>
        <v>50021</v>
      </c>
      <c r="L58" s="232">
        <f t="shared" si="279"/>
        <v>33763</v>
      </c>
      <c r="N58" s="232">
        <f t="shared" ref="N58" si="280">N41+N57</f>
        <v>79798</v>
      </c>
      <c r="O58" s="232">
        <f t="shared" ref="O58" si="281">O41+O57</f>
        <v>72749</v>
      </c>
      <c r="P58" s="232">
        <f t="shared" ref="P58" si="282">P41+P57</f>
        <v>59617</v>
      </c>
      <c r="Q58" s="232">
        <f t="shared" ref="Q58" si="283">Q41+Q57</f>
        <v>49040</v>
      </c>
      <c r="R58" s="232">
        <f t="shared" ref="R58" si="284">R41+R57</f>
        <v>54340</v>
      </c>
      <c r="S58" s="232">
        <f t="shared" ref="S58" si="285">S41+S57</f>
        <v>56718</v>
      </c>
      <c r="T58" s="232">
        <f t="shared" ref="T58" si="286">T41+T57</f>
        <v>57263</v>
      </c>
      <c r="U58" s="232">
        <f t="shared" ref="U58" si="287">U41+U57</f>
        <v>51011</v>
      </c>
      <c r="V58" s="232">
        <f t="shared" ref="V58" si="288">V41+V57</f>
        <v>64535</v>
      </c>
      <c r="W58" s="232">
        <f t="shared" ref="W58" si="289">W41+W57</f>
        <v>57747</v>
      </c>
      <c r="X58" s="232">
        <f t="shared" ref="X58" si="290">X41+X57</f>
        <v>51737</v>
      </c>
      <c r="Y58" s="232">
        <f t="shared" ref="Y58" si="291">Y41+Y57</f>
        <v>50021</v>
      </c>
      <c r="Z58" s="232">
        <f t="shared" ref="Z58" si="292">Z41+Z57</f>
        <v>44569</v>
      </c>
      <c r="AA58" s="232">
        <f t="shared" ref="AA58" si="293">AA41+AA57</f>
        <v>34736</v>
      </c>
      <c r="AB58" s="232">
        <f t="shared" ref="AB58:AC58" si="294">AB41+AB57</f>
        <v>31288</v>
      </c>
      <c r="AC58" s="232">
        <f t="shared" si="294"/>
        <v>33763</v>
      </c>
      <c r="AE58" s="232">
        <f t="shared" ref="AE58" si="295">AE41+AE57</f>
        <v>54340</v>
      </c>
      <c r="AF58" s="232">
        <f t="shared" ref="AF58" si="296">AF41+AF57</f>
        <v>56718</v>
      </c>
      <c r="AG58" s="232">
        <f t="shared" ref="AG58" si="297">AG41+AG57</f>
        <v>57263</v>
      </c>
      <c r="AH58" s="232">
        <f t="shared" ref="AH58" si="298">AH41+AH57</f>
        <v>51011</v>
      </c>
      <c r="AI58" s="232">
        <f t="shared" ref="AI58" si="299">AI41+AI57</f>
        <v>64535</v>
      </c>
      <c r="AJ58" s="232">
        <f t="shared" ref="AJ58" si="300">AJ41+AJ57</f>
        <v>57747</v>
      </c>
      <c r="AK58" s="232">
        <f t="shared" ref="AK58" si="301">AK41+AK57</f>
        <v>51737</v>
      </c>
      <c r="AL58" s="232">
        <f t="shared" ref="AL58" si="302">AL41+AL57</f>
        <v>50021</v>
      </c>
      <c r="AM58" s="232">
        <f t="shared" ref="AM58" si="303">AM41+AM57</f>
        <v>44569</v>
      </c>
      <c r="AN58" s="232">
        <f t="shared" ref="AN58" si="304">AN41+AN57</f>
        <v>34736</v>
      </c>
      <c r="AO58" s="232">
        <f t="shared" ref="AO58:AP58" si="305">AO41+AO57</f>
        <v>31288</v>
      </c>
      <c r="AP58" s="232">
        <f t="shared" si="305"/>
        <v>33763</v>
      </c>
    </row>
    <row r="59" spans="2:42">
      <c r="B59" s="180" t="s">
        <v>106</v>
      </c>
      <c r="C59" s="232">
        <f>C36</f>
        <v>22001.127</v>
      </c>
      <c r="D59" s="232">
        <f t="shared" ref="D59:AO59" si="306">D36</f>
        <v>21006.767</v>
      </c>
      <c r="E59" s="232">
        <f t="shared" si="306"/>
        <v>20000.436000000002</v>
      </c>
      <c r="F59" s="232">
        <f t="shared" si="306"/>
        <v>18595.651000000002</v>
      </c>
      <c r="G59" s="232">
        <f t="shared" si="306"/>
        <v>17528.214</v>
      </c>
      <c r="H59" s="232">
        <f t="shared" si="306"/>
        <v>16864.919000000002</v>
      </c>
      <c r="I59" s="232">
        <f t="shared" si="306"/>
        <v>16325.819</v>
      </c>
      <c r="J59" s="232">
        <f t="shared" si="306"/>
        <v>15812.547</v>
      </c>
      <c r="K59" s="232">
        <f t="shared" si="306"/>
        <v>15408.094999999999</v>
      </c>
      <c r="L59" s="232">
        <f t="shared" ref="L59" si="307">L36</f>
        <v>15004.697</v>
      </c>
      <c r="N59" s="232">
        <f t="shared" si="306"/>
        <v>16519.291000000001</v>
      </c>
      <c r="O59" s="232">
        <f t="shared" si="306"/>
        <v>16403.315999999999</v>
      </c>
      <c r="P59" s="232">
        <f t="shared" si="306"/>
        <v>16262.203</v>
      </c>
      <c r="Q59" s="232">
        <f t="shared" si="306"/>
        <v>16325.819</v>
      </c>
      <c r="R59" s="232">
        <f t="shared" si="306"/>
        <v>15955.718000000001</v>
      </c>
      <c r="S59" s="232">
        <f t="shared" si="306"/>
        <v>15847.05</v>
      </c>
      <c r="T59" s="232">
        <f t="shared" si="306"/>
        <v>15775.021000000001</v>
      </c>
      <c r="U59" s="232">
        <f t="shared" si="306"/>
        <v>15812.547</v>
      </c>
      <c r="V59" s="232">
        <f t="shared" si="306"/>
        <v>15576.641</v>
      </c>
      <c r="W59" s="232">
        <f t="shared" si="306"/>
        <v>15464.709000000001</v>
      </c>
      <c r="X59" s="232">
        <f t="shared" si="306"/>
        <v>15348.174999999999</v>
      </c>
      <c r="Y59" s="232">
        <f t="shared" si="306"/>
        <v>15408.094999999999</v>
      </c>
      <c r="Z59" s="232">
        <f t="shared" si="306"/>
        <v>15150.865</v>
      </c>
      <c r="AA59" s="232">
        <f t="shared" si="306"/>
        <v>15056.133</v>
      </c>
      <c r="AB59" s="232">
        <f t="shared" si="306"/>
        <v>14948.179</v>
      </c>
      <c r="AC59" s="232">
        <f t="shared" ref="AC59" si="308">AC36</f>
        <v>15004.697</v>
      </c>
      <c r="AE59" s="232">
        <f t="shared" si="306"/>
        <v>15955.718000000001</v>
      </c>
      <c r="AF59" s="232">
        <f t="shared" si="306"/>
        <v>15847.05</v>
      </c>
      <c r="AG59" s="232">
        <f t="shared" si="306"/>
        <v>15775.021000000001</v>
      </c>
      <c r="AH59" s="232">
        <f t="shared" si="306"/>
        <v>15812.547</v>
      </c>
      <c r="AI59" s="232">
        <f t="shared" si="306"/>
        <v>15576.641</v>
      </c>
      <c r="AJ59" s="232">
        <f t="shared" si="306"/>
        <v>15464.709000000001</v>
      </c>
      <c r="AK59" s="232">
        <f t="shared" si="306"/>
        <v>15348.174999999999</v>
      </c>
      <c r="AL59" s="232">
        <f t="shared" si="306"/>
        <v>15408.094999999999</v>
      </c>
      <c r="AM59" s="232">
        <f t="shared" si="306"/>
        <v>15150.865</v>
      </c>
      <c r="AN59" s="232">
        <f t="shared" si="306"/>
        <v>15056.133</v>
      </c>
      <c r="AO59" s="232">
        <f t="shared" si="306"/>
        <v>14948.179</v>
      </c>
      <c r="AP59" s="232">
        <f t="shared" ref="AP59" si="309">AP36</f>
        <v>15004.697</v>
      </c>
    </row>
    <row r="60" spans="2:42">
      <c r="B60" s="14" t="s">
        <v>438</v>
      </c>
      <c r="C60" s="90">
        <f>C58/C59</f>
        <v>6.8429676352488666</v>
      </c>
      <c r="D60" s="90">
        <f t="shared" ref="D60" si="310">D58/D59</f>
        <v>7.2936021045028019</v>
      </c>
      <c r="E60" s="90">
        <f t="shared" ref="E60" si="311">E58/E59</f>
        <v>6.1307163503835609</v>
      </c>
      <c r="F60" s="90">
        <f t="shared" ref="F60" si="312">F58/F59</f>
        <v>5.2620368063478926</v>
      </c>
      <c r="G60" s="90">
        <f t="shared" ref="G60" si="313">G58/G59</f>
        <v>4.5294974148535614</v>
      </c>
      <c r="H60" s="90">
        <f t="shared" ref="H60" si="314">H58/H59</f>
        <v>3.9014121562042483</v>
      </c>
      <c r="I60" s="90">
        <f t="shared" ref="I60" si="315">I58/I59</f>
        <v>3.0038309257256866</v>
      </c>
      <c r="J60" s="90">
        <f t="shared" ref="J60" si="316">J58/J59</f>
        <v>3.2259825061705745</v>
      </c>
      <c r="K60" s="90">
        <f t="shared" ref="K60:L60" si="317">K58/K59</f>
        <v>3.2464104095931394</v>
      </c>
      <c r="L60" s="90">
        <f t="shared" si="317"/>
        <v>2.2501620659184254</v>
      </c>
      <c r="N60" s="90">
        <f t="shared" ref="N60" si="318">N58/N59</f>
        <v>4.8305947270981546</v>
      </c>
      <c r="O60" s="90">
        <f t="shared" ref="O60" si="319">O58/O59</f>
        <v>4.4350178951621739</v>
      </c>
      <c r="P60" s="90">
        <f t="shared" ref="P60" si="320">P58/P59</f>
        <v>3.6659854756455816</v>
      </c>
      <c r="Q60" s="90">
        <f t="shared" ref="Q60" si="321">Q58/Q59</f>
        <v>3.0038309257256866</v>
      </c>
      <c r="R60" s="90">
        <f t="shared" ref="R60" si="322">R58/R59</f>
        <v>3.4056756330238476</v>
      </c>
      <c r="S60" s="90">
        <f t="shared" ref="S60" si="323">S58/S59</f>
        <v>3.5790888524993614</v>
      </c>
      <c r="T60" s="90">
        <f t="shared" ref="T60" si="324">T58/T59</f>
        <v>3.6299793198373553</v>
      </c>
      <c r="U60" s="90">
        <f t="shared" ref="U60" si="325">U58/U59</f>
        <v>3.2259825061705745</v>
      </c>
      <c r="V60" s="90">
        <f t="shared" ref="V60" si="326">V58/V59</f>
        <v>4.1430626795597334</v>
      </c>
      <c r="W60" s="90">
        <f t="shared" ref="W60" si="327">W58/W59</f>
        <v>3.7341148805321844</v>
      </c>
      <c r="X60" s="90">
        <f t="shared" ref="X60" si="328">X58/X59</f>
        <v>3.370889372840745</v>
      </c>
      <c r="Y60" s="90">
        <f t="shared" ref="Y60" si="329">Y58/Y59</f>
        <v>3.2464104095931394</v>
      </c>
      <c r="Z60" s="90">
        <f t="shared" ref="Z60" si="330">Z58/Z59</f>
        <v>2.9416802274985621</v>
      </c>
      <c r="AA60" s="90">
        <f t="shared" ref="AA60" si="331">AA58/AA59</f>
        <v>2.3070997048179636</v>
      </c>
      <c r="AB60" s="90">
        <f t="shared" ref="AB60:AC60" si="332">AB58/AB59</f>
        <v>2.0930977612724599</v>
      </c>
      <c r="AC60" s="90">
        <f t="shared" si="332"/>
        <v>2.2501620659184254</v>
      </c>
      <c r="AE60" s="90">
        <f t="shared" ref="AE60" si="333">AE58/AE59</f>
        <v>3.4056756330238476</v>
      </c>
      <c r="AF60" s="90">
        <f t="shared" ref="AF60" si="334">AF58/AF59</f>
        <v>3.5790888524993614</v>
      </c>
      <c r="AG60" s="90">
        <f t="shared" ref="AG60" si="335">AG58/AG59</f>
        <v>3.6299793198373553</v>
      </c>
      <c r="AH60" s="90">
        <f t="shared" ref="AH60" si="336">AH58/AH59</f>
        <v>3.2259825061705745</v>
      </c>
      <c r="AI60" s="90">
        <f t="shared" ref="AI60" si="337">AI58/AI59</f>
        <v>4.1430626795597334</v>
      </c>
      <c r="AJ60" s="90">
        <f t="shared" ref="AJ60" si="338">AJ58/AJ59</f>
        <v>3.7341148805321844</v>
      </c>
      <c r="AK60" s="90">
        <f t="shared" ref="AK60" si="339">AK58/AK59</f>
        <v>3.370889372840745</v>
      </c>
      <c r="AL60" s="90">
        <f t="shared" ref="AL60" si="340">AL58/AL59</f>
        <v>3.2464104095931394</v>
      </c>
      <c r="AM60" s="90">
        <f t="shared" ref="AM60" si="341">AM58/AM59</f>
        <v>2.9416802274985621</v>
      </c>
      <c r="AN60" s="90">
        <f t="shared" ref="AN60" si="342">AN58/AN59</f>
        <v>2.3070997048179636</v>
      </c>
      <c r="AO60" s="90">
        <f t="shared" ref="AO60:AP60" si="343">AO58/AO59</f>
        <v>2.0930977612724599</v>
      </c>
      <c r="AP60" s="90">
        <f t="shared" si="343"/>
        <v>2.2501620659184254</v>
      </c>
    </row>
    <row r="62" spans="2:42">
      <c r="B62" s="180"/>
    </row>
    <row r="63" spans="2:42">
      <c r="B63" s="180"/>
    </row>
    <row r="64" spans="2:42">
      <c r="B64" s="180"/>
    </row>
    <row r="65" spans="2:2">
      <c r="B65" s="180"/>
    </row>
    <row r="66" spans="2:2">
      <c r="B66" s="18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50984-DA97-47D2-B984-783ADE65B252}">
  <sheetPr>
    <tabColor theme="4" tint="-0.499984740745262"/>
  </sheetPr>
  <dimension ref="B2:R101"/>
  <sheetViews>
    <sheetView showGridLines="0" topLeftCell="A50" zoomScale="115" zoomScaleNormal="115" workbookViewId="0">
      <selection activeCell="N19" sqref="N19"/>
    </sheetView>
  </sheetViews>
  <sheetFormatPr defaultRowHeight="14.25" outlineLevelCol="1"/>
  <cols>
    <col min="1" max="1" width="1.625" customWidth="1"/>
    <col min="2" max="2" width="31.75" bestFit="1" customWidth="1"/>
    <col min="3" max="3" width="9.125" bestFit="1" customWidth="1"/>
    <col min="4" max="4" width="10.375" bestFit="1" customWidth="1"/>
    <col min="5" max="5" width="8.25" bestFit="1" customWidth="1"/>
    <col min="6" max="8" width="7.875" bestFit="1" customWidth="1"/>
    <col min="9" max="9" width="7.875" customWidth="1" outlineLevel="1"/>
    <col min="10" max="15" width="7.875" bestFit="1" customWidth="1"/>
    <col min="16" max="16" width="7.875" customWidth="1" outlineLevel="1"/>
    <col min="17" max="17" width="15.5" bestFit="1" customWidth="1"/>
  </cols>
  <sheetData>
    <row r="2" spans="2:16">
      <c r="B2" s="229" t="s">
        <v>189</v>
      </c>
      <c r="C2" s="239"/>
      <c r="D2" s="239"/>
      <c r="E2" s="239"/>
      <c r="F2" s="239"/>
      <c r="G2" s="239"/>
      <c r="H2" s="239"/>
      <c r="I2" s="239"/>
      <c r="J2" s="239"/>
      <c r="K2" s="239"/>
      <c r="L2" s="239"/>
      <c r="M2" s="239"/>
      <c r="N2" s="239"/>
      <c r="O2" s="239"/>
      <c r="P2" s="239"/>
    </row>
    <row r="3" spans="2:16">
      <c r="B3" s="282" t="s">
        <v>478</v>
      </c>
      <c r="C3" s="239"/>
      <c r="D3" s="239"/>
      <c r="E3" s="239"/>
      <c r="F3" s="239"/>
      <c r="G3" s="239"/>
      <c r="H3" s="239"/>
      <c r="I3" s="239"/>
      <c r="J3" s="239"/>
      <c r="K3" s="239"/>
      <c r="L3" s="239"/>
      <c r="M3" s="239"/>
      <c r="N3" s="239"/>
      <c r="O3" s="239"/>
      <c r="P3" s="239"/>
    </row>
    <row r="4" spans="2:16">
      <c r="B4" s="282" t="s">
        <v>422</v>
      </c>
      <c r="C4" s="230"/>
      <c r="D4" s="230"/>
      <c r="E4" s="230"/>
      <c r="F4" s="230"/>
      <c r="G4" s="230"/>
      <c r="H4" s="230"/>
      <c r="I4" s="230"/>
      <c r="J4" s="230"/>
      <c r="K4" s="230"/>
      <c r="L4" s="230"/>
      <c r="M4" s="230"/>
      <c r="N4" s="230"/>
      <c r="O4" s="230"/>
      <c r="P4" s="230"/>
    </row>
    <row r="5" spans="2:16" ht="5.0999999999999996" customHeight="1"/>
    <row r="6" spans="2:16">
      <c r="B6" s="455" t="s">
        <v>490</v>
      </c>
      <c r="C6" s="454"/>
      <c r="D6" s="457" t="s">
        <v>116</v>
      </c>
    </row>
    <row r="7" spans="2:16" ht="5.0999999999999996" customHeight="1"/>
    <row r="8" spans="2:16">
      <c r="B8" s="229" t="s">
        <v>189</v>
      </c>
      <c r="C8" s="211" t="s">
        <v>315</v>
      </c>
      <c r="D8" s="211"/>
      <c r="E8" s="211"/>
      <c r="F8" s="211"/>
      <c r="G8" s="211"/>
      <c r="H8" s="211"/>
      <c r="I8" s="211" t="s">
        <v>332</v>
      </c>
      <c r="J8" s="211" t="s">
        <v>156</v>
      </c>
      <c r="K8" s="211"/>
      <c r="L8" s="211"/>
      <c r="M8" s="211"/>
      <c r="N8" s="211"/>
      <c r="O8" s="211"/>
      <c r="P8" s="211" t="s">
        <v>332</v>
      </c>
    </row>
    <row r="9" spans="2:16">
      <c r="B9" s="282" t="s">
        <v>478</v>
      </c>
      <c r="C9" s="239">
        <f>'3 Statement Model'!C16</f>
        <v>2020</v>
      </c>
      <c r="D9" s="239">
        <f>'3 Statement Model'!D16</f>
        <v>2021</v>
      </c>
      <c r="E9" s="239">
        <f>'3 Statement Model'!E16</f>
        <v>2022</v>
      </c>
      <c r="F9" s="239">
        <f>'3 Statement Model'!F16</f>
        <v>2023</v>
      </c>
      <c r="G9" s="239">
        <f>'3 Statement Model'!G16</f>
        <v>2024</v>
      </c>
      <c r="H9" s="239">
        <f>'3 Statement Model'!H16</f>
        <v>2025</v>
      </c>
      <c r="I9" s="239" t="s">
        <v>460</v>
      </c>
      <c r="J9" s="233">
        <f>'3 Statement Model'!L16</f>
        <v>2026</v>
      </c>
      <c r="K9" s="233">
        <f>'3 Statement Model'!M16</f>
        <v>2027</v>
      </c>
      <c r="L9" s="233">
        <f>'3 Statement Model'!N16</f>
        <v>2028</v>
      </c>
      <c r="M9" s="233">
        <f>'3 Statement Model'!O16</f>
        <v>2029</v>
      </c>
      <c r="N9" s="233">
        <f>'3 Statement Model'!P16</f>
        <v>2030</v>
      </c>
      <c r="O9" s="233">
        <f>'3 Statement Model'!Q16</f>
        <v>2031</v>
      </c>
      <c r="P9" s="239" t="s">
        <v>461</v>
      </c>
    </row>
    <row r="10" spans="2:16">
      <c r="B10" s="282" t="s">
        <v>422</v>
      </c>
      <c r="C10" s="230">
        <f>'3 Statement Model'!C17</f>
        <v>44104</v>
      </c>
      <c r="D10" s="230">
        <f>'3 Statement Model'!D17</f>
        <v>44469</v>
      </c>
      <c r="E10" s="230">
        <f>'3 Statement Model'!E17</f>
        <v>44834</v>
      </c>
      <c r="F10" s="230">
        <f>'3 Statement Model'!F17</f>
        <v>45192</v>
      </c>
      <c r="G10" s="230">
        <f>'3 Statement Model'!G17</f>
        <v>45559</v>
      </c>
      <c r="H10" s="230">
        <f>'3 Statement Model'!H17</f>
        <v>45927</v>
      </c>
      <c r="I10" s="230">
        <f>H10</f>
        <v>45927</v>
      </c>
      <c r="J10" s="230">
        <f>'3 Statement Model'!L17</f>
        <v>46295</v>
      </c>
      <c r="K10" s="230">
        <f>'3 Statement Model'!M17</f>
        <v>46660</v>
      </c>
      <c r="L10" s="230">
        <f>'3 Statement Model'!N17</f>
        <v>47026</v>
      </c>
      <c r="M10" s="230">
        <f>'3 Statement Model'!O17</f>
        <v>47391</v>
      </c>
      <c r="N10" s="230">
        <f>'3 Statement Model'!P17</f>
        <v>47756</v>
      </c>
      <c r="O10" s="230">
        <f>'3 Statement Model'!Q17</f>
        <v>48121</v>
      </c>
      <c r="P10" s="230">
        <f>O10</f>
        <v>48121</v>
      </c>
    </row>
    <row r="11" spans="2:16" ht="5.0999999999999996" customHeight="1"/>
    <row r="12" spans="2:16">
      <c r="B12" s="8" t="s">
        <v>224</v>
      </c>
      <c r="C12" s="385">
        <f>'Revenue Drivers'!G9</f>
        <v>137781</v>
      </c>
      <c r="D12" s="385">
        <f>'Revenue Drivers'!H9</f>
        <v>191973</v>
      </c>
      <c r="E12" s="385">
        <f>'Revenue Drivers'!I9</f>
        <v>205489</v>
      </c>
      <c r="F12" s="385">
        <f>'Revenue Drivers'!J9</f>
        <v>200583</v>
      </c>
      <c r="G12" s="385">
        <f>'Revenue Drivers'!K9</f>
        <v>201183</v>
      </c>
      <c r="H12" s="385">
        <f>'Revenue Drivers'!L9</f>
        <v>209586</v>
      </c>
      <c r="I12" s="237">
        <f t="shared" ref="I12:I17" si="0">((H12/C12)^(1/COUNT(D12:H12))-1)</f>
        <v>8.7513325944132303E-2</v>
      </c>
      <c r="J12" s="232">
        <f t="shared" ref="J12:O12" ca="1" si="1">(J27*J35)/1000</f>
        <v>231770.70033333334</v>
      </c>
      <c r="K12" s="232">
        <f t="shared" ca="1" si="1"/>
        <v>240373.16333333333</v>
      </c>
      <c r="L12" s="232">
        <f t="shared" ca="1" si="1"/>
        <v>253979.96590033759</v>
      </c>
      <c r="M12" s="232">
        <f t="shared" ca="1" si="1"/>
        <v>263883.55977951048</v>
      </c>
      <c r="N12" s="232">
        <f t="shared" ca="1" si="1"/>
        <v>265752.53460171208</v>
      </c>
      <c r="O12" s="232">
        <f t="shared" ca="1" si="1"/>
        <v>268525.09527897055</v>
      </c>
      <c r="P12" s="237">
        <f t="shared" ref="P12:P17" ca="1" si="2">((O12/J12)^(1/COUNT(K12:O12))-1)</f>
        <v>2.9876786578387549E-2</v>
      </c>
    </row>
    <row r="13" spans="2:16">
      <c r="B13" s="8" t="s">
        <v>225</v>
      </c>
      <c r="C13" s="385">
        <f>'Revenue Drivers'!G10</f>
        <v>28622</v>
      </c>
      <c r="D13" s="385">
        <f>'Revenue Drivers'!H10</f>
        <v>35190</v>
      </c>
      <c r="E13" s="385">
        <f>'Revenue Drivers'!I10</f>
        <v>40177</v>
      </c>
      <c r="F13" s="385">
        <f>'Revenue Drivers'!J10</f>
        <v>29357</v>
      </c>
      <c r="G13" s="385">
        <f>'Revenue Drivers'!K10</f>
        <v>29984</v>
      </c>
      <c r="H13" s="385">
        <f>'Revenue Drivers'!L10</f>
        <v>33708</v>
      </c>
      <c r="I13" s="237">
        <f t="shared" si="0"/>
        <v>3.3252825523713003E-2</v>
      </c>
      <c r="J13" s="232">
        <f ca="1">(J29*J37)/1000</f>
        <v>38380.577072995584</v>
      </c>
      <c r="K13" s="232">
        <f t="shared" ref="K13:O13" ca="1" si="3">(K29*K37)/1000</f>
        <v>40161.508430875183</v>
      </c>
      <c r="L13" s="232">
        <f t="shared" ca="1" si="3"/>
        <v>42174.022995318119</v>
      </c>
      <c r="M13" s="232">
        <f t="shared" ca="1" si="3"/>
        <v>44452.605232018679</v>
      </c>
      <c r="N13" s="232">
        <f t="shared" ca="1" si="3"/>
        <v>46614.769108081164</v>
      </c>
      <c r="O13" s="232">
        <f t="shared" ca="1" si="3"/>
        <v>48625.643876929644</v>
      </c>
      <c r="P13" s="237">
        <f t="shared" ca="1" si="2"/>
        <v>4.8457360573136654E-2</v>
      </c>
    </row>
    <row r="14" spans="2:16">
      <c r="B14" s="8" t="s">
        <v>226</v>
      </c>
      <c r="C14" s="385">
        <f>'Revenue Drivers'!G11</f>
        <v>23724</v>
      </c>
      <c r="D14" s="385">
        <f>'Revenue Drivers'!H11</f>
        <v>31862</v>
      </c>
      <c r="E14" s="385">
        <f>'Revenue Drivers'!I11</f>
        <v>29292</v>
      </c>
      <c r="F14" s="385">
        <f>'Revenue Drivers'!J11</f>
        <v>28300</v>
      </c>
      <c r="G14" s="385">
        <f>'Revenue Drivers'!K11</f>
        <v>26694</v>
      </c>
      <c r="H14" s="385">
        <f>'Revenue Drivers'!L11</f>
        <v>28023</v>
      </c>
      <c r="I14" s="237">
        <f t="shared" si="0"/>
        <v>3.3868592565621247E-2</v>
      </c>
      <c r="J14" s="232">
        <f ca="1">(J28*J36)/1000</f>
        <v>28581.801680000561</v>
      </c>
      <c r="K14" s="232">
        <f t="shared" ref="K14:O14" ca="1" si="4">(K28*K36)/1000</f>
        <v>29851.725739202513</v>
      </c>
      <c r="L14" s="232">
        <f t="shared" ca="1" si="4"/>
        <v>31342.348890744568</v>
      </c>
      <c r="M14" s="232">
        <f t="shared" ca="1" si="4"/>
        <v>31510.387710334126</v>
      </c>
      <c r="N14" s="232">
        <f t="shared" ca="1" si="4"/>
        <v>31657.974701894454</v>
      </c>
      <c r="O14" s="232">
        <f t="shared" ca="1" si="4"/>
        <v>32076.853603955598</v>
      </c>
      <c r="P14" s="237">
        <f t="shared" ca="1" si="2"/>
        <v>2.3341135963161452E-2</v>
      </c>
    </row>
    <row r="15" spans="2:16">
      <c r="B15" s="8" t="s">
        <v>227</v>
      </c>
      <c r="C15" s="385">
        <f>'Revenue Drivers'!G12</f>
        <v>53768</v>
      </c>
      <c r="D15" s="385">
        <f>'Revenue Drivers'!H12</f>
        <v>68425</v>
      </c>
      <c r="E15" s="385">
        <f>'Revenue Drivers'!I12</f>
        <v>78129</v>
      </c>
      <c r="F15" s="385">
        <f>'Revenue Drivers'!J12</f>
        <v>85200</v>
      </c>
      <c r="G15" s="385">
        <f>'Revenue Drivers'!K12</f>
        <v>96169</v>
      </c>
      <c r="H15" s="385">
        <f>'Revenue Drivers'!L12</f>
        <v>109158</v>
      </c>
      <c r="I15" s="237">
        <f t="shared" si="0"/>
        <v>0.15214287250455372</v>
      </c>
      <c r="J15" s="232">
        <f t="shared" ref="J15:O16" ca="1" si="5">J53</f>
        <v>124465</v>
      </c>
      <c r="K15" s="232">
        <f t="shared" ca="1" si="5"/>
        <v>141112</v>
      </c>
      <c r="L15" s="232">
        <f t="shared" ca="1" si="5"/>
        <v>158615</v>
      </c>
      <c r="M15" s="232">
        <f t="shared" ca="1" si="5"/>
        <v>178289.0060731901</v>
      </c>
      <c r="N15" s="232">
        <f t="shared" ca="1" si="5"/>
        <v>200403.30162069172</v>
      </c>
      <c r="O15" s="232">
        <f t="shared" ca="1" si="5"/>
        <v>226495.3735183877</v>
      </c>
      <c r="P15" s="237">
        <f t="shared" ca="1" si="2"/>
        <v>0.12720373303367594</v>
      </c>
    </row>
    <row r="16" spans="2:16">
      <c r="B16" s="8" t="s">
        <v>228</v>
      </c>
      <c r="C16" s="385">
        <f>'Revenue Drivers'!G13</f>
        <v>30620</v>
      </c>
      <c r="D16" s="385">
        <f>'Revenue Drivers'!H13</f>
        <v>38367</v>
      </c>
      <c r="E16" s="385">
        <f>'Revenue Drivers'!I13</f>
        <v>41241</v>
      </c>
      <c r="F16" s="385">
        <f>'Revenue Drivers'!J13</f>
        <v>39845</v>
      </c>
      <c r="G16" s="385">
        <f>'Revenue Drivers'!K13</f>
        <v>37005</v>
      </c>
      <c r="H16" s="385">
        <f>'Revenue Drivers'!L13</f>
        <v>35686</v>
      </c>
      <c r="I16" s="237">
        <f t="shared" si="0"/>
        <v>3.1094658311796586E-2</v>
      </c>
      <c r="J16" s="232">
        <f t="shared" ca="1" si="5"/>
        <v>37319</v>
      </c>
      <c r="K16" s="232">
        <f t="shared" ca="1" si="5"/>
        <v>39170</v>
      </c>
      <c r="L16" s="232">
        <f t="shared" ca="1" si="5"/>
        <v>41501</v>
      </c>
      <c r="M16" s="232">
        <f t="shared" ca="1" si="5"/>
        <v>43825.371180700502</v>
      </c>
      <c r="N16" s="232">
        <f t="shared" ca="1" si="5"/>
        <v>46064.445454987261</v>
      </c>
      <c r="O16" s="232">
        <f t="shared" ca="1" si="5"/>
        <v>48420.58164745885</v>
      </c>
      <c r="P16" s="237">
        <f t="shared" ca="1" si="2"/>
        <v>5.3464732009695926E-2</v>
      </c>
    </row>
    <row r="17" spans="2:16">
      <c r="B17" s="14" t="s">
        <v>477</v>
      </c>
      <c r="C17" s="15">
        <f>SUM(C12:C16)</f>
        <v>274515</v>
      </c>
      <c r="D17" s="15">
        <f t="shared" ref="D17:H17" si="6">SUM(D12:D16)</f>
        <v>365817</v>
      </c>
      <c r="E17" s="15">
        <f t="shared" si="6"/>
        <v>394328</v>
      </c>
      <c r="F17" s="15">
        <f t="shared" si="6"/>
        <v>383285</v>
      </c>
      <c r="G17" s="15">
        <f t="shared" si="6"/>
        <v>391035</v>
      </c>
      <c r="H17" s="15">
        <f t="shared" si="6"/>
        <v>416161</v>
      </c>
      <c r="I17" s="238">
        <f t="shared" si="0"/>
        <v>8.6773549240907411E-2</v>
      </c>
      <c r="J17" s="15">
        <f t="shared" ref="J17" ca="1" si="7">SUM(J12:J16)</f>
        <v>460517.0790863295</v>
      </c>
      <c r="K17" s="15">
        <f t="shared" ref="K17" ca="1" si="8">SUM(K12:K16)</f>
        <v>490668.39750341105</v>
      </c>
      <c r="L17" s="15">
        <f t="shared" ref="L17" ca="1" si="9">SUM(L12:L16)</f>
        <v>527612.33778640023</v>
      </c>
      <c r="M17" s="15">
        <f t="shared" ref="M17" ca="1" si="10">SUM(M12:M16)</f>
        <v>561960.92997575388</v>
      </c>
      <c r="N17" s="15">
        <f t="shared" ref="N17" ca="1" si="11">SUM(N12:N16)</f>
        <v>590493.0254873666</v>
      </c>
      <c r="O17" s="15">
        <f t="shared" ref="O17" ca="1" si="12">SUM(O12:O16)</f>
        <v>624143.5479257023</v>
      </c>
      <c r="P17" s="238">
        <f t="shared" ca="1" si="2"/>
        <v>6.2692826063909246E-2</v>
      </c>
    </row>
    <row r="18" spans="2:16" ht="5.0999999999999996" customHeight="1">
      <c r="B18" s="8"/>
      <c r="C18" s="8"/>
      <c r="D18" s="8"/>
      <c r="E18" s="8"/>
      <c r="F18" s="8"/>
      <c r="G18" s="8"/>
      <c r="H18" s="8"/>
      <c r="I18" s="8"/>
    </row>
    <row r="19" spans="2:16">
      <c r="B19" s="277" t="s">
        <v>492</v>
      </c>
      <c r="C19" s="267"/>
      <c r="D19" s="323"/>
      <c r="E19" s="323"/>
      <c r="F19" s="323"/>
      <c r="G19" s="323"/>
      <c r="H19" s="323"/>
      <c r="I19" s="323"/>
      <c r="J19" s="375"/>
      <c r="K19" s="375"/>
      <c r="L19" s="375"/>
      <c r="M19" s="375"/>
      <c r="N19" s="375"/>
      <c r="O19" s="397"/>
    </row>
    <row r="20" spans="2:16">
      <c r="B20" s="270" t="s">
        <v>12</v>
      </c>
      <c r="C20" s="272" t="s">
        <v>47</v>
      </c>
      <c r="D20" s="462">
        <f>SUM(D17/C17)-1</f>
        <v>0.33259384733074704</v>
      </c>
      <c r="E20" s="462">
        <f>SUM(E17/D17)-1</f>
        <v>7.7937876041846099E-2</v>
      </c>
      <c r="F20" s="462">
        <f>SUM(F17/E17)-1</f>
        <v>-2.800460530319937E-2</v>
      </c>
      <c r="G20" s="462">
        <f>SUM(G17/F17)-1</f>
        <v>2.021994077514111E-2</v>
      </c>
      <c r="H20" s="462">
        <f>SUM(H17/G17)-1</f>
        <v>6.425511782832749E-2</v>
      </c>
      <c r="I20" s="8"/>
      <c r="J20" s="462">
        <f ca="1">SUM(J17/H17)-1</f>
        <v>0.106583940076868</v>
      </c>
      <c r="K20" s="462">
        <f ca="1">SUM(K17/J17)-1</f>
        <v>6.5472747453584335E-2</v>
      </c>
      <c r="L20" s="462">
        <f ca="1">SUM(L17/K17)-1</f>
        <v>7.5293090957080366E-2</v>
      </c>
      <c r="M20" s="462">
        <f ca="1">SUM(M17/L17)-1</f>
        <v>6.5101950294535138E-2</v>
      </c>
      <c r="N20" s="462">
        <f ca="1">SUM(N17/M17)-1</f>
        <v>5.0772382900077684E-2</v>
      </c>
      <c r="O20" s="469">
        <f ca="1">SUM(O17/N17)-1</f>
        <v>5.6987163244751393E-2</v>
      </c>
    </row>
    <row r="21" spans="2:16">
      <c r="B21" s="270" t="str">
        <f>B12&amp;"(%)"</f>
        <v>iPhone Revenue(%)</v>
      </c>
      <c r="C21" s="272" t="s">
        <v>47</v>
      </c>
      <c r="D21" s="462">
        <f t="shared" ref="D21:H25" si="13">SUM(D12/C12)-1</f>
        <v>0.39331983364905176</v>
      </c>
      <c r="E21" s="462">
        <f t="shared" si="13"/>
        <v>7.0405734139696641E-2</v>
      </c>
      <c r="F21" s="462">
        <f t="shared" si="13"/>
        <v>-2.3874757286278081E-2</v>
      </c>
      <c r="G21" s="462">
        <f t="shared" si="13"/>
        <v>2.9912804175826757E-3</v>
      </c>
      <c r="H21" s="462">
        <f t="shared" si="13"/>
        <v>4.1767942619406195E-2</v>
      </c>
      <c r="I21" s="8"/>
      <c r="J21" s="462">
        <f ca="1">SUM(J12/H12)-1</f>
        <v>0.10585010608214929</v>
      </c>
      <c r="K21" s="462">
        <f t="shared" ref="K21:O25" ca="1" si="14">SUM(K12/J12)-1</f>
        <v>3.7116266152830812E-2</v>
      </c>
      <c r="L21" s="462">
        <f t="shared" ca="1" si="14"/>
        <v>5.6606995466192078E-2</v>
      </c>
      <c r="M21" s="462">
        <f t="shared" ca="1" si="14"/>
        <v>3.8993602680689854E-2</v>
      </c>
      <c r="N21" s="462">
        <f t="shared" ca="1" si="14"/>
        <v>7.082573934364067E-3</v>
      </c>
      <c r="O21" s="469">
        <f t="shared" ca="1" si="14"/>
        <v>1.0432866355964521E-2</v>
      </c>
    </row>
    <row r="22" spans="2:16">
      <c r="B22" s="270" t="str">
        <f>B13&amp;"(%)"</f>
        <v>Mac Revenue(%)</v>
      </c>
      <c r="C22" s="272" t="s">
        <v>47</v>
      </c>
      <c r="D22" s="462">
        <f t="shared" si="13"/>
        <v>0.22947383131856625</v>
      </c>
      <c r="E22" s="462">
        <f t="shared" si="13"/>
        <v>0.14171639670360903</v>
      </c>
      <c r="F22" s="462">
        <f t="shared" si="13"/>
        <v>-0.26930831072504169</v>
      </c>
      <c r="G22" s="462">
        <f t="shared" si="13"/>
        <v>2.1357768164322E-2</v>
      </c>
      <c r="H22" s="462">
        <f t="shared" si="13"/>
        <v>0.12419957310565644</v>
      </c>
      <c r="I22" s="8"/>
      <c r="J22" s="462">
        <f ca="1">SUM(J13/H13)-1</f>
        <v>0.13861923202194082</v>
      </c>
      <c r="K22" s="462">
        <f t="shared" ca="1" si="14"/>
        <v>4.6401891104775883E-2</v>
      </c>
      <c r="L22" s="462">
        <f t="shared" ca="1" si="14"/>
        <v>5.0110532275121411E-2</v>
      </c>
      <c r="M22" s="462">
        <f t="shared" ca="1" si="14"/>
        <v>5.4028097745228543E-2</v>
      </c>
      <c r="N22" s="462">
        <f t="shared" ca="1" si="14"/>
        <v>4.8639756090270714E-2</v>
      </c>
      <c r="O22" s="469">
        <f t="shared" ca="1" si="14"/>
        <v>4.313814714358144E-2</v>
      </c>
    </row>
    <row r="23" spans="2:16">
      <c r="B23" s="270" t="str">
        <f>B14&amp;"(%)"</f>
        <v>iPad Revenue(%)</v>
      </c>
      <c r="C23" s="272" t="s">
        <v>47</v>
      </c>
      <c r="D23" s="462">
        <f t="shared" si="13"/>
        <v>0.34302815714044854</v>
      </c>
      <c r="E23" s="462">
        <f t="shared" si="13"/>
        <v>-8.0660347749670458E-2</v>
      </c>
      <c r="F23" s="462">
        <f t="shared" si="13"/>
        <v>-3.3865901952751631E-2</v>
      </c>
      <c r="G23" s="462">
        <f t="shared" si="13"/>
        <v>-5.674911660777382E-2</v>
      </c>
      <c r="H23" s="462">
        <f t="shared" si="13"/>
        <v>4.9786468869408962E-2</v>
      </c>
      <c r="I23" s="8"/>
      <c r="J23" s="462">
        <f ca="1">SUM(J14/H14)-1</f>
        <v>1.99408228954987E-2</v>
      </c>
      <c r="K23" s="462">
        <f t="shared" ca="1" si="14"/>
        <v>4.4431210929944731E-2</v>
      </c>
      <c r="L23" s="462">
        <f t="shared" ca="1" si="14"/>
        <v>4.993423712132361E-2</v>
      </c>
      <c r="M23" s="462">
        <f t="shared" ca="1" si="14"/>
        <v>5.3613984125862046E-3</v>
      </c>
      <c r="N23" s="462">
        <f t="shared" ca="1" si="14"/>
        <v>4.6837567635489297E-3</v>
      </c>
      <c r="O23" s="469">
        <f t="shared" ca="1" si="14"/>
        <v>1.3231386593914873E-2</v>
      </c>
    </row>
    <row r="24" spans="2:16">
      <c r="B24" s="270" t="str">
        <f>B15&amp;"(%)"</f>
        <v>Services Revenue(%)</v>
      </c>
      <c r="C24" s="272" t="s">
        <v>47</v>
      </c>
      <c r="D24" s="462">
        <f t="shared" si="13"/>
        <v>0.27259708376729663</v>
      </c>
      <c r="E24" s="462">
        <f t="shared" si="13"/>
        <v>0.14181951041286078</v>
      </c>
      <c r="F24" s="462">
        <f t="shared" si="13"/>
        <v>9.0504166186691215E-2</v>
      </c>
      <c r="G24" s="462">
        <f t="shared" si="13"/>
        <v>0.12874413145539898</v>
      </c>
      <c r="H24" s="462">
        <f t="shared" si="13"/>
        <v>0.13506431386413498</v>
      </c>
      <c r="I24" s="8"/>
      <c r="J24" s="462">
        <f ca="1">SUM(J15/H15)-1</f>
        <v>0.14022792649187421</v>
      </c>
      <c r="K24" s="462">
        <f t="shared" ca="1" si="14"/>
        <v>0.13374844333748448</v>
      </c>
      <c r="L24" s="462">
        <f t="shared" ca="1" si="14"/>
        <v>0.12403622654345492</v>
      </c>
      <c r="M24" s="462">
        <f t="shared" ca="1" si="14"/>
        <v>0.12403622654345492</v>
      </c>
      <c r="N24" s="462">
        <f t="shared" ca="1" si="14"/>
        <v>0.12403622654345492</v>
      </c>
      <c r="O24" s="469">
        <f t="shared" ca="1" si="14"/>
        <v>0.13019781454040658</v>
      </c>
    </row>
    <row r="25" spans="2:16">
      <c r="B25" s="270" t="str">
        <f>B16&amp;"(%)"</f>
        <v>Wearables, Home, and Accessories Revenue(%)</v>
      </c>
      <c r="C25" s="272" t="s">
        <v>47</v>
      </c>
      <c r="D25" s="462">
        <f t="shared" si="13"/>
        <v>0.2530045721750489</v>
      </c>
      <c r="E25" s="462">
        <f t="shared" si="13"/>
        <v>7.4908124169208001E-2</v>
      </c>
      <c r="F25" s="462">
        <f t="shared" si="13"/>
        <v>-3.3849809655439933E-2</v>
      </c>
      <c r="G25" s="462">
        <f t="shared" si="13"/>
        <v>-7.1276195256619435E-2</v>
      </c>
      <c r="H25" s="462">
        <f t="shared" si="13"/>
        <v>-3.5643831914606183E-2</v>
      </c>
      <c r="I25" s="8"/>
      <c r="J25" s="462">
        <f ca="1">SUM(J16/H16)-1</f>
        <v>4.5760242111752447E-2</v>
      </c>
      <c r="K25" s="462">
        <f t="shared" ca="1" si="14"/>
        <v>4.9599399769554298E-2</v>
      </c>
      <c r="L25" s="462">
        <f t="shared" ca="1" si="14"/>
        <v>5.950982895072765E-2</v>
      </c>
      <c r="M25" s="462">
        <f t="shared" ca="1" si="14"/>
        <v>5.6007594532673899E-2</v>
      </c>
      <c r="N25" s="462">
        <f t="shared" ca="1" si="14"/>
        <v>5.1090822826225901E-2</v>
      </c>
      <c r="O25" s="469">
        <f t="shared" ca="1" si="14"/>
        <v>5.1148693296957815E-2</v>
      </c>
    </row>
    <row r="26" spans="2:16">
      <c r="B26" s="275" t="s">
        <v>479</v>
      </c>
      <c r="C26" s="8"/>
      <c r="D26" s="8"/>
      <c r="E26" s="8"/>
      <c r="F26" s="8"/>
      <c r="G26" s="8"/>
      <c r="H26" s="8"/>
      <c r="I26" s="8"/>
      <c r="O26" s="392"/>
    </row>
    <row r="27" spans="2:16">
      <c r="B27" s="270" t="s">
        <v>352</v>
      </c>
      <c r="C27" s="463">
        <v>186860</v>
      </c>
      <c r="D27" s="463">
        <v>235000</v>
      </c>
      <c r="E27" s="463">
        <v>245000</v>
      </c>
      <c r="F27" s="463">
        <v>218000</v>
      </c>
      <c r="G27" s="463">
        <v>224000</v>
      </c>
      <c r="H27" s="463">
        <v>231000</v>
      </c>
      <c r="I27" s="8"/>
      <c r="J27" s="464">
        <f t="shared" ref="J27:O27" ca="1" si="15">J48</f>
        <v>242463.33333333334</v>
      </c>
      <c r="K27" s="464">
        <f t="shared" ca="1" si="15"/>
        <v>247043.33333333334</v>
      </c>
      <c r="L27" s="464">
        <f t="shared" ca="1" si="15"/>
        <v>251638.22806158534</v>
      </c>
      <c r="M27" s="464">
        <f t="shared" ca="1" si="15"/>
        <v>254787.64099595489</v>
      </c>
      <c r="N27" s="464">
        <f t="shared" ca="1" si="15"/>
        <v>256592.19330087095</v>
      </c>
      <c r="O27" s="470">
        <f t="shared" ca="1" si="15"/>
        <v>259269.18536156273</v>
      </c>
    </row>
    <row r="28" spans="2:16">
      <c r="B28" s="270" t="s">
        <v>353</v>
      </c>
      <c r="C28" s="463">
        <v>52625.999999999956</v>
      </c>
      <c r="D28" s="463">
        <v>68510.999999999927</v>
      </c>
      <c r="E28" s="463">
        <v>59348.239999999991</v>
      </c>
      <c r="F28" s="463">
        <v>52508.535999999993</v>
      </c>
      <c r="G28" s="463">
        <v>50349.696340000002</v>
      </c>
      <c r="H28" s="463">
        <v>50850</v>
      </c>
      <c r="I28" s="8"/>
      <c r="J28" s="464">
        <f t="shared" ref="J28:O28" ca="1" si="16">J50</f>
        <v>52340.691742555005</v>
      </c>
      <c r="K28" s="464">
        <f t="shared" ca="1" si="16"/>
        <v>52598.726329682759</v>
      </c>
      <c r="L28" s="464">
        <f t="shared" ca="1" si="16"/>
        <v>53527.331032499773</v>
      </c>
      <c r="M28" s="464">
        <f t="shared" ca="1" si="16"/>
        <v>53477.861552237489</v>
      </c>
      <c r="N28" s="464">
        <f t="shared" ca="1" si="16"/>
        <v>54001.767442232245</v>
      </c>
      <c r="O28" s="470">
        <f t="shared" ca="1" si="16"/>
        <v>54725.596064198326</v>
      </c>
    </row>
    <row r="29" spans="2:16">
      <c r="B29" s="270" t="s">
        <v>354</v>
      </c>
      <c r="C29" s="463">
        <v>20907.113499999999</v>
      </c>
      <c r="D29" s="463">
        <v>27537.025875000003</v>
      </c>
      <c r="E29" s="463">
        <v>28368.573</v>
      </c>
      <c r="F29" s="463">
        <v>24996.715700000001</v>
      </c>
      <c r="G29" s="463">
        <v>24935.375601</v>
      </c>
      <c r="H29" s="463">
        <v>26947</v>
      </c>
      <c r="I29" s="8"/>
      <c r="J29" s="464">
        <f t="shared" ref="J29:O29" ca="1" si="17">J52</f>
        <v>29179.816771921203</v>
      </c>
      <c r="K29" s="464">
        <f t="shared" ca="1" si="17"/>
        <v>30638.807610517266</v>
      </c>
      <c r="L29" s="464">
        <f t="shared" ca="1" si="17"/>
        <v>32170.747991043128</v>
      </c>
      <c r="M29" s="464">
        <f t="shared" ca="1" si="17"/>
        <v>33779.285390595287</v>
      </c>
      <c r="N29" s="464">
        <f t="shared" ca="1" si="17"/>
        <v>35468.249660125053</v>
      </c>
      <c r="O29" s="470">
        <f t="shared" ca="1" si="17"/>
        <v>37241.662143131311</v>
      </c>
    </row>
    <row r="30" spans="2:16">
      <c r="B30" s="275" t="s">
        <v>493</v>
      </c>
      <c r="C30" s="463"/>
      <c r="D30" s="463"/>
      <c r="E30" s="463"/>
      <c r="F30" s="463"/>
      <c r="G30" s="463"/>
      <c r="H30" s="463"/>
      <c r="I30" s="8"/>
      <c r="J30" s="464"/>
      <c r="K30" s="464"/>
      <c r="L30" s="464"/>
      <c r="M30" s="464"/>
      <c r="N30" s="464"/>
      <c r="O30" s="470"/>
    </row>
    <row r="31" spans="2:16">
      <c r="B31" s="270" t="s">
        <v>352</v>
      </c>
      <c r="C31" s="272" t="s">
        <v>47</v>
      </c>
      <c r="D31" s="462">
        <f>SUM(D27/C27)-1</f>
        <v>0.25762603018302466</v>
      </c>
      <c r="E31" s="462">
        <f t="shared" ref="E31:H31" si="18">SUM(E27/D27)-1</f>
        <v>4.2553191489361764E-2</v>
      </c>
      <c r="F31" s="462">
        <f t="shared" si="18"/>
        <v>-0.11020408163265305</v>
      </c>
      <c r="G31" s="462">
        <f t="shared" si="18"/>
        <v>2.7522935779816571E-2</v>
      </c>
      <c r="H31" s="462">
        <f t="shared" si="18"/>
        <v>3.125E-2</v>
      </c>
      <c r="I31" s="8"/>
      <c r="J31" s="462">
        <f ca="1">SUM(J27/H27)-1</f>
        <v>4.9624819624819683E-2</v>
      </c>
      <c r="K31" s="462">
        <f t="shared" ref="K31:O31" ca="1" si="19">SUM(K27/J27)-1</f>
        <v>1.8889454075530221E-2</v>
      </c>
      <c r="L31" s="462">
        <f t="shared" ca="1" si="19"/>
        <v>1.8599549586113096E-2</v>
      </c>
      <c r="M31" s="462">
        <f t="shared" ca="1" si="19"/>
        <v>1.2515637860868845E-2</v>
      </c>
      <c r="N31" s="462">
        <f t="shared" ca="1" si="19"/>
        <v>7.082573934364067E-3</v>
      </c>
      <c r="O31" s="469">
        <f t="shared" ca="1" si="19"/>
        <v>1.0432866355964521E-2</v>
      </c>
    </row>
    <row r="32" spans="2:16">
      <c r="B32" s="270" t="s">
        <v>353</v>
      </c>
      <c r="C32" s="272" t="s">
        <v>47</v>
      </c>
      <c r="D32" s="462">
        <f t="shared" ref="D32:H32" si="20">SUM(D28/C28)-1</f>
        <v>0.30184699578155261</v>
      </c>
      <c r="E32" s="462">
        <f t="shared" si="20"/>
        <v>-0.1337414429799586</v>
      </c>
      <c r="F32" s="462">
        <f t="shared" si="20"/>
        <v>-0.11524695593331835</v>
      </c>
      <c r="G32" s="462">
        <f t="shared" si="20"/>
        <v>-4.1114070672242486E-2</v>
      </c>
      <c r="H32" s="462">
        <f t="shared" si="20"/>
        <v>9.9365775042923321E-3</v>
      </c>
      <c r="I32" s="8"/>
      <c r="J32" s="462">
        <f ca="1">SUM(J28/H28)-1</f>
        <v>2.931547182999017E-2</v>
      </c>
      <c r="K32" s="462">
        <f t="shared" ref="K32:O32" ca="1" si="21">SUM(K28/J28)-1</f>
        <v>4.9299040294867869E-3</v>
      </c>
      <c r="L32" s="462">
        <f t="shared" ca="1" si="21"/>
        <v>1.7654509293564047E-2</v>
      </c>
      <c r="M32" s="462">
        <f t="shared" ca="1" si="21"/>
        <v>-9.2419104984420297E-4</v>
      </c>
      <c r="N32" s="462">
        <f t="shared" ca="1" si="21"/>
        <v>9.7966873541306398E-3</v>
      </c>
      <c r="O32" s="469">
        <f t="shared" ca="1" si="21"/>
        <v>1.3403795028382959E-2</v>
      </c>
    </row>
    <row r="33" spans="2:18">
      <c r="B33" s="270" t="s">
        <v>354</v>
      </c>
      <c r="C33" s="272" t="s">
        <v>47</v>
      </c>
      <c r="D33" s="462">
        <f t="shared" ref="D33:H33" si="22">SUM(D29/C29)-1</f>
        <v>0.31711275566567343</v>
      </c>
      <c r="E33" s="462">
        <f t="shared" si="22"/>
        <v>3.0197419604232945E-2</v>
      </c>
      <c r="F33" s="462">
        <f t="shared" si="22"/>
        <v>-0.11885889713240072</v>
      </c>
      <c r="G33" s="462">
        <f t="shared" si="22"/>
        <v>-2.4539263372107545E-3</v>
      </c>
      <c r="H33" s="462">
        <f t="shared" si="22"/>
        <v>8.0673515057031242E-2</v>
      </c>
      <c r="I33" s="8"/>
      <c r="J33" s="462">
        <f ca="1">SUM(J29/H29)-1</f>
        <v>8.2859567741166096E-2</v>
      </c>
      <c r="K33" s="462">
        <f t="shared" ref="K33:O33" ca="1" si="23">SUM(K29/J29)-1</f>
        <v>5.0000000000000044E-2</v>
      </c>
      <c r="L33" s="462">
        <f t="shared" ca="1" si="23"/>
        <v>5.0000000000000044E-2</v>
      </c>
      <c r="M33" s="462">
        <f t="shared" ca="1" si="23"/>
        <v>5.0000000000000044E-2</v>
      </c>
      <c r="N33" s="462">
        <f t="shared" ca="1" si="23"/>
        <v>5.0000000000000044E-2</v>
      </c>
      <c r="O33" s="469">
        <f t="shared" ca="1" si="23"/>
        <v>5.0000000000000044E-2</v>
      </c>
    </row>
    <row r="34" spans="2:18">
      <c r="B34" s="275" t="s">
        <v>491</v>
      </c>
      <c r="C34" s="8"/>
      <c r="D34" s="8"/>
      <c r="E34" s="8"/>
      <c r="F34" s="8"/>
      <c r="G34" s="8"/>
      <c r="H34" s="8"/>
      <c r="I34" s="8"/>
      <c r="O34" s="392"/>
    </row>
    <row r="35" spans="2:18">
      <c r="B35" s="270" t="s">
        <v>352</v>
      </c>
      <c r="C35" s="465">
        <v>695.89473684210532</v>
      </c>
      <c r="D35" s="465">
        <v>793.22448979591832</v>
      </c>
      <c r="E35" s="465">
        <v>804.2641509433962</v>
      </c>
      <c r="F35" s="465">
        <v>858.92156862745094</v>
      </c>
      <c r="G35" s="465">
        <v>888.88461538461536</v>
      </c>
      <c r="H35" s="465">
        <v>907</v>
      </c>
      <c r="I35" s="8"/>
      <c r="J35" s="466">
        <f t="shared" ref="J35:O35" ca="1" si="24">J47</f>
        <v>955.9</v>
      </c>
      <c r="K35" s="466">
        <f t="shared" ca="1" si="24"/>
        <v>973</v>
      </c>
      <c r="L35" s="466">
        <f t="shared" ca="1" si="24"/>
        <v>1009.3059701492538</v>
      </c>
      <c r="M35" s="466">
        <f t="shared" ca="1" si="24"/>
        <v>1035.7</v>
      </c>
      <c r="N35" s="466">
        <f t="shared" ca="1" si="24"/>
        <v>1035.7</v>
      </c>
      <c r="O35" s="471">
        <f t="shared" ca="1" si="24"/>
        <v>1035.7</v>
      </c>
    </row>
    <row r="36" spans="2:18">
      <c r="B36" s="270" t="s">
        <v>353</v>
      </c>
      <c r="C36" s="465">
        <v>451.02853351028568</v>
      </c>
      <c r="D36" s="465">
        <v>477.60157425628017</v>
      </c>
      <c r="E36" s="465">
        <v>548.29321382059618</v>
      </c>
      <c r="F36" s="465">
        <v>547.13830447078976</v>
      </c>
      <c r="G36" s="465">
        <v>567.4929285318575</v>
      </c>
      <c r="H36" s="465">
        <v>551</v>
      </c>
      <c r="I36" s="8"/>
      <c r="J36" s="466">
        <f t="shared" ref="J36:O36" ca="1" si="25">J49</f>
        <v>546.07229534879173</v>
      </c>
      <c r="K36" s="466">
        <f t="shared" ca="1" si="25"/>
        <v>567.53704551884653</v>
      </c>
      <c r="L36" s="466">
        <f t="shared" ca="1" si="25"/>
        <v>585.53916823752479</v>
      </c>
      <c r="M36" s="466">
        <f t="shared" ca="1" si="25"/>
        <v>589.22303165683979</v>
      </c>
      <c r="N36" s="466">
        <f t="shared" ca="1" si="25"/>
        <v>586.23960291226024</v>
      </c>
      <c r="O36" s="471">
        <f t="shared" ca="1" si="25"/>
        <v>586.1398670985036</v>
      </c>
    </row>
    <row r="37" spans="2:18">
      <c r="B37" s="270" t="s">
        <v>354</v>
      </c>
      <c r="C37" s="465">
        <v>1313.4846558179534</v>
      </c>
      <c r="D37" s="465">
        <v>1269.8014348893382</v>
      </c>
      <c r="E37" s="465">
        <v>1404.5723869425155</v>
      </c>
      <c r="F37" s="465">
        <v>1153.3969191970486</v>
      </c>
      <c r="G37" s="465">
        <v>1172.6038851864198</v>
      </c>
      <c r="H37" s="465">
        <v>1251</v>
      </c>
      <c r="I37" s="8"/>
      <c r="J37" s="466">
        <f t="shared" ref="J37:O37" ca="1" si="26">J51</f>
        <v>1315.3124768736716</v>
      </c>
      <c r="K37" s="466">
        <f t="shared" ca="1" si="26"/>
        <v>1310.8052030422064</v>
      </c>
      <c r="L37" s="466">
        <f t="shared" ca="1" si="26"/>
        <v>1310.9431899768097</v>
      </c>
      <c r="M37" s="466">
        <f t="shared" ca="1" si="26"/>
        <v>1315.9723397936364</v>
      </c>
      <c r="N37" s="466">
        <f t="shared" ca="1" si="26"/>
        <v>1314.2675365930875</v>
      </c>
      <c r="O37" s="471">
        <f t="shared" ca="1" si="26"/>
        <v>1305.6786694977829</v>
      </c>
    </row>
    <row r="38" spans="2:18">
      <c r="B38" s="275" t="s">
        <v>494</v>
      </c>
      <c r="C38" s="465"/>
      <c r="D38" s="465"/>
      <c r="E38" s="465"/>
      <c r="F38" s="465"/>
      <c r="G38" s="465"/>
      <c r="H38" s="465"/>
      <c r="I38" s="8"/>
      <c r="J38" s="466"/>
      <c r="K38" s="466"/>
      <c r="L38" s="466"/>
      <c r="M38" s="466"/>
      <c r="N38" s="466"/>
      <c r="O38" s="471"/>
    </row>
    <row r="39" spans="2:18">
      <c r="B39" s="270" t="s">
        <v>352</v>
      </c>
      <c r="C39" s="272" t="s">
        <v>47</v>
      </c>
      <c r="D39" s="462">
        <f>SUM(D35/C35)-1</f>
        <v>0.13986275193786479</v>
      </c>
      <c r="E39" s="462">
        <f t="shared" ref="E39:H39" si="27">SUM(E35/D35)-1</f>
        <v>1.3917448703983037E-2</v>
      </c>
      <c r="F39" s="462">
        <f t="shared" si="27"/>
        <v>6.7959534961171686E-2</v>
      </c>
      <c r="G39" s="462">
        <f t="shared" si="27"/>
        <v>3.4884496852308766E-2</v>
      </c>
      <c r="H39" s="462">
        <f t="shared" si="27"/>
        <v>2.0379905672623488E-2</v>
      </c>
      <c r="I39" s="8"/>
      <c r="J39" s="462">
        <f ca="1">SUM(J35/H35)-1</f>
        <v>5.3914002205071698E-2</v>
      </c>
      <c r="K39" s="462">
        <f t="shared" ref="K39:O39" ca="1" si="28">SUM(K35/J35)-1</f>
        <v>1.7888900512605943E-2</v>
      </c>
      <c r="L39" s="462">
        <f t="shared" ca="1" si="28"/>
        <v>3.7313432835820892E-2</v>
      </c>
      <c r="M39" s="462">
        <f t="shared" ca="1" si="28"/>
        <v>2.6150672473326697E-2</v>
      </c>
      <c r="N39" s="462">
        <f t="shared" ca="1" si="28"/>
        <v>0</v>
      </c>
      <c r="O39" s="469">
        <f t="shared" ca="1" si="28"/>
        <v>0</v>
      </c>
    </row>
    <row r="40" spans="2:18">
      <c r="B40" s="270" t="s">
        <v>353</v>
      </c>
      <c r="C40" s="272" t="s">
        <v>47</v>
      </c>
      <c r="D40" s="462">
        <f t="shared" ref="D40:H40" si="29">SUM(D36/C36)-1</f>
        <v>5.8916540244539739E-2</v>
      </c>
      <c r="E40" s="462">
        <f t="shared" si="29"/>
        <v>0.14801383281534797</v>
      </c>
      <c r="F40" s="462">
        <f t="shared" si="29"/>
        <v>-2.1063717746182542E-3</v>
      </c>
      <c r="G40" s="462">
        <f t="shared" si="29"/>
        <v>3.7201972325361821E-2</v>
      </c>
      <c r="H40" s="462">
        <f t="shared" si="29"/>
        <v>-2.9062791274819588E-2</v>
      </c>
      <c r="I40" s="8"/>
      <c r="J40" s="462">
        <f ca="1">SUM(J36/H36)-1</f>
        <v>-8.9432026337717963E-3</v>
      </c>
      <c r="K40" s="462">
        <f t="shared" ref="K40:O40" ca="1" si="30">SUM(K36/J36)-1</f>
        <v>3.9307524576658315E-2</v>
      </c>
      <c r="L40" s="462">
        <f t="shared" ca="1" si="30"/>
        <v>3.1719731532627193E-2</v>
      </c>
      <c r="M40" s="462">
        <f t="shared" ca="1" si="30"/>
        <v>6.2914039216257489E-3</v>
      </c>
      <c r="N40" s="462">
        <f t="shared" ca="1" si="30"/>
        <v>-5.0633267613291455E-3</v>
      </c>
      <c r="O40" s="469">
        <f t="shared" ca="1" si="30"/>
        <v>-1.7012807265348595E-4</v>
      </c>
    </row>
    <row r="41" spans="2:18">
      <c r="B41" s="271" t="s">
        <v>354</v>
      </c>
      <c r="C41" s="467" t="s">
        <v>47</v>
      </c>
      <c r="D41" s="468">
        <f t="shared" ref="D41:H41" si="31">SUM(D37/C37)-1</f>
        <v>-3.325750379734127E-2</v>
      </c>
      <c r="E41" s="468">
        <f t="shared" si="31"/>
        <v>0.10613545421369164</v>
      </c>
      <c r="F41" s="468">
        <f t="shared" si="31"/>
        <v>-0.17882700107199723</v>
      </c>
      <c r="G41" s="468">
        <f t="shared" si="31"/>
        <v>1.6652520628148038E-2</v>
      </c>
      <c r="H41" s="468">
        <f t="shared" si="31"/>
        <v>6.6856434473707038E-2</v>
      </c>
      <c r="I41" s="321"/>
      <c r="J41" s="468">
        <f ca="1">SUM(J37/H37)-1</f>
        <v>5.1408854415404992E-2</v>
      </c>
      <c r="K41" s="468">
        <f t="shared" ref="K41:O41" ca="1" si="32">SUM(K37/J37)-1</f>
        <v>-3.4267703764039315E-3</v>
      </c>
      <c r="L41" s="468">
        <f ca="1">SUM(L37/K37)-1</f>
        <v>1.0526883344907922E-4</v>
      </c>
      <c r="M41" s="468">
        <f t="shared" ca="1" si="32"/>
        <v>3.8362835668841466E-3</v>
      </c>
      <c r="N41" s="468">
        <f t="shared" ca="1" si="32"/>
        <v>-1.2954703902182674E-3</v>
      </c>
      <c r="O41" s="472">
        <f t="shared" ca="1" si="32"/>
        <v>-6.5350979584940516E-3</v>
      </c>
    </row>
    <row r="43" spans="2:18">
      <c r="B43" s="100" t="s">
        <v>663</v>
      </c>
      <c r="C43" s="100"/>
      <c r="D43" s="100"/>
      <c r="E43" s="100"/>
      <c r="F43" s="100"/>
      <c r="G43" s="100"/>
      <c r="H43" s="100"/>
      <c r="I43" s="100"/>
      <c r="J43" s="100"/>
      <c r="K43" s="100"/>
      <c r="L43" s="100"/>
      <c r="M43" s="100"/>
      <c r="N43" s="100"/>
      <c r="O43" s="100"/>
    </row>
    <row r="44" spans="2:18" ht="5.0999999999999996" customHeight="1" thickBot="1">
      <c r="B44" s="8"/>
      <c r="C44" s="8"/>
      <c r="D44" s="8"/>
      <c r="I44" s="8"/>
      <c r="J44" s="8"/>
      <c r="K44" s="8"/>
      <c r="L44" s="8"/>
      <c r="M44" s="8"/>
      <c r="N44" s="8"/>
      <c r="O44" s="8"/>
      <c r="P44" s="8"/>
      <c r="Q44" s="8"/>
      <c r="R44" s="8"/>
    </row>
    <row r="45" spans="2:18" ht="15" thickBot="1">
      <c r="B45" s="8" t="s">
        <v>183</v>
      </c>
      <c r="C45" s="460" t="str">
        <f>D6</f>
        <v>Base case</v>
      </c>
      <c r="D45" s="8"/>
      <c r="I45" s="424" t="s">
        <v>486</v>
      </c>
      <c r="J45" s="104">
        <f>'3 Statement Model'!L16</f>
        <v>2026</v>
      </c>
      <c r="K45" s="104">
        <f>'3 Statement Model'!M16</f>
        <v>2027</v>
      </c>
      <c r="L45" s="104">
        <f>'3 Statement Model'!N16</f>
        <v>2028</v>
      </c>
      <c r="M45" s="104">
        <f>'3 Statement Model'!O16</f>
        <v>2029</v>
      </c>
      <c r="N45" s="104">
        <f>'3 Statement Model'!P16</f>
        <v>2030</v>
      </c>
      <c r="O45" s="104">
        <f>'3 Statement Model'!Q16</f>
        <v>2031</v>
      </c>
    </row>
    <row r="46" spans="2:18">
      <c r="B46" s="8"/>
      <c r="C46" s="8"/>
      <c r="D46" s="8"/>
      <c r="I46" s="425" t="s">
        <v>184</v>
      </c>
      <c r="J46" s="105">
        <f>'3 Statement Model'!L17</f>
        <v>46295</v>
      </c>
      <c r="K46" s="105">
        <f>'3 Statement Model'!M17</f>
        <v>46660</v>
      </c>
      <c r="L46" s="105">
        <f>'3 Statement Model'!N17</f>
        <v>47026</v>
      </c>
      <c r="M46" s="105">
        <f>'3 Statement Model'!O17</f>
        <v>47391</v>
      </c>
      <c r="N46" s="105">
        <f>'3 Statement Model'!P17</f>
        <v>47756</v>
      </c>
      <c r="O46" s="105">
        <f>'3 Statement Model'!Q17</f>
        <v>48121</v>
      </c>
    </row>
    <row r="47" spans="2:18">
      <c r="B47" s="449" t="s">
        <v>487</v>
      </c>
      <c r="C47" s="320"/>
      <c r="D47" s="320"/>
      <c r="E47" s="634"/>
      <c r="F47" s="634"/>
      <c r="G47" s="634"/>
      <c r="H47" s="634"/>
      <c r="I47" s="461" t="str">
        <f t="shared" ref="I47:O57" ca="1" si="33">OFFSET(I$58,MATCH($B47,$B$58:$B$101,0)+MATCH($C$45,$B$59:$B$61,0)-1,0)</f>
        <v>NM</v>
      </c>
      <c r="J47" s="450">
        <f t="shared" ca="1" si="33"/>
        <v>955.9</v>
      </c>
      <c r="K47" s="450">
        <f t="shared" ca="1" si="33"/>
        <v>973</v>
      </c>
      <c r="L47" s="450">
        <f t="shared" ca="1" si="33"/>
        <v>1009.3059701492538</v>
      </c>
      <c r="M47" s="450">
        <f t="shared" ca="1" si="33"/>
        <v>1035.7</v>
      </c>
      <c r="N47" s="450">
        <f t="shared" ca="1" si="33"/>
        <v>1035.7</v>
      </c>
      <c r="O47" s="450">
        <f t="shared" ca="1" si="33"/>
        <v>1035.7</v>
      </c>
    </row>
    <row r="48" spans="2:18">
      <c r="B48" s="451" t="s">
        <v>360</v>
      </c>
      <c r="C48" s="320"/>
      <c r="D48" s="320"/>
      <c r="E48" s="634"/>
      <c r="F48" s="634"/>
      <c r="G48" s="634"/>
      <c r="H48" s="634"/>
      <c r="I48" s="452" t="str">
        <f t="shared" ca="1" si="33"/>
        <v>NM</v>
      </c>
      <c r="J48" s="453">
        <f t="shared" ca="1" si="33"/>
        <v>242463.33333333334</v>
      </c>
      <c r="K48" s="453">
        <f t="shared" ca="1" si="33"/>
        <v>247043.33333333334</v>
      </c>
      <c r="L48" s="453">
        <f t="shared" ca="1" si="33"/>
        <v>251638.22806158534</v>
      </c>
      <c r="M48" s="453">
        <f t="shared" ca="1" si="33"/>
        <v>254787.64099595489</v>
      </c>
      <c r="N48" s="453">
        <f t="shared" ca="1" si="33"/>
        <v>256592.19330087095</v>
      </c>
      <c r="O48" s="453">
        <f t="shared" ca="1" si="33"/>
        <v>259269.18536156273</v>
      </c>
    </row>
    <row r="49" spans="2:18">
      <c r="B49" s="449" t="s">
        <v>488</v>
      </c>
      <c r="C49" s="320"/>
      <c r="D49" s="320"/>
      <c r="E49" s="634"/>
      <c r="F49" s="634"/>
      <c r="G49" s="634"/>
      <c r="H49" s="634"/>
      <c r="I49" s="461" t="str">
        <f t="shared" ca="1" si="33"/>
        <v>NM</v>
      </c>
      <c r="J49" s="450">
        <f t="shared" ca="1" si="33"/>
        <v>546.07229534879173</v>
      </c>
      <c r="K49" s="450">
        <f t="shared" ca="1" si="33"/>
        <v>567.53704551884653</v>
      </c>
      <c r="L49" s="450">
        <f t="shared" ca="1" si="33"/>
        <v>585.53916823752479</v>
      </c>
      <c r="M49" s="450">
        <f t="shared" ca="1" si="33"/>
        <v>589.22303165683979</v>
      </c>
      <c r="N49" s="450">
        <f t="shared" ca="1" si="33"/>
        <v>586.23960291226024</v>
      </c>
      <c r="O49" s="450">
        <f t="shared" ca="1" si="33"/>
        <v>586.1398670985036</v>
      </c>
    </row>
    <row r="50" spans="2:18">
      <c r="B50" s="451" t="s">
        <v>361</v>
      </c>
      <c r="C50" s="320"/>
      <c r="D50" s="320"/>
      <c r="E50" s="634"/>
      <c r="F50" s="634"/>
      <c r="G50" s="634"/>
      <c r="H50" s="634"/>
      <c r="I50" s="452" t="str">
        <f t="shared" ca="1" si="33"/>
        <v>NM</v>
      </c>
      <c r="J50" s="453">
        <f t="shared" ca="1" si="33"/>
        <v>52340.691742555005</v>
      </c>
      <c r="K50" s="453">
        <f t="shared" ca="1" si="33"/>
        <v>52598.726329682759</v>
      </c>
      <c r="L50" s="453">
        <f t="shared" ca="1" si="33"/>
        <v>53527.331032499773</v>
      </c>
      <c r="M50" s="453">
        <f t="shared" ca="1" si="33"/>
        <v>53477.861552237489</v>
      </c>
      <c r="N50" s="453">
        <f t="shared" ca="1" si="33"/>
        <v>54001.767442232245</v>
      </c>
      <c r="O50" s="453">
        <f t="shared" ca="1" si="33"/>
        <v>54725.596064198326</v>
      </c>
    </row>
    <row r="51" spans="2:18">
      <c r="B51" s="449" t="s">
        <v>489</v>
      </c>
      <c r="C51" s="320"/>
      <c r="D51" s="320"/>
      <c r="E51" s="634"/>
      <c r="F51" s="634"/>
      <c r="G51" s="634"/>
      <c r="H51" s="634"/>
      <c r="I51" s="461" t="str">
        <f t="shared" ca="1" si="33"/>
        <v>NM</v>
      </c>
      <c r="J51" s="450">
        <f t="shared" ca="1" si="33"/>
        <v>1315.3124768736716</v>
      </c>
      <c r="K51" s="450">
        <f t="shared" ca="1" si="33"/>
        <v>1310.8052030422064</v>
      </c>
      <c r="L51" s="450">
        <f t="shared" ca="1" si="33"/>
        <v>1310.9431899768097</v>
      </c>
      <c r="M51" s="450">
        <f t="shared" ca="1" si="33"/>
        <v>1315.9723397936364</v>
      </c>
      <c r="N51" s="450">
        <f t="shared" ca="1" si="33"/>
        <v>1314.2675365930875</v>
      </c>
      <c r="O51" s="450">
        <f t="shared" ca="1" si="33"/>
        <v>1305.6786694977829</v>
      </c>
    </row>
    <row r="52" spans="2:18">
      <c r="B52" s="451" t="s">
        <v>482</v>
      </c>
      <c r="C52" s="320"/>
      <c r="D52" s="320"/>
      <c r="E52" s="634"/>
      <c r="F52" s="634"/>
      <c r="G52" s="634"/>
      <c r="H52" s="634"/>
      <c r="I52" s="452" t="str">
        <f t="shared" ca="1" si="33"/>
        <v>NM</v>
      </c>
      <c r="J52" s="453">
        <f t="shared" ca="1" si="33"/>
        <v>29179.816771921203</v>
      </c>
      <c r="K52" s="453">
        <f t="shared" ca="1" si="33"/>
        <v>30638.807610517266</v>
      </c>
      <c r="L52" s="453">
        <f t="shared" ca="1" si="33"/>
        <v>32170.747991043128</v>
      </c>
      <c r="M52" s="453">
        <f t="shared" ca="1" si="33"/>
        <v>33779.285390595287</v>
      </c>
      <c r="N52" s="453">
        <f t="shared" ca="1" si="33"/>
        <v>35468.249660125053</v>
      </c>
      <c r="O52" s="453">
        <f t="shared" ca="1" si="33"/>
        <v>37241.662143131311</v>
      </c>
    </row>
    <row r="53" spans="2:18">
      <c r="B53" s="449" t="s">
        <v>227</v>
      </c>
      <c r="C53" s="320"/>
      <c r="D53" s="320"/>
      <c r="E53" s="634"/>
      <c r="F53" s="634"/>
      <c r="G53" s="634"/>
      <c r="H53" s="634"/>
      <c r="I53" s="480" t="str">
        <f t="shared" ca="1" si="33"/>
        <v>NM</v>
      </c>
      <c r="J53" s="453">
        <f t="shared" ca="1" si="33"/>
        <v>124465</v>
      </c>
      <c r="K53" s="453">
        <f t="shared" ca="1" si="33"/>
        <v>141112</v>
      </c>
      <c r="L53" s="453">
        <f t="shared" ca="1" si="33"/>
        <v>158615</v>
      </c>
      <c r="M53" s="453">
        <f t="shared" ca="1" si="33"/>
        <v>178289.0060731901</v>
      </c>
      <c r="N53" s="453">
        <f t="shared" ca="1" si="33"/>
        <v>200403.30162069172</v>
      </c>
      <c r="O53" s="453">
        <f t="shared" ca="1" si="33"/>
        <v>226495.3735183877</v>
      </c>
    </row>
    <row r="54" spans="2:18">
      <c r="B54" s="449" t="s">
        <v>228</v>
      </c>
      <c r="C54" s="320"/>
      <c r="D54" s="320"/>
      <c r="E54" s="634"/>
      <c r="F54" s="634"/>
      <c r="G54" s="634"/>
      <c r="H54" s="634"/>
      <c r="I54" s="480" t="str">
        <f t="shared" ca="1" si="33"/>
        <v>NM</v>
      </c>
      <c r="J54" s="453">
        <f t="shared" ca="1" si="33"/>
        <v>37319</v>
      </c>
      <c r="K54" s="453">
        <f t="shared" ca="1" si="33"/>
        <v>39170</v>
      </c>
      <c r="L54" s="453">
        <f t="shared" ca="1" si="33"/>
        <v>41501</v>
      </c>
      <c r="M54" s="453">
        <f t="shared" ca="1" si="33"/>
        <v>43825.371180700502</v>
      </c>
      <c r="N54" s="453">
        <f t="shared" ca="1" si="33"/>
        <v>46064.445454987261</v>
      </c>
      <c r="O54" s="453">
        <f t="shared" ca="1" si="33"/>
        <v>48420.58164745885</v>
      </c>
    </row>
    <row r="55" spans="2:18">
      <c r="B55" s="449" t="s">
        <v>131</v>
      </c>
      <c r="C55" s="320"/>
      <c r="D55" s="320"/>
      <c r="E55" s="634"/>
      <c r="F55" s="634"/>
      <c r="G55" s="634"/>
      <c r="H55" s="634"/>
      <c r="I55" s="480" t="str">
        <f t="shared" ca="1" si="33"/>
        <v>NM</v>
      </c>
      <c r="J55" s="478">
        <f t="shared" ca="1" si="33"/>
        <v>0.47258559687584206</v>
      </c>
      <c r="K55" s="478">
        <f t="shared" ca="1" si="33"/>
        <v>0.47028688969221144</v>
      </c>
      <c r="L55" s="478">
        <f t="shared" ca="1" si="33"/>
        <v>0.4761556036108609</v>
      </c>
      <c r="M55" s="478">
        <f t="shared" ca="1" si="33"/>
        <v>0.47663906940186829</v>
      </c>
      <c r="N55" s="478">
        <f t="shared" ca="1" si="33"/>
        <v>0.47294299324468508</v>
      </c>
      <c r="O55" s="478">
        <f t="shared" ca="1" si="33"/>
        <v>0.46269886945661493</v>
      </c>
    </row>
    <row r="56" spans="2:18">
      <c r="B56" s="449" t="s">
        <v>132</v>
      </c>
      <c r="C56" s="320"/>
      <c r="D56" s="320"/>
      <c r="E56" s="634"/>
      <c r="F56" s="634"/>
      <c r="G56" s="634"/>
      <c r="H56" s="634"/>
      <c r="I56" s="479" t="str">
        <f t="shared" ca="1" si="33"/>
        <v>NM</v>
      </c>
      <c r="J56" s="478">
        <f t="shared" ca="1" si="33"/>
        <v>8.4908096993009136E-2</v>
      </c>
      <c r="K56" s="478">
        <f t="shared" ca="1" si="33"/>
        <v>8.6130518015133661E-2</v>
      </c>
      <c r="L56" s="478">
        <f t="shared" ca="1" si="33"/>
        <v>8.4726746953083271E-2</v>
      </c>
      <c r="M56" s="478">
        <f t="shared" ca="1" si="33"/>
        <v>8.3084762025383826E-2</v>
      </c>
      <c r="N56" s="478">
        <f t="shared" ca="1" si="33"/>
        <v>8.0421630206885253E-2</v>
      </c>
      <c r="O56" s="478">
        <f t="shared" ca="1" si="33"/>
        <v>7.9016803598236582E-2</v>
      </c>
    </row>
    <row r="57" spans="2:18">
      <c r="B57" s="449" t="s">
        <v>133</v>
      </c>
      <c r="C57" s="320"/>
      <c r="D57" s="320"/>
      <c r="E57" s="634"/>
      <c r="F57" s="634"/>
      <c r="G57" s="634"/>
      <c r="H57" s="634"/>
      <c r="I57" s="479" t="str">
        <f t="shared" ca="1" si="33"/>
        <v>NM</v>
      </c>
      <c r="J57" s="478">
        <f t="shared" ca="1" si="33"/>
        <v>6.653640634015312E-2</v>
      </c>
      <c r="K57" s="478">
        <f t="shared" ca="1" si="33"/>
        <v>6.622472415061767E-2</v>
      </c>
      <c r="L57" s="478">
        <f t="shared" ca="1" si="33"/>
        <v>6.6234599570233074E-2</v>
      </c>
      <c r="M57" s="478">
        <f t="shared" ca="1" si="33"/>
        <v>6.3528015356820497E-2</v>
      </c>
      <c r="N57" s="478">
        <f t="shared" ca="1" si="33"/>
        <v>6.0527148136317002E-2</v>
      </c>
      <c r="O57" s="478">
        <f t="shared" ca="1" si="33"/>
        <v>5.7952845717747704E-2</v>
      </c>
    </row>
    <row r="58" spans="2:18">
      <c r="B58" s="475" t="s">
        <v>487</v>
      </c>
      <c r="C58" s="8"/>
      <c r="D58" s="8"/>
      <c r="I58" s="428"/>
      <c r="J58" s="8"/>
      <c r="K58" s="8"/>
      <c r="L58" s="8"/>
      <c r="M58" s="8"/>
      <c r="N58" s="8"/>
      <c r="O58" s="8"/>
    </row>
    <row r="59" spans="2:18">
      <c r="B59" s="439" t="s">
        <v>185</v>
      </c>
      <c r="C59" s="8"/>
      <c r="D59" s="8"/>
      <c r="I59" s="448">
        <v>100</v>
      </c>
      <c r="J59" s="426">
        <f t="shared" ref="J59:O59" si="34">J60+$I$59</f>
        <v>1055.9000000000001</v>
      </c>
      <c r="K59" s="426">
        <f t="shared" si="34"/>
        <v>1073</v>
      </c>
      <c r="L59" s="426">
        <f t="shared" si="34"/>
        <v>1109.3059701492539</v>
      </c>
      <c r="M59" s="426">
        <f t="shared" si="34"/>
        <v>1135.7</v>
      </c>
      <c r="N59" s="426">
        <f t="shared" si="34"/>
        <v>1135.7</v>
      </c>
      <c r="O59" s="426">
        <f t="shared" si="34"/>
        <v>1135.7</v>
      </c>
      <c r="R59" s="456"/>
    </row>
    <row r="60" spans="2:18">
      <c r="B60" s="438" t="s">
        <v>116</v>
      </c>
      <c r="C60" s="436"/>
      <c r="D60" s="436"/>
      <c r="E60" s="436"/>
      <c r="F60" s="436"/>
      <c r="G60" s="436"/>
      <c r="H60" s="436"/>
      <c r="I60" s="437" t="s">
        <v>186</v>
      </c>
      <c r="J60" s="442">
        <f>'Street Consensus'!C443</f>
        <v>955.9</v>
      </c>
      <c r="K60" s="442">
        <f>'Street Consensus'!D443</f>
        <v>973</v>
      </c>
      <c r="L60" s="442">
        <f>'Street Consensus'!E443</f>
        <v>1009.3059701492538</v>
      </c>
      <c r="M60" s="442">
        <f>'Street Consensus'!F443</f>
        <v>1035.7</v>
      </c>
      <c r="N60" s="442">
        <f>'Street Consensus'!G443</f>
        <v>1035.7</v>
      </c>
      <c r="O60" s="443">
        <f>'Street Consensus'!H443</f>
        <v>1035.7</v>
      </c>
      <c r="P60" s="8" t="s">
        <v>560</v>
      </c>
    </row>
    <row r="61" spans="2:18">
      <c r="B61" s="439" t="s">
        <v>187</v>
      </c>
      <c r="C61" s="8"/>
      <c r="D61" s="8"/>
      <c r="I61" s="448">
        <v>-100</v>
      </c>
      <c r="J61" s="426">
        <f t="shared" ref="J61:O61" si="35">J60+$I$61</f>
        <v>855.9</v>
      </c>
      <c r="K61" s="426">
        <f t="shared" si="35"/>
        <v>873</v>
      </c>
      <c r="L61" s="426">
        <f t="shared" si="35"/>
        <v>909.30597014925377</v>
      </c>
      <c r="M61" s="426">
        <f t="shared" si="35"/>
        <v>935.7</v>
      </c>
      <c r="N61" s="426">
        <f t="shared" si="35"/>
        <v>935.7</v>
      </c>
      <c r="O61" s="426">
        <f t="shared" si="35"/>
        <v>935.7</v>
      </c>
    </row>
    <row r="62" spans="2:18">
      <c r="B62" s="475" t="s">
        <v>360</v>
      </c>
      <c r="C62" s="8"/>
      <c r="D62" s="8"/>
      <c r="I62" s="430"/>
      <c r="J62" s="431"/>
      <c r="K62" s="431"/>
      <c r="L62" s="431"/>
      <c r="M62" s="431"/>
      <c r="N62" s="431"/>
      <c r="O62" s="431"/>
    </row>
    <row r="63" spans="2:18">
      <c r="B63" s="439" t="s">
        <v>185</v>
      </c>
      <c r="C63" s="8"/>
      <c r="D63" s="8"/>
      <c r="I63" s="447">
        <v>15000</v>
      </c>
      <c r="J63" s="427">
        <f t="shared" ref="J63:O63" si="36">J64+$I$63</f>
        <v>257463.33333333334</v>
      </c>
      <c r="K63" s="427">
        <f t="shared" si="36"/>
        <v>262043.33333333334</v>
      </c>
      <c r="L63" s="427">
        <f t="shared" si="36"/>
        <v>266638.22806158534</v>
      </c>
      <c r="M63" s="427">
        <f t="shared" si="36"/>
        <v>269787.64099595486</v>
      </c>
      <c r="N63" s="427">
        <f t="shared" si="36"/>
        <v>271592.19330087095</v>
      </c>
      <c r="O63" s="427">
        <f t="shared" si="36"/>
        <v>274269.18536156276</v>
      </c>
    </row>
    <row r="64" spans="2:18">
      <c r="B64" s="438" t="s">
        <v>116</v>
      </c>
      <c r="C64" s="436"/>
      <c r="D64" s="436"/>
      <c r="E64" s="436"/>
      <c r="F64" s="436"/>
      <c r="G64" s="436"/>
      <c r="H64" s="436"/>
      <c r="I64" s="437" t="s">
        <v>186</v>
      </c>
      <c r="J64" s="440">
        <f>'Street Consensus'!C421</f>
        <v>242463.33333333334</v>
      </c>
      <c r="K64" s="440">
        <f>'Street Consensus'!D421</f>
        <v>247043.33333333334</v>
      </c>
      <c r="L64" s="440">
        <f>'Street Consensus'!E421</f>
        <v>251638.22806158534</v>
      </c>
      <c r="M64" s="440">
        <f>'Street Consensus'!F421</f>
        <v>254787.64099595489</v>
      </c>
      <c r="N64" s="440">
        <f>'Street Consensus'!G421</f>
        <v>256592.19330087095</v>
      </c>
      <c r="O64" s="441">
        <f>'Street Consensus'!H421</f>
        <v>259269.18536156273</v>
      </c>
      <c r="P64" s="8" t="s">
        <v>561</v>
      </c>
    </row>
    <row r="65" spans="2:16">
      <c r="B65" s="439" t="s">
        <v>187</v>
      </c>
      <c r="C65" s="8"/>
      <c r="D65" s="8"/>
      <c r="I65" s="447">
        <v>-15000</v>
      </c>
      <c r="J65" s="427">
        <f t="shared" ref="J65:O65" si="37">J64+$I$65</f>
        <v>227463.33333333334</v>
      </c>
      <c r="K65" s="427">
        <f t="shared" si="37"/>
        <v>232043.33333333334</v>
      </c>
      <c r="L65" s="427">
        <f t="shared" si="37"/>
        <v>236638.22806158534</v>
      </c>
      <c r="M65" s="427">
        <f t="shared" si="37"/>
        <v>239787.64099595489</v>
      </c>
      <c r="N65" s="427">
        <f t="shared" si="37"/>
        <v>241592.19330087095</v>
      </c>
      <c r="O65" s="427">
        <f t="shared" si="37"/>
        <v>244269.18536156273</v>
      </c>
    </row>
    <row r="66" spans="2:16">
      <c r="B66" s="475" t="s">
        <v>488</v>
      </c>
      <c r="C66" s="8"/>
      <c r="D66" s="8"/>
      <c r="I66" s="428"/>
      <c r="J66" s="8"/>
      <c r="K66" s="8"/>
      <c r="L66" s="8"/>
      <c r="M66" s="8"/>
      <c r="N66" s="8"/>
      <c r="O66" s="8"/>
    </row>
    <row r="67" spans="2:16">
      <c r="B67" s="439" t="s">
        <v>185</v>
      </c>
      <c r="C67" s="8"/>
      <c r="D67" s="8"/>
      <c r="I67" s="448">
        <v>100</v>
      </c>
      <c r="J67" s="426">
        <f t="shared" ref="J67:O67" si="38">J68+$I$67</f>
        <v>646.07229534879173</v>
      </c>
      <c r="K67" s="426">
        <f t="shared" si="38"/>
        <v>667.53704551884653</v>
      </c>
      <c r="L67" s="426">
        <f t="shared" si="38"/>
        <v>685.53916823752479</v>
      </c>
      <c r="M67" s="426">
        <f t="shared" si="38"/>
        <v>689.22303165683979</v>
      </c>
      <c r="N67" s="426">
        <f t="shared" si="38"/>
        <v>686.23960291226024</v>
      </c>
      <c r="O67" s="426">
        <f t="shared" si="38"/>
        <v>686.1398670985036</v>
      </c>
    </row>
    <row r="68" spans="2:16">
      <c r="B68" s="438" t="s">
        <v>116</v>
      </c>
      <c r="C68" s="436"/>
      <c r="D68" s="436"/>
      <c r="E68" s="436"/>
      <c r="F68" s="436"/>
      <c r="G68" s="436"/>
      <c r="H68" s="436"/>
      <c r="I68" s="437" t="s">
        <v>186</v>
      </c>
      <c r="J68" s="442">
        <f>'Street Consensus'!C541</f>
        <v>546.07229534879173</v>
      </c>
      <c r="K68" s="442">
        <f>'Street Consensus'!D541</f>
        <v>567.53704551884653</v>
      </c>
      <c r="L68" s="442">
        <f>'Street Consensus'!E541</f>
        <v>585.53916823752479</v>
      </c>
      <c r="M68" s="442">
        <f>'Street Consensus'!F541</f>
        <v>589.22303165683979</v>
      </c>
      <c r="N68" s="442">
        <f>'Street Consensus'!G541</f>
        <v>586.23960291226024</v>
      </c>
      <c r="O68" s="443">
        <f>'Street Consensus'!H541</f>
        <v>586.1398670985036</v>
      </c>
      <c r="P68" s="8" t="s">
        <v>561</v>
      </c>
    </row>
    <row r="69" spans="2:16">
      <c r="B69" s="439" t="s">
        <v>187</v>
      </c>
      <c r="C69" s="8"/>
      <c r="D69" s="8"/>
      <c r="I69" s="448">
        <v>-100</v>
      </c>
      <c r="J69" s="426">
        <f t="shared" ref="J69:O69" si="39">J68+$I$69</f>
        <v>446.07229534879173</v>
      </c>
      <c r="K69" s="426">
        <f t="shared" si="39"/>
        <v>467.53704551884653</v>
      </c>
      <c r="L69" s="426">
        <f t="shared" si="39"/>
        <v>485.53916823752479</v>
      </c>
      <c r="M69" s="426">
        <f t="shared" si="39"/>
        <v>489.22303165683979</v>
      </c>
      <c r="N69" s="426">
        <f t="shared" si="39"/>
        <v>486.23960291226024</v>
      </c>
      <c r="O69" s="426">
        <f t="shared" si="39"/>
        <v>486.1398670985036</v>
      </c>
    </row>
    <row r="70" spans="2:16">
      <c r="B70" s="475" t="s">
        <v>361</v>
      </c>
      <c r="C70" s="8"/>
      <c r="D70" s="8"/>
      <c r="I70" s="430"/>
      <c r="J70" s="431"/>
      <c r="K70" s="431"/>
      <c r="L70" s="431"/>
      <c r="M70" s="431"/>
      <c r="N70" s="431"/>
      <c r="O70" s="431"/>
    </row>
    <row r="71" spans="2:16">
      <c r="B71" s="439" t="s">
        <v>185</v>
      </c>
      <c r="C71" s="8"/>
      <c r="D71" s="8"/>
      <c r="I71" s="447">
        <v>6000</v>
      </c>
      <c r="J71" s="427">
        <f t="shared" ref="J71:O71" si="40">J72+$I$71</f>
        <v>58340.691742555005</v>
      </c>
      <c r="K71" s="427">
        <f t="shared" si="40"/>
        <v>58598.726329682759</v>
      </c>
      <c r="L71" s="427">
        <f t="shared" si="40"/>
        <v>59527.331032499773</v>
      </c>
      <c r="M71" s="427">
        <f t="shared" si="40"/>
        <v>59477.861552237489</v>
      </c>
      <c r="N71" s="427">
        <f t="shared" si="40"/>
        <v>60001.767442232245</v>
      </c>
      <c r="O71" s="427">
        <f t="shared" si="40"/>
        <v>60725.596064198326</v>
      </c>
    </row>
    <row r="72" spans="2:16">
      <c r="B72" s="438" t="s">
        <v>116</v>
      </c>
      <c r="C72" s="436"/>
      <c r="D72" s="436"/>
      <c r="E72" s="436"/>
      <c r="F72" s="436"/>
      <c r="G72" s="436"/>
      <c r="H72" s="436"/>
      <c r="I72" s="437" t="s">
        <v>186</v>
      </c>
      <c r="J72" s="440">
        <f>'Street Consensus'!C517</f>
        <v>52340.691742555005</v>
      </c>
      <c r="K72" s="440">
        <f>'Street Consensus'!D517</f>
        <v>52598.726329682759</v>
      </c>
      <c r="L72" s="440">
        <f>'Street Consensus'!E517</f>
        <v>53527.331032499773</v>
      </c>
      <c r="M72" s="440">
        <f>'Street Consensus'!F517</f>
        <v>53477.861552237489</v>
      </c>
      <c r="N72" s="440">
        <f>'Street Consensus'!G517</f>
        <v>54001.767442232245</v>
      </c>
      <c r="O72" s="441">
        <f>'Street Consensus'!H517</f>
        <v>54725.596064198326</v>
      </c>
      <c r="P72" s="8" t="s">
        <v>561</v>
      </c>
    </row>
    <row r="73" spans="2:16">
      <c r="B73" s="439" t="s">
        <v>187</v>
      </c>
      <c r="C73" s="8"/>
      <c r="D73" s="8"/>
      <c r="I73" s="447">
        <v>-6000</v>
      </c>
      <c r="J73" s="427">
        <f t="shared" ref="J73:O73" si="41">J72+$I$73</f>
        <v>46340.691742555005</v>
      </c>
      <c r="K73" s="427">
        <f t="shared" si="41"/>
        <v>46598.726329682759</v>
      </c>
      <c r="L73" s="427">
        <f t="shared" si="41"/>
        <v>47527.331032499773</v>
      </c>
      <c r="M73" s="427">
        <f t="shared" si="41"/>
        <v>47477.861552237489</v>
      </c>
      <c r="N73" s="427">
        <f t="shared" si="41"/>
        <v>48001.767442232245</v>
      </c>
      <c r="O73" s="427">
        <f t="shared" si="41"/>
        <v>48725.596064198326</v>
      </c>
    </row>
    <row r="74" spans="2:16">
      <c r="B74" s="475" t="s">
        <v>489</v>
      </c>
      <c r="C74" s="8"/>
      <c r="D74" s="8"/>
      <c r="I74" s="432"/>
      <c r="J74" s="433"/>
      <c r="K74" s="433"/>
      <c r="L74" s="433"/>
      <c r="M74" s="433"/>
      <c r="N74" s="433"/>
      <c r="O74" s="433"/>
    </row>
    <row r="75" spans="2:16">
      <c r="B75" s="439" t="s">
        <v>185</v>
      </c>
      <c r="C75" s="8"/>
      <c r="D75" s="8"/>
      <c r="I75" s="448">
        <v>200</v>
      </c>
      <c r="J75" s="426">
        <f t="shared" ref="J75:O75" si="42">J76+$I$75</f>
        <v>1515.3124768736716</v>
      </c>
      <c r="K75" s="426">
        <f t="shared" si="42"/>
        <v>1510.8052030422064</v>
      </c>
      <c r="L75" s="426">
        <f t="shared" si="42"/>
        <v>1510.9431899768097</v>
      </c>
      <c r="M75" s="426">
        <f t="shared" si="42"/>
        <v>1515.9723397936364</v>
      </c>
      <c r="N75" s="426">
        <f t="shared" si="42"/>
        <v>1514.2675365930875</v>
      </c>
      <c r="O75" s="426">
        <f t="shared" si="42"/>
        <v>1505.6786694977829</v>
      </c>
    </row>
    <row r="76" spans="2:16">
      <c r="B76" s="438" t="s">
        <v>116</v>
      </c>
      <c r="C76" s="436"/>
      <c r="D76" s="436"/>
      <c r="E76" s="436"/>
      <c r="F76" s="436"/>
      <c r="G76" s="436"/>
      <c r="H76" s="436"/>
      <c r="I76" s="437" t="s">
        <v>186</v>
      </c>
      <c r="J76" s="442">
        <f>'Street Consensus'!C493</f>
        <v>1315.3124768736716</v>
      </c>
      <c r="K76" s="442">
        <f>'Street Consensus'!D493</f>
        <v>1310.8052030422064</v>
      </c>
      <c r="L76" s="442">
        <f>'Street Consensus'!E493</f>
        <v>1310.9431899768097</v>
      </c>
      <c r="M76" s="442">
        <f>'Street Consensus'!F493</f>
        <v>1315.9723397936364</v>
      </c>
      <c r="N76" s="442">
        <f>'Street Consensus'!G493</f>
        <v>1314.2675365930875</v>
      </c>
      <c r="O76" s="443">
        <f>'Street Consensus'!H493</f>
        <v>1305.6786694977829</v>
      </c>
      <c r="P76" s="8" t="s">
        <v>561</v>
      </c>
    </row>
    <row r="77" spans="2:16">
      <c r="B77" s="439" t="s">
        <v>187</v>
      </c>
      <c r="C77" s="8"/>
      <c r="D77" s="8"/>
      <c r="I77" s="448">
        <v>-200</v>
      </c>
      <c r="J77" s="426">
        <f t="shared" ref="J77:O77" si="43">J76+$I$77</f>
        <v>1115.3124768736716</v>
      </c>
      <c r="K77" s="426">
        <f t="shared" si="43"/>
        <v>1110.8052030422064</v>
      </c>
      <c r="L77" s="426">
        <f t="shared" si="43"/>
        <v>1110.9431899768097</v>
      </c>
      <c r="M77" s="426">
        <f t="shared" si="43"/>
        <v>1115.9723397936364</v>
      </c>
      <c r="N77" s="426">
        <f t="shared" si="43"/>
        <v>1114.2675365930875</v>
      </c>
      <c r="O77" s="426">
        <f t="shared" si="43"/>
        <v>1105.6786694977829</v>
      </c>
    </row>
    <row r="78" spans="2:16">
      <c r="B78" s="475" t="s">
        <v>482</v>
      </c>
      <c r="C78" s="8"/>
      <c r="D78" s="8"/>
      <c r="I78" s="432"/>
      <c r="J78" s="433"/>
      <c r="K78" s="433"/>
      <c r="L78" s="433"/>
      <c r="M78" s="433"/>
      <c r="N78" s="433"/>
      <c r="O78" s="433"/>
    </row>
    <row r="79" spans="2:16">
      <c r="B79" s="439" t="s">
        <v>185</v>
      </c>
      <c r="C79" s="8"/>
      <c r="D79" s="8"/>
      <c r="I79" s="447">
        <v>500</v>
      </c>
      <c r="J79" s="427">
        <f t="shared" ref="J79:O79" si="44">J80+$I$79</f>
        <v>29679.816771921203</v>
      </c>
      <c r="K79" s="427">
        <f t="shared" si="44"/>
        <v>31138.807610517266</v>
      </c>
      <c r="L79" s="427">
        <f t="shared" si="44"/>
        <v>32670.747991043128</v>
      </c>
      <c r="M79" s="427">
        <f t="shared" si="44"/>
        <v>34279.285390595287</v>
      </c>
      <c r="N79" s="427">
        <f t="shared" si="44"/>
        <v>35968.249660125053</v>
      </c>
      <c r="O79" s="427">
        <f t="shared" si="44"/>
        <v>37741.662143131311</v>
      </c>
    </row>
    <row r="80" spans="2:16">
      <c r="B80" s="438" t="s">
        <v>116</v>
      </c>
      <c r="C80" s="436"/>
      <c r="D80" s="436"/>
      <c r="E80" s="436"/>
      <c r="F80" s="436"/>
      <c r="G80" s="436"/>
      <c r="H80" s="436"/>
      <c r="I80" s="437" t="s">
        <v>186</v>
      </c>
      <c r="J80" s="440">
        <f>'Street Consensus'!C465</f>
        <v>29179.816771921203</v>
      </c>
      <c r="K80" s="440">
        <f>'Street Consensus'!D465</f>
        <v>30638.807610517266</v>
      </c>
      <c r="L80" s="440">
        <f>'Street Consensus'!E465</f>
        <v>32170.747991043128</v>
      </c>
      <c r="M80" s="440">
        <f>'Street Consensus'!F465</f>
        <v>33779.285390595287</v>
      </c>
      <c r="N80" s="440">
        <f>'Street Consensus'!G465</f>
        <v>35468.249660125053</v>
      </c>
      <c r="O80" s="441">
        <f>'Street Consensus'!H465</f>
        <v>37241.662143131311</v>
      </c>
      <c r="P80" s="8" t="s">
        <v>564</v>
      </c>
    </row>
    <row r="81" spans="2:16">
      <c r="B81" s="439" t="s">
        <v>187</v>
      </c>
      <c r="C81" s="8"/>
      <c r="D81" s="8"/>
      <c r="I81" s="447">
        <v>-500</v>
      </c>
      <c r="J81" s="427">
        <f t="shared" ref="J81:O81" si="45">J80+$I$81</f>
        <v>28679.816771921203</v>
      </c>
      <c r="K81" s="427">
        <f t="shared" si="45"/>
        <v>30138.807610517266</v>
      </c>
      <c r="L81" s="427">
        <f t="shared" si="45"/>
        <v>31670.747991043128</v>
      </c>
      <c r="M81" s="427">
        <f t="shared" si="45"/>
        <v>33279.285390595287</v>
      </c>
      <c r="N81" s="427">
        <f t="shared" si="45"/>
        <v>34968.249660125053</v>
      </c>
      <c r="O81" s="427">
        <f t="shared" si="45"/>
        <v>36741.662143131311</v>
      </c>
    </row>
    <row r="82" spans="2:16">
      <c r="B82" s="475" t="s">
        <v>227</v>
      </c>
      <c r="C82" s="8"/>
      <c r="D82" s="8"/>
      <c r="I82" s="432"/>
      <c r="J82" s="433"/>
      <c r="K82" s="433"/>
      <c r="L82" s="433"/>
      <c r="M82" s="433"/>
      <c r="N82" s="433"/>
      <c r="O82" s="433"/>
    </row>
    <row r="83" spans="2:16">
      <c r="B83" s="439" t="s">
        <v>185</v>
      </c>
      <c r="C83" s="8"/>
      <c r="D83" s="8"/>
      <c r="I83" s="458">
        <v>0.05</v>
      </c>
      <c r="J83" s="427">
        <f t="shared" ref="J83:O83" si="46">SUM(J84*$I$83)+J84</f>
        <v>130688.25</v>
      </c>
      <c r="K83" s="427">
        <f t="shared" si="46"/>
        <v>148167.6</v>
      </c>
      <c r="L83" s="427">
        <f t="shared" si="46"/>
        <v>166545.75</v>
      </c>
      <c r="M83" s="427">
        <f t="shared" si="46"/>
        <v>187203.45637684962</v>
      </c>
      <c r="N83" s="427">
        <f t="shared" si="46"/>
        <v>210423.46670172631</v>
      </c>
      <c r="O83" s="427">
        <f t="shared" si="46"/>
        <v>237820.14219430709</v>
      </c>
    </row>
    <row r="84" spans="2:16">
      <c r="B84" s="438" t="s">
        <v>116</v>
      </c>
      <c r="C84" s="436"/>
      <c r="D84" s="436"/>
      <c r="E84" s="436"/>
      <c r="F84" s="436"/>
      <c r="G84" s="436"/>
      <c r="H84" s="436"/>
      <c r="I84" s="437" t="s">
        <v>186</v>
      </c>
      <c r="J84" s="440">
        <f>'Street Consensus'!C169</f>
        <v>124465</v>
      </c>
      <c r="K84" s="440">
        <f>'Street Consensus'!D169</f>
        <v>141112</v>
      </c>
      <c r="L84" s="440">
        <f>'Street Consensus'!E169</f>
        <v>158615</v>
      </c>
      <c r="M84" s="440">
        <f>'Street Consensus'!F169</f>
        <v>178289.0060731901</v>
      </c>
      <c r="N84" s="440">
        <f>'Street Consensus'!G169</f>
        <v>200403.30162069172</v>
      </c>
      <c r="O84" s="441">
        <f>'Street Consensus'!H169</f>
        <v>226495.3735183877</v>
      </c>
      <c r="P84" s="8" t="s">
        <v>564</v>
      </c>
    </row>
    <row r="85" spans="2:16">
      <c r="B85" s="439" t="s">
        <v>187</v>
      </c>
      <c r="C85" s="8"/>
      <c r="D85" s="8"/>
      <c r="I85" s="459">
        <v>-0.05</v>
      </c>
      <c r="J85" s="427">
        <f t="shared" ref="J85:O85" si="47">SUM(J84*$I$85)+J84</f>
        <v>118241.75</v>
      </c>
      <c r="K85" s="427">
        <f t="shared" si="47"/>
        <v>134056.4</v>
      </c>
      <c r="L85" s="427">
        <f t="shared" si="47"/>
        <v>150684.25</v>
      </c>
      <c r="M85" s="427">
        <f t="shared" si="47"/>
        <v>169374.55576953059</v>
      </c>
      <c r="N85" s="427">
        <f t="shared" si="47"/>
        <v>190383.13653965713</v>
      </c>
      <c r="O85" s="427">
        <f t="shared" si="47"/>
        <v>215170.60484246831</v>
      </c>
    </row>
    <row r="86" spans="2:16">
      <c r="B86" s="475" t="s">
        <v>228</v>
      </c>
      <c r="C86" s="8"/>
      <c r="D86" s="8"/>
      <c r="I86" s="432"/>
      <c r="J86" s="433"/>
      <c r="K86" s="433"/>
      <c r="L86" s="433"/>
      <c r="M86" s="433"/>
      <c r="N86" s="433"/>
      <c r="O86" s="433"/>
    </row>
    <row r="87" spans="2:16">
      <c r="B87" s="439" t="s">
        <v>185</v>
      </c>
      <c r="C87" s="8"/>
      <c r="D87" s="8"/>
      <c r="I87" s="458">
        <v>0.05</v>
      </c>
      <c r="J87" s="427">
        <f t="shared" ref="J87:O87" si="48">SUM(J88*$I$87)+J88</f>
        <v>39184.949999999997</v>
      </c>
      <c r="K87" s="427">
        <f t="shared" si="48"/>
        <v>41128.5</v>
      </c>
      <c r="L87" s="427">
        <f t="shared" si="48"/>
        <v>43576.05</v>
      </c>
      <c r="M87" s="427">
        <f t="shared" si="48"/>
        <v>46016.639739735525</v>
      </c>
      <c r="N87" s="427">
        <f t="shared" si="48"/>
        <v>48367.667727736625</v>
      </c>
      <c r="O87" s="427">
        <f t="shared" si="48"/>
        <v>50841.610729831795</v>
      </c>
    </row>
    <row r="88" spans="2:16">
      <c r="B88" s="438" t="s">
        <v>116</v>
      </c>
      <c r="C88" s="436"/>
      <c r="D88" s="436"/>
      <c r="E88" s="436"/>
      <c r="F88" s="436"/>
      <c r="G88" s="436"/>
      <c r="H88" s="436"/>
      <c r="I88" s="437" t="s">
        <v>186</v>
      </c>
      <c r="J88" s="440">
        <f>'Street Consensus'!C145</f>
        <v>37319</v>
      </c>
      <c r="K88" s="440">
        <f>'Street Consensus'!D145</f>
        <v>39170</v>
      </c>
      <c r="L88" s="440">
        <f>'Street Consensus'!E145</f>
        <v>41501</v>
      </c>
      <c r="M88" s="440">
        <f>'Street Consensus'!F145</f>
        <v>43825.371180700502</v>
      </c>
      <c r="N88" s="440">
        <f>'Street Consensus'!G145</f>
        <v>46064.445454987261</v>
      </c>
      <c r="O88" s="441">
        <f>'Street Consensus'!H145</f>
        <v>48420.58164745885</v>
      </c>
      <c r="P88" s="8" t="s">
        <v>560</v>
      </c>
    </row>
    <row r="89" spans="2:16">
      <c r="B89" s="439" t="s">
        <v>187</v>
      </c>
      <c r="C89" s="8"/>
      <c r="D89" s="8"/>
      <c r="I89" s="459">
        <v>-0.05</v>
      </c>
      <c r="J89" s="427">
        <f t="shared" ref="J89:O89" si="49">SUM(J88*$I$89)+J88</f>
        <v>35453.050000000003</v>
      </c>
      <c r="K89" s="427">
        <f t="shared" si="49"/>
        <v>37211.5</v>
      </c>
      <c r="L89" s="427">
        <f t="shared" si="49"/>
        <v>39425.949999999997</v>
      </c>
      <c r="M89" s="427">
        <f t="shared" si="49"/>
        <v>41634.102621665479</v>
      </c>
      <c r="N89" s="427">
        <f t="shared" si="49"/>
        <v>43761.223182237896</v>
      </c>
      <c r="O89" s="427">
        <f t="shared" si="49"/>
        <v>45999.552565085905</v>
      </c>
    </row>
    <row r="90" spans="2:16">
      <c r="B90" s="475" t="s">
        <v>664</v>
      </c>
      <c r="C90" s="8"/>
      <c r="D90" s="8"/>
      <c r="I90" s="429"/>
      <c r="J90" s="103"/>
      <c r="K90" s="103"/>
      <c r="L90" s="103"/>
      <c r="M90" s="103"/>
      <c r="N90" s="103"/>
      <c r="O90" s="103"/>
    </row>
    <row r="91" spans="2:16">
      <c r="B91" s="439" t="s">
        <v>185</v>
      </c>
      <c r="C91" s="8"/>
      <c r="D91" s="8"/>
      <c r="I91" s="445">
        <v>0.01</v>
      </c>
      <c r="J91" s="444">
        <f t="shared" ref="J91:O91" si="50">J92+$I$91</f>
        <v>0.48258559687584207</v>
      </c>
      <c r="K91" s="444">
        <f t="shared" si="50"/>
        <v>0.48028688969221145</v>
      </c>
      <c r="L91" s="444">
        <f t="shared" si="50"/>
        <v>0.48615560361086091</v>
      </c>
      <c r="M91" s="444">
        <f t="shared" si="50"/>
        <v>0.4866390694018683</v>
      </c>
      <c r="N91" s="444">
        <f t="shared" si="50"/>
        <v>0.48294299324468509</v>
      </c>
      <c r="O91" s="444">
        <f t="shared" si="50"/>
        <v>0.47269886945661493</v>
      </c>
    </row>
    <row r="92" spans="2:16">
      <c r="B92" s="438" t="s">
        <v>116</v>
      </c>
      <c r="C92" s="435"/>
      <c r="D92" s="435"/>
      <c r="E92" s="435"/>
      <c r="F92" s="435"/>
      <c r="G92" s="435"/>
      <c r="H92" s="435"/>
      <c r="I92" s="437" t="s">
        <v>186</v>
      </c>
      <c r="J92" s="476">
        <f>'Street Consensus'!C204</f>
        <v>0.47258559687584206</v>
      </c>
      <c r="K92" s="476">
        <f>'Street Consensus'!D204</f>
        <v>0.47028688969221144</v>
      </c>
      <c r="L92" s="476">
        <f>'Street Consensus'!E204</f>
        <v>0.4761556036108609</v>
      </c>
      <c r="M92" s="476">
        <f>'Street Consensus'!F204</f>
        <v>0.47663906940186829</v>
      </c>
      <c r="N92" s="476">
        <f>'Street Consensus'!G204</f>
        <v>0.47294299324468508</v>
      </c>
      <c r="O92" s="477">
        <f>'Street Consensus'!H204</f>
        <v>0.46269886945661493</v>
      </c>
      <c r="P92" s="8" t="s">
        <v>561</v>
      </c>
    </row>
    <row r="93" spans="2:16">
      <c r="B93" s="439" t="s">
        <v>187</v>
      </c>
      <c r="C93" s="8"/>
      <c r="D93" s="8"/>
      <c r="I93" s="445">
        <v>-0.01</v>
      </c>
      <c r="J93" s="444">
        <f t="shared" ref="J93:O93" si="51">J92+$I$93</f>
        <v>0.46258559687584205</v>
      </c>
      <c r="K93" s="444">
        <f t="shared" si="51"/>
        <v>0.46028688969221143</v>
      </c>
      <c r="L93" s="444">
        <f t="shared" si="51"/>
        <v>0.46615560361086089</v>
      </c>
      <c r="M93" s="444">
        <f t="shared" si="51"/>
        <v>0.46663906940186828</v>
      </c>
      <c r="N93" s="444">
        <f t="shared" si="51"/>
        <v>0.46294299324468507</v>
      </c>
      <c r="O93" s="444">
        <f t="shared" si="51"/>
        <v>0.45269886945661492</v>
      </c>
    </row>
    <row r="94" spans="2:16">
      <c r="B94" s="475" t="s">
        <v>132</v>
      </c>
      <c r="C94" s="8"/>
      <c r="D94" s="8"/>
      <c r="I94" s="429"/>
      <c r="J94" s="434"/>
      <c r="K94" s="434"/>
      <c r="L94" s="434"/>
      <c r="M94" s="434"/>
      <c r="N94" s="434"/>
      <c r="O94" s="434"/>
    </row>
    <row r="95" spans="2:16">
      <c r="B95" s="439" t="s">
        <v>185</v>
      </c>
      <c r="C95" s="8"/>
      <c r="D95" s="8"/>
      <c r="I95" s="445">
        <v>-0.01</v>
      </c>
      <c r="J95" s="444">
        <f t="shared" ref="J95:O95" si="52">J96+$I$95</f>
        <v>7.4908096993009141E-2</v>
      </c>
      <c r="K95" s="444">
        <f t="shared" si="52"/>
        <v>7.6130518015133666E-2</v>
      </c>
      <c r="L95" s="444">
        <f t="shared" si="52"/>
        <v>7.4726746953083276E-2</v>
      </c>
      <c r="M95" s="444">
        <f t="shared" si="52"/>
        <v>7.3084762025383831E-2</v>
      </c>
      <c r="N95" s="444">
        <f t="shared" si="52"/>
        <v>7.0421630206885258E-2</v>
      </c>
      <c r="O95" s="444">
        <f t="shared" si="52"/>
        <v>6.9016803598236587E-2</v>
      </c>
    </row>
    <row r="96" spans="2:16">
      <c r="B96" s="438" t="s">
        <v>116</v>
      </c>
      <c r="C96" s="435"/>
      <c r="D96" s="435"/>
      <c r="E96" s="435"/>
      <c r="F96" s="435"/>
      <c r="G96" s="435"/>
      <c r="H96" s="435"/>
      <c r="I96" s="437" t="s">
        <v>186</v>
      </c>
      <c r="J96" s="476">
        <f>'Street Consensus'!C226</f>
        <v>8.4908096993009136E-2</v>
      </c>
      <c r="K96" s="476">
        <f>'Street Consensus'!D226</f>
        <v>8.6130518015133661E-2</v>
      </c>
      <c r="L96" s="476">
        <f>'Street Consensus'!E226</f>
        <v>8.4726746953083271E-2</v>
      </c>
      <c r="M96" s="476">
        <f>'Street Consensus'!F226</f>
        <v>8.3084762025383826E-2</v>
      </c>
      <c r="N96" s="476">
        <f>'Street Consensus'!G226</f>
        <v>8.0421630206885253E-2</v>
      </c>
      <c r="O96" s="477">
        <f>'Street Consensus'!H226</f>
        <v>7.9016803598236582E-2</v>
      </c>
      <c r="P96" s="8" t="s">
        <v>561</v>
      </c>
    </row>
    <row r="97" spans="2:16">
      <c r="B97" s="439" t="s">
        <v>187</v>
      </c>
      <c r="C97" s="8"/>
      <c r="D97" s="8"/>
      <c r="I97" s="445">
        <v>0.01</v>
      </c>
      <c r="J97" s="444">
        <f t="shared" ref="J97:O97" si="53">J96+$I$97</f>
        <v>9.4908096993009131E-2</v>
      </c>
      <c r="K97" s="444">
        <f t="shared" si="53"/>
        <v>9.6130518015133656E-2</v>
      </c>
      <c r="L97" s="444">
        <f t="shared" si="53"/>
        <v>9.4726746953083266E-2</v>
      </c>
      <c r="M97" s="444">
        <f t="shared" si="53"/>
        <v>9.3084762025383821E-2</v>
      </c>
      <c r="N97" s="444">
        <f t="shared" si="53"/>
        <v>9.0421630206885248E-2</v>
      </c>
      <c r="O97" s="444">
        <f t="shared" si="53"/>
        <v>8.9016803598236577E-2</v>
      </c>
    </row>
    <row r="98" spans="2:16">
      <c r="B98" s="475" t="s">
        <v>133</v>
      </c>
      <c r="C98" s="8"/>
      <c r="D98" s="8"/>
      <c r="I98" s="429"/>
      <c r="J98" s="434"/>
      <c r="K98" s="434"/>
      <c r="L98" s="434"/>
      <c r="M98" s="434"/>
      <c r="N98" s="434"/>
      <c r="O98" s="434"/>
    </row>
    <row r="99" spans="2:16">
      <c r="B99" s="439" t="s">
        <v>185</v>
      </c>
      <c r="C99" s="8"/>
      <c r="D99" s="8"/>
      <c r="I99" s="445">
        <v>-0.01</v>
      </c>
      <c r="J99" s="444">
        <f t="shared" ref="J99:O99" si="54">J100+$I$99</f>
        <v>5.6536406340153118E-2</v>
      </c>
      <c r="K99" s="444">
        <f t="shared" si="54"/>
        <v>5.6224724150617668E-2</v>
      </c>
      <c r="L99" s="444">
        <f t="shared" si="54"/>
        <v>5.6234599570233072E-2</v>
      </c>
      <c r="M99" s="444">
        <f t="shared" si="54"/>
        <v>5.3528015356820495E-2</v>
      </c>
      <c r="N99" s="444">
        <f t="shared" si="54"/>
        <v>5.0527148136317E-2</v>
      </c>
      <c r="O99" s="444">
        <f t="shared" si="54"/>
        <v>4.7952845717747702E-2</v>
      </c>
    </row>
    <row r="100" spans="2:16">
      <c r="B100" s="438" t="s">
        <v>116</v>
      </c>
      <c r="C100" s="435"/>
      <c r="D100" s="435"/>
      <c r="E100" s="435"/>
      <c r="F100" s="435"/>
      <c r="G100" s="435"/>
      <c r="H100" s="435"/>
      <c r="I100" s="437" t="s">
        <v>186</v>
      </c>
      <c r="J100" s="476">
        <f>'Street Consensus'!C250</f>
        <v>6.653640634015312E-2</v>
      </c>
      <c r="K100" s="476">
        <f>'Street Consensus'!D250</f>
        <v>6.622472415061767E-2</v>
      </c>
      <c r="L100" s="476">
        <f>'Street Consensus'!E250</f>
        <v>6.6234599570233074E-2</v>
      </c>
      <c r="M100" s="476">
        <f>'Street Consensus'!F250</f>
        <v>6.3528015356820497E-2</v>
      </c>
      <c r="N100" s="476">
        <f>'Street Consensus'!G250</f>
        <v>6.0527148136317002E-2</v>
      </c>
      <c r="O100" s="477">
        <f>'Street Consensus'!H250</f>
        <v>5.7952845717747704E-2</v>
      </c>
      <c r="P100" s="8" t="s">
        <v>561</v>
      </c>
    </row>
    <row r="101" spans="2:16" ht="15" thickBot="1">
      <c r="B101" s="439" t="s">
        <v>187</v>
      </c>
      <c r="C101" s="8"/>
      <c r="D101" s="8"/>
      <c r="I101" s="446">
        <v>0.01</v>
      </c>
      <c r="J101" s="444">
        <f t="shared" ref="J101:O101" si="55">J100+$I$101</f>
        <v>7.6536406340153115E-2</v>
      </c>
      <c r="K101" s="444">
        <f t="shared" si="55"/>
        <v>7.6224724150617665E-2</v>
      </c>
      <c r="L101" s="444">
        <f t="shared" si="55"/>
        <v>7.6234599570233069E-2</v>
      </c>
      <c r="M101" s="444">
        <f t="shared" si="55"/>
        <v>7.3528015356820492E-2</v>
      </c>
      <c r="N101" s="444">
        <f t="shared" si="55"/>
        <v>7.0527148136316997E-2</v>
      </c>
      <c r="O101" s="444">
        <f t="shared" si="55"/>
        <v>6.7952845717747706E-2</v>
      </c>
    </row>
  </sheetData>
  <conditionalFormatting sqref="B57">
    <cfRule type="expression" dxfId="1" priority="1">
      <formula>#REF!=$C57</formula>
    </cfRule>
  </conditionalFormatting>
  <dataValidations count="1">
    <dataValidation type="list" allowBlank="1" showInputMessage="1" showErrorMessage="1" sqref="D6" xr:uid="{063B7D89-742F-4BF8-BBDB-8C54597D4B9A}">
      <formula1>$B$59:$B$61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942A-753B-4859-981E-275BABD542A4}">
  <sheetPr>
    <tabColor theme="4" tint="-0.249977111117893"/>
  </sheetPr>
  <dimension ref="A2:T228"/>
  <sheetViews>
    <sheetView showGridLines="0" zoomScale="115" zoomScaleNormal="115" workbookViewId="0">
      <selection activeCell="D157" sqref="D157"/>
    </sheetView>
  </sheetViews>
  <sheetFormatPr defaultRowHeight="12" outlineLevelRow="1" outlineLevelCol="1"/>
  <cols>
    <col min="1" max="1" width="1.625" style="8" customWidth="1"/>
    <col min="2" max="2" width="31.75" style="8" bestFit="1" customWidth="1"/>
    <col min="3" max="3" width="10.875" style="8" bestFit="1" customWidth="1"/>
    <col min="4" max="8" width="8.625" style="8" bestFit="1" customWidth="1"/>
    <col min="9" max="9" width="2" style="8" hidden="1" customWidth="1" outlineLevel="1"/>
    <col min="10" max="10" width="8.875" style="8" hidden="1" customWidth="1" outlineLevel="1"/>
    <col min="11" max="11" width="1.125" style="8" hidden="1" customWidth="1" outlineLevel="1"/>
    <col min="12" max="12" width="9.125" style="8" bestFit="1" customWidth="1" collapsed="1"/>
    <col min="13" max="17" width="8.625" style="8" bestFit="1" customWidth="1"/>
    <col min="18" max="18" width="1.625" style="8" hidden="1" customWidth="1" outlineLevel="1"/>
    <col min="19" max="19" width="8.625" style="8" hidden="1" customWidth="1" outlineLevel="1"/>
    <col min="20" max="20" width="14.75" style="8" bestFit="1" customWidth="1" collapsed="1"/>
    <col min="21" max="25" width="7.875" style="8" bestFit="1" customWidth="1"/>
    <col min="26" max="16384" width="9" style="8"/>
  </cols>
  <sheetData>
    <row r="2" spans="2:19">
      <c r="B2" s="1" t="str">
        <f>'Historical Financials'!B2</f>
        <v>Apple Inc. (NASDAQ: AAPL)</v>
      </c>
      <c r="C2" s="1"/>
      <c r="D2" s="1"/>
      <c r="E2" s="1"/>
      <c r="F2" s="1"/>
      <c r="G2" s="1"/>
      <c r="H2" s="1"/>
      <c r="I2" s="1"/>
      <c r="J2" s="1"/>
      <c r="K2" s="1"/>
      <c r="L2" s="1"/>
      <c r="M2" s="1"/>
      <c r="N2" s="1"/>
      <c r="O2" s="1"/>
      <c r="P2" s="1"/>
      <c r="Q2" s="1"/>
      <c r="R2" s="1"/>
      <c r="S2" s="1"/>
    </row>
    <row r="3" spans="2:19">
      <c r="B3" s="6" t="s">
        <v>321</v>
      </c>
      <c r="C3" s="1"/>
      <c r="D3" s="1"/>
      <c r="E3" s="1"/>
      <c r="F3" s="1"/>
      <c r="G3" s="1"/>
      <c r="H3" s="1"/>
      <c r="I3" s="1"/>
      <c r="J3" s="1"/>
      <c r="K3" s="1"/>
      <c r="L3" s="1"/>
      <c r="M3" s="1"/>
      <c r="N3" s="1"/>
      <c r="O3" s="1"/>
      <c r="P3" s="1"/>
      <c r="Q3" s="1"/>
      <c r="R3" s="1"/>
      <c r="S3" s="1"/>
    </row>
    <row r="4" spans="2:19">
      <c r="B4" s="6" t="s">
        <v>314</v>
      </c>
      <c r="C4" s="6"/>
      <c r="D4" s="6"/>
      <c r="E4" s="6"/>
      <c r="F4" s="6"/>
      <c r="G4" s="6"/>
      <c r="H4" s="6"/>
      <c r="I4" s="6"/>
      <c r="J4" s="6"/>
      <c r="K4" s="6"/>
      <c r="L4" s="6"/>
      <c r="M4" s="6"/>
      <c r="N4" s="6"/>
      <c r="O4" s="6"/>
      <c r="P4" s="6"/>
      <c r="Q4" s="6"/>
      <c r="R4" s="6"/>
      <c r="S4" s="6"/>
    </row>
    <row r="5" spans="2:19" ht="5.0999999999999996" customHeight="1"/>
    <row r="6" spans="2:19">
      <c r="B6" s="174" t="s">
        <v>115</v>
      </c>
      <c r="C6" s="172" t="s">
        <v>408</v>
      </c>
      <c r="D6" s="133"/>
      <c r="E6" s="133"/>
      <c r="F6" s="133"/>
      <c r="G6" s="133"/>
      <c r="H6" s="133"/>
      <c r="I6" s="133"/>
      <c r="J6" s="133"/>
      <c r="K6" s="133"/>
      <c r="L6" s="133"/>
      <c r="M6" s="133"/>
      <c r="N6" s="132"/>
      <c r="O6" s="132"/>
      <c r="P6" s="132"/>
      <c r="Q6" s="628"/>
      <c r="R6" s="132"/>
      <c r="S6" s="173"/>
    </row>
    <row r="7" spans="2:19">
      <c r="B7" s="175" t="s">
        <v>117</v>
      </c>
      <c r="C7" s="163" t="s">
        <v>118</v>
      </c>
      <c r="Q7" s="170"/>
      <c r="S7" s="170"/>
    </row>
    <row r="8" spans="2:19">
      <c r="B8" s="176" t="s">
        <v>119</v>
      </c>
      <c r="C8" s="179">
        <v>1</v>
      </c>
      <c r="Q8" s="170"/>
      <c r="S8" s="170"/>
    </row>
    <row r="9" spans="2:19">
      <c r="B9" s="176" t="s">
        <v>120</v>
      </c>
      <c r="C9" s="164">
        <v>271.01</v>
      </c>
      <c r="Q9" s="170"/>
      <c r="S9" s="170"/>
    </row>
    <row r="10" spans="2:19">
      <c r="B10" s="176" t="s">
        <v>121</v>
      </c>
      <c r="C10" s="165">
        <v>45659</v>
      </c>
      <c r="Q10" s="170"/>
      <c r="S10" s="170"/>
    </row>
    <row r="11" spans="2:19">
      <c r="B11" s="175" t="s">
        <v>122</v>
      </c>
      <c r="C11" s="166">
        <v>45657</v>
      </c>
      <c r="Q11" s="170"/>
      <c r="S11" s="170"/>
    </row>
    <row r="12" spans="2:19">
      <c r="B12" s="175" t="s">
        <v>264</v>
      </c>
      <c r="C12" s="473" t="str">
        <f>'Revenue Projections &amp; Cases'!D6</f>
        <v>Base case</v>
      </c>
      <c r="H12" s="11"/>
      <c r="Q12" s="170"/>
      <c r="S12" s="170"/>
    </row>
    <row r="13" spans="2:19">
      <c r="B13" s="177" t="s">
        <v>123</v>
      </c>
      <c r="C13" s="168">
        <v>15115.823</v>
      </c>
      <c r="D13" s="167"/>
      <c r="E13" s="167"/>
      <c r="F13" s="167"/>
      <c r="G13" s="167"/>
      <c r="H13" s="167"/>
      <c r="I13" s="167"/>
      <c r="J13" s="167"/>
      <c r="K13" s="167"/>
      <c r="L13" s="167"/>
      <c r="M13" s="167"/>
      <c r="N13" s="167"/>
      <c r="O13" s="167"/>
      <c r="P13" s="167"/>
      <c r="Q13" s="171"/>
      <c r="R13" s="167"/>
      <c r="S13" s="171"/>
    </row>
    <row r="14" spans="2:19" ht="5.0999999999999996" customHeight="1"/>
    <row r="15" spans="2:19">
      <c r="B15" s="1" t="s">
        <v>316</v>
      </c>
      <c r="C15" s="2" t="s">
        <v>315</v>
      </c>
      <c r="D15" s="2"/>
      <c r="E15" s="2"/>
      <c r="F15" s="2"/>
      <c r="G15" s="2"/>
      <c r="H15" s="2"/>
      <c r="I15" s="1"/>
      <c r="J15" s="2" t="s">
        <v>332</v>
      </c>
      <c r="K15" s="1"/>
      <c r="L15" s="2" t="s">
        <v>156</v>
      </c>
      <c r="M15" s="211"/>
      <c r="N15" s="211"/>
      <c r="O15" s="211"/>
      <c r="P15" s="211"/>
      <c r="Q15" s="2"/>
      <c r="R15" s="192"/>
      <c r="S15" s="2" t="s">
        <v>332</v>
      </c>
    </row>
    <row r="16" spans="2:19">
      <c r="B16" s="6" t="s">
        <v>124</v>
      </c>
      <c r="C16" s="239">
        <f>'Historical Financials'!G7</f>
        <v>2020</v>
      </c>
      <c r="D16" s="239">
        <f>'Historical Financials'!H7</f>
        <v>2021</v>
      </c>
      <c r="E16" s="239">
        <f>'Historical Financials'!I7</f>
        <v>2022</v>
      </c>
      <c r="F16" s="239">
        <f>'Historical Financials'!J7</f>
        <v>2023</v>
      </c>
      <c r="G16" s="239">
        <f>'Historical Financials'!K7</f>
        <v>2024</v>
      </c>
      <c r="H16" s="239">
        <f>'Historical Financials'!L7</f>
        <v>2025</v>
      </c>
      <c r="I16" s="6"/>
      <c r="J16" s="182" t="s">
        <v>460</v>
      </c>
      <c r="K16" s="6"/>
      <c r="L16" s="233">
        <f>H16+1</f>
        <v>2026</v>
      </c>
      <c r="M16" s="233">
        <f>+L16+1</f>
        <v>2027</v>
      </c>
      <c r="N16" s="233">
        <f>+M16+1</f>
        <v>2028</v>
      </c>
      <c r="O16" s="233">
        <f>+N16+1</f>
        <v>2029</v>
      </c>
      <c r="P16" s="233">
        <f>+O16+1</f>
        <v>2030</v>
      </c>
      <c r="Q16" s="233">
        <f>+P16+1</f>
        <v>2031</v>
      </c>
      <c r="R16" s="182"/>
      <c r="S16" s="182" t="s">
        <v>461</v>
      </c>
    </row>
    <row r="17" spans="2:20">
      <c r="B17" s="6" t="s">
        <v>125</v>
      </c>
      <c r="C17" s="230">
        <f>'Historical Financials'!G8</f>
        <v>44104</v>
      </c>
      <c r="D17" s="230">
        <f>'Historical Financials'!H8</f>
        <v>44469</v>
      </c>
      <c r="E17" s="230">
        <f>'Historical Financials'!I8</f>
        <v>44834</v>
      </c>
      <c r="F17" s="230">
        <f>'Historical Financials'!J8</f>
        <v>45192</v>
      </c>
      <c r="G17" s="230">
        <f>'Historical Financials'!K8</f>
        <v>45559</v>
      </c>
      <c r="H17" s="230">
        <f>'Historical Financials'!L8</f>
        <v>45927</v>
      </c>
      <c r="I17" s="6"/>
      <c r="J17" s="3">
        <f>H17</f>
        <v>45927</v>
      </c>
      <c r="K17" s="6"/>
      <c r="L17" s="230">
        <f>EOMONTH(H17,12)</f>
        <v>46295</v>
      </c>
      <c r="M17" s="230">
        <f>EOMONTH(L17,12)</f>
        <v>46660</v>
      </c>
      <c r="N17" s="230">
        <f>EOMONTH(M17,12)</f>
        <v>47026</v>
      </c>
      <c r="O17" s="230">
        <f>EOMONTH(N17,12)</f>
        <v>47391</v>
      </c>
      <c r="P17" s="230">
        <f>EOMONTH(O17,12)</f>
        <v>47756</v>
      </c>
      <c r="Q17" s="230">
        <f>EOMONTH(P17,12)</f>
        <v>48121</v>
      </c>
      <c r="R17" s="3"/>
      <c r="S17" s="3">
        <f>Q17</f>
        <v>48121</v>
      </c>
    </row>
    <row r="18" spans="2:20" ht="5.0999999999999996" customHeight="1"/>
    <row r="19" spans="2:20">
      <c r="B19" s="8" t="str">
        <f>'Revenue Drivers'!B9</f>
        <v>iPhone Revenue</v>
      </c>
      <c r="C19" s="112">
        <f>'Revenue Drivers'!G9</f>
        <v>137781</v>
      </c>
      <c r="D19" s="112">
        <f>'Revenue Drivers'!H9</f>
        <v>191973</v>
      </c>
      <c r="E19" s="112">
        <f>'Revenue Drivers'!I9</f>
        <v>205489</v>
      </c>
      <c r="F19" s="112">
        <f>'Revenue Drivers'!J9</f>
        <v>200583</v>
      </c>
      <c r="G19" s="112">
        <f>'Revenue Drivers'!K9</f>
        <v>201183</v>
      </c>
      <c r="H19" s="112">
        <f>'Revenue Drivers'!L9</f>
        <v>209586</v>
      </c>
      <c r="J19" s="237">
        <f t="shared" ref="J19:J24" si="0">((H19/C19)^(1/COUNT(D19:H19))-1)</f>
        <v>8.7513325944132303E-2</v>
      </c>
      <c r="L19" s="112">
        <f ca="1">'Revenue Projections &amp; Cases'!J12</f>
        <v>231770.70033333334</v>
      </c>
      <c r="M19" s="112">
        <f ca="1">'Revenue Projections &amp; Cases'!K12</f>
        <v>240373.16333333333</v>
      </c>
      <c r="N19" s="112">
        <f ca="1">'Revenue Projections &amp; Cases'!L12</f>
        <v>253979.96590033759</v>
      </c>
      <c r="O19" s="112">
        <f ca="1">'Revenue Projections &amp; Cases'!M12</f>
        <v>263883.55977951048</v>
      </c>
      <c r="P19" s="112">
        <f ca="1">'Revenue Projections &amp; Cases'!N12</f>
        <v>265752.53460171208</v>
      </c>
      <c r="Q19" s="112">
        <f ca="1">'Revenue Projections &amp; Cases'!O12</f>
        <v>268525.09527897055</v>
      </c>
      <c r="S19" s="237">
        <f ca="1">((Q19/L19)^(1/COUNT(M19:Q19))-1)</f>
        <v>2.9876786578387549E-2</v>
      </c>
      <c r="T19" s="8" t="s">
        <v>644</v>
      </c>
    </row>
    <row r="20" spans="2:20">
      <c r="B20" s="8" t="str">
        <f>'Revenue Drivers'!B10</f>
        <v>Mac Revenue</v>
      </c>
      <c r="C20" s="112">
        <f>'Revenue Drivers'!G10</f>
        <v>28622</v>
      </c>
      <c r="D20" s="112">
        <f>'Revenue Drivers'!H10</f>
        <v>35190</v>
      </c>
      <c r="E20" s="112">
        <f>'Revenue Drivers'!I10</f>
        <v>40177</v>
      </c>
      <c r="F20" s="112">
        <f>'Revenue Drivers'!J10</f>
        <v>29357</v>
      </c>
      <c r="G20" s="112">
        <f>'Revenue Drivers'!K10</f>
        <v>29984</v>
      </c>
      <c r="H20" s="112">
        <f>'Revenue Drivers'!L10</f>
        <v>33708</v>
      </c>
      <c r="J20" s="237">
        <f t="shared" si="0"/>
        <v>3.3252825523713003E-2</v>
      </c>
      <c r="L20" s="112">
        <f ca="1">'Revenue Projections &amp; Cases'!J13</f>
        <v>38380.577072995584</v>
      </c>
      <c r="M20" s="112">
        <f ca="1">'Revenue Projections &amp; Cases'!K13</f>
        <v>40161.508430875183</v>
      </c>
      <c r="N20" s="112">
        <f ca="1">'Revenue Projections &amp; Cases'!L13</f>
        <v>42174.022995318119</v>
      </c>
      <c r="O20" s="112">
        <f ca="1">'Revenue Projections &amp; Cases'!M13</f>
        <v>44452.605232018679</v>
      </c>
      <c r="P20" s="112">
        <f ca="1">'Revenue Projections &amp; Cases'!N13</f>
        <v>46614.769108081164</v>
      </c>
      <c r="Q20" s="112">
        <f ca="1">'Revenue Projections &amp; Cases'!O13</f>
        <v>48625.643876929644</v>
      </c>
      <c r="S20" s="237">
        <f t="shared" ref="S20:S24" ca="1" si="1">((Q20/L20)^(1/COUNT(M20:Q20))-1)</f>
        <v>4.8457360573136654E-2</v>
      </c>
      <c r="T20" s="8" t="s">
        <v>644</v>
      </c>
    </row>
    <row r="21" spans="2:20">
      <c r="B21" s="8" t="str">
        <f>'Revenue Drivers'!B11</f>
        <v>iPad Revenue</v>
      </c>
      <c r="C21" s="112">
        <f>'Revenue Drivers'!G11</f>
        <v>23724</v>
      </c>
      <c r="D21" s="112">
        <f>'Revenue Drivers'!H11</f>
        <v>31862</v>
      </c>
      <c r="E21" s="112">
        <f>'Revenue Drivers'!I11</f>
        <v>29292</v>
      </c>
      <c r="F21" s="112">
        <f>'Revenue Drivers'!J11</f>
        <v>28300</v>
      </c>
      <c r="G21" s="112">
        <f>'Revenue Drivers'!K11</f>
        <v>26694</v>
      </c>
      <c r="H21" s="112">
        <f>'Revenue Drivers'!L11</f>
        <v>28023</v>
      </c>
      <c r="J21" s="237">
        <f t="shared" ref="J21:J22" si="2">((H21/C21)^(1/COUNT(D21:H21))-1)</f>
        <v>3.3868592565621247E-2</v>
      </c>
      <c r="L21" s="112">
        <f ca="1">'Revenue Projections &amp; Cases'!J14</f>
        <v>28581.801680000561</v>
      </c>
      <c r="M21" s="112">
        <f ca="1">'Revenue Projections &amp; Cases'!K14</f>
        <v>29851.725739202513</v>
      </c>
      <c r="N21" s="112">
        <f ca="1">'Revenue Projections &amp; Cases'!L14</f>
        <v>31342.348890744568</v>
      </c>
      <c r="O21" s="112">
        <f ca="1">'Revenue Projections &amp; Cases'!M14</f>
        <v>31510.387710334126</v>
      </c>
      <c r="P21" s="112">
        <f ca="1">'Revenue Projections &amp; Cases'!N14</f>
        <v>31657.974701894454</v>
      </c>
      <c r="Q21" s="112">
        <f ca="1">'Revenue Projections &amp; Cases'!O14</f>
        <v>32076.853603955598</v>
      </c>
      <c r="S21" s="237">
        <f t="shared" ca="1" si="1"/>
        <v>2.3341135963161452E-2</v>
      </c>
      <c r="T21" s="8" t="s">
        <v>644</v>
      </c>
    </row>
    <row r="22" spans="2:20">
      <c r="B22" s="8" t="str">
        <f>'Revenue Drivers'!B12</f>
        <v>Services Revenue</v>
      </c>
      <c r="C22" s="112">
        <f>'Revenue Drivers'!G12</f>
        <v>53768</v>
      </c>
      <c r="D22" s="112">
        <f>'Revenue Drivers'!H12</f>
        <v>68425</v>
      </c>
      <c r="E22" s="112">
        <f>'Revenue Drivers'!I12</f>
        <v>78129</v>
      </c>
      <c r="F22" s="112">
        <f>'Revenue Drivers'!J12</f>
        <v>85200</v>
      </c>
      <c r="G22" s="112">
        <f>'Revenue Drivers'!K12</f>
        <v>96169</v>
      </c>
      <c r="H22" s="112">
        <f>'Revenue Drivers'!L12</f>
        <v>109158</v>
      </c>
      <c r="J22" s="237">
        <f t="shared" si="2"/>
        <v>0.15214287250455372</v>
      </c>
      <c r="L22" s="112">
        <f ca="1">'Revenue Projections &amp; Cases'!J15</f>
        <v>124465</v>
      </c>
      <c r="M22" s="112">
        <f ca="1">'Revenue Projections &amp; Cases'!K15</f>
        <v>141112</v>
      </c>
      <c r="N22" s="112">
        <f ca="1">'Revenue Projections &amp; Cases'!L15</f>
        <v>158615</v>
      </c>
      <c r="O22" s="112">
        <f ca="1">'Revenue Projections &amp; Cases'!M15</f>
        <v>178289.0060731901</v>
      </c>
      <c r="P22" s="112">
        <f ca="1">'Revenue Projections &amp; Cases'!N15</f>
        <v>200403.30162069172</v>
      </c>
      <c r="Q22" s="112">
        <f ca="1">'Revenue Projections &amp; Cases'!O15</f>
        <v>226495.3735183877</v>
      </c>
      <c r="S22" s="237">
        <f t="shared" ca="1" si="1"/>
        <v>0.12720373303367594</v>
      </c>
      <c r="T22" s="8" t="s">
        <v>644</v>
      </c>
    </row>
    <row r="23" spans="2:20">
      <c r="B23" s="8" t="str">
        <f>'Revenue Drivers'!B13</f>
        <v>Wearables, Home, and Accessories Revenue</v>
      </c>
      <c r="C23" s="112">
        <f>'Revenue Drivers'!G13</f>
        <v>30620</v>
      </c>
      <c r="D23" s="112">
        <f>'Revenue Drivers'!H13</f>
        <v>38367</v>
      </c>
      <c r="E23" s="112">
        <f>'Revenue Drivers'!I13</f>
        <v>41241</v>
      </c>
      <c r="F23" s="112">
        <f>'Revenue Drivers'!J13</f>
        <v>39845</v>
      </c>
      <c r="G23" s="112">
        <f>'Revenue Drivers'!K13</f>
        <v>37005</v>
      </c>
      <c r="H23" s="112">
        <f>'Revenue Drivers'!L13</f>
        <v>35686</v>
      </c>
      <c r="J23" s="237">
        <f t="shared" si="0"/>
        <v>3.1094658311796586E-2</v>
      </c>
      <c r="L23" s="112">
        <f ca="1">'Revenue Projections &amp; Cases'!J16</f>
        <v>37319</v>
      </c>
      <c r="M23" s="112">
        <f ca="1">'Revenue Projections &amp; Cases'!K16</f>
        <v>39170</v>
      </c>
      <c r="N23" s="112">
        <f ca="1">'Revenue Projections &amp; Cases'!L16</f>
        <v>41501</v>
      </c>
      <c r="O23" s="112">
        <f ca="1">'Revenue Projections &amp; Cases'!M16</f>
        <v>43825.371180700502</v>
      </c>
      <c r="P23" s="112">
        <f ca="1">'Revenue Projections &amp; Cases'!N16</f>
        <v>46064.445454987261</v>
      </c>
      <c r="Q23" s="112">
        <f ca="1">'Revenue Projections &amp; Cases'!O16</f>
        <v>48420.58164745885</v>
      </c>
      <c r="S23" s="237">
        <f t="shared" ca="1" si="1"/>
        <v>5.3464732009695926E-2</v>
      </c>
      <c r="T23" s="8" t="s">
        <v>644</v>
      </c>
    </row>
    <row r="24" spans="2:20">
      <c r="B24" s="106" t="s">
        <v>12</v>
      </c>
      <c r="C24" s="345">
        <f t="shared" ref="C24:H24" si="3">SUM(C19:C23)</f>
        <v>274515</v>
      </c>
      <c r="D24" s="345">
        <f t="shared" si="3"/>
        <v>365817</v>
      </c>
      <c r="E24" s="345">
        <f t="shared" si="3"/>
        <v>394328</v>
      </c>
      <c r="F24" s="345">
        <f t="shared" si="3"/>
        <v>383285</v>
      </c>
      <c r="G24" s="345">
        <f t="shared" si="3"/>
        <v>391035</v>
      </c>
      <c r="H24" s="345">
        <f t="shared" si="3"/>
        <v>416161</v>
      </c>
      <c r="J24" s="238">
        <f t="shared" si="0"/>
        <v>8.6773549240907411E-2</v>
      </c>
      <c r="L24" s="345">
        <f t="shared" ref="L24:Q24" ca="1" si="4">SUM(L19:L23)</f>
        <v>460517.0790863295</v>
      </c>
      <c r="M24" s="345">
        <f t="shared" ca="1" si="4"/>
        <v>490668.39750341105</v>
      </c>
      <c r="N24" s="345">
        <f t="shared" ca="1" si="4"/>
        <v>527612.33778640023</v>
      </c>
      <c r="O24" s="345">
        <f t="shared" ca="1" si="4"/>
        <v>561960.92997575388</v>
      </c>
      <c r="P24" s="345">
        <f t="shared" ca="1" si="4"/>
        <v>590493.0254873666</v>
      </c>
      <c r="Q24" s="345">
        <f t="shared" ca="1" si="4"/>
        <v>624143.5479257023</v>
      </c>
      <c r="S24" s="238">
        <f t="shared" ca="1" si="1"/>
        <v>6.2692826063909246E-2</v>
      </c>
    </row>
    <row r="25" spans="2:20" ht="5.0999999999999996" customHeight="1">
      <c r="C25" s="112"/>
      <c r="D25" s="112"/>
      <c r="E25" s="112"/>
      <c r="F25" s="112"/>
      <c r="G25" s="112"/>
      <c r="H25" s="112"/>
      <c r="J25" s="237"/>
      <c r="L25" s="241"/>
      <c r="M25" s="241"/>
      <c r="N25" s="241"/>
      <c r="O25" s="241"/>
      <c r="P25" s="241"/>
      <c r="Q25" s="241"/>
      <c r="S25" s="237"/>
    </row>
    <row r="26" spans="2:20">
      <c r="B26" s="8" t="s">
        <v>333</v>
      </c>
      <c r="C26" s="112">
        <f>'Historical Financials'!G13</f>
        <v>-169559</v>
      </c>
      <c r="D26" s="112">
        <f>'Historical Financials'!H13</f>
        <v>-212981</v>
      </c>
      <c r="E26" s="112">
        <f>'Historical Financials'!I13</f>
        <v>-223546</v>
      </c>
      <c r="F26" s="112">
        <f>'Historical Financials'!J13</f>
        <v>-214137</v>
      </c>
      <c r="G26" s="112">
        <f>'Historical Financials'!K13</f>
        <v>-210352</v>
      </c>
      <c r="H26" s="112">
        <f>'Historical Financials'!L13</f>
        <v>-220960</v>
      </c>
      <c r="J26" s="237">
        <f>((H26/C26)^(1/COUNT(D26:H26))-1)</f>
        <v>5.4383407455460331E-2</v>
      </c>
      <c r="L26" s="241">
        <f ca="1">L27-L24</f>
        <v>-242883.34039479709</v>
      </c>
      <c r="M26" s="241">
        <f t="shared" ref="M26:Q26" ca="1" si="5">M27-M24</f>
        <v>-259913.48297127022</v>
      </c>
      <c r="N26" s="241">
        <f t="shared" ca="1" si="5"/>
        <v>-276386.76661517937</v>
      </c>
      <c r="O26" s="241">
        <f t="shared" ca="1" si="5"/>
        <v>-294108.39527190209</v>
      </c>
      <c r="P26" s="241">
        <f t="shared" ca="1" si="5"/>
        <v>-311223.48652326129</v>
      </c>
      <c r="Q26" s="241">
        <f t="shared" ca="1" si="5"/>
        <v>-335353.03392183926</v>
      </c>
      <c r="S26" s="237">
        <f ca="1">((Q26/L26)^(1/COUNT(M26:Q26))-1)</f>
        <v>6.6647457551711975E-2</v>
      </c>
    </row>
    <row r="27" spans="2:20">
      <c r="B27" s="39" t="s">
        <v>30</v>
      </c>
      <c r="C27" s="345">
        <f>+C26+C24</f>
        <v>104956</v>
      </c>
      <c r="D27" s="345">
        <f t="shared" ref="D27:H27" si="6">+D26+D24</f>
        <v>152836</v>
      </c>
      <c r="E27" s="345">
        <f t="shared" si="6"/>
        <v>170782</v>
      </c>
      <c r="F27" s="345">
        <f t="shared" si="6"/>
        <v>169148</v>
      </c>
      <c r="G27" s="345">
        <f t="shared" si="6"/>
        <v>180683</v>
      </c>
      <c r="H27" s="345">
        <f t="shared" si="6"/>
        <v>195201</v>
      </c>
      <c r="J27" s="238">
        <f>((H27/C27)^(1/COUNT(D27:H27))-1)</f>
        <v>0.13212649296554235</v>
      </c>
      <c r="L27" s="345">
        <f ca="1">L58*L24</f>
        <v>217633.7386915324</v>
      </c>
      <c r="M27" s="345">
        <f t="shared" ref="M27:Q27" ca="1" si="7">M58*M24</f>
        <v>230754.91453214083</v>
      </c>
      <c r="N27" s="345">
        <f t="shared" ca="1" si="7"/>
        <v>251225.57117122083</v>
      </c>
      <c r="O27" s="345">
        <f t="shared" ca="1" si="7"/>
        <v>267852.53470385179</v>
      </c>
      <c r="P27" s="345">
        <f t="shared" ca="1" si="7"/>
        <v>279269.5389641053</v>
      </c>
      <c r="Q27" s="345">
        <f t="shared" ca="1" si="7"/>
        <v>288790.51400386303</v>
      </c>
      <c r="S27" s="238">
        <f t="shared" ref="S27" ca="1" si="8">((Q27/L27)^(1/COUNT(M27:Q27))-1)</f>
        <v>5.8208730333302983E-2</v>
      </c>
    </row>
    <row r="28" spans="2:20" ht="5.0999999999999996" customHeight="1">
      <c r="C28" s="72"/>
      <c r="D28" s="72"/>
      <c r="E28" s="72"/>
      <c r="F28" s="72"/>
      <c r="G28" s="72"/>
      <c r="H28" s="72"/>
      <c r="L28" s="72"/>
      <c r="M28" s="72"/>
      <c r="N28" s="72"/>
      <c r="O28" s="72"/>
      <c r="P28" s="72"/>
      <c r="Q28" s="72"/>
      <c r="S28" s="237"/>
    </row>
    <row r="29" spans="2:20">
      <c r="B29" s="8" t="s">
        <v>348</v>
      </c>
      <c r="C29" s="112">
        <f>'Historical Financials'!G17</f>
        <v>-18752</v>
      </c>
      <c r="D29" s="112">
        <f>'Historical Financials'!H17</f>
        <v>-21914</v>
      </c>
      <c r="E29" s="112">
        <f>'Historical Financials'!I17</f>
        <v>-26251</v>
      </c>
      <c r="F29" s="112">
        <f>'Historical Financials'!J17</f>
        <v>-29915</v>
      </c>
      <c r="G29" s="112">
        <f>'Historical Financials'!K17</f>
        <v>-31370</v>
      </c>
      <c r="H29" s="112">
        <f>'Historical Financials'!L17</f>
        <v>-34550</v>
      </c>
      <c r="J29" s="237">
        <f t="shared" ref="J29:J42" si="9">((H29/C29)^(1/COUNT(D29:H29))-1)</f>
        <v>0.1300042879508454</v>
      </c>
      <c r="L29" s="241">
        <f t="shared" ref="L29:Q29" ca="1" si="10">-(L24*L70)</f>
        <v>-39101.628817999321</v>
      </c>
      <c r="M29" s="241">
        <f t="shared" ca="1" si="10"/>
        <v>-42261.523250624312</v>
      </c>
      <c r="N29" s="241">
        <f t="shared" ca="1" si="10"/>
        <v>-44702.877032953023</v>
      </c>
      <c r="O29" s="241">
        <f t="shared" ca="1" si="10"/>
        <v>-46690.390134598892</v>
      </c>
      <c r="P29" s="241">
        <f t="shared" ca="1" si="10"/>
        <v>-47488.411735489863</v>
      </c>
      <c r="Q29" s="241">
        <f t="shared" ca="1" si="10"/>
        <v>-49317.828143551778</v>
      </c>
      <c r="S29" s="237">
        <f t="shared" ref="S29:S45" ca="1" si="11">((Q29/L29)^(1/COUNT(M29:Q29))-1)</f>
        <v>4.751878254813402E-2</v>
      </c>
    </row>
    <row r="30" spans="2:20">
      <c r="B30" s="8" t="s">
        <v>409</v>
      </c>
      <c r="C30" s="112">
        <f>'Historical Financials'!G18</f>
        <v>-19916</v>
      </c>
      <c r="D30" s="112">
        <f>'Historical Financials'!H18</f>
        <v>-21973</v>
      </c>
      <c r="E30" s="112">
        <f>'Historical Financials'!I18</f>
        <v>-25094</v>
      </c>
      <c r="F30" s="112">
        <f>'Historical Financials'!J18</f>
        <v>-24932</v>
      </c>
      <c r="G30" s="112">
        <f>'Historical Financials'!K18</f>
        <v>-26097</v>
      </c>
      <c r="H30" s="112">
        <f>'Historical Financials'!L18</f>
        <v>-27601</v>
      </c>
      <c r="J30" s="237">
        <f t="shared" si="9"/>
        <v>6.7442622257265938E-2</v>
      </c>
      <c r="L30" s="241">
        <f t="shared" ref="L30:Q30" ca="1" si="12">-(L24*L71)</f>
        <v>-30641.151500668449</v>
      </c>
      <c r="M30" s="241">
        <f t="shared" ca="1" si="12"/>
        <v>-32494.379274089017</v>
      </c>
      <c r="N30" s="241">
        <f t="shared" ca="1" si="12"/>
        <v>-34946.191921596772</v>
      </c>
      <c r="O30" s="241">
        <f t="shared" ca="1" si="12"/>
        <v>-35700.262589432823</v>
      </c>
      <c r="P30" s="241">
        <f t="shared" ca="1" si="12"/>
        <v>-35740.858827135846</v>
      </c>
      <c r="Q30" s="241">
        <f t="shared" ca="1" si="12"/>
        <v>-36170.894738665898</v>
      </c>
      <c r="S30" s="237">
        <f t="shared" ca="1" si="11"/>
        <v>3.3738839723473912E-2</v>
      </c>
    </row>
    <row r="31" spans="2:20">
      <c r="B31" s="39" t="s">
        <v>126</v>
      </c>
      <c r="C31" s="345">
        <f t="shared" ref="C31:H31" si="13">SUM(C29:C30)+C27</f>
        <v>66288</v>
      </c>
      <c r="D31" s="345">
        <f t="shared" si="13"/>
        <v>108949</v>
      </c>
      <c r="E31" s="345">
        <f t="shared" si="13"/>
        <v>119437</v>
      </c>
      <c r="F31" s="345">
        <f t="shared" si="13"/>
        <v>114301</v>
      </c>
      <c r="G31" s="345">
        <f t="shared" si="13"/>
        <v>123216</v>
      </c>
      <c r="H31" s="345">
        <f t="shared" si="13"/>
        <v>133050</v>
      </c>
      <c r="J31" s="238">
        <f t="shared" si="9"/>
        <v>0.14951857284756986</v>
      </c>
      <c r="L31" s="345">
        <f t="shared" ref="L31:Q31" ca="1" si="14">SUM(L29:L30)+L27</f>
        <v>147890.95837286464</v>
      </c>
      <c r="M31" s="345">
        <f t="shared" ca="1" si="14"/>
        <v>155999.01200742752</v>
      </c>
      <c r="N31" s="345">
        <f t="shared" ca="1" si="14"/>
        <v>171576.50221667104</v>
      </c>
      <c r="O31" s="345">
        <f t="shared" ca="1" si="14"/>
        <v>185461.88197982009</v>
      </c>
      <c r="P31" s="345">
        <f t="shared" ca="1" si="14"/>
        <v>196040.26840147958</v>
      </c>
      <c r="Q31" s="345">
        <f t="shared" ca="1" si="14"/>
        <v>203301.79112164536</v>
      </c>
      <c r="S31" s="238">
        <f t="shared" ca="1" si="11"/>
        <v>6.5712148014325233E-2</v>
      </c>
    </row>
    <row r="32" spans="2:20" ht="5.0999999999999996" customHeight="1"/>
    <row r="33" spans="2:20">
      <c r="B33" s="8" t="s">
        <v>392</v>
      </c>
      <c r="C33" s="236">
        <v>3763</v>
      </c>
      <c r="D33" s="236">
        <v>2843</v>
      </c>
      <c r="E33" s="236">
        <v>2825</v>
      </c>
      <c r="F33" s="236">
        <v>3750</v>
      </c>
      <c r="G33" s="236">
        <v>1583.29575</v>
      </c>
      <c r="H33" s="236">
        <v>1410</v>
      </c>
      <c r="J33" s="237">
        <f t="shared" si="9"/>
        <v>-0.17825517290525739</v>
      </c>
      <c r="L33" s="11">
        <f ca="1">L207</f>
        <v>1550.1605098267366</v>
      </c>
      <c r="M33" s="11">
        <f t="shared" ref="M33:Q33" ca="1" si="15">M207</f>
        <v>1939.2732884325546</v>
      </c>
      <c r="N33" s="11">
        <f t="shared" ca="1" si="15"/>
        <v>2326.9746221948831</v>
      </c>
      <c r="O33" s="11">
        <f t="shared" ca="1" si="15"/>
        <v>2842.741867668894</v>
      </c>
      <c r="P33" s="11">
        <f t="shared" ca="1" si="15"/>
        <v>3480.9667618927861</v>
      </c>
      <c r="Q33" s="11">
        <f t="shared" ca="1" si="15"/>
        <v>4225.6581020954682</v>
      </c>
      <c r="S33" s="237">
        <f t="shared" ca="1" si="11"/>
        <v>0.22209097601832983</v>
      </c>
      <c r="T33" s="8" t="s">
        <v>635</v>
      </c>
    </row>
    <row r="34" spans="2:20">
      <c r="B34" s="8" t="s">
        <v>350</v>
      </c>
      <c r="C34" s="236">
        <v>-2873</v>
      </c>
      <c r="D34" s="236">
        <v>-2645</v>
      </c>
      <c r="E34" s="236">
        <v>-2931</v>
      </c>
      <c r="F34" s="236">
        <v>-3933</v>
      </c>
      <c r="G34" s="236">
        <v>-515</v>
      </c>
      <c r="H34" s="236">
        <v>-440</v>
      </c>
      <c r="J34" s="237">
        <f t="shared" si="9"/>
        <v>-0.31289452342583635</v>
      </c>
      <c r="L34" s="11">
        <f ca="1">-L193</f>
        <v>-752.89606709618874</v>
      </c>
      <c r="M34" s="11">
        <f t="shared" ref="M34:Q34" ca="1" si="16">-M193</f>
        <v>-1109.4860170961888</v>
      </c>
      <c r="N34" s="11">
        <f t="shared" ca="1" si="16"/>
        <v>-1109.4860170961888</v>
      </c>
      <c r="O34" s="11">
        <f t="shared" ca="1" si="16"/>
        <v>-1109.4860170961888</v>
      </c>
      <c r="P34" s="11">
        <f t="shared" ca="1" si="16"/>
        <v>-1109.4860170961888</v>
      </c>
      <c r="Q34" s="11">
        <f t="shared" ca="1" si="16"/>
        <v>-1109.4860170961888</v>
      </c>
      <c r="S34" s="237">
        <f t="shared" ca="1" si="11"/>
        <v>8.0630848133475652E-2</v>
      </c>
      <c r="T34" s="8" t="s">
        <v>636</v>
      </c>
    </row>
    <row r="35" spans="2:20">
      <c r="B35" s="8" t="s">
        <v>393</v>
      </c>
      <c r="C35" s="236">
        <v>-87</v>
      </c>
      <c r="D35" s="236">
        <v>60</v>
      </c>
      <c r="E35" s="236">
        <v>-228</v>
      </c>
      <c r="F35" s="236">
        <v>-382</v>
      </c>
      <c r="G35" s="236">
        <v>-799.29575</v>
      </c>
      <c r="H35" s="236">
        <v>-1291</v>
      </c>
      <c r="J35" s="237">
        <f t="shared" si="9"/>
        <v>0.71506821345871807</v>
      </c>
      <c r="L35" s="11">
        <f>AVERAGE(F35:H35)</f>
        <v>-824.09858333333341</v>
      </c>
      <c r="M35" s="11">
        <f>L35</f>
        <v>-824.09858333333341</v>
      </c>
      <c r="N35" s="11">
        <f>M35</f>
        <v>-824.09858333333341</v>
      </c>
      <c r="O35" s="11">
        <f>N35</f>
        <v>-824.09858333333341</v>
      </c>
      <c r="P35" s="11">
        <f>O35</f>
        <v>-824.09858333333341</v>
      </c>
      <c r="Q35" s="11">
        <f>P35</f>
        <v>-824.09858333333341</v>
      </c>
      <c r="S35" s="237">
        <f t="shared" si="11"/>
        <v>0</v>
      </c>
      <c r="T35" s="8" t="s">
        <v>637</v>
      </c>
    </row>
    <row r="36" spans="2:20">
      <c r="B36" s="39" t="s">
        <v>127</v>
      </c>
      <c r="C36" s="345">
        <f t="shared" ref="C36:H36" si="17">SUM(C33:C35)+C31</f>
        <v>67091</v>
      </c>
      <c r="D36" s="345">
        <f t="shared" si="17"/>
        <v>109207</v>
      </c>
      <c r="E36" s="345">
        <f t="shared" si="17"/>
        <v>119103</v>
      </c>
      <c r="F36" s="345">
        <f t="shared" si="17"/>
        <v>113736</v>
      </c>
      <c r="G36" s="345">
        <f t="shared" si="17"/>
        <v>123485</v>
      </c>
      <c r="H36" s="345">
        <f t="shared" si="17"/>
        <v>132729</v>
      </c>
      <c r="J36" s="238">
        <f t="shared" si="9"/>
        <v>0.14619975540684438</v>
      </c>
      <c r="L36" s="345">
        <f t="shared" ref="L36:Q36" ca="1" si="18">SUM(L33:L35)+L31</f>
        <v>147864.12423226185</v>
      </c>
      <c r="M36" s="345">
        <f t="shared" ca="1" si="18"/>
        <v>156004.70069543054</v>
      </c>
      <c r="N36" s="345">
        <f t="shared" ca="1" si="18"/>
        <v>171969.89223843641</v>
      </c>
      <c r="O36" s="345">
        <f t="shared" ca="1" si="18"/>
        <v>186371.03924705947</v>
      </c>
      <c r="P36" s="345">
        <f t="shared" ca="1" si="18"/>
        <v>197587.65056294284</v>
      </c>
      <c r="Q36" s="345">
        <f t="shared" ca="1" si="18"/>
        <v>205593.86462331132</v>
      </c>
      <c r="S36" s="238">
        <f t="shared" ca="1" si="11"/>
        <v>6.8143167852384279E-2</v>
      </c>
    </row>
    <row r="37" spans="2:20" ht="5.0999999999999996" customHeight="1">
      <c r="B37" s="39"/>
      <c r="C37" s="39"/>
      <c r="D37" s="39"/>
      <c r="E37" s="39"/>
      <c r="F37" s="39"/>
      <c r="G37" s="39"/>
      <c r="H37" s="39"/>
      <c r="I37" s="39"/>
      <c r="J37" s="39"/>
      <c r="K37" s="39"/>
      <c r="L37" s="39"/>
      <c r="M37" s="39"/>
      <c r="N37" s="39"/>
      <c r="O37" s="39"/>
      <c r="P37" s="39"/>
      <c r="Q37" s="39"/>
      <c r="S37" s="234"/>
    </row>
    <row r="38" spans="2:20">
      <c r="B38" s="8" t="s">
        <v>341</v>
      </c>
      <c r="C38" s="112">
        <f>'Historical Financials'!G25</f>
        <v>-9680</v>
      </c>
      <c r="D38" s="112">
        <f>'Historical Financials'!H25</f>
        <v>-14527</v>
      </c>
      <c r="E38" s="112">
        <f>'Historical Financials'!I25</f>
        <v>-19300</v>
      </c>
      <c r="F38" s="112">
        <f>'Historical Financials'!J25</f>
        <v>-16741</v>
      </c>
      <c r="G38" s="112">
        <f>'Historical Financials'!K25</f>
        <v>-29749</v>
      </c>
      <c r="H38" s="112">
        <f>'Historical Financials'!L25</f>
        <v>-20719</v>
      </c>
      <c r="J38" s="237">
        <f t="shared" si="9"/>
        <v>0.16439058887824576</v>
      </c>
      <c r="L38" s="241">
        <f t="shared" ref="L38:Q38" ca="1" si="19">-(L36*L60)</f>
        <v>-23740.4274056617</v>
      </c>
      <c r="M38" s="241">
        <f t="shared" ca="1" si="19"/>
        <v>-24992.811783188568</v>
      </c>
      <c r="N38" s="241">
        <f t="shared" ca="1" si="19"/>
        <v>-27370.128711848763</v>
      </c>
      <c r="O38" s="241">
        <f t="shared" ca="1" si="19"/>
        <v>-29828.793408541973</v>
      </c>
      <c r="P38" s="241">
        <f t="shared" ca="1" si="19"/>
        <v>-31783.577365049256</v>
      </c>
      <c r="Q38" s="241">
        <f t="shared" ca="1" si="19"/>
        <v>-33169.979205108211</v>
      </c>
      <c r="S38" s="237">
        <f t="shared" ca="1" si="11"/>
        <v>6.9181247893149722E-2</v>
      </c>
    </row>
    <row r="39" spans="2:20">
      <c r="B39" s="39" t="s">
        <v>17</v>
      </c>
      <c r="C39" s="345">
        <f t="shared" ref="C39:H39" si="20">+C36+C38</f>
        <v>57411</v>
      </c>
      <c r="D39" s="345">
        <f t="shared" si="20"/>
        <v>94680</v>
      </c>
      <c r="E39" s="345">
        <f t="shared" si="20"/>
        <v>99803</v>
      </c>
      <c r="F39" s="345">
        <f t="shared" si="20"/>
        <v>96995</v>
      </c>
      <c r="G39" s="345">
        <f t="shared" si="20"/>
        <v>93736</v>
      </c>
      <c r="H39" s="345">
        <f t="shared" si="20"/>
        <v>112010</v>
      </c>
      <c r="J39" s="238">
        <f t="shared" si="9"/>
        <v>0.14301607214786305</v>
      </c>
      <c r="L39" s="345">
        <f t="shared" ref="L39:Q39" ca="1" si="21">+L36+L38</f>
        <v>124123.69682660015</v>
      </c>
      <c r="M39" s="345">
        <f t="shared" ca="1" si="21"/>
        <v>131011.88891224196</v>
      </c>
      <c r="N39" s="345">
        <f t="shared" ca="1" si="21"/>
        <v>144599.76352658766</v>
      </c>
      <c r="O39" s="345">
        <f t="shared" ca="1" si="21"/>
        <v>156542.2458385175</v>
      </c>
      <c r="P39" s="345">
        <f t="shared" ca="1" si="21"/>
        <v>165804.07319789359</v>
      </c>
      <c r="Q39" s="345">
        <f t="shared" ca="1" si="21"/>
        <v>172423.88541820311</v>
      </c>
      <c r="S39" s="238">
        <f t="shared" ca="1" si="11"/>
        <v>6.7944159802803661E-2</v>
      </c>
    </row>
    <row r="40" spans="2:20" ht="5.0999999999999996" customHeight="1">
      <c r="B40" s="39"/>
      <c r="C40" s="48"/>
      <c r="D40" s="48"/>
      <c r="E40" s="48"/>
      <c r="F40" s="48"/>
      <c r="G40" s="48"/>
      <c r="H40" s="48"/>
      <c r="I40" s="39"/>
      <c r="J40" s="39"/>
      <c r="K40" s="39"/>
      <c r="L40" s="48"/>
      <c r="M40" s="48"/>
      <c r="N40" s="48"/>
      <c r="O40" s="48"/>
      <c r="P40" s="48"/>
      <c r="Q40" s="48"/>
      <c r="S40" s="235"/>
    </row>
    <row r="41" spans="2:20">
      <c r="B41" s="8" t="s">
        <v>334</v>
      </c>
      <c r="C41" s="112">
        <f>'Historical Financials'!G78</f>
        <v>11056</v>
      </c>
      <c r="D41" s="112">
        <f>'Historical Financials'!H78</f>
        <v>11284</v>
      </c>
      <c r="E41" s="112">
        <f>'Historical Financials'!I78</f>
        <v>11104</v>
      </c>
      <c r="F41" s="112">
        <f>'Historical Financials'!J78</f>
        <v>11519</v>
      </c>
      <c r="G41" s="112">
        <f>'Historical Financials'!K78</f>
        <v>11445</v>
      </c>
      <c r="H41" s="112">
        <f>'Historical Financials'!L78</f>
        <v>11698</v>
      </c>
      <c r="J41" s="237">
        <f t="shared" si="9"/>
        <v>1.1352884356246706E-2</v>
      </c>
      <c r="L41" s="241">
        <f ca="1">L163</f>
        <v>13244.384160936275</v>
      </c>
      <c r="M41" s="241">
        <f t="shared" ref="M41:Q41" ca="1" si="22">M163</f>
        <v>13609.263958766291</v>
      </c>
      <c r="N41" s="241">
        <f t="shared" ca="1" si="22"/>
        <v>14958.902817126567</v>
      </c>
      <c r="O41" s="241">
        <f t="shared" ca="1" si="22"/>
        <v>16918.497926194512</v>
      </c>
      <c r="P41" s="241">
        <f t="shared" ca="1" si="22"/>
        <v>19281.656602087398</v>
      </c>
      <c r="Q41" s="241">
        <f t="shared" ca="1" si="22"/>
        <v>22005.781802398928</v>
      </c>
      <c r="S41" s="237">
        <f t="shared" ca="1" si="11"/>
        <v>0.10688118846192984</v>
      </c>
      <c r="T41" s="8" t="s">
        <v>638</v>
      </c>
    </row>
    <row r="42" spans="2:20">
      <c r="B42" s="39" t="s">
        <v>11</v>
      </c>
      <c r="C42" s="345">
        <f t="shared" ref="C42:H42" si="23">+C31+C41</f>
        <v>77344</v>
      </c>
      <c r="D42" s="345">
        <f t="shared" si="23"/>
        <v>120233</v>
      </c>
      <c r="E42" s="345">
        <f t="shared" si="23"/>
        <v>130541</v>
      </c>
      <c r="F42" s="345">
        <f t="shared" si="23"/>
        <v>125820</v>
      </c>
      <c r="G42" s="345">
        <f t="shared" si="23"/>
        <v>134661</v>
      </c>
      <c r="H42" s="345">
        <f t="shared" si="23"/>
        <v>144748</v>
      </c>
      <c r="J42" s="238">
        <f t="shared" si="9"/>
        <v>0.13354088383424956</v>
      </c>
      <c r="L42" s="345">
        <f t="shared" ref="L42:Q42" ca="1" si="24">+L31+L41</f>
        <v>161135.34253380093</v>
      </c>
      <c r="M42" s="345">
        <f t="shared" ca="1" si="24"/>
        <v>169608.27596619382</v>
      </c>
      <c r="N42" s="345">
        <f t="shared" ca="1" si="24"/>
        <v>186535.40503379761</v>
      </c>
      <c r="O42" s="345">
        <f t="shared" ca="1" si="24"/>
        <v>202380.3799060146</v>
      </c>
      <c r="P42" s="345">
        <f t="shared" ca="1" si="24"/>
        <v>215321.92500356698</v>
      </c>
      <c r="Q42" s="345">
        <f t="shared" ca="1" si="24"/>
        <v>225307.5729240443</v>
      </c>
      <c r="S42" s="238">
        <f t="shared" ca="1" si="11"/>
        <v>6.9342915482518697E-2</v>
      </c>
    </row>
    <row r="43" spans="2:20" ht="5.0999999999999996" customHeight="1">
      <c r="B43" s="39"/>
      <c r="C43" s="48"/>
      <c r="D43" s="48"/>
      <c r="E43" s="48"/>
      <c r="F43" s="48"/>
      <c r="G43" s="48"/>
      <c r="H43" s="48"/>
      <c r="I43" s="39"/>
      <c r="J43" s="238"/>
      <c r="K43" s="39"/>
      <c r="L43" s="48"/>
      <c r="M43" s="48"/>
      <c r="N43" s="48"/>
      <c r="O43" s="48"/>
      <c r="P43" s="48"/>
      <c r="Q43" s="48"/>
      <c r="S43" s="238"/>
    </row>
    <row r="44" spans="2:20">
      <c r="B44" s="8" t="s">
        <v>199</v>
      </c>
      <c r="C44" s="112">
        <f>'Historical Financials'!G79</f>
        <v>6829</v>
      </c>
      <c r="D44" s="112">
        <f>'Historical Financials'!H79</f>
        <v>7906</v>
      </c>
      <c r="E44" s="112">
        <f>'Historical Financials'!I79</f>
        <v>9038</v>
      </c>
      <c r="F44" s="112">
        <f>'Historical Financials'!J79</f>
        <v>10833</v>
      </c>
      <c r="G44" s="112">
        <f>'Historical Financials'!K79</f>
        <v>11688</v>
      </c>
      <c r="H44" s="112">
        <f>'Historical Financials'!L79</f>
        <v>12863</v>
      </c>
      <c r="J44" s="237">
        <f>((H44/C44)^(1/COUNT(D44:H44))-1)</f>
        <v>0.13500305734244855</v>
      </c>
      <c r="L44" s="241">
        <f ca="1">(L50*H44)+H44</f>
        <v>14233.989221208752</v>
      </c>
      <c r="M44" s="241">
        <f ca="1">(M50*L44)+L44</f>
        <v>15165.927602745995</v>
      </c>
      <c r="N44" s="241">
        <f t="shared" ref="N44:Q44" ca="1" si="25">(N50*M44)+M44</f>
        <v>16307.817169188045</v>
      </c>
      <c r="O44" s="241">
        <f t="shared" ca="1" si="25"/>
        <v>17369.487871948892</v>
      </c>
      <c r="P44" s="241">
        <f t="shared" ca="1" si="25"/>
        <v>18251.378160961736</v>
      </c>
      <c r="Q44" s="241">
        <f t="shared" ca="1" si="25"/>
        <v>19291.472427662153</v>
      </c>
      <c r="S44" s="237">
        <f t="shared" ca="1" si="11"/>
        <v>6.2692826063909468E-2</v>
      </c>
      <c r="T44" s="8" t="s">
        <v>639</v>
      </c>
    </row>
    <row r="45" spans="2:20">
      <c r="B45" s="39" t="s">
        <v>55</v>
      </c>
      <c r="C45" s="345">
        <f t="shared" ref="C45:G45" si="26">+C42+C44</f>
        <v>84173</v>
      </c>
      <c r="D45" s="345">
        <f t="shared" si="26"/>
        <v>128139</v>
      </c>
      <c r="E45" s="345">
        <f t="shared" si="26"/>
        <v>139579</v>
      </c>
      <c r="F45" s="345">
        <f t="shared" si="26"/>
        <v>136653</v>
      </c>
      <c r="G45" s="345">
        <f t="shared" si="26"/>
        <v>146349</v>
      </c>
      <c r="H45" s="345">
        <f>+H42+H44</f>
        <v>157611</v>
      </c>
      <c r="J45" s="238">
        <f>((H45/C45)^(1/COUNT(D45:H45))-1)</f>
        <v>0.13365979222728908</v>
      </c>
      <c r="L45" s="345">
        <f t="shared" ref="L45:Q45" ca="1" si="27">+L42+L44</f>
        <v>175369.33175500968</v>
      </c>
      <c r="M45" s="345">
        <f t="shared" ca="1" si="27"/>
        <v>184774.20356893982</v>
      </c>
      <c r="N45" s="345">
        <f t="shared" ca="1" si="27"/>
        <v>202843.22220298566</v>
      </c>
      <c r="O45" s="345">
        <f t="shared" ca="1" si="27"/>
        <v>219749.86777796349</v>
      </c>
      <c r="P45" s="345">
        <f t="shared" ca="1" si="27"/>
        <v>233573.30316452871</v>
      </c>
      <c r="Q45" s="345">
        <f t="shared" ca="1" si="27"/>
        <v>244599.04535170645</v>
      </c>
      <c r="S45" s="238">
        <f t="shared" ca="1" si="11"/>
        <v>6.880929521465684E-2</v>
      </c>
    </row>
    <row r="46" spans="2:20" ht="5.0999999999999996" customHeight="1"/>
    <row r="47" spans="2:20">
      <c r="B47" s="183" t="s">
        <v>129</v>
      </c>
      <c r="C47" s="312"/>
      <c r="D47" s="312"/>
      <c r="E47" s="312"/>
      <c r="F47" s="312"/>
      <c r="G47" s="312"/>
      <c r="H47" s="312"/>
      <c r="I47" s="312"/>
      <c r="J47" s="312"/>
      <c r="K47" s="312"/>
      <c r="L47" s="312"/>
      <c r="M47" s="312"/>
      <c r="N47" s="312"/>
      <c r="O47" s="312"/>
      <c r="P47" s="312"/>
      <c r="Q47" s="312"/>
    </row>
    <row r="48" spans="2:20" ht="5.0999999999999996" customHeight="1">
      <c r="B48" s="184"/>
      <c r="Q48" s="170"/>
    </row>
    <row r="49" spans="2:20">
      <c r="B49" s="244" t="s">
        <v>130</v>
      </c>
      <c r="Q49" s="170"/>
    </row>
    <row r="50" spans="2:20">
      <c r="B50" s="313" t="s">
        <v>394</v>
      </c>
      <c r="C50" s="314" t="s">
        <v>47</v>
      </c>
      <c r="D50" s="314">
        <f>SUM(D24/C24)-1</f>
        <v>0.33259384733074704</v>
      </c>
      <c r="E50" s="314">
        <f>SUM(E24/D24)-1</f>
        <v>7.7937876041846099E-2</v>
      </c>
      <c r="F50" s="314">
        <f>SUM(F24/E24)-1</f>
        <v>-2.800460530319937E-2</v>
      </c>
      <c r="G50" s="314">
        <f>SUM(G24/F24)-1</f>
        <v>2.021994077514111E-2</v>
      </c>
      <c r="H50" s="314">
        <f>SUM(H24/G24)-1</f>
        <v>6.425511782832749E-2</v>
      </c>
      <c r="L50" s="315">
        <f ca="1">'Revenue Projections &amp; Cases'!J20</f>
        <v>0.106583940076868</v>
      </c>
      <c r="M50" s="315">
        <f ca="1">'Revenue Projections &amp; Cases'!K20</f>
        <v>6.5472747453584335E-2</v>
      </c>
      <c r="N50" s="315">
        <f ca="1">'Revenue Projections &amp; Cases'!L20</f>
        <v>7.5293090957080366E-2</v>
      </c>
      <c r="O50" s="315">
        <f ca="1">'Revenue Projections &amp; Cases'!M20</f>
        <v>6.5101950294535138E-2</v>
      </c>
      <c r="P50" s="315">
        <f ca="1">'Revenue Projections &amp; Cases'!N20</f>
        <v>5.0772382900077684E-2</v>
      </c>
      <c r="Q50" s="629">
        <f ca="1">'Revenue Projections &amp; Cases'!O20</f>
        <v>5.6987163244751393E-2</v>
      </c>
      <c r="T50" s="8" t="s">
        <v>644</v>
      </c>
    </row>
    <row r="51" spans="2:20">
      <c r="B51" s="242" t="str">
        <f>B19</f>
        <v>iPhone Revenue</v>
      </c>
      <c r="C51" s="314" t="s">
        <v>47</v>
      </c>
      <c r="D51" s="314">
        <f>SUM(D19/C19)-1</f>
        <v>0.39331983364905176</v>
      </c>
      <c r="E51" s="314">
        <f>SUM(E19/D19)-1</f>
        <v>7.0405734139696641E-2</v>
      </c>
      <c r="F51" s="314">
        <f>SUM(F19/E19)-1</f>
        <v>-2.3874757286278081E-2</v>
      </c>
      <c r="G51" s="314">
        <f>SUM(G19/F19)-1</f>
        <v>2.9912804175826757E-3</v>
      </c>
      <c r="H51" s="314">
        <f>SUM(H19/G19)-1</f>
        <v>4.1767942619406195E-2</v>
      </c>
      <c r="L51" s="315">
        <f ca="1">'Revenue Projections &amp; Cases'!J21</f>
        <v>0.10585010608214929</v>
      </c>
      <c r="M51" s="315">
        <f ca="1">'Revenue Projections &amp; Cases'!K21</f>
        <v>3.7116266152830812E-2</v>
      </c>
      <c r="N51" s="315">
        <f ca="1">'Revenue Projections &amp; Cases'!L21</f>
        <v>5.6606995466192078E-2</v>
      </c>
      <c r="O51" s="315">
        <f ca="1">'Revenue Projections &amp; Cases'!M21</f>
        <v>3.8993602680689854E-2</v>
      </c>
      <c r="P51" s="315">
        <f ca="1">'Revenue Projections &amp; Cases'!N21</f>
        <v>7.082573934364067E-3</v>
      </c>
      <c r="Q51" s="629">
        <f ca="1">'Revenue Projections &amp; Cases'!O21</f>
        <v>1.0432866355964521E-2</v>
      </c>
      <c r="T51" s="8" t="s">
        <v>644</v>
      </c>
    </row>
    <row r="52" spans="2:20">
      <c r="B52" s="242" t="str">
        <f t="shared" ref="B52:B55" si="28">B20</f>
        <v>Mac Revenue</v>
      </c>
      <c r="C52" s="314" t="s">
        <v>47</v>
      </c>
      <c r="D52" s="314">
        <f t="shared" ref="D52:H52" si="29">SUM(D20/C20)-1</f>
        <v>0.22947383131856625</v>
      </c>
      <c r="E52" s="314">
        <f t="shared" si="29"/>
        <v>0.14171639670360903</v>
      </c>
      <c r="F52" s="314">
        <f t="shared" si="29"/>
        <v>-0.26930831072504169</v>
      </c>
      <c r="G52" s="314">
        <f t="shared" si="29"/>
        <v>2.1357768164322E-2</v>
      </c>
      <c r="H52" s="314">
        <f t="shared" si="29"/>
        <v>0.12419957310565644</v>
      </c>
      <c r="L52" s="315">
        <f ca="1">'Revenue Projections &amp; Cases'!J22</f>
        <v>0.13861923202194082</v>
      </c>
      <c r="M52" s="315">
        <f ca="1">'Revenue Projections &amp; Cases'!K22</f>
        <v>4.6401891104775883E-2</v>
      </c>
      <c r="N52" s="315">
        <f ca="1">'Revenue Projections &amp; Cases'!L22</f>
        <v>5.0110532275121411E-2</v>
      </c>
      <c r="O52" s="315">
        <f ca="1">'Revenue Projections &amp; Cases'!M22</f>
        <v>5.4028097745228543E-2</v>
      </c>
      <c r="P52" s="315">
        <f ca="1">'Revenue Projections &amp; Cases'!N22</f>
        <v>4.8639756090270714E-2</v>
      </c>
      <c r="Q52" s="629">
        <f ca="1">'Revenue Projections &amp; Cases'!O22</f>
        <v>4.313814714358144E-2</v>
      </c>
      <c r="T52" s="8" t="s">
        <v>644</v>
      </c>
    </row>
    <row r="53" spans="2:20">
      <c r="B53" s="242" t="str">
        <f t="shared" si="28"/>
        <v>iPad Revenue</v>
      </c>
      <c r="C53" s="314" t="s">
        <v>47</v>
      </c>
      <c r="D53" s="314">
        <f t="shared" ref="D53:H53" si="30">SUM(D21/C21)-1</f>
        <v>0.34302815714044854</v>
      </c>
      <c r="E53" s="314">
        <f t="shared" si="30"/>
        <v>-8.0660347749670458E-2</v>
      </c>
      <c r="F53" s="314">
        <f t="shared" si="30"/>
        <v>-3.3865901952751631E-2</v>
      </c>
      <c r="G53" s="314">
        <f t="shared" si="30"/>
        <v>-5.674911660777382E-2</v>
      </c>
      <c r="H53" s="314">
        <f t="shared" si="30"/>
        <v>4.9786468869408962E-2</v>
      </c>
      <c r="L53" s="315">
        <f ca="1">'Revenue Projections &amp; Cases'!J23</f>
        <v>1.99408228954987E-2</v>
      </c>
      <c r="M53" s="315">
        <f ca="1">'Revenue Projections &amp; Cases'!K23</f>
        <v>4.4431210929944731E-2</v>
      </c>
      <c r="N53" s="315">
        <f ca="1">'Revenue Projections &amp; Cases'!L23</f>
        <v>4.993423712132361E-2</v>
      </c>
      <c r="O53" s="315">
        <f ca="1">'Revenue Projections &amp; Cases'!M23</f>
        <v>5.3613984125862046E-3</v>
      </c>
      <c r="P53" s="315">
        <f ca="1">'Revenue Projections &amp; Cases'!N23</f>
        <v>4.6837567635489297E-3</v>
      </c>
      <c r="Q53" s="629">
        <f ca="1">'Revenue Projections &amp; Cases'!O23</f>
        <v>1.3231386593914873E-2</v>
      </c>
      <c r="T53" s="8" t="s">
        <v>644</v>
      </c>
    </row>
    <row r="54" spans="2:20">
      <c r="B54" s="242" t="str">
        <f t="shared" si="28"/>
        <v>Services Revenue</v>
      </c>
      <c r="C54" s="314" t="s">
        <v>47</v>
      </c>
      <c r="D54" s="314">
        <f t="shared" ref="D54:H54" si="31">SUM(D22/C22)-1</f>
        <v>0.27259708376729663</v>
      </c>
      <c r="E54" s="314">
        <f t="shared" si="31"/>
        <v>0.14181951041286078</v>
      </c>
      <c r="F54" s="314">
        <f t="shared" si="31"/>
        <v>9.0504166186691215E-2</v>
      </c>
      <c r="G54" s="314">
        <f t="shared" si="31"/>
        <v>0.12874413145539898</v>
      </c>
      <c r="H54" s="314">
        <f t="shared" si="31"/>
        <v>0.13506431386413498</v>
      </c>
      <c r="L54" s="315">
        <f ca="1">'Revenue Projections &amp; Cases'!J24</f>
        <v>0.14022792649187421</v>
      </c>
      <c r="M54" s="315">
        <f ca="1">'Revenue Projections &amp; Cases'!K24</f>
        <v>0.13374844333748448</v>
      </c>
      <c r="N54" s="315">
        <f ca="1">'Revenue Projections &amp; Cases'!L24</f>
        <v>0.12403622654345492</v>
      </c>
      <c r="O54" s="315">
        <f ca="1">'Revenue Projections &amp; Cases'!M24</f>
        <v>0.12403622654345492</v>
      </c>
      <c r="P54" s="315">
        <f ca="1">'Revenue Projections &amp; Cases'!N24</f>
        <v>0.12403622654345492</v>
      </c>
      <c r="Q54" s="629">
        <f ca="1">'Revenue Projections &amp; Cases'!O24</f>
        <v>0.13019781454040658</v>
      </c>
      <c r="T54" s="8" t="s">
        <v>644</v>
      </c>
    </row>
    <row r="55" spans="2:20">
      <c r="B55" s="242" t="str">
        <f t="shared" si="28"/>
        <v>Wearables, Home, and Accessories Revenue</v>
      </c>
      <c r="C55" s="314" t="s">
        <v>47</v>
      </c>
      <c r="D55" s="314">
        <f t="shared" ref="D55:H55" si="32">SUM(D23/C23)-1</f>
        <v>0.2530045721750489</v>
      </c>
      <c r="E55" s="314">
        <f t="shared" si="32"/>
        <v>7.4908124169208001E-2</v>
      </c>
      <c r="F55" s="314">
        <f t="shared" si="32"/>
        <v>-3.3849809655439933E-2</v>
      </c>
      <c r="G55" s="314">
        <f t="shared" si="32"/>
        <v>-7.1276195256619435E-2</v>
      </c>
      <c r="H55" s="314">
        <f t="shared" si="32"/>
        <v>-3.5643831914606183E-2</v>
      </c>
      <c r="L55" s="315">
        <f ca="1">'Revenue Projections &amp; Cases'!J25</f>
        <v>4.5760242111752447E-2</v>
      </c>
      <c r="M55" s="315">
        <f ca="1">'Revenue Projections &amp; Cases'!K25</f>
        <v>4.9599399769554298E-2</v>
      </c>
      <c r="N55" s="315">
        <f ca="1">'Revenue Projections &amp; Cases'!L25</f>
        <v>5.950982895072765E-2</v>
      </c>
      <c r="O55" s="315">
        <f ca="1">'Revenue Projections &amp; Cases'!M25</f>
        <v>5.6007594532673899E-2</v>
      </c>
      <c r="P55" s="315">
        <f ca="1">'Revenue Projections &amp; Cases'!N25</f>
        <v>5.1090822826225901E-2</v>
      </c>
      <c r="Q55" s="629">
        <f ca="1">'Revenue Projections &amp; Cases'!O25</f>
        <v>5.1148693296957815E-2</v>
      </c>
      <c r="T55" s="8" t="s">
        <v>644</v>
      </c>
    </row>
    <row r="56" spans="2:20" ht="5.0999999999999996" customHeight="1">
      <c r="B56" s="244"/>
      <c r="Q56" s="170"/>
    </row>
    <row r="57" spans="2:20">
      <c r="B57" s="244" t="s">
        <v>395</v>
      </c>
      <c r="Q57" s="170"/>
    </row>
    <row r="58" spans="2:20">
      <c r="B58" s="242" t="s">
        <v>351</v>
      </c>
      <c r="C58" s="314">
        <f>C27/C24</f>
        <v>0.38233247727810865</v>
      </c>
      <c r="D58" s="314">
        <f t="shared" ref="D58:H58" si="33">D27/D24</f>
        <v>0.41779359625167778</v>
      </c>
      <c r="E58" s="314">
        <f t="shared" si="33"/>
        <v>0.43309630561360085</v>
      </c>
      <c r="F58" s="314">
        <f t="shared" si="33"/>
        <v>0.44131129577207562</v>
      </c>
      <c r="G58" s="314">
        <f t="shared" si="33"/>
        <v>0.46206349815233932</v>
      </c>
      <c r="H58" s="314">
        <f t="shared" si="33"/>
        <v>0.46905164107160452</v>
      </c>
      <c r="L58" s="315">
        <f ca="1">'Revenue Projections &amp; Cases'!J55</f>
        <v>0.47258559687584206</v>
      </c>
      <c r="M58" s="315">
        <f ca="1">'Revenue Projections &amp; Cases'!K55</f>
        <v>0.47028688969221144</v>
      </c>
      <c r="N58" s="315">
        <f ca="1">'Revenue Projections &amp; Cases'!L55</f>
        <v>0.4761556036108609</v>
      </c>
      <c r="O58" s="315">
        <f ca="1">'Revenue Projections &amp; Cases'!M55</f>
        <v>0.47663906940186829</v>
      </c>
      <c r="P58" s="315">
        <f ca="1">'Revenue Projections &amp; Cases'!N55</f>
        <v>0.47294299324468508</v>
      </c>
      <c r="Q58" s="629">
        <f ca="1">'Revenue Projections &amp; Cases'!O55</f>
        <v>0.46269886945661493</v>
      </c>
      <c r="T58" s="8" t="s">
        <v>644</v>
      </c>
    </row>
    <row r="59" spans="2:20">
      <c r="B59" s="242" t="s">
        <v>396</v>
      </c>
      <c r="C59" s="314">
        <f>C31/C24</f>
        <v>0.24147314354406862</v>
      </c>
      <c r="D59" s="314">
        <f t="shared" ref="D59:H59" si="34">D31/D24</f>
        <v>0.29782377527561593</v>
      </c>
      <c r="E59" s="314">
        <f t="shared" si="34"/>
        <v>0.30288744395528594</v>
      </c>
      <c r="F59" s="314">
        <f t="shared" si="34"/>
        <v>0.29821412265024722</v>
      </c>
      <c r="G59" s="314">
        <f t="shared" si="34"/>
        <v>0.31510222870075566</v>
      </c>
      <c r="H59" s="314">
        <f t="shared" si="34"/>
        <v>0.31970799762591884</v>
      </c>
      <c r="L59" s="315">
        <f>'Street Consensus'!C276</f>
        <v>0.31858395537798723</v>
      </c>
      <c r="M59" s="315">
        <f>'Street Consensus'!D276</f>
        <v>0.32459975052355722</v>
      </c>
      <c r="N59" s="315">
        <f>'Street Consensus'!E276</f>
        <v>0.33515840981230094</v>
      </c>
      <c r="O59" s="315">
        <f>'Street Consensus'!F276</f>
        <v>0.3149462721738478</v>
      </c>
      <c r="P59" s="315">
        <f>'Street Consensus'!G276</f>
        <v>0.32075021930460845</v>
      </c>
      <c r="Q59" s="629">
        <f>'Street Consensus'!H276</f>
        <v>0.32180522553861646</v>
      </c>
      <c r="T59" s="8" t="s">
        <v>565</v>
      </c>
    </row>
    <row r="60" spans="2:20">
      <c r="B60" s="242" t="s">
        <v>343</v>
      </c>
      <c r="C60" s="314">
        <f>-C38/C36</f>
        <v>0.14428164731484103</v>
      </c>
      <c r="D60" s="314">
        <f t="shared" ref="D60:H60" si="35">-D38/D36</f>
        <v>0.13302260844085087</v>
      </c>
      <c r="E60" s="314">
        <f t="shared" si="35"/>
        <v>0.16204461684424407</v>
      </c>
      <c r="F60" s="314">
        <f t="shared" si="35"/>
        <v>0.14719174228036858</v>
      </c>
      <c r="G60" s="314">
        <f t="shared" si="35"/>
        <v>0.24091185164189982</v>
      </c>
      <c r="H60" s="314">
        <f t="shared" si="35"/>
        <v>0.15610002335586043</v>
      </c>
      <c r="L60" s="315">
        <f>'Street Consensus'!C334</f>
        <v>0.16055569617665158</v>
      </c>
      <c r="M60" s="315">
        <f>'Street Consensus'!D334</f>
        <v>0.16020550452503526</v>
      </c>
      <c r="N60" s="315">
        <f>'Street Consensus'!E334</f>
        <v>0.15915651487354573</v>
      </c>
      <c r="O60" s="315">
        <f>'Street Consensus'!F334</f>
        <v>0.16005058258541963</v>
      </c>
      <c r="P60" s="315">
        <f>'Street Consensus'!G334</f>
        <v>0.16085811676233475</v>
      </c>
      <c r="Q60" s="629">
        <f>'Street Consensus'!H334</f>
        <v>0.16133739820437823</v>
      </c>
      <c r="T60" s="8" t="s">
        <v>565</v>
      </c>
    </row>
    <row r="61" spans="2:20">
      <c r="B61" s="242" t="s">
        <v>397</v>
      </c>
      <c r="C61" s="314">
        <f>C42/C24</f>
        <v>0.2817478097736007</v>
      </c>
      <c r="D61" s="314">
        <f t="shared" ref="D61:H61" si="36">D42/D24</f>
        <v>0.32866979938056462</v>
      </c>
      <c r="E61" s="314">
        <f t="shared" si="36"/>
        <v>0.3310467428130896</v>
      </c>
      <c r="F61" s="314">
        <f t="shared" si="36"/>
        <v>0.32826747720364741</v>
      </c>
      <c r="G61" s="314">
        <f t="shared" si="36"/>
        <v>0.34437070850435381</v>
      </c>
      <c r="H61" s="314">
        <f t="shared" si="36"/>
        <v>0.34781731108873731</v>
      </c>
      <c r="L61" s="314">
        <f t="shared" ref="L61:Q61" ca="1" si="37">L42/L24</f>
        <v>0.34990090455167278</v>
      </c>
      <c r="M61" s="314">
        <f t="shared" ca="1" si="37"/>
        <v>0.34566782134163171</v>
      </c>
      <c r="N61" s="314">
        <f t="shared" ca="1" si="37"/>
        <v>0.35354632876177172</v>
      </c>
      <c r="O61" s="314">
        <f t="shared" ca="1" si="37"/>
        <v>0.36013247382651037</v>
      </c>
      <c r="P61" s="314">
        <f t="shared" ca="1" si="37"/>
        <v>0.36464770235998956</v>
      </c>
      <c r="Q61" s="630">
        <f t="shared" ca="1" si="37"/>
        <v>0.36098678528815747</v>
      </c>
    </row>
    <row r="62" spans="2:20">
      <c r="B62" s="242" t="s">
        <v>398</v>
      </c>
      <c r="C62" s="314">
        <f>C45/C24</f>
        <v>0.30662441032366172</v>
      </c>
      <c r="D62" s="314">
        <f t="shared" ref="D62:H62" si="38">D45/D24</f>
        <v>0.35028169822616229</v>
      </c>
      <c r="E62" s="314">
        <f t="shared" si="38"/>
        <v>0.35396674849363979</v>
      </c>
      <c r="F62" s="314">
        <f t="shared" si="38"/>
        <v>0.35653104087037063</v>
      </c>
      <c r="G62" s="314">
        <f t="shared" si="38"/>
        <v>0.37426061605738614</v>
      </c>
      <c r="H62" s="314">
        <f t="shared" si="38"/>
        <v>0.37872602190017807</v>
      </c>
      <c r="L62" s="314">
        <f t="shared" ref="L62:Q62" ca="1" si="39">L45/L24</f>
        <v>0.38080961536311358</v>
      </c>
      <c r="M62" s="314">
        <f t="shared" ca="1" si="39"/>
        <v>0.37657653215307246</v>
      </c>
      <c r="N62" s="314">
        <f t="shared" ca="1" si="39"/>
        <v>0.38445503957321253</v>
      </c>
      <c r="O62" s="314">
        <f t="shared" ca="1" si="39"/>
        <v>0.39104118463795112</v>
      </c>
      <c r="P62" s="314">
        <f t="shared" ca="1" si="39"/>
        <v>0.39555641317143031</v>
      </c>
      <c r="Q62" s="630">
        <f t="shared" ca="1" si="39"/>
        <v>0.39189549609959817</v>
      </c>
    </row>
    <row r="63" spans="2:20" ht="5.0999999999999996" customHeight="1">
      <c r="B63" s="242"/>
      <c r="C63" s="314"/>
      <c r="D63" s="314"/>
      <c r="E63" s="314"/>
      <c r="F63" s="314"/>
      <c r="G63" s="314"/>
      <c r="H63" s="314"/>
      <c r="Q63" s="170"/>
    </row>
    <row r="64" spans="2:20">
      <c r="B64" s="244" t="s">
        <v>364</v>
      </c>
      <c r="Q64" s="170"/>
    </row>
    <row r="65" spans="1:20">
      <c r="B65" s="242" t="s">
        <v>340</v>
      </c>
      <c r="C65" s="314" t="s">
        <v>47</v>
      </c>
      <c r="D65" s="314">
        <f>SUM(D26/C26)-1</f>
        <v>0.25608785142634716</v>
      </c>
      <c r="E65" s="314">
        <f t="shared" ref="E65:H65" si="40">SUM(E26/D26)-1</f>
        <v>4.960536385874792E-2</v>
      </c>
      <c r="F65" s="314">
        <f t="shared" si="40"/>
        <v>-4.208977123276636E-2</v>
      </c>
      <c r="G65" s="314">
        <f t="shared" si="40"/>
        <v>-1.7675600199872021E-2</v>
      </c>
      <c r="H65" s="314">
        <f t="shared" si="40"/>
        <v>5.0429755837833712E-2</v>
      </c>
      <c r="L65" s="314">
        <f ca="1">SUM(L26/H26)-1</f>
        <v>9.9218593387025322E-2</v>
      </c>
      <c r="M65" s="314">
        <f ca="1">SUM(M26/L26)-1</f>
        <v>7.0116552863573656E-2</v>
      </c>
      <c r="N65" s="314">
        <f t="shared" ref="N65:Q65" ca="1" si="41">SUM(N26/M26)-1</f>
        <v>6.3379873393216934E-2</v>
      </c>
      <c r="O65" s="314">
        <f t="shared" ca="1" si="41"/>
        <v>6.4118947783766478E-2</v>
      </c>
      <c r="P65" s="314">
        <f t="shared" ca="1" si="41"/>
        <v>5.819314078245319E-2</v>
      </c>
      <c r="Q65" s="630">
        <f t="shared" ca="1" si="41"/>
        <v>7.7531254688178786E-2</v>
      </c>
    </row>
    <row r="66" spans="1:20">
      <c r="B66" s="242" t="s">
        <v>645</v>
      </c>
      <c r="C66" s="314" t="s">
        <v>47</v>
      </c>
      <c r="D66" s="314">
        <f>SUM(D29/C29)-1</f>
        <v>0.16862201365187723</v>
      </c>
      <c r="E66" s="314">
        <f t="shared" ref="E66:H66" si="42">SUM(E29/D29)-1</f>
        <v>0.19791001186456136</v>
      </c>
      <c r="F66" s="314">
        <f t="shared" si="42"/>
        <v>0.1395756352138966</v>
      </c>
      <c r="G66" s="314">
        <f t="shared" si="42"/>
        <v>4.8637807120173848E-2</v>
      </c>
      <c r="H66" s="314">
        <f t="shared" si="42"/>
        <v>0.10137073637233018</v>
      </c>
      <c r="L66" s="314">
        <f ca="1">SUM(L29/H29)-1</f>
        <v>0.1317403420549732</v>
      </c>
      <c r="M66" s="314">
        <f ca="1">SUM(M29/L29)-1</f>
        <v>8.0812347928852057E-2</v>
      </c>
      <c r="N66" s="314">
        <f t="shared" ref="N66:Q66" ca="1" si="43">SUM(N29/M29)-1</f>
        <v>5.7767765914416014E-2</v>
      </c>
      <c r="O66" s="314">
        <f t="shared" ca="1" si="43"/>
        <v>4.4460518730836007E-2</v>
      </c>
      <c r="P66" s="314">
        <f t="shared" ca="1" si="43"/>
        <v>1.7091774101489321E-2</v>
      </c>
      <c r="Q66" s="630">
        <f t="shared" ca="1" si="43"/>
        <v>3.8523427952313005E-2</v>
      </c>
    </row>
    <row r="67" spans="1:20">
      <c r="B67" s="242" t="s">
        <v>646</v>
      </c>
      <c r="C67" s="314" t="s">
        <v>47</v>
      </c>
      <c r="D67" s="314">
        <f>SUM(D30/C30)-1</f>
        <v>0.10328379192608961</v>
      </c>
      <c r="E67" s="314">
        <f t="shared" ref="E67:H67" si="44">SUM(E30/D30)-1</f>
        <v>0.14203795567287125</v>
      </c>
      <c r="F67" s="314">
        <f t="shared" si="44"/>
        <v>-6.4557264684784732E-3</v>
      </c>
      <c r="G67" s="314">
        <f t="shared" si="44"/>
        <v>4.6727097705759668E-2</v>
      </c>
      <c r="H67" s="314">
        <f t="shared" si="44"/>
        <v>5.7631145342376566E-2</v>
      </c>
      <c r="L67" s="314">
        <f ca="1">SUM(L30/H30)-1</f>
        <v>0.11014642587835399</v>
      </c>
      <c r="M67" s="314">
        <f t="shared" ref="M67:Q67" ca="1" si="45">SUM(M30/L30)-1</f>
        <v>6.0481662165344563E-2</v>
      </c>
      <c r="N67" s="314">
        <f t="shared" ca="1" si="45"/>
        <v>7.5453438480138191E-2</v>
      </c>
      <c r="O67" s="314">
        <f t="shared" ca="1" si="45"/>
        <v>2.1578049749392925E-2</v>
      </c>
      <c r="P67" s="314">
        <f t="shared" ca="1" si="45"/>
        <v>1.1371411513101393E-3</v>
      </c>
      <c r="Q67" s="630">
        <f t="shared" ca="1" si="45"/>
        <v>1.2032053107899898E-2</v>
      </c>
    </row>
    <row r="68" spans="1:20" ht="5.0999999999999996" customHeight="1">
      <c r="B68" s="242"/>
      <c r="C68" s="314"/>
      <c r="D68" s="314"/>
      <c r="E68" s="314"/>
      <c r="F68" s="314"/>
      <c r="G68" s="314"/>
      <c r="H68" s="314"/>
      <c r="Q68" s="170"/>
    </row>
    <row r="69" spans="1:20">
      <c r="B69" s="244" t="s">
        <v>399</v>
      </c>
      <c r="C69" s="314"/>
      <c r="D69" s="314"/>
      <c r="E69" s="314"/>
      <c r="F69" s="314"/>
      <c r="G69" s="314"/>
      <c r="H69" s="314"/>
      <c r="Q69" s="170"/>
    </row>
    <row r="70" spans="1:20">
      <c r="B70" s="242" t="s">
        <v>400</v>
      </c>
      <c r="C70" s="314">
        <f t="shared" ref="C70:H70" si="46">-C29/C24</f>
        <v>6.8309564140393061E-2</v>
      </c>
      <c r="D70" s="314">
        <f t="shared" si="46"/>
        <v>5.9904269074427925E-2</v>
      </c>
      <c r="E70" s="314">
        <f t="shared" si="46"/>
        <v>6.657148363798665E-2</v>
      </c>
      <c r="F70" s="314">
        <f t="shared" si="46"/>
        <v>7.8048971392045086E-2</v>
      </c>
      <c r="G70" s="314">
        <f t="shared" si="46"/>
        <v>8.0222997941360744E-2</v>
      </c>
      <c r="H70" s="314">
        <f t="shared" si="46"/>
        <v>8.3020753987038676E-2</v>
      </c>
      <c r="L70" s="315">
        <f ca="1">'Revenue Projections &amp; Cases'!J56</f>
        <v>8.4908096993009136E-2</v>
      </c>
      <c r="M70" s="315">
        <f ca="1">'Revenue Projections &amp; Cases'!K56</f>
        <v>8.6130518015133661E-2</v>
      </c>
      <c r="N70" s="315">
        <f ca="1">'Revenue Projections &amp; Cases'!L56</f>
        <v>8.4726746953083271E-2</v>
      </c>
      <c r="O70" s="315">
        <f ca="1">'Revenue Projections &amp; Cases'!M56</f>
        <v>8.3084762025383826E-2</v>
      </c>
      <c r="P70" s="315">
        <f ca="1">'Revenue Projections &amp; Cases'!N56</f>
        <v>8.0421630206885253E-2</v>
      </c>
      <c r="Q70" s="629">
        <f ca="1">'Revenue Projections &amp; Cases'!O56</f>
        <v>7.9016803598236582E-2</v>
      </c>
      <c r="T70" s="8" t="s">
        <v>644</v>
      </c>
    </row>
    <row r="71" spans="1:20">
      <c r="B71" s="242" t="s">
        <v>410</v>
      </c>
      <c r="C71" s="314">
        <f t="shared" ref="C71:H71" si="47">-C30/C24</f>
        <v>7.2549769593646979E-2</v>
      </c>
      <c r="D71" s="314">
        <f t="shared" si="47"/>
        <v>6.006555190163388E-2</v>
      </c>
      <c r="E71" s="314">
        <f t="shared" si="47"/>
        <v>6.3637378020328261E-2</v>
      </c>
      <c r="F71" s="314">
        <f t="shared" si="47"/>
        <v>6.5048201729783317E-2</v>
      </c>
      <c r="G71" s="314">
        <f t="shared" si="47"/>
        <v>6.6738271510222866E-2</v>
      </c>
      <c r="H71" s="314">
        <f t="shared" si="47"/>
        <v>6.6322889458647019E-2</v>
      </c>
      <c r="L71" s="315">
        <f ca="1">'Revenue Projections &amp; Cases'!J57</f>
        <v>6.653640634015312E-2</v>
      </c>
      <c r="M71" s="315">
        <f ca="1">'Revenue Projections &amp; Cases'!K57</f>
        <v>6.622472415061767E-2</v>
      </c>
      <c r="N71" s="315">
        <f ca="1">'Revenue Projections &amp; Cases'!L57</f>
        <v>6.6234599570233074E-2</v>
      </c>
      <c r="O71" s="315">
        <f ca="1">'Revenue Projections &amp; Cases'!M57</f>
        <v>6.3528015356820497E-2</v>
      </c>
      <c r="P71" s="315">
        <f ca="1">'Revenue Projections &amp; Cases'!N57</f>
        <v>6.0527148136317002E-2</v>
      </c>
      <c r="Q71" s="629">
        <f ca="1">'Revenue Projections &amp; Cases'!O57</f>
        <v>5.7952845717747704E-2</v>
      </c>
      <c r="T71" s="8" t="s">
        <v>644</v>
      </c>
    </row>
    <row r="72" spans="1:20">
      <c r="B72" s="242" t="s">
        <v>401</v>
      </c>
      <c r="C72" s="314">
        <f t="shared" ref="C72:H72" si="48">C41/C24</f>
        <v>4.0274666229532081E-2</v>
      </c>
      <c r="D72" s="314">
        <f t="shared" si="48"/>
        <v>3.084602410494865E-2</v>
      </c>
      <c r="E72" s="314">
        <f t="shared" si="48"/>
        <v>2.8159298857803657E-2</v>
      </c>
      <c r="F72" s="314">
        <f t="shared" si="48"/>
        <v>3.0053354553400212E-2</v>
      </c>
      <c r="G72" s="314">
        <f t="shared" si="48"/>
        <v>2.9268479803598143E-2</v>
      </c>
      <c r="H72" s="314">
        <f t="shared" si="48"/>
        <v>2.8109313462818475E-2</v>
      </c>
      <c r="L72" s="314">
        <f t="shared" ref="L72:Q72" ca="1" si="49">L41/L24</f>
        <v>2.8759811008992903E-2</v>
      </c>
      <c r="M72" s="314">
        <f t="shared" ca="1" si="49"/>
        <v>2.7736173815171541E-2</v>
      </c>
      <c r="N72" s="314">
        <f t="shared" ca="1" si="49"/>
        <v>2.8352071674227156E-2</v>
      </c>
      <c r="O72" s="314">
        <f t="shared" ca="1" si="49"/>
        <v>3.0106181806846377E-2</v>
      </c>
      <c r="P72" s="314">
        <f t="shared" ca="1" si="49"/>
        <v>3.2653487458506693E-2</v>
      </c>
      <c r="Q72" s="630">
        <f t="shared" ca="1" si="49"/>
        <v>3.5257565147526738E-2</v>
      </c>
    </row>
    <row r="73" spans="1:20">
      <c r="B73" s="316" t="s">
        <v>402</v>
      </c>
      <c r="C73" s="317">
        <f t="shared" ref="C73:H73" si="50">C44/C24</f>
        <v>2.4876600550061016E-2</v>
      </c>
      <c r="D73" s="317">
        <f t="shared" si="50"/>
        <v>2.1611898845597662E-2</v>
      </c>
      <c r="E73" s="317">
        <f t="shared" si="50"/>
        <v>2.2920005680550203E-2</v>
      </c>
      <c r="F73" s="317">
        <f t="shared" si="50"/>
        <v>2.8263563666723196E-2</v>
      </c>
      <c r="G73" s="317">
        <f t="shared" si="50"/>
        <v>2.9889907553032339E-2</v>
      </c>
      <c r="H73" s="317">
        <f t="shared" si="50"/>
        <v>3.0908710811440764E-2</v>
      </c>
      <c r="I73" s="167"/>
      <c r="J73" s="167"/>
      <c r="K73" s="167"/>
      <c r="L73" s="317">
        <f t="shared" ref="L73:Q73" ca="1" si="51">L44/L24</f>
        <v>3.0908710811440761E-2</v>
      </c>
      <c r="M73" s="317">
        <f t="shared" ca="1" si="51"/>
        <v>3.0908710811440761E-2</v>
      </c>
      <c r="N73" s="317">
        <f t="shared" ca="1" si="51"/>
        <v>3.0908710811440764E-2</v>
      </c>
      <c r="O73" s="317">
        <f t="shared" ca="1" si="51"/>
        <v>3.0908710811440768E-2</v>
      </c>
      <c r="P73" s="317">
        <f t="shared" ca="1" si="51"/>
        <v>3.0908710811440768E-2</v>
      </c>
      <c r="Q73" s="631">
        <f t="shared" ca="1" si="51"/>
        <v>3.0908710811440768E-2</v>
      </c>
    </row>
    <row r="75" spans="1:20">
      <c r="A75" s="178" t="s">
        <v>24</v>
      </c>
      <c r="B75" s="198" t="s">
        <v>317</v>
      </c>
      <c r="C75" s="204" t="s">
        <v>315</v>
      </c>
      <c r="D75" s="204"/>
      <c r="E75" s="204"/>
      <c r="F75" s="204"/>
      <c r="G75" s="204"/>
      <c r="H75" s="204"/>
      <c r="I75" s="202"/>
      <c r="J75" s="204" t="s">
        <v>332</v>
      </c>
      <c r="K75" s="201">
        <f>K22</f>
        <v>0</v>
      </c>
      <c r="L75" s="204" t="s">
        <v>156</v>
      </c>
      <c r="M75" s="204"/>
      <c r="N75" s="204"/>
      <c r="O75" s="204"/>
      <c r="P75" s="204"/>
      <c r="Q75" s="204"/>
      <c r="R75" s="202"/>
      <c r="S75" s="204" t="s">
        <v>332</v>
      </c>
    </row>
    <row r="76" spans="1:20">
      <c r="B76" s="199" t="str">
        <f t="shared" ref="B76:H77" si="52">B16</f>
        <v xml:space="preserve">Fiscal year  </v>
      </c>
      <c r="C76" s="200">
        <f t="shared" si="52"/>
        <v>2020</v>
      </c>
      <c r="D76" s="200">
        <f t="shared" si="52"/>
        <v>2021</v>
      </c>
      <c r="E76" s="200">
        <f t="shared" si="52"/>
        <v>2022</v>
      </c>
      <c r="F76" s="200">
        <f t="shared" si="52"/>
        <v>2023</v>
      </c>
      <c r="G76" s="200">
        <f t="shared" si="52"/>
        <v>2024</v>
      </c>
      <c r="H76" s="200">
        <f t="shared" si="52"/>
        <v>2025</v>
      </c>
      <c r="I76" s="201"/>
      <c r="J76" s="201" t="str">
        <f>J16</f>
        <v>6-Year(A)</v>
      </c>
      <c r="K76" s="201"/>
      <c r="L76" s="201">
        <f t="shared" ref="L76:Q77" si="53">L16</f>
        <v>2026</v>
      </c>
      <c r="M76" s="201">
        <f t="shared" si="53"/>
        <v>2027</v>
      </c>
      <c r="N76" s="201">
        <f t="shared" si="53"/>
        <v>2028</v>
      </c>
      <c r="O76" s="201">
        <f t="shared" si="53"/>
        <v>2029</v>
      </c>
      <c r="P76" s="201">
        <f t="shared" si="53"/>
        <v>2030</v>
      </c>
      <c r="Q76" s="201">
        <f t="shared" si="53"/>
        <v>2031</v>
      </c>
      <c r="R76" s="202"/>
      <c r="S76" s="201" t="str">
        <f>S16</f>
        <v>6-Year(F)</v>
      </c>
    </row>
    <row r="77" spans="1:20">
      <c r="B77" s="199" t="str">
        <f t="shared" si="52"/>
        <v>Fiscal year end date</v>
      </c>
      <c r="C77" s="202">
        <f t="shared" si="52"/>
        <v>44104</v>
      </c>
      <c r="D77" s="202">
        <f t="shared" si="52"/>
        <v>44469</v>
      </c>
      <c r="E77" s="202">
        <f t="shared" si="52"/>
        <v>44834</v>
      </c>
      <c r="F77" s="202">
        <f t="shared" si="52"/>
        <v>45192</v>
      </c>
      <c r="G77" s="202">
        <f t="shared" si="52"/>
        <v>45559</v>
      </c>
      <c r="H77" s="202">
        <f t="shared" si="52"/>
        <v>45927</v>
      </c>
      <c r="I77" s="202"/>
      <c r="J77" s="202">
        <f>J17</f>
        <v>45927</v>
      </c>
      <c r="K77" s="202"/>
      <c r="L77" s="202">
        <f t="shared" si="53"/>
        <v>46295</v>
      </c>
      <c r="M77" s="202">
        <f t="shared" si="53"/>
        <v>46660</v>
      </c>
      <c r="N77" s="202">
        <f t="shared" si="53"/>
        <v>47026</v>
      </c>
      <c r="O77" s="202">
        <f t="shared" si="53"/>
        <v>47391</v>
      </c>
      <c r="P77" s="202">
        <f t="shared" si="53"/>
        <v>47756</v>
      </c>
      <c r="Q77" s="202">
        <f t="shared" si="53"/>
        <v>48121</v>
      </c>
      <c r="R77" s="202"/>
      <c r="S77" s="202">
        <f>S17</f>
        <v>48121</v>
      </c>
    </row>
    <row r="78" spans="1:20" ht="5.0999999999999996" customHeight="1"/>
    <row r="79" spans="1:20">
      <c r="B79" s="318" t="s">
        <v>29</v>
      </c>
    </row>
    <row r="80" spans="1:20">
      <c r="B80" s="8" t="s">
        <v>135</v>
      </c>
      <c r="C80" s="131">
        <f>SUM('Historical Financials'!G39+'Historical Financials'!G40+'Historical Financials'!G47)</f>
        <v>191830</v>
      </c>
      <c r="D80" s="131">
        <f>SUM('Historical Financials'!H39+'Historical Financials'!H40+'Historical Financials'!H47)</f>
        <v>190516</v>
      </c>
      <c r="E80" s="131">
        <f>SUM('Historical Financials'!I39+'Historical Financials'!I40+'Historical Financials'!I47)</f>
        <v>169109</v>
      </c>
      <c r="F80" s="131">
        <f>SUM('Historical Financials'!J39+'Historical Financials'!J40+'Historical Financials'!J47)</f>
        <v>162099</v>
      </c>
      <c r="G80" s="131">
        <f>SUM('Historical Financials'!K39+'Historical Financials'!K40+'Historical Financials'!K47)</f>
        <v>156650</v>
      </c>
      <c r="H80" s="131">
        <f>SUM('Historical Financials'!L39+'Historical Financials'!L40+'Historical Financials'!L47)</f>
        <v>132420</v>
      </c>
      <c r="J80" s="237">
        <f t="shared" ref="J80:J86" si="54">((H80/C80)^(1/COUNT(D80:H80))-1)</f>
        <v>-7.1445473667284265E-2</v>
      </c>
      <c r="L80" s="11">
        <f ca="1">H80+L127</f>
        <v>177612.10196534728</v>
      </c>
      <c r="M80" s="11">
        <f ca="1">+L80+M127</f>
        <v>210242.55572116369</v>
      </c>
      <c r="N80" s="11">
        <f t="shared" ref="N80:Q80" ca="1" si="55">+M80+N127</f>
        <v>255152.36871781293</v>
      </c>
      <c r="O80" s="11">
        <f t="shared" ca="1" si="55"/>
        <v>313396.00481596589</v>
      </c>
      <c r="P80" s="11">
        <f t="shared" ca="1" si="55"/>
        <v>382797.34756259131</v>
      </c>
      <c r="Q80" s="11">
        <f t="shared" ca="1" si="55"/>
        <v>462334.27285650233</v>
      </c>
      <c r="S80" s="237">
        <f t="shared" ref="S80:S86" ca="1" si="56">((Q80/L80)^(1/COUNT(M80:Q80))-1)</f>
        <v>0.2108677347773753</v>
      </c>
      <c r="T80" s="33" t="s">
        <v>647</v>
      </c>
    </row>
    <row r="81" spans="2:20">
      <c r="B81" s="8" t="s">
        <v>14</v>
      </c>
      <c r="C81" s="131">
        <f>'Historical Financials'!G41</f>
        <v>16120</v>
      </c>
      <c r="D81" s="131">
        <f>'Historical Financials'!H41</f>
        <v>26278</v>
      </c>
      <c r="E81" s="131">
        <f>'Historical Financials'!I41</f>
        <v>28184</v>
      </c>
      <c r="F81" s="131">
        <f>'Historical Financials'!J41</f>
        <v>29508</v>
      </c>
      <c r="G81" s="131">
        <f>'Historical Financials'!K41</f>
        <v>66243</v>
      </c>
      <c r="H81" s="131">
        <f>'Historical Financials'!L41</f>
        <v>39777</v>
      </c>
      <c r="J81" s="237">
        <f t="shared" si="54"/>
        <v>0.19799056465047493</v>
      </c>
      <c r="L81" s="11">
        <f ca="1">H81*L50+H81</f>
        <v>44016.589384437582</v>
      </c>
      <c r="M81" s="11">
        <f ca="1">L81*M50+L81</f>
        <v>46898.476424972985</v>
      </c>
      <c r="N81" s="11">
        <f ca="1">M81*N50+M81</f>
        <v>50429.607676186963</v>
      </c>
      <c r="O81" s="11">
        <f ca="1">N81*O50+N81</f>
        <v>53712.673488494991</v>
      </c>
      <c r="P81" s="11">
        <f ca="1">O81*P50+O81</f>
        <v>56439.793913439709</v>
      </c>
      <c r="Q81" s="11">
        <f ca="1">P81*Q50+P81</f>
        <v>59656.137662685025</v>
      </c>
      <c r="S81" s="237">
        <f t="shared" ca="1" si="56"/>
        <v>6.2692826063909246E-2</v>
      </c>
      <c r="T81" s="8" t="s">
        <v>639</v>
      </c>
    </row>
    <row r="82" spans="2:20">
      <c r="B82" s="8" t="s">
        <v>15</v>
      </c>
      <c r="C82" s="131">
        <f>'Historical Financials'!G42</f>
        <v>4061</v>
      </c>
      <c r="D82" s="131">
        <f>'Historical Financials'!H42</f>
        <v>6580</v>
      </c>
      <c r="E82" s="131">
        <f>'Historical Financials'!I42</f>
        <v>4946</v>
      </c>
      <c r="F82" s="131">
        <f>'Historical Financials'!J42</f>
        <v>6331</v>
      </c>
      <c r="G82" s="131">
        <f>'Historical Financials'!K42</f>
        <v>7286</v>
      </c>
      <c r="H82" s="131">
        <f>'Historical Financials'!L42</f>
        <v>5718</v>
      </c>
      <c r="J82" s="237">
        <f t="shared" si="54"/>
        <v>7.0834198016568317E-2</v>
      </c>
      <c r="L82" s="11">
        <f ca="1">H82*L26/H26</f>
        <v>6285.3319169870101</v>
      </c>
      <c r="M82" s="11">
        <f ca="1">L82*M26/L26</f>
        <v>6726.0377246095359</v>
      </c>
      <c r="N82" s="11">
        <f ca="1">M82*N26/M26</f>
        <v>7152.3331440332886</v>
      </c>
      <c r="O82" s="11">
        <f ca="1">N82*O26/N26</f>
        <v>7610.9332194276612</v>
      </c>
      <c r="P82" s="11">
        <f ca="1">O82*P26/O26</f>
        <v>8053.8373277516657</v>
      </c>
      <c r="Q82" s="11">
        <f ca="1">P82*Q26/P26</f>
        <v>8678.2614408267418</v>
      </c>
      <c r="S82" s="237">
        <f t="shared" ca="1" si="56"/>
        <v>6.6647457551711975E-2</v>
      </c>
      <c r="T82" s="8" t="s">
        <v>641</v>
      </c>
    </row>
    <row r="83" spans="2:20">
      <c r="B83" s="8" t="s">
        <v>20</v>
      </c>
      <c r="C83" s="131">
        <f>'Historical Financials'!G43</f>
        <v>32589</v>
      </c>
      <c r="D83" s="131">
        <f>'Historical Financials'!H43</f>
        <v>39339</v>
      </c>
      <c r="E83" s="131">
        <f>'Historical Financials'!I43</f>
        <v>53971</v>
      </c>
      <c r="F83" s="131">
        <f>'Historical Financials'!J43</f>
        <v>46172</v>
      </c>
      <c r="G83" s="131">
        <f>'Historical Financials'!K43</f>
        <v>14287</v>
      </c>
      <c r="H83" s="131">
        <f>'Historical Financials'!L43</f>
        <v>47765</v>
      </c>
      <c r="J83" s="237">
        <f t="shared" si="54"/>
        <v>7.9462971785540626E-2</v>
      </c>
      <c r="L83" s="11">
        <f ca="1">SUM(H83*L50)+H83</f>
        <v>52855.981897771599</v>
      </c>
      <c r="M83" s="11">
        <f ca="1">L83*M50+L83</f>
        <v>56316.608251975624</v>
      </c>
      <c r="N83" s="11">
        <f ca="1">M83*N50+M83</f>
        <v>60556.859759485887</v>
      </c>
      <c r="O83" s="11">
        <f ca="1">N83*O50+N83</f>
        <v>64499.22943354107</v>
      </c>
      <c r="P83" s="11">
        <f ca="1">O83*P50+O83</f>
        <v>67774.009007100773</v>
      </c>
      <c r="Q83" s="11">
        <f ca="1">P83*Q50+P83</f>
        <v>71636.257522139669</v>
      </c>
      <c r="S83" s="237">
        <f t="shared" ca="1" si="56"/>
        <v>6.2692826063909246E-2</v>
      </c>
      <c r="T83" s="8" t="s">
        <v>639</v>
      </c>
    </row>
    <row r="84" spans="2:20">
      <c r="B84" s="8" t="s">
        <v>136</v>
      </c>
      <c r="C84" s="131">
        <f>'Historical Financials'!G46</f>
        <v>36766</v>
      </c>
      <c r="D84" s="131">
        <f>'Historical Financials'!H46</f>
        <v>39440</v>
      </c>
      <c r="E84" s="131">
        <f>'Historical Financials'!I46</f>
        <v>42117</v>
      </c>
      <c r="F84" s="131">
        <f>'Historical Financials'!J46</f>
        <v>43715</v>
      </c>
      <c r="G84" s="131">
        <f>'Historical Financials'!K46</f>
        <v>45680</v>
      </c>
      <c r="H84" s="131">
        <f>'Historical Financials'!L46</f>
        <v>49834</v>
      </c>
      <c r="J84" s="237">
        <f t="shared" si="54"/>
        <v>6.2712705707872241E-2</v>
      </c>
      <c r="L84" s="11">
        <f>L137</f>
        <v>54467.5</v>
      </c>
      <c r="M84" s="11">
        <f t="shared" ref="M84:Q84" si="57">M137</f>
        <v>60277.916666666664</v>
      </c>
      <c r="N84" s="11">
        <f t="shared" si="57"/>
        <v>65620.444444444438</v>
      </c>
      <c r="O84" s="11">
        <f t="shared" si="57"/>
        <v>69689.997307400292</v>
      </c>
      <c r="P84" s="11">
        <f t="shared" si="57"/>
        <v>72052.986132414138</v>
      </c>
      <c r="Q84" s="11">
        <f t="shared" si="57"/>
        <v>72397.552852515437</v>
      </c>
      <c r="S84" s="237">
        <f t="shared" si="56"/>
        <v>5.8564411040789022E-2</v>
      </c>
      <c r="T84" s="8" t="s">
        <v>640</v>
      </c>
    </row>
    <row r="85" spans="2:20">
      <c r="B85" s="8" t="s">
        <v>137</v>
      </c>
      <c r="C85" s="131">
        <f>'Historical Financials'!G48</f>
        <v>42522</v>
      </c>
      <c r="D85" s="131">
        <f>'Historical Financials'!H48</f>
        <v>48849</v>
      </c>
      <c r="E85" s="131">
        <f>'Historical Financials'!I48</f>
        <v>54428</v>
      </c>
      <c r="F85" s="131">
        <f>'Historical Financials'!J48</f>
        <v>64758</v>
      </c>
      <c r="G85" s="131">
        <f>'Historical Financials'!K48</f>
        <v>74834</v>
      </c>
      <c r="H85" s="131">
        <f>'Historical Financials'!L48</f>
        <v>83727</v>
      </c>
      <c r="J85" s="237">
        <f t="shared" si="54"/>
        <v>0.14511833775090399</v>
      </c>
      <c r="L85" s="11">
        <f ca="1">SUM(H85*L50)+H85</f>
        <v>92650.953550815932</v>
      </c>
      <c r="M85" s="11">
        <f ca="1">L85*M50+L85</f>
        <v>98717.066033982279</v>
      </c>
      <c r="N85" s="11">
        <f ca="1">M85*N50+M85</f>
        <v>106149.77906589501</v>
      </c>
      <c r="O85" s="11">
        <f ca="1">N85*O50+N85</f>
        <v>113060.33670641879</v>
      </c>
      <c r="P85" s="11">
        <f ca="1">O85*P50+O85</f>
        <v>118800.6794124888</v>
      </c>
      <c r="Q85" s="11">
        <f ca="1">P85*Q50+P85</f>
        <v>125570.79312375568</v>
      </c>
      <c r="S85" s="237">
        <f t="shared" ca="1" si="56"/>
        <v>6.2692826063909468E-2</v>
      </c>
      <c r="T85" s="8" t="s">
        <v>639</v>
      </c>
    </row>
    <row r="86" spans="2:20">
      <c r="B86" s="106" t="s">
        <v>29</v>
      </c>
      <c r="C86" s="372">
        <f t="shared" ref="C86:H86" si="58">SUM(C80:C85)</f>
        <v>323888</v>
      </c>
      <c r="D86" s="372">
        <f t="shared" si="58"/>
        <v>351002</v>
      </c>
      <c r="E86" s="372">
        <f t="shared" si="58"/>
        <v>352755</v>
      </c>
      <c r="F86" s="372">
        <f t="shared" si="58"/>
        <v>352583</v>
      </c>
      <c r="G86" s="372">
        <f t="shared" si="58"/>
        <v>364980</v>
      </c>
      <c r="H86" s="372">
        <f t="shared" si="58"/>
        <v>359241</v>
      </c>
      <c r="J86" s="238">
        <f t="shared" si="54"/>
        <v>2.0935270554216512E-2</v>
      </c>
      <c r="L86" s="372">
        <f t="shared" ref="L86:Q86" ca="1" si="59">SUM(L80:L85)</f>
        <v>427888.45871535939</v>
      </c>
      <c r="M86" s="372">
        <f t="shared" ca="1" si="59"/>
        <v>479178.6608233708</v>
      </c>
      <c r="N86" s="372">
        <f t="shared" ca="1" si="59"/>
        <v>545061.39280785853</v>
      </c>
      <c r="O86" s="372">
        <f t="shared" ca="1" si="59"/>
        <v>621969.17497124872</v>
      </c>
      <c r="P86" s="372">
        <f t="shared" ca="1" si="59"/>
        <v>705918.65335578646</v>
      </c>
      <c r="Q86" s="372">
        <f t="shared" ca="1" si="59"/>
        <v>800273.27545842493</v>
      </c>
      <c r="S86" s="238">
        <f t="shared" ca="1" si="56"/>
        <v>0.1333956678712942</v>
      </c>
    </row>
    <row r="87" spans="2:20">
      <c r="B87" s="39"/>
    </row>
    <row r="88" spans="2:20">
      <c r="B88" s="318" t="s">
        <v>23</v>
      </c>
    </row>
    <row r="89" spans="2:20">
      <c r="B89" s="8" t="s">
        <v>16</v>
      </c>
      <c r="C89" s="131">
        <f>'Historical Financials'!G51</f>
        <v>42296</v>
      </c>
      <c r="D89" s="131">
        <f>'Historical Financials'!H51</f>
        <v>54763</v>
      </c>
      <c r="E89" s="131">
        <f>'Historical Financials'!I51</f>
        <v>64115</v>
      </c>
      <c r="F89" s="131">
        <f>'Historical Financials'!J51</f>
        <v>62611</v>
      </c>
      <c r="G89" s="131">
        <f>'Historical Financials'!K51</f>
        <v>68960</v>
      </c>
      <c r="H89" s="131">
        <f>'Historical Financials'!L51</f>
        <v>69860</v>
      </c>
      <c r="J89" s="237">
        <f t="shared" ref="J89:J95" si="60">((H89/C89)^(1/COUNT(D89:H89))-1)</f>
        <v>0.10556901053026535</v>
      </c>
      <c r="L89" s="11">
        <f ca="1">H89*L26/H26</f>
        <v>76791.410934017593</v>
      </c>
      <c r="M89" s="11">
        <f ca="1">L89*M26/L26</f>
        <v>82175.759958241033</v>
      </c>
      <c r="N89" s="11">
        <f ca="1">M89*N26/M26</f>
        <v>87384.049220385728</v>
      </c>
      <c r="O89" s="11">
        <f ca="1">N89*O26/N26</f>
        <v>92987.022509481714</v>
      </c>
      <c r="P89" s="11">
        <f ca="1">O89*P26/O26</f>
        <v>98398.229401317134</v>
      </c>
      <c r="Q89" s="11">
        <f ca="1">P89*Q26/P26</f>
        <v>106027.1675858965</v>
      </c>
      <c r="S89" s="237">
        <f t="shared" ref="S89:S95" ca="1" si="61">((Q89/L89)^(1/COUNT(M89:Q89))-1)</f>
        <v>6.6647457551711975E-2</v>
      </c>
      <c r="T89" s="8" t="s">
        <v>641</v>
      </c>
    </row>
    <row r="90" spans="2:20">
      <c r="B90" s="8" t="s">
        <v>138</v>
      </c>
      <c r="C90" s="131">
        <f>'Historical Financials'!G53</f>
        <v>42684</v>
      </c>
      <c r="D90" s="131">
        <f>'Historical Financials'!H53</f>
        <v>47493</v>
      </c>
      <c r="E90" s="131">
        <f>'Historical Financials'!I53</f>
        <v>60845</v>
      </c>
      <c r="F90" s="131">
        <f>'Historical Financials'!J53</f>
        <v>58829</v>
      </c>
      <c r="G90" s="131">
        <f>'Historical Financials'!K53</f>
        <v>78304</v>
      </c>
      <c r="H90" s="131">
        <f>'Historical Financials'!L53</f>
        <v>66387</v>
      </c>
      <c r="J90" s="237">
        <f t="shared" si="60"/>
        <v>9.2354460615459821E-2</v>
      </c>
      <c r="L90" s="11">
        <f ca="1">H90*L50+H90</f>
        <v>73462.788029883042</v>
      </c>
      <c r="M90" s="11">
        <f ca="1">L90*M50+L90</f>
        <v>78272.598597799777</v>
      </c>
      <c r="N90" s="11">
        <f ca="1">M90*N50+M90</f>
        <v>84165.984483470951</v>
      </c>
      <c r="O90" s="11">
        <f ca="1">N90*O50+N90</f>
        <v>89645.354221804489</v>
      </c>
      <c r="P90" s="11">
        <f ca="1">O90*P50+O90</f>
        <v>94196.862471567045</v>
      </c>
      <c r="Q90" s="11">
        <f ca="1">P90*Q50+P90</f>
        <v>99564.874450377625</v>
      </c>
      <c r="S90" s="237">
        <f t="shared" ca="1" si="61"/>
        <v>6.2692826063909246E-2</v>
      </c>
      <c r="T90" s="8" t="s">
        <v>639</v>
      </c>
    </row>
    <row r="91" spans="2:20">
      <c r="B91" s="8" t="s">
        <v>139</v>
      </c>
      <c r="C91" s="131">
        <f>'Historical Financials'!G52</f>
        <v>6643</v>
      </c>
      <c r="D91" s="131">
        <f>'Historical Financials'!H52</f>
        <v>7612</v>
      </c>
      <c r="E91" s="131">
        <f>'Historical Financials'!I52</f>
        <v>7912</v>
      </c>
      <c r="F91" s="131">
        <f>'Historical Financials'!J52</f>
        <v>8061</v>
      </c>
      <c r="G91" s="131">
        <f>'Historical Financials'!K52</f>
        <v>8249</v>
      </c>
      <c r="H91" s="131">
        <f>'Historical Financials'!L52</f>
        <v>9055</v>
      </c>
      <c r="J91" s="237">
        <f t="shared" si="60"/>
        <v>6.3909876219189865E-2</v>
      </c>
      <c r="L91" s="11">
        <f ca="1">SUM(H91*L50)+H91</f>
        <v>10020.11757739604</v>
      </c>
      <c r="M91" s="11">
        <f ca="1">L91*M50+L91</f>
        <v>10676.162204996113</v>
      </c>
      <c r="N91" s="11">
        <f ca="1">M91*N50+M91</f>
        <v>11480.003456969429</v>
      </c>
      <c r="O91" s="11">
        <f ca="1">N91*O50+N91</f>
        <v>12227.374071406144</v>
      </c>
      <c r="P91" s="11">
        <f ca="1">O91*P50+O91</f>
        <v>12848.18698962206</v>
      </c>
      <c r="Q91" s="11">
        <f ca="1">P91*Q50+P91</f>
        <v>13580.368718998743</v>
      </c>
      <c r="S91" s="237">
        <f t="shared" ca="1" si="61"/>
        <v>6.2692826063909468E-2</v>
      </c>
      <c r="T91" s="8" t="s">
        <v>639</v>
      </c>
    </row>
    <row r="92" spans="2:20">
      <c r="B92" s="8" t="s">
        <v>140</v>
      </c>
      <c r="C92" s="131">
        <f>'Historical Financials'!G54</f>
        <v>4996</v>
      </c>
      <c r="D92" s="131">
        <f>'Historical Financials'!H54</f>
        <v>6000</v>
      </c>
      <c r="E92" s="131">
        <f>'Historical Financials'!I54</f>
        <v>9982</v>
      </c>
      <c r="F92" s="131">
        <f>'Historical Financials'!J54</f>
        <v>5985</v>
      </c>
      <c r="G92" s="131">
        <f>'Historical Financials'!K54</f>
        <v>9967</v>
      </c>
      <c r="H92" s="131">
        <f>'Historical Financials'!L54</f>
        <v>7979</v>
      </c>
      <c r="J92" s="237">
        <f t="shared" si="60"/>
        <v>9.8158954169244694E-2</v>
      </c>
      <c r="L92" s="11">
        <f ca="1">L189</f>
        <v>25000</v>
      </c>
      <c r="M92" s="11">
        <f t="shared" ref="M92:Q92" ca="1" si="62">M189</f>
        <v>25000</v>
      </c>
      <c r="N92" s="11">
        <f t="shared" ca="1" si="62"/>
        <v>25000</v>
      </c>
      <c r="O92" s="11">
        <f t="shared" ca="1" si="62"/>
        <v>25000</v>
      </c>
      <c r="P92" s="11">
        <f t="shared" ca="1" si="62"/>
        <v>25000</v>
      </c>
      <c r="Q92" s="11">
        <f t="shared" ca="1" si="62"/>
        <v>25000</v>
      </c>
      <c r="S92" s="237">
        <f t="shared" ca="1" si="61"/>
        <v>0</v>
      </c>
      <c r="T92" s="8" t="s">
        <v>642</v>
      </c>
    </row>
    <row r="93" spans="2:20">
      <c r="B93" s="8" t="s">
        <v>141</v>
      </c>
      <c r="C93" s="131">
        <f>'Historical Financials'!G55+'Historical Financials'!G58</f>
        <v>107440</v>
      </c>
      <c r="D93" s="131">
        <f>'Historical Financials'!H55+'Historical Financials'!H58</f>
        <v>118719</v>
      </c>
      <c r="E93" s="131">
        <f>'Historical Financials'!I55+'Historical Financials'!I58</f>
        <v>110087</v>
      </c>
      <c r="F93" s="131">
        <f>'Historical Financials'!J55+'Historical Financials'!J58</f>
        <v>105103</v>
      </c>
      <c r="G93" s="131">
        <f>'Historical Financials'!K55+'Historical Financials'!K58</f>
        <v>96662</v>
      </c>
      <c r="H93" s="131">
        <f>'Historical Financials'!L55+'Historical Financials'!L58</f>
        <v>90678</v>
      </c>
      <c r="J93" s="237">
        <f t="shared" si="60"/>
        <v>-3.335460440993665E-2</v>
      </c>
      <c r="L93" s="11">
        <f>H93</f>
        <v>90678</v>
      </c>
      <c r="M93" s="11">
        <f>L93</f>
        <v>90678</v>
      </c>
      <c r="N93" s="11">
        <f t="shared" ref="N93:Q93" si="63">M93</f>
        <v>90678</v>
      </c>
      <c r="O93" s="11">
        <f t="shared" si="63"/>
        <v>90678</v>
      </c>
      <c r="P93" s="11">
        <f t="shared" si="63"/>
        <v>90678</v>
      </c>
      <c r="Q93" s="11">
        <f t="shared" si="63"/>
        <v>90678</v>
      </c>
      <c r="S93" s="237">
        <f t="shared" si="61"/>
        <v>0</v>
      </c>
      <c r="T93" s="8" t="s">
        <v>643</v>
      </c>
    </row>
    <row r="94" spans="2:20">
      <c r="B94" s="8" t="s">
        <v>142</v>
      </c>
      <c r="C94" s="131">
        <f>'Historical Financials'!G59</f>
        <v>54490</v>
      </c>
      <c r="D94" s="131">
        <f>'Historical Financials'!H59</f>
        <v>53325</v>
      </c>
      <c r="E94" s="131">
        <f>'Historical Financials'!I59</f>
        <v>49142</v>
      </c>
      <c r="F94" s="131">
        <f>'Historical Financials'!J59</f>
        <v>49848</v>
      </c>
      <c r="G94" s="131">
        <f>'Historical Financials'!K59</f>
        <v>45888</v>
      </c>
      <c r="H94" s="131">
        <f>'Historical Financials'!L59</f>
        <v>41549</v>
      </c>
      <c r="J94" s="237">
        <f t="shared" si="60"/>
        <v>-5.2784592853975409E-2</v>
      </c>
      <c r="L94" s="11">
        <f ca="1">SUM(H94*L50)+H94</f>
        <v>45977.45612625379</v>
      </c>
      <c r="M94" s="11">
        <f ca="1">L94*M50+L94</f>
        <v>48987.726499766257</v>
      </c>
      <c r="N94" s="11">
        <f ca="1">M94*N50+M94</f>
        <v>52676.163846893731</v>
      </c>
      <c r="O94" s="11">
        <f ca="1">N94*O50+N94</f>
        <v>56105.484847360996</v>
      </c>
      <c r="P94" s="11">
        <f ca="1">O94*P50+O94</f>
        <v>58954.094006825719</v>
      </c>
      <c r="Q94" s="11">
        <f ca="1">P94*Q50+P94</f>
        <v>62313.720585939118</v>
      </c>
      <c r="S94" s="237">
        <f t="shared" ca="1" si="61"/>
        <v>6.2692826063909468E-2</v>
      </c>
      <c r="T94" s="8" t="s">
        <v>639</v>
      </c>
    </row>
    <row r="95" spans="2:20">
      <c r="B95" s="106" t="s">
        <v>23</v>
      </c>
      <c r="C95" s="372">
        <f t="shared" ref="C95:H95" si="64">SUM(C89:C94)</f>
        <v>258549</v>
      </c>
      <c r="D95" s="372">
        <f t="shared" si="64"/>
        <v>287912</v>
      </c>
      <c r="E95" s="372">
        <f t="shared" si="64"/>
        <v>302083</v>
      </c>
      <c r="F95" s="372">
        <f t="shared" si="64"/>
        <v>290437</v>
      </c>
      <c r="G95" s="372">
        <f t="shared" si="64"/>
        <v>308030</v>
      </c>
      <c r="H95" s="372">
        <f t="shared" si="64"/>
        <v>285508</v>
      </c>
      <c r="J95" s="238">
        <f t="shared" si="60"/>
        <v>2.003502375528976E-2</v>
      </c>
      <c r="L95" s="372">
        <f t="shared" ref="L95:Q95" ca="1" si="65">SUM(L89:L94)</f>
        <v>321929.77266755048</v>
      </c>
      <c r="M95" s="372">
        <f t="shared" ca="1" si="65"/>
        <v>335790.24726080312</v>
      </c>
      <c r="N95" s="372">
        <f t="shared" ca="1" si="65"/>
        <v>351384.20100771985</v>
      </c>
      <c r="O95" s="372">
        <f t="shared" ca="1" si="65"/>
        <v>366643.23565005336</v>
      </c>
      <c r="P95" s="372">
        <f t="shared" ca="1" si="65"/>
        <v>380075.37286933197</v>
      </c>
      <c r="Q95" s="372">
        <f t="shared" ca="1" si="65"/>
        <v>397164.13134121196</v>
      </c>
      <c r="S95" s="238">
        <f t="shared" ca="1" si="61"/>
        <v>4.2897857706818865E-2</v>
      </c>
    </row>
    <row r="96" spans="2:20">
      <c r="B96" s="39"/>
    </row>
    <row r="97" spans="1:20">
      <c r="B97" s="318" t="s">
        <v>403</v>
      </c>
    </row>
    <row r="98" spans="1:20">
      <c r="B98" s="8" t="s">
        <v>26</v>
      </c>
      <c r="C98" s="131">
        <f>'Historical Financials'!G62</f>
        <v>50779</v>
      </c>
      <c r="D98" s="131">
        <f>'Historical Financials'!H62</f>
        <v>57365</v>
      </c>
      <c r="E98" s="131">
        <f>'Historical Financials'!I62</f>
        <v>64849</v>
      </c>
      <c r="F98" s="131">
        <f>'Historical Financials'!J62</f>
        <v>73812</v>
      </c>
      <c r="G98" s="131">
        <f>'Historical Financials'!K62</f>
        <v>83276</v>
      </c>
      <c r="H98" s="131">
        <f>'Historical Financials'!L62</f>
        <v>93568</v>
      </c>
      <c r="J98" s="237">
        <f t="shared" ref="J98:J101" si="66">((H98/C98)^(1/COUNT(D98:H98))-1)</f>
        <v>0.13002653220881721</v>
      </c>
      <c r="L98" s="11">
        <f ca="1">H98+L44</f>
        <v>107801.98922120876</v>
      </c>
      <c r="M98" s="11">
        <f ca="1">L98+M44</f>
        <v>122967.91682395476</v>
      </c>
      <c r="N98" s="11">
        <f ca="1">M98+N44</f>
        <v>139275.73399314281</v>
      </c>
      <c r="O98" s="11">
        <f ca="1">N98+O44</f>
        <v>156645.22186509171</v>
      </c>
      <c r="P98" s="11">
        <f ca="1">O98+P44</f>
        <v>174896.60002605343</v>
      </c>
      <c r="Q98" s="11">
        <f ca="1">P98+Q44</f>
        <v>194188.07245371558</v>
      </c>
      <c r="S98" s="237">
        <f t="shared" ref="S98:S101" ca="1" si="67">((Q98/L98)^(1/COUNT(M98:Q98))-1)</f>
        <v>0.1249135685845344</v>
      </c>
      <c r="T98" s="8" t="s">
        <v>143</v>
      </c>
    </row>
    <row r="99" spans="1:20">
      <c r="B99" s="8" t="s">
        <v>144</v>
      </c>
      <c r="C99" s="131">
        <f>'Historical Financials'!G63</f>
        <v>14966</v>
      </c>
      <c r="D99" s="131">
        <f>'Historical Financials'!H63</f>
        <v>5562</v>
      </c>
      <c r="E99" s="131">
        <f>'Historical Financials'!I63</f>
        <v>-3068</v>
      </c>
      <c r="F99" s="131">
        <f>'Historical Financials'!J63</f>
        <v>-214</v>
      </c>
      <c r="G99" s="131">
        <f>'Historical Financials'!K63</f>
        <v>-19154</v>
      </c>
      <c r="H99" s="131">
        <f>'Historical Financials'!L63</f>
        <v>-14264</v>
      </c>
      <c r="J99" s="237">
        <f t="shared" si="66"/>
        <v>-1.9904375971219539</v>
      </c>
      <c r="L99" s="11">
        <f ca="1">L176</f>
        <v>3727.6968266001495</v>
      </c>
      <c r="M99" s="11">
        <f t="shared" ref="M99:Q99" ca="1" si="68">M176</f>
        <v>25991.496738612826</v>
      </c>
      <c r="N99" s="11">
        <f t="shared" ca="1" si="68"/>
        <v>59972.457806995779</v>
      </c>
      <c r="O99" s="11">
        <f t="shared" ca="1" si="68"/>
        <v>104251.71745610359</v>
      </c>
      <c r="P99" s="11">
        <f t="shared" ca="1" si="68"/>
        <v>156517.68046040097</v>
      </c>
      <c r="Q99" s="11">
        <f t="shared" ca="1" si="68"/>
        <v>214492.07166349731</v>
      </c>
      <c r="S99" s="237">
        <f t="shared" ca="1" si="67"/>
        <v>1.2490242176672539</v>
      </c>
      <c r="T99" s="8" t="s">
        <v>145</v>
      </c>
    </row>
    <row r="100" spans="1:20">
      <c r="B100" s="8" t="s">
        <v>146</v>
      </c>
      <c r="C100" s="131">
        <f>'Historical Financials'!G64</f>
        <v>-406</v>
      </c>
      <c r="D100" s="131">
        <f>'Historical Financials'!H64</f>
        <v>163</v>
      </c>
      <c r="E100" s="131">
        <f>'Historical Financials'!I64</f>
        <v>-11109</v>
      </c>
      <c r="F100" s="131">
        <f>'Historical Financials'!J64</f>
        <v>-11452</v>
      </c>
      <c r="G100" s="131">
        <f>'Historical Financials'!K64</f>
        <v>-7172</v>
      </c>
      <c r="H100" s="131">
        <f>'Historical Financials'!L64</f>
        <v>-5571</v>
      </c>
      <c r="J100" s="237">
        <f t="shared" si="66"/>
        <v>0.68842364309684734</v>
      </c>
      <c r="L100" s="11">
        <f>H100</f>
        <v>-5571</v>
      </c>
      <c r="M100" s="11">
        <f>L100</f>
        <v>-5571</v>
      </c>
      <c r="N100" s="11">
        <f t="shared" ref="N100" si="69">M100</f>
        <v>-5571</v>
      </c>
      <c r="O100" s="11">
        <f t="shared" ref="O100" si="70">N100</f>
        <v>-5571</v>
      </c>
      <c r="P100" s="11">
        <f t="shared" ref="P100" si="71">O100</f>
        <v>-5571</v>
      </c>
      <c r="Q100" s="11">
        <f t="shared" ref="Q100" si="72">P100</f>
        <v>-5571</v>
      </c>
      <c r="S100" s="237">
        <f t="shared" si="67"/>
        <v>0</v>
      </c>
      <c r="T100" s="8" t="s">
        <v>411</v>
      </c>
    </row>
    <row r="101" spans="1:20">
      <c r="B101" s="106" t="s">
        <v>404</v>
      </c>
      <c r="C101" s="372">
        <f t="shared" ref="C101:H101" si="73">SUM(C98:C100)</f>
        <v>65339</v>
      </c>
      <c r="D101" s="372">
        <f t="shared" si="73"/>
        <v>63090</v>
      </c>
      <c r="E101" s="372">
        <f t="shared" si="73"/>
        <v>50672</v>
      </c>
      <c r="F101" s="372">
        <f t="shared" si="73"/>
        <v>62146</v>
      </c>
      <c r="G101" s="372">
        <f t="shared" si="73"/>
        <v>56950</v>
      </c>
      <c r="H101" s="372">
        <f t="shared" si="73"/>
        <v>73733</v>
      </c>
      <c r="J101" s="238">
        <f t="shared" si="66"/>
        <v>2.4466789361763608E-2</v>
      </c>
      <c r="L101" s="372">
        <f t="shared" ref="L101:Q101" ca="1" si="74">SUM(L98:L100)</f>
        <v>105958.68604780891</v>
      </c>
      <c r="M101" s="372">
        <f t="shared" ca="1" si="74"/>
        <v>143388.41356256758</v>
      </c>
      <c r="N101" s="372">
        <f t="shared" ca="1" si="74"/>
        <v>193677.19180013859</v>
      </c>
      <c r="O101" s="372">
        <f t="shared" ca="1" si="74"/>
        <v>255325.9393211953</v>
      </c>
      <c r="P101" s="372">
        <f t="shared" ca="1" si="74"/>
        <v>325843.28048645437</v>
      </c>
      <c r="Q101" s="372">
        <f t="shared" ca="1" si="74"/>
        <v>403109.14411721285</v>
      </c>
      <c r="S101" s="238">
        <f t="shared" ca="1" si="67"/>
        <v>0.30634298396787241</v>
      </c>
    </row>
    <row r="102" spans="1:20" ht="5.0999999999999996" customHeight="1">
      <c r="B102" s="39"/>
    </row>
    <row r="103" spans="1:20">
      <c r="B103" s="265" t="s">
        <v>147</v>
      </c>
      <c r="C103" s="264">
        <f t="shared" ref="C103:H103" si="75">+C101+C95-C86</f>
        <v>0</v>
      </c>
      <c r="D103" s="264">
        <f t="shared" si="75"/>
        <v>0</v>
      </c>
      <c r="E103" s="264">
        <f t="shared" si="75"/>
        <v>0</v>
      </c>
      <c r="F103" s="264">
        <f t="shared" si="75"/>
        <v>0</v>
      </c>
      <c r="G103" s="264">
        <f t="shared" si="75"/>
        <v>0</v>
      </c>
      <c r="H103" s="264">
        <f t="shared" si="75"/>
        <v>0</v>
      </c>
      <c r="L103" s="264">
        <f t="shared" ref="L103:Q103" ca="1" si="76">+L101+L95-L86</f>
        <v>0</v>
      </c>
      <c r="M103" s="264">
        <f t="shared" ca="1" si="76"/>
        <v>0</v>
      </c>
      <c r="N103" s="264">
        <f t="shared" ca="1" si="76"/>
        <v>0</v>
      </c>
      <c r="O103" s="264">
        <f t="shared" ca="1" si="76"/>
        <v>0</v>
      </c>
      <c r="P103" s="264">
        <f t="shared" ca="1" si="76"/>
        <v>0</v>
      </c>
      <c r="Q103" s="264">
        <f t="shared" ca="1" si="76"/>
        <v>0</v>
      </c>
    </row>
    <row r="104" spans="1:20">
      <c r="B104" s="39"/>
      <c r="L104" s="72"/>
    </row>
    <row r="105" spans="1:20">
      <c r="A105" s="8" t="s">
        <v>24</v>
      </c>
      <c r="B105" s="212" t="s">
        <v>19</v>
      </c>
      <c r="C105" s="213" t="s">
        <v>315</v>
      </c>
      <c r="D105" s="213"/>
      <c r="E105" s="213"/>
      <c r="F105" s="213"/>
      <c r="G105" s="213"/>
      <c r="H105" s="213"/>
      <c r="I105" s="217"/>
      <c r="J105" s="213" t="s">
        <v>332</v>
      </c>
      <c r="K105" s="217"/>
      <c r="L105" s="213" t="s">
        <v>156</v>
      </c>
      <c r="M105" s="213"/>
      <c r="N105" s="213"/>
      <c r="O105" s="213"/>
      <c r="P105" s="213"/>
      <c r="Q105" s="213"/>
      <c r="R105" s="217"/>
      <c r="S105" s="213" t="s">
        <v>332</v>
      </c>
    </row>
    <row r="106" spans="1:20">
      <c r="B106" s="214" t="str">
        <f>B16</f>
        <v xml:space="preserve">Fiscal year  </v>
      </c>
      <c r="C106" s="215">
        <f>C76</f>
        <v>2020</v>
      </c>
      <c r="D106" s="215">
        <f t="shared" ref="D106:H106" si="77">D76</f>
        <v>2021</v>
      </c>
      <c r="E106" s="215">
        <f t="shared" si="77"/>
        <v>2022</v>
      </c>
      <c r="F106" s="215">
        <f t="shared" si="77"/>
        <v>2023</v>
      </c>
      <c r="G106" s="215">
        <f t="shared" si="77"/>
        <v>2024</v>
      </c>
      <c r="H106" s="215">
        <f t="shared" si="77"/>
        <v>2025</v>
      </c>
      <c r="I106" s="217"/>
      <c r="J106" s="414" t="str">
        <f>J76</f>
        <v>6-Year(A)</v>
      </c>
      <c r="K106" s="217"/>
      <c r="L106" s="216">
        <f t="shared" ref="L106:Q107" si="78">L76</f>
        <v>2026</v>
      </c>
      <c r="M106" s="216">
        <f t="shared" si="78"/>
        <v>2027</v>
      </c>
      <c r="N106" s="216">
        <f t="shared" si="78"/>
        <v>2028</v>
      </c>
      <c r="O106" s="216">
        <f t="shared" si="78"/>
        <v>2029</v>
      </c>
      <c r="P106" s="216">
        <f t="shared" si="78"/>
        <v>2030</v>
      </c>
      <c r="Q106" s="216">
        <f t="shared" si="78"/>
        <v>2031</v>
      </c>
      <c r="R106" s="217"/>
      <c r="S106" s="414" t="str">
        <f>S76</f>
        <v>6-Year(F)</v>
      </c>
    </row>
    <row r="107" spans="1:20">
      <c r="B107" s="214" t="str">
        <f>B17</f>
        <v>Fiscal year end date</v>
      </c>
      <c r="C107" s="217">
        <f>C77</f>
        <v>44104</v>
      </c>
      <c r="D107" s="217">
        <f t="shared" ref="D107:H107" si="79">D77</f>
        <v>44469</v>
      </c>
      <c r="E107" s="217">
        <f t="shared" si="79"/>
        <v>44834</v>
      </c>
      <c r="F107" s="217">
        <f t="shared" si="79"/>
        <v>45192</v>
      </c>
      <c r="G107" s="217">
        <f t="shared" si="79"/>
        <v>45559</v>
      </c>
      <c r="H107" s="217">
        <f t="shared" si="79"/>
        <v>45927</v>
      </c>
      <c r="I107" s="217"/>
      <c r="J107" s="217">
        <f>J77</f>
        <v>45927</v>
      </c>
      <c r="K107" s="217"/>
      <c r="L107" s="217">
        <f t="shared" si="78"/>
        <v>46295</v>
      </c>
      <c r="M107" s="217">
        <f t="shared" si="78"/>
        <v>46660</v>
      </c>
      <c r="N107" s="217">
        <f t="shared" si="78"/>
        <v>47026</v>
      </c>
      <c r="O107" s="217">
        <f t="shared" si="78"/>
        <v>47391</v>
      </c>
      <c r="P107" s="217">
        <f t="shared" si="78"/>
        <v>47756</v>
      </c>
      <c r="Q107" s="217">
        <f t="shared" si="78"/>
        <v>48121</v>
      </c>
      <c r="R107" s="217"/>
      <c r="S107" s="217">
        <f>S77</f>
        <v>48121</v>
      </c>
    </row>
    <row r="108" spans="1:20" ht="5.0999999999999996" customHeight="1"/>
    <row r="109" spans="1:20">
      <c r="B109" s="8" t="s">
        <v>17</v>
      </c>
      <c r="C109" s="373">
        <f t="shared" ref="C109:H109" si="80">C39</f>
        <v>57411</v>
      </c>
      <c r="D109" s="373">
        <f t="shared" si="80"/>
        <v>94680</v>
      </c>
      <c r="E109" s="373">
        <f t="shared" si="80"/>
        <v>99803</v>
      </c>
      <c r="F109" s="373">
        <f t="shared" si="80"/>
        <v>96995</v>
      </c>
      <c r="G109" s="373">
        <f t="shared" si="80"/>
        <v>93736</v>
      </c>
      <c r="H109" s="373">
        <f t="shared" si="80"/>
        <v>112010</v>
      </c>
      <c r="J109" s="237">
        <f t="shared" ref="J109:J127" si="81">((H109/C109)^(1/COUNT(D109:H109))-1)</f>
        <v>0.14301607214786305</v>
      </c>
      <c r="L109" s="11">
        <f t="shared" ref="L109:Q109" ca="1" si="82">L39</f>
        <v>124123.69682660015</v>
      </c>
      <c r="M109" s="11">
        <f t="shared" ca="1" si="82"/>
        <v>131011.88891224196</v>
      </c>
      <c r="N109" s="11">
        <f t="shared" ca="1" si="82"/>
        <v>144599.76352658766</v>
      </c>
      <c r="O109" s="11">
        <f t="shared" ca="1" si="82"/>
        <v>156542.2458385175</v>
      </c>
      <c r="P109" s="11">
        <f t="shared" ca="1" si="82"/>
        <v>165804.07319789359</v>
      </c>
      <c r="Q109" s="11">
        <f t="shared" ca="1" si="82"/>
        <v>172423.88541820311</v>
      </c>
      <c r="S109" s="237">
        <f t="shared" ref="S109:S116" ca="1" si="83">((Q109/L109)^(1/COUNT(M109:Q109))-1)</f>
        <v>6.7944159802803661E-2</v>
      </c>
      <c r="T109" s="8" t="s">
        <v>148</v>
      </c>
    </row>
    <row r="110" spans="1:20">
      <c r="B110" s="8" t="s">
        <v>87</v>
      </c>
      <c r="C110" s="373">
        <f t="shared" ref="C110:H110" si="84">C41</f>
        <v>11056</v>
      </c>
      <c r="D110" s="373">
        <f t="shared" si="84"/>
        <v>11284</v>
      </c>
      <c r="E110" s="373">
        <f t="shared" si="84"/>
        <v>11104</v>
      </c>
      <c r="F110" s="373">
        <f t="shared" si="84"/>
        <v>11519</v>
      </c>
      <c r="G110" s="373">
        <f t="shared" si="84"/>
        <v>11445</v>
      </c>
      <c r="H110" s="373">
        <f t="shared" si="84"/>
        <v>11698</v>
      </c>
      <c r="J110" s="237">
        <f t="shared" si="81"/>
        <v>1.1352884356246706E-2</v>
      </c>
      <c r="L110" s="11">
        <f t="shared" ref="L110:Q110" ca="1" si="85">L41</f>
        <v>13244.384160936275</v>
      </c>
      <c r="M110" s="11">
        <f t="shared" ca="1" si="85"/>
        <v>13609.263958766291</v>
      </c>
      <c r="N110" s="11">
        <f t="shared" ca="1" si="85"/>
        <v>14958.902817126567</v>
      </c>
      <c r="O110" s="11">
        <f t="shared" ca="1" si="85"/>
        <v>16918.497926194512</v>
      </c>
      <c r="P110" s="11">
        <f t="shared" ca="1" si="85"/>
        <v>19281.656602087398</v>
      </c>
      <c r="Q110" s="11">
        <f t="shared" ca="1" si="85"/>
        <v>22005.781802398928</v>
      </c>
      <c r="S110" s="237">
        <f t="shared" ca="1" si="83"/>
        <v>0.10688118846192984</v>
      </c>
      <c r="T110" s="8" t="s">
        <v>148</v>
      </c>
    </row>
    <row r="111" spans="1:20">
      <c r="B111" s="8" t="s">
        <v>128</v>
      </c>
      <c r="C111" s="373">
        <f t="shared" ref="C111:H111" si="86">C44</f>
        <v>6829</v>
      </c>
      <c r="D111" s="373">
        <f t="shared" si="86"/>
        <v>7906</v>
      </c>
      <c r="E111" s="373">
        <f t="shared" si="86"/>
        <v>9038</v>
      </c>
      <c r="F111" s="373">
        <f t="shared" si="86"/>
        <v>10833</v>
      </c>
      <c r="G111" s="373">
        <f t="shared" si="86"/>
        <v>11688</v>
      </c>
      <c r="H111" s="373">
        <f t="shared" si="86"/>
        <v>12863</v>
      </c>
      <c r="J111" s="237">
        <f t="shared" si="81"/>
        <v>0.13500305734244855</v>
      </c>
      <c r="L111" s="11">
        <f t="shared" ref="L111:Q111" ca="1" si="87">L44</f>
        <v>14233.989221208752</v>
      </c>
      <c r="M111" s="11">
        <f t="shared" ca="1" si="87"/>
        <v>15165.927602745995</v>
      </c>
      <c r="N111" s="11">
        <f t="shared" ca="1" si="87"/>
        <v>16307.817169188045</v>
      </c>
      <c r="O111" s="11">
        <f t="shared" ca="1" si="87"/>
        <v>17369.487871948892</v>
      </c>
      <c r="P111" s="11">
        <f t="shared" ca="1" si="87"/>
        <v>18251.378160961736</v>
      </c>
      <c r="Q111" s="11">
        <f t="shared" ca="1" si="87"/>
        <v>19291.472427662153</v>
      </c>
      <c r="S111" s="237">
        <f t="shared" ca="1" si="83"/>
        <v>6.2692826063909468E-2</v>
      </c>
      <c r="T111" s="8" t="s">
        <v>148</v>
      </c>
    </row>
    <row r="112" spans="1:20">
      <c r="B112" s="8" t="s">
        <v>149</v>
      </c>
      <c r="C112" s="373"/>
      <c r="D112" s="373">
        <f>SUM(C81:C83)-SUM(D81:D83)</f>
        <v>-19427</v>
      </c>
      <c r="E112" s="373">
        <f t="shared" ref="E112:H112" si="88">SUM(D81:D83)-SUM(E81:E83)</f>
        <v>-14904</v>
      </c>
      <c r="F112" s="373">
        <f t="shared" si="88"/>
        <v>5090</v>
      </c>
      <c r="G112" s="373">
        <f t="shared" si="88"/>
        <v>-5805</v>
      </c>
      <c r="H112" s="373">
        <f t="shared" si="88"/>
        <v>-5444</v>
      </c>
      <c r="J112" s="237" t="e">
        <f t="shared" si="81"/>
        <v>#DIV/0!</v>
      </c>
      <c r="L112" s="373">
        <f ca="1">SUM(H81:H83)-SUM(L81:L83)</f>
        <v>-9897.903199196182</v>
      </c>
      <c r="M112" s="373">
        <f ca="1">SUM(L81:L83)-SUM(M81:M83)</f>
        <v>-6783.2192023619718</v>
      </c>
      <c r="N112" s="373">
        <f t="shared" ref="N112:Q112" ca="1" si="89">SUM(M81:M83)-SUM(N81:N83)</f>
        <v>-8197.6781781479949</v>
      </c>
      <c r="O112" s="373">
        <f t="shared" ca="1" si="89"/>
        <v>-7684.0355617575697</v>
      </c>
      <c r="P112" s="373">
        <f t="shared" ca="1" si="89"/>
        <v>-6444.8041068284365</v>
      </c>
      <c r="Q112" s="373">
        <f t="shared" ca="1" si="89"/>
        <v>-7703.0163773592794</v>
      </c>
      <c r="S112" s="237">
        <f t="shared" ca="1" si="83"/>
        <v>-4.8905820658681876E-2</v>
      </c>
    </row>
    <row r="113" spans="2:20">
      <c r="B113" s="8" t="s">
        <v>150</v>
      </c>
      <c r="C113" s="373"/>
      <c r="D113" s="373">
        <f t="shared" ref="D113:G113" si="90">SUM(D89:D91)-SUM(C89:C91)</f>
        <v>18245</v>
      </c>
      <c r="E113" s="373">
        <f t="shared" si="90"/>
        <v>23004</v>
      </c>
      <c r="F113" s="373">
        <f t="shared" si="90"/>
        <v>-3371</v>
      </c>
      <c r="G113" s="373">
        <f t="shared" si="90"/>
        <v>26012</v>
      </c>
      <c r="H113" s="373">
        <f>SUM(H89:H91)-SUM(G89:G91)</f>
        <v>-10211</v>
      </c>
      <c r="J113" s="237" t="e">
        <f t="shared" si="81"/>
        <v>#DIV/0!</v>
      </c>
      <c r="L113" s="373">
        <f ca="1">SUM(L89:L91)-SUM(H89:H91)</f>
        <v>14972.316541296663</v>
      </c>
      <c r="M113" s="373">
        <f ca="1">SUM(M89:M91)-SUM(L89:L91)</f>
        <v>10850.204219740233</v>
      </c>
      <c r="N113" s="373">
        <f t="shared" ref="N113:Q113" ca="1" si="91">SUM(N89:N91)-SUM(M89:M91)</f>
        <v>11905.516399789223</v>
      </c>
      <c r="O113" s="373">
        <f t="shared" ca="1" si="91"/>
        <v>11829.713641866227</v>
      </c>
      <c r="P113" s="373">
        <f t="shared" ca="1" si="91"/>
        <v>10583.528059813922</v>
      </c>
      <c r="Q113" s="373">
        <f t="shared" ca="1" si="91"/>
        <v>13729.1318927666</v>
      </c>
      <c r="S113" s="237">
        <f t="shared" ca="1" si="83"/>
        <v>-1.7187174301395935E-2</v>
      </c>
    </row>
    <row r="114" spans="2:20">
      <c r="B114" s="8" t="s">
        <v>137</v>
      </c>
      <c r="C114" s="11">
        <f t="shared" ref="C114:G114" si="92">-C168</f>
        <v>-21595</v>
      </c>
      <c r="D114" s="11">
        <f t="shared" si="92"/>
        <v>-8111</v>
      </c>
      <c r="E114" s="11">
        <f t="shared" si="92"/>
        <v>-7983</v>
      </c>
      <c r="F114" s="11">
        <f t="shared" si="92"/>
        <v>-13349</v>
      </c>
      <c r="G114" s="11">
        <f t="shared" si="92"/>
        <v>-13321</v>
      </c>
      <c r="H114" s="11">
        <f>-H168</f>
        <v>-12591</v>
      </c>
      <c r="J114" s="237">
        <f t="shared" si="81"/>
        <v>-0.10227896166843597</v>
      </c>
      <c r="L114" s="11">
        <f ca="1">-L168</f>
        <v>-12242.837711752203</v>
      </c>
      <c r="M114" s="11">
        <f t="shared" ref="M114:Q114" ca="1" si="93">-M168</f>
        <v>-9602.2931085993041</v>
      </c>
      <c r="N114" s="11">
        <f ca="1">-N168</f>
        <v>-11235.14362681708</v>
      </c>
      <c r="O114" s="11">
        <f t="shared" ca="1" si="93"/>
        <v>-10960.533883016004</v>
      </c>
      <c r="P114" s="11">
        <f t="shared" ca="1" si="93"/>
        <v>-9995.9458930822584</v>
      </c>
      <c r="Q114" s="11">
        <f t="shared" ca="1" si="93"/>
        <v>-11268.231651802285</v>
      </c>
      <c r="S114" s="237">
        <f t="shared" ca="1" si="83"/>
        <v>-1.6453867941717104E-2</v>
      </c>
      <c r="T114" s="8" t="s">
        <v>648</v>
      </c>
    </row>
    <row r="115" spans="2:20">
      <c r="B115" s="8" t="s">
        <v>142</v>
      </c>
      <c r="C115" s="11">
        <f>C94-22283</f>
        <v>32207</v>
      </c>
      <c r="D115" s="11">
        <f t="shared" ref="D115:G115" si="94">D94-C94</f>
        <v>-1165</v>
      </c>
      <c r="E115" s="11">
        <f t="shared" si="94"/>
        <v>-4183</v>
      </c>
      <c r="F115" s="11">
        <f t="shared" si="94"/>
        <v>706</v>
      </c>
      <c r="G115" s="11">
        <f t="shared" si="94"/>
        <v>-3960</v>
      </c>
      <c r="H115" s="11">
        <f>H94-G94</f>
        <v>-4339</v>
      </c>
      <c r="J115" s="237">
        <f t="shared" si="81"/>
        <v>-1.6697116832753371</v>
      </c>
      <c r="L115" s="11">
        <f ca="1">L94-H94</f>
        <v>4428.45612625379</v>
      </c>
      <c r="M115" s="11">
        <f ca="1">M94-L94</f>
        <v>3010.2703735124669</v>
      </c>
      <c r="N115" s="11">
        <f ca="1">N94-M94</f>
        <v>3688.4373471274739</v>
      </c>
      <c r="O115" s="11">
        <f t="shared" ref="O115:Q115" ca="1" si="95">O94-N94</f>
        <v>3429.3210004672655</v>
      </c>
      <c r="P115" s="11">
        <f t="shared" ca="1" si="95"/>
        <v>2848.6091594647223</v>
      </c>
      <c r="Q115" s="11">
        <f t="shared" ca="1" si="95"/>
        <v>3359.6265791133992</v>
      </c>
      <c r="S115" s="237">
        <f t="shared" ca="1" si="83"/>
        <v>-5.3745991165722429E-2</v>
      </c>
    </row>
    <row r="116" spans="2:20">
      <c r="B116" s="39" t="s">
        <v>318</v>
      </c>
      <c r="C116" s="372">
        <f t="shared" ref="C116:H116" si="96">SUM(C109:C115)</f>
        <v>85908</v>
      </c>
      <c r="D116" s="372">
        <f t="shared" si="96"/>
        <v>103412</v>
      </c>
      <c r="E116" s="372">
        <f t="shared" si="96"/>
        <v>115879</v>
      </c>
      <c r="F116" s="372">
        <f t="shared" si="96"/>
        <v>108423</v>
      </c>
      <c r="G116" s="372">
        <f t="shared" si="96"/>
        <v>119795</v>
      </c>
      <c r="H116" s="372">
        <f t="shared" si="96"/>
        <v>103986</v>
      </c>
      <c r="J116" s="238">
        <f t="shared" si="81"/>
        <v>3.8934702545181832E-2</v>
      </c>
      <c r="L116" s="372">
        <f t="shared" ref="L116:Q116" ca="1" si="97">SUM(L109:L115)</f>
        <v>148862.10196534728</v>
      </c>
      <c r="M116" s="372">
        <f t="shared" ca="1" si="97"/>
        <v>157262.0427560457</v>
      </c>
      <c r="N116" s="372">
        <f t="shared" ca="1" si="97"/>
        <v>172027.61545485392</v>
      </c>
      <c r="O116" s="372">
        <f t="shared" ca="1" si="97"/>
        <v>187444.69683422081</v>
      </c>
      <c r="P116" s="372">
        <f t="shared" ca="1" si="97"/>
        <v>200328.49518031068</v>
      </c>
      <c r="Q116" s="372">
        <f t="shared" ca="1" si="97"/>
        <v>211838.65009098261</v>
      </c>
      <c r="S116" s="238">
        <f t="shared" ca="1" si="83"/>
        <v>7.3109922662348392E-2</v>
      </c>
    </row>
    <row r="118" spans="2:20">
      <c r="B118" s="8" t="s">
        <v>203</v>
      </c>
      <c r="C118" s="11">
        <f>-C135</f>
        <v>-7309</v>
      </c>
      <c r="D118" s="11">
        <f t="shared" ref="D118:H118" si="98">-D135</f>
        <v>-11085</v>
      </c>
      <c r="E118" s="11">
        <f t="shared" si="98"/>
        <v>-10708</v>
      </c>
      <c r="F118" s="11">
        <f t="shared" si="98"/>
        <v>-10959</v>
      </c>
      <c r="G118" s="11">
        <f t="shared" si="98"/>
        <v>-9447</v>
      </c>
      <c r="H118" s="11">
        <f t="shared" si="98"/>
        <v>-12715</v>
      </c>
      <c r="J118" s="237">
        <f t="shared" si="81"/>
        <v>0.11709904496983481</v>
      </c>
      <c r="L118" s="322">
        <f>-L135</f>
        <v>-14559</v>
      </c>
      <c r="M118" s="322">
        <f t="shared" ref="M118:Q118" si="99">-M135</f>
        <v>-15883.5</v>
      </c>
      <c r="N118" s="322">
        <f t="shared" si="99"/>
        <v>-16499</v>
      </c>
      <c r="O118" s="322">
        <f t="shared" si="99"/>
        <v>-16938.07454665815</v>
      </c>
      <c r="P118" s="322">
        <f t="shared" si="99"/>
        <v>-17389.04224008898</v>
      </c>
      <c r="Q118" s="322">
        <f t="shared" si="99"/>
        <v>-17852.230581964821</v>
      </c>
      <c r="S118" s="237">
        <f t="shared" ref="S118:S119" si="100">((Q118/L118)^(1/COUNT(M118:Q118))-1)</f>
        <v>4.1626903113356484E-2</v>
      </c>
    </row>
    <row r="119" spans="2:20">
      <c r="B119" s="39" t="s">
        <v>319</v>
      </c>
      <c r="C119" s="372">
        <f t="shared" ref="C119:H119" si="101">+C118</f>
        <v>-7309</v>
      </c>
      <c r="D119" s="372">
        <f t="shared" si="101"/>
        <v>-11085</v>
      </c>
      <c r="E119" s="372">
        <f t="shared" si="101"/>
        <v>-10708</v>
      </c>
      <c r="F119" s="372">
        <f t="shared" si="101"/>
        <v>-10959</v>
      </c>
      <c r="G119" s="372">
        <f t="shared" si="101"/>
        <v>-9447</v>
      </c>
      <c r="H119" s="372">
        <f t="shared" si="101"/>
        <v>-12715</v>
      </c>
      <c r="J119" s="238">
        <f t="shared" si="81"/>
        <v>0.11709904496983481</v>
      </c>
      <c r="L119" s="372">
        <f t="shared" ref="L119:Q119" si="102">+L118</f>
        <v>-14559</v>
      </c>
      <c r="M119" s="372">
        <f t="shared" si="102"/>
        <v>-15883.5</v>
      </c>
      <c r="N119" s="372">
        <f t="shared" si="102"/>
        <v>-16499</v>
      </c>
      <c r="O119" s="372">
        <f t="shared" si="102"/>
        <v>-16938.07454665815</v>
      </c>
      <c r="P119" s="372">
        <f t="shared" si="102"/>
        <v>-17389.04224008898</v>
      </c>
      <c r="Q119" s="372">
        <f t="shared" si="102"/>
        <v>-17852.230581964821</v>
      </c>
      <c r="S119" s="238">
        <f t="shared" si="100"/>
        <v>4.1626903113356484E-2</v>
      </c>
    </row>
    <row r="121" spans="2:20">
      <c r="B121" s="8" t="s">
        <v>151</v>
      </c>
      <c r="C121" s="11"/>
      <c r="D121" s="11">
        <f>D93-C93</f>
        <v>11279</v>
      </c>
      <c r="E121" s="11">
        <f t="shared" ref="E121:G121" si="103">E93-D93</f>
        <v>-8632</v>
      </c>
      <c r="F121" s="11">
        <f t="shared" si="103"/>
        <v>-4984</v>
      </c>
      <c r="G121" s="11">
        <f t="shared" si="103"/>
        <v>-8441</v>
      </c>
      <c r="H121" s="11">
        <f>H93-G93</f>
        <v>-5984</v>
      </c>
      <c r="J121" s="237" t="e">
        <f t="shared" si="81"/>
        <v>#DIV/0!</v>
      </c>
      <c r="L121" s="11">
        <f>L93-H93</f>
        <v>0</v>
      </c>
      <c r="M121" s="11">
        <f>M93-L93</f>
        <v>0</v>
      </c>
      <c r="N121" s="11">
        <f t="shared" ref="N121:Q121" si="104">N93-M93</f>
        <v>0</v>
      </c>
      <c r="O121" s="11">
        <f t="shared" si="104"/>
        <v>0</v>
      </c>
      <c r="P121" s="11">
        <f t="shared" si="104"/>
        <v>0</v>
      </c>
      <c r="Q121" s="11">
        <f t="shared" si="104"/>
        <v>0</v>
      </c>
      <c r="S121" s="237" t="e">
        <f t="shared" ref="S121:S125" si="105">((Q121/L121)^(1/COUNT(M121:Q121))-1)</f>
        <v>#DIV/0!</v>
      </c>
    </row>
    <row r="122" spans="2:20">
      <c r="B122" s="8" t="s">
        <v>152</v>
      </c>
      <c r="C122" s="11"/>
      <c r="D122" s="11">
        <f t="shared" ref="D122:G122" si="106">D92-C92</f>
        <v>1004</v>
      </c>
      <c r="E122" s="11">
        <f t="shared" si="106"/>
        <v>3982</v>
      </c>
      <c r="F122" s="11">
        <f t="shared" si="106"/>
        <v>-3997</v>
      </c>
      <c r="G122" s="11">
        <f t="shared" si="106"/>
        <v>3982</v>
      </c>
      <c r="H122" s="11">
        <f>H92-G92</f>
        <v>-1988</v>
      </c>
      <c r="J122" s="237" t="e">
        <f t="shared" si="81"/>
        <v>#DIV/0!</v>
      </c>
      <c r="L122" s="11">
        <f ca="1">L92-H92</f>
        <v>17021</v>
      </c>
      <c r="M122" s="11">
        <f ca="1">M92-L92</f>
        <v>0</v>
      </c>
      <c r="N122" s="11">
        <f t="shared" ref="N122:Q122" ca="1" si="107">N92-M92</f>
        <v>0</v>
      </c>
      <c r="O122" s="11">
        <f t="shared" ca="1" si="107"/>
        <v>0</v>
      </c>
      <c r="P122" s="11">
        <f t="shared" ca="1" si="107"/>
        <v>0</v>
      </c>
      <c r="Q122" s="11">
        <f t="shared" ca="1" si="107"/>
        <v>0</v>
      </c>
      <c r="S122" s="237">
        <f t="shared" ca="1" si="105"/>
        <v>-1</v>
      </c>
      <c r="T122" s="8" t="s">
        <v>649</v>
      </c>
    </row>
    <row r="123" spans="2:20">
      <c r="B123" s="8" t="s">
        <v>153</v>
      </c>
      <c r="C123" s="11">
        <f t="shared" ref="C123:G123" si="108">C175</f>
        <v>-72358</v>
      </c>
      <c r="D123" s="11">
        <f t="shared" si="108"/>
        <v>-85971</v>
      </c>
      <c r="E123" s="11">
        <f t="shared" si="108"/>
        <v>-89402</v>
      </c>
      <c r="F123" s="11">
        <f t="shared" si="108"/>
        <v>-77550</v>
      </c>
      <c r="G123" s="11">
        <f t="shared" si="108"/>
        <v>-94949</v>
      </c>
      <c r="H123" s="11">
        <f>H175</f>
        <v>-90711</v>
      </c>
      <c r="J123" s="237">
        <f t="shared" si="81"/>
        <v>4.6248094578764887E-2</v>
      </c>
      <c r="L123" s="11">
        <f>L175</f>
        <v>-90711</v>
      </c>
      <c r="M123" s="11">
        <f t="shared" ref="M123:Q123" si="109">M175</f>
        <v>-90711</v>
      </c>
      <c r="N123" s="11">
        <f t="shared" si="109"/>
        <v>-90711</v>
      </c>
      <c r="O123" s="11">
        <f t="shared" si="109"/>
        <v>-90711</v>
      </c>
      <c r="P123" s="11">
        <f t="shared" si="109"/>
        <v>-90711</v>
      </c>
      <c r="Q123" s="11">
        <f t="shared" si="109"/>
        <v>-90711</v>
      </c>
      <c r="S123" s="237">
        <f t="shared" si="105"/>
        <v>0</v>
      </c>
      <c r="T123" s="8" t="s">
        <v>649</v>
      </c>
    </row>
    <row r="124" spans="2:20">
      <c r="B124" s="8" t="s">
        <v>154</v>
      </c>
      <c r="C124" s="11">
        <f t="shared" ref="C124:G124" si="110">C174</f>
        <v>-14081</v>
      </c>
      <c r="D124" s="11">
        <f t="shared" si="110"/>
        <v>-14467</v>
      </c>
      <c r="E124" s="11">
        <f t="shared" si="110"/>
        <v>-14841</v>
      </c>
      <c r="F124" s="11">
        <f t="shared" si="110"/>
        <v>-14875</v>
      </c>
      <c r="G124" s="11">
        <f t="shared" si="110"/>
        <v>-15234</v>
      </c>
      <c r="H124" s="11">
        <f t="shared" ref="H124" si="111">H174</f>
        <v>-15421</v>
      </c>
      <c r="J124" s="237">
        <f t="shared" si="81"/>
        <v>1.8347045520870076E-2</v>
      </c>
      <c r="L124" s="11">
        <f>L174</f>
        <v>-15421</v>
      </c>
      <c r="M124" s="11">
        <f t="shared" ref="M124:Q124" ca="1" si="112">M174</f>
        <v>-18037.089000229294</v>
      </c>
      <c r="N124" s="11">
        <f t="shared" ca="1" si="112"/>
        <v>-19907.802458204696</v>
      </c>
      <c r="O124" s="11">
        <f t="shared" ca="1" si="112"/>
        <v>-21551.986189409679</v>
      </c>
      <c r="P124" s="11">
        <f t="shared" ca="1" si="112"/>
        <v>-22827.110193596258</v>
      </c>
      <c r="Q124" s="11">
        <f t="shared" ca="1" si="112"/>
        <v>-23738.494215106777</v>
      </c>
      <c r="S124" s="237">
        <f t="shared" ca="1" si="105"/>
        <v>9.0104483886523701E-2</v>
      </c>
      <c r="T124" s="8" t="s">
        <v>649</v>
      </c>
    </row>
    <row r="125" spans="2:20">
      <c r="B125" s="39" t="s">
        <v>319</v>
      </c>
      <c r="C125" s="372">
        <f t="shared" ref="C125:H125" si="113">SUM(C121:C124)</f>
        <v>-86439</v>
      </c>
      <c r="D125" s="372">
        <f t="shared" si="113"/>
        <v>-88155</v>
      </c>
      <c r="E125" s="372">
        <f t="shared" si="113"/>
        <v>-108893</v>
      </c>
      <c r="F125" s="372">
        <f t="shared" si="113"/>
        <v>-101406</v>
      </c>
      <c r="G125" s="372">
        <f t="shared" si="113"/>
        <v>-114642</v>
      </c>
      <c r="H125" s="372">
        <f t="shared" si="113"/>
        <v>-114104</v>
      </c>
      <c r="J125" s="238">
        <f t="shared" si="81"/>
        <v>5.7105243526079041E-2</v>
      </c>
      <c r="L125" s="372">
        <f t="shared" ref="L125:Q125" ca="1" si="114">SUM(L121:L124)</f>
        <v>-89111</v>
      </c>
      <c r="M125" s="372">
        <f t="shared" ca="1" si="114"/>
        <v>-108748.08900022929</v>
      </c>
      <c r="N125" s="372">
        <f t="shared" ca="1" si="114"/>
        <v>-110618.80245820469</v>
      </c>
      <c r="O125" s="372">
        <f t="shared" ca="1" si="114"/>
        <v>-112262.98618940968</v>
      </c>
      <c r="P125" s="372">
        <f t="shared" ca="1" si="114"/>
        <v>-113538.11019359625</v>
      </c>
      <c r="Q125" s="372">
        <f t="shared" ca="1" si="114"/>
        <v>-114449.49421510678</v>
      </c>
      <c r="S125" s="238">
        <f t="shared" ca="1" si="105"/>
        <v>5.1323838598426486E-2</v>
      </c>
    </row>
    <row r="127" spans="2:20">
      <c r="B127" s="39" t="s">
        <v>405</v>
      </c>
      <c r="C127" s="354">
        <f t="shared" ref="C127:H127" si="115">+C125+C119+C116</f>
        <v>-7840</v>
      </c>
      <c r="D127" s="354">
        <f t="shared" si="115"/>
        <v>4172</v>
      </c>
      <c r="E127" s="354">
        <f t="shared" si="115"/>
        <v>-3722</v>
      </c>
      <c r="F127" s="354">
        <f t="shared" si="115"/>
        <v>-3942</v>
      </c>
      <c r="G127" s="354">
        <f t="shared" si="115"/>
        <v>-4294</v>
      </c>
      <c r="H127" s="354">
        <f t="shared" si="115"/>
        <v>-22833</v>
      </c>
      <c r="J127" s="238">
        <f t="shared" si="81"/>
        <v>0.23836703530182013</v>
      </c>
      <c r="L127" s="354">
        <f ca="1">+L125+L119+L116</f>
        <v>45192.101965347276</v>
      </c>
      <c r="M127" s="354">
        <f t="shared" ref="M127:Q127" ca="1" si="116">+M125+M119+M116</f>
        <v>32630.453755816416</v>
      </c>
      <c r="N127" s="354">
        <f t="shared" ca="1" si="116"/>
        <v>44909.812996649227</v>
      </c>
      <c r="O127" s="354">
        <f t="shared" ca="1" si="116"/>
        <v>58243.636098152987</v>
      </c>
      <c r="P127" s="354">
        <f t="shared" ca="1" si="116"/>
        <v>69401.342746625451</v>
      </c>
      <c r="Q127" s="354">
        <f t="shared" ca="1" si="116"/>
        <v>79536.925293911016</v>
      </c>
      <c r="S127" s="238">
        <f t="shared" ref="S127" ca="1" si="117">((Q127/L127)^(1/COUNT(M127:Q127))-1)</f>
        <v>0.11969889938545952</v>
      </c>
    </row>
    <row r="129" spans="1:20">
      <c r="A129" s="8" t="s">
        <v>24</v>
      </c>
      <c r="B129" s="187" t="s">
        <v>320</v>
      </c>
      <c r="C129" s="188" t="s">
        <v>315</v>
      </c>
      <c r="D129" s="188"/>
      <c r="E129" s="188"/>
      <c r="F129" s="188"/>
      <c r="G129" s="188"/>
      <c r="H129" s="188"/>
      <c r="I129" s="190"/>
      <c r="J129" s="190"/>
      <c r="K129" s="190"/>
      <c r="L129" s="188" t="s">
        <v>156</v>
      </c>
      <c r="M129" s="188"/>
      <c r="N129" s="188"/>
      <c r="O129" s="188"/>
      <c r="P129" s="188"/>
      <c r="Q129" s="188"/>
    </row>
    <row r="130" spans="1:20">
      <c r="B130" s="189" t="s">
        <v>124</v>
      </c>
      <c r="C130" s="218">
        <f>C106</f>
        <v>2020</v>
      </c>
      <c r="D130" s="218">
        <f t="shared" ref="D130:H130" si="118">D106</f>
        <v>2021</v>
      </c>
      <c r="E130" s="218">
        <f t="shared" si="118"/>
        <v>2022</v>
      </c>
      <c r="F130" s="218">
        <f t="shared" si="118"/>
        <v>2023</v>
      </c>
      <c r="G130" s="218">
        <f t="shared" si="118"/>
        <v>2024</v>
      </c>
      <c r="H130" s="218">
        <f t="shared" si="118"/>
        <v>2025</v>
      </c>
      <c r="I130" s="190"/>
      <c r="J130" s="190"/>
      <c r="K130" s="190"/>
      <c r="L130" s="219">
        <f t="shared" ref="L130:Q131" si="119">L76</f>
        <v>2026</v>
      </c>
      <c r="M130" s="219">
        <f t="shared" si="119"/>
        <v>2027</v>
      </c>
      <c r="N130" s="219">
        <f t="shared" si="119"/>
        <v>2028</v>
      </c>
      <c r="O130" s="219">
        <f t="shared" si="119"/>
        <v>2029</v>
      </c>
      <c r="P130" s="219">
        <f t="shared" si="119"/>
        <v>2030</v>
      </c>
      <c r="Q130" s="219">
        <f t="shared" si="119"/>
        <v>2031</v>
      </c>
    </row>
    <row r="131" spans="1:20">
      <c r="B131" s="189" t="s">
        <v>125</v>
      </c>
      <c r="C131" s="190">
        <f>C107</f>
        <v>44104</v>
      </c>
      <c r="D131" s="190">
        <f t="shared" ref="D131:H131" si="120">D107</f>
        <v>44469</v>
      </c>
      <c r="E131" s="190">
        <f t="shared" si="120"/>
        <v>44834</v>
      </c>
      <c r="F131" s="190">
        <f t="shared" si="120"/>
        <v>45192</v>
      </c>
      <c r="G131" s="190">
        <f t="shared" si="120"/>
        <v>45559</v>
      </c>
      <c r="H131" s="190">
        <f t="shared" si="120"/>
        <v>45927</v>
      </c>
      <c r="I131" s="190"/>
      <c r="J131" s="190"/>
      <c r="K131" s="190"/>
      <c r="L131" s="190">
        <f t="shared" si="119"/>
        <v>46295</v>
      </c>
      <c r="M131" s="190">
        <f t="shared" si="119"/>
        <v>46660</v>
      </c>
      <c r="N131" s="190">
        <f t="shared" si="119"/>
        <v>47026</v>
      </c>
      <c r="O131" s="190">
        <f t="shared" si="119"/>
        <v>47391</v>
      </c>
      <c r="P131" s="190">
        <f t="shared" si="119"/>
        <v>47756</v>
      </c>
      <c r="Q131" s="190">
        <f t="shared" si="119"/>
        <v>48121</v>
      </c>
    </row>
    <row r="132" spans="1:20" ht="5.0999999999999996" customHeight="1"/>
    <row r="133" spans="1:20">
      <c r="B133" s="37" t="s">
        <v>155</v>
      </c>
      <c r="C133" s="321"/>
      <c r="D133" s="321"/>
      <c r="E133" s="321"/>
      <c r="F133" s="321"/>
      <c r="G133" s="321"/>
      <c r="H133" s="321"/>
      <c r="I133" s="321"/>
      <c r="J133" s="321"/>
      <c r="K133" s="321"/>
      <c r="L133" s="321"/>
      <c r="M133" s="321"/>
      <c r="N133" s="321"/>
      <c r="O133" s="321"/>
      <c r="P133" s="321"/>
      <c r="Q133" s="321"/>
    </row>
    <row r="134" spans="1:20">
      <c r="B134" s="529" t="s">
        <v>654</v>
      </c>
      <c r="C134" s="632">
        <f>'Historical Financials'!E46</f>
        <v>41304</v>
      </c>
      <c r="D134" s="633">
        <f>C137</f>
        <v>36766</v>
      </c>
      <c r="E134" s="633">
        <f t="shared" ref="E134:H134" si="121">D137</f>
        <v>39440</v>
      </c>
      <c r="F134" s="633">
        <f t="shared" si="121"/>
        <v>42117</v>
      </c>
      <c r="G134" s="633">
        <f t="shared" si="121"/>
        <v>43715</v>
      </c>
      <c r="H134" s="633">
        <f t="shared" si="121"/>
        <v>45680</v>
      </c>
      <c r="I134" s="633"/>
      <c r="J134" s="633"/>
      <c r="K134" s="633"/>
      <c r="L134" s="633">
        <f>H137</f>
        <v>49834</v>
      </c>
      <c r="M134" s="633">
        <f>L137</f>
        <v>54467.5</v>
      </c>
      <c r="N134" s="633">
        <f t="shared" ref="N134:Q134" si="122">M137</f>
        <v>60277.916666666664</v>
      </c>
      <c r="O134" s="633">
        <f t="shared" si="122"/>
        <v>65620.444444444438</v>
      </c>
      <c r="P134" s="633">
        <f t="shared" si="122"/>
        <v>69689.997307400292</v>
      </c>
      <c r="Q134" s="633">
        <f t="shared" si="122"/>
        <v>72052.986132414138</v>
      </c>
    </row>
    <row r="135" spans="1:20">
      <c r="B135" s="66" t="s">
        <v>158</v>
      </c>
      <c r="C135" s="131">
        <f>-'Historical Financials'!G93</f>
        <v>7309</v>
      </c>
      <c r="D135" s="131">
        <f>-'Historical Financials'!H93</f>
        <v>11085</v>
      </c>
      <c r="E135" s="131">
        <f>-'Historical Financials'!I93</f>
        <v>10708</v>
      </c>
      <c r="F135" s="131">
        <f>-'Historical Financials'!J93</f>
        <v>10959</v>
      </c>
      <c r="G135" s="131">
        <f>-'Historical Financials'!K93</f>
        <v>9447</v>
      </c>
      <c r="H135" s="131">
        <f>-'Historical Financials'!L93</f>
        <v>12715</v>
      </c>
      <c r="J135" s="237"/>
      <c r="L135" s="131">
        <f>'Street Consensus'!C391</f>
        <v>14559</v>
      </c>
      <c r="M135" s="131">
        <f>'Street Consensus'!D391</f>
        <v>15883.5</v>
      </c>
      <c r="N135" s="131">
        <f>'Street Consensus'!E391</f>
        <v>16499</v>
      </c>
      <c r="O135" s="131">
        <f>'Street Consensus'!F391</f>
        <v>16938.07454665815</v>
      </c>
      <c r="P135" s="131">
        <f>'Street Consensus'!G391</f>
        <v>17389.04224008898</v>
      </c>
      <c r="Q135" s="131">
        <f>'Street Consensus'!H391</f>
        <v>17852.230581964821</v>
      </c>
      <c r="S135" s="237"/>
      <c r="T135" s="8" t="s">
        <v>563</v>
      </c>
    </row>
    <row r="136" spans="1:20">
      <c r="B136" s="66" t="s">
        <v>159</v>
      </c>
      <c r="C136" s="96">
        <v>-9700</v>
      </c>
      <c r="D136" s="96">
        <v>-9500</v>
      </c>
      <c r="E136" s="96">
        <v>-8700</v>
      </c>
      <c r="F136" s="96">
        <v>-8500</v>
      </c>
      <c r="G136" s="96">
        <v>-8200</v>
      </c>
      <c r="H136" s="96">
        <v>-8000</v>
      </c>
      <c r="L136" s="11">
        <f>-L158</f>
        <v>-9925.5</v>
      </c>
      <c r="M136" s="11">
        <f t="shared" ref="M136:Q136" si="123">-M158</f>
        <v>-10073.083333333334</v>
      </c>
      <c r="N136" s="11">
        <f t="shared" si="123"/>
        <v>-11156.472222222223</v>
      </c>
      <c r="O136" s="11">
        <f t="shared" si="123"/>
        <v>-12868.521683702285</v>
      </c>
      <c r="P136" s="11">
        <f t="shared" si="123"/>
        <v>-15026.053415075139</v>
      </c>
      <c r="Q136" s="11">
        <f t="shared" si="123"/>
        <v>-17507.663861863515</v>
      </c>
    </row>
    <row r="137" spans="1:20">
      <c r="B137" s="356" t="s">
        <v>655</v>
      </c>
      <c r="C137" s="358">
        <f>C84</f>
        <v>36766</v>
      </c>
      <c r="D137" s="358">
        <f t="shared" ref="D137:H137" si="124">D84</f>
        <v>39440</v>
      </c>
      <c r="E137" s="358">
        <f t="shared" si="124"/>
        <v>42117</v>
      </c>
      <c r="F137" s="358">
        <f t="shared" si="124"/>
        <v>43715</v>
      </c>
      <c r="G137" s="358">
        <f t="shared" si="124"/>
        <v>45680</v>
      </c>
      <c r="H137" s="358">
        <f t="shared" si="124"/>
        <v>49834</v>
      </c>
      <c r="I137" s="357"/>
      <c r="J137" s="357"/>
      <c r="K137" s="357"/>
      <c r="L137" s="358">
        <f t="shared" ref="L137:Q137" si="125">SUM(L134:L136)</f>
        <v>54467.5</v>
      </c>
      <c r="M137" s="358">
        <f t="shared" si="125"/>
        <v>60277.916666666664</v>
      </c>
      <c r="N137" s="358">
        <f t="shared" si="125"/>
        <v>65620.444444444438</v>
      </c>
      <c r="O137" s="358">
        <f t="shared" si="125"/>
        <v>69689.997307400292</v>
      </c>
      <c r="P137" s="358">
        <f t="shared" si="125"/>
        <v>72052.986132414138</v>
      </c>
      <c r="Q137" s="358">
        <f t="shared" si="125"/>
        <v>72397.552852515437</v>
      </c>
    </row>
    <row r="138" spans="1:20" ht="5.0999999999999996" customHeight="1"/>
    <row r="139" spans="1:20">
      <c r="B139" s="8" t="s">
        <v>161</v>
      </c>
      <c r="C139" s="107">
        <f t="shared" ref="C139:H139" si="126">-(C136/C135)</f>
        <v>1.3271309344643589</v>
      </c>
      <c r="D139" s="107">
        <f t="shared" si="126"/>
        <v>0.8570139828597203</v>
      </c>
      <c r="E139" s="107">
        <f t="shared" si="126"/>
        <v>0.81247665296974225</v>
      </c>
      <c r="F139" s="107">
        <f t="shared" si="126"/>
        <v>0.7756182133406333</v>
      </c>
      <c r="G139" s="107">
        <f t="shared" si="126"/>
        <v>0.86800042341484074</v>
      </c>
      <c r="H139" s="107">
        <f t="shared" si="126"/>
        <v>0.62917813605977191</v>
      </c>
      <c r="L139" s="107">
        <f t="shared" ref="L139:Q139" si="127">-(L136/L135)</f>
        <v>0.68174325159695037</v>
      </c>
      <c r="M139" s="107">
        <f t="shared" si="127"/>
        <v>0.63418537056274338</v>
      </c>
      <c r="N139" s="107">
        <f t="shared" si="127"/>
        <v>0.67619081291122018</v>
      </c>
      <c r="O139" s="107">
        <f t="shared" si="127"/>
        <v>0.75973934630257134</v>
      </c>
      <c r="P139" s="107">
        <f t="shared" si="127"/>
        <v>0.86411046724780693</v>
      </c>
      <c r="Q139" s="107">
        <f t="shared" si="127"/>
        <v>0.98069895419962794</v>
      </c>
    </row>
    <row r="140" spans="1:20" hidden="1" outlineLevel="1">
      <c r="B140" s="285" t="s">
        <v>349</v>
      </c>
      <c r="C140" s="263">
        <v>0.03</v>
      </c>
    </row>
    <row r="141" spans="1:20" collapsed="1"/>
    <row r="142" spans="1:20">
      <c r="B142" s="37" t="s">
        <v>464</v>
      </c>
      <c r="C142" s="321"/>
      <c r="D142" s="321"/>
      <c r="E142" s="321"/>
      <c r="F142" s="321"/>
      <c r="G142" s="321"/>
      <c r="H142" s="321"/>
      <c r="I142" s="321"/>
      <c r="J142" s="321"/>
      <c r="K142" s="321"/>
      <c r="L142" s="321"/>
      <c r="M142" s="321"/>
      <c r="N142" s="321"/>
      <c r="O142" s="321"/>
      <c r="P142" s="321"/>
      <c r="Q142" s="321"/>
    </row>
    <row r="143" spans="1:20">
      <c r="B143" s="66" t="s">
        <v>406</v>
      </c>
      <c r="C143" s="96">
        <v>103526</v>
      </c>
      <c r="D143" s="96">
        <v>109723</v>
      </c>
      <c r="E143" s="96">
        <v>114457</v>
      </c>
      <c r="F143" s="96">
        <v>114599</v>
      </c>
      <c r="G143" s="96">
        <v>119128</v>
      </c>
      <c r="H143" s="96">
        <v>125848</v>
      </c>
      <c r="L143" s="418"/>
      <c r="M143" s="418"/>
      <c r="N143" s="418"/>
      <c r="O143" s="418"/>
      <c r="P143" s="418"/>
      <c r="Q143" s="418"/>
    </row>
    <row r="144" spans="1:20">
      <c r="B144" s="66" t="s">
        <v>407</v>
      </c>
      <c r="C144" s="96">
        <v>-17952</v>
      </c>
      <c r="D144" s="96">
        <v>-20041</v>
      </c>
      <c r="E144" s="96">
        <v>-22126</v>
      </c>
      <c r="F144" s="96">
        <v>-23446</v>
      </c>
      <c r="G144" s="96">
        <v>-24690</v>
      </c>
      <c r="H144" s="96">
        <v>-27337</v>
      </c>
      <c r="L144" s="418"/>
      <c r="M144" s="418"/>
      <c r="N144" s="418"/>
      <c r="O144" s="418"/>
      <c r="P144" s="418"/>
      <c r="Q144" s="418"/>
    </row>
    <row r="145" spans="2:17">
      <c r="B145" s="66" t="s">
        <v>462</v>
      </c>
      <c r="C145" s="96">
        <v>-66760</v>
      </c>
      <c r="D145" s="96">
        <v>-70283</v>
      </c>
      <c r="E145" s="96">
        <v>-72340</v>
      </c>
      <c r="F145" s="96">
        <v>-70884</v>
      </c>
      <c r="G145" s="96">
        <v>-73448</v>
      </c>
      <c r="H145" s="96">
        <v>-76014</v>
      </c>
      <c r="L145" s="418"/>
      <c r="M145" s="418"/>
      <c r="N145" s="418"/>
      <c r="O145" s="418"/>
      <c r="P145" s="418"/>
      <c r="Q145" s="418"/>
    </row>
    <row r="146" spans="2:17">
      <c r="B146" s="106" t="s">
        <v>463</v>
      </c>
      <c r="C146" s="345">
        <f>SUM(C143:C145)</f>
        <v>18814</v>
      </c>
      <c r="D146" s="345">
        <f t="shared" ref="D146:H146" si="128">SUM(D143:D145)</f>
        <v>19399</v>
      </c>
      <c r="E146" s="345">
        <f t="shared" si="128"/>
        <v>19991</v>
      </c>
      <c r="F146" s="345">
        <f t="shared" si="128"/>
        <v>20269</v>
      </c>
      <c r="G146" s="345">
        <f t="shared" si="128"/>
        <v>20990</v>
      </c>
      <c r="H146" s="345">
        <f t="shared" si="128"/>
        <v>22497</v>
      </c>
      <c r="L146" s="418"/>
      <c r="M146" s="418"/>
      <c r="N146" s="418"/>
      <c r="O146" s="418"/>
      <c r="P146" s="418"/>
      <c r="Q146" s="418"/>
    </row>
    <row r="148" spans="2:17">
      <c r="B148" s="8" t="s">
        <v>465</v>
      </c>
      <c r="C148" s="416">
        <f>IF(C149,C149,-ROUND((H143-H144)/H136,0))</f>
        <v>6</v>
      </c>
      <c r="E148" s="8" t="s">
        <v>468</v>
      </c>
    </row>
    <row r="149" spans="2:17">
      <c r="B149" s="8" t="s">
        <v>467</v>
      </c>
      <c r="C149" s="415">
        <v>6</v>
      </c>
      <c r="E149" s="417">
        <v>1</v>
      </c>
    </row>
    <row r="151" spans="2:17">
      <c r="B151" s="8" t="s">
        <v>466</v>
      </c>
      <c r="C151" s="11">
        <f t="shared" ref="C151:H151" si="129">-C136</f>
        <v>9700</v>
      </c>
      <c r="D151" s="11">
        <f t="shared" si="129"/>
        <v>9500</v>
      </c>
      <c r="E151" s="11">
        <f t="shared" si="129"/>
        <v>8700</v>
      </c>
      <c r="F151" s="11">
        <f t="shared" si="129"/>
        <v>8500</v>
      </c>
      <c r="G151" s="11">
        <f t="shared" si="129"/>
        <v>8200</v>
      </c>
      <c r="H151" s="11">
        <f t="shared" si="129"/>
        <v>8000</v>
      </c>
      <c r="L151" s="11">
        <f t="shared" ref="L151:Q151" si="130">DDB($H$146,0,$C$148,L130-$H$130)</f>
        <v>7499</v>
      </c>
      <c r="M151" s="11">
        <f t="shared" si="130"/>
        <v>4999.3333333333339</v>
      </c>
      <c r="N151" s="11">
        <f t="shared" si="130"/>
        <v>3332.8888888888891</v>
      </c>
      <c r="O151" s="11">
        <f t="shared" si="130"/>
        <v>2221.9259259259265</v>
      </c>
      <c r="P151" s="11">
        <f t="shared" si="130"/>
        <v>1481.2839506172843</v>
      </c>
      <c r="Q151" s="11">
        <f t="shared" si="130"/>
        <v>987.52263374485642</v>
      </c>
    </row>
    <row r="152" spans="2:17">
      <c r="B152" s="8" t="s">
        <v>469</v>
      </c>
      <c r="C152" s="418"/>
      <c r="D152" s="418"/>
      <c r="E152" s="418"/>
      <c r="F152" s="418"/>
      <c r="G152" s="418"/>
      <c r="H152" s="418"/>
      <c r="L152" s="11">
        <f>L135*$E$149/$C$148</f>
        <v>2426.5</v>
      </c>
      <c r="M152" s="11">
        <f>$L$135/$C$148</f>
        <v>2426.5</v>
      </c>
      <c r="N152" s="11">
        <f>$L$135/$C$148</f>
        <v>2426.5</v>
      </c>
      <c r="O152" s="11">
        <f>$L$135/$C$148</f>
        <v>2426.5</v>
      </c>
      <c r="P152" s="11">
        <f>$L$135/$C$148</f>
        <v>2426.5</v>
      </c>
      <c r="Q152" s="11">
        <f>$L$135/$C$148</f>
        <v>2426.5</v>
      </c>
    </row>
    <row r="153" spans="2:17">
      <c r="B153" s="8" t="s">
        <v>470</v>
      </c>
      <c r="C153" s="418"/>
      <c r="D153" s="418"/>
      <c r="E153" s="418"/>
      <c r="F153" s="418"/>
      <c r="G153" s="418"/>
      <c r="H153" s="418"/>
      <c r="L153" s="418"/>
      <c r="M153" s="11">
        <f>M135*$E$149/$C$148</f>
        <v>2647.25</v>
      </c>
      <c r="N153" s="11">
        <f>$M$135/$C$148</f>
        <v>2647.25</v>
      </c>
      <c r="O153" s="11">
        <f>$M$135/$C$148</f>
        <v>2647.25</v>
      </c>
      <c r="P153" s="11">
        <f>$M$135/$C$148</f>
        <v>2647.25</v>
      </c>
      <c r="Q153" s="11">
        <f>$M$135/$C$148</f>
        <v>2647.25</v>
      </c>
    </row>
    <row r="154" spans="2:17">
      <c r="B154" s="8" t="s">
        <v>471</v>
      </c>
      <c r="C154" s="418"/>
      <c r="D154" s="418"/>
      <c r="E154" s="418"/>
      <c r="F154" s="418"/>
      <c r="G154" s="418"/>
      <c r="H154" s="418"/>
      <c r="L154" s="418"/>
      <c r="M154" s="418"/>
      <c r="N154" s="11">
        <f>N135*$E$149/$C$148</f>
        <v>2749.8333333333335</v>
      </c>
      <c r="O154" s="11">
        <f>$N$135/$C$148</f>
        <v>2749.8333333333335</v>
      </c>
      <c r="P154" s="11">
        <f>$N$135/$C$148</f>
        <v>2749.8333333333335</v>
      </c>
      <c r="Q154" s="11">
        <f>$N$135/$C$148</f>
        <v>2749.8333333333335</v>
      </c>
    </row>
    <row r="155" spans="2:17">
      <c r="B155" s="8" t="s">
        <v>472</v>
      </c>
      <c r="C155" s="418"/>
      <c r="D155" s="418"/>
      <c r="E155" s="418"/>
      <c r="F155" s="418"/>
      <c r="G155" s="418"/>
      <c r="H155" s="418"/>
      <c r="L155" s="418"/>
      <c r="M155" s="418"/>
      <c r="N155" s="418"/>
      <c r="O155" s="11">
        <f>O135*$E$149/$C$148</f>
        <v>2823.0124244430249</v>
      </c>
      <c r="P155" s="11">
        <f>$O$135/$C$148</f>
        <v>2823.0124244430249</v>
      </c>
      <c r="Q155" s="11">
        <f>$O$135/$C$148</f>
        <v>2823.0124244430249</v>
      </c>
    </row>
    <row r="156" spans="2:17">
      <c r="B156" s="8" t="s">
        <v>473</v>
      </c>
      <c r="C156" s="418"/>
      <c r="D156" s="418"/>
      <c r="E156" s="418"/>
      <c r="F156" s="418"/>
      <c r="G156" s="418"/>
      <c r="H156" s="418"/>
      <c r="L156" s="418"/>
      <c r="M156" s="418"/>
      <c r="N156" s="418"/>
      <c r="O156" s="418"/>
      <c r="P156" s="11">
        <f>P135*$E$149/$C$148</f>
        <v>2898.1737066814967</v>
      </c>
      <c r="Q156" s="11">
        <f>$P$135/$C$148</f>
        <v>2898.1737066814967</v>
      </c>
    </row>
    <row r="157" spans="2:17">
      <c r="B157" s="8" t="s">
        <v>474</v>
      </c>
      <c r="C157" s="418"/>
      <c r="D157" s="418"/>
      <c r="E157" s="418"/>
      <c r="F157" s="418"/>
      <c r="G157" s="418"/>
      <c r="H157" s="418"/>
      <c r="L157" s="418"/>
      <c r="M157" s="418"/>
      <c r="N157" s="418"/>
      <c r="O157" s="418"/>
      <c r="P157" s="419"/>
      <c r="Q157" s="11">
        <f>Q135*$E$149/$C$148</f>
        <v>2975.3717636608035</v>
      </c>
    </row>
    <row r="158" spans="2:17">
      <c r="B158" s="356" t="s">
        <v>475</v>
      </c>
      <c r="C158" s="358">
        <f t="shared" ref="C158:H158" si="131">-C136</f>
        <v>9700</v>
      </c>
      <c r="D158" s="358">
        <f t="shared" si="131"/>
        <v>9500</v>
      </c>
      <c r="E158" s="358">
        <f t="shared" si="131"/>
        <v>8700</v>
      </c>
      <c r="F158" s="358">
        <f t="shared" si="131"/>
        <v>8500</v>
      </c>
      <c r="G158" s="358">
        <f t="shared" si="131"/>
        <v>8200</v>
      </c>
      <c r="H158" s="358">
        <f t="shared" si="131"/>
        <v>8000</v>
      </c>
      <c r="I158" s="357"/>
      <c r="J158" s="357"/>
      <c r="K158" s="357"/>
      <c r="L158" s="358">
        <f>SUM(L151:L157)</f>
        <v>9925.5</v>
      </c>
      <c r="M158" s="358">
        <f t="shared" ref="M158:Q158" si="132">SUM(M151:M157)</f>
        <v>10073.083333333334</v>
      </c>
      <c r="N158" s="358">
        <f t="shared" si="132"/>
        <v>11156.472222222223</v>
      </c>
      <c r="O158" s="358">
        <f t="shared" si="132"/>
        <v>12868.521683702285</v>
      </c>
      <c r="P158" s="358">
        <f t="shared" si="132"/>
        <v>15026.053415075139</v>
      </c>
      <c r="Q158" s="358">
        <f t="shared" si="132"/>
        <v>17507.663861863515</v>
      </c>
    </row>
    <row r="160" spans="2:17">
      <c r="B160" s="37" t="s">
        <v>412</v>
      </c>
      <c r="C160" s="321"/>
      <c r="D160" s="321"/>
      <c r="E160" s="321"/>
      <c r="F160" s="321"/>
      <c r="G160" s="321"/>
      <c r="H160" s="321"/>
      <c r="I160" s="321"/>
      <c r="J160" s="321"/>
      <c r="K160" s="321"/>
      <c r="L160" s="321"/>
      <c r="M160" s="321"/>
      <c r="N160" s="321"/>
      <c r="O160" s="321"/>
      <c r="P160" s="321"/>
      <c r="Q160" s="321"/>
    </row>
    <row r="161" spans="2:20">
      <c r="B161" s="102" t="s">
        <v>652</v>
      </c>
      <c r="C161" s="72">
        <f t="shared" ref="C161:H161" si="133">C163+C136</f>
        <v>1356</v>
      </c>
      <c r="D161" s="72">
        <f t="shared" si="133"/>
        <v>1784</v>
      </c>
      <c r="E161" s="72">
        <f t="shared" si="133"/>
        <v>2404</v>
      </c>
      <c r="F161" s="72">
        <f t="shared" si="133"/>
        <v>3019</v>
      </c>
      <c r="G161" s="72">
        <f t="shared" si="133"/>
        <v>3245</v>
      </c>
      <c r="H161" s="72">
        <f t="shared" si="133"/>
        <v>3698</v>
      </c>
      <c r="L161" s="11">
        <f t="shared" ref="L161:Q161" ca="1" si="134">L162*L24</f>
        <v>3318.8841609362744</v>
      </c>
      <c r="M161" s="11">
        <f t="shared" ca="1" si="134"/>
        <v>3536.1806254329563</v>
      </c>
      <c r="N161" s="11">
        <f t="shared" ca="1" si="134"/>
        <v>3802.4305949043451</v>
      </c>
      <c r="O161" s="11">
        <f t="shared" ca="1" si="134"/>
        <v>4049.9762424922269</v>
      </c>
      <c r="P161" s="11">
        <f t="shared" ca="1" si="134"/>
        <v>4255.6031870122597</v>
      </c>
      <c r="Q161" s="11">
        <f t="shared" ca="1" si="134"/>
        <v>4498.1179405354123</v>
      </c>
      <c r="T161" s="8" t="s">
        <v>162</v>
      </c>
    </row>
    <row r="162" spans="2:20">
      <c r="B162" s="66" t="s">
        <v>163</v>
      </c>
      <c r="C162" s="150">
        <f t="shared" ref="C162:H162" si="135">C161/C24</f>
        <v>4.9396207857494122E-3</v>
      </c>
      <c r="D162" s="150">
        <f t="shared" si="135"/>
        <v>4.8767553175494849E-3</v>
      </c>
      <c r="E162" s="150">
        <f t="shared" si="135"/>
        <v>6.0964476273559064E-3</v>
      </c>
      <c r="F162" s="150">
        <f t="shared" si="135"/>
        <v>7.8766453161485585E-3</v>
      </c>
      <c r="G162" s="150">
        <f t="shared" si="135"/>
        <v>8.2984899049957164E-3</v>
      </c>
      <c r="H162" s="150">
        <f t="shared" si="135"/>
        <v>8.8859840302190733E-3</v>
      </c>
      <c r="L162" s="150">
        <f>AVERAGE(D162:H162)</f>
        <v>7.2068644392537492E-3</v>
      </c>
      <c r="M162" s="150">
        <f>L162</f>
        <v>7.2068644392537492E-3</v>
      </c>
      <c r="N162" s="150">
        <f t="shared" ref="N162:Q162" si="136">M162</f>
        <v>7.2068644392537492E-3</v>
      </c>
      <c r="O162" s="150">
        <f t="shared" si="136"/>
        <v>7.2068644392537492E-3</v>
      </c>
      <c r="P162" s="150">
        <f t="shared" si="136"/>
        <v>7.2068644392537492E-3</v>
      </c>
      <c r="Q162" s="150">
        <f t="shared" si="136"/>
        <v>7.2068644392537492E-3</v>
      </c>
      <c r="T162" s="8" t="s">
        <v>476</v>
      </c>
    </row>
    <row r="163" spans="2:20">
      <c r="B163" s="356" t="s">
        <v>412</v>
      </c>
      <c r="C163" s="358">
        <f t="shared" ref="C163:H163" si="137">C41</f>
        <v>11056</v>
      </c>
      <c r="D163" s="358">
        <f t="shared" si="137"/>
        <v>11284</v>
      </c>
      <c r="E163" s="358">
        <f t="shared" si="137"/>
        <v>11104</v>
      </c>
      <c r="F163" s="358">
        <f t="shared" si="137"/>
        <v>11519</v>
      </c>
      <c r="G163" s="358">
        <f t="shared" si="137"/>
        <v>11445</v>
      </c>
      <c r="H163" s="358">
        <f t="shared" si="137"/>
        <v>11698</v>
      </c>
      <c r="I163" s="357"/>
      <c r="J163" s="357"/>
      <c r="K163" s="357"/>
      <c r="L163" s="358">
        <f t="shared" ref="L163:Q163" ca="1" si="138">-L136+L161</f>
        <v>13244.384160936275</v>
      </c>
      <c r="M163" s="358">
        <f t="shared" ca="1" si="138"/>
        <v>13609.263958766291</v>
      </c>
      <c r="N163" s="358">
        <f t="shared" ca="1" si="138"/>
        <v>14958.902817126567</v>
      </c>
      <c r="O163" s="358">
        <f t="shared" ca="1" si="138"/>
        <v>16918.497926194512</v>
      </c>
      <c r="P163" s="358">
        <f t="shared" ca="1" si="138"/>
        <v>19281.656602087398</v>
      </c>
      <c r="Q163" s="358">
        <f t="shared" ca="1" si="138"/>
        <v>22005.781802398928</v>
      </c>
      <c r="T163" s="8" t="s">
        <v>164</v>
      </c>
    </row>
    <row r="165" spans="2:20">
      <c r="B165" s="37" t="s">
        <v>554</v>
      </c>
      <c r="C165" s="321"/>
      <c r="D165" s="321"/>
      <c r="E165" s="321"/>
      <c r="F165" s="321"/>
      <c r="G165" s="321"/>
      <c r="H165" s="321"/>
      <c r="I165" s="321"/>
      <c r="J165" s="321"/>
      <c r="K165" s="321"/>
      <c r="L165" s="321"/>
      <c r="M165" s="321"/>
      <c r="N165" s="321"/>
      <c r="O165" s="321"/>
      <c r="P165" s="321"/>
      <c r="Q165" s="321"/>
    </row>
    <row r="166" spans="2:20">
      <c r="B166" s="529" t="s">
        <v>157</v>
      </c>
      <c r="C166" s="632">
        <f>'Historical Financials'!E48</f>
        <v>22283</v>
      </c>
      <c r="D166" s="633">
        <f>C169</f>
        <v>42522</v>
      </c>
      <c r="E166" s="633">
        <f t="shared" ref="E166:H166" si="139">D169</f>
        <v>48849</v>
      </c>
      <c r="F166" s="633">
        <f t="shared" si="139"/>
        <v>54428</v>
      </c>
      <c r="G166" s="633">
        <f t="shared" si="139"/>
        <v>64758</v>
      </c>
      <c r="H166" s="633">
        <f t="shared" si="139"/>
        <v>74834</v>
      </c>
      <c r="I166" s="633"/>
      <c r="J166" s="633"/>
      <c r="K166" s="633"/>
      <c r="L166" s="633">
        <f>H169</f>
        <v>83727</v>
      </c>
      <c r="M166" s="633">
        <f ca="1">L169</f>
        <v>92650.953550815932</v>
      </c>
      <c r="N166" s="633">
        <f t="shared" ref="N166:Q166" ca="1" si="140">M169</f>
        <v>98717.066033982279</v>
      </c>
      <c r="O166" s="633">
        <f t="shared" ca="1" si="140"/>
        <v>106149.77906589501</v>
      </c>
      <c r="P166" s="633">
        <f t="shared" ca="1" si="140"/>
        <v>113060.33670641879</v>
      </c>
      <c r="Q166" s="633">
        <f t="shared" ca="1" si="140"/>
        <v>118800.6794124888</v>
      </c>
    </row>
    <row r="167" spans="2:20">
      <c r="B167" s="66" t="s">
        <v>662</v>
      </c>
      <c r="C167" s="11">
        <f>-C161</f>
        <v>-1356</v>
      </c>
      <c r="D167" s="11">
        <f t="shared" ref="D167:H167" si="141">-D161</f>
        <v>-1784</v>
      </c>
      <c r="E167" s="11">
        <f t="shared" si="141"/>
        <v>-2404</v>
      </c>
      <c r="F167" s="11">
        <f t="shared" si="141"/>
        <v>-3019</v>
      </c>
      <c r="G167" s="11">
        <f t="shared" si="141"/>
        <v>-3245</v>
      </c>
      <c r="H167" s="11">
        <f t="shared" si="141"/>
        <v>-3698</v>
      </c>
      <c r="L167" s="11">
        <f ca="1">-L161</f>
        <v>-3318.8841609362744</v>
      </c>
      <c r="M167" s="11">
        <f t="shared" ref="M167:Q167" ca="1" si="142">-M161</f>
        <v>-3536.1806254329563</v>
      </c>
      <c r="N167" s="11">
        <f t="shared" ca="1" si="142"/>
        <v>-3802.4305949043451</v>
      </c>
      <c r="O167" s="11">
        <f t="shared" ca="1" si="142"/>
        <v>-4049.9762424922269</v>
      </c>
      <c r="P167" s="11">
        <f t="shared" ca="1" si="142"/>
        <v>-4255.6031870122597</v>
      </c>
      <c r="Q167" s="11">
        <f t="shared" ca="1" si="142"/>
        <v>-4498.1179405354123</v>
      </c>
      <c r="T167" s="8" t="s">
        <v>650</v>
      </c>
    </row>
    <row r="168" spans="2:20">
      <c r="B168" s="66" t="s">
        <v>661</v>
      </c>
      <c r="C168" s="11">
        <f>C169-C167-C166</f>
        <v>21595</v>
      </c>
      <c r="D168" s="11">
        <f t="shared" ref="D168:H168" si="143">D169-D167-D166</f>
        <v>8111</v>
      </c>
      <c r="E168" s="11">
        <f t="shared" si="143"/>
        <v>7983</v>
      </c>
      <c r="F168" s="11">
        <f t="shared" si="143"/>
        <v>13349</v>
      </c>
      <c r="G168" s="11">
        <f t="shared" si="143"/>
        <v>13321</v>
      </c>
      <c r="H168" s="11">
        <f t="shared" si="143"/>
        <v>12591</v>
      </c>
      <c r="L168" s="11">
        <f ca="1">L169-L167-L166</f>
        <v>12242.837711752203</v>
      </c>
      <c r="M168" s="11">
        <f t="shared" ref="M168:Q168" ca="1" si="144">M169-M167-M166</f>
        <v>9602.2931085993041</v>
      </c>
      <c r="N168" s="11">
        <f t="shared" ca="1" si="144"/>
        <v>11235.14362681708</v>
      </c>
      <c r="O168" s="11">
        <f t="shared" ca="1" si="144"/>
        <v>10960.533883016004</v>
      </c>
      <c r="P168" s="11">
        <f t="shared" ca="1" si="144"/>
        <v>9995.9458930822584</v>
      </c>
      <c r="Q168" s="11">
        <f t="shared" ca="1" si="144"/>
        <v>11268.231651802285</v>
      </c>
    </row>
    <row r="169" spans="2:20">
      <c r="B169" s="356" t="s">
        <v>160</v>
      </c>
      <c r="C169" s="358">
        <f t="shared" ref="C169:H169" si="145">C85</f>
        <v>42522</v>
      </c>
      <c r="D169" s="358">
        <f t="shared" si="145"/>
        <v>48849</v>
      </c>
      <c r="E169" s="358">
        <f t="shared" si="145"/>
        <v>54428</v>
      </c>
      <c r="F169" s="358">
        <f t="shared" si="145"/>
        <v>64758</v>
      </c>
      <c r="G169" s="358">
        <f t="shared" si="145"/>
        <v>74834</v>
      </c>
      <c r="H169" s="358">
        <f t="shared" si="145"/>
        <v>83727</v>
      </c>
      <c r="I169" s="357"/>
      <c r="J169" s="357"/>
      <c r="K169" s="357"/>
      <c r="L169" s="358">
        <f t="shared" ref="L169:Q169" ca="1" si="146">L85</f>
        <v>92650.953550815932</v>
      </c>
      <c r="M169" s="358">
        <f t="shared" ca="1" si="146"/>
        <v>98717.066033982279</v>
      </c>
      <c r="N169" s="358">
        <f t="shared" ca="1" si="146"/>
        <v>106149.77906589501</v>
      </c>
      <c r="O169" s="358">
        <f t="shared" ca="1" si="146"/>
        <v>113060.33670641879</v>
      </c>
      <c r="P169" s="358">
        <f t="shared" ca="1" si="146"/>
        <v>118800.6794124888</v>
      </c>
      <c r="Q169" s="358">
        <f t="shared" ca="1" si="146"/>
        <v>125570.79312375568</v>
      </c>
    </row>
    <row r="170" spans="2:20">
      <c r="C170" s="11"/>
    </row>
    <row r="171" spans="2:20">
      <c r="B171" s="37" t="s">
        <v>555</v>
      </c>
      <c r="C171" s="321"/>
      <c r="D171" s="321"/>
      <c r="E171" s="321"/>
      <c r="F171" s="321"/>
      <c r="G171" s="321"/>
      <c r="H171" s="321"/>
      <c r="I171" s="321"/>
      <c r="J171" s="321"/>
      <c r="K171" s="321"/>
      <c r="L171" s="321"/>
      <c r="M171" s="321"/>
      <c r="N171" s="321"/>
      <c r="O171" s="321"/>
      <c r="P171" s="321"/>
      <c r="Q171" s="321"/>
    </row>
    <row r="172" spans="2:20">
      <c r="B172" s="529" t="s">
        <v>157</v>
      </c>
      <c r="C172" s="632">
        <f>'Historical Financials'!E63</f>
        <v>70400</v>
      </c>
      <c r="D172" s="633">
        <f>C176</f>
        <v>14966</v>
      </c>
      <c r="E172" s="633">
        <f t="shared" ref="E172:H172" si="147">D176</f>
        <v>5562</v>
      </c>
      <c r="F172" s="633">
        <f t="shared" si="147"/>
        <v>-3068</v>
      </c>
      <c r="G172" s="633">
        <f t="shared" si="147"/>
        <v>-214</v>
      </c>
      <c r="H172" s="633">
        <f t="shared" si="147"/>
        <v>-19154</v>
      </c>
      <c r="I172" s="633"/>
      <c r="J172" s="633"/>
      <c r="K172" s="633"/>
      <c r="L172" s="633">
        <f>H176</f>
        <v>-14264</v>
      </c>
      <c r="M172" s="633">
        <f ca="1">L176</f>
        <v>3727.6968266001495</v>
      </c>
      <c r="N172" s="633">
        <f t="shared" ref="N172:Q172" ca="1" si="148">M176</f>
        <v>25991.496738612826</v>
      </c>
      <c r="O172" s="633">
        <f t="shared" ca="1" si="148"/>
        <v>59972.457806995779</v>
      </c>
      <c r="P172" s="633">
        <f t="shared" ca="1" si="148"/>
        <v>104251.71745610359</v>
      </c>
      <c r="Q172" s="633">
        <f t="shared" ca="1" si="148"/>
        <v>156517.68046040097</v>
      </c>
    </row>
    <row r="173" spans="2:20">
      <c r="B173" s="66" t="s">
        <v>656</v>
      </c>
      <c r="C173" s="322">
        <f t="shared" ref="C173:H173" si="149">C39</f>
        <v>57411</v>
      </c>
      <c r="D173" s="322">
        <f t="shared" si="149"/>
        <v>94680</v>
      </c>
      <c r="E173" s="322">
        <f t="shared" si="149"/>
        <v>99803</v>
      </c>
      <c r="F173" s="322">
        <f t="shared" si="149"/>
        <v>96995</v>
      </c>
      <c r="G173" s="322">
        <f t="shared" si="149"/>
        <v>93736</v>
      </c>
      <c r="H173" s="322">
        <f t="shared" si="149"/>
        <v>112010</v>
      </c>
      <c r="L173" s="322">
        <f t="shared" ref="L173:Q173" ca="1" si="150">L39</f>
        <v>124123.69682660015</v>
      </c>
      <c r="M173" s="322">
        <f t="shared" ca="1" si="150"/>
        <v>131011.88891224196</v>
      </c>
      <c r="N173" s="322">
        <f t="shared" ca="1" si="150"/>
        <v>144599.76352658766</v>
      </c>
      <c r="O173" s="322">
        <f t="shared" ca="1" si="150"/>
        <v>156542.2458385175</v>
      </c>
      <c r="P173" s="322">
        <f t="shared" ca="1" si="150"/>
        <v>165804.07319789359</v>
      </c>
      <c r="Q173" s="322">
        <f t="shared" ca="1" si="150"/>
        <v>172423.88541820311</v>
      </c>
    </row>
    <row r="174" spans="2:20">
      <c r="B174" s="66" t="s">
        <v>657</v>
      </c>
      <c r="C174" s="359">
        <f>'Historical Financials'!G108</f>
        <v>-14081</v>
      </c>
      <c r="D174" s="359">
        <f>'Historical Financials'!H108</f>
        <v>-14467</v>
      </c>
      <c r="E174" s="359">
        <f>'Historical Financials'!I108</f>
        <v>-14841</v>
      </c>
      <c r="F174" s="359">
        <f>'Historical Financials'!J108</f>
        <v>-14875</v>
      </c>
      <c r="G174" s="359">
        <f>'Historical Financials'!K108</f>
        <v>-15234</v>
      </c>
      <c r="H174" s="359">
        <f>'Historical Financials'!L108</f>
        <v>-15421</v>
      </c>
      <c r="L174" s="319">
        <f>H174</f>
        <v>-15421</v>
      </c>
      <c r="M174" s="319">
        <f ca="1">-(M173*M177)</f>
        <v>-18037.089000229294</v>
      </c>
      <c r="N174" s="319">
        <f ca="1">-(N173*N177)</f>
        <v>-19907.802458204696</v>
      </c>
      <c r="O174" s="319">
        <f ca="1">-(O173*O177)</f>
        <v>-21551.986189409679</v>
      </c>
      <c r="P174" s="319">
        <f ca="1">-(P173*P177)</f>
        <v>-22827.110193596258</v>
      </c>
      <c r="Q174" s="319">
        <f ca="1">-(Q173*Q177)</f>
        <v>-23738.494215106777</v>
      </c>
    </row>
    <row r="175" spans="2:20">
      <c r="B175" s="66" t="s">
        <v>658</v>
      </c>
      <c r="C175" s="359">
        <f>'Historical Financials'!G104</f>
        <v>-72358</v>
      </c>
      <c r="D175" s="359">
        <f>'Historical Financials'!H104</f>
        <v>-85971</v>
      </c>
      <c r="E175" s="359">
        <f>'Historical Financials'!I104</f>
        <v>-89402</v>
      </c>
      <c r="F175" s="359">
        <f>'Historical Financials'!J104</f>
        <v>-77550</v>
      </c>
      <c r="G175" s="359">
        <f>'Historical Financials'!K104</f>
        <v>-94949</v>
      </c>
      <c r="H175" s="359">
        <f>'Historical Financials'!L104</f>
        <v>-90711</v>
      </c>
      <c r="L175" s="11">
        <f>H175</f>
        <v>-90711</v>
      </c>
      <c r="M175" s="11">
        <f>L175</f>
        <v>-90711</v>
      </c>
      <c r="N175" s="11">
        <f t="shared" ref="N175:Q175" si="151">M175</f>
        <v>-90711</v>
      </c>
      <c r="O175" s="11">
        <f t="shared" si="151"/>
        <v>-90711</v>
      </c>
      <c r="P175" s="11">
        <f t="shared" si="151"/>
        <v>-90711</v>
      </c>
      <c r="Q175" s="11">
        <f t="shared" si="151"/>
        <v>-90711</v>
      </c>
      <c r="T175" s="8" t="s">
        <v>643</v>
      </c>
    </row>
    <row r="176" spans="2:20">
      <c r="B176" s="356" t="s">
        <v>160</v>
      </c>
      <c r="C176" s="358">
        <f t="shared" ref="C176:H176" si="152">C99</f>
        <v>14966</v>
      </c>
      <c r="D176" s="358">
        <f t="shared" si="152"/>
        <v>5562</v>
      </c>
      <c r="E176" s="358">
        <f t="shared" si="152"/>
        <v>-3068</v>
      </c>
      <c r="F176" s="358">
        <f t="shared" si="152"/>
        <v>-214</v>
      </c>
      <c r="G176" s="358">
        <f t="shared" si="152"/>
        <v>-19154</v>
      </c>
      <c r="H176" s="358">
        <f t="shared" si="152"/>
        <v>-14264</v>
      </c>
      <c r="I176" s="357"/>
      <c r="J176" s="357"/>
      <c r="K176" s="357"/>
      <c r="L176" s="358">
        <f t="shared" ref="L176:Q176" ca="1" si="153">SUM(L172:L175)</f>
        <v>3727.6968266001495</v>
      </c>
      <c r="M176" s="358">
        <f t="shared" ca="1" si="153"/>
        <v>25991.496738612826</v>
      </c>
      <c r="N176" s="358">
        <f t="shared" ca="1" si="153"/>
        <v>59972.457806995779</v>
      </c>
      <c r="O176" s="358">
        <f t="shared" ca="1" si="153"/>
        <v>104251.71745610359</v>
      </c>
      <c r="P176" s="358">
        <f t="shared" ca="1" si="153"/>
        <v>156517.68046040097</v>
      </c>
      <c r="Q176" s="358">
        <f t="shared" ca="1" si="153"/>
        <v>214492.07166349731</v>
      </c>
    </row>
    <row r="177" spans="2:20">
      <c r="B177" s="285" t="s">
        <v>413</v>
      </c>
      <c r="C177" s="361">
        <f t="shared" ref="C177:H177" si="154">-(C174/C173)</f>
        <v>0.24526658654264863</v>
      </c>
      <c r="D177" s="361">
        <f t="shared" si="154"/>
        <v>0.15279890156316012</v>
      </c>
      <c r="E177" s="361">
        <f t="shared" si="154"/>
        <v>0.14870294480125848</v>
      </c>
      <c r="F177" s="361">
        <f t="shared" si="154"/>
        <v>0.15335842053714108</v>
      </c>
      <c r="G177" s="361">
        <f t="shared" si="154"/>
        <v>0.16252026969360758</v>
      </c>
      <c r="H177" s="361">
        <f t="shared" si="154"/>
        <v>0.13767520757075261</v>
      </c>
      <c r="L177" s="361">
        <f>H177</f>
        <v>0.13767520757075261</v>
      </c>
      <c r="M177" s="361">
        <f>L177</f>
        <v>0.13767520757075261</v>
      </c>
      <c r="N177" s="361">
        <f t="shared" ref="N177:Q177" si="155">M177</f>
        <v>0.13767520757075261</v>
      </c>
      <c r="O177" s="361">
        <f t="shared" si="155"/>
        <v>0.13767520757075261</v>
      </c>
      <c r="P177" s="361">
        <f t="shared" si="155"/>
        <v>0.13767520757075261</v>
      </c>
      <c r="Q177" s="361">
        <f t="shared" si="155"/>
        <v>0.13767520757075261</v>
      </c>
      <c r="T177" s="8" t="s">
        <v>643</v>
      </c>
    </row>
    <row r="179" spans="2:20">
      <c r="B179" s="37" t="s">
        <v>556</v>
      </c>
      <c r="C179" s="321"/>
      <c r="D179" s="321"/>
      <c r="E179" s="321"/>
      <c r="F179" s="321"/>
      <c r="G179" s="321"/>
      <c r="H179" s="321"/>
      <c r="I179" s="321"/>
      <c r="J179" s="321"/>
      <c r="K179" s="321"/>
      <c r="L179" s="321"/>
      <c r="M179" s="321"/>
      <c r="N179" s="321"/>
      <c r="O179" s="321"/>
      <c r="P179" s="321"/>
      <c r="Q179" s="321"/>
    </row>
    <row r="180" spans="2:20">
      <c r="B180" s="529" t="s">
        <v>165</v>
      </c>
      <c r="C180" s="632">
        <f>'Historical Financials'!E39+'Historical Financials'!E40+'Historical Financials'!E47</f>
        <v>237100</v>
      </c>
      <c r="D180" s="633">
        <f>C80</f>
        <v>191830</v>
      </c>
      <c r="E180" s="633">
        <f>D80</f>
        <v>190516</v>
      </c>
      <c r="F180" s="633">
        <f>E80</f>
        <v>169109</v>
      </c>
      <c r="G180" s="633">
        <f>F80</f>
        <v>162099</v>
      </c>
      <c r="H180" s="633">
        <f>G80</f>
        <v>156650</v>
      </c>
      <c r="I180" s="633"/>
      <c r="J180" s="633"/>
      <c r="K180" s="633"/>
      <c r="L180" s="633">
        <f>H80</f>
        <v>132420</v>
      </c>
      <c r="M180" s="633">
        <f ca="1">L80</f>
        <v>177612.10196534728</v>
      </c>
      <c r="N180" s="633">
        <f ca="1">M80</f>
        <v>210242.55572116369</v>
      </c>
      <c r="O180" s="633">
        <f ca="1">N80</f>
        <v>255152.36871781293</v>
      </c>
      <c r="P180" s="633">
        <f ca="1">O80</f>
        <v>313396.00481596589</v>
      </c>
      <c r="Q180" s="633">
        <f ca="1">P80</f>
        <v>382797.34756259131</v>
      </c>
    </row>
    <row r="181" spans="2:20">
      <c r="B181" s="66" t="s">
        <v>659</v>
      </c>
      <c r="C181" s="236">
        <v>-25000</v>
      </c>
      <c r="D181" s="236">
        <v>-25000</v>
      </c>
      <c r="E181" s="236">
        <v>-25000</v>
      </c>
      <c r="F181" s="236">
        <v>-25000</v>
      </c>
      <c r="G181" s="236">
        <v>-25000</v>
      </c>
      <c r="H181" s="236">
        <v>-25000</v>
      </c>
      <c r="L181" s="236">
        <v>-25000</v>
      </c>
      <c r="M181" s="236">
        <v>-25000</v>
      </c>
      <c r="N181" s="236">
        <v>-25000</v>
      </c>
      <c r="O181" s="236">
        <v>-25000</v>
      </c>
      <c r="P181" s="236">
        <v>-25000</v>
      </c>
      <c r="Q181" s="236">
        <v>-25000</v>
      </c>
      <c r="T181" s="8" t="s">
        <v>651</v>
      </c>
    </row>
    <row r="182" spans="2:20">
      <c r="B182" s="66" t="s">
        <v>660</v>
      </c>
      <c r="C182" s="11">
        <f t="shared" ref="C182:H182" si="156">SUM(C124,C121,C119,C116,C123)</f>
        <v>-7840</v>
      </c>
      <c r="D182" s="11">
        <f t="shared" si="156"/>
        <v>3168</v>
      </c>
      <c r="E182" s="11">
        <f t="shared" si="156"/>
        <v>-7704</v>
      </c>
      <c r="F182" s="11">
        <f t="shared" si="156"/>
        <v>55</v>
      </c>
      <c r="G182" s="11">
        <f t="shared" si="156"/>
        <v>-8276</v>
      </c>
      <c r="H182" s="11">
        <f t="shared" si="156"/>
        <v>-20845</v>
      </c>
      <c r="L182" s="11">
        <f t="shared" ref="L182:Q182" ca="1" si="157">SUM(L124,L121,L119,L116,L123)</f>
        <v>28171.101965347276</v>
      </c>
      <c r="M182" s="11">
        <f t="shared" ca="1" si="157"/>
        <v>32630.453755816416</v>
      </c>
      <c r="N182" s="11">
        <f t="shared" ca="1" si="157"/>
        <v>44909.812996649242</v>
      </c>
      <c r="O182" s="11">
        <f t="shared" ca="1" si="157"/>
        <v>58243.636098152987</v>
      </c>
      <c r="P182" s="11">
        <f t="shared" ca="1" si="157"/>
        <v>69401.342746625451</v>
      </c>
      <c r="Q182" s="11">
        <f t="shared" ca="1" si="157"/>
        <v>79536.925293911016</v>
      </c>
    </row>
    <row r="183" spans="2:20">
      <c r="B183" s="356" t="s">
        <v>653</v>
      </c>
      <c r="C183" s="358">
        <f t="shared" ref="C183:H183" si="158">SUM(C180:C182)</f>
        <v>204260</v>
      </c>
      <c r="D183" s="358">
        <f t="shared" si="158"/>
        <v>169998</v>
      </c>
      <c r="E183" s="358">
        <f t="shared" si="158"/>
        <v>157812</v>
      </c>
      <c r="F183" s="358">
        <f t="shared" si="158"/>
        <v>144164</v>
      </c>
      <c r="G183" s="358">
        <f t="shared" si="158"/>
        <v>128823</v>
      </c>
      <c r="H183" s="358">
        <f t="shared" si="158"/>
        <v>110805</v>
      </c>
      <c r="I183" s="357"/>
      <c r="J183" s="357"/>
      <c r="K183" s="357"/>
      <c r="L183" s="358">
        <f t="shared" ref="L183:Q183" ca="1" si="159">SUM(L180:L182)</f>
        <v>135591.10196534728</v>
      </c>
      <c r="M183" s="358">
        <f t="shared" ca="1" si="159"/>
        <v>185242.55572116369</v>
      </c>
      <c r="N183" s="358">
        <f t="shared" ca="1" si="159"/>
        <v>230152.36871781293</v>
      </c>
      <c r="O183" s="358">
        <f t="shared" ca="1" si="159"/>
        <v>288396.00481596589</v>
      </c>
      <c r="P183" s="358">
        <f t="shared" ca="1" si="159"/>
        <v>357797.34756259131</v>
      </c>
      <c r="Q183" s="358">
        <f t="shared" ca="1" si="159"/>
        <v>437334.27285650233</v>
      </c>
    </row>
    <row r="185" spans="2:20">
      <c r="B185" s="39" t="s">
        <v>166</v>
      </c>
    </row>
    <row r="186" spans="2:20">
      <c r="B186" s="529" t="s">
        <v>157</v>
      </c>
      <c r="C186" s="632">
        <f>'Historical Financials'!E54</f>
        <v>11964</v>
      </c>
      <c r="D186" s="633">
        <f>C189</f>
        <v>4996</v>
      </c>
      <c r="E186" s="633">
        <f t="shared" ref="E186:H186" si="160">D189</f>
        <v>6000</v>
      </c>
      <c r="F186" s="633">
        <f t="shared" si="160"/>
        <v>9982</v>
      </c>
      <c r="G186" s="633">
        <f t="shared" si="160"/>
        <v>5985</v>
      </c>
      <c r="H186" s="633">
        <f t="shared" si="160"/>
        <v>9967</v>
      </c>
      <c r="I186" s="633"/>
      <c r="J186" s="633"/>
      <c r="K186" s="633"/>
      <c r="L186" s="633">
        <f>H189</f>
        <v>7979</v>
      </c>
      <c r="M186" s="633">
        <f ca="1">L189</f>
        <v>25000</v>
      </c>
      <c r="N186" s="633">
        <f t="shared" ref="N186:Q186" ca="1" si="161">M189</f>
        <v>25000</v>
      </c>
      <c r="O186" s="633">
        <f t="shared" ca="1" si="161"/>
        <v>25000</v>
      </c>
      <c r="P186" s="633">
        <f t="shared" ca="1" si="161"/>
        <v>25000</v>
      </c>
      <c r="Q186" s="633">
        <f t="shared" ca="1" si="161"/>
        <v>25000</v>
      </c>
    </row>
    <row r="187" spans="2:20">
      <c r="B187" s="66" t="s">
        <v>167</v>
      </c>
      <c r="C187" s="322">
        <f t="shared" ref="C187:H187" si="162">-MIN(C186,C183)</f>
        <v>-11964</v>
      </c>
      <c r="D187" s="322">
        <f t="shared" si="162"/>
        <v>-4996</v>
      </c>
      <c r="E187" s="322">
        <f t="shared" si="162"/>
        <v>-6000</v>
      </c>
      <c r="F187" s="322">
        <f t="shared" si="162"/>
        <v>-9982</v>
      </c>
      <c r="G187" s="322">
        <f t="shared" si="162"/>
        <v>-5985</v>
      </c>
      <c r="H187" s="322">
        <f t="shared" si="162"/>
        <v>-9967</v>
      </c>
      <c r="L187" s="322">
        <f ca="1">-MIN(L186,L183)</f>
        <v>-7979</v>
      </c>
      <c r="M187" s="322">
        <f t="shared" ref="M187:Q187" ca="1" si="163">-MIN(M186,M183)</f>
        <v>-25000</v>
      </c>
      <c r="N187" s="322">
        <f t="shared" ca="1" si="163"/>
        <v>-25000</v>
      </c>
      <c r="O187" s="322">
        <f t="shared" ca="1" si="163"/>
        <v>-25000</v>
      </c>
      <c r="P187" s="322">
        <f t="shared" ca="1" si="163"/>
        <v>-25000</v>
      </c>
      <c r="Q187" s="322">
        <f t="shared" ca="1" si="163"/>
        <v>-25000</v>
      </c>
    </row>
    <row r="188" spans="2:20">
      <c r="B188" s="66" t="s">
        <v>168</v>
      </c>
      <c r="C188" s="236">
        <v>25000</v>
      </c>
      <c r="D188" s="236">
        <v>25000</v>
      </c>
      <c r="E188" s="236">
        <v>25000</v>
      </c>
      <c r="F188" s="236">
        <v>25000</v>
      </c>
      <c r="G188" s="236">
        <v>25000</v>
      </c>
      <c r="H188" s="236">
        <v>25000</v>
      </c>
      <c r="L188" s="236">
        <v>25000</v>
      </c>
      <c r="M188" s="236">
        <v>25000</v>
      </c>
      <c r="N188" s="236">
        <v>25000</v>
      </c>
      <c r="O188" s="236">
        <v>25000</v>
      </c>
      <c r="P188" s="236">
        <v>25000</v>
      </c>
      <c r="Q188" s="236">
        <v>25000</v>
      </c>
      <c r="T188" s="8" t="s">
        <v>651</v>
      </c>
    </row>
    <row r="189" spans="2:20">
      <c r="B189" s="356" t="s">
        <v>160</v>
      </c>
      <c r="C189" s="358">
        <f t="shared" ref="C189:H189" si="164">C92</f>
        <v>4996</v>
      </c>
      <c r="D189" s="358">
        <f t="shared" si="164"/>
        <v>6000</v>
      </c>
      <c r="E189" s="358">
        <f t="shared" si="164"/>
        <v>9982</v>
      </c>
      <c r="F189" s="358">
        <f t="shared" si="164"/>
        <v>5985</v>
      </c>
      <c r="G189" s="358">
        <f t="shared" si="164"/>
        <v>9967</v>
      </c>
      <c r="H189" s="358">
        <f t="shared" si="164"/>
        <v>7979</v>
      </c>
      <c r="I189" s="357"/>
      <c r="J189" s="357"/>
      <c r="K189" s="357"/>
      <c r="L189" s="358">
        <f t="shared" ref="L189:Q189" ca="1" si="165">SUM(L186:L188)</f>
        <v>25000</v>
      </c>
      <c r="M189" s="358">
        <f t="shared" ca="1" si="165"/>
        <v>25000</v>
      </c>
      <c r="N189" s="358">
        <f t="shared" ca="1" si="165"/>
        <v>25000</v>
      </c>
      <c r="O189" s="358">
        <f t="shared" ca="1" si="165"/>
        <v>25000</v>
      </c>
      <c r="P189" s="358">
        <f t="shared" ca="1" si="165"/>
        <v>25000</v>
      </c>
      <c r="Q189" s="358">
        <f t="shared" ca="1" si="165"/>
        <v>25000</v>
      </c>
    </row>
    <row r="191" spans="2:20">
      <c r="B191" s="100" t="s">
        <v>169</v>
      </c>
      <c r="C191" s="100"/>
      <c r="D191" s="100"/>
      <c r="E191" s="100"/>
      <c r="F191" s="100"/>
      <c r="G191" s="100"/>
      <c r="H191" s="100"/>
      <c r="I191" s="100"/>
      <c r="J191" s="100"/>
      <c r="K191" s="100"/>
      <c r="L191" s="100"/>
      <c r="M191" s="100"/>
      <c r="N191" s="100"/>
      <c r="O191" s="100"/>
      <c r="P191" s="100"/>
      <c r="Q191" s="100"/>
    </row>
    <row r="192" spans="2:20" ht="5.0999999999999996" customHeight="1"/>
    <row r="193" spans="2:20">
      <c r="B193" s="364" t="s">
        <v>170</v>
      </c>
      <c r="C193" s="366">
        <f t="shared" ref="C193:H193" si="166">-C34</f>
        <v>2873</v>
      </c>
      <c r="D193" s="366">
        <f t="shared" si="166"/>
        <v>2645</v>
      </c>
      <c r="E193" s="366">
        <f t="shared" si="166"/>
        <v>2931</v>
      </c>
      <c r="F193" s="366">
        <f t="shared" si="166"/>
        <v>3933</v>
      </c>
      <c r="G193" s="366">
        <f t="shared" si="166"/>
        <v>515</v>
      </c>
      <c r="H193" s="366">
        <f t="shared" si="166"/>
        <v>440</v>
      </c>
      <c r="I193" s="365"/>
      <c r="J193" s="365"/>
      <c r="K193" s="365"/>
      <c r="L193" s="366">
        <f ca="1">+L198+L203</f>
        <v>752.89606709618874</v>
      </c>
      <c r="M193" s="366">
        <f t="shared" ref="M193:Q193" ca="1" si="167">+M198+M203</f>
        <v>1109.4860170961888</v>
      </c>
      <c r="N193" s="366">
        <f t="shared" ca="1" si="167"/>
        <v>1109.4860170961888</v>
      </c>
      <c r="O193" s="366">
        <f t="shared" ca="1" si="167"/>
        <v>1109.4860170961888</v>
      </c>
      <c r="P193" s="366">
        <f t="shared" ca="1" si="167"/>
        <v>1109.4860170961888</v>
      </c>
      <c r="Q193" s="367">
        <f t="shared" ca="1" si="167"/>
        <v>1109.4860170961888</v>
      </c>
    </row>
    <row r="194" spans="2:20" ht="5.0999999999999996" customHeight="1"/>
    <row r="195" spans="2:20">
      <c r="B195" s="110" t="s">
        <v>171</v>
      </c>
    </row>
    <row r="196" spans="2:20">
      <c r="B196" s="66" t="s">
        <v>172</v>
      </c>
      <c r="C196" s="362">
        <v>6.1999999999999998E-3</v>
      </c>
      <c r="D196" s="362">
        <v>5.9999999999999995E-4</v>
      </c>
      <c r="E196" s="362">
        <v>2.3099999999999999E-2</v>
      </c>
      <c r="F196" s="362">
        <v>5.28E-2</v>
      </c>
      <c r="G196" s="362">
        <v>0.05</v>
      </c>
      <c r="H196" s="362">
        <v>4.19E-2</v>
      </c>
      <c r="L196" s="363">
        <f>H196</f>
        <v>4.19E-2</v>
      </c>
      <c r="M196" s="363">
        <f>L196</f>
        <v>4.19E-2</v>
      </c>
      <c r="N196" s="363">
        <f t="shared" ref="N196:Q196" si="168">M196</f>
        <v>4.19E-2</v>
      </c>
      <c r="O196" s="363">
        <f t="shared" si="168"/>
        <v>4.19E-2</v>
      </c>
      <c r="P196" s="363">
        <f t="shared" si="168"/>
        <v>4.19E-2</v>
      </c>
      <c r="Q196" s="363">
        <f t="shared" si="168"/>
        <v>4.19E-2</v>
      </c>
      <c r="T196" s="8" t="s">
        <v>414</v>
      </c>
    </row>
    <row r="197" spans="2:20">
      <c r="B197" s="66" t="s">
        <v>173</v>
      </c>
      <c r="C197" s="11">
        <f t="shared" ref="C197:H197" si="169">C92</f>
        <v>4996</v>
      </c>
      <c r="D197" s="11">
        <f t="shared" si="169"/>
        <v>6000</v>
      </c>
      <c r="E197" s="11">
        <f t="shared" si="169"/>
        <v>9982</v>
      </c>
      <c r="F197" s="11">
        <f t="shared" si="169"/>
        <v>5985</v>
      </c>
      <c r="G197" s="11">
        <f t="shared" si="169"/>
        <v>9967</v>
      </c>
      <c r="H197" s="11">
        <f t="shared" si="169"/>
        <v>7979</v>
      </c>
      <c r="L197" s="11">
        <f t="shared" ref="L197:Q197" ca="1" si="170">L92</f>
        <v>25000</v>
      </c>
      <c r="M197" s="11">
        <f t="shared" ca="1" si="170"/>
        <v>25000</v>
      </c>
      <c r="N197" s="11">
        <f t="shared" ca="1" si="170"/>
        <v>25000</v>
      </c>
      <c r="O197" s="11">
        <f t="shared" ca="1" si="170"/>
        <v>25000</v>
      </c>
      <c r="P197" s="11">
        <f t="shared" ca="1" si="170"/>
        <v>25000</v>
      </c>
      <c r="Q197" s="11">
        <f t="shared" ca="1" si="170"/>
        <v>25000</v>
      </c>
    </row>
    <row r="198" spans="2:20">
      <c r="B198" s="356" t="s">
        <v>350</v>
      </c>
      <c r="C198" s="358">
        <f>AVERAGE(C197,11,964)*C196</f>
        <v>12.340066666666665</v>
      </c>
      <c r="D198" s="358">
        <f>AVERAGE(C197:D197)*D196</f>
        <v>3.2987999999999995</v>
      </c>
      <c r="E198" s="358">
        <f t="shared" ref="E198:H198" si="171">AVERAGE(D197:E197)*E196</f>
        <v>184.59209999999999</v>
      </c>
      <c r="F198" s="358">
        <f t="shared" si="171"/>
        <v>421.52879999999999</v>
      </c>
      <c r="G198" s="358">
        <f t="shared" si="171"/>
        <v>398.8</v>
      </c>
      <c r="H198" s="358">
        <f t="shared" si="171"/>
        <v>375.96870000000001</v>
      </c>
      <c r="I198" s="358"/>
      <c r="J198" s="358"/>
      <c r="K198" s="358"/>
      <c r="L198" s="358">
        <f ca="1">IF($C$8=1,AVERAGE(H197,L197)*L196,0)</f>
        <v>690.91004999999996</v>
      </c>
      <c r="M198" s="358">
        <f ca="1">IF($C$8=1,AVERAGE(L197,M197)*M196,0)</f>
        <v>1047.5</v>
      </c>
      <c r="N198" s="358">
        <f t="shared" ref="N198:Q198" ca="1" si="172">IF($C$8=1,AVERAGE(M197,N197)*N196,0)</f>
        <v>1047.5</v>
      </c>
      <c r="O198" s="358">
        <f t="shared" ca="1" si="172"/>
        <v>1047.5</v>
      </c>
      <c r="P198" s="358">
        <f t="shared" ca="1" si="172"/>
        <v>1047.5</v>
      </c>
      <c r="Q198" s="358">
        <f t="shared" ca="1" si="172"/>
        <v>1047.5</v>
      </c>
    </row>
    <row r="200" spans="2:20">
      <c r="B200" s="110" t="s">
        <v>151</v>
      </c>
    </row>
    <row r="201" spans="2:20">
      <c r="B201" s="66" t="s">
        <v>173</v>
      </c>
      <c r="C201" s="11">
        <f t="shared" ref="C201:H201" si="173">C93</f>
        <v>107440</v>
      </c>
      <c r="D201" s="11">
        <f t="shared" si="173"/>
        <v>118719</v>
      </c>
      <c r="E201" s="11">
        <f t="shared" si="173"/>
        <v>110087</v>
      </c>
      <c r="F201" s="11">
        <f t="shared" si="173"/>
        <v>105103</v>
      </c>
      <c r="G201" s="11">
        <f t="shared" si="173"/>
        <v>96662</v>
      </c>
      <c r="H201" s="11">
        <f t="shared" si="173"/>
        <v>90678</v>
      </c>
      <c r="L201" s="11">
        <f t="shared" ref="L201:Q201" si="174">L93</f>
        <v>90678</v>
      </c>
      <c r="M201" s="11">
        <f t="shared" si="174"/>
        <v>90678</v>
      </c>
      <c r="N201" s="11">
        <f t="shared" si="174"/>
        <v>90678</v>
      </c>
      <c r="O201" s="11">
        <f t="shared" si="174"/>
        <v>90678</v>
      </c>
      <c r="P201" s="11">
        <f t="shared" si="174"/>
        <v>90678</v>
      </c>
      <c r="Q201" s="11">
        <f t="shared" si="174"/>
        <v>90678</v>
      </c>
    </row>
    <row r="202" spans="2:20">
      <c r="B202" s="66" t="s">
        <v>172</v>
      </c>
      <c r="C202" s="360">
        <f>C203/AVERAGE(C201,102,519)</f>
        <v>7.9417919508425791E-2</v>
      </c>
      <c r="D202" s="360">
        <f>D203/AVERAGE(C201:D201)</f>
        <v>2.3361451014551709E-2</v>
      </c>
      <c r="E202" s="360">
        <f>E203/AVERAGE(D201:E201)</f>
        <v>2.4006432523622633E-2</v>
      </c>
      <c r="F202" s="360">
        <f t="shared" ref="F202:H202" si="175">F203/AVERAGE(E201:F201)</f>
        <v>3.2636007249407503E-2</v>
      </c>
      <c r="G202" s="360">
        <f t="shared" si="175"/>
        <v>1.1518350556340296E-3</v>
      </c>
      <c r="H202" s="360">
        <f t="shared" si="175"/>
        <v>6.8358385822568581E-4</v>
      </c>
      <c r="L202" s="360">
        <f>H202</f>
        <v>6.8358385822568581E-4</v>
      </c>
      <c r="M202" s="360">
        <f>L202</f>
        <v>6.8358385822568581E-4</v>
      </c>
      <c r="N202" s="360">
        <f t="shared" ref="N202:Q202" si="176">M202</f>
        <v>6.8358385822568581E-4</v>
      </c>
      <c r="O202" s="360">
        <f t="shared" si="176"/>
        <v>6.8358385822568581E-4</v>
      </c>
      <c r="P202" s="360">
        <f t="shared" si="176"/>
        <v>6.8358385822568581E-4</v>
      </c>
      <c r="Q202" s="360">
        <f t="shared" si="176"/>
        <v>6.8358385822568581E-4</v>
      </c>
      <c r="T202" s="8" t="s">
        <v>643</v>
      </c>
    </row>
    <row r="203" spans="2:20">
      <c r="B203" s="356" t="s">
        <v>350</v>
      </c>
      <c r="C203" s="358">
        <f t="shared" ref="C203:G203" si="177">C193-C198</f>
        <v>2860.6599333333334</v>
      </c>
      <c r="D203" s="358">
        <f t="shared" si="177"/>
        <v>2641.7012</v>
      </c>
      <c r="E203" s="358">
        <f t="shared" si="177"/>
        <v>2746.4079000000002</v>
      </c>
      <c r="F203" s="358">
        <f t="shared" si="177"/>
        <v>3511.4712</v>
      </c>
      <c r="G203" s="358">
        <f t="shared" si="177"/>
        <v>116.19999999999999</v>
      </c>
      <c r="H203" s="358">
        <f>H193-H198</f>
        <v>64.031299999999987</v>
      </c>
      <c r="I203" s="358"/>
      <c r="J203" s="358"/>
      <c r="K203" s="358"/>
      <c r="L203" s="358">
        <f>L202*AVERAGE(L201,H201)</f>
        <v>61.986017096188739</v>
      </c>
      <c r="M203" s="358">
        <f>M202*AVERAGE(M201,L201)</f>
        <v>61.986017096188739</v>
      </c>
      <c r="N203" s="358">
        <f t="shared" ref="N203:Q203" si="178">N202*AVERAGE(N201,M201)</f>
        <v>61.986017096188739</v>
      </c>
      <c r="O203" s="358">
        <f t="shared" si="178"/>
        <v>61.986017096188739</v>
      </c>
      <c r="P203" s="358">
        <f t="shared" si="178"/>
        <v>61.986017096188739</v>
      </c>
      <c r="Q203" s="358">
        <f t="shared" si="178"/>
        <v>61.986017096188739</v>
      </c>
    </row>
    <row r="205" spans="2:20">
      <c r="B205" s="110" t="s">
        <v>174</v>
      </c>
    </row>
    <row r="206" spans="2:20">
      <c r="B206" s="66" t="s">
        <v>175</v>
      </c>
      <c r="C206" s="362">
        <v>0.01</v>
      </c>
      <c r="D206" s="362">
        <v>0.01</v>
      </c>
      <c r="E206" s="362">
        <v>0.01</v>
      </c>
      <c r="F206" s="362">
        <v>0.01</v>
      </c>
      <c r="G206" s="362">
        <v>0.01</v>
      </c>
      <c r="H206" s="362">
        <v>0.01</v>
      </c>
      <c r="L206" s="368">
        <f>H206</f>
        <v>0.01</v>
      </c>
      <c r="M206" s="368">
        <f>L206</f>
        <v>0.01</v>
      </c>
      <c r="N206" s="368">
        <f t="shared" ref="N206:Q206" si="179">M206</f>
        <v>0.01</v>
      </c>
      <c r="O206" s="368">
        <f t="shared" si="179"/>
        <v>0.01</v>
      </c>
      <c r="P206" s="368">
        <f t="shared" si="179"/>
        <v>0.01</v>
      </c>
      <c r="Q206" s="368">
        <f t="shared" si="179"/>
        <v>0.01</v>
      </c>
    </row>
    <row r="207" spans="2:20">
      <c r="B207" s="356" t="s">
        <v>342</v>
      </c>
      <c r="C207" s="358">
        <f t="shared" ref="C207:H207" si="180">C33</f>
        <v>3763</v>
      </c>
      <c r="D207" s="358">
        <f t="shared" si="180"/>
        <v>2843</v>
      </c>
      <c r="E207" s="358">
        <f t="shared" si="180"/>
        <v>2825</v>
      </c>
      <c r="F207" s="358">
        <f t="shared" si="180"/>
        <v>3750</v>
      </c>
      <c r="G207" s="358">
        <f t="shared" si="180"/>
        <v>1583.29575</v>
      </c>
      <c r="H207" s="358">
        <f t="shared" si="180"/>
        <v>1410</v>
      </c>
      <c r="I207" s="358"/>
      <c r="J207" s="358"/>
      <c r="K207" s="358"/>
      <c r="L207" s="358">
        <f ca="1">IF($C$8=1,AVERAGE(H80,L80)*L206,0)</f>
        <v>1550.1605098267366</v>
      </c>
      <c r="M207" s="358">
        <f ca="1">IF($C$8=1,AVERAGE(L80,M80)*M206,0)</f>
        <v>1939.2732884325546</v>
      </c>
      <c r="N207" s="358">
        <f ca="1">IF($C$8=1,AVERAGE(M80,N80)*N206,0)</f>
        <v>2326.9746221948831</v>
      </c>
      <c r="O207" s="358">
        <f ca="1">IF($C$8=1,AVERAGE(N80,O80)*O206,0)</f>
        <v>2842.741867668894</v>
      </c>
      <c r="P207" s="358">
        <f ca="1">IF($C$8=1,AVERAGE(O80,P80)*P206,0)</f>
        <v>3480.9667618927861</v>
      </c>
      <c r="Q207" s="358">
        <f ca="1">IF($C$8=1,AVERAGE(P80,Q80)*Q206,0)</f>
        <v>4225.6581020954682</v>
      </c>
    </row>
    <row r="209" spans="2:17">
      <c r="B209" s="100" t="s">
        <v>176</v>
      </c>
    </row>
    <row r="210" spans="2:17">
      <c r="B210" s="8" t="s">
        <v>17</v>
      </c>
      <c r="C210" s="11">
        <f t="shared" ref="C210:H210" si="181">C39</f>
        <v>57411</v>
      </c>
      <c r="D210" s="11">
        <f t="shared" si="181"/>
        <v>94680</v>
      </c>
      <c r="E210" s="11">
        <f t="shared" si="181"/>
        <v>99803</v>
      </c>
      <c r="F210" s="11">
        <f t="shared" si="181"/>
        <v>96995</v>
      </c>
      <c r="G210" s="11">
        <f t="shared" si="181"/>
        <v>93736</v>
      </c>
      <c r="H210" s="11">
        <f t="shared" si="181"/>
        <v>112010</v>
      </c>
      <c r="L210" s="11">
        <f t="shared" ref="L210:Q210" ca="1" si="182">L39</f>
        <v>124123.69682660015</v>
      </c>
      <c r="M210" s="11">
        <f t="shared" ca="1" si="182"/>
        <v>131011.88891224196</v>
      </c>
      <c r="N210" s="11">
        <f t="shared" ca="1" si="182"/>
        <v>144599.76352658766</v>
      </c>
      <c r="O210" s="11">
        <f t="shared" ca="1" si="182"/>
        <v>156542.2458385175</v>
      </c>
      <c r="P210" s="11">
        <f t="shared" ca="1" si="182"/>
        <v>165804.07319789359</v>
      </c>
      <c r="Q210" s="11">
        <f t="shared" ca="1" si="182"/>
        <v>172423.88541820311</v>
      </c>
    </row>
    <row r="211" spans="2:17">
      <c r="B211" s="8" t="s">
        <v>177</v>
      </c>
      <c r="C211" s="359">
        <f>'Historical Financials'!G29</f>
        <v>17352.118999999999</v>
      </c>
      <c r="D211" s="359">
        <f>'Historical Financials'!H29</f>
        <v>16701.272000000001</v>
      </c>
      <c r="E211" s="359">
        <f>'Historical Financials'!I29</f>
        <v>16215.963</v>
      </c>
      <c r="F211" s="359">
        <f>'Historical Financials'!J29</f>
        <v>15744.231</v>
      </c>
      <c r="G211" s="359">
        <f>'Historical Financials'!K29</f>
        <v>15343.782999999999</v>
      </c>
      <c r="H211" s="359">
        <f>'Historical Financials'!L29</f>
        <v>14948.5</v>
      </c>
      <c r="L211" s="319">
        <f ca="1">H211+(-L217+L218)/L219</f>
        <v>14666.307421206629</v>
      </c>
      <c r="M211" s="319">
        <f ca="1">L211+(-M217+M218)/M219</f>
        <v>14402.209599513526</v>
      </c>
      <c r="N211" s="319">
        <f t="shared" ref="N211:Q211" ca="1" si="183">M211+(-N217+N218)/N219</f>
        <v>14166.545560241273</v>
      </c>
      <c r="O211" s="319">
        <f t="shared" ca="1" si="183"/>
        <v>13951.966328842283</v>
      </c>
      <c r="P211" s="319">
        <f ca="1">O211+(-P217+P218)/P219</f>
        <v>13751.809572938757</v>
      </c>
      <c r="Q211" s="319">
        <f t="shared" ca="1" si="183"/>
        <v>13562.100137571444</v>
      </c>
    </row>
    <row r="212" spans="2:17">
      <c r="B212" s="356" t="s">
        <v>105</v>
      </c>
      <c r="C212" s="369">
        <f>C210/C211</f>
        <v>3.3085872682177895</v>
      </c>
      <c r="D212" s="369">
        <f t="shared" ref="D212:H212" si="184">D210/D211</f>
        <v>5.6690292811230183</v>
      </c>
      <c r="E212" s="369">
        <f t="shared" si="184"/>
        <v>6.1546144376377772</v>
      </c>
      <c r="F212" s="369">
        <f t="shared" si="184"/>
        <v>6.1606692635543778</v>
      </c>
      <c r="G212" s="369">
        <f t="shared" si="184"/>
        <v>6.1090540709549925</v>
      </c>
      <c r="H212" s="369">
        <f t="shared" si="184"/>
        <v>7.4930595042980901</v>
      </c>
      <c r="I212" s="358"/>
      <c r="J212" s="358"/>
      <c r="K212" s="358"/>
      <c r="L212" s="369">
        <f t="shared" ref="L212" ca="1" si="185">L210/L211</f>
        <v>8.463186626452714</v>
      </c>
      <c r="M212" s="369">
        <f t="shared" ref="M212" ca="1" si="186">M210/M211</f>
        <v>9.0966520107211366</v>
      </c>
      <c r="N212" s="369">
        <f t="shared" ref="N212" ca="1" si="187">N210/N211</f>
        <v>10.207129388861752</v>
      </c>
      <c r="O212" s="369">
        <f t="shared" ref="O212" ca="1" si="188">O210/O211</f>
        <v>11.22008483599223</v>
      </c>
      <c r="P212" s="369">
        <f t="shared" ref="P212" ca="1" si="189">P210/P211</f>
        <v>12.0568912999034</v>
      </c>
      <c r="Q212" s="369">
        <f t="shared" ref="Q212" ca="1" si="190">Q210/Q211</f>
        <v>12.713656710182567</v>
      </c>
    </row>
    <row r="213" spans="2:17" ht="5.0999999999999996" customHeight="1"/>
    <row r="214" spans="2:17">
      <c r="B214" s="8" t="s">
        <v>178</v>
      </c>
      <c r="C214" s="359">
        <f>'Historical Financials'!G32</f>
        <v>17528.214</v>
      </c>
      <c r="D214" s="359">
        <f>'Historical Financials'!H32</f>
        <v>16864.919000000002</v>
      </c>
      <c r="E214" s="359">
        <f>'Historical Financials'!I32</f>
        <v>16325.819</v>
      </c>
      <c r="F214" s="359">
        <f>'Historical Financials'!J32</f>
        <v>15812.547</v>
      </c>
      <c r="G214" s="359">
        <f>'Historical Financials'!K32</f>
        <v>15408.094999999999</v>
      </c>
      <c r="H214" s="359">
        <f>'Historical Financials'!L32</f>
        <v>15004.697</v>
      </c>
      <c r="L214" s="319">
        <f ca="1">+H214+L211-H211</f>
        <v>14722.504421206628</v>
      </c>
      <c r="M214" s="319">
        <f ca="1">+L214+M211-L211</f>
        <v>14458.406599513522</v>
      </c>
      <c r="N214" s="319">
        <f t="shared" ref="N214:Q214" ca="1" si="191">+M214+N211-M211</f>
        <v>14222.742560241268</v>
      </c>
      <c r="O214" s="319">
        <f t="shared" ca="1" si="191"/>
        <v>14008.163328842278</v>
      </c>
      <c r="P214" s="319">
        <f t="shared" ca="1" si="191"/>
        <v>13808.006572938752</v>
      </c>
      <c r="Q214" s="319">
        <f t="shared" ca="1" si="191"/>
        <v>13618.297137571441</v>
      </c>
    </row>
    <row r="215" spans="2:17">
      <c r="B215" s="356" t="s">
        <v>107</v>
      </c>
      <c r="C215" s="369">
        <f>C210/C214</f>
        <v>3.2753479618630856</v>
      </c>
      <c r="D215" s="369">
        <f t="shared" ref="D215:H215" si="192">D210/D214</f>
        <v>5.6140204408927188</v>
      </c>
      <c r="E215" s="369">
        <f t="shared" si="192"/>
        <v>6.1132002014722815</v>
      </c>
      <c r="F215" s="369">
        <f t="shared" si="192"/>
        <v>6.1340529138031972</v>
      </c>
      <c r="G215" s="369">
        <f t="shared" si="192"/>
        <v>6.0835554297919376</v>
      </c>
      <c r="H215" s="369">
        <f t="shared" si="192"/>
        <v>7.4649957943169394</v>
      </c>
      <c r="I215" s="358"/>
      <c r="J215" s="358"/>
      <c r="K215" s="358"/>
      <c r="L215" s="369">
        <f t="shared" ref="L215" ca="1" si="193">L210/L214</f>
        <v>8.4308819529243664</v>
      </c>
      <c r="M215" s="369">
        <f t="shared" ref="M215" ca="1" si="194">M210/M214</f>
        <v>9.0612951026463779</v>
      </c>
      <c r="N215" s="369">
        <f t="shared" ref="N215" ca="1" si="195">N210/N214</f>
        <v>10.166798907744186</v>
      </c>
      <c r="O215" s="369">
        <f t="shared" ref="O215" ca="1" si="196">O210/O214</f>
        <v>11.175072860280187</v>
      </c>
      <c r="P215" s="369">
        <f t="shared" ref="P215" ca="1" si="197">P210/P214</f>
        <v>12.007821137834641</v>
      </c>
      <c r="Q215" s="369">
        <f t="shared" ref="Q215" ca="1" si="198">Q210/Q214</f>
        <v>12.661192781768865</v>
      </c>
    </row>
    <row r="216" spans="2:17" ht="5.0999999999999996" customHeight="1"/>
    <row r="217" spans="2:17">
      <c r="B217" s="66" t="s">
        <v>179</v>
      </c>
      <c r="C217" s="11">
        <f t="shared" ref="C217:H217" si="199">-C175</f>
        <v>72358</v>
      </c>
      <c r="D217" s="11">
        <f t="shared" si="199"/>
        <v>85971</v>
      </c>
      <c r="E217" s="11">
        <f t="shared" si="199"/>
        <v>89402</v>
      </c>
      <c r="F217" s="11">
        <f t="shared" si="199"/>
        <v>77550</v>
      </c>
      <c r="G217" s="11">
        <f t="shared" si="199"/>
        <v>94949</v>
      </c>
      <c r="H217" s="11">
        <f t="shared" si="199"/>
        <v>90711</v>
      </c>
      <c r="L217" s="11">
        <f t="shared" ref="L217:Q217" si="200">-L175</f>
        <v>90711</v>
      </c>
      <c r="M217" s="11">
        <f t="shared" si="200"/>
        <v>90711</v>
      </c>
      <c r="N217" s="11">
        <f t="shared" si="200"/>
        <v>90711</v>
      </c>
      <c r="O217" s="11">
        <f t="shared" si="200"/>
        <v>90711</v>
      </c>
      <c r="P217" s="11">
        <f t="shared" si="200"/>
        <v>90711</v>
      </c>
      <c r="Q217" s="11">
        <f t="shared" si="200"/>
        <v>90711</v>
      </c>
    </row>
    <row r="218" spans="2:17">
      <c r="B218" s="66" t="s">
        <v>180</v>
      </c>
      <c r="C218" s="72">
        <f t="shared" ref="C218:H218" si="201">C44</f>
        <v>6829</v>
      </c>
      <c r="D218" s="72">
        <f t="shared" si="201"/>
        <v>7906</v>
      </c>
      <c r="E218" s="72">
        <f t="shared" si="201"/>
        <v>9038</v>
      </c>
      <c r="F218" s="72">
        <f t="shared" si="201"/>
        <v>10833</v>
      </c>
      <c r="G218" s="72">
        <f t="shared" si="201"/>
        <v>11688</v>
      </c>
      <c r="H218" s="72">
        <f t="shared" si="201"/>
        <v>12863</v>
      </c>
      <c r="L218" s="72">
        <f t="shared" ref="L218:Q218" ca="1" si="202">L44</f>
        <v>14233.989221208752</v>
      </c>
      <c r="M218" s="72">
        <f t="shared" ca="1" si="202"/>
        <v>15165.927602745995</v>
      </c>
      <c r="N218" s="72">
        <f t="shared" ca="1" si="202"/>
        <v>16307.817169188045</v>
      </c>
      <c r="O218" s="72">
        <f t="shared" ca="1" si="202"/>
        <v>17369.487871948892</v>
      </c>
      <c r="P218" s="72">
        <f t="shared" ca="1" si="202"/>
        <v>18251.378160961736</v>
      </c>
      <c r="Q218" s="72">
        <f t="shared" ca="1" si="202"/>
        <v>19291.472427662153</v>
      </c>
    </row>
    <row r="219" spans="2:17">
      <c r="B219" s="66" t="s">
        <v>181</v>
      </c>
      <c r="C219" s="370">
        <v>82.31</v>
      </c>
      <c r="D219" s="370">
        <v>174.54</v>
      </c>
      <c r="E219" s="370">
        <v>152.09</v>
      </c>
      <c r="F219" s="370">
        <v>170.51</v>
      </c>
      <c r="G219" s="370">
        <v>205.84</v>
      </c>
      <c r="H219" s="370">
        <v>255.46</v>
      </c>
      <c r="L219" s="371">
        <f>C9</f>
        <v>271.01</v>
      </c>
      <c r="M219" s="139">
        <f ca="1">SUM(L219*M220)+L219</f>
        <v>286.04958538825707</v>
      </c>
      <c r="N219" s="139">
        <f t="shared" ref="N219:Q219" ca="1" si="203">SUM(M219*N220)+M219</f>
        <v>315.71716694907849</v>
      </c>
      <c r="O219" s="139">
        <f t="shared" ca="1" si="203"/>
        <v>341.79222122237746</v>
      </c>
      <c r="P219" s="139">
        <f t="shared" ca="1" si="203"/>
        <v>362.01436974709497</v>
      </c>
      <c r="Q219" s="139">
        <f t="shared" ca="1" si="203"/>
        <v>376.46797816912203</v>
      </c>
    </row>
    <row r="220" spans="2:17">
      <c r="B220" s="66" t="s">
        <v>182</v>
      </c>
      <c r="C220" s="418"/>
      <c r="D220" s="361">
        <f>SUM(D219/C219)-1</f>
        <v>1.1205199854209695</v>
      </c>
      <c r="E220" s="361">
        <f t="shared" ref="E220:H220" si="204">SUM(E219/D219)-1</f>
        <v>-0.12862381116076538</v>
      </c>
      <c r="F220" s="361">
        <f t="shared" si="204"/>
        <v>0.12111249917811806</v>
      </c>
      <c r="G220" s="361">
        <f t="shared" si="204"/>
        <v>0.20720192364084222</v>
      </c>
      <c r="H220" s="361">
        <f t="shared" si="204"/>
        <v>0.24106101826661486</v>
      </c>
      <c r="L220" s="418"/>
      <c r="M220" s="361">
        <f ca="1">SUM(M210/L210)-1</f>
        <v>5.5494577278539792E-2</v>
      </c>
      <c r="N220" s="361">
        <f t="shared" ref="N220:Q220" ca="1" si="205">SUM(N210/M210)-1</f>
        <v>0.10371482105297725</v>
      </c>
      <c r="O220" s="361">
        <f t="shared" ca="1" si="205"/>
        <v>8.2589915921501333E-2</v>
      </c>
      <c r="P220" s="361">
        <f t="shared" ca="1" si="205"/>
        <v>5.9165034395445071E-2</v>
      </c>
      <c r="Q220" s="361">
        <f t="shared" ca="1" si="205"/>
        <v>3.9925510228017824E-2</v>
      </c>
    </row>
    <row r="222" spans="2:17">
      <c r="B222" s="100" t="s">
        <v>591</v>
      </c>
    </row>
    <row r="223" spans="2:17">
      <c r="B223" s="8" t="s">
        <v>592</v>
      </c>
      <c r="C223" s="139">
        <f>C219</f>
        <v>82.31</v>
      </c>
      <c r="D223" s="139">
        <f t="shared" ref="D223:H223" si="206">D219</f>
        <v>174.54</v>
      </c>
      <c r="E223" s="139">
        <f t="shared" si="206"/>
        <v>152.09</v>
      </c>
      <c r="F223" s="139">
        <f t="shared" si="206"/>
        <v>170.51</v>
      </c>
      <c r="G223" s="139">
        <f t="shared" si="206"/>
        <v>205.84</v>
      </c>
      <c r="H223" s="139">
        <f t="shared" si="206"/>
        <v>255.46</v>
      </c>
      <c r="L223" s="139">
        <f t="shared" ref="L223:Q223" si="207">L219</f>
        <v>271.01</v>
      </c>
      <c r="M223" s="139">
        <f t="shared" ca="1" si="207"/>
        <v>286.04958538825707</v>
      </c>
      <c r="N223" s="139">
        <f t="shared" ca="1" si="207"/>
        <v>315.71716694907849</v>
      </c>
      <c r="O223" s="139">
        <f t="shared" ca="1" si="207"/>
        <v>341.79222122237746</v>
      </c>
      <c r="P223" s="139">
        <f t="shared" ca="1" si="207"/>
        <v>362.01436974709497</v>
      </c>
      <c r="Q223" s="139">
        <f t="shared" ca="1" si="207"/>
        <v>376.46797816912203</v>
      </c>
    </row>
    <row r="224" spans="2:17">
      <c r="B224" s="8" t="s">
        <v>105</v>
      </c>
      <c r="C224" s="139">
        <f>C212</f>
        <v>3.3085872682177895</v>
      </c>
      <c r="D224" s="139">
        <f t="shared" ref="D224:H224" si="208">D212</f>
        <v>5.6690292811230183</v>
      </c>
      <c r="E224" s="139">
        <f t="shared" si="208"/>
        <v>6.1546144376377772</v>
      </c>
      <c r="F224" s="139">
        <f t="shared" si="208"/>
        <v>6.1606692635543778</v>
      </c>
      <c r="G224" s="139">
        <f t="shared" si="208"/>
        <v>6.1090540709549925</v>
      </c>
      <c r="H224" s="139">
        <f t="shared" si="208"/>
        <v>7.4930595042980901</v>
      </c>
      <c r="L224" s="139">
        <f t="shared" ref="L224:Q224" ca="1" si="209">L212</f>
        <v>8.463186626452714</v>
      </c>
      <c r="M224" s="139">
        <f t="shared" ca="1" si="209"/>
        <v>9.0966520107211366</v>
      </c>
      <c r="N224" s="139">
        <f t="shared" ca="1" si="209"/>
        <v>10.207129388861752</v>
      </c>
      <c r="O224" s="139">
        <f t="shared" ca="1" si="209"/>
        <v>11.22008483599223</v>
      </c>
      <c r="P224" s="139">
        <f t="shared" ca="1" si="209"/>
        <v>12.0568912999034</v>
      </c>
      <c r="Q224" s="139">
        <f t="shared" ca="1" si="209"/>
        <v>12.713656710182567</v>
      </c>
    </row>
    <row r="225" spans="2:17">
      <c r="B225" s="356" t="s">
        <v>589</v>
      </c>
      <c r="C225" s="581">
        <f>C223/C224</f>
        <v>24.877687462158821</v>
      </c>
      <c r="D225" s="581">
        <f t="shared" ref="D225:H225" si="210">D223/D224</f>
        <v>30.788339827629912</v>
      </c>
      <c r="E225" s="581">
        <f t="shared" si="210"/>
        <v>24.711539860224644</v>
      </c>
      <c r="F225" s="581">
        <f t="shared" si="210"/>
        <v>27.677187770606729</v>
      </c>
      <c r="G225" s="581">
        <f t="shared" si="210"/>
        <v>33.694250797132369</v>
      </c>
      <c r="H225" s="581">
        <f t="shared" si="210"/>
        <v>34.092882867601105</v>
      </c>
      <c r="I225" s="581"/>
      <c r="J225" s="581"/>
      <c r="K225" s="581"/>
      <c r="L225" s="581">
        <f t="shared" ref="L225" ca="1" si="211">L223/L224</f>
        <v>32.022217157887724</v>
      </c>
      <c r="M225" s="581">
        <f t="shared" ref="M225" ca="1" si="212">M223/M224</f>
        <v>31.445589547794576</v>
      </c>
      <c r="N225" s="581">
        <f t="shared" ref="N225" ca="1" si="213">N223/N224</f>
        <v>30.93104387347104</v>
      </c>
      <c r="O225" s="581">
        <f t="shared" ref="O225" ca="1" si="214">O223/O224</f>
        <v>30.462534483336785</v>
      </c>
      <c r="P225" s="581">
        <f t="shared" ref="P225" ca="1" si="215">P223/P224</f>
        <v>30.025514931033296</v>
      </c>
      <c r="Q225" s="581">
        <f t="shared" ref="Q225" ca="1" si="216">Q223/Q224</f>
        <v>29.611305917014647</v>
      </c>
    </row>
    <row r="226" spans="2:17" ht="5.0999999999999996" customHeight="1">
      <c r="B226" s="579"/>
      <c r="C226" s="580"/>
      <c r="D226" s="580"/>
      <c r="E226" s="580"/>
      <c r="F226" s="580"/>
      <c r="G226" s="580"/>
      <c r="H226" s="580"/>
    </row>
    <row r="227" spans="2:17">
      <c r="B227" s="8" t="s">
        <v>107</v>
      </c>
      <c r="C227" s="139">
        <f>C215</f>
        <v>3.2753479618630856</v>
      </c>
      <c r="D227" s="139">
        <f t="shared" ref="D227:H227" si="217">D215</f>
        <v>5.6140204408927188</v>
      </c>
      <c r="E227" s="139">
        <f t="shared" si="217"/>
        <v>6.1132002014722815</v>
      </c>
      <c r="F227" s="139">
        <f t="shared" si="217"/>
        <v>6.1340529138031972</v>
      </c>
      <c r="G227" s="139">
        <f t="shared" si="217"/>
        <v>6.0835554297919376</v>
      </c>
      <c r="H227" s="139">
        <f t="shared" si="217"/>
        <v>7.4649957943169394</v>
      </c>
      <c r="L227" s="139">
        <f t="shared" ref="L227:Q227" ca="1" si="218">L215</f>
        <v>8.4308819529243664</v>
      </c>
      <c r="M227" s="139">
        <f t="shared" ca="1" si="218"/>
        <v>9.0612951026463779</v>
      </c>
      <c r="N227" s="139">
        <f t="shared" ca="1" si="218"/>
        <v>10.166798907744186</v>
      </c>
      <c r="O227" s="139">
        <f t="shared" ca="1" si="218"/>
        <v>11.175072860280187</v>
      </c>
      <c r="P227" s="139">
        <f t="shared" ca="1" si="218"/>
        <v>12.007821137834641</v>
      </c>
      <c r="Q227" s="139">
        <f t="shared" ca="1" si="218"/>
        <v>12.661192781768865</v>
      </c>
    </row>
    <row r="228" spans="2:17">
      <c r="B228" s="356" t="s">
        <v>590</v>
      </c>
      <c r="C228" s="581">
        <f>C223/C227</f>
        <v>25.130154401421329</v>
      </c>
      <c r="D228" s="581">
        <f t="shared" ref="D228:H228" si="219">D223/D227</f>
        <v>31.090018612801014</v>
      </c>
      <c r="E228" s="581">
        <f t="shared" si="219"/>
        <v>24.878949647906374</v>
      </c>
      <c r="F228" s="581">
        <f t="shared" si="219"/>
        <v>27.797282220423732</v>
      </c>
      <c r="G228" s="581">
        <f t="shared" si="219"/>
        <v>33.835477029103011</v>
      </c>
      <c r="H228" s="581">
        <f t="shared" si="219"/>
        <v>34.221050759932147</v>
      </c>
      <c r="I228" s="581"/>
      <c r="J228" s="581"/>
      <c r="K228" s="581"/>
      <c r="L228" s="581">
        <f t="shared" ref="L228" ca="1" si="220">L223/L227</f>
        <v>32.144916927225687</v>
      </c>
      <c r="M228" s="581">
        <f t="shared" ref="M228" ca="1" si="221">M223/M227</f>
        <v>31.568289317132542</v>
      </c>
      <c r="N228" s="581">
        <f t="shared" ref="N228" ca="1" si="222">N223/N227</f>
        <v>31.053743642809</v>
      </c>
      <c r="O228" s="581">
        <f t="shared" ref="O228" ca="1" si="223">O223/O227</f>
        <v>30.585234252674741</v>
      </c>
      <c r="P228" s="581">
        <f t="shared" ref="P228" ca="1" si="224">P223/P227</f>
        <v>30.148214700371252</v>
      </c>
      <c r="Q228" s="581">
        <f t="shared" ref="Q228" ca="1" si="225">Q223/Q227</f>
        <v>29.73400568635261</v>
      </c>
    </row>
  </sheetData>
  <dataValidations count="3">
    <dataValidation type="list" allowBlank="1" showInputMessage="1" showErrorMessage="1" sqref="C8" xr:uid="{AAB3DAC8-D60F-4954-AA36-AF1850D83D8A}">
      <formula1>"0,1"</formula1>
    </dataValidation>
    <dataValidation type="list" allowBlank="1" showInputMessage="1" showErrorMessage="1" sqref="B17 B4" xr:uid="{73E10291-801C-4A17-BE48-985B3ECE430E}">
      <formula1>"$ bns except per share, $ mm except per share,$ in thousands except per share"</formula1>
    </dataValidation>
    <dataValidation type="list" allowBlank="1" showInputMessage="1" showErrorMessage="1" sqref="E149" xr:uid="{E3826A5F-EDF6-4A95-8411-A6C101DD9E50}">
      <formula1>"1,.5"</formula1>
    </dataValidation>
  </dataValidations>
  <pageMargins left="0.7" right="0.7" top="0.75" bottom="0.75" header="0.3" footer="0.3"/>
  <ignoredErrors>
    <ignoredError sqref="M99:Q99 L172:Q173 L175:Q176 M174:Q174" formula="1"/>
    <ignoredError sqref="M109:Q112"/>
    <ignoredError sqref="J112:J123" evalError="1"/>
    <ignoredError sqref="L35:Q35" formulaRange="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2256D-65B6-4B0E-9021-47026922ECAC}">
  <sheetPr>
    <tabColor theme="3" tint="0.39997558519241921"/>
  </sheetPr>
  <dimension ref="B2:M82"/>
  <sheetViews>
    <sheetView showGridLines="0" topLeftCell="A25" zoomScaleNormal="100" workbookViewId="0">
      <selection activeCell="G23" sqref="G23"/>
    </sheetView>
  </sheetViews>
  <sheetFormatPr defaultColWidth="8" defaultRowHeight="12"/>
  <cols>
    <col min="1" max="1" width="1.25" style="8" customWidth="1"/>
    <col min="2" max="2" width="34.375" style="8" bestFit="1" customWidth="1"/>
    <col min="3" max="3" width="11.75" style="8" customWidth="1"/>
    <col min="4" max="4" width="0.875" style="8" customWidth="1"/>
    <col min="5" max="5" width="11.125" style="8" customWidth="1"/>
    <col min="6" max="6" width="0.875" style="8" customWidth="1"/>
    <col min="7" max="7" width="12.375" style="8" customWidth="1"/>
    <col min="8" max="12" width="11.125" style="8" customWidth="1"/>
    <col min="13" max="13" width="1.5" style="8" customWidth="1"/>
    <col min="14" max="14" width="10.625" style="8" bestFit="1" customWidth="1"/>
    <col min="15" max="19" width="8.25" style="8" customWidth="1"/>
    <col min="20" max="16384" width="8" style="8"/>
  </cols>
  <sheetData>
    <row r="2" spans="2:13">
      <c r="B2" s="1" t="str">
        <f>'Historical Financials'!B2</f>
        <v>Apple Inc. (NASDAQ: AAPL)</v>
      </c>
      <c r="C2" s="1"/>
      <c r="D2" s="1"/>
      <c r="E2" s="1"/>
      <c r="F2" s="1"/>
      <c r="G2" s="1"/>
      <c r="H2" s="1"/>
      <c r="I2" s="1"/>
      <c r="J2" s="1"/>
      <c r="K2" s="1"/>
      <c r="L2" s="404"/>
    </row>
    <row r="3" spans="2:13">
      <c r="B3" s="6" t="s">
        <v>252</v>
      </c>
      <c r="C3" s="1"/>
      <c r="D3" s="1"/>
      <c r="E3" s="1"/>
      <c r="F3" s="1"/>
      <c r="G3" s="1"/>
      <c r="H3" s="1"/>
      <c r="I3" s="1"/>
      <c r="J3" s="1"/>
      <c r="K3" s="1"/>
      <c r="L3" s="404"/>
    </row>
    <row r="4" spans="2:13">
      <c r="B4" s="6" t="s">
        <v>325</v>
      </c>
      <c r="C4" s="1"/>
      <c r="D4" s="1"/>
      <c r="E4" s="1"/>
      <c r="F4" s="1"/>
      <c r="G4" s="1"/>
      <c r="H4" s="1"/>
      <c r="I4" s="1"/>
      <c r="J4" s="1"/>
      <c r="K4" s="1"/>
      <c r="L4" s="404"/>
    </row>
    <row r="5" spans="2:13" ht="5.0999999999999996" customHeight="1">
      <c r="L5" s="404"/>
    </row>
    <row r="6" spans="2:13">
      <c r="B6" s="226" t="s">
        <v>253</v>
      </c>
      <c r="C6" s="411">
        <f>'3 Statement Model'!H17</f>
        <v>45927</v>
      </c>
      <c r="D6" s="227"/>
      <c r="E6" s="133"/>
      <c r="F6" s="227"/>
      <c r="G6" s="133"/>
      <c r="H6" s="133" t="s">
        <v>254</v>
      </c>
      <c r="I6" s="133"/>
      <c r="J6" s="228">
        <f ca="1">WACC!C27</f>
        <v>8.0479570873504991E-2</v>
      </c>
      <c r="K6" s="173" t="s">
        <v>255</v>
      </c>
      <c r="L6" s="404"/>
    </row>
    <row r="7" spans="2:13">
      <c r="B7" s="123" t="s">
        <v>256</v>
      </c>
      <c r="C7" s="221">
        <f>EOMONTH(C6,12)</f>
        <v>46295</v>
      </c>
      <c r="D7" s="221"/>
      <c r="F7" s="221"/>
      <c r="H7" s="8" t="s">
        <v>257</v>
      </c>
      <c r="J7" s="222">
        <v>262.36</v>
      </c>
      <c r="K7" s="170" t="s">
        <v>258</v>
      </c>
      <c r="L7" s="404"/>
    </row>
    <row r="8" spans="2:13">
      <c r="B8" s="123" t="s">
        <v>259</v>
      </c>
      <c r="C8" s="412">
        <f>'Historical Financials'!AC8</f>
        <v>45927</v>
      </c>
      <c r="D8" s="220"/>
      <c r="F8" s="220"/>
      <c r="H8" s="8" t="s">
        <v>260</v>
      </c>
      <c r="J8" s="140">
        <v>45956</v>
      </c>
      <c r="K8" s="170"/>
      <c r="L8" s="404"/>
      <c r="M8" s="141"/>
    </row>
    <row r="9" spans="2:13">
      <c r="B9" s="123" t="s">
        <v>261</v>
      </c>
      <c r="C9" s="220">
        <v>46026</v>
      </c>
      <c r="D9" s="220"/>
      <c r="F9" s="220"/>
      <c r="H9" s="8" t="s">
        <v>262</v>
      </c>
      <c r="J9" s="223">
        <v>1</v>
      </c>
      <c r="K9" s="225"/>
      <c r="L9" s="404"/>
      <c r="M9" s="141"/>
    </row>
    <row r="10" spans="2:13">
      <c r="B10" s="169" t="s">
        <v>263</v>
      </c>
      <c r="C10" s="224">
        <f>YEARFRAC(C9,C7)</f>
        <v>0.73888888888888893</v>
      </c>
      <c r="D10" s="224"/>
      <c r="E10" s="167"/>
      <c r="F10" s="224"/>
      <c r="G10" s="167"/>
      <c r="H10" s="167" t="s">
        <v>264</v>
      </c>
      <c r="I10" s="167"/>
      <c r="J10" s="474" t="str">
        <f>'3 Statement Model'!C12</f>
        <v>Base case</v>
      </c>
      <c r="K10" s="171"/>
      <c r="L10" s="404"/>
    </row>
    <row r="11" spans="2:13">
      <c r="E11" s="142"/>
      <c r="L11" s="404"/>
    </row>
    <row r="12" spans="2:13">
      <c r="B12" s="247" t="s">
        <v>596</v>
      </c>
      <c r="C12" s="192"/>
      <c r="D12" s="142"/>
      <c r="E12" s="142"/>
      <c r="G12" s="250" t="s">
        <v>667</v>
      </c>
      <c r="H12" s="192"/>
      <c r="I12" s="192"/>
      <c r="J12" s="192"/>
      <c r="K12" s="192"/>
      <c r="L12" s="404"/>
    </row>
    <row r="13" spans="2:13">
      <c r="B13" s="8" t="s">
        <v>278</v>
      </c>
      <c r="C13" s="108">
        <v>0.03</v>
      </c>
      <c r="D13" s="142"/>
      <c r="E13" s="142"/>
      <c r="G13" s="8" t="s">
        <v>279</v>
      </c>
      <c r="K13" s="145">
        <f ca="1">L60</f>
        <v>225307.5729240443</v>
      </c>
      <c r="L13" s="404"/>
    </row>
    <row r="14" spans="2:13">
      <c r="B14" s="148" t="str">
        <f>YEAR(K50)&amp;" FCF x (1+g)"</f>
        <v>2030 FCF x (1+g)</v>
      </c>
      <c r="C14" s="145">
        <f ca="1">L81*(1+C13)</f>
        <v>222496.4180107975</v>
      </c>
      <c r="D14" s="142"/>
      <c r="E14" s="142"/>
      <c r="G14" s="8" t="s">
        <v>280</v>
      </c>
      <c r="K14" s="587">
        <v>21</v>
      </c>
      <c r="L14" s="8" t="s">
        <v>595</v>
      </c>
    </row>
    <row r="15" spans="2:13">
      <c r="B15" s="8" t="str">
        <f>"Terminal value in "&amp;YEAR(K50)</f>
        <v>Terminal value in 2030</v>
      </c>
      <c r="C15" s="145">
        <f ca="1">C14/(J6-C13)</f>
        <v>4408796.2916454524</v>
      </c>
      <c r="D15" s="142"/>
      <c r="E15" s="142"/>
      <c r="G15" s="8" t="str">
        <f>"Terminal value in "&amp;YEAR(K50)</f>
        <v>Terminal value in 2030</v>
      </c>
      <c r="K15" s="145">
        <f ca="1">K13*K14</f>
        <v>4731459.0314049302</v>
      </c>
      <c r="L15" s="404"/>
    </row>
    <row r="16" spans="2:13">
      <c r="B16" s="8" t="s">
        <v>281</v>
      </c>
      <c r="C16" s="145">
        <f ca="1">C15/(1+J6)^((L80-$E$80)/365)</f>
        <v>2939043.7116143727</v>
      </c>
      <c r="D16" s="142"/>
      <c r="E16" s="142"/>
      <c r="G16" s="8" t="s">
        <v>281</v>
      </c>
      <c r="K16" s="145">
        <f ca="1">K15/(1+J6)^((L80-E80)/365)</f>
        <v>3153940.6757501219</v>
      </c>
      <c r="L16" s="404"/>
    </row>
    <row r="17" spans="2:12">
      <c r="B17" s="8" t="s">
        <v>282</v>
      </c>
      <c r="C17" s="144">
        <f ca="1">SUM(G82:L82)</f>
        <v>855547.61992522725</v>
      </c>
      <c r="D17" s="142"/>
      <c r="E17" s="142"/>
      <c r="G17" s="8" t="s">
        <v>282</v>
      </c>
      <c r="K17" s="145">
        <f ca="1">C17</f>
        <v>855547.61992522725</v>
      </c>
      <c r="L17" s="404"/>
    </row>
    <row r="18" spans="2:12">
      <c r="B18" s="251" t="s">
        <v>283</v>
      </c>
      <c r="C18" s="637">
        <f ca="1">C17+C16</f>
        <v>3794591.3315396002</v>
      </c>
      <c r="D18" s="142"/>
      <c r="E18" s="142"/>
      <c r="G18" s="251" t="s">
        <v>284</v>
      </c>
      <c r="H18" s="134"/>
      <c r="I18" s="134"/>
      <c r="J18" s="134"/>
      <c r="K18" s="637">
        <f ca="1">SUM(K16:K17)</f>
        <v>4009688.5675038472</v>
      </c>
      <c r="L18" s="404"/>
    </row>
    <row r="19" spans="2:12">
      <c r="B19" s="149" t="s">
        <v>285</v>
      </c>
      <c r="C19" s="150">
        <f ca="1">C16/$C$18</f>
        <v>0.77453497750491584</v>
      </c>
      <c r="D19" s="142"/>
      <c r="E19" s="142"/>
      <c r="G19" s="149" t="s">
        <v>285</v>
      </c>
      <c r="K19" s="150">
        <f ca="1">+K16/K18</f>
        <v>0.78662990765444119</v>
      </c>
      <c r="L19" s="404"/>
    </row>
    <row r="20" spans="2:12">
      <c r="B20" s="149" t="s">
        <v>286</v>
      </c>
      <c r="C20" s="150">
        <f ca="1">1-C19</f>
        <v>0.22546502249508416</v>
      </c>
      <c r="D20" s="142"/>
      <c r="E20" s="142"/>
      <c r="G20" s="149" t="s">
        <v>287</v>
      </c>
      <c r="I20" s="151"/>
      <c r="K20" s="109">
        <f ca="1">1-K19</f>
        <v>0.21337009234555881</v>
      </c>
      <c r="L20" s="404"/>
    </row>
    <row r="21" spans="2:12">
      <c r="B21" s="149" t="s">
        <v>288</v>
      </c>
      <c r="C21" s="152">
        <f ca="1">(C15/L60)</f>
        <v>19.567901044905163</v>
      </c>
      <c r="D21" s="142"/>
      <c r="E21" s="142"/>
      <c r="G21" s="8" t="s">
        <v>289</v>
      </c>
      <c r="K21" s="153">
        <f ca="1">(J6-L81/K15)/(1+L81/K15)</f>
        <v>3.3291305550637265E-2</v>
      </c>
      <c r="L21" s="404"/>
    </row>
    <row r="22" spans="2:12">
      <c r="D22" s="142"/>
      <c r="E22" s="142"/>
      <c r="L22" s="404"/>
    </row>
    <row r="23" spans="2:12">
      <c r="B23" s="247" t="s">
        <v>290</v>
      </c>
      <c r="C23" s="192"/>
      <c r="D23" s="142"/>
      <c r="E23" s="142"/>
      <c r="G23" s="250" t="s">
        <v>665</v>
      </c>
      <c r="H23" s="192"/>
      <c r="I23" s="247"/>
      <c r="J23" s="192"/>
      <c r="K23" s="247"/>
      <c r="L23" s="404"/>
    </row>
    <row r="24" spans="2:12" ht="5.0999999999999996" customHeight="1">
      <c r="B24" s="142"/>
      <c r="C24" s="142"/>
      <c r="D24" s="142"/>
      <c r="E24" s="142"/>
      <c r="L24" s="404"/>
    </row>
    <row r="25" spans="2:12">
      <c r="B25" s="8" t="s">
        <v>292</v>
      </c>
      <c r="C25" s="140" t="s">
        <v>459</v>
      </c>
      <c r="D25" s="142"/>
      <c r="E25" s="142"/>
      <c r="I25" s="402" t="s">
        <v>666</v>
      </c>
      <c r="J25" s="402" t="s">
        <v>294</v>
      </c>
      <c r="K25" s="402" t="s">
        <v>295</v>
      </c>
      <c r="L25" s="404"/>
    </row>
    <row r="26" spans="2:12">
      <c r="B26" s="102" t="s">
        <v>293</v>
      </c>
      <c r="C26" s="146">
        <f>C8</f>
        <v>45927</v>
      </c>
      <c r="D26" s="142"/>
      <c r="E26" s="142"/>
      <c r="G26" s="180" t="s">
        <v>104</v>
      </c>
      <c r="I26" s="140" t="s">
        <v>459</v>
      </c>
      <c r="J26" s="413">
        <f>$C$6</f>
        <v>45927</v>
      </c>
      <c r="K26" s="404">
        <f>'3 Statement Model'!C13</f>
        <v>15115.823</v>
      </c>
      <c r="L26" s="404"/>
    </row>
    <row r="27" spans="2:12">
      <c r="B27" s="154" t="s">
        <v>296</v>
      </c>
      <c r="C27" s="155"/>
      <c r="D27" s="142"/>
      <c r="E27" s="142"/>
      <c r="G27" s="181" t="s">
        <v>297</v>
      </c>
      <c r="I27" s="140" t="s">
        <v>459</v>
      </c>
      <c r="J27" s="413">
        <f>$C$6</f>
        <v>45927</v>
      </c>
      <c r="K27" s="96">
        <v>151.57400000000001</v>
      </c>
      <c r="L27" s="156"/>
    </row>
    <row r="28" spans="2:12">
      <c r="B28" s="66" t="s">
        <v>21</v>
      </c>
      <c r="C28" s="112">
        <f>'3 Statement Model'!H93+'3 Statement Model'!H92</f>
        <v>98657</v>
      </c>
      <c r="D28" s="142"/>
      <c r="E28" s="142"/>
      <c r="G28" s="181" t="s">
        <v>299</v>
      </c>
      <c r="I28" s="140" t="s">
        <v>459</v>
      </c>
      <c r="J28" s="413">
        <f t="shared" ref="J28:J30" si="0">$C$6</f>
        <v>45927</v>
      </c>
      <c r="K28" s="96">
        <f>0</f>
        <v>0</v>
      </c>
      <c r="L28" s="246"/>
    </row>
    <row r="29" spans="2:12">
      <c r="B29" s="66" t="s">
        <v>298</v>
      </c>
      <c r="C29" s="96">
        <v>0</v>
      </c>
      <c r="D29" s="142"/>
      <c r="E29" s="142"/>
      <c r="G29" s="180" t="s">
        <v>298</v>
      </c>
      <c r="I29" s="140" t="s">
        <v>459</v>
      </c>
      <c r="J29" s="413">
        <f t="shared" si="0"/>
        <v>45927</v>
      </c>
      <c r="K29" s="96">
        <f>0</f>
        <v>0</v>
      </c>
      <c r="L29" s="249"/>
    </row>
    <row r="30" spans="2:12">
      <c r="B30" s="66" t="s">
        <v>300</v>
      </c>
      <c r="C30" s="96">
        <v>0</v>
      </c>
      <c r="D30" s="142"/>
      <c r="E30" s="142"/>
      <c r="G30" s="180" t="s">
        <v>302</v>
      </c>
      <c r="I30" s="140" t="s">
        <v>459</v>
      </c>
      <c r="J30" s="413">
        <f t="shared" si="0"/>
        <v>45927</v>
      </c>
      <c r="K30" s="96">
        <v>0</v>
      </c>
      <c r="L30" s="249"/>
    </row>
    <row r="31" spans="2:12">
      <c r="B31" s="157" t="s">
        <v>301</v>
      </c>
      <c r="C31" s="96">
        <v>0</v>
      </c>
      <c r="D31" s="142"/>
      <c r="E31" s="142"/>
      <c r="G31" s="502" t="s">
        <v>304</v>
      </c>
      <c r="H31" s="134"/>
      <c r="I31" s="134"/>
      <c r="J31" s="134"/>
      <c r="K31" s="503">
        <f>SUM(K26:K30)</f>
        <v>15267.397000000001</v>
      </c>
      <c r="L31" s="405"/>
    </row>
    <row r="32" spans="2:12">
      <c r="B32" s="154" t="s">
        <v>303</v>
      </c>
      <c r="D32" s="142"/>
      <c r="E32" s="142"/>
    </row>
    <row r="33" spans="2:12">
      <c r="B33" s="158" t="s">
        <v>305</v>
      </c>
      <c r="C33" s="112">
        <f>'3 Statement Model'!H80</f>
        <v>132420</v>
      </c>
      <c r="D33" s="142"/>
      <c r="E33" s="142"/>
    </row>
    <row r="34" spans="2:12">
      <c r="B34" s="158" t="s">
        <v>306</v>
      </c>
      <c r="C34" s="96">
        <v>0</v>
      </c>
      <c r="D34" s="142"/>
      <c r="E34" s="142"/>
    </row>
    <row r="35" spans="2:12">
      <c r="B35" s="253" t="s">
        <v>290</v>
      </c>
      <c r="C35" s="637">
        <f>SUM(C28:C31)-SUM(C33:C34)</f>
        <v>-33763</v>
      </c>
      <c r="D35" s="142"/>
      <c r="E35" s="142"/>
    </row>
    <row r="36" spans="2:12">
      <c r="D36" s="142"/>
      <c r="E36" s="142"/>
    </row>
    <row r="37" spans="2:12">
      <c r="B37" s="247" t="s">
        <v>307</v>
      </c>
      <c r="C37" s="192"/>
      <c r="D37" s="192"/>
      <c r="E37" s="247"/>
    </row>
    <row r="38" spans="2:12" ht="5.0999999999999996" customHeight="1">
      <c r="B38" s="256"/>
      <c r="C38" s="257"/>
      <c r="D38" s="257"/>
      <c r="E38" s="256"/>
    </row>
    <row r="39" spans="2:12" ht="14.25">
      <c r="C39" s="248" t="s">
        <v>35</v>
      </c>
      <c r="D39" s="248"/>
      <c r="E39" s="248" t="s">
        <v>11</v>
      </c>
    </row>
    <row r="40" spans="2:12">
      <c r="B40" s="8" t="s">
        <v>308</v>
      </c>
      <c r="C40" s="159">
        <f ca="1">C18</f>
        <v>3794591.3315396002</v>
      </c>
      <c r="D40" s="159"/>
      <c r="E40" s="159">
        <f ca="1">K18</f>
        <v>4009688.5675038472</v>
      </c>
    </row>
    <row r="41" spans="2:12">
      <c r="B41" s="8" t="s">
        <v>290</v>
      </c>
      <c r="C41" s="160">
        <f>$C$35</f>
        <v>-33763</v>
      </c>
      <c r="D41" s="160"/>
      <c r="E41" s="160">
        <f>C41</f>
        <v>-33763</v>
      </c>
    </row>
    <row r="42" spans="2:12">
      <c r="B42" s="39" t="s">
        <v>309</v>
      </c>
      <c r="C42" s="403">
        <f ca="1">C40-C41</f>
        <v>3828354.3315396002</v>
      </c>
      <c r="D42" s="403"/>
      <c r="E42" s="403">
        <f ca="1">E40-E41</f>
        <v>4043451.5675038472</v>
      </c>
    </row>
    <row r="43" spans="2:12">
      <c r="B43" s="8" t="s">
        <v>291</v>
      </c>
      <c r="C43" s="161">
        <f>$K$31</f>
        <v>15267.397000000001</v>
      </c>
      <c r="D43" s="161"/>
      <c r="E43" s="161">
        <f>C43</f>
        <v>15267.397000000001</v>
      </c>
    </row>
    <row r="44" spans="2:12">
      <c r="B44" s="245" t="s">
        <v>310</v>
      </c>
      <c r="C44" s="262">
        <f ca="1">C42/C43</f>
        <v>250.75357191141359</v>
      </c>
      <c r="D44" s="262"/>
      <c r="E44" s="262">
        <f ca="1">E42/E43</f>
        <v>264.84223653212445</v>
      </c>
    </row>
    <row r="45" spans="2:12">
      <c r="D45" s="142"/>
      <c r="E45" s="142"/>
    </row>
    <row r="46" spans="2:12">
      <c r="B46" s="247" t="s">
        <v>265</v>
      </c>
      <c r="C46" s="192"/>
      <c r="D46" s="192"/>
      <c r="E46" s="192"/>
      <c r="F46" s="192"/>
      <c r="G46" s="192"/>
      <c r="H46" s="192"/>
      <c r="I46" s="192"/>
      <c r="J46" s="192"/>
      <c r="K46" s="192"/>
      <c r="L46" s="192"/>
    </row>
    <row r="47" spans="2:12" ht="5.0999999999999996" customHeight="1">
      <c r="E47" s="142"/>
    </row>
    <row r="48" spans="2:12">
      <c r="B48" s="1" t="s">
        <v>189</v>
      </c>
      <c r="C48" s="2" t="s">
        <v>10</v>
      </c>
      <c r="D48" s="113"/>
      <c r="E48" s="2" t="s">
        <v>0</v>
      </c>
      <c r="F48" s="113"/>
      <c r="G48" s="2" t="s">
        <v>266</v>
      </c>
      <c r="H48" s="2"/>
      <c r="I48" s="2"/>
      <c r="J48" s="2"/>
      <c r="K48" s="2"/>
      <c r="L48" s="2"/>
    </row>
    <row r="49" spans="2:13">
      <c r="B49" s="6" t="s">
        <v>323</v>
      </c>
      <c r="C49" s="182" t="s">
        <v>457</v>
      </c>
      <c r="D49" s="113"/>
      <c r="E49" s="182">
        <v>2025</v>
      </c>
      <c r="F49" s="113"/>
      <c r="G49" s="197">
        <f>'3 Statement Model'!L16</f>
        <v>2026</v>
      </c>
      <c r="H49" s="197">
        <f>'3 Statement Model'!M16</f>
        <v>2027</v>
      </c>
      <c r="I49" s="197">
        <f>'3 Statement Model'!N16</f>
        <v>2028</v>
      </c>
      <c r="J49" s="197">
        <f>'3 Statement Model'!O16</f>
        <v>2029</v>
      </c>
      <c r="K49" s="197">
        <f>'3 Statement Model'!P16</f>
        <v>2030</v>
      </c>
      <c r="L49" s="197">
        <f>'3 Statement Model'!Q16</f>
        <v>2031</v>
      </c>
    </row>
    <row r="50" spans="2:13">
      <c r="B50" s="282" t="s">
        <v>324</v>
      </c>
      <c r="C50" s="113">
        <f>C8</f>
        <v>45927</v>
      </c>
      <c r="D50" s="113"/>
      <c r="E50" s="113">
        <f>C6</f>
        <v>45927</v>
      </c>
      <c r="F50" s="113"/>
      <c r="G50" s="113">
        <f>EOMONTH(E50,12)</f>
        <v>46295</v>
      </c>
      <c r="H50" s="113">
        <f>EOMONTH(G50,12)</f>
        <v>46660</v>
      </c>
      <c r="I50" s="113">
        <f>EOMONTH(H50,12)</f>
        <v>47026</v>
      </c>
      <c r="J50" s="113">
        <f>EOMONTH(I50,12)</f>
        <v>47391</v>
      </c>
      <c r="K50" s="113">
        <f>EOMONTH(J50,12)</f>
        <v>47756</v>
      </c>
      <c r="L50" s="113">
        <f>EOMONTH(K50,12)</f>
        <v>48121</v>
      </c>
    </row>
    <row r="51" spans="2:13" ht="5.0999999999999996" customHeight="1">
      <c r="E51" s="142"/>
    </row>
    <row r="52" spans="2:13">
      <c r="B52" s="8" t="str">
        <f>'3 Statement Model'!B19</f>
        <v>iPhone Revenue</v>
      </c>
      <c r="C52" s="131">
        <f>'Revenue Drivers'!AP9</f>
        <v>209586</v>
      </c>
      <c r="D52" s="131"/>
      <c r="E52" s="131">
        <f>'Revenue Drivers'!L9</f>
        <v>209586</v>
      </c>
      <c r="F52" s="131"/>
      <c r="G52" s="131">
        <f ca="1">'3 Statement Model'!L19</f>
        <v>231770.70033333334</v>
      </c>
      <c r="H52" s="131">
        <f ca="1">'3 Statement Model'!M19</f>
        <v>240373.16333333333</v>
      </c>
      <c r="I52" s="131">
        <f ca="1">'3 Statement Model'!N19</f>
        <v>253979.96590033759</v>
      </c>
      <c r="J52" s="131">
        <f ca="1">'3 Statement Model'!O19</f>
        <v>263883.55977951048</v>
      </c>
      <c r="K52" s="131">
        <f ca="1">'3 Statement Model'!P19</f>
        <v>265752.53460171208</v>
      </c>
      <c r="L52" s="131">
        <f ca="1">'3 Statement Model'!Q19</f>
        <v>268525.09527897055</v>
      </c>
    </row>
    <row r="53" spans="2:13">
      <c r="B53" s="8" t="str">
        <f>'3 Statement Model'!B20</f>
        <v>Mac Revenue</v>
      </c>
      <c r="C53" s="131">
        <f>'Revenue Drivers'!AP10</f>
        <v>33708</v>
      </c>
      <c r="D53" s="131"/>
      <c r="E53" s="131">
        <f>'Revenue Drivers'!L10</f>
        <v>33708</v>
      </c>
      <c r="F53" s="131"/>
      <c r="G53" s="131">
        <f ca="1">'3 Statement Model'!L20</f>
        <v>38380.577072995584</v>
      </c>
      <c r="H53" s="131">
        <f ca="1">'3 Statement Model'!M20</f>
        <v>40161.508430875183</v>
      </c>
      <c r="I53" s="131">
        <f ca="1">'3 Statement Model'!N20</f>
        <v>42174.022995318119</v>
      </c>
      <c r="J53" s="131">
        <f ca="1">'3 Statement Model'!O20</f>
        <v>44452.605232018679</v>
      </c>
      <c r="K53" s="131">
        <f ca="1">'3 Statement Model'!P20</f>
        <v>46614.769108081164</v>
      </c>
      <c r="L53" s="131">
        <f ca="1">'3 Statement Model'!Q20</f>
        <v>48625.643876929644</v>
      </c>
    </row>
    <row r="54" spans="2:13">
      <c r="B54" s="8" t="str">
        <f>'3 Statement Model'!B21</f>
        <v>iPad Revenue</v>
      </c>
      <c r="C54" s="131">
        <f>'Revenue Drivers'!AP11</f>
        <v>28023</v>
      </c>
      <c r="D54" s="131"/>
      <c r="E54" s="131">
        <f>'Revenue Drivers'!L11</f>
        <v>28023</v>
      </c>
      <c r="F54" s="131"/>
      <c r="G54" s="131">
        <f ca="1">'3 Statement Model'!L21</f>
        <v>28581.801680000561</v>
      </c>
      <c r="H54" s="131">
        <f ca="1">'3 Statement Model'!M21</f>
        <v>29851.725739202513</v>
      </c>
      <c r="I54" s="131">
        <f ca="1">'3 Statement Model'!N21</f>
        <v>31342.348890744568</v>
      </c>
      <c r="J54" s="131">
        <f ca="1">'3 Statement Model'!O21</f>
        <v>31510.387710334126</v>
      </c>
      <c r="K54" s="131">
        <f ca="1">'3 Statement Model'!P21</f>
        <v>31657.974701894454</v>
      </c>
      <c r="L54" s="131">
        <f ca="1">'3 Statement Model'!Q21</f>
        <v>32076.853603955598</v>
      </c>
    </row>
    <row r="55" spans="2:13">
      <c r="B55" s="8" t="str">
        <f>'3 Statement Model'!B22</f>
        <v>Services Revenue</v>
      </c>
      <c r="C55" s="131">
        <f>'Revenue Drivers'!AP12</f>
        <v>109158</v>
      </c>
      <c r="D55" s="131"/>
      <c r="E55" s="131">
        <f>'Revenue Drivers'!L12</f>
        <v>109158</v>
      </c>
      <c r="F55" s="131"/>
      <c r="G55" s="131">
        <f ca="1">'3 Statement Model'!L22</f>
        <v>124465</v>
      </c>
      <c r="H55" s="131">
        <f ca="1">'3 Statement Model'!M22</f>
        <v>141112</v>
      </c>
      <c r="I55" s="131">
        <f ca="1">'3 Statement Model'!N22</f>
        <v>158615</v>
      </c>
      <c r="J55" s="131">
        <f ca="1">'3 Statement Model'!O22</f>
        <v>178289.0060731901</v>
      </c>
      <c r="K55" s="131">
        <f ca="1">'3 Statement Model'!P22</f>
        <v>200403.30162069172</v>
      </c>
      <c r="L55" s="131">
        <f ca="1">'3 Statement Model'!Q22</f>
        <v>226495.3735183877</v>
      </c>
    </row>
    <row r="56" spans="2:13">
      <c r="B56" s="8" t="str">
        <f>'3 Statement Model'!B23</f>
        <v>Wearables, Home, and Accessories Revenue</v>
      </c>
      <c r="C56" s="131">
        <f>'Revenue Drivers'!AP13</f>
        <v>35686</v>
      </c>
      <c r="D56" s="131"/>
      <c r="E56" s="131">
        <f>'Revenue Drivers'!L13</f>
        <v>35686</v>
      </c>
      <c r="G56" s="131">
        <f ca="1">'3 Statement Model'!L23</f>
        <v>37319</v>
      </c>
      <c r="H56" s="131">
        <f ca="1">'3 Statement Model'!M23</f>
        <v>39170</v>
      </c>
      <c r="I56" s="131">
        <f ca="1">'3 Statement Model'!N23</f>
        <v>41501</v>
      </c>
      <c r="J56" s="131">
        <f ca="1">'3 Statement Model'!O23</f>
        <v>43825.371180700502</v>
      </c>
      <c r="K56" s="131">
        <f ca="1">'3 Statement Model'!P23</f>
        <v>46064.445454987261</v>
      </c>
      <c r="L56" s="131">
        <f ca="1">'3 Statement Model'!Q23</f>
        <v>48420.58164745885</v>
      </c>
    </row>
    <row r="57" spans="2:13">
      <c r="B57" s="106" t="s">
        <v>12</v>
      </c>
      <c r="C57" s="345">
        <f t="shared" ref="C57:K57" si="1">SUM(C52:C56)</f>
        <v>416161</v>
      </c>
      <c r="D57" s="345"/>
      <c r="E57" s="345">
        <f t="shared" si="1"/>
        <v>416161</v>
      </c>
      <c r="F57" s="345"/>
      <c r="G57" s="345">
        <f t="shared" ca="1" si="1"/>
        <v>460517.0790863295</v>
      </c>
      <c r="H57" s="345">
        <f t="shared" ca="1" si="1"/>
        <v>490668.39750341105</v>
      </c>
      <c r="I57" s="345">
        <f t="shared" ca="1" si="1"/>
        <v>527612.33778640023</v>
      </c>
      <c r="J57" s="345">
        <f t="shared" ca="1" si="1"/>
        <v>561960.92997575388</v>
      </c>
      <c r="K57" s="345">
        <f t="shared" ca="1" si="1"/>
        <v>590493.0254873666</v>
      </c>
      <c r="L57" s="345">
        <f t="shared" ref="L57" ca="1" si="2">SUM(L52:L56)</f>
        <v>624143.5479257023</v>
      </c>
    </row>
    <row r="58" spans="2:13">
      <c r="B58" s="111" t="s">
        <v>267</v>
      </c>
      <c r="C58" s="354"/>
      <c r="D58" s="354"/>
      <c r="E58" s="354"/>
      <c r="F58" s="354"/>
      <c r="G58" s="314">
        <f ca="1">SUM(G57/E57)-1</f>
        <v>0.106583940076868</v>
      </c>
      <c r="H58" s="314">
        <f t="shared" ref="H58:J58" ca="1" si="3">SUM(H57/G57)-1</f>
        <v>6.5472747453584335E-2</v>
      </c>
      <c r="I58" s="314">
        <f t="shared" ca="1" si="3"/>
        <v>7.5293090957080366E-2</v>
      </c>
      <c r="J58" s="314">
        <f t="shared" ca="1" si="3"/>
        <v>6.5101950294535138E-2</v>
      </c>
      <c r="K58" s="314">
        <f ca="1">SUM(K57/J57)-1</f>
        <v>5.0772382900077684E-2</v>
      </c>
      <c r="L58" s="314">
        <f ca="1">SUM(L57/K57)-1</f>
        <v>5.6987163244751393E-2</v>
      </c>
      <c r="M58" s="354"/>
    </row>
    <row r="59" spans="2:13" ht="5.0999999999999996" customHeight="1">
      <c r="B59" s="66"/>
      <c r="E59" s="142"/>
    </row>
    <row r="60" spans="2:13">
      <c r="B60" s="8" t="s">
        <v>445</v>
      </c>
      <c r="C60" s="131">
        <f>FCF!AQ25</f>
        <v>144748</v>
      </c>
      <c r="E60" s="131">
        <f>'3 Statement Model'!H42</f>
        <v>144748</v>
      </c>
      <c r="G60" s="131">
        <f ca="1">'3 Statement Model'!L42</f>
        <v>161135.34253380093</v>
      </c>
      <c r="H60" s="131">
        <f ca="1">'3 Statement Model'!M42</f>
        <v>169608.27596619382</v>
      </c>
      <c r="I60" s="131">
        <f ca="1">'3 Statement Model'!N42</f>
        <v>186535.40503379761</v>
      </c>
      <c r="J60" s="131">
        <f ca="1">'3 Statement Model'!O42</f>
        <v>202380.3799060146</v>
      </c>
      <c r="K60" s="131">
        <f ca="1">'3 Statement Model'!P42</f>
        <v>215321.92500356698</v>
      </c>
      <c r="L60" s="131">
        <f ca="1">'3 Statement Model'!Q42</f>
        <v>225307.5729240443</v>
      </c>
    </row>
    <row r="61" spans="2:13">
      <c r="B61" s="8" t="s">
        <v>443</v>
      </c>
      <c r="C61" s="131">
        <f>-FCF!AQ24</f>
        <v>-11698</v>
      </c>
      <c r="D61" s="131"/>
      <c r="E61" s="131">
        <f>-'3 Statement Model'!H41</f>
        <v>-11698</v>
      </c>
      <c r="F61" s="131"/>
      <c r="G61" s="131">
        <f ca="1">-'3 Statement Model'!L41</f>
        <v>-13244.384160936275</v>
      </c>
      <c r="H61" s="131">
        <f ca="1">-'3 Statement Model'!M41</f>
        <v>-13609.263958766291</v>
      </c>
      <c r="I61" s="131">
        <f ca="1">-'3 Statement Model'!N41</f>
        <v>-14958.902817126567</v>
      </c>
      <c r="J61" s="131">
        <f ca="1">-'3 Statement Model'!O41</f>
        <v>-16918.497926194512</v>
      </c>
      <c r="K61" s="131">
        <f ca="1">-'3 Statement Model'!P41</f>
        <v>-19281.656602087398</v>
      </c>
      <c r="L61" s="131">
        <f ca="1">-'3 Statement Model'!Q41</f>
        <v>-22005.781802398928</v>
      </c>
    </row>
    <row r="62" spans="2:13">
      <c r="B62" s="106" t="s">
        <v>32</v>
      </c>
      <c r="C62" s="345">
        <f>SUM(C60:C61)</f>
        <v>133050</v>
      </c>
      <c r="D62" s="345"/>
      <c r="E62" s="345">
        <f>SUM(E60:E61)</f>
        <v>133050</v>
      </c>
      <c r="F62" s="345"/>
      <c r="G62" s="345">
        <f t="shared" ref="G62:L62" ca="1" si="4">SUM(G60:G61)</f>
        <v>147890.95837286464</v>
      </c>
      <c r="H62" s="345">
        <f t="shared" ca="1" si="4"/>
        <v>155999.01200742752</v>
      </c>
      <c r="I62" s="345">
        <f t="shared" ca="1" si="4"/>
        <v>171576.50221667104</v>
      </c>
      <c r="J62" s="345">
        <f t="shared" ca="1" si="4"/>
        <v>185461.88197982009</v>
      </c>
      <c r="K62" s="345">
        <f t="shared" ca="1" si="4"/>
        <v>196040.26840147958</v>
      </c>
      <c r="L62" s="345">
        <f t="shared" ca="1" si="4"/>
        <v>203301.79112164536</v>
      </c>
    </row>
    <row r="63" spans="2:13">
      <c r="B63" s="111" t="s">
        <v>444</v>
      </c>
      <c r="C63" s="314">
        <f>C62/C57</f>
        <v>0.31970799762591884</v>
      </c>
      <c r="E63" s="314">
        <f>E62/E57</f>
        <v>0.31970799762591884</v>
      </c>
      <c r="G63" s="314">
        <f ca="1">G62/G57</f>
        <v>0.32114109354267983</v>
      </c>
      <c r="H63" s="314">
        <f t="shared" ref="H63:L63" ca="1" si="5">H62/H57</f>
        <v>0.31793164752646014</v>
      </c>
      <c r="I63" s="314">
        <f t="shared" ca="1" si="5"/>
        <v>0.32519425708754457</v>
      </c>
      <c r="J63" s="314">
        <f t="shared" ca="1" si="5"/>
        <v>0.33002629201966399</v>
      </c>
      <c r="K63" s="314">
        <f t="shared" ca="1" si="5"/>
        <v>0.33199421490148284</v>
      </c>
      <c r="L63" s="314">
        <f t="shared" ca="1" si="5"/>
        <v>0.32572922014063072</v>
      </c>
    </row>
    <row r="64" spans="2:13" ht="5.0999999999999996" customHeight="1">
      <c r="B64" s="66"/>
      <c r="E64" s="142"/>
    </row>
    <row r="65" spans="2:13">
      <c r="B65" s="8" t="s">
        <v>341</v>
      </c>
      <c r="C65" s="131">
        <f>'Historical Financials'!AP25</f>
        <v>-20719</v>
      </c>
      <c r="D65" s="131"/>
      <c r="E65" s="131">
        <f>'3 Statement Model'!H38</f>
        <v>-20719</v>
      </c>
      <c r="G65" s="131">
        <f ca="1">'3 Statement Model'!L38</f>
        <v>-23740.4274056617</v>
      </c>
      <c r="H65" s="131">
        <f ca="1">'3 Statement Model'!M38</f>
        <v>-24992.811783188568</v>
      </c>
      <c r="I65" s="131">
        <f ca="1">'3 Statement Model'!N38</f>
        <v>-27370.128711848763</v>
      </c>
      <c r="J65" s="131">
        <f ca="1">'3 Statement Model'!O38</f>
        <v>-29828.793408541973</v>
      </c>
      <c r="K65" s="131">
        <f ca="1">'3 Statement Model'!P38</f>
        <v>-31783.577365049256</v>
      </c>
      <c r="L65" s="131">
        <f ca="1">'3 Statement Model'!Q38</f>
        <v>-33169.979205108211</v>
      </c>
    </row>
    <row r="66" spans="2:13">
      <c r="B66" s="398" t="s">
        <v>446</v>
      </c>
      <c r="C66" s="399">
        <f>+C62+C65</f>
        <v>112331</v>
      </c>
      <c r="D66" s="399"/>
      <c r="E66" s="399">
        <f>+E62+E65</f>
        <v>112331</v>
      </c>
      <c r="F66" s="399"/>
      <c r="G66" s="399">
        <f t="shared" ref="G66:L66" ca="1" si="6">+G62+G65</f>
        <v>124150.53096720294</v>
      </c>
      <c r="H66" s="399">
        <f t="shared" ca="1" si="6"/>
        <v>131006.20022423894</v>
      </c>
      <c r="I66" s="399">
        <f t="shared" ca="1" si="6"/>
        <v>144206.37350482229</v>
      </c>
      <c r="J66" s="399">
        <f t="shared" ca="1" si="6"/>
        <v>155633.08857127812</v>
      </c>
      <c r="K66" s="399">
        <f t="shared" ca="1" si="6"/>
        <v>164256.69103643033</v>
      </c>
      <c r="L66" s="399">
        <f t="shared" ca="1" si="6"/>
        <v>170131.81191653715</v>
      </c>
    </row>
    <row r="67" spans="2:13">
      <c r="B67" s="243" t="s">
        <v>134</v>
      </c>
      <c r="C67" s="314">
        <f>C66/C57</f>
        <v>0.26992197731166545</v>
      </c>
      <c r="D67" s="314" t="e">
        <f t="shared" ref="D67:E67" si="7">D66/D57</f>
        <v>#DIV/0!</v>
      </c>
      <c r="E67" s="314">
        <f t="shared" si="7"/>
        <v>0.26992197731166545</v>
      </c>
      <c r="G67" s="314">
        <f t="shared" ref="G67" ca="1" si="8">G66/G57</f>
        <v>0.26958941721231888</v>
      </c>
      <c r="H67" s="314">
        <f t="shared" ref="H67" ca="1" si="9">H66/H57</f>
        <v>0.26699539014702534</v>
      </c>
      <c r="I67" s="314">
        <f t="shared" ref="I67" ca="1" si="10">I66/I57</f>
        <v>0.27331880469255276</v>
      </c>
      <c r="J67" s="314">
        <f t="shared" ref="J67" ca="1" si="11">J66/J57</f>
        <v>0.27694645707485926</v>
      </c>
      <c r="K67" s="314">
        <f t="shared" ref="K67:L67" ca="1" si="12">K66/K57</f>
        <v>0.27816872333227</v>
      </c>
      <c r="L67" s="314">
        <f t="shared" ca="1" si="12"/>
        <v>0.27258442786432446</v>
      </c>
    </row>
    <row r="68" spans="2:13">
      <c r="B68" s="39"/>
      <c r="E68" s="142"/>
    </row>
    <row r="69" spans="2:13">
      <c r="B69" s="33" t="s">
        <v>447</v>
      </c>
      <c r="C69" s="322">
        <f>-C61</f>
        <v>11698</v>
      </c>
      <c r="E69" s="322">
        <f>-E61</f>
        <v>11698</v>
      </c>
      <c r="G69" s="322">
        <f ca="1">-G61</f>
        <v>13244.384160936275</v>
      </c>
      <c r="H69" s="322">
        <f t="shared" ref="H69:K69" ca="1" si="13">-H61</f>
        <v>13609.263958766291</v>
      </c>
      <c r="I69" s="322">
        <f t="shared" ca="1" si="13"/>
        <v>14958.902817126567</v>
      </c>
      <c r="J69" s="322">
        <f t="shared" ca="1" si="13"/>
        <v>16918.497926194512</v>
      </c>
      <c r="K69" s="322">
        <f t="shared" ca="1" si="13"/>
        <v>19281.656602087398</v>
      </c>
      <c r="L69" s="322">
        <f t="shared" ref="L69" ca="1" si="14">-L61</f>
        <v>22005.781802398928</v>
      </c>
    </row>
    <row r="70" spans="2:13">
      <c r="B70" s="33" t="s">
        <v>448</v>
      </c>
      <c r="C70" s="131">
        <f>'Balance Sheet Drivers'!AP19</f>
        <v>2691</v>
      </c>
      <c r="E70" s="131">
        <f>SUM('3 Statement Model'!H112:H113)</f>
        <v>-15655</v>
      </c>
      <c r="G70" s="131">
        <f ca="1">SUM('3 Statement Model'!L112:L113)</f>
        <v>5074.4133421004808</v>
      </c>
      <c r="H70" s="131">
        <f ca="1">SUM('3 Statement Model'!M112:M113)</f>
        <v>4066.9850173782615</v>
      </c>
      <c r="I70" s="131">
        <f ca="1">SUM('3 Statement Model'!N112:N113)</f>
        <v>3707.8382216412283</v>
      </c>
      <c r="J70" s="131">
        <f ca="1">SUM('3 Statement Model'!O112:O113)</f>
        <v>4145.678080108657</v>
      </c>
      <c r="K70" s="131">
        <f ca="1">SUM('3 Statement Model'!P112:P113)</f>
        <v>4138.7239529854851</v>
      </c>
      <c r="L70" s="131">
        <f ca="1">SUM('3 Statement Model'!Q112:Q113)</f>
        <v>6026.1155154073203</v>
      </c>
    </row>
    <row r="71" spans="2:13">
      <c r="B71" s="33" t="s">
        <v>449</v>
      </c>
      <c r="C71" s="131">
        <f>'Historical Financials'!AO93</f>
        <v>-12381</v>
      </c>
      <c r="D71" s="131"/>
      <c r="E71" s="131">
        <f>'3 Statement Model'!H135</f>
        <v>12715</v>
      </c>
      <c r="G71" s="131">
        <f>-'3 Statement Model'!L118</f>
        <v>14559</v>
      </c>
      <c r="H71" s="131">
        <f>-'3 Statement Model'!M118</f>
        <v>15883.5</v>
      </c>
      <c r="I71" s="131">
        <f>-'3 Statement Model'!N118</f>
        <v>16499</v>
      </c>
      <c r="J71" s="131">
        <f>-'3 Statement Model'!O118</f>
        <v>16938.07454665815</v>
      </c>
      <c r="K71" s="131">
        <f>-'3 Statement Model'!P118</f>
        <v>17389.04224008898</v>
      </c>
      <c r="L71" s="131">
        <f>-'3 Statement Model'!Q118</f>
        <v>17852.230581964821</v>
      </c>
    </row>
    <row r="72" spans="2:13">
      <c r="B72" s="245" t="s">
        <v>268</v>
      </c>
      <c r="C72" s="400">
        <f>+C66+C69+C70+C71</f>
        <v>114339</v>
      </c>
      <c r="D72" s="400"/>
      <c r="E72" s="400">
        <f>+E66+E69+E70+E71</f>
        <v>121089</v>
      </c>
      <c r="F72" s="400"/>
      <c r="G72" s="400">
        <f ca="1">+G66+G69+G70+G71</f>
        <v>157028.32847023971</v>
      </c>
      <c r="H72" s="400">
        <f t="shared" ref="H72:L72" ca="1" si="15">+H66+H69+H70+H71</f>
        <v>164565.9492003835</v>
      </c>
      <c r="I72" s="400">
        <f t="shared" ca="1" si="15"/>
        <v>179372.11454359008</v>
      </c>
      <c r="J72" s="400">
        <f t="shared" ca="1" si="15"/>
        <v>193635.33912423943</v>
      </c>
      <c r="K72" s="400">
        <f t="shared" ca="1" si="15"/>
        <v>205066.1138315922</v>
      </c>
      <c r="L72" s="400">
        <f t="shared" ca="1" si="15"/>
        <v>216015.93981630824</v>
      </c>
    </row>
    <row r="73" spans="2:13" ht="5.0999999999999996" customHeight="1">
      <c r="B73" s="33"/>
      <c r="D73" s="131"/>
      <c r="E73" s="142"/>
    </row>
    <row r="74" spans="2:13">
      <c r="B74" s="8" t="s">
        <v>450</v>
      </c>
      <c r="C74" s="131">
        <f>'Balance Sheet Drivers'!AP18</f>
        <v>-52042</v>
      </c>
      <c r="E74" s="131">
        <f>'Balance Sheet Drivers'!L18</f>
        <v>-52042</v>
      </c>
      <c r="G74" s="131">
        <f ca="1">SUM('3 Statement Model'!L81:L83)-SUM('3 Statement Model'!L89:L91)</f>
        <v>-57116.413342100481</v>
      </c>
      <c r="H74" s="131">
        <f ca="1">SUM('3 Statement Model'!M81:M83)-SUM('3 Statement Model'!M89:M91)</f>
        <v>-61183.398359478742</v>
      </c>
      <c r="I74" s="131">
        <f ca="1">SUM('3 Statement Model'!N81:N83)-SUM('3 Statement Model'!N89:N91)</f>
        <v>-64891.236581119971</v>
      </c>
      <c r="J74" s="131">
        <f ca="1">SUM('3 Statement Model'!O81:O83)-SUM('3 Statement Model'!O89:O91)</f>
        <v>-69036.914661228628</v>
      </c>
      <c r="K74" s="131">
        <f ca="1">SUM('3 Statement Model'!P81:P83)-SUM('3 Statement Model'!P89:P91)</f>
        <v>-73175.638614214113</v>
      </c>
      <c r="L74" s="131">
        <f ca="1">SUM('3 Statement Model'!Q81:Q83)-SUM('3 Statement Model'!Q89:Q91)</f>
        <v>-79201.754129621433</v>
      </c>
    </row>
    <row r="75" spans="2:13">
      <c r="B75" s="66" t="s">
        <v>163</v>
      </c>
      <c r="C75" s="314">
        <f>-C74/C57</f>
        <v>0.12505256379141727</v>
      </c>
      <c r="E75" s="314">
        <f>-E74/E57</f>
        <v>0.12505256379141727</v>
      </c>
      <c r="G75" s="314">
        <f t="shared" ref="G75:L75" ca="1" si="16">-G74/G57</f>
        <v>0.12402669941236494</v>
      </c>
      <c r="H75" s="314">
        <f t="shared" ca="1" si="16"/>
        <v>0.12469398614377525</v>
      </c>
      <c r="I75" s="314">
        <f t="shared" ca="1" si="16"/>
        <v>0.12299036988666986</v>
      </c>
      <c r="J75" s="314">
        <f t="shared" ca="1" si="16"/>
        <v>0.12285002564894905</v>
      </c>
      <c r="K75" s="314">
        <f t="shared" ca="1" si="16"/>
        <v>0.12392295159425161</v>
      </c>
      <c r="L75" s="314">
        <f t="shared" ca="1" si="16"/>
        <v>0.12689669610916104</v>
      </c>
    </row>
    <row r="76" spans="2:13" ht="5.0999999999999996" customHeight="1">
      <c r="B76" s="66"/>
      <c r="E76" s="142"/>
    </row>
    <row r="77" spans="2:13">
      <c r="B77" s="247" t="str">
        <f>"Present value of UFCF on "&amp;TEXT(C9,"mmm dd, yyyy")&amp;" valuation date"</f>
        <v>Present value of UFCF on Jan 04, 2026 valuation date</v>
      </c>
      <c r="C77" s="192"/>
      <c r="D77" s="192"/>
      <c r="E77" s="192"/>
      <c r="F77" s="192"/>
      <c r="G77" s="192"/>
      <c r="H77" s="192"/>
      <c r="I77" s="192"/>
      <c r="J77" s="192"/>
      <c r="K77" s="192"/>
      <c r="L77" s="192"/>
      <c r="M77" s="143"/>
    </row>
    <row r="78" spans="2:13" ht="5.0999999999999996" customHeight="1">
      <c r="B78" s="256"/>
      <c r="C78" s="257"/>
      <c r="D78" s="257"/>
      <c r="E78" s="257"/>
      <c r="F78" s="257"/>
      <c r="G78" s="257"/>
      <c r="H78" s="257"/>
      <c r="I78" s="257"/>
      <c r="J78" s="257"/>
      <c r="K78" s="257"/>
      <c r="L78" s="257"/>
      <c r="M78" s="143"/>
    </row>
    <row r="79" spans="2:13" ht="14.25">
      <c r="B79" s="39"/>
      <c r="E79" s="258" t="s">
        <v>269</v>
      </c>
      <c r="G79" s="258" t="s">
        <v>270</v>
      </c>
      <c r="H79" s="259" t="s">
        <v>271</v>
      </c>
      <c r="I79" s="259" t="s">
        <v>272</v>
      </c>
      <c r="J79" s="259" t="s">
        <v>273</v>
      </c>
      <c r="K79" s="259" t="s">
        <v>274</v>
      </c>
      <c r="L79" s="259" t="s">
        <v>452</v>
      </c>
      <c r="M79" s="143"/>
    </row>
    <row r="80" spans="2:13">
      <c r="B80" s="8" t="s">
        <v>275</v>
      </c>
      <c r="E80" s="260">
        <f>C9</f>
        <v>46026</v>
      </c>
      <c r="G80" s="146">
        <f>IF($J$9=1,AVERAGE(G50,E80),G50)</f>
        <v>46160.5</v>
      </c>
      <c r="H80" s="146">
        <f>IF($J$9=1,AVERAGE(H50,G50),H50)</f>
        <v>46477.5</v>
      </c>
      <c r="I80" s="146">
        <f>IF($J$9=1,AVERAGE(I50,H50),I50)</f>
        <v>46843</v>
      </c>
      <c r="J80" s="146">
        <f>IF($J$9=1,AVERAGE(J50,I50),J50)</f>
        <v>47208.5</v>
      </c>
      <c r="K80" s="146">
        <f>IF($J$9=1,AVERAGE(K50,J50),K50)</f>
        <v>47573.5</v>
      </c>
      <c r="L80" s="146">
        <f>IF($J$9=1,AVERAGE(L50,K50),L50)</f>
        <v>47938.5</v>
      </c>
      <c r="M80" s="143"/>
    </row>
    <row r="81" spans="2:13">
      <c r="B81" s="8" t="s">
        <v>276</v>
      </c>
      <c r="C81" s="147">
        <f>C10</f>
        <v>0.73888888888888893</v>
      </c>
      <c r="D81" s="147"/>
      <c r="E81" s="145">
        <f>E72</f>
        <v>121089</v>
      </c>
      <c r="F81" s="147"/>
      <c r="G81" s="144">
        <f ca="1">G72*C81</f>
        <v>116026.4871474549</v>
      </c>
      <c r="H81" s="144">
        <f ca="1">H72</f>
        <v>164565.9492003835</v>
      </c>
      <c r="I81" s="144">
        <f ca="1">I72</f>
        <v>179372.11454359008</v>
      </c>
      <c r="J81" s="144">
        <f ca="1">J72</f>
        <v>193635.33912423943</v>
      </c>
      <c r="K81" s="144">
        <f ca="1">K72</f>
        <v>205066.1138315922</v>
      </c>
      <c r="L81" s="144">
        <f ca="1">L72</f>
        <v>216015.93981630824</v>
      </c>
      <c r="M81" s="144"/>
    </row>
    <row r="82" spans="2:13" s="180" customFormat="1">
      <c r="B82" s="253" t="s">
        <v>277</v>
      </c>
      <c r="C82" s="254"/>
      <c r="D82" s="254"/>
      <c r="E82" s="255"/>
      <c r="F82" s="254"/>
      <c r="G82" s="399">
        <f t="shared" ref="G82:L82" ca="1" si="17">G81/(1+$J$6)^((G80-$C$9)/365)</f>
        <v>112764.29548017481</v>
      </c>
      <c r="H82" s="399">
        <f t="shared" ca="1" si="17"/>
        <v>149542.02772247748</v>
      </c>
      <c r="I82" s="399">
        <f t="shared" ca="1" si="17"/>
        <v>150841.51100687892</v>
      </c>
      <c r="J82" s="399">
        <f t="shared" ca="1" si="17"/>
        <v>150693.05135412826</v>
      </c>
      <c r="K82" s="399">
        <f t="shared" ca="1" si="17"/>
        <v>147703.64428261129</v>
      </c>
      <c r="L82" s="399">
        <f t="shared" ca="1" si="17"/>
        <v>144003.09007895651</v>
      </c>
      <c r="M82" s="252"/>
    </row>
  </sheetData>
  <dataValidations disablePrompts="1" count="1">
    <dataValidation type="list" allowBlank="1" showInputMessage="1" showErrorMessage="1" sqref="J9" xr:uid="{8E705A39-7DE5-4F83-9E4F-8E3679A3C84C}">
      <formula1>"0,1"</formula1>
    </dataValidation>
  </dataValidations>
  <pageMargins left="0.7" right="0.7" top="0.75" bottom="0.75" header="0.3" footer="0.3"/>
  <ignoredErrors>
    <ignoredError sqref="E42"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9222F-360D-4DA1-BCF5-0231D11F1122}">
  <sheetPr>
    <tabColor rgb="FFC00000"/>
  </sheetPr>
  <dimension ref="B2:R58"/>
  <sheetViews>
    <sheetView showGridLines="0" zoomScale="115" zoomScaleNormal="115" workbookViewId="0">
      <selection activeCell="E28" sqref="E28"/>
    </sheetView>
  </sheetViews>
  <sheetFormatPr defaultColWidth="8" defaultRowHeight="12"/>
  <cols>
    <col min="1" max="1" width="1.25" style="8" customWidth="1"/>
    <col min="2" max="2" width="27" style="8" customWidth="1"/>
    <col min="3" max="4" width="8.5" style="8" bestFit="1" customWidth="1"/>
    <col min="5" max="9" width="15.75" style="8" customWidth="1"/>
    <col min="10" max="10" width="2.75" style="8" customWidth="1"/>
    <col min="11" max="11" width="10.375" style="8" customWidth="1"/>
    <col min="12" max="17" width="8.625" style="8" customWidth="1"/>
    <col min="18" max="16384" width="8" style="8"/>
  </cols>
  <sheetData>
    <row r="2" spans="2:18">
      <c r="B2" s="229" t="str">
        <f>'Historical Financials'!B2</f>
        <v>Apple Inc. (NASDAQ: AAPL)</v>
      </c>
      <c r="C2" s="282"/>
      <c r="D2" s="282"/>
      <c r="E2" s="282"/>
      <c r="F2" s="282"/>
      <c r="G2" s="282"/>
      <c r="H2" s="282"/>
      <c r="I2" s="282"/>
      <c r="J2" s="282"/>
      <c r="K2" s="282"/>
      <c r="L2" s="282"/>
      <c r="M2" s="282"/>
      <c r="N2" s="282"/>
      <c r="O2" s="282"/>
      <c r="P2" s="282"/>
      <c r="Q2" s="282"/>
    </row>
    <row r="3" spans="2:18">
      <c r="B3" s="282" t="s">
        <v>634</v>
      </c>
      <c r="C3" s="282"/>
      <c r="D3" s="282"/>
      <c r="E3" s="282"/>
      <c r="F3" s="282"/>
      <c r="G3" s="282"/>
      <c r="H3" s="282"/>
      <c r="I3" s="282"/>
      <c r="J3" s="282"/>
      <c r="K3" s="282"/>
      <c r="L3" s="282"/>
      <c r="M3" s="282"/>
      <c r="N3" s="282"/>
      <c r="O3" s="282"/>
      <c r="P3" s="282"/>
      <c r="Q3" s="282"/>
    </row>
    <row r="4" spans="2:18">
      <c r="B4" s="282" t="s">
        <v>325</v>
      </c>
      <c r="C4" s="282"/>
      <c r="D4" s="282"/>
      <c r="E4" s="282"/>
      <c r="F4" s="282"/>
      <c r="G4" s="282"/>
      <c r="H4" s="282"/>
      <c r="I4" s="282"/>
      <c r="J4" s="282"/>
      <c r="K4" s="282"/>
      <c r="L4" s="282"/>
      <c r="M4" s="282"/>
      <c r="N4" s="282"/>
      <c r="O4" s="282"/>
      <c r="P4" s="282"/>
      <c r="Q4" s="282"/>
    </row>
    <row r="6" spans="2:18" ht="12.75" thickBot="1">
      <c r="B6" s="247" t="s">
        <v>495</v>
      </c>
      <c r="C6" s="247"/>
      <c r="E6" s="247" t="s">
        <v>603</v>
      </c>
      <c r="F6" s="247"/>
      <c r="G6" s="247"/>
      <c r="H6" s="247"/>
      <c r="K6" s="180"/>
      <c r="L6" s="401" t="s">
        <v>244</v>
      </c>
      <c r="M6" s="240"/>
      <c r="N6" s="240"/>
      <c r="O6" s="240"/>
      <c r="P6" s="240"/>
      <c r="Q6" s="240"/>
    </row>
    <row r="7" spans="2:18" s="180" customFormat="1" ht="14.25">
      <c r="B7" s="180" t="s">
        <v>240</v>
      </c>
      <c r="C7" s="532">
        <v>1.7500000000000002E-2</v>
      </c>
      <c r="F7" s="485" t="s">
        <v>499</v>
      </c>
      <c r="G7" s="485" t="s">
        <v>503</v>
      </c>
      <c r="H7" s="485" t="s">
        <v>502</v>
      </c>
      <c r="K7" s="286"/>
      <c r="L7" s="607" t="s">
        <v>33</v>
      </c>
      <c r="M7" s="607"/>
      <c r="N7" s="606"/>
      <c r="O7" s="606"/>
      <c r="P7" s="606"/>
      <c r="Q7" s="606"/>
      <c r="R7" s="8"/>
    </row>
    <row r="8" spans="2:18" s="180" customFormat="1">
      <c r="B8" s="180" t="s">
        <v>134</v>
      </c>
      <c r="C8" s="532">
        <v>0.156</v>
      </c>
      <c r="E8" s="180" t="s">
        <v>36</v>
      </c>
      <c r="F8" s="490">
        <f>H21</f>
        <v>-33763</v>
      </c>
      <c r="G8" s="589">
        <f ca="1">F8/$F$10</f>
        <v>-8.6007072412392273E-3</v>
      </c>
      <c r="H8" s="590">
        <v>0</v>
      </c>
      <c r="K8" s="288"/>
      <c r="L8" s="601">
        <f ca="1">C27</f>
        <v>8.0479570873504991E-2</v>
      </c>
      <c r="M8" s="591">
        <f>N8-0.1</f>
        <v>0.90049006140265841</v>
      </c>
      <c r="N8" s="591">
        <f>O8-0.1</f>
        <v>1.0004900614026584</v>
      </c>
      <c r="O8" s="592">
        <v>1.1004900614026585</v>
      </c>
      <c r="P8" s="591">
        <f>O8+0.1</f>
        <v>1.2004900614026586</v>
      </c>
      <c r="Q8" s="591">
        <f>P8+0.1</f>
        <v>1.3004900614026587</v>
      </c>
    </row>
    <row r="9" spans="2:18" s="180" customFormat="1">
      <c r="B9" s="398" t="s">
        <v>241</v>
      </c>
      <c r="C9" s="481">
        <f>C7*(1-C8)</f>
        <v>1.477E-2</v>
      </c>
      <c r="E9" s="180" t="s">
        <v>500</v>
      </c>
      <c r="F9" s="490">
        <f ca="1">F36</f>
        <v>3959370.4009949998</v>
      </c>
      <c r="G9" s="486">
        <f ca="1">F9/$F$10</f>
        <v>1.0086007072412393</v>
      </c>
      <c r="H9" s="486">
        <f>1-H8</f>
        <v>1</v>
      </c>
      <c r="K9" s="288"/>
      <c r="L9" s="593">
        <f>L10-0.005</f>
        <v>3.1250000000000007E-2</v>
      </c>
      <c r="M9" s="602">
        <f t="dataTable" ref="M9:Q13" dt2D="1" dtr="1" r1="C13" r2="C14" ca="1"/>
        <v>6.3140314418833082E-2</v>
      </c>
      <c r="N9" s="599">
        <v>6.6265314418833085E-2</v>
      </c>
      <c r="O9" s="599">
        <v>6.9390314418833088E-2</v>
      </c>
      <c r="P9" s="599">
        <v>7.2515314418833091E-2</v>
      </c>
      <c r="Q9" s="600">
        <v>7.5640314418833093E-2</v>
      </c>
    </row>
    <row r="10" spans="2:18">
      <c r="D10" s="99"/>
      <c r="E10" s="398" t="s">
        <v>501</v>
      </c>
      <c r="F10" s="482">
        <f ca="1">SUM(F8:F9)</f>
        <v>3925607.4009949998</v>
      </c>
      <c r="G10" s="483">
        <f ca="1">SUM(G8:G9)</f>
        <v>1</v>
      </c>
      <c r="H10" s="483">
        <f>SUM(H8:H9)</f>
        <v>1</v>
      </c>
      <c r="K10" s="605" t="s">
        <v>245</v>
      </c>
      <c r="L10" s="593">
        <f>L11-0.005</f>
        <v>3.6250000000000004E-2</v>
      </c>
      <c r="M10" s="596">
        <v>6.7642764725846377E-2</v>
      </c>
      <c r="N10" s="603">
        <v>7.1267764725846366E-2</v>
      </c>
      <c r="O10" s="109">
        <v>7.4892764725846384E-2</v>
      </c>
      <c r="P10" s="109">
        <v>7.8517764725846373E-2</v>
      </c>
      <c r="Q10" s="598">
        <v>8.214276472584639E-2</v>
      </c>
    </row>
    <row r="11" spans="2:18">
      <c r="B11" s="247" t="s">
        <v>496</v>
      </c>
      <c r="C11" s="247"/>
      <c r="K11" s="605" t="s">
        <v>246</v>
      </c>
      <c r="L11" s="594">
        <v>4.1250000000000002E-2</v>
      </c>
      <c r="M11" s="596">
        <v>7.2145215032859672E-2</v>
      </c>
      <c r="N11" s="109">
        <v>7.6270215032859662E-2</v>
      </c>
      <c r="O11" s="603">
        <v>8.0395215032859665E-2</v>
      </c>
      <c r="P11" s="109">
        <v>8.4520215032859669E-2</v>
      </c>
      <c r="Q11" s="598">
        <v>8.8645215032859673E-2</v>
      </c>
    </row>
    <row r="12" spans="2:18">
      <c r="B12" s="8" t="s">
        <v>242</v>
      </c>
      <c r="C12" s="533">
        <v>3.5000000000000003E-2</v>
      </c>
      <c r="E12" s="247" t="s">
        <v>36</v>
      </c>
      <c r="F12" s="247"/>
      <c r="G12" s="247"/>
      <c r="H12" s="247"/>
      <c r="K12" s="605" t="s">
        <v>247</v>
      </c>
      <c r="L12" s="593">
        <f>L11+0.005</f>
        <v>4.6249999999999999E-2</v>
      </c>
      <c r="M12" s="596">
        <v>7.6647665339872953E-2</v>
      </c>
      <c r="N12" s="109">
        <v>8.1272665339872957E-2</v>
      </c>
      <c r="O12" s="109">
        <v>8.5897665339872947E-2</v>
      </c>
      <c r="P12" s="603">
        <v>9.0522665339872965E-2</v>
      </c>
      <c r="Q12" s="598">
        <v>9.5147665339872955E-2</v>
      </c>
    </row>
    <row r="13" spans="2:18">
      <c r="B13" s="8" t="s">
        <v>27</v>
      </c>
      <c r="C13" s="135">
        <f ca="1">I36</f>
        <v>1.1025350514789085</v>
      </c>
      <c r="E13" s="154" t="s">
        <v>296</v>
      </c>
      <c r="F13" s="155"/>
      <c r="K13" s="288"/>
      <c r="L13" s="593">
        <f>L12+0.005</f>
        <v>5.1249999999999997E-2</v>
      </c>
      <c r="M13" s="597">
        <v>8.1150115646886248E-2</v>
      </c>
      <c r="N13" s="595">
        <v>8.6275115646886252E-2</v>
      </c>
      <c r="O13" s="595">
        <v>9.1400115646886243E-2</v>
      </c>
      <c r="P13" s="595">
        <v>9.6525115646886261E-2</v>
      </c>
      <c r="Q13" s="604">
        <v>0.10165011564688625</v>
      </c>
    </row>
    <row r="14" spans="2:18">
      <c r="B14" s="8" t="s">
        <v>497</v>
      </c>
      <c r="C14" s="533">
        <v>4.1250000000000002E-2</v>
      </c>
      <c r="E14" s="66" t="s">
        <v>21</v>
      </c>
      <c r="F14" s="112"/>
      <c r="G14" s="112"/>
      <c r="H14" s="112">
        <f>DCF!C28</f>
        <v>98657</v>
      </c>
    </row>
    <row r="15" spans="2:18" ht="12.75" thickBot="1">
      <c r="B15" s="398" t="s">
        <v>243</v>
      </c>
      <c r="C15" s="481">
        <f ca="1">C12+C13*C14</f>
        <v>8.0479570873504991E-2</v>
      </c>
      <c r="E15" s="66" t="s">
        <v>298</v>
      </c>
      <c r="F15" s="96"/>
      <c r="G15" s="96"/>
      <c r="H15" s="96">
        <v>0</v>
      </c>
      <c r="L15" s="401" t="s">
        <v>597</v>
      </c>
      <c r="M15" s="240"/>
      <c r="N15" s="240"/>
      <c r="O15" s="240"/>
      <c r="P15" s="240"/>
      <c r="Q15" s="240"/>
    </row>
    <row r="16" spans="2:18">
      <c r="E16" s="66" t="s">
        <v>300</v>
      </c>
      <c r="F16" s="96"/>
      <c r="G16" s="96"/>
      <c r="H16" s="96">
        <v>0</v>
      </c>
      <c r="K16" s="286"/>
      <c r="L16" s="607" t="s">
        <v>599</v>
      </c>
      <c r="M16" s="607"/>
      <c r="N16" s="606"/>
      <c r="O16" s="606"/>
      <c r="P16" s="606"/>
      <c r="Q16" s="606"/>
    </row>
    <row r="17" spans="2:17">
      <c r="B17" s="247" t="s">
        <v>504</v>
      </c>
      <c r="C17" s="247"/>
      <c r="E17" s="157" t="s">
        <v>301</v>
      </c>
      <c r="F17" s="96"/>
      <c r="G17" s="96"/>
      <c r="H17" s="96">
        <v>0</v>
      </c>
      <c r="K17" s="288"/>
      <c r="L17" s="601">
        <f ca="1">C27</f>
        <v>8.0479570873504991E-2</v>
      </c>
      <c r="M17" s="589">
        <f>N17-0.01</f>
        <v>1.5000000000000001E-2</v>
      </c>
      <c r="N17" s="589">
        <f>O17-0.01</f>
        <v>2.5000000000000001E-2</v>
      </c>
      <c r="O17" s="609">
        <v>3.5000000000000003E-2</v>
      </c>
      <c r="P17" s="589">
        <f>O17+0.01</f>
        <v>4.5000000000000005E-2</v>
      </c>
      <c r="Q17" s="589">
        <f>P17+0.01</f>
        <v>5.5000000000000007E-2</v>
      </c>
    </row>
    <row r="18" spans="2:17">
      <c r="B18" s="8" t="s">
        <v>34</v>
      </c>
      <c r="C18" s="588">
        <f>H8</f>
        <v>0</v>
      </c>
      <c r="E18" s="154" t="s">
        <v>303</v>
      </c>
      <c r="K18" s="288"/>
      <c r="L18" s="593">
        <f>L19-0.005</f>
        <v>3.1250000000000007E-2</v>
      </c>
      <c r="M18" s="602">
        <f t="dataTable" ref="M18:Q22" dt2D="1" dtr="1" r1="C12" r2="C14" ca="1"/>
        <v>4.9454220358715897E-2</v>
      </c>
      <c r="N18" s="599">
        <v>5.9454220358715899E-2</v>
      </c>
      <c r="O18" s="599">
        <v>6.9454220358715901E-2</v>
      </c>
      <c r="P18" s="599">
        <v>7.945422035871591E-2</v>
      </c>
      <c r="Q18" s="600">
        <v>8.9454220358715905E-2</v>
      </c>
    </row>
    <row r="19" spans="2:17">
      <c r="B19" s="8" t="s">
        <v>500</v>
      </c>
      <c r="C19" s="531">
        <f>H9</f>
        <v>1</v>
      </c>
      <c r="E19" s="158" t="s">
        <v>305</v>
      </c>
      <c r="F19" s="112"/>
      <c r="G19" s="112"/>
      <c r="H19" s="112">
        <f>DCF!C33</f>
        <v>132420</v>
      </c>
      <c r="K19" s="605" t="s">
        <v>245</v>
      </c>
      <c r="L19" s="593">
        <f>L20-0.005</f>
        <v>3.6250000000000004E-2</v>
      </c>
      <c r="M19" s="596">
        <v>5.4966895616110435E-2</v>
      </c>
      <c r="N19" s="603">
        <v>6.4966895616110437E-2</v>
      </c>
      <c r="O19" s="109">
        <v>7.4966895616110446E-2</v>
      </c>
      <c r="P19" s="109">
        <v>8.4966895616110441E-2</v>
      </c>
      <c r="Q19" s="598">
        <v>9.4966895616110436E-2</v>
      </c>
    </row>
    <row r="20" spans="2:17">
      <c r="B20" s="398" t="s">
        <v>504</v>
      </c>
      <c r="C20" s="484">
        <f>SUM(C18:C19)</f>
        <v>1</v>
      </c>
      <c r="E20" s="158" t="s">
        <v>306</v>
      </c>
      <c r="F20" s="96"/>
      <c r="G20" s="96"/>
      <c r="H20" s="96">
        <v>0</v>
      </c>
      <c r="K20" s="605" t="s">
        <v>246</v>
      </c>
      <c r="L20" s="594">
        <v>4.1250000000000002E-2</v>
      </c>
      <c r="M20" s="596">
        <v>6.047957087350498E-2</v>
      </c>
      <c r="N20" s="109">
        <v>7.0479570873504982E-2</v>
      </c>
      <c r="O20" s="603">
        <v>8.0479570873504991E-2</v>
      </c>
      <c r="P20" s="109">
        <v>9.0479570873504986E-2</v>
      </c>
      <c r="Q20" s="598">
        <v>0.10047957087350498</v>
      </c>
    </row>
    <row r="21" spans="2:17">
      <c r="E21" s="253" t="s">
        <v>290</v>
      </c>
      <c r="F21" s="261"/>
      <c r="G21" s="261"/>
      <c r="H21" s="637">
        <f t="shared" ref="H21" si="0">SUM(H14:H17)-SUM(H19:H20)</f>
        <v>-33763</v>
      </c>
      <c r="K21" s="605" t="s">
        <v>247</v>
      </c>
      <c r="L21" s="593">
        <f>L20+0.005</f>
        <v>4.6249999999999999E-2</v>
      </c>
      <c r="M21" s="596">
        <v>6.5992246130899518E-2</v>
      </c>
      <c r="N21" s="109">
        <v>7.5992246130899527E-2</v>
      </c>
      <c r="O21" s="109">
        <v>8.5992246130899522E-2</v>
      </c>
      <c r="P21" s="603">
        <v>9.5992246130899517E-2</v>
      </c>
      <c r="Q21" s="598">
        <v>0.10599224613089953</v>
      </c>
    </row>
    <row r="22" spans="2:17">
      <c r="B22" s="250" t="s">
        <v>505</v>
      </c>
      <c r="C22" s="247"/>
      <c r="K22" s="288"/>
      <c r="L22" s="593">
        <f>L21+0.005</f>
        <v>5.1249999999999997E-2</v>
      </c>
      <c r="M22" s="597">
        <v>7.1504921388294063E-2</v>
      </c>
      <c r="N22" s="595">
        <v>8.1504921388294058E-2</v>
      </c>
      <c r="O22" s="595">
        <v>9.1504921388294053E-2</v>
      </c>
      <c r="P22" s="595">
        <v>0.10150492138829406</v>
      </c>
      <c r="Q22" s="604">
        <v>0.11150492138829407</v>
      </c>
    </row>
    <row r="23" spans="2:17">
      <c r="B23" s="8" t="s">
        <v>495</v>
      </c>
      <c r="C23" s="531">
        <f>C9</f>
        <v>1.477E-2</v>
      </c>
      <c r="F23" s="499"/>
    </row>
    <row r="24" spans="2:17" ht="12.75" thickBot="1">
      <c r="B24" s="66" t="s">
        <v>507</v>
      </c>
      <c r="C24" s="588">
        <f>C18</f>
        <v>0</v>
      </c>
      <c r="F24" s="136"/>
      <c r="L24" s="401" t="s">
        <v>600</v>
      </c>
      <c r="M24" s="240"/>
      <c r="N24" s="240"/>
      <c r="O24" s="240"/>
      <c r="P24" s="240"/>
      <c r="Q24" s="240"/>
    </row>
    <row r="25" spans="2:17">
      <c r="B25" s="8" t="s">
        <v>496</v>
      </c>
      <c r="C25" s="531">
        <f ca="1">C15</f>
        <v>8.0479570873504991E-2</v>
      </c>
      <c r="L25" s="607" t="s">
        <v>495</v>
      </c>
      <c r="M25" s="607"/>
      <c r="N25" s="606"/>
      <c r="O25" s="606"/>
      <c r="P25" s="606"/>
      <c r="Q25" s="606"/>
    </row>
    <row r="26" spans="2:17">
      <c r="B26" s="66" t="s">
        <v>506</v>
      </c>
      <c r="C26" s="501">
        <f>C19</f>
        <v>1</v>
      </c>
      <c r="K26" s="288"/>
      <c r="L26" s="601">
        <f ca="1">C27</f>
        <v>8.0479570873504991E-2</v>
      </c>
      <c r="M26" s="589">
        <f>N26-0.01</f>
        <v>2.9999999999999975E-3</v>
      </c>
      <c r="N26" s="589">
        <f>O26-0.005</f>
        <v>1.2999999999999998E-2</v>
      </c>
      <c r="O26" s="609">
        <v>1.7999999999999999E-2</v>
      </c>
      <c r="P26" s="589">
        <f>O26+0.01</f>
        <v>2.7999999999999997E-2</v>
      </c>
      <c r="Q26" s="589">
        <f>P26+0.01</f>
        <v>3.7999999999999999E-2</v>
      </c>
    </row>
    <row r="27" spans="2:17">
      <c r="B27" s="398" t="s">
        <v>498</v>
      </c>
      <c r="C27" s="487">
        <f ca="1">SUMPRODUCT(C26*C25)+(C23*C24)</f>
        <v>8.0479570873504991E-2</v>
      </c>
      <c r="K27" s="288"/>
      <c r="L27" s="611">
        <f>L28-0.01</f>
        <v>0.13599999999999998</v>
      </c>
      <c r="M27" s="602">
        <f t="dataTable" ref="M27:Q31" dt2D="1" dtr="1" r1="C7" r2="C8"/>
        <v>8.0487384863002082E-2</v>
      </c>
      <c r="N27" s="599">
        <v>8.0487384863002082E-2</v>
      </c>
      <c r="O27" s="599">
        <v>8.0487384863002082E-2</v>
      </c>
      <c r="P27" s="599">
        <v>8.0487384863002082E-2</v>
      </c>
      <c r="Q27" s="600">
        <v>8.0487384863002082E-2</v>
      </c>
    </row>
    <row r="28" spans="2:17">
      <c r="C28" s="531"/>
      <c r="J28" s="136"/>
      <c r="K28" s="605" t="s">
        <v>601</v>
      </c>
      <c r="L28" s="611">
        <f>L29-0.01</f>
        <v>0.14599999999999999</v>
      </c>
      <c r="M28" s="596">
        <v>8.0483477532645772E-2</v>
      </c>
      <c r="N28" s="603">
        <v>8.0483477532645772E-2</v>
      </c>
      <c r="O28" s="109">
        <v>8.0483477532645772E-2</v>
      </c>
      <c r="P28" s="109">
        <v>8.0483477532645772E-2</v>
      </c>
      <c r="Q28" s="598">
        <v>8.0483477532645772E-2</v>
      </c>
    </row>
    <row r="29" spans="2:17">
      <c r="B29" s="250" t="s">
        <v>567</v>
      </c>
      <c r="C29" s="250"/>
      <c r="D29" s="250"/>
      <c r="E29" s="250"/>
      <c r="F29" s="488"/>
      <c r="G29" s="488"/>
      <c r="H29" s="488"/>
      <c r="I29" s="488"/>
      <c r="J29" s="136"/>
      <c r="K29" s="605" t="s">
        <v>598</v>
      </c>
      <c r="L29" s="533">
        <v>0.156</v>
      </c>
      <c r="M29" s="596">
        <v>8.0479570873504991E-2</v>
      </c>
      <c r="N29" s="109">
        <v>8.0479570873504991E-2</v>
      </c>
      <c r="O29" s="603">
        <v>8.0479570873504991E-2</v>
      </c>
      <c r="P29" s="109">
        <v>8.0479570873504991E-2</v>
      </c>
      <c r="Q29" s="598">
        <v>8.0479570873504991E-2</v>
      </c>
    </row>
    <row r="30" spans="2:17">
      <c r="B30" s="498" t="s">
        <v>509</v>
      </c>
      <c r="C30" s="500"/>
      <c r="D30" s="500"/>
      <c r="E30" s="500" t="s">
        <v>10</v>
      </c>
      <c r="F30" s="500" t="s">
        <v>566</v>
      </c>
      <c r="G30" s="500" t="s">
        <v>10</v>
      </c>
      <c r="H30" s="500" t="s">
        <v>10</v>
      </c>
      <c r="I30" s="500"/>
      <c r="J30" s="136"/>
      <c r="K30" s="605" t="s">
        <v>602</v>
      </c>
      <c r="L30" s="611">
        <f>L29+0.01</f>
        <v>0.16600000000000001</v>
      </c>
      <c r="M30" s="596">
        <v>8.047566488540675E-2</v>
      </c>
      <c r="N30" s="109">
        <v>8.047566488540675E-2</v>
      </c>
      <c r="O30" s="109">
        <v>8.047566488540675E-2</v>
      </c>
      <c r="P30" s="603">
        <v>8.047566488540675E-2</v>
      </c>
      <c r="Q30" s="598">
        <v>8.047566488540675E-2</v>
      </c>
    </row>
    <row r="31" spans="2:17" ht="14.25">
      <c r="B31" s="530" t="s">
        <v>508</v>
      </c>
      <c r="C31" s="506" t="s">
        <v>514</v>
      </c>
      <c r="D31" s="506" t="s">
        <v>248</v>
      </c>
      <c r="E31" s="506" t="s">
        <v>249</v>
      </c>
      <c r="F31" s="506" t="s">
        <v>250</v>
      </c>
      <c r="G31" s="506" t="s">
        <v>36</v>
      </c>
      <c r="H31" s="506" t="s">
        <v>134</v>
      </c>
      <c r="I31" s="506" t="s">
        <v>515</v>
      </c>
      <c r="J31" s="136"/>
      <c r="K31" s="288"/>
      <c r="L31" s="611">
        <f>L30+0.01</f>
        <v>0.17600000000000002</v>
      </c>
      <c r="M31" s="597">
        <v>8.0471759568178231E-2</v>
      </c>
      <c r="N31" s="595">
        <v>8.0471759568178231E-2</v>
      </c>
      <c r="O31" s="595">
        <v>8.0471759568178231E-2</v>
      </c>
      <c r="P31" s="595">
        <v>8.0471759568178231E-2</v>
      </c>
      <c r="Q31" s="604">
        <v>8.0471759568178231E-2</v>
      </c>
    </row>
    <row r="32" spans="2:17" ht="5.0999999999999996" customHeight="1">
      <c r="H32" s="5"/>
    </row>
    <row r="33" spans="2:10">
      <c r="B33" s="137" t="s">
        <v>511</v>
      </c>
      <c r="C33" s="610">
        <f ca="1">'Peer Comparables'!E10</f>
        <v>1.0896999999999999</v>
      </c>
      <c r="D33" s="489">
        <f ca="1">'Peer Comparables'!D10</f>
        <v>370.89499999999998</v>
      </c>
      <c r="E33" s="101">
        <v>7466</v>
      </c>
      <c r="F33" s="373">
        <f t="shared" ref="F33:F34" ca="1" si="1">D33*E33</f>
        <v>2769102.07</v>
      </c>
      <c r="G33" s="101">
        <v>17619</v>
      </c>
      <c r="H33" s="103">
        <v>0.19109999999999999</v>
      </c>
      <c r="I33" s="136">
        <f ca="1">C33/(1+(1-H33)*(G33)/F33)</f>
        <v>1.084120252014328</v>
      </c>
      <c r="J33" s="136"/>
    </row>
    <row r="34" spans="2:10">
      <c r="B34" s="137" t="s">
        <v>251</v>
      </c>
      <c r="C34" s="610">
        <f ca="1">'Peer Comparables'!E12</f>
        <v>1.1158999999999999</v>
      </c>
      <c r="D34" s="489">
        <f ca="1">'Peer Comparables'!D12</f>
        <v>315</v>
      </c>
      <c r="E34" s="101">
        <v>12230</v>
      </c>
      <c r="F34" s="373">
        <f t="shared" ca="1" si="1"/>
        <v>3852450</v>
      </c>
      <c r="G34" s="101">
        <v>-65220</v>
      </c>
      <c r="H34" s="103">
        <v>0.20480000000000001</v>
      </c>
      <c r="I34" s="136">
        <f t="shared" ref="I34" ca="1" si="2">C34/(1+(1-H34)*(G34)/F34)</f>
        <v>1.1311276104603982</v>
      </c>
      <c r="J34" s="136"/>
    </row>
    <row r="35" spans="2:10">
      <c r="B35" s="137" t="s">
        <v>510</v>
      </c>
      <c r="C35" s="610">
        <f ca="1">'Peer Comparables'!E11</f>
        <v>1.3836999999999999</v>
      </c>
      <c r="D35" s="489">
        <f ca="1">'Peer Comparables'!D11</f>
        <v>237.76</v>
      </c>
      <c r="E35" s="101">
        <v>10735</v>
      </c>
      <c r="F35" s="373">
        <f ca="1">D35*E35</f>
        <v>2552353.6</v>
      </c>
      <c r="G35" s="101">
        <v>54119</v>
      </c>
      <c r="H35" s="103">
        <v>0.24529999999999999</v>
      </c>
      <c r="I35" s="136">
        <f t="shared" ref="I35:I36" ca="1" si="3">C35/(1+(1-H35)*(G35)/F35)</f>
        <v>1.3619063230726423</v>
      </c>
      <c r="J35" s="136"/>
    </row>
    <row r="36" spans="2:10">
      <c r="B36" s="137" t="s">
        <v>512</v>
      </c>
      <c r="C36" s="610">
        <f ca="1">'Peer Comparables'!E8</f>
        <v>1.0946</v>
      </c>
      <c r="D36" s="489">
        <f ca="1">'Peer Comparables'!D8</f>
        <v>259.33499999999998</v>
      </c>
      <c r="E36" s="138">
        <f>DCF!K31</f>
        <v>15267.397000000001</v>
      </c>
      <c r="F36" s="72">
        <f ca="1">D36*E36</f>
        <v>3959370.4009949998</v>
      </c>
      <c r="G36" s="138">
        <f>DCF!C35</f>
        <v>-33763</v>
      </c>
      <c r="H36" s="431">
        <f>C8</f>
        <v>0.156</v>
      </c>
      <c r="I36" s="136">
        <f t="shared" ca="1" si="3"/>
        <v>1.1025350514789085</v>
      </c>
      <c r="J36" s="136"/>
    </row>
    <row r="37" spans="2:10" ht="5.0999999999999996" customHeight="1" thickBot="1">
      <c r="B37" s="40"/>
      <c r="C37" s="491"/>
      <c r="D37" s="40"/>
      <c r="E37" s="40"/>
      <c r="F37" s="492"/>
      <c r="G37" s="492"/>
      <c r="H37" s="492"/>
      <c r="I37" s="493"/>
      <c r="J37" s="107"/>
    </row>
    <row r="38" spans="2:10" ht="12.75" thickBot="1">
      <c r="C38" s="136"/>
      <c r="F38" s="72"/>
      <c r="G38" s="72"/>
      <c r="H38" s="72"/>
      <c r="I38" s="107"/>
      <c r="J38" s="107"/>
    </row>
    <row r="39" spans="2:10">
      <c r="C39" s="136"/>
      <c r="F39" s="72"/>
      <c r="G39" s="72"/>
      <c r="H39" s="494" t="s">
        <v>513</v>
      </c>
      <c r="I39" s="495">
        <f ca="1">AVERAGE(I33:I36)</f>
        <v>1.1699223092565691</v>
      </c>
      <c r="J39" s="136"/>
    </row>
    <row r="40" spans="2:10" ht="12.75" thickBot="1">
      <c r="G40" s="72"/>
      <c r="H40" s="496" t="str">
        <f>B36&amp;" beta"</f>
        <v>Apple Inc (AAPL) beta</v>
      </c>
      <c r="I40" s="497">
        <f ca="1">I39*(1+(1-H36)*(G36)/F36)</f>
        <v>1.1615022651610805</v>
      </c>
      <c r="J40" s="608"/>
    </row>
    <row r="47" spans="2:10">
      <c r="E47" s="109"/>
      <c r="F47" s="109"/>
    </row>
    <row r="48" spans="2:10">
      <c r="I48" s="135"/>
    </row>
    <row r="58" ht="12" customHeight="1"/>
  </sheetData>
  <conditionalFormatting sqref="B39">
    <cfRule type="expression" dxfId="0" priority="1">
      <formula>#REF!="Industry"</formula>
    </cfRule>
  </conditionalFormatting>
  <pageMargins left="0.7" right="0.7" top="0.75" bottom="0.75" header="0.3" footer="0.3"/>
  <ignoredErrors>
    <ignoredError sqref="I33 I34:I35" evalError="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6EEFF-6483-4C9D-B19E-631282EFC787}">
  <sheetPr>
    <tabColor theme="3" tint="-0.499984740745262"/>
    <pageSetUpPr autoPageBreaks="0"/>
  </sheetPr>
  <dimension ref="B2:X34"/>
  <sheetViews>
    <sheetView showGridLines="0" zoomScale="115" zoomScaleNormal="115" workbookViewId="0">
      <selection activeCell="G40" sqref="G40"/>
    </sheetView>
  </sheetViews>
  <sheetFormatPr defaultRowHeight="14.25"/>
  <cols>
    <col min="1" max="1" width="1.625" customWidth="1"/>
    <col min="2" max="2" width="15" bestFit="1" customWidth="1"/>
    <col min="3" max="3" width="9" bestFit="1" customWidth="1"/>
    <col min="4" max="4" width="8.5" bestFit="1" customWidth="1"/>
    <col min="5" max="5" width="7.125" customWidth="1"/>
    <col min="6" max="6" width="5.75" bestFit="1" customWidth="1"/>
    <col min="7" max="7" width="7.125" customWidth="1"/>
    <col min="8" max="8" width="5.625" bestFit="1" customWidth="1"/>
    <col min="9" max="9" width="7.125" customWidth="1"/>
    <col min="10" max="10" width="6.375" bestFit="1" customWidth="1"/>
    <col min="11" max="11" width="0.875" customWidth="1"/>
    <col min="12" max="13" width="6.375" bestFit="1" customWidth="1"/>
    <col min="14" max="14" width="7.125" customWidth="1"/>
    <col min="15" max="16" width="0.875" customWidth="1"/>
    <col min="17" max="18" width="6.375" bestFit="1" customWidth="1"/>
    <col min="19" max="19" width="7.125" customWidth="1"/>
    <col min="20" max="20" width="0.875" customWidth="1"/>
    <col min="21" max="22" width="6.375" bestFit="1" customWidth="1"/>
    <col min="23" max="23" width="7.125" customWidth="1"/>
    <col min="24" max="24" width="0.875" customWidth="1"/>
  </cols>
  <sheetData>
    <row r="2" spans="2:24">
      <c r="B2" s="229" t="s">
        <v>189</v>
      </c>
      <c r="C2" s="283"/>
    </row>
    <row r="3" spans="2:24">
      <c r="B3" s="282" t="s">
        <v>518</v>
      </c>
      <c r="C3" s="283"/>
    </row>
    <row r="4" spans="2:24">
      <c r="B4" s="513" t="s">
        <v>553</v>
      </c>
      <c r="C4" s="513"/>
    </row>
    <row r="5" spans="2:24" ht="5.0999999999999996" customHeight="1"/>
    <row r="6" spans="2:24">
      <c r="B6" s="180" t="s">
        <v>537</v>
      </c>
      <c r="C6" s="509">
        <v>271.39999999999998</v>
      </c>
    </row>
    <row r="7" spans="2:24" ht="5.0999999999999996" customHeight="1"/>
    <row r="8" spans="2:24">
      <c r="B8" s="180" t="s">
        <v>538</v>
      </c>
      <c r="C8" s="512">
        <f>AVERAGE(F23:F25,F21)</f>
        <v>-0.27750552689756813</v>
      </c>
    </row>
    <row r="9" spans="2:24" ht="5.0999999999999996" customHeight="1"/>
    <row r="10" spans="2:24">
      <c r="B10" s="180" t="s">
        <v>544</v>
      </c>
      <c r="C10" s="512">
        <f>AVERAGE(J23:J25,J21)</f>
        <v>0.22721075902726617</v>
      </c>
    </row>
    <row r="12" spans="2:24">
      <c r="B12" s="229" t="s">
        <v>189</v>
      </c>
      <c r="C12" s="283"/>
      <c r="D12" s="229"/>
      <c r="E12" s="283"/>
      <c r="F12" s="229"/>
      <c r="G12" s="283"/>
      <c r="H12" s="229"/>
      <c r="I12" s="283"/>
      <c r="J12" s="229"/>
      <c r="K12" s="229"/>
      <c r="L12" s="283"/>
      <c r="M12" s="229"/>
      <c r="N12" s="229"/>
      <c r="O12" s="229"/>
      <c r="P12" s="229"/>
      <c r="Q12" s="283"/>
      <c r="R12" s="229"/>
      <c r="S12" s="229"/>
      <c r="T12" s="229"/>
      <c r="U12" s="283"/>
      <c r="V12" s="229"/>
      <c r="W12" s="229"/>
      <c r="X12" s="229"/>
    </row>
    <row r="13" spans="2:24">
      <c r="B13" s="282" t="s">
        <v>668</v>
      </c>
      <c r="C13" s="283"/>
      <c r="D13" s="282"/>
      <c r="E13" s="283"/>
      <c r="F13" s="282"/>
      <c r="G13" s="283"/>
      <c r="H13" s="282"/>
      <c r="I13" s="283"/>
      <c r="J13" s="282"/>
      <c r="K13" s="282"/>
      <c r="L13" s="283"/>
      <c r="M13" s="283"/>
      <c r="N13" s="283"/>
      <c r="O13" s="283"/>
      <c r="P13" s="283"/>
      <c r="Q13" s="283"/>
      <c r="R13" s="283"/>
      <c r="S13" s="283"/>
      <c r="T13" s="283"/>
      <c r="U13" s="283"/>
      <c r="V13" s="283"/>
      <c r="W13" s="283"/>
      <c r="X13" s="283"/>
    </row>
    <row r="14" spans="2:24">
      <c r="B14" s="282"/>
      <c r="C14" s="500"/>
      <c r="D14" s="500"/>
      <c r="E14" s="513" t="s">
        <v>545</v>
      </c>
      <c r="F14" s="513"/>
      <c r="G14" s="513"/>
      <c r="H14" s="513"/>
      <c r="I14" s="513"/>
      <c r="J14" s="513"/>
      <c r="K14" s="506"/>
      <c r="L14" s="513" t="s">
        <v>548</v>
      </c>
      <c r="M14" s="513"/>
      <c r="N14" s="513"/>
      <c r="O14" s="506"/>
      <c r="P14" s="506"/>
      <c r="Q14" s="513" t="s">
        <v>383</v>
      </c>
      <c r="R14" s="513"/>
      <c r="S14" s="513"/>
      <c r="T14" s="506"/>
      <c r="U14" s="513" t="s">
        <v>549</v>
      </c>
      <c r="V14" s="513"/>
      <c r="W14" s="513"/>
      <c r="X14" s="506"/>
    </row>
    <row r="15" spans="2:24">
      <c r="B15" s="506" t="s">
        <v>524</v>
      </c>
      <c r="C15" s="506" t="s">
        <v>519</v>
      </c>
      <c r="D15" s="506" t="s">
        <v>539</v>
      </c>
      <c r="E15" s="506" t="s">
        <v>536</v>
      </c>
      <c r="F15" s="506" t="s">
        <v>535</v>
      </c>
      <c r="G15" s="506" t="s">
        <v>534</v>
      </c>
      <c r="H15" s="506" t="s">
        <v>532</v>
      </c>
      <c r="I15" s="506" t="s">
        <v>533</v>
      </c>
      <c r="J15" s="506" t="s">
        <v>531</v>
      </c>
      <c r="K15" s="506"/>
      <c r="L15" s="506" t="s">
        <v>550</v>
      </c>
      <c r="M15" s="506" t="s">
        <v>551</v>
      </c>
      <c r="N15" s="506" t="s">
        <v>552</v>
      </c>
      <c r="O15" s="506"/>
      <c r="P15" s="506"/>
      <c r="Q15" s="506" t="s">
        <v>550</v>
      </c>
      <c r="R15" s="506" t="s">
        <v>551</v>
      </c>
      <c r="S15" s="506" t="s">
        <v>552</v>
      </c>
      <c r="T15" s="506"/>
      <c r="U15" s="506" t="s">
        <v>550</v>
      </c>
      <c r="V15" s="506" t="s">
        <v>551</v>
      </c>
      <c r="W15" s="506" t="s">
        <v>552</v>
      </c>
      <c r="X15" s="506"/>
    </row>
    <row r="16" spans="2:24" ht="2.1" customHeight="1">
      <c r="B16" s="283"/>
      <c r="C16" s="283"/>
      <c r="D16" s="283"/>
      <c r="E16" s="283"/>
      <c r="F16" s="283"/>
      <c r="G16" s="283"/>
      <c r="H16" s="282"/>
      <c r="I16" s="283"/>
      <c r="J16" s="282"/>
      <c r="K16" s="282"/>
      <c r="L16" s="283"/>
      <c r="M16" s="283"/>
      <c r="N16" s="282"/>
      <c r="O16" s="282"/>
      <c r="P16" s="282"/>
      <c r="Q16" s="283"/>
      <c r="R16" s="283"/>
      <c r="S16" s="282"/>
      <c r="T16" s="282"/>
      <c r="U16" s="283"/>
      <c r="V16" s="283"/>
      <c r="W16" s="282"/>
      <c r="X16" s="282"/>
    </row>
    <row r="17" spans="2:24" ht="5.0999999999999996" customHeight="1">
      <c r="B17" s="308"/>
      <c r="C17" s="308"/>
      <c r="D17" s="308"/>
      <c r="E17" s="308"/>
      <c r="F17" s="308"/>
      <c r="G17" s="308"/>
      <c r="H17" s="308"/>
      <c r="I17" s="308"/>
      <c r="J17" s="308"/>
      <c r="K17" s="308"/>
      <c r="L17" s="308"/>
      <c r="M17" s="308"/>
      <c r="N17" s="308"/>
      <c r="O17" s="308"/>
      <c r="P17" s="308"/>
      <c r="Q17" s="308"/>
      <c r="R17" s="308"/>
      <c r="S17" s="308"/>
      <c r="T17" s="308"/>
      <c r="U17" s="308"/>
      <c r="V17" s="308"/>
      <c r="W17" s="308"/>
      <c r="X17" s="308"/>
    </row>
    <row r="18" spans="2:24">
      <c r="B18" s="180" t="s">
        <v>525</v>
      </c>
      <c r="C18" s="300" t="s">
        <v>522</v>
      </c>
      <c r="D18" s="504" t="s">
        <v>540</v>
      </c>
      <c r="E18" s="301">
        <f>(G18*F18)+G18</f>
        <v>234.81070375829034</v>
      </c>
      <c r="F18" s="510">
        <f>$C$8</f>
        <v>-0.27750552689756813</v>
      </c>
      <c r="G18" s="514">
        <v>325</v>
      </c>
      <c r="H18" s="510">
        <f t="shared" ref="H18:H25" si="0">(G18/$C$6)-1</f>
        <v>0.19749447310243196</v>
      </c>
      <c r="I18" s="301">
        <f>(J18*G18)+G18</f>
        <v>398.84349668386153</v>
      </c>
      <c r="J18" s="510">
        <f>$C$10</f>
        <v>0.22721075902726617</v>
      </c>
      <c r="K18" s="515"/>
      <c r="L18" s="526">
        <v>33.1</v>
      </c>
      <c r="M18" s="526">
        <v>27.9</v>
      </c>
      <c r="N18" s="526">
        <v>25</v>
      </c>
      <c r="O18" s="286"/>
      <c r="P18" s="286"/>
      <c r="Q18" s="527">
        <v>8.2100000000000009</v>
      </c>
      <c r="R18" s="527">
        <v>9.73</v>
      </c>
      <c r="S18" s="527">
        <v>10.86</v>
      </c>
      <c r="T18" s="286"/>
      <c r="U18" s="526">
        <v>23.2</v>
      </c>
      <c r="V18" s="526">
        <v>20.399999999999999</v>
      </c>
      <c r="W18" s="526">
        <v>18.5</v>
      </c>
      <c r="X18" s="286"/>
    </row>
    <row r="19" spans="2:24">
      <c r="B19" s="180" t="s">
        <v>526</v>
      </c>
      <c r="C19" s="300" t="s">
        <v>541</v>
      </c>
      <c r="D19" s="504" t="s">
        <v>540</v>
      </c>
      <c r="E19" s="301">
        <f t="shared" ref="E19:E22" si="1">(G19*F19)+G19</f>
        <v>220.3608142962417</v>
      </c>
      <c r="F19" s="508">
        <f t="shared" ref="F19:F20" si="2">$C$8</f>
        <v>-0.27750552689756813</v>
      </c>
      <c r="G19" s="514">
        <v>305</v>
      </c>
      <c r="H19" s="508">
        <f t="shared" si="0"/>
        <v>0.12380250552689764</v>
      </c>
      <c r="I19" s="301">
        <f t="shared" ref="I19:I22" si="3">(J19*G19)+G19</f>
        <v>374.29928150331619</v>
      </c>
      <c r="J19" s="508">
        <f t="shared" ref="J19:J20" si="4">$C$10</f>
        <v>0.22721075902726617</v>
      </c>
      <c r="K19" s="515"/>
      <c r="L19" s="526">
        <v>32.5</v>
      </c>
      <c r="M19" s="526">
        <v>28.3</v>
      </c>
      <c r="N19" s="526">
        <v>26.3</v>
      </c>
      <c r="O19" s="180"/>
      <c r="P19" s="180"/>
      <c r="Q19" s="527">
        <v>8.35</v>
      </c>
      <c r="R19" s="527">
        <v>9.6</v>
      </c>
      <c r="S19" s="527">
        <v>10.3</v>
      </c>
      <c r="T19" s="180"/>
      <c r="U19" s="526">
        <v>25.1</v>
      </c>
      <c r="V19" s="526">
        <v>22.4</v>
      </c>
      <c r="W19" s="526">
        <v>21.2</v>
      </c>
      <c r="X19" s="180"/>
    </row>
    <row r="20" spans="2:24">
      <c r="B20" s="180" t="s">
        <v>527</v>
      </c>
      <c r="C20" s="300" t="s">
        <v>542</v>
      </c>
      <c r="D20" s="504" t="s">
        <v>523</v>
      </c>
      <c r="E20" s="301">
        <f t="shared" si="1"/>
        <v>187.84856300663228</v>
      </c>
      <c r="F20" s="508">
        <f t="shared" si="2"/>
        <v>-0.27750552689756813</v>
      </c>
      <c r="G20" s="514">
        <v>260</v>
      </c>
      <c r="H20" s="508">
        <f t="shared" si="0"/>
        <v>-4.2004421518054502E-2</v>
      </c>
      <c r="I20" s="301">
        <f t="shared" si="3"/>
        <v>319.0747973470892</v>
      </c>
      <c r="J20" s="508">
        <f t="shared" si="4"/>
        <v>0.22721075902726617</v>
      </c>
      <c r="K20" s="515"/>
      <c r="L20" s="526">
        <v>33.5</v>
      </c>
      <c r="M20" s="526">
        <v>31.4</v>
      </c>
      <c r="N20" s="526">
        <v>29.3</v>
      </c>
      <c r="O20" s="180"/>
      <c r="P20" s="180"/>
      <c r="Q20" s="527">
        <v>8.11</v>
      </c>
      <c r="R20" s="527">
        <v>8.65</v>
      </c>
      <c r="S20" s="527">
        <v>9.25</v>
      </c>
      <c r="T20" s="180"/>
      <c r="U20" s="526">
        <v>23.1</v>
      </c>
      <c r="V20" s="526">
        <v>24.7</v>
      </c>
      <c r="W20" s="526">
        <v>22.2</v>
      </c>
      <c r="X20" s="180"/>
    </row>
    <row r="21" spans="2:24">
      <c r="B21" s="180" t="s">
        <v>528</v>
      </c>
      <c r="C21" s="300" t="s">
        <v>542</v>
      </c>
      <c r="D21" s="504" t="s">
        <v>523</v>
      </c>
      <c r="E21" s="514">
        <v>195</v>
      </c>
      <c r="F21" s="508">
        <f>(E21/$C$6)-1</f>
        <v>-0.28150331613854085</v>
      </c>
      <c r="G21" s="514">
        <v>280</v>
      </c>
      <c r="H21" s="508">
        <f t="shared" si="0"/>
        <v>3.1687546057479921E-2</v>
      </c>
      <c r="I21" s="514">
        <v>330</v>
      </c>
      <c r="J21" s="508">
        <f>(I21/$C$6)-1</f>
        <v>0.21591746499631559</v>
      </c>
      <c r="K21" s="515"/>
      <c r="L21" s="526">
        <v>33.799999999999997</v>
      </c>
      <c r="M21" s="526">
        <v>31.5</v>
      </c>
      <c r="N21" s="526">
        <v>29.7</v>
      </c>
      <c r="O21" s="180"/>
      <c r="P21" s="180"/>
      <c r="Q21" s="527">
        <v>8.0299999999999994</v>
      </c>
      <c r="R21" s="527">
        <v>8.61</v>
      </c>
      <c r="S21" s="527">
        <v>9.1300000000000008</v>
      </c>
      <c r="T21" s="180"/>
      <c r="U21" s="526">
        <v>26.2</v>
      </c>
      <c r="V21" s="526">
        <v>25.5</v>
      </c>
      <c r="W21" s="526">
        <v>25.1</v>
      </c>
      <c r="X21" s="180"/>
    </row>
    <row r="22" spans="2:24">
      <c r="B22" s="180" t="s">
        <v>529</v>
      </c>
      <c r="C22" s="300" t="s">
        <v>520</v>
      </c>
      <c r="D22" s="504" t="s">
        <v>523</v>
      </c>
      <c r="E22" s="301">
        <f t="shared" si="1"/>
        <v>180.62361827560795</v>
      </c>
      <c r="F22" s="508">
        <f>$C$8</f>
        <v>-0.27750552689756813</v>
      </c>
      <c r="G22" s="514">
        <v>250</v>
      </c>
      <c r="H22" s="508">
        <f t="shared" si="0"/>
        <v>-7.8850405305821547E-2</v>
      </c>
      <c r="I22" s="301">
        <f t="shared" si="3"/>
        <v>306.80268975681656</v>
      </c>
      <c r="J22" s="508">
        <f>$C$10</f>
        <v>0.22721075902726617</v>
      </c>
      <c r="K22" s="515"/>
      <c r="L22" s="526">
        <v>32</v>
      </c>
      <c r="M22" s="526">
        <v>30.4</v>
      </c>
      <c r="N22" s="526">
        <v>28.9</v>
      </c>
      <c r="O22" s="180"/>
      <c r="P22" s="180"/>
      <c r="Q22" s="527">
        <v>8.48</v>
      </c>
      <c r="R22" s="527">
        <v>8.92</v>
      </c>
      <c r="S22" s="527">
        <v>9.4</v>
      </c>
      <c r="T22" s="180"/>
      <c r="U22" s="526">
        <v>24</v>
      </c>
      <c r="V22" s="526">
        <v>23.3</v>
      </c>
      <c r="W22" s="526">
        <v>22.4</v>
      </c>
      <c r="X22" s="180"/>
    </row>
    <row r="23" spans="2:24">
      <c r="B23" s="180" t="s">
        <v>345</v>
      </c>
      <c r="C23" s="300" t="s">
        <v>520</v>
      </c>
      <c r="D23" s="504" t="s">
        <v>543</v>
      </c>
      <c r="E23" s="514">
        <v>171</v>
      </c>
      <c r="F23" s="508">
        <f t="shared" ref="F23:F25" si="5">(E23/$C$6)-1</f>
        <v>-0.36993367722918191</v>
      </c>
      <c r="G23" s="514">
        <v>230</v>
      </c>
      <c r="H23" s="508">
        <f t="shared" si="0"/>
        <v>-0.15254237288135586</v>
      </c>
      <c r="I23" s="514">
        <v>294</v>
      </c>
      <c r="J23" s="508">
        <f t="shared" ref="J23:J25" si="6">(I23/$C$6)-1</f>
        <v>8.3271923360353828E-2</v>
      </c>
      <c r="K23" s="515"/>
      <c r="L23" s="526">
        <v>33.700000000000003</v>
      </c>
      <c r="M23" s="526">
        <v>30</v>
      </c>
      <c r="N23" s="526">
        <v>27.2</v>
      </c>
      <c r="O23" s="180"/>
      <c r="P23" s="180"/>
      <c r="Q23" s="527">
        <v>8.0500000000000007</v>
      </c>
      <c r="R23" s="527">
        <v>9.0399999999999991</v>
      </c>
      <c r="S23" s="527">
        <v>9.9700000000000006</v>
      </c>
      <c r="T23" s="180"/>
      <c r="U23" s="526">
        <v>24.2</v>
      </c>
      <c r="V23" s="526">
        <v>22</v>
      </c>
      <c r="W23" s="526">
        <v>20.100000000000001</v>
      </c>
      <c r="X23" s="180"/>
    </row>
    <row r="24" spans="2:24">
      <c r="B24" s="180" t="s">
        <v>336</v>
      </c>
      <c r="C24" s="300" t="s">
        <v>520</v>
      </c>
      <c r="D24" s="504" t="s">
        <v>543</v>
      </c>
      <c r="E24" s="514">
        <v>183.34</v>
      </c>
      <c r="F24" s="508">
        <f t="shared" si="5"/>
        <v>-0.32446573323507732</v>
      </c>
      <c r="G24" s="514">
        <v>246.99</v>
      </c>
      <c r="H24" s="508">
        <f t="shared" si="0"/>
        <v>-8.9941046425939475E-2</v>
      </c>
      <c r="I24" s="514">
        <v>363.26</v>
      </c>
      <c r="J24" s="508">
        <f t="shared" si="6"/>
        <v>0.33846720707442901</v>
      </c>
      <c r="K24" s="515"/>
      <c r="L24" s="526">
        <v>32.700000000000003</v>
      </c>
      <c r="M24" s="526">
        <v>29.6</v>
      </c>
      <c r="N24" s="526">
        <v>25.4</v>
      </c>
      <c r="O24" s="180"/>
      <c r="P24" s="180"/>
      <c r="Q24" s="527">
        <v>8.31</v>
      </c>
      <c r="R24" s="527">
        <v>9.16</v>
      </c>
      <c r="S24" s="527">
        <v>10.67</v>
      </c>
      <c r="T24" s="180"/>
      <c r="U24" s="526">
        <v>26</v>
      </c>
      <c r="V24" s="526">
        <v>24.6</v>
      </c>
      <c r="W24" s="526">
        <v>22.3</v>
      </c>
      <c r="X24" s="180"/>
    </row>
    <row r="25" spans="2:24">
      <c r="B25" s="180" t="s">
        <v>558</v>
      </c>
      <c r="C25" s="300" t="s">
        <v>522</v>
      </c>
      <c r="D25" s="504" t="s">
        <v>559</v>
      </c>
      <c r="E25" s="514">
        <v>235</v>
      </c>
      <c r="F25" s="511">
        <f t="shared" si="5"/>
        <v>-0.13411938098747234</v>
      </c>
      <c r="G25" s="514">
        <v>315</v>
      </c>
      <c r="H25" s="511">
        <f t="shared" si="0"/>
        <v>0.16064848931466469</v>
      </c>
      <c r="I25" s="514">
        <v>345</v>
      </c>
      <c r="J25" s="511">
        <f t="shared" si="6"/>
        <v>0.27118644067796627</v>
      </c>
      <c r="K25" s="515"/>
      <c r="L25" s="526">
        <v>32.799999999999997</v>
      </c>
      <c r="M25" s="526">
        <v>29.3</v>
      </c>
      <c r="N25" s="526">
        <v>27</v>
      </c>
      <c r="O25" s="180"/>
      <c r="P25" s="180"/>
      <c r="Q25" s="527">
        <v>8.2799999999999994</v>
      </c>
      <c r="R25" s="527">
        <v>9.25</v>
      </c>
      <c r="S25" s="527">
        <v>10.050000000000001</v>
      </c>
      <c r="T25" s="180"/>
      <c r="U25" s="526">
        <v>24.9</v>
      </c>
      <c r="V25" s="526">
        <v>22.8</v>
      </c>
      <c r="W25" s="526">
        <v>21.4</v>
      </c>
      <c r="X25" s="180"/>
    </row>
    <row r="26" spans="2:24" ht="5.0999999999999996" customHeight="1">
      <c r="B26" s="180"/>
      <c r="C26" s="300"/>
      <c r="D26" s="504"/>
      <c r="E26" s="301"/>
      <c r="F26" s="515"/>
      <c r="G26" s="514"/>
      <c r="H26" s="515"/>
      <c r="I26" s="301"/>
      <c r="J26" s="515"/>
      <c r="K26" s="515"/>
      <c r="L26" s="303"/>
      <c r="M26" s="180"/>
      <c r="N26" s="180"/>
      <c r="O26" s="180"/>
      <c r="P26" s="180"/>
      <c r="Q26" s="303"/>
      <c r="R26" s="180"/>
      <c r="S26" s="180"/>
      <c r="T26" s="180"/>
      <c r="U26" s="303"/>
      <c r="V26" s="180"/>
      <c r="W26" s="180"/>
      <c r="X26" s="180"/>
    </row>
    <row r="27" spans="2:24">
      <c r="B27" s="516" t="s">
        <v>188</v>
      </c>
      <c r="C27" s="518"/>
      <c r="D27" s="519"/>
      <c r="E27" s="520">
        <f t="shared" ref="E27:J27" si="7">MAX(E$18:E$25)</f>
        <v>235</v>
      </c>
      <c r="F27" s="347">
        <f t="shared" si="7"/>
        <v>-0.13411938098747234</v>
      </c>
      <c r="G27" s="520">
        <f t="shared" si="7"/>
        <v>325</v>
      </c>
      <c r="H27" s="347">
        <f t="shared" si="7"/>
        <v>0.19749447310243196</v>
      </c>
      <c r="I27" s="520">
        <f t="shared" si="7"/>
        <v>398.84349668386153</v>
      </c>
      <c r="J27" s="347">
        <f t="shared" si="7"/>
        <v>0.33846720707442901</v>
      </c>
      <c r="K27" s="347"/>
      <c r="L27" s="521">
        <f>MAX(L$18:L$25)</f>
        <v>33.799999999999997</v>
      </c>
      <c r="M27" s="521">
        <f>MAX(M$18:M$25)</f>
        <v>31.5</v>
      </c>
      <c r="N27" s="521">
        <f>MAX(N$18:N$25)</f>
        <v>29.7</v>
      </c>
      <c r="O27" s="516"/>
      <c r="P27" s="516"/>
      <c r="Q27" s="528">
        <f>MAX(Q$18:Q$25)</f>
        <v>8.48</v>
      </c>
      <c r="R27" s="528">
        <f>MAX(R$18:R$25)</f>
        <v>9.73</v>
      </c>
      <c r="S27" s="528">
        <f>MAX(S$18:S$25)</f>
        <v>10.86</v>
      </c>
      <c r="T27" s="516"/>
      <c r="U27" s="521">
        <f>MAX(U$18:U$25)</f>
        <v>26.2</v>
      </c>
      <c r="V27" s="521">
        <f>MAX(V$18:V$25)</f>
        <v>25.5</v>
      </c>
      <c r="W27" s="521">
        <f>MAX(W$18:W$25)</f>
        <v>25.1</v>
      </c>
      <c r="X27" s="516"/>
    </row>
    <row r="28" spans="2:24">
      <c r="B28" s="516" t="s">
        <v>546</v>
      </c>
      <c r="C28" s="518"/>
      <c r="D28" s="519"/>
      <c r="E28" s="520">
        <f t="shared" ref="E28:J28" si="8">QUARTILE(E$18:E$25,3)</f>
        <v>223.97328666175386</v>
      </c>
      <c r="F28" s="347">
        <f t="shared" si="8"/>
        <v>-0.27750552689756813</v>
      </c>
      <c r="G28" s="520">
        <f t="shared" si="8"/>
        <v>307.5</v>
      </c>
      <c r="H28" s="347">
        <f t="shared" si="8"/>
        <v>0.1330140014738394</v>
      </c>
      <c r="I28" s="520">
        <f t="shared" si="8"/>
        <v>366.01982037582906</v>
      </c>
      <c r="J28" s="347">
        <f t="shared" si="8"/>
        <v>0.2382046794399412</v>
      </c>
      <c r="K28" s="347"/>
      <c r="L28" s="521">
        <f>QUARTILE(L$18:L$25,3)</f>
        <v>33.549999999999997</v>
      </c>
      <c r="M28" s="521">
        <f>QUARTILE(M$18:M$25,3)</f>
        <v>30.65</v>
      </c>
      <c r="N28" s="521">
        <f>QUARTILE(N$18:N$25,3)</f>
        <v>29</v>
      </c>
      <c r="O28" s="516"/>
      <c r="P28" s="516"/>
      <c r="Q28" s="528">
        <f>QUARTILE(Q$18:Q$25,3)</f>
        <v>8.32</v>
      </c>
      <c r="R28" s="528">
        <f>QUARTILE(R$18:R$25,3)</f>
        <v>9.3375000000000004</v>
      </c>
      <c r="S28" s="528">
        <f>QUARTILE(S$18:S$25,3)</f>
        <v>10.3925</v>
      </c>
      <c r="T28" s="516"/>
      <c r="U28" s="521">
        <f>QUARTILE(U$18:U$25,3)</f>
        <v>25.325000000000003</v>
      </c>
      <c r="V28" s="521">
        <f>QUARTILE(V$18:V$25,3)</f>
        <v>24.625</v>
      </c>
      <c r="W28" s="521">
        <f>QUARTILE(W$18:W$25,3)</f>
        <v>22.324999999999999</v>
      </c>
      <c r="X28" s="516"/>
    </row>
    <row r="29" spans="2:24">
      <c r="B29" s="517" t="s">
        <v>331</v>
      </c>
      <c r="C29" s="518"/>
      <c r="D29" s="519"/>
      <c r="E29" s="523">
        <f t="shared" ref="E29:J29" si="9">AVERAGE(E$18:E$25)</f>
        <v>200.99796241709652</v>
      </c>
      <c r="F29" s="524">
        <f t="shared" si="9"/>
        <v>-0.27750552689756808</v>
      </c>
      <c r="G29" s="523">
        <f t="shared" si="9"/>
        <v>276.49874999999997</v>
      </c>
      <c r="H29" s="524">
        <f t="shared" si="9"/>
        <v>1.8786845983787853E-2</v>
      </c>
      <c r="I29" s="523">
        <f t="shared" si="9"/>
        <v>341.4100331613854</v>
      </c>
      <c r="J29" s="524">
        <f t="shared" si="9"/>
        <v>0.22721075902726617</v>
      </c>
      <c r="K29" s="524"/>
      <c r="L29" s="525">
        <f>AVERAGE(L$18:L$25)</f>
        <v>33.012499999999996</v>
      </c>
      <c r="M29" s="525">
        <f>AVERAGE(M$18:M$25)</f>
        <v>29.8</v>
      </c>
      <c r="N29" s="525">
        <f>AVERAGE(N$18:N$25)</f>
        <v>27.349999999999998</v>
      </c>
      <c r="O29" s="516"/>
      <c r="P29" s="516"/>
      <c r="Q29" s="528">
        <f>AVERAGE(Q$18:Q$25)</f>
        <v>8.2275000000000009</v>
      </c>
      <c r="R29" s="528">
        <f>AVERAGE(R$18:R$25)</f>
        <v>9.1199999999999992</v>
      </c>
      <c r="S29" s="528">
        <f>AVERAGE(S$18:S$25)</f>
        <v>9.9537499999999994</v>
      </c>
      <c r="T29" s="516"/>
      <c r="U29" s="525">
        <f>AVERAGE(U$18:U$25)</f>
        <v>24.587500000000002</v>
      </c>
      <c r="V29" s="525">
        <f>AVERAGE(V$18:V$25)</f>
        <v>23.212500000000002</v>
      </c>
      <c r="W29" s="525">
        <f>AVERAGE(W$18:W$25)</f>
        <v>21.650000000000002</v>
      </c>
      <c r="X29" s="516"/>
    </row>
    <row r="30" spans="2:24">
      <c r="B30" s="517" t="s">
        <v>374</v>
      </c>
      <c r="C30" s="518"/>
      <c r="D30" s="519"/>
      <c r="E30" s="523">
        <f t="shared" ref="E30:J30" si="10">MEDIAN(E$18:E$25)</f>
        <v>191.42428150331614</v>
      </c>
      <c r="F30" s="524">
        <f t="shared" si="10"/>
        <v>-0.27750552689756813</v>
      </c>
      <c r="G30" s="523">
        <f t="shared" si="10"/>
        <v>270</v>
      </c>
      <c r="H30" s="524">
        <f t="shared" si="10"/>
        <v>-5.1584377302872908E-3</v>
      </c>
      <c r="I30" s="523">
        <f t="shared" si="10"/>
        <v>337.5</v>
      </c>
      <c r="J30" s="524">
        <f t="shared" si="10"/>
        <v>0.22721075902726617</v>
      </c>
      <c r="K30" s="524"/>
      <c r="L30" s="525">
        <f>MEDIAN(L$18:L$25)</f>
        <v>32.950000000000003</v>
      </c>
      <c r="M30" s="525">
        <f>MEDIAN(M$18:M$25)</f>
        <v>29.8</v>
      </c>
      <c r="N30" s="525">
        <f>MEDIAN(N$18:N$25)</f>
        <v>27.1</v>
      </c>
      <c r="O30" s="516"/>
      <c r="P30" s="516"/>
      <c r="Q30" s="528">
        <f>MEDIAN(Q$18:Q$25)</f>
        <v>8.245000000000001</v>
      </c>
      <c r="R30" s="528">
        <f>MEDIAN(R$18:R$25)</f>
        <v>9.1</v>
      </c>
      <c r="S30" s="528">
        <f>MEDIAN(S$18:S$25)</f>
        <v>10.010000000000002</v>
      </c>
      <c r="T30" s="516"/>
      <c r="U30" s="525">
        <f>MEDIAN(U$18:U$25)</f>
        <v>24.549999999999997</v>
      </c>
      <c r="V30" s="525">
        <f>MEDIAN(V$18:V$25)</f>
        <v>23.05</v>
      </c>
      <c r="W30" s="525">
        <f>MEDIAN(W$18:W$25)</f>
        <v>21.799999999999997</v>
      </c>
      <c r="X30" s="516"/>
    </row>
    <row r="31" spans="2:24">
      <c r="B31" s="516" t="s">
        <v>547</v>
      </c>
      <c r="C31" s="518"/>
      <c r="D31" s="519"/>
      <c r="E31" s="520">
        <f t="shared" ref="E31:J31" si="11">QUARTILE(E$18:E$25,1)</f>
        <v>182.660904568902</v>
      </c>
      <c r="F31" s="347">
        <f t="shared" si="11"/>
        <v>-0.292243920412675</v>
      </c>
      <c r="G31" s="520">
        <f t="shared" si="11"/>
        <v>249.2475</v>
      </c>
      <c r="H31" s="347">
        <f t="shared" si="11"/>
        <v>-8.1623065585851029E-2</v>
      </c>
      <c r="I31" s="520">
        <f t="shared" si="11"/>
        <v>316.00677044952101</v>
      </c>
      <c r="J31" s="347">
        <f t="shared" si="11"/>
        <v>0.22438743551952853</v>
      </c>
      <c r="K31" s="347"/>
      <c r="L31" s="521">
        <f>QUARTILE(L$18:L$25,1)</f>
        <v>32.650000000000006</v>
      </c>
      <c r="M31" s="521">
        <f>QUARTILE(M$18:M$25,1)</f>
        <v>29.05</v>
      </c>
      <c r="N31" s="521">
        <f>QUARTILE(N$18:N$25,1)</f>
        <v>26.074999999999999</v>
      </c>
      <c r="O31" s="516"/>
      <c r="P31" s="516"/>
      <c r="Q31" s="528">
        <f>QUARTILE(Q$18:Q$25,1)</f>
        <v>8.0949999999999989</v>
      </c>
      <c r="R31" s="528">
        <f>QUARTILE(R$18:R$25,1)</f>
        <v>8.8524999999999991</v>
      </c>
      <c r="S31" s="528">
        <f>QUARTILE(S$18:S$25,1)</f>
        <v>9.3625000000000007</v>
      </c>
      <c r="T31" s="516"/>
      <c r="U31" s="521">
        <f>QUARTILE(U$18:U$25,1)</f>
        <v>23.8</v>
      </c>
      <c r="V31" s="521">
        <f>QUARTILE(V$18:V$25,1)</f>
        <v>22.299999999999997</v>
      </c>
      <c r="W31" s="521">
        <f>QUARTILE(W$18:W$25,1)</f>
        <v>20.925000000000001</v>
      </c>
      <c r="X31" s="516"/>
    </row>
    <row r="32" spans="2:24">
      <c r="B32" s="516" t="s">
        <v>311</v>
      </c>
      <c r="C32" s="518"/>
      <c r="D32" s="519"/>
      <c r="E32" s="520">
        <f t="shared" ref="E32:W32" si="12">MIN(E$18:E$25)</f>
        <v>171</v>
      </c>
      <c r="F32" s="347">
        <f t="shared" si="12"/>
        <v>-0.36993367722918191</v>
      </c>
      <c r="G32" s="520">
        <f t="shared" si="12"/>
        <v>230</v>
      </c>
      <c r="H32" s="347">
        <f t="shared" si="12"/>
        <v>-0.15254237288135586</v>
      </c>
      <c r="I32" s="520">
        <f t="shared" si="12"/>
        <v>294</v>
      </c>
      <c r="J32" s="347">
        <f t="shared" si="12"/>
        <v>8.3271923360353828E-2</v>
      </c>
      <c r="K32" s="347">
        <f t="shared" si="12"/>
        <v>0</v>
      </c>
      <c r="L32" s="521">
        <f t="shared" si="12"/>
        <v>32</v>
      </c>
      <c r="M32" s="521">
        <f t="shared" si="12"/>
        <v>27.9</v>
      </c>
      <c r="N32" s="521">
        <f t="shared" si="12"/>
        <v>25</v>
      </c>
      <c r="O32" s="516">
        <f t="shared" si="12"/>
        <v>0</v>
      </c>
      <c r="P32" s="516">
        <f t="shared" si="12"/>
        <v>0</v>
      </c>
      <c r="Q32" s="528">
        <f t="shared" si="12"/>
        <v>8.0299999999999994</v>
      </c>
      <c r="R32" s="528">
        <f t="shared" si="12"/>
        <v>8.61</v>
      </c>
      <c r="S32" s="528">
        <f t="shared" si="12"/>
        <v>9.1300000000000008</v>
      </c>
      <c r="T32" s="516">
        <f t="shared" si="12"/>
        <v>0</v>
      </c>
      <c r="U32" s="521">
        <f t="shared" si="12"/>
        <v>23.1</v>
      </c>
      <c r="V32" s="521">
        <f t="shared" si="12"/>
        <v>20.399999999999999</v>
      </c>
      <c r="W32" s="521">
        <f t="shared" si="12"/>
        <v>18.5</v>
      </c>
      <c r="X32" s="516"/>
    </row>
    <row r="33" spans="2:24" ht="5.0999999999999996" customHeight="1" thickBot="1">
      <c r="B33" s="505"/>
      <c r="C33" s="505"/>
      <c r="D33" s="505"/>
      <c r="E33" s="505"/>
      <c r="F33" s="505"/>
      <c r="G33" s="505"/>
      <c r="H33" s="505"/>
      <c r="I33" s="505"/>
      <c r="J33" s="505"/>
      <c r="K33" s="505"/>
      <c r="L33" s="505"/>
      <c r="M33" s="505"/>
      <c r="N33" s="505"/>
      <c r="O33" s="505"/>
      <c r="P33" s="505"/>
      <c r="Q33" s="505"/>
      <c r="R33" s="505"/>
      <c r="S33" s="505"/>
      <c r="T33" s="505"/>
      <c r="U33" s="505"/>
      <c r="V33" s="505"/>
      <c r="W33" s="505"/>
      <c r="X33" s="505"/>
    </row>
    <row r="34" spans="2:24">
      <c r="B34" s="180" t="s">
        <v>530</v>
      </c>
      <c r="C34" s="507"/>
      <c r="D34" s="507"/>
      <c r="E34" s="507"/>
      <c r="F34" s="507"/>
      <c r="G34" s="507"/>
      <c r="H34" s="507"/>
      <c r="I34" s="507"/>
      <c r="J34" s="507"/>
      <c r="K34" s="507"/>
      <c r="L34" s="507"/>
      <c r="M34" s="507"/>
      <c r="N34" s="507"/>
      <c r="O34" s="507"/>
      <c r="P34" s="507"/>
      <c r="Q34" s="507"/>
      <c r="R34" s="507"/>
      <c r="S34" s="507"/>
      <c r="T34" s="507"/>
      <c r="U34" s="507"/>
      <c r="V34" s="507"/>
      <c r="W34" s="507"/>
      <c r="X34" s="507"/>
    </row>
  </sheetData>
  <pageMargins left="0.7" right="0.7" top="0.75" bottom="0.75" header="0.3" footer="0.3"/>
  <pageSetup orientation="portrait" r:id="rId1"/>
  <ignoredErrors>
    <ignoredError sqref="J21:J22 F21:F24"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416F3-FBD3-41F7-B686-90283226EB0E}">
  <sheetPr>
    <tabColor theme="2" tint="-0.749992370372631"/>
  </sheetPr>
  <dimension ref="A2:L544"/>
  <sheetViews>
    <sheetView showGridLines="0" topLeftCell="A465" zoomScale="115" zoomScaleNormal="115" workbookViewId="0">
      <selection activeCell="F65" sqref="F65"/>
    </sheetView>
  </sheetViews>
  <sheetFormatPr defaultRowHeight="14.25"/>
  <cols>
    <col min="1" max="1" width="2" bestFit="1" customWidth="1"/>
    <col min="2" max="2" width="23.375" bestFit="1" customWidth="1"/>
    <col min="3" max="3" width="9.375" bestFit="1" customWidth="1"/>
    <col min="4" max="8" width="7.875" bestFit="1" customWidth="1"/>
    <col min="9" max="9" width="1.625" customWidth="1"/>
    <col min="11" max="11" width="9.875" bestFit="1" customWidth="1"/>
  </cols>
  <sheetData>
    <row r="2" spans="1:11">
      <c r="B2" s="229" t="s">
        <v>189</v>
      </c>
      <c r="C2" s="283"/>
      <c r="D2" s="283"/>
      <c r="E2" s="283"/>
      <c r="F2" s="283"/>
      <c r="G2" s="283"/>
      <c r="H2" s="283"/>
      <c r="I2" s="283"/>
      <c r="J2" s="283"/>
    </row>
    <row r="3" spans="1:11">
      <c r="B3" s="282" t="s">
        <v>421</v>
      </c>
      <c r="C3" s="283"/>
      <c r="D3" s="283"/>
      <c r="E3" s="283"/>
      <c r="F3" s="283"/>
      <c r="G3" s="283"/>
      <c r="H3" s="283"/>
      <c r="I3" s="283"/>
      <c r="J3" s="283"/>
    </row>
    <row r="4" spans="1:11">
      <c r="B4" s="282" t="s">
        <v>422</v>
      </c>
      <c r="C4" s="230"/>
      <c r="D4" s="230"/>
      <c r="E4" s="230"/>
      <c r="F4" s="230"/>
      <c r="G4" s="230"/>
      <c r="H4" s="230"/>
      <c r="I4" s="230"/>
      <c r="J4" s="3"/>
    </row>
    <row r="5" spans="1:11" ht="5.0999999999999996" customHeight="1"/>
    <row r="6" spans="1:11">
      <c r="A6" s="353" t="s">
        <v>24</v>
      </c>
      <c r="B6" s="229" t="s">
        <v>338</v>
      </c>
      <c r="C6" s="229"/>
      <c r="D6" s="229"/>
      <c r="E6" s="229"/>
      <c r="F6" s="229"/>
      <c r="G6" s="229"/>
      <c r="H6" s="229"/>
      <c r="I6" s="229"/>
      <c r="J6" s="229"/>
    </row>
    <row r="7" spans="1:11" ht="5.0999999999999996" customHeight="1"/>
    <row r="8" spans="1:11">
      <c r="B8" s="229" t="s">
        <v>12</v>
      </c>
      <c r="C8" s="211" t="s">
        <v>156</v>
      </c>
      <c r="D8" s="211"/>
      <c r="E8" s="211"/>
      <c r="F8" s="211"/>
      <c r="G8" s="211"/>
      <c r="H8" s="211"/>
      <c r="I8" s="230"/>
      <c r="J8" s="2" t="s">
        <v>332</v>
      </c>
    </row>
    <row r="9" spans="1:11">
      <c r="B9" s="282" t="s">
        <v>372</v>
      </c>
      <c r="C9" s="283" t="s">
        <v>386</v>
      </c>
      <c r="D9" s="283" t="s">
        <v>387</v>
      </c>
      <c r="E9" s="283" t="s">
        <v>388</v>
      </c>
      <c r="F9" s="283" t="s">
        <v>389</v>
      </c>
      <c r="G9" s="283" t="s">
        <v>390</v>
      </c>
      <c r="H9" s="283" t="s">
        <v>458</v>
      </c>
      <c r="I9" s="230"/>
      <c r="J9" s="182" t="s">
        <v>461</v>
      </c>
    </row>
    <row r="10" spans="1:11">
      <c r="B10" s="282" t="s">
        <v>373</v>
      </c>
      <c r="C10" s="230">
        <v>46295</v>
      </c>
      <c r="D10" s="230">
        <v>46660</v>
      </c>
      <c r="E10" s="230">
        <v>47026</v>
      </c>
      <c r="F10" s="230">
        <v>47391</v>
      </c>
      <c r="G10" s="230">
        <v>47756</v>
      </c>
      <c r="H10" s="230">
        <v>48121</v>
      </c>
      <c r="I10" s="230"/>
      <c r="J10" s="3">
        <f>H10</f>
        <v>48121</v>
      </c>
    </row>
    <row r="11" spans="1:11" ht="5.0999999999999996" customHeight="1">
      <c r="B11" s="286"/>
    </row>
    <row r="12" spans="1:11">
      <c r="B12" s="180" t="s">
        <v>326</v>
      </c>
      <c r="C12" s="232">
        <f t="shared" ref="C12:H12" si="0">+C46+C74+C102+C130+C156</f>
        <v>460042</v>
      </c>
      <c r="D12" s="232">
        <f t="shared" si="0"/>
        <v>524298</v>
      </c>
      <c r="E12" s="232">
        <f t="shared" si="0"/>
        <v>556689</v>
      </c>
      <c r="F12" s="232">
        <f t="shared" si="0"/>
        <v>592415.3307552404</v>
      </c>
      <c r="G12" s="232">
        <f t="shared" si="0"/>
        <v>631871.74256466061</v>
      </c>
      <c r="H12" s="232">
        <f t="shared" si="0"/>
        <v>675501.7717197215</v>
      </c>
      <c r="J12" s="333">
        <f>((H12/C12)^(1/COUNT(C12:H12))-1)</f>
        <v>6.6116917491473304E-2</v>
      </c>
      <c r="K12" s="180" t="s">
        <v>516</v>
      </c>
    </row>
    <row r="13" spans="1:11">
      <c r="B13" s="287" t="s">
        <v>45</v>
      </c>
      <c r="C13" s="329">
        <f>(C12/'3 Statement Model'!$H$24)-1</f>
        <v>0.10544236485398684</v>
      </c>
      <c r="D13" s="294">
        <f t="shared" ref="D13:H13" si="1">SUM(D12/C12)-1</f>
        <v>0.13967420365966587</v>
      </c>
      <c r="E13" s="294">
        <f t="shared" si="1"/>
        <v>6.1779751210189637E-2</v>
      </c>
      <c r="F13" s="294">
        <f t="shared" si="1"/>
        <v>6.4176462540557422E-2</v>
      </c>
      <c r="G13" s="294">
        <f t="shared" si="1"/>
        <v>6.6602617726180702E-2</v>
      </c>
      <c r="H13" s="294">
        <f t="shared" si="1"/>
        <v>6.9048868965043475E-2</v>
      </c>
      <c r="J13" s="331"/>
    </row>
    <row r="14" spans="1:11">
      <c r="B14" s="180" t="s">
        <v>335</v>
      </c>
      <c r="C14" s="232">
        <f t="shared" ref="C14:H14" si="2">+C48+C76+C104+C132+C158</f>
        <v>455258</v>
      </c>
      <c r="D14" s="232">
        <f t="shared" si="2"/>
        <v>501329</v>
      </c>
      <c r="E14" s="232">
        <f t="shared" si="2"/>
        <v>519816</v>
      </c>
      <c r="F14" s="232">
        <f t="shared" si="2"/>
        <v>540744.16841497947</v>
      </c>
      <c r="G14" s="232">
        <f t="shared" si="2"/>
        <v>564391.74414205225</v>
      </c>
      <c r="H14" s="232">
        <f t="shared" si="2"/>
        <v>591070.82953414286</v>
      </c>
      <c r="J14" s="330">
        <f t="shared" ref="J14" si="3">((H14/C14)^(1/COUNT(C14:H14))-1)</f>
        <v>4.4472452346011382E-2</v>
      </c>
      <c r="K14" s="180" t="s">
        <v>517</v>
      </c>
    </row>
    <row r="15" spans="1:11">
      <c r="B15" s="287" t="s">
        <v>45</v>
      </c>
      <c r="C15" s="329">
        <f>(C14/'3 Statement Model'!$H$24)-1</f>
        <v>9.3946813853292399E-2</v>
      </c>
      <c r="D15" s="294">
        <f t="shared" ref="D15" si="4">SUM(D14/C14)-1</f>
        <v>0.10119756270071045</v>
      </c>
      <c r="E15" s="294">
        <f t="shared" ref="E15" si="5">SUM(E14/D14)-1</f>
        <v>3.6875983635496823E-2</v>
      </c>
      <c r="F15" s="294">
        <f t="shared" ref="F15" si="6">SUM(F14/E14)-1</f>
        <v>4.0260723823390299E-2</v>
      </c>
      <c r="G15" s="294">
        <f t="shared" ref="G15:H15" si="7">SUM(G14/F14)-1</f>
        <v>4.3731540917747003E-2</v>
      </c>
      <c r="H15" s="294">
        <f t="shared" si="7"/>
        <v>4.7270509657518556E-2</v>
      </c>
      <c r="J15" s="331"/>
    </row>
    <row r="16" spans="1:11">
      <c r="B16" s="180" t="s">
        <v>384</v>
      </c>
      <c r="C16" s="232">
        <f t="shared" ref="C16:H16" si="8">C54+C82+C110+C136+C162</f>
        <v>455906</v>
      </c>
      <c r="D16" s="232">
        <f t="shared" si="8"/>
        <v>481253</v>
      </c>
      <c r="E16" s="232">
        <f t="shared" si="8"/>
        <v>504433</v>
      </c>
      <c r="F16" s="232">
        <f t="shared" si="8"/>
        <v>529182.03360920271</v>
      </c>
      <c r="G16" s="232">
        <f t="shared" si="8"/>
        <v>555624.94833083346</v>
      </c>
      <c r="H16" s="232">
        <f t="shared" si="8"/>
        <v>583897.15657806373</v>
      </c>
      <c r="J16" s="330">
        <f t="shared" ref="J16" si="9">((H16/C16)^(1/COUNT(C16:H16))-1)</f>
        <v>4.2101870494665627E-2</v>
      </c>
      <c r="K16" s="180" t="s">
        <v>516</v>
      </c>
    </row>
    <row r="17" spans="2:11">
      <c r="B17" s="287" t="s">
        <v>45</v>
      </c>
      <c r="C17" s="329">
        <f>(C16/'3 Statement Model'!$H$24)-1</f>
        <v>9.5503903537332846E-2</v>
      </c>
      <c r="D17" s="294">
        <f t="shared" ref="D17" si="10">SUM(D16/C16)-1</f>
        <v>5.5596987098217587E-2</v>
      </c>
      <c r="E17" s="294">
        <f>D17</f>
        <v>5.5596987098217587E-2</v>
      </c>
      <c r="F17" s="294">
        <f t="shared" ref="F17" si="11">SUM(F16/E16)-1</f>
        <v>4.9063074004283447E-2</v>
      </c>
      <c r="G17" s="294">
        <f t="shared" ref="G17:H17" si="12">SUM(G16/F16)-1</f>
        <v>4.996941135979438E-2</v>
      </c>
      <c r="H17" s="294">
        <f t="shared" si="12"/>
        <v>5.0883619125029478E-2</v>
      </c>
      <c r="J17" s="331"/>
    </row>
    <row r="18" spans="2:11">
      <c r="B18" s="180" t="s">
        <v>385</v>
      </c>
      <c r="C18" s="231">
        <v>445329</v>
      </c>
      <c r="D18" s="231">
        <v>463919</v>
      </c>
      <c r="E18" s="231">
        <v>480019</v>
      </c>
      <c r="F18" s="231">
        <v>496364</v>
      </c>
      <c r="G18" s="231">
        <v>507732</v>
      </c>
      <c r="H18" s="232">
        <f>SUM(G18*H19)+G18</f>
        <v>519360.3561579808</v>
      </c>
      <c r="J18" s="330">
        <f t="shared" ref="J18" si="13">((H18/C18)^(1/COUNT(C18:H18))-1)</f>
        <v>2.5962065164502945E-2</v>
      </c>
      <c r="K18" s="180" t="s">
        <v>517</v>
      </c>
    </row>
    <row r="19" spans="2:11">
      <c r="B19" s="287" t="s">
        <v>45</v>
      </c>
      <c r="C19" s="329">
        <f>(C18/'3 Statement Model'!$H$24)-1</f>
        <v>7.0088259111257489E-2</v>
      </c>
      <c r="D19" s="294">
        <f t="shared" ref="D19" si="14">SUM(D18/C18)-1</f>
        <v>4.1744418171733688E-2</v>
      </c>
      <c r="E19" s="294">
        <f t="shared" ref="E19" si="15">SUM(E18/D18)-1</f>
        <v>3.4704334161782535E-2</v>
      </c>
      <c r="F19" s="294">
        <f t="shared" ref="F19" si="16">SUM(F18/E18)-1</f>
        <v>3.4050735491720108E-2</v>
      </c>
      <c r="G19" s="294">
        <f t="shared" ref="G19" si="17">SUM(G18/F18)-1</f>
        <v>2.2902547324141098E-2</v>
      </c>
      <c r="H19" s="294">
        <f>G19</f>
        <v>2.2902547324141098E-2</v>
      </c>
      <c r="J19" s="331"/>
    </row>
    <row r="20" spans="2:11">
      <c r="B20" s="180" t="s">
        <v>391</v>
      </c>
      <c r="C20" s="231">
        <v>450753</v>
      </c>
      <c r="D20" s="231">
        <v>460785</v>
      </c>
      <c r="E20" s="231">
        <v>474601</v>
      </c>
      <c r="F20" s="232">
        <f>SUM(E20*F21)+E20</f>
        <v>488831.25362370739</v>
      </c>
      <c r="G20" s="232">
        <f>SUM(F20*G21)+F20</f>
        <v>503488.1816922538</v>
      </c>
      <c r="H20" s="232">
        <f>SUM(G20*H21)+G20</f>
        <v>518584.57744788862</v>
      </c>
      <c r="J20" s="330">
        <f t="shared" ref="J20" si="18">((H20/C20)^(1/COUNT(C20:H20))-1)</f>
        <v>2.3639010887603451E-2</v>
      </c>
      <c r="K20" s="180" t="s">
        <v>516</v>
      </c>
    </row>
    <row r="21" spans="2:11">
      <c r="B21" s="287" t="s">
        <v>45</v>
      </c>
      <c r="C21" s="329">
        <f>(C20/'3 Statement Model'!$H$24)-1</f>
        <v>8.312167646655988E-2</v>
      </c>
      <c r="D21" s="294">
        <f t="shared" ref="D21:E21" si="19">SUM(D20/C20)-1</f>
        <v>2.2256091473600748E-2</v>
      </c>
      <c r="E21" s="294">
        <f t="shared" si="19"/>
        <v>2.9983614918020374E-2</v>
      </c>
      <c r="F21" s="294">
        <f t="shared" ref="F21:G21" si="20">E21</f>
        <v>2.9983614918020374E-2</v>
      </c>
      <c r="G21" s="294">
        <f t="shared" si="20"/>
        <v>2.9983614918020374E-2</v>
      </c>
      <c r="H21" s="294">
        <f t="shared" ref="H21:H23" si="21">G21</f>
        <v>2.9983614918020374E-2</v>
      </c>
      <c r="J21" s="331"/>
    </row>
    <row r="22" spans="2:11">
      <c r="B22" s="180" t="s">
        <v>558</v>
      </c>
      <c r="C22" s="232">
        <f>SUM(C52+C80+C108+C134+C160)</f>
        <v>458035</v>
      </c>
      <c r="D22" s="232">
        <f t="shared" ref="D22:H22" si="22">SUM(D52+D80+D108+D134+D160)</f>
        <v>486148</v>
      </c>
      <c r="E22" s="232">
        <f t="shared" si="22"/>
        <v>503912</v>
      </c>
      <c r="F22" s="232">
        <f t="shared" si="22"/>
        <v>523163.17692783417</v>
      </c>
      <c r="G22" s="232">
        <f t="shared" si="22"/>
        <v>544019.24051409354</v>
      </c>
      <c r="H22" s="232">
        <f t="shared" si="22"/>
        <v>566609.52229621459</v>
      </c>
      <c r="J22" s="330">
        <f t="shared" ref="J22:J24" si="23">((H22/C22)^(1/COUNT(C22:H22))-1)</f>
        <v>3.6090123807651864E-2</v>
      </c>
      <c r="K22" s="180" t="s">
        <v>517</v>
      </c>
    </row>
    <row r="23" spans="2:11">
      <c r="B23" s="287" t="s">
        <v>45</v>
      </c>
      <c r="C23" s="329">
        <f>(C22/'3 Statement Model'!$H$24)-1</f>
        <v>0.10061971208258336</v>
      </c>
      <c r="D23" s="294">
        <f t="shared" ref="D23" si="24">SUM(D22/C22)-1</f>
        <v>6.1377405656772854E-2</v>
      </c>
      <c r="E23" s="294">
        <f t="shared" ref="E23" si="25">SUM(E22/D22)-1</f>
        <v>3.6540312826546684E-2</v>
      </c>
      <c r="F23" s="294">
        <f t="shared" ref="F23:G23" si="26">E23</f>
        <v>3.6540312826546684E-2</v>
      </c>
      <c r="G23" s="294">
        <f t="shared" si="26"/>
        <v>3.6540312826546684E-2</v>
      </c>
      <c r="H23" s="294">
        <f t="shared" si="21"/>
        <v>3.6540312826546684E-2</v>
      </c>
      <c r="J23" s="331"/>
    </row>
    <row r="24" spans="2:11">
      <c r="B24" s="180" t="s">
        <v>345</v>
      </c>
      <c r="C24" s="231">
        <v>453748</v>
      </c>
      <c r="D24" s="231">
        <v>486533</v>
      </c>
      <c r="E24" s="231">
        <v>515863</v>
      </c>
      <c r="F24" s="232">
        <f t="shared" ref="F24:H24" si="27">SUM(E24*F25)+E24</f>
        <v>546961.12035360397</v>
      </c>
      <c r="G24" s="232">
        <f t="shared" si="27"/>
        <v>579933.94986356772</v>
      </c>
      <c r="H24" s="232">
        <f t="shared" si="27"/>
        <v>614894.50289799378</v>
      </c>
      <c r="J24" s="330">
        <f t="shared" si="23"/>
        <v>5.1956176230369744E-2</v>
      </c>
      <c r="K24" s="180" t="s">
        <v>517</v>
      </c>
    </row>
    <row r="25" spans="2:11">
      <c r="B25" s="287" t="s">
        <v>45</v>
      </c>
      <c r="C25" s="329">
        <f>(C24/'3 Statement Model'!$H$24)-1</f>
        <v>9.0318410422889128E-2</v>
      </c>
      <c r="D25" s="294">
        <f t="shared" ref="D25:E25" si="28">SUM(D24/C24)-1</f>
        <v>7.2253762000052957E-2</v>
      </c>
      <c r="E25" s="294">
        <f t="shared" si="28"/>
        <v>6.028368065475509E-2</v>
      </c>
      <c r="F25" s="294">
        <f t="shared" ref="F25:G25" si="29">E25</f>
        <v>6.028368065475509E-2</v>
      </c>
      <c r="G25" s="294">
        <f t="shared" si="29"/>
        <v>6.028368065475509E-2</v>
      </c>
      <c r="H25" s="294">
        <f t="shared" ref="H25" si="30">G25</f>
        <v>6.028368065475509E-2</v>
      </c>
      <c r="J25" s="331"/>
    </row>
    <row r="26" spans="2:11">
      <c r="B26" s="180" t="s">
        <v>336</v>
      </c>
      <c r="C26" s="231">
        <v>448175</v>
      </c>
      <c r="D26" s="231">
        <v>478247</v>
      </c>
      <c r="E26" s="231">
        <v>521434</v>
      </c>
      <c r="F26" s="231">
        <v>553006</v>
      </c>
      <c r="G26" s="231">
        <v>576977</v>
      </c>
      <c r="H26" s="231">
        <v>604836</v>
      </c>
      <c r="J26" s="330">
        <f t="shared" ref="J26" si="31">((H26/C26)^(1/COUNT(C26:H26))-1)</f>
        <v>5.1231423163119683E-2</v>
      </c>
      <c r="K26" s="180" t="s">
        <v>516</v>
      </c>
    </row>
    <row r="27" spans="2:11">
      <c r="B27" s="287" t="s">
        <v>45</v>
      </c>
      <c r="C27" s="329">
        <f>(C26/'3 Statement Model'!$H$24)-1</f>
        <v>7.6926958556904568E-2</v>
      </c>
      <c r="D27" s="294">
        <f t="shared" ref="D27" si="32">SUM(D26/C26)-1</f>
        <v>6.7098789535337655E-2</v>
      </c>
      <c r="E27" s="294">
        <f t="shared" ref="E27" si="33">SUM(E26/D26)-1</f>
        <v>9.0302709687671845E-2</v>
      </c>
      <c r="F27" s="294">
        <f t="shared" ref="F27" si="34">SUM(F26/E26)-1</f>
        <v>6.0548410728874513E-2</v>
      </c>
      <c r="G27" s="294">
        <f t="shared" ref="G27:H27" si="35">SUM(G26/F26)-1</f>
        <v>4.334672679862428E-2</v>
      </c>
      <c r="H27" s="294">
        <f t="shared" si="35"/>
        <v>4.8284420349511414E-2</v>
      </c>
      <c r="J27" s="331"/>
    </row>
    <row r="28" spans="2:11">
      <c r="B28" s="180" t="s">
        <v>337</v>
      </c>
      <c r="C28" s="232">
        <f t="shared" ref="C28:H28" si="36">+C56+C84+C112+C138+C164</f>
        <v>459691</v>
      </c>
      <c r="D28" s="232">
        <f t="shared" si="36"/>
        <v>499259</v>
      </c>
      <c r="E28" s="232">
        <f t="shared" si="36"/>
        <v>527152</v>
      </c>
      <c r="F28" s="232">
        <f t="shared" si="36"/>
        <v>556979.06228599534</v>
      </c>
      <c r="G28" s="232">
        <f t="shared" si="36"/>
        <v>588899.33207443892</v>
      </c>
      <c r="H28" s="232">
        <f t="shared" si="36"/>
        <v>623086.45883822907</v>
      </c>
      <c r="J28" s="330">
        <f t="shared" ref="J28" si="37">((H28/C28)^(1/COUNT(C28:H28))-1)</f>
        <v>5.1995104154556993E-2</v>
      </c>
      <c r="K28" s="180" t="s">
        <v>516</v>
      </c>
    </row>
    <row r="29" spans="2:11">
      <c r="B29" s="287" t="s">
        <v>45</v>
      </c>
      <c r="C29" s="329">
        <f>(C28/'3 Statement Model'!$H$24)-1</f>
        <v>0.10459894127513159</v>
      </c>
      <c r="D29" s="294">
        <f t="shared" ref="D29" si="38">SUM(D28/C28)-1</f>
        <v>8.607521139200025E-2</v>
      </c>
      <c r="E29" s="294">
        <f t="shared" ref="E29" si="39">SUM(E28/D28)-1</f>
        <v>5.586879755798102E-2</v>
      </c>
      <c r="F29" s="294">
        <f t="shared" ref="F29" si="40">SUM(F28/E28)-1</f>
        <v>5.6581521621838382E-2</v>
      </c>
      <c r="G29" s="294">
        <f t="shared" ref="G29:H29" si="41">SUM(G28/F28)-1</f>
        <v>5.7309640433222064E-2</v>
      </c>
      <c r="H29" s="294">
        <f t="shared" si="41"/>
        <v>5.805258199795138E-2</v>
      </c>
      <c r="J29" s="331"/>
    </row>
    <row r="30" spans="2:11">
      <c r="B30" s="180" t="s">
        <v>327</v>
      </c>
      <c r="C30" s="232">
        <f t="shared" ref="C30:H30" si="42">+C58+C86+C114+C140+C166</f>
        <v>454032.78</v>
      </c>
      <c r="D30" s="232">
        <f t="shared" si="42"/>
        <v>484448.74</v>
      </c>
      <c r="E30" s="232">
        <f t="shared" si="42"/>
        <v>517396.72280708834</v>
      </c>
      <c r="F30" s="232">
        <f t="shared" si="42"/>
        <v>553102.71345633327</v>
      </c>
      <c r="G30" s="232">
        <f t="shared" si="42"/>
        <v>591814.78067136079</v>
      </c>
      <c r="H30" s="232">
        <f t="shared" si="42"/>
        <v>633805.35397004639</v>
      </c>
      <c r="J30" s="330">
        <f t="shared" ref="J30:J39" si="43">((H30/C30)^(1/COUNT(C30:H30))-1)</f>
        <v>5.7169883279695854E-2</v>
      </c>
      <c r="K30" s="180" t="s">
        <v>516</v>
      </c>
    </row>
    <row r="31" spans="2:11">
      <c r="B31" s="287" t="s">
        <v>45</v>
      </c>
      <c r="C31" s="329">
        <f>(C30/'3 Statement Model'!$H$24)-1</f>
        <v>9.1002712892366278E-2</v>
      </c>
      <c r="D31" s="294">
        <f t="shared" ref="D31" si="44">SUM(D30/C30)-1</f>
        <v>6.6990669704508843E-2</v>
      </c>
      <c r="E31" s="294">
        <f t="shared" ref="E31" si="45">SUM(E30/D30)-1</f>
        <v>6.8011288061329944E-2</v>
      </c>
      <c r="F31" s="294">
        <f t="shared" ref="F31" si="46">SUM(F30/E30)-1</f>
        <v>6.9010855839065632E-2</v>
      </c>
      <c r="G31" s="294">
        <f t="shared" ref="G31:H31" si="47">SUM(G30/F30)-1</f>
        <v>6.9990738199630531E-2</v>
      </c>
      <c r="H31" s="294">
        <f t="shared" si="47"/>
        <v>7.0952221320074171E-2</v>
      </c>
      <c r="J31" s="332"/>
    </row>
    <row r="32" spans="2:11" ht="5.0999999999999996" customHeight="1"/>
    <row r="33" spans="1:11">
      <c r="B33" s="293" t="s">
        <v>188</v>
      </c>
      <c r="C33" s="336">
        <f>MAX(C$12,C$14,C$16,C$18,C$20,C$24,C$26,C$28,C$30,C$22)</f>
        <v>460042</v>
      </c>
      <c r="D33" s="336">
        <f t="shared" ref="D33:H33" si="48">MAX(D$12,D$14,D$16,D$18,D$20,D$24,D$26,D$28,D$30,D$22)</f>
        <v>524298</v>
      </c>
      <c r="E33" s="336">
        <f t="shared" si="48"/>
        <v>556689</v>
      </c>
      <c r="F33" s="336">
        <f t="shared" si="48"/>
        <v>592415.3307552404</v>
      </c>
      <c r="G33" s="336">
        <f t="shared" si="48"/>
        <v>631871.74256466061</v>
      </c>
      <c r="H33" s="336">
        <f t="shared" si="48"/>
        <v>675501.7717197215</v>
      </c>
      <c r="I33" s="289"/>
      <c r="J33" s="299">
        <f t="shared" si="43"/>
        <v>6.6116917491473304E-2</v>
      </c>
    </row>
    <row r="34" spans="1:11">
      <c r="B34" s="325" t="s">
        <v>45</v>
      </c>
      <c r="C34" s="334">
        <f>(C33/'3 Statement Model'!$H$24)-1</f>
        <v>0.10544236485398684</v>
      </c>
      <c r="D34" s="327">
        <f t="shared" ref="D34:H34" si="49">SUM(D33/C33)-1</f>
        <v>0.13967420365966587</v>
      </c>
      <c r="E34" s="327">
        <f t="shared" si="49"/>
        <v>6.1779751210189637E-2</v>
      </c>
      <c r="F34" s="327">
        <f t="shared" si="49"/>
        <v>6.4176462540557422E-2</v>
      </c>
      <c r="G34" s="327">
        <f t="shared" si="49"/>
        <v>6.6602617726180702E-2</v>
      </c>
      <c r="H34" s="327">
        <f t="shared" si="49"/>
        <v>6.9048868965043475E-2</v>
      </c>
      <c r="I34" s="291"/>
      <c r="J34" s="297"/>
    </row>
    <row r="35" spans="1:11">
      <c r="B35" s="290" t="s">
        <v>374</v>
      </c>
      <c r="C35" s="338">
        <f>MEDIAN(C$12,C$14,C$16,C$18,C$20,C$24,C$26,C$28,C$30,C$22)</f>
        <v>454645.39</v>
      </c>
      <c r="D35" s="338">
        <f t="shared" ref="D35:H35" si="50">MEDIAN(D$12,D$14,D$16,D$18,D$20,D$24,D$26,D$28,D$30,D$22)</f>
        <v>485298.37</v>
      </c>
      <c r="E35" s="338">
        <f t="shared" si="50"/>
        <v>516629.8614035442</v>
      </c>
      <c r="F35" s="338">
        <f t="shared" si="50"/>
        <v>543852.64438429172</v>
      </c>
      <c r="G35" s="338">
        <f t="shared" si="50"/>
        <v>570684.37207102613</v>
      </c>
      <c r="H35" s="338">
        <f t="shared" si="50"/>
        <v>597953.41476707137</v>
      </c>
      <c r="I35" s="291"/>
      <c r="J35" s="297">
        <f t="shared" si="43"/>
        <v>4.6724588922807175E-2</v>
      </c>
    </row>
    <row r="36" spans="1:11">
      <c r="B36" s="325" t="s">
        <v>45</v>
      </c>
      <c r="C36" s="334">
        <f>(C35/'3 Statement Model'!$H$24)-1</f>
        <v>9.2474763372829338E-2</v>
      </c>
      <c r="D36" s="327">
        <f t="shared" ref="D36" si="51">SUM(D35/C35)-1</f>
        <v>6.7421732792671607E-2</v>
      </c>
      <c r="E36" s="327">
        <f t="shared" ref="E36" si="52">SUM(E35/D35)-1</f>
        <v>6.4561295360510362E-2</v>
      </c>
      <c r="F36" s="327">
        <f t="shared" ref="F36" si="53">SUM(F35/E35)-1</f>
        <v>5.2693011021063718E-2</v>
      </c>
      <c r="G36" s="327">
        <f t="shared" ref="G36:H36" si="54">SUM(G35/F35)-1</f>
        <v>4.9336392796455408E-2</v>
      </c>
      <c r="H36" s="327">
        <f t="shared" si="54"/>
        <v>4.7783054925939705E-2</v>
      </c>
      <c r="I36" s="291"/>
      <c r="J36" s="297"/>
    </row>
    <row r="37" spans="1:11">
      <c r="B37" s="290" t="s">
        <v>331</v>
      </c>
      <c r="C37" s="338">
        <f>AVERAGE(C$12,C$14,C$16,C$18,C$20,C$24,C$26,C$28,C$30,C$22)</f>
        <v>454096.978</v>
      </c>
      <c r="D37" s="338">
        <f t="shared" ref="D37:H37" si="55">AVERAGE(D$12,D$14,D$16,D$18,D$20,D$24,D$26,D$28,D$30,D$22)</f>
        <v>486621.97400000005</v>
      </c>
      <c r="E37" s="338">
        <f t="shared" si="55"/>
        <v>512131.57228070882</v>
      </c>
      <c r="F37" s="338">
        <f t="shared" si="55"/>
        <v>538074.88594268961</v>
      </c>
      <c r="G37" s="338">
        <f t="shared" si="55"/>
        <v>564475.2919853261</v>
      </c>
      <c r="H37" s="338">
        <f t="shared" si="55"/>
        <v>593164.65294402814</v>
      </c>
      <c r="I37" s="291"/>
      <c r="J37" s="297">
        <f t="shared" si="43"/>
        <v>4.5533072986469358E-2</v>
      </c>
    </row>
    <row r="38" spans="1:11">
      <c r="B38" s="325" t="s">
        <v>45</v>
      </c>
      <c r="C38" s="334">
        <f>(C37/'3 Statement Model'!$H$24)-1</f>
        <v>9.115697530523037E-2</v>
      </c>
      <c r="D38" s="327">
        <f t="shared" ref="D38" si="56">SUM(D37/C37)-1</f>
        <v>7.1625660543374048E-2</v>
      </c>
      <c r="E38" s="327">
        <f t="shared" ref="E38" si="57">SUM(E37/D37)-1</f>
        <v>5.2421796884800642E-2</v>
      </c>
      <c r="F38" s="327">
        <f t="shared" ref="F38" si="58">SUM(F37/E37)-1</f>
        <v>5.0657516673783265E-2</v>
      </c>
      <c r="G38" s="327">
        <f t="shared" ref="G38:H38" si="59">SUM(G37/F37)-1</f>
        <v>4.9064557243521767E-2</v>
      </c>
      <c r="H38" s="327">
        <f t="shared" si="59"/>
        <v>5.0824830362013129E-2</v>
      </c>
      <c r="I38" s="291"/>
      <c r="J38" s="297"/>
    </row>
    <row r="39" spans="1:11">
      <c r="B39" s="324" t="s">
        <v>311</v>
      </c>
      <c r="C39" s="337">
        <f>MIN(C$12,C$14,C$16,C$18,C$20,C$24,C$26,C$28,C$30,C$22)</f>
        <v>445329</v>
      </c>
      <c r="D39" s="337">
        <f t="shared" ref="D39:H39" si="60">MIN(D$12,D$14,D$16,D$18,D$20,D$24,D$26,D$28,D$30,D$22)</f>
        <v>460785</v>
      </c>
      <c r="E39" s="337">
        <f t="shared" si="60"/>
        <v>474601</v>
      </c>
      <c r="F39" s="337">
        <f t="shared" si="60"/>
        <v>488831.25362370739</v>
      </c>
      <c r="G39" s="337">
        <f t="shared" si="60"/>
        <v>503488.1816922538</v>
      </c>
      <c r="H39" s="337">
        <f t="shared" si="60"/>
        <v>518584.57744788862</v>
      </c>
      <c r="I39" s="291"/>
      <c r="J39" s="297">
        <f t="shared" si="43"/>
        <v>2.5706489455642245E-2</v>
      </c>
    </row>
    <row r="40" spans="1:11">
      <c r="B40" s="326" t="s">
        <v>45</v>
      </c>
      <c r="C40" s="335">
        <f>(C39/'3 Statement Model'!$H$24)-1</f>
        <v>7.0088259111257489E-2</v>
      </c>
      <c r="D40" s="328">
        <f t="shared" ref="D40" si="61">SUM(D39/C39)-1</f>
        <v>3.4706924543427498E-2</v>
      </c>
      <c r="E40" s="328">
        <f t="shared" ref="E40" si="62">SUM(E39/D39)-1</f>
        <v>2.9983614918020374E-2</v>
      </c>
      <c r="F40" s="328">
        <f t="shared" ref="F40" si="63">SUM(F39/E39)-1</f>
        <v>2.9983614918020374E-2</v>
      </c>
      <c r="G40" s="328">
        <f t="shared" ref="G40:H40" si="64">SUM(G39/F39)-1</f>
        <v>2.9983614918020374E-2</v>
      </c>
      <c r="H40" s="328">
        <f t="shared" si="64"/>
        <v>2.9983614918020374E-2</v>
      </c>
      <c r="I40" s="292"/>
      <c r="J40" s="298"/>
    </row>
    <row r="42" spans="1:11">
      <c r="A42" s="353" t="s">
        <v>24</v>
      </c>
      <c r="B42" s="229" t="s">
        <v>224</v>
      </c>
      <c r="C42" s="211" t="s">
        <v>156</v>
      </c>
      <c r="D42" s="211"/>
      <c r="E42" s="211"/>
      <c r="F42" s="211"/>
      <c r="G42" s="211"/>
      <c r="H42" s="211"/>
      <c r="I42" s="230"/>
      <c r="J42" s="2" t="s">
        <v>332</v>
      </c>
    </row>
    <row r="43" spans="1:11">
      <c r="B43" s="282" t="s">
        <v>372</v>
      </c>
      <c r="C43" s="283" t="str">
        <f t="shared" ref="C43:H43" si="65">C$9</f>
        <v>2026E</v>
      </c>
      <c r="D43" s="283" t="str">
        <f t="shared" si="65"/>
        <v>2027E</v>
      </c>
      <c r="E43" s="283" t="str">
        <f t="shared" si="65"/>
        <v>2028E</v>
      </c>
      <c r="F43" s="283" t="str">
        <f t="shared" si="65"/>
        <v>2029E</v>
      </c>
      <c r="G43" s="283" t="str">
        <f t="shared" si="65"/>
        <v>2030E</v>
      </c>
      <c r="H43" s="283" t="str">
        <f t="shared" si="65"/>
        <v>2031E</v>
      </c>
      <c r="I43" s="230"/>
      <c r="J43" s="182" t="str">
        <f>$J$9</f>
        <v>6-Year(F)</v>
      </c>
    </row>
    <row r="44" spans="1:11">
      <c r="B44" s="282" t="s">
        <v>373</v>
      </c>
      <c r="C44" s="230">
        <f t="shared" ref="C44:H44" si="66">C$10</f>
        <v>46295</v>
      </c>
      <c r="D44" s="230">
        <f t="shared" si="66"/>
        <v>46660</v>
      </c>
      <c r="E44" s="230">
        <f t="shared" si="66"/>
        <v>47026</v>
      </c>
      <c r="F44" s="230">
        <f t="shared" si="66"/>
        <v>47391</v>
      </c>
      <c r="G44" s="230">
        <f t="shared" si="66"/>
        <v>47756</v>
      </c>
      <c r="H44" s="230">
        <f t="shared" si="66"/>
        <v>48121</v>
      </c>
      <c r="I44" s="230"/>
      <c r="J44" s="3">
        <f>$H$44</f>
        <v>48121</v>
      </c>
    </row>
    <row r="45" spans="1:11" ht="5.0999999999999996" customHeight="1">
      <c r="B45" s="286"/>
    </row>
    <row r="46" spans="1:11">
      <c r="B46" s="180" t="s">
        <v>326</v>
      </c>
      <c r="C46" s="231">
        <v>234642</v>
      </c>
      <c r="D46" s="231">
        <v>268938</v>
      </c>
      <c r="E46" s="231">
        <v>273110</v>
      </c>
      <c r="F46" s="232">
        <f t="shared" ref="F46" si="67">SUM(E46*F47)+E46</f>
        <v>277346.71969004004</v>
      </c>
      <c r="G46" s="232">
        <f t="shared" ref="G46" si="68">SUM(F46*G47)+F46</f>
        <v>281649.16305820236</v>
      </c>
      <c r="H46" s="232">
        <f t="shared" ref="H46" si="69">SUM(G46*H47)+G46</f>
        <v>286018.34966730489</v>
      </c>
      <c r="J46" s="333">
        <f t="shared" ref="J46" si="70">((H46/C46)^(1/COUNT(C46:H46))-1)</f>
        <v>3.354968141346526E-2</v>
      </c>
      <c r="K46" s="180" t="s">
        <v>516</v>
      </c>
    </row>
    <row r="47" spans="1:11">
      <c r="B47" s="287" t="s">
        <v>45</v>
      </c>
      <c r="C47" s="329">
        <f>(C46/'3 Statement Model'!$H$19)-1</f>
        <v>0.1195499699407403</v>
      </c>
      <c r="D47" s="294">
        <f t="shared" ref="D47" si="71">SUM(D46/C46)-1</f>
        <v>0.14616309100672509</v>
      </c>
      <c r="E47" s="294">
        <f t="shared" ref="E47" si="72">SUM(E46/D46)-1</f>
        <v>1.5512869137124463E-2</v>
      </c>
      <c r="F47" s="294">
        <f>E47</f>
        <v>1.5512869137124463E-2</v>
      </c>
      <c r="G47" s="294">
        <f t="shared" ref="G47:H47" si="73">F47</f>
        <v>1.5512869137124463E-2</v>
      </c>
      <c r="H47" s="294">
        <f t="shared" si="73"/>
        <v>1.5512869137124463E-2</v>
      </c>
      <c r="J47" s="331"/>
    </row>
    <row r="48" spans="1:11">
      <c r="B48" s="180" t="s">
        <v>335</v>
      </c>
      <c r="C48" s="231">
        <v>229145</v>
      </c>
      <c r="D48" s="231">
        <v>254151</v>
      </c>
      <c r="E48" s="231">
        <v>250388</v>
      </c>
      <c r="F48" s="232">
        <f t="shared" ref="F48" si="74">SUM(E48*F49)+E48</f>
        <v>246680.71557459934</v>
      </c>
      <c r="G48" s="232">
        <f t="shared" ref="G48:H48" si="75">SUM(F48*G49)+F48</f>
        <v>243028.32179016716</v>
      </c>
      <c r="H48" s="232">
        <f t="shared" si="75"/>
        <v>239430.00592717074</v>
      </c>
      <c r="J48" s="330">
        <f t="shared" ref="J48:J52" si="76">((H48/C48)^(1/COUNT(C48:H48))-1)</f>
        <v>7.344528439598097E-3</v>
      </c>
      <c r="K48" s="180" t="s">
        <v>517</v>
      </c>
    </row>
    <row r="49" spans="2:11">
      <c r="B49" s="287" t="s">
        <v>45</v>
      </c>
      <c r="C49" s="329">
        <f>(C48/'3 Statement Model'!$H$19)-1</f>
        <v>9.332207303922968E-2</v>
      </c>
      <c r="D49" s="294">
        <f t="shared" ref="D49" si="77">SUM(D48/C48)-1</f>
        <v>0.1091274084095224</v>
      </c>
      <c r="E49" s="294">
        <f t="shared" ref="E49" si="78">SUM(E48/D48)-1</f>
        <v>-1.4806158543543058E-2</v>
      </c>
      <c r="F49" s="294">
        <f>E49</f>
        <v>-1.4806158543543058E-2</v>
      </c>
      <c r="G49" s="294">
        <f>F49</f>
        <v>-1.4806158543543058E-2</v>
      </c>
      <c r="H49" s="294">
        <f>G49</f>
        <v>-1.4806158543543058E-2</v>
      </c>
      <c r="J49" s="331"/>
    </row>
    <row r="50" spans="2:11">
      <c r="B50" s="180" t="s">
        <v>336</v>
      </c>
      <c r="C50" s="232">
        <f t="shared" ref="C50:H50" si="79">(C414*C438)/1000</f>
        <v>230085.13</v>
      </c>
      <c r="D50" s="232">
        <f t="shared" si="79"/>
        <v>242871.65</v>
      </c>
      <c r="E50" s="232">
        <f t="shared" si="79"/>
        <v>262342.81</v>
      </c>
      <c r="F50" s="232">
        <f t="shared" si="79"/>
        <v>272596.24</v>
      </c>
      <c r="G50" s="232">
        <f t="shared" si="79"/>
        <v>274253.36</v>
      </c>
      <c r="H50" s="232">
        <f t="shared" si="79"/>
        <v>281088.98</v>
      </c>
      <c r="J50" s="330">
        <f t="shared" si="76"/>
        <v>3.3933351648811838E-2</v>
      </c>
      <c r="K50" s="180" t="s">
        <v>517</v>
      </c>
    </row>
    <row r="51" spans="2:11">
      <c r="B51" s="287" t="s">
        <v>45</v>
      </c>
      <c r="C51" s="329">
        <f>(C50/'3 Statement Model'!$H$19)-1</f>
        <v>9.7807725706869686E-2</v>
      </c>
      <c r="D51" s="294">
        <f t="shared" ref="D51" si="80">SUM(D50/C50)-1</f>
        <v>5.5572995960234239E-2</v>
      </c>
      <c r="E51" s="294">
        <f t="shared" ref="E51" si="81">SUM(E50/D50)-1</f>
        <v>8.0170575692963819E-2</v>
      </c>
      <c r="F51" s="294">
        <f t="shared" ref="F51" si="82">SUM(F50/E50)-1</f>
        <v>3.9084090011843653E-2</v>
      </c>
      <c r="G51" s="294">
        <f t="shared" ref="G51" si="83">SUM(G50/F50)-1</f>
        <v>6.0790273556230456E-3</v>
      </c>
      <c r="H51" s="294">
        <f t="shared" ref="H51" si="84">SUM(H50/G50)-1</f>
        <v>2.4924471299093698E-2</v>
      </c>
      <c r="J51" s="331"/>
    </row>
    <row r="52" spans="2:11">
      <c r="B52" s="180" t="s">
        <v>558</v>
      </c>
      <c r="C52" s="232">
        <f>(C408*C434)/1000</f>
        <v>234981</v>
      </c>
      <c r="D52" s="232">
        <f t="shared" ref="D52:H52" si="85">(D408*D434)/1000</f>
        <v>249984</v>
      </c>
      <c r="E52" s="232">
        <f t="shared" si="85"/>
        <v>255750</v>
      </c>
      <c r="F52" s="232">
        <f t="shared" si="85"/>
        <v>261648.99553571429</v>
      </c>
      <c r="G52" s="232">
        <f t="shared" si="85"/>
        <v>267684.05421250529</v>
      </c>
      <c r="H52" s="232">
        <f t="shared" si="85"/>
        <v>273858.314391514</v>
      </c>
      <c r="J52" s="330">
        <f t="shared" si="76"/>
        <v>2.584606564920966E-2</v>
      </c>
      <c r="K52" s="180" t="s">
        <v>517</v>
      </c>
    </row>
    <row r="53" spans="2:11">
      <c r="B53" s="287" t="s">
        <v>45</v>
      </c>
      <c r="C53" s="329">
        <f>(C52/'3 Statement Model'!$H$19)-1</f>
        <v>0.12116744439036964</v>
      </c>
      <c r="D53" s="294">
        <f t="shared" ref="D53" si="86">SUM(D52/C52)-1</f>
        <v>6.3847715347198353E-2</v>
      </c>
      <c r="E53" s="294">
        <f t="shared" ref="E53" si="87">SUM(E52/D52)-1</f>
        <v>2.3065476190476275E-2</v>
      </c>
      <c r="F53" s="294">
        <f t="shared" ref="F53" si="88">SUM(F52/E52)-1</f>
        <v>2.3065476190476275E-2</v>
      </c>
      <c r="G53" s="294">
        <f t="shared" ref="G53" si="89">SUM(G52/F52)-1</f>
        <v>2.3065476190476053E-2</v>
      </c>
      <c r="H53" s="294">
        <f t="shared" ref="H53" si="90">SUM(H52/G52)-1</f>
        <v>2.3065476190476275E-2</v>
      </c>
      <c r="J53" s="331"/>
    </row>
    <row r="54" spans="2:11">
      <c r="B54" s="180" t="s">
        <v>384</v>
      </c>
      <c r="C54" s="232">
        <f t="shared" ref="C54:H54" si="91">(C410*C432)/1000</f>
        <v>216000</v>
      </c>
      <c r="D54" s="232">
        <f t="shared" si="91"/>
        <v>225000</v>
      </c>
      <c r="E54" s="232">
        <f t="shared" si="91"/>
        <v>229500</v>
      </c>
      <c r="F54" s="232">
        <f t="shared" si="91"/>
        <v>234090</v>
      </c>
      <c r="G54" s="232">
        <f t="shared" si="91"/>
        <v>238771.8</v>
      </c>
      <c r="H54" s="232">
        <f t="shared" si="91"/>
        <v>243547.23599999998</v>
      </c>
      <c r="J54" s="330">
        <f t="shared" ref="J54" si="92">((H54/C54)^(1/COUNT(C54:H54))-1)</f>
        <v>2.0206866762287445E-2</v>
      </c>
      <c r="K54" s="180" t="s">
        <v>516</v>
      </c>
    </row>
    <row r="55" spans="2:11">
      <c r="B55" s="287" t="s">
        <v>45</v>
      </c>
      <c r="C55" s="329">
        <f>(C54/'3 Statement Model'!$H$19)-1</f>
        <v>3.0603189144313037E-2</v>
      </c>
      <c r="D55" s="294">
        <f t="shared" ref="D55" si="93">SUM(D54/C54)-1</f>
        <v>4.1666666666666741E-2</v>
      </c>
      <c r="E55" s="294">
        <f>D55</f>
        <v>4.1666666666666741E-2</v>
      </c>
      <c r="F55" s="294">
        <f t="shared" ref="F55:G55" si="94">E55</f>
        <v>4.1666666666666741E-2</v>
      </c>
      <c r="G55" s="294">
        <f t="shared" si="94"/>
        <v>4.1666666666666741E-2</v>
      </c>
      <c r="H55" s="294">
        <f t="shared" ref="H55" si="95">G55</f>
        <v>4.1666666666666741E-2</v>
      </c>
      <c r="J55" s="331"/>
    </row>
    <row r="56" spans="2:11">
      <c r="B56" s="180" t="s">
        <v>337</v>
      </c>
      <c r="C56" s="231">
        <v>237006</v>
      </c>
      <c r="D56" s="231">
        <v>258336</v>
      </c>
      <c r="E56" s="231">
        <v>268779</v>
      </c>
      <c r="F56" s="232">
        <f t="shared" ref="F56:H56" si="96">SUM(E56*F57)+E56</f>
        <v>279644.14886426978</v>
      </c>
      <c r="G56" s="232">
        <f t="shared" si="96"/>
        <v>290948.51158022718</v>
      </c>
      <c r="H56" s="232">
        <f t="shared" si="96"/>
        <v>302709.84297202819</v>
      </c>
      <c r="J56" s="330">
        <f t="shared" ref="J56:J58" si="97">((H56/C56)^(1/COUNT(C56:H56))-1)</f>
        <v>4.1624533553263454E-2</v>
      </c>
      <c r="K56" s="180" t="s">
        <v>516</v>
      </c>
    </row>
    <row r="57" spans="2:11">
      <c r="B57" s="287" t="s">
        <v>45</v>
      </c>
      <c r="C57" s="329">
        <f>(C56/'3 Statement Model'!$H$19)-1</f>
        <v>0.13082934928859746</v>
      </c>
      <c r="D57" s="294">
        <f t="shared" ref="D57:E57" si="98">SUM(D56/C56)-1</f>
        <v>8.9997721576668965E-2</v>
      </c>
      <c r="E57" s="294">
        <f t="shared" si="98"/>
        <v>4.0424098848011791E-2</v>
      </c>
      <c r="F57" s="294">
        <f t="shared" ref="F57:G57" si="99">E57</f>
        <v>4.0424098848011791E-2</v>
      </c>
      <c r="G57" s="294">
        <f t="shared" si="99"/>
        <v>4.0424098848011791E-2</v>
      </c>
      <c r="H57" s="294">
        <f t="shared" ref="H57" si="100">G57</f>
        <v>4.0424098848011791E-2</v>
      </c>
      <c r="J57" s="331"/>
    </row>
    <row r="58" spans="2:11">
      <c r="B58" s="180" t="s">
        <v>327</v>
      </c>
      <c r="C58" s="232">
        <f t="shared" ref="C58:H58" si="101">(C412*C436)/1000</f>
        <v>229885.04</v>
      </c>
      <c r="D58" s="232">
        <f t="shared" si="101"/>
        <v>243016.48</v>
      </c>
      <c r="E58" s="232">
        <f t="shared" si="101"/>
        <v>256898.01107366712</v>
      </c>
      <c r="F58" s="232">
        <f t="shared" si="101"/>
        <v>271572.47974954615</v>
      </c>
      <c r="G58" s="232">
        <f t="shared" si="101"/>
        <v>287085.18002565973</v>
      </c>
      <c r="H58" s="232">
        <f t="shared" si="101"/>
        <v>303483.99317329284</v>
      </c>
      <c r="J58" s="330">
        <f t="shared" si="97"/>
        <v>4.7379766743536944E-2</v>
      </c>
      <c r="K58" s="180" t="s">
        <v>516</v>
      </c>
    </row>
    <row r="59" spans="2:11">
      <c r="B59" s="287" t="s">
        <v>45</v>
      </c>
      <c r="C59" s="329">
        <f>(C58/'3 Statement Model'!$H$19)-1</f>
        <v>9.6853034076703537E-2</v>
      </c>
      <c r="D59" s="294">
        <f t="shared" ref="D59" si="102">SUM(D58/C58)-1</f>
        <v>5.7121768341254375E-2</v>
      </c>
      <c r="E59" s="294">
        <f>D59</f>
        <v>5.7121768341254375E-2</v>
      </c>
      <c r="F59" s="294">
        <f t="shared" ref="F59:G59" si="103">E59</f>
        <v>5.7121768341254375E-2</v>
      </c>
      <c r="G59" s="294">
        <f t="shared" si="103"/>
        <v>5.7121768341254375E-2</v>
      </c>
      <c r="H59" s="294">
        <f t="shared" ref="H59" si="104">G59</f>
        <v>5.7121768341254375E-2</v>
      </c>
      <c r="J59" s="332"/>
    </row>
    <row r="60" spans="2:11" ht="5.0999999999999996" customHeight="1"/>
    <row r="61" spans="2:11">
      <c r="B61" s="293" t="s">
        <v>188</v>
      </c>
      <c r="C61" s="295">
        <f>MAX(C46,C48,C50,C54,C56,C58,C52)</f>
        <v>237006</v>
      </c>
      <c r="D61" s="336">
        <f t="shared" ref="D61:H61" si="105">MAX(D$46,D$48,D$50,D$54,D$56,D$58,D$52)</f>
        <v>268938</v>
      </c>
      <c r="E61" s="336">
        <f t="shared" si="105"/>
        <v>273110</v>
      </c>
      <c r="F61" s="336">
        <f t="shared" si="105"/>
        <v>279644.14886426978</v>
      </c>
      <c r="G61" s="336">
        <f t="shared" si="105"/>
        <v>290948.51158022718</v>
      </c>
      <c r="H61" s="336">
        <f t="shared" si="105"/>
        <v>303483.99317329284</v>
      </c>
      <c r="I61" s="289"/>
      <c r="J61" s="299">
        <f t="shared" ref="J61:J67" si="106">((H61/C61)^(1/COUNT(C61:H61))-1)</f>
        <v>4.2068036323810842E-2</v>
      </c>
    </row>
    <row r="62" spans="2:11">
      <c r="B62" s="325" t="s">
        <v>45</v>
      </c>
      <c r="C62" s="334">
        <f>(C61/'3 Statement Model'!$H$19)-1</f>
        <v>0.13082934928859746</v>
      </c>
      <c r="D62" s="327">
        <f t="shared" ref="D62" si="107">SUM(D61/C61)-1</f>
        <v>0.1347307663097137</v>
      </c>
      <c r="E62" s="327">
        <f t="shared" ref="E62" si="108">SUM(E61/D61)-1</f>
        <v>1.5512869137124463E-2</v>
      </c>
      <c r="F62" s="327">
        <f t="shared" ref="F62" si="109">SUM(F61/E61)-1</f>
        <v>2.3924971126175532E-2</v>
      </c>
      <c r="G62" s="327">
        <f t="shared" ref="G62:H62" si="110">SUM(G61/F61)-1</f>
        <v>4.0424098848011791E-2</v>
      </c>
      <c r="H62" s="327">
        <f t="shared" si="110"/>
        <v>4.3084879606297921E-2</v>
      </c>
      <c r="I62" s="291"/>
      <c r="J62" s="297"/>
    </row>
    <row r="63" spans="2:11">
      <c r="B63" s="290" t="s">
        <v>374</v>
      </c>
      <c r="C63" s="338">
        <f>MEDIAN(C$46,C$48,C$50,C$54,C$56,C$58,C$52)</f>
        <v>230085.13</v>
      </c>
      <c r="D63" s="338">
        <f t="shared" ref="D63:H63" si="111">MEDIAN(D$46,D$48,D$50,D$54,D$56,D$58,D$52)</f>
        <v>249984</v>
      </c>
      <c r="E63" s="338">
        <f t="shared" si="111"/>
        <v>256898.01107366712</v>
      </c>
      <c r="F63" s="338">
        <f t="shared" si="111"/>
        <v>271572.47974954615</v>
      </c>
      <c r="G63" s="338">
        <f t="shared" si="111"/>
        <v>274253.36</v>
      </c>
      <c r="H63" s="338">
        <f t="shared" si="111"/>
        <v>281088.98</v>
      </c>
      <c r="I63" s="291"/>
      <c r="J63" s="297">
        <f t="shared" si="106"/>
        <v>3.3933351648811838E-2</v>
      </c>
    </row>
    <row r="64" spans="2:11">
      <c r="B64" s="325" t="s">
        <v>45</v>
      </c>
      <c r="C64" s="334">
        <f>(C63/'3 Statement Model'!$H$19)-1</f>
        <v>9.7807725706869686E-2</v>
      </c>
      <c r="D64" s="327">
        <f t="shared" ref="D64" si="112">SUM(D63/C63)-1</f>
        <v>8.6484815424621386E-2</v>
      </c>
      <c r="E64" s="327">
        <f t="shared" ref="E64" si="113">SUM(E63/D63)-1</f>
        <v>2.7657814394789648E-2</v>
      </c>
      <c r="F64" s="327">
        <f t="shared" ref="F64" si="114">SUM(F63/E63)-1</f>
        <v>5.7121768341254375E-2</v>
      </c>
      <c r="G64" s="327">
        <f t="shared" ref="G64:H64" si="115">SUM(G63/F63)-1</f>
        <v>9.871693379705615E-3</v>
      </c>
      <c r="H64" s="327">
        <f t="shared" si="115"/>
        <v>2.4924471299093698E-2</v>
      </c>
      <c r="I64" s="291"/>
      <c r="J64" s="297"/>
    </row>
    <row r="65" spans="1:11">
      <c r="B65" s="290" t="s">
        <v>331</v>
      </c>
      <c r="C65" s="338">
        <f>AVERAGE(C$46,C$48,C$50,C$54,C$56,C$58,C$52)</f>
        <v>230249.16714285713</v>
      </c>
      <c r="D65" s="338">
        <f t="shared" ref="D65:H65" si="116">AVERAGE(D$46,D$48,D$50,D$54,D$56,D$58,D$52)</f>
        <v>248899.59</v>
      </c>
      <c r="E65" s="338">
        <f t="shared" si="116"/>
        <v>256681.11729623817</v>
      </c>
      <c r="F65" s="338">
        <f t="shared" si="116"/>
        <v>263368.47134488134</v>
      </c>
      <c r="G65" s="338">
        <f t="shared" si="116"/>
        <v>269060.05580953736</v>
      </c>
      <c r="H65" s="338">
        <f t="shared" si="116"/>
        <v>275733.8174473301</v>
      </c>
      <c r="I65" s="291"/>
      <c r="J65" s="297">
        <f t="shared" si="106"/>
        <v>3.0501577487902054E-2</v>
      </c>
    </row>
    <row r="66" spans="1:11">
      <c r="B66" s="325" t="s">
        <v>45</v>
      </c>
      <c r="C66" s="334">
        <f>(C65/'3 Statement Model'!$H$19)-1</f>
        <v>9.8590397940974794E-2</v>
      </c>
      <c r="D66" s="327">
        <f t="shared" ref="D66" si="117">SUM(D65/C65)-1</f>
        <v>8.1001043732641609E-2</v>
      </c>
      <c r="E66" s="327">
        <f t="shared" ref="E66" si="118">SUM(E65/D65)-1</f>
        <v>3.1263720829102892E-2</v>
      </c>
      <c r="F66" s="327">
        <f t="shared" ref="F66" si="119">SUM(F65/E65)-1</f>
        <v>2.6053159340604148E-2</v>
      </c>
      <c r="G66" s="327">
        <f t="shared" ref="G66:H66" si="120">SUM(G65/F65)-1</f>
        <v>2.1610728253052214E-2</v>
      </c>
      <c r="H66" s="327">
        <f t="shared" si="120"/>
        <v>2.4803985183579069E-2</v>
      </c>
      <c r="I66" s="291"/>
      <c r="J66" s="297"/>
    </row>
    <row r="67" spans="1:11">
      <c r="B67" s="324" t="s">
        <v>311</v>
      </c>
      <c r="C67" s="337">
        <f>MIN(C$46,C$48,C$50,C$54,C$56,C$58,C$52)</f>
        <v>216000</v>
      </c>
      <c r="D67" s="337">
        <f t="shared" ref="D67:H67" si="121">MIN(D$46,D$48,D$50,D$54,D$56,D$58,D$52)</f>
        <v>225000</v>
      </c>
      <c r="E67" s="337">
        <f t="shared" si="121"/>
        <v>229500</v>
      </c>
      <c r="F67" s="337">
        <f t="shared" si="121"/>
        <v>234090</v>
      </c>
      <c r="G67" s="337">
        <f t="shared" si="121"/>
        <v>238771.8</v>
      </c>
      <c r="H67" s="337">
        <f t="shared" si="121"/>
        <v>239430.00592717074</v>
      </c>
      <c r="I67" s="291"/>
      <c r="J67" s="297">
        <f t="shared" si="106"/>
        <v>1.7311930069434878E-2</v>
      </c>
    </row>
    <row r="68" spans="1:11">
      <c r="B68" s="326" t="s">
        <v>45</v>
      </c>
      <c r="C68" s="335">
        <f>(C67/'3 Statement Model'!$H$19)-1</f>
        <v>3.0603189144313037E-2</v>
      </c>
      <c r="D68" s="328">
        <f t="shared" ref="D68" si="122">SUM(D67/C67)-1</f>
        <v>4.1666666666666741E-2</v>
      </c>
      <c r="E68" s="328">
        <f t="shared" ref="E68" si="123">SUM(E67/D67)-1</f>
        <v>2.0000000000000018E-2</v>
      </c>
      <c r="F68" s="328">
        <f t="shared" ref="F68" si="124">SUM(F67/E67)-1</f>
        <v>2.0000000000000018E-2</v>
      </c>
      <c r="G68" s="328">
        <f t="shared" ref="G68:H68" si="125">SUM(G67/F67)-1</f>
        <v>2.0000000000000018E-2</v>
      </c>
      <c r="H68" s="328">
        <f t="shared" si="125"/>
        <v>2.7566317595744128E-3</v>
      </c>
      <c r="I68" s="292"/>
      <c r="J68" s="298"/>
    </row>
    <row r="70" spans="1:11">
      <c r="A70" s="353" t="s">
        <v>24</v>
      </c>
      <c r="B70" s="229" t="s">
        <v>226</v>
      </c>
      <c r="C70" s="211" t="s">
        <v>156</v>
      </c>
      <c r="D70" s="211"/>
      <c r="E70" s="211"/>
      <c r="F70" s="211"/>
      <c r="G70" s="211"/>
      <c r="H70" s="211"/>
      <c r="I70" s="230"/>
      <c r="J70" s="2" t="s">
        <v>332</v>
      </c>
    </row>
    <row r="71" spans="1:11">
      <c r="B71" s="282" t="s">
        <v>372</v>
      </c>
      <c r="C71" s="283" t="str">
        <f t="shared" ref="C71:H71" si="126">C$9</f>
        <v>2026E</v>
      </c>
      <c r="D71" s="283" t="str">
        <f t="shared" si="126"/>
        <v>2027E</v>
      </c>
      <c r="E71" s="283" t="str">
        <f t="shared" si="126"/>
        <v>2028E</v>
      </c>
      <c r="F71" s="283" t="str">
        <f t="shared" si="126"/>
        <v>2029E</v>
      </c>
      <c r="G71" s="283" t="str">
        <f t="shared" si="126"/>
        <v>2030E</v>
      </c>
      <c r="H71" s="283" t="str">
        <f t="shared" si="126"/>
        <v>2031E</v>
      </c>
      <c r="I71" s="230"/>
      <c r="J71" s="182" t="str">
        <f>$J$9</f>
        <v>6-Year(F)</v>
      </c>
    </row>
    <row r="72" spans="1:11">
      <c r="B72" s="282" t="s">
        <v>373</v>
      </c>
      <c r="C72" s="230">
        <f t="shared" ref="C72:H72" si="127">C$10</f>
        <v>46295</v>
      </c>
      <c r="D72" s="230">
        <f t="shared" si="127"/>
        <v>46660</v>
      </c>
      <c r="E72" s="230">
        <f t="shared" si="127"/>
        <v>47026</v>
      </c>
      <c r="F72" s="230">
        <f t="shared" si="127"/>
        <v>47391</v>
      </c>
      <c r="G72" s="230">
        <f t="shared" si="127"/>
        <v>47756</v>
      </c>
      <c r="H72" s="230">
        <f t="shared" si="127"/>
        <v>48121</v>
      </c>
      <c r="I72" s="230"/>
      <c r="J72" s="3">
        <f>$H$44</f>
        <v>48121</v>
      </c>
    </row>
    <row r="73" spans="1:11" ht="5.0999999999999996" customHeight="1">
      <c r="B73" s="286"/>
    </row>
    <row r="74" spans="1:11">
      <c r="B74" s="180" t="s">
        <v>326</v>
      </c>
      <c r="C74" s="231">
        <v>29908</v>
      </c>
      <c r="D74" s="231">
        <v>32978</v>
      </c>
      <c r="E74" s="231">
        <v>35654</v>
      </c>
      <c r="F74" s="232">
        <f t="shared" ref="F74" si="128">SUM(E74*F75)+E74</f>
        <v>38547.14403541755</v>
      </c>
      <c r="G74" s="232">
        <f t="shared" ref="G74" si="129">SUM(F74*G75)+F74</f>
        <v>41675.052260257668</v>
      </c>
      <c r="H74" s="232">
        <f t="shared" ref="F74:H76" si="130">SUM(G74*H75)+G74</f>
        <v>45056.77461602362</v>
      </c>
      <c r="J74" s="333">
        <f t="shared" ref="J74" si="131">((H74/C74)^(1/COUNT(C74:H74))-1)</f>
        <v>7.0685993274905101E-2</v>
      </c>
      <c r="K74" s="180" t="s">
        <v>517</v>
      </c>
    </row>
    <row r="75" spans="1:11">
      <c r="B75" s="287" t="s">
        <v>45</v>
      </c>
      <c r="C75" s="340">
        <f>(C74/'3 Statement Model'!$H$21)-1</f>
        <v>6.7266174214038577E-2</v>
      </c>
      <c r="D75" s="294">
        <f t="shared" ref="D75" si="132">SUM(D74/C74)-1</f>
        <v>0.10264812090410591</v>
      </c>
      <c r="E75" s="294">
        <f t="shared" ref="E75" si="133">SUM(E74/D74)-1</f>
        <v>8.11450057614167E-2</v>
      </c>
      <c r="F75" s="294">
        <f>E75</f>
        <v>8.11450057614167E-2</v>
      </c>
      <c r="G75" s="294">
        <f t="shared" ref="G75:H75" si="134">F75</f>
        <v>8.11450057614167E-2</v>
      </c>
      <c r="H75" s="294">
        <f t="shared" si="134"/>
        <v>8.11450057614167E-2</v>
      </c>
      <c r="J75" s="331"/>
    </row>
    <row r="76" spans="1:11">
      <c r="B76" s="180" t="s">
        <v>335</v>
      </c>
      <c r="C76" s="231">
        <v>30134</v>
      </c>
      <c r="D76" s="231">
        <v>31814</v>
      </c>
      <c r="E76" s="231">
        <v>33099</v>
      </c>
      <c r="F76" s="232">
        <f t="shared" si="130"/>
        <v>34435.902464323881</v>
      </c>
      <c r="G76" s="232">
        <f t="shared" si="130"/>
        <v>35826.803786592573</v>
      </c>
      <c r="H76" s="232">
        <f t="shared" si="130"/>
        <v>37273.885035909589</v>
      </c>
      <c r="J76" s="330">
        <f t="shared" ref="J76:J78" si="135">((H76/C76)^(1/COUNT(C76:H76))-1)</f>
        <v>3.6075282458472469E-2</v>
      </c>
      <c r="K76" s="180" t="s">
        <v>517</v>
      </c>
    </row>
    <row r="77" spans="1:11">
      <c r="B77" s="287" t="s">
        <v>45</v>
      </c>
      <c r="C77" s="340">
        <f>(C76/'3 Statement Model'!$H$21)-1</f>
        <v>7.533097812511147E-2</v>
      </c>
      <c r="D77" s="294">
        <f t="shared" ref="D77" si="136">SUM(D76/C76)-1</f>
        <v>5.5750978960642517E-2</v>
      </c>
      <c r="E77" s="294">
        <f t="shared" ref="E77" si="137">SUM(E76/D76)-1</f>
        <v>4.0391022820142064E-2</v>
      </c>
      <c r="F77" s="294">
        <f>E77</f>
        <v>4.0391022820142064E-2</v>
      </c>
      <c r="G77" s="294">
        <f>F77</f>
        <v>4.0391022820142064E-2</v>
      </c>
      <c r="H77" s="294">
        <f>G77</f>
        <v>4.0391022820142064E-2</v>
      </c>
      <c r="J77" s="331"/>
    </row>
    <row r="78" spans="1:11">
      <c r="B78" s="180" t="s">
        <v>336</v>
      </c>
      <c r="C78" s="232">
        <f>(C534*C510)/1000</f>
        <v>25211.52</v>
      </c>
      <c r="D78" s="232">
        <f t="shared" ref="D78:H78" si="138">(D534*D510)/1000</f>
        <v>28620</v>
      </c>
      <c r="E78" s="232">
        <f t="shared" si="138"/>
        <v>33031.96</v>
      </c>
      <c r="F78" s="232">
        <f t="shared" si="138"/>
        <v>31998.959999999999</v>
      </c>
      <c r="G78" s="232">
        <f t="shared" si="138"/>
        <v>31286.9</v>
      </c>
      <c r="H78" s="232">
        <f t="shared" si="138"/>
        <v>31473.590000000004</v>
      </c>
      <c r="J78" s="330">
        <f t="shared" si="135"/>
        <v>3.7666689461427483E-2</v>
      </c>
      <c r="K78" s="180" t="s">
        <v>516</v>
      </c>
    </row>
    <row r="79" spans="1:11">
      <c r="B79" s="287" t="s">
        <v>45</v>
      </c>
      <c r="C79" s="340">
        <f>(C78/'3 Statement Model'!$H$21)-1</f>
        <v>-0.10032758805267106</v>
      </c>
      <c r="D79" s="294">
        <f t="shared" ref="D79" si="139">SUM(D78/C78)-1</f>
        <v>0.13519533927347505</v>
      </c>
      <c r="E79" s="294">
        <f t="shared" ref="E79" si="140">SUM(E78/D78)-1</f>
        <v>0.15415653389238293</v>
      </c>
      <c r="F79" s="294">
        <f t="shared" ref="F79" si="141">SUM(F78/E78)-1</f>
        <v>-3.1272743125143054E-2</v>
      </c>
      <c r="G79" s="294">
        <f t="shared" ref="G79" si="142">SUM(G78/F78)-1</f>
        <v>-2.2252598209441699E-2</v>
      </c>
      <c r="H79" s="294">
        <f t="shared" ref="H79" si="143">SUM(H78/G78)-1</f>
        <v>5.9670341261039983E-3</v>
      </c>
      <c r="J79" s="331"/>
    </row>
    <row r="80" spans="1:11">
      <c r="B80" s="180" t="s">
        <v>558</v>
      </c>
      <c r="C80" s="232">
        <f>(C532*C506)/1000</f>
        <v>29680</v>
      </c>
      <c r="D80" s="232">
        <f t="shared" ref="D80:H80" si="144">(D532*D506)/1000</f>
        <v>29362</v>
      </c>
      <c r="E80" s="232">
        <f t="shared" si="144"/>
        <v>29256</v>
      </c>
      <c r="F80" s="232">
        <f t="shared" si="144"/>
        <v>29150.38267148014</v>
      </c>
      <c r="G80" s="232">
        <f t="shared" si="144"/>
        <v>29045.14663295494</v>
      </c>
      <c r="H80" s="232">
        <f t="shared" si="144"/>
        <v>28940.29050792622</v>
      </c>
      <c r="J80" s="330">
        <f t="shared" ref="J80:J82" si="145">((H80/C80)^(1/COUNT(C80:H80))-1)</f>
        <v>-4.1976084536982095E-3</v>
      </c>
      <c r="K80" s="180" t="s">
        <v>516</v>
      </c>
    </row>
    <row r="81" spans="2:11">
      <c r="B81" s="287" t="s">
        <v>45</v>
      </c>
      <c r="C81" s="340">
        <f>(C80/'3 Statement Model'!$H$21)-1</f>
        <v>5.9130000356849788E-2</v>
      </c>
      <c r="D81" s="294">
        <f t="shared" ref="D81" si="146">SUM(D80/C80)-1</f>
        <v>-1.0714285714285676E-2</v>
      </c>
      <c r="E81" s="294">
        <f t="shared" ref="E81" si="147">SUM(E80/D80)-1</f>
        <v>-3.6101083032491488E-3</v>
      </c>
      <c r="F81" s="294">
        <f t="shared" ref="F81" si="148">SUM(F80/E80)-1</f>
        <v>-3.6101083032492598E-3</v>
      </c>
      <c r="G81" s="294">
        <f t="shared" ref="G81" si="149">SUM(G80/F80)-1</f>
        <v>-3.6101083032491488E-3</v>
      </c>
      <c r="H81" s="294">
        <f t="shared" ref="H81" si="150">SUM(H80/G80)-1</f>
        <v>-3.6101083032491488E-3</v>
      </c>
      <c r="J81" s="331"/>
    </row>
    <row r="82" spans="2:11">
      <c r="B82" s="180" t="s">
        <v>384</v>
      </c>
      <c r="C82" s="231">
        <v>29415</v>
      </c>
      <c r="D82" s="231">
        <v>30210</v>
      </c>
      <c r="E82" s="231">
        <v>31270</v>
      </c>
      <c r="F82" s="232">
        <f t="shared" ref="F82:H82" si="151">SUM(E82*F83)+E82</f>
        <v>32367.192982456145</v>
      </c>
      <c r="G82" s="232">
        <f t="shared" si="151"/>
        <v>33502.883964296714</v>
      </c>
      <c r="H82" s="232">
        <f t="shared" si="151"/>
        <v>34678.423752517658</v>
      </c>
      <c r="J82" s="330">
        <f t="shared" si="145"/>
        <v>2.7815310550169947E-2</v>
      </c>
      <c r="K82" s="180" t="s">
        <v>516</v>
      </c>
    </row>
    <row r="83" spans="2:11">
      <c r="B83" s="287" t="s">
        <v>45</v>
      </c>
      <c r="C83" s="340">
        <f>(C82/'3 Statement Model'!$H$21)-1</f>
        <v>4.9673482496520815E-2</v>
      </c>
      <c r="D83" s="294">
        <f t="shared" ref="D83:E83" si="152">SUM(D82/C82)-1</f>
        <v>2.7027027027026973E-2</v>
      </c>
      <c r="E83" s="294">
        <f t="shared" si="152"/>
        <v>3.5087719298245723E-2</v>
      </c>
      <c r="F83" s="294">
        <f t="shared" ref="F83:G83" si="153">E83</f>
        <v>3.5087719298245723E-2</v>
      </c>
      <c r="G83" s="294">
        <f t="shared" si="153"/>
        <v>3.5087719298245723E-2</v>
      </c>
      <c r="H83" s="294">
        <f t="shared" ref="H83" si="154">G83</f>
        <v>3.5087719298245723E-2</v>
      </c>
      <c r="J83" s="331"/>
    </row>
    <row r="84" spans="2:11">
      <c r="B84" s="180" t="s">
        <v>337</v>
      </c>
      <c r="C84" s="231">
        <v>28384</v>
      </c>
      <c r="D84" s="231">
        <v>29127</v>
      </c>
      <c r="E84" s="231">
        <v>29724</v>
      </c>
      <c r="F84" s="232">
        <f t="shared" ref="F84:H84" si="155">SUM(E84*F85)+E84</f>
        <v>30333.236378617774</v>
      </c>
      <c r="G84" s="232">
        <f t="shared" si="155"/>
        <v>30954.959938134194</v>
      </c>
      <c r="H84" s="232">
        <f t="shared" si="155"/>
        <v>31589.426621385683</v>
      </c>
      <c r="J84" s="330">
        <f t="shared" ref="J84:J86" si="156">((H84/C84)^(1/COUNT(C84:H84))-1)</f>
        <v>1.7992763592296734E-2</v>
      </c>
      <c r="K84" s="180" t="s">
        <v>516</v>
      </c>
    </row>
    <row r="85" spans="2:11">
      <c r="B85" s="287" t="s">
        <v>45</v>
      </c>
      <c r="C85" s="340">
        <f>(C84/'3 Statement Model'!$H$21)-1</f>
        <v>1.2882275273882193E-2</v>
      </c>
      <c r="D85" s="294">
        <f t="shared" ref="D85:E85" si="157">SUM(D84/C84)-1</f>
        <v>2.6176719278466765E-2</v>
      </c>
      <c r="E85" s="294">
        <f t="shared" si="157"/>
        <v>2.0496446595941853E-2</v>
      </c>
      <c r="F85" s="294">
        <f t="shared" ref="F85:G85" si="158">E85</f>
        <v>2.0496446595941853E-2</v>
      </c>
      <c r="G85" s="294">
        <f t="shared" si="158"/>
        <v>2.0496446595941853E-2</v>
      </c>
      <c r="H85" s="294">
        <f t="shared" ref="H85" si="159">G85</f>
        <v>2.0496446595941853E-2</v>
      </c>
      <c r="J85" s="331"/>
    </row>
    <row r="86" spans="2:11">
      <c r="B86" s="180" t="s">
        <v>327</v>
      </c>
      <c r="C86" s="232">
        <f>(C508*C530)/1000</f>
        <v>28495.84</v>
      </c>
      <c r="D86" s="232">
        <f t="shared" ref="D86:H86" si="160">(D508*D530)/1000</f>
        <v>27863.25</v>
      </c>
      <c r="E86" s="232">
        <f t="shared" si="160"/>
        <v>27244.70310622533</v>
      </c>
      <c r="F86" s="232">
        <f t="shared" si="160"/>
        <v>26639.887570414947</v>
      </c>
      <c r="G86" s="232">
        <f t="shared" si="160"/>
        <v>26048.498564926118</v>
      </c>
      <c r="H86" s="232">
        <f t="shared" si="160"/>
        <v>25470.238029101005</v>
      </c>
      <c r="J86" s="330">
        <f t="shared" si="156"/>
        <v>-1.8534006046275198E-2</v>
      </c>
      <c r="K86" s="180" t="s">
        <v>516</v>
      </c>
    </row>
    <row r="87" spans="2:11">
      <c r="B87" s="287" t="s">
        <v>45</v>
      </c>
      <c r="C87" s="340">
        <f>(C86/'3 Statement Model'!$H$21)-1</f>
        <v>1.6873282660671673E-2</v>
      </c>
      <c r="D87" s="294">
        <f t="shared" ref="D87" si="161">SUM(D86/C86)-1</f>
        <v>-2.2199380681531045E-2</v>
      </c>
      <c r="E87" s="294">
        <f>D87</f>
        <v>-2.2199380681531045E-2</v>
      </c>
      <c r="F87" s="294">
        <f t="shared" ref="F87:G87" si="162">E87</f>
        <v>-2.2199380681531045E-2</v>
      </c>
      <c r="G87" s="294">
        <f t="shared" si="162"/>
        <v>-2.2199380681531045E-2</v>
      </c>
      <c r="H87" s="294">
        <f t="shared" ref="H87" si="163">G87</f>
        <v>-2.2199380681531045E-2</v>
      </c>
      <c r="J87" s="332"/>
    </row>
    <row r="88" spans="2:11" ht="5.0999999999999996" customHeight="1"/>
    <row r="89" spans="2:11">
      <c r="B89" s="293" t="s">
        <v>188</v>
      </c>
      <c r="C89" s="336">
        <f t="shared" ref="C89:H89" si="164">MAX(C$74,C$76,C$78,C$82,C$84,C$86,C$80)</f>
        <v>30134</v>
      </c>
      <c r="D89" s="336">
        <f t="shared" si="164"/>
        <v>32978</v>
      </c>
      <c r="E89" s="336">
        <f t="shared" si="164"/>
        <v>35654</v>
      </c>
      <c r="F89" s="336">
        <f t="shared" si="164"/>
        <v>38547.14403541755</v>
      </c>
      <c r="G89" s="336">
        <f t="shared" si="164"/>
        <v>41675.052260257668</v>
      </c>
      <c r="H89" s="336">
        <f t="shared" si="164"/>
        <v>45056.77461602362</v>
      </c>
      <c r="I89" s="289"/>
      <c r="J89" s="299">
        <f t="shared" ref="J89:J95" si="165">((H89/C89)^(1/COUNT(C89:H89))-1)</f>
        <v>6.934346393990154E-2</v>
      </c>
    </row>
    <row r="90" spans="2:11">
      <c r="B90" s="325" t="s">
        <v>45</v>
      </c>
      <c r="C90" s="334">
        <f>(C89/'3 Statement Model'!$H$21)-1</f>
        <v>7.533097812511147E-2</v>
      </c>
      <c r="D90" s="327">
        <f t="shared" ref="D90" si="166">SUM(D89/C89)-1</f>
        <v>9.43784429548018E-2</v>
      </c>
      <c r="E90" s="327">
        <f t="shared" ref="E90" si="167">SUM(E89/D89)-1</f>
        <v>8.11450057614167E-2</v>
      </c>
      <c r="F90" s="327">
        <f t="shared" ref="F90" si="168">SUM(F89/E89)-1</f>
        <v>8.11450057614167E-2</v>
      </c>
      <c r="G90" s="327">
        <f t="shared" ref="G90:H90" si="169">SUM(G89/F89)-1</f>
        <v>8.11450057614167E-2</v>
      </c>
      <c r="H90" s="327">
        <f t="shared" si="169"/>
        <v>8.11450057614167E-2</v>
      </c>
      <c r="I90" s="291"/>
      <c r="J90" s="297"/>
    </row>
    <row r="91" spans="2:11">
      <c r="B91" s="290" t="s">
        <v>374</v>
      </c>
      <c r="C91" s="338">
        <f>MEDIAN(C$74,C$76,C$78,C$82,C$84,C$86,C$80)</f>
        <v>29415</v>
      </c>
      <c r="D91" s="338">
        <f t="shared" ref="D91:H91" si="170">MEDIAN(D$74,D$76,D$78,D$82,D$84,D$86,D$80)</f>
        <v>29362</v>
      </c>
      <c r="E91" s="338">
        <f t="shared" si="170"/>
        <v>31270</v>
      </c>
      <c r="F91" s="338">
        <f t="shared" si="170"/>
        <v>31998.959999999999</v>
      </c>
      <c r="G91" s="338">
        <f t="shared" si="170"/>
        <v>31286.9</v>
      </c>
      <c r="H91" s="338">
        <f t="shared" si="170"/>
        <v>31589.426621385683</v>
      </c>
      <c r="I91" s="291"/>
      <c r="J91" s="297">
        <f t="shared" si="165"/>
        <v>1.1957208569810751E-2</v>
      </c>
    </row>
    <row r="92" spans="2:11">
      <c r="B92" s="325" t="s">
        <v>45</v>
      </c>
      <c r="C92" s="334">
        <f>(C91/'3 Statement Model'!$H$21)-1</f>
        <v>4.9673482496520815E-2</v>
      </c>
      <c r="D92" s="327">
        <f t="shared" ref="D92" si="171">SUM(D91/C91)-1</f>
        <v>-1.8018018018017834E-3</v>
      </c>
      <c r="E92" s="327">
        <f t="shared" ref="E92" si="172">SUM(E91/D91)-1</f>
        <v>6.498194945848379E-2</v>
      </c>
      <c r="F92" s="327">
        <f t="shared" ref="F92" si="173">SUM(F91/E91)-1</f>
        <v>2.3311800447713527E-2</v>
      </c>
      <c r="G92" s="327">
        <f t="shared" ref="G92:H92" si="174">SUM(G91/F91)-1</f>
        <v>-2.2252598209441699E-2</v>
      </c>
      <c r="H92" s="327">
        <f t="shared" si="174"/>
        <v>9.6694342164189706E-3</v>
      </c>
      <c r="I92" s="291"/>
      <c r="J92" s="297"/>
    </row>
    <row r="93" spans="2:11">
      <c r="B93" s="290" t="s">
        <v>331</v>
      </c>
      <c r="C93" s="338">
        <f>AVERAGE(C$74,C$76,C$78,C$82,C$84,C$86,C$80)</f>
        <v>28746.908571428572</v>
      </c>
      <c r="D93" s="338">
        <f t="shared" ref="D93:H93" si="175">AVERAGE(D$74,D$76,D$78,D$82,D$84,D$86,D$80)</f>
        <v>29996.321428571428</v>
      </c>
      <c r="E93" s="338">
        <f t="shared" si="175"/>
        <v>31325.666158032189</v>
      </c>
      <c r="F93" s="338">
        <f t="shared" si="175"/>
        <v>31924.672300387207</v>
      </c>
      <c r="G93" s="338">
        <f t="shared" si="175"/>
        <v>32620.035021023174</v>
      </c>
      <c r="H93" s="338">
        <f t="shared" si="175"/>
        <v>33497.518366123397</v>
      </c>
      <c r="I93" s="291"/>
      <c r="J93" s="297">
        <f t="shared" si="165"/>
        <v>2.5817840204388487E-2</v>
      </c>
    </row>
    <row r="94" spans="2:11">
      <c r="B94" s="325" t="s">
        <v>45</v>
      </c>
      <c r="C94" s="334">
        <f>(C93/'3 Statement Model'!$H$21)-1</f>
        <v>2.5832657867771891E-2</v>
      </c>
      <c r="D94" s="327">
        <f t="shared" ref="D94" si="176">SUM(D93/C93)-1</f>
        <v>4.3462511944141413E-2</v>
      </c>
      <c r="E94" s="327">
        <f t="shared" ref="E94" si="177">SUM(E93/D93)-1</f>
        <v>4.4316925081172132E-2</v>
      </c>
      <c r="F94" s="327">
        <f t="shared" ref="F94" si="178">SUM(F93/E93)-1</f>
        <v>1.9121896381489201E-2</v>
      </c>
      <c r="G94" s="327">
        <f t="shared" ref="G94:H94" si="179">SUM(G93/F93)-1</f>
        <v>2.1781358132453965E-2</v>
      </c>
      <c r="H94" s="327">
        <f t="shared" si="179"/>
        <v>2.6900134979459533E-2</v>
      </c>
      <c r="I94" s="291"/>
      <c r="J94" s="297"/>
    </row>
    <row r="95" spans="2:11">
      <c r="B95" s="324" t="s">
        <v>311</v>
      </c>
      <c r="C95" s="337">
        <f>MIN(C$74,C$76,C$78,C$82,C$84,C$86,C$80)</f>
        <v>25211.52</v>
      </c>
      <c r="D95" s="337">
        <f t="shared" ref="D95:H95" si="180">MIN(D$74,D$76,D$78,D$82,D$84,D$86,D$80)</f>
        <v>27863.25</v>
      </c>
      <c r="E95" s="337">
        <f t="shared" si="180"/>
        <v>27244.70310622533</v>
      </c>
      <c r="F95" s="337">
        <f t="shared" si="180"/>
        <v>26639.887570414947</v>
      </c>
      <c r="G95" s="337">
        <f t="shared" si="180"/>
        <v>26048.498564926118</v>
      </c>
      <c r="H95" s="337">
        <f t="shared" si="180"/>
        <v>25470.238029101005</v>
      </c>
      <c r="I95" s="291"/>
      <c r="J95" s="297">
        <f t="shared" si="165"/>
        <v>1.7030487932623295E-3</v>
      </c>
    </row>
    <row r="96" spans="2:11">
      <c r="B96" s="326" t="s">
        <v>45</v>
      </c>
      <c r="C96" s="335">
        <f>(C95/'3 Statement Model'!$H$21)-1</f>
        <v>-0.10032758805267106</v>
      </c>
      <c r="D96" s="328">
        <f t="shared" ref="D96" si="181">SUM(D95/C95)-1</f>
        <v>0.10517929898712963</v>
      </c>
      <c r="E96" s="328">
        <f t="shared" ref="E96" si="182">SUM(E95/D95)-1</f>
        <v>-2.2199380681531045E-2</v>
      </c>
      <c r="F96" s="328">
        <f t="shared" ref="F96" si="183">SUM(F95/E95)-1</f>
        <v>-2.2199380681530934E-2</v>
      </c>
      <c r="G96" s="328">
        <f t="shared" ref="G96:H96" si="184">SUM(G95/F95)-1</f>
        <v>-2.2199380681531045E-2</v>
      </c>
      <c r="H96" s="328">
        <f t="shared" si="184"/>
        <v>-2.2199380681531156E-2</v>
      </c>
      <c r="I96" s="292"/>
      <c r="J96" s="298"/>
    </row>
    <row r="98" spans="1:11">
      <c r="A98" s="353" t="s">
        <v>24</v>
      </c>
      <c r="B98" s="229" t="s">
        <v>225</v>
      </c>
      <c r="C98" s="211" t="s">
        <v>156</v>
      </c>
      <c r="D98" s="211"/>
      <c r="E98" s="211"/>
      <c r="F98" s="211"/>
      <c r="G98" s="211"/>
      <c r="H98" s="211"/>
      <c r="I98" s="230"/>
      <c r="J98" s="2" t="s">
        <v>332</v>
      </c>
    </row>
    <row r="99" spans="1:11">
      <c r="B99" s="282" t="s">
        <v>372</v>
      </c>
      <c r="C99" s="283" t="str">
        <f t="shared" ref="C99:H99" si="185">C$9</f>
        <v>2026E</v>
      </c>
      <c r="D99" s="283" t="str">
        <f t="shared" si="185"/>
        <v>2027E</v>
      </c>
      <c r="E99" s="283" t="str">
        <f t="shared" si="185"/>
        <v>2028E</v>
      </c>
      <c r="F99" s="283" t="str">
        <f t="shared" si="185"/>
        <v>2029E</v>
      </c>
      <c r="G99" s="283" t="str">
        <f t="shared" si="185"/>
        <v>2030E</v>
      </c>
      <c r="H99" s="283" t="str">
        <f t="shared" si="185"/>
        <v>2031E</v>
      </c>
      <c r="I99" s="230"/>
      <c r="J99" s="182" t="str">
        <f>$J$9</f>
        <v>6-Year(F)</v>
      </c>
    </row>
    <row r="100" spans="1:11">
      <c r="B100" s="282" t="s">
        <v>373</v>
      </c>
      <c r="C100" s="230">
        <f t="shared" ref="C100:H100" si="186">C$10</f>
        <v>46295</v>
      </c>
      <c r="D100" s="230">
        <f t="shared" si="186"/>
        <v>46660</v>
      </c>
      <c r="E100" s="230">
        <f t="shared" si="186"/>
        <v>47026</v>
      </c>
      <c r="F100" s="230">
        <f t="shared" si="186"/>
        <v>47391</v>
      </c>
      <c r="G100" s="230">
        <f t="shared" si="186"/>
        <v>47756</v>
      </c>
      <c r="H100" s="230">
        <f t="shared" si="186"/>
        <v>48121</v>
      </c>
      <c r="I100" s="230"/>
      <c r="J100" s="3">
        <f>$H$44</f>
        <v>48121</v>
      </c>
    </row>
    <row r="101" spans="1:11" ht="5.0999999999999996" customHeight="1">
      <c r="B101" s="286"/>
    </row>
    <row r="102" spans="1:11">
      <c r="B102" s="180" t="s">
        <v>326</v>
      </c>
      <c r="C102" s="231">
        <v>35020</v>
      </c>
      <c r="D102" s="231">
        <v>44073</v>
      </c>
      <c r="E102" s="231">
        <v>48349</v>
      </c>
      <c r="F102" s="232">
        <f t="shared" ref="F102" si="187">SUM(E102*F103)+E102</f>
        <v>53039.861162162779</v>
      </c>
      <c r="G102" s="232">
        <f t="shared" ref="G102" si="188">SUM(F102*G103)+F102</f>
        <v>58185.8336698071</v>
      </c>
      <c r="H102" s="232">
        <f t="shared" ref="H102" si="189">SUM(G102*H103)+G102</f>
        <v>63831.07281332116</v>
      </c>
      <c r="J102" s="333">
        <f t="shared" ref="J102" si="190">((H102/C102)^(1/COUNT(C102:H102))-1)</f>
        <v>0.10523000570664331</v>
      </c>
      <c r="K102" s="180" t="s">
        <v>517</v>
      </c>
    </row>
    <row r="103" spans="1:11">
      <c r="B103" s="287" t="s">
        <v>45</v>
      </c>
      <c r="C103" s="340">
        <f>(C102/'3 Statement Model'!$H$20)-1</f>
        <v>3.8922510976622693E-2</v>
      </c>
      <c r="D103" s="294">
        <f t="shared" ref="D103" si="191">SUM(D102/C102)-1</f>
        <v>0.25850942318675041</v>
      </c>
      <c r="E103" s="294">
        <f t="shared" ref="E103" si="192">SUM(E102/D102)-1</f>
        <v>9.7020851768656602E-2</v>
      </c>
      <c r="F103" s="294">
        <f>E103</f>
        <v>9.7020851768656602E-2</v>
      </c>
      <c r="G103" s="294">
        <f t="shared" ref="G103:H103" si="193">F103</f>
        <v>9.7020851768656602E-2</v>
      </c>
      <c r="H103" s="294">
        <f t="shared" si="193"/>
        <v>9.7020851768656602E-2</v>
      </c>
      <c r="J103" s="331"/>
    </row>
    <row r="104" spans="1:11">
      <c r="B104" s="180" t="s">
        <v>335</v>
      </c>
      <c r="C104" s="231">
        <v>34650</v>
      </c>
      <c r="D104" s="231">
        <v>36403</v>
      </c>
      <c r="E104" s="231">
        <v>38245</v>
      </c>
      <c r="F104" s="232">
        <f t="shared" ref="F104" si="194">SUM(E104*F105)+E104</f>
        <v>40180.205614921848</v>
      </c>
      <c r="G104" s="232">
        <f t="shared" ref="G104:H104" si="195">SUM(F104*G105)+F104</f>
        <v>42213.333069875727</v>
      </c>
      <c r="H104" s="232">
        <f t="shared" si="195"/>
        <v>44349.337232024751</v>
      </c>
      <c r="J104" s="330">
        <f t="shared" ref="J104:J106" si="196">((H104/C104)^(1/COUNT(C104:H104))-1)</f>
        <v>4.1991035189036463E-2</v>
      </c>
      <c r="K104" s="180" t="s">
        <v>517</v>
      </c>
    </row>
    <row r="105" spans="1:11">
      <c r="B105" s="287" t="s">
        <v>45</v>
      </c>
      <c r="C105" s="340">
        <f>(C104/'3 Statement Model'!$H$20)-1</f>
        <v>2.7945888216447168E-2</v>
      </c>
      <c r="D105" s="294">
        <f t="shared" ref="D105" si="197">SUM(D104/C104)-1</f>
        <v>5.0591630591630521E-2</v>
      </c>
      <c r="E105" s="294">
        <f t="shared" ref="E105" si="198">SUM(E104/D104)-1</f>
        <v>5.0600225256160147E-2</v>
      </c>
      <c r="F105" s="294">
        <f>E105</f>
        <v>5.0600225256160147E-2</v>
      </c>
      <c r="G105" s="294">
        <f>F105</f>
        <v>5.0600225256160147E-2</v>
      </c>
      <c r="H105" s="294">
        <f>G105</f>
        <v>5.0600225256160147E-2</v>
      </c>
      <c r="J105" s="331"/>
    </row>
    <row r="106" spans="1:11">
      <c r="B106" s="180" t="s">
        <v>336</v>
      </c>
      <c r="C106" s="232">
        <f>(C462*C486)/1000</f>
        <v>34564.86</v>
      </c>
      <c r="D106" s="232">
        <f t="shared" ref="D106:H106" si="199">(D462*D486)/1000</f>
        <v>35639.129999999997</v>
      </c>
      <c r="E106" s="232">
        <f t="shared" si="199"/>
        <v>36801</v>
      </c>
      <c r="F106" s="232">
        <f t="shared" si="199"/>
        <v>38925.599999999999</v>
      </c>
      <c r="G106" s="232">
        <f t="shared" si="199"/>
        <v>41149.919999999998</v>
      </c>
      <c r="H106" s="232">
        <f t="shared" si="199"/>
        <v>41553.199999999997</v>
      </c>
      <c r="J106" s="330">
        <f t="shared" si="196"/>
        <v>3.1165273046862119E-2</v>
      </c>
      <c r="K106" s="180" t="s">
        <v>516</v>
      </c>
    </row>
    <row r="107" spans="1:11">
      <c r="B107" s="287" t="s">
        <v>45</v>
      </c>
      <c r="C107" s="340">
        <f>(C106/'3 Statement Model'!$H$20)-1</f>
        <v>2.5420078319686734E-2</v>
      </c>
      <c r="D107" s="294">
        <f t="shared" ref="D107" si="200">SUM(D106/C106)-1</f>
        <v>3.1079830787684282E-2</v>
      </c>
      <c r="E107" s="294">
        <f t="shared" ref="E107" si="201">SUM(E106/D106)-1</f>
        <v>3.2600964164950286E-2</v>
      </c>
      <c r="F107" s="294">
        <f t="shared" ref="F107" si="202">SUM(F106/E106)-1</f>
        <v>5.7732126844379117E-2</v>
      </c>
      <c r="G107" s="294">
        <f t="shared" ref="G107" si="203">SUM(G106/F106)-1</f>
        <v>5.7142857142857162E-2</v>
      </c>
      <c r="H107" s="294">
        <f t="shared" ref="H107" si="204">SUM(H106/G106)-1</f>
        <v>9.8002620661230555E-3</v>
      </c>
      <c r="J107" s="331"/>
    </row>
    <row r="108" spans="1:11">
      <c r="B108" s="180" t="s">
        <v>558</v>
      </c>
      <c r="C108" s="232">
        <f>(C460*C484)/1000</f>
        <v>34190</v>
      </c>
      <c r="D108" s="232">
        <f t="shared" ref="D108:H108" si="205">(D460*D484)/1000</f>
        <v>35316</v>
      </c>
      <c r="E108" s="232">
        <f t="shared" si="205"/>
        <v>36400</v>
      </c>
      <c r="F108" s="232">
        <f t="shared" si="205"/>
        <v>37517.272624306264</v>
      </c>
      <c r="G108" s="232">
        <f t="shared" si="205"/>
        <v>38668.839152926368</v>
      </c>
      <c r="H108" s="232">
        <f t="shared" si="205"/>
        <v>39855.75221334579</v>
      </c>
      <c r="J108" s="330">
        <f t="shared" ref="J108:J110" si="206">((H108/C108)^(1/COUNT(C108:H108))-1)</f>
        <v>2.5884933252924069E-2</v>
      </c>
      <c r="K108" s="180" t="s">
        <v>516</v>
      </c>
    </row>
    <row r="109" spans="1:11">
      <c r="B109" s="287" t="s">
        <v>45</v>
      </c>
      <c r="C109" s="340">
        <f>(C108/'3 Statement Model'!$H$20)-1</f>
        <v>1.4299276136228833E-2</v>
      </c>
      <c r="D109" s="294">
        <f t="shared" ref="D109" si="207">SUM(D108/C108)-1</f>
        <v>3.2933606317636643E-2</v>
      </c>
      <c r="E109" s="294">
        <f t="shared" ref="E109" si="208">SUM(E108/D108)-1</f>
        <v>3.0694302865556633E-2</v>
      </c>
      <c r="F109" s="294">
        <f t="shared" ref="F109" si="209">SUM(F108/E108)-1</f>
        <v>3.0694302865556633E-2</v>
      </c>
      <c r="G109" s="294">
        <f t="shared" ref="G109" si="210">SUM(G108/F108)-1</f>
        <v>3.0694302865556411E-2</v>
      </c>
      <c r="H109" s="294">
        <f t="shared" ref="H109" si="211">SUM(H108/G108)-1</f>
        <v>3.0694302865556855E-2</v>
      </c>
      <c r="J109" s="331"/>
    </row>
    <row r="110" spans="1:11">
      <c r="B110" s="180" t="s">
        <v>384</v>
      </c>
      <c r="C110" s="231">
        <v>40800</v>
      </c>
      <c r="D110" s="231">
        <v>43200</v>
      </c>
      <c r="E110" s="231">
        <v>46400</v>
      </c>
      <c r="F110" s="232">
        <f t="shared" ref="F110" si="212">SUM(E110*F111)+E110</f>
        <v>49837.037037037044</v>
      </c>
      <c r="G110" s="232">
        <f t="shared" ref="G110:H110" si="213">SUM(F110*G111)+F110</f>
        <v>53528.669410150906</v>
      </c>
      <c r="H110" s="232">
        <f t="shared" si="213"/>
        <v>57493.75603312505</v>
      </c>
      <c r="J110" s="330">
        <f t="shared" si="206"/>
        <v>5.8831256509754848E-2</v>
      </c>
      <c r="K110" s="180" t="s">
        <v>516</v>
      </c>
    </row>
    <row r="111" spans="1:11">
      <c r="B111" s="287" t="s">
        <v>45</v>
      </c>
      <c r="C111" s="340">
        <f>(C110/'3 Statement Model'!$H$20)-1</f>
        <v>0.2103951584193664</v>
      </c>
      <c r="D111" s="294">
        <f t="shared" ref="D111:E111" si="214">SUM(D110/C110)-1</f>
        <v>5.8823529411764719E-2</v>
      </c>
      <c r="E111" s="294">
        <f t="shared" si="214"/>
        <v>7.4074074074074181E-2</v>
      </c>
      <c r="F111" s="294">
        <f t="shared" ref="F111:G111" si="215">E111</f>
        <v>7.4074074074074181E-2</v>
      </c>
      <c r="G111" s="294">
        <f t="shared" si="215"/>
        <v>7.4074074074074181E-2</v>
      </c>
      <c r="H111" s="294">
        <f t="shared" ref="H111" si="216">G111</f>
        <v>7.4074074074074181E-2</v>
      </c>
      <c r="J111" s="331"/>
    </row>
    <row r="112" spans="1:11">
      <c r="B112" s="180" t="s">
        <v>337</v>
      </c>
      <c r="C112" s="231">
        <v>34337</v>
      </c>
      <c r="D112" s="231">
        <v>36538</v>
      </c>
      <c r="E112" s="231">
        <v>38044</v>
      </c>
      <c r="F112" s="232">
        <f t="shared" ref="F112" si="217">SUM(E112*F113)+E112</f>
        <v>39612.073348294929</v>
      </c>
      <c r="G112" s="232">
        <f t="shared" ref="G112:H112" si="218">SUM(F112*G113)+F112</f>
        <v>41244.778544598288</v>
      </c>
      <c r="H112" s="232">
        <f t="shared" si="218"/>
        <v>42944.77954323437</v>
      </c>
      <c r="J112" s="330">
        <f t="shared" ref="J112:J114" si="219">((H112/C112)^(1/COUNT(C112:H112))-1)</f>
        <v>3.7985622986381751E-2</v>
      </c>
      <c r="K112" s="180" t="s">
        <v>516</v>
      </c>
    </row>
    <row r="113" spans="1:11">
      <c r="B113" s="287" t="s">
        <v>45</v>
      </c>
      <c r="C113" s="340">
        <f>(C112/'3 Statement Model'!$H$20)-1</f>
        <v>1.8660258692298592E-2</v>
      </c>
      <c r="D113" s="294">
        <f t="shared" ref="D113" si="220">SUM(D112/C112)-1</f>
        <v>6.4099950490724256E-2</v>
      </c>
      <c r="E113" s="294">
        <f t="shared" ref="E113" si="221">SUM(E112/D112)-1</f>
        <v>4.12173627456347E-2</v>
      </c>
      <c r="F113" s="294">
        <f t="shared" ref="F113:G113" si="222">E113</f>
        <v>4.12173627456347E-2</v>
      </c>
      <c r="G113" s="294">
        <f t="shared" si="222"/>
        <v>4.12173627456347E-2</v>
      </c>
      <c r="H113" s="294">
        <f t="shared" ref="H113" si="223">G113</f>
        <v>4.12173627456347E-2</v>
      </c>
      <c r="J113" s="331"/>
    </row>
    <row r="114" spans="1:11">
      <c r="B114" s="180" t="s">
        <v>327</v>
      </c>
      <c r="C114" s="232">
        <f>(C458*C482)/1000</f>
        <v>33433.9</v>
      </c>
      <c r="D114" s="232">
        <f t="shared" ref="D114:H114" si="224">(D458*D482)/1000</f>
        <v>35386.01</v>
      </c>
      <c r="E114" s="232">
        <f t="shared" si="224"/>
        <v>37452.098131540137</v>
      </c>
      <c r="F114" s="232">
        <f t="shared" si="224"/>
        <v>39638.819252425244</v>
      </c>
      <c r="G114" s="232">
        <f t="shared" si="224"/>
        <v>41953.216778614282</v>
      </c>
      <c r="H114" s="232">
        <f t="shared" si="224"/>
        <v>44402.745371022</v>
      </c>
      <c r="J114" s="330">
        <f t="shared" si="219"/>
        <v>4.8424426273972143E-2</v>
      </c>
      <c r="K114" s="180" t="s">
        <v>516</v>
      </c>
    </row>
    <row r="115" spans="1:11">
      <c r="B115" s="287" t="s">
        <v>45</v>
      </c>
      <c r="C115" s="340">
        <f>(C114/'3 Statement Model'!$H$20)-1</f>
        <v>-8.1316008069300949E-3</v>
      </c>
      <c r="D115" s="294">
        <f t="shared" ref="D115" si="225">SUM(D114/C114)-1</f>
        <v>5.8387145980576705E-2</v>
      </c>
      <c r="E115" s="294">
        <f>D115</f>
        <v>5.8387145980576705E-2</v>
      </c>
      <c r="F115" s="294">
        <f t="shared" ref="F115:G115" si="226">E115</f>
        <v>5.8387145980576705E-2</v>
      </c>
      <c r="G115" s="294">
        <f t="shared" si="226"/>
        <v>5.8387145980576705E-2</v>
      </c>
      <c r="H115" s="294">
        <f t="shared" ref="H115" si="227">G115</f>
        <v>5.8387145980576705E-2</v>
      </c>
      <c r="J115" s="332"/>
    </row>
    <row r="116" spans="1:11" ht="5.0999999999999996" customHeight="1"/>
    <row r="117" spans="1:11">
      <c r="B117" s="293" t="s">
        <v>188</v>
      </c>
      <c r="C117" s="336">
        <f>MAX(C$102,C$104,C$106,C$110,C$112,C$114,C$108)</f>
        <v>40800</v>
      </c>
      <c r="D117" s="336">
        <f t="shared" ref="D117:H117" si="228">MAX(D$102,D$104,D$106,D$110,D$112,D$114,D$108)</f>
        <v>44073</v>
      </c>
      <c r="E117" s="336">
        <f t="shared" si="228"/>
        <v>48349</v>
      </c>
      <c r="F117" s="336">
        <f t="shared" si="228"/>
        <v>53039.861162162779</v>
      </c>
      <c r="G117" s="336">
        <f t="shared" si="228"/>
        <v>58185.8336698071</v>
      </c>
      <c r="H117" s="336">
        <f t="shared" si="228"/>
        <v>63831.07281332116</v>
      </c>
      <c r="I117" s="289"/>
      <c r="J117" s="299">
        <f t="shared" ref="J117:J123" si="229">((H117/C117)^(1/COUNT(C117:H117))-1)</f>
        <v>7.7445545800124638E-2</v>
      </c>
    </row>
    <row r="118" spans="1:11">
      <c r="B118" s="325" t="s">
        <v>45</v>
      </c>
      <c r="C118" s="334">
        <f>(C117/'3 Statement Model'!$H$20)-1</f>
        <v>0.2103951584193664</v>
      </c>
      <c r="D118" s="327">
        <f t="shared" ref="D118" si="230">SUM(D117/C117)-1</f>
        <v>8.022058823529421E-2</v>
      </c>
      <c r="E118" s="327">
        <f t="shared" ref="E118" si="231">SUM(E117/D117)-1</f>
        <v>9.7020851768656602E-2</v>
      </c>
      <c r="F118" s="327">
        <f t="shared" ref="F118" si="232">SUM(F117/E117)-1</f>
        <v>9.7020851768656602E-2</v>
      </c>
      <c r="G118" s="327">
        <f t="shared" ref="G118:H118" si="233">SUM(G117/F117)-1</f>
        <v>9.7020851768656602E-2</v>
      </c>
      <c r="H118" s="327">
        <f t="shared" si="233"/>
        <v>9.7020851768656602E-2</v>
      </c>
      <c r="I118" s="291"/>
      <c r="J118" s="297"/>
    </row>
    <row r="119" spans="1:11">
      <c r="B119" s="290" t="s">
        <v>374</v>
      </c>
      <c r="C119" s="338">
        <f>MEDIAN(C$102,C$104,C$106,C$110,C$112,C$114,C$108)</f>
        <v>34564.86</v>
      </c>
      <c r="D119" s="338">
        <f t="shared" ref="D119:H119" si="234">MEDIAN(D$102,D$104,D$106,D$110,D$112,D$114,D$108)</f>
        <v>36403</v>
      </c>
      <c r="E119" s="338">
        <f t="shared" si="234"/>
        <v>38044</v>
      </c>
      <c r="F119" s="338">
        <f t="shared" si="234"/>
        <v>39638.819252425244</v>
      </c>
      <c r="G119" s="338">
        <f t="shared" si="234"/>
        <v>41953.216778614282</v>
      </c>
      <c r="H119" s="338">
        <f t="shared" si="234"/>
        <v>44349.337232024751</v>
      </c>
      <c r="I119" s="291"/>
      <c r="J119" s="297">
        <f t="shared" si="229"/>
        <v>4.2418368046974964E-2</v>
      </c>
    </row>
    <row r="120" spans="1:11">
      <c r="B120" s="325" t="s">
        <v>45</v>
      </c>
      <c r="C120" s="334">
        <f>(C119/'3 Statement Model'!$H$20)-1</f>
        <v>2.5420078319686734E-2</v>
      </c>
      <c r="D120" s="327">
        <f t="shared" ref="D120" si="235">SUM(D119/C119)-1</f>
        <v>5.3179442937133281E-2</v>
      </c>
      <c r="E120" s="327">
        <f t="shared" ref="E120" si="236">SUM(E119/D119)-1</f>
        <v>4.5078702304755192E-2</v>
      </c>
      <c r="F120" s="327">
        <f t="shared" ref="F120" si="237">SUM(F119/E119)-1</f>
        <v>4.1920388298424038E-2</v>
      </c>
      <c r="G120" s="327">
        <f t="shared" ref="G120:H120" si="238">SUM(G119/F119)-1</f>
        <v>5.8387145980576483E-2</v>
      </c>
      <c r="H120" s="327">
        <f t="shared" si="238"/>
        <v>5.7114105601358656E-2</v>
      </c>
      <c r="I120" s="291"/>
      <c r="J120" s="297"/>
    </row>
    <row r="121" spans="1:11">
      <c r="B121" s="290" t="s">
        <v>331</v>
      </c>
      <c r="C121" s="338">
        <f>AVERAGE(C$102,C$104,C$106,C$110,C$112,C$114,C$108)</f>
        <v>35285.108571428565</v>
      </c>
      <c r="D121" s="338">
        <f t="shared" ref="D121:H121" si="239">AVERAGE(D$102,D$104,D$106,D$110,D$112,D$114,D$108)</f>
        <v>38079.305714285714</v>
      </c>
      <c r="E121" s="338">
        <f t="shared" si="239"/>
        <v>40241.585447362871</v>
      </c>
      <c r="F121" s="338">
        <f t="shared" si="239"/>
        <v>42678.695577021157</v>
      </c>
      <c r="G121" s="338">
        <f t="shared" si="239"/>
        <v>45277.798660853237</v>
      </c>
      <c r="H121" s="338">
        <f t="shared" si="239"/>
        <v>47775.806172296165</v>
      </c>
      <c r="I121" s="291"/>
      <c r="J121" s="297">
        <f t="shared" si="229"/>
        <v>5.1807090885518825E-2</v>
      </c>
    </row>
    <row r="122" spans="1:11">
      <c r="B122" s="325" t="s">
        <v>45</v>
      </c>
      <c r="C122" s="334">
        <f>(C121/'3 Statement Model'!$H$20)-1</f>
        <v>4.6787367136245539E-2</v>
      </c>
      <c r="D122" s="327">
        <f t="shared" ref="D122" si="240">SUM(D121/C121)-1</f>
        <v>7.9189132639362114E-2</v>
      </c>
      <c r="E122" s="327">
        <f t="shared" ref="E122" si="241">SUM(E121/D121)-1</f>
        <v>5.678359131075128E-2</v>
      </c>
      <c r="F122" s="327">
        <f t="shared" ref="F122" si="242">SUM(F121/E121)-1</f>
        <v>6.0561980910172952E-2</v>
      </c>
      <c r="G122" s="327">
        <f t="shared" ref="G122:H122" si="243">SUM(G121/F121)-1</f>
        <v>6.0899309332018925E-2</v>
      </c>
      <c r="H122" s="327">
        <f t="shared" si="243"/>
        <v>5.5170692598239812E-2</v>
      </c>
      <c r="I122" s="291"/>
      <c r="J122" s="297"/>
    </row>
    <row r="123" spans="1:11">
      <c r="B123" s="324" t="s">
        <v>311</v>
      </c>
      <c r="C123" s="337">
        <f>MIN(C$102,C$104,C$106,C$110,C$112,C$114,C$108)</f>
        <v>33433.9</v>
      </c>
      <c r="D123" s="337">
        <f t="shared" ref="D123:H123" si="244">MIN(D$102,D$104,D$106,D$110,D$112,D$114,D$108)</f>
        <v>35316</v>
      </c>
      <c r="E123" s="337">
        <f t="shared" si="244"/>
        <v>36400</v>
      </c>
      <c r="F123" s="337">
        <f t="shared" si="244"/>
        <v>37517.272624306264</v>
      </c>
      <c r="G123" s="337">
        <f t="shared" si="244"/>
        <v>38668.839152926368</v>
      </c>
      <c r="H123" s="337">
        <f t="shared" si="244"/>
        <v>39855.75221334579</v>
      </c>
      <c r="I123" s="291"/>
      <c r="J123" s="297">
        <f t="shared" si="229"/>
        <v>2.9715685893220378E-2</v>
      </c>
    </row>
    <row r="124" spans="1:11">
      <c r="B124" s="326" t="s">
        <v>45</v>
      </c>
      <c r="C124" s="335">
        <f>(C123/'3 Statement Model'!$H$20)-1</f>
        <v>-8.1316008069300949E-3</v>
      </c>
      <c r="D124" s="328">
        <f t="shared" ref="D124" si="245">SUM(D123/C123)-1</f>
        <v>5.6293163525643175E-2</v>
      </c>
      <c r="E124" s="328">
        <f t="shared" ref="E124" si="246">SUM(E123/D123)-1</f>
        <v>3.0694302865556633E-2</v>
      </c>
      <c r="F124" s="328">
        <f t="shared" ref="F124" si="247">SUM(F123/E123)-1</f>
        <v>3.0694302865556633E-2</v>
      </c>
      <c r="G124" s="328">
        <f t="shared" ref="G124:H124" si="248">SUM(G123/F123)-1</f>
        <v>3.0694302865556411E-2</v>
      </c>
      <c r="H124" s="328">
        <f t="shared" si="248"/>
        <v>3.0694302865556855E-2</v>
      </c>
      <c r="I124" s="292"/>
      <c r="J124" s="298"/>
    </row>
    <row r="125" spans="1:11">
      <c r="B125" s="243"/>
      <c r="C125" s="341"/>
      <c r="D125" s="341"/>
      <c r="E125" s="341"/>
      <c r="F125" s="341"/>
      <c r="G125" s="341"/>
      <c r="H125" s="341"/>
      <c r="I125" s="342"/>
      <c r="J125" s="343"/>
    </row>
    <row r="126" spans="1:11">
      <c r="A126" s="353" t="s">
        <v>24</v>
      </c>
      <c r="B126" s="229" t="s">
        <v>375</v>
      </c>
      <c r="C126" s="211" t="s">
        <v>156</v>
      </c>
      <c r="D126" s="211"/>
      <c r="E126" s="211"/>
      <c r="F126" s="211"/>
      <c r="G126" s="211"/>
      <c r="H126" s="211"/>
      <c r="I126" s="230"/>
      <c r="J126" s="2" t="s">
        <v>332</v>
      </c>
    </row>
    <row r="127" spans="1:11">
      <c r="B127" s="282" t="s">
        <v>372</v>
      </c>
      <c r="C127" s="283" t="str">
        <f t="shared" ref="C127:H127" si="249">C$9</f>
        <v>2026E</v>
      </c>
      <c r="D127" s="283" t="str">
        <f t="shared" si="249"/>
        <v>2027E</v>
      </c>
      <c r="E127" s="283" t="str">
        <f t="shared" si="249"/>
        <v>2028E</v>
      </c>
      <c r="F127" s="283" t="str">
        <f t="shared" si="249"/>
        <v>2029E</v>
      </c>
      <c r="G127" s="283" t="str">
        <f t="shared" si="249"/>
        <v>2030E</v>
      </c>
      <c r="H127" s="283" t="str">
        <f t="shared" si="249"/>
        <v>2031E</v>
      </c>
      <c r="I127" s="230"/>
      <c r="J127" s="182" t="str">
        <f>$J$9</f>
        <v>6-Year(F)</v>
      </c>
    </row>
    <row r="128" spans="1:11">
      <c r="B128" s="282" t="s">
        <v>373</v>
      </c>
      <c r="C128" s="230">
        <f t="shared" ref="C128:H128" si="250">C$10</f>
        <v>46295</v>
      </c>
      <c r="D128" s="230">
        <f t="shared" si="250"/>
        <v>46660</v>
      </c>
      <c r="E128" s="230">
        <f t="shared" si="250"/>
        <v>47026</v>
      </c>
      <c r="F128" s="230">
        <f t="shared" si="250"/>
        <v>47391</v>
      </c>
      <c r="G128" s="230">
        <f t="shared" si="250"/>
        <v>47756</v>
      </c>
      <c r="H128" s="230">
        <f t="shared" si="250"/>
        <v>48121</v>
      </c>
      <c r="I128" s="230"/>
      <c r="J128" s="3">
        <f>$H$44</f>
        <v>48121</v>
      </c>
    </row>
    <row r="129" spans="2:11" ht="5.0999999999999996" customHeight="1">
      <c r="B129" s="286"/>
    </row>
    <row r="130" spans="2:11">
      <c r="B130" s="180" t="s">
        <v>326</v>
      </c>
      <c r="C130" s="231">
        <v>37688</v>
      </c>
      <c r="D130" s="231">
        <v>40491</v>
      </c>
      <c r="E130" s="231">
        <v>43533</v>
      </c>
      <c r="F130" s="232">
        <f t="shared" ref="F130" si="251">SUM(E130*F131)+E130</f>
        <v>46803.538786396981</v>
      </c>
      <c r="G130" s="232">
        <f t="shared" ref="G130" si="252">SUM(F130*G131)+F130</f>
        <v>50319.78597683979</v>
      </c>
      <c r="H130" s="232">
        <f t="shared" ref="H130" si="253">SUM(G130*H131)+G130</f>
        <v>54100.201104684165</v>
      </c>
      <c r="J130" s="333">
        <f t="shared" ref="J130" si="254">((H130/C130)^(1/COUNT(C130:H130))-1)</f>
        <v>6.2101359427377378E-2</v>
      </c>
      <c r="K130" s="180" t="s">
        <v>517</v>
      </c>
    </row>
    <row r="131" spans="2:11">
      <c r="B131" s="287" t="s">
        <v>45</v>
      </c>
      <c r="C131" s="340">
        <f>(C130/'3 Statement Model'!$H$23)-1</f>
        <v>5.6100431541781015E-2</v>
      </c>
      <c r="D131" s="294">
        <f t="shared" ref="D131" si="255">SUM(D130/C130)-1</f>
        <v>7.4373805985990193E-2</v>
      </c>
      <c r="E131" s="294">
        <f t="shared" ref="E131" si="256">SUM(E130/D130)-1</f>
        <v>7.5127806179150936E-2</v>
      </c>
      <c r="F131" s="294">
        <f>E131</f>
        <v>7.5127806179150936E-2</v>
      </c>
      <c r="G131" s="294">
        <f>F131</f>
        <v>7.5127806179150936E-2</v>
      </c>
      <c r="H131" s="294">
        <f>G131</f>
        <v>7.5127806179150936E-2</v>
      </c>
      <c r="J131" s="331"/>
    </row>
    <row r="132" spans="2:11">
      <c r="B132" s="180" t="s">
        <v>335</v>
      </c>
      <c r="C132" s="231">
        <v>36950</v>
      </c>
      <c r="D132" s="231">
        <v>37849</v>
      </c>
      <c r="E132" s="231">
        <v>39469</v>
      </c>
      <c r="F132" s="232">
        <f t="shared" ref="E132:F140" si="257">SUM(E132*F133)+E132</f>
        <v>41158.338687944197</v>
      </c>
      <c r="G132" s="232">
        <f t="shared" ref="G132:H132" si="258">SUM(F132*G133)+F132</f>
        <v>42919.983874725076</v>
      </c>
      <c r="H132" s="232">
        <f t="shared" si="258"/>
        <v>44757.030398465584</v>
      </c>
      <c r="J132" s="330">
        <f t="shared" ref="J132" si="259">((H132/C132)^(1/COUNT(C132:H132))-1)</f>
        <v>3.2462936280567067E-2</v>
      </c>
      <c r="K132" s="180" t="s">
        <v>517</v>
      </c>
    </row>
    <row r="133" spans="2:11">
      <c r="B133" s="287" t="s">
        <v>45</v>
      </c>
      <c r="C133" s="340">
        <f>(C132/'3 Statement Model'!$H$23)-1</f>
        <v>3.5420052681723879E-2</v>
      </c>
      <c r="D133" s="294">
        <f t="shared" ref="D133" si="260">SUM(D132/C132)-1</f>
        <v>2.4330175913396479E-2</v>
      </c>
      <c r="E133" s="294">
        <f t="shared" ref="E133" si="261">SUM(E132/D132)-1</f>
        <v>4.2801659224814381E-2</v>
      </c>
      <c r="F133" s="294">
        <f>E133</f>
        <v>4.2801659224814381E-2</v>
      </c>
      <c r="G133" s="294">
        <f>F133</f>
        <v>4.2801659224814381E-2</v>
      </c>
      <c r="H133" s="294">
        <f>G133</f>
        <v>4.2801659224814381E-2</v>
      </c>
      <c r="J133" s="331"/>
    </row>
    <row r="134" spans="2:11">
      <c r="B134" s="180" t="s">
        <v>558</v>
      </c>
      <c r="C134" s="231">
        <v>36790</v>
      </c>
      <c r="D134" s="231">
        <v>37414</v>
      </c>
      <c r="E134" s="231">
        <v>35586</v>
      </c>
      <c r="F134" s="232">
        <f t="shared" ref="F134" si="262">SUM(E134*F135)+E134</f>
        <v>33847.313732827286</v>
      </c>
      <c r="G134" s="232">
        <f t="shared" ref="G134" si="263">SUM(F134*G135)+F134</f>
        <v>32193.57744417576</v>
      </c>
      <c r="H134" s="232">
        <f t="shared" ref="H134" si="264">SUM(G134*H135)+G134</f>
        <v>30620.640587171612</v>
      </c>
      <c r="J134" s="330">
        <f t="shared" ref="J134:J136" si="265">((H134/C134)^(1/COUNT(C134:H134))-1)</f>
        <v>-3.012876115989116E-2</v>
      </c>
      <c r="K134" s="180" t="s">
        <v>516</v>
      </c>
    </row>
    <row r="135" spans="2:11">
      <c r="B135" s="287" t="s">
        <v>45</v>
      </c>
      <c r="C135" s="340">
        <f>(C134/'3 Statement Model'!$H$23)-1</f>
        <v>3.0936501709353914E-2</v>
      </c>
      <c r="D135" s="294">
        <f t="shared" ref="D135" si="266">SUM(D134/C134)-1</f>
        <v>1.6961130742049413E-2</v>
      </c>
      <c r="E135" s="294">
        <f t="shared" ref="E135" si="267">SUM(E134/D134)-1</f>
        <v>-4.8858715988667312E-2</v>
      </c>
      <c r="F135" s="294">
        <f>E135</f>
        <v>-4.8858715988667312E-2</v>
      </c>
      <c r="G135" s="294">
        <f>F135</f>
        <v>-4.8858715988667312E-2</v>
      </c>
      <c r="H135" s="294">
        <f>G135</f>
        <v>-4.8858715988667312E-2</v>
      </c>
      <c r="J135" s="331"/>
    </row>
    <row r="136" spans="2:11">
      <c r="B136" s="180" t="s">
        <v>384</v>
      </c>
      <c r="C136" s="231">
        <v>45226</v>
      </c>
      <c r="D136" s="231">
        <v>45931</v>
      </c>
      <c r="E136" s="231">
        <v>48029</v>
      </c>
      <c r="F136" s="232">
        <f t="shared" ref="F136" si="268">SUM(E136*F137)+E136</f>
        <v>50222.830789662752</v>
      </c>
      <c r="G136" s="232">
        <f t="shared" ref="G136:H136" si="269">SUM(F136*G137)+F136</f>
        <v>52516.869652232963</v>
      </c>
      <c r="H136" s="232">
        <f t="shared" si="269"/>
        <v>54915.693813047765</v>
      </c>
      <c r="J136" s="330">
        <f t="shared" si="265"/>
        <v>3.2883602254843325E-2</v>
      </c>
      <c r="K136" s="180" t="s">
        <v>516</v>
      </c>
    </row>
    <row r="137" spans="2:11">
      <c r="B137" s="287" t="s">
        <v>45</v>
      </c>
      <c r="C137" s="340">
        <f>(C136/'3 Statement Model'!$H$23)-1</f>
        <v>0.26733172672756833</v>
      </c>
      <c r="D137" s="294">
        <f t="shared" ref="D137:E137" si="270">SUM(D136/C136)-1</f>
        <v>1.5588378366426348E-2</v>
      </c>
      <c r="E137" s="294">
        <f t="shared" si="270"/>
        <v>4.5677211469377976E-2</v>
      </c>
      <c r="F137" s="294">
        <f t="shared" ref="F137:G141" si="271">E137</f>
        <v>4.5677211469377976E-2</v>
      </c>
      <c r="G137" s="294">
        <f t="shared" si="271"/>
        <v>4.5677211469377976E-2</v>
      </c>
      <c r="H137" s="294">
        <f t="shared" ref="H137" si="272">G137</f>
        <v>4.5677211469377976E-2</v>
      </c>
      <c r="J137" s="331"/>
    </row>
    <row r="138" spans="2:11">
      <c r="B138" s="180" t="s">
        <v>337</v>
      </c>
      <c r="C138" s="231">
        <v>36247</v>
      </c>
      <c r="D138" s="231">
        <v>37445</v>
      </c>
      <c r="E138" s="231">
        <v>39063</v>
      </c>
      <c r="F138" s="232">
        <f t="shared" ref="F138" si="273">SUM(E138*F139)+E138</f>
        <v>40750.913846975564</v>
      </c>
      <c r="G138" s="232">
        <f t="shared" ref="G138:H138" si="274">SUM(F138*G139)+F138</f>
        <v>42511.762521148521</v>
      </c>
      <c r="H138" s="232">
        <f t="shared" si="274"/>
        <v>44348.69753942114</v>
      </c>
      <c r="J138" s="330">
        <f t="shared" ref="J138:J140" si="275">((H138/C138)^(1/COUNT(C138:H138))-1)</f>
        <v>3.4192697784271031E-2</v>
      </c>
      <c r="K138" s="180" t="s">
        <v>516</v>
      </c>
    </row>
    <row r="139" spans="2:11">
      <c r="B139" s="287" t="s">
        <v>45</v>
      </c>
      <c r="C139" s="340">
        <f>(C138/'3 Statement Model'!$H$23)-1</f>
        <v>1.5720450596872659E-2</v>
      </c>
      <c r="D139" s="294">
        <f t="shared" ref="D139:E139" si="276">SUM(D138/C138)-1</f>
        <v>3.3051011118161444E-2</v>
      </c>
      <c r="E139" s="294">
        <f t="shared" si="276"/>
        <v>4.3210041394044607E-2</v>
      </c>
      <c r="F139" s="294">
        <f t="shared" si="271"/>
        <v>4.3210041394044607E-2</v>
      </c>
      <c r="G139" s="294">
        <f>F139</f>
        <v>4.3210041394044607E-2</v>
      </c>
      <c r="H139" s="294">
        <f t="shared" ref="H139" si="277">G139</f>
        <v>4.3210041394044607E-2</v>
      </c>
      <c r="J139" s="331"/>
    </row>
    <row r="140" spans="2:11">
      <c r="B140" s="180" t="s">
        <v>327</v>
      </c>
      <c r="C140" s="231">
        <v>39210</v>
      </c>
      <c r="D140" s="231">
        <v>41501</v>
      </c>
      <c r="E140" s="232">
        <f t="shared" si="257"/>
        <v>43925.860775312423</v>
      </c>
      <c r="F140" s="232">
        <f t="shared" ref="F140" si="278">SUM(E140*F141)+E140</f>
        <v>46492.4036734568</v>
      </c>
      <c r="G140" s="232">
        <f t="shared" ref="G140:H140" si="279">SUM(F140*G141)+F140</f>
        <v>49208.907035249445</v>
      </c>
      <c r="H140" s="232">
        <f t="shared" si="279"/>
        <v>52084.132896452116</v>
      </c>
      <c r="J140" s="330">
        <f t="shared" si="275"/>
        <v>4.8458953248083469E-2</v>
      </c>
      <c r="K140" s="180" t="s">
        <v>516</v>
      </c>
    </row>
    <row r="141" spans="2:11">
      <c r="B141" s="287" t="s">
        <v>45</v>
      </c>
      <c r="C141" s="340">
        <f>(C140/'3 Statement Model'!$H$23)-1</f>
        <v>9.8750210166451913E-2</v>
      </c>
      <c r="D141" s="294">
        <f t="shared" ref="D141" si="280">SUM(D140/C140)-1</f>
        <v>5.8428972200969209E-2</v>
      </c>
      <c r="E141" s="294">
        <f>D141</f>
        <v>5.8428972200969209E-2</v>
      </c>
      <c r="F141" s="294">
        <f t="shared" si="271"/>
        <v>5.8428972200969209E-2</v>
      </c>
      <c r="G141" s="294">
        <f t="shared" si="271"/>
        <v>5.8428972200969209E-2</v>
      </c>
      <c r="H141" s="294">
        <f t="shared" ref="H141" si="281">G141</f>
        <v>5.8428972200969209E-2</v>
      </c>
      <c r="J141" s="332"/>
    </row>
    <row r="142" spans="2:11" ht="5.0999999999999996" customHeight="1"/>
    <row r="143" spans="2:11">
      <c r="B143" s="293" t="s">
        <v>188</v>
      </c>
      <c r="C143" s="336">
        <f>MAX(C130,C132,C136,C138,C140,C134)</f>
        <v>45226</v>
      </c>
      <c r="D143" s="336">
        <f t="shared" ref="D143:H143" si="282">MAX(D$130,D$132,D$136,D$138,D$140,D$134)</f>
        <v>45931</v>
      </c>
      <c r="E143" s="336">
        <f t="shared" si="282"/>
        <v>48029</v>
      </c>
      <c r="F143" s="336">
        <f t="shared" si="282"/>
        <v>50222.830789662752</v>
      </c>
      <c r="G143" s="336">
        <f t="shared" si="282"/>
        <v>52516.869652232963</v>
      </c>
      <c r="H143" s="336">
        <f t="shared" si="282"/>
        <v>54915.693813047765</v>
      </c>
      <c r="I143" s="289"/>
      <c r="J143" s="299">
        <f t="shared" ref="J143:J149" si="283">((H143/C143)^(1/COUNT(C143:H143))-1)</f>
        <v>3.2883602254843325E-2</v>
      </c>
    </row>
    <row r="144" spans="2:11">
      <c r="B144" s="325" t="s">
        <v>45</v>
      </c>
      <c r="C144" s="334">
        <f>(C143/'3 Statement Model'!$H$23)-1</f>
        <v>0.26733172672756833</v>
      </c>
      <c r="D144" s="327">
        <f t="shared" ref="D144" si="284">SUM(D143/C143)-1</f>
        <v>1.5588378366426348E-2</v>
      </c>
      <c r="E144" s="327">
        <f t="shared" ref="E144" si="285">SUM(E143/D143)-1</f>
        <v>4.5677211469377976E-2</v>
      </c>
      <c r="F144" s="327">
        <f t="shared" ref="F144" si="286">SUM(F143/E143)-1</f>
        <v>4.5677211469377976E-2</v>
      </c>
      <c r="G144" s="327">
        <f t="shared" ref="G144:H144" si="287">SUM(G143/F143)-1</f>
        <v>4.5677211469377976E-2</v>
      </c>
      <c r="H144" s="327">
        <f t="shared" si="287"/>
        <v>4.5677211469377976E-2</v>
      </c>
      <c r="I144" s="291"/>
      <c r="J144" s="297"/>
    </row>
    <row r="145" spans="1:11">
      <c r="B145" s="290" t="s">
        <v>374</v>
      </c>
      <c r="C145" s="338">
        <f>MEDIAN(C$130,C$132,C$136,C$138,C$140,C$134)</f>
        <v>37319</v>
      </c>
      <c r="D145" s="338">
        <f t="shared" ref="D145:H145" si="288">MEDIAN(D$130,D$132,D$136,D$138,D$140,D$134)</f>
        <v>39170</v>
      </c>
      <c r="E145" s="338">
        <f t="shared" si="288"/>
        <v>41501</v>
      </c>
      <c r="F145" s="338">
        <f t="shared" si="288"/>
        <v>43825.371180700502</v>
      </c>
      <c r="G145" s="338">
        <f t="shared" si="288"/>
        <v>46064.445454987261</v>
      </c>
      <c r="H145" s="338">
        <f t="shared" si="288"/>
        <v>48420.58164745885</v>
      </c>
      <c r="I145" s="291"/>
      <c r="J145" s="297">
        <f t="shared" si="283"/>
        <v>4.4359449623043723E-2</v>
      </c>
    </row>
    <row r="146" spans="1:11">
      <c r="B146" s="325" t="s">
        <v>45</v>
      </c>
      <c r="C146" s="334">
        <f>(C145/'3 Statement Model'!$H$23)-1</f>
        <v>4.5760242111752447E-2</v>
      </c>
      <c r="D146" s="327">
        <f t="shared" ref="D146" si="289">SUM(D145/C145)-1</f>
        <v>4.9599399769554298E-2</v>
      </c>
      <c r="E146" s="327">
        <f t="shared" ref="E146" si="290">SUM(E145/D145)-1</f>
        <v>5.950982895072765E-2</v>
      </c>
      <c r="F146" s="327">
        <f t="shared" ref="F146" si="291">SUM(F145/E145)-1</f>
        <v>5.6007594532673899E-2</v>
      </c>
      <c r="G146" s="327">
        <f t="shared" ref="G146:H146" si="292">SUM(G145/F145)-1</f>
        <v>5.1090822826225901E-2</v>
      </c>
      <c r="H146" s="327">
        <f t="shared" si="292"/>
        <v>5.1148693296957815E-2</v>
      </c>
      <c r="I146" s="291"/>
      <c r="J146" s="297"/>
    </row>
    <row r="147" spans="1:11">
      <c r="B147" s="290" t="s">
        <v>331</v>
      </c>
      <c r="C147" s="338">
        <f>AVERAGE(C$130,C$132,C$136,C$138,C$140,C$134)</f>
        <v>38685.166666666664</v>
      </c>
      <c r="D147" s="338">
        <f t="shared" ref="D147:H147" si="293">AVERAGE(D$130,D$132,D$136,D$138,D$140,D$134)</f>
        <v>40105.166666666664</v>
      </c>
      <c r="E147" s="338">
        <f t="shared" si="293"/>
        <v>41600.976795885399</v>
      </c>
      <c r="F147" s="338">
        <f t="shared" si="293"/>
        <v>43212.556586210594</v>
      </c>
      <c r="G147" s="338">
        <f t="shared" si="293"/>
        <v>44945.147750728596</v>
      </c>
      <c r="H147" s="338">
        <f t="shared" si="293"/>
        <v>46804.399389873732</v>
      </c>
      <c r="I147" s="291"/>
      <c r="J147" s="297">
        <f t="shared" si="283"/>
        <v>3.2263015303211517E-2</v>
      </c>
    </row>
    <row r="148" spans="1:11">
      <c r="B148" s="325" t="s">
        <v>45</v>
      </c>
      <c r="C148" s="334">
        <f>(C147/'3 Statement Model'!$H$23)-1</f>
        <v>8.4043228903958545E-2</v>
      </c>
      <c r="D148" s="327">
        <f t="shared" ref="D148" si="294">SUM(D147/C147)-1</f>
        <v>3.6706575733162161E-2</v>
      </c>
      <c r="E148" s="327">
        <f t="shared" ref="E148" si="295">SUM(E147/D147)-1</f>
        <v>3.7297192694675241E-2</v>
      </c>
      <c r="F148" s="327">
        <f t="shared" ref="F148" si="296">SUM(F147/E147)-1</f>
        <v>3.8738989188460415E-2</v>
      </c>
      <c r="G148" s="327">
        <f t="shared" ref="G148:H148" si="297">SUM(G147/F147)-1</f>
        <v>4.0094622984442552E-2</v>
      </c>
      <c r="H148" s="327">
        <f t="shared" si="297"/>
        <v>4.1367127091377576E-2</v>
      </c>
      <c r="I148" s="291"/>
      <c r="J148" s="297"/>
    </row>
    <row r="149" spans="1:11">
      <c r="B149" s="324" t="s">
        <v>311</v>
      </c>
      <c r="C149" s="337">
        <f>MIN(C$130,C$132,C$136,C$138,C$140,C$134)</f>
        <v>36247</v>
      </c>
      <c r="D149" s="337">
        <f t="shared" ref="D149:H149" si="298">MIN(D$130,D$132,D$136,D$138,D$140,D$134)</f>
        <v>37414</v>
      </c>
      <c r="E149" s="337">
        <f t="shared" si="298"/>
        <v>35586</v>
      </c>
      <c r="F149" s="337">
        <f t="shared" si="298"/>
        <v>33847.313732827286</v>
      </c>
      <c r="G149" s="337">
        <f t="shared" si="298"/>
        <v>32193.57744417576</v>
      </c>
      <c r="H149" s="337">
        <f t="shared" si="298"/>
        <v>30620.640587171612</v>
      </c>
      <c r="I149" s="291"/>
      <c r="J149" s="297">
        <f t="shared" si="283"/>
        <v>-2.7722205084854679E-2</v>
      </c>
    </row>
    <row r="150" spans="1:11">
      <c r="B150" s="326" t="s">
        <v>45</v>
      </c>
      <c r="C150" s="335">
        <f>(C149/'3 Statement Model'!$H$23)-1</f>
        <v>1.5720450596872659E-2</v>
      </c>
      <c r="D150" s="328">
        <f t="shared" ref="D150" si="299">SUM(D149/C149)-1</f>
        <v>3.219576792562151E-2</v>
      </c>
      <c r="E150" s="328">
        <f t="shared" ref="E150" si="300">SUM(E149/D149)-1</f>
        <v>-4.8858715988667312E-2</v>
      </c>
      <c r="F150" s="328">
        <f t="shared" ref="F150" si="301">SUM(F149/E149)-1</f>
        <v>-4.8858715988667312E-2</v>
      </c>
      <c r="G150" s="328">
        <f t="shared" ref="G150:H150" si="302">SUM(G149/F149)-1</f>
        <v>-4.8858715988667312E-2</v>
      </c>
      <c r="H150" s="328">
        <f t="shared" si="302"/>
        <v>-4.8858715988667312E-2</v>
      </c>
      <c r="I150" s="292"/>
      <c r="J150" s="298"/>
    </row>
    <row r="151" spans="1:11">
      <c r="B151" s="243"/>
      <c r="C151" s="341"/>
      <c r="D151" s="341"/>
      <c r="E151" s="341"/>
      <c r="F151" s="341"/>
      <c r="G151" s="341"/>
      <c r="H151" s="341"/>
      <c r="I151" s="342"/>
      <c r="J151" s="343"/>
    </row>
    <row r="152" spans="1:11">
      <c r="A152" s="353" t="s">
        <v>24</v>
      </c>
      <c r="B152" s="229" t="s">
        <v>227</v>
      </c>
      <c r="C152" s="211" t="s">
        <v>156</v>
      </c>
      <c r="D152" s="211"/>
      <c r="E152" s="211"/>
      <c r="F152" s="211"/>
      <c r="G152" s="211"/>
      <c r="H152" s="211"/>
      <c r="I152" s="230"/>
      <c r="J152" s="2" t="s">
        <v>332</v>
      </c>
    </row>
    <row r="153" spans="1:11">
      <c r="B153" s="282" t="s">
        <v>372</v>
      </c>
      <c r="C153" s="283" t="str">
        <f t="shared" ref="C153:H153" si="303">C$9</f>
        <v>2026E</v>
      </c>
      <c r="D153" s="283" t="str">
        <f t="shared" si="303"/>
        <v>2027E</v>
      </c>
      <c r="E153" s="283" t="str">
        <f t="shared" si="303"/>
        <v>2028E</v>
      </c>
      <c r="F153" s="283" t="str">
        <f t="shared" si="303"/>
        <v>2029E</v>
      </c>
      <c r="G153" s="283" t="str">
        <f t="shared" si="303"/>
        <v>2030E</v>
      </c>
      <c r="H153" s="283" t="str">
        <f t="shared" si="303"/>
        <v>2031E</v>
      </c>
      <c r="I153" s="230"/>
      <c r="J153" s="182" t="str">
        <f>$J$9</f>
        <v>6-Year(F)</v>
      </c>
    </row>
    <row r="154" spans="1:11">
      <c r="B154" s="282" t="s">
        <v>373</v>
      </c>
      <c r="C154" s="230">
        <f t="shared" ref="C154:H154" si="304">C$10</f>
        <v>46295</v>
      </c>
      <c r="D154" s="230">
        <f t="shared" si="304"/>
        <v>46660</v>
      </c>
      <c r="E154" s="230">
        <f t="shared" si="304"/>
        <v>47026</v>
      </c>
      <c r="F154" s="230">
        <f t="shared" si="304"/>
        <v>47391</v>
      </c>
      <c r="G154" s="230">
        <f t="shared" si="304"/>
        <v>47756</v>
      </c>
      <c r="H154" s="230">
        <f t="shared" si="304"/>
        <v>48121</v>
      </c>
      <c r="I154" s="230"/>
      <c r="J154" s="3">
        <f>$H$44</f>
        <v>48121</v>
      </c>
    </row>
    <row r="155" spans="1:11" ht="5.0999999999999996" customHeight="1">
      <c r="B155" s="286"/>
    </row>
    <row r="156" spans="1:11">
      <c r="B156" s="180" t="s">
        <v>326</v>
      </c>
      <c r="C156" s="231">
        <v>122784</v>
      </c>
      <c r="D156" s="231">
        <v>137818</v>
      </c>
      <c r="E156" s="231">
        <v>156043</v>
      </c>
      <c r="F156" s="232">
        <f t="shared" ref="F156" si="305">SUM(E156*F157)+E156</f>
        <v>176678.06708122307</v>
      </c>
      <c r="G156" s="232">
        <f t="shared" ref="G156" si="306">SUM(F156*G157)+F156</f>
        <v>200041.9075995537</v>
      </c>
      <c r="H156" s="232">
        <f t="shared" ref="H156" si="307">SUM(G156*H157)+G156</f>
        <v>226495.3735183877</v>
      </c>
      <c r="J156" s="333">
        <f t="shared" ref="J156" si="308">((H156/C156)^(1/COUNT(C156:H156))-1)</f>
        <v>0.10743843708921053</v>
      </c>
      <c r="K156" s="180" t="s">
        <v>517</v>
      </c>
    </row>
    <row r="157" spans="1:11">
      <c r="B157" s="287" t="s">
        <v>45</v>
      </c>
      <c r="C157" s="340">
        <f>(C156/'3 Statement Model'!$H$22)-1</f>
        <v>0.12482823063815762</v>
      </c>
      <c r="D157" s="294">
        <f t="shared" ref="D157" si="309">SUM(D156/C156)-1</f>
        <v>0.12244266353922328</v>
      </c>
      <c r="E157" s="294">
        <f t="shared" ref="E157" si="310">SUM(E156/D156)-1</f>
        <v>0.13223962036889225</v>
      </c>
      <c r="F157" s="294">
        <f t="shared" ref="F157:G167" si="311">E157</f>
        <v>0.13223962036889225</v>
      </c>
      <c r="G157" s="294">
        <f t="shared" si="311"/>
        <v>0.13223962036889225</v>
      </c>
      <c r="H157" s="294">
        <f t="shared" ref="H157:H161" si="312">G157</f>
        <v>0.13223962036889225</v>
      </c>
      <c r="J157" s="331"/>
    </row>
    <row r="158" spans="1:11">
      <c r="B158" s="180" t="s">
        <v>335</v>
      </c>
      <c r="C158" s="231">
        <v>124379</v>
      </c>
      <c r="D158" s="231">
        <v>141112</v>
      </c>
      <c r="E158" s="231">
        <v>158615</v>
      </c>
      <c r="F158" s="232">
        <f t="shared" ref="F158" si="313">SUM(E158*F159)+E158</f>
        <v>178289.0060731901</v>
      </c>
      <c r="G158" s="232">
        <f t="shared" ref="G158:H158" si="314">SUM(F158*G159)+F158</f>
        <v>200403.30162069172</v>
      </c>
      <c r="H158" s="232">
        <f t="shared" si="314"/>
        <v>225260.57094057216</v>
      </c>
      <c r="J158" s="330">
        <f t="shared" ref="J158" si="315">((H158/C158)^(1/COUNT(C158:H158))-1)</f>
        <v>0.10405240118788806</v>
      </c>
      <c r="K158" s="180" t="s">
        <v>517</v>
      </c>
    </row>
    <row r="159" spans="1:11">
      <c r="B159" s="287" t="s">
        <v>45</v>
      </c>
      <c r="C159" s="340">
        <f>(C158/'3 Statement Model'!$H$22)-1</f>
        <v>0.13944007768555666</v>
      </c>
      <c r="D159" s="294">
        <f t="shared" ref="D159" si="316">SUM(D158/C158)-1</f>
        <v>0.13453235674832564</v>
      </c>
      <c r="E159" s="294">
        <f t="shared" ref="E159" si="317">SUM(E158/D158)-1</f>
        <v>0.12403622654345492</v>
      </c>
      <c r="F159" s="294">
        <f t="shared" si="311"/>
        <v>0.12403622654345492</v>
      </c>
      <c r="G159" s="294">
        <f t="shared" si="311"/>
        <v>0.12403622654345492</v>
      </c>
      <c r="H159" s="294">
        <f t="shared" si="312"/>
        <v>0.12403622654345492</v>
      </c>
      <c r="J159" s="331"/>
    </row>
    <row r="160" spans="1:11">
      <c r="B160" s="180" t="s">
        <v>558</v>
      </c>
      <c r="C160" s="231">
        <v>122394</v>
      </c>
      <c r="D160" s="231">
        <v>134072</v>
      </c>
      <c r="E160" s="231">
        <v>146920</v>
      </c>
      <c r="F160" s="232">
        <f t="shared" ref="F160" si="318">SUM(E160*F161)+E160</f>
        <v>160999.2123635062</v>
      </c>
      <c r="G160" s="232">
        <f t="shared" ref="G160" si="319">SUM(F160*G161)+F160</f>
        <v>176427.62307153121</v>
      </c>
      <c r="H160" s="232">
        <f t="shared" ref="H160" si="320">SUM(G160*H161)+G160</f>
        <v>193334.52459625699</v>
      </c>
      <c r="J160" s="330">
        <f t="shared" ref="J160:J162" si="321">((H160/C160)^(1/COUNT(C160:H160))-1)</f>
        <v>7.9174184373610679E-2</v>
      </c>
      <c r="K160" s="180" t="s">
        <v>516</v>
      </c>
    </row>
    <row r="161" spans="2:11">
      <c r="B161" s="287" t="s">
        <v>45</v>
      </c>
      <c r="C161" s="340">
        <f>(C160/'3 Statement Model'!$H$22)-1</f>
        <v>0.1212554279118343</v>
      </c>
      <c r="D161" s="294">
        <f t="shared" ref="D161:E161" si="322">SUM(D160/C160)-1</f>
        <v>9.5413173848391208E-2</v>
      </c>
      <c r="E161" s="294">
        <f t="shared" si="322"/>
        <v>9.582910674861278E-2</v>
      </c>
      <c r="F161" s="294">
        <f t="shared" ref="F161:G161" si="323">E161</f>
        <v>9.582910674861278E-2</v>
      </c>
      <c r="G161" s="294">
        <f t="shared" si="323"/>
        <v>9.582910674861278E-2</v>
      </c>
      <c r="H161" s="294">
        <f t="shared" si="312"/>
        <v>9.582910674861278E-2</v>
      </c>
      <c r="J161" s="331"/>
    </row>
    <row r="162" spans="2:11">
      <c r="B162" s="180" t="s">
        <v>384</v>
      </c>
      <c r="C162" s="231">
        <v>124465</v>
      </c>
      <c r="D162" s="231">
        <v>136912</v>
      </c>
      <c r="E162" s="231">
        <v>149234</v>
      </c>
      <c r="F162" s="232">
        <f t="shared" ref="F162" si="324">SUM(E162*F163)+E162</f>
        <v>162664.97280004676</v>
      </c>
      <c r="G162" s="232">
        <f t="shared" ref="G162:H162" si="325">SUM(F162*G163)+F162</f>
        <v>177304.72530415287</v>
      </c>
      <c r="H162" s="232">
        <f t="shared" si="325"/>
        <v>193262.04697937326</v>
      </c>
      <c r="J162" s="330">
        <f t="shared" si="321"/>
        <v>7.6093203934845643E-2</v>
      </c>
      <c r="K162" s="180" t="s">
        <v>516</v>
      </c>
    </row>
    <row r="163" spans="2:11">
      <c r="B163" s="287" t="s">
        <v>45</v>
      </c>
      <c r="C163" s="340">
        <f>(C162/'3 Statement Model'!$H$22)-1</f>
        <v>0.14022792649187421</v>
      </c>
      <c r="D163" s="294">
        <f t="shared" ref="D163:E163" si="326">SUM(D162/C162)-1</f>
        <v>0.10000401719358853</v>
      </c>
      <c r="E163" s="294">
        <f t="shared" si="326"/>
        <v>8.9999415683066575E-2</v>
      </c>
      <c r="F163" s="294">
        <f t="shared" si="311"/>
        <v>8.9999415683066575E-2</v>
      </c>
      <c r="G163" s="294">
        <f t="shared" si="311"/>
        <v>8.9999415683066575E-2</v>
      </c>
      <c r="H163" s="294">
        <f t="shared" ref="H163" si="327">G163</f>
        <v>8.9999415683066575E-2</v>
      </c>
      <c r="J163" s="331"/>
    </row>
    <row r="164" spans="2:11">
      <c r="B164" s="180" t="s">
        <v>337</v>
      </c>
      <c r="C164" s="231">
        <v>123717</v>
      </c>
      <c r="D164" s="231">
        <v>137813</v>
      </c>
      <c r="E164" s="231">
        <v>151542</v>
      </c>
      <c r="F164" s="232">
        <f t="shared" ref="F164" si="328">SUM(E164*F165)+E164</f>
        <v>166638.68984783729</v>
      </c>
      <c r="G164" s="232">
        <f t="shared" ref="G164:H164" si="329">SUM(F164*G165)+F164</f>
        <v>183239.31949033079</v>
      </c>
      <c r="H164" s="232">
        <f t="shared" si="329"/>
        <v>201493.71216215965</v>
      </c>
      <c r="J164" s="330">
        <f t="shared" ref="J164:J166" si="330">((H164/C164)^(1/COUNT(C164:H164))-1)</f>
        <v>8.4689292282197348E-2</v>
      </c>
      <c r="K164" s="180" t="s">
        <v>516</v>
      </c>
    </row>
    <row r="165" spans="2:11">
      <c r="B165" s="287" t="s">
        <v>45</v>
      </c>
      <c r="C165" s="340">
        <f>(C164/'3 Statement Model'!$H$22)-1</f>
        <v>0.13337547408343875</v>
      </c>
      <c r="D165" s="294">
        <f t="shared" ref="D165:E165" si="331">SUM(D164/C164)-1</f>
        <v>0.11393745402814481</v>
      </c>
      <c r="E165" s="294">
        <f t="shared" si="331"/>
        <v>9.9620500243082999E-2</v>
      </c>
      <c r="F165" s="294">
        <f t="shared" si="311"/>
        <v>9.9620500243082999E-2</v>
      </c>
      <c r="G165" s="294">
        <f t="shared" si="311"/>
        <v>9.9620500243082999E-2</v>
      </c>
      <c r="H165" s="294">
        <f t="shared" ref="H165" si="332">G165</f>
        <v>9.9620500243082999E-2</v>
      </c>
      <c r="J165" s="331"/>
    </row>
    <row r="166" spans="2:11">
      <c r="B166" s="180" t="s">
        <v>327</v>
      </c>
      <c r="C166" s="231">
        <v>123008</v>
      </c>
      <c r="D166" s="231">
        <v>136682</v>
      </c>
      <c r="E166" s="232">
        <f t="shared" ref="E166" si="333">SUM(D166*E167)+D166</f>
        <v>151876.04972034338</v>
      </c>
      <c r="F166" s="232">
        <f t="shared" ref="F166" si="334">SUM(E166*F167)+E166</f>
        <v>168759.12321049016</v>
      </c>
      <c r="G166" s="232">
        <f t="shared" ref="G166:H166" si="335">SUM(F166*G167)+F166</f>
        <v>187518.97826691123</v>
      </c>
      <c r="H166" s="232">
        <f t="shared" si="335"/>
        <v>208364.24450017852</v>
      </c>
      <c r="J166" s="330">
        <f t="shared" si="330"/>
        <v>9.181311397278602E-2</v>
      </c>
      <c r="K166" s="180" t="s">
        <v>516</v>
      </c>
    </row>
    <row r="167" spans="2:11">
      <c r="B167" s="287" t="s">
        <v>45</v>
      </c>
      <c r="C167" s="340">
        <f>(C166/'3 Statement Model'!$H$22)-1</f>
        <v>0.12688030194763544</v>
      </c>
      <c r="D167" s="294">
        <f t="shared" ref="D167" si="336">SUM(D166/C166)-1</f>
        <v>0.11116350156087407</v>
      </c>
      <c r="E167" s="294">
        <f>D167</f>
        <v>0.11116350156087407</v>
      </c>
      <c r="F167" s="294">
        <f t="shared" si="311"/>
        <v>0.11116350156087407</v>
      </c>
      <c r="G167" s="294">
        <f t="shared" si="311"/>
        <v>0.11116350156087407</v>
      </c>
      <c r="H167" s="294">
        <f t="shared" ref="H167" si="337">G167</f>
        <v>0.11116350156087407</v>
      </c>
      <c r="J167" s="332"/>
    </row>
    <row r="168" spans="2:11" ht="5.0999999999999996" customHeight="1"/>
    <row r="169" spans="2:11">
      <c r="B169" s="293" t="s">
        <v>188</v>
      </c>
      <c r="C169" s="336">
        <f>MAX(C$156,C$158,C$162,C$164,C$166,C$160)</f>
        <v>124465</v>
      </c>
      <c r="D169" s="336">
        <f t="shared" ref="D169:H169" si="338">MAX(D$156,D$158,D$162,D$164,D$166,D$160)</f>
        <v>141112</v>
      </c>
      <c r="E169" s="336">
        <f t="shared" si="338"/>
        <v>158615</v>
      </c>
      <c r="F169" s="336">
        <f t="shared" si="338"/>
        <v>178289.0060731901</v>
      </c>
      <c r="G169" s="336">
        <f t="shared" si="338"/>
        <v>200403.30162069172</v>
      </c>
      <c r="H169" s="336">
        <f t="shared" si="338"/>
        <v>226495.3735183877</v>
      </c>
      <c r="I169" s="289"/>
      <c r="J169" s="299">
        <f t="shared" ref="J169:J175" si="339">((H169/C169)^(1/COUNT(C169:H169))-1)</f>
        <v>0.10493148421336351</v>
      </c>
    </row>
    <row r="170" spans="2:11">
      <c r="B170" s="325" t="s">
        <v>45</v>
      </c>
      <c r="C170" s="334">
        <f>(C169/'3 Statement Model'!$H$22)-1</f>
        <v>0.14022792649187421</v>
      </c>
      <c r="D170" s="327">
        <f t="shared" ref="D170" si="340">SUM(D169/C169)-1</f>
        <v>0.13374844333748448</v>
      </c>
      <c r="E170" s="327">
        <f t="shared" ref="E170" si="341">SUM(E169/D169)-1</f>
        <v>0.12403622654345492</v>
      </c>
      <c r="F170" s="327">
        <f t="shared" ref="F170" si="342">SUM(F169/E169)-1</f>
        <v>0.12403622654345492</v>
      </c>
      <c r="G170" s="327">
        <f t="shared" ref="G170:H170" si="343">SUM(G169/F169)-1</f>
        <v>0.12403622654345492</v>
      </c>
      <c r="H170" s="327">
        <f t="shared" si="343"/>
        <v>0.13019781454040658</v>
      </c>
      <c r="I170" s="291"/>
      <c r="J170" s="297"/>
    </row>
    <row r="171" spans="2:11">
      <c r="B171" s="290" t="s">
        <v>374</v>
      </c>
      <c r="C171" s="338">
        <f>MEDIAN(C$156,C$158,C$162,C$164,C$166,C$160)</f>
        <v>123362.5</v>
      </c>
      <c r="D171" s="338">
        <f t="shared" ref="D171:H171" si="344">MEDIAN(D$156,D$158,D$162,D$164,D$166,D$160)</f>
        <v>137362.5</v>
      </c>
      <c r="E171" s="338">
        <f t="shared" si="344"/>
        <v>151709.02486017169</v>
      </c>
      <c r="F171" s="338">
        <f t="shared" si="344"/>
        <v>167698.90652916371</v>
      </c>
      <c r="G171" s="338">
        <f t="shared" si="344"/>
        <v>185379.148878621</v>
      </c>
      <c r="H171" s="338">
        <f t="shared" si="344"/>
        <v>204928.97833116908</v>
      </c>
      <c r="I171" s="291"/>
      <c r="J171" s="297">
        <f t="shared" si="339"/>
        <v>8.8270112450954619E-2</v>
      </c>
    </row>
    <row r="172" spans="2:11">
      <c r="B172" s="325" t="s">
        <v>45</v>
      </c>
      <c r="C172" s="334">
        <f>(C171/'3 Statement Model'!$H$22)-1</f>
        <v>0.13012788801553721</v>
      </c>
      <c r="D172" s="327">
        <f t="shared" ref="D172" si="345">SUM(D171/C171)-1</f>
        <v>0.11348667544837365</v>
      </c>
      <c r="E172" s="327">
        <f t="shared" ref="E172" si="346">SUM(E171/D171)-1</f>
        <v>0.1044428054248554</v>
      </c>
      <c r="F172" s="327">
        <f t="shared" ref="F172" si="347">SUM(F171/E171)-1</f>
        <v>0.10539835506641548</v>
      </c>
      <c r="G172" s="327">
        <f t="shared" ref="G172:H172" si="348">SUM(G171/F171)-1</f>
        <v>0.1054284891618098</v>
      </c>
      <c r="H172" s="327">
        <f t="shared" si="348"/>
        <v>0.10545862126785654</v>
      </c>
      <c r="I172" s="291"/>
      <c r="J172" s="297"/>
    </row>
    <row r="173" spans="2:11">
      <c r="B173" s="290" t="s">
        <v>331</v>
      </c>
      <c r="C173" s="338">
        <f>AVERAGE(C$156,C$158,C$162,C$164,C$166,C$160)</f>
        <v>123457.83333333333</v>
      </c>
      <c r="D173" s="338">
        <f t="shared" ref="D173:H173" si="349">AVERAGE(D$156,D$158,D$162,D$164,D$166,D$160)</f>
        <v>137401.5</v>
      </c>
      <c r="E173" s="338">
        <f t="shared" si="349"/>
        <v>152371.67495339058</v>
      </c>
      <c r="F173" s="338">
        <f t="shared" si="349"/>
        <v>169004.84522938228</v>
      </c>
      <c r="G173" s="338">
        <f t="shared" si="349"/>
        <v>187489.30922552859</v>
      </c>
      <c r="H173" s="338">
        <f t="shared" si="349"/>
        <v>208035.07878282139</v>
      </c>
      <c r="I173" s="291"/>
      <c r="J173" s="297">
        <f t="shared" si="339"/>
        <v>9.0861598173892943E-2</v>
      </c>
    </row>
    <row r="174" spans="2:11">
      <c r="B174" s="325" t="s">
        <v>45</v>
      </c>
      <c r="C174" s="334">
        <f>(C173/'3 Statement Model'!$H$22)-1</f>
        <v>0.13100123979308287</v>
      </c>
      <c r="D174" s="327">
        <f t="shared" ref="D174" si="350">SUM(D173/C173)-1</f>
        <v>0.11294274563379947</v>
      </c>
      <c r="E174" s="327">
        <f t="shared" ref="E174" si="351">SUM(E173/D173)-1</f>
        <v>0.10895204894699528</v>
      </c>
      <c r="F174" s="327">
        <f t="shared" ref="F174" si="352">SUM(F173/E173)-1</f>
        <v>0.10916182604857272</v>
      </c>
      <c r="G174" s="327">
        <f t="shared" ref="G174:H174" si="353">SUM(G173/F173)-1</f>
        <v>0.10937239089836881</v>
      </c>
      <c r="H174" s="327">
        <f t="shared" si="353"/>
        <v>0.1095836858227397</v>
      </c>
      <c r="I174" s="291"/>
      <c r="J174" s="297"/>
    </row>
    <row r="175" spans="2:11">
      <c r="B175" s="324" t="s">
        <v>311</v>
      </c>
      <c r="C175" s="337">
        <f>MIN(C$156,C$158,C$162,C$164,C$166,C$160)</f>
        <v>122394</v>
      </c>
      <c r="D175" s="337">
        <f t="shared" ref="D175:H175" si="354">MIN(D$156,D$158,D$162,D$164,D$166,D$160)</f>
        <v>134072</v>
      </c>
      <c r="E175" s="337">
        <f t="shared" si="354"/>
        <v>146920</v>
      </c>
      <c r="F175" s="337">
        <f t="shared" si="354"/>
        <v>160999.2123635062</v>
      </c>
      <c r="G175" s="337">
        <f t="shared" si="354"/>
        <v>176427.62307153121</v>
      </c>
      <c r="H175" s="337">
        <f t="shared" si="354"/>
        <v>193262.04697937326</v>
      </c>
      <c r="I175" s="291"/>
      <c r="J175" s="297">
        <f t="shared" si="339"/>
        <v>7.9106746691483876E-2</v>
      </c>
    </row>
    <row r="176" spans="2:11">
      <c r="B176" s="326" t="s">
        <v>45</v>
      </c>
      <c r="C176" s="335">
        <f>(C175/'3 Statement Model'!$H$22)-1</f>
        <v>0.1212554279118343</v>
      </c>
      <c r="D176" s="328">
        <f t="shared" ref="D176" si="355">SUM(D175/C175)-1</f>
        <v>9.5413173848391208E-2</v>
      </c>
      <c r="E176" s="328">
        <f t="shared" ref="E176" si="356">SUM(E175/D175)-1</f>
        <v>9.582910674861278E-2</v>
      </c>
      <c r="F176" s="328">
        <f t="shared" ref="F176" si="357">SUM(F175/E175)-1</f>
        <v>9.582910674861278E-2</v>
      </c>
      <c r="G176" s="328">
        <f t="shared" ref="G176:H176" si="358">SUM(G175/F175)-1</f>
        <v>9.582910674861278E-2</v>
      </c>
      <c r="H176" s="328">
        <f t="shared" si="358"/>
        <v>9.5418300234179743E-2</v>
      </c>
      <c r="I176" s="292"/>
      <c r="J176" s="298"/>
    </row>
    <row r="177" spans="1:11">
      <c r="B177" s="8"/>
      <c r="C177" s="232"/>
      <c r="D177" s="232"/>
      <c r="E177" s="232"/>
      <c r="F177" s="232"/>
      <c r="G177" s="232"/>
      <c r="H177" s="232"/>
      <c r="I177" s="342"/>
      <c r="J177" s="343"/>
    </row>
    <row r="178" spans="1:11">
      <c r="A178" s="353" t="s">
        <v>24</v>
      </c>
      <c r="B178" s="229" t="s">
        <v>339</v>
      </c>
      <c r="C178" s="229"/>
      <c r="D178" s="229"/>
      <c r="E178" s="229"/>
      <c r="F178" s="229"/>
      <c r="G178" s="229"/>
      <c r="H178" s="229"/>
      <c r="I178" s="229"/>
      <c r="J178" s="229"/>
    </row>
    <row r="179" spans="1:11" ht="5.0999999999999996" customHeight="1"/>
    <row r="180" spans="1:11">
      <c r="A180" s="353" t="s">
        <v>24</v>
      </c>
      <c r="B180" s="229" t="s">
        <v>30</v>
      </c>
      <c r="C180" s="211" t="s">
        <v>156</v>
      </c>
      <c r="D180" s="211"/>
      <c r="E180" s="211"/>
      <c r="F180" s="211"/>
      <c r="G180" s="211"/>
      <c r="H180" s="211"/>
      <c r="I180" s="230"/>
      <c r="J180" s="2" t="s">
        <v>332</v>
      </c>
    </row>
    <row r="181" spans="1:11">
      <c r="B181" s="282" t="s">
        <v>372</v>
      </c>
      <c r="C181" s="283" t="str">
        <f t="shared" ref="C181:H181" si="359">C$9</f>
        <v>2026E</v>
      </c>
      <c r="D181" s="283" t="str">
        <f t="shared" si="359"/>
        <v>2027E</v>
      </c>
      <c r="E181" s="283" t="str">
        <f t="shared" si="359"/>
        <v>2028E</v>
      </c>
      <c r="F181" s="283" t="str">
        <f t="shared" si="359"/>
        <v>2029E</v>
      </c>
      <c r="G181" s="283" t="str">
        <f t="shared" si="359"/>
        <v>2030E</v>
      </c>
      <c r="H181" s="283" t="str">
        <f t="shared" si="359"/>
        <v>2031E</v>
      </c>
      <c r="I181" s="230"/>
      <c r="J181" s="182" t="str">
        <f>$J$9</f>
        <v>6-Year(F)</v>
      </c>
    </row>
    <row r="182" spans="1:11">
      <c r="B182" s="282" t="s">
        <v>373</v>
      </c>
      <c r="C182" s="230">
        <f t="shared" ref="C182:H182" si="360">C$10</f>
        <v>46295</v>
      </c>
      <c r="D182" s="230">
        <f t="shared" si="360"/>
        <v>46660</v>
      </c>
      <c r="E182" s="230">
        <f t="shared" si="360"/>
        <v>47026</v>
      </c>
      <c r="F182" s="230">
        <f t="shared" si="360"/>
        <v>47391</v>
      </c>
      <c r="G182" s="230">
        <f t="shared" si="360"/>
        <v>47756</v>
      </c>
      <c r="H182" s="230">
        <f t="shared" si="360"/>
        <v>48121</v>
      </c>
      <c r="I182" s="230"/>
      <c r="J182" s="3">
        <f>$H$44</f>
        <v>48121</v>
      </c>
    </row>
    <row r="183" spans="1:11" ht="5.0999999999999996" customHeight="1">
      <c r="B183" s="286"/>
    </row>
    <row r="184" spans="1:11">
      <c r="B184" s="180" t="s">
        <v>326</v>
      </c>
      <c r="C184" s="231">
        <v>220774</v>
      </c>
      <c r="D184" s="231">
        <v>251574</v>
      </c>
      <c r="E184" s="231">
        <v>273658</v>
      </c>
      <c r="F184" s="232">
        <f t="shared" ref="F184:G184" si="361">E184</f>
        <v>273658</v>
      </c>
      <c r="G184" s="232">
        <f t="shared" si="361"/>
        <v>273658</v>
      </c>
      <c r="H184" s="232">
        <f>G184</f>
        <v>273658</v>
      </c>
      <c r="J184" s="333">
        <f t="shared" ref="J184:J201" si="362">((H184/C184)^(1/COUNT(C184:H184))-1)</f>
        <v>3.6438102133536265E-2</v>
      </c>
      <c r="K184" s="180" t="s">
        <v>516</v>
      </c>
    </row>
    <row r="185" spans="1:11">
      <c r="B185" s="287" t="s">
        <v>328</v>
      </c>
      <c r="C185" s="344">
        <f t="shared" ref="C185:H185" si="363">C184/C12</f>
        <v>0.4798996613352694</v>
      </c>
      <c r="D185" s="344">
        <f t="shared" si="363"/>
        <v>0.47983017291692892</v>
      </c>
      <c r="E185" s="344">
        <f t="shared" si="363"/>
        <v>0.49158147547373848</v>
      </c>
      <c r="F185" s="344">
        <f t="shared" si="363"/>
        <v>0.46193605363171009</v>
      </c>
      <c r="G185" s="344">
        <f t="shared" si="363"/>
        <v>0.43309105561402134</v>
      </c>
      <c r="H185" s="344">
        <f t="shared" si="363"/>
        <v>0.4051181084296932</v>
      </c>
      <c r="J185" s="331"/>
    </row>
    <row r="186" spans="1:11">
      <c r="B186" s="180" t="s">
        <v>335</v>
      </c>
      <c r="C186" s="232">
        <f t="shared" ref="C186:H186" si="364">C187*C14</f>
        <v>217158.06599999999</v>
      </c>
      <c r="D186" s="232">
        <f t="shared" si="364"/>
        <v>242141.90700000001</v>
      </c>
      <c r="E186" s="232">
        <f t="shared" si="364"/>
        <v>254709.84</v>
      </c>
      <c r="F186" s="232">
        <f t="shared" si="364"/>
        <v>264964.64252333995</v>
      </c>
      <c r="G186" s="232">
        <f t="shared" si="364"/>
        <v>276551.95462960558</v>
      </c>
      <c r="H186" s="232">
        <f t="shared" si="364"/>
        <v>289624.70647173002</v>
      </c>
      <c r="J186" s="330">
        <f t="shared" si="362"/>
        <v>4.9163742388604659E-2</v>
      </c>
      <c r="K186" s="180" t="s">
        <v>517</v>
      </c>
    </row>
    <row r="187" spans="1:11">
      <c r="B187" s="287" t="s">
        <v>328</v>
      </c>
      <c r="C187" s="346">
        <v>0.47699999999999998</v>
      </c>
      <c r="D187" s="346">
        <v>0.48299999999999998</v>
      </c>
      <c r="E187" s="346">
        <v>0.49</v>
      </c>
      <c r="F187" s="344">
        <f>E187</f>
        <v>0.49</v>
      </c>
      <c r="G187" s="344">
        <f>F187</f>
        <v>0.49</v>
      </c>
      <c r="H187" s="344">
        <f>G187</f>
        <v>0.49</v>
      </c>
      <c r="J187" s="331"/>
    </row>
    <row r="188" spans="1:11">
      <c r="B188" s="180" t="s">
        <v>384</v>
      </c>
      <c r="C188" s="232">
        <f t="shared" ref="C188:H188" si="365">C189*C16</f>
        <v>214731.726</v>
      </c>
      <c r="D188" s="232">
        <f t="shared" si="365"/>
        <v>228113.92199999999</v>
      </c>
      <c r="E188" s="232">
        <f t="shared" si="365"/>
        <v>241623.40699999998</v>
      </c>
      <c r="F188" s="232">
        <f t="shared" si="365"/>
        <v>253478.1940988081</v>
      </c>
      <c r="G188" s="232">
        <f t="shared" si="365"/>
        <v>266144.35025046923</v>
      </c>
      <c r="H188" s="232">
        <f t="shared" si="365"/>
        <v>279686.73800089251</v>
      </c>
      <c r="J188" s="330">
        <f t="shared" si="362"/>
        <v>4.5031247456431611E-2</v>
      </c>
      <c r="K188" s="180" t="s">
        <v>516</v>
      </c>
    </row>
    <row r="189" spans="1:11">
      <c r="B189" s="287" t="s">
        <v>328</v>
      </c>
      <c r="C189" s="346">
        <v>0.47099999999999997</v>
      </c>
      <c r="D189" s="346">
        <v>0.47399999999999998</v>
      </c>
      <c r="E189" s="346">
        <v>0.47899999999999998</v>
      </c>
      <c r="F189" s="344">
        <f>E189</f>
        <v>0.47899999999999998</v>
      </c>
      <c r="G189" s="344">
        <f>F189</f>
        <v>0.47899999999999998</v>
      </c>
      <c r="H189" s="344">
        <f>G189</f>
        <v>0.47899999999999998</v>
      </c>
      <c r="J189" s="331"/>
    </row>
    <row r="190" spans="1:11">
      <c r="B190" s="180" t="s">
        <v>385</v>
      </c>
      <c r="C190" s="231">
        <v>213299</v>
      </c>
      <c r="D190" s="231">
        <v>223155</v>
      </c>
      <c r="E190" s="231">
        <v>231577</v>
      </c>
      <c r="F190" s="231">
        <v>240156</v>
      </c>
      <c r="G190" s="231">
        <v>245854</v>
      </c>
      <c r="H190" s="232">
        <f>G190</f>
        <v>245854</v>
      </c>
      <c r="J190" s="330">
        <f t="shared" si="362"/>
        <v>2.3956270479787989E-2</v>
      </c>
      <c r="K190" s="180" t="s">
        <v>517</v>
      </c>
    </row>
    <row r="191" spans="1:11">
      <c r="B191" s="287" t="s">
        <v>328</v>
      </c>
      <c r="C191" s="344">
        <f t="shared" ref="C191:H191" si="366">C190/C18</f>
        <v>0.47896948099045872</v>
      </c>
      <c r="D191" s="344">
        <f t="shared" si="366"/>
        <v>0.48102147142065749</v>
      </c>
      <c r="E191" s="344">
        <f t="shared" si="366"/>
        <v>0.48243298702759685</v>
      </c>
      <c r="F191" s="344">
        <f t="shared" si="366"/>
        <v>0.48383041477625294</v>
      </c>
      <c r="G191" s="344">
        <f t="shared" si="366"/>
        <v>0.48422002158619115</v>
      </c>
      <c r="H191" s="344">
        <f t="shared" si="366"/>
        <v>0.47337844925001415</v>
      </c>
      <c r="J191" s="331"/>
    </row>
    <row r="192" spans="1:11">
      <c r="B192" s="180" t="s">
        <v>391</v>
      </c>
      <c r="C192" s="231">
        <v>214057</v>
      </c>
      <c r="D192" s="231">
        <v>225695</v>
      </c>
      <c r="E192" s="231">
        <v>235643</v>
      </c>
      <c r="F192" s="232">
        <f t="shared" ref="F192" si="367">E192</f>
        <v>235643</v>
      </c>
      <c r="G192" s="232">
        <f>F192</f>
        <v>235643</v>
      </c>
      <c r="H192" s="232">
        <f>G192</f>
        <v>235643</v>
      </c>
      <c r="J192" s="330">
        <f t="shared" si="362"/>
        <v>1.6141490937207958E-2</v>
      </c>
      <c r="K192" s="180" t="s">
        <v>516</v>
      </c>
    </row>
    <row r="193" spans="2:11">
      <c r="B193" s="287" t="s">
        <v>328</v>
      </c>
      <c r="C193" s="344">
        <f t="shared" ref="C193:H193" si="368">C192/C20</f>
        <v>0.47488757701002543</v>
      </c>
      <c r="D193" s="344">
        <f t="shared" si="368"/>
        <v>0.48980544071530108</v>
      </c>
      <c r="E193" s="344">
        <f t="shared" si="368"/>
        <v>0.49650759269365213</v>
      </c>
      <c r="F193" s="344">
        <f t="shared" si="368"/>
        <v>0.48205387493777824</v>
      </c>
      <c r="G193" s="344">
        <f t="shared" si="368"/>
        <v>0.4680209160183062</v>
      </c>
      <c r="H193" s="344">
        <f t="shared" si="368"/>
        <v>0.45439646732201411</v>
      </c>
      <c r="J193" s="331"/>
    </row>
    <row r="194" spans="2:11">
      <c r="B194" s="180" t="s">
        <v>336</v>
      </c>
      <c r="C194" s="231">
        <v>210266</v>
      </c>
      <c r="D194" s="231">
        <v>228345</v>
      </c>
      <c r="E194" s="231">
        <v>250369</v>
      </c>
      <c r="F194" s="231">
        <v>270394</v>
      </c>
      <c r="G194" s="231">
        <v>289010</v>
      </c>
      <c r="H194" s="231">
        <v>307261</v>
      </c>
      <c r="J194" s="330">
        <f t="shared" si="362"/>
        <v>6.5261908326559981E-2</v>
      </c>
      <c r="K194" s="180" t="s">
        <v>516</v>
      </c>
    </row>
    <row r="195" spans="2:11">
      <c r="B195" s="287" t="s">
        <v>328</v>
      </c>
      <c r="C195" s="344">
        <f t="shared" ref="C195:H195" si="369">C194/C26</f>
        <v>0.46916048418586492</v>
      </c>
      <c r="D195" s="344">
        <f t="shared" si="369"/>
        <v>0.47746248277563685</v>
      </c>
      <c r="E195" s="344">
        <f t="shared" si="369"/>
        <v>0.48015472715626523</v>
      </c>
      <c r="F195" s="344">
        <f t="shared" si="369"/>
        <v>0.48895310358296296</v>
      </c>
      <c r="G195" s="344">
        <f t="shared" si="369"/>
        <v>0.50090384885359385</v>
      </c>
      <c r="H195" s="344">
        <f t="shared" si="369"/>
        <v>0.50800712920527213</v>
      </c>
      <c r="J195" s="331"/>
    </row>
    <row r="196" spans="2:11">
      <c r="B196" s="180" t="s">
        <v>337</v>
      </c>
      <c r="C196" s="232">
        <f t="shared" ref="C196:H196" si="370">C197*C28</f>
        <v>219272.60699999999</v>
      </c>
      <c r="D196" s="232">
        <f t="shared" si="370"/>
        <v>245635.42799999999</v>
      </c>
      <c r="E196" s="232">
        <f t="shared" si="370"/>
        <v>263048.848</v>
      </c>
      <c r="F196" s="232">
        <f t="shared" si="370"/>
        <v>277932.5520807117</v>
      </c>
      <c r="G196" s="232">
        <f t="shared" si="370"/>
        <v>293860.76670514501</v>
      </c>
      <c r="H196" s="232">
        <f t="shared" si="370"/>
        <v>310920.14296027628</v>
      </c>
      <c r="J196" s="330">
        <f t="shared" si="362"/>
        <v>5.9930557942565299E-2</v>
      </c>
      <c r="K196" s="180" t="s">
        <v>516</v>
      </c>
    </row>
    <row r="197" spans="2:11">
      <c r="B197" s="287" t="s">
        <v>328</v>
      </c>
      <c r="C197" s="346">
        <v>0.47699999999999998</v>
      </c>
      <c r="D197" s="346">
        <v>0.49199999999999999</v>
      </c>
      <c r="E197" s="346">
        <v>0.499</v>
      </c>
      <c r="F197" s="344">
        <f t="shared" ref="F197:G197" si="371">E197</f>
        <v>0.499</v>
      </c>
      <c r="G197" s="344">
        <f t="shared" si="371"/>
        <v>0.499</v>
      </c>
      <c r="H197" s="344">
        <f t="shared" ref="H197" si="372">G197</f>
        <v>0.499</v>
      </c>
      <c r="J197" s="331"/>
    </row>
    <row r="198" spans="2:11">
      <c r="B198" s="180" t="s">
        <v>327</v>
      </c>
      <c r="C198" s="231">
        <v>214986</v>
      </c>
      <c r="D198" s="231">
        <v>226920</v>
      </c>
      <c r="E198" s="232">
        <f>D198</f>
        <v>226920</v>
      </c>
      <c r="F198" s="232">
        <f t="shared" ref="F198:G198" si="373">E198</f>
        <v>226920</v>
      </c>
      <c r="G198" s="232">
        <f t="shared" si="373"/>
        <v>226920</v>
      </c>
      <c r="H198" s="232">
        <f t="shared" ref="H198" si="374">G198</f>
        <v>226920</v>
      </c>
      <c r="J198" s="330">
        <f t="shared" si="362"/>
        <v>9.0447626714842411E-3</v>
      </c>
      <c r="K198" s="180" t="s">
        <v>516</v>
      </c>
    </row>
    <row r="199" spans="2:11">
      <c r="B199" s="287" t="s">
        <v>328</v>
      </c>
      <c r="C199" s="344">
        <f t="shared" ref="C199:H199" si="375">C198/C30</f>
        <v>0.47350325674723309</v>
      </c>
      <c r="D199" s="344">
        <f t="shared" si="375"/>
        <v>0.46840869066972907</v>
      </c>
      <c r="E199" s="344">
        <f t="shared" si="375"/>
        <v>0.43858028085076844</v>
      </c>
      <c r="F199" s="344">
        <f t="shared" si="375"/>
        <v>0.41026737797393764</v>
      </c>
      <c r="G199" s="344">
        <f t="shared" si="375"/>
        <v>0.38343077498432804</v>
      </c>
      <c r="H199" s="344">
        <f t="shared" si="375"/>
        <v>0.35802790017252556</v>
      </c>
      <c r="J199" s="332"/>
    </row>
    <row r="200" spans="2:11" ht="5.0999999999999996" customHeight="1"/>
    <row r="201" spans="2:11">
      <c r="B201" s="293" t="s">
        <v>188</v>
      </c>
      <c r="C201" s="336">
        <f t="shared" ref="C201:H201" si="376">MAX(C$184,C$186,C$188,C$190,C$192,C$194,C$196,C$198)</f>
        <v>220774</v>
      </c>
      <c r="D201" s="336">
        <f t="shared" si="376"/>
        <v>251574</v>
      </c>
      <c r="E201" s="336">
        <f t="shared" si="376"/>
        <v>273658</v>
      </c>
      <c r="F201" s="336">
        <f t="shared" si="376"/>
        <v>277932.5520807117</v>
      </c>
      <c r="G201" s="336">
        <f t="shared" si="376"/>
        <v>293860.76670514501</v>
      </c>
      <c r="H201" s="336">
        <f t="shared" si="376"/>
        <v>310920.14296027628</v>
      </c>
      <c r="I201" s="289"/>
      <c r="J201" s="299">
        <f t="shared" si="362"/>
        <v>5.872578108992843E-2</v>
      </c>
    </row>
    <row r="202" spans="2:11">
      <c r="B202" s="325" t="s">
        <v>328</v>
      </c>
      <c r="C202" s="347">
        <f t="shared" ref="C202:H202" si="377">C201/C33</f>
        <v>0.4798996613352694</v>
      </c>
      <c r="D202" s="347">
        <f t="shared" si="377"/>
        <v>0.47983017291692892</v>
      </c>
      <c r="E202" s="347">
        <f t="shared" si="377"/>
        <v>0.49158147547373848</v>
      </c>
      <c r="F202" s="347">
        <f t="shared" si="377"/>
        <v>0.46915151862526838</v>
      </c>
      <c r="G202" s="347">
        <f t="shared" si="377"/>
        <v>0.46506394717449118</v>
      </c>
      <c r="H202" s="347">
        <f t="shared" si="377"/>
        <v>0.46028027753165235</v>
      </c>
      <c r="I202" s="291"/>
      <c r="J202" s="297"/>
    </row>
    <row r="203" spans="2:11">
      <c r="B203" s="290" t="s">
        <v>374</v>
      </c>
      <c r="C203" s="338">
        <f t="shared" ref="C203:H203" si="378">MEDIAN(C$184,C$186,C$188,C$190,C$192,C$194,C$196,C$198)</f>
        <v>214858.86300000001</v>
      </c>
      <c r="D203" s="338">
        <f t="shared" si="378"/>
        <v>228229.46100000001</v>
      </c>
      <c r="E203" s="338">
        <f t="shared" si="378"/>
        <v>245996.2035</v>
      </c>
      <c r="F203" s="338">
        <f t="shared" si="378"/>
        <v>259221.41831107403</v>
      </c>
      <c r="G203" s="338">
        <f t="shared" si="378"/>
        <v>269901.17512523464</v>
      </c>
      <c r="H203" s="338">
        <f t="shared" si="378"/>
        <v>276672.36900044628</v>
      </c>
      <c r="I203" s="291"/>
      <c r="J203" s="297">
        <f t="shared" ref="J203:J207" si="379">((H203/C203)^(1/COUNT(C203:H203))-1)</f>
        <v>4.3042695250846252E-2</v>
      </c>
    </row>
    <row r="204" spans="2:11">
      <c r="B204" s="325" t="s">
        <v>328</v>
      </c>
      <c r="C204" s="347">
        <f t="shared" ref="C204" si="380">C203/C35</f>
        <v>0.47258559687584206</v>
      </c>
      <c r="D204" s="347">
        <f t="shared" ref="D204" si="381">D203/D35</f>
        <v>0.47028688969221144</v>
      </c>
      <c r="E204" s="347">
        <f t="shared" ref="E204" si="382">E203/E35</f>
        <v>0.4761556036108609</v>
      </c>
      <c r="F204" s="347">
        <f t="shared" ref="F204" si="383">F203/F35</f>
        <v>0.47663906940186829</v>
      </c>
      <c r="G204" s="347">
        <f t="shared" ref="G204:H204" si="384">G203/G35</f>
        <v>0.47294299324468508</v>
      </c>
      <c r="H204" s="347">
        <f t="shared" si="384"/>
        <v>0.46269886945661493</v>
      </c>
      <c r="I204" s="291"/>
      <c r="J204" s="297"/>
    </row>
    <row r="205" spans="2:11">
      <c r="B205" s="290" t="s">
        <v>331</v>
      </c>
      <c r="C205" s="339">
        <f t="shared" ref="C205:H205" si="385">AVERAGE(C$184,C$186,C$188,C$190,C$192,C$194,C$196,C$198)</f>
        <v>215568.049875</v>
      </c>
      <c r="D205" s="339">
        <f t="shared" si="385"/>
        <v>233947.532125</v>
      </c>
      <c r="E205" s="339">
        <f t="shared" si="385"/>
        <v>247193.636875</v>
      </c>
      <c r="F205" s="339">
        <f t="shared" si="385"/>
        <v>255393.29858785745</v>
      </c>
      <c r="G205" s="339">
        <f t="shared" si="385"/>
        <v>263455.25894815248</v>
      </c>
      <c r="H205" s="339">
        <f t="shared" si="385"/>
        <v>271195.94842911232</v>
      </c>
      <c r="I205" s="291"/>
      <c r="J205" s="297">
        <f t="shared" si="379"/>
        <v>3.9002200509513418E-2</v>
      </c>
    </row>
    <row r="206" spans="2:11">
      <c r="B206" s="325" t="s">
        <v>328</v>
      </c>
      <c r="C206" s="347">
        <f t="shared" ref="C206" si="386">C205/C37</f>
        <v>0.47471808956852385</v>
      </c>
      <c r="D206" s="347">
        <f t="shared" ref="D206" si="387">D205/D37</f>
        <v>0.48075825717849718</v>
      </c>
      <c r="E206" s="347">
        <f t="shared" ref="E206" si="388">E205/E37</f>
        <v>0.48267603532849285</v>
      </c>
      <c r="F206" s="347">
        <f t="shared" ref="F206" si="389">F205/F37</f>
        <v>0.47464266640212494</v>
      </c>
      <c r="G206" s="347">
        <f t="shared" ref="G206:H206" si="390">G205/G37</f>
        <v>0.46672593590686545</v>
      </c>
      <c r="H206" s="347">
        <f t="shared" si="390"/>
        <v>0.45720180237156299</v>
      </c>
      <c r="I206" s="291"/>
      <c r="J206" s="297"/>
    </row>
    <row r="207" spans="2:11">
      <c r="B207" s="324" t="s">
        <v>311</v>
      </c>
      <c r="C207" s="337">
        <f t="shared" ref="C207:H207" si="391">MIN(C$184,C$186,C$188,C$190,C$192,C$194,C$196,C$198)</f>
        <v>210266</v>
      </c>
      <c r="D207" s="337">
        <f t="shared" si="391"/>
        <v>223155</v>
      </c>
      <c r="E207" s="337">
        <f t="shared" si="391"/>
        <v>226920</v>
      </c>
      <c r="F207" s="337">
        <f t="shared" si="391"/>
        <v>226920</v>
      </c>
      <c r="G207" s="337">
        <f t="shared" si="391"/>
        <v>226920</v>
      </c>
      <c r="H207" s="337">
        <f t="shared" si="391"/>
        <v>226920</v>
      </c>
      <c r="I207" s="291"/>
      <c r="J207" s="297">
        <f t="shared" si="379"/>
        <v>1.2785061676972687E-2</v>
      </c>
    </row>
    <row r="208" spans="2:11">
      <c r="B208" s="326" t="s">
        <v>328</v>
      </c>
      <c r="C208" s="348">
        <f t="shared" ref="C208" si="392">C207/C39</f>
        <v>0.47215878597621086</v>
      </c>
      <c r="D208" s="348">
        <f t="shared" ref="D208" si="393">D207/D39</f>
        <v>0.48429310849962565</v>
      </c>
      <c r="E208" s="348">
        <f t="shared" ref="E208" si="394">E207/E39</f>
        <v>0.47812794326181363</v>
      </c>
      <c r="F208" s="348">
        <f t="shared" ref="F208" si="395">F207/F39</f>
        <v>0.46420927123182371</v>
      </c>
      <c r="G208" s="348">
        <f t="shared" ref="G208:H208" si="396">G207/G39</f>
        <v>0.45069578244579317</v>
      </c>
      <c r="H208" s="348">
        <f t="shared" si="396"/>
        <v>0.43757568170797112</v>
      </c>
      <c r="I208" s="348"/>
      <c r="J208" s="349"/>
    </row>
    <row r="210" spans="1:11">
      <c r="A210" s="353" t="s">
        <v>24</v>
      </c>
      <c r="B210" s="229" t="s">
        <v>329</v>
      </c>
      <c r="C210" s="211" t="s">
        <v>156</v>
      </c>
      <c r="D210" s="211"/>
      <c r="E210" s="211"/>
      <c r="F210" s="211"/>
      <c r="G210" s="211"/>
      <c r="H210" s="211"/>
      <c r="I210" s="230"/>
      <c r="J210" s="2" t="s">
        <v>332</v>
      </c>
    </row>
    <row r="211" spans="1:11">
      <c r="B211" s="282" t="s">
        <v>372</v>
      </c>
      <c r="C211" s="283" t="str">
        <f t="shared" ref="C211:H211" si="397">C$9</f>
        <v>2026E</v>
      </c>
      <c r="D211" s="283" t="str">
        <f t="shared" si="397"/>
        <v>2027E</v>
      </c>
      <c r="E211" s="283" t="str">
        <f t="shared" si="397"/>
        <v>2028E</v>
      </c>
      <c r="F211" s="283" t="str">
        <f t="shared" si="397"/>
        <v>2029E</v>
      </c>
      <c r="G211" s="283" t="str">
        <f t="shared" si="397"/>
        <v>2030E</v>
      </c>
      <c r="H211" s="283" t="str">
        <f t="shared" si="397"/>
        <v>2031E</v>
      </c>
      <c r="I211" s="230"/>
      <c r="J211" s="182" t="str">
        <f>$J$9</f>
        <v>6-Year(F)</v>
      </c>
    </row>
    <row r="212" spans="1:11">
      <c r="B212" s="282" t="s">
        <v>373</v>
      </c>
      <c r="C212" s="230">
        <f t="shared" ref="C212:H212" si="398">C$10</f>
        <v>46295</v>
      </c>
      <c r="D212" s="230">
        <f t="shared" si="398"/>
        <v>46660</v>
      </c>
      <c r="E212" s="230">
        <f t="shared" si="398"/>
        <v>47026</v>
      </c>
      <c r="F212" s="230">
        <f t="shared" si="398"/>
        <v>47391</v>
      </c>
      <c r="G212" s="230">
        <f t="shared" si="398"/>
        <v>47756</v>
      </c>
      <c r="H212" s="230">
        <f t="shared" si="398"/>
        <v>48121</v>
      </c>
      <c r="I212" s="230"/>
      <c r="J212" s="3">
        <f>$H$44</f>
        <v>48121</v>
      </c>
    </row>
    <row r="213" spans="1:11" ht="5.0999999999999996" customHeight="1">
      <c r="B213" s="286"/>
    </row>
    <row r="214" spans="1:11">
      <c r="B214" s="180" t="s">
        <v>326</v>
      </c>
      <c r="C214" s="231">
        <v>37494.149743088921</v>
      </c>
      <c r="D214" s="231">
        <v>40009.410981718276</v>
      </c>
      <c r="E214" s="231">
        <v>42040.735071089141</v>
      </c>
      <c r="F214" s="232">
        <f t="shared" ref="F214:H214" si="399">E214</f>
        <v>42040.735071089141</v>
      </c>
      <c r="G214" s="232">
        <f t="shared" si="399"/>
        <v>42040.735071089141</v>
      </c>
      <c r="H214" s="232">
        <f t="shared" si="399"/>
        <v>42040.735071089141</v>
      </c>
      <c r="J214" s="333">
        <f t="shared" ref="J214:J220" si="400">((H214/C214)^(1/COUNT(C214:H214))-1)</f>
        <v>1.9258789478717731E-2</v>
      </c>
      <c r="K214" s="180" t="s">
        <v>516</v>
      </c>
    </row>
    <row r="215" spans="1:11">
      <c r="B215" s="287" t="s">
        <v>328</v>
      </c>
      <c r="C215" s="294">
        <f t="shared" ref="C215:H215" si="401">C214/C12</f>
        <v>8.1501579732043861E-2</v>
      </c>
      <c r="D215" s="294">
        <f t="shared" si="401"/>
        <v>7.631043982948299E-2</v>
      </c>
      <c r="E215" s="294">
        <f t="shared" si="401"/>
        <v>7.5519248756647145E-2</v>
      </c>
      <c r="F215" s="294">
        <f t="shared" si="401"/>
        <v>7.0964968137292347E-2</v>
      </c>
      <c r="G215" s="294">
        <f t="shared" si="401"/>
        <v>6.6533652700551074E-2</v>
      </c>
      <c r="H215" s="294">
        <f t="shared" si="401"/>
        <v>6.2236306152180808E-2</v>
      </c>
      <c r="J215" s="352"/>
    </row>
    <row r="216" spans="1:11">
      <c r="B216" s="180" t="s">
        <v>336</v>
      </c>
      <c r="C216" s="231">
        <v>36615</v>
      </c>
      <c r="D216" s="231">
        <v>42791</v>
      </c>
      <c r="E216" s="231">
        <v>45504</v>
      </c>
      <c r="F216" s="231">
        <v>48331</v>
      </c>
      <c r="G216" s="231">
        <v>49750</v>
      </c>
      <c r="H216" s="231">
        <v>52456</v>
      </c>
      <c r="J216" s="330">
        <f t="shared" si="400"/>
        <v>6.1751024444284264E-2</v>
      </c>
      <c r="K216" s="180" t="s">
        <v>516</v>
      </c>
    </row>
    <row r="217" spans="1:11">
      <c r="B217" s="287" t="s">
        <v>328</v>
      </c>
      <c r="C217" s="294">
        <f t="shared" ref="C217:H217" si="402">C216/C26</f>
        <v>8.169799743403805E-2</v>
      </c>
      <c r="D217" s="294">
        <f t="shared" si="402"/>
        <v>8.9474685674975477E-2</v>
      </c>
      <c r="E217" s="294">
        <f t="shared" si="402"/>
        <v>8.7267036671946976E-2</v>
      </c>
      <c r="F217" s="294">
        <f t="shared" si="402"/>
        <v>8.7396881769818052E-2</v>
      </c>
      <c r="G217" s="294">
        <f t="shared" si="402"/>
        <v>8.622527414437664E-2</v>
      </c>
      <c r="H217" s="294">
        <f t="shared" si="402"/>
        <v>8.672764187316892E-2</v>
      </c>
      <c r="J217" s="352"/>
    </row>
    <row r="218" spans="1:11">
      <c r="B218" s="180" t="s">
        <v>337</v>
      </c>
      <c r="C218" s="231">
        <v>43957</v>
      </c>
      <c r="D218" s="231">
        <v>48753</v>
      </c>
      <c r="E218" s="231">
        <v>52715</v>
      </c>
      <c r="F218" s="232">
        <f t="shared" ref="F218:G220" si="403">E218</f>
        <v>52715</v>
      </c>
      <c r="G218" s="232">
        <f t="shared" si="403"/>
        <v>52715</v>
      </c>
      <c r="H218" s="232">
        <f t="shared" ref="H218" si="404">G218</f>
        <v>52715</v>
      </c>
      <c r="J218" s="330">
        <f t="shared" si="400"/>
        <v>3.0744503720837146E-2</v>
      </c>
      <c r="K218" s="180" t="s">
        <v>516</v>
      </c>
    </row>
    <row r="219" spans="1:11">
      <c r="B219" s="287" t="s">
        <v>328</v>
      </c>
      <c r="C219" s="294">
        <f t="shared" ref="C219:H219" si="405">C218/C28</f>
        <v>9.5622929315561975E-2</v>
      </c>
      <c r="D219" s="294">
        <f t="shared" si="405"/>
        <v>9.7650718364616362E-2</v>
      </c>
      <c r="E219" s="294">
        <f t="shared" si="405"/>
        <v>9.9999620602786291E-2</v>
      </c>
      <c r="F219" s="294">
        <f t="shared" si="405"/>
        <v>9.4644491273411846E-2</v>
      </c>
      <c r="G219" s="294">
        <f t="shared" si="405"/>
        <v>8.9514450312429023E-2</v>
      </c>
      <c r="H219" s="294">
        <f t="shared" si="405"/>
        <v>8.4603026196860928E-2</v>
      </c>
      <c r="J219" s="352"/>
    </row>
    <row r="220" spans="1:11">
      <c r="B220" s="180" t="s">
        <v>327</v>
      </c>
      <c r="C220" s="231">
        <v>39712</v>
      </c>
      <c r="D220" s="231">
        <v>40807</v>
      </c>
      <c r="E220" s="232">
        <f>D220</f>
        <v>40807</v>
      </c>
      <c r="F220" s="232">
        <f t="shared" si="403"/>
        <v>40807</v>
      </c>
      <c r="G220" s="232">
        <f t="shared" si="403"/>
        <v>40807</v>
      </c>
      <c r="H220" s="232">
        <f t="shared" ref="H220" si="406">G220</f>
        <v>40807</v>
      </c>
      <c r="J220" s="330">
        <f t="shared" si="400"/>
        <v>4.5436623219055061E-3</v>
      </c>
      <c r="K220" s="180" t="s">
        <v>516</v>
      </c>
    </row>
    <row r="221" spans="1:11">
      <c r="B221" s="287" t="s">
        <v>328</v>
      </c>
      <c r="C221" s="294">
        <f t="shared" ref="C221:H221" si="407">C220/C30</f>
        <v>8.7465050430940244E-2</v>
      </c>
      <c r="D221" s="294">
        <f t="shared" si="407"/>
        <v>8.4233886127973001E-2</v>
      </c>
      <c r="E221" s="294">
        <f t="shared" si="407"/>
        <v>7.8869846292426007E-2</v>
      </c>
      <c r="F221" s="294">
        <f t="shared" si="407"/>
        <v>7.3778339912667343E-2</v>
      </c>
      <c r="G221" s="294">
        <f t="shared" si="407"/>
        <v>6.8952316388090407E-2</v>
      </c>
      <c r="H221" s="294">
        <f t="shared" si="407"/>
        <v>6.4384120052618773E-2</v>
      </c>
      <c r="J221" s="332"/>
    </row>
    <row r="222" spans="1:11" ht="5.0999999999999996" customHeight="1"/>
    <row r="223" spans="1:11">
      <c r="B223" s="293" t="s">
        <v>188</v>
      </c>
      <c r="C223" s="336">
        <f t="shared" ref="C223:G223" si="408">MAX(C214,C216,C218,C220)</f>
        <v>43957</v>
      </c>
      <c r="D223" s="336">
        <f t="shared" si="408"/>
        <v>48753</v>
      </c>
      <c r="E223" s="336">
        <f t="shared" si="408"/>
        <v>52715</v>
      </c>
      <c r="F223" s="336">
        <f t="shared" si="408"/>
        <v>52715</v>
      </c>
      <c r="G223" s="336">
        <f t="shared" si="408"/>
        <v>52715</v>
      </c>
      <c r="H223" s="336">
        <f t="shared" ref="H223" si="409">MAX(H214,H216,H218,H220)</f>
        <v>52715</v>
      </c>
      <c r="I223" s="289"/>
      <c r="J223" s="299">
        <f t="shared" ref="J223:J229" si="410">((H223/C223)^(1/COUNT(C223:H223))-1)</f>
        <v>3.0744503720837146E-2</v>
      </c>
    </row>
    <row r="224" spans="1:11">
      <c r="B224" s="325" t="s">
        <v>328</v>
      </c>
      <c r="C224" s="350">
        <f t="shared" ref="C224:H224" si="411">C223/C33</f>
        <v>9.5549971524339083E-2</v>
      </c>
      <c r="D224" s="350">
        <f t="shared" si="411"/>
        <v>9.2987194305528542E-2</v>
      </c>
      <c r="E224" s="350">
        <f t="shared" si="411"/>
        <v>9.4693805697615721E-2</v>
      </c>
      <c r="F224" s="350">
        <f t="shared" si="411"/>
        <v>8.8983179980835922E-2</v>
      </c>
      <c r="G224" s="350">
        <f t="shared" si="411"/>
        <v>8.342674066423468E-2</v>
      </c>
      <c r="H224" s="350">
        <f t="shared" si="411"/>
        <v>7.8038285326470544E-2</v>
      </c>
      <c r="I224" s="291"/>
      <c r="J224" s="297"/>
    </row>
    <row r="225" spans="1:11">
      <c r="B225" s="290" t="s">
        <v>374</v>
      </c>
      <c r="C225" s="338">
        <f t="shared" ref="C225:G225" si="412">MEDIAN(C214,C216,C218,C220)</f>
        <v>38603.074871544464</v>
      </c>
      <c r="D225" s="338">
        <f t="shared" si="412"/>
        <v>41799</v>
      </c>
      <c r="E225" s="338">
        <f t="shared" si="412"/>
        <v>43772.367535544574</v>
      </c>
      <c r="F225" s="338">
        <f t="shared" si="412"/>
        <v>45185.867535544574</v>
      </c>
      <c r="G225" s="338">
        <f t="shared" si="412"/>
        <v>45895.367535544574</v>
      </c>
      <c r="H225" s="338">
        <f t="shared" ref="H225" si="413">MEDIAN(H214,H216,H218,H220)</f>
        <v>47248.367535544574</v>
      </c>
      <c r="I225" s="291"/>
      <c r="J225" s="297">
        <f t="shared" si="410"/>
        <v>3.4254656288727814E-2</v>
      </c>
    </row>
    <row r="226" spans="1:11">
      <c r="B226" s="325" t="s">
        <v>328</v>
      </c>
      <c r="C226" s="350">
        <f t="shared" ref="C226" si="414">C225/C35</f>
        <v>8.4908096993009136E-2</v>
      </c>
      <c r="D226" s="350">
        <f t="shared" ref="D226" si="415">D225/D35</f>
        <v>8.6130518015133661E-2</v>
      </c>
      <c r="E226" s="350">
        <f t="shared" ref="E226" si="416">E225/E35</f>
        <v>8.4726746953083271E-2</v>
      </c>
      <c r="F226" s="350">
        <f t="shared" ref="F226" si="417">F225/F35</f>
        <v>8.3084762025383826E-2</v>
      </c>
      <c r="G226" s="350">
        <f t="shared" ref="G226:H226" si="418">G225/G35</f>
        <v>8.0421630206885253E-2</v>
      </c>
      <c r="H226" s="350">
        <f t="shared" si="418"/>
        <v>7.9016803598236582E-2</v>
      </c>
      <c r="I226" s="291"/>
      <c r="J226" s="297"/>
    </row>
    <row r="227" spans="1:11">
      <c r="B227" s="290" t="s">
        <v>331</v>
      </c>
      <c r="C227" s="338">
        <f t="shared" ref="C227:G227" si="419">AVERAGE(C214,C216,C218,C220)</f>
        <v>39444.537435772232</v>
      </c>
      <c r="D227" s="338">
        <f t="shared" si="419"/>
        <v>43090.102745429569</v>
      </c>
      <c r="E227" s="338">
        <f t="shared" si="419"/>
        <v>45266.683767772287</v>
      </c>
      <c r="F227" s="338">
        <f t="shared" si="419"/>
        <v>45973.433767772287</v>
      </c>
      <c r="G227" s="338">
        <f t="shared" si="419"/>
        <v>46328.183767772287</v>
      </c>
      <c r="H227" s="338">
        <f t="shared" ref="H227" si="420">AVERAGE(H214,H216,H218,H220)</f>
        <v>47004.683767772287</v>
      </c>
      <c r="I227" s="291"/>
      <c r="J227" s="297">
        <f t="shared" si="410"/>
        <v>2.9656529666298503E-2</v>
      </c>
    </row>
    <row r="228" spans="1:11">
      <c r="B228" s="325" t="s">
        <v>328</v>
      </c>
      <c r="C228" s="350">
        <f t="shared" ref="C228" si="421">C227/C37</f>
        <v>8.6863686275781005E-2</v>
      </c>
      <c r="D228" s="350">
        <f t="shared" ref="D228" si="422">D227/D37</f>
        <v>8.8549438882161047E-2</v>
      </c>
      <c r="E228" s="350">
        <f t="shared" ref="E228" si="423">E227/E37</f>
        <v>8.838877784117706E-2</v>
      </c>
      <c r="F228" s="350">
        <f t="shared" ref="F228" si="424">F227/F37</f>
        <v>8.5440586373453087E-2</v>
      </c>
      <c r="G228" s="350">
        <f t="shared" ref="G228:H228" si="425">G227/G37</f>
        <v>8.2073005542599761E-2</v>
      </c>
      <c r="H228" s="350">
        <f t="shared" si="425"/>
        <v>7.9243905607786977E-2</v>
      </c>
      <c r="I228" s="291"/>
      <c r="J228" s="297"/>
    </row>
    <row r="229" spans="1:11">
      <c r="B229" s="324" t="s">
        <v>311</v>
      </c>
      <c r="C229" s="337">
        <f t="shared" ref="C229:G229" si="426">MIN(C214,C216,C218,C220)</f>
        <v>36615</v>
      </c>
      <c r="D229" s="337">
        <f t="shared" si="426"/>
        <v>40009.410981718276</v>
      </c>
      <c r="E229" s="337">
        <f t="shared" si="426"/>
        <v>40807</v>
      </c>
      <c r="F229" s="337">
        <f t="shared" si="426"/>
        <v>40807</v>
      </c>
      <c r="G229" s="337">
        <f t="shared" si="426"/>
        <v>40807</v>
      </c>
      <c r="H229" s="337">
        <f t="shared" ref="H229" si="427">MIN(H214,H216,H218,H220)</f>
        <v>40807</v>
      </c>
      <c r="I229" s="291"/>
      <c r="J229" s="297">
        <f t="shared" si="410"/>
        <v>1.8230116746620562E-2</v>
      </c>
    </row>
    <row r="230" spans="1:11">
      <c r="B230" s="326" t="s">
        <v>328</v>
      </c>
      <c r="C230" s="351">
        <f t="shared" ref="C230" si="428">C229/C39</f>
        <v>8.22201114232399E-2</v>
      </c>
      <c r="D230" s="351">
        <f t="shared" ref="D230" si="429">D229/D39</f>
        <v>8.6828805151466029E-2</v>
      </c>
      <c r="E230" s="351">
        <f t="shared" ref="E230" si="430">E229/E39</f>
        <v>8.5981698310791596E-2</v>
      </c>
      <c r="F230" s="351">
        <f t="shared" ref="F230" si="431">F229/F39</f>
        <v>8.3478704967200029E-2</v>
      </c>
      <c r="G230" s="351">
        <f t="shared" ref="G230:H230" si="432">G229/G39</f>
        <v>8.1048575684230045E-2</v>
      </c>
      <c r="H230" s="351">
        <f t="shared" si="432"/>
        <v>7.8689189333056478E-2</v>
      </c>
      <c r="I230" s="292"/>
      <c r="J230" s="298"/>
    </row>
    <row r="232" spans="1:11">
      <c r="A232" s="353" t="s">
        <v>24</v>
      </c>
      <c r="B232" s="229" t="s">
        <v>330</v>
      </c>
      <c r="C232" s="211" t="s">
        <v>156</v>
      </c>
      <c r="D232" s="211"/>
      <c r="E232" s="211"/>
      <c r="F232" s="211"/>
      <c r="G232" s="211"/>
      <c r="H232" s="211"/>
      <c r="I232" s="230"/>
      <c r="J232" s="2" t="s">
        <v>332</v>
      </c>
    </row>
    <row r="233" spans="1:11">
      <c r="B233" s="282" t="s">
        <v>372</v>
      </c>
      <c r="C233" s="283" t="str">
        <f t="shared" ref="C233:H233" si="433">C$9</f>
        <v>2026E</v>
      </c>
      <c r="D233" s="283" t="str">
        <f t="shared" si="433"/>
        <v>2027E</v>
      </c>
      <c r="E233" s="283" t="str">
        <f t="shared" si="433"/>
        <v>2028E</v>
      </c>
      <c r="F233" s="283" t="str">
        <f t="shared" si="433"/>
        <v>2029E</v>
      </c>
      <c r="G233" s="283" t="str">
        <f t="shared" si="433"/>
        <v>2030E</v>
      </c>
      <c r="H233" s="283" t="str">
        <f t="shared" si="433"/>
        <v>2031E</v>
      </c>
      <c r="I233" s="230"/>
      <c r="J233" s="182" t="str">
        <f>$J$9</f>
        <v>6-Year(F)</v>
      </c>
    </row>
    <row r="234" spans="1:11">
      <c r="B234" s="282" t="s">
        <v>373</v>
      </c>
      <c r="C234" s="230">
        <f t="shared" ref="C234:H234" si="434">C$10</f>
        <v>46295</v>
      </c>
      <c r="D234" s="230">
        <f t="shared" si="434"/>
        <v>46660</v>
      </c>
      <c r="E234" s="230">
        <f t="shared" si="434"/>
        <v>47026</v>
      </c>
      <c r="F234" s="230">
        <f t="shared" si="434"/>
        <v>47391</v>
      </c>
      <c r="G234" s="230">
        <f t="shared" si="434"/>
        <v>47756</v>
      </c>
      <c r="H234" s="230">
        <f t="shared" si="434"/>
        <v>48121</v>
      </c>
      <c r="I234" s="230"/>
      <c r="J234" s="3">
        <f>$H$44</f>
        <v>48121</v>
      </c>
    </row>
    <row r="235" spans="1:11" ht="5.0999999999999996" customHeight="1">
      <c r="B235" s="286"/>
    </row>
    <row r="236" spans="1:11">
      <c r="B236" s="180" t="s">
        <v>326</v>
      </c>
      <c r="C236" s="231">
        <v>30818.924184174273</v>
      </c>
      <c r="D236" s="231">
        <v>32860.623975116185</v>
      </c>
      <c r="E236" s="231">
        <v>34520.318469146499</v>
      </c>
      <c r="F236" s="232">
        <f t="shared" ref="F236:H236" si="435">E236</f>
        <v>34520.318469146499</v>
      </c>
      <c r="G236" s="232">
        <f t="shared" si="435"/>
        <v>34520.318469146499</v>
      </c>
      <c r="H236" s="232">
        <f t="shared" si="435"/>
        <v>34520.318469146499</v>
      </c>
      <c r="J236" s="333">
        <f t="shared" ref="J236:J242" si="436">((H236/C236)^(1/COUNT(C236:H236))-1)</f>
        <v>1.9082991334943289E-2</v>
      </c>
      <c r="K236" s="180" t="s">
        <v>516</v>
      </c>
    </row>
    <row r="237" spans="1:11">
      <c r="B237" s="287" t="s">
        <v>328</v>
      </c>
      <c r="C237" s="294">
        <f t="shared" ref="C237:H237" si="437">C236/C12</f>
        <v>6.6991544650649881E-2</v>
      </c>
      <c r="D237" s="294">
        <f t="shared" si="437"/>
        <v>6.2675470772568631E-2</v>
      </c>
      <c r="E237" s="294">
        <f t="shared" si="437"/>
        <v>6.2010060319400061E-2</v>
      </c>
      <c r="F237" s="294">
        <f t="shared" si="437"/>
        <v>5.8270467823880061E-2</v>
      </c>
      <c r="G237" s="294">
        <f t="shared" si="437"/>
        <v>5.4631844002129865E-2</v>
      </c>
      <c r="H237" s="294">
        <f t="shared" si="437"/>
        <v>5.1103224172548339E-2</v>
      </c>
      <c r="J237" s="352"/>
    </row>
    <row r="238" spans="1:11">
      <c r="B238" s="180" t="s">
        <v>336</v>
      </c>
      <c r="C238" s="231">
        <v>30200</v>
      </c>
      <c r="D238" s="231">
        <v>33000</v>
      </c>
      <c r="E238" s="231">
        <v>35606</v>
      </c>
      <c r="F238" s="231">
        <v>36654</v>
      </c>
      <c r="G238" s="231">
        <v>36587</v>
      </c>
      <c r="H238" s="231">
        <v>37425</v>
      </c>
      <c r="J238" s="330">
        <f t="shared" si="436"/>
        <v>3.6396197747287307E-2</v>
      </c>
      <c r="K238" s="180" t="s">
        <v>516</v>
      </c>
    </row>
    <row r="239" spans="1:11">
      <c r="B239" s="287" t="s">
        <v>328</v>
      </c>
      <c r="C239" s="294">
        <f t="shared" ref="C239:H239" si="438">C238/C26</f>
        <v>6.7384392257488698E-2</v>
      </c>
      <c r="D239" s="294">
        <f t="shared" si="438"/>
        <v>6.9002001058030685E-2</v>
      </c>
      <c r="E239" s="294">
        <f t="shared" si="438"/>
        <v>6.8284768542135721E-2</v>
      </c>
      <c r="F239" s="294">
        <f t="shared" si="438"/>
        <v>6.6281378502222404E-2</v>
      </c>
      <c r="G239" s="294">
        <f t="shared" si="438"/>
        <v>6.341153980141323E-2</v>
      </c>
      <c r="H239" s="294">
        <f t="shared" si="438"/>
        <v>6.1876277205721884E-2</v>
      </c>
      <c r="J239" s="352"/>
    </row>
    <row r="240" spans="1:11">
      <c r="B240" s="180" t="s">
        <v>337</v>
      </c>
      <c r="C240" s="231">
        <v>30013</v>
      </c>
      <c r="D240" s="231">
        <v>31753</v>
      </c>
      <c r="E240" s="231">
        <v>34265</v>
      </c>
      <c r="F240" s="232">
        <f t="shared" ref="F240:G240" si="439">E240</f>
        <v>34265</v>
      </c>
      <c r="G240" s="232">
        <f t="shared" si="439"/>
        <v>34265</v>
      </c>
      <c r="H240" s="232">
        <f t="shared" ref="H240" si="440">G240</f>
        <v>34265</v>
      </c>
      <c r="J240" s="330">
        <f t="shared" si="436"/>
        <v>2.2327919261178941E-2</v>
      </c>
      <c r="K240" s="180" t="s">
        <v>516</v>
      </c>
    </row>
    <row r="241" spans="1:11">
      <c r="B241" s="287" t="s">
        <v>328</v>
      </c>
      <c r="C241" s="294">
        <f t="shared" ref="C241:H241" si="441">C240/C28</f>
        <v>6.5289509692380315E-2</v>
      </c>
      <c r="D241" s="294">
        <f t="shared" si="441"/>
        <v>6.3600255578767736E-2</v>
      </c>
      <c r="E241" s="294">
        <f t="shared" si="441"/>
        <v>6.5000227638328217E-2</v>
      </c>
      <c r="F241" s="294">
        <f t="shared" si="441"/>
        <v>6.1519368177624149E-2</v>
      </c>
      <c r="G241" s="294">
        <f t="shared" si="441"/>
        <v>5.8184817223852422E-2</v>
      </c>
      <c r="H241" s="294">
        <f t="shared" si="441"/>
        <v>5.4992368256386981E-2</v>
      </c>
      <c r="J241" s="352"/>
    </row>
    <row r="242" spans="1:11">
      <c r="B242" s="180" t="s">
        <v>327</v>
      </c>
      <c r="C242" s="231">
        <v>29824</v>
      </c>
      <c r="D242" s="231">
        <v>31292</v>
      </c>
      <c r="E242" s="232">
        <f>D242</f>
        <v>31292</v>
      </c>
      <c r="F242" s="232">
        <f t="shared" ref="F242:G242" si="442">E242</f>
        <v>31292</v>
      </c>
      <c r="G242" s="232">
        <f t="shared" si="442"/>
        <v>31292</v>
      </c>
      <c r="H242" s="232">
        <f t="shared" ref="H242" si="443">G242</f>
        <v>31292</v>
      </c>
      <c r="J242" s="330">
        <f t="shared" si="436"/>
        <v>8.0403237338593225E-3</v>
      </c>
      <c r="K242" s="180" t="s">
        <v>516</v>
      </c>
    </row>
    <row r="243" spans="1:11">
      <c r="B243" s="287" t="s">
        <v>328</v>
      </c>
      <c r="C243" s="294">
        <f t="shared" ref="C243:H243" si="444">C242/C30</f>
        <v>6.5686887189070356E-2</v>
      </c>
      <c r="D243" s="294">
        <f t="shared" si="444"/>
        <v>6.4593005237251727E-2</v>
      </c>
      <c r="E243" s="294">
        <f t="shared" si="444"/>
        <v>6.0479702751552296E-2</v>
      </c>
      <c r="F243" s="294">
        <f t="shared" si="444"/>
        <v>5.6575386883308904E-2</v>
      </c>
      <c r="G243" s="294">
        <f t="shared" si="444"/>
        <v>5.287465102595449E-2</v>
      </c>
      <c r="H243" s="294">
        <f t="shared" si="444"/>
        <v>4.9371624591039442E-2</v>
      </c>
      <c r="J243" s="332"/>
    </row>
    <row r="244" spans="1:11" ht="5.0999999999999996" customHeight="1"/>
    <row r="245" spans="1:11">
      <c r="B245" s="293" t="s">
        <v>188</v>
      </c>
      <c r="C245" s="336">
        <f t="shared" ref="C245:G245" si="445">MAX(C236,C238,C240,C242)</f>
        <v>30818.924184174273</v>
      </c>
      <c r="D245" s="336">
        <f t="shared" si="445"/>
        <v>33000</v>
      </c>
      <c r="E245" s="336">
        <f t="shared" si="445"/>
        <v>35606</v>
      </c>
      <c r="F245" s="336">
        <f t="shared" si="445"/>
        <v>36654</v>
      </c>
      <c r="G245" s="336">
        <f t="shared" si="445"/>
        <v>36587</v>
      </c>
      <c r="H245" s="336">
        <f t="shared" ref="H245" si="446">MAX(H236,H238,H240,H242)</f>
        <v>37425</v>
      </c>
      <c r="I245" s="289"/>
      <c r="J245" s="299">
        <f t="shared" ref="J245:J251" si="447">((H245/C245)^(1/COUNT(C245:H245))-1)</f>
        <v>3.2897887249798696E-2</v>
      </c>
    </row>
    <row r="246" spans="1:11">
      <c r="B246" s="325" t="s">
        <v>328</v>
      </c>
      <c r="C246" s="350">
        <f t="shared" ref="C246:H246" si="448">C245/C33</f>
        <v>6.6991544650649881E-2</v>
      </c>
      <c r="D246" s="350">
        <f t="shared" si="448"/>
        <v>6.2941304372704079E-2</v>
      </c>
      <c r="E246" s="350">
        <f t="shared" si="448"/>
        <v>6.396030817925269E-2</v>
      </c>
      <c r="F246" s="350">
        <f t="shared" si="448"/>
        <v>6.1872132770891777E-2</v>
      </c>
      <c r="G246" s="350">
        <f t="shared" si="448"/>
        <v>5.7902573474008429E-2</v>
      </c>
      <c r="H246" s="350">
        <f t="shared" si="448"/>
        <v>5.5403259572098268E-2</v>
      </c>
      <c r="I246" s="291"/>
      <c r="J246" s="297"/>
    </row>
    <row r="247" spans="1:11">
      <c r="B247" s="290" t="s">
        <v>374</v>
      </c>
      <c r="C247" s="338">
        <f t="shared" ref="C247:G247" si="449">MEDIAN(C236,C238,C240,C242)</f>
        <v>30106.5</v>
      </c>
      <c r="D247" s="338">
        <f t="shared" si="449"/>
        <v>32306.811987558092</v>
      </c>
      <c r="E247" s="338">
        <f t="shared" si="449"/>
        <v>34392.65923457325</v>
      </c>
      <c r="F247" s="338">
        <f t="shared" si="449"/>
        <v>34392.65923457325</v>
      </c>
      <c r="G247" s="338">
        <f t="shared" si="449"/>
        <v>34392.65923457325</v>
      </c>
      <c r="H247" s="338">
        <f t="shared" ref="H247" si="450">MEDIAN(H236,H238,H240,H242)</f>
        <v>34392.65923457325</v>
      </c>
      <c r="I247" s="291"/>
      <c r="J247" s="297">
        <f t="shared" si="447"/>
        <v>2.2431562679172012E-2</v>
      </c>
    </row>
    <row r="248" spans="1:11">
      <c r="B248" s="325" t="s">
        <v>328</v>
      </c>
      <c r="C248" s="350">
        <f t="shared" ref="C248" si="451">C247/C35</f>
        <v>6.6219741060169993E-2</v>
      </c>
      <c r="D248" s="350">
        <f t="shared" ref="D248" si="452">D247/D35</f>
        <v>6.6571029256822137E-2</v>
      </c>
      <c r="E248" s="350">
        <f t="shared" ref="E248" si="453">E247/E35</f>
        <v>6.6571179492291938E-2</v>
      </c>
      <c r="F248" s="350">
        <f t="shared" ref="F248" si="454">F247/F35</f>
        <v>6.3238929864007518E-2</v>
      </c>
      <c r="G248" s="350">
        <f t="shared" ref="G248:H248" si="455">G247/G35</f>
        <v>6.0265640549716712E-2</v>
      </c>
      <c r="H248" s="350">
        <f t="shared" si="455"/>
        <v>5.7517288780716595E-2</v>
      </c>
      <c r="I248" s="291"/>
      <c r="J248" s="297"/>
    </row>
    <row r="249" spans="1:11">
      <c r="B249" s="290" t="s">
        <v>331</v>
      </c>
      <c r="C249" s="338">
        <f t="shared" ref="C249:G249" si="456">AVERAGE(C236,C238,C240,C242)</f>
        <v>30213.981046043569</v>
      </c>
      <c r="D249" s="338">
        <f t="shared" si="456"/>
        <v>32226.405993779044</v>
      </c>
      <c r="E249" s="338">
        <f t="shared" si="456"/>
        <v>33920.829617286625</v>
      </c>
      <c r="F249" s="338">
        <f t="shared" si="456"/>
        <v>34182.829617286625</v>
      </c>
      <c r="G249" s="338">
        <f t="shared" si="456"/>
        <v>34166.079617286625</v>
      </c>
      <c r="H249" s="338">
        <f t="shared" ref="H249" si="457">AVERAGE(H236,H238,H240,H242)</f>
        <v>34375.579617286625</v>
      </c>
      <c r="I249" s="291"/>
      <c r="J249" s="297">
        <f t="shared" si="447"/>
        <v>2.1739883169842544E-2</v>
      </c>
    </row>
    <row r="250" spans="1:11">
      <c r="B250" s="325" t="s">
        <v>328</v>
      </c>
      <c r="C250" s="350">
        <f t="shared" ref="C250" si="458">C249/C37</f>
        <v>6.653640634015312E-2</v>
      </c>
      <c r="D250" s="350">
        <f t="shared" ref="D250" si="459">D249/D37</f>
        <v>6.622472415061767E-2</v>
      </c>
      <c r="E250" s="350">
        <f t="shared" ref="E250" si="460">E249/E37</f>
        <v>6.6234599570233074E-2</v>
      </c>
      <c r="F250" s="350">
        <f t="shared" ref="F250" si="461">F249/F37</f>
        <v>6.3528015356820497E-2</v>
      </c>
      <c r="G250" s="350">
        <f t="shared" ref="G250:H250" si="462">G249/G37</f>
        <v>6.0527148136317002E-2</v>
      </c>
      <c r="H250" s="350">
        <f t="shared" si="462"/>
        <v>5.7952845717747704E-2</v>
      </c>
      <c r="I250" s="291"/>
      <c r="J250" s="297"/>
    </row>
    <row r="251" spans="1:11">
      <c r="B251" s="324" t="s">
        <v>311</v>
      </c>
      <c r="C251" s="337">
        <f t="shared" ref="C251:G251" si="463">MIN(C236,C238,C240,C242)</f>
        <v>29824</v>
      </c>
      <c r="D251" s="337">
        <f t="shared" si="463"/>
        <v>31292</v>
      </c>
      <c r="E251" s="337">
        <f t="shared" si="463"/>
        <v>31292</v>
      </c>
      <c r="F251" s="337">
        <f t="shared" si="463"/>
        <v>31292</v>
      </c>
      <c r="G251" s="337">
        <f t="shared" si="463"/>
        <v>31292</v>
      </c>
      <c r="H251" s="337">
        <f t="shared" ref="H251" si="464">MIN(H236,H238,H240,H242)</f>
        <v>31292</v>
      </c>
      <c r="I251" s="291"/>
      <c r="J251" s="297">
        <f t="shared" si="447"/>
        <v>8.0403237338593225E-3</v>
      </c>
    </row>
    <row r="252" spans="1:11">
      <c r="B252" s="326" t="s">
        <v>328</v>
      </c>
      <c r="C252" s="351">
        <f t="shared" ref="C252" si="465">C251/C39</f>
        <v>6.6970711541354824E-2</v>
      </c>
      <c r="D252" s="351">
        <f t="shared" ref="D252" si="466">D251/D39</f>
        <v>6.7910196729494235E-2</v>
      </c>
      <c r="E252" s="351">
        <f t="shared" ref="E252" si="467">E251/E39</f>
        <v>6.5933278690942496E-2</v>
      </c>
      <c r="F252" s="351">
        <f t="shared" ref="F252" si="468">F251/F39</f>
        <v>6.4013910256417367E-2</v>
      </c>
      <c r="G252" s="351">
        <f t="shared" ref="G252:H252" si="469">G251/G39</f>
        <v>6.2150416112699454E-2</v>
      </c>
      <c r="H252" s="351">
        <f t="shared" si="469"/>
        <v>6.0341169716225239E-2</v>
      </c>
      <c r="I252" s="292"/>
      <c r="J252" s="298"/>
    </row>
    <row r="254" spans="1:11">
      <c r="A254" s="353" t="s">
        <v>24</v>
      </c>
      <c r="B254" s="229" t="s">
        <v>32</v>
      </c>
      <c r="C254" s="211" t="s">
        <v>156</v>
      </c>
      <c r="D254" s="211"/>
      <c r="E254" s="211"/>
      <c r="F254" s="211"/>
      <c r="G254" s="211"/>
      <c r="H254" s="211"/>
      <c r="I254" s="230"/>
      <c r="J254" s="2" t="s">
        <v>332</v>
      </c>
    </row>
    <row r="255" spans="1:11">
      <c r="B255" s="282" t="s">
        <v>372</v>
      </c>
      <c r="C255" s="283" t="str">
        <f t="shared" ref="C255:H255" si="470">C$9</f>
        <v>2026E</v>
      </c>
      <c r="D255" s="283" t="str">
        <f t="shared" si="470"/>
        <v>2027E</v>
      </c>
      <c r="E255" s="283" t="str">
        <f t="shared" si="470"/>
        <v>2028E</v>
      </c>
      <c r="F255" s="283" t="str">
        <f t="shared" si="470"/>
        <v>2029E</v>
      </c>
      <c r="G255" s="283" t="str">
        <f t="shared" si="470"/>
        <v>2030E</v>
      </c>
      <c r="H255" s="283" t="str">
        <f t="shared" si="470"/>
        <v>2031E</v>
      </c>
      <c r="I255" s="230"/>
      <c r="J255" s="182" t="str">
        <f>$J$9</f>
        <v>6-Year(F)</v>
      </c>
    </row>
    <row r="256" spans="1:11">
      <c r="B256" s="282" t="s">
        <v>373</v>
      </c>
      <c r="C256" s="230">
        <f t="shared" ref="C256:H256" si="471">C$10</f>
        <v>46295</v>
      </c>
      <c r="D256" s="230">
        <f t="shared" si="471"/>
        <v>46660</v>
      </c>
      <c r="E256" s="230">
        <f t="shared" si="471"/>
        <v>47026</v>
      </c>
      <c r="F256" s="230">
        <f t="shared" si="471"/>
        <v>47391</v>
      </c>
      <c r="G256" s="230">
        <f t="shared" si="471"/>
        <v>47756</v>
      </c>
      <c r="H256" s="230">
        <f t="shared" si="471"/>
        <v>48121</v>
      </c>
      <c r="I256" s="230"/>
      <c r="J256" s="3">
        <f>$H$44</f>
        <v>48121</v>
      </c>
    </row>
    <row r="257" spans="2:11" ht="5.0999999999999996" customHeight="1">
      <c r="B257" s="286"/>
    </row>
    <row r="258" spans="2:11">
      <c r="B258" s="180" t="s">
        <v>326</v>
      </c>
      <c r="C258" s="231">
        <v>146141</v>
      </c>
      <c r="D258" s="231">
        <v>170187</v>
      </c>
      <c r="E258" s="231">
        <v>186579</v>
      </c>
      <c r="F258" s="232">
        <f t="shared" ref="F258:H258" si="472">E258</f>
        <v>186579</v>
      </c>
      <c r="G258" s="232">
        <f t="shared" si="472"/>
        <v>186579</v>
      </c>
      <c r="H258" s="232">
        <f t="shared" si="472"/>
        <v>186579</v>
      </c>
      <c r="J258" s="333">
        <f t="shared" ref="J258:J272" si="473">((H258/C258)^(1/COUNT(C258:H258))-1)</f>
        <v>4.1553975830872947E-2</v>
      </c>
      <c r="K258" s="180" t="s">
        <v>516</v>
      </c>
    </row>
    <row r="259" spans="2:11">
      <c r="B259" s="287" t="s">
        <v>328</v>
      </c>
      <c r="C259" s="294">
        <f t="shared" ref="C259:H259" si="474">C258/C39</f>
        <v>0.32816412135746831</v>
      </c>
      <c r="D259" s="294">
        <f t="shared" si="474"/>
        <v>0.36934144991698947</v>
      </c>
      <c r="E259" s="294">
        <f t="shared" si="474"/>
        <v>0.39312812235962419</v>
      </c>
      <c r="F259" s="294">
        <f t="shared" si="474"/>
        <v>0.38168386046695946</v>
      </c>
      <c r="G259" s="294">
        <f t="shared" si="474"/>
        <v>0.37057274983674265</v>
      </c>
      <c r="H259" s="294">
        <f t="shared" si="474"/>
        <v>0.35978509217958549</v>
      </c>
      <c r="J259" s="331"/>
    </row>
    <row r="260" spans="2:11">
      <c r="B260" s="180" t="s">
        <v>336</v>
      </c>
      <c r="C260" s="231">
        <v>143450</v>
      </c>
      <c r="D260" s="231">
        <v>152554</v>
      </c>
      <c r="E260" s="231">
        <v>169259</v>
      </c>
      <c r="F260" s="231">
        <v>185409</v>
      </c>
      <c r="G260" s="231">
        <v>202673</v>
      </c>
      <c r="H260" s="231">
        <v>217380</v>
      </c>
      <c r="J260" s="330">
        <f t="shared" si="473"/>
        <v>7.1732757955442539E-2</v>
      </c>
      <c r="K260" s="180" t="s">
        <v>516</v>
      </c>
    </row>
    <row r="261" spans="2:11">
      <c r="B261" s="287" t="s">
        <v>328</v>
      </c>
      <c r="C261" s="294">
        <f t="shared" ref="C261:H261" si="475">C260/C26</f>
        <v>0.32007586322307136</v>
      </c>
      <c r="D261" s="294">
        <f t="shared" si="475"/>
        <v>0.31898579604263066</v>
      </c>
      <c r="E261" s="294">
        <f t="shared" si="475"/>
        <v>0.32460292194218254</v>
      </c>
      <c r="F261" s="294">
        <f t="shared" si="475"/>
        <v>0.3352748433109225</v>
      </c>
      <c r="G261" s="294">
        <f t="shared" si="475"/>
        <v>0.35126703490780398</v>
      </c>
      <c r="H261" s="294">
        <f t="shared" si="475"/>
        <v>0.35940321012638138</v>
      </c>
      <c r="J261" s="331"/>
    </row>
    <row r="262" spans="2:11">
      <c r="B262" s="180" t="s">
        <v>335</v>
      </c>
      <c r="C262" s="231">
        <v>146285</v>
      </c>
      <c r="D262" s="231">
        <v>163753</v>
      </c>
      <c r="E262" s="231">
        <v>172335</v>
      </c>
      <c r="F262" s="232">
        <f t="shared" ref="F262:G270" si="476">E262</f>
        <v>172335</v>
      </c>
      <c r="G262" s="232">
        <f t="shared" si="476"/>
        <v>172335</v>
      </c>
      <c r="H262" s="232">
        <f t="shared" ref="H262" si="477">G262</f>
        <v>172335</v>
      </c>
      <c r="J262" s="330">
        <f t="shared" si="473"/>
        <v>2.7690358396837533E-2</v>
      </c>
      <c r="K262" s="180" t="s">
        <v>517</v>
      </c>
    </row>
    <row r="263" spans="2:11">
      <c r="B263" s="287" t="s">
        <v>328</v>
      </c>
      <c r="C263" s="294">
        <f t="shared" ref="C263:H263" si="478">C262/C14</f>
        <v>0.32132329360494488</v>
      </c>
      <c r="D263" s="294">
        <f t="shared" si="478"/>
        <v>0.32663779673627497</v>
      </c>
      <c r="E263" s="294">
        <f t="shared" si="478"/>
        <v>0.33153077242716655</v>
      </c>
      <c r="F263" s="294">
        <f t="shared" si="478"/>
        <v>0.31869969213934485</v>
      </c>
      <c r="G263" s="294">
        <f t="shared" si="478"/>
        <v>0.30534642256677813</v>
      </c>
      <c r="H263" s="294">
        <f t="shared" si="478"/>
        <v>0.29156404171700911</v>
      </c>
      <c r="J263" s="331"/>
    </row>
    <row r="264" spans="2:11">
      <c r="B264" s="180" t="s">
        <v>385</v>
      </c>
      <c r="C264" s="231">
        <v>142107</v>
      </c>
      <c r="D264" s="231">
        <v>148716</v>
      </c>
      <c r="E264" s="231">
        <v>153787</v>
      </c>
      <c r="F264" s="231">
        <v>159255</v>
      </c>
      <c r="G264" s="231">
        <v>162526</v>
      </c>
      <c r="H264" s="232">
        <f t="shared" ref="H264" si="479">G264</f>
        <v>162526</v>
      </c>
      <c r="J264" s="330">
        <f t="shared" si="473"/>
        <v>2.2628509124499097E-2</v>
      </c>
      <c r="K264" s="180" t="s">
        <v>517</v>
      </c>
    </row>
    <row r="265" spans="2:11">
      <c r="B265" s="287" t="s">
        <v>328</v>
      </c>
      <c r="C265" s="294">
        <f t="shared" ref="C265:H265" si="480">C264/C18</f>
        <v>0.31910564998012703</v>
      </c>
      <c r="D265" s="294">
        <f t="shared" si="480"/>
        <v>0.32056458131699717</v>
      </c>
      <c r="E265" s="294">
        <f t="shared" si="480"/>
        <v>0.32037690174763916</v>
      </c>
      <c r="F265" s="294">
        <f t="shared" si="480"/>
        <v>0.32084317154346409</v>
      </c>
      <c r="G265" s="294">
        <f t="shared" si="480"/>
        <v>0.32010194354501981</v>
      </c>
      <c r="H265" s="294">
        <f t="shared" si="480"/>
        <v>0.31293493635575503</v>
      </c>
      <c r="J265" s="331"/>
    </row>
    <row r="266" spans="2:11">
      <c r="B266" s="180" t="s">
        <v>391</v>
      </c>
      <c r="C266" s="231">
        <v>146562</v>
      </c>
      <c r="D266" s="231">
        <v>152607</v>
      </c>
      <c r="E266" s="231">
        <v>157451</v>
      </c>
      <c r="F266" s="232">
        <f t="shared" ref="F266:G266" si="481">E266</f>
        <v>157451</v>
      </c>
      <c r="G266" s="232">
        <f t="shared" si="481"/>
        <v>157451</v>
      </c>
      <c r="H266" s="232">
        <f t="shared" ref="H266" si="482">G266</f>
        <v>157451</v>
      </c>
      <c r="J266" s="330">
        <f t="shared" si="473"/>
        <v>1.2015909850752182E-2</v>
      </c>
      <c r="K266" s="180" t="s">
        <v>516</v>
      </c>
    </row>
    <row r="267" spans="2:11">
      <c r="B267" s="287" t="s">
        <v>328</v>
      </c>
      <c r="C267" s="294">
        <f t="shared" ref="C267:H267" si="483">C266/C20</f>
        <v>0.32514925025457403</v>
      </c>
      <c r="D267" s="294">
        <f t="shared" si="483"/>
        <v>0.33118916631400763</v>
      </c>
      <c r="E267" s="294">
        <f t="shared" si="483"/>
        <v>0.33175446322279134</v>
      </c>
      <c r="F267" s="294">
        <f t="shared" si="483"/>
        <v>0.32209683573383519</v>
      </c>
      <c r="G267" s="294">
        <f t="shared" si="483"/>
        <v>0.31272034920620739</v>
      </c>
      <c r="H267" s="294">
        <f t="shared" si="483"/>
        <v>0.30361681941037266</v>
      </c>
      <c r="J267" s="331"/>
    </row>
    <row r="268" spans="2:11">
      <c r="B268" s="180" t="s">
        <v>384</v>
      </c>
      <c r="C268" s="231">
        <v>142279</v>
      </c>
      <c r="D268" s="231">
        <v>152688</v>
      </c>
      <c r="E268" s="231">
        <v>162929</v>
      </c>
      <c r="F268" s="232">
        <f t="shared" si="476"/>
        <v>162929</v>
      </c>
      <c r="G268" s="232">
        <f t="shared" si="476"/>
        <v>162929</v>
      </c>
      <c r="H268" s="232">
        <f t="shared" ref="H268" si="484">G268</f>
        <v>162929</v>
      </c>
      <c r="J268" s="330">
        <f t="shared" si="473"/>
        <v>2.2844461710864739E-2</v>
      </c>
      <c r="K268" s="180" t="s">
        <v>516</v>
      </c>
    </row>
    <row r="269" spans="2:11">
      <c r="B269" s="287" t="s">
        <v>328</v>
      </c>
      <c r="C269" s="294">
        <f t="shared" ref="C269:H269" si="485">C268/C16</f>
        <v>0.31207968309256734</v>
      </c>
      <c r="D269" s="294">
        <f t="shared" si="485"/>
        <v>0.31727178843560455</v>
      </c>
      <c r="E269" s="294">
        <f t="shared" si="485"/>
        <v>0.32299433225026913</v>
      </c>
      <c r="F269" s="294">
        <f t="shared" si="485"/>
        <v>0.30788838178947314</v>
      </c>
      <c r="G269" s="294">
        <f t="shared" si="485"/>
        <v>0.29323557282562457</v>
      </c>
      <c r="H269" s="294">
        <f t="shared" si="485"/>
        <v>0.27903715262949275</v>
      </c>
      <c r="J269" s="331"/>
    </row>
    <row r="270" spans="2:11">
      <c r="B270" s="180" t="s">
        <v>337</v>
      </c>
      <c r="C270" s="231">
        <v>145289</v>
      </c>
      <c r="D270" s="231">
        <v>164922</v>
      </c>
      <c r="E270" s="231">
        <v>176101</v>
      </c>
      <c r="F270" s="232">
        <f t="shared" si="476"/>
        <v>176101</v>
      </c>
      <c r="G270" s="232">
        <f t="shared" si="476"/>
        <v>176101</v>
      </c>
      <c r="H270" s="232">
        <f t="shared" ref="H270" si="486">G270</f>
        <v>176101</v>
      </c>
      <c r="J270" s="330">
        <f t="shared" si="473"/>
        <v>3.2574782671131342E-2</v>
      </c>
      <c r="K270" s="180" t="s">
        <v>516</v>
      </c>
    </row>
    <row r="271" spans="2:11">
      <c r="B271" s="287" t="s">
        <v>328</v>
      </c>
      <c r="C271" s="294">
        <f t="shared" ref="C271:H271" si="487">C270/C28</f>
        <v>0.31605796067358288</v>
      </c>
      <c r="D271" s="294">
        <f t="shared" si="487"/>
        <v>0.33033355432751338</v>
      </c>
      <c r="E271" s="294">
        <f t="shared" si="487"/>
        <v>0.33406114365496098</v>
      </c>
      <c r="F271" s="294">
        <f t="shared" si="487"/>
        <v>0.31617166950088399</v>
      </c>
      <c r="G271" s="294">
        <f t="shared" si="487"/>
        <v>0.29903413097731313</v>
      </c>
      <c r="H271" s="294">
        <f t="shared" si="487"/>
        <v>0.28262690915855837</v>
      </c>
      <c r="J271" s="331"/>
    </row>
    <row r="272" spans="2:11">
      <c r="B272" s="180" t="s">
        <v>327</v>
      </c>
      <c r="C272" s="231">
        <v>145450</v>
      </c>
      <c r="D272" s="231">
        <v>154821</v>
      </c>
      <c r="E272" s="232">
        <f t="shared" ref="E272:G272" si="488">D272</f>
        <v>154821</v>
      </c>
      <c r="F272" s="232">
        <f t="shared" si="488"/>
        <v>154821</v>
      </c>
      <c r="G272" s="232">
        <f t="shared" si="488"/>
        <v>154821</v>
      </c>
      <c r="H272" s="232">
        <f t="shared" ref="H272" si="489">G272</f>
        <v>154821</v>
      </c>
      <c r="J272" s="330">
        <f t="shared" si="473"/>
        <v>1.0460537168260675E-2</v>
      </c>
      <c r="K272" s="180" t="s">
        <v>516</v>
      </c>
    </row>
    <row r="273" spans="1:11">
      <c r="B273" s="287" t="s">
        <v>328</v>
      </c>
      <c r="C273" s="294">
        <f t="shared" ref="C273:H273" si="490">C272/C30</f>
        <v>0.32035131912722248</v>
      </c>
      <c r="D273" s="294">
        <f t="shared" si="490"/>
        <v>0.31958179930450437</v>
      </c>
      <c r="E273" s="294">
        <f t="shared" si="490"/>
        <v>0.29923073180679016</v>
      </c>
      <c r="F273" s="294">
        <f t="shared" si="490"/>
        <v>0.27991365117796141</v>
      </c>
      <c r="G273" s="294">
        <f t="shared" si="490"/>
        <v>0.26160380757028318</v>
      </c>
      <c r="H273" s="294">
        <f t="shared" si="490"/>
        <v>0.24427215552886736</v>
      </c>
      <c r="J273" s="332"/>
    </row>
    <row r="274" spans="1:11" ht="5.0999999999999996" customHeight="1"/>
    <row r="275" spans="1:11">
      <c r="B275" s="293" t="s">
        <v>188</v>
      </c>
      <c r="C275" s="336">
        <f>MAX(C258,C260,C262,C264,C266,C268,C270,C272)</f>
        <v>146562</v>
      </c>
      <c r="D275" s="336">
        <f t="shared" ref="D275:H275" si="491">MAX(D$258,D$260,D$262,D$264,D$266,D$268,D$270,D$272)</f>
        <v>170187</v>
      </c>
      <c r="E275" s="336">
        <f t="shared" si="491"/>
        <v>186579</v>
      </c>
      <c r="F275" s="336">
        <f t="shared" si="491"/>
        <v>186579</v>
      </c>
      <c r="G275" s="336">
        <f t="shared" si="491"/>
        <v>202673</v>
      </c>
      <c r="H275" s="336">
        <f t="shared" si="491"/>
        <v>217380</v>
      </c>
      <c r="I275" s="289"/>
      <c r="J275" s="299">
        <f t="shared" ref="J275:J281" si="492">((H275/C275)^(1/COUNT(C275:H275))-1)</f>
        <v>6.7906017249354855E-2</v>
      </c>
    </row>
    <row r="276" spans="1:11">
      <c r="B276" s="325" t="s">
        <v>328</v>
      </c>
      <c r="C276" s="350">
        <f t="shared" ref="C276:H276" si="493">C275/C33</f>
        <v>0.31858395537798723</v>
      </c>
      <c r="D276" s="350">
        <f t="shared" si="493"/>
        <v>0.32459975052355722</v>
      </c>
      <c r="E276" s="350">
        <f t="shared" si="493"/>
        <v>0.33515840981230094</v>
      </c>
      <c r="F276" s="350">
        <f t="shared" si="493"/>
        <v>0.3149462721738478</v>
      </c>
      <c r="G276" s="350">
        <f t="shared" si="493"/>
        <v>0.32075021930460845</v>
      </c>
      <c r="H276" s="350">
        <f t="shared" si="493"/>
        <v>0.32180522553861646</v>
      </c>
      <c r="I276" s="291"/>
      <c r="J276" s="297"/>
    </row>
    <row r="277" spans="1:11">
      <c r="B277" s="290" t="s">
        <v>374</v>
      </c>
      <c r="C277" s="338">
        <f t="shared" ref="C277:H277" si="494">MEDIAN(C$258,C$260,C$262,C$264,C$266,C$268,C$270,C$272)</f>
        <v>145369.5</v>
      </c>
      <c r="D277" s="338">
        <f t="shared" si="494"/>
        <v>153754.5</v>
      </c>
      <c r="E277" s="338">
        <f t="shared" si="494"/>
        <v>166094</v>
      </c>
      <c r="F277" s="338">
        <f t="shared" si="494"/>
        <v>167632</v>
      </c>
      <c r="G277" s="338">
        <f t="shared" si="494"/>
        <v>167632</v>
      </c>
      <c r="H277" s="338">
        <f t="shared" si="494"/>
        <v>167632</v>
      </c>
      <c r="I277" s="291"/>
      <c r="J277" s="297">
        <f t="shared" si="492"/>
        <v>2.4032967182164855E-2</v>
      </c>
    </row>
    <row r="278" spans="1:11">
      <c r="B278" s="325" t="s">
        <v>328</v>
      </c>
      <c r="C278" s="350">
        <f t="shared" ref="C278" si="495">C277/C35</f>
        <v>0.31974260203100263</v>
      </c>
      <c r="D278" s="350">
        <f t="shared" ref="D278" si="496">D277/D35</f>
        <v>0.31682467839321199</v>
      </c>
      <c r="E278" s="350">
        <f t="shared" ref="E278" si="497">E277/E35</f>
        <v>0.32149516009153506</v>
      </c>
      <c r="F278" s="350">
        <f t="shared" ref="F278" si="498">F277/F35</f>
        <v>0.30823055055617155</v>
      </c>
      <c r="G278" s="350">
        <f t="shared" ref="G278:H278" si="499">G277/G35</f>
        <v>0.29373855007043526</v>
      </c>
      <c r="H278" s="350">
        <f t="shared" si="499"/>
        <v>0.28034290943099621</v>
      </c>
      <c r="I278" s="291"/>
      <c r="J278" s="297"/>
    </row>
    <row r="279" spans="1:11">
      <c r="B279" s="290" t="s">
        <v>331</v>
      </c>
      <c r="C279" s="338">
        <f t="shared" ref="C279:H279" si="500">AVERAGE(C$258,C$260,C$262,C$264,C$266,C$268,C$270,C$272)</f>
        <v>144695.375</v>
      </c>
      <c r="D279" s="338">
        <f t="shared" si="500"/>
        <v>157531</v>
      </c>
      <c r="E279" s="338">
        <f t="shared" si="500"/>
        <v>166657.75</v>
      </c>
      <c r="F279" s="338">
        <f t="shared" si="500"/>
        <v>169360</v>
      </c>
      <c r="G279" s="338">
        <f t="shared" si="500"/>
        <v>171926.875</v>
      </c>
      <c r="H279" s="338">
        <f t="shared" si="500"/>
        <v>173765.25</v>
      </c>
      <c r="I279" s="291"/>
      <c r="J279" s="297">
        <f t="shared" si="492"/>
        <v>3.0982705072530203E-2</v>
      </c>
    </row>
    <row r="280" spans="1:11">
      <c r="B280" s="325" t="s">
        <v>328</v>
      </c>
      <c r="C280" s="350">
        <f t="shared" ref="C280" si="501">C279/C37</f>
        <v>0.31864421480470634</v>
      </c>
      <c r="D280" s="350">
        <f t="shared" ref="D280" si="502">D279/D37</f>
        <v>0.32372356452608525</v>
      </c>
      <c r="E280" s="350">
        <f t="shared" ref="E280" si="503">E279/E37</f>
        <v>0.32541979253068154</v>
      </c>
      <c r="F280" s="350">
        <f t="shared" ref="F280" si="504">F279/F37</f>
        <v>0.31475172773263116</v>
      </c>
      <c r="G280" s="350">
        <f t="shared" ref="G280:H280" si="505">G279/G37</f>
        <v>0.30457821173237348</v>
      </c>
      <c r="H280" s="350">
        <f t="shared" si="505"/>
        <v>0.29294606335282886</v>
      </c>
      <c r="I280" s="291"/>
      <c r="J280" s="297"/>
    </row>
    <row r="281" spans="1:11">
      <c r="B281" s="324" t="s">
        <v>311</v>
      </c>
      <c r="C281" s="337">
        <f t="shared" ref="C281:H281" si="506">MIN(C$258,C$260,C$262,C$264,C$266,C$268,C$270,C$272)</f>
        <v>142107</v>
      </c>
      <c r="D281" s="337">
        <f t="shared" si="506"/>
        <v>148716</v>
      </c>
      <c r="E281" s="337">
        <f t="shared" si="506"/>
        <v>153787</v>
      </c>
      <c r="F281" s="337">
        <f t="shared" si="506"/>
        <v>154821</v>
      </c>
      <c r="G281" s="337">
        <f t="shared" si="506"/>
        <v>154821</v>
      </c>
      <c r="H281" s="337">
        <f t="shared" si="506"/>
        <v>154821</v>
      </c>
      <c r="I281" s="291"/>
      <c r="J281" s="297">
        <f t="shared" si="492"/>
        <v>1.4384021244817857E-2</v>
      </c>
    </row>
    <row r="282" spans="1:11">
      <c r="B282" s="326" t="s">
        <v>328</v>
      </c>
      <c r="C282" s="351">
        <f t="shared" ref="C282" si="507">C281/C39</f>
        <v>0.31910564998012703</v>
      </c>
      <c r="D282" s="351">
        <f t="shared" ref="D282" si="508">D281/D39</f>
        <v>0.32274488101826232</v>
      </c>
      <c r="E282" s="351">
        <f t="shared" ref="E282" si="509">E281/E39</f>
        <v>0.32403429407017686</v>
      </c>
      <c r="F282" s="351">
        <f t="shared" ref="F282" si="510">F281/F39</f>
        <v>0.31671665600820631</v>
      </c>
      <c r="G282" s="351">
        <f t="shared" ref="G282:H282" si="511">G281/G39</f>
        <v>0.30749679064886365</v>
      </c>
      <c r="H282" s="351">
        <f t="shared" si="511"/>
        <v>0.29854532265868938</v>
      </c>
      <c r="I282" s="292"/>
      <c r="J282" s="298"/>
    </row>
    <row r="284" spans="1:11">
      <c r="A284" s="353" t="s">
        <v>24</v>
      </c>
      <c r="B284" s="229" t="s">
        <v>11</v>
      </c>
      <c r="C284" s="211" t="s">
        <v>156</v>
      </c>
      <c r="D284" s="211"/>
      <c r="E284" s="211"/>
      <c r="F284" s="211"/>
      <c r="G284" s="211"/>
      <c r="H284" s="211"/>
      <c r="I284" s="230"/>
      <c r="J284" s="2" t="s">
        <v>332</v>
      </c>
    </row>
    <row r="285" spans="1:11">
      <c r="B285" s="282" t="s">
        <v>372</v>
      </c>
      <c r="C285" s="283" t="str">
        <f t="shared" ref="C285:H285" si="512">C$9</f>
        <v>2026E</v>
      </c>
      <c r="D285" s="283" t="str">
        <f t="shared" si="512"/>
        <v>2027E</v>
      </c>
      <c r="E285" s="283" t="str">
        <f t="shared" si="512"/>
        <v>2028E</v>
      </c>
      <c r="F285" s="283" t="str">
        <f t="shared" si="512"/>
        <v>2029E</v>
      </c>
      <c r="G285" s="283" t="str">
        <f t="shared" si="512"/>
        <v>2030E</v>
      </c>
      <c r="H285" s="283" t="str">
        <f t="shared" si="512"/>
        <v>2031E</v>
      </c>
      <c r="I285" s="230"/>
      <c r="J285" s="182" t="str">
        <f>$J$9</f>
        <v>6-Year(F)</v>
      </c>
    </row>
    <row r="286" spans="1:11">
      <c r="B286" s="282" t="s">
        <v>373</v>
      </c>
      <c r="C286" s="230">
        <f t="shared" ref="C286:H286" si="513">C$10</f>
        <v>46295</v>
      </c>
      <c r="D286" s="230">
        <f t="shared" si="513"/>
        <v>46660</v>
      </c>
      <c r="E286" s="230">
        <f t="shared" si="513"/>
        <v>47026</v>
      </c>
      <c r="F286" s="230">
        <f t="shared" si="513"/>
        <v>47391</v>
      </c>
      <c r="G286" s="230">
        <f t="shared" si="513"/>
        <v>47756</v>
      </c>
      <c r="H286" s="230">
        <f t="shared" si="513"/>
        <v>48121</v>
      </c>
      <c r="I286" s="230"/>
      <c r="J286" s="3">
        <f>$H$44</f>
        <v>48121</v>
      </c>
    </row>
    <row r="287" spans="1:11" ht="5.0999999999999996" customHeight="1">
      <c r="B287" s="286"/>
    </row>
    <row r="288" spans="1:11">
      <c r="B288" s="180" t="s">
        <v>326</v>
      </c>
      <c r="C288" s="232">
        <f t="shared" ref="C288:H288" si="514">C258+C344</f>
        <v>160066</v>
      </c>
      <c r="D288" s="232">
        <f t="shared" si="514"/>
        <v>186510</v>
      </c>
      <c r="E288" s="232">
        <f t="shared" si="514"/>
        <v>205474</v>
      </c>
      <c r="F288" s="232">
        <f t="shared" si="514"/>
        <v>205474</v>
      </c>
      <c r="G288" s="232">
        <f t="shared" si="514"/>
        <v>205474</v>
      </c>
      <c r="H288" s="232">
        <f t="shared" si="514"/>
        <v>205474</v>
      </c>
      <c r="J288" s="333">
        <f t="shared" ref="J288" si="515">((H288/C288)^(1/COUNT(C288:H288))-1)</f>
        <v>4.2500560678647492E-2</v>
      </c>
      <c r="K288" s="180" t="s">
        <v>516</v>
      </c>
    </row>
    <row r="289" spans="2:11">
      <c r="B289" s="287" t="s">
        <v>328</v>
      </c>
      <c r="C289" s="294">
        <f>C288/C12</f>
        <v>0.34793779698375366</v>
      </c>
      <c r="D289" s="294">
        <f t="shared" ref="D289:H289" si="516">D288/D12</f>
        <v>0.35573280844100114</v>
      </c>
      <c r="E289" s="294">
        <f t="shared" si="516"/>
        <v>0.36910016184979405</v>
      </c>
      <c r="F289" s="294">
        <f t="shared" si="516"/>
        <v>0.34684112536056683</v>
      </c>
      <c r="G289" s="294">
        <f t="shared" si="516"/>
        <v>0.32518308093034159</v>
      </c>
      <c r="H289" s="294">
        <f t="shared" si="516"/>
        <v>0.30417980914675535</v>
      </c>
      <c r="J289" s="331"/>
    </row>
    <row r="290" spans="2:11">
      <c r="B290" s="180" t="s">
        <v>336</v>
      </c>
      <c r="C290" s="232">
        <f t="shared" ref="C290:H290" si="517">C260+C346</f>
        <v>155128</v>
      </c>
      <c r="D290" s="232">
        <f t="shared" si="517"/>
        <v>163583</v>
      </c>
      <c r="E290" s="232">
        <f t="shared" si="517"/>
        <v>180925</v>
      </c>
      <c r="F290" s="232">
        <f t="shared" si="517"/>
        <v>198313</v>
      </c>
      <c r="G290" s="232">
        <f t="shared" si="517"/>
        <v>217802</v>
      </c>
      <c r="H290" s="232">
        <f t="shared" si="517"/>
        <v>233412</v>
      </c>
      <c r="J290" s="330">
        <f t="shared" ref="J290" si="518">((H290/C290)^(1/COUNT(C290:H290))-1)</f>
        <v>7.0464241534354821E-2</v>
      </c>
      <c r="K290" s="180" t="s">
        <v>516</v>
      </c>
    </row>
    <row r="291" spans="2:11">
      <c r="B291" s="287" t="s">
        <v>328</v>
      </c>
      <c r="C291" s="294">
        <f>C290/C26</f>
        <v>0.34613264907681152</v>
      </c>
      <c r="D291" s="294">
        <f t="shared" ref="D291:H291" si="519">D290/D26</f>
        <v>0.34204710118411613</v>
      </c>
      <c r="E291" s="294">
        <f t="shared" si="519"/>
        <v>0.34697583970358664</v>
      </c>
      <c r="F291" s="294">
        <f t="shared" si="519"/>
        <v>0.35860912901487507</v>
      </c>
      <c r="G291" s="294">
        <f t="shared" si="519"/>
        <v>0.37748818410439239</v>
      </c>
      <c r="H291" s="294">
        <f t="shared" si="519"/>
        <v>0.38590956887486855</v>
      </c>
      <c r="J291" s="331"/>
    </row>
    <row r="292" spans="2:11">
      <c r="B292" s="180" t="s">
        <v>335</v>
      </c>
      <c r="C292" s="232">
        <f t="shared" ref="C292:H292" si="520">C262+C354</f>
        <v>159310</v>
      </c>
      <c r="D292" s="232">
        <f t="shared" si="520"/>
        <v>178759</v>
      </c>
      <c r="E292" s="232">
        <f t="shared" si="520"/>
        <v>188259</v>
      </c>
      <c r="F292" s="232">
        <f t="shared" si="520"/>
        <v>188259</v>
      </c>
      <c r="G292" s="232">
        <f t="shared" si="520"/>
        <v>188259</v>
      </c>
      <c r="H292" s="232">
        <f t="shared" si="520"/>
        <v>188259</v>
      </c>
      <c r="J292" s="330">
        <f t="shared" ref="J292" si="521">((H292/C292)^(1/COUNT(C292:H292))-1)</f>
        <v>2.8218590175155933E-2</v>
      </c>
      <c r="K292" s="180" t="s">
        <v>517</v>
      </c>
    </row>
    <row r="293" spans="2:11">
      <c r="B293" s="287" t="s">
        <v>328</v>
      </c>
      <c r="C293" s="294">
        <f>C292/C14</f>
        <v>0.3499334443326641</v>
      </c>
      <c r="D293" s="294">
        <f t="shared" ref="D293:H293" si="522">D292/D14</f>
        <v>0.356570236311883</v>
      </c>
      <c r="E293" s="294">
        <f t="shared" si="522"/>
        <v>0.36216468904381549</v>
      </c>
      <c r="F293" s="294">
        <f t="shared" si="522"/>
        <v>0.34814799862164342</v>
      </c>
      <c r="G293" s="294">
        <f t="shared" si="522"/>
        <v>0.33356086787941558</v>
      </c>
      <c r="H293" s="294">
        <f t="shared" si="522"/>
        <v>0.31850497536543604</v>
      </c>
      <c r="J293" s="331"/>
    </row>
    <row r="294" spans="2:11">
      <c r="B294" s="180" t="s">
        <v>385</v>
      </c>
      <c r="C294" s="232">
        <f t="shared" ref="C294:H294" si="523">C264+C348</f>
        <v>155150</v>
      </c>
      <c r="D294" s="232">
        <f t="shared" si="523"/>
        <v>162026</v>
      </c>
      <c r="E294" s="232">
        <f t="shared" si="523"/>
        <v>167400</v>
      </c>
      <c r="F294" s="232">
        <f t="shared" si="523"/>
        <v>173189</v>
      </c>
      <c r="G294" s="232">
        <f t="shared" si="523"/>
        <v>176771</v>
      </c>
      <c r="H294" s="232">
        <f t="shared" si="523"/>
        <v>176771</v>
      </c>
      <c r="J294" s="330">
        <f t="shared" ref="J294" si="524">((H294/C294)^(1/COUNT(C294:H294))-1)</f>
        <v>2.1981905312387084E-2</v>
      </c>
      <c r="K294" s="180" t="s">
        <v>517</v>
      </c>
    </row>
    <row r="295" spans="2:11">
      <c r="B295" s="287" t="s">
        <v>328</v>
      </c>
      <c r="C295" s="294">
        <f>C294/C18</f>
        <v>0.34839410862530851</v>
      </c>
      <c r="D295" s="294">
        <f t="shared" ref="D295:H295" si="525">D294/D18</f>
        <v>0.3492549345898745</v>
      </c>
      <c r="E295" s="294">
        <f t="shared" si="525"/>
        <v>0.34873619585891391</v>
      </c>
      <c r="F295" s="294">
        <f t="shared" si="525"/>
        <v>0.34891531214995447</v>
      </c>
      <c r="G295" s="294">
        <f t="shared" si="525"/>
        <v>0.34815808339832827</v>
      </c>
      <c r="H295" s="294">
        <f t="shared" si="525"/>
        <v>0.34036290583994672</v>
      </c>
      <c r="J295" s="331"/>
    </row>
    <row r="296" spans="2:11">
      <c r="B296" s="180" t="s">
        <v>391</v>
      </c>
      <c r="C296" s="232">
        <f t="shared" ref="C296:H296" si="526">C266+C350</f>
        <v>159435</v>
      </c>
      <c r="D296" s="232">
        <f t="shared" si="526"/>
        <v>165519</v>
      </c>
      <c r="E296" s="232">
        <f t="shared" si="526"/>
        <v>170905</v>
      </c>
      <c r="F296" s="232">
        <f t="shared" si="526"/>
        <v>170905</v>
      </c>
      <c r="G296" s="232">
        <f t="shared" si="526"/>
        <v>170905</v>
      </c>
      <c r="H296" s="232">
        <f t="shared" si="526"/>
        <v>170905</v>
      </c>
      <c r="J296" s="330">
        <f t="shared" ref="J296" si="527">((H296/C296)^(1/COUNT(C296:H296))-1)</f>
        <v>1.1645879803583004E-2</v>
      </c>
      <c r="K296" s="180" t="s">
        <v>516</v>
      </c>
    </row>
    <row r="297" spans="2:11">
      <c r="B297" s="287" t="s">
        <v>328</v>
      </c>
      <c r="C297" s="294">
        <f>C296/C20</f>
        <v>0.35370812839847987</v>
      </c>
      <c r="D297" s="294">
        <f t="shared" ref="D297" si="528">D296/D20</f>
        <v>0.35921091181353559</v>
      </c>
      <c r="E297" s="294">
        <f t="shared" ref="E297" si="529">E296/E20</f>
        <v>0.36010248608831419</v>
      </c>
      <c r="F297" s="294">
        <f t="shared" ref="F297" si="530">F296/F20</f>
        <v>0.34961962585878209</v>
      </c>
      <c r="G297" s="294">
        <f t="shared" ref="G297" si="531">G296/G20</f>
        <v>0.3394419297501246</v>
      </c>
      <c r="H297" s="294">
        <f t="shared" ref="H297" si="532">H296/H20</f>
        <v>0.32956051420016219</v>
      </c>
      <c r="J297" s="331"/>
    </row>
    <row r="298" spans="2:11">
      <c r="B298" s="180" t="s">
        <v>384</v>
      </c>
      <c r="C298" s="232">
        <f t="shared" ref="C298:H298" si="533">C268+C352</f>
        <v>155943</v>
      </c>
      <c r="D298" s="232">
        <f t="shared" si="533"/>
        <v>166774</v>
      </c>
      <c r="E298" s="232">
        <f t="shared" si="533"/>
        <v>177664</v>
      </c>
      <c r="F298" s="232">
        <f t="shared" si="533"/>
        <v>177664</v>
      </c>
      <c r="G298" s="232">
        <f t="shared" si="533"/>
        <v>177664</v>
      </c>
      <c r="H298" s="232">
        <f t="shared" si="533"/>
        <v>177664</v>
      </c>
      <c r="J298" s="330">
        <f t="shared" ref="J298" si="534">((H298/C298)^(1/COUNT(C298:H298))-1)</f>
        <v>2.1971830567913075E-2</v>
      </c>
      <c r="K298" s="180" t="s">
        <v>516</v>
      </c>
    </row>
    <row r="299" spans="2:11">
      <c r="B299" s="287" t="s">
        <v>328</v>
      </c>
      <c r="C299" s="294">
        <f>C298/C16</f>
        <v>0.34205077362438746</v>
      </c>
      <c r="D299" s="294">
        <f t="shared" ref="D299:H299" si="535">D298/D16</f>
        <v>0.34654121636644342</v>
      </c>
      <c r="E299" s="294">
        <f t="shared" si="535"/>
        <v>0.35220534739003989</v>
      </c>
      <c r="F299" s="294">
        <f t="shared" si="535"/>
        <v>0.33573324246908132</v>
      </c>
      <c r="G299" s="294">
        <f t="shared" si="535"/>
        <v>0.31975526033113666</v>
      </c>
      <c r="H299" s="294">
        <f t="shared" si="535"/>
        <v>0.30427276104785644</v>
      </c>
      <c r="J299" s="331"/>
    </row>
    <row r="300" spans="2:11">
      <c r="B300" s="180" t="s">
        <v>337</v>
      </c>
      <c r="C300" s="232">
        <f t="shared" ref="C300:H300" si="536">C270+C356</f>
        <v>159690</v>
      </c>
      <c r="D300" s="232">
        <f t="shared" si="536"/>
        <v>180379</v>
      </c>
      <c r="E300" s="232">
        <f t="shared" si="536"/>
        <v>193125</v>
      </c>
      <c r="F300" s="232">
        <f t="shared" si="536"/>
        <v>193125</v>
      </c>
      <c r="G300" s="232">
        <f t="shared" si="536"/>
        <v>193125</v>
      </c>
      <c r="H300" s="232">
        <f t="shared" si="536"/>
        <v>193125</v>
      </c>
      <c r="J300" s="330">
        <f t="shared" ref="J300" si="537">((H300/C300)^(1/COUNT(C300:H300))-1)</f>
        <v>3.2191145723895476E-2</v>
      </c>
      <c r="K300" s="180" t="s">
        <v>516</v>
      </c>
    </row>
    <row r="301" spans="2:11">
      <c r="B301" s="287" t="s">
        <v>328</v>
      </c>
      <c r="C301" s="294">
        <f>C300/C28</f>
        <v>0.34738552636444914</v>
      </c>
      <c r="D301" s="294">
        <f t="shared" ref="D301:H301" si="538">D300/D28</f>
        <v>0.36129343687344645</v>
      </c>
      <c r="E301" s="294">
        <f t="shared" si="538"/>
        <v>0.36635543448568914</v>
      </c>
      <c r="F301" s="294">
        <f t="shared" si="538"/>
        <v>0.34673655273029808</v>
      </c>
      <c r="G301" s="294">
        <f t="shared" si="538"/>
        <v>0.32794229757351523</v>
      </c>
      <c r="H301" s="294">
        <f t="shared" si="538"/>
        <v>0.30994896014926998</v>
      </c>
      <c r="J301" s="331"/>
    </row>
    <row r="302" spans="2:11" ht="5.0999999999999996" customHeight="1"/>
    <row r="303" spans="2:11">
      <c r="B303" s="293" t="s">
        <v>188</v>
      </c>
      <c r="C303" s="336">
        <f>MAX(C$288,C$290,C$292,C$294,C$296,C$298,C$300)</f>
        <v>160066</v>
      </c>
      <c r="D303" s="336">
        <f t="shared" ref="D303:H303" si="539">MAX(D$288,D$290,D$292,D$294,D$296,D$298,D$300)</f>
        <v>186510</v>
      </c>
      <c r="E303" s="336">
        <f t="shared" si="539"/>
        <v>205474</v>
      </c>
      <c r="F303" s="336">
        <f t="shared" si="539"/>
        <v>205474</v>
      </c>
      <c r="G303" s="336">
        <f t="shared" si="539"/>
        <v>217802</v>
      </c>
      <c r="H303" s="336">
        <f t="shared" si="539"/>
        <v>233412</v>
      </c>
      <c r="I303" s="289"/>
      <c r="J303" s="299">
        <f t="shared" ref="J303" si="540">((H303/C303)^(1/COUNT(C303:H303))-1)</f>
        <v>6.4888199908169408E-2</v>
      </c>
    </row>
    <row r="304" spans="2:11">
      <c r="B304" s="325" t="s">
        <v>328</v>
      </c>
      <c r="C304" s="350">
        <f>C303/C33</f>
        <v>0.34793779698375366</v>
      </c>
      <c r="D304" s="350">
        <f t="shared" ref="D304:H304" si="541">D303/D33</f>
        <v>0.35573280844100114</v>
      </c>
      <c r="E304" s="350">
        <f t="shared" si="541"/>
        <v>0.36910016184979405</v>
      </c>
      <c r="F304" s="350">
        <f t="shared" si="541"/>
        <v>0.34684112536056683</v>
      </c>
      <c r="G304" s="350">
        <f t="shared" si="541"/>
        <v>0.34469336944231516</v>
      </c>
      <c r="H304" s="350">
        <f t="shared" si="541"/>
        <v>0.34553869400781834</v>
      </c>
      <c r="I304" s="291"/>
      <c r="J304" s="297"/>
    </row>
    <row r="305" spans="1:11">
      <c r="B305" s="290" t="s">
        <v>374</v>
      </c>
      <c r="C305" s="338">
        <f>MEDIAN(C$288,C$290,C$292,C$294,C$296,C$298,C$300)</f>
        <v>159310</v>
      </c>
      <c r="D305" s="339">
        <f>MEDIAN(D$288,D$290,D$292,D$294,D$296,D$298,D$300)</f>
        <v>166774</v>
      </c>
      <c r="E305" s="338">
        <f t="shared" ref="E305:H305" si="542">MEDIAN(E$288,E$290,E$292,E$294,E$296,E$298,E$300)</f>
        <v>180925</v>
      </c>
      <c r="F305" s="338">
        <f t="shared" si="542"/>
        <v>188259</v>
      </c>
      <c r="G305" s="338">
        <f t="shared" si="542"/>
        <v>188259</v>
      </c>
      <c r="H305" s="338">
        <f t="shared" si="542"/>
        <v>188259</v>
      </c>
      <c r="I305" s="291"/>
      <c r="J305" s="297">
        <f t="shared" ref="J305" si="543">((H305/C305)^(1/COUNT(C305:H305))-1)</f>
        <v>2.8218590175155933E-2</v>
      </c>
    </row>
    <row r="306" spans="1:11">
      <c r="B306" s="325" t="s">
        <v>328</v>
      </c>
      <c r="C306" s="350">
        <f>C305/C35</f>
        <v>0.35040496066615784</v>
      </c>
      <c r="D306" s="350">
        <f t="shared" ref="D306" si="544">D305/D35</f>
        <v>0.34365250392248381</v>
      </c>
      <c r="E306" s="350">
        <f t="shared" ref="E306" si="545">E305/E35</f>
        <v>0.35020236636820701</v>
      </c>
      <c r="F306" s="350">
        <f t="shared" ref="F306" si="546">F305/F35</f>
        <v>0.34615810356706533</v>
      </c>
      <c r="G306" s="350">
        <f t="shared" ref="G306" si="547">G305/G35</f>
        <v>0.3298828725882294</v>
      </c>
      <c r="H306" s="350">
        <f t="shared" ref="H306" si="548">H305/H35</f>
        <v>0.31483890776564089</v>
      </c>
      <c r="I306" s="291"/>
      <c r="J306" s="297"/>
    </row>
    <row r="307" spans="1:11">
      <c r="B307" s="290" t="s">
        <v>331</v>
      </c>
      <c r="C307" s="338">
        <f>AVERAGE(C$288,C$290,C$292,C$294,C$296,C$298,C$300)</f>
        <v>157817.42857142858</v>
      </c>
      <c r="D307" s="338">
        <f t="shared" ref="D307:H307" si="549">AVERAGE(D$288,D$290,D$292,D$294,D$296,D$298,D$300)</f>
        <v>171935.71428571429</v>
      </c>
      <c r="E307" s="338">
        <f t="shared" si="549"/>
        <v>183393.14285714287</v>
      </c>
      <c r="F307" s="338">
        <f t="shared" si="549"/>
        <v>186704.14285714287</v>
      </c>
      <c r="G307" s="338">
        <f t="shared" si="549"/>
        <v>190000</v>
      </c>
      <c r="H307" s="338">
        <f t="shared" si="549"/>
        <v>192230</v>
      </c>
      <c r="I307" s="291"/>
      <c r="J307" s="297">
        <f t="shared" ref="J307" si="550">((H307/C307)^(1/COUNT(C307:H307))-1)</f>
        <v>3.3421994603897831E-2</v>
      </c>
    </row>
    <row r="308" spans="1:11">
      <c r="B308" s="325" t="s">
        <v>328</v>
      </c>
      <c r="C308" s="350">
        <f>C307/C37</f>
        <v>0.34754124386934054</v>
      </c>
      <c r="D308" s="350">
        <f t="shared" ref="D308" si="551">D307/D37</f>
        <v>0.35332501093695839</v>
      </c>
      <c r="E308" s="350">
        <f t="shared" ref="E308" si="552">E307/E37</f>
        <v>0.35809770922817014</v>
      </c>
      <c r="F308" s="350">
        <f t="shared" ref="F308" si="553">F307/F37</f>
        <v>0.34698542477046351</v>
      </c>
      <c r="G308" s="350">
        <f t="shared" ref="G308" si="554">G307/G37</f>
        <v>0.33659577788028172</v>
      </c>
      <c r="H308" s="350">
        <f t="shared" ref="H308" si="555">H307/H37</f>
        <v>0.32407527833277533</v>
      </c>
      <c r="I308" s="291"/>
      <c r="J308" s="297"/>
    </row>
    <row r="309" spans="1:11">
      <c r="B309" s="324" t="s">
        <v>311</v>
      </c>
      <c r="C309" s="337">
        <f>MIN(C$288,C$290,C$292,C$294,C$296,C$298,C$300)</f>
        <v>155128</v>
      </c>
      <c r="D309" s="337">
        <f t="shared" ref="D309:H309" si="556">MIN(D$288,D$290,D$292,D$294,D$296,D$298,D$300)</f>
        <v>162026</v>
      </c>
      <c r="E309" s="337">
        <f t="shared" si="556"/>
        <v>167400</v>
      </c>
      <c r="F309" s="337">
        <f t="shared" si="556"/>
        <v>170905</v>
      </c>
      <c r="G309" s="337">
        <f t="shared" si="556"/>
        <v>170905</v>
      </c>
      <c r="H309" s="337">
        <f t="shared" si="556"/>
        <v>170905</v>
      </c>
      <c r="I309" s="291"/>
      <c r="J309" s="297">
        <f t="shared" ref="J309" si="557">((H309/C309)^(1/COUNT(C309:H309))-1)</f>
        <v>1.6273877533146797E-2</v>
      </c>
    </row>
    <row r="310" spans="1:11">
      <c r="B310" s="326" t="s">
        <v>328</v>
      </c>
      <c r="C310" s="351">
        <f>C309/C39</f>
        <v>0.34834470694699876</v>
      </c>
      <c r="D310" s="351">
        <f t="shared" ref="D310" si="558">D309/D39</f>
        <v>0.35163036991221502</v>
      </c>
      <c r="E310" s="351">
        <f t="shared" ref="E310" si="559">E309/E39</f>
        <v>0.35271733519314119</v>
      </c>
      <c r="F310" s="351">
        <f t="shared" ref="F310" si="560">F309/F39</f>
        <v>0.34961962585878209</v>
      </c>
      <c r="G310" s="351">
        <f t="shared" ref="G310" si="561">G309/G39</f>
        <v>0.3394419297501246</v>
      </c>
      <c r="H310" s="351">
        <f t="shared" ref="H310" si="562">H309/H39</f>
        <v>0.32956051420016219</v>
      </c>
      <c r="I310" s="292"/>
      <c r="J310" s="298"/>
    </row>
    <row r="312" spans="1:11">
      <c r="A312" s="353" t="s">
        <v>24</v>
      </c>
      <c r="B312" s="229" t="s">
        <v>343</v>
      </c>
      <c r="C312" s="211" t="s">
        <v>156</v>
      </c>
      <c r="D312" s="211"/>
      <c r="E312" s="211"/>
      <c r="F312" s="211"/>
      <c r="G312" s="211"/>
      <c r="H312" s="211"/>
      <c r="I312" s="230"/>
      <c r="J312" s="2" t="s">
        <v>332</v>
      </c>
    </row>
    <row r="313" spans="1:11">
      <c r="B313" s="282" t="s">
        <v>372</v>
      </c>
      <c r="C313" s="283" t="str">
        <f t="shared" ref="C313:H313" si="563">C$9</f>
        <v>2026E</v>
      </c>
      <c r="D313" s="283" t="str">
        <f t="shared" si="563"/>
        <v>2027E</v>
      </c>
      <c r="E313" s="283" t="str">
        <f t="shared" si="563"/>
        <v>2028E</v>
      </c>
      <c r="F313" s="283" t="str">
        <f t="shared" si="563"/>
        <v>2029E</v>
      </c>
      <c r="G313" s="283" t="str">
        <f t="shared" si="563"/>
        <v>2030E</v>
      </c>
      <c r="H313" s="283" t="str">
        <f t="shared" si="563"/>
        <v>2031E</v>
      </c>
      <c r="I313" s="230"/>
      <c r="J313" s="182" t="str">
        <f>$J$9</f>
        <v>6-Year(F)</v>
      </c>
    </row>
    <row r="314" spans="1:11">
      <c r="B314" s="282" t="s">
        <v>373</v>
      </c>
      <c r="C314" s="230">
        <f t="shared" ref="C314:H314" si="564">C$10</f>
        <v>46295</v>
      </c>
      <c r="D314" s="230">
        <f t="shared" si="564"/>
        <v>46660</v>
      </c>
      <c r="E314" s="230">
        <f t="shared" si="564"/>
        <v>47026</v>
      </c>
      <c r="F314" s="230">
        <f t="shared" si="564"/>
        <v>47391</v>
      </c>
      <c r="G314" s="230">
        <f t="shared" si="564"/>
        <v>47756</v>
      </c>
      <c r="H314" s="230">
        <f t="shared" si="564"/>
        <v>48121</v>
      </c>
      <c r="I314" s="230"/>
      <c r="J314" s="3">
        <f>$H$44</f>
        <v>48121</v>
      </c>
    </row>
    <row r="315" spans="1:11" ht="5.0999999999999996" customHeight="1">
      <c r="B315" s="286"/>
    </row>
    <row r="316" spans="1:11">
      <c r="B316" s="180" t="s">
        <v>336</v>
      </c>
      <c r="C316" s="231">
        <v>21574</v>
      </c>
      <c r="D316" s="231">
        <v>22955</v>
      </c>
      <c r="E316" s="231">
        <v>25492</v>
      </c>
      <c r="F316" s="231">
        <v>27958</v>
      </c>
      <c r="G316" s="231">
        <v>30602</v>
      </c>
      <c r="H316" s="231">
        <v>32876</v>
      </c>
      <c r="J316" s="330">
        <f t="shared" ref="J316:J326" si="565">((H316/C316)^(1/COUNT(C316:H316))-1)</f>
        <v>7.2732362882736989E-2</v>
      </c>
      <c r="K316" s="180" t="s">
        <v>516</v>
      </c>
    </row>
    <row r="317" spans="1:11">
      <c r="B317" s="287" t="s">
        <v>344</v>
      </c>
      <c r="C317" s="311">
        <f t="shared" ref="C317:H317" si="566">C316/C260</f>
        <v>0.15039386545834785</v>
      </c>
      <c r="D317" s="311">
        <f t="shared" si="566"/>
        <v>0.15047130852026167</v>
      </c>
      <c r="E317" s="311">
        <f t="shared" si="566"/>
        <v>0.15060942106475875</v>
      </c>
      <c r="F317" s="311">
        <f t="shared" si="566"/>
        <v>0.15079095405293164</v>
      </c>
      <c r="G317" s="311">
        <f t="shared" si="566"/>
        <v>0.15099199202656496</v>
      </c>
      <c r="H317" s="311">
        <f t="shared" si="566"/>
        <v>0.15123746434814611</v>
      </c>
      <c r="J317" s="331"/>
    </row>
    <row r="318" spans="1:11">
      <c r="B318" s="180" t="s">
        <v>384</v>
      </c>
      <c r="C318" s="231">
        <v>22308</v>
      </c>
      <c r="D318" s="231">
        <v>24499</v>
      </c>
      <c r="E318" s="231">
        <v>26181</v>
      </c>
      <c r="F318" s="232">
        <f t="shared" ref="F318:G318" si="567">E318</f>
        <v>26181</v>
      </c>
      <c r="G318" s="232">
        <f t="shared" si="567"/>
        <v>26181</v>
      </c>
      <c r="H318" s="232">
        <f t="shared" ref="H318" si="568">G318</f>
        <v>26181</v>
      </c>
      <c r="J318" s="330">
        <f t="shared" si="565"/>
        <v>2.7040569465421438E-2</v>
      </c>
      <c r="K318" s="180" t="s">
        <v>516</v>
      </c>
    </row>
    <row r="319" spans="1:11">
      <c r="B319" s="287" t="s">
        <v>344</v>
      </c>
      <c r="C319" s="311">
        <f t="shared" ref="C319:H319" si="569">C318/C268</f>
        <v>0.15679053128009052</v>
      </c>
      <c r="D319" s="311">
        <f t="shared" si="569"/>
        <v>0.16045137797338363</v>
      </c>
      <c r="E319" s="311">
        <f t="shared" si="569"/>
        <v>0.16068962554241417</v>
      </c>
      <c r="F319" s="311">
        <f t="shared" si="569"/>
        <v>0.16068962554241417</v>
      </c>
      <c r="G319" s="311">
        <f t="shared" si="569"/>
        <v>0.16068962554241417</v>
      </c>
      <c r="H319" s="311">
        <f t="shared" si="569"/>
        <v>0.16068962554241417</v>
      </c>
      <c r="J319" s="331"/>
    </row>
    <row r="320" spans="1:11">
      <c r="B320" s="180" t="s">
        <v>385</v>
      </c>
      <c r="C320" s="231">
        <v>24100</v>
      </c>
      <c r="D320" s="231">
        <v>25289</v>
      </c>
      <c r="E320" s="231">
        <v>26228</v>
      </c>
      <c r="F320" s="231">
        <v>27251</v>
      </c>
      <c r="G320" s="231">
        <v>27905</v>
      </c>
      <c r="H320" s="232">
        <f t="shared" ref="H320:H322" si="570">G320</f>
        <v>27905</v>
      </c>
      <c r="J320" s="330">
        <f t="shared" si="565"/>
        <v>2.473325594893816E-2</v>
      </c>
      <c r="K320" s="180" t="s">
        <v>516</v>
      </c>
    </row>
    <row r="321" spans="2:11">
      <c r="B321" s="287" t="s">
        <v>344</v>
      </c>
      <c r="C321" s="311">
        <f t="shared" ref="C321:H321" si="571">C320/C264</f>
        <v>0.16959051981957257</v>
      </c>
      <c r="D321" s="311">
        <f t="shared" si="571"/>
        <v>0.17004895236558273</v>
      </c>
      <c r="E321" s="311">
        <f t="shared" si="571"/>
        <v>0.1705475755427962</v>
      </c>
      <c r="F321" s="311">
        <f t="shared" si="571"/>
        <v>0.17111550657750149</v>
      </c>
      <c r="G321" s="311">
        <f t="shared" si="571"/>
        <v>0.17169560562617672</v>
      </c>
      <c r="H321" s="311">
        <f t="shared" si="571"/>
        <v>0.17169560562617672</v>
      </c>
      <c r="J321" s="331"/>
    </row>
    <row r="322" spans="2:11">
      <c r="B322" s="180" t="s">
        <v>327</v>
      </c>
      <c r="C322" s="231">
        <v>24643</v>
      </c>
      <c r="D322" s="231">
        <v>26252</v>
      </c>
      <c r="E322" s="232">
        <f t="shared" ref="E322:G322" si="572">D322</f>
        <v>26252</v>
      </c>
      <c r="F322" s="232">
        <f t="shared" si="572"/>
        <v>26252</v>
      </c>
      <c r="G322" s="232">
        <f t="shared" si="572"/>
        <v>26252</v>
      </c>
      <c r="H322" s="232">
        <f t="shared" si="570"/>
        <v>26252</v>
      </c>
      <c r="J322" s="330">
        <f t="shared" si="565"/>
        <v>1.0597306562019737E-2</v>
      </c>
      <c r="K322" s="180" t="s">
        <v>516</v>
      </c>
    </row>
    <row r="323" spans="2:11">
      <c r="B323" s="287" t="s">
        <v>344</v>
      </c>
      <c r="C323" s="311">
        <f t="shared" ref="C323:H323" si="573">C322/C266</f>
        <v>0.16814044568169104</v>
      </c>
      <c r="D323" s="311">
        <f t="shared" si="573"/>
        <v>0.17202356379458347</v>
      </c>
      <c r="E323" s="311">
        <f t="shared" si="573"/>
        <v>0.16673123701977122</v>
      </c>
      <c r="F323" s="311">
        <f t="shared" si="573"/>
        <v>0.16673123701977122</v>
      </c>
      <c r="G323" s="311">
        <f t="shared" si="573"/>
        <v>0.16673123701977122</v>
      </c>
      <c r="H323" s="311">
        <f t="shared" si="573"/>
        <v>0.16673123701977122</v>
      </c>
      <c r="J323" s="331"/>
    </row>
    <row r="324" spans="2:11">
      <c r="B324" s="180" t="s">
        <v>391</v>
      </c>
      <c r="C324" s="231">
        <v>22957</v>
      </c>
      <c r="D324" s="231">
        <v>25969</v>
      </c>
      <c r="E324" s="231">
        <v>26792</v>
      </c>
      <c r="F324" s="232">
        <f t="shared" ref="F324:G324" si="574">E324</f>
        <v>26792</v>
      </c>
      <c r="G324" s="232">
        <f t="shared" si="574"/>
        <v>26792</v>
      </c>
      <c r="H324" s="232">
        <f t="shared" ref="H324" si="575">G324</f>
        <v>26792</v>
      </c>
      <c r="J324" s="330">
        <f t="shared" si="565"/>
        <v>2.6081049353394725E-2</v>
      </c>
      <c r="K324" s="180" t="s">
        <v>516</v>
      </c>
    </row>
    <row r="325" spans="2:11">
      <c r="B325" s="287" t="s">
        <v>344</v>
      </c>
      <c r="C325" s="311">
        <f t="shared" ref="C325:H325" si="576">C324/C266</f>
        <v>0.15663678170330644</v>
      </c>
      <c r="D325" s="311">
        <f t="shared" si="576"/>
        <v>0.17016912723531685</v>
      </c>
      <c r="E325" s="311">
        <f t="shared" si="576"/>
        <v>0.17016087544696445</v>
      </c>
      <c r="F325" s="311">
        <f t="shared" si="576"/>
        <v>0.17016087544696445</v>
      </c>
      <c r="G325" s="311">
        <f t="shared" si="576"/>
        <v>0.17016087544696445</v>
      </c>
      <c r="H325" s="311">
        <f t="shared" si="576"/>
        <v>0.17016087544696445</v>
      </c>
      <c r="J325" s="331"/>
    </row>
    <row r="326" spans="2:11">
      <c r="B326" s="180" t="s">
        <v>337</v>
      </c>
      <c r="C326" s="231">
        <v>23808</v>
      </c>
      <c r="D326" s="231">
        <v>26460</v>
      </c>
      <c r="E326" s="231">
        <v>28203</v>
      </c>
      <c r="F326" s="232">
        <f t="shared" ref="F326:G326" si="577">E326</f>
        <v>28203</v>
      </c>
      <c r="G326" s="232">
        <f t="shared" si="577"/>
        <v>28203</v>
      </c>
      <c r="H326" s="232">
        <f t="shared" ref="H326" si="578">G326</f>
        <v>28203</v>
      </c>
      <c r="J326" s="330">
        <f t="shared" si="565"/>
        <v>2.8636819475136743E-2</v>
      </c>
      <c r="K326" s="180" t="s">
        <v>516</v>
      </c>
    </row>
    <row r="327" spans="2:11">
      <c r="B327" s="287" t="s">
        <v>344</v>
      </c>
      <c r="C327" s="311">
        <f t="shared" ref="C327:H327" si="579">C326/C270</f>
        <v>0.16386650056095092</v>
      </c>
      <c r="D327" s="311">
        <f t="shared" si="579"/>
        <v>0.16043948048168225</v>
      </c>
      <c r="E327" s="311">
        <f t="shared" si="579"/>
        <v>0.16015241253598786</v>
      </c>
      <c r="F327" s="311">
        <f t="shared" si="579"/>
        <v>0.16015241253598786</v>
      </c>
      <c r="G327" s="311">
        <f t="shared" si="579"/>
        <v>0.16015241253598786</v>
      </c>
      <c r="H327" s="311">
        <f t="shared" si="579"/>
        <v>0.16015241253598786</v>
      </c>
      <c r="J327" s="332"/>
    </row>
    <row r="328" spans="2:11" ht="5.0999999999999996" customHeight="1"/>
    <row r="329" spans="2:11">
      <c r="B329" s="293" t="s">
        <v>188</v>
      </c>
      <c r="C329" s="336">
        <f>MAX(,C$316,C$318,C$322,C$320,C$324,C$326)</f>
        <v>24643</v>
      </c>
      <c r="D329" s="336">
        <f t="shared" ref="D329:H329" si="580">MAX(,D$316,D$318,D$322,D$320,D$324,D$326)</f>
        <v>26460</v>
      </c>
      <c r="E329" s="336">
        <f t="shared" si="580"/>
        <v>28203</v>
      </c>
      <c r="F329" s="336">
        <f t="shared" si="580"/>
        <v>28203</v>
      </c>
      <c r="G329" s="336">
        <f t="shared" si="580"/>
        <v>30602</v>
      </c>
      <c r="H329" s="336">
        <f t="shared" si="580"/>
        <v>32876</v>
      </c>
      <c r="I329" s="289"/>
      <c r="J329" s="299">
        <f t="shared" ref="J329:J335" si="581">((H329/C329)^(1/COUNT(C329:H329))-1)</f>
        <v>4.9214375838542601E-2</v>
      </c>
    </row>
    <row r="330" spans="2:11">
      <c r="B330" s="325" t="s">
        <v>328</v>
      </c>
      <c r="C330" s="350">
        <f t="shared" ref="C330:H330" si="582">C329/C275</f>
        <v>0.16814044568169104</v>
      </c>
      <c r="D330" s="350">
        <f t="shared" si="582"/>
        <v>0.15547603518482611</v>
      </c>
      <c r="E330" s="350">
        <f t="shared" si="582"/>
        <v>0.15115849050536234</v>
      </c>
      <c r="F330" s="350">
        <f t="shared" si="582"/>
        <v>0.15115849050536234</v>
      </c>
      <c r="G330" s="350">
        <f t="shared" si="582"/>
        <v>0.15099199202656496</v>
      </c>
      <c r="H330" s="350">
        <f t="shared" si="582"/>
        <v>0.15123746434814611</v>
      </c>
      <c r="I330" s="291"/>
      <c r="J330" s="297"/>
    </row>
    <row r="331" spans="2:11">
      <c r="B331" s="290" t="s">
        <v>374</v>
      </c>
      <c r="C331" s="338">
        <f>MEDIAN(C$316,C$318,C$322,C$320,C$324,C$326)</f>
        <v>23382.5</v>
      </c>
      <c r="D331" s="338">
        <f t="shared" ref="D331:H331" si="583">MEDIAN(D$316,D$318,D$322,D$320,D$324,D$326)</f>
        <v>25629</v>
      </c>
      <c r="E331" s="338">
        <f t="shared" si="583"/>
        <v>26240</v>
      </c>
      <c r="F331" s="338">
        <f t="shared" si="583"/>
        <v>27021.5</v>
      </c>
      <c r="G331" s="338">
        <f t="shared" si="583"/>
        <v>27348.5</v>
      </c>
      <c r="H331" s="338">
        <f t="shared" si="583"/>
        <v>27348.5</v>
      </c>
      <c r="I331" s="291"/>
      <c r="J331" s="297">
        <f t="shared" si="581"/>
        <v>2.6456213620807967E-2</v>
      </c>
    </row>
    <row r="332" spans="2:11">
      <c r="B332" s="325" t="s">
        <v>328</v>
      </c>
      <c r="C332" s="350">
        <f t="shared" ref="C332:H332" si="584">C331/C277</f>
        <v>0.16084873374401096</v>
      </c>
      <c r="D332" s="350">
        <f t="shared" si="584"/>
        <v>0.16668780425938753</v>
      </c>
      <c r="E332" s="350">
        <f t="shared" si="584"/>
        <v>0.15798282900044552</v>
      </c>
      <c r="F332" s="350">
        <f t="shared" si="584"/>
        <v>0.16119535649517991</v>
      </c>
      <c r="G332" s="350">
        <f t="shared" si="584"/>
        <v>0.16314605803187934</v>
      </c>
      <c r="H332" s="350">
        <f t="shared" si="584"/>
        <v>0.16314605803187934</v>
      </c>
      <c r="I332" s="291"/>
      <c r="J332" s="297"/>
    </row>
    <row r="333" spans="2:11">
      <c r="B333" s="290" t="s">
        <v>331</v>
      </c>
      <c r="C333" s="338">
        <f>AVERAGE(C$316,C$318,C$322,C$320,C$324,C$326)</f>
        <v>23231.666666666668</v>
      </c>
      <c r="D333" s="338">
        <f t="shared" ref="D333:H333" si="585">AVERAGE(D$316,D$318,D$322,D$320,D$324,D$326)</f>
        <v>25237.333333333332</v>
      </c>
      <c r="E333" s="338">
        <f t="shared" si="585"/>
        <v>26524.666666666668</v>
      </c>
      <c r="F333" s="338">
        <f t="shared" si="585"/>
        <v>27106.166666666668</v>
      </c>
      <c r="G333" s="338">
        <f t="shared" si="585"/>
        <v>27655.833333333332</v>
      </c>
      <c r="H333" s="338">
        <f t="shared" si="585"/>
        <v>28034.833333333332</v>
      </c>
      <c r="I333" s="291"/>
      <c r="J333" s="297">
        <f t="shared" si="581"/>
        <v>3.1817608698407884E-2</v>
      </c>
    </row>
    <row r="334" spans="2:11">
      <c r="B334" s="325" t="s">
        <v>328</v>
      </c>
      <c r="C334" s="350">
        <f t="shared" ref="C334:H334" si="586">C333/C279</f>
        <v>0.16055569617665158</v>
      </c>
      <c r="D334" s="350">
        <f t="shared" si="586"/>
        <v>0.16020550452503526</v>
      </c>
      <c r="E334" s="350">
        <f t="shared" si="586"/>
        <v>0.15915651487354573</v>
      </c>
      <c r="F334" s="350">
        <f t="shared" si="586"/>
        <v>0.16005058258541963</v>
      </c>
      <c r="G334" s="350">
        <f t="shared" si="586"/>
        <v>0.16085811676233475</v>
      </c>
      <c r="H334" s="350">
        <f t="shared" si="586"/>
        <v>0.16133739820437823</v>
      </c>
      <c r="I334" s="291"/>
      <c r="J334" s="297"/>
    </row>
    <row r="335" spans="2:11">
      <c r="B335" s="324" t="s">
        <v>311</v>
      </c>
      <c r="C335" s="337">
        <f>MIN(C$316,C$318,C$322,C$320,C$324,C$326)</f>
        <v>21574</v>
      </c>
      <c r="D335" s="337">
        <f t="shared" ref="D335:H335" si="587">MIN(D$316,D$318,D$322,D$320,D$324,D$326)</f>
        <v>22955</v>
      </c>
      <c r="E335" s="337">
        <f t="shared" si="587"/>
        <v>25492</v>
      </c>
      <c r="F335" s="337">
        <f t="shared" si="587"/>
        <v>26181</v>
      </c>
      <c r="G335" s="337">
        <f t="shared" si="587"/>
        <v>26181</v>
      </c>
      <c r="H335" s="337">
        <f t="shared" si="587"/>
        <v>26181</v>
      </c>
      <c r="I335" s="291"/>
      <c r="J335" s="297">
        <f t="shared" si="581"/>
        <v>3.2783425000231681E-2</v>
      </c>
    </row>
    <row r="336" spans="2:11">
      <c r="B336" s="326" t="s">
        <v>328</v>
      </c>
      <c r="C336" s="351">
        <f t="shared" ref="C336:H336" si="588">C335/C281</f>
        <v>0.15181518151815182</v>
      </c>
      <c r="D336" s="351">
        <f t="shared" si="588"/>
        <v>0.15435460878452889</v>
      </c>
      <c r="E336" s="351">
        <f t="shared" si="588"/>
        <v>0.16576173538725639</v>
      </c>
      <c r="F336" s="351">
        <f t="shared" si="588"/>
        <v>0.16910496638052977</v>
      </c>
      <c r="G336" s="351">
        <f t="shared" si="588"/>
        <v>0.16910496638052977</v>
      </c>
      <c r="H336" s="351">
        <f t="shared" si="588"/>
        <v>0.16910496638052977</v>
      </c>
      <c r="I336" s="292"/>
      <c r="J336" s="298"/>
    </row>
    <row r="338" spans="1:11">
      <c r="A338" s="353" t="s">
        <v>24</v>
      </c>
      <c r="B338" s="229" t="s">
        <v>347</v>
      </c>
      <c r="C338" s="229"/>
      <c r="D338" s="229"/>
      <c r="E338" s="229"/>
      <c r="F338" s="229"/>
      <c r="G338" s="229"/>
      <c r="H338" s="229"/>
      <c r="I338" s="229"/>
      <c r="J338" s="229"/>
    </row>
    <row r="339" spans="1:11" ht="5.0999999999999996" customHeight="1"/>
    <row r="340" spans="1:11">
      <c r="A340" s="353" t="s">
        <v>24</v>
      </c>
      <c r="B340" s="229" t="s">
        <v>346</v>
      </c>
      <c r="C340" s="211" t="s">
        <v>156</v>
      </c>
      <c r="D340" s="211"/>
      <c r="E340" s="211"/>
      <c r="F340" s="211"/>
      <c r="G340" s="211"/>
      <c r="H340" s="211"/>
      <c r="I340" s="230"/>
      <c r="J340" s="2" t="s">
        <v>332</v>
      </c>
    </row>
    <row r="341" spans="1:11">
      <c r="B341" s="282" t="s">
        <v>372</v>
      </c>
      <c r="C341" s="283" t="str">
        <f t="shared" ref="C341:H341" si="589">C$9</f>
        <v>2026E</v>
      </c>
      <c r="D341" s="283" t="str">
        <f t="shared" si="589"/>
        <v>2027E</v>
      </c>
      <c r="E341" s="283" t="str">
        <f t="shared" si="589"/>
        <v>2028E</v>
      </c>
      <c r="F341" s="283" t="str">
        <f t="shared" si="589"/>
        <v>2029E</v>
      </c>
      <c r="G341" s="283" t="str">
        <f t="shared" si="589"/>
        <v>2030E</v>
      </c>
      <c r="H341" s="283" t="str">
        <f t="shared" si="589"/>
        <v>2031E</v>
      </c>
      <c r="I341" s="230"/>
      <c r="J341" s="182" t="str">
        <f>$J$9</f>
        <v>6-Year(F)</v>
      </c>
    </row>
    <row r="342" spans="1:11">
      <c r="B342" s="282" t="s">
        <v>373</v>
      </c>
      <c r="C342" s="230">
        <f t="shared" ref="C342:H342" si="590">C$10</f>
        <v>46295</v>
      </c>
      <c r="D342" s="230">
        <f t="shared" si="590"/>
        <v>46660</v>
      </c>
      <c r="E342" s="230">
        <f t="shared" si="590"/>
        <v>47026</v>
      </c>
      <c r="F342" s="230">
        <f t="shared" si="590"/>
        <v>47391</v>
      </c>
      <c r="G342" s="230">
        <f t="shared" si="590"/>
        <v>47756</v>
      </c>
      <c r="H342" s="230">
        <f t="shared" si="590"/>
        <v>48121</v>
      </c>
      <c r="I342" s="230"/>
      <c r="J342" s="3">
        <f>$H$44</f>
        <v>48121</v>
      </c>
    </row>
    <row r="343" spans="1:11" ht="5.0999999999999996" customHeight="1">
      <c r="B343" s="286"/>
    </row>
    <row r="344" spans="1:11">
      <c r="B344" s="180" t="s">
        <v>326</v>
      </c>
      <c r="C344" s="231">
        <v>13925</v>
      </c>
      <c r="D344" s="231">
        <v>16323</v>
      </c>
      <c r="E344" s="231">
        <v>18895</v>
      </c>
      <c r="F344" s="232">
        <f t="shared" ref="F344:H344" si="591">E344</f>
        <v>18895</v>
      </c>
      <c r="G344" s="232">
        <f t="shared" si="591"/>
        <v>18895</v>
      </c>
      <c r="H344" s="232">
        <f t="shared" si="591"/>
        <v>18895</v>
      </c>
      <c r="J344" s="333">
        <f t="shared" ref="J344:J356" si="592">((H344/C344)^(1/COUNT(C344:H344))-1)</f>
        <v>5.2184618544383943E-2</v>
      </c>
      <c r="K344" s="180" t="s">
        <v>516</v>
      </c>
    </row>
    <row r="345" spans="1:11">
      <c r="B345" s="287" t="s">
        <v>328</v>
      </c>
      <c r="C345" s="294">
        <f t="shared" ref="C345:H345" si="593">C344/C12</f>
        <v>3.0268975441372744E-2</v>
      </c>
      <c r="D345" s="294">
        <f t="shared" si="593"/>
        <v>3.1133057917443897E-2</v>
      </c>
      <c r="E345" s="294">
        <f t="shared" si="593"/>
        <v>3.3941752037493104E-2</v>
      </c>
      <c r="F345" s="294">
        <f t="shared" si="593"/>
        <v>3.1894853186719051E-2</v>
      </c>
      <c r="G345" s="294">
        <f t="shared" si="593"/>
        <v>2.990322042778553E-2</v>
      </c>
      <c r="H345" s="294">
        <f t="shared" si="593"/>
        <v>2.7971799321704658E-2</v>
      </c>
      <c r="J345" s="331"/>
    </row>
    <row r="346" spans="1:11">
      <c r="B346" s="180" t="s">
        <v>336</v>
      </c>
      <c r="C346" s="231">
        <v>11678</v>
      </c>
      <c r="D346" s="231">
        <v>11029</v>
      </c>
      <c r="E346" s="231">
        <v>11666</v>
      </c>
      <c r="F346" s="231">
        <v>12904</v>
      </c>
      <c r="G346" s="231">
        <v>15129</v>
      </c>
      <c r="H346" s="231">
        <v>16032</v>
      </c>
      <c r="J346" s="330">
        <f t="shared" si="592"/>
        <v>5.4232835750327224E-2</v>
      </c>
      <c r="K346" s="180" t="s">
        <v>516</v>
      </c>
    </row>
    <row r="347" spans="1:11">
      <c r="B347" s="287" t="s">
        <v>328</v>
      </c>
      <c r="C347" s="294">
        <f t="shared" ref="C347:H347" si="594">C346/C26</f>
        <v>2.6056785853740168E-2</v>
      </c>
      <c r="D347" s="294">
        <f t="shared" si="594"/>
        <v>2.3061305141485466E-2</v>
      </c>
      <c r="E347" s="294">
        <f t="shared" si="594"/>
        <v>2.2372917761404126E-2</v>
      </c>
      <c r="F347" s="294">
        <f t="shared" si="594"/>
        <v>2.333428570395258E-2</v>
      </c>
      <c r="G347" s="294">
        <f t="shared" si="594"/>
        <v>2.6221149196588425E-2</v>
      </c>
      <c r="H347" s="294">
        <f t="shared" si="594"/>
        <v>2.6506358748487193E-2</v>
      </c>
      <c r="J347" s="331"/>
    </row>
    <row r="348" spans="1:11">
      <c r="B348" s="180" t="s">
        <v>385</v>
      </c>
      <c r="C348" s="231">
        <v>13043</v>
      </c>
      <c r="D348" s="231">
        <v>13310</v>
      </c>
      <c r="E348" s="231">
        <v>13613</v>
      </c>
      <c r="F348" s="231">
        <v>13934</v>
      </c>
      <c r="G348" s="231">
        <v>14245</v>
      </c>
      <c r="H348" s="232">
        <f t="shared" ref="H348" si="595">G348</f>
        <v>14245</v>
      </c>
      <c r="J348" s="330">
        <f t="shared" si="592"/>
        <v>1.4800859891784812E-2</v>
      </c>
      <c r="K348" s="180" t="s">
        <v>517</v>
      </c>
    </row>
    <row r="349" spans="1:11">
      <c r="B349" s="287" t="s">
        <v>328</v>
      </c>
      <c r="C349" s="294">
        <f t="shared" ref="C349:H349" si="596">C348/C18</f>
        <v>2.9288458645181429E-2</v>
      </c>
      <c r="D349" s="294">
        <f t="shared" si="596"/>
        <v>2.8690353272877379E-2</v>
      </c>
      <c r="E349" s="294">
        <f t="shared" si="596"/>
        <v>2.835929411127476E-2</v>
      </c>
      <c r="F349" s="294">
        <f t="shared" si="596"/>
        <v>2.8072140606490398E-2</v>
      </c>
      <c r="G349" s="294">
        <f t="shared" si="596"/>
        <v>2.8056139853308439E-2</v>
      </c>
      <c r="H349" s="294">
        <f t="shared" si="596"/>
        <v>2.7427969484191642E-2</v>
      </c>
      <c r="J349" s="331"/>
    </row>
    <row r="350" spans="1:11">
      <c r="B350" s="180" t="s">
        <v>391</v>
      </c>
      <c r="C350" s="231">
        <v>12873</v>
      </c>
      <c r="D350" s="231">
        <v>12912</v>
      </c>
      <c r="E350" s="231">
        <v>13454</v>
      </c>
      <c r="F350" s="232">
        <f t="shared" ref="F350:G352" si="597">E350</f>
        <v>13454</v>
      </c>
      <c r="G350" s="232">
        <f t="shared" si="597"/>
        <v>13454</v>
      </c>
      <c r="H350" s="232">
        <f t="shared" ref="H350:H352" si="598">G350</f>
        <v>13454</v>
      </c>
      <c r="J350" s="330">
        <f t="shared" si="592"/>
        <v>7.3845262784504317E-3</v>
      </c>
      <c r="K350" s="180" t="s">
        <v>516</v>
      </c>
    </row>
    <row r="351" spans="1:11">
      <c r="B351" s="287" t="s">
        <v>328</v>
      </c>
      <c r="C351" s="294">
        <f t="shared" ref="C351:H351" si="599">C350/C20</f>
        <v>2.8558878143905866E-2</v>
      </c>
      <c r="D351" s="294">
        <f t="shared" si="599"/>
        <v>2.8021745499527979E-2</v>
      </c>
      <c r="E351" s="294">
        <f t="shared" si="599"/>
        <v>2.8348022865522828E-2</v>
      </c>
      <c r="F351" s="294">
        <f t="shared" si="599"/>
        <v>2.7522790124946926E-2</v>
      </c>
      <c r="G351" s="294">
        <f t="shared" si="599"/>
        <v>2.6721580543917246E-2</v>
      </c>
      <c r="H351" s="294">
        <f t="shared" si="599"/>
        <v>2.5943694789789543E-2</v>
      </c>
      <c r="J351" s="331"/>
    </row>
    <row r="352" spans="1:11">
      <c r="B352" s="180" t="s">
        <v>384</v>
      </c>
      <c r="C352" s="231">
        <v>13664</v>
      </c>
      <c r="D352" s="231">
        <v>14086</v>
      </c>
      <c r="E352" s="231">
        <v>14735</v>
      </c>
      <c r="F352" s="232">
        <f t="shared" si="597"/>
        <v>14735</v>
      </c>
      <c r="G352" s="232">
        <f t="shared" si="597"/>
        <v>14735</v>
      </c>
      <c r="H352" s="232">
        <f t="shared" si="598"/>
        <v>14735</v>
      </c>
      <c r="J352" s="330">
        <f t="shared" si="592"/>
        <v>1.2656250787125511E-2</v>
      </c>
      <c r="K352" s="180" t="s">
        <v>516</v>
      </c>
    </row>
    <row r="353" spans="1:11">
      <c r="B353" s="287" t="s">
        <v>328</v>
      </c>
      <c r="C353" s="294">
        <f t="shared" ref="C353:H353" si="600">C352/C16</f>
        <v>2.9971090531820156E-2</v>
      </c>
      <c r="D353" s="294">
        <f t="shared" si="600"/>
        <v>2.9269427930838872E-2</v>
      </c>
      <c r="E353" s="294">
        <f t="shared" si="600"/>
        <v>2.9211015139770792E-2</v>
      </c>
      <c r="F353" s="294">
        <f t="shared" si="600"/>
        <v>2.7844860679608213E-2</v>
      </c>
      <c r="G353" s="294">
        <f t="shared" si="600"/>
        <v>2.651968750551208E-2</v>
      </c>
      <c r="H353" s="294">
        <f t="shared" si="600"/>
        <v>2.523560841836368E-2</v>
      </c>
      <c r="J353" s="331"/>
    </row>
    <row r="354" spans="1:11">
      <c r="B354" s="180" t="s">
        <v>335</v>
      </c>
      <c r="C354" s="231">
        <v>13025</v>
      </c>
      <c r="D354" s="231">
        <v>15006</v>
      </c>
      <c r="E354" s="231">
        <v>15924</v>
      </c>
      <c r="F354" s="232">
        <f t="shared" ref="F354:G354" si="601">E354</f>
        <v>15924</v>
      </c>
      <c r="G354" s="232">
        <f t="shared" si="601"/>
        <v>15924</v>
      </c>
      <c r="H354" s="232">
        <f t="shared" ref="H354" si="602">G354</f>
        <v>15924</v>
      </c>
      <c r="J354" s="330">
        <f t="shared" si="592"/>
        <v>3.4060001483260605E-2</v>
      </c>
      <c r="K354" s="180" t="s">
        <v>517</v>
      </c>
    </row>
    <row r="355" spans="1:11">
      <c r="B355" s="287" t="s">
        <v>328</v>
      </c>
      <c r="C355" s="294">
        <f t="shared" ref="C355:H355" si="603">C354/C14</f>
        <v>2.8610150727719226E-2</v>
      </c>
      <c r="D355" s="294">
        <f t="shared" si="603"/>
        <v>2.9932439575608035E-2</v>
      </c>
      <c r="E355" s="294">
        <f t="shared" si="603"/>
        <v>3.0633916616648969E-2</v>
      </c>
      <c r="F355" s="294">
        <f t="shared" si="603"/>
        <v>2.944830648229859E-2</v>
      </c>
      <c r="G355" s="294">
        <f t="shared" si="603"/>
        <v>2.8214445312637448E-2</v>
      </c>
      <c r="H355" s="294">
        <f t="shared" si="603"/>
        <v>2.6940933648426917E-2</v>
      </c>
      <c r="J355" s="331"/>
    </row>
    <row r="356" spans="1:11">
      <c r="B356" s="180" t="s">
        <v>337</v>
      </c>
      <c r="C356" s="231">
        <v>14401</v>
      </c>
      <c r="D356" s="231">
        <v>15457</v>
      </c>
      <c r="E356" s="231">
        <v>17024</v>
      </c>
      <c r="F356" s="232">
        <f t="shared" ref="F356:G356" si="604">E356</f>
        <v>17024</v>
      </c>
      <c r="G356" s="232">
        <f t="shared" si="604"/>
        <v>17024</v>
      </c>
      <c r="H356" s="232">
        <f t="shared" ref="H356" si="605">G356</f>
        <v>17024</v>
      </c>
      <c r="J356" s="330">
        <f t="shared" si="592"/>
        <v>2.8280247408078552E-2</v>
      </c>
      <c r="K356" s="180" t="s">
        <v>516</v>
      </c>
    </row>
    <row r="357" spans="1:11">
      <c r="B357" s="287" t="s">
        <v>328</v>
      </c>
      <c r="C357" s="294">
        <f t="shared" ref="C357:H357" si="606">C356/C28</f>
        <v>3.1327565690866255E-2</v>
      </c>
      <c r="D357" s="294">
        <f t="shared" si="606"/>
        <v>3.0959882545933074E-2</v>
      </c>
      <c r="E357" s="294">
        <f t="shared" si="606"/>
        <v>3.2294290830728142E-2</v>
      </c>
      <c r="F357" s="294">
        <f t="shared" si="606"/>
        <v>3.0564883229414083E-2</v>
      </c>
      <c r="G357" s="294">
        <f t="shared" si="606"/>
        <v>2.8908166596202062E-2</v>
      </c>
      <c r="H357" s="294">
        <f t="shared" si="606"/>
        <v>2.7322050990711569E-2</v>
      </c>
      <c r="J357" s="332"/>
    </row>
    <row r="358" spans="1:11" ht="5.0999999999999996" customHeight="1"/>
    <row r="359" spans="1:11">
      <c r="B359" s="293" t="s">
        <v>188</v>
      </c>
      <c r="C359" s="336">
        <f t="shared" ref="C359:H359" si="607">MAX(C$344,C$346,C$348,C$350,C$354,C$356,C$352)</f>
        <v>14401</v>
      </c>
      <c r="D359" s="336">
        <f t="shared" si="607"/>
        <v>16323</v>
      </c>
      <c r="E359" s="336">
        <f t="shared" si="607"/>
        <v>18895</v>
      </c>
      <c r="F359" s="336">
        <f t="shared" si="607"/>
        <v>18895</v>
      </c>
      <c r="G359" s="336">
        <f t="shared" si="607"/>
        <v>18895</v>
      </c>
      <c r="H359" s="336">
        <f t="shared" si="607"/>
        <v>18895</v>
      </c>
      <c r="I359" s="289"/>
      <c r="J359" s="299">
        <f t="shared" ref="J359:J365" si="608">((H359/C359)^(1/COUNT(C359:H359))-1)</f>
        <v>4.6306783491284476E-2</v>
      </c>
    </row>
    <row r="360" spans="1:11">
      <c r="B360" s="325" t="s">
        <v>328</v>
      </c>
      <c r="C360" s="350">
        <f t="shared" ref="C360:H360" si="609">C359/C33</f>
        <v>3.1303663578542827E-2</v>
      </c>
      <c r="D360" s="350">
        <f t="shared" si="609"/>
        <v>3.1133057917443897E-2</v>
      </c>
      <c r="E360" s="350">
        <f t="shared" si="609"/>
        <v>3.3941752037493104E-2</v>
      </c>
      <c r="F360" s="350">
        <f t="shared" si="609"/>
        <v>3.1894853186719051E-2</v>
      </c>
      <c r="G360" s="350">
        <f t="shared" si="609"/>
        <v>2.990322042778553E-2</v>
      </c>
      <c r="H360" s="350">
        <f t="shared" si="609"/>
        <v>2.7971799321704658E-2</v>
      </c>
      <c r="I360" s="291"/>
      <c r="J360" s="297"/>
    </row>
    <row r="361" spans="1:11">
      <c r="B361" s="290" t="s">
        <v>374</v>
      </c>
      <c r="C361" s="338">
        <f t="shared" ref="C361:H361" si="610">MEDIAN(C$344,C$346,C$348,C$350,C$354,C$356,C$352)</f>
        <v>13043</v>
      </c>
      <c r="D361" s="338">
        <f t="shared" si="610"/>
        <v>14086</v>
      </c>
      <c r="E361" s="338">
        <f t="shared" si="610"/>
        <v>14735</v>
      </c>
      <c r="F361" s="338">
        <f t="shared" si="610"/>
        <v>14735</v>
      </c>
      <c r="G361" s="338">
        <f t="shared" si="610"/>
        <v>15129</v>
      </c>
      <c r="H361" s="338">
        <f t="shared" si="610"/>
        <v>15924</v>
      </c>
      <c r="I361" s="291"/>
      <c r="J361" s="297">
        <f t="shared" si="608"/>
        <v>3.3822022082107495E-2</v>
      </c>
    </row>
    <row r="362" spans="1:11">
      <c r="B362" s="325" t="s">
        <v>328</v>
      </c>
      <c r="C362" s="350">
        <f t="shared" ref="C362:H362" si="611">C361/C35</f>
        <v>2.8688292649354696E-2</v>
      </c>
      <c r="D362" s="350">
        <f t="shared" si="611"/>
        <v>2.9025442636454766E-2</v>
      </c>
      <c r="E362" s="350">
        <f t="shared" si="611"/>
        <v>2.8521386588009012E-2</v>
      </c>
      <c r="F362" s="350">
        <f t="shared" si="611"/>
        <v>2.7093736055438026E-2</v>
      </c>
      <c r="G362" s="350">
        <f t="shared" si="611"/>
        <v>2.651027562765829E-2</v>
      </c>
      <c r="H362" s="350">
        <f t="shared" si="611"/>
        <v>2.6630837130018035E-2</v>
      </c>
      <c r="I362" s="291"/>
      <c r="J362" s="297"/>
    </row>
    <row r="363" spans="1:11">
      <c r="B363" s="290" t="s">
        <v>331</v>
      </c>
      <c r="C363" s="338">
        <f t="shared" ref="C363:H363" si="612">AVERAGE(C$344,C$346,C$348,C$350,C$354,C$356,C$352)</f>
        <v>13229.857142857143</v>
      </c>
      <c r="D363" s="338">
        <f t="shared" si="612"/>
        <v>14017.571428571429</v>
      </c>
      <c r="E363" s="338">
        <f t="shared" si="612"/>
        <v>15044.428571428571</v>
      </c>
      <c r="F363" s="338">
        <f t="shared" si="612"/>
        <v>15267.142857142857</v>
      </c>
      <c r="G363" s="338">
        <f t="shared" si="612"/>
        <v>15629.428571428571</v>
      </c>
      <c r="H363" s="338">
        <f t="shared" si="612"/>
        <v>15758.428571428571</v>
      </c>
      <c r="I363" s="291"/>
      <c r="J363" s="297">
        <f t="shared" si="608"/>
        <v>2.9578880654089756E-2</v>
      </c>
    </row>
    <row r="364" spans="1:11">
      <c r="B364" s="325" t="s">
        <v>328</v>
      </c>
      <c r="C364" s="350">
        <f t="shared" ref="C364:H364" si="613">C363/C37</f>
        <v>2.9134431154168885E-2</v>
      </c>
      <c r="D364" s="350">
        <f t="shared" si="613"/>
        <v>2.8805874328583912E-2</v>
      </c>
      <c r="E364" s="350">
        <f t="shared" si="613"/>
        <v>2.9376100568122052E-2</v>
      </c>
      <c r="F364" s="350">
        <f t="shared" si="613"/>
        <v>2.8373639536056997E-2</v>
      </c>
      <c r="G364" s="350">
        <f t="shared" si="613"/>
        <v>2.7688419304338421E-2</v>
      </c>
      <c r="H364" s="350">
        <f t="shared" si="613"/>
        <v>2.6566701999546756E-2</v>
      </c>
      <c r="I364" s="291"/>
      <c r="J364" s="297"/>
    </row>
    <row r="365" spans="1:11">
      <c r="B365" s="324" t="s">
        <v>311</v>
      </c>
      <c r="C365" s="337">
        <f>MIN(C$344,C$346,C$348,C$350,C$354,C$356,C$352)</f>
        <v>11678</v>
      </c>
      <c r="D365" s="337">
        <f t="shared" ref="D365:H365" si="614">MIN(D$344,D$346,D$348,D$350,D$354,D$356,D$352)</f>
        <v>11029</v>
      </c>
      <c r="E365" s="337">
        <f t="shared" si="614"/>
        <v>11666</v>
      </c>
      <c r="F365" s="337">
        <f t="shared" si="614"/>
        <v>12904</v>
      </c>
      <c r="G365" s="337">
        <f t="shared" si="614"/>
        <v>13454</v>
      </c>
      <c r="H365" s="337">
        <f t="shared" si="614"/>
        <v>13454</v>
      </c>
      <c r="I365" s="291"/>
      <c r="J365" s="297">
        <f t="shared" si="608"/>
        <v>2.3875518186731615E-2</v>
      </c>
    </row>
    <row r="366" spans="1:11">
      <c r="B366" s="326" t="s">
        <v>328</v>
      </c>
      <c r="C366" s="351">
        <f t="shared" ref="C366:H366" si="615">C365/C39</f>
        <v>2.6223309059145036E-2</v>
      </c>
      <c r="D366" s="351">
        <f t="shared" si="615"/>
        <v>2.3935240947513481E-2</v>
      </c>
      <c r="E366" s="351">
        <f t="shared" si="615"/>
        <v>2.4580647744105049E-2</v>
      </c>
      <c r="F366" s="351">
        <f t="shared" si="615"/>
        <v>2.6397657482705152E-2</v>
      </c>
      <c r="G366" s="351">
        <f t="shared" si="615"/>
        <v>2.6721580543917246E-2</v>
      </c>
      <c r="H366" s="351">
        <f t="shared" si="615"/>
        <v>2.5943694789789543E-2</v>
      </c>
      <c r="I366" s="292"/>
      <c r="J366" s="298"/>
    </row>
    <row r="367" spans="1:11">
      <c r="B367" s="8"/>
      <c r="C367" s="232"/>
      <c r="D367" s="232"/>
      <c r="E367" s="232"/>
      <c r="F367" s="232"/>
      <c r="G367" s="232"/>
      <c r="H367" s="232"/>
      <c r="I367" s="342"/>
      <c r="J367" s="343"/>
    </row>
    <row r="368" spans="1:11">
      <c r="A368" s="353" t="s">
        <v>24</v>
      </c>
      <c r="B368" s="229" t="s">
        <v>376</v>
      </c>
      <c r="C368" s="211" t="s">
        <v>156</v>
      </c>
      <c r="D368" s="211"/>
      <c r="E368" s="211"/>
      <c r="F368" s="211"/>
      <c r="G368" s="211"/>
      <c r="H368" s="211"/>
      <c r="I368" s="230"/>
      <c r="J368" s="2" t="s">
        <v>332</v>
      </c>
    </row>
    <row r="369" spans="2:12">
      <c r="B369" s="282" t="s">
        <v>372</v>
      </c>
      <c r="C369" s="283" t="str">
        <f t="shared" ref="C369:H369" si="616">C$9</f>
        <v>2026E</v>
      </c>
      <c r="D369" s="283" t="str">
        <f t="shared" si="616"/>
        <v>2027E</v>
      </c>
      <c r="E369" s="283" t="str">
        <f t="shared" si="616"/>
        <v>2028E</v>
      </c>
      <c r="F369" s="283" t="str">
        <f t="shared" si="616"/>
        <v>2029E</v>
      </c>
      <c r="G369" s="283" t="str">
        <f t="shared" si="616"/>
        <v>2030E</v>
      </c>
      <c r="H369" s="283" t="str">
        <f t="shared" si="616"/>
        <v>2031E</v>
      </c>
      <c r="I369" s="230"/>
      <c r="J369" s="182" t="str">
        <f>$J$9</f>
        <v>6-Year(F)</v>
      </c>
    </row>
    <row r="370" spans="2:12">
      <c r="B370" s="282" t="s">
        <v>373</v>
      </c>
      <c r="C370" s="230">
        <f t="shared" ref="C370:H370" si="617">C$10</f>
        <v>46295</v>
      </c>
      <c r="D370" s="230">
        <f t="shared" si="617"/>
        <v>46660</v>
      </c>
      <c r="E370" s="230">
        <f t="shared" si="617"/>
        <v>47026</v>
      </c>
      <c r="F370" s="230">
        <f t="shared" si="617"/>
        <v>47391</v>
      </c>
      <c r="G370" s="230">
        <f t="shared" si="617"/>
        <v>47756</v>
      </c>
      <c r="H370" s="230">
        <f t="shared" si="617"/>
        <v>48121</v>
      </c>
      <c r="I370" s="230"/>
      <c r="J370" s="3">
        <f>$H$44</f>
        <v>48121</v>
      </c>
    </row>
    <row r="371" spans="2:12" ht="5.0999999999999996" customHeight="1">
      <c r="B371" s="286"/>
    </row>
    <row r="372" spans="2:12">
      <c r="B372" s="180" t="s">
        <v>326</v>
      </c>
      <c r="C372" s="231">
        <v>14556</v>
      </c>
      <c r="D372" s="231">
        <v>16653</v>
      </c>
      <c r="E372" s="231">
        <v>17820</v>
      </c>
      <c r="F372" s="232">
        <f t="shared" ref="F372:F374" si="618">SUM(E372*F373)+E372</f>
        <v>19068.780399927942</v>
      </c>
      <c r="G372" s="232">
        <f t="shared" ref="G372" si="619">SUM(F372*G373)+F372</f>
        <v>20405.072162776432</v>
      </c>
      <c r="H372" s="232">
        <f t="shared" ref="H372" si="620">SUM(G372*H373)+G372</f>
        <v>21835.007862888131</v>
      </c>
      <c r="J372" s="333">
        <f t="shared" ref="J372:J386" si="621">((H372/C372)^(1/COUNT(C372:H372))-1)</f>
        <v>6.9921425018685923E-2</v>
      </c>
      <c r="K372" s="180" t="s">
        <v>516</v>
      </c>
    </row>
    <row r="373" spans="2:12">
      <c r="B373" s="287" t="s">
        <v>45</v>
      </c>
      <c r="C373" s="340">
        <f>(C372/'3 Statement Model'!$H$135)-1</f>
        <v>0.14478961856075512</v>
      </c>
      <c r="D373" s="311">
        <f t="shared" ref="D373:E373" si="622">SUM(D372/C372)-1</f>
        <v>0.1440643033800495</v>
      </c>
      <c r="E373" s="311">
        <f t="shared" si="622"/>
        <v>7.007746352008648E-2</v>
      </c>
      <c r="F373" s="311">
        <f>E373</f>
        <v>7.007746352008648E-2</v>
      </c>
      <c r="G373" s="311">
        <f t="shared" ref="G373:H373" si="623">F373</f>
        <v>7.007746352008648E-2</v>
      </c>
      <c r="H373" s="311">
        <f t="shared" si="623"/>
        <v>7.007746352008648E-2</v>
      </c>
      <c r="J373" s="331"/>
    </row>
    <row r="374" spans="2:12">
      <c r="B374" s="180" t="s">
        <v>335</v>
      </c>
      <c r="C374" s="231">
        <v>16115</v>
      </c>
      <c r="D374" s="231">
        <v>20952</v>
      </c>
      <c r="E374" s="231">
        <v>23353</v>
      </c>
      <c r="F374" s="232">
        <f t="shared" si="618"/>
        <v>26029.143232149676</v>
      </c>
      <c r="G374" s="232">
        <f t="shared" ref="G374" si="624">SUM(F374*G375)+F374</f>
        <v>29011.959808151554</v>
      </c>
      <c r="H374" s="232">
        <f t="shared" ref="H374" si="625">SUM(G374*H375)+G374</f>
        <v>32336.593041225813</v>
      </c>
      <c r="J374" s="330">
        <f t="shared" si="621"/>
        <v>0.1230799100308424</v>
      </c>
      <c r="K374" s="180" t="s">
        <v>517</v>
      </c>
    </row>
    <row r="375" spans="2:12">
      <c r="B375" s="287" t="s">
        <v>45</v>
      </c>
      <c r="C375" s="340">
        <f>(C374/'3 Statement Model'!$H$135)-1</f>
        <v>0.26740070782540304</v>
      </c>
      <c r="D375" s="311">
        <f>SUM(D374/C374)-1</f>
        <v>0.30015513496742163</v>
      </c>
      <c r="E375" s="311">
        <f t="shared" ref="E375" si="626">SUM(E374/D374)-1</f>
        <v>0.11459526536846121</v>
      </c>
      <c r="F375" s="311">
        <f>E375</f>
        <v>0.11459526536846121</v>
      </c>
      <c r="G375" s="311">
        <f t="shared" ref="G375" si="627">F375</f>
        <v>0.11459526536846121</v>
      </c>
      <c r="H375" s="311">
        <f t="shared" ref="H375" si="628">G375</f>
        <v>0.11459526536846121</v>
      </c>
      <c r="J375" s="331"/>
    </row>
    <row r="376" spans="2:12">
      <c r="B376" s="180" t="s">
        <v>385</v>
      </c>
      <c r="C376" s="231">
        <v>13979</v>
      </c>
      <c r="D376" s="231">
        <v>14446</v>
      </c>
      <c r="E376" s="231">
        <v>14828</v>
      </c>
      <c r="F376" s="231">
        <v>15208</v>
      </c>
      <c r="G376" s="231">
        <v>15430</v>
      </c>
      <c r="H376" s="232">
        <f t="shared" ref="H376" si="629">SUM(G376*H377)+G376</f>
        <v>15655.240662809048</v>
      </c>
      <c r="J376" s="330">
        <f t="shared" si="621"/>
        <v>1.9054178041129077E-2</v>
      </c>
      <c r="K376" s="180" t="s">
        <v>517</v>
      </c>
    </row>
    <row r="377" spans="2:12">
      <c r="B377" s="287" t="s">
        <v>45</v>
      </c>
      <c r="C377" s="340">
        <f>(C376/'3 Statement Model'!$H$135)-1</f>
        <v>9.9410145497443869E-2</v>
      </c>
      <c r="D377" s="311">
        <f>SUM(D376/C376)-1</f>
        <v>3.3407253737749443E-2</v>
      </c>
      <c r="E377" s="311">
        <f t="shared" ref="E377:G377" si="630">SUM(E376/D376)-1</f>
        <v>2.6443306105496278E-2</v>
      </c>
      <c r="F377" s="311">
        <f t="shared" si="630"/>
        <v>2.5627191799298732E-2</v>
      </c>
      <c r="G377" s="311">
        <f t="shared" si="630"/>
        <v>1.4597580220936379E-2</v>
      </c>
      <c r="H377" s="311">
        <f t="shared" ref="H377:H383" si="631">G377</f>
        <v>1.4597580220936379E-2</v>
      </c>
      <c r="J377" s="331"/>
    </row>
    <row r="378" spans="2:12">
      <c r="B378" s="180" t="s">
        <v>391</v>
      </c>
      <c r="C378" s="231">
        <v>14562</v>
      </c>
      <c r="D378" s="231">
        <v>15114</v>
      </c>
      <c r="E378" s="231">
        <v>15459</v>
      </c>
      <c r="F378" s="232">
        <f t="shared" ref="F378:H378" si="632">SUM(E378*F379)+E378</f>
        <v>15811.875148868599</v>
      </c>
      <c r="G378" s="232">
        <f t="shared" si="632"/>
        <v>16172.80520883682</v>
      </c>
      <c r="H378" s="232">
        <f t="shared" si="632"/>
        <v>16541.974045481569</v>
      </c>
      <c r="J378" s="330">
        <f t="shared" si="621"/>
        <v>2.1474943701491833E-2</v>
      </c>
      <c r="K378" s="180" t="s">
        <v>516</v>
      </c>
      <c r="L378" s="180"/>
    </row>
    <row r="379" spans="2:12">
      <c r="B379" s="287" t="s">
        <v>45</v>
      </c>
      <c r="C379" s="340">
        <f>(C378/'3 Statement Model'!$H$135)-1</f>
        <v>0.14526150216279987</v>
      </c>
      <c r="D379" s="311">
        <f>SUM(D378/C378)-1</f>
        <v>3.7906880922950137E-2</v>
      </c>
      <c r="E379" s="311">
        <f>SUM(E378/D378)-1</f>
        <v>2.2826518459706291E-2</v>
      </c>
      <c r="F379" s="311">
        <f t="shared" ref="F379:G381" si="633">E379</f>
        <v>2.2826518459706291E-2</v>
      </c>
      <c r="G379" s="311">
        <f t="shared" si="633"/>
        <v>2.2826518459706291E-2</v>
      </c>
      <c r="H379" s="311">
        <f t="shared" si="631"/>
        <v>2.2826518459706291E-2</v>
      </c>
      <c r="J379" s="331"/>
    </row>
    <row r="380" spans="2:12">
      <c r="B380" s="180" t="s">
        <v>337</v>
      </c>
      <c r="C380" s="231">
        <v>15848</v>
      </c>
      <c r="D380" s="231">
        <v>18118</v>
      </c>
      <c r="E380" s="231">
        <v>21122</v>
      </c>
      <c r="F380" s="232">
        <f t="shared" ref="F380:H380" si="634">SUM(E380*F381)+E380</f>
        <v>24147.425290257444</v>
      </c>
      <c r="G380" s="232">
        <f t="shared" si="634"/>
        <v>27606.199609344043</v>
      </c>
      <c r="H380" s="232">
        <f t="shared" si="634"/>
        <v>31560.394025876791</v>
      </c>
      <c r="J380" s="330">
        <f t="shared" si="621"/>
        <v>0.12166024045280088</v>
      </c>
      <c r="K380" s="180" t="s">
        <v>516</v>
      </c>
    </row>
    <row r="381" spans="2:12">
      <c r="B381" s="287" t="s">
        <v>45</v>
      </c>
      <c r="C381" s="340">
        <f>(C380/'3 Statement Model'!$H$135)-1</f>
        <v>0.24640188753440828</v>
      </c>
      <c r="D381" s="311">
        <f>SUM(D380/C380)-1</f>
        <v>0.14323573952549218</v>
      </c>
      <c r="E381" s="311">
        <f>D381</f>
        <v>0.14323573952549218</v>
      </c>
      <c r="F381" s="311">
        <f t="shared" si="633"/>
        <v>0.14323573952549218</v>
      </c>
      <c r="G381" s="311">
        <f t="shared" si="633"/>
        <v>0.14323573952549218</v>
      </c>
      <c r="H381" s="311">
        <f t="shared" si="631"/>
        <v>0.14323573952549218</v>
      </c>
      <c r="J381" s="331"/>
    </row>
    <row r="382" spans="2:12">
      <c r="B382" s="180" t="s">
        <v>345</v>
      </c>
      <c r="C382" s="231">
        <v>15881</v>
      </c>
      <c r="D382" s="231">
        <v>17029</v>
      </c>
      <c r="E382" s="231">
        <v>17539</v>
      </c>
      <c r="F382" s="232">
        <f t="shared" ref="F382" si="635">SUM(E382*F383)+E382</f>
        <v>18064.273944447705</v>
      </c>
      <c r="G382" s="232">
        <f t="shared" ref="G382" si="636">SUM(F382*G383)+F382</f>
        <v>18605.27927134114</v>
      </c>
      <c r="H382" s="232">
        <f t="shared" ref="H382" si="637">SUM(G382*H383)+G382</f>
        <v>19162.487118448073</v>
      </c>
      <c r="J382" s="330">
        <f t="shared" ref="J382" si="638">((H382/C382)^(1/COUNT(C382:H382))-1)</f>
        <v>3.1800351993748865E-2</v>
      </c>
      <c r="K382" s="180" t="s">
        <v>516</v>
      </c>
    </row>
    <row r="383" spans="2:12">
      <c r="B383" s="287" t="s">
        <v>45</v>
      </c>
      <c r="C383" s="340">
        <f>(C382/'3 Statement Model'!$H$135)-1</f>
        <v>0.24899724734565476</v>
      </c>
      <c r="D383" s="311">
        <f>SUM(D382/C382)-1</f>
        <v>7.2287639317423436E-2</v>
      </c>
      <c r="E383" s="311">
        <f>SUM(E382/D382)-1</f>
        <v>2.9948910681778074E-2</v>
      </c>
      <c r="F383" s="311">
        <f t="shared" ref="F383:G383" si="639">E383</f>
        <v>2.9948910681778074E-2</v>
      </c>
      <c r="G383" s="311">
        <f t="shared" si="639"/>
        <v>2.9948910681778074E-2</v>
      </c>
      <c r="H383" s="311">
        <f t="shared" si="631"/>
        <v>2.9948910681778074E-2</v>
      </c>
      <c r="J383" s="331"/>
    </row>
    <row r="384" spans="2:12">
      <c r="B384" s="180" t="s">
        <v>384</v>
      </c>
      <c r="C384" s="231">
        <v>13664</v>
      </c>
      <c r="D384" s="231">
        <v>11627</v>
      </c>
      <c r="E384" s="231">
        <v>12162</v>
      </c>
      <c r="F384" s="232">
        <f t="shared" ref="F384:H384" si="640">SUM(E384*F385)+E384</f>
        <v>12721.617270147071</v>
      </c>
      <c r="G384" s="232">
        <f t="shared" si="640"/>
        <v>13306.984539393539</v>
      </c>
      <c r="H384" s="232">
        <f t="shared" si="640"/>
        <v>13919.286657616258</v>
      </c>
      <c r="J384" s="330">
        <f t="shared" si="621"/>
        <v>3.089892354271484E-3</v>
      </c>
      <c r="K384" s="180" t="s">
        <v>516</v>
      </c>
    </row>
    <row r="385" spans="1:11">
      <c r="B385" s="287" t="s">
        <v>45</v>
      </c>
      <c r="C385" s="340">
        <f>(C384/'3 Statement Model'!$H$135)-1</f>
        <v>7.4636256390090416E-2</v>
      </c>
      <c r="D385" s="311">
        <f>SUM(D384/C384)-1</f>
        <v>-0.14907786885245899</v>
      </c>
      <c r="E385" s="311">
        <f>SUM(E384/D384)-1</f>
        <v>4.601358905994668E-2</v>
      </c>
      <c r="F385" s="311">
        <f t="shared" ref="F385:G385" si="641">E385</f>
        <v>4.601358905994668E-2</v>
      </c>
      <c r="G385" s="311">
        <f t="shared" si="641"/>
        <v>4.601358905994668E-2</v>
      </c>
      <c r="H385" s="311">
        <f t="shared" ref="H385" si="642">G385</f>
        <v>4.601358905994668E-2</v>
      </c>
      <c r="J385" s="331"/>
    </row>
    <row r="386" spans="1:11">
      <c r="B386" s="180" t="s">
        <v>336</v>
      </c>
      <c r="C386" s="231">
        <v>11678</v>
      </c>
      <c r="D386" s="231">
        <v>11029</v>
      </c>
      <c r="E386" s="231">
        <v>11666</v>
      </c>
      <c r="F386" s="231">
        <v>12904</v>
      </c>
      <c r="G386" s="231">
        <v>15129</v>
      </c>
      <c r="H386" s="231">
        <v>16032</v>
      </c>
      <c r="J386" s="330">
        <f t="shared" si="621"/>
        <v>5.4232835750327224E-2</v>
      </c>
      <c r="K386" s="180" t="s">
        <v>516</v>
      </c>
    </row>
    <row r="387" spans="1:11">
      <c r="B387" s="287" t="s">
        <v>45</v>
      </c>
      <c r="C387" s="340">
        <f>(C386/'3 Statement Model'!$H$135)-1</f>
        <v>-8.1557215886747914E-2</v>
      </c>
      <c r="D387" s="311">
        <f>SUM(D386/C386)-1</f>
        <v>-5.5574584689159101E-2</v>
      </c>
      <c r="E387" s="311">
        <f t="shared" ref="E387:H387" si="643">SUM(E386/D386)-1</f>
        <v>5.7756822921389173E-2</v>
      </c>
      <c r="F387" s="311">
        <f t="shared" si="643"/>
        <v>0.10612034973427042</v>
      </c>
      <c r="G387" s="311">
        <f t="shared" si="643"/>
        <v>0.17242715437073786</v>
      </c>
      <c r="H387" s="311">
        <f t="shared" si="643"/>
        <v>5.9686694427919962E-2</v>
      </c>
      <c r="J387" s="332"/>
    </row>
    <row r="388" spans="1:11" s="355" customFormat="1" ht="5.0999999999999996" customHeight="1"/>
    <row r="389" spans="1:11">
      <c r="B389" s="293" t="s">
        <v>188</v>
      </c>
      <c r="C389" s="336">
        <f>MAX(C$372,C$374,C$376,C$378,C$380,C$382,C$384,C$386)</f>
        <v>16115</v>
      </c>
      <c r="D389" s="336">
        <f t="shared" ref="D389:H389" si="644">MAX(D$372,D$374,D$376,D$378,D$380,D$382,D$384,D$386)</f>
        <v>20952</v>
      </c>
      <c r="E389" s="336">
        <f t="shared" si="644"/>
        <v>23353</v>
      </c>
      <c r="F389" s="336">
        <f t="shared" si="644"/>
        <v>26029.143232149676</v>
      </c>
      <c r="G389" s="336">
        <f t="shared" si="644"/>
        <v>29011.959808151554</v>
      </c>
      <c r="H389" s="336">
        <f t="shared" si="644"/>
        <v>32336.593041225813</v>
      </c>
      <c r="I389" s="289"/>
      <c r="J389" s="299">
        <f t="shared" ref="J389:J395" si="645">((H389/C389)^(1/COUNT(C389:H389))-1)</f>
        <v>0.1230799100308424</v>
      </c>
    </row>
    <row r="390" spans="1:11">
      <c r="B390" s="325" t="s">
        <v>45</v>
      </c>
      <c r="C390" s="334">
        <f>(C389/'3 Statement Model'!$H$135)-1</f>
        <v>0.26740070782540304</v>
      </c>
      <c r="D390" s="350">
        <f>SUM(D389/C389)-1</f>
        <v>0.30015513496742163</v>
      </c>
      <c r="E390" s="350">
        <f t="shared" ref="E390:H390" si="646">SUM(E389/D389)-1</f>
        <v>0.11459526536846121</v>
      </c>
      <c r="F390" s="350">
        <f t="shared" si="646"/>
        <v>0.11459526536846121</v>
      </c>
      <c r="G390" s="350">
        <f t="shared" si="646"/>
        <v>0.11459526536846121</v>
      </c>
      <c r="H390" s="350">
        <f t="shared" si="646"/>
        <v>0.11459526536846121</v>
      </c>
      <c r="I390" s="291"/>
      <c r="J390" s="297"/>
    </row>
    <row r="391" spans="1:11">
      <c r="B391" s="290" t="s">
        <v>374</v>
      </c>
      <c r="C391" s="338">
        <f t="shared" ref="C391:H391" si="647">MEDIAN(C$372,C$374,C$376,C$378,C$380,C$382,C$384,C$386)</f>
        <v>14559</v>
      </c>
      <c r="D391" s="338">
        <f t="shared" si="647"/>
        <v>15883.5</v>
      </c>
      <c r="E391" s="338">
        <f t="shared" si="647"/>
        <v>16499</v>
      </c>
      <c r="F391" s="338">
        <f t="shared" si="647"/>
        <v>16938.07454665815</v>
      </c>
      <c r="G391" s="338">
        <f t="shared" si="647"/>
        <v>17389.04224008898</v>
      </c>
      <c r="H391" s="338">
        <f t="shared" si="647"/>
        <v>17852.230581964821</v>
      </c>
      <c r="I391" s="291"/>
      <c r="J391" s="297">
        <f t="shared" si="645"/>
        <v>3.4570657845922836E-2</v>
      </c>
    </row>
    <row r="392" spans="1:11">
      <c r="B392" s="325" t="s">
        <v>45</v>
      </c>
      <c r="C392" s="334">
        <f>(C391/'3 Statement Model'!$H$135)-1</f>
        <v>0.14502556036177738</v>
      </c>
      <c r="D392" s="350">
        <f>SUM(D391/C391)-1</f>
        <v>9.0974654852668424E-2</v>
      </c>
      <c r="E392" s="350">
        <f t="shared" ref="E392" si="648">SUM(E391/D391)-1</f>
        <v>3.8750905027229443E-2</v>
      </c>
      <c r="F392" s="350">
        <f t="shared" ref="F392" si="649">SUM(F391/E391)-1</f>
        <v>2.6612191445430033E-2</v>
      </c>
      <c r="G392" s="350">
        <f t="shared" ref="G392" si="650">SUM(G391/F391)-1</f>
        <v>2.662449572934511E-2</v>
      </c>
      <c r="H392" s="350">
        <f t="shared" ref="H392" si="651">SUM(H391/G391)-1</f>
        <v>2.6636794337528302E-2</v>
      </c>
      <c r="I392" s="291"/>
      <c r="J392" s="297"/>
    </row>
    <row r="393" spans="1:11">
      <c r="B393" s="290" t="s">
        <v>331</v>
      </c>
      <c r="C393" s="338">
        <f t="shared" ref="C393:H393" si="652">AVERAGE(C$372,C$374,C$376,C$378,C$380,C$382,C$384,C$386)</f>
        <v>14535.375</v>
      </c>
      <c r="D393" s="338">
        <f t="shared" si="652"/>
        <v>15621</v>
      </c>
      <c r="E393" s="338">
        <f t="shared" si="652"/>
        <v>16743.625</v>
      </c>
      <c r="F393" s="338">
        <f t="shared" si="652"/>
        <v>17994.389410724805</v>
      </c>
      <c r="G393" s="338">
        <f t="shared" si="652"/>
        <v>19458.412574980441</v>
      </c>
      <c r="H393" s="338">
        <f t="shared" si="652"/>
        <v>20880.372926793214</v>
      </c>
      <c r="I393" s="291"/>
      <c r="J393" s="297">
        <f t="shared" si="645"/>
        <v>6.2230258229174273E-2</v>
      </c>
    </row>
    <row r="394" spans="1:11">
      <c r="B394" s="325" t="s">
        <v>45</v>
      </c>
      <c r="C394" s="334">
        <f>(C393/'3 Statement Model'!$H$135)-1</f>
        <v>0.14316751867872601</v>
      </c>
      <c r="D394" s="350">
        <f>SUM(D393/C393)-1</f>
        <v>7.4688475529527176E-2</v>
      </c>
      <c r="E394" s="350">
        <f t="shared" ref="E394" si="653">SUM(E393/D393)-1</f>
        <v>7.1866397797836212E-2</v>
      </c>
      <c r="F394" s="350">
        <f t="shared" ref="F394" si="654">SUM(F393/E393)-1</f>
        <v>7.4700933084968391E-2</v>
      </c>
      <c r="G394" s="350">
        <f t="shared" ref="G394" si="655">SUM(G393/F393)-1</f>
        <v>8.1359980093743234E-2</v>
      </c>
      <c r="H394" s="350">
        <f t="shared" ref="H394" si="656">SUM(H393/G393)-1</f>
        <v>7.3076893931271814E-2</v>
      </c>
      <c r="I394" s="291"/>
      <c r="J394" s="297"/>
    </row>
    <row r="395" spans="1:11">
      <c r="B395" s="324" t="s">
        <v>311</v>
      </c>
      <c r="C395" s="337">
        <f>MIN(C$372,C$374,C$376,C$378,C$380,C$382,C$384,C$386)</f>
        <v>11678</v>
      </c>
      <c r="D395" s="337">
        <f t="shared" ref="D395:H395" si="657">MIN(D$372,D$374,D$376,D$378,D$380,D$382,D$384,D$386)</f>
        <v>11029</v>
      </c>
      <c r="E395" s="337">
        <f t="shared" si="657"/>
        <v>11666</v>
      </c>
      <c r="F395" s="337">
        <f t="shared" si="657"/>
        <v>12721.617270147071</v>
      </c>
      <c r="G395" s="337">
        <f t="shared" si="657"/>
        <v>13306.984539393539</v>
      </c>
      <c r="H395" s="337">
        <f t="shared" si="657"/>
        <v>13919.286657616258</v>
      </c>
      <c r="I395" s="291"/>
      <c r="J395" s="297">
        <f t="shared" si="645"/>
        <v>2.969376892445208E-2</v>
      </c>
    </row>
    <row r="396" spans="1:11">
      <c r="B396" s="326" t="s">
        <v>45</v>
      </c>
      <c r="C396" s="335">
        <f>(C395/'3 Statement Model'!$H$135)-1</f>
        <v>-8.1557215886747914E-2</v>
      </c>
      <c r="D396" s="351">
        <f>SUM(D395/C395)-1</f>
        <v>-5.5574584689159101E-2</v>
      </c>
      <c r="E396" s="351">
        <f t="shared" ref="E396" si="658">SUM(E395/D395)-1</f>
        <v>5.7756822921389173E-2</v>
      </c>
      <c r="F396" s="351">
        <f t="shared" ref="F396" si="659">SUM(F395/E395)-1</f>
        <v>9.048665096408981E-2</v>
      </c>
      <c r="G396" s="351">
        <f t="shared" ref="G396" si="660">SUM(G395/F395)-1</f>
        <v>4.601358905994668E-2</v>
      </c>
      <c r="H396" s="351">
        <f t="shared" ref="H396" si="661">SUM(H395/G395)-1</f>
        <v>4.601358905994668E-2</v>
      </c>
      <c r="I396" s="292"/>
      <c r="J396" s="298"/>
    </row>
    <row r="398" spans="1:11">
      <c r="A398" s="353" t="s">
        <v>24</v>
      </c>
      <c r="B398" s="229" t="s">
        <v>480</v>
      </c>
      <c r="C398" s="229"/>
      <c r="D398" s="229"/>
      <c r="E398" s="229"/>
      <c r="F398" s="229"/>
      <c r="G398" s="229"/>
      <c r="H398" s="229"/>
      <c r="I398" s="229"/>
      <c r="J398" s="229"/>
    </row>
    <row r="399" spans="1:11" ht="5.0999999999999996" customHeight="1"/>
    <row r="400" spans="1:11">
      <c r="A400" s="353" t="s">
        <v>24</v>
      </c>
      <c r="B400" s="229" t="s">
        <v>360</v>
      </c>
      <c r="C400" s="211" t="s">
        <v>156</v>
      </c>
      <c r="D400" s="211"/>
      <c r="E400" s="211"/>
      <c r="F400" s="211"/>
      <c r="G400" s="211"/>
      <c r="H400" s="211"/>
      <c r="I400" s="230"/>
      <c r="J400" s="2" t="s">
        <v>332</v>
      </c>
    </row>
    <row r="401" spans="2:11">
      <c r="B401" s="282" t="s">
        <v>372</v>
      </c>
      <c r="C401" s="283" t="str">
        <f t="shared" ref="C401:H401" si="662">C$9</f>
        <v>2026E</v>
      </c>
      <c r="D401" s="283" t="str">
        <f t="shared" si="662"/>
        <v>2027E</v>
      </c>
      <c r="E401" s="283" t="str">
        <f t="shared" si="662"/>
        <v>2028E</v>
      </c>
      <c r="F401" s="283" t="str">
        <f t="shared" si="662"/>
        <v>2029E</v>
      </c>
      <c r="G401" s="283" t="str">
        <f t="shared" si="662"/>
        <v>2030E</v>
      </c>
      <c r="H401" s="283" t="str">
        <f t="shared" si="662"/>
        <v>2031E</v>
      </c>
      <c r="I401" s="230"/>
      <c r="J401" s="182" t="str">
        <f>$J$9</f>
        <v>6-Year(F)</v>
      </c>
    </row>
    <row r="402" spans="2:11">
      <c r="B402" s="282" t="s">
        <v>373</v>
      </c>
      <c r="C402" s="230">
        <f t="shared" ref="C402:H402" si="663">C$10</f>
        <v>46295</v>
      </c>
      <c r="D402" s="230">
        <f t="shared" si="663"/>
        <v>46660</v>
      </c>
      <c r="E402" s="230">
        <f t="shared" si="663"/>
        <v>47026</v>
      </c>
      <c r="F402" s="230">
        <f t="shared" si="663"/>
        <v>47391</v>
      </c>
      <c r="G402" s="230">
        <f t="shared" si="663"/>
        <v>47756</v>
      </c>
      <c r="H402" s="230">
        <f t="shared" si="663"/>
        <v>48121</v>
      </c>
      <c r="I402" s="230"/>
      <c r="J402" s="3">
        <f>$H$44</f>
        <v>48121</v>
      </c>
    </row>
    <row r="403" spans="2:11" ht="5.0999999999999996" customHeight="1">
      <c r="B403" s="286"/>
    </row>
    <row r="404" spans="2:11">
      <c r="B404" s="180" t="s">
        <v>326</v>
      </c>
      <c r="C404" s="231">
        <v>240000</v>
      </c>
      <c r="D404" s="231">
        <v>248000</v>
      </c>
      <c r="E404" s="231">
        <v>247000</v>
      </c>
      <c r="F404" s="232">
        <f t="shared" ref="F404" si="664">SUM(E404*F405)+E404</f>
        <v>246004.03225806452</v>
      </c>
      <c r="G404" s="232">
        <f t="shared" ref="G404" si="665">SUM(F404*G405)+F404</f>
        <v>245012.08051508846</v>
      </c>
      <c r="H404" s="232">
        <f t="shared" ref="H404" si="666">SUM(G404*H405)+G404</f>
        <v>244024.12857752762</v>
      </c>
      <c r="J404" s="333">
        <f t="shared" ref="J404" si="667">((H404/C404)^(1/COUNT(C404:H404))-1)</f>
        <v>2.7752078920344481E-3</v>
      </c>
      <c r="K404" s="180" t="s">
        <v>516</v>
      </c>
    </row>
    <row r="405" spans="2:11">
      <c r="B405" s="287" t="s">
        <v>45</v>
      </c>
      <c r="C405" s="340">
        <f>SUM(C404/'Revenue Projections &amp; Cases'!$H$27)-1</f>
        <v>3.8961038961038863E-2</v>
      </c>
      <c r="D405" s="311">
        <f t="shared" ref="D405" si="668">SUM(D404/C404)-1</f>
        <v>3.3333333333333437E-2</v>
      </c>
      <c r="E405" s="311">
        <f t="shared" ref="E405" si="669">SUM(E404/D404)-1</f>
        <v>-4.0322580645161255E-3</v>
      </c>
      <c r="F405" s="311">
        <f>E405</f>
        <v>-4.0322580645161255E-3</v>
      </c>
      <c r="G405" s="311">
        <f t="shared" ref="G405:H405" si="670">F405</f>
        <v>-4.0322580645161255E-3</v>
      </c>
      <c r="H405" s="311">
        <f t="shared" si="670"/>
        <v>-4.0322580645161255E-3</v>
      </c>
      <c r="J405" s="331"/>
    </row>
    <row r="406" spans="2:11">
      <c r="B406" s="180" t="s">
        <v>335</v>
      </c>
      <c r="C406" s="231">
        <v>246000</v>
      </c>
      <c r="D406" s="231">
        <v>248000</v>
      </c>
      <c r="E406" s="231">
        <v>250000</v>
      </c>
      <c r="F406" s="232">
        <f t="shared" ref="F406" si="671">SUM(E406*F407)+E406</f>
        <v>252016.12903225806</v>
      </c>
      <c r="G406" s="232">
        <f t="shared" ref="G406" si="672">SUM(F406*G407)+F406</f>
        <v>254048.51716961499</v>
      </c>
      <c r="H406" s="232">
        <f t="shared" ref="H406" si="673">SUM(G406*H407)+G406</f>
        <v>256097.29553388609</v>
      </c>
      <c r="J406" s="330">
        <f t="shared" ref="J406:J408" si="674">((H406/C406)^(1/COUNT(C406:H406))-1)</f>
        <v>6.726840406332979E-3</v>
      </c>
      <c r="K406" s="180" t="s">
        <v>517</v>
      </c>
    </row>
    <row r="407" spans="2:11">
      <c r="B407" s="287" t="s">
        <v>45</v>
      </c>
      <c r="C407" s="340">
        <f>SUM(C406/'Revenue Projections &amp; Cases'!$H$27)-1</f>
        <v>6.4935064935064846E-2</v>
      </c>
      <c r="D407" s="311">
        <f>SUM(D406/C406)-1</f>
        <v>8.1300813008129413E-3</v>
      </c>
      <c r="E407" s="311">
        <f t="shared" ref="E407" si="675">SUM(E406/D406)-1</f>
        <v>8.0645161290322509E-3</v>
      </c>
      <c r="F407" s="311">
        <f>E407</f>
        <v>8.0645161290322509E-3</v>
      </c>
      <c r="G407" s="311">
        <f t="shared" ref="G407:H407" si="676">F407</f>
        <v>8.0645161290322509E-3</v>
      </c>
      <c r="H407" s="311">
        <f t="shared" si="676"/>
        <v>8.0645161290322509E-3</v>
      </c>
      <c r="J407" s="331"/>
    </row>
    <row r="408" spans="2:11">
      <c r="B408" s="180" t="s">
        <v>558</v>
      </c>
      <c r="C408" s="231">
        <f>243*1000</f>
        <v>243000</v>
      </c>
      <c r="D408" s="231">
        <f>252*1000</f>
        <v>252000</v>
      </c>
      <c r="E408" s="231">
        <f>250*1000</f>
        <v>250000</v>
      </c>
      <c r="F408" s="232">
        <f t="shared" ref="F408" si="677">SUM(E408*F409)+E408</f>
        <v>248015.87301587302</v>
      </c>
      <c r="G408" s="232">
        <f t="shared" ref="G408" si="678">SUM(F408*G409)+F408</f>
        <v>246047.4930713026</v>
      </c>
      <c r="H408" s="232">
        <f t="shared" ref="H408" si="679">SUM(G408*H409)+G408</f>
        <v>244094.73518978432</v>
      </c>
      <c r="J408" s="330">
        <f t="shared" si="674"/>
        <v>7.4944162016654658E-4</v>
      </c>
      <c r="K408" s="180" t="s">
        <v>516</v>
      </c>
    </row>
    <row r="409" spans="2:11">
      <c r="B409" s="287" t="s">
        <v>45</v>
      </c>
      <c r="C409" s="340">
        <f>SUM(C408/'Revenue Projections &amp; Cases'!$H$27)-1</f>
        <v>5.1948051948051965E-2</v>
      </c>
      <c r="D409" s="311">
        <f>SUM(D408/C408)-1</f>
        <v>3.7037037037036979E-2</v>
      </c>
      <c r="E409" s="311">
        <f>SUM(E408/D408)-1</f>
        <v>-7.9365079365079083E-3</v>
      </c>
      <c r="F409" s="311">
        <f>E409</f>
        <v>-7.9365079365079083E-3</v>
      </c>
      <c r="G409" s="311">
        <f t="shared" ref="G409:H409" si="680">F409</f>
        <v>-7.9365079365079083E-3</v>
      </c>
      <c r="H409" s="311">
        <f t="shared" si="680"/>
        <v>-7.9365079365079083E-3</v>
      </c>
      <c r="J409" s="331"/>
    </row>
    <row r="410" spans="2:11">
      <c r="B410" s="180" t="s">
        <v>384</v>
      </c>
      <c r="C410" s="231">
        <f>240*1000</f>
        <v>240000</v>
      </c>
      <c r="D410" s="231">
        <f>250*1000</f>
        <v>250000</v>
      </c>
      <c r="E410" s="231">
        <f>255*1000</f>
        <v>255000</v>
      </c>
      <c r="F410" s="232">
        <f t="shared" ref="F410" si="681">SUM(E410*F411)+E410</f>
        <v>260100</v>
      </c>
      <c r="G410" s="232">
        <f t="shared" ref="G410" si="682">SUM(F410*G411)+F410</f>
        <v>265302</v>
      </c>
      <c r="H410" s="232">
        <f t="shared" ref="H410" si="683">SUM(G410*H411)+G410</f>
        <v>270608.03999999998</v>
      </c>
      <c r="J410" s="330">
        <f t="shared" ref="J410" si="684">((H410/C410)^(1/COUNT(C410:H410))-1)</f>
        <v>2.0206866762287445E-2</v>
      </c>
      <c r="K410" s="180" t="s">
        <v>516</v>
      </c>
    </row>
    <row r="411" spans="2:11">
      <c r="B411" s="287" t="s">
        <v>45</v>
      </c>
      <c r="C411" s="340">
        <f>SUM(C410/'Revenue Projections &amp; Cases'!$H$27)-1</f>
        <v>3.8961038961038863E-2</v>
      </c>
      <c r="D411" s="311">
        <f>SUM(D410/C410)-1</f>
        <v>4.1666666666666741E-2</v>
      </c>
      <c r="E411" s="311">
        <f>SUM(E410/D410)-1</f>
        <v>2.0000000000000018E-2</v>
      </c>
      <c r="F411" s="311">
        <f t="shared" ref="F411:H411" si="685">E411</f>
        <v>2.0000000000000018E-2</v>
      </c>
      <c r="G411" s="311">
        <f t="shared" si="685"/>
        <v>2.0000000000000018E-2</v>
      </c>
      <c r="H411" s="311">
        <f t="shared" si="685"/>
        <v>2.0000000000000018E-2</v>
      </c>
      <c r="J411" s="331"/>
    </row>
    <row r="412" spans="2:11">
      <c r="B412" s="180" t="s">
        <v>327</v>
      </c>
      <c r="C412" s="231">
        <f>245.08*1000</f>
        <v>245080</v>
      </c>
      <c r="D412" s="231">
        <f>249.76*1000</f>
        <v>249760</v>
      </c>
      <c r="E412" s="232">
        <f>SUM(D412*E413)+D412</f>
        <v>254529.36836951203</v>
      </c>
      <c r="F412" s="232">
        <f t="shared" ref="F412" si="686">SUM(E412*F413)+E412</f>
        <v>259389.81166953375</v>
      </c>
      <c r="G412" s="232">
        <f t="shared" ref="G412" si="687">SUM(F412*G413)+F412</f>
        <v>264343.06904921966</v>
      </c>
      <c r="H412" s="232">
        <f t="shared" ref="H412" si="688">SUM(G412*H413)+G412</f>
        <v>269390.91286817816</v>
      </c>
      <c r="J412" s="330">
        <f t="shared" ref="J412" si="689">((H412/C412)^(1/COUNT(C412:H412))-1)</f>
        <v>1.5888034437280929E-2</v>
      </c>
      <c r="K412" s="180" t="s">
        <v>516</v>
      </c>
    </row>
    <row r="413" spans="2:11">
      <c r="B413" s="287" t="s">
        <v>45</v>
      </c>
      <c r="C413" s="340">
        <f>SUM(C412/'Revenue Projections &amp; Cases'!$H$27)-1</f>
        <v>6.0952380952380869E-2</v>
      </c>
      <c r="D413" s="311">
        <f>SUM(D412/C412)-1</f>
        <v>1.9095805451281311E-2</v>
      </c>
      <c r="E413" s="311">
        <f>D413</f>
        <v>1.9095805451281311E-2</v>
      </c>
      <c r="F413" s="311">
        <f t="shared" ref="F413:H413" si="690">E413</f>
        <v>1.9095805451281311E-2</v>
      </c>
      <c r="G413" s="311">
        <f t="shared" si="690"/>
        <v>1.9095805451281311E-2</v>
      </c>
      <c r="H413" s="311">
        <f t="shared" si="690"/>
        <v>1.9095805451281311E-2</v>
      </c>
      <c r="J413" s="331"/>
    </row>
    <row r="414" spans="2:11">
      <c r="B414" s="180" t="s">
        <v>336</v>
      </c>
      <c r="C414" s="231">
        <v>240700</v>
      </c>
      <c r="D414" s="231">
        <v>234500</v>
      </c>
      <c r="E414" s="231">
        <v>253300</v>
      </c>
      <c r="F414" s="231">
        <v>263200</v>
      </c>
      <c r="G414" s="231">
        <v>264800</v>
      </c>
      <c r="H414" s="231">
        <v>271400</v>
      </c>
      <c r="J414" s="330">
        <f t="shared" ref="J414" si="691">((H414/C414)^(1/COUNT(C414:H414))-1)</f>
        <v>2.0208549919119134E-2</v>
      </c>
      <c r="K414" s="180" t="s">
        <v>516</v>
      </c>
    </row>
    <row r="415" spans="2:11">
      <c r="B415" s="287" t="s">
        <v>45</v>
      </c>
      <c r="C415" s="340">
        <f>SUM(C414/'Revenue Projections &amp; Cases'!$H$27)-1</f>
        <v>4.1991341991342024E-2</v>
      </c>
      <c r="D415" s="311">
        <f>SUM(D414/C414)-1</f>
        <v>-2.5758205234732046E-2</v>
      </c>
      <c r="E415" s="311">
        <f t="shared" ref="E415" si="692">SUM(E414/D414)-1</f>
        <v>8.0170575692963819E-2</v>
      </c>
      <c r="F415" s="311">
        <f t="shared" ref="F415" si="693">SUM(F414/E414)-1</f>
        <v>3.9084090011843653E-2</v>
      </c>
      <c r="G415" s="311">
        <f t="shared" ref="G415" si="694">SUM(G414/F414)-1</f>
        <v>6.0790273556230456E-3</v>
      </c>
      <c r="H415" s="311">
        <f t="shared" ref="H415" si="695">SUM(H414/G414)-1</f>
        <v>2.4924471299093698E-2</v>
      </c>
      <c r="J415" s="332"/>
    </row>
    <row r="416" spans="2:11" s="355" customFormat="1" ht="5.0999999999999996" customHeight="1"/>
    <row r="417" spans="1:11">
      <c r="B417" s="293" t="s">
        <v>188</v>
      </c>
      <c r="C417" s="295">
        <f t="shared" ref="C417:H417" si="696">MAX(C$404,C$406,C$408,C$410,C$412,C$414)</f>
        <v>246000</v>
      </c>
      <c r="D417" s="295">
        <f t="shared" si="696"/>
        <v>252000</v>
      </c>
      <c r="E417" s="295">
        <f t="shared" si="696"/>
        <v>255000</v>
      </c>
      <c r="F417" s="295">
        <f t="shared" si="696"/>
        <v>263200</v>
      </c>
      <c r="G417" s="295">
        <f t="shared" si="696"/>
        <v>265302</v>
      </c>
      <c r="H417" s="295">
        <f t="shared" si="696"/>
        <v>271400</v>
      </c>
      <c r="I417" s="289"/>
      <c r="J417" s="299">
        <f t="shared" ref="J417" si="697">((H417/C417)^(1/COUNT(C417:H417))-1)</f>
        <v>1.6511873966935431E-2</v>
      </c>
    </row>
    <row r="418" spans="1:11">
      <c r="B418" s="325" t="s">
        <v>45</v>
      </c>
      <c r="C418" s="334">
        <f>SUM(C417/'Revenue Projections &amp; Cases'!$H$27)-1</f>
        <v>6.4935064935064846E-2</v>
      </c>
      <c r="D418" s="350">
        <f>SUM(D417/C417)-1</f>
        <v>2.4390243902439046E-2</v>
      </c>
      <c r="E418" s="350">
        <f t="shared" ref="E418" si="698">SUM(E417/D417)-1</f>
        <v>1.1904761904761862E-2</v>
      </c>
      <c r="F418" s="350">
        <f t="shared" ref="F418" si="699">SUM(F417/E417)-1</f>
        <v>3.2156862745098103E-2</v>
      </c>
      <c r="G418" s="350">
        <f t="shared" ref="G418" si="700">SUM(G417/F417)-1</f>
        <v>7.986322188449746E-3</v>
      </c>
      <c r="H418" s="350">
        <f t="shared" ref="H418" si="701">SUM(H417/G417)-1</f>
        <v>2.2985126384271526E-2</v>
      </c>
      <c r="I418" s="291"/>
      <c r="J418" s="297"/>
    </row>
    <row r="419" spans="1:11">
      <c r="B419" s="290" t="s">
        <v>374</v>
      </c>
      <c r="C419" s="339">
        <f t="shared" ref="C419:H419" si="702">MEDIAN(C$404,C$406,C$408,C$410,C$412,C$414)</f>
        <v>241850</v>
      </c>
      <c r="D419" s="339">
        <f t="shared" si="702"/>
        <v>248880</v>
      </c>
      <c r="E419" s="339">
        <f t="shared" si="702"/>
        <v>251650</v>
      </c>
      <c r="F419" s="339">
        <f t="shared" si="702"/>
        <v>255702.97035089589</v>
      </c>
      <c r="G419" s="339">
        <f t="shared" si="702"/>
        <v>259195.79310941731</v>
      </c>
      <c r="H419" s="339">
        <f t="shared" si="702"/>
        <v>262744.10420103214</v>
      </c>
      <c r="I419" s="291"/>
      <c r="J419" s="297">
        <f t="shared" ref="J419" si="703">((H419/C419)^(1/COUNT(C419:H419))-1)</f>
        <v>1.3906283759638205E-2</v>
      </c>
    </row>
    <row r="420" spans="1:11">
      <c r="B420" s="325" t="s">
        <v>45</v>
      </c>
      <c r="C420" s="334">
        <f>SUM(C419/'Revenue Projections &amp; Cases'!$H$27)-1</f>
        <v>4.6969696969696884E-2</v>
      </c>
      <c r="D420" s="350">
        <f>SUM(D419/C419)-1</f>
        <v>2.9067603886706594E-2</v>
      </c>
      <c r="E420" s="350">
        <f t="shared" ref="E420" si="704">SUM(E419/D419)-1</f>
        <v>1.1129861780777794E-2</v>
      </c>
      <c r="F420" s="350">
        <f t="shared" ref="F420" si="705">SUM(F419/E419)-1</f>
        <v>1.6105584545582641E-2</v>
      </c>
      <c r="G420" s="350">
        <f t="shared" ref="G420" si="706">SUM(G419/F419)-1</f>
        <v>1.3659687854733482E-2</v>
      </c>
      <c r="H420" s="350">
        <f t="shared" ref="H420" si="707">SUM(H419/G419)-1</f>
        <v>1.3689693991742136E-2</v>
      </c>
      <c r="I420" s="291"/>
      <c r="J420" s="297"/>
    </row>
    <row r="421" spans="1:11">
      <c r="B421" s="290" t="s">
        <v>331</v>
      </c>
      <c r="C421" s="339">
        <f>AVERAGE(C$404,C$406,C$408,C$410,C$412,C$414)</f>
        <v>242463.33333333334</v>
      </c>
      <c r="D421" s="339">
        <f t="shared" ref="D421:H421" si="708">AVERAGE(D$404,D$406,D$408,D$410,D$412,D$414)</f>
        <v>247043.33333333334</v>
      </c>
      <c r="E421" s="339">
        <f t="shared" si="708"/>
        <v>251638.22806158534</v>
      </c>
      <c r="F421" s="339">
        <f t="shared" si="708"/>
        <v>254787.64099595489</v>
      </c>
      <c r="G421" s="339">
        <f t="shared" si="708"/>
        <v>256592.19330087095</v>
      </c>
      <c r="H421" s="339">
        <f t="shared" si="708"/>
        <v>259269.18536156273</v>
      </c>
      <c r="I421" s="291"/>
      <c r="J421" s="297">
        <f t="shared" ref="J421" si="709">((H421/C421)^(1/COUNT(C421:H421))-1)</f>
        <v>1.1232002464458768E-2</v>
      </c>
    </row>
    <row r="422" spans="1:11">
      <c r="B422" s="325" t="s">
        <v>45</v>
      </c>
      <c r="C422" s="334">
        <f>SUM(C421/'Revenue Projections &amp; Cases'!$H$27)-1</f>
        <v>4.9624819624819683E-2</v>
      </c>
      <c r="D422" s="350">
        <f>SUM(D421/C421)-1</f>
        <v>1.8889454075530221E-2</v>
      </c>
      <c r="E422" s="350">
        <f t="shared" ref="E422" si="710">SUM(E421/D421)-1</f>
        <v>1.8599549586113096E-2</v>
      </c>
      <c r="F422" s="350">
        <f t="shared" ref="F422" si="711">SUM(F421/E421)-1</f>
        <v>1.2515637860868845E-2</v>
      </c>
      <c r="G422" s="350">
        <f t="shared" ref="G422" si="712">SUM(G421/F421)-1</f>
        <v>7.082573934364067E-3</v>
      </c>
      <c r="H422" s="350">
        <f t="shared" ref="H422" si="713">SUM(H421/G421)-1</f>
        <v>1.0432866355964521E-2</v>
      </c>
      <c r="I422" s="291"/>
      <c r="J422" s="297"/>
    </row>
    <row r="423" spans="1:11">
      <c r="B423" s="324" t="s">
        <v>311</v>
      </c>
      <c r="C423" s="296">
        <f>MIN(C$404,C$406,C$408,C$410,C$412,C$414)</f>
        <v>240000</v>
      </c>
      <c r="D423" s="296">
        <f t="shared" ref="D423:H423" si="714">MIN(D$404,D$406,D$408,D$410,D$412,D$414)</f>
        <v>234500</v>
      </c>
      <c r="E423" s="296">
        <f t="shared" si="714"/>
        <v>247000</v>
      </c>
      <c r="F423" s="296">
        <f t="shared" si="714"/>
        <v>246004.03225806452</v>
      </c>
      <c r="G423" s="296">
        <f t="shared" si="714"/>
        <v>245012.08051508846</v>
      </c>
      <c r="H423" s="296">
        <f t="shared" si="714"/>
        <v>244024.12857752762</v>
      </c>
      <c r="I423" s="291"/>
      <c r="J423" s="297">
        <f t="shared" ref="J423" si="715">((H423/C423)^(1/COUNT(C423:H423))-1)</f>
        <v>2.7752078920344481E-3</v>
      </c>
    </row>
    <row r="424" spans="1:11">
      <c r="B424" s="326" t="s">
        <v>45</v>
      </c>
      <c r="C424" s="335">
        <f>SUM(C423/'Revenue Projections &amp; Cases'!$H$27)-1</f>
        <v>3.8961038961038863E-2</v>
      </c>
      <c r="D424" s="351">
        <f>SUM(D423/C423)-1</f>
        <v>-2.2916666666666696E-2</v>
      </c>
      <c r="E424" s="351">
        <f t="shared" ref="E424" si="716">SUM(E423/D423)-1</f>
        <v>5.3304904051172608E-2</v>
      </c>
      <c r="F424" s="351">
        <f t="shared" ref="F424" si="717">SUM(F423/E423)-1</f>
        <v>-4.0322580645161255E-3</v>
      </c>
      <c r="G424" s="351">
        <f t="shared" ref="G424" si="718">SUM(G423/F423)-1</f>
        <v>-4.0322580645161255E-3</v>
      </c>
      <c r="H424" s="351">
        <f t="shared" ref="H424" si="719">SUM(H423/G423)-1</f>
        <v>-4.0322580645161255E-3</v>
      </c>
      <c r="I424" s="292"/>
      <c r="J424" s="298"/>
    </row>
    <row r="426" spans="1:11">
      <c r="A426" s="353" t="s">
        <v>24</v>
      </c>
      <c r="B426" s="229" t="s">
        <v>562</v>
      </c>
      <c r="C426" s="211" t="s">
        <v>156</v>
      </c>
      <c r="D426" s="211"/>
      <c r="E426" s="211"/>
      <c r="F426" s="211"/>
      <c r="G426" s="211"/>
      <c r="H426" s="211"/>
      <c r="I426" s="230"/>
      <c r="J426" s="2" t="s">
        <v>332</v>
      </c>
    </row>
    <row r="427" spans="1:11">
      <c r="B427" s="282" t="s">
        <v>372</v>
      </c>
      <c r="C427" s="283" t="str">
        <f t="shared" ref="C427:H427" si="720">C$9</f>
        <v>2026E</v>
      </c>
      <c r="D427" s="283" t="str">
        <f t="shared" si="720"/>
        <v>2027E</v>
      </c>
      <c r="E427" s="283" t="str">
        <f t="shared" si="720"/>
        <v>2028E</v>
      </c>
      <c r="F427" s="283" t="str">
        <f t="shared" si="720"/>
        <v>2029E</v>
      </c>
      <c r="G427" s="283" t="str">
        <f t="shared" si="720"/>
        <v>2030E</v>
      </c>
      <c r="H427" s="283" t="str">
        <f t="shared" si="720"/>
        <v>2031E</v>
      </c>
      <c r="I427" s="230"/>
      <c r="J427" s="182" t="str">
        <f>$J$9</f>
        <v>6-Year(F)</v>
      </c>
    </row>
    <row r="428" spans="1:11">
      <c r="B428" s="282" t="s">
        <v>373</v>
      </c>
      <c r="C428" s="230">
        <f t="shared" ref="C428:H428" si="721">C$10</f>
        <v>46295</v>
      </c>
      <c r="D428" s="230">
        <f t="shared" si="721"/>
        <v>46660</v>
      </c>
      <c r="E428" s="230">
        <f t="shared" si="721"/>
        <v>47026</v>
      </c>
      <c r="F428" s="230">
        <f t="shared" si="721"/>
        <v>47391</v>
      </c>
      <c r="G428" s="230">
        <f t="shared" si="721"/>
        <v>47756</v>
      </c>
      <c r="H428" s="230">
        <f t="shared" si="721"/>
        <v>48121</v>
      </c>
      <c r="I428" s="230"/>
      <c r="J428" s="3">
        <f>$H$44</f>
        <v>48121</v>
      </c>
    </row>
    <row r="429" spans="1:11" ht="5.0999999999999996" customHeight="1">
      <c r="B429" s="286"/>
    </row>
    <row r="430" spans="1:11">
      <c r="B430" s="180" t="s">
        <v>326</v>
      </c>
      <c r="C430" s="231">
        <v>956.875</v>
      </c>
      <c r="D430" s="231">
        <v>957.43548387096769</v>
      </c>
      <c r="E430" s="231">
        <v>961.59311740890689</v>
      </c>
      <c r="F430" s="232">
        <f t="shared" ref="F430" si="722">SUM(E430*F431)+E430</f>
        <v>965.76880533999008</v>
      </c>
      <c r="G430" s="232">
        <f t="shared" ref="G430" si="723">SUM(F430*G431)+F430</f>
        <v>969.96262606485277</v>
      </c>
      <c r="H430" s="232">
        <f t="shared" ref="H430" si="724">SUM(G430*H431)+G430</f>
        <v>974.17465832458288</v>
      </c>
      <c r="J430" s="333">
        <f t="shared" ref="J430" si="725">((H430/C430)^(1/COUNT(C430:H430))-1)</f>
        <v>2.9907704260270229E-3</v>
      </c>
      <c r="K430" s="180" t="s">
        <v>516</v>
      </c>
    </row>
    <row r="431" spans="1:11">
      <c r="B431" s="287" t="s">
        <v>45</v>
      </c>
      <c r="C431" s="340">
        <f>SUM(C430/'Revenue Projections &amp; Cases'!$H$35)-1</f>
        <v>5.4988974641675847E-2</v>
      </c>
      <c r="D431" s="311">
        <f t="shared" ref="D431" si="726">SUM(D430/C430)-1</f>
        <v>5.8574408461686822E-4</v>
      </c>
      <c r="E431" s="311">
        <f t="shared" ref="E431" si="727">SUM(E430/D430)-1</f>
        <v>4.3424686132684798E-3</v>
      </c>
      <c r="F431" s="311">
        <f>E431</f>
        <v>4.3424686132684798E-3</v>
      </c>
      <c r="G431" s="311">
        <f t="shared" ref="G431:H431" si="728">F431</f>
        <v>4.3424686132684798E-3</v>
      </c>
      <c r="H431" s="311">
        <f t="shared" si="728"/>
        <v>4.3424686132684798E-3</v>
      </c>
      <c r="J431" s="331"/>
    </row>
    <row r="432" spans="1:11">
      <c r="B432" s="180" t="s">
        <v>384</v>
      </c>
      <c r="C432" s="231">
        <v>900</v>
      </c>
      <c r="D432" s="231">
        <v>900</v>
      </c>
      <c r="E432" s="231">
        <v>900</v>
      </c>
      <c r="F432" s="232">
        <f t="shared" ref="F432:H432" si="729">SUM(E432*F433)+E432</f>
        <v>900</v>
      </c>
      <c r="G432" s="232">
        <f t="shared" si="729"/>
        <v>900</v>
      </c>
      <c r="H432" s="232">
        <f t="shared" si="729"/>
        <v>900</v>
      </c>
      <c r="J432" s="330">
        <f t="shared" ref="J432:J434" si="730">((H432/C432)^(1/COUNT(C432:H432))-1)</f>
        <v>0</v>
      </c>
      <c r="K432" s="180" t="s">
        <v>516</v>
      </c>
    </row>
    <row r="433" spans="2:11">
      <c r="B433" s="287" t="s">
        <v>45</v>
      </c>
      <c r="C433" s="340">
        <f>SUM(C432/'Revenue Projections &amp; Cases'!$H$35)-1</f>
        <v>-7.717750826901848E-3</v>
      </c>
      <c r="D433" s="311">
        <f>SUM(D432/C432)-1</f>
        <v>0</v>
      </c>
      <c r="E433" s="311">
        <f>SUM(E432/D432)-1</f>
        <v>0</v>
      </c>
      <c r="F433" s="311">
        <f t="shared" ref="F433:H433" si="731">E433</f>
        <v>0</v>
      </c>
      <c r="G433" s="311">
        <f t="shared" si="731"/>
        <v>0</v>
      </c>
      <c r="H433" s="311">
        <f t="shared" si="731"/>
        <v>0</v>
      </c>
      <c r="J433" s="331"/>
    </row>
    <row r="434" spans="2:11">
      <c r="B434" s="180" t="s">
        <v>558</v>
      </c>
      <c r="C434" s="231">
        <v>967</v>
      </c>
      <c r="D434" s="231">
        <v>992</v>
      </c>
      <c r="E434" s="231">
        <v>1023</v>
      </c>
      <c r="F434" s="232">
        <f t="shared" ref="F434" si="732">SUM(E434*F435)+E434</f>
        <v>1054.96875</v>
      </c>
      <c r="G434" s="232">
        <f t="shared" ref="G434" si="733">SUM(F434*G435)+F434</f>
        <v>1087.9365234375</v>
      </c>
      <c r="H434" s="232">
        <f t="shared" ref="H434" si="734">SUM(G434*H435)+G434</f>
        <v>1121.9345397949219</v>
      </c>
      <c r="J434" s="330">
        <f t="shared" si="730"/>
        <v>2.5077829659752471E-2</v>
      </c>
      <c r="K434" s="180" t="s">
        <v>516</v>
      </c>
    </row>
    <row r="435" spans="2:11">
      <c r="B435" s="287" t="s">
        <v>45</v>
      </c>
      <c r="C435" s="340">
        <f>SUM(C434/'Revenue Projections &amp; Cases'!$H$35)-1</f>
        <v>6.6152149944873173E-2</v>
      </c>
      <c r="D435" s="311">
        <f>SUM(D434/C434)-1</f>
        <v>2.585315408479838E-2</v>
      </c>
      <c r="E435" s="311">
        <f>SUM(E434/D434)-1</f>
        <v>3.125E-2</v>
      </c>
      <c r="F435" s="311">
        <f t="shared" ref="F435:H435" si="735">E435</f>
        <v>3.125E-2</v>
      </c>
      <c r="G435" s="311">
        <f t="shared" si="735"/>
        <v>3.125E-2</v>
      </c>
      <c r="H435" s="311">
        <f t="shared" si="735"/>
        <v>3.125E-2</v>
      </c>
      <c r="J435" s="331"/>
    </row>
    <row r="436" spans="2:11">
      <c r="B436" s="180" t="s">
        <v>327</v>
      </c>
      <c r="C436" s="231">
        <v>938</v>
      </c>
      <c r="D436" s="231">
        <v>973</v>
      </c>
      <c r="E436" s="232">
        <f>SUM(D436*E437)+D436</f>
        <v>1009.3059701492538</v>
      </c>
      <c r="F436" s="232">
        <f t="shared" ref="F436" si="736">SUM(E436*F437)+E436</f>
        <v>1046.966640677211</v>
      </c>
      <c r="G436" s="232">
        <f t="shared" ref="G436" si="737">SUM(F436*G437)+F436</f>
        <v>1086.0325601054651</v>
      </c>
      <c r="H436" s="232">
        <f t="shared" ref="H436" si="738">SUM(G436*H437)+G436</f>
        <v>1126.5561630944751</v>
      </c>
      <c r="J436" s="330">
        <f t="shared" ref="J436" si="739">((H436/C436)^(1/COUNT(C436:H436))-1)</f>
        <v>3.0999215699690552E-2</v>
      </c>
      <c r="K436" s="180" t="s">
        <v>516</v>
      </c>
    </row>
    <row r="437" spans="2:11">
      <c r="B437" s="287" t="s">
        <v>45</v>
      </c>
      <c r="C437" s="340">
        <f>SUM(C436/'Revenue Projections &amp; Cases'!$H$35)-1</f>
        <v>3.4178610804851184E-2</v>
      </c>
      <c r="D437" s="311">
        <f>SUM(D436/C436)-1</f>
        <v>3.7313432835820892E-2</v>
      </c>
      <c r="E437" s="311">
        <f>D437</f>
        <v>3.7313432835820892E-2</v>
      </c>
      <c r="F437" s="311">
        <f t="shared" ref="F437:H437" si="740">E437</f>
        <v>3.7313432835820892E-2</v>
      </c>
      <c r="G437" s="311">
        <f t="shared" si="740"/>
        <v>3.7313432835820892E-2</v>
      </c>
      <c r="H437" s="311">
        <f t="shared" si="740"/>
        <v>3.7313432835820892E-2</v>
      </c>
      <c r="J437" s="331"/>
    </row>
    <row r="438" spans="2:11">
      <c r="B438" s="180" t="s">
        <v>336</v>
      </c>
      <c r="C438" s="231">
        <v>955.9</v>
      </c>
      <c r="D438" s="231">
        <v>1035.7</v>
      </c>
      <c r="E438" s="231">
        <v>1035.7</v>
      </c>
      <c r="F438" s="231">
        <v>1035.7</v>
      </c>
      <c r="G438" s="231">
        <v>1035.7</v>
      </c>
      <c r="H438" s="231">
        <v>1035.7</v>
      </c>
      <c r="J438" s="330">
        <f t="shared" ref="J438" si="741">((H438/C438)^(1/COUNT(C438:H438))-1)</f>
        <v>1.3452937373227281E-2</v>
      </c>
      <c r="K438" s="180" t="s">
        <v>516</v>
      </c>
    </row>
    <row r="439" spans="2:11">
      <c r="B439" s="287" t="s">
        <v>45</v>
      </c>
      <c r="C439" s="340">
        <f>SUM(C438/'Revenue Projections &amp; Cases'!$H$35)-1</f>
        <v>5.3914002205071698E-2</v>
      </c>
      <c r="D439" s="311">
        <f>SUM(D438/C438)-1</f>
        <v>8.3481535725494327E-2</v>
      </c>
      <c r="E439" s="311">
        <f t="shared" ref="E439" si="742">SUM(E438/D438)-1</f>
        <v>0</v>
      </c>
      <c r="F439" s="311">
        <f t="shared" ref="F439" si="743">SUM(F438/E438)-1</f>
        <v>0</v>
      </c>
      <c r="G439" s="311">
        <f t="shared" ref="G439" si="744">SUM(G438/F438)-1</f>
        <v>0</v>
      </c>
      <c r="H439" s="311">
        <f t="shared" ref="H439" si="745">SUM(H438/G438)-1</f>
        <v>0</v>
      </c>
      <c r="J439" s="332"/>
    </row>
    <row r="440" spans="2:11" s="355" customFormat="1" ht="5.0999999999999996" customHeight="1"/>
    <row r="441" spans="2:11">
      <c r="B441" s="293" t="s">
        <v>188</v>
      </c>
      <c r="C441" s="423">
        <f>MAX(C$430,C$432,C$434,C$436,C$438)</f>
        <v>967</v>
      </c>
      <c r="D441" s="423">
        <f t="shared" ref="D441:H441" si="746">MAX(D$430,D$432,D$434,D$436,D$438)</f>
        <v>1035.7</v>
      </c>
      <c r="E441" s="423">
        <f t="shared" si="746"/>
        <v>1035.7</v>
      </c>
      <c r="F441" s="423">
        <f t="shared" si="746"/>
        <v>1054.96875</v>
      </c>
      <c r="G441" s="423">
        <f t="shared" si="746"/>
        <v>1087.9365234375</v>
      </c>
      <c r="H441" s="423">
        <f t="shared" si="746"/>
        <v>1126.5561630944751</v>
      </c>
      <c r="I441" s="289"/>
      <c r="J441" s="299">
        <f t="shared" ref="J441" si="747">((H441/C441)^(1/COUNT(C441:H441))-1)</f>
        <v>2.5780397767107166E-2</v>
      </c>
    </row>
    <row r="442" spans="2:11">
      <c r="B442" s="325" t="s">
        <v>45</v>
      </c>
      <c r="C442" s="334">
        <f>SUM(C441/'Revenue Projections &amp; Cases'!$H$35)-1</f>
        <v>6.6152149944873173E-2</v>
      </c>
      <c r="D442" s="350">
        <f>SUM(D441/C441)-1</f>
        <v>7.1044467425025903E-2</v>
      </c>
      <c r="E442" s="350">
        <f t="shared" ref="E442" si="748">SUM(E441/D441)-1</f>
        <v>0</v>
      </c>
      <c r="F442" s="350">
        <f t="shared" ref="F442" si="749">SUM(F441/E441)-1</f>
        <v>1.8604566959544266E-2</v>
      </c>
      <c r="G442" s="350">
        <f t="shared" ref="G442" si="750">SUM(G441/F441)-1</f>
        <v>3.125E-2</v>
      </c>
      <c r="H442" s="350">
        <f t="shared" ref="H442" si="751">SUM(H441/G441)-1</f>
        <v>3.5498063375012379E-2</v>
      </c>
      <c r="I442" s="291"/>
      <c r="J442" s="297"/>
    </row>
    <row r="443" spans="2:11">
      <c r="B443" s="290" t="s">
        <v>374</v>
      </c>
      <c r="C443" s="421">
        <f t="shared" ref="C443:H443" si="752">MEDIAN(C$430,C$432,C$434,C$436,C$438)</f>
        <v>955.9</v>
      </c>
      <c r="D443" s="421">
        <f t="shared" si="752"/>
        <v>973</v>
      </c>
      <c r="E443" s="421">
        <f t="shared" si="752"/>
        <v>1009.3059701492538</v>
      </c>
      <c r="F443" s="421">
        <f t="shared" si="752"/>
        <v>1035.7</v>
      </c>
      <c r="G443" s="421">
        <f t="shared" si="752"/>
        <v>1035.7</v>
      </c>
      <c r="H443" s="421">
        <f t="shared" si="752"/>
        <v>1035.7</v>
      </c>
      <c r="I443" s="291"/>
      <c r="J443" s="297">
        <f t="shared" ref="J443" si="753">((H443/C443)^(1/COUNT(C443:H443))-1)</f>
        <v>1.3452937373227281E-2</v>
      </c>
    </row>
    <row r="444" spans="2:11">
      <c r="B444" s="325" t="s">
        <v>45</v>
      </c>
      <c r="C444" s="334">
        <f>SUM(C443/'Revenue Projections &amp; Cases'!$H$35)-1</f>
        <v>5.3914002205071698E-2</v>
      </c>
      <c r="D444" s="350">
        <f>SUM(D443/C443)-1</f>
        <v>1.7888900512605943E-2</v>
      </c>
      <c r="E444" s="350">
        <f t="shared" ref="E444" si="754">SUM(E443/D443)-1</f>
        <v>3.7313432835820892E-2</v>
      </c>
      <c r="F444" s="350">
        <f t="shared" ref="F444" si="755">SUM(F443/E443)-1</f>
        <v>2.6150672473326697E-2</v>
      </c>
      <c r="G444" s="350">
        <f t="shared" ref="G444" si="756">SUM(G443/F443)-1</f>
        <v>0</v>
      </c>
      <c r="H444" s="350">
        <f t="shared" ref="H444" si="757">SUM(H443/G443)-1</f>
        <v>0</v>
      </c>
      <c r="I444" s="291"/>
      <c r="J444" s="297"/>
    </row>
    <row r="445" spans="2:11">
      <c r="B445" s="290" t="s">
        <v>331</v>
      </c>
      <c r="C445" s="421">
        <f t="shared" ref="C445:H445" si="758">AVERAGE(C$430,C$432,C$434,C$436,C$438)</f>
        <v>943.55499999999995</v>
      </c>
      <c r="D445" s="421">
        <f t="shared" si="758"/>
        <v>971.62709677419355</v>
      </c>
      <c r="E445" s="421">
        <f t="shared" si="758"/>
        <v>985.91981751163223</v>
      </c>
      <c r="F445" s="421">
        <f t="shared" si="758"/>
        <v>1000.6808392034402</v>
      </c>
      <c r="G445" s="421">
        <f t="shared" si="758"/>
        <v>1015.9263419215637</v>
      </c>
      <c r="H445" s="421">
        <f t="shared" si="758"/>
        <v>1031.673072242796</v>
      </c>
      <c r="I445" s="291"/>
      <c r="J445" s="297">
        <f t="shared" ref="J445" si="759">((H445/C445)^(1/COUNT(C445:H445))-1)</f>
        <v>1.4991672590252803E-2</v>
      </c>
    </row>
    <row r="446" spans="2:11">
      <c r="B446" s="325" t="s">
        <v>45</v>
      </c>
      <c r="C446" s="334">
        <f>SUM(C445/'Revenue Projections &amp; Cases'!$H$35)-1</f>
        <v>4.0303197353913855E-2</v>
      </c>
      <c r="D446" s="350">
        <f>SUM(D445/C445)-1</f>
        <v>2.9751415417430538E-2</v>
      </c>
      <c r="E446" s="350">
        <f t="shared" ref="E446" si="760">SUM(E445/D445)-1</f>
        <v>1.4710088659415366E-2</v>
      </c>
      <c r="F446" s="350">
        <f t="shared" ref="F446" si="761">SUM(F445/E445)-1</f>
        <v>1.4971827758836875E-2</v>
      </c>
      <c r="G446" s="350">
        <f t="shared" ref="G446" si="762">SUM(G445/F445)-1</f>
        <v>1.5235130044319867E-2</v>
      </c>
      <c r="H446" s="350">
        <f t="shared" ref="H446" si="763">SUM(H445/G445)-1</f>
        <v>1.549987402772568E-2</v>
      </c>
      <c r="I446" s="291"/>
      <c r="J446" s="297"/>
    </row>
    <row r="447" spans="2:11">
      <c r="B447" s="324" t="s">
        <v>311</v>
      </c>
      <c r="C447" s="422">
        <f>MIN(C$430,C$432,C$434,C$436,C$438)</f>
        <v>900</v>
      </c>
      <c r="D447" s="422">
        <f t="shared" ref="D447:H447" si="764">MIN(D$430,D$432,D$434,D$436,D$438)</f>
        <v>900</v>
      </c>
      <c r="E447" s="422">
        <f t="shared" si="764"/>
        <v>900</v>
      </c>
      <c r="F447" s="422">
        <f t="shared" si="764"/>
        <v>900</v>
      </c>
      <c r="G447" s="422">
        <f t="shared" si="764"/>
        <v>900</v>
      </c>
      <c r="H447" s="422">
        <f t="shared" si="764"/>
        <v>900</v>
      </c>
      <c r="I447" s="291"/>
      <c r="J447" s="297">
        <f t="shared" ref="J447" si="765">((H447/C447)^(1/COUNT(C447:H447))-1)</f>
        <v>0</v>
      </c>
    </row>
    <row r="448" spans="2:11">
      <c r="B448" s="326" t="s">
        <v>45</v>
      </c>
      <c r="C448" s="335">
        <f>SUM(C447/'Revenue Projections &amp; Cases'!$H$35)-1</f>
        <v>-7.717750826901848E-3</v>
      </c>
      <c r="D448" s="351">
        <f>SUM(D447/C447)-1</f>
        <v>0</v>
      </c>
      <c r="E448" s="351">
        <f t="shared" ref="E448" si="766">SUM(E447/D447)-1</f>
        <v>0</v>
      </c>
      <c r="F448" s="351">
        <f t="shared" ref="F448" si="767">SUM(F447/E447)-1</f>
        <v>0</v>
      </c>
      <c r="G448" s="351">
        <f t="shared" ref="G448" si="768">SUM(G447/F447)-1</f>
        <v>0</v>
      </c>
      <c r="H448" s="351">
        <f t="shared" ref="H448" si="769">SUM(H447/G447)-1</f>
        <v>0</v>
      </c>
      <c r="I448" s="292"/>
      <c r="J448" s="298"/>
    </row>
    <row r="450" spans="1:11">
      <c r="A450" s="353" t="s">
        <v>24</v>
      </c>
      <c r="B450" s="229" t="s">
        <v>481</v>
      </c>
      <c r="C450" s="229"/>
      <c r="D450" s="229"/>
      <c r="E450" s="229"/>
      <c r="F450" s="229"/>
      <c r="G450" s="229"/>
      <c r="H450" s="229"/>
      <c r="I450" s="229"/>
      <c r="J450" s="229"/>
    </row>
    <row r="451" spans="1:11" ht="5.0999999999999996" customHeight="1"/>
    <row r="452" spans="1:11">
      <c r="A452" s="353" t="s">
        <v>24</v>
      </c>
      <c r="B452" s="229" t="s">
        <v>482</v>
      </c>
      <c r="C452" s="211" t="s">
        <v>156</v>
      </c>
      <c r="D452" s="211"/>
      <c r="E452" s="211"/>
      <c r="F452" s="211"/>
      <c r="G452" s="211"/>
      <c r="H452" s="211"/>
      <c r="I452" s="230"/>
      <c r="J452" s="2" t="s">
        <v>332</v>
      </c>
    </row>
    <row r="453" spans="1:11">
      <c r="B453" s="282" t="s">
        <v>372</v>
      </c>
      <c r="C453" s="283" t="str">
        <f t="shared" ref="C453:H453" si="770">C$9</f>
        <v>2026E</v>
      </c>
      <c r="D453" s="283" t="str">
        <f t="shared" si="770"/>
        <v>2027E</v>
      </c>
      <c r="E453" s="283" t="str">
        <f t="shared" si="770"/>
        <v>2028E</v>
      </c>
      <c r="F453" s="283" t="str">
        <f t="shared" si="770"/>
        <v>2029E</v>
      </c>
      <c r="G453" s="283" t="str">
        <f t="shared" si="770"/>
        <v>2030E</v>
      </c>
      <c r="H453" s="283" t="str">
        <f t="shared" si="770"/>
        <v>2031E</v>
      </c>
      <c r="I453" s="230"/>
      <c r="J453" s="182" t="str">
        <f>$J$9</f>
        <v>6-Year(F)</v>
      </c>
    </row>
    <row r="454" spans="1:11">
      <c r="B454" s="282" t="s">
        <v>373</v>
      </c>
      <c r="C454" s="230">
        <f t="shared" ref="C454:H454" si="771">C$10</f>
        <v>46295</v>
      </c>
      <c r="D454" s="230">
        <f t="shared" si="771"/>
        <v>46660</v>
      </c>
      <c r="E454" s="230">
        <f t="shared" si="771"/>
        <v>47026</v>
      </c>
      <c r="F454" s="230">
        <f t="shared" si="771"/>
        <v>47391</v>
      </c>
      <c r="G454" s="230">
        <f t="shared" si="771"/>
        <v>47756</v>
      </c>
      <c r="H454" s="230">
        <f t="shared" si="771"/>
        <v>48121</v>
      </c>
      <c r="I454" s="230"/>
      <c r="J454" s="3">
        <f>$H$44</f>
        <v>48121</v>
      </c>
    </row>
    <row r="455" spans="1:11" ht="5.0999999999999996" customHeight="1">
      <c r="B455" s="286"/>
    </row>
    <row r="456" spans="1:11">
      <c r="B456" s="180" t="s">
        <v>326</v>
      </c>
      <c r="C456" s="231">
        <v>29179.816771921203</v>
      </c>
      <c r="D456" s="231">
        <v>30638.807610517266</v>
      </c>
      <c r="E456" s="231">
        <v>32170.747991043128</v>
      </c>
      <c r="F456" s="232">
        <f t="shared" ref="F456" si="772">SUM(E456*F457)+E456</f>
        <v>33779.285390595287</v>
      </c>
      <c r="G456" s="232">
        <f t="shared" ref="G456" si="773">SUM(F456*G457)+F456</f>
        <v>35468.249660125053</v>
      </c>
      <c r="H456" s="232">
        <f t="shared" ref="H456" si="774">SUM(G456*H457)+G456</f>
        <v>37241.662143131311</v>
      </c>
      <c r="J456" s="333">
        <f t="shared" ref="J456" si="775">((H456/C456)^(1/COUNT(C456:H456))-1)</f>
        <v>4.1496342698250865E-2</v>
      </c>
      <c r="K456" s="180" t="s">
        <v>516</v>
      </c>
    </row>
    <row r="457" spans="1:11">
      <c r="B457" s="287" t="s">
        <v>45</v>
      </c>
      <c r="C457" s="340">
        <f>SUM(C456/'Revenue Projections &amp; Cases'!$H$29)-1</f>
        <v>8.2859567741166096E-2</v>
      </c>
      <c r="D457" s="311">
        <f t="shared" ref="D457" si="776">SUM(D456/C456)-1</f>
        <v>5.0000000000000044E-2</v>
      </c>
      <c r="E457" s="311">
        <f t="shared" ref="E457" si="777">SUM(E456/D456)-1</f>
        <v>5.0000000000000044E-2</v>
      </c>
      <c r="F457" s="311">
        <f>E457</f>
        <v>5.0000000000000044E-2</v>
      </c>
      <c r="G457" s="311">
        <f t="shared" ref="G457:H457" si="778">F457</f>
        <v>5.0000000000000044E-2</v>
      </c>
      <c r="H457" s="311">
        <f t="shared" si="778"/>
        <v>5.0000000000000044E-2</v>
      </c>
      <c r="J457" s="331"/>
    </row>
    <row r="458" spans="1:11">
      <c r="B458" s="180" t="s">
        <v>327</v>
      </c>
      <c r="C458" s="231">
        <f>24.14*1000</f>
        <v>24140</v>
      </c>
      <c r="D458" s="231">
        <f>25.33*1000</f>
        <v>25330</v>
      </c>
      <c r="E458" s="232">
        <f>SUM(D458*E459)+D458</f>
        <v>26578.661971830985</v>
      </c>
      <c r="F458" s="232">
        <f t="shared" ref="F458" si="779">SUM(E458*F459)+E458</f>
        <v>27888.877702836737</v>
      </c>
      <c r="G458" s="232">
        <f t="shared" ref="G458" si="780">SUM(F458*G459)+F458</f>
        <v>29263.681533258263</v>
      </c>
      <c r="H458" s="232">
        <f t="shared" ref="H458" si="781">SUM(G458*H459)+G458</f>
        <v>30706.257383489301</v>
      </c>
      <c r="J458" s="330">
        <f t="shared" ref="J458:J460" si="782">((H458/C458)^(1/COUNT(C458:H458))-1)</f>
        <v>4.0914208466160673E-2</v>
      </c>
      <c r="K458" s="180" t="s">
        <v>516</v>
      </c>
    </row>
    <row r="459" spans="1:11">
      <c r="B459" s="287" t="s">
        <v>45</v>
      </c>
      <c r="C459" s="340">
        <f>SUM(C458/'Revenue Projections &amp; Cases'!$H$29)-1</f>
        <v>-0.10416743978921583</v>
      </c>
      <c r="D459" s="311">
        <f>SUM(D458/C458)-1</f>
        <v>4.9295774647887258E-2</v>
      </c>
      <c r="E459" s="311">
        <f>D459</f>
        <v>4.9295774647887258E-2</v>
      </c>
      <c r="F459" s="311">
        <f t="shared" ref="F459:H459" si="783">E459</f>
        <v>4.9295774647887258E-2</v>
      </c>
      <c r="G459" s="311">
        <f t="shared" si="783"/>
        <v>4.9295774647887258E-2</v>
      </c>
      <c r="H459" s="311">
        <f t="shared" si="783"/>
        <v>4.9295774647887258E-2</v>
      </c>
      <c r="J459" s="331"/>
    </row>
    <row r="460" spans="1:11">
      <c r="B460" s="180" t="s">
        <v>558</v>
      </c>
      <c r="C460" s="231">
        <f>26*1000</f>
        <v>26000</v>
      </c>
      <c r="D460" s="231">
        <f>27*1000</f>
        <v>27000</v>
      </c>
      <c r="E460" s="231">
        <f>28*1000</f>
        <v>28000</v>
      </c>
      <c r="F460" s="232">
        <f t="shared" ref="F460" si="784">SUM(E460*F461)+E460</f>
        <v>29037.037037037036</v>
      </c>
      <c r="G460" s="232">
        <f t="shared" ref="G460" si="785">SUM(F460*G461)+F460</f>
        <v>30112.482853223592</v>
      </c>
      <c r="H460" s="232">
        <f t="shared" ref="H460" si="786">SUM(G460*H461)+G460</f>
        <v>31227.759995935576</v>
      </c>
      <c r="J460" s="330">
        <f t="shared" si="782"/>
        <v>3.1006130079155314E-2</v>
      </c>
      <c r="K460" s="180" t="s">
        <v>516</v>
      </c>
    </row>
    <row r="461" spans="1:11">
      <c r="B461" s="287" t="s">
        <v>45</v>
      </c>
      <c r="C461" s="340">
        <f>SUM(C460/'Revenue Projections &amp; Cases'!$H$29)-1</f>
        <v>-3.514305859650424E-2</v>
      </c>
      <c r="D461" s="311">
        <f>SUM(D460/C460)-1</f>
        <v>3.8461538461538547E-2</v>
      </c>
      <c r="E461" s="311">
        <f>SUM(E460/D460)-1</f>
        <v>3.7037037037036979E-2</v>
      </c>
      <c r="F461" s="311">
        <f t="shared" ref="F461:H461" si="787">E461</f>
        <v>3.7037037037036979E-2</v>
      </c>
      <c r="G461" s="311">
        <f t="shared" si="787"/>
        <v>3.7037037037036979E-2</v>
      </c>
      <c r="H461" s="311">
        <f t="shared" si="787"/>
        <v>3.7037037037036979E-2</v>
      </c>
      <c r="J461" s="331"/>
    </row>
    <row r="462" spans="1:11">
      <c r="B462" s="180" t="s">
        <v>336</v>
      </c>
      <c r="C462" s="231">
        <v>25300</v>
      </c>
      <c r="D462" s="231">
        <v>26300</v>
      </c>
      <c r="E462" s="231">
        <v>27000</v>
      </c>
      <c r="F462" s="231">
        <v>28000</v>
      </c>
      <c r="G462" s="231">
        <v>29600</v>
      </c>
      <c r="H462" s="231">
        <v>30500</v>
      </c>
      <c r="J462" s="330">
        <f t="shared" ref="J462" si="788">((H462/C462)^(1/COUNT(C462:H462))-1)</f>
        <v>3.1644070502969246E-2</v>
      </c>
      <c r="K462" s="180" t="s">
        <v>516</v>
      </c>
    </row>
    <row r="463" spans="1:11">
      <c r="B463" s="287" t="s">
        <v>45</v>
      </c>
      <c r="C463" s="340">
        <f>SUM(C462/'Revenue Projections &amp; Cases'!$H$29)-1</f>
        <v>-6.1119976249675245E-2</v>
      </c>
      <c r="D463" s="311">
        <f>SUM(D462/C462)-1</f>
        <v>3.9525691699604737E-2</v>
      </c>
      <c r="E463" s="311">
        <f t="shared" ref="E463" si="789">SUM(E462/D462)-1</f>
        <v>2.6615969581748944E-2</v>
      </c>
      <c r="F463" s="311">
        <f t="shared" ref="F463" si="790">SUM(F462/E462)-1</f>
        <v>3.7037037037036979E-2</v>
      </c>
      <c r="G463" s="311">
        <f t="shared" ref="G463" si="791">SUM(G462/F462)-1</f>
        <v>5.7142857142857162E-2</v>
      </c>
      <c r="H463" s="311">
        <f t="shared" ref="H463" si="792">SUM(H462/G462)-1</f>
        <v>3.0405405405405483E-2</v>
      </c>
      <c r="J463" s="332"/>
    </row>
    <row r="464" spans="1:11" ht="5.0999999999999996" customHeight="1">
      <c r="B464" s="355"/>
      <c r="C464" s="355"/>
      <c r="D464" s="355"/>
      <c r="E464" s="355"/>
      <c r="F464" s="355"/>
      <c r="G464" s="355"/>
      <c r="H464" s="355"/>
      <c r="I464" s="355"/>
      <c r="J464" s="355"/>
    </row>
    <row r="465" spans="1:11">
      <c r="B465" s="293" t="s">
        <v>188</v>
      </c>
      <c r="C465" s="295">
        <f t="shared" ref="C465:H465" si="793">MAX(C$456,C$460,C$458,C$462)</f>
        <v>29179.816771921203</v>
      </c>
      <c r="D465" s="295">
        <f t="shared" si="793"/>
        <v>30638.807610517266</v>
      </c>
      <c r="E465" s="295">
        <f t="shared" si="793"/>
        <v>32170.747991043128</v>
      </c>
      <c r="F465" s="295">
        <f t="shared" si="793"/>
        <v>33779.285390595287</v>
      </c>
      <c r="G465" s="295">
        <f t="shared" si="793"/>
        <v>35468.249660125053</v>
      </c>
      <c r="H465" s="295">
        <f t="shared" si="793"/>
        <v>37241.662143131311</v>
      </c>
      <c r="I465" s="289"/>
      <c r="J465" s="299">
        <f t="shared" ref="J465" si="794">((H465/C465)^(1/COUNT(C465:H465))-1)</f>
        <v>4.1496342698250865E-2</v>
      </c>
    </row>
    <row r="466" spans="1:11">
      <c r="B466" s="325" t="s">
        <v>45</v>
      </c>
      <c r="C466" s="334">
        <f>SUM(C465/'Revenue Projections &amp; Cases'!$H$29)-1</f>
        <v>8.2859567741166096E-2</v>
      </c>
      <c r="D466" s="350">
        <f>SUM(D465/C465)-1</f>
        <v>5.0000000000000044E-2</v>
      </c>
      <c r="E466" s="350">
        <f t="shared" ref="E466" si="795">SUM(E465/D465)-1</f>
        <v>5.0000000000000044E-2</v>
      </c>
      <c r="F466" s="350">
        <f t="shared" ref="F466" si="796">SUM(F465/E465)-1</f>
        <v>5.0000000000000044E-2</v>
      </c>
      <c r="G466" s="350">
        <f t="shared" ref="G466" si="797">SUM(G465/F465)-1</f>
        <v>5.0000000000000044E-2</v>
      </c>
      <c r="H466" s="350">
        <f t="shared" ref="H466" si="798">SUM(H465/G465)-1</f>
        <v>5.0000000000000044E-2</v>
      </c>
      <c r="I466" s="291"/>
      <c r="J466" s="297"/>
    </row>
    <row r="467" spans="1:11">
      <c r="B467" s="290" t="s">
        <v>374</v>
      </c>
      <c r="C467" s="339">
        <f t="shared" ref="C467:H467" si="799">MEDIAN(C$456,C$460,C$458,C$462)</f>
        <v>25650</v>
      </c>
      <c r="D467" s="339">
        <f t="shared" si="799"/>
        <v>26650</v>
      </c>
      <c r="E467" s="339">
        <f t="shared" si="799"/>
        <v>27500</v>
      </c>
      <c r="F467" s="339">
        <f t="shared" si="799"/>
        <v>28518.518518518518</v>
      </c>
      <c r="G467" s="339">
        <f t="shared" si="799"/>
        <v>29856.241426611796</v>
      </c>
      <c r="H467" s="339">
        <f t="shared" si="799"/>
        <v>30967.008689712438</v>
      </c>
      <c r="I467" s="291"/>
      <c r="J467" s="297">
        <f t="shared" ref="J467" si="800">((H467/C467)^(1/COUNT(C467:H467))-1)</f>
        <v>3.189453980406598E-2</v>
      </c>
    </row>
    <row r="468" spans="1:11">
      <c r="B468" s="325" t="s">
        <v>45</v>
      </c>
      <c r="C468" s="334">
        <f>SUM(C467/'Revenue Projections &amp; Cases'!$H$29)-1</f>
        <v>-4.8131517423089742E-2</v>
      </c>
      <c r="D468" s="350">
        <f>SUM(D467/C467)-1</f>
        <v>3.8986354775828458E-2</v>
      </c>
      <c r="E468" s="350">
        <f t="shared" ref="E468" si="801">SUM(E467/D467)-1</f>
        <v>3.1894934333958735E-2</v>
      </c>
      <c r="F468" s="350">
        <f t="shared" ref="F468" si="802">SUM(F467/E467)-1</f>
        <v>3.7037037037036979E-2</v>
      </c>
      <c r="G468" s="350">
        <f t="shared" ref="G468" si="803">SUM(G467/F467)-1</f>
        <v>4.6907166907166786E-2</v>
      </c>
      <c r="H468" s="350">
        <f t="shared" ref="H468" si="804">SUM(H467/G467)-1</f>
        <v>3.7203854538454539E-2</v>
      </c>
      <c r="I468" s="291"/>
      <c r="J468" s="297"/>
    </row>
    <row r="469" spans="1:11">
      <c r="B469" s="290" t="s">
        <v>331</v>
      </c>
      <c r="C469" s="339">
        <f t="shared" ref="C469:H469" si="805">AVERAGE(C$456,C$460,C$458,C$462)</f>
        <v>26154.954192980302</v>
      </c>
      <c r="D469" s="339">
        <f t="shared" si="805"/>
        <v>27317.201902629316</v>
      </c>
      <c r="E469" s="339">
        <f t="shared" si="805"/>
        <v>28437.352490718527</v>
      </c>
      <c r="F469" s="339">
        <f t="shared" si="805"/>
        <v>29676.300032617266</v>
      </c>
      <c r="G469" s="339">
        <f t="shared" si="805"/>
        <v>31111.103511651727</v>
      </c>
      <c r="H469" s="339">
        <f t="shared" si="805"/>
        <v>32418.919880639045</v>
      </c>
      <c r="I469" s="291"/>
      <c r="J469" s="297">
        <f t="shared" ref="J469" si="806">((H469/C469)^(1/COUNT(C469:H469))-1)</f>
        <v>3.6431879396437106E-2</v>
      </c>
    </row>
    <row r="470" spans="1:11">
      <c r="B470" s="325" t="s">
        <v>45</v>
      </c>
      <c r="C470" s="334">
        <f>SUM(C469/'Revenue Projections &amp; Cases'!$H$29)-1</f>
        <v>-2.9392726723557305E-2</v>
      </c>
      <c r="D470" s="350">
        <f>SUM(D469/C469)-1</f>
        <v>4.4437000389048631E-2</v>
      </c>
      <c r="E470" s="350">
        <f t="shared" ref="E470" si="807">SUM(E469/D469)-1</f>
        <v>4.1005319361841153E-2</v>
      </c>
      <c r="F470" s="350">
        <f t="shared" ref="F470" si="808">SUM(F469/E469)-1</f>
        <v>4.3567612080031459E-2</v>
      </c>
      <c r="G470" s="350">
        <f t="shared" ref="G470" si="809">SUM(G469/F469)-1</f>
        <v>4.8348462492206368E-2</v>
      </c>
      <c r="H470" s="350">
        <f t="shared" ref="H470" si="810">SUM(H469/G469)-1</f>
        <v>4.2036964985749048E-2</v>
      </c>
      <c r="I470" s="291"/>
      <c r="J470" s="297"/>
    </row>
    <row r="471" spans="1:11">
      <c r="B471" s="324" t="s">
        <v>311</v>
      </c>
      <c r="C471" s="296">
        <f>MIN(C$456,C$460,C$458,C$462)</f>
        <v>24140</v>
      </c>
      <c r="D471" s="296">
        <f t="shared" ref="D471:H471" si="811">MIN(D$456,D$460,D$458,D$462)</f>
        <v>25330</v>
      </c>
      <c r="E471" s="296">
        <f t="shared" si="811"/>
        <v>26578.661971830985</v>
      </c>
      <c r="F471" s="296">
        <f t="shared" si="811"/>
        <v>27888.877702836737</v>
      </c>
      <c r="G471" s="296">
        <f t="shared" si="811"/>
        <v>29263.681533258263</v>
      </c>
      <c r="H471" s="296">
        <f t="shared" si="811"/>
        <v>30500</v>
      </c>
      <c r="I471" s="291"/>
      <c r="J471" s="297">
        <f t="shared" ref="J471" si="812">((H471/C471)^(1/COUNT(C471:H471))-1)</f>
        <v>3.9745610548448607E-2</v>
      </c>
    </row>
    <row r="472" spans="1:11">
      <c r="B472" s="326" t="s">
        <v>45</v>
      </c>
      <c r="C472" s="335">
        <f>SUM(C471/'Revenue Projections &amp; Cases'!$H$29)-1</f>
        <v>-0.10416743978921583</v>
      </c>
      <c r="D472" s="351">
        <f>SUM(D471/C471)-1</f>
        <v>4.9295774647887258E-2</v>
      </c>
      <c r="E472" s="351">
        <f t="shared" ref="E472" si="813">SUM(E471/D471)-1</f>
        <v>4.9295774647887258E-2</v>
      </c>
      <c r="F472" s="351">
        <f t="shared" ref="F472" si="814">SUM(F471/E471)-1</f>
        <v>4.9295774647887258E-2</v>
      </c>
      <c r="G472" s="351">
        <f t="shared" ref="G472" si="815">SUM(G471/F471)-1</f>
        <v>4.9295774647887258E-2</v>
      </c>
      <c r="H472" s="351">
        <f t="shared" ref="H472" si="816">SUM(H471/G471)-1</f>
        <v>4.2247536945638764E-2</v>
      </c>
      <c r="I472" s="292"/>
      <c r="J472" s="298"/>
    </row>
    <row r="474" spans="1:11">
      <c r="A474" s="353" t="s">
        <v>24</v>
      </c>
      <c r="B474" s="229" t="s">
        <v>483</v>
      </c>
      <c r="C474" s="229"/>
      <c r="D474" s="229"/>
      <c r="E474" s="229"/>
      <c r="F474" s="229"/>
      <c r="G474" s="229"/>
      <c r="H474" s="229"/>
      <c r="I474" s="229"/>
      <c r="J474" s="229"/>
    </row>
    <row r="475" spans="1:11" ht="5.0999999999999996" customHeight="1"/>
    <row r="476" spans="1:11">
      <c r="A476" s="353" t="s">
        <v>24</v>
      </c>
      <c r="B476" s="229" t="s">
        <v>484</v>
      </c>
      <c r="C476" s="211" t="s">
        <v>156</v>
      </c>
      <c r="D476" s="211"/>
      <c r="E476" s="211"/>
      <c r="F476" s="211"/>
      <c r="G476" s="211"/>
      <c r="H476" s="211"/>
      <c r="I476" s="230"/>
      <c r="J476" s="2" t="s">
        <v>332</v>
      </c>
    </row>
    <row r="477" spans="1:11">
      <c r="B477" s="282" t="s">
        <v>372</v>
      </c>
      <c r="C477" s="283" t="str">
        <f t="shared" ref="C477:H477" si="817">C$9</f>
        <v>2026E</v>
      </c>
      <c r="D477" s="283" t="str">
        <f t="shared" si="817"/>
        <v>2027E</v>
      </c>
      <c r="E477" s="283" t="str">
        <f t="shared" si="817"/>
        <v>2028E</v>
      </c>
      <c r="F477" s="283" t="str">
        <f t="shared" si="817"/>
        <v>2029E</v>
      </c>
      <c r="G477" s="283" t="str">
        <f t="shared" si="817"/>
        <v>2030E</v>
      </c>
      <c r="H477" s="283" t="str">
        <f t="shared" si="817"/>
        <v>2031E</v>
      </c>
      <c r="I477" s="230"/>
      <c r="J477" s="182" t="str">
        <f>$J$9</f>
        <v>6-Year(F)</v>
      </c>
    </row>
    <row r="478" spans="1:11">
      <c r="B478" s="282" t="s">
        <v>373</v>
      </c>
      <c r="C478" s="230">
        <f t="shared" ref="C478:H478" si="818">C$10</f>
        <v>46295</v>
      </c>
      <c r="D478" s="230">
        <f t="shared" si="818"/>
        <v>46660</v>
      </c>
      <c r="E478" s="230">
        <f t="shared" si="818"/>
        <v>47026</v>
      </c>
      <c r="F478" s="230">
        <f t="shared" si="818"/>
        <v>47391</v>
      </c>
      <c r="G478" s="230">
        <f t="shared" si="818"/>
        <v>47756</v>
      </c>
      <c r="H478" s="230">
        <f t="shared" si="818"/>
        <v>48121</v>
      </c>
      <c r="I478" s="230"/>
      <c r="J478" s="3">
        <f>$H$44</f>
        <v>48121</v>
      </c>
    </row>
    <row r="479" spans="1:11" ht="5.0999999999999996" customHeight="1">
      <c r="B479" s="286"/>
    </row>
    <row r="480" spans="1:11">
      <c r="B480" s="180" t="s">
        <v>326</v>
      </c>
      <c r="C480" s="231">
        <v>1195.0499074946861</v>
      </c>
      <c r="D480" s="231">
        <v>1183.1208121688255</v>
      </c>
      <c r="E480" s="231">
        <v>1171.6687887881051</v>
      </c>
      <c r="F480" s="232">
        <f t="shared" ref="F480" si="819">SUM(E480*F481)+E480</f>
        <v>1160.3276153207355</v>
      </c>
      <c r="G480" s="232">
        <f t="shared" ref="G480" si="820">SUM(F480*G481)+F480</f>
        <v>1149.0962187944672</v>
      </c>
      <c r="H480" s="232">
        <f t="shared" ref="H480" si="821">SUM(G480*H481)+G480</f>
        <v>1137.9735366228904</v>
      </c>
      <c r="J480" s="333">
        <f t="shared" ref="J480" si="822">((H480/C480)^(1/COUNT(C480:H480))-1)</f>
        <v>-8.1233040160246794E-3</v>
      </c>
      <c r="K480" s="180" t="s">
        <v>516</v>
      </c>
    </row>
    <row r="481" spans="2:11">
      <c r="B481" s="287" t="s">
        <v>45</v>
      </c>
      <c r="C481" s="340">
        <f>SUM(C480/'Revenue Projections &amp; Cases'!$H$37)-1</f>
        <v>-4.4724294568596279E-2</v>
      </c>
      <c r="D481" s="311">
        <f t="shared" ref="D481" si="823">SUM(D480/C480)-1</f>
        <v>-9.9820896608986409E-3</v>
      </c>
      <c r="E481" s="311">
        <f t="shared" ref="E481" si="824">SUM(E480/D480)-1</f>
        <v>-9.6795046312534438E-3</v>
      </c>
      <c r="F481" s="311">
        <f>E481</f>
        <v>-9.6795046312534438E-3</v>
      </c>
      <c r="G481" s="311">
        <f t="shared" ref="G481:H481" si="825">F481</f>
        <v>-9.6795046312534438E-3</v>
      </c>
      <c r="H481" s="311">
        <f t="shared" si="825"/>
        <v>-9.6795046312534438E-3</v>
      </c>
      <c r="J481" s="331"/>
    </row>
    <row r="482" spans="2:11">
      <c r="B482" s="180" t="s">
        <v>327</v>
      </c>
      <c r="C482" s="231">
        <v>1385</v>
      </c>
      <c r="D482" s="231">
        <v>1397</v>
      </c>
      <c r="E482" s="232">
        <f>SUM(D482*E483)+D482</f>
        <v>1409.1039711191333</v>
      </c>
      <c r="F482" s="232">
        <f t="shared" ref="F482" si="826">SUM(E482*F483)+E482</f>
        <v>1421.3128141902016</v>
      </c>
      <c r="G482" s="232">
        <f t="shared" ref="G482" si="827">SUM(F482*G483)+F482</f>
        <v>1433.6274378510552</v>
      </c>
      <c r="H482" s="232">
        <f t="shared" ref="H482" si="828">SUM(G482*H483)+G482</f>
        <v>1446.0487586122194</v>
      </c>
      <c r="J482" s="330">
        <f t="shared" ref="J482:J484" si="829">((H482/C482)^(1/COUNT(C482:H482))-1)</f>
        <v>7.2150209371029117E-3</v>
      </c>
      <c r="K482" s="180" t="s">
        <v>516</v>
      </c>
    </row>
    <row r="483" spans="2:11">
      <c r="B483" s="287" t="s">
        <v>45</v>
      </c>
      <c r="C483" s="340">
        <f>SUM(C482/'Revenue Projections &amp; Cases'!$H$37)-1</f>
        <v>0.1071143085531574</v>
      </c>
      <c r="D483" s="311">
        <f>SUM(D482/C482)-1</f>
        <v>8.664259927797735E-3</v>
      </c>
      <c r="E483" s="311">
        <f>D483</f>
        <v>8.664259927797735E-3</v>
      </c>
      <c r="F483" s="311">
        <f t="shared" ref="F483:H483" si="830">E483</f>
        <v>8.664259927797735E-3</v>
      </c>
      <c r="G483" s="311">
        <f t="shared" si="830"/>
        <v>8.664259927797735E-3</v>
      </c>
      <c r="H483" s="311">
        <f t="shared" si="830"/>
        <v>8.664259927797735E-3</v>
      </c>
      <c r="J483" s="331"/>
    </row>
    <row r="484" spans="2:11">
      <c r="B484" s="180" t="s">
        <v>558</v>
      </c>
      <c r="C484" s="231">
        <v>1315</v>
      </c>
      <c r="D484" s="231">
        <v>1308</v>
      </c>
      <c r="E484" s="231">
        <v>1300</v>
      </c>
      <c r="F484" s="232">
        <f t="shared" ref="F484" si="831">SUM(E484*F485)+E484</f>
        <v>1292.0489296636085</v>
      </c>
      <c r="G484" s="232">
        <f t="shared" ref="G484" si="832">SUM(F484*G485)+F484</f>
        <v>1284.1464897268279</v>
      </c>
      <c r="H484" s="232">
        <f t="shared" ref="H484" si="833">SUM(G484*H485)+G484</f>
        <v>1276.2923827560217</v>
      </c>
      <c r="J484" s="330">
        <f t="shared" si="829"/>
        <v>-4.9671836828343308E-3</v>
      </c>
      <c r="K484" s="180" t="s">
        <v>516</v>
      </c>
    </row>
    <row r="485" spans="2:11">
      <c r="B485" s="287" t="s">
        <v>45</v>
      </c>
      <c r="C485" s="340">
        <f>SUM(C484/'Revenue Projections &amp; Cases'!$H$37)-1</f>
        <v>5.1159072741806533E-2</v>
      </c>
      <c r="D485" s="311">
        <f>SUM(D484/C484)-1</f>
        <v>-5.3231939163498332E-3</v>
      </c>
      <c r="E485" s="311">
        <f>SUM(E484/D484)-1</f>
        <v>-6.1162079510703737E-3</v>
      </c>
      <c r="F485" s="311">
        <f t="shared" ref="F485:H485" si="834">E485</f>
        <v>-6.1162079510703737E-3</v>
      </c>
      <c r="G485" s="311">
        <f t="shared" si="834"/>
        <v>-6.1162079510703737E-3</v>
      </c>
      <c r="H485" s="311">
        <f t="shared" si="834"/>
        <v>-6.1162079510703737E-3</v>
      </c>
      <c r="J485" s="331"/>
    </row>
    <row r="486" spans="2:11">
      <c r="B486" s="180" t="s">
        <v>336</v>
      </c>
      <c r="C486" s="231">
        <v>1366.2</v>
      </c>
      <c r="D486" s="231">
        <v>1355.1</v>
      </c>
      <c r="E486" s="231">
        <v>1363</v>
      </c>
      <c r="F486" s="231">
        <v>1390.2</v>
      </c>
      <c r="G486" s="231">
        <v>1390.2</v>
      </c>
      <c r="H486" s="231">
        <v>1362.4</v>
      </c>
      <c r="J486" s="330">
        <f t="shared" ref="J486" si="835">((H486/C486)^(1/COUNT(C486:H486))-1)</f>
        <v>-4.6411109199095968E-4</v>
      </c>
      <c r="K486" s="180" t="s">
        <v>516</v>
      </c>
    </row>
    <row r="487" spans="2:11">
      <c r="B487" s="287" t="s">
        <v>45</v>
      </c>
      <c r="C487" s="340">
        <f>SUM(C486/'Revenue Projections &amp; Cases'!$H$37)-1</f>
        <v>9.2086330935251759E-2</v>
      </c>
      <c r="D487" s="311">
        <f>SUM(D486/C486)-1</f>
        <v>-8.1247255160299403E-3</v>
      </c>
      <c r="E487" s="311">
        <f t="shared" ref="E487" si="836">SUM(E486/D486)-1</f>
        <v>5.8298280569699656E-3</v>
      </c>
      <c r="F487" s="311">
        <f t="shared" ref="F487" si="837">SUM(F486/E486)-1</f>
        <v>1.9955979457080053E-2</v>
      </c>
      <c r="G487" s="311">
        <f t="shared" ref="G487" si="838">SUM(G486/F486)-1</f>
        <v>0</v>
      </c>
      <c r="H487" s="311">
        <f t="shared" ref="H487" si="839">SUM(H486/G486)-1</f>
        <v>-1.9997122716155946E-2</v>
      </c>
      <c r="J487" s="332"/>
    </row>
    <row r="488" spans="2:11" ht="5.0999999999999996" customHeight="1">
      <c r="B488" s="355"/>
      <c r="C488" s="355"/>
      <c r="D488" s="355"/>
      <c r="E488" s="355"/>
      <c r="F488" s="355"/>
      <c r="G488" s="355"/>
      <c r="H488" s="355"/>
      <c r="I488" s="355"/>
      <c r="J488" s="355"/>
    </row>
    <row r="489" spans="2:11">
      <c r="B489" s="293" t="s">
        <v>188</v>
      </c>
      <c r="C489" s="423">
        <f>MAX(C480,C484,C482,C486)</f>
        <v>1385</v>
      </c>
      <c r="D489" s="423">
        <f>MAX(D$480,D$484,D$482,D$486)</f>
        <v>1397</v>
      </c>
      <c r="E489" s="423">
        <f>MAX(E$480,E$484,E$482,E$486)</f>
        <v>1409.1039711191333</v>
      </c>
      <c r="F489" s="423">
        <f>MAX(F$480,F$484,F$482,F$486)</f>
        <v>1421.3128141902016</v>
      </c>
      <c r="G489" s="423">
        <f>MAX(G$480,G$484,G$482,G$486)</f>
        <v>1433.6274378510552</v>
      </c>
      <c r="H489" s="423">
        <f>MAX(H$480,H$484,H$482,H$486)</f>
        <v>1446.0487586122194</v>
      </c>
      <c r="I489" s="289"/>
      <c r="J489" s="299">
        <f t="shared" ref="J489" si="840">((H489/C489)^(1/COUNT(C489:H489))-1)</f>
        <v>7.2150209371029117E-3</v>
      </c>
    </row>
    <row r="490" spans="2:11">
      <c r="B490" s="325" t="s">
        <v>45</v>
      </c>
      <c r="C490" s="334">
        <f>SUM(C489/'Revenue Projections &amp; Cases'!$H$37)-1</f>
        <v>0.1071143085531574</v>
      </c>
      <c r="D490" s="350">
        <f>SUM(D489/C489)-1</f>
        <v>8.664259927797735E-3</v>
      </c>
      <c r="E490" s="350">
        <f t="shared" ref="E490" si="841">SUM(E489/D489)-1</f>
        <v>8.664259927797735E-3</v>
      </c>
      <c r="F490" s="350">
        <f t="shared" ref="F490" si="842">SUM(F489/E489)-1</f>
        <v>8.664259927797735E-3</v>
      </c>
      <c r="G490" s="350">
        <f t="shared" ref="G490" si="843">SUM(G489/F489)-1</f>
        <v>8.664259927797735E-3</v>
      </c>
      <c r="H490" s="350">
        <f t="shared" ref="H490" si="844">SUM(H489/G489)-1</f>
        <v>8.664259927797735E-3</v>
      </c>
      <c r="I490" s="291"/>
      <c r="J490" s="297"/>
    </row>
    <row r="491" spans="2:11">
      <c r="B491" s="290" t="s">
        <v>374</v>
      </c>
      <c r="C491" s="421">
        <f t="shared" ref="C491:H491" si="845">MEDIAN(C$480,C$484,C$482,C$486)</f>
        <v>1340.6</v>
      </c>
      <c r="D491" s="421">
        <f t="shared" si="845"/>
        <v>1331.55</v>
      </c>
      <c r="E491" s="421">
        <f t="shared" si="845"/>
        <v>1331.5</v>
      </c>
      <c r="F491" s="421">
        <f t="shared" si="845"/>
        <v>1341.1244648318043</v>
      </c>
      <c r="G491" s="421">
        <f t="shared" si="845"/>
        <v>1337.1732448634139</v>
      </c>
      <c r="H491" s="421">
        <f t="shared" si="845"/>
        <v>1319.3461913780109</v>
      </c>
      <c r="I491" s="291"/>
      <c r="J491" s="297">
        <f t="shared" ref="J491" si="846">((H491/C491)^(1/COUNT(C491:H491))-1)</f>
        <v>-2.6599511460313474E-3</v>
      </c>
    </row>
    <row r="492" spans="2:11">
      <c r="B492" s="325" t="s">
        <v>45</v>
      </c>
      <c r="C492" s="334">
        <f>SUM(C491/'Revenue Projections &amp; Cases'!$H$37)-1</f>
        <v>7.1622701838529146E-2</v>
      </c>
      <c r="D492" s="350">
        <f>SUM(D491/C491)-1</f>
        <v>-6.7507086379232639E-3</v>
      </c>
      <c r="E492" s="350">
        <f t="shared" ref="E492" si="847">SUM(E491/D491)-1</f>
        <v>-3.7550223423776785E-5</v>
      </c>
      <c r="F492" s="350">
        <f t="shared" ref="F492" si="848">SUM(F491/E491)-1</f>
        <v>7.2282875191920226E-3</v>
      </c>
      <c r="G492" s="350">
        <f t="shared" ref="G492" si="849">SUM(G491/F491)-1</f>
        <v>-2.9461993066288716E-3</v>
      </c>
      <c r="H492" s="350">
        <f t="shared" ref="H492" si="850">SUM(H491/G491)-1</f>
        <v>-1.3331895140650918E-2</v>
      </c>
      <c r="I492" s="291"/>
      <c r="J492" s="297"/>
    </row>
    <row r="493" spans="2:11">
      <c r="B493" s="290" t="s">
        <v>331</v>
      </c>
      <c r="C493" s="421">
        <f t="shared" ref="C493:H493" si="851">AVERAGE(C$480,C$484,C$482,C$486)</f>
        <v>1315.3124768736716</v>
      </c>
      <c r="D493" s="421">
        <f t="shared" si="851"/>
        <v>1310.8052030422064</v>
      </c>
      <c r="E493" s="421">
        <f t="shared" si="851"/>
        <v>1310.9431899768097</v>
      </c>
      <c r="F493" s="421">
        <f t="shared" si="851"/>
        <v>1315.9723397936364</v>
      </c>
      <c r="G493" s="421">
        <f t="shared" si="851"/>
        <v>1314.2675365930875</v>
      </c>
      <c r="H493" s="421">
        <f t="shared" si="851"/>
        <v>1305.6786694977829</v>
      </c>
      <c r="I493" s="291"/>
      <c r="J493" s="297">
        <f t="shared" ref="J493" si="852">((H493/C493)^(1/COUNT(C493:H493))-1)</f>
        <v>-1.2244669863705759E-3</v>
      </c>
    </row>
    <row r="494" spans="2:11">
      <c r="B494" s="325" t="s">
        <v>45</v>
      </c>
      <c r="C494" s="334">
        <f>SUM(C493/'Revenue Projections &amp; Cases'!$H$37)-1</f>
        <v>5.1408854415404992E-2</v>
      </c>
      <c r="D494" s="350">
        <f>SUM(D493/C493)-1</f>
        <v>-3.4267703764039315E-3</v>
      </c>
      <c r="E494" s="350">
        <f t="shared" ref="E494" si="853">SUM(E493/D493)-1</f>
        <v>1.0526883344907922E-4</v>
      </c>
      <c r="F494" s="350">
        <f t="shared" ref="F494" si="854">SUM(F493/E493)-1</f>
        <v>3.8362835668841466E-3</v>
      </c>
      <c r="G494" s="350">
        <f t="shared" ref="G494" si="855">SUM(G493/F493)-1</f>
        <v>-1.2954703902182674E-3</v>
      </c>
      <c r="H494" s="350">
        <f t="shared" ref="H494" si="856">SUM(H493/G493)-1</f>
        <v>-6.5350979584940516E-3</v>
      </c>
      <c r="I494" s="291"/>
      <c r="J494" s="297"/>
    </row>
    <row r="495" spans="2:11">
      <c r="B495" s="324" t="s">
        <v>311</v>
      </c>
      <c r="C495" s="422">
        <f>MIN(C$480,C$484,C$482,C$486)</f>
        <v>1195.0499074946861</v>
      </c>
      <c r="D495" s="422">
        <f t="shared" ref="D495:H495" si="857">MIN(D$480,D$484,D$482,D$486)</f>
        <v>1183.1208121688255</v>
      </c>
      <c r="E495" s="422">
        <f t="shared" si="857"/>
        <v>1171.6687887881051</v>
      </c>
      <c r="F495" s="422">
        <f t="shared" si="857"/>
        <v>1160.3276153207355</v>
      </c>
      <c r="G495" s="422">
        <f t="shared" si="857"/>
        <v>1149.0962187944672</v>
      </c>
      <c r="H495" s="422">
        <f t="shared" si="857"/>
        <v>1137.9735366228904</v>
      </c>
      <c r="I495" s="291"/>
      <c r="J495" s="297">
        <f t="shared" ref="J495" si="858">((H495/C495)^(1/COUNT(C495:H495))-1)</f>
        <v>-8.1233040160246794E-3</v>
      </c>
    </row>
    <row r="496" spans="2:11">
      <c r="B496" s="326" t="s">
        <v>45</v>
      </c>
      <c r="C496" s="335">
        <f>SUM(C495/'Revenue Projections &amp; Cases'!$H$37)-1</f>
        <v>-4.4724294568596279E-2</v>
      </c>
      <c r="D496" s="351">
        <f>SUM(D495/C495)-1</f>
        <v>-9.9820896608986409E-3</v>
      </c>
      <c r="E496" s="351">
        <f t="shared" ref="E496" si="859">SUM(E495/D495)-1</f>
        <v>-9.6795046312534438E-3</v>
      </c>
      <c r="F496" s="351">
        <f t="shared" ref="F496" si="860">SUM(F495/E495)-1</f>
        <v>-9.6795046312534438E-3</v>
      </c>
      <c r="G496" s="351">
        <f t="shared" ref="G496" si="861">SUM(G495/F495)-1</f>
        <v>-9.6795046312534438E-3</v>
      </c>
      <c r="H496" s="351">
        <f t="shared" ref="H496" si="862">SUM(H495/G495)-1</f>
        <v>-9.6795046312533328E-3</v>
      </c>
      <c r="I496" s="292"/>
      <c r="J496" s="298"/>
    </row>
    <row r="498" spans="1:11">
      <c r="A498" s="353" t="s">
        <v>24</v>
      </c>
      <c r="B498" s="229" t="s">
        <v>483</v>
      </c>
      <c r="C498" s="229"/>
      <c r="D498" s="229"/>
      <c r="E498" s="229"/>
      <c r="F498" s="229"/>
      <c r="G498" s="229"/>
      <c r="H498" s="229"/>
      <c r="I498" s="229"/>
      <c r="J498" s="229"/>
    </row>
    <row r="499" spans="1:11" ht="5.0999999999999996" customHeight="1"/>
    <row r="500" spans="1:11">
      <c r="B500" s="229" t="s">
        <v>361</v>
      </c>
      <c r="C500" s="211" t="s">
        <v>156</v>
      </c>
      <c r="D500" s="211"/>
      <c r="E500" s="211"/>
      <c r="F500" s="211"/>
      <c r="G500" s="211"/>
      <c r="H500" s="211"/>
      <c r="I500" s="230"/>
      <c r="J500" s="2" t="s">
        <v>332</v>
      </c>
    </row>
    <row r="501" spans="1:11">
      <c r="B501" s="282" t="s">
        <v>372</v>
      </c>
      <c r="C501" s="283" t="str">
        <f t="shared" ref="C501:H501" si="863">C$9</f>
        <v>2026E</v>
      </c>
      <c r="D501" s="283" t="str">
        <f t="shared" si="863"/>
        <v>2027E</v>
      </c>
      <c r="E501" s="283" t="str">
        <f t="shared" si="863"/>
        <v>2028E</v>
      </c>
      <c r="F501" s="283" t="str">
        <f t="shared" si="863"/>
        <v>2029E</v>
      </c>
      <c r="G501" s="283" t="str">
        <f t="shared" si="863"/>
        <v>2030E</v>
      </c>
      <c r="H501" s="283" t="str">
        <f t="shared" si="863"/>
        <v>2031E</v>
      </c>
      <c r="I501" s="230"/>
      <c r="J501" s="182" t="str">
        <f>$J$9</f>
        <v>6-Year(F)</v>
      </c>
    </row>
    <row r="502" spans="1:11">
      <c r="B502" s="282" t="s">
        <v>373</v>
      </c>
      <c r="C502" s="230">
        <f t="shared" ref="C502:H502" si="864">C$10</f>
        <v>46295</v>
      </c>
      <c r="D502" s="230">
        <f t="shared" si="864"/>
        <v>46660</v>
      </c>
      <c r="E502" s="230">
        <f t="shared" si="864"/>
        <v>47026</v>
      </c>
      <c r="F502" s="230">
        <f t="shared" si="864"/>
        <v>47391</v>
      </c>
      <c r="G502" s="230">
        <f t="shared" si="864"/>
        <v>47756</v>
      </c>
      <c r="H502" s="230">
        <f t="shared" si="864"/>
        <v>48121</v>
      </c>
      <c r="I502" s="230"/>
      <c r="J502" s="3">
        <f>$H$44</f>
        <v>48121</v>
      </c>
    </row>
    <row r="503" spans="1:11" ht="5.0999999999999996" customHeight="1">
      <c r="B503" s="286"/>
    </row>
    <row r="504" spans="1:11">
      <c r="B504" s="180" t="s">
        <v>326</v>
      </c>
      <c r="C504" s="231">
        <v>54042.766970220015</v>
      </c>
      <c r="D504" s="231">
        <v>56744.90531873102</v>
      </c>
      <c r="E504" s="231">
        <v>59582.150584667572</v>
      </c>
      <c r="F504" s="232">
        <f t="shared" ref="F504" si="865">SUM(E504*F505)+E504</f>
        <v>62561.258113900956</v>
      </c>
      <c r="G504" s="232">
        <f t="shared" ref="G504" si="866">SUM(F504*G505)+F504</f>
        <v>65689.321019596013</v>
      </c>
      <c r="H504" s="232">
        <f t="shared" ref="H504" si="867">SUM(G504*H505)+G504</f>
        <v>68973.787070575811</v>
      </c>
      <c r="J504" s="333">
        <f t="shared" ref="J504" si="868">((H504/C504)^(1/COUNT(C504:H504))-1)</f>
        <v>4.1496342698250865E-2</v>
      </c>
      <c r="K504" s="180" t="s">
        <v>516</v>
      </c>
    </row>
    <row r="505" spans="1:11">
      <c r="B505" s="287" t="s">
        <v>45</v>
      </c>
      <c r="C505" s="340">
        <f>SUM(C504/'Revenue Projections &amp; Cases'!$H$28)-1</f>
        <v>6.2787944350442659E-2</v>
      </c>
      <c r="D505" s="311">
        <f t="shared" ref="D505" si="869">SUM(D504/C504)-1</f>
        <v>5.0000000000000044E-2</v>
      </c>
      <c r="E505" s="311">
        <f t="shared" ref="E505" si="870">SUM(E504/D504)-1</f>
        <v>5.0000000000000044E-2</v>
      </c>
      <c r="F505" s="311">
        <f>E505</f>
        <v>5.0000000000000044E-2</v>
      </c>
      <c r="G505" s="311">
        <f t="shared" ref="G505:H505" si="871">F505</f>
        <v>5.0000000000000044E-2</v>
      </c>
      <c r="H505" s="311">
        <f t="shared" si="871"/>
        <v>5.0000000000000044E-2</v>
      </c>
      <c r="J505" s="331"/>
    </row>
    <row r="506" spans="1:11">
      <c r="B506" s="180" t="s">
        <v>558</v>
      </c>
      <c r="C506" s="231">
        <f>53*1000</f>
        <v>53000</v>
      </c>
      <c r="D506" s="231">
        <f>53*1000</f>
        <v>53000</v>
      </c>
      <c r="E506" s="231">
        <f>53*1000</f>
        <v>53000</v>
      </c>
      <c r="F506" s="232">
        <f t="shared" ref="F506" si="872">SUM(E506*F507)+E506</f>
        <v>53000</v>
      </c>
      <c r="G506" s="232">
        <f t="shared" ref="G506" si="873">SUM(F506*G507)+F506</f>
        <v>53000</v>
      </c>
      <c r="H506" s="232">
        <f t="shared" ref="H506" si="874">SUM(G506*H507)+G506</f>
        <v>53000</v>
      </c>
      <c r="J506" s="330">
        <f t="shared" ref="J506:J508" si="875">((H506/C506)^(1/COUNT(C506:H506))-1)</f>
        <v>0</v>
      </c>
      <c r="K506" s="180" t="s">
        <v>516</v>
      </c>
    </row>
    <row r="507" spans="1:11">
      <c r="B507" s="287" t="s">
        <v>45</v>
      </c>
      <c r="C507" s="340">
        <f>SUM(C506/'Revenue Projections &amp; Cases'!$H$28)-1</f>
        <v>4.2281219272369608E-2</v>
      </c>
      <c r="D507" s="311">
        <f>SUM(D506/C506)-1</f>
        <v>0</v>
      </c>
      <c r="E507" s="311">
        <f>SUM(E506/D506)-1</f>
        <v>0</v>
      </c>
      <c r="F507" s="311">
        <f t="shared" ref="F507:H507" si="876">E507</f>
        <v>0</v>
      </c>
      <c r="G507" s="311">
        <f t="shared" si="876"/>
        <v>0</v>
      </c>
      <c r="H507" s="311">
        <f t="shared" si="876"/>
        <v>0</v>
      </c>
      <c r="J507" s="331"/>
    </row>
    <row r="508" spans="1:11">
      <c r="B508" s="180" t="s">
        <v>327</v>
      </c>
      <c r="C508" s="231">
        <f>59.12*1000</f>
        <v>59120</v>
      </c>
      <c r="D508" s="231">
        <f>57.45*1000</f>
        <v>57450</v>
      </c>
      <c r="E508" s="232">
        <f>SUM(D508*E509)+D508</f>
        <v>55827.173545331534</v>
      </c>
      <c r="F508" s="232">
        <f t="shared" ref="F508" si="877">SUM(E508*F509)+E508</f>
        <v>54250.188095049001</v>
      </c>
      <c r="G508" s="232">
        <f t="shared" ref="G508" si="878">SUM(F508*G509)+F508</f>
        <v>52717.748749332968</v>
      </c>
      <c r="H508" s="232">
        <f t="shared" ref="H508" si="879">SUM(G508*H509)+G508</f>
        <v>51228.597186217507</v>
      </c>
      <c r="J508" s="330">
        <f t="shared" si="875"/>
        <v>-2.3595723187098794E-2</v>
      </c>
      <c r="K508" s="180" t="s">
        <v>516</v>
      </c>
    </row>
    <row r="509" spans="1:11">
      <c r="B509" s="287" t="s">
        <v>45</v>
      </c>
      <c r="C509" s="340">
        <f>SUM(C508/'Revenue Projections &amp; Cases'!$H$28)-1</f>
        <v>0.16263520157325462</v>
      </c>
      <c r="D509" s="311">
        <f>SUM(D508/C508)-1</f>
        <v>-2.8247631935047313E-2</v>
      </c>
      <c r="E509" s="311">
        <f>D509</f>
        <v>-2.8247631935047313E-2</v>
      </c>
      <c r="F509" s="311">
        <f t="shared" ref="F509:H509" si="880">E509</f>
        <v>-2.8247631935047313E-2</v>
      </c>
      <c r="G509" s="311">
        <f t="shared" si="880"/>
        <v>-2.8247631935047313E-2</v>
      </c>
      <c r="H509" s="311">
        <f t="shared" si="880"/>
        <v>-2.8247631935047313E-2</v>
      </c>
      <c r="J509" s="331"/>
    </row>
    <row r="510" spans="1:11">
      <c r="B510" s="180" t="s">
        <v>336</v>
      </c>
      <c r="C510" s="231">
        <v>43200</v>
      </c>
      <c r="D510" s="231">
        <v>43200</v>
      </c>
      <c r="E510" s="231">
        <v>45700</v>
      </c>
      <c r="F510" s="231">
        <v>44100</v>
      </c>
      <c r="G510" s="231">
        <v>44600</v>
      </c>
      <c r="H510" s="231">
        <v>45700</v>
      </c>
      <c r="J510" s="330">
        <f t="shared" ref="J510" si="881">((H510/C510)^(1/COUNT(C510:H510))-1)</f>
        <v>9.4203956555751756E-3</v>
      </c>
      <c r="K510" s="180" t="s">
        <v>516</v>
      </c>
    </row>
    <row r="511" spans="1:11">
      <c r="B511" s="287" t="s">
        <v>45</v>
      </c>
      <c r="C511" s="340">
        <f>SUM(C510/'Revenue Projections &amp; Cases'!$H$28)-1</f>
        <v>-0.15044247787610621</v>
      </c>
      <c r="D511" s="311">
        <f>SUM(D510/C510)-1</f>
        <v>0</v>
      </c>
      <c r="E511" s="311">
        <f t="shared" ref="E511" si="882">SUM(E510/D510)-1</f>
        <v>5.7870370370370461E-2</v>
      </c>
      <c r="F511" s="311">
        <f t="shared" ref="F511" si="883">SUM(F510/E510)-1</f>
        <v>-3.5010940919037226E-2</v>
      </c>
      <c r="G511" s="311">
        <f t="shared" ref="G511" si="884">SUM(G510/F510)-1</f>
        <v>1.133786848072571E-2</v>
      </c>
      <c r="H511" s="311">
        <f t="shared" ref="H511" si="885">SUM(H510/G510)-1</f>
        <v>2.4663677130044803E-2</v>
      </c>
      <c r="J511" s="332"/>
    </row>
    <row r="512" spans="1:11" ht="5.0999999999999996" customHeight="1">
      <c r="B512" s="355"/>
      <c r="C512" s="355"/>
      <c r="D512" s="355"/>
      <c r="E512" s="355"/>
      <c r="F512" s="355"/>
      <c r="G512" s="355"/>
      <c r="H512" s="355"/>
      <c r="I512" s="355"/>
      <c r="J512" s="355"/>
    </row>
    <row r="513" spans="2:11">
      <c r="B513" s="293" t="s">
        <v>188</v>
      </c>
      <c r="C513" s="295">
        <f>MAX(C504,C508,C506,C510)</f>
        <v>59120</v>
      </c>
      <c r="D513" s="295">
        <f>MAX(D$504,D$508,D$506,D$510)</f>
        <v>57450</v>
      </c>
      <c r="E513" s="295">
        <f>MAX(E$504,E$508,E$506,E$510)</f>
        <v>59582.150584667572</v>
      </c>
      <c r="F513" s="295">
        <f>MAX(F$504,F$508,F$506,F$510)</f>
        <v>62561.258113900956</v>
      </c>
      <c r="G513" s="295">
        <f>MAX(G$504,G$508,G$506,G$510)</f>
        <v>65689.321019596013</v>
      </c>
      <c r="H513" s="295">
        <f>MAX(H$504,H$508,H$506,H$510)</f>
        <v>68973.787070575811</v>
      </c>
      <c r="I513" s="289"/>
      <c r="J513" s="299">
        <f t="shared" ref="J513" si="886">((H513/C513)^(1/COUNT(C513:H513))-1)</f>
        <v>2.6025783320684059E-2</v>
      </c>
    </row>
    <row r="514" spans="2:11">
      <c r="B514" s="325" t="s">
        <v>45</v>
      </c>
      <c r="C514" s="334">
        <f>SUM(C513/'Revenue Projections &amp; Cases'!$H$28)-1</f>
        <v>0.16263520157325462</v>
      </c>
      <c r="D514" s="350">
        <f>SUM(D513/C513)-1</f>
        <v>-2.8247631935047313E-2</v>
      </c>
      <c r="E514" s="350">
        <f t="shared" ref="E514" si="887">SUM(E513/D513)-1</f>
        <v>3.7113152039470299E-2</v>
      </c>
      <c r="F514" s="350">
        <f t="shared" ref="F514" si="888">SUM(F513/E513)-1</f>
        <v>5.0000000000000044E-2</v>
      </c>
      <c r="G514" s="350">
        <f t="shared" ref="G514" si="889">SUM(G513/F513)-1</f>
        <v>5.0000000000000044E-2</v>
      </c>
      <c r="H514" s="350">
        <f t="shared" ref="H514" si="890">SUM(H513/G513)-1</f>
        <v>5.0000000000000044E-2</v>
      </c>
      <c r="I514" s="291"/>
      <c r="J514" s="297"/>
    </row>
    <row r="515" spans="2:11">
      <c r="B515" s="290" t="s">
        <v>374</v>
      </c>
      <c r="C515" s="339">
        <f t="shared" ref="C515:H515" si="891">MEDIAN(C$504,C$508,C$506,C$510)</f>
        <v>53521.383485110011</v>
      </c>
      <c r="D515" s="339">
        <f t="shared" si="891"/>
        <v>54872.45265936551</v>
      </c>
      <c r="E515" s="339">
        <f t="shared" si="891"/>
        <v>54413.586772665767</v>
      </c>
      <c r="F515" s="339">
        <f t="shared" si="891"/>
        <v>53625.094047524501</v>
      </c>
      <c r="G515" s="339">
        <f t="shared" si="891"/>
        <v>52858.874374666484</v>
      </c>
      <c r="H515" s="339">
        <f t="shared" si="891"/>
        <v>52114.298593108753</v>
      </c>
      <c r="I515" s="291"/>
      <c r="J515" s="297">
        <f t="shared" ref="J515" si="892">((H515/C515)^(1/COUNT(C515:H515))-1)</f>
        <v>-4.4304745432038883E-3</v>
      </c>
    </row>
    <row r="516" spans="2:11">
      <c r="B516" s="325" t="s">
        <v>45</v>
      </c>
      <c r="C516" s="334">
        <f>SUM(C515/'Revenue Projections &amp; Cases'!$H$28)-1</f>
        <v>5.2534581811406245E-2</v>
      </c>
      <c r="D516" s="350">
        <f>SUM(D515/C515)-1</f>
        <v>2.5243539801832249E-2</v>
      </c>
      <c r="E516" s="350">
        <f t="shared" ref="E516" si="893">SUM(E515/D515)-1</f>
        <v>-8.3624089039406879E-3</v>
      </c>
      <c r="F516" s="350">
        <f t="shared" ref="F516" si="894">SUM(F515/E515)-1</f>
        <v>-1.4490732405410212E-2</v>
      </c>
      <c r="G516" s="350">
        <f t="shared" ref="G516" si="895">SUM(G515/F515)-1</f>
        <v>-1.4288453688845126E-2</v>
      </c>
      <c r="H516" s="350">
        <f t="shared" ref="H516" si="896">SUM(H515/G515)-1</f>
        <v>-1.4086107401382386E-2</v>
      </c>
      <c r="I516" s="291"/>
      <c r="J516" s="297"/>
    </row>
    <row r="517" spans="2:11">
      <c r="B517" s="290" t="s">
        <v>331</v>
      </c>
      <c r="C517" s="339">
        <f t="shared" ref="C517:H517" si="897">AVERAGE(C$504,C$508,C$506,C$510)</f>
        <v>52340.691742555005</v>
      </c>
      <c r="D517" s="339">
        <f t="shared" si="897"/>
        <v>52598.726329682759</v>
      </c>
      <c r="E517" s="339">
        <f t="shared" si="897"/>
        <v>53527.331032499773</v>
      </c>
      <c r="F517" s="339">
        <f t="shared" si="897"/>
        <v>53477.861552237489</v>
      </c>
      <c r="G517" s="339">
        <f t="shared" si="897"/>
        <v>54001.767442232245</v>
      </c>
      <c r="H517" s="339">
        <f t="shared" si="897"/>
        <v>54725.596064198326</v>
      </c>
      <c r="I517" s="291"/>
      <c r="J517" s="297">
        <f t="shared" ref="J517" si="898">((H517/C517)^(1/COUNT(C517:H517))-1)</f>
        <v>7.4538798829517638E-3</v>
      </c>
    </row>
    <row r="518" spans="2:11">
      <c r="B518" s="325" t="s">
        <v>45</v>
      </c>
      <c r="C518" s="334">
        <f>SUM(C517/'Revenue Projections &amp; Cases'!$H$28)-1</f>
        <v>2.931547182999017E-2</v>
      </c>
      <c r="D518" s="350">
        <f>SUM(D517/C517)-1</f>
        <v>4.9299040294867869E-3</v>
      </c>
      <c r="E518" s="350">
        <f t="shared" ref="E518" si="899">SUM(E517/D517)-1</f>
        <v>1.7654509293564047E-2</v>
      </c>
      <c r="F518" s="350">
        <f t="shared" ref="F518" si="900">SUM(F517/E517)-1</f>
        <v>-9.2419104984420297E-4</v>
      </c>
      <c r="G518" s="350">
        <f t="shared" ref="G518" si="901">SUM(G517/F517)-1</f>
        <v>9.7966873541306398E-3</v>
      </c>
      <c r="H518" s="350">
        <f t="shared" ref="H518" si="902">SUM(H517/G517)-1</f>
        <v>1.3403795028382959E-2</v>
      </c>
      <c r="I518" s="291"/>
      <c r="J518" s="297"/>
    </row>
    <row r="519" spans="2:11">
      <c r="B519" s="324" t="s">
        <v>311</v>
      </c>
      <c r="C519" s="296">
        <f>MIN(C$504,C$508,C$506,C$510)</f>
        <v>43200</v>
      </c>
      <c r="D519" s="296">
        <f t="shared" ref="D519:H519" si="903">MIN(D$504,D$508,D$506,D$510)</f>
        <v>43200</v>
      </c>
      <c r="E519" s="296">
        <f t="shared" si="903"/>
        <v>45700</v>
      </c>
      <c r="F519" s="296">
        <f t="shared" si="903"/>
        <v>44100</v>
      </c>
      <c r="G519" s="296">
        <f t="shared" si="903"/>
        <v>44600</v>
      </c>
      <c r="H519" s="296">
        <f t="shared" si="903"/>
        <v>45700</v>
      </c>
      <c r="I519" s="291"/>
      <c r="J519" s="297">
        <f t="shared" ref="J519" si="904">((H519/C519)^(1/COUNT(C519:H519))-1)</f>
        <v>9.4203956555751756E-3</v>
      </c>
    </row>
    <row r="520" spans="2:11">
      <c r="B520" s="326" t="s">
        <v>45</v>
      </c>
      <c r="C520" s="335">
        <f>SUM(C519/'Revenue Projections &amp; Cases'!$H$28)-1</f>
        <v>-0.15044247787610621</v>
      </c>
      <c r="D520" s="351">
        <f>SUM(D519/C519)-1</f>
        <v>0</v>
      </c>
      <c r="E520" s="351">
        <f t="shared" ref="E520" si="905">SUM(E519/D519)-1</f>
        <v>5.7870370370370461E-2</v>
      </c>
      <c r="F520" s="351">
        <f t="shared" ref="F520" si="906">SUM(F519/E519)-1</f>
        <v>-3.5010940919037226E-2</v>
      </c>
      <c r="G520" s="351">
        <f t="shared" ref="G520" si="907">SUM(G519/F519)-1</f>
        <v>1.133786848072571E-2</v>
      </c>
      <c r="H520" s="351">
        <f t="shared" ref="H520" si="908">SUM(H519/G519)-1</f>
        <v>2.4663677130044803E-2</v>
      </c>
      <c r="I520" s="292"/>
      <c r="J520" s="298"/>
    </row>
    <row r="522" spans="2:11">
      <c r="B522" s="229" t="s">
        <v>483</v>
      </c>
      <c r="C522" s="229"/>
      <c r="D522" s="229"/>
      <c r="E522" s="229"/>
      <c r="F522" s="229"/>
      <c r="G522" s="229"/>
      <c r="H522" s="229"/>
      <c r="I522" s="229"/>
      <c r="J522" s="229"/>
    </row>
    <row r="523" spans="2:11" ht="5.0999999999999996" customHeight="1"/>
    <row r="524" spans="2:11">
      <c r="B524" s="229" t="s">
        <v>485</v>
      </c>
      <c r="C524" s="211" t="s">
        <v>156</v>
      </c>
      <c r="D524" s="211"/>
      <c r="E524" s="211"/>
      <c r="F524" s="211"/>
      <c r="G524" s="211"/>
      <c r="H524" s="211"/>
      <c r="I524" s="230"/>
      <c r="J524" s="2" t="s">
        <v>332</v>
      </c>
    </row>
    <row r="525" spans="2:11">
      <c r="B525" s="282" t="s">
        <v>372</v>
      </c>
      <c r="C525" s="283" t="str">
        <f t="shared" ref="C525:H525" si="909">C$9</f>
        <v>2026E</v>
      </c>
      <c r="D525" s="283" t="str">
        <f t="shared" si="909"/>
        <v>2027E</v>
      </c>
      <c r="E525" s="283" t="str">
        <f t="shared" si="909"/>
        <v>2028E</v>
      </c>
      <c r="F525" s="283" t="str">
        <f t="shared" si="909"/>
        <v>2029E</v>
      </c>
      <c r="G525" s="283" t="str">
        <f t="shared" si="909"/>
        <v>2030E</v>
      </c>
      <c r="H525" s="283" t="str">
        <f t="shared" si="909"/>
        <v>2031E</v>
      </c>
      <c r="I525" s="230"/>
      <c r="J525" s="182" t="str">
        <f>$J$9</f>
        <v>6-Year(F)</v>
      </c>
    </row>
    <row r="526" spans="2:11">
      <c r="B526" s="282" t="s">
        <v>373</v>
      </c>
      <c r="C526" s="230">
        <f t="shared" ref="C526:H526" si="910">C$10</f>
        <v>46295</v>
      </c>
      <c r="D526" s="230">
        <f t="shared" si="910"/>
        <v>46660</v>
      </c>
      <c r="E526" s="230">
        <f t="shared" si="910"/>
        <v>47026</v>
      </c>
      <c r="F526" s="230">
        <f t="shared" si="910"/>
        <v>47391</v>
      </c>
      <c r="G526" s="230">
        <f t="shared" si="910"/>
        <v>47756</v>
      </c>
      <c r="H526" s="230">
        <f t="shared" si="910"/>
        <v>48121</v>
      </c>
      <c r="I526" s="230"/>
      <c r="J526" s="3">
        <f>$H$44</f>
        <v>48121</v>
      </c>
    </row>
    <row r="527" spans="2:11" ht="5.0999999999999996" customHeight="1">
      <c r="B527" s="286"/>
    </row>
    <row r="528" spans="2:11">
      <c r="B528" s="180" t="s">
        <v>326</v>
      </c>
      <c r="C528" s="231">
        <v>558.68918139516688</v>
      </c>
      <c r="D528" s="231">
        <v>568.64818207538588</v>
      </c>
      <c r="E528" s="231">
        <v>579.33800075092904</v>
      </c>
      <c r="F528" s="232">
        <f t="shared" ref="F528" si="911">SUM(E528*F529)+E528</f>
        <v>590.22877359623487</v>
      </c>
      <c r="G528" s="232">
        <f t="shared" ref="G528" si="912">SUM(F528*G529)+F528</f>
        <v>601.32427827859317</v>
      </c>
      <c r="H528" s="232">
        <f t="shared" ref="H528" si="913">SUM(G528*H529)+G528</f>
        <v>612.6283634803425</v>
      </c>
      <c r="J528" s="333">
        <f t="shared" ref="J528" si="914">((H528/C528)^(1/COUNT(C528:H528))-1)</f>
        <v>1.5479451374541098E-2</v>
      </c>
      <c r="K528" s="180" t="s">
        <v>516</v>
      </c>
    </row>
    <row r="529" spans="2:11">
      <c r="B529" s="287" t="s">
        <v>45</v>
      </c>
      <c r="C529" s="340">
        <f>SUM(C528/'Revenue Projections &amp; Cases'!$H$36)-1</f>
        <v>1.3954957160012382E-2</v>
      </c>
      <c r="D529" s="311">
        <f t="shared" ref="D529" si="915">SUM(D528/C528)-1</f>
        <v>1.7825655143973274E-2</v>
      </c>
      <c r="E529" s="311">
        <f t="shared" ref="E529" si="916">SUM(E528/D528)-1</f>
        <v>1.8798650927764671E-2</v>
      </c>
      <c r="F529" s="311">
        <f>E529</f>
        <v>1.8798650927764671E-2</v>
      </c>
      <c r="G529" s="311">
        <f t="shared" ref="G529:H529" si="917">F529</f>
        <v>1.8798650927764671E-2</v>
      </c>
      <c r="H529" s="311">
        <f t="shared" si="917"/>
        <v>1.8798650927764671E-2</v>
      </c>
      <c r="J529" s="331"/>
    </row>
    <row r="530" spans="2:11">
      <c r="B530" s="180" t="s">
        <v>327</v>
      </c>
      <c r="C530" s="231">
        <v>482</v>
      </c>
      <c r="D530" s="231">
        <v>485</v>
      </c>
      <c r="E530" s="232">
        <f>SUM(D530*E531)+D530</f>
        <v>488.01867219917011</v>
      </c>
      <c r="F530" s="232">
        <f t="shared" ref="F530" si="918">SUM(E530*F531)+E530</f>
        <v>491.05613281451764</v>
      </c>
      <c r="G530" s="232">
        <f t="shared" ref="G530" si="919">SUM(F530*G531)+F530</f>
        <v>494.11249878639222</v>
      </c>
      <c r="H530" s="232">
        <f t="shared" ref="H530" si="920">SUM(G530*H531)+G530</f>
        <v>497.18788778298801</v>
      </c>
      <c r="J530" s="330">
        <f t="shared" ref="J530" si="921">((H530/C530)^(1/COUNT(C530:H530))-1)</f>
        <v>5.1840382729022583E-3</v>
      </c>
      <c r="K530" s="180" t="s">
        <v>516</v>
      </c>
    </row>
    <row r="531" spans="2:11">
      <c r="B531" s="287" t="s">
        <v>45</v>
      </c>
      <c r="C531" s="340">
        <f>SUM(C530/'Revenue Projections &amp; Cases'!$H$36)-1</f>
        <v>-0.12522686025408347</v>
      </c>
      <c r="D531" s="311">
        <f>SUM(D530/C530)-1</f>
        <v>6.2240663900414717E-3</v>
      </c>
      <c r="E531" s="311">
        <f>D531</f>
        <v>6.2240663900414717E-3</v>
      </c>
      <c r="F531" s="311">
        <f t="shared" ref="F531:H531" si="922">E531</f>
        <v>6.2240663900414717E-3</v>
      </c>
      <c r="G531" s="311">
        <f t="shared" si="922"/>
        <v>6.2240663900414717E-3</v>
      </c>
      <c r="H531" s="311">
        <f t="shared" si="922"/>
        <v>6.2240663900414717E-3</v>
      </c>
      <c r="J531" s="331"/>
    </row>
    <row r="532" spans="2:11">
      <c r="B532" s="180" t="s">
        <v>557</v>
      </c>
      <c r="C532" s="231">
        <v>560</v>
      </c>
      <c r="D532" s="231">
        <v>554</v>
      </c>
      <c r="E532" s="231">
        <v>552</v>
      </c>
      <c r="F532" s="232">
        <f t="shared" ref="F532" si="923">SUM(E532*F533)+E532</f>
        <v>550.00722021660647</v>
      </c>
      <c r="G532" s="232">
        <f t="shared" ref="G532" si="924">SUM(F532*G533)+F532</f>
        <v>548.02163458405551</v>
      </c>
      <c r="H532" s="232">
        <f t="shared" ref="H532" si="925">SUM(G532*H533)+G532</f>
        <v>546.04321713068339</v>
      </c>
      <c r="J532" s="330">
        <f t="shared" ref="J532" si="926">((H532/C532)^(1/COUNT(C532:H532))-1)</f>
        <v>-4.1976084536982095E-3</v>
      </c>
      <c r="K532" s="180" t="s">
        <v>516</v>
      </c>
    </row>
    <row r="533" spans="2:11">
      <c r="B533" s="287" t="s">
        <v>45</v>
      </c>
      <c r="C533" s="340">
        <f>SUM(C532/'Revenue Projections &amp; Cases'!$H$36)-1</f>
        <v>1.6333938294010864E-2</v>
      </c>
      <c r="D533" s="311">
        <f>SUM(D532/C532)-1</f>
        <v>-1.0714285714285676E-2</v>
      </c>
      <c r="E533" s="311">
        <f t="shared" ref="E533" si="927">SUM(E532/D532)-1</f>
        <v>-3.6101083032491488E-3</v>
      </c>
      <c r="F533" s="311">
        <f t="shared" ref="F533:H533" si="928">E533</f>
        <v>-3.6101083032491488E-3</v>
      </c>
      <c r="G533" s="311">
        <f t="shared" si="928"/>
        <v>-3.6101083032491488E-3</v>
      </c>
      <c r="H533" s="311">
        <f t="shared" si="928"/>
        <v>-3.6101083032491488E-3</v>
      </c>
      <c r="J533" s="331"/>
    </row>
    <row r="534" spans="2:11">
      <c r="B534" s="180" t="s">
        <v>336</v>
      </c>
      <c r="C534" s="231">
        <v>583.6</v>
      </c>
      <c r="D534" s="231">
        <v>662.5</v>
      </c>
      <c r="E534" s="231">
        <v>722.8</v>
      </c>
      <c r="F534" s="231">
        <v>725.6</v>
      </c>
      <c r="G534" s="231">
        <v>701.5</v>
      </c>
      <c r="H534" s="231">
        <v>688.7</v>
      </c>
      <c r="J534" s="330">
        <f t="shared" ref="J534" si="929">((H534/C534)^(1/COUNT(C534:H534))-1)</f>
        <v>2.7982685833792376E-2</v>
      </c>
      <c r="K534" s="180" t="s">
        <v>516</v>
      </c>
    </row>
    <row r="535" spans="2:11">
      <c r="B535" s="287" t="s">
        <v>45</v>
      </c>
      <c r="C535" s="340">
        <f>SUM(C534/'Revenue Projections &amp; Cases'!$H$36)-1</f>
        <v>5.9165154264972708E-2</v>
      </c>
      <c r="D535" s="311">
        <f>SUM(D534/C534)-1</f>
        <v>0.13519533927347505</v>
      </c>
      <c r="E535" s="311">
        <f t="shared" ref="E535" si="930">SUM(E534/D534)-1</f>
        <v>9.1018867924528291E-2</v>
      </c>
      <c r="F535" s="311">
        <f t="shared" ref="F535" si="931">SUM(F534/E534)-1</f>
        <v>3.8738240177089711E-3</v>
      </c>
      <c r="G535" s="311">
        <f t="shared" ref="G535" si="932">SUM(G534/F534)-1</f>
        <v>-3.3213891951488494E-2</v>
      </c>
      <c r="H535" s="311">
        <f t="shared" ref="H535" si="933">SUM(H534/G534)-1</f>
        <v>-1.824661439771913E-2</v>
      </c>
      <c r="J535" s="332"/>
    </row>
    <row r="536" spans="2:11" ht="5.0999999999999996" customHeight="1">
      <c r="B536" s="355"/>
      <c r="C536" s="355"/>
      <c r="D536" s="355"/>
      <c r="E536" s="355"/>
      <c r="F536" s="355"/>
      <c r="G536" s="355"/>
      <c r="H536" s="355"/>
      <c r="I536" s="355"/>
      <c r="J536" s="355"/>
    </row>
    <row r="537" spans="2:11">
      <c r="B537" s="293" t="s">
        <v>188</v>
      </c>
      <c r="C537" s="423">
        <f>MAX(C528,C532,C530,C534)</f>
        <v>583.6</v>
      </c>
      <c r="D537" s="423">
        <f t="shared" ref="D537:H537" si="934">MAX(D$528,D$532,D$530,D$534)</f>
        <v>662.5</v>
      </c>
      <c r="E537" s="423">
        <f t="shared" si="934"/>
        <v>722.8</v>
      </c>
      <c r="F537" s="423">
        <f t="shared" si="934"/>
        <v>725.6</v>
      </c>
      <c r="G537" s="423">
        <f t="shared" si="934"/>
        <v>701.5</v>
      </c>
      <c r="H537" s="423">
        <f t="shared" si="934"/>
        <v>688.7</v>
      </c>
      <c r="I537" s="289"/>
      <c r="J537" s="299">
        <f t="shared" ref="J537" si="935">((H537/C537)^(1/COUNT(C537:H537))-1)</f>
        <v>2.7982685833792376E-2</v>
      </c>
    </row>
    <row r="538" spans="2:11">
      <c r="B538" s="325" t="s">
        <v>45</v>
      </c>
      <c r="C538" s="334">
        <f>SUM(C537/'Revenue Projections &amp; Cases'!$H$36)-1</f>
        <v>5.9165154264972708E-2</v>
      </c>
      <c r="D538" s="350">
        <f>SUM(D537/C537)-1</f>
        <v>0.13519533927347505</v>
      </c>
      <c r="E538" s="350">
        <f t="shared" ref="E538" si="936">SUM(E537/D537)-1</f>
        <v>9.1018867924528291E-2</v>
      </c>
      <c r="F538" s="350">
        <f t="shared" ref="F538" si="937">SUM(F537/E537)-1</f>
        <v>3.8738240177089711E-3</v>
      </c>
      <c r="G538" s="350">
        <f t="shared" ref="G538" si="938">SUM(G537/F537)-1</f>
        <v>-3.3213891951488494E-2</v>
      </c>
      <c r="H538" s="350">
        <f t="shared" ref="H538" si="939">SUM(H537/G537)-1</f>
        <v>-1.824661439771913E-2</v>
      </c>
      <c r="I538" s="291"/>
      <c r="J538" s="297"/>
    </row>
    <row r="539" spans="2:11">
      <c r="B539" s="290" t="s">
        <v>374</v>
      </c>
      <c r="C539" s="421">
        <f t="shared" ref="C539:H539" si="940">MEDIAN(C$528,C$532,C$530,C$534)</f>
        <v>559.3445906975835</v>
      </c>
      <c r="D539" s="421">
        <f t="shared" si="940"/>
        <v>561.32409103769294</v>
      </c>
      <c r="E539" s="421">
        <f t="shared" si="940"/>
        <v>565.66900037546452</v>
      </c>
      <c r="F539" s="421">
        <f t="shared" si="940"/>
        <v>570.11799690642067</v>
      </c>
      <c r="G539" s="421">
        <f t="shared" si="940"/>
        <v>574.67295643132434</v>
      </c>
      <c r="H539" s="421">
        <f t="shared" si="940"/>
        <v>579.335790305513</v>
      </c>
      <c r="I539" s="291"/>
      <c r="J539" s="297">
        <f t="shared" ref="J539" si="941">((H539/C539)^(1/COUNT(C539:H539))-1)</f>
        <v>5.8699164420203953E-3</v>
      </c>
    </row>
    <row r="540" spans="2:11">
      <c r="B540" s="325" t="s">
        <v>45</v>
      </c>
      <c r="C540" s="334">
        <f>SUM(C539/'Revenue Projections &amp; Cases'!$H$36)-1</f>
        <v>1.5144447727011734E-2</v>
      </c>
      <c r="D540" s="350">
        <f>SUM(D539/C539)-1</f>
        <v>3.5389639464300515E-3</v>
      </c>
      <c r="E540" s="350">
        <f t="shared" ref="E540" si="942">SUM(E539/D539)-1</f>
        <v>7.7404647460246334E-3</v>
      </c>
      <c r="F540" s="350">
        <f t="shared" ref="F540" si="943">SUM(F539/E539)-1</f>
        <v>7.865017400640939E-3</v>
      </c>
      <c r="G540" s="350">
        <f t="shared" ref="G540" si="944">SUM(G539/F539)-1</f>
        <v>7.9895031372800851E-3</v>
      </c>
      <c r="H540" s="350">
        <f t="shared" ref="H540" si="945">SUM(H539/G539)-1</f>
        <v>8.1138912524167939E-3</v>
      </c>
      <c r="I540" s="291"/>
      <c r="J540" s="297"/>
    </row>
    <row r="541" spans="2:11">
      <c r="B541" s="290" t="s">
        <v>331</v>
      </c>
      <c r="C541" s="421">
        <f t="shared" ref="C541:H541" si="946">AVERAGE(C$528,C$532,C$530,C$534)</f>
        <v>546.07229534879173</v>
      </c>
      <c r="D541" s="421">
        <f t="shared" si="946"/>
        <v>567.53704551884653</v>
      </c>
      <c r="E541" s="421">
        <f t="shared" si="946"/>
        <v>585.53916823752479</v>
      </c>
      <c r="F541" s="421">
        <f t="shared" si="946"/>
        <v>589.22303165683979</v>
      </c>
      <c r="G541" s="421">
        <f t="shared" si="946"/>
        <v>586.23960291226024</v>
      </c>
      <c r="H541" s="421">
        <f t="shared" si="946"/>
        <v>586.1398670985036</v>
      </c>
      <c r="I541" s="291"/>
      <c r="J541" s="297">
        <f t="shared" ref="J541" si="947">((H541/C541)^(1/COUNT(C541:H541))-1)</f>
        <v>1.187108631299294E-2</v>
      </c>
    </row>
    <row r="542" spans="2:11">
      <c r="B542" s="325" t="s">
        <v>45</v>
      </c>
      <c r="C542" s="334">
        <f>SUM(C541/'Revenue Projections &amp; Cases'!$H$36)-1</f>
        <v>-8.9432026337717963E-3</v>
      </c>
      <c r="D542" s="350">
        <f>SUM(D541/C541)-1</f>
        <v>3.9307524576658315E-2</v>
      </c>
      <c r="E542" s="350">
        <f t="shared" ref="E542" si="948">SUM(E541/D541)-1</f>
        <v>3.1719731532627193E-2</v>
      </c>
      <c r="F542" s="350">
        <f t="shared" ref="F542" si="949">SUM(F541/E541)-1</f>
        <v>6.2914039216257489E-3</v>
      </c>
      <c r="G542" s="350">
        <f t="shared" ref="G542" si="950">SUM(G541/F541)-1</f>
        <v>-5.0633267613291455E-3</v>
      </c>
      <c r="H542" s="350">
        <f t="shared" ref="H542" si="951">SUM(H541/G541)-1</f>
        <v>-1.7012807265348595E-4</v>
      </c>
      <c r="I542" s="291"/>
      <c r="J542" s="297"/>
    </row>
    <row r="543" spans="2:11">
      <c r="B543" s="324" t="s">
        <v>311</v>
      </c>
      <c r="C543" s="422">
        <f>MIN(C$528,C$532,C$530,C$534)</f>
        <v>482</v>
      </c>
      <c r="D543" s="422">
        <f t="shared" ref="D543:H543" si="952">MIN(D$528,D$532,D$530,D$534)</f>
        <v>485</v>
      </c>
      <c r="E543" s="422">
        <f t="shared" si="952"/>
        <v>488.01867219917011</v>
      </c>
      <c r="F543" s="422">
        <f t="shared" si="952"/>
        <v>491.05613281451764</v>
      </c>
      <c r="G543" s="422">
        <f t="shared" si="952"/>
        <v>494.11249878639222</v>
      </c>
      <c r="H543" s="422">
        <f t="shared" si="952"/>
        <v>497.18788778298801</v>
      </c>
      <c r="I543" s="291"/>
      <c r="J543" s="297">
        <f t="shared" ref="J543" si="953">((H543/C543)^(1/COUNT(C543:H543))-1)</f>
        <v>5.1840382729022583E-3</v>
      </c>
    </row>
    <row r="544" spans="2:11">
      <c r="B544" s="326" t="s">
        <v>45</v>
      </c>
      <c r="C544" s="335">
        <f>SUM(C543/'Revenue Projections &amp; Cases'!$H$36)-1</f>
        <v>-0.12522686025408347</v>
      </c>
      <c r="D544" s="351">
        <f>SUM(D543/C543)-1</f>
        <v>6.2240663900414717E-3</v>
      </c>
      <c r="E544" s="351">
        <f t="shared" ref="E544" si="954">SUM(E543/D543)-1</f>
        <v>6.2240663900414717E-3</v>
      </c>
      <c r="F544" s="351">
        <f t="shared" ref="F544" si="955">SUM(F543/E543)-1</f>
        <v>6.2240663900414717E-3</v>
      </c>
      <c r="G544" s="351">
        <f t="shared" ref="G544" si="956">SUM(G543/F543)-1</f>
        <v>6.2240663900414717E-3</v>
      </c>
      <c r="H544" s="351">
        <f t="shared" ref="H544" si="957">SUM(H543/G543)-1</f>
        <v>6.2240663900414717E-3</v>
      </c>
      <c r="I544" s="292"/>
      <c r="J544" s="298"/>
    </row>
  </sheetData>
  <pageMargins left="0.7" right="0.7" top="0.75" bottom="0.75" header="0.3" footer="0.3"/>
  <ignoredErrors>
    <ignoredError sqref="L26:XFD26 I46:J46 I75:XFD75 I47:XFD47 I184:J184 K237:XFD237 I344:J344 A388:B389 L386:XFD386 D38:XFD38 D40:XFD40 A74:B77 I77:XFD77 D83 A82:B85 D85 A87:B87 D87:XFD87 A102:B105 I105:XFD105 D111 A110:B113 A115:B115 D115:XFD115 D133:E133 D137 D139 D141:XFD141 I159:XFD159 D163 D165 D167:E167 D150:XFD150 I49:XFD49 D55:XFD55 A55:B57 D57 D59:XFD59 I26 D13:XFD13 D27:XFD27 A88:XFD88 A96:B96 D96:XFD96 D124:XFD124 D176:XFD176 A348 A347 A350 A349 A345 I345:XFD345 A357 A356:B356 A355 C355:E355 A354:B354 A351 I351:XFD351 A373 A375 A377 A379 A381 A385 A387 I387:XFD387 A384:B384 A380:B380 A378:B378 A374:B374 I386 D379 A390 A393:B393 A392 A395:B395 A394 A396 K9:XFD10 K43:XFD44 K71:XFD72 K99:XFD100 K127:XFD128 K153:XFD154 K181:XFD182 K211:XFD212 K233:XFD234 K255:XFD256 K313:XFD314 K341:XFD342 K369:XFD370 I10 D42:XFD42 A70:B70 D70:XFD70 D126:XFD126 A98:B98 D98:XFD98 D152:XFD152 D180:XFD180 D210:XFD210 D232:XFD232 D254:XFD254 D312:XFD312 D340:XFD340 A358:B368 D368:XFD368 A534:A544 K500:XFD503 A462:A472 K452:XFD455 E436:H436 B467 I481:J481 C502:H503 H487:J487 D413 D415 D463:E463 D509:E509 F20:J20 F21:XFD21 J272 I378:J378 M378:XFD378 L20:XFD20 C1:XFD8 I48:J48 I76:J76 I104:J104 I158:J158 C185:XFD185 C239:XFD239 C237:I237 A346 C388:XFD388 C11:XFD11 C13:C17 C41:XFD41 F82:J82 F84:J84 F110:J110 E140:J140 C142:XFD142 I164:J164 E166 C151:XFD151 C145:XFD149 F56:J56 C60:XFD60 A97:XFD97 C125:XFD125 C168:XFD175 C177:XFD179 I347:XFD347 I350:J350 C358:XFD358 I356:J356 I354:J354 A376:B376 A386:D386 A372:C372 I392:XFD396 A397:XFD397 C9:I9 C45:XFD45 C43:I44 A73:XFD73 A71:I72 A101:XFD101 A99:I100 C129:XFD129 C127:I128 C155:XFD155 C153:I154 C183:XFD183 C181:I182 C213:XFD213 C211:I212 C235:XFD235 C233:I234 C257:XFD257 C255:I256 C315:XFD315 C313:I314 C343:XFD343 C341:I342 A371:XFD371 A369:I370 A399:XFD399 A425:XFD425 A449:XFD449 A451:XFD451 A473:XFD473 A497:XFD497 A499:XFD499 A545:XFD1048576 C21:D21 C273:XFD274 E272:H272 A24:B49 C267:XFD267 F266:J266 L266:XFD266 C193:XFD193 F192:J192 L192:XFD192 C325:E325 I324:J324 L324:XFD324 L350:XFD350 D15:XFD15 D14:J14 L14:XFD14 L48:XFD48 L76:XFD76 L104:XFD104 L132:XFD132 L158:XFD158 C188:J188 C186:J186 L186:XFD186 F187:XFD187 I375:XFD375 I374:J374 L374:XFD374 C263:XFD263 F262:J262 L262:XFD262 L354:XFD354 F24:J24 L24:XFD24 C25:D25 F25:XFD25 I379:XFD379 E381 B382:E382 I389:XFD390 F374:H375 A391:XFD391 C393:H395 C27:C31 C261:XFD261 I260:J260 L260:XFD260 L346:XFD346 K511:XFD527 L510:XFD510 K463:XFD472 L462:XFD462 K535:XFD544 L534:XFD534 C50 A59:B66 C199:XFD209 I194:J194 L194:XFD194 C195:E195 G195:XFD195 C217:XFD217 I216:J216 L216:XFD216 L238:XFD238 E238:I238 C317:XFD317 I316:J316 L316:XFD316 D29:XFD29 D28:J28 L28:XFD28 L56:XFD56 F57:XFD57 F85:XFD85 L84:XFD84 L112:XFD112 F112:J112 F113:XFD113 L138:XFD138 I139:XFD139 I133:XFD133 I137:XFD137 I132:J132 I136:J136 I138:J138 L164:XFD164 I165:XFD165 C196:J196 L196:XFD196 F197:XFD197 C221:XFD231 L218:XFD218 F218:J218 C219:D219 F219:XFD219 C241:XFD241 L240:XFD240 F240:J240 C271:XFD271 F270:J270 L270:XFD270 I326:J326 L326:XFD326 L356:XFD356 I381:XFD381 I380:J380 L380:XFD380 N54:XFD54 A54:J54 L82:XFD82 L110:XFD110 D17:XFD17 D16:J16 L16:XFD16 F83:XFD83 F111:XFD111 L136:XFD136 L162:XFD162 I162:J162 I163:XFD163 C191:XFD191 F189:XFD189 L188:XFD188 C269:XFD269 L268:XFD268 F268:J268 C319:XFD319 L318:XFD318 F318:J318 F384:J384 L384:XFD384 E386:H387 F385:XFD385 L184:XFD184 L344:XFD344 I372:J372 L372:XFD372 F373:XFD373 L46:XFD46 I74:J74 L74:XFD74 L102:XFD102 I103:XFD103 I130:J130 L130:XFD130 I131:XFD131 I156:J156 L156:XFD156 I157:XFD157 C215:XFD215 C214:E214 I214:J214 L214:XFD214 C236:E236 I236 L236:XFD236 C259:XFD259 I258:J258 L258:XFD258 A324:B343 C12:J12 L12:XFD12 A58:J58 L58:XFD58 K459:XFD459 L458:XFD458 A114:J114 L114:XFD114 K531:XFD531 L530:XFD530 C508:E508 L86:XFD86 A86:J86 K509:XFD509 L508:XFD508 D31:XFD31 D30:J30 L30:XFD30 L140:XFD140 L166:XFD166 E198:J198 L198:XFD198 E220:J220 L220:XFD220 C243:XFD253 E242:J242 L242:XFD242 L272:XFD272 A312:B321 E322:H322 C328:XFD339 I325:XFD325 C327:E327 I327:XFD327 F323:H327 C19 H19:XFD19 I18:J18 L18:XFD18 C265:XFD265 H264:J264 L264:XFD264 H190:J190 L190:XFD190 C321:XFD321 H320:J320 L320:XFD320 I349:XFD349 L348:XFD348 I348:J348 I377:XFD377 I376:J376 L376:XFD376 F378:H383 H376:H377 E430:E431 B431:D431 F462:H463 K457:XFD457 L456:XFD456 C410:H412 F508:H510 K505:XFD505 L504:XFD504 C511:H512 F534:H535 K529:XFD529 L528:XFD528 A508:A531 F528:H532 C538:H543 A500:A505 B504:H507 D537:H537 D513:H513 C514:H519 A453:A459 C456:H460 B480:H481 B484 B482:G483 F484:H484 B489:B491 B492:H495 D489:H489 C490:H491 C465:H472 B441:H447 F430:H435 B404:H409 B417:H423 A1:B21 A124:B133 A136:B155 D46:H52 C52 C62:XFD66 A67:XFD69 D61:XFD61 C74:H80 A89:B89 A90:XFD95 D89:XFD89 C103:H108 C102:J102 A116:XFD123 C134:E134 F130:H139 D143:XFD144 C144 A156:A159 B156:H160 I167:XFD167 I166:J166 F161:H167 C22:H22 C32:XFD37 C39:XFD39 A162:B283 I360:XFD360 I359:XFD359 I362:XFD362 I361:XFD361 I364:XFD364 I363:XFD363 C366:XFD367 I365:XFD365 C363:H363 C361:H361 C359:H359 C360:H360 C362:H362 C364:H364 C365:H365 I355:XFD355 C357:E357 I357:XFD357 F354:H354 F356:H356 F357:H357 F355:H355 I346:J346 A344 F352:H352 H348 C349:H349 B344 F350:H350 C347:H347 B346:H346 C351:H351 C345:H345 B350 B348 C344:H344 B349 C348:G348 B353:H353 C350:E350 B347 B345 B351 B352:E352 C289:H289 C295:H295 C296:H296 C297:H299 C276:XFD283 D275:XFD275 C308:H308 C303:H306 C307:H307 C309:H309" formula="1"/>
    <ignoredError sqref="J26 J236:J238 J386 I482:J483 I486:J486 H482:H483" formula="1" formulaRange="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0F92E-6376-4A64-8937-13738D19EBBE}">
  <sheetPr>
    <tabColor theme="3" tint="-0.249977111117893"/>
  </sheetPr>
  <dimension ref="B2:O22"/>
  <sheetViews>
    <sheetView showGridLines="0" zoomScale="130" zoomScaleNormal="130" workbookViewId="0">
      <selection activeCell="H8" sqref="H7:I8"/>
    </sheetView>
  </sheetViews>
  <sheetFormatPr defaultRowHeight="12.75" customHeight="1"/>
  <cols>
    <col min="1" max="1" width="9" style="8"/>
    <col min="2" max="2" width="29" style="8" bestFit="1" customWidth="1"/>
    <col min="3" max="3" width="5.875" style="8" bestFit="1" customWidth="1"/>
    <col min="4" max="4" width="6.25" style="8" bestFit="1" customWidth="1"/>
    <col min="5" max="5" width="4" style="8" bestFit="1" customWidth="1"/>
    <col min="6" max="6" width="9" style="8" bestFit="1" customWidth="1"/>
    <col min="7" max="7" width="8.5" style="8" bestFit="1" customWidth="1"/>
    <col min="8" max="8" width="11.5" style="8" bestFit="1" customWidth="1"/>
    <col min="9" max="9" width="5" style="8" bestFit="1" customWidth="1"/>
    <col min="10" max="10" width="11.375" style="8" bestFit="1" customWidth="1"/>
    <col min="11" max="11" width="10.375" style="8" bestFit="1" customWidth="1"/>
    <col min="12" max="13" width="13" style="8" bestFit="1" customWidth="1"/>
    <col min="14" max="14" width="9" style="8"/>
    <col min="15" max="15" width="10.25" style="8" bestFit="1" customWidth="1"/>
    <col min="16" max="16384" width="9" style="8"/>
  </cols>
  <sheetData>
    <row r="2" spans="2:15" ht="12.75" customHeight="1">
      <c r="B2" s="229" t="s">
        <v>189</v>
      </c>
      <c r="C2" s="283"/>
      <c r="D2" s="283"/>
      <c r="E2" s="283"/>
      <c r="F2" s="283"/>
      <c r="G2" s="283"/>
      <c r="H2" s="283"/>
      <c r="I2" s="283"/>
      <c r="J2" s="283"/>
      <c r="K2" s="283"/>
      <c r="L2" s="283"/>
      <c r="M2" s="283"/>
    </row>
    <row r="3" spans="2:15" ht="12.75" customHeight="1">
      <c r="B3" s="282" t="s">
        <v>380</v>
      </c>
      <c r="C3" s="283"/>
      <c r="D3" s="283"/>
      <c r="E3" s="283"/>
      <c r="F3" s="283"/>
      <c r="G3" s="283"/>
      <c r="H3" s="283"/>
      <c r="I3" s="283"/>
      <c r="J3" s="283"/>
      <c r="K3" s="283"/>
      <c r="L3" s="283"/>
      <c r="M3" s="283"/>
    </row>
    <row r="4" spans="2:15" ht="12.75" customHeight="1">
      <c r="B4" s="513" t="s">
        <v>379</v>
      </c>
      <c r="C4" s="534"/>
      <c r="D4" s="534"/>
      <c r="E4" s="534"/>
      <c r="F4" s="513" t="s">
        <v>381</v>
      </c>
      <c r="G4" s="513"/>
      <c r="H4" s="513"/>
      <c r="I4" s="513"/>
      <c r="J4" s="513" t="s">
        <v>382</v>
      </c>
      <c r="K4" s="513"/>
      <c r="L4" s="513"/>
      <c r="M4" s="513"/>
    </row>
    <row r="5" spans="2:15" ht="18.75">
      <c r="B5" s="549" t="s">
        <v>377</v>
      </c>
      <c r="C5" s="549" t="s">
        <v>117</v>
      </c>
      <c r="D5" s="549" t="s">
        <v>378</v>
      </c>
      <c r="E5" s="549" t="s">
        <v>33</v>
      </c>
      <c r="F5" s="549" t="s">
        <v>451</v>
      </c>
      <c r="G5" s="549" t="s">
        <v>569</v>
      </c>
      <c r="H5" s="549" t="s">
        <v>568</v>
      </c>
      <c r="I5" s="549" t="s">
        <v>521</v>
      </c>
      <c r="J5" s="549" t="s">
        <v>570</v>
      </c>
      <c r="K5" s="549" t="s">
        <v>571</v>
      </c>
      <c r="L5" s="549" t="s">
        <v>632</v>
      </c>
      <c r="M5" s="549" t="s">
        <v>633</v>
      </c>
    </row>
    <row r="6" spans="2:15" ht="0.6" customHeight="1">
      <c r="B6" s="304"/>
      <c r="C6" s="304"/>
      <c r="D6" s="304"/>
      <c r="E6" s="304"/>
      <c r="F6" s="304"/>
      <c r="G6" s="304"/>
      <c r="H6" s="304"/>
      <c r="I6" s="304"/>
      <c r="J6" s="304"/>
      <c r="K6" s="304"/>
      <c r="L6" s="304"/>
      <c r="M6" s="304"/>
    </row>
    <row r="7" spans="2:15" ht="5.0999999999999996" customHeight="1">
      <c r="B7" s="308"/>
      <c r="C7" s="308"/>
      <c r="D7" s="308"/>
      <c r="E7" s="308"/>
      <c r="F7" s="308"/>
      <c r="G7" s="308"/>
      <c r="H7" s="308"/>
      <c r="I7" s="308"/>
      <c r="J7" s="308"/>
      <c r="K7" s="308"/>
      <c r="L7" s="308"/>
      <c r="M7" s="308"/>
    </row>
    <row r="8" spans="2:15" ht="12.75" customHeight="1">
      <c r="B8" s="305" t="e" vm="1">
        <v>#VALUE!</v>
      </c>
      <c r="C8" s="535" t="str" cm="1">
        <f t="array" aca="1" ref="C8" ca="1">_FV(B8,"Ticker symbol",TRUE)</f>
        <v>AAPL</v>
      </c>
      <c r="D8" s="536" cm="1">
        <f t="array" aca="1" ref="D8" ca="1">_FV(B8,"Price")</f>
        <v>259.33499999999998</v>
      </c>
      <c r="E8" s="537" cm="1">
        <f t="array" aca="1" ref="E8" ca="1">_FV(B8,"Beta")</f>
        <v>1.0946</v>
      </c>
      <c r="F8" s="539" cm="1">
        <f t="array" aca="1" ref="F8" ca="1">(_FV(B8,"Market cap",TRUE))/1000000</f>
        <v>3807333.4418990002</v>
      </c>
      <c r="G8" s="548">
        <f>DCF!C35</f>
        <v>-33763</v>
      </c>
      <c r="H8" s="306">
        <f ca="1">+F8+G8</f>
        <v>3773570.4418990002</v>
      </c>
      <c r="I8" s="307" cm="1">
        <f t="array" aca="1" ref="I8" ca="1">_FV(B8,"P/E",TRUE)</f>
        <v>32.947699999999998</v>
      </c>
      <c r="J8" s="548">
        <f>DCF!C57</f>
        <v>416161</v>
      </c>
      <c r="K8" s="548">
        <f>DCF!C60</f>
        <v>144748</v>
      </c>
      <c r="L8" s="307">
        <f ca="1">$H8/J8</f>
        <v>9.0675734677180237</v>
      </c>
      <c r="M8" s="307">
        <f t="shared" ref="L8:M10" ca="1" si="0">$H8/K8</f>
        <v>26.069931480220799</v>
      </c>
      <c r="O8" s="621"/>
    </row>
    <row r="9" spans="2:15" ht="5.0999999999999996" customHeight="1">
      <c r="B9" s="286"/>
      <c r="C9" s="544"/>
      <c r="D9" s="545"/>
      <c r="E9" s="546"/>
      <c r="F9" s="547"/>
      <c r="G9" s="547"/>
      <c r="H9" s="309"/>
      <c r="I9" s="310"/>
      <c r="J9" s="309"/>
      <c r="K9" s="309"/>
      <c r="L9" s="310"/>
      <c r="M9" s="310"/>
    </row>
    <row r="10" spans="2:15" ht="12.75" customHeight="1">
      <c r="B10" s="180" t="e" vm="2">
        <v>#VALUE!</v>
      </c>
      <c r="C10" s="300" t="str" cm="1">
        <f t="array" aca="1" ref="C10" ca="1">_FV(B10,"Ticker symbol",TRUE)</f>
        <v>MSFT</v>
      </c>
      <c r="D10" s="301" cm="1">
        <f t="array" aca="1" ref="D10" ca="1">_FV(B10,"Price")</f>
        <v>370.89499999999998</v>
      </c>
      <c r="E10" s="538" cm="1">
        <f t="array" aca="1" ref="E10" ca="1">_FV(B10,"Beta")</f>
        <v>1.0896999999999999</v>
      </c>
      <c r="F10" s="302" cm="1">
        <f t="array" aca="1" ref="F10" ca="1">(_FV(B10,"Market cap",TRUE))/1000000</f>
        <v>2754128.667955</v>
      </c>
      <c r="G10" s="543">
        <v>18363</v>
      </c>
      <c r="H10" s="302">
        <f t="shared" ref="H10:H11" ca="1" si="1">+F10+G10</f>
        <v>2772491.667955</v>
      </c>
      <c r="I10" s="303" cm="1">
        <f t="array" aca="1" ref="I10" ca="1">_FV(B10,"P/E",TRUE)</f>
        <v>23.206499999999998</v>
      </c>
      <c r="J10" s="543">
        <v>293812</v>
      </c>
      <c r="K10" s="543">
        <v>166437</v>
      </c>
      <c r="L10" s="303">
        <f t="shared" ca="1" si="0"/>
        <v>9.4362778509897485</v>
      </c>
      <c r="M10" s="303">
        <f t="shared" ca="1" si="0"/>
        <v>16.65790460026917</v>
      </c>
    </row>
    <row r="11" spans="2:15" ht="12.75" customHeight="1">
      <c r="B11" s="180" t="e" vm="3">
        <v>#VALUE!</v>
      </c>
      <c r="C11" s="300" t="str" cm="1">
        <f t="array" aca="1" ref="C11" ca="1">_FV(B11,"Ticker symbol",TRUE)</f>
        <v>AMZN</v>
      </c>
      <c r="D11" s="301" cm="1">
        <f t="array" aca="1" ref="D11" ca="1">_FV(B11,"Price")</f>
        <v>237.76</v>
      </c>
      <c r="E11" s="538" cm="1">
        <f t="array" aca="1" ref="E11" ca="1">_FV(B11,"Beta")</f>
        <v>1.3836999999999999</v>
      </c>
      <c r="F11" s="302" cm="1">
        <f t="array" aca="1" ref="F11" ca="1">(_FV(B11,"Market cap",TRUE))/1000000</f>
        <v>2552334.5792</v>
      </c>
      <c r="G11" s="543">
        <v>66241</v>
      </c>
      <c r="H11" s="302">
        <f t="shared" ca="1" si="1"/>
        <v>2618575.5792</v>
      </c>
      <c r="I11" s="303" cm="1">
        <f t="array" aca="1" ref="I11" ca="1">_FV(B11,"P/E",TRUE)</f>
        <v>33.150199999999998</v>
      </c>
      <c r="J11" s="543">
        <v>691330</v>
      </c>
      <c r="K11" s="543">
        <v>137197</v>
      </c>
      <c r="L11" s="303">
        <f t="shared" ref="L11:L13" ca="1" si="2">$H11/J11</f>
        <v>3.7877360727872365</v>
      </c>
      <c r="M11" s="303">
        <f t="shared" ref="M11:M13" ca="1" si="3">$H11/K11</f>
        <v>19.086245174457169</v>
      </c>
    </row>
    <row r="12" spans="2:15" ht="12.75" customHeight="1">
      <c r="B12" s="180" t="e" vm="4">
        <v>#VALUE!</v>
      </c>
      <c r="C12" s="300" t="str" cm="1">
        <f t="array" aca="1" ref="C12" ca="1">_FV(B12,"Ticker symbol",TRUE)</f>
        <v>GOOG</v>
      </c>
      <c r="D12" s="301" cm="1">
        <f t="array" aca="1" ref="D12" ca="1">_FV(B12,"Price")</f>
        <v>315</v>
      </c>
      <c r="E12" s="538" cm="1">
        <f t="array" aca="1" ref="E12" ca="1">_FV(B12,"Beta")</f>
        <v>1.1158999999999999</v>
      </c>
      <c r="F12" s="302" cm="1">
        <f t="array" aca="1" ref="F12" ca="1">(_FV(B12,"Market cap",TRUE))/1000000</f>
        <v>3810555</v>
      </c>
      <c r="G12" s="543">
        <v>-54301</v>
      </c>
      <c r="H12" s="302">
        <f ca="1">+F12+G12</f>
        <v>3756254</v>
      </c>
      <c r="I12" s="303" cm="1">
        <f t="array" aca="1" ref="I12" ca="1">_FV(B12,"P/E",TRUE)</f>
        <v>29.1831</v>
      </c>
      <c r="J12" s="543">
        <v>385476</v>
      </c>
      <c r="K12" s="543">
        <v>145174</v>
      </c>
      <c r="L12" s="303">
        <f t="shared" ca="1" si="2"/>
        <v>9.7444562047961476</v>
      </c>
      <c r="M12" s="303">
        <f t="shared" ca="1" si="3"/>
        <v>25.874151018777468</v>
      </c>
    </row>
    <row r="13" spans="2:15" ht="12.75" customHeight="1">
      <c r="B13" s="180" t="e" vm="5">
        <v>#VALUE!</v>
      </c>
      <c r="C13" s="300" t="str" cm="1">
        <f t="array" aca="1" ref="C13" ca="1">_FV(B13,"Ticker symbol",TRUE)</f>
        <v>NVDA</v>
      </c>
      <c r="D13" s="301" cm="1">
        <f t="array" aca="1" ref="D13" ca="1">_FV(B13,"Price")</f>
        <v>188.47190000000001</v>
      </c>
      <c r="E13" s="538" cm="1">
        <f t="array" aca="1" ref="E13" ca="1">_FV(B13,"Beta")</f>
        <v>2.3195999999999999</v>
      </c>
      <c r="F13" s="302" cm="1">
        <f t="array" aca="1" ref="F13" ca="1">(_FV(B13,"Market cap",TRUE))/1000000</f>
        <v>4579867.17</v>
      </c>
      <c r="G13" s="543">
        <v>-49786</v>
      </c>
      <c r="H13" s="302">
        <f ca="1">+F13+G13</f>
        <v>4530081.17</v>
      </c>
      <c r="I13" s="303" cm="1">
        <f t="array" aca="1" ref="I13" ca="1">_FV(B13,"P/E",TRUE)</f>
        <v>38.4495</v>
      </c>
      <c r="J13" s="543">
        <v>187142</v>
      </c>
      <c r="K13" s="543">
        <v>112696</v>
      </c>
      <c r="L13" s="303">
        <f t="shared" ca="1" si="2"/>
        <v>24.206651473212855</v>
      </c>
      <c r="M13" s="303">
        <f t="shared" ca="1" si="3"/>
        <v>40.197355451835023</v>
      </c>
    </row>
    <row r="14" spans="2:15" ht="12.75" customHeight="1">
      <c r="B14" s="180" t="e" vm="6">
        <v>#VALUE!</v>
      </c>
      <c r="C14" s="300" t="str" cm="1">
        <f t="array" aca="1" ref="C14" ca="1">_FV(B14,"Ticker symbol",TRUE)</f>
        <v>META</v>
      </c>
      <c r="D14" s="301" cm="1">
        <f t="array" aca="1" ref="D14" ca="1">_FV(B14,"Price")</f>
        <v>627.36500000000001</v>
      </c>
      <c r="E14" s="538" cm="1">
        <f t="array" aca="1" ref="E14" ca="1">_FV(B14,"Beta")</f>
        <v>1.3089</v>
      </c>
      <c r="F14" s="302" cm="1">
        <f t="array" aca="1" ref="F14" ca="1">(_FV(B14,"Market cap",TRUE))/1000000</f>
        <v>1586954.2725750001</v>
      </c>
      <c r="G14" s="543">
        <v>6612</v>
      </c>
      <c r="H14" s="302">
        <f t="shared" ref="H14" ca="1" si="4">+F14+G14</f>
        <v>1593566.2725750001</v>
      </c>
      <c r="I14" s="303" cm="1">
        <f t="array" aca="1" ref="I14" ca="1">_FV(B14,"P/E",TRUE)</f>
        <v>21.462599999999998</v>
      </c>
      <c r="J14" s="543">
        <v>189458</v>
      </c>
      <c r="K14" s="543">
        <v>98399</v>
      </c>
      <c r="L14" s="303">
        <f t="shared" ref="L14" ca="1" si="5">$H14/J14</f>
        <v>8.4111849200086564</v>
      </c>
      <c r="M14" s="303">
        <f t="shared" ref="M14" ca="1" si="6">$H14/K14</f>
        <v>16.194943775597313</v>
      </c>
    </row>
    <row r="15" spans="2:15" ht="5.0999999999999996" customHeight="1">
      <c r="B15" s="180"/>
      <c r="C15" s="300"/>
      <c r="D15" s="300"/>
      <c r="E15" s="300"/>
      <c r="F15" s="302"/>
      <c r="G15" s="302"/>
      <c r="H15" s="302"/>
      <c r="I15" s="302"/>
      <c r="J15" s="301"/>
      <c r="K15" s="302"/>
      <c r="L15" s="303"/>
      <c r="M15" s="303"/>
    </row>
    <row r="16" spans="2:15" ht="12.75" customHeight="1">
      <c r="B16" s="516" t="s">
        <v>188</v>
      </c>
      <c r="C16" s="518"/>
      <c r="D16" s="518"/>
      <c r="E16" s="541">
        <f ca="1">MAX(E$10:E$14)</f>
        <v>2.3195999999999999</v>
      </c>
      <c r="F16" s="522">
        <f t="shared" ref="F16:M16" ca="1" si="7">MAX(F$10:F$14)</f>
        <v>4579867.17</v>
      </c>
      <c r="G16" s="522">
        <f t="shared" si="7"/>
        <v>66241</v>
      </c>
      <c r="H16" s="522">
        <f t="shared" ca="1" si="7"/>
        <v>4530081.17</v>
      </c>
      <c r="I16" s="521">
        <f t="shared" ca="1" si="7"/>
        <v>38.4495</v>
      </c>
      <c r="J16" s="522">
        <f t="shared" si="7"/>
        <v>691330</v>
      </c>
      <c r="K16" s="522">
        <f t="shared" si="7"/>
        <v>166437</v>
      </c>
      <c r="L16" s="521">
        <f t="shared" ca="1" si="7"/>
        <v>24.206651473212855</v>
      </c>
      <c r="M16" s="521">
        <f t="shared" ca="1" si="7"/>
        <v>40.197355451835023</v>
      </c>
    </row>
    <row r="17" spans="2:13" ht="12.75" customHeight="1">
      <c r="B17" s="516" t="s">
        <v>546</v>
      </c>
      <c r="C17" s="518"/>
      <c r="D17" s="518"/>
      <c r="E17" s="541">
        <f ca="1">QUARTILE(E$10:E$14,3)</f>
        <v>1.3836999999999999</v>
      </c>
      <c r="F17" s="522">
        <f t="shared" ref="F17:M17" ca="1" si="8">QUARTILE(F$10:F$14,3)</f>
        <v>3810555</v>
      </c>
      <c r="G17" s="522">
        <f t="shared" si="8"/>
        <v>18363</v>
      </c>
      <c r="H17" s="522">
        <f t="shared" ca="1" si="8"/>
        <v>3756254</v>
      </c>
      <c r="I17" s="521">
        <f t="shared" ca="1" si="8"/>
        <v>33.150199999999998</v>
      </c>
      <c r="J17" s="522">
        <f t="shared" si="8"/>
        <v>385476</v>
      </c>
      <c r="K17" s="522">
        <f t="shared" si="8"/>
        <v>145174</v>
      </c>
      <c r="L17" s="521">
        <f t="shared" ca="1" si="8"/>
        <v>9.7444562047961476</v>
      </c>
      <c r="M17" s="521">
        <f t="shared" ca="1" si="8"/>
        <v>25.874151018777468</v>
      </c>
    </row>
    <row r="18" spans="2:13" ht="12.75" customHeight="1">
      <c r="B18" s="517" t="s">
        <v>331</v>
      </c>
      <c r="C18" s="518"/>
      <c r="D18" s="518"/>
      <c r="E18" s="542">
        <f ca="1">AVERAGE(E$10:E$14)</f>
        <v>1.4435599999999997</v>
      </c>
      <c r="F18" s="540">
        <f t="shared" ref="F18:M18" ca="1" si="9">AVERAGE(F$10:F$14)</f>
        <v>3056767.9379460001</v>
      </c>
      <c r="G18" s="540">
        <f t="shared" si="9"/>
        <v>-2574.1999999999998</v>
      </c>
      <c r="H18" s="540">
        <f t="shared" ca="1" si="9"/>
        <v>3054193.737946</v>
      </c>
      <c r="I18" s="525">
        <f t="shared" ca="1" si="9"/>
        <v>29.09038</v>
      </c>
      <c r="J18" s="540">
        <f t="shared" si="9"/>
        <v>349443.6</v>
      </c>
      <c r="K18" s="540">
        <f t="shared" si="9"/>
        <v>131980.6</v>
      </c>
      <c r="L18" s="525">
        <f t="shared" ca="1" si="9"/>
        <v>11.11726130435893</v>
      </c>
      <c r="M18" s="525">
        <f t="shared" ca="1" si="9"/>
        <v>23.602120004187228</v>
      </c>
    </row>
    <row r="19" spans="2:13" ht="12.75" customHeight="1">
      <c r="B19" s="517" t="s">
        <v>374</v>
      </c>
      <c r="C19" s="518"/>
      <c r="D19" s="518"/>
      <c r="E19" s="542">
        <f ca="1">MEDIAN(E$10:E$14)</f>
        <v>1.3089</v>
      </c>
      <c r="F19" s="540">
        <f t="shared" ref="F19:M19" ca="1" si="10">MEDIAN(F$10:F$14)</f>
        <v>2754128.667955</v>
      </c>
      <c r="G19" s="540">
        <f t="shared" si="10"/>
        <v>6612</v>
      </c>
      <c r="H19" s="540">
        <f t="shared" ca="1" si="10"/>
        <v>2772491.667955</v>
      </c>
      <c r="I19" s="525">
        <f t="shared" ca="1" si="10"/>
        <v>29.1831</v>
      </c>
      <c r="J19" s="540">
        <f t="shared" si="10"/>
        <v>293812</v>
      </c>
      <c r="K19" s="540">
        <f t="shared" si="10"/>
        <v>137197</v>
      </c>
      <c r="L19" s="525">
        <f t="shared" ca="1" si="10"/>
        <v>9.4362778509897485</v>
      </c>
      <c r="M19" s="525">
        <f t="shared" ca="1" si="10"/>
        <v>19.086245174457169</v>
      </c>
    </row>
    <row r="20" spans="2:13" ht="12.75" customHeight="1">
      <c r="B20" s="516" t="s">
        <v>547</v>
      </c>
      <c r="C20" s="518"/>
      <c r="D20" s="518"/>
      <c r="E20" s="541">
        <f ca="1">QUARTILE(E$10:E$14,1)</f>
        <v>1.1158999999999999</v>
      </c>
      <c r="F20" s="522">
        <f t="shared" ref="F20:M20" ca="1" si="11">QUARTILE(F$10:F$14,1)</f>
        <v>2552334.5792</v>
      </c>
      <c r="G20" s="522">
        <f t="shared" si="11"/>
        <v>-49786</v>
      </c>
      <c r="H20" s="522">
        <f t="shared" ca="1" si="11"/>
        <v>2618575.5792</v>
      </c>
      <c r="I20" s="521">
        <f t="shared" ca="1" si="11"/>
        <v>23.206499999999998</v>
      </c>
      <c r="J20" s="522">
        <f t="shared" si="11"/>
        <v>189458</v>
      </c>
      <c r="K20" s="522">
        <f t="shared" si="11"/>
        <v>112696</v>
      </c>
      <c r="L20" s="521">
        <f t="shared" ca="1" si="11"/>
        <v>8.4111849200086564</v>
      </c>
      <c r="M20" s="521">
        <f t="shared" ca="1" si="11"/>
        <v>16.65790460026917</v>
      </c>
    </row>
    <row r="21" spans="2:13" ht="12.75" customHeight="1">
      <c r="B21" s="516" t="s">
        <v>311</v>
      </c>
      <c r="C21" s="518"/>
      <c r="D21" s="518"/>
      <c r="E21" s="541">
        <f ca="1">MIN(E$10:E$14)</f>
        <v>1.0896999999999999</v>
      </c>
      <c r="F21" s="522">
        <f t="shared" ref="F21:M21" ca="1" si="12">MIN(F$10:F$14)</f>
        <v>1586954.2725750001</v>
      </c>
      <c r="G21" s="522">
        <f t="shared" si="12"/>
        <v>-54301</v>
      </c>
      <c r="H21" s="522">
        <f t="shared" ca="1" si="12"/>
        <v>1593566.2725750001</v>
      </c>
      <c r="I21" s="521">
        <f t="shared" ca="1" si="12"/>
        <v>21.462599999999998</v>
      </c>
      <c r="J21" s="522">
        <f t="shared" si="12"/>
        <v>187142</v>
      </c>
      <c r="K21" s="522">
        <f t="shared" si="12"/>
        <v>98399</v>
      </c>
      <c r="L21" s="521">
        <f t="shared" ca="1" si="12"/>
        <v>3.7877360727872365</v>
      </c>
      <c r="M21" s="521">
        <f t="shared" ca="1" si="12"/>
        <v>16.194943775597313</v>
      </c>
    </row>
    <row r="22" spans="2:13" ht="5.0999999999999996" customHeight="1" thickBot="1">
      <c r="B22" s="40"/>
      <c r="C22" s="40"/>
      <c r="D22" s="40"/>
      <c r="E22" s="40"/>
      <c r="F22" s="40"/>
      <c r="G22" s="40"/>
      <c r="H22" s="40"/>
      <c r="I22" s="40"/>
      <c r="J22" s="40"/>
      <c r="K22" s="40"/>
      <c r="L22" s="40"/>
      <c r="M22" s="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Cover</vt:lpstr>
      <vt:lpstr>Summary Assumptions</vt:lpstr>
      <vt:lpstr>Summary Valuation</vt:lpstr>
      <vt:lpstr>Historical Financials</vt:lpstr>
      <vt:lpstr>FCF</vt:lpstr>
      <vt:lpstr>Revenue Drivers</vt:lpstr>
      <vt:lpstr>Balance Sheet Drivers</vt:lpstr>
      <vt:lpstr>Revenue Projections &amp; Cases</vt:lpstr>
      <vt:lpstr>3 Statement Model</vt:lpstr>
      <vt:lpstr>DCF</vt:lpstr>
      <vt:lpstr>WACC</vt:lpstr>
      <vt:lpstr>Street Price Targets</vt:lpstr>
      <vt:lpstr>Street Consensus</vt:lpstr>
      <vt:lpstr>Peer Comparables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Garcia</dc:creator>
  <cp:lastModifiedBy>Felix Garcia</cp:lastModifiedBy>
  <cp:lastPrinted>2026-01-08T18:42:32Z</cp:lastPrinted>
  <dcterms:created xsi:type="dcterms:W3CDTF">2024-08-10T06:01:52Z</dcterms:created>
  <dcterms:modified xsi:type="dcterms:W3CDTF">2026-04-10T17:44:52Z</dcterms:modified>
</cp:coreProperties>
</file>