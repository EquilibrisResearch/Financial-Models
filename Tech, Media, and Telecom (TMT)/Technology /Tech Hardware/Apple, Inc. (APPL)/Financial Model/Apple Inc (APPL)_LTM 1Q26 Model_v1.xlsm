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1D4F1F56-4380-4DCC-BD69-379C1FEF50F6}" xr6:coauthVersionLast="47" xr6:coauthVersionMax="47" xr10:uidLastSave="{00000000-0000-0000-0000-000000000000}"/>
  <bookViews>
    <workbookView xWindow="-120" yWindow="-120" windowWidth="29040" windowHeight="15840" activeTab="2" xr2:uid="{BC9106CE-9107-4097-8948-317996376CB5}"/>
  </bookViews>
  <sheets>
    <sheet name="Historical Financials" sheetId="8" r:id="rId1"/>
    <sheet name="Revenue Drivers" sheetId="10" r:id="rId2"/>
    <sheet name="FCF" sheetId="9" r:id="rId3"/>
  </sheets>
  <definedNames>
    <definedName name="__FDS_HYPERLINK_TOGGLE_STATE__" hidden="1">"ON"</definedName>
    <definedName name="__FDS_UNIQUE_RANGE_ID_GENERATOR_COUNTER" hidden="1">1191</definedName>
    <definedName name="_meh2" hidden="1">"IMG_11"</definedName>
    <definedName name="_meh3" hidden="1">"IMG_11"</definedName>
    <definedName name="_meh4" hidden="1">"IMG_11"</definedName>
    <definedName name="_meh5" hidden="1">"IMG_11"</definedName>
    <definedName name="_meh6" hidden="1">"IMG_11"</definedName>
    <definedName name="_meh7" hidden="1">"IMG_11"</definedName>
    <definedName name="_Order1" hidden="1">255</definedName>
    <definedName name="_Table1_In1" hidden="1">#REF!</definedName>
    <definedName name="_Table1_Out" hidden="1">#REF!</definedName>
    <definedName name="aa" hidden="1">"IMG_11"</definedName>
    <definedName name="aaaaaa1" hidden="1">"IMG_6"</definedName>
    <definedName name="aaaaaaa2" hidden="1">"IMG_6"</definedName>
    <definedName name="AAB_GSPPG" hidden="1">"AAB_Goldman Sachs PPG Chart Utilities 1.0g"</definedName>
    <definedName name="aasdfas" hidden="1">"IMG_64"</definedName>
    <definedName name="ab" hidden="1">"IMG_11"</definedName>
    <definedName name="ac" hidden="1">"IMG_11"</definedName>
    <definedName name="ACwvu.apl95." hidden="1">#REF!</definedName>
    <definedName name="ACwvu.bs." hidden="1">#REF!</definedName>
    <definedName name="ACwvu.ratios." hidden="1">#REF!</definedName>
    <definedName name="adfaae" hidden="1">"IMG_12"</definedName>
    <definedName name="adsfadfs" hidden="1">{TRUE,TRUE,-1.25,-15.5,604.5,391.5,FALSE,FALSE,TRUE,TRUE,0,1,#N/A,81,#N/A,9.125,26.5294117647059,1,FALSE,FALSE,3,TRUE,1,FALSE,100,"Swvu.supp.","ACwvu.supp.",1,FALSE,FALSE,0.75,0.75,0.8,0.5,1,"&amp;C&amp;""Arial""&amp;14&amp;B&amp;I&amp;UMOLEX&amp;""MS Sans Serif""&amp;10&amp;B&amp;I&amp;U
&amp;""Arial""&amp;11&amp;BSupplemental Data
($ Millions)","",TRUE,FALSE,FALSE,FALSE,1,90,#N/A,#N/A,"=R94C1:R136C21","=C1",#N/A,#N/A,FALSE,FALSE}</definedName>
    <definedName name="afead" hidden="1">"IMG_10"</definedName>
    <definedName name="asasdfa" hidden="1">"IMG_6"</definedName>
    <definedName name="asdf" hidden="1">"IMG_6"</definedName>
    <definedName name="asdfasdfasdf" hidden="1">"IMG_11"</definedName>
    <definedName name="bb_QjIyNjhDNTQ3N0FGNEZGRT" hidden="1">#REF!</definedName>
    <definedName name="BLPH1" hidden="1">#REF!</definedName>
    <definedName name="BLPH11" hidden="1">#REF!</definedName>
    <definedName name="BLPH12" hidden="1">#REF!</definedName>
    <definedName name="BLPH3" hidden="1">#REF!</definedName>
    <definedName name="dd" hidden="1">{#N/A,#N/A,TRUE,"Historicals";#N/A,#N/A,TRUE,"Charts";#N/A,#N/A,TRUE,"Forecasts"}</definedName>
    <definedName name="HAS_BEEN_UPDATED" hidden="1">#REF!</definedName>
    <definedName name="Img_ML_1a9i6f1a" hidden="1">"IMG_12"</definedName>
    <definedName name="Img_ML_1c3d1n6n" hidden="1">"IMG_10"</definedName>
    <definedName name="Img_ML_1d3y2k7q" hidden="1">"IMG_12"</definedName>
    <definedName name="Img_ML_1d6r9l7q" hidden="1">"IMG_12"</definedName>
    <definedName name="Img_ML_1d6s8l7q" hidden="1">"IMG_12"</definedName>
    <definedName name="Img_ML_1d9v5u7q" hidden="1">"IMG_12"</definedName>
    <definedName name="Img_ML_1g6t7l4q" hidden="1">"IMG_11"</definedName>
    <definedName name="Img_ML_1g9y2u4q" hidden="1">"IMG_11"</definedName>
    <definedName name="Img_ML_1j2s8j1q" hidden="1">"IMG_12"</definedName>
    <definedName name="Img_ML_1j5s8m1q" hidden="1">"IMG_12"</definedName>
    <definedName name="Img_ML_1j9x3u8q" hidden="1">"IMG_12"</definedName>
    <definedName name="Img_ML_1k4g9u7k" hidden="1">"IMG_10"</definedName>
    <definedName name="Img_ML_1k5y2m3q" hidden="1">"IMG_12"</definedName>
    <definedName name="Img_ML_1s1r9i6q" hidden="1">"IMG_6"</definedName>
    <definedName name="Img_ML_1s5v5m6q" hidden="1">"IMG_12"</definedName>
    <definedName name="Img_ML_1t5s6u1f" hidden="1">"IMG_10"</definedName>
    <definedName name="Img_ML_1u7y2o5q" hidden="1">"IMG_11"</definedName>
    <definedName name="Img_ML_1y7a6c1t" hidden="1">"IMG_10"</definedName>
    <definedName name="Img_ML_2b2b8h8h" hidden="1">"IMG_6"</definedName>
    <definedName name="Img_ML_2e1r5p2m" hidden="1">"IMG_32"</definedName>
    <definedName name="Img_ML_2j3t7k1a" hidden="1">"IMG_12"</definedName>
    <definedName name="Img_ML_2j6z1l8a" hidden="1">"IMG_12"</definedName>
    <definedName name="Img_ML_2k1r9i3a" hidden="1">"IMG_11"</definedName>
    <definedName name="Img_ML_2k2x3j3a" hidden="1">"IMG_12"</definedName>
    <definedName name="Img_ML_2k5r9m3a" hidden="1">"IMG_12"</definedName>
    <definedName name="Img_ML_2k5y2m3a" hidden="1">"IMG_11"</definedName>
    <definedName name="Img_ML_2k6r9l3a" hidden="1">"IMG_12"</definedName>
    <definedName name="Img_ML_2k9r9u3a" hidden="1">"IMG_11"</definedName>
    <definedName name="Img_ML_2u4x3z5a" hidden="1">"IMG_12"</definedName>
    <definedName name="Img_ML_2v6s9i5c" hidden="1">"IMG_10"</definedName>
    <definedName name="Img_ML_2x1b8j5c" hidden="1">"IMG_10"</definedName>
    <definedName name="Img_ML_3b3j3x9k" hidden="1">"IMG_10"</definedName>
    <definedName name="Img_ML_3c6e9c4g" hidden="1">"IMG_10"</definedName>
    <definedName name="Img_ML_3c7g1a7g" hidden="1">"IMG_12"</definedName>
    <definedName name="Img_ML_3c9i9i4d" hidden="1">"IMG_12"</definedName>
    <definedName name="Img_ML_3d6u6l7p" hidden="1">"IMG_11"</definedName>
    <definedName name="Img_ML_3e2q4k7i" hidden="1">"IMG_10"</definedName>
    <definedName name="Img_ML_3g2u6j4p" hidden="1">"IMG_12"</definedName>
    <definedName name="Img_ML_3g5w4m4p" hidden="1">"IMG_12"</definedName>
    <definedName name="Img_ML_3g6s8l4p" hidden="1">"IMG_12"</definedName>
    <definedName name="Img_ML_3g6x3l4p" hidden="1">"IMG_12"</definedName>
    <definedName name="Img_ML_3g6z1l4p" hidden="1">"IMG_12"</definedName>
    <definedName name="Img_ML_3h2n3p4v" hidden="1">"IMG_10"</definedName>
    <definedName name="Img_ML_3j3r9k8p" hidden="1">"IMG_12"</definedName>
    <definedName name="Img_ML_3j9t7u1p" hidden="1">"IMG_12"</definedName>
    <definedName name="Img_ML_3k2z1j3p" hidden="1">"IMG_6"</definedName>
    <definedName name="Img_ML_3k4s8z3p" hidden="1">"IMG_12"</definedName>
    <definedName name="Img_ML_3k7w4o3p" hidden="1">"IMG_11"</definedName>
    <definedName name="Img_ML_3p5d9q5j" hidden="1">"IMG_10"</definedName>
    <definedName name="Img_ML_3s5w4m6p" hidden="1">"IMG_12"</definedName>
    <definedName name="Img_ML_3u7w4o5p" hidden="1">"IMG_12"</definedName>
    <definedName name="Img_ML_3y1j4m2m" hidden="1">"IMG_10"</definedName>
    <definedName name="Img_ML_4d2b6f6f" hidden="1">"IMG_6"</definedName>
    <definedName name="Img_ML_4d2v5j7l" hidden="1">"IMG_11"</definedName>
    <definedName name="Img_ML_4d2z1j7l" hidden="1">"IMG_12"</definedName>
    <definedName name="Img_ML_4d5v5m7l" hidden="1">"IMG_12"</definedName>
    <definedName name="Img_ML_4d9z1u7l" hidden="1">"IMG_12"</definedName>
    <definedName name="Img_ML_4g2z1j4l" hidden="1">"IMG_12"</definedName>
    <definedName name="Img_ML_4g8z1t4l" hidden="1">"IMG_6"</definedName>
    <definedName name="Img_ML_4j9w4u8l" hidden="1">"IMG_12"</definedName>
    <definedName name="Img_ML_4k4v5z9l" hidden="1">"IMG_12"</definedName>
    <definedName name="Img_ML_4k8t7t3l" hidden="1">"IMG_12"</definedName>
    <definedName name="Img_ML_4m3p5r8j" hidden="1">"IMG_10"</definedName>
    <definedName name="Img_ML_4s4v5z2l" hidden="1">"IMG_12"</definedName>
    <definedName name="Img_ML_4s7w4o2l" hidden="1">"IMG_12"</definedName>
    <definedName name="Img_ML_4s8v5t6l" hidden="1">"IMG_12"</definedName>
    <definedName name="Img_ML_4u1z1i5l" hidden="1">"IMG_12"</definedName>
    <definedName name="Img_ML_4u3z1k5l" hidden="1">"IMG_12"</definedName>
    <definedName name="Img_ML_5e1a1a7g" hidden="1">"IMG_11"</definedName>
    <definedName name="Img_ML_5e7g5e5e" hidden="1">"IMG_12"</definedName>
    <definedName name="Img_ML_5e7s6t2u" hidden="1">"IMG_10"</definedName>
    <definedName name="Img_ML_5e9i9i2b" hidden="1">"IMG_12"</definedName>
    <definedName name="Img_ML_5f9d1i5x" hidden="1">"IMG_10"</definedName>
    <definedName name="Img_ML_5g6r9l4m" hidden="1">"IMG_11"</definedName>
    <definedName name="Img_ML_5g9z1u4m" hidden="1">"IMG_11"</definedName>
    <definedName name="Img_ML_5h6q3g8u" hidden="1">"IMG_10"</definedName>
    <definedName name="Img_ML_5j4u6z8m" hidden="1">"IMG_12"</definedName>
    <definedName name="Img_ML_5j9w4u8m" hidden="1">"IMG_12"</definedName>
    <definedName name="Img_ML_5k5u6m3m" hidden="1">"IMG_12"</definedName>
    <definedName name="Img_ML_5k7e4n8n" hidden="1">"IMG_10"</definedName>
    <definedName name="Img_ML_5k8u7s9i" hidden="1">"IMG_10"</definedName>
    <definedName name="Img_ML_5s9x3u6m" hidden="1">"IMG_12"</definedName>
    <definedName name="Img_ML_5u5x3m5m" hidden="1">"IMG_10"</definedName>
    <definedName name="Img_ML_5u7y2o5m" hidden="1">"IMG_12"</definedName>
    <definedName name="Img_ML_6d2x3j7z" hidden="1">"IMG_12"</definedName>
    <definedName name="Img_ML_6d2z1j7z" hidden="1">"IMG_12"</definedName>
    <definedName name="Img_ML_6d5x3m7z" hidden="1">"IMG_18"</definedName>
    <definedName name="Img_ML_6d6x3l7z" hidden="1">"IMG_12"</definedName>
    <definedName name="Img_ML_6d9t7u7z" hidden="1">"IMG_12"</definedName>
    <definedName name="Img_ML_6f2p1m9g" hidden="1">"IMG_10"</definedName>
    <definedName name="Img_ML_6f9i2b5e" hidden="1">"IMG_12"</definedName>
    <definedName name="Img_ML_6j5x3m8z" hidden="1">"IMG_11"</definedName>
    <definedName name="Img_ML_6j9t7u1z" hidden="1">"IMG_12"</definedName>
    <definedName name="Img_ML_6k1t7i9z" hidden="1">"IMG_12"</definedName>
    <definedName name="Img_ML_6k6x3l9z" hidden="1">"IMG_12"</definedName>
    <definedName name="Img_ML_6k7t7o9z" hidden="1">"IMG_12"</definedName>
    <definedName name="Img_ML_6k7u6o9z" hidden="1">"IMG_6"</definedName>
    <definedName name="Img_ML_6k8x3t3z" hidden="1">"IMG_12"</definedName>
    <definedName name="Img_ML_6k9c9p4d" hidden="1">"IMG_10"</definedName>
    <definedName name="Img_ML_6k9x3u3z" hidden="1">"IMG_12"</definedName>
    <definedName name="Img_ML_6k9x3u9z" hidden="1">"IMG_12"</definedName>
    <definedName name="Img_ML_6r9u1n9k" hidden="1">"IMG_10"</definedName>
    <definedName name="Img_ML_6s1w4i2z" hidden="1">"IMG_12"</definedName>
    <definedName name="Img_ML_6s4u6z2z" hidden="1">"IMG_12"</definedName>
    <definedName name="Img_ML_6s4z1z2z" hidden="1">"IMG_12"</definedName>
    <definedName name="Img_ML_6s7y2o2z" hidden="1">"IMG_12"</definedName>
    <definedName name="Img_ML_6s7z1o2z" hidden="1">"IMG_12"</definedName>
    <definedName name="Img_ML_6y9f7y3n" hidden="1">"IMG_10"</definedName>
    <definedName name="Img_ML_7g4k9d6i" hidden="1">"IMG_10"</definedName>
    <definedName name="Img_ML_7g5e5e2b" hidden="1">"IMG_12"</definedName>
    <definedName name="Img_ML_7g5s8m4i" hidden="1">"IMG_12"</definedName>
    <definedName name="Img_ML_7g7w4o4i" hidden="1">"IMG_12"</definedName>
    <definedName name="Img_ML_7j6w4l1i" hidden="1">"IMG_11"</definedName>
    <definedName name="Img_ML_7m5m4k3b" hidden="1">"IMG_10"</definedName>
    <definedName name="Img_ML_7n6h3t1t" hidden="1">"IMG_10"</definedName>
    <definedName name="Img_ML_7s1w4i6i" hidden="1">"IMG_12"</definedName>
    <definedName name="Img_ML_7s4w7c6r" hidden="1">"IMG_32"</definedName>
    <definedName name="Img_ML_7s5z1m2i" hidden="1">"IMG_12"</definedName>
    <definedName name="Img_ML_7u3t7k5i" hidden="1">"IMG_12"</definedName>
    <definedName name="Img_ML_7u6s8l5i" hidden="1">"IMG_12"</definedName>
    <definedName name="Img_ML_7u7s8o5i" hidden="1">"IMG_12"</definedName>
    <definedName name="Img_ML_8b9j5t1p" hidden="1">"IMG_10"</definedName>
    <definedName name="Img_ML_8c2q5i2r" hidden="1">"IMG_10"</definedName>
    <definedName name="Img_ML_8d9v5u7j" hidden="1">"IMG_12"</definedName>
    <definedName name="Img_ML_8g3u6k4j" hidden="1">"IMG_11"</definedName>
    <definedName name="Img_ML_8g5v5m4j" hidden="1">"IMG_12"</definedName>
    <definedName name="Img_ML_8h3m3i1m" hidden="1">"IMG_10"</definedName>
    <definedName name="Img_ML_8h5e9i3c" hidden="1">"IMG_12"</definedName>
    <definedName name="Img_ML_8h7g3c9i" hidden="1">"IMG_12"</definedName>
    <definedName name="Img_ML_8h7g4d4d" hidden="1">"IMG_12"</definedName>
    <definedName name="Img_ML_8j2v5j8j" hidden="1">"IMG_12"</definedName>
    <definedName name="Img_ML_8j3v5k8j" hidden="1">"IMG_11"</definedName>
    <definedName name="Img_ML_8j3w6p4c" hidden="1">"IMG_10"</definedName>
    <definedName name="Img_ML_8j3y2k8j" hidden="1">"IMG_12"</definedName>
    <definedName name="Img_ML_8j6r9l1j" hidden="1">"IMG_12"</definedName>
    <definedName name="Img_ML_8k1v5i9j" hidden="1">"IMG_12"</definedName>
    <definedName name="Img_ML_8k2r9j3j" hidden="1">"IMG_12"</definedName>
    <definedName name="Img_ML_8k4s8z9j" hidden="1">"IMG_12"</definedName>
    <definedName name="Img_ML_8k5v5m9j" hidden="1">"IMG_12"</definedName>
    <definedName name="Img_ML_8k7v5o9j" hidden="1">"IMG_12"</definedName>
    <definedName name="Img_ML_8k8v5t3j" hidden="1">"IMG_12"</definedName>
    <definedName name="Img_ML_8r1k8t4y" hidden="1">"IMG_10"</definedName>
    <definedName name="Img_ML_8s1r9i6j" hidden="1">"IMG_12"</definedName>
    <definedName name="Img_ML_8s1u6i6j" hidden="1">"IMG_11"</definedName>
    <definedName name="Img_ML_8s2s8j6j" hidden="1">"IMG_12"</definedName>
    <definedName name="Img_ML_8s3q3c1i" hidden="1">"IMG_10"</definedName>
    <definedName name="Img_ML_8s8r9t6j" hidden="1">"IMG_12"</definedName>
    <definedName name="Img_ML_8u4r9z5j" hidden="1">"IMG_12"</definedName>
    <definedName name="Img_ML_8u5r9m5j" hidden="1">"IMG_12"</definedName>
    <definedName name="Img_ML_9d8x3t7w" hidden="1">"IMG_12"</definedName>
    <definedName name="Img_ML_9g2x3j4w" hidden="1">"IMG_12"</definedName>
    <definedName name="Img_ML_9g9t7u4w" hidden="1">"IMG_11"</definedName>
    <definedName name="Img_ML_9g9u6u4w" hidden="1">"IMG_12"</definedName>
    <definedName name="Img_ML_9k2z1j3w" hidden="1">"IMG_12"</definedName>
    <definedName name="Img_ML_9k4u6z9w" hidden="1">"IMG_12"</definedName>
    <definedName name="Img_ML_9k9z1u3w" hidden="1">"IMG_18"</definedName>
    <definedName name="Img_ML_9n1s4m5f" hidden="1">"IMG_10"</definedName>
    <definedName name="Img_ML_9s1r9i6w" hidden="1">"IMG_12"</definedName>
    <definedName name="Img_ML_9s8r9t2w" hidden="1">"IMG_5"</definedName>
    <definedName name="Img_ML_9u7t7o5w" hidden="1">"IMG_12"</definedName>
    <definedName name="Img_ML_9u7x3o5w" hidden="1">"IMG_12"</definedName>
    <definedName name="Img_Product_Breakdown" hidden="1">"IMG_4"</definedName>
    <definedName name="Img_Production_Breakdown" hidden="1">"IMG_3"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XCL_SBC" hidden="1">"c3081"</definedName>
    <definedName name="IQ_EBITDA_INT" hidden="1">"c373"</definedName>
    <definedName name="IQ_EBITDA_MARGIN" hidden="1">"c372"</definedName>
    <definedName name="IQ_EBITDA_OVER_TOTAL_IE" hidden="1">"c1371"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PAYOUT_RATIO" hidden="1">"c3492"</definedName>
    <definedName name="IQ_FH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39437.6303125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"iQShowQuarterlyAnnual"</definedName>
    <definedName name="jason" hidden="1">{#N/A,#N/A,TRUE,"Historicals";#N/A,#N/A,TRUE,"Charts";#N/A,#N/A,TRUE,"Forecasts"}</definedName>
    <definedName name="lnk_CoName" hidden="1">#REF!</definedName>
    <definedName name="lnk_countryID" hidden="1">#REF!</definedName>
    <definedName name="lnk_cpyID" hidden="1">#REF!</definedName>
    <definedName name="lnk_display_Currency" hidden="1">#REF!</definedName>
    <definedName name="lnk_IndustryType" hidden="1">#REF!</definedName>
    <definedName name="lnk_LastFiscalYear" hidden="1">#REF!</definedName>
    <definedName name="lnk_numForecastYears" hidden="1">#REF!</definedName>
    <definedName name="lnk_numHistoricalYears" hidden="1">#REF!</definedName>
    <definedName name="lnk_Print_Area" hidden="1">#REF!</definedName>
    <definedName name="lnk_rData_Start_Driver" hidden="1">#REF!</definedName>
    <definedName name="lnk_rData_Start_Result" hidden="1">#REF!</definedName>
    <definedName name="lnk_rDataStart" hidden="1">#REF!</definedName>
    <definedName name="lnk_rSourceFore" hidden="1">#REF!</definedName>
    <definedName name="lnk_rSourceFore1st" hidden="1">#REF!</definedName>
    <definedName name="lnk_rSourceHist" hidden="1">#REF!</definedName>
    <definedName name="lnk_rYearRow" hidden="1">#REF!</definedName>
    <definedName name="lnk_rYearRow_Driver" hidden="1">#REF!</definedName>
    <definedName name="lnk_rYearRow_Result" hidden="1">#REF!</definedName>
    <definedName name="lnk_ScenarioName" hidden="1">#REF!</definedName>
    <definedName name="lnk_TICK" hidden="1">#REF!</definedName>
    <definedName name="lnk_update" hidden="1">#REF!</definedName>
    <definedName name="lnk_version" hidden="1">#REF!</definedName>
    <definedName name="M_PlaceofPath" hidden="1">"F:\KBRAU\eric\ericy_vdf.xls"</definedName>
    <definedName name="meh" hidden="1">"IMG_11"</definedName>
    <definedName name="Rwvu.apl95." hidden="1">#REF!,#REF!</definedName>
    <definedName name="Rwvu.aplcagr." hidden="1">#REF!,#REF!</definedName>
    <definedName name="Rwvu.KNTAPL." hidden="1">#REF!,#REF!</definedName>
    <definedName name="sdf" hidden="1">"IMG_12"</definedName>
    <definedName name="sdfaf" hidden="1">"IMG_12"</definedName>
    <definedName name="Segment3" hidden="1">{TRUE,TRUE,-0.8,-17,618,402.6,FALSE,FALSE,TRUE,TRUE,0,1,#N/A,1,#N/A,20.0634920634921,28.65,1,FALSE,FALSE,3,TRUE,1,FALSE,100,"Swvu.KNTAPL.","ACwvu.KNTAPL.",1,FALSE,FALSE,0.24,0.19,0.56,0.76,2,"&amp;C&amp;""MS Sans Serif""&amp;18&amp;B&amp;I&amp;UKENT ELECTRONICS&amp;""Courier""&amp;10&amp;B&amp;I&amp;U
&amp;""MS Sans Serif""&amp;BAnnual Profit and Loss
FY Ends March
($000)","",TRUE,TRUE,FALSE,FALSE,1,#N/A,1,1,"=R1C1:R45C21","=C1:C2,R1:R5","Rwvu.KNTAPL.",#N/A,FALSE,FALSE}</definedName>
    <definedName name="solver_adj" hidden="1">#REF!</definedName>
    <definedName name="solver_lin" hidden="1">0</definedName>
    <definedName name="solver_num" hidden="1">0</definedName>
    <definedName name="solver_opt" hidden="1">#REF!</definedName>
    <definedName name="solver_typ" hidden="1">3</definedName>
    <definedName name="solver_val" hidden="1">3729</definedName>
    <definedName name="ssf" hidden="1">{"INCOMEquarterly1",#N/A,TRUE,"income";"INCOMEquarterly2",#N/A,TRUE,"income"}</definedName>
    <definedName name="Swvu.apl95." hidden="1">#REF!</definedName>
    <definedName name="Swvu.bs." hidden="1">#REF!</definedName>
    <definedName name="Swvu.ratios." hidden="1">#REF!</definedName>
    <definedName name="Test1" hidden="1">"IMG_11"</definedName>
    <definedName name="Test2" hidden="1">"IMG_11"</definedName>
    <definedName name="Test3" hidden="1">"IMG_11"</definedName>
    <definedName name="Test4" hidden="1">"IMG_11"</definedName>
    <definedName name="tmp_103" hidden="1">#REF!</definedName>
    <definedName name="tmp_1118" hidden="1">#REF!</definedName>
    <definedName name="tmp_414" hidden="1">#REF!</definedName>
    <definedName name="tmpLoadSedol" hidden="1">#REF!</definedName>
    <definedName name="ver1.0" hidden="1">#REF!</definedName>
    <definedName name="ver1.1" hidden="1">#REF!</definedName>
    <definedName name="wrn.allpages." hidden="1">{#N/A,#N/A,TRUE,"Historicals";#N/A,#N/A,TRUE,"Charts";#N/A,#N/A,TRUE,"Forecasts"}</definedName>
    <definedName name="wrn.entireINCOME." hidden="1">{"INCOMEannual2",#N/A,FALSE,"income";"INCOMEannual1",#N/A,FALSE,"income";"INCOMEquarterly1",#N/A,FALSE,"income";"INCOMEquarterly2",#N/A,FALSE,"income";"INCOMEcalendarized1",#N/A,FALSE,"income"}</definedName>
    <definedName name="wrn.INCOME." hidden="1">{"INCOMEquarterly1",#N/A,TRUE,"income";"INCOMEquarterly2",#N/A,TRUE,"income"}</definedName>
    <definedName name="wrn.OUTPUT." hidden="1">{"DCF","UPSIDE CASE",FALSE,"Sheet1";"DCF","BASE CASE",FALSE,"Sheet1";"DCF","DOWNSIDE CASE",FALSE,"Sheet1"}</definedName>
    <definedName name="wrn.Revenue._.Details." hidden="1">{"Revenue by Industry Chart",#N/A,FALSE,"Mix";"Annual Revenue Detail",#N/A,FALSE,"Mix";"Quarterly Revenue Detail",#N/A,FALSE,"Mix"}</definedName>
    <definedName name="wvu.apl95." hidden="1">{TRUE,TRUE,-0.8,-17,618,402.6,FALSE,FALSE,TRUE,TRUE,0,1,#N/A,1,#N/A,15.6538461538462,27.8636363636364,1,FALSE,FALSE,3,TRUE,1,FALSE,100,"Swvu.apl95.","ACwvu.apl95.",1,FALSE,FALSE,0.39,0.26,0.51,0.78,2,"&amp;C&amp;""Arial""&amp;16&amp;B&amp;I&amp;UMolex Inc.&amp;12&amp;B&amp;I&amp;U
&amp;B(FY June)","&amp;L&amp;""Arial""&amp;IFiscal Year ends June.
All figures have been adjusted for stock splits.",TRUE,TRUE,FALSE,FALSE,1,70,#N/A,#N/A,"=R1C1:R59C48","=C1","Rwvu.apl95.",#N/A,FALSE,FALSE}</definedName>
    <definedName name="wvu.aplcagr." hidden="1">{TRUE,TRUE,-0.8,-17,618,402.6,FALSE,FALSE,TRUE,TRUE,0,1,#N/A,1,#N/A,20.0634920634921,28.65,1,FALSE,FALSE,3,TRUE,1,FALSE,100,"Swvu.aplcagr.","ACwvu.aplcagr.",1,FALSE,FALSE,0.24,0.19,0.56,0.76,2,"&amp;C&amp;""MS Sans Serif""&amp;18&amp;B&amp;I&amp;UKENT ELECTRONICS&amp;""Courier""&amp;10&amp;B&amp;I&amp;U
&amp;""MS Sans Serif""&amp;BAnnual Profit and Loss
FY Ends March
($000)","",TRUE,TRUE,FALSE,FALSE,1,#N/A,1,1,"=R1C1:R45C22","=C1:C2,R1:R5","Rwvu.aplcagr.",#N/A,FALSE,FALSE}</definedName>
    <definedName name="wvu.bs." hidden="1">{TRUE,TRUE,-0.8,-17,618,402.6,FALSE,FALSE,TRUE,TRUE,0,1,#N/A,1,#N/A,9.3125,27.6190476190476,1,FALSE,FALSE,3,TRUE,1,FALSE,100,"Swvu.bs.","ACwvu.bs.",1,FALSE,FALSE,0.75,0.75,0.44,0.5,2,"&amp;C&amp;""Arial""&amp;14&amp;B&amp;I&amp;UMOLEX&amp;""MS Sans Serif""&amp;10&amp;B&amp;I&amp;U
&amp;""Arial""&amp;11&amp;BBalance Sheet
($ Millions)","",TRUE,FALSE,FALSE,FALSE,1,85,#N/A,#N/A,"=R1C1:R45C21","=C1",#N/A,#N/A,FALSE,FALSE}</definedName>
    <definedName name="wvu.geo93_96." hidden="1">{TRUE,TRUE,-0.8,-17,618,402.6,FALSE,FALSE,TRUE,TRUE,0,1,12,1,30,1,8,4,TRUE,TRUE,3,TRUE,1,TRUE,100,"Swvu.geo93_96.","ACwvu.geo93_96.",1,FALSE,FALSE,0.2,0.28,0.35,0.2,2,"&amp;C&amp;""Arial""&amp;16&amp;B&amp;I&amp;UMolex Inc.
&amp;14&amp;I&amp;UGeographic&amp;16&amp;I&amp;U
&amp;10&amp;I&amp;U(FY June)","",TRUE,TRUE,FALSE,FALSE,1,#N/A,1,1,"=R1C1:R42C24","=C1",#N/A,#N/A,FALSE,FALSE}</definedName>
    <definedName name="wvu.KNTAPL." hidden="1">{TRUE,TRUE,-0.8,-17,618,402.6,FALSE,FALSE,TRUE,TRUE,0,1,#N/A,1,#N/A,20.0634920634921,28.65,1,FALSE,FALSE,3,TRUE,1,FALSE,100,"Swvu.KNTAPL.","ACwvu.KNTAPL.",1,FALSE,FALSE,0.24,0.19,0.56,0.76,2,"&amp;C&amp;""MS Sans Serif""&amp;18&amp;B&amp;I&amp;UKENT ELECTRONICS&amp;""Courier""&amp;10&amp;B&amp;I&amp;U
&amp;""MS Sans Serif""&amp;BAnnual Profit and Loss
FY Ends March
($000)","",TRUE,TRUE,FALSE,FALSE,1,#N/A,1,1,"=R1C1:R45C21","=C1:C2,R1:R5","Rwvu.KNTAPL.",#N/A,FALSE,FALSE}</definedName>
    <definedName name="wvu.KNTQPL." hidden="1">{TRUE,TRUE,-0.8,-17,618,402.6,FALSE,FALSE,TRUE,TRUE,0,1,3,1,60,1,5,4,TRUE,TRUE,3,TRUE,1,TRUE,100,"Swvu.KNTQPL.","ACwvu.KNTQPL.",1,FALSE,FALSE,0.55,0.61,0.51,0.72,2,"&amp;C&amp;18&amp;B&amp;I&amp;UKENT ELECTRONICS&amp;10&amp;B&amp;I&amp;U
&amp;BQuarterly Profit and Loss
FY Ends March
($000)","&amp;CFigures may not add due to rounding",TRUE,FALSE,FALSE,FALSE,1,77,#N/A,#N/A,"=R1C1:R99C23","=R1:R9","Rwvu.KNTQPL.","Cwvu.KNTQPL.",FALSE,FALSE}</definedName>
    <definedName name="wvu.percent." hidden="1">{TRUE,TRUE,-0.8,-17,618,402.6,FALSE,FALSE,TRUE,TRUE,0,1,#N/A,33,#N/A,9.3125,27.8571428571429,1,FALSE,FALSE,3,TRUE,1,FALSE,100,"Swvu.percent.","ACwvu.percent.",1,FALSE,FALSE,0.75,0.75,0.49,0.5,2,"&amp;C&amp;""Arial""&amp;14&amp;B&amp;I&amp;UMOLEX&amp;""MS Sans Serif""&amp;10&amp;B&amp;I&amp;U
&amp;""Arial""&amp;11&amp;BCommon Size Statement
(as % of total assets)","",TRUE,FALSE,FALSE,FALSE,1,85,#N/A,#N/A,"=R47C1:R92C21","=C1",#N/A,#N/A,FALSE,FALSE}</definedName>
    <definedName name="wvu.ratios." hidden="1">{TRUE,TRUE,-0.8,-17,618,402.6,FALSE,FALSE,TRUE,TRUE,0,1,#N/A,154,#N/A,9.3125,27.4285714285714,1,FALSE,FALSE,3,TRUE,1,FALSE,100,"Swvu.ratios.","ACwvu.ratios.",1,FALSE,FALSE,0.75,0.75,0.8,0.5,2,"&amp;C&amp;""Arial""&amp;14&amp;B&amp;I&amp;UMOLEX&amp;""MS Sans Serif""&amp;10&amp;B&amp;I&amp;U
&amp;""Arial""&amp;11&amp;BBalance Sheet Ratios
($ Millions)","",TRUE,FALSE,FALSE,FALSE,1,85,#N/A,#N/A,"=R135C1:R176C21","=C1",#N/A,#N/A,FALSE,FALSE}</definedName>
    <definedName name="wvu.supp." hidden="1">{TRUE,TRUE,-1.25,-15.5,604.5,391.5,FALSE,FALSE,TRUE,TRUE,0,1,#N/A,81,#N/A,9.125,26.5294117647059,1,FALSE,FALSE,3,TRUE,1,FALSE,100,"Swvu.supp.","ACwvu.supp.",1,FALSE,FALSE,0.75,0.75,0.8,0.5,1,"&amp;C&amp;""Arial""&amp;14&amp;B&amp;I&amp;UMOLEX&amp;""MS Sans Serif""&amp;10&amp;B&amp;I&amp;U
&amp;""Arial""&amp;11&amp;BSupplemental Data
($ Millions)","",TRUE,FALSE,FALSE,FALSE,1,90,#N/A,#N/A,"=R94C1:R136C21","=C1",#N/A,#N/A,FALSE,FALSE}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45" i="9" l="1"/>
  <c r="AU44" i="9"/>
  <c r="AU43" i="9"/>
  <c r="AU42" i="9"/>
  <c r="AU41" i="9"/>
  <c r="AU40" i="9"/>
  <c r="AU39" i="9"/>
  <c r="AU38" i="9"/>
  <c r="AU36" i="9"/>
  <c r="AU35" i="9"/>
  <c r="AU34" i="9"/>
  <c r="AU33" i="9"/>
  <c r="AU32" i="9"/>
  <c r="AU30" i="9"/>
  <c r="AU29" i="9"/>
  <c r="AU28" i="9"/>
  <c r="AU24" i="9"/>
  <c r="AU26" i="9"/>
  <c r="AU25" i="9"/>
  <c r="AU22" i="9"/>
  <c r="AU21" i="9"/>
  <c r="AU20" i="9"/>
  <c r="AU19" i="9"/>
  <c r="AU15" i="9"/>
  <c r="AU17" i="9"/>
  <c r="AU16" i="9"/>
  <c r="AU11" i="9"/>
  <c r="AU10" i="9"/>
  <c r="AU9" i="9"/>
  <c r="AU8" i="9"/>
  <c r="AU7" i="9"/>
  <c r="AU12" i="9"/>
  <c r="AU6" i="9"/>
  <c r="AS71" i="9"/>
  <c r="AS68" i="9"/>
  <c r="AS67" i="9"/>
  <c r="AS66" i="9"/>
  <c r="AS69" i="9" s="1"/>
  <c r="AS64" i="9"/>
  <c r="AS63" i="9"/>
  <c r="AS60" i="9"/>
  <c r="AS59" i="9"/>
  <c r="AS58" i="9"/>
  <c r="AS57" i="9"/>
  <c r="AS56" i="9"/>
  <c r="AS55" i="9"/>
  <c r="AS51" i="9"/>
  <c r="AS52" i="9" s="1"/>
  <c r="AS50" i="9"/>
  <c r="AS49" i="9"/>
  <c r="AS44" i="9"/>
  <c r="AS43" i="9"/>
  <c r="AS42" i="9"/>
  <c r="AS41" i="9"/>
  <c r="AS40" i="9"/>
  <c r="AS39" i="9"/>
  <c r="AS38" i="9"/>
  <c r="AS35" i="9"/>
  <c r="AS34" i="9"/>
  <c r="AS33" i="9"/>
  <c r="AS32" i="9"/>
  <c r="AS28" i="9"/>
  <c r="AS24" i="9"/>
  <c r="AS20" i="9"/>
  <c r="AS19" i="9"/>
  <c r="AS15" i="9"/>
  <c r="AS10" i="9"/>
  <c r="AS9" i="9"/>
  <c r="AS11" i="9" s="1"/>
  <c r="AS8" i="9"/>
  <c r="AS7" i="9"/>
  <c r="AS6" i="9"/>
  <c r="AS4" i="9"/>
  <c r="AS3" i="9"/>
  <c r="AD71" i="9"/>
  <c r="AD68" i="9"/>
  <c r="AD67" i="9"/>
  <c r="AD66" i="9"/>
  <c r="AD69" i="9" s="1"/>
  <c r="AD64" i="9"/>
  <c r="AD63" i="9"/>
  <c r="AD60" i="9"/>
  <c r="AD59" i="9"/>
  <c r="AD58" i="9"/>
  <c r="AD57" i="9"/>
  <c r="AD56" i="9"/>
  <c r="AD55" i="9"/>
  <c r="AD51" i="9"/>
  <c r="AD50" i="9"/>
  <c r="AD49" i="9"/>
  <c r="AD52" i="9" s="1"/>
  <c r="AD43" i="9"/>
  <c r="AD42" i="9"/>
  <c r="AD41" i="9"/>
  <c r="AD40" i="9"/>
  <c r="AD39" i="9"/>
  <c r="AD38" i="9"/>
  <c r="AD35" i="9"/>
  <c r="AD34" i="9"/>
  <c r="AD33" i="9"/>
  <c r="AD32" i="9"/>
  <c r="AD28" i="9"/>
  <c r="AD24" i="9"/>
  <c r="AD20" i="9"/>
  <c r="AD19" i="9"/>
  <c r="AD15" i="9"/>
  <c r="AD11" i="9"/>
  <c r="AD16" i="9" s="1"/>
  <c r="AD10" i="9"/>
  <c r="AD9" i="9"/>
  <c r="AD8" i="9"/>
  <c r="AD7" i="9"/>
  <c r="AD6" i="9"/>
  <c r="AD4" i="9"/>
  <c r="AD3" i="9"/>
  <c r="AT102" i="10"/>
  <c r="AT101" i="10"/>
  <c r="AT100" i="10"/>
  <c r="AT99" i="10"/>
  <c r="AT97" i="10"/>
  <c r="AT96" i="10"/>
  <c r="AT95" i="10"/>
  <c r="AT94" i="10"/>
  <c r="AT92" i="10"/>
  <c r="AT91" i="10"/>
  <c r="AT90" i="10"/>
  <c r="AT89" i="10"/>
  <c r="AT85" i="10"/>
  <c r="AT84" i="10"/>
  <c r="AT83" i="10"/>
  <c r="AT82" i="10"/>
  <c r="AT81" i="10"/>
  <c r="AT76" i="10"/>
  <c r="AT75" i="10"/>
  <c r="AT74" i="10"/>
  <c r="AT73" i="10"/>
  <c r="AT71" i="10"/>
  <c r="AT70" i="10"/>
  <c r="AT69" i="10"/>
  <c r="AT68" i="10"/>
  <c r="AT65" i="10"/>
  <c r="AT64" i="10"/>
  <c r="AT63" i="10"/>
  <c r="AT62" i="10"/>
  <c r="AT59" i="10"/>
  <c r="AT58" i="10"/>
  <c r="AT57" i="10"/>
  <c r="AT56" i="10"/>
  <c r="AT54" i="10"/>
  <c r="AT53" i="10"/>
  <c r="AT52" i="10"/>
  <c r="AT51" i="10"/>
  <c r="AT49" i="10"/>
  <c r="AT48" i="10"/>
  <c r="AT47" i="10"/>
  <c r="AT46" i="10"/>
  <c r="AT43" i="10"/>
  <c r="AT42" i="10"/>
  <c r="AT41" i="10"/>
  <c r="AT40" i="10"/>
  <c r="AT39" i="10"/>
  <c r="AT34" i="10"/>
  <c r="AT33" i="10"/>
  <c r="AT32" i="10"/>
  <c r="AT31" i="10"/>
  <c r="AT30" i="10"/>
  <c r="AT28" i="10"/>
  <c r="AT27" i="10"/>
  <c r="AT26" i="10"/>
  <c r="AT25" i="10"/>
  <c r="AT24" i="10"/>
  <c r="AT22" i="10"/>
  <c r="AT21" i="10"/>
  <c r="AT20" i="10"/>
  <c r="AT19" i="10"/>
  <c r="AT18" i="10"/>
  <c r="AT14" i="10"/>
  <c r="AT13" i="10"/>
  <c r="AT12" i="10"/>
  <c r="AT11" i="10"/>
  <c r="AT10" i="10"/>
  <c r="AT9" i="10"/>
  <c r="AQ15" i="10"/>
  <c r="AP15" i="10"/>
  <c r="AO15" i="10"/>
  <c r="AN15" i="10"/>
  <c r="AM15" i="10"/>
  <c r="AR15" i="10"/>
  <c r="AR84" i="10"/>
  <c r="AR97" i="10" s="1"/>
  <c r="AR83" i="10"/>
  <c r="AR96" i="10" s="1"/>
  <c r="AR82" i="10"/>
  <c r="AR95" i="10" s="1"/>
  <c r="AR81" i="10"/>
  <c r="AR85" i="10" s="1"/>
  <c r="AR71" i="10"/>
  <c r="AR70" i="10"/>
  <c r="AR65" i="10"/>
  <c r="AR64" i="10"/>
  <c r="AR63" i="10"/>
  <c r="AR69" i="10" s="1"/>
  <c r="AR62" i="10"/>
  <c r="AR68" i="10" s="1"/>
  <c r="AR53" i="10"/>
  <c r="AR42" i="10"/>
  <c r="AR41" i="10"/>
  <c r="AR40" i="10"/>
  <c r="AR52" i="10" s="1"/>
  <c r="AR39" i="10"/>
  <c r="AR51" i="10" s="1"/>
  <c r="AR27" i="10"/>
  <c r="AR26" i="10"/>
  <c r="AR25" i="10"/>
  <c r="AR24" i="10"/>
  <c r="AR13" i="10"/>
  <c r="AR12" i="10"/>
  <c r="AR11" i="10"/>
  <c r="AR10" i="10"/>
  <c r="AR9" i="10"/>
  <c r="AR4" i="10"/>
  <c r="AR3" i="10"/>
  <c r="AD84" i="10"/>
  <c r="AD85" i="10"/>
  <c r="AD92" i="10" s="1"/>
  <c r="AD43" i="10"/>
  <c r="AD47" i="10" s="1"/>
  <c r="AD14" i="10"/>
  <c r="AD19" i="10" s="1"/>
  <c r="AD4" i="10"/>
  <c r="AD3" i="10"/>
  <c r="AT107" i="8"/>
  <c r="AT106" i="8"/>
  <c r="AT105" i="8"/>
  <c r="AT104" i="8"/>
  <c r="AT103" i="8"/>
  <c r="AT102" i="8"/>
  <c r="AT101" i="8"/>
  <c r="AT100" i="8"/>
  <c r="AT99" i="8"/>
  <c r="AT96" i="8"/>
  <c r="AT95" i="8"/>
  <c r="AT94" i="8"/>
  <c r="AT93" i="8"/>
  <c r="AT92" i="8"/>
  <c r="AT91" i="8"/>
  <c r="AT88" i="8"/>
  <c r="AT87" i="8"/>
  <c r="AT86" i="8"/>
  <c r="AT85" i="8"/>
  <c r="AT84" i="8"/>
  <c r="AT81" i="8"/>
  <c r="AT80" i="8"/>
  <c r="AT79" i="8"/>
  <c r="AT78" i="8"/>
  <c r="AT75" i="8"/>
  <c r="AT66" i="8"/>
  <c r="AT65" i="8"/>
  <c r="AT64" i="8"/>
  <c r="AT63" i="8"/>
  <c r="AT62" i="8"/>
  <c r="AT60" i="8"/>
  <c r="AT59" i="8"/>
  <c r="AT58" i="8"/>
  <c r="AT56" i="8"/>
  <c r="AT55" i="8"/>
  <c r="AT54" i="8"/>
  <c r="AT53" i="8"/>
  <c r="AT52" i="8"/>
  <c r="AT51" i="8"/>
  <c r="AT49" i="8"/>
  <c r="AT48" i="8"/>
  <c r="AT47" i="8"/>
  <c r="AT46" i="8"/>
  <c r="AT44" i="8"/>
  <c r="AT43" i="8"/>
  <c r="AT42" i="8"/>
  <c r="AT41" i="8"/>
  <c r="AT40" i="8"/>
  <c r="AT39" i="8"/>
  <c r="AT33" i="8"/>
  <c r="AT32" i="8"/>
  <c r="AT30" i="8"/>
  <c r="AT29" i="8"/>
  <c r="AT26" i="8"/>
  <c r="AT25" i="8"/>
  <c r="AT23" i="8"/>
  <c r="AT22" i="8"/>
  <c r="AT19" i="8"/>
  <c r="AT18" i="8"/>
  <c r="AT17" i="8"/>
  <c r="AT27" i="8"/>
  <c r="AT20" i="8"/>
  <c r="AT15" i="8"/>
  <c r="AT14" i="8"/>
  <c r="AT13" i="8"/>
  <c r="AT11" i="8"/>
  <c r="AT10" i="8"/>
  <c r="AR123" i="8"/>
  <c r="AR122" i="8"/>
  <c r="AR115" i="8"/>
  <c r="AR114" i="8"/>
  <c r="AR112" i="8"/>
  <c r="AR111" i="8"/>
  <c r="AR110" i="8"/>
  <c r="AR106" i="8"/>
  <c r="AR105" i="8"/>
  <c r="AR104" i="8"/>
  <c r="AR103" i="8"/>
  <c r="AR102" i="8"/>
  <c r="AR101" i="8"/>
  <c r="AR100" i="8"/>
  <c r="AR99" i="8"/>
  <c r="AR107" i="8" s="1"/>
  <c r="AR116" i="8" s="1"/>
  <c r="AR95" i="8"/>
  <c r="AR94" i="8"/>
  <c r="AR93" i="8"/>
  <c r="AR92" i="8"/>
  <c r="AR96" i="8" s="1"/>
  <c r="AR91" i="8"/>
  <c r="AR87" i="8"/>
  <c r="AR86" i="8"/>
  <c r="AR85" i="8"/>
  <c r="AR84" i="8"/>
  <c r="AR81" i="8"/>
  <c r="AR80" i="8"/>
  <c r="AR79" i="8"/>
  <c r="AR78" i="8"/>
  <c r="AR75" i="8"/>
  <c r="AR88" i="8" s="1"/>
  <c r="AR65" i="8"/>
  <c r="AR64" i="8"/>
  <c r="AR63" i="8"/>
  <c r="AR62" i="8"/>
  <c r="AR59" i="8"/>
  <c r="AR58" i="8"/>
  <c r="AR56" i="8"/>
  <c r="AR60" i="8" s="1"/>
  <c r="AR66" i="8" s="1"/>
  <c r="AR68" i="8" s="1"/>
  <c r="AR55" i="8"/>
  <c r="AR54" i="8"/>
  <c r="AR53" i="8"/>
  <c r="AR52" i="8"/>
  <c r="AR51" i="8"/>
  <c r="AR48" i="8"/>
  <c r="AR47" i="8"/>
  <c r="AR46" i="8"/>
  <c r="AR43" i="8"/>
  <c r="AR42" i="8"/>
  <c r="AR41" i="8"/>
  <c r="AR40" i="8"/>
  <c r="AR39" i="8"/>
  <c r="AR44" i="8" s="1"/>
  <c r="AR49" i="8" s="1"/>
  <c r="AR37" i="8"/>
  <c r="AR32" i="8"/>
  <c r="AR29" i="8"/>
  <c r="AR25" i="8"/>
  <c r="AR22" i="8"/>
  <c r="AR18" i="8"/>
  <c r="AR17" i="8"/>
  <c r="AR13" i="8"/>
  <c r="AR10" i="8"/>
  <c r="AR11" i="8" s="1"/>
  <c r="AR14" i="8" s="1"/>
  <c r="AR8" i="8"/>
  <c r="AR72" i="8" s="1"/>
  <c r="AR7" i="8"/>
  <c r="AR71" i="8" s="1"/>
  <c r="AD102" i="8"/>
  <c r="AD92" i="8"/>
  <c r="T100" i="8"/>
  <c r="AD87" i="8"/>
  <c r="Z87" i="8"/>
  <c r="AA87" i="8" s="1"/>
  <c r="AB87" i="8" s="1"/>
  <c r="V87" i="8"/>
  <c r="W87" i="8" s="1"/>
  <c r="X87" i="8" s="1"/>
  <c r="R87" i="8"/>
  <c r="S87" i="8" s="1"/>
  <c r="T87" i="8" s="1"/>
  <c r="N87" i="8"/>
  <c r="O87" i="8" s="1"/>
  <c r="P87" i="8" s="1"/>
  <c r="I87" i="8"/>
  <c r="H87" i="8"/>
  <c r="G87" i="8"/>
  <c r="F87" i="8"/>
  <c r="E87" i="8"/>
  <c r="D87" i="8"/>
  <c r="C87" i="8"/>
  <c r="L87" i="8"/>
  <c r="K87" i="8"/>
  <c r="J87" i="8"/>
  <c r="AD43" i="8"/>
  <c r="AD44" i="8" s="1"/>
  <c r="AD49" i="8" s="1"/>
  <c r="AD107" i="8"/>
  <c r="AD96" i="8"/>
  <c r="AD72" i="8"/>
  <c r="AD71" i="8"/>
  <c r="AD65" i="8"/>
  <c r="AD56" i="8"/>
  <c r="AD60" i="8" s="1"/>
  <c r="AD37" i="8"/>
  <c r="AD36" i="8"/>
  <c r="AD11" i="8"/>
  <c r="AD14" i="8" s="1"/>
  <c r="AD15" i="8" s="1"/>
  <c r="AS72" i="9" l="1"/>
  <c r="AS81" i="9" s="1"/>
  <c r="AS16" i="9"/>
  <c r="AS12" i="9"/>
  <c r="AD21" i="9"/>
  <c r="AD17" i="9"/>
  <c r="AD72" i="9"/>
  <c r="AD81" i="9" s="1"/>
  <c r="AR19" i="10"/>
  <c r="AR89" i="10"/>
  <c r="AR14" i="10"/>
  <c r="AR43" i="10"/>
  <c r="AR54" i="10"/>
  <c r="AR90" i="10"/>
  <c r="AR91" i="10"/>
  <c r="AR92" i="10"/>
  <c r="AR28" i="10"/>
  <c r="AR94" i="10"/>
  <c r="AD21" i="10"/>
  <c r="AD22" i="10"/>
  <c r="AD48" i="10"/>
  <c r="AD49" i="10"/>
  <c r="AD15" i="10"/>
  <c r="AD20" i="10"/>
  <c r="AD86" i="10"/>
  <c r="AD89" i="10"/>
  <c r="AD90" i="10"/>
  <c r="AD18" i="10"/>
  <c r="AD46" i="10"/>
  <c r="AD91" i="10"/>
  <c r="AR117" i="8"/>
  <c r="AR119" i="8" s="1"/>
  <c r="AR19" i="8"/>
  <c r="AR15" i="8"/>
  <c r="AR36" i="8"/>
  <c r="AD66" i="8"/>
  <c r="AD68" i="8" s="1"/>
  <c r="AD19" i="8"/>
  <c r="AD23" i="8" s="1"/>
  <c r="AD26" i="8" s="1"/>
  <c r="AD33" i="8" s="1"/>
  <c r="AQ111" i="8"/>
  <c r="AQ7" i="8"/>
  <c r="AQ71" i="8" s="1"/>
  <c r="AK82" i="10"/>
  <c r="AO41" i="10"/>
  <c r="AC3" i="9"/>
  <c r="AR3" i="9" s="1"/>
  <c r="Y13" i="10"/>
  <c r="AP13" i="10" s="1"/>
  <c r="Y12" i="10"/>
  <c r="AP12" i="10" s="1"/>
  <c r="Y11" i="10"/>
  <c r="Y10" i="10"/>
  <c r="AP10" i="10" s="1"/>
  <c r="Y9" i="10"/>
  <c r="AP9" i="10" s="1"/>
  <c r="Y42" i="10"/>
  <c r="AP42" i="10" s="1"/>
  <c r="Y41" i="10"/>
  <c r="AM41" i="10" s="1"/>
  <c r="Y40" i="10"/>
  <c r="AP40" i="10" s="1"/>
  <c r="Y39" i="10"/>
  <c r="AN39" i="10" s="1"/>
  <c r="U13" i="10"/>
  <c r="AK13" i="10" s="1"/>
  <c r="U12" i="10"/>
  <c r="AK12" i="10" s="1"/>
  <c r="U11" i="10"/>
  <c r="AL11" i="10" s="1"/>
  <c r="U10" i="10"/>
  <c r="AK10" i="10" s="1"/>
  <c r="U9" i="10"/>
  <c r="AK9" i="10" s="1"/>
  <c r="U42" i="10"/>
  <c r="AI42" i="10" s="1"/>
  <c r="U41" i="10"/>
  <c r="AL41" i="10" s="1"/>
  <c r="U40" i="10"/>
  <c r="AJ40" i="10" s="1"/>
  <c r="U39" i="10"/>
  <c r="AL39" i="10" s="1"/>
  <c r="Q13" i="10"/>
  <c r="AF13" i="10" s="1"/>
  <c r="Q12" i="10"/>
  <c r="AH12" i="10" s="1"/>
  <c r="Q11" i="10"/>
  <c r="AH11" i="10" s="1"/>
  <c r="Q10" i="10"/>
  <c r="AF10" i="10" s="1"/>
  <c r="Q9" i="10"/>
  <c r="AH9" i="10" s="1"/>
  <c r="Q42" i="10"/>
  <c r="AH42" i="10" s="1"/>
  <c r="Q41" i="10"/>
  <c r="AF41" i="10" s="1"/>
  <c r="Q40" i="10"/>
  <c r="AH40" i="10" s="1"/>
  <c r="Q39" i="10"/>
  <c r="AF39" i="10" s="1"/>
  <c r="Y65" i="10"/>
  <c r="Y64" i="10"/>
  <c r="Y63" i="10"/>
  <c r="Y62" i="10"/>
  <c r="U64" i="10"/>
  <c r="U63" i="10"/>
  <c r="U62" i="10"/>
  <c r="U65" i="10"/>
  <c r="Q64" i="10"/>
  <c r="Q63" i="10"/>
  <c r="Q62" i="10"/>
  <c r="Q65" i="10"/>
  <c r="Q84" i="10"/>
  <c r="AH84" i="10" s="1"/>
  <c r="Q83" i="10"/>
  <c r="AF83" i="10" s="1"/>
  <c r="Q82" i="10"/>
  <c r="AH82" i="10" s="1"/>
  <c r="Q81" i="10"/>
  <c r="AF81" i="10" s="1"/>
  <c r="U84" i="10"/>
  <c r="AJ84" i="10" s="1"/>
  <c r="U83" i="10"/>
  <c r="AL83" i="10" s="1"/>
  <c r="U82" i="10"/>
  <c r="AI82" i="10" s="1"/>
  <c r="U81" i="10"/>
  <c r="AL81" i="10" s="1"/>
  <c r="Y84" i="10"/>
  <c r="AP84" i="10" s="1"/>
  <c r="Y83" i="10"/>
  <c r="AN83" i="10" s="1"/>
  <c r="Y82" i="10"/>
  <c r="AP82" i="10" s="1"/>
  <c r="Y81" i="10"/>
  <c r="AN81" i="10" s="1"/>
  <c r="L84" i="10"/>
  <c r="AC83" i="10"/>
  <c r="AC82" i="10"/>
  <c r="AC81" i="10"/>
  <c r="AC65" i="10"/>
  <c r="AC64" i="10"/>
  <c r="AC75" i="10" s="1"/>
  <c r="AC63" i="10"/>
  <c r="AC62" i="10"/>
  <c r="AC42" i="10"/>
  <c r="AC41" i="10"/>
  <c r="AC40" i="10"/>
  <c r="AC39" i="10"/>
  <c r="AC13" i="10"/>
  <c r="AC12" i="10"/>
  <c r="AC27" i="10" s="1"/>
  <c r="AC11" i="10"/>
  <c r="AC10" i="10"/>
  <c r="AC9" i="10"/>
  <c r="AB4" i="10"/>
  <c r="AP4" i="10" s="1"/>
  <c r="AA4" i="10"/>
  <c r="AO4" i="10" s="1"/>
  <c r="Z4" i="10"/>
  <c r="AN4" i="10" s="1"/>
  <c r="X4" i="10"/>
  <c r="AL4" i="10" s="1"/>
  <c r="W4" i="10"/>
  <c r="AK4" i="10" s="1"/>
  <c r="V4" i="10"/>
  <c r="AJ4" i="10" s="1"/>
  <c r="T4" i="10"/>
  <c r="AH4" i="10" s="1"/>
  <c r="S4" i="10"/>
  <c r="AG4" i="10" s="1"/>
  <c r="R4" i="10"/>
  <c r="AF4" i="10" s="1"/>
  <c r="P4" i="10"/>
  <c r="O4" i="10"/>
  <c r="AC3" i="10"/>
  <c r="AQ3" i="10" s="1"/>
  <c r="AB3" i="10"/>
  <c r="AP3" i="10" s="1"/>
  <c r="AA3" i="10"/>
  <c r="AO3" i="10" s="1"/>
  <c r="Z3" i="10"/>
  <c r="AN3" i="10" s="1"/>
  <c r="Y3" i="10"/>
  <c r="AM3" i="10" s="1"/>
  <c r="X3" i="10"/>
  <c r="AL3" i="10" s="1"/>
  <c r="W3" i="10"/>
  <c r="AK3" i="10" s="1"/>
  <c r="V3" i="10"/>
  <c r="AJ3" i="10" s="1"/>
  <c r="U3" i="10"/>
  <c r="AI3" i="10" s="1"/>
  <c r="T3" i="10"/>
  <c r="AH3" i="10" s="1"/>
  <c r="S3" i="10"/>
  <c r="AG3" i="10" s="1"/>
  <c r="R3" i="10"/>
  <c r="AF3" i="10" s="1"/>
  <c r="Q3" i="10"/>
  <c r="P3" i="10"/>
  <c r="O3" i="10"/>
  <c r="N4" i="10"/>
  <c r="N3" i="10"/>
  <c r="AC94" i="10"/>
  <c r="AC59" i="10"/>
  <c r="AC57" i="10"/>
  <c r="AC54" i="10"/>
  <c r="AC52" i="10"/>
  <c r="L68" i="9"/>
  <c r="L67" i="9"/>
  <c r="L66" i="9"/>
  <c r="L64" i="9"/>
  <c r="L63" i="9"/>
  <c r="L58" i="9"/>
  <c r="L57" i="9"/>
  <c r="L56" i="9"/>
  <c r="L55" i="9"/>
  <c r="L51" i="9"/>
  <c r="L50" i="9"/>
  <c r="L49" i="9"/>
  <c r="L43" i="9"/>
  <c r="L42" i="9"/>
  <c r="L41" i="9"/>
  <c r="L40" i="9"/>
  <c r="L39" i="9"/>
  <c r="L34" i="9"/>
  <c r="L33" i="9"/>
  <c r="L32" i="9"/>
  <c r="L28" i="9"/>
  <c r="L24" i="9"/>
  <c r="L20" i="9"/>
  <c r="L19" i="9"/>
  <c r="L15" i="9"/>
  <c r="L10" i="9"/>
  <c r="L9" i="9"/>
  <c r="L8" i="9"/>
  <c r="L7" i="9"/>
  <c r="L6" i="9"/>
  <c r="L4" i="9"/>
  <c r="L3" i="9"/>
  <c r="AB14" i="10"/>
  <c r="AA14" i="10"/>
  <c r="Z14" i="10"/>
  <c r="X14" i="10"/>
  <c r="W14" i="10"/>
  <c r="V14" i="10"/>
  <c r="T14" i="10"/>
  <c r="S14" i="10"/>
  <c r="R14" i="10"/>
  <c r="P14" i="10"/>
  <c r="O14" i="10"/>
  <c r="N14" i="10"/>
  <c r="L14" i="10"/>
  <c r="L18" i="10" s="1"/>
  <c r="K14" i="10"/>
  <c r="J14" i="10"/>
  <c r="I14" i="10"/>
  <c r="H14" i="10"/>
  <c r="G14" i="10"/>
  <c r="F14" i="10"/>
  <c r="E14" i="10"/>
  <c r="D14" i="10"/>
  <c r="L85" i="10"/>
  <c r="L91" i="10" s="1"/>
  <c r="L96" i="10"/>
  <c r="L95" i="10"/>
  <c r="L94" i="10"/>
  <c r="L71" i="10"/>
  <c r="L70" i="10"/>
  <c r="L69" i="10"/>
  <c r="L68" i="10"/>
  <c r="L54" i="10"/>
  <c r="L53" i="10"/>
  <c r="L52" i="10"/>
  <c r="L51" i="10"/>
  <c r="L43" i="10"/>
  <c r="L49" i="10" s="1"/>
  <c r="L28" i="10"/>
  <c r="L27" i="10"/>
  <c r="L26" i="10"/>
  <c r="L25" i="10"/>
  <c r="L24" i="10"/>
  <c r="L4" i="10"/>
  <c r="L3" i="10"/>
  <c r="AC123" i="8"/>
  <c r="AC34" i="9" s="1"/>
  <c r="AC114" i="8"/>
  <c r="AQ114" i="8" s="1"/>
  <c r="AC115" i="8"/>
  <c r="AC104" i="8"/>
  <c r="AQ104" i="8" s="1"/>
  <c r="AC101" i="8"/>
  <c r="AQ101" i="8" s="1"/>
  <c r="AC94" i="8"/>
  <c r="AQ94" i="8" s="1"/>
  <c r="AP54" i="8"/>
  <c r="AO54" i="8"/>
  <c r="AN54" i="8"/>
  <c r="AM54" i="8"/>
  <c r="AL54" i="8"/>
  <c r="AK54" i="8"/>
  <c r="AJ54" i="8"/>
  <c r="AI54" i="8"/>
  <c r="AH54" i="8"/>
  <c r="AG54" i="8"/>
  <c r="AF54" i="8"/>
  <c r="AC64" i="8"/>
  <c r="AQ64" i="8" s="1"/>
  <c r="AC63" i="8"/>
  <c r="AQ63" i="8" s="1"/>
  <c r="AC62" i="8"/>
  <c r="AC59" i="8"/>
  <c r="AQ59" i="8" s="1"/>
  <c r="AC58" i="8"/>
  <c r="AC68" i="9" s="1"/>
  <c r="AR68" i="9" s="1"/>
  <c r="AC55" i="8"/>
  <c r="AQ55" i="8" s="1"/>
  <c r="AC54" i="8"/>
  <c r="AC66" i="9" s="1"/>
  <c r="AC53" i="8"/>
  <c r="AQ53" i="8" s="1"/>
  <c r="AC52" i="8"/>
  <c r="AC51" i="8"/>
  <c r="AC48" i="8"/>
  <c r="AQ48" i="8" s="1"/>
  <c r="AC47" i="8"/>
  <c r="AC51" i="9" s="1"/>
  <c r="AR51" i="9" s="1"/>
  <c r="AC46" i="8"/>
  <c r="AC58" i="9" s="1"/>
  <c r="AR58" i="9" s="1"/>
  <c r="AC42" i="8"/>
  <c r="AC41" i="8"/>
  <c r="AC55" i="9" s="1"/>
  <c r="AR55" i="9" s="1"/>
  <c r="AC40" i="8"/>
  <c r="AQ40" i="8" s="1"/>
  <c r="AC39" i="8"/>
  <c r="AC49" i="9" s="1"/>
  <c r="AC29" i="8"/>
  <c r="AC32" i="8"/>
  <c r="AC25" i="8"/>
  <c r="AQ25" i="8" s="1"/>
  <c r="AC22" i="8"/>
  <c r="AQ22" i="8" s="1"/>
  <c r="AC18" i="8"/>
  <c r="AC20" i="9" s="1"/>
  <c r="AC17" i="8"/>
  <c r="AC19" i="9" s="1"/>
  <c r="AC13" i="8"/>
  <c r="AQ13" i="8" s="1"/>
  <c r="AC10" i="8"/>
  <c r="AQ10" i="8" s="1"/>
  <c r="AC8" i="8"/>
  <c r="AC4" i="10" s="1"/>
  <c r="AQ4" i="10" s="1"/>
  <c r="AC111" i="8"/>
  <c r="AC71" i="8"/>
  <c r="AC36" i="8"/>
  <c r="L105" i="8"/>
  <c r="L107" i="8" s="1"/>
  <c r="L92" i="8"/>
  <c r="L96" i="8" s="1"/>
  <c r="L35" i="9"/>
  <c r="E59" i="8"/>
  <c r="D59" i="8"/>
  <c r="C59" i="8"/>
  <c r="L43" i="8"/>
  <c r="L44" i="8" s="1"/>
  <c r="L49" i="8" s="1"/>
  <c r="L111" i="8"/>
  <c r="L72" i="8"/>
  <c r="L71" i="8"/>
  <c r="L65" i="8"/>
  <c r="L56" i="8"/>
  <c r="L60" i="8" s="1"/>
  <c r="L60" i="9" s="1"/>
  <c r="L37" i="8"/>
  <c r="L36" i="8"/>
  <c r="L11" i="8"/>
  <c r="L14" i="8" s="1"/>
  <c r="AP114" i="8"/>
  <c r="AO114" i="8"/>
  <c r="AN114" i="8"/>
  <c r="AL114" i="8"/>
  <c r="AK114" i="8"/>
  <c r="AJ114" i="8"/>
  <c r="AH114" i="8"/>
  <c r="AG114" i="8"/>
  <c r="AF114" i="8"/>
  <c r="Y114" i="8"/>
  <c r="AM114" i="8" s="1"/>
  <c r="U114" i="8"/>
  <c r="AI114" i="8" s="1"/>
  <c r="Q114" i="8"/>
  <c r="O111" i="8"/>
  <c r="E111" i="8"/>
  <c r="D111" i="8"/>
  <c r="F111" i="8"/>
  <c r="F115" i="8"/>
  <c r="G111" i="8" s="1"/>
  <c r="AB4" i="9"/>
  <c r="AQ4" i="9" s="1"/>
  <c r="AA4" i="9"/>
  <c r="AP4" i="9" s="1"/>
  <c r="Z4" i="9"/>
  <c r="AO4" i="9" s="1"/>
  <c r="X4" i="9"/>
  <c r="AM4" i="9" s="1"/>
  <c r="W4" i="9"/>
  <c r="AL4" i="9" s="1"/>
  <c r="V4" i="9"/>
  <c r="AK4" i="9" s="1"/>
  <c r="T4" i="9"/>
  <c r="AI4" i="9" s="1"/>
  <c r="S4" i="9"/>
  <c r="AH4" i="9" s="1"/>
  <c r="R4" i="9"/>
  <c r="AG4" i="9" s="1"/>
  <c r="P4" i="9"/>
  <c r="O4" i="9"/>
  <c r="AB3" i="9"/>
  <c r="AQ3" i="9" s="1"/>
  <c r="AA3" i="9"/>
  <c r="AP3" i="9" s="1"/>
  <c r="Z3" i="9"/>
  <c r="AO3" i="9" s="1"/>
  <c r="Y3" i="9"/>
  <c r="AN3" i="9" s="1"/>
  <c r="X3" i="9"/>
  <c r="AM3" i="9" s="1"/>
  <c r="W3" i="9"/>
  <c r="AL3" i="9" s="1"/>
  <c r="V3" i="9"/>
  <c r="AK3" i="9" s="1"/>
  <c r="U3" i="9"/>
  <c r="AJ3" i="9" s="1"/>
  <c r="T3" i="9"/>
  <c r="AI3" i="9" s="1"/>
  <c r="S3" i="9"/>
  <c r="AH3" i="9" s="1"/>
  <c r="R3" i="9"/>
  <c r="AG3" i="9" s="1"/>
  <c r="Q3" i="9"/>
  <c r="AF3" i="9" s="1"/>
  <c r="P3" i="9"/>
  <c r="O3" i="9"/>
  <c r="N4" i="9"/>
  <c r="N3" i="9"/>
  <c r="C68" i="9"/>
  <c r="C67" i="9"/>
  <c r="C66" i="9"/>
  <c r="C64" i="9"/>
  <c r="C63" i="9"/>
  <c r="C58" i="9"/>
  <c r="C57" i="9"/>
  <c r="C56" i="9"/>
  <c r="C55" i="9"/>
  <c r="C51" i="9"/>
  <c r="C50" i="9"/>
  <c r="C49" i="9"/>
  <c r="C43" i="9"/>
  <c r="C42" i="9"/>
  <c r="C41" i="9"/>
  <c r="C40" i="9"/>
  <c r="C39" i="9"/>
  <c r="C38" i="9"/>
  <c r="C35" i="9"/>
  <c r="C34" i="9"/>
  <c r="C33" i="9"/>
  <c r="C32" i="9"/>
  <c r="C28" i="9"/>
  <c r="C24" i="9"/>
  <c r="C20" i="9"/>
  <c r="C19" i="9"/>
  <c r="C15" i="9"/>
  <c r="C10" i="9"/>
  <c r="C9" i="9"/>
  <c r="C8" i="9"/>
  <c r="C7" i="9"/>
  <c r="C6" i="9"/>
  <c r="C4" i="9"/>
  <c r="C3" i="9"/>
  <c r="J4" i="9"/>
  <c r="I4" i="9"/>
  <c r="H4" i="9"/>
  <c r="G4" i="9"/>
  <c r="F4" i="9"/>
  <c r="E4" i="9"/>
  <c r="D4" i="9"/>
  <c r="J3" i="9"/>
  <c r="I3" i="9"/>
  <c r="H3" i="9"/>
  <c r="G3" i="9"/>
  <c r="F3" i="9"/>
  <c r="E3" i="9"/>
  <c r="D3" i="9"/>
  <c r="K4" i="9"/>
  <c r="K3" i="9"/>
  <c r="F68" i="9"/>
  <c r="E68" i="9"/>
  <c r="D68" i="9"/>
  <c r="F67" i="9"/>
  <c r="E67" i="9"/>
  <c r="D67" i="9"/>
  <c r="F66" i="9"/>
  <c r="E66" i="9"/>
  <c r="D66" i="9"/>
  <c r="F64" i="9"/>
  <c r="E64" i="9"/>
  <c r="D64" i="9"/>
  <c r="F63" i="9"/>
  <c r="E63" i="9"/>
  <c r="D63" i="9"/>
  <c r="F58" i="9"/>
  <c r="E58" i="9"/>
  <c r="D58" i="9"/>
  <c r="F57" i="9"/>
  <c r="E57" i="9"/>
  <c r="D57" i="9"/>
  <c r="F56" i="9"/>
  <c r="E56" i="9"/>
  <c r="D56" i="9"/>
  <c r="F55" i="9"/>
  <c r="E55" i="9"/>
  <c r="D55" i="9"/>
  <c r="F51" i="9"/>
  <c r="E51" i="9"/>
  <c r="D51" i="9"/>
  <c r="F50" i="9"/>
  <c r="E50" i="9"/>
  <c r="D50" i="9"/>
  <c r="F49" i="9"/>
  <c r="E49" i="9"/>
  <c r="D49" i="9"/>
  <c r="F43" i="9"/>
  <c r="E43" i="9"/>
  <c r="D43" i="9"/>
  <c r="F42" i="9"/>
  <c r="E42" i="9"/>
  <c r="D42" i="9"/>
  <c r="F41" i="9"/>
  <c r="E41" i="9"/>
  <c r="D41" i="9"/>
  <c r="F40" i="9"/>
  <c r="E40" i="9"/>
  <c r="D40" i="9"/>
  <c r="F39" i="9"/>
  <c r="E39" i="9"/>
  <c r="D39" i="9"/>
  <c r="F38" i="9"/>
  <c r="E38" i="9"/>
  <c r="D38" i="9"/>
  <c r="F35" i="9"/>
  <c r="E35" i="9"/>
  <c r="D35" i="9"/>
  <c r="F34" i="9"/>
  <c r="E34" i="9"/>
  <c r="D34" i="9"/>
  <c r="F33" i="9"/>
  <c r="E33" i="9"/>
  <c r="D33" i="9"/>
  <c r="F32" i="9"/>
  <c r="E32" i="9"/>
  <c r="D32" i="9"/>
  <c r="F28" i="9"/>
  <c r="E28" i="9"/>
  <c r="D28" i="9"/>
  <c r="F24" i="9"/>
  <c r="E24" i="9"/>
  <c r="D24" i="9"/>
  <c r="F20" i="9"/>
  <c r="E20" i="9"/>
  <c r="D20" i="9"/>
  <c r="F19" i="9"/>
  <c r="E19" i="9"/>
  <c r="D19" i="9"/>
  <c r="F15" i="9"/>
  <c r="E15" i="9"/>
  <c r="D15" i="9"/>
  <c r="F10" i="9"/>
  <c r="E10" i="9"/>
  <c r="D10" i="9"/>
  <c r="F9" i="9"/>
  <c r="E9" i="9"/>
  <c r="D9" i="9"/>
  <c r="F8" i="9"/>
  <c r="E8" i="9"/>
  <c r="D8" i="9"/>
  <c r="F7" i="9"/>
  <c r="E7" i="9"/>
  <c r="D7" i="9"/>
  <c r="F6" i="9"/>
  <c r="E6" i="9"/>
  <c r="D6" i="9"/>
  <c r="AS17" i="9" l="1"/>
  <c r="AS21" i="9"/>
  <c r="AD25" i="9"/>
  <c r="AD22" i="9"/>
  <c r="AR48" i="10"/>
  <c r="AR47" i="10"/>
  <c r="AR46" i="10"/>
  <c r="AR21" i="10"/>
  <c r="AR18" i="10"/>
  <c r="AR86" i="10"/>
  <c r="AR49" i="10"/>
  <c r="AR22" i="10"/>
  <c r="AR20" i="10"/>
  <c r="AC31" i="10"/>
  <c r="AD25" i="10"/>
  <c r="AD31" i="10"/>
  <c r="AC73" i="10"/>
  <c r="AD68" i="10"/>
  <c r="AD73" i="10"/>
  <c r="AC26" i="10"/>
  <c r="AD26" i="10"/>
  <c r="AD32" i="10"/>
  <c r="AC74" i="10"/>
  <c r="AD69" i="10"/>
  <c r="AD74" i="10"/>
  <c r="AJ42" i="10"/>
  <c r="AC70" i="10"/>
  <c r="AD70" i="10"/>
  <c r="AD75" i="10"/>
  <c r="AC10" i="9"/>
  <c r="AD28" i="10"/>
  <c r="AD34" i="10"/>
  <c r="AC71" i="10"/>
  <c r="AD76" i="10"/>
  <c r="AD71" i="10"/>
  <c r="AG83" i="10"/>
  <c r="AC56" i="10"/>
  <c r="AD51" i="10"/>
  <c r="AD56" i="10"/>
  <c r="AC99" i="10"/>
  <c r="AD94" i="10"/>
  <c r="AD99" i="10"/>
  <c r="AJ10" i="10"/>
  <c r="AC33" i="10"/>
  <c r="AD33" i="10"/>
  <c r="AD27" i="10"/>
  <c r="AQ40" i="10"/>
  <c r="AQ52" i="10" s="1"/>
  <c r="AD52" i="10"/>
  <c r="AD57" i="10"/>
  <c r="AC100" i="10"/>
  <c r="AD95" i="10"/>
  <c r="AD100" i="10"/>
  <c r="AL10" i="10"/>
  <c r="AQ41" i="10"/>
  <c r="AD53" i="10"/>
  <c r="AD58" i="10"/>
  <c r="AC101" i="10"/>
  <c r="AD101" i="10"/>
  <c r="AD96" i="10"/>
  <c r="AF11" i="10"/>
  <c r="AC24" i="10"/>
  <c r="AQ9" i="10"/>
  <c r="AD30" i="10"/>
  <c r="AD24" i="10"/>
  <c r="AQ42" i="10"/>
  <c r="AD59" i="10"/>
  <c r="AD54" i="10"/>
  <c r="AQ39" i="10"/>
  <c r="AI39" i="10"/>
  <c r="AO39" i="10"/>
  <c r="AM82" i="10"/>
  <c r="AC34" i="10"/>
  <c r="AG9" i="10"/>
  <c r="AG11" i="10"/>
  <c r="AK40" i="10"/>
  <c r="AK42" i="10"/>
  <c r="AI83" i="10"/>
  <c r="AL9" i="10"/>
  <c r="AN12" i="10"/>
  <c r="AM40" i="10"/>
  <c r="AM42" i="10"/>
  <c r="AO83" i="10"/>
  <c r="AM9" i="10"/>
  <c r="AI13" i="10"/>
  <c r="AG41" i="10"/>
  <c r="AI81" i="10"/>
  <c r="AQ83" i="10"/>
  <c r="AO9" i="10"/>
  <c r="AJ13" i="10"/>
  <c r="AI41" i="10"/>
  <c r="AQ81" i="10"/>
  <c r="AK84" i="10"/>
  <c r="Y14" i="10"/>
  <c r="AI10" i="10"/>
  <c r="AL13" i="10"/>
  <c r="AN41" i="10"/>
  <c r="AJ82" i="10"/>
  <c r="AM84" i="10"/>
  <c r="AR20" i="8"/>
  <c r="AR23" i="8"/>
  <c r="AR26" i="8" s="1"/>
  <c r="AQ115" i="8"/>
  <c r="AD111" i="8"/>
  <c r="AD20" i="8"/>
  <c r="AD75" i="8"/>
  <c r="AD88" i="8" s="1"/>
  <c r="AD116" i="8" s="1"/>
  <c r="AD27" i="8"/>
  <c r="AD30" i="8"/>
  <c r="AC11" i="8"/>
  <c r="AC14" i="8" s="1"/>
  <c r="AC19" i="8" s="1"/>
  <c r="AQ17" i="8"/>
  <c r="AQ51" i="8"/>
  <c r="L71" i="9"/>
  <c r="AQ41" i="8"/>
  <c r="AC43" i="8"/>
  <c r="AQ43" i="8" s="1"/>
  <c r="AQ52" i="8"/>
  <c r="AQ54" i="8"/>
  <c r="AC65" i="8"/>
  <c r="AC50" i="9"/>
  <c r="AR50" i="9" s="1"/>
  <c r="AC64" i="9"/>
  <c r="AR64" i="9" s="1"/>
  <c r="AQ11" i="8"/>
  <c r="AQ8" i="8"/>
  <c r="AQ37" i="8" s="1"/>
  <c r="AQ29" i="8"/>
  <c r="AQ32" i="8"/>
  <c r="AQ46" i="8"/>
  <c r="AQ58" i="8"/>
  <c r="L59" i="9"/>
  <c r="AQ36" i="8"/>
  <c r="AQ47" i="8"/>
  <c r="AC15" i="9"/>
  <c r="AQ39" i="8"/>
  <c r="AQ62" i="8"/>
  <c r="AQ65" i="8" s="1"/>
  <c r="AQ123" i="8"/>
  <c r="AQ18" i="8"/>
  <c r="AC63" i="9"/>
  <c r="AR63" i="9" s="1"/>
  <c r="AQ42" i="8"/>
  <c r="AR49" i="9"/>
  <c r="AR66" i="9"/>
  <c r="AC37" i="8"/>
  <c r="AC56" i="9"/>
  <c r="AR56" i="9" s="1"/>
  <c r="AC67" i="9"/>
  <c r="AR67" i="9" s="1"/>
  <c r="AC56" i="8"/>
  <c r="AC60" i="8" s="1"/>
  <c r="L38" i="9"/>
  <c r="AC57" i="9"/>
  <c r="AR57" i="9" s="1"/>
  <c r="AC72" i="8"/>
  <c r="AC4" i="9"/>
  <c r="AR4" i="9" s="1"/>
  <c r="AO11" i="10"/>
  <c r="AL12" i="10"/>
  <c r="AG39" i="10"/>
  <c r="AQ62" i="10"/>
  <c r="AF9" i="10"/>
  <c r="AN9" i="10"/>
  <c r="AP11" i="10"/>
  <c r="AM12" i="10"/>
  <c r="AH39" i="10"/>
  <c r="AP39" i="10"/>
  <c r="AL40" i="10"/>
  <c r="AH41" i="10"/>
  <c r="AP41" i="10"/>
  <c r="AL42" i="10"/>
  <c r="AH81" i="10"/>
  <c r="AP81" i="10"/>
  <c r="AL82" i="10"/>
  <c r="AH83" i="10"/>
  <c r="AP83" i="10"/>
  <c r="AL84" i="10"/>
  <c r="AQ10" i="10"/>
  <c r="AQ63" i="10"/>
  <c r="AI11" i="10"/>
  <c r="AF12" i="10"/>
  <c r="AO81" i="10"/>
  <c r="AQ11" i="10"/>
  <c r="AQ64" i="10"/>
  <c r="AM10" i="10"/>
  <c r="AJ11" i="10"/>
  <c r="AG12" i="10"/>
  <c r="AO12" i="10"/>
  <c r="AM13" i="10"/>
  <c r="AJ39" i="10"/>
  <c r="AF40" i="10"/>
  <c r="AN40" i="10"/>
  <c r="AJ41" i="10"/>
  <c r="AF42" i="10"/>
  <c r="AN42" i="10"/>
  <c r="AJ81" i="10"/>
  <c r="AF82" i="10"/>
  <c r="AN82" i="10"/>
  <c r="AJ83" i="10"/>
  <c r="AF84" i="10"/>
  <c r="AN84" i="10"/>
  <c r="AG81" i="10"/>
  <c r="AC25" i="10"/>
  <c r="AQ12" i="10"/>
  <c r="AQ65" i="10"/>
  <c r="AI9" i="10"/>
  <c r="AN10" i="10"/>
  <c r="AK11" i="10"/>
  <c r="AN13" i="10"/>
  <c r="AK39" i="10"/>
  <c r="AG40" i="10"/>
  <c r="AO40" i="10"/>
  <c r="AK41" i="10"/>
  <c r="AG42" i="10"/>
  <c r="AO42" i="10"/>
  <c r="AK81" i="10"/>
  <c r="AG82" i="10"/>
  <c r="AO82" i="10"/>
  <c r="AK83" i="10"/>
  <c r="AG84" i="10"/>
  <c r="AO84" i="10"/>
  <c r="Q14" i="10"/>
  <c r="AC6" i="9"/>
  <c r="AQ13" i="10"/>
  <c r="AJ9" i="10"/>
  <c r="AG10" i="10"/>
  <c r="AO10" i="10"/>
  <c r="AI12" i="10"/>
  <c r="AG13" i="10"/>
  <c r="AO13" i="10"/>
  <c r="AC28" i="10"/>
  <c r="AH10" i="10"/>
  <c r="AM11" i="10"/>
  <c r="AJ12" i="10"/>
  <c r="AH13" i="10"/>
  <c r="AM39" i="10"/>
  <c r="AI40" i="10"/>
  <c r="AM81" i="10"/>
  <c r="AQ82" i="10"/>
  <c r="AM83" i="10"/>
  <c r="AI84" i="10"/>
  <c r="AN11" i="10"/>
  <c r="AQ25" i="10"/>
  <c r="AQ43" i="10"/>
  <c r="AQ53" i="10"/>
  <c r="AC76" i="10"/>
  <c r="AC7" i="9"/>
  <c r="AC43" i="10"/>
  <c r="AC49" i="10" s="1"/>
  <c r="U14" i="10"/>
  <c r="AC8" i="9"/>
  <c r="AC9" i="9"/>
  <c r="AC68" i="10"/>
  <c r="L86" i="10"/>
  <c r="AC96" i="10"/>
  <c r="AC95" i="10"/>
  <c r="AC69" i="10"/>
  <c r="AC58" i="10"/>
  <c r="AC51" i="10"/>
  <c r="AC53" i="10"/>
  <c r="AC32" i="10"/>
  <c r="AC14" i="10"/>
  <c r="AC18" i="10" s="1"/>
  <c r="AC30" i="10"/>
  <c r="L69" i="9"/>
  <c r="L72" i="9" s="1"/>
  <c r="L81" i="9" s="1"/>
  <c r="L11" i="9"/>
  <c r="L16" i="9" s="1"/>
  <c r="L52" i="9"/>
  <c r="C11" i="9"/>
  <c r="C16" i="9" s="1"/>
  <c r="C21" i="9" s="1"/>
  <c r="L48" i="10"/>
  <c r="L92" i="10"/>
  <c r="L47" i="10"/>
  <c r="L20" i="10"/>
  <c r="L19" i="10"/>
  <c r="L21" i="10"/>
  <c r="L89" i="10"/>
  <c r="L22" i="10"/>
  <c r="L90" i="10"/>
  <c r="L46" i="10"/>
  <c r="L15" i="10"/>
  <c r="D11" i="9"/>
  <c r="E11" i="9"/>
  <c r="L66" i="8"/>
  <c r="L68" i="8" s="1"/>
  <c r="L19" i="8"/>
  <c r="L15" i="8"/>
  <c r="C52" i="9"/>
  <c r="C69" i="9"/>
  <c r="F52" i="9"/>
  <c r="E52" i="9"/>
  <c r="F69" i="9"/>
  <c r="D52" i="9"/>
  <c r="E69" i="9"/>
  <c r="D69" i="9"/>
  <c r="F11" i="9"/>
  <c r="AS25" i="9" l="1"/>
  <c r="AS22" i="9"/>
  <c r="AD29" i="9"/>
  <c r="AD26" i="9"/>
  <c r="AQ94" i="10"/>
  <c r="AQ54" i="10"/>
  <c r="AQ26" i="10"/>
  <c r="AQ27" i="10"/>
  <c r="AQ51" i="10"/>
  <c r="AQ24" i="10"/>
  <c r="AQ96" i="10"/>
  <c r="AQ28" i="10"/>
  <c r="AR33" i="8"/>
  <c r="AR30" i="8"/>
  <c r="AR27" i="8"/>
  <c r="AC52" i="9"/>
  <c r="AR52" i="9"/>
  <c r="AQ56" i="8"/>
  <c r="AQ60" i="8" s="1"/>
  <c r="AC44" i="8"/>
  <c r="AC49" i="8" s="1"/>
  <c r="AC71" i="9"/>
  <c r="AR71" i="9" s="1"/>
  <c r="AQ72" i="8"/>
  <c r="AQ44" i="8"/>
  <c r="AQ14" i="8"/>
  <c r="AC60" i="9"/>
  <c r="AR60" i="9" s="1"/>
  <c r="AC59" i="9"/>
  <c r="AR59" i="9" s="1"/>
  <c r="AR69" i="9"/>
  <c r="AC69" i="9"/>
  <c r="AC66" i="8"/>
  <c r="AC48" i="10"/>
  <c r="AC46" i="10"/>
  <c r="AC47" i="10"/>
  <c r="AQ95" i="10"/>
  <c r="AQ14" i="10"/>
  <c r="AC11" i="9"/>
  <c r="AQ49" i="10"/>
  <c r="AQ47" i="10"/>
  <c r="AQ46" i="10"/>
  <c r="AQ48" i="10"/>
  <c r="D12" i="9"/>
  <c r="AC22" i="10"/>
  <c r="AC15" i="10"/>
  <c r="AC19" i="10"/>
  <c r="AC21" i="10"/>
  <c r="AC20" i="10"/>
  <c r="D16" i="9"/>
  <c r="D21" i="9" s="1"/>
  <c r="D22" i="9" s="1"/>
  <c r="E12" i="9"/>
  <c r="L17" i="9"/>
  <c r="L21" i="9"/>
  <c r="E16" i="9"/>
  <c r="E21" i="9" s="1"/>
  <c r="E25" i="9" s="1"/>
  <c r="F16" i="9"/>
  <c r="F17" i="9" s="1"/>
  <c r="F12" i="9"/>
  <c r="AC15" i="8"/>
  <c r="AC23" i="8"/>
  <c r="AC26" i="8" s="1"/>
  <c r="AC20" i="8"/>
  <c r="L23" i="8"/>
  <c r="L26" i="8" s="1"/>
  <c r="L20" i="8"/>
  <c r="C17" i="9"/>
  <c r="C25" i="9"/>
  <c r="C22" i="9"/>
  <c r="AS29" i="9" l="1"/>
  <c r="AS26" i="9"/>
  <c r="AC16" i="9"/>
  <c r="AC21" i="9" s="1"/>
  <c r="AD13" i="9"/>
  <c r="AD30" i="9"/>
  <c r="AD36" i="9"/>
  <c r="AQ19" i="10"/>
  <c r="AQ21" i="10"/>
  <c r="AQ18" i="10"/>
  <c r="AC68" i="8"/>
  <c r="AR72" i="9"/>
  <c r="AR81" i="9" s="1"/>
  <c r="AC72" i="9"/>
  <c r="AC81" i="9" s="1"/>
  <c r="AQ15" i="8"/>
  <c r="AQ19" i="8"/>
  <c r="AQ49" i="8"/>
  <c r="AQ66" i="8"/>
  <c r="AC22" i="9"/>
  <c r="AC17" i="9"/>
  <c r="AQ20" i="10"/>
  <c r="AQ22" i="10"/>
  <c r="D17" i="9"/>
  <c r="D25" i="9"/>
  <c r="D29" i="9" s="1"/>
  <c r="E22" i="9"/>
  <c r="E17" i="9"/>
  <c r="F21" i="9"/>
  <c r="F22" i="9" s="1"/>
  <c r="L22" i="9"/>
  <c r="L25" i="9"/>
  <c r="AC33" i="8"/>
  <c r="AC30" i="8"/>
  <c r="AC27" i="8"/>
  <c r="AC75" i="8"/>
  <c r="L75" i="8"/>
  <c r="L88" i="8" s="1"/>
  <c r="L116" i="8" s="1"/>
  <c r="L33" i="8"/>
  <c r="L30" i="8"/>
  <c r="L27" i="8"/>
  <c r="C26" i="9"/>
  <c r="C29" i="9"/>
  <c r="C79" i="9" s="1" a="1"/>
  <c r="C79" i="9" s="1"/>
  <c r="E26" i="9"/>
  <c r="E29" i="9"/>
  <c r="AS30" i="9" l="1"/>
  <c r="AS80" i="9" a="1"/>
  <c r="AS80" i="9" s="1"/>
  <c r="AS36" i="9"/>
  <c r="AS45" i="9" s="1"/>
  <c r="AS79" i="9" a="1"/>
  <c r="AS79" i="9" s="1"/>
  <c r="AS78" i="9"/>
  <c r="AS77" i="9"/>
  <c r="AS76" i="9"/>
  <c r="AD44" i="9"/>
  <c r="AD45" i="9" s="1"/>
  <c r="AQ20" i="8"/>
  <c r="AQ23" i="8"/>
  <c r="AQ68" i="8"/>
  <c r="D26" i="9"/>
  <c r="F25" i="9"/>
  <c r="F26" i="9" s="1"/>
  <c r="L26" i="9"/>
  <c r="L29" i="9"/>
  <c r="C36" i="9"/>
  <c r="C45" i="9" s="1"/>
  <c r="C80" i="9" a="1"/>
  <c r="C80" i="9" s="1"/>
  <c r="C78" i="9"/>
  <c r="C30" i="9"/>
  <c r="C77" i="9"/>
  <c r="C76" i="9"/>
  <c r="E78" i="9"/>
  <c r="E30" i="9"/>
  <c r="E79" i="9" a="1"/>
  <c r="E79" i="9" s="1"/>
  <c r="E36" i="9"/>
  <c r="E45" i="9" s="1"/>
  <c r="E80" i="9" a="1"/>
  <c r="E80" i="9" s="1"/>
  <c r="E77" i="9"/>
  <c r="E76" i="9"/>
  <c r="D80" i="9" a="1"/>
  <c r="D80" i="9" s="1"/>
  <c r="D78" i="9"/>
  <c r="D30" i="9"/>
  <c r="D36" i="9"/>
  <c r="D45" i="9" s="1"/>
  <c r="D79" i="9" a="1"/>
  <c r="D79" i="9" s="1"/>
  <c r="D77" i="9"/>
  <c r="D76" i="9"/>
  <c r="AQ26" i="8" l="1"/>
  <c r="F29" i="9"/>
  <c r="F78" i="9" s="1"/>
  <c r="L80" i="9" a="1"/>
  <c r="L80" i="9" s="1"/>
  <c r="L36" i="9"/>
  <c r="L79" i="9" a="1"/>
  <c r="L79" i="9" s="1"/>
  <c r="L78" i="9"/>
  <c r="L30" i="9"/>
  <c r="L77" i="9"/>
  <c r="L76" i="9"/>
  <c r="F76" i="9" l="1"/>
  <c r="F77" i="9"/>
  <c r="F79" i="9" a="1"/>
  <c r="F79" i="9" s="1"/>
  <c r="F36" i="9"/>
  <c r="F45" i="9" s="1"/>
  <c r="F80" i="9" a="1"/>
  <c r="F80" i="9" s="1"/>
  <c r="F30" i="9"/>
  <c r="AQ30" i="8"/>
  <c r="AQ27" i="8"/>
  <c r="AQ33" i="8"/>
  <c r="B102" i="10" l="1"/>
  <c r="AB101" i="10"/>
  <c r="AA101" i="10"/>
  <c r="Z101" i="10"/>
  <c r="Y101" i="10"/>
  <c r="X101" i="10"/>
  <c r="W101" i="10"/>
  <c r="V101" i="10"/>
  <c r="U101" i="10"/>
  <c r="T101" i="10"/>
  <c r="S101" i="10"/>
  <c r="R101" i="10"/>
  <c r="Q101" i="10"/>
  <c r="P101" i="10"/>
  <c r="O101" i="10"/>
  <c r="B101" i="10"/>
  <c r="AB100" i="10"/>
  <c r="AA100" i="10"/>
  <c r="Z100" i="10"/>
  <c r="Y100" i="10"/>
  <c r="X100" i="10"/>
  <c r="W100" i="10"/>
  <c r="V100" i="10"/>
  <c r="U100" i="10"/>
  <c r="T100" i="10"/>
  <c r="S100" i="10"/>
  <c r="R100" i="10"/>
  <c r="Q100" i="10"/>
  <c r="P100" i="10"/>
  <c r="O100" i="10"/>
  <c r="B100" i="10"/>
  <c r="AB99" i="10"/>
  <c r="AA99" i="10"/>
  <c r="Z99" i="10"/>
  <c r="Y99" i="10"/>
  <c r="X99" i="10"/>
  <c r="W99" i="10"/>
  <c r="V99" i="10"/>
  <c r="U99" i="10"/>
  <c r="T99" i="10"/>
  <c r="S99" i="10"/>
  <c r="R99" i="10"/>
  <c r="Q99" i="10"/>
  <c r="P99" i="10"/>
  <c r="O99" i="10"/>
  <c r="B99" i="10"/>
  <c r="B97" i="10"/>
  <c r="AB96" i="10"/>
  <c r="AA96" i="10"/>
  <c r="Z96" i="10"/>
  <c r="Y96" i="10"/>
  <c r="X96" i="10"/>
  <c r="W96" i="10"/>
  <c r="V96" i="10"/>
  <c r="U96" i="10"/>
  <c r="T96" i="10"/>
  <c r="S96" i="10"/>
  <c r="R96" i="10"/>
  <c r="K96" i="10"/>
  <c r="J96" i="10"/>
  <c r="I96" i="10"/>
  <c r="H96" i="10"/>
  <c r="G96" i="10"/>
  <c r="F96" i="10"/>
  <c r="E96" i="10"/>
  <c r="D96" i="10"/>
  <c r="B96" i="10"/>
  <c r="AB95" i="10"/>
  <c r="AA95" i="10"/>
  <c r="Z95" i="10"/>
  <c r="Y95" i="10"/>
  <c r="X95" i="10"/>
  <c r="W95" i="10"/>
  <c r="V95" i="10"/>
  <c r="U95" i="10"/>
  <c r="T95" i="10"/>
  <c r="S95" i="10"/>
  <c r="R95" i="10"/>
  <c r="K95" i="10"/>
  <c r="J95" i="10"/>
  <c r="I95" i="10"/>
  <c r="H95" i="10"/>
  <c r="G95" i="10"/>
  <c r="F95" i="10"/>
  <c r="E95" i="10"/>
  <c r="D95" i="10"/>
  <c r="B95" i="10"/>
  <c r="AB94" i="10"/>
  <c r="AA94" i="10"/>
  <c r="Z94" i="10"/>
  <c r="Y94" i="10"/>
  <c r="X94" i="10"/>
  <c r="W94" i="10"/>
  <c r="V94" i="10"/>
  <c r="U94" i="10"/>
  <c r="T94" i="10"/>
  <c r="S94" i="10"/>
  <c r="R94" i="10"/>
  <c r="K94" i="10"/>
  <c r="J94" i="10"/>
  <c r="I94" i="10"/>
  <c r="H94" i="10"/>
  <c r="G94" i="10"/>
  <c r="F94" i="10"/>
  <c r="E94" i="10"/>
  <c r="D94" i="10"/>
  <c r="B94" i="10"/>
  <c r="B92" i="10"/>
  <c r="B91" i="10"/>
  <c r="B90" i="10"/>
  <c r="B89" i="10"/>
  <c r="F85" i="10"/>
  <c r="F86" i="10" s="1"/>
  <c r="AB76" i="10"/>
  <c r="AA76" i="10"/>
  <c r="Z76" i="10"/>
  <c r="Y76" i="10"/>
  <c r="X76" i="10"/>
  <c r="W76" i="10"/>
  <c r="V76" i="10"/>
  <c r="U76" i="10"/>
  <c r="T76" i="10"/>
  <c r="S76" i="10"/>
  <c r="R76" i="10"/>
  <c r="Q76" i="10"/>
  <c r="P76" i="10"/>
  <c r="O76" i="10"/>
  <c r="B76" i="10"/>
  <c r="AB75" i="10"/>
  <c r="AA75" i="10"/>
  <c r="Z75" i="10"/>
  <c r="Y75" i="10"/>
  <c r="X75" i="10"/>
  <c r="W75" i="10"/>
  <c r="V75" i="10"/>
  <c r="U75" i="10"/>
  <c r="T75" i="10"/>
  <c r="S75" i="10"/>
  <c r="R75" i="10"/>
  <c r="Q75" i="10"/>
  <c r="P75" i="10"/>
  <c r="O75" i="10"/>
  <c r="B75" i="10"/>
  <c r="AB74" i="10"/>
  <c r="AA74" i="10"/>
  <c r="Z74" i="10"/>
  <c r="Y74" i="10"/>
  <c r="X74" i="10"/>
  <c r="W74" i="10"/>
  <c r="V74" i="10"/>
  <c r="U74" i="10"/>
  <c r="T74" i="10"/>
  <c r="S74" i="10"/>
  <c r="R74" i="10"/>
  <c r="Q74" i="10"/>
  <c r="P74" i="10"/>
  <c r="O74" i="10"/>
  <c r="B74" i="10"/>
  <c r="AB73" i="10"/>
  <c r="AA73" i="10"/>
  <c r="Z73" i="10"/>
  <c r="Y73" i="10"/>
  <c r="X73" i="10"/>
  <c r="W73" i="10"/>
  <c r="V73" i="10"/>
  <c r="U73" i="10"/>
  <c r="T73" i="10"/>
  <c r="S73" i="10"/>
  <c r="R73" i="10"/>
  <c r="Q73" i="10"/>
  <c r="P73" i="10"/>
  <c r="O73" i="10"/>
  <c r="B73" i="10"/>
  <c r="AB71" i="10"/>
  <c r="AA71" i="10"/>
  <c r="Z71" i="10"/>
  <c r="Y71" i="10"/>
  <c r="X71" i="10"/>
  <c r="W71" i="10"/>
  <c r="V71" i="10"/>
  <c r="U71" i="10"/>
  <c r="T71" i="10"/>
  <c r="S71" i="10"/>
  <c r="R71" i="10"/>
  <c r="K71" i="10"/>
  <c r="J71" i="10"/>
  <c r="I71" i="10"/>
  <c r="H71" i="10"/>
  <c r="G71" i="10"/>
  <c r="F71" i="10"/>
  <c r="E71" i="10"/>
  <c r="D71" i="10"/>
  <c r="B71" i="10"/>
  <c r="AB70" i="10"/>
  <c r="AA70" i="10"/>
  <c r="Z70" i="10"/>
  <c r="Y70" i="10"/>
  <c r="X70" i="10"/>
  <c r="W70" i="10"/>
  <c r="V70" i="10"/>
  <c r="U70" i="10"/>
  <c r="T70" i="10"/>
  <c r="S70" i="10"/>
  <c r="R70" i="10"/>
  <c r="K70" i="10"/>
  <c r="J70" i="10"/>
  <c r="I70" i="10"/>
  <c r="H70" i="10"/>
  <c r="G70" i="10"/>
  <c r="F70" i="10"/>
  <c r="E70" i="10"/>
  <c r="D70" i="10"/>
  <c r="B70" i="10"/>
  <c r="AB69" i="10"/>
  <c r="AA69" i="10"/>
  <c r="Z69" i="10"/>
  <c r="Y69" i="10"/>
  <c r="X69" i="10"/>
  <c r="W69" i="10"/>
  <c r="V69" i="10"/>
  <c r="U69" i="10"/>
  <c r="T69" i="10"/>
  <c r="S69" i="10"/>
  <c r="R69" i="10"/>
  <c r="K69" i="10"/>
  <c r="J69" i="10"/>
  <c r="I69" i="10"/>
  <c r="H69" i="10"/>
  <c r="G69" i="10"/>
  <c r="F69" i="10"/>
  <c r="E69" i="10"/>
  <c r="D69" i="10"/>
  <c r="B69" i="10"/>
  <c r="AB68" i="10"/>
  <c r="AA68" i="10"/>
  <c r="Z68" i="10"/>
  <c r="Y68" i="10"/>
  <c r="X68" i="10"/>
  <c r="W68" i="10"/>
  <c r="V68" i="10"/>
  <c r="U68" i="10"/>
  <c r="T68" i="10"/>
  <c r="S68" i="10"/>
  <c r="R68" i="10"/>
  <c r="K68" i="10"/>
  <c r="J68" i="10"/>
  <c r="I68" i="10"/>
  <c r="H68" i="10"/>
  <c r="G68" i="10"/>
  <c r="F68" i="10"/>
  <c r="E68" i="10"/>
  <c r="D68" i="10"/>
  <c r="B68" i="10"/>
  <c r="AP65" i="10"/>
  <c r="AO65" i="10"/>
  <c r="AN65" i="10"/>
  <c r="AM65" i="10"/>
  <c r="AL65" i="10"/>
  <c r="AK65" i="10"/>
  <c r="AJ65" i="10"/>
  <c r="AI65" i="10"/>
  <c r="AH65" i="10"/>
  <c r="AG65" i="10"/>
  <c r="AF65" i="10"/>
  <c r="AP64" i="10"/>
  <c r="AO64" i="10"/>
  <c r="AN64" i="10"/>
  <c r="AM64" i="10"/>
  <c r="AL64" i="10"/>
  <c r="AK64" i="10"/>
  <c r="AJ64" i="10"/>
  <c r="AI64" i="10"/>
  <c r="AH64" i="10"/>
  <c r="AG64" i="10"/>
  <c r="AF64" i="10"/>
  <c r="AP63" i="10"/>
  <c r="AO63" i="10"/>
  <c r="AN63" i="10"/>
  <c r="AM63" i="10"/>
  <c r="AL63" i="10"/>
  <c r="AK63" i="10"/>
  <c r="AJ63" i="10"/>
  <c r="AI63" i="10"/>
  <c r="AH63" i="10"/>
  <c r="AG63" i="10"/>
  <c r="AF63" i="10"/>
  <c r="AP62" i="10"/>
  <c r="AO62" i="10"/>
  <c r="AN62" i="10"/>
  <c r="AM62" i="10"/>
  <c r="AL62" i="10"/>
  <c r="AK62" i="10"/>
  <c r="AJ62" i="10"/>
  <c r="AI62" i="10"/>
  <c r="AH62" i="10"/>
  <c r="AG62" i="10"/>
  <c r="AF62" i="10"/>
  <c r="AB54" i="10"/>
  <c r="AA54" i="10"/>
  <c r="Z54" i="10"/>
  <c r="Y54" i="10"/>
  <c r="X54" i="10"/>
  <c r="W54" i="10"/>
  <c r="V54" i="10"/>
  <c r="U54" i="10"/>
  <c r="T54" i="10"/>
  <c r="S54" i="10"/>
  <c r="R54" i="10"/>
  <c r="AB53" i="10"/>
  <c r="AA53" i="10"/>
  <c r="Z53" i="10"/>
  <c r="Y53" i="10"/>
  <c r="X53" i="10"/>
  <c r="W53" i="10"/>
  <c r="V53" i="10"/>
  <c r="U53" i="10"/>
  <c r="T53" i="10"/>
  <c r="S53" i="10"/>
  <c r="R53" i="10"/>
  <c r="AB52" i="10"/>
  <c r="AA52" i="10"/>
  <c r="Z52" i="10"/>
  <c r="Y52" i="10"/>
  <c r="X52" i="10"/>
  <c r="W52" i="10"/>
  <c r="V52" i="10"/>
  <c r="U52" i="10"/>
  <c r="T52" i="10"/>
  <c r="S52" i="10"/>
  <c r="R52" i="10"/>
  <c r="AB51" i="10"/>
  <c r="AA51" i="10"/>
  <c r="Z51" i="10"/>
  <c r="Y51" i="10"/>
  <c r="X51" i="10"/>
  <c r="W51" i="10"/>
  <c r="V51" i="10"/>
  <c r="U51" i="10"/>
  <c r="T51" i="10"/>
  <c r="S51" i="10"/>
  <c r="R51" i="10"/>
  <c r="K54" i="10"/>
  <c r="J54" i="10"/>
  <c r="I54" i="10"/>
  <c r="H54" i="10"/>
  <c r="G54" i="10"/>
  <c r="F54" i="10"/>
  <c r="E54" i="10"/>
  <c r="K53" i="10"/>
  <c r="J53" i="10"/>
  <c r="I53" i="10"/>
  <c r="H53" i="10"/>
  <c r="G53" i="10"/>
  <c r="F53" i="10"/>
  <c r="E53" i="10"/>
  <c r="K52" i="10"/>
  <c r="J52" i="10"/>
  <c r="I52" i="10"/>
  <c r="H52" i="10"/>
  <c r="G52" i="10"/>
  <c r="F52" i="10"/>
  <c r="E52" i="10"/>
  <c r="K51" i="10"/>
  <c r="J51" i="10"/>
  <c r="I51" i="10"/>
  <c r="H51" i="10"/>
  <c r="G51" i="10"/>
  <c r="F51" i="10"/>
  <c r="E51" i="10"/>
  <c r="D54" i="10"/>
  <c r="D53" i="10"/>
  <c r="D52" i="10"/>
  <c r="AB59" i="10"/>
  <c r="AA59" i="10"/>
  <c r="Z59" i="10"/>
  <c r="Y59" i="10"/>
  <c r="X59" i="10"/>
  <c r="W59" i="10"/>
  <c r="V59" i="10"/>
  <c r="U59" i="10"/>
  <c r="T59" i="10"/>
  <c r="S59" i="10"/>
  <c r="R59" i="10"/>
  <c r="Q59" i="10"/>
  <c r="P59" i="10"/>
  <c r="AB58" i="10"/>
  <c r="AA58" i="10"/>
  <c r="Z58" i="10"/>
  <c r="Y58" i="10"/>
  <c r="X58" i="10"/>
  <c r="W58" i="10"/>
  <c r="V58" i="10"/>
  <c r="U58" i="10"/>
  <c r="T58" i="10"/>
  <c r="S58" i="10"/>
  <c r="R58" i="10"/>
  <c r="Q58" i="10"/>
  <c r="P58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AB56" i="10"/>
  <c r="AA56" i="10"/>
  <c r="Z56" i="10"/>
  <c r="Y56" i="10"/>
  <c r="X56" i="10"/>
  <c r="W56" i="10"/>
  <c r="V56" i="10"/>
  <c r="U56" i="10"/>
  <c r="T56" i="10"/>
  <c r="S56" i="10"/>
  <c r="R56" i="10"/>
  <c r="Q56" i="10"/>
  <c r="P56" i="10"/>
  <c r="O59" i="10"/>
  <c r="O58" i="10"/>
  <c r="O57" i="10"/>
  <c r="O56" i="10"/>
  <c r="B59" i="10"/>
  <c r="B58" i="10"/>
  <c r="B57" i="10"/>
  <c r="B56" i="10"/>
  <c r="B49" i="10"/>
  <c r="B48" i="10"/>
  <c r="B47" i="10"/>
  <c r="B54" i="10"/>
  <c r="B53" i="10"/>
  <c r="B52" i="10"/>
  <c r="B51" i="10"/>
  <c r="D51" i="10"/>
  <c r="B46" i="10"/>
  <c r="AB43" i="10"/>
  <c r="AB49" i="10" s="1"/>
  <c r="AA43" i="10"/>
  <c r="AA49" i="10" s="1"/>
  <c r="Z43" i="10"/>
  <c r="Z49" i="10" s="1"/>
  <c r="Y43" i="10"/>
  <c r="Y49" i="10" s="1"/>
  <c r="X43" i="10"/>
  <c r="X49" i="10" s="1"/>
  <c r="W43" i="10"/>
  <c r="W48" i="10" s="1"/>
  <c r="V43" i="10"/>
  <c r="V49" i="10" s="1"/>
  <c r="U43" i="10"/>
  <c r="U47" i="10" s="1"/>
  <c r="T43" i="10"/>
  <c r="T47" i="10" s="1"/>
  <c r="S43" i="10"/>
  <c r="S47" i="10" s="1"/>
  <c r="R43" i="10"/>
  <c r="R47" i="10" s="1"/>
  <c r="Q43" i="10"/>
  <c r="Q46" i="10" s="1"/>
  <c r="P43" i="10"/>
  <c r="P48" i="10" s="1"/>
  <c r="O43" i="10"/>
  <c r="O47" i="10" s="1"/>
  <c r="N43" i="10"/>
  <c r="N46" i="10" s="1"/>
  <c r="K43" i="10"/>
  <c r="K49" i="10" s="1"/>
  <c r="J43" i="10"/>
  <c r="J49" i="10" s="1"/>
  <c r="I43" i="10"/>
  <c r="I49" i="10" s="1"/>
  <c r="H43" i="10"/>
  <c r="H49" i="10" s="1"/>
  <c r="G43" i="10"/>
  <c r="G49" i="10" s="1"/>
  <c r="F43" i="10"/>
  <c r="F48" i="10" s="1"/>
  <c r="E43" i="10"/>
  <c r="E48" i="10" s="1"/>
  <c r="D43" i="10"/>
  <c r="D49" i="10" s="1"/>
  <c r="C43" i="10"/>
  <c r="C46" i="10" s="1"/>
  <c r="R28" i="10"/>
  <c r="R27" i="10"/>
  <c r="R26" i="10"/>
  <c r="R25" i="10"/>
  <c r="R24" i="10"/>
  <c r="AB34" i="10"/>
  <c r="AA34" i="10"/>
  <c r="Z34" i="10"/>
  <c r="Y34" i="10"/>
  <c r="X34" i="10"/>
  <c r="W34" i="10"/>
  <c r="V34" i="10"/>
  <c r="U34" i="10"/>
  <c r="T34" i="10"/>
  <c r="S34" i="10"/>
  <c r="R34" i="10"/>
  <c r="Q34" i="10"/>
  <c r="P34" i="10"/>
  <c r="O34" i="10"/>
  <c r="B34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B33" i="10"/>
  <c r="AB32" i="10"/>
  <c r="AA32" i="10"/>
  <c r="Z32" i="10"/>
  <c r="Y32" i="10"/>
  <c r="X32" i="10"/>
  <c r="W32" i="10"/>
  <c r="V32" i="10"/>
  <c r="U32" i="10"/>
  <c r="T32" i="10"/>
  <c r="S32" i="10"/>
  <c r="R32" i="10"/>
  <c r="Q32" i="10"/>
  <c r="P32" i="10"/>
  <c r="O32" i="10"/>
  <c r="B32" i="10"/>
  <c r="AB31" i="10"/>
  <c r="AA31" i="10"/>
  <c r="Z31" i="10"/>
  <c r="Y31" i="10"/>
  <c r="X31" i="10"/>
  <c r="W31" i="10"/>
  <c r="V31" i="10"/>
  <c r="U31" i="10"/>
  <c r="T31" i="10"/>
  <c r="S31" i="10"/>
  <c r="R31" i="10"/>
  <c r="Q31" i="10"/>
  <c r="P31" i="10"/>
  <c r="O31" i="10"/>
  <c r="B31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B30" i="10"/>
  <c r="AB28" i="10"/>
  <c r="AA28" i="10"/>
  <c r="Z28" i="10"/>
  <c r="Y28" i="10"/>
  <c r="X28" i="10"/>
  <c r="W28" i="10"/>
  <c r="V28" i="10"/>
  <c r="U28" i="10"/>
  <c r="T28" i="10"/>
  <c r="S28" i="10"/>
  <c r="K28" i="10"/>
  <c r="J28" i="10"/>
  <c r="I28" i="10"/>
  <c r="H28" i="10"/>
  <c r="G28" i="10"/>
  <c r="F28" i="10"/>
  <c r="E28" i="10"/>
  <c r="D28" i="10"/>
  <c r="B28" i="10"/>
  <c r="AQ71" i="10" l="1"/>
  <c r="AQ69" i="10"/>
  <c r="AQ70" i="10"/>
  <c r="AQ68" i="10"/>
  <c r="AC84" i="10"/>
  <c r="C85" i="10"/>
  <c r="N85" i="10"/>
  <c r="N86" i="10" s="1"/>
  <c r="AP94" i="10"/>
  <c r="F90" i="10"/>
  <c r="F89" i="10"/>
  <c r="F91" i="10"/>
  <c r="N90" i="10"/>
  <c r="F92" i="10"/>
  <c r="AH85" i="10"/>
  <c r="AK52" i="10"/>
  <c r="AO52" i="10"/>
  <c r="AL94" i="10"/>
  <c r="AM96" i="10"/>
  <c r="E49" i="10"/>
  <c r="AP70" i="10"/>
  <c r="AO94" i="10"/>
  <c r="AL95" i="10"/>
  <c r="F49" i="10"/>
  <c r="AM68" i="10"/>
  <c r="AJ69" i="10"/>
  <c r="AM94" i="10"/>
  <c r="AN96" i="10"/>
  <c r="AI85" i="10"/>
  <c r="AP96" i="10"/>
  <c r="D46" i="10"/>
  <c r="E46" i="10"/>
  <c r="G46" i="10"/>
  <c r="AK95" i="10"/>
  <c r="AO95" i="10"/>
  <c r="AO96" i="10"/>
  <c r="G48" i="10"/>
  <c r="AK85" i="10"/>
  <c r="AP95" i="10"/>
  <c r="AL96" i="10"/>
  <c r="AN95" i="10"/>
  <c r="AK96" i="10"/>
  <c r="AM95" i="10"/>
  <c r="AJ94" i="10"/>
  <c r="AJ96" i="10"/>
  <c r="AF85" i="10"/>
  <c r="AK94" i="10"/>
  <c r="AG85" i="10"/>
  <c r="AJ95" i="10"/>
  <c r="AN94" i="10"/>
  <c r="AJ85" i="10"/>
  <c r="AK68" i="10"/>
  <c r="AO71" i="10"/>
  <c r="AL71" i="10"/>
  <c r="AL53" i="10"/>
  <c r="D47" i="10"/>
  <c r="V46" i="10"/>
  <c r="E47" i="10"/>
  <c r="Y46" i="10"/>
  <c r="AO69" i="10"/>
  <c r="G47" i="10"/>
  <c r="P47" i="10"/>
  <c r="AP69" i="10"/>
  <c r="AJ71" i="10"/>
  <c r="AM51" i="10"/>
  <c r="D48" i="10"/>
  <c r="Q48" i="10"/>
  <c r="AL68" i="10"/>
  <c r="AJ70" i="10"/>
  <c r="AN70" i="10"/>
  <c r="V48" i="10"/>
  <c r="AK51" i="10"/>
  <c r="AM53" i="10"/>
  <c r="H46" i="10"/>
  <c r="H47" i="10"/>
  <c r="H48" i="10"/>
  <c r="O46" i="10"/>
  <c r="Q47" i="10"/>
  <c r="X48" i="10"/>
  <c r="AM70" i="10"/>
  <c r="AM52" i="10"/>
  <c r="I46" i="10"/>
  <c r="I47" i="10"/>
  <c r="I48" i="10"/>
  <c r="P46" i="10"/>
  <c r="X47" i="10"/>
  <c r="Y48" i="10"/>
  <c r="AJ68" i="10"/>
  <c r="AN69" i="10"/>
  <c r="AN71" i="10"/>
  <c r="J46" i="10"/>
  <c r="J47" i="10"/>
  <c r="J48" i="10"/>
  <c r="R46" i="10"/>
  <c r="Y47" i="10"/>
  <c r="AK70" i="10"/>
  <c r="K46" i="10"/>
  <c r="K47" i="10"/>
  <c r="K48" i="10"/>
  <c r="S46" i="10"/>
  <c r="Z47" i="10"/>
  <c r="AP68" i="10"/>
  <c r="R48" i="10"/>
  <c r="F46" i="10"/>
  <c r="F47" i="10"/>
  <c r="AB46" i="10"/>
  <c r="T48" i="10"/>
  <c r="AK69" i="10"/>
  <c r="AO70" i="10"/>
  <c r="AK71" i="10"/>
  <c r="AN68" i="10"/>
  <c r="AO68" i="10"/>
  <c r="AL69" i="10"/>
  <c r="AM71" i="10"/>
  <c r="AM69" i="10"/>
  <c r="AP71" i="10"/>
  <c r="AL70" i="10"/>
  <c r="AP52" i="10"/>
  <c r="AB48" i="10"/>
  <c r="AB47" i="10"/>
  <c r="Z46" i="10"/>
  <c r="AA47" i="10"/>
  <c r="Z48" i="10"/>
  <c r="AA46" i="10"/>
  <c r="AA48" i="10"/>
  <c r="AO53" i="10"/>
  <c r="AO54" i="10"/>
  <c r="AL52" i="10"/>
  <c r="AN52" i="10"/>
  <c r="AP54" i="10"/>
  <c r="W46" i="10"/>
  <c r="V47" i="10"/>
  <c r="X46" i="10"/>
  <c r="W47" i="10"/>
  <c r="AP51" i="10"/>
  <c r="W49" i="10"/>
  <c r="AN53" i="10"/>
  <c r="AK54" i="10"/>
  <c r="AN51" i="10"/>
  <c r="AJ53" i="10"/>
  <c r="T46" i="10"/>
  <c r="S48" i="10"/>
  <c r="AO51" i="10"/>
  <c r="AJ51" i="10"/>
  <c r="U48" i="10"/>
  <c r="R49" i="10"/>
  <c r="AP53" i="10"/>
  <c r="AJ54" i="10"/>
  <c r="S49" i="10"/>
  <c r="AM54" i="10"/>
  <c r="U46" i="10"/>
  <c r="T49" i="10"/>
  <c r="AN54" i="10"/>
  <c r="AL54" i="10"/>
  <c r="U49" i="10"/>
  <c r="N49" i="10"/>
  <c r="AL51" i="10"/>
  <c r="N48" i="10"/>
  <c r="O49" i="10"/>
  <c r="AJ52" i="10"/>
  <c r="N47" i="10"/>
  <c r="O48" i="10"/>
  <c r="P49" i="10"/>
  <c r="Q49" i="10"/>
  <c r="AK53" i="10"/>
  <c r="C47" i="10"/>
  <c r="C48" i="10"/>
  <c r="C49" i="10"/>
  <c r="AK43" i="10"/>
  <c r="AH43" i="10"/>
  <c r="AP43" i="10"/>
  <c r="AL43" i="10"/>
  <c r="AM43" i="10"/>
  <c r="AJ43" i="10"/>
  <c r="AF43" i="10"/>
  <c r="AN43" i="10"/>
  <c r="AG43" i="10"/>
  <c r="AO43" i="10"/>
  <c r="AI43" i="10"/>
  <c r="AQ84" i="10" l="1"/>
  <c r="AD102" i="10"/>
  <c r="AD97" i="10"/>
  <c r="N91" i="10"/>
  <c r="AQ85" i="10"/>
  <c r="AH90" i="10"/>
  <c r="AF91" i="10"/>
  <c r="AI91" i="10"/>
  <c r="AK89" i="10"/>
  <c r="N92" i="10"/>
  <c r="AC97" i="10"/>
  <c r="AC85" i="10"/>
  <c r="AC102" i="10"/>
  <c r="N89" i="10"/>
  <c r="C90" i="10"/>
  <c r="C92" i="10"/>
  <c r="C89" i="10"/>
  <c r="C91" i="10"/>
  <c r="P102" i="10"/>
  <c r="P85" i="10"/>
  <c r="P86" i="10" s="1"/>
  <c r="H97" i="10"/>
  <c r="H85" i="10"/>
  <c r="H86" i="10" s="1"/>
  <c r="W97" i="10"/>
  <c r="W102" i="10"/>
  <c r="W85" i="10"/>
  <c r="W86" i="10" s="1"/>
  <c r="V102" i="10"/>
  <c r="V85" i="10"/>
  <c r="V86" i="10" s="1"/>
  <c r="V97" i="10"/>
  <c r="L97" i="10"/>
  <c r="K97" i="10"/>
  <c r="K85" i="10"/>
  <c r="K86" i="10" s="1"/>
  <c r="J97" i="10"/>
  <c r="J85" i="10"/>
  <c r="J86" i="10" s="1"/>
  <c r="I97" i="10"/>
  <c r="I85" i="10"/>
  <c r="I86" i="10" s="1"/>
  <c r="Y97" i="10"/>
  <c r="Y102" i="10"/>
  <c r="Y85" i="10"/>
  <c r="Y86" i="10" s="1"/>
  <c r="S102" i="10"/>
  <c r="S85" i="10"/>
  <c r="S86" i="10" s="1"/>
  <c r="S97" i="10"/>
  <c r="AK97" i="10"/>
  <c r="O102" i="10"/>
  <c r="O85" i="10"/>
  <c r="O86" i="10" s="1"/>
  <c r="Z97" i="10"/>
  <c r="Z102" i="10"/>
  <c r="Z85" i="10"/>
  <c r="Z86" i="10" s="1"/>
  <c r="Q102" i="10"/>
  <c r="Q85" i="10"/>
  <c r="Q86" i="10" s="1"/>
  <c r="U102" i="10"/>
  <c r="U85" i="10"/>
  <c r="U97" i="10"/>
  <c r="AJ97" i="10"/>
  <c r="P92" i="10"/>
  <c r="X97" i="10"/>
  <c r="X102" i="10"/>
  <c r="X85" i="10"/>
  <c r="X86" i="10" s="1"/>
  <c r="F97" i="10"/>
  <c r="E97" i="10"/>
  <c r="E85" i="10"/>
  <c r="E86" i="10" s="1"/>
  <c r="D97" i="10"/>
  <c r="D85" i="10"/>
  <c r="D86" i="10" s="1"/>
  <c r="AB102" i="10"/>
  <c r="AB85" i="10"/>
  <c r="AB86" i="10" s="1"/>
  <c r="AB97" i="10"/>
  <c r="AA102" i="10"/>
  <c r="AA85" i="10"/>
  <c r="AA86" i="10" s="1"/>
  <c r="AA97" i="10"/>
  <c r="R97" i="10"/>
  <c r="R102" i="10"/>
  <c r="R85" i="10"/>
  <c r="R86" i="10" s="1"/>
  <c r="G97" i="10"/>
  <c r="G85" i="10"/>
  <c r="G86" i="10" s="1"/>
  <c r="T102" i="10"/>
  <c r="T85" i="10"/>
  <c r="T86" i="10" s="1"/>
  <c r="T97" i="10"/>
  <c r="AH91" i="10"/>
  <c r="AG46" i="10"/>
  <c r="AF92" i="10"/>
  <c r="AP47" i="10"/>
  <c r="AN49" i="10"/>
  <c r="AF89" i="10"/>
  <c r="AK46" i="10"/>
  <c r="AF46" i="10"/>
  <c r="AK92" i="10"/>
  <c r="AO48" i="10"/>
  <c r="AI46" i="10"/>
  <c r="AM46" i="10"/>
  <c r="AL47" i="10"/>
  <c r="AK91" i="10"/>
  <c r="AG91" i="10"/>
  <c r="AI89" i="10"/>
  <c r="AI92" i="10"/>
  <c r="AI90" i="10"/>
  <c r="AG89" i="10"/>
  <c r="AJ90" i="10"/>
  <c r="AF90" i="10"/>
  <c r="AJ91" i="10"/>
  <c r="AK90" i="10"/>
  <c r="AG90" i="10"/>
  <c r="AH92" i="10"/>
  <c r="AH89" i="10"/>
  <c r="AJ89" i="10"/>
  <c r="AL49" i="10"/>
  <c r="AL48" i="10"/>
  <c r="AP49" i="10"/>
  <c r="AO49" i="10"/>
  <c r="AO46" i="10"/>
  <c r="AM49" i="10"/>
  <c r="AM47" i="10"/>
  <c r="AN47" i="10"/>
  <c r="AP46" i="10"/>
  <c r="AO47" i="10"/>
  <c r="AP48" i="10"/>
  <c r="AN46" i="10"/>
  <c r="AM48" i="10"/>
  <c r="AN48" i="10"/>
  <c r="AK49" i="10"/>
  <c r="AK48" i="10"/>
  <c r="AK47" i="10"/>
  <c r="AJ48" i="10"/>
  <c r="AJ47" i="10"/>
  <c r="AI48" i="10"/>
  <c r="AI47" i="10"/>
  <c r="AL46" i="10"/>
  <c r="AJ49" i="10"/>
  <c r="AI49" i="10"/>
  <c r="AJ46" i="10"/>
  <c r="AF49" i="10"/>
  <c r="AH48" i="10"/>
  <c r="AH47" i="10"/>
  <c r="AF47" i="10"/>
  <c r="AH49" i="10"/>
  <c r="AG48" i="10"/>
  <c r="AG49" i="10"/>
  <c r="AH46" i="10"/>
  <c r="AF48" i="10"/>
  <c r="AG47" i="10"/>
  <c r="AQ97" i="10" l="1"/>
  <c r="AQ90" i="10"/>
  <c r="AQ91" i="10"/>
  <c r="AQ89" i="10"/>
  <c r="AQ86" i="10"/>
  <c r="AQ92" i="10"/>
  <c r="AC92" i="10"/>
  <c r="AC86" i="10"/>
  <c r="U92" i="10"/>
  <c r="U86" i="10"/>
  <c r="AC89" i="10"/>
  <c r="AC90" i="10"/>
  <c r="AC91" i="10"/>
  <c r="T89" i="10"/>
  <c r="T91" i="10"/>
  <c r="T90" i="10"/>
  <c r="AA92" i="10"/>
  <c r="AA90" i="10"/>
  <c r="AA91" i="10"/>
  <c r="AA89" i="10"/>
  <c r="AM97" i="10"/>
  <c r="AM85" i="10"/>
  <c r="Y89" i="10"/>
  <c r="Y92" i="10"/>
  <c r="Y90" i="10"/>
  <c r="Y91" i="10"/>
  <c r="AG92" i="10"/>
  <c r="Q89" i="10"/>
  <c r="Q90" i="10"/>
  <c r="Q91" i="10"/>
  <c r="Q92" i="10"/>
  <c r="H91" i="10"/>
  <c r="H90" i="10"/>
  <c r="H89" i="10"/>
  <c r="AB91" i="10"/>
  <c r="AB92" i="10"/>
  <c r="AB89" i="10"/>
  <c r="AB90" i="10"/>
  <c r="Z90" i="10"/>
  <c r="Z92" i="10"/>
  <c r="Z89" i="10"/>
  <c r="Z91" i="10"/>
  <c r="I91" i="10"/>
  <c r="I92" i="10"/>
  <c r="I90" i="10"/>
  <c r="I89" i="10"/>
  <c r="V92" i="10"/>
  <c r="V90" i="10"/>
  <c r="V89" i="10"/>
  <c r="V91" i="10"/>
  <c r="G89" i="10"/>
  <c r="G90" i="10"/>
  <c r="G91" i="10"/>
  <c r="G92" i="10"/>
  <c r="X91" i="10"/>
  <c r="X89" i="10"/>
  <c r="X90" i="10"/>
  <c r="X92" i="10"/>
  <c r="AO97" i="10"/>
  <c r="AO85" i="10"/>
  <c r="AL85" i="10"/>
  <c r="AL97" i="10"/>
  <c r="R90" i="10"/>
  <c r="R89" i="10"/>
  <c r="R92" i="10"/>
  <c r="R91" i="10"/>
  <c r="AP97" i="10"/>
  <c r="AP85" i="10"/>
  <c r="AO92" i="10"/>
  <c r="D91" i="10"/>
  <c r="D90" i="10"/>
  <c r="D92" i="10"/>
  <c r="D89" i="10"/>
  <c r="J89" i="10"/>
  <c r="J90" i="10"/>
  <c r="J91" i="10"/>
  <c r="J92" i="10"/>
  <c r="W92" i="10"/>
  <c r="W89" i="10"/>
  <c r="W91" i="10"/>
  <c r="W90" i="10"/>
  <c r="P91" i="10"/>
  <c r="P89" i="10"/>
  <c r="P90" i="10"/>
  <c r="H92" i="10"/>
  <c r="AN97" i="10"/>
  <c r="AN85" i="10"/>
  <c r="O89" i="10"/>
  <c r="O91" i="10"/>
  <c r="O92" i="10"/>
  <c r="O90" i="10"/>
  <c r="S91" i="10"/>
  <c r="S89" i="10"/>
  <c r="S90" i="10"/>
  <c r="S92" i="10"/>
  <c r="E92" i="10"/>
  <c r="E91" i="10"/>
  <c r="E89" i="10"/>
  <c r="E90" i="10"/>
  <c r="AJ92" i="10"/>
  <c r="U91" i="10"/>
  <c r="U89" i="10"/>
  <c r="U90" i="10"/>
  <c r="K89" i="10"/>
  <c r="K90" i="10"/>
  <c r="K91" i="10"/>
  <c r="K92" i="10"/>
  <c r="T92" i="10"/>
  <c r="AM92" i="10" l="1"/>
  <c r="AN92" i="10"/>
  <c r="AN90" i="10"/>
  <c r="AN89" i="10"/>
  <c r="AN91" i="10"/>
  <c r="AP92" i="10"/>
  <c r="AP89" i="10"/>
  <c r="AP91" i="10"/>
  <c r="AP90" i="10"/>
  <c r="AL89" i="10"/>
  <c r="AL92" i="10"/>
  <c r="AL91" i="10"/>
  <c r="AL90" i="10"/>
  <c r="AO89" i="10"/>
  <c r="AO90" i="10"/>
  <c r="AO91" i="10"/>
  <c r="AM89" i="10"/>
  <c r="AM90" i="10"/>
  <c r="AM91" i="10"/>
  <c r="AK28" i="10" l="1"/>
  <c r="AJ28" i="10"/>
  <c r="AB27" i="10"/>
  <c r="AA27" i="10"/>
  <c r="Z27" i="10"/>
  <c r="Y27" i="10"/>
  <c r="X27" i="10"/>
  <c r="W27" i="10"/>
  <c r="V27" i="10"/>
  <c r="U27" i="10"/>
  <c r="T27" i="10"/>
  <c r="S27" i="10"/>
  <c r="AB26" i="10"/>
  <c r="AA26" i="10"/>
  <c r="Z26" i="10"/>
  <c r="Y26" i="10"/>
  <c r="X26" i="10"/>
  <c r="W26" i="10"/>
  <c r="V26" i="10"/>
  <c r="U26" i="10"/>
  <c r="T26" i="10"/>
  <c r="S26" i="10"/>
  <c r="AB25" i="10"/>
  <c r="AA25" i="10"/>
  <c r="Z25" i="10"/>
  <c r="Y25" i="10"/>
  <c r="X25" i="10"/>
  <c r="W25" i="10"/>
  <c r="V25" i="10"/>
  <c r="U25" i="10"/>
  <c r="T25" i="10"/>
  <c r="S25" i="10"/>
  <c r="AB24" i="10"/>
  <c r="AA24" i="10"/>
  <c r="Z24" i="10"/>
  <c r="Y24" i="10"/>
  <c r="X24" i="10"/>
  <c r="W24" i="10"/>
  <c r="V24" i="10"/>
  <c r="U24" i="10"/>
  <c r="T24" i="10"/>
  <c r="S24" i="10"/>
  <c r="K27" i="10"/>
  <c r="J27" i="10"/>
  <c r="I27" i="10"/>
  <c r="H27" i="10"/>
  <c r="G27" i="10"/>
  <c r="F27" i="10"/>
  <c r="E27" i="10"/>
  <c r="D27" i="10"/>
  <c r="K26" i="10"/>
  <c r="J26" i="10"/>
  <c r="I26" i="10"/>
  <c r="H26" i="10"/>
  <c r="G26" i="10"/>
  <c r="F26" i="10"/>
  <c r="E26" i="10"/>
  <c r="D26" i="10"/>
  <c r="K25" i="10"/>
  <c r="J25" i="10"/>
  <c r="I25" i="10"/>
  <c r="H25" i="10"/>
  <c r="G25" i="10"/>
  <c r="F25" i="10"/>
  <c r="E25" i="10"/>
  <c r="D25" i="10"/>
  <c r="K24" i="10"/>
  <c r="J24" i="10"/>
  <c r="I24" i="10"/>
  <c r="H24" i="10"/>
  <c r="G24" i="10"/>
  <c r="F24" i="10"/>
  <c r="E24" i="10"/>
  <c r="D24" i="10"/>
  <c r="B27" i="10"/>
  <c r="B26" i="10"/>
  <c r="B25" i="10"/>
  <c r="B24" i="10"/>
  <c r="B22" i="10"/>
  <c r="B21" i="10"/>
  <c r="B20" i="10"/>
  <c r="B19" i="10"/>
  <c r="B18" i="10"/>
  <c r="AL28" i="10" l="1"/>
  <c r="AN25" i="10"/>
  <c r="AK26" i="10"/>
  <c r="AP27" i="10"/>
  <c r="AM28" i="10"/>
  <c r="AN28" i="10"/>
  <c r="AO28" i="10"/>
  <c r="AP28" i="10"/>
  <c r="AN26" i="10"/>
  <c r="AK25" i="10"/>
  <c r="AP26" i="10"/>
  <c r="AM27" i="10"/>
  <c r="AL25" i="10"/>
  <c r="AN27" i="10"/>
  <c r="AK27" i="10"/>
  <c r="AM25" i="10"/>
  <c r="AJ26" i="10"/>
  <c r="AO27" i="10"/>
  <c r="AO25" i="10"/>
  <c r="AL26" i="10"/>
  <c r="AP25" i="10"/>
  <c r="AM26" i="10"/>
  <c r="AJ27" i="10"/>
  <c r="AJ25" i="10"/>
  <c r="AO26" i="10"/>
  <c r="AL27" i="10"/>
  <c r="C14" i="10" l="1"/>
  <c r="C86" i="10" s="1"/>
  <c r="J4" i="10"/>
  <c r="I4" i="10"/>
  <c r="H4" i="10"/>
  <c r="G4" i="10"/>
  <c r="F4" i="10"/>
  <c r="E4" i="10"/>
  <c r="D4" i="10"/>
  <c r="C4" i="10"/>
  <c r="J3" i="10"/>
  <c r="I3" i="10"/>
  <c r="H3" i="10"/>
  <c r="G3" i="10"/>
  <c r="F3" i="10"/>
  <c r="E3" i="10"/>
  <c r="D3" i="10"/>
  <c r="C3" i="10"/>
  <c r="K4" i="10"/>
  <c r="K3" i="10"/>
  <c r="C20" i="10" l="1"/>
  <c r="C22" i="10"/>
  <c r="C19" i="10"/>
  <c r="C21" i="10"/>
  <c r="D22" i="10"/>
  <c r="D19" i="10"/>
  <c r="D21" i="10"/>
  <c r="D20" i="10"/>
  <c r="E22" i="10"/>
  <c r="E19" i="10"/>
  <c r="E21" i="10"/>
  <c r="E20" i="10"/>
  <c r="F19" i="10"/>
  <c r="F20" i="10"/>
  <c r="F21" i="10"/>
  <c r="F22" i="10"/>
  <c r="C18" i="10"/>
  <c r="D18" i="10"/>
  <c r="E18" i="10"/>
  <c r="F18" i="10"/>
  <c r="B72" i="8" l="1"/>
  <c r="B71" i="8"/>
  <c r="AB72" i="8"/>
  <c r="AA72" i="8"/>
  <c r="Z72" i="8"/>
  <c r="X72" i="8"/>
  <c r="W72" i="8"/>
  <c r="V72" i="8"/>
  <c r="T72" i="8"/>
  <c r="S72" i="8"/>
  <c r="R72" i="8"/>
  <c r="P72" i="8"/>
  <c r="O72" i="8"/>
  <c r="N72" i="8"/>
  <c r="AB71" i="8"/>
  <c r="AA71" i="8"/>
  <c r="Z71" i="8"/>
  <c r="Y71" i="8"/>
  <c r="X71" i="8"/>
  <c r="W71" i="8"/>
  <c r="V71" i="8"/>
  <c r="U71" i="8"/>
  <c r="T71" i="8"/>
  <c r="S71" i="8"/>
  <c r="R71" i="8"/>
  <c r="Q71" i="8"/>
  <c r="P71" i="8"/>
  <c r="O71" i="8"/>
  <c r="N71" i="8"/>
  <c r="K72" i="8"/>
  <c r="J72" i="8"/>
  <c r="I72" i="8"/>
  <c r="H72" i="8"/>
  <c r="G72" i="8"/>
  <c r="F72" i="8"/>
  <c r="E72" i="8"/>
  <c r="D72" i="8"/>
  <c r="K71" i="8"/>
  <c r="J71" i="8"/>
  <c r="I71" i="8"/>
  <c r="H71" i="8"/>
  <c r="G71" i="8"/>
  <c r="F71" i="8"/>
  <c r="E71" i="8"/>
  <c r="D71" i="8"/>
  <c r="C72" i="8"/>
  <c r="C71" i="8"/>
  <c r="B37" i="8"/>
  <c r="B36" i="8"/>
  <c r="AB37" i="8"/>
  <c r="AA37" i="8"/>
  <c r="Z37" i="8"/>
  <c r="X37" i="8"/>
  <c r="W37" i="8"/>
  <c r="V37" i="8"/>
  <c r="T37" i="8"/>
  <c r="S37" i="8"/>
  <c r="R37" i="8"/>
  <c r="P37" i="8"/>
  <c r="O37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7" i="8"/>
  <c r="N36" i="8"/>
  <c r="K37" i="8"/>
  <c r="J37" i="8"/>
  <c r="I37" i="8"/>
  <c r="H37" i="8"/>
  <c r="G37" i="8"/>
  <c r="F37" i="8"/>
  <c r="E37" i="8"/>
  <c r="D37" i="8"/>
  <c r="K36" i="8"/>
  <c r="J36" i="8"/>
  <c r="I36" i="8"/>
  <c r="H36" i="8"/>
  <c r="G36" i="8"/>
  <c r="F36" i="8"/>
  <c r="E36" i="8"/>
  <c r="D36" i="8"/>
  <c r="C37" i="8"/>
  <c r="C36" i="8"/>
  <c r="AP8" i="8"/>
  <c r="AP37" i="8" s="1"/>
  <c r="AO8" i="8"/>
  <c r="AO37" i="8" s="1"/>
  <c r="AN8" i="8"/>
  <c r="AN37" i="8" s="1"/>
  <c r="AL8" i="8"/>
  <c r="AL37" i="8" s="1"/>
  <c r="AK8" i="8"/>
  <c r="AK37" i="8" s="1"/>
  <c r="AJ8" i="8"/>
  <c r="AJ37" i="8" s="1"/>
  <c r="AH8" i="8"/>
  <c r="AH37" i="8" s="1"/>
  <c r="AG8" i="8"/>
  <c r="AG37" i="8" s="1"/>
  <c r="AF8" i="8"/>
  <c r="AF37" i="8" s="1"/>
  <c r="Y8" i="8"/>
  <c r="Y4" i="10" s="1"/>
  <c r="AM4" i="10" s="1"/>
  <c r="U8" i="8"/>
  <c r="U4" i="10" s="1"/>
  <c r="AI4" i="10" s="1"/>
  <c r="Q8" i="8"/>
  <c r="Q4" i="10" s="1"/>
  <c r="AP7" i="8"/>
  <c r="AP71" i="8" s="1"/>
  <c r="AO7" i="8"/>
  <c r="AO36" i="8" s="1"/>
  <c r="AN7" i="8"/>
  <c r="AN36" i="8" s="1"/>
  <c r="AM7" i="8"/>
  <c r="AM36" i="8" s="1"/>
  <c r="AL7" i="8"/>
  <c r="AL36" i="8" s="1"/>
  <c r="AK7" i="8"/>
  <c r="AK36" i="8" s="1"/>
  <c r="AJ7" i="8"/>
  <c r="AJ36" i="8" s="1"/>
  <c r="AI7" i="8"/>
  <c r="AI36" i="8" s="1"/>
  <c r="AH7" i="8"/>
  <c r="AH36" i="8" s="1"/>
  <c r="AG7" i="8"/>
  <c r="AG36" i="8" s="1"/>
  <c r="AF7" i="8"/>
  <c r="AF36" i="8" s="1"/>
  <c r="Q32" i="8"/>
  <c r="U32" i="8"/>
  <c r="Y32" i="8"/>
  <c r="Y29" i="8"/>
  <c r="U29" i="8"/>
  <c r="Q29" i="8"/>
  <c r="AB51" i="9"/>
  <c r="AQ51" i="9" s="1"/>
  <c r="AA51" i="9"/>
  <c r="AP51" i="9" s="1"/>
  <c r="Z51" i="9"/>
  <c r="X51" i="9"/>
  <c r="AM51" i="9" s="1"/>
  <c r="W51" i="9"/>
  <c r="AL51" i="9" s="1"/>
  <c r="V51" i="9"/>
  <c r="AK51" i="9" s="1"/>
  <c r="T51" i="9"/>
  <c r="AI51" i="9" s="1"/>
  <c r="S51" i="9"/>
  <c r="AH51" i="9" s="1"/>
  <c r="R51" i="9"/>
  <c r="AG51" i="9" s="1"/>
  <c r="P51" i="9"/>
  <c r="O51" i="9"/>
  <c r="N51" i="9"/>
  <c r="K51" i="9"/>
  <c r="J51" i="9"/>
  <c r="I51" i="9"/>
  <c r="H51" i="9"/>
  <c r="G51" i="9"/>
  <c r="K50" i="9"/>
  <c r="J50" i="9"/>
  <c r="I50" i="9"/>
  <c r="H50" i="9"/>
  <c r="Q37" i="8" l="1"/>
  <c r="Q4" i="9"/>
  <c r="AF4" i="9" s="1"/>
  <c r="AI8" i="8"/>
  <c r="AI37" i="8" s="1"/>
  <c r="U4" i="9"/>
  <c r="AJ4" i="9" s="1"/>
  <c r="AP36" i="8"/>
  <c r="AL71" i="8"/>
  <c r="AM8" i="8"/>
  <c r="AM37" i="8" s="1"/>
  <c r="Y4" i="9"/>
  <c r="AN4" i="9" s="1"/>
  <c r="AN71" i="8"/>
  <c r="AO71" i="8"/>
  <c r="AF71" i="8"/>
  <c r="AH72" i="8"/>
  <c r="U72" i="8"/>
  <c r="AG71" i="8"/>
  <c r="AK72" i="8"/>
  <c r="AH71" i="8"/>
  <c r="AL72" i="8"/>
  <c r="AK71" i="8"/>
  <c r="AP72" i="8"/>
  <c r="AM71" i="8"/>
  <c r="AJ72" i="8"/>
  <c r="AI71" i="8"/>
  <c r="AF72" i="8"/>
  <c r="AN72" i="8"/>
  <c r="Q72" i="8"/>
  <c r="Y72" i="8"/>
  <c r="AJ71" i="8"/>
  <c r="AG72" i="8"/>
  <c r="AO72" i="8"/>
  <c r="U37" i="8"/>
  <c r="Y37" i="8"/>
  <c r="AO51" i="9"/>
  <c r="AI72" i="8" l="1"/>
  <c r="AM72" i="8"/>
  <c r="AB64" i="9" l="1"/>
  <c r="AQ64" i="9" s="1"/>
  <c r="AA64" i="9"/>
  <c r="Z64" i="9"/>
  <c r="X64" i="9"/>
  <c r="W64" i="9"/>
  <c r="V64" i="9"/>
  <c r="T64" i="9"/>
  <c r="S64" i="9"/>
  <c r="R64" i="9"/>
  <c r="P64" i="9"/>
  <c r="O64" i="9"/>
  <c r="AB63" i="9"/>
  <c r="AQ63" i="9" s="1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4" i="9"/>
  <c r="N63" i="9"/>
  <c r="AB68" i="9"/>
  <c r="AA68" i="9"/>
  <c r="Z68" i="9"/>
  <c r="X68" i="9"/>
  <c r="W68" i="9"/>
  <c r="V68" i="9"/>
  <c r="T68" i="9"/>
  <c r="S68" i="9"/>
  <c r="R68" i="9"/>
  <c r="P68" i="9"/>
  <c r="O68" i="9"/>
  <c r="N68" i="9"/>
  <c r="AB67" i="9"/>
  <c r="AQ67" i="9" s="1"/>
  <c r="AA67" i="9"/>
  <c r="AP67" i="9" s="1"/>
  <c r="Z67" i="9"/>
  <c r="AO67" i="9" s="1"/>
  <c r="Y67" i="9"/>
  <c r="AN67" i="9" s="1"/>
  <c r="X67" i="9"/>
  <c r="AM67" i="9" s="1"/>
  <c r="W67" i="9"/>
  <c r="V67" i="9"/>
  <c r="U67" i="9"/>
  <c r="T67" i="9"/>
  <c r="S67" i="9"/>
  <c r="R67" i="9"/>
  <c r="Q67" i="9"/>
  <c r="P67" i="9"/>
  <c r="O67" i="9"/>
  <c r="N67" i="9"/>
  <c r="AB66" i="9"/>
  <c r="AQ66" i="9" s="1"/>
  <c r="AA66" i="9"/>
  <c r="AP66" i="9" s="1"/>
  <c r="Z66" i="9"/>
  <c r="AO66" i="9" s="1"/>
  <c r="Y66" i="9"/>
  <c r="AN66" i="9" s="1"/>
  <c r="X66" i="9"/>
  <c r="AM66" i="9" s="1"/>
  <c r="W66" i="9"/>
  <c r="AL66" i="9" s="1"/>
  <c r="V66" i="9"/>
  <c r="AK66" i="9" s="1"/>
  <c r="U66" i="9"/>
  <c r="AJ66" i="9" s="1"/>
  <c r="T66" i="9"/>
  <c r="AI66" i="9" s="1"/>
  <c r="S66" i="9"/>
  <c r="AH66" i="9" s="1"/>
  <c r="R66" i="9"/>
  <c r="AG66" i="9" s="1"/>
  <c r="Q66" i="9"/>
  <c r="AF66" i="9" s="1"/>
  <c r="P66" i="9"/>
  <c r="O66" i="9"/>
  <c r="N66" i="9"/>
  <c r="K64" i="9"/>
  <c r="J64" i="9"/>
  <c r="I64" i="9"/>
  <c r="H64" i="9"/>
  <c r="K63" i="9"/>
  <c r="J63" i="9"/>
  <c r="I63" i="9"/>
  <c r="H63" i="9"/>
  <c r="K68" i="9"/>
  <c r="J68" i="9"/>
  <c r="I68" i="9"/>
  <c r="H68" i="9"/>
  <c r="K67" i="9"/>
  <c r="J67" i="9"/>
  <c r="I67" i="9"/>
  <c r="H67" i="9"/>
  <c r="K66" i="9"/>
  <c r="J66" i="9"/>
  <c r="I66" i="9"/>
  <c r="H66" i="9"/>
  <c r="G68" i="9"/>
  <c r="G67" i="9"/>
  <c r="G66" i="9"/>
  <c r="G63" i="9"/>
  <c r="D43" i="8"/>
  <c r="E56" i="8"/>
  <c r="E60" i="8" s="1"/>
  <c r="C48" i="8"/>
  <c r="C112" i="8"/>
  <c r="C107" i="8"/>
  <c r="C96" i="8"/>
  <c r="C65" i="8"/>
  <c r="C56" i="8"/>
  <c r="C60" i="8" s="1"/>
  <c r="C44" i="8"/>
  <c r="C11" i="8"/>
  <c r="F107" i="8"/>
  <c r="E107" i="8"/>
  <c r="D107" i="8"/>
  <c r="F96" i="8"/>
  <c r="E96" i="8"/>
  <c r="D96" i="8"/>
  <c r="F65" i="8"/>
  <c r="E65" i="8"/>
  <c r="D65" i="8"/>
  <c r="F56" i="8"/>
  <c r="F60" i="8" s="1"/>
  <c r="D56" i="8"/>
  <c r="D60" i="8" s="1"/>
  <c r="F44" i="8"/>
  <c r="F49" i="8" s="1"/>
  <c r="E44" i="8"/>
  <c r="E49" i="8" s="1"/>
  <c r="F11" i="8"/>
  <c r="E11" i="8"/>
  <c r="D11" i="8"/>
  <c r="G64" i="9"/>
  <c r="AB58" i="9"/>
  <c r="AQ58" i="9" s="1"/>
  <c r="AA58" i="9"/>
  <c r="Z58" i="9"/>
  <c r="X58" i="9"/>
  <c r="W58" i="9"/>
  <c r="V58" i="9"/>
  <c r="T58" i="9"/>
  <c r="S58" i="9"/>
  <c r="R58" i="9"/>
  <c r="P58" i="9"/>
  <c r="O58" i="9"/>
  <c r="N58" i="9"/>
  <c r="K58" i="9"/>
  <c r="J58" i="9"/>
  <c r="I58" i="9"/>
  <c r="H58" i="9"/>
  <c r="G58" i="9"/>
  <c r="AB57" i="9"/>
  <c r="AQ57" i="9" s="1"/>
  <c r="AA57" i="9"/>
  <c r="Z57" i="9"/>
  <c r="X57" i="9"/>
  <c r="W57" i="9"/>
  <c r="V57" i="9"/>
  <c r="T57" i="9"/>
  <c r="S57" i="9"/>
  <c r="R57" i="9"/>
  <c r="P57" i="9"/>
  <c r="O57" i="9"/>
  <c r="N57" i="9"/>
  <c r="K57" i="9"/>
  <c r="J57" i="9"/>
  <c r="I57" i="9"/>
  <c r="H57" i="9"/>
  <c r="G57" i="9"/>
  <c r="AB56" i="9"/>
  <c r="AQ56" i="9" s="1"/>
  <c r="AA56" i="9"/>
  <c r="Z56" i="9"/>
  <c r="X56" i="9"/>
  <c r="W56" i="9"/>
  <c r="V56" i="9"/>
  <c r="T56" i="9"/>
  <c r="S56" i="9"/>
  <c r="R56" i="9"/>
  <c r="P56" i="9"/>
  <c r="O56" i="9"/>
  <c r="N56" i="9"/>
  <c r="K56" i="9"/>
  <c r="J56" i="9"/>
  <c r="I56" i="9"/>
  <c r="H56" i="9"/>
  <c r="G56" i="9"/>
  <c r="AB55" i="9"/>
  <c r="AQ55" i="9" s="1"/>
  <c r="AA55" i="9"/>
  <c r="Z55" i="9"/>
  <c r="X55" i="9"/>
  <c r="W55" i="9"/>
  <c r="V55" i="9"/>
  <c r="T55" i="9"/>
  <c r="S55" i="9"/>
  <c r="R55" i="9"/>
  <c r="P55" i="9"/>
  <c r="O55" i="9"/>
  <c r="N55" i="9"/>
  <c r="K55" i="9"/>
  <c r="J55" i="9"/>
  <c r="I55" i="9"/>
  <c r="H55" i="9"/>
  <c r="G55" i="9"/>
  <c r="AB50" i="9"/>
  <c r="AQ50" i="9" s="1"/>
  <c r="AA50" i="9"/>
  <c r="Z50" i="9"/>
  <c r="X50" i="9"/>
  <c r="W50" i="9"/>
  <c r="V50" i="9"/>
  <c r="T50" i="9"/>
  <c r="S50" i="9"/>
  <c r="R50" i="9"/>
  <c r="P50" i="9"/>
  <c r="O50" i="9"/>
  <c r="N50" i="9"/>
  <c r="AB49" i="9"/>
  <c r="AA49" i="9"/>
  <c r="Z49" i="9"/>
  <c r="X49" i="9"/>
  <c r="W49" i="9"/>
  <c r="V49" i="9"/>
  <c r="T49" i="9"/>
  <c r="S49" i="9"/>
  <c r="R49" i="9"/>
  <c r="P49" i="9"/>
  <c r="O49" i="9"/>
  <c r="N49" i="9"/>
  <c r="K49" i="9"/>
  <c r="J49" i="9"/>
  <c r="J52" i="9" s="1"/>
  <c r="I49" i="9"/>
  <c r="I52" i="9" s="1"/>
  <c r="H49" i="9"/>
  <c r="H52" i="9" s="1"/>
  <c r="G50" i="9"/>
  <c r="G49" i="9"/>
  <c r="Z43" i="9"/>
  <c r="V43" i="9"/>
  <c r="R43" i="9"/>
  <c r="N43" i="9"/>
  <c r="K43" i="9"/>
  <c r="J43" i="9"/>
  <c r="I43" i="9"/>
  <c r="H43" i="9"/>
  <c r="G43" i="9"/>
  <c r="Z42" i="9"/>
  <c r="V42" i="9"/>
  <c r="R42" i="9"/>
  <c r="N42" i="9"/>
  <c r="K42" i="9"/>
  <c r="J42" i="9"/>
  <c r="I42" i="9"/>
  <c r="H42" i="9"/>
  <c r="G42" i="9"/>
  <c r="Z41" i="9"/>
  <c r="V41" i="9"/>
  <c r="R41" i="9"/>
  <c r="N41" i="9"/>
  <c r="K41" i="9"/>
  <c r="J41" i="9"/>
  <c r="I41" i="9"/>
  <c r="H41" i="9"/>
  <c r="G41" i="9"/>
  <c r="Z40" i="9"/>
  <c r="X40" i="9"/>
  <c r="W40" i="9"/>
  <c r="V40" i="9"/>
  <c r="T40" i="9"/>
  <c r="S40" i="9"/>
  <c r="R40" i="9"/>
  <c r="P40" i="9"/>
  <c r="O40" i="9"/>
  <c r="N40" i="9"/>
  <c r="K40" i="9"/>
  <c r="J40" i="9"/>
  <c r="I40" i="9"/>
  <c r="H40" i="9"/>
  <c r="G40" i="9"/>
  <c r="Z39" i="9"/>
  <c r="V39" i="9"/>
  <c r="R39" i="9"/>
  <c r="N39" i="9"/>
  <c r="K39" i="9"/>
  <c r="J39" i="9"/>
  <c r="I39" i="9"/>
  <c r="H39" i="9"/>
  <c r="G39" i="9"/>
  <c r="Z38" i="9"/>
  <c r="K38" i="9"/>
  <c r="J38" i="9"/>
  <c r="I38" i="9"/>
  <c r="H38" i="9"/>
  <c r="G38" i="9"/>
  <c r="Z35" i="9"/>
  <c r="K35" i="9"/>
  <c r="J35" i="9"/>
  <c r="I35" i="9"/>
  <c r="H35" i="9"/>
  <c r="G35" i="9"/>
  <c r="AB34" i="9"/>
  <c r="AA34" i="9"/>
  <c r="Z34" i="9"/>
  <c r="X34" i="9"/>
  <c r="W34" i="9"/>
  <c r="V34" i="9"/>
  <c r="R34" i="9"/>
  <c r="Z33" i="9"/>
  <c r="V33" i="9"/>
  <c r="R33" i="9"/>
  <c r="N34" i="9"/>
  <c r="N33" i="9"/>
  <c r="K34" i="9"/>
  <c r="J34" i="9"/>
  <c r="I34" i="9"/>
  <c r="H34" i="9"/>
  <c r="K33" i="9"/>
  <c r="J33" i="9"/>
  <c r="I33" i="9"/>
  <c r="H33" i="9"/>
  <c r="G34" i="9"/>
  <c r="G33" i="9"/>
  <c r="Z32" i="9"/>
  <c r="V32" i="9"/>
  <c r="R32" i="9"/>
  <c r="N32" i="9"/>
  <c r="K32" i="9"/>
  <c r="J32" i="9"/>
  <c r="I32" i="9"/>
  <c r="H32" i="9"/>
  <c r="G32" i="9"/>
  <c r="Z28" i="9"/>
  <c r="V28" i="9"/>
  <c r="R28" i="9"/>
  <c r="N28" i="9"/>
  <c r="K28" i="9"/>
  <c r="J28" i="9"/>
  <c r="I28" i="9"/>
  <c r="H28" i="9"/>
  <c r="G28" i="9"/>
  <c r="Z24" i="9"/>
  <c r="V24" i="9"/>
  <c r="R24" i="9"/>
  <c r="N24" i="9"/>
  <c r="K24" i="9"/>
  <c r="J24" i="9"/>
  <c r="I24" i="9"/>
  <c r="H24" i="9"/>
  <c r="G24" i="9"/>
  <c r="AB20" i="9"/>
  <c r="AA20" i="9"/>
  <c r="Z20" i="9"/>
  <c r="X20" i="9"/>
  <c r="W20" i="9"/>
  <c r="V20" i="9"/>
  <c r="T20" i="9"/>
  <c r="S20" i="9"/>
  <c r="R20" i="9"/>
  <c r="P20" i="9"/>
  <c r="O20" i="9"/>
  <c r="N20" i="9"/>
  <c r="K20" i="9"/>
  <c r="J20" i="9"/>
  <c r="I20" i="9"/>
  <c r="H20" i="9"/>
  <c r="AB19" i="9"/>
  <c r="AA19" i="9"/>
  <c r="Z19" i="9"/>
  <c r="X19" i="9"/>
  <c r="W19" i="9"/>
  <c r="V19" i="9"/>
  <c r="T19" i="9"/>
  <c r="S19" i="9"/>
  <c r="R19" i="9"/>
  <c r="P19" i="9"/>
  <c r="O19" i="9"/>
  <c r="N19" i="9"/>
  <c r="K19" i="9"/>
  <c r="J19" i="9"/>
  <c r="I19" i="9"/>
  <c r="H19" i="9"/>
  <c r="G20" i="9"/>
  <c r="G19" i="9"/>
  <c r="AB15" i="9"/>
  <c r="AA15" i="9"/>
  <c r="Z15" i="9"/>
  <c r="X15" i="9"/>
  <c r="W15" i="9"/>
  <c r="V15" i="9"/>
  <c r="T15" i="9"/>
  <c r="S15" i="9"/>
  <c r="R15" i="9"/>
  <c r="P15" i="9"/>
  <c r="O15" i="9"/>
  <c r="N15" i="9"/>
  <c r="K15" i="9"/>
  <c r="J15" i="9"/>
  <c r="I15" i="9"/>
  <c r="H15" i="9"/>
  <c r="G15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AB9" i="9"/>
  <c r="AA9" i="9"/>
  <c r="Z9" i="9"/>
  <c r="AR9" i="9" s="1"/>
  <c r="Y9" i="9"/>
  <c r="X9" i="9"/>
  <c r="W9" i="9"/>
  <c r="V9" i="9"/>
  <c r="U9" i="9"/>
  <c r="T9" i="9"/>
  <c r="S9" i="9"/>
  <c r="R9" i="9"/>
  <c r="Q9" i="9"/>
  <c r="P9" i="9"/>
  <c r="O9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10" i="9"/>
  <c r="N9" i="9"/>
  <c r="N8" i="9"/>
  <c r="N7" i="9"/>
  <c r="N6" i="9"/>
  <c r="K10" i="9"/>
  <c r="J10" i="9"/>
  <c r="I10" i="9"/>
  <c r="H10" i="9"/>
  <c r="G10" i="9"/>
  <c r="K9" i="9"/>
  <c r="J9" i="9"/>
  <c r="I9" i="9"/>
  <c r="H9" i="9"/>
  <c r="G9" i="9"/>
  <c r="K8" i="9"/>
  <c r="J8" i="9"/>
  <c r="I8" i="9"/>
  <c r="H8" i="9"/>
  <c r="G8" i="9"/>
  <c r="K7" i="9"/>
  <c r="J7" i="9"/>
  <c r="I7" i="9"/>
  <c r="H7" i="9"/>
  <c r="G7" i="9"/>
  <c r="K6" i="9"/>
  <c r="J6" i="9"/>
  <c r="I6" i="9"/>
  <c r="H6" i="9"/>
  <c r="G6" i="9"/>
  <c r="B10" i="9"/>
  <c r="B9" i="9"/>
  <c r="B8" i="9"/>
  <c r="B7" i="9"/>
  <c r="B6" i="9"/>
  <c r="AO111" i="8"/>
  <c r="AN111" i="8"/>
  <c r="AM111" i="8"/>
  <c r="AL111" i="8"/>
  <c r="AK111" i="8"/>
  <c r="AJ111" i="8"/>
  <c r="AI111" i="8"/>
  <c r="AH111" i="8"/>
  <c r="AG111" i="8"/>
  <c r="AF111" i="8"/>
  <c r="AP111" i="8"/>
  <c r="AO115" i="8"/>
  <c r="AN115" i="8"/>
  <c r="AM115" i="8"/>
  <c r="AL115" i="8"/>
  <c r="AK115" i="8"/>
  <c r="AJ115" i="8"/>
  <c r="AI115" i="8"/>
  <c r="AH115" i="8"/>
  <c r="AG115" i="8"/>
  <c r="AF115" i="8"/>
  <c r="AP115" i="8"/>
  <c r="AA122" i="8"/>
  <c r="W122" i="8"/>
  <c r="W33" i="9" s="1"/>
  <c r="S123" i="8"/>
  <c r="S34" i="9" s="1"/>
  <c r="S122" i="8"/>
  <c r="S33" i="9" s="1"/>
  <c r="O123" i="8"/>
  <c r="O34" i="9" s="1"/>
  <c r="O122" i="8"/>
  <c r="P122" i="8" s="1"/>
  <c r="P33" i="9" s="1"/>
  <c r="Y123" i="8"/>
  <c r="Y34" i="9" s="1"/>
  <c r="AA81" i="8"/>
  <c r="W81" i="8"/>
  <c r="X81" i="8" s="1"/>
  <c r="S81" i="8"/>
  <c r="O81" i="8"/>
  <c r="P81" i="8" s="1"/>
  <c r="S80" i="8"/>
  <c r="U80" i="8" s="1"/>
  <c r="V80" i="8" s="1"/>
  <c r="Y80" i="8" s="1"/>
  <c r="Z80" i="8" s="1"/>
  <c r="O80" i="8"/>
  <c r="P80" i="8" s="1"/>
  <c r="Q80" i="8" s="1"/>
  <c r="AA79" i="8"/>
  <c r="W79" i="8"/>
  <c r="W28" i="9" s="1"/>
  <c r="S79" i="8"/>
  <c r="O79" i="8"/>
  <c r="P79" i="8" s="1"/>
  <c r="P28" i="9" s="1"/>
  <c r="AA78" i="8"/>
  <c r="W78" i="8"/>
  <c r="X78" i="8" s="1"/>
  <c r="X24" i="9" s="1"/>
  <c r="S78" i="8"/>
  <c r="O78" i="8"/>
  <c r="P78" i="8" s="1"/>
  <c r="P24" i="9" s="1"/>
  <c r="G115" i="8"/>
  <c r="AB111" i="8"/>
  <c r="AA111" i="8"/>
  <c r="Z111" i="8"/>
  <c r="Y111" i="8"/>
  <c r="X111" i="8"/>
  <c r="W111" i="8"/>
  <c r="V111" i="8"/>
  <c r="U111" i="8"/>
  <c r="T111" i="8"/>
  <c r="S111" i="8"/>
  <c r="R111" i="8"/>
  <c r="Q111" i="8"/>
  <c r="P111" i="8"/>
  <c r="K111" i="8"/>
  <c r="J111" i="8"/>
  <c r="I111" i="8"/>
  <c r="N111" i="8" s="1"/>
  <c r="AP29" i="8"/>
  <c r="AO29" i="8"/>
  <c r="AN29" i="8"/>
  <c r="AM29" i="8"/>
  <c r="AL29" i="8"/>
  <c r="AK29" i="8"/>
  <c r="AJ29" i="8"/>
  <c r="AI29" i="8"/>
  <c r="AH29" i="8"/>
  <c r="AG29" i="8"/>
  <c r="AF29" i="8"/>
  <c r="Q18" i="8"/>
  <c r="Q20" i="9" s="1"/>
  <c r="Q17" i="8"/>
  <c r="Q19" i="9" s="1"/>
  <c r="Y104" i="8"/>
  <c r="Y101" i="8"/>
  <c r="Y100" i="8"/>
  <c r="Y99" i="8"/>
  <c r="U104" i="8"/>
  <c r="U101" i="8"/>
  <c r="U100" i="8"/>
  <c r="U99" i="8"/>
  <c r="Q104" i="8"/>
  <c r="Q101" i="8"/>
  <c r="Q100" i="8"/>
  <c r="Q99" i="8"/>
  <c r="AA106" i="8"/>
  <c r="W106" i="8"/>
  <c r="X106" i="8" s="1"/>
  <c r="X43" i="9" s="1"/>
  <c r="S106" i="8"/>
  <c r="O106" i="8"/>
  <c r="P106" i="8" s="1"/>
  <c r="P43" i="9" s="1"/>
  <c r="Z105" i="8"/>
  <c r="V105" i="8"/>
  <c r="W105" i="8" s="1"/>
  <c r="X105" i="8" s="1"/>
  <c r="R105" i="8"/>
  <c r="S105" i="8" s="1"/>
  <c r="T105" i="8" s="1"/>
  <c r="N105" i="8"/>
  <c r="O105" i="8" s="1"/>
  <c r="P105" i="8" s="1"/>
  <c r="AA103" i="8"/>
  <c r="W103" i="8"/>
  <c r="X103" i="8" s="1"/>
  <c r="X42" i="9" s="1"/>
  <c r="S103" i="8"/>
  <c r="O103" i="8"/>
  <c r="P103" i="8" s="1"/>
  <c r="P42" i="9" s="1"/>
  <c r="AA102" i="8"/>
  <c r="W102" i="8"/>
  <c r="X102" i="8" s="1"/>
  <c r="X41" i="9" s="1"/>
  <c r="S102" i="8"/>
  <c r="O102" i="8"/>
  <c r="P102" i="8" s="1"/>
  <c r="Q102" i="8" s="1"/>
  <c r="AA100" i="8"/>
  <c r="AB99" i="8"/>
  <c r="Y94" i="8"/>
  <c r="U94" i="8"/>
  <c r="AA95" i="8"/>
  <c r="W95" i="8"/>
  <c r="X95" i="8" s="1"/>
  <c r="X39" i="9" s="1"/>
  <c r="S95" i="8"/>
  <c r="O95" i="8"/>
  <c r="P95" i="8" s="1"/>
  <c r="Q95" i="8" s="1"/>
  <c r="Q39" i="9" s="1"/>
  <c r="P94" i="8"/>
  <c r="Q94" i="8" s="1"/>
  <c r="AA93" i="8"/>
  <c r="W93" i="8"/>
  <c r="S93" i="8"/>
  <c r="O93" i="8"/>
  <c r="P93" i="8" s="1"/>
  <c r="AA92" i="8"/>
  <c r="V92" i="8"/>
  <c r="W92" i="8" s="1"/>
  <c r="X92" i="8" s="1"/>
  <c r="R92" i="8"/>
  <c r="R38" i="9" s="1"/>
  <c r="N92" i="8"/>
  <c r="N38" i="9" s="1"/>
  <c r="AA91" i="8"/>
  <c r="W91" i="8"/>
  <c r="X91" i="8" s="1"/>
  <c r="X32" i="9" s="1"/>
  <c r="S91" i="8"/>
  <c r="O91" i="8"/>
  <c r="P91" i="8" s="1"/>
  <c r="Q91" i="8" s="1"/>
  <c r="Q32" i="9" s="1"/>
  <c r="U87" i="8"/>
  <c r="AA86" i="8"/>
  <c r="W86" i="8"/>
  <c r="X86" i="8" s="1"/>
  <c r="S86" i="8"/>
  <c r="T86" i="8" s="1"/>
  <c r="O86" i="8"/>
  <c r="R35" i="9"/>
  <c r="AA85" i="8"/>
  <c r="W85" i="8"/>
  <c r="X85" i="8" s="1"/>
  <c r="S85" i="8"/>
  <c r="O85" i="8"/>
  <c r="AA84" i="8"/>
  <c r="W84" i="8"/>
  <c r="X84" i="8" s="1"/>
  <c r="S84" i="8"/>
  <c r="O84" i="8"/>
  <c r="Y64" i="8"/>
  <c r="Y63" i="8"/>
  <c r="Y62" i="8"/>
  <c r="Y59" i="8"/>
  <c r="Y58" i="8"/>
  <c r="Y53" i="8"/>
  <c r="Y52" i="8"/>
  <c r="Y51" i="8"/>
  <c r="U64" i="8"/>
  <c r="U63" i="8"/>
  <c r="U62" i="8"/>
  <c r="U59" i="8"/>
  <c r="U58" i="8"/>
  <c r="U53" i="8"/>
  <c r="U52" i="8"/>
  <c r="U51" i="8"/>
  <c r="Q64" i="8"/>
  <c r="Q63" i="8"/>
  <c r="Q62" i="8"/>
  <c r="Q59" i="8"/>
  <c r="Q58" i="8"/>
  <c r="Q53" i="8"/>
  <c r="Q52" i="8"/>
  <c r="Q51" i="8"/>
  <c r="N65" i="8"/>
  <c r="O65" i="8"/>
  <c r="P65" i="8"/>
  <c r="R65" i="8"/>
  <c r="S65" i="8"/>
  <c r="T65" i="8"/>
  <c r="V65" i="8"/>
  <c r="W65" i="8"/>
  <c r="X65" i="8"/>
  <c r="Z65" i="8"/>
  <c r="AA65" i="8"/>
  <c r="AB65" i="8"/>
  <c r="Y43" i="8"/>
  <c r="Y42" i="8"/>
  <c r="Y41" i="8"/>
  <c r="Y40" i="8"/>
  <c r="Y50" i="9" s="1"/>
  <c r="Y39" i="8"/>
  <c r="Y48" i="8"/>
  <c r="Y47" i="8"/>
  <c r="Y51" i="9" s="1"/>
  <c r="AN51" i="9" s="1"/>
  <c r="Y46" i="8"/>
  <c r="Y58" i="9" s="1"/>
  <c r="U43" i="8"/>
  <c r="U42" i="8"/>
  <c r="U41" i="8"/>
  <c r="U40" i="8"/>
  <c r="U50" i="9" s="1"/>
  <c r="U39" i="8"/>
  <c r="U48" i="8"/>
  <c r="U47" i="8"/>
  <c r="U51" i="9" s="1"/>
  <c r="U46" i="8"/>
  <c r="U58" i="9" s="1"/>
  <c r="Q43" i="8"/>
  <c r="Q42" i="8"/>
  <c r="Q41" i="8"/>
  <c r="Q40" i="8"/>
  <c r="Q50" i="9" s="1"/>
  <c r="Q39" i="8"/>
  <c r="Q48" i="8"/>
  <c r="Q47" i="8"/>
  <c r="Q51" i="9" s="1"/>
  <c r="AF51" i="9" s="1"/>
  <c r="Q46" i="8"/>
  <c r="Q58" i="9" s="1"/>
  <c r="Z11" i="8"/>
  <c r="Z14" i="8" s="1"/>
  <c r="Z44" i="8"/>
  <c r="Z49" i="8" s="1"/>
  <c r="Z56" i="8"/>
  <c r="Z60" i="8" s="1"/>
  <c r="Z60" i="9" s="1"/>
  <c r="Z96" i="8"/>
  <c r="T78" i="8" l="1"/>
  <c r="T24" i="9" s="1"/>
  <c r="T91" i="8"/>
  <c r="T32" i="9" s="1"/>
  <c r="T93" i="8"/>
  <c r="U93" i="8" s="1"/>
  <c r="T81" i="8"/>
  <c r="U81" i="8" s="1"/>
  <c r="T84" i="8"/>
  <c r="U84" i="8" s="1"/>
  <c r="S28" i="9"/>
  <c r="T79" i="8"/>
  <c r="T28" i="9" s="1"/>
  <c r="T95" i="8"/>
  <c r="T39" i="9" s="1"/>
  <c r="T102" i="8"/>
  <c r="T41" i="9" s="1"/>
  <c r="T103" i="8"/>
  <c r="T42" i="9" s="1"/>
  <c r="T106" i="8"/>
  <c r="T43" i="9" s="1"/>
  <c r="T85" i="8"/>
  <c r="U85" i="8" s="1"/>
  <c r="AC99" i="8"/>
  <c r="AQ99" i="8" s="1"/>
  <c r="AB91" i="8"/>
  <c r="AB32" i="9" s="1"/>
  <c r="AB93" i="8"/>
  <c r="AC93" i="8" s="1"/>
  <c r="AA33" i="9"/>
  <c r="AR19" i="9"/>
  <c r="AR20" i="9"/>
  <c r="AB81" i="8"/>
  <c r="AC81" i="8" s="1"/>
  <c r="AC87" i="8"/>
  <c r="AA28" i="9"/>
  <c r="AB100" i="8"/>
  <c r="AB40" i="9" s="1"/>
  <c r="AB103" i="8"/>
  <c r="AB42" i="9" s="1"/>
  <c r="AB106" i="8"/>
  <c r="AB43" i="9" s="1"/>
  <c r="AB92" i="8"/>
  <c r="AC92" i="8" s="1"/>
  <c r="AR34" i="9"/>
  <c r="AB78" i="8"/>
  <c r="AB24" i="9" s="1"/>
  <c r="AB84" i="8"/>
  <c r="AC84" i="8" s="1"/>
  <c r="AB85" i="8"/>
  <c r="AB86" i="8"/>
  <c r="AC86" i="8" s="1"/>
  <c r="AB95" i="8"/>
  <c r="AB39" i="9" s="1"/>
  <c r="AB102" i="8"/>
  <c r="AB41" i="9" s="1"/>
  <c r="AA105" i="8"/>
  <c r="AB105" i="8" s="1"/>
  <c r="AA80" i="8"/>
  <c r="AC80" i="8" s="1"/>
  <c r="AR15" i="9"/>
  <c r="AR8" i="9"/>
  <c r="AR7" i="9"/>
  <c r="AR6" i="9"/>
  <c r="AR10" i="9"/>
  <c r="K52" i="9"/>
  <c r="L44" i="9"/>
  <c r="L45" i="9" s="1"/>
  <c r="P86" i="8"/>
  <c r="Q86" i="8" s="1"/>
  <c r="Q87" i="8"/>
  <c r="P84" i="8"/>
  <c r="Q84" i="8" s="1"/>
  <c r="D60" i="9"/>
  <c r="D59" i="9"/>
  <c r="Q57" i="9"/>
  <c r="V71" i="9"/>
  <c r="U56" i="9"/>
  <c r="T71" i="9"/>
  <c r="Y56" i="9"/>
  <c r="F60" i="9"/>
  <c r="F59" i="9"/>
  <c r="Y57" i="9"/>
  <c r="D71" i="9"/>
  <c r="D72" i="9" s="1"/>
  <c r="D81" i="9" s="1"/>
  <c r="D44" i="8"/>
  <c r="D49" i="8" s="1"/>
  <c r="U57" i="9"/>
  <c r="S71" i="9"/>
  <c r="Q68" i="9"/>
  <c r="AF68" i="9" s="1"/>
  <c r="AB71" i="9"/>
  <c r="AQ71" i="9" s="1"/>
  <c r="R71" i="9"/>
  <c r="U64" i="9"/>
  <c r="E71" i="9"/>
  <c r="E72" i="9" s="1"/>
  <c r="E81" i="9" s="1"/>
  <c r="AA71" i="9"/>
  <c r="P71" i="9"/>
  <c r="Y68" i="9"/>
  <c r="F71" i="9"/>
  <c r="F72" i="9" s="1"/>
  <c r="F81" i="9" s="1"/>
  <c r="C60" i="9"/>
  <c r="C59" i="9"/>
  <c r="U49" i="9"/>
  <c r="U52" i="9" s="1"/>
  <c r="Y49" i="9"/>
  <c r="Y52" i="9" s="1"/>
  <c r="Z71" i="9"/>
  <c r="O71" i="9"/>
  <c r="X71" i="9"/>
  <c r="N71" i="9"/>
  <c r="C71" i="9"/>
  <c r="C72" i="9" s="1"/>
  <c r="C81" i="9" s="1"/>
  <c r="E60" i="9"/>
  <c r="E59" i="9"/>
  <c r="Q49" i="9"/>
  <c r="Q52" i="9" s="1"/>
  <c r="Q55" i="9"/>
  <c r="U55" i="9"/>
  <c r="Y55" i="9"/>
  <c r="W71" i="9"/>
  <c r="Q56" i="9"/>
  <c r="K20" i="10"/>
  <c r="K21" i="10"/>
  <c r="K22" i="10"/>
  <c r="K19" i="10"/>
  <c r="U20" i="10"/>
  <c r="U22" i="10"/>
  <c r="U19" i="10"/>
  <c r="U21" i="10"/>
  <c r="G19" i="10"/>
  <c r="G21" i="10"/>
  <c r="G20" i="10"/>
  <c r="G22" i="10"/>
  <c r="N22" i="10"/>
  <c r="N19" i="10"/>
  <c r="N21" i="10"/>
  <c r="N20" i="10"/>
  <c r="V22" i="10"/>
  <c r="V19" i="10"/>
  <c r="V20" i="10"/>
  <c r="V21" i="10"/>
  <c r="H21" i="10"/>
  <c r="H22" i="10"/>
  <c r="H20" i="10"/>
  <c r="H19" i="10"/>
  <c r="O22" i="10"/>
  <c r="O19" i="10"/>
  <c r="O21" i="10"/>
  <c r="O20" i="10"/>
  <c r="W22" i="10"/>
  <c r="W19" i="10"/>
  <c r="W21" i="10"/>
  <c r="W20" i="10"/>
  <c r="I19" i="10"/>
  <c r="I20" i="10"/>
  <c r="I22" i="10"/>
  <c r="I21" i="10"/>
  <c r="P19" i="10"/>
  <c r="P22" i="10"/>
  <c r="P21" i="10"/>
  <c r="P20" i="10"/>
  <c r="X19" i="10"/>
  <c r="X20" i="10"/>
  <c r="X21" i="10"/>
  <c r="X22" i="10"/>
  <c r="J20" i="10"/>
  <c r="J22" i="10"/>
  <c r="J19" i="10"/>
  <c r="J21" i="10"/>
  <c r="Q21" i="10"/>
  <c r="Q20" i="10"/>
  <c r="Q22" i="10"/>
  <c r="Q19" i="10"/>
  <c r="Y21" i="10"/>
  <c r="Y19" i="10"/>
  <c r="Y20" i="10"/>
  <c r="Y22" i="10"/>
  <c r="R21" i="10"/>
  <c r="R22" i="10"/>
  <c r="R20" i="10"/>
  <c r="R19" i="10"/>
  <c r="Z21" i="10"/>
  <c r="Z20" i="10"/>
  <c r="Z22" i="10"/>
  <c r="Z19" i="10"/>
  <c r="S19" i="10"/>
  <c r="S20" i="10"/>
  <c r="S21" i="10"/>
  <c r="S22" i="10"/>
  <c r="AA20" i="10"/>
  <c r="AA21" i="10"/>
  <c r="AA22" i="10"/>
  <c r="AA19" i="10"/>
  <c r="T20" i="10"/>
  <c r="T22" i="10"/>
  <c r="T19" i="10"/>
  <c r="T21" i="10"/>
  <c r="AB20" i="10"/>
  <c r="AB22" i="10"/>
  <c r="AB19" i="10"/>
  <c r="AB21" i="10"/>
  <c r="G18" i="10"/>
  <c r="N18" i="10"/>
  <c r="V18" i="10"/>
  <c r="H18" i="10"/>
  <c r="O18" i="10"/>
  <c r="W18" i="10"/>
  <c r="I18" i="10"/>
  <c r="U18" i="10"/>
  <c r="P18" i="10"/>
  <c r="X18" i="10"/>
  <c r="J18" i="10"/>
  <c r="Q18" i="10"/>
  <c r="Y18" i="10"/>
  <c r="R18" i="10"/>
  <c r="Z18" i="10"/>
  <c r="K18" i="10"/>
  <c r="S18" i="10"/>
  <c r="AA18" i="10"/>
  <c r="T18" i="10"/>
  <c r="AB18" i="10"/>
  <c r="AM8" i="9"/>
  <c r="O52" i="9"/>
  <c r="D14" i="8"/>
  <c r="D15" i="8" s="1"/>
  <c r="D15" i="10"/>
  <c r="E14" i="8"/>
  <c r="E15" i="8" s="1"/>
  <c r="E15" i="10"/>
  <c r="Z52" i="9"/>
  <c r="F14" i="8"/>
  <c r="F19" i="8" s="1"/>
  <c r="F15" i="10"/>
  <c r="C14" i="8"/>
  <c r="C15" i="8" s="1"/>
  <c r="C15" i="10"/>
  <c r="AQ7" i="9"/>
  <c r="N52" i="9"/>
  <c r="X52" i="9"/>
  <c r="V52" i="9"/>
  <c r="W52" i="9"/>
  <c r="R52" i="9"/>
  <c r="G52" i="9"/>
  <c r="T52" i="9"/>
  <c r="P52" i="9"/>
  <c r="AA52" i="9"/>
  <c r="AJ51" i="9"/>
  <c r="AQ49" i="9"/>
  <c r="AQ52" i="9" s="1"/>
  <c r="AB52" i="9"/>
  <c r="S52" i="9"/>
  <c r="U68" i="9"/>
  <c r="AJ68" i="9" s="1"/>
  <c r="AI7" i="9"/>
  <c r="AK8" i="9"/>
  <c r="AM9" i="9"/>
  <c r="AG10" i="9"/>
  <c r="AO10" i="9"/>
  <c r="J11" i="9"/>
  <c r="AF10" i="9"/>
  <c r="V11" i="9"/>
  <c r="AH7" i="9"/>
  <c r="AP7" i="9"/>
  <c r="AJ8" i="9"/>
  <c r="T11" i="9"/>
  <c r="AB11" i="9"/>
  <c r="AC13" i="9" s="1"/>
  <c r="AN10" i="9"/>
  <c r="Q64" i="9"/>
  <c r="Y64" i="9"/>
  <c r="O11" i="9"/>
  <c r="W11" i="9"/>
  <c r="P11" i="9"/>
  <c r="X11" i="9"/>
  <c r="AJ7" i="9"/>
  <c r="AN9" i="9"/>
  <c r="AH10" i="9"/>
  <c r="AP10" i="9"/>
  <c r="G11" i="9"/>
  <c r="G12" i="9" s="1"/>
  <c r="Q11" i="9"/>
  <c r="AQ6" i="9"/>
  <c r="AK7" i="9"/>
  <c r="AG9" i="9"/>
  <c r="AO9" i="9"/>
  <c r="AI10" i="9"/>
  <c r="AQ10" i="9"/>
  <c r="H11" i="9"/>
  <c r="N11" i="9"/>
  <c r="R11" i="9"/>
  <c r="Z11" i="9"/>
  <c r="AD12" i="9" s="1"/>
  <c r="AL7" i="9"/>
  <c r="AN8" i="9"/>
  <c r="AJ10" i="9"/>
  <c r="AF7" i="9"/>
  <c r="AM7" i="9"/>
  <c r="AG8" i="9"/>
  <c r="AO8" i="9"/>
  <c r="AK10" i="9"/>
  <c r="AF8" i="9"/>
  <c r="AN7" i="9"/>
  <c r="AH8" i="9"/>
  <c r="AP8" i="9"/>
  <c r="AJ9" i="9"/>
  <c r="AL8" i="9"/>
  <c r="K11" i="9"/>
  <c r="L12" i="9" s="1"/>
  <c r="I11" i="9"/>
  <c r="AF9" i="9"/>
  <c r="AL6" i="9"/>
  <c r="AG7" i="9"/>
  <c r="AO7" i="9"/>
  <c r="AI8" i="9"/>
  <c r="AQ8" i="9"/>
  <c r="AI9" i="9"/>
  <c r="AQ9" i="9"/>
  <c r="AL10" i="9"/>
  <c r="C49" i="8"/>
  <c r="Q40" i="9"/>
  <c r="N35" i="9"/>
  <c r="C66" i="8"/>
  <c r="Q41" i="9"/>
  <c r="F66" i="8"/>
  <c r="F68" i="8" s="1"/>
  <c r="E66" i="8"/>
  <c r="E68" i="8" s="1"/>
  <c r="D66" i="8"/>
  <c r="Z59" i="9"/>
  <c r="AP68" i="9"/>
  <c r="Q78" i="8"/>
  <c r="Q24" i="9" s="1"/>
  <c r="X79" i="8"/>
  <c r="X28" i="9" s="1"/>
  <c r="AH68" i="9"/>
  <c r="Y40" i="9"/>
  <c r="AB79" i="8"/>
  <c r="AB28" i="9" s="1"/>
  <c r="W24" i="9"/>
  <c r="AQ34" i="9"/>
  <c r="U40" i="9"/>
  <c r="Y78" i="8"/>
  <c r="Y24" i="9" s="1"/>
  <c r="U79" i="8"/>
  <c r="U28" i="9" s="1"/>
  <c r="Y81" i="8"/>
  <c r="V38" i="9"/>
  <c r="AG68" i="9"/>
  <c r="AO68" i="9"/>
  <c r="O24" i="9"/>
  <c r="O32" i="9"/>
  <c r="W32" i="9"/>
  <c r="AA35" i="9"/>
  <c r="W38" i="9"/>
  <c r="S39" i="9"/>
  <c r="AA39" i="9"/>
  <c r="S41" i="9"/>
  <c r="AA41" i="9"/>
  <c r="O42" i="9"/>
  <c r="W42" i="9"/>
  <c r="S43" i="9"/>
  <c r="AA43" i="9"/>
  <c r="T123" i="8"/>
  <c r="P32" i="9"/>
  <c r="Q122" i="8"/>
  <c r="Q33" i="9" s="1"/>
  <c r="T122" i="8"/>
  <c r="O33" i="9"/>
  <c r="X122" i="8"/>
  <c r="X33" i="9" s="1"/>
  <c r="S24" i="9"/>
  <c r="AA24" i="9"/>
  <c r="O28" i="9"/>
  <c r="S32" i="9"/>
  <c r="AA32" i="9"/>
  <c r="O35" i="9"/>
  <c r="W35" i="9"/>
  <c r="AA38" i="9"/>
  <c r="O39" i="9"/>
  <c r="W39" i="9"/>
  <c r="AA40" i="9"/>
  <c r="O41" i="9"/>
  <c r="W41" i="9"/>
  <c r="S42" i="9"/>
  <c r="AA42" i="9"/>
  <c r="O43" i="9"/>
  <c r="W43" i="9"/>
  <c r="V35" i="9"/>
  <c r="Q81" i="8"/>
  <c r="P123" i="8"/>
  <c r="P34" i="9" s="1"/>
  <c r="P39" i="9"/>
  <c r="P41" i="9"/>
  <c r="AM68" i="9"/>
  <c r="Q79" i="8"/>
  <c r="Q28" i="9" s="1"/>
  <c r="AB122" i="8"/>
  <c r="AB33" i="9" s="1"/>
  <c r="Z15" i="10"/>
  <c r="G69" i="9"/>
  <c r="AA11" i="9"/>
  <c r="AM10" i="9"/>
  <c r="AL68" i="9"/>
  <c r="AI6" i="9"/>
  <c r="Y11" i="9"/>
  <c r="AC12" i="9" s="1"/>
  <c r="AK6" i="9"/>
  <c r="AP9" i="9"/>
  <c r="AJ6" i="9"/>
  <c r="AH9" i="9"/>
  <c r="AM6" i="9"/>
  <c r="AN68" i="9"/>
  <c r="U11" i="9"/>
  <c r="S11" i="9"/>
  <c r="AI68" i="9"/>
  <c r="AQ68" i="9"/>
  <c r="AQ69" i="9" s="1"/>
  <c r="AF6" i="9"/>
  <c r="AN6" i="9"/>
  <c r="AK9" i="9"/>
  <c r="AG6" i="9"/>
  <c r="AO6" i="9"/>
  <c r="AL9" i="9"/>
  <c r="AK68" i="9"/>
  <c r="AH6" i="9"/>
  <c r="AP6" i="9"/>
  <c r="S92" i="8"/>
  <c r="T92" i="8" s="1"/>
  <c r="T38" i="9" s="1"/>
  <c r="Y102" i="8"/>
  <c r="Y41" i="9" s="1"/>
  <c r="Y105" i="8"/>
  <c r="Q103" i="8"/>
  <c r="Q42" i="9" s="1"/>
  <c r="Q105" i="8"/>
  <c r="Y103" i="8"/>
  <c r="Y42" i="9" s="1"/>
  <c r="Y92" i="8"/>
  <c r="Q106" i="8"/>
  <c r="Q43" i="9" s="1"/>
  <c r="U105" i="8"/>
  <c r="Z107" i="8"/>
  <c r="Y106" i="8"/>
  <c r="Y43" i="9" s="1"/>
  <c r="X93" i="8"/>
  <c r="Y93" i="8" s="1"/>
  <c r="Y95" i="8"/>
  <c r="Y39" i="9" s="1"/>
  <c r="Q93" i="8"/>
  <c r="Y91" i="8"/>
  <c r="Y32" i="9" s="1"/>
  <c r="O92" i="8"/>
  <c r="Y86" i="8"/>
  <c r="Y85" i="8"/>
  <c r="Y87" i="8"/>
  <c r="Q65" i="8"/>
  <c r="P85" i="8"/>
  <c r="Q85" i="8" s="1"/>
  <c r="Y84" i="8"/>
  <c r="U65" i="8"/>
  <c r="Y65" i="8"/>
  <c r="Z66" i="8"/>
  <c r="Z68" i="8" s="1"/>
  <c r="Z15" i="8"/>
  <c r="Z19" i="8"/>
  <c r="Z23" i="8" s="1"/>
  <c r="T35" i="9" l="1"/>
  <c r="U102" i="8"/>
  <c r="U41" i="9" s="1"/>
  <c r="U95" i="8"/>
  <c r="U39" i="9" s="1"/>
  <c r="U106" i="8"/>
  <c r="U43" i="9" s="1"/>
  <c r="U91" i="8"/>
  <c r="U32" i="9" s="1"/>
  <c r="U103" i="8"/>
  <c r="U42" i="9" s="1"/>
  <c r="U78" i="8"/>
  <c r="U24" i="9" s="1"/>
  <c r="U86" i="8"/>
  <c r="U35" i="9" s="1"/>
  <c r="D19" i="8"/>
  <c r="AB38" i="9"/>
  <c r="AC78" i="8"/>
  <c r="AC24" i="9" s="1"/>
  <c r="AC25" i="9" s="1"/>
  <c r="AQ93" i="8"/>
  <c r="AQ87" i="8"/>
  <c r="AC38" i="9"/>
  <c r="AC106" i="8"/>
  <c r="AC43" i="9" s="1"/>
  <c r="AR43" i="9" s="1"/>
  <c r="AQ80" i="8"/>
  <c r="AQ86" i="8"/>
  <c r="AC102" i="8"/>
  <c r="AC41" i="9" s="1"/>
  <c r="AR41" i="9" s="1"/>
  <c r="AC95" i="8"/>
  <c r="AC39" i="9" s="1"/>
  <c r="AR39" i="9" s="1"/>
  <c r="AQ84" i="8"/>
  <c r="AQ81" i="8"/>
  <c r="AC100" i="8"/>
  <c r="AC40" i="9" s="1"/>
  <c r="AR40" i="9" s="1"/>
  <c r="AC122" i="8"/>
  <c r="AC33" i="9" s="1"/>
  <c r="AR33" i="9" s="1"/>
  <c r="AC105" i="8"/>
  <c r="AQ105" i="8" s="1"/>
  <c r="AC85" i="8"/>
  <c r="AQ85" i="8" s="1"/>
  <c r="AB35" i="9"/>
  <c r="AC91" i="8"/>
  <c r="AQ91" i="8" s="1"/>
  <c r="AQ92" i="8"/>
  <c r="AQ78" i="8"/>
  <c r="AC79" i="8"/>
  <c r="AC28" i="9" s="1"/>
  <c r="AR28" i="9" s="1"/>
  <c r="AC103" i="8"/>
  <c r="AC42" i="9" s="1"/>
  <c r="AR42" i="9" s="1"/>
  <c r="AR11" i="9"/>
  <c r="D68" i="8"/>
  <c r="Q35" i="9"/>
  <c r="Y71" i="9"/>
  <c r="F15" i="8"/>
  <c r="U71" i="9"/>
  <c r="Q71" i="9"/>
  <c r="AF11" i="9"/>
  <c r="E19" i="8"/>
  <c r="E23" i="8" s="1"/>
  <c r="E26" i="8" s="1"/>
  <c r="C19" i="8"/>
  <c r="C23" i="8" s="1"/>
  <c r="C26" i="8" s="1"/>
  <c r="AL11" i="9"/>
  <c r="C68" i="8"/>
  <c r="AQ72" i="9"/>
  <c r="AQ81" i="9" s="1"/>
  <c r="Y79" i="8"/>
  <c r="Y28" i="9" s="1"/>
  <c r="AQ28" i="9" s="1"/>
  <c r="AG11" i="9"/>
  <c r="AI11" i="9"/>
  <c r="AN11" i="9"/>
  <c r="AQ11" i="9"/>
  <c r="AJ11" i="9"/>
  <c r="AQ40" i="9"/>
  <c r="AO11" i="9"/>
  <c r="AQ42" i="9"/>
  <c r="D23" i="8"/>
  <c r="D26" i="8" s="1"/>
  <c r="D20" i="8"/>
  <c r="F20" i="8"/>
  <c r="F23" i="8"/>
  <c r="F26" i="8" s="1"/>
  <c r="AQ24" i="9"/>
  <c r="S35" i="9"/>
  <c r="AQ41" i="9"/>
  <c r="U92" i="8"/>
  <c r="U38" i="9" s="1"/>
  <c r="S38" i="9"/>
  <c r="P92" i="8"/>
  <c r="P38" i="9" s="1"/>
  <c r="O38" i="9"/>
  <c r="U122" i="8"/>
  <c r="U33" i="9" s="1"/>
  <c r="T33" i="9"/>
  <c r="AQ32" i="9"/>
  <c r="Y38" i="9"/>
  <c r="Q123" i="8"/>
  <c r="Q34" i="9" s="1"/>
  <c r="X35" i="9"/>
  <c r="AQ39" i="9"/>
  <c r="Y122" i="8"/>
  <c r="Y33" i="9" s="1"/>
  <c r="AQ33" i="9" s="1"/>
  <c r="X38" i="9"/>
  <c r="Y35" i="9"/>
  <c r="AQ43" i="9"/>
  <c r="T34" i="9"/>
  <c r="U123" i="8"/>
  <c r="U34" i="9" s="1"/>
  <c r="P35" i="9"/>
  <c r="AP11" i="9"/>
  <c r="AH11" i="9"/>
  <c r="AM11" i="9"/>
  <c r="AK11" i="9"/>
  <c r="Z20" i="8"/>
  <c r="Z26" i="8"/>
  <c r="AQ38" i="9" l="1"/>
  <c r="AQ35" i="9"/>
  <c r="AQ95" i="8"/>
  <c r="AR38" i="9"/>
  <c r="AQ102" i="8"/>
  <c r="AQ79" i="8"/>
  <c r="AQ106" i="8"/>
  <c r="AQ122" i="8"/>
  <c r="AC32" i="9"/>
  <c r="AR32" i="9" s="1"/>
  <c r="AC96" i="8"/>
  <c r="AQ96" i="8"/>
  <c r="AQ100" i="8"/>
  <c r="AQ103" i="8"/>
  <c r="AC35" i="9"/>
  <c r="AR35" i="9" s="1"/>
  <c r="AC88" i="8"/>
  <c r="AC29" i="9"/>
  <c r="AC26" i="9"/>
  <c r="AR24" i="9"/>
  <c r="AC107" i="8"/>
  <c r="AR16" i="9"/>
  <c r="AR12" i="9"/>
  <c r="E20" i="8"/>
  <c r="C20" i="8"/>
  <c r="C75" i="8"/>
  <c r="C33" i="8"/>
  <c r="C30" i="8"/>
  <c r="C27" i="8"/>
  <c r="F27" i="8"/>
  <c r="F75" i="8"/>
  <c r="F33" i="8"/>
  <c r="F30" i="8"/>
  <c r="D30" i="8"/>
  <c r="D27" i="8"/>
  <c r="D75" i="8"/>
  <c r="D33" i="8"/>
  <c r="E27" i="8"/>
  <c r="E75" i="8"/>
  <c r="E33" i="8"/>
  <c r="E30" i="8"/>
  <c r="Q92" i="8"/>
  <c r="Q38" i="9" s="1"/>
  <c r="Z30" i="8"/>
  <c r="Z33" i="8"/>
  <c r="Z75" i="8"/>
  <c r="Z27" i="8"/>
  <c r="AC116" i="8" l="1"/>
  <c r="AQ107" i="8"/>
  <c r="Z88" i="8"/>
  <c r="Z116" i="8" s="1"/>
  <c r="AC30" i="9"/>
  <c r="AC36" i="9"/>
  <c r="AC44" i="9" s="1"/>
  <c r="AC45" i="9" s="1"/>
  <c r="C88" i="8"/>
  <c r="C116" i="8" s="1"/>
  <c r="C117" i="8" s="1"/>
  <c r="C119" i="8" s="1"/>
  <c r="F88" i="8"/>
  <c r="F116" i="8" s="1"/>
  <c r="D88" i="8"/>
  <c r="D116" i="8" s="1"/>
  <c r="E88" i="8"/>
  <c r="E116" i="8" s="1"/>
  <c r="AR21" i="9"/>
  <c r="AR17" i="9"/>
  <c r="D110" i="8" l="1"/>
  <c r="D112" i="8" s="1"/>
  <c r="D117" i="8" s="1"/>
  <c r="D119" i="8" s="1"/>
  <c r="AR25" i="9"/>
  <c r="AR22" i="9"/>
  <c r="E110" i="8" l="1"/>
  <c r="E112" i="8" s="1"/>
  <c r="E117" i="8" s="1"/>
  <c r="E119" i="8" s="1"/>
  <c r="AR29" i="9"/>
  <c r="AR26" i="9"/>
  <c r="F110" i="8"/>
  <c r="F112" i="8" s="1"/>
  <c r="F117" i="8" s="1"/>
  <c r="F119" i="8" s="1"/>
  <c r="AF64" i="8"/>
  <c r="AF63" i="8"/>
  <c r="AF62" i="8"/>
  <c r="AF59" i="8"/>
  <c r="AF58" i="8"/>
  <c r="AF55" i="8"/>
  <c r="AF53" i="8"/>
  <c r="AF52" i="8"/>
  <c r="AF51" i="8"/>
  <c r="AF48" i="8"/>
  <c r="AF47" i="8"/>
  <c r="AF46" i="8"/>
  <c r="AF43" i="8"/>
  <c r="AF42" i="8"/>
  <c r="AF41" i="8"/>
  <c r="AF40" i="8"/>
  <c r="AF39" i="8"/>
  <c r="AF32" i="8"/>
  <c r="AP57" i="9"/>
  <c r="AO57" i="9"/>
  <c r="AN57" i="9"/>
  <c r="AM57" i="9"/>
  <c r="AL57" i="9"/>
  <c r="AF100" i="8"/>
  <c r="AL92" i="8"/>
  <c r="AO32" i="8"/>
  <c r="AN32" i="8"/>
  <c r="AM32" i="8"/>
  <c r="AL32" i="8"/>
  <c r="AK32" i="8"/>
  <c r="AJ32" i="8"/>
  <c r="AI32" i="8"/>
  <c r="AH32" i="8"/>
  <c r="AG32" i="8"/>
  <c r="AP32" i="8"/>
  <c r="AL64" i="8"/>
  <c r="AK64" i="8"/>
  <c r="AJ64" i="8"/>
  <c r="AH64" i="8"/>
  <c r="AG64" i="8"/>
  <c r="AL63" i="8"/>
  <c r="AK63" i="8"/>
  <c r="AJ63" i="8"/>
  <c r="AH63" i="8"/>
  <c r="AG63" i="8"/>
  <c r="AL62" i="8"/>
  <c r="AK62" i="8"/>
  <c r="AJ62" i="8"/>
  <c r="AH62" i="8"/>
  <c r="AG62" i="8"/>
  <c r="AL59" i="8"/>
  <c r="AK59" i="8"/>
  <c r="AJ59" i="8"/>
  <c r="AH59" i="8"/>
  <c r="AG59" i="8"/>
  <c r="AL58" i="8"/>
  <c r="AK58" i="8"/>
  <c r="AJ58" i="8"/>
  <c r="AH58" i="8"/>
  <c r="AG58" i="8"/>
  <c r="AL55" i="8"/>
  <c r="AK55" i="8"/>
  <c r="AJ55" i="8"/>
  <c r="AH55" i="8"/>
  <c r="AG55" i="8"/>
  <c r="AL53" i="8"/>
  <c r="AK53" i="8"/>
  <c r="AJ53" i="8"/>
  <c r="AH53" i="8"/>
  <c r="AG53" i="8"/>
  <c r="AL52" i="8"/>
  <c r="AK52" i="8"/>
  <c r="AJ52" i="8"/>
  <c r="AH52" i="8"/>
  <c r="AG52" i="8"/>
  <c r="AL51" i="8"/>
  <c r="AK51" i="8"/>
  <c r="AJ51" i="8"/>
  <c r="AH51" i="8"/>
  <c r="AG51" i="8"/>
  <c r="AL48" i="8"/>
  <c r="AK48" i="8"/>
  <c r="AJ48" i="8"/>
  <c r="AH48" i="8"/>
  <c r="AG48" i="8"/>
  <c r="AL47" i="8"/>
  <c r="AK47" i="8"/>
  <c r="AJ47" i="8"/>
  <c r="AH47" i="8"/>
  <c r="AG47" i="8"/>
  <c r="AL46" i="8"/>
  <c r="AK46" i="8"/>
  <c r="AJ46" i="8"/>
  <c r="AH46" i="8"/>
  <c r="AG46" i="8"/>
  <c r="AL43" i="8"/>
  <c r="AK43" i="8"/>
  <c r="AJ43" i="8"/>
  <c r="AH43" i="8"/>
  <c r="AG43" i="8"/>
  <c r="AL42" i="8"/>
  <c r="AK42" i="8"/>
  <c r="AJ42" i="8"/>
  <c r="AI42" i="8"/>
  <c r="AH42" i="8"/>
  <c r="AG42" i="8"/>
  <c r="AL41" i="8"/>
  <c r="AK41" i="8"/>
  <c r="AJ41" i="8"/>
  <c r="AH41" i="8"/>
  <c r="AG41" i="8"/>
  <c r="AL40" i="8"/>
  <c r="AK40" i="8"/>
  <c r="AJ40" i="8"/>
  <c r="AH40" i="8"/>
  <c r="AG40" i="8"/>
  <c r="AL39" i="8"/>
  <c r="AK39" i="8"/>
  <c r="AJ39" i="8"/>
  <c r="AH39" i="8"/>
  <c r="AG39" i="8"/>
  <c r="AO64" i="8"/>
  <c r="AN64" i="8"/>
  <c r="AO63" i="8"/>
  <c r="AN63" i="8"/>
  <c r="AO62" i="8"/>
  <c r="AN62" i="8"/>
  <c r="AO59" i="8"/>
  <c r="AN59" i="8"/>
  <c r="AO58" i="8"/>
  <c r="AN58" i="8"/>
  <c r="AO55" i="8"/>
  <c r="AN55" i="8"/>
  <c r="AO53" i="8"/>
  <c r="AN53" i="8"/>
  <c r="AO52" i="8"/>
  <c r="AN52" i="8"/>
  <c r="AO51" i="8"/>
  <c r="AN51" i="8"/>
  <c r="AO48" i="8"/>
  <c r="AN48" i="8"/>
  <c r="AO47" i="8"/>
  <c r="AN47" i="8"/>
  <c r="AO46" i="8"/>
  <c r="AN46" i="8"/>
  <c r="AO43" i="8"/>
  <c r="AN43" i="8"/>
  <c r="AO42" i="8"/>
  <c r="AN42" i="8"/>
  <c r="AM42" i="8"/>
  <c r="AO41" i="8"/>
  <c r="AN41" i="8"/>
  <c r="AO40" i="8"/>
  <c r="AN40" i="8"/>
  <c r="AO39" i="8"/>
  <c r="AN39" i="8"/>
  <c r="AP64" i="8"/>
  <c r="AP63" i="8"/>
  <c r="AP62" i="8"/>
  <c r="AP59" i="8"/>
  <c r="AP58" i="8"/>
  <c r="AP55" i="8"/>
  <c r="AP53" i="8"/>
  <c r="AP52" i="8"/>
  <c r="AP51" i="8"/>
  <c r="AP48" i="8"/>
  <c r="AP47" i="8"/>
  <c r="AP46" i="8"/>
  <c r="AP43" i="8"/>
  <c r="AP42" i="8"/>
  <c r="AP41" i="8"/>
  <c r="AP40" i="8"/>
  <c r="AP39" i="8"/>
  <c r="AB56" i="8"/>
  <c r="AB60" i="8" s="1"/>
  <c r="AB44" i="8"/>
  <c r="AB49" i="8" s="1"/>
  <c r="AB11" i="8"/>
  <c r="Y25" i="8"/>
  <c r="AP25" i="8" s="1"/>
  <c r="Y22" i="8"/>
  <c r="AP22" i="8" s="1"/>
  <c r="Y18" i="8"/>
  <c r="Y17" i="8"/>
  <c r="Y13" i="8"/>
  <c r="Y10" i="8"/>
  <c r="U25" i="8"/>
  <c r="AL25" i="8" s="1"/>
  <c r="U22" i="8"/>
  <c r="AI22" i="8" s="1"/>
  <c r="U18" i="8"/>
  <c r="U17" i="8"/>
  <c r="U13" i="8"/>
  <c r="U10" i="8"/>
  <c r="Q10" i="8"/>
  <c r="Q13" i="8"/>
  <c r="AG18" i="8"/>
  <c r="AH17" i="8"/>
  <c r="Q22" i="8"/>
  <c r="AH22" i="8" s="1"/>
  <c r="Q25" i="8"/>
  <c r="AG25" i="8" s="1"/>
  <c r="AI64" i="8"/>
  <c r="AI63" i="8"/>
  <c r="AI62" i="8"/>
  <c r="AA44" i="8"/>
  <c r="X44" i="8"/>
  <c r="W44" i="8"/>
  <c r="V44" i="8"/>
  <c r="T44" i="8"/>
  <c r="S44" i="8"/>
  <c r="R44" i="8"/>
  <c r="P44" i="8"/>
  <c r="O44" i="8"/>
  <c r="N44" i="8"/>
  <c r="J44" i="8"/>
  <c r="I44" i="8"/>
  <c r="H44" i="8"/>
  <c r="H49" i="8" s="1"/>
  <c r="G44" i="8"/>
  <c r="K44" i="8"/>
  <c r="AR80" i="9" l="1" a="1"/>
  <c r="AR80" i="9" s="1"/>
  <c r="AR36" i="9"/>
  <c r="AR30" i="9"/>
  <c r="AR78" i="9"/>
  <c r="AR77" i="9"/>
  <c r="AR79" i="9" a="1"/>
  <c r="AR79" i="9" s="1"/>
  <c r="AR76" i="9"/>
  <c r="G110" i="8"/>
  <c r="G112" i="8" s="1"/>
  <c r="Q15" i="9"/>
  <c r="AP10" i="8"/>
  <c r="AK10" i="8"/>
  <c r="AH10" i="8"/>
  <c r="AK17" i="8"/>
  <c r="U19" i="9"/>
  <c r="AN13" i="8"/>
  <c r="Y15" i="9"/>
  <c r="AQ15" i="9" s="1"/>
  <c r="AJ13" i="8"/>
  <c r="U15" i="9"/>
  <c r="AO18" i="8"/>
  <c r="Y20" i="9"/>
  <c r="AQ20" i="9" s="1"/>
  <c r="AL18" i="8"/>
  <c r="U20" i="9"/>
  <c r="AB14" i="8"/>
  <c r="AB15" i="8" s="1"/>
  <c r="AB15" i="10"/>
  <c r="AM17" i="8"/>
  <c r="Y19" i="9"/>
  <c r="AQ19" i="9" s="1"/>
  <c r="AB59" i="9"/>
  <c r="AQ59" i="9" s="1"/>
  <c r="AB60" i="9"/>
  <c r="AQ60" i="9" s="1"/>
  <c r="AK14" i="10"/>
  <c r="AK86" i="10" s="1"/>
  <c r="AF56" i="8"/>
  <c r="AF60" i="8" s="1"/>
  <c r="AF44" i="8"/>
  <c r="AF49" i="8" s="1"/>
  <c r="AF65" i="8"/>
  <c r="AF25" i="8"/>
  <c r="AF22" i="8"/>
  <c r="AF17" i="8"/>
  <c r="AF18" i="8"/>
  <c r="AF13" i="8"/>
  <c r="AF10" i="8"/>
  <c r="AF11" i="8" s="1"/>
  <c r="AI14" i="10"/>
  <c r="AI86" i="10" s="1"/>
  <c r="AJ14" i="10"/>
  <c r="AJ86" i="10" s="1"/>
  <c r="AL14" i="10"/>
  <c r="AL86" i="10" s="1"/>
  <c r="AB69" i="9"/>
  <c r="AB72" i="9" s="1"/>
  <c r="AB81" i="9" s="1"/>
  <c r="AH100" i="8"/>
  <c r="AL100" i="8"/>
  <c r="AO100" i="8"/>
  <c r="AJ101" i="8"/>
  <c r="AG100" i="8"/>
  <c r="AP101" i="8"/>
  <c r="AP92" i="8"/>
  <c r="AI92" i="8"/>
  <c r="AK92" i="8"/>
  <c r="AJ92" i="8"/>
  <c r="AM92" i="8"/>
  <c r="AN92" i="8"/>
  <c r="AO92" i="8"/>
  <c r="AB16" i="9"/>
  <c r="AH65" i="8"/>
  <c r="AL10" i="8"/>
  <c r="AJ22" i="8"/>
  <c r="AK13" i="8"/>
  <c r="AL44" i="8"/>
  <c r="AL49" i="8" s="1"/>
  <c r="AG17" i="8"/>
  <c r="AL17" i="8"/>
  <c r="AJ25" i="8"/>
  <c r="AL65" i="8"/>
  <c r="AL22" i="8"/>
  <c r="AL122" i="8"/>
  <c r="AI18" i="8"/>
  <c r="AK25" i="8"/>
  <c r="AK122" i="8"/>
  <c r="AG10" i="8"/>
  <c r="AH18" i="8"/>
  <c r="AH13" i="8"/>
  <c r="AG13" i="8"/>
  <c r="AH25" i="8"/>
  <c r="AI65" i="8"/>
  <c r="AL123" i="8"/>
  <c r="AJ44" i="8"/>
  <c r="AJ49" i="8" s="1"/>
  <c r="AL56" i="8"/>
  <c r="AL60" i="8" s="1"/>
  <c r="AL13" i="8"/>
  <c r="AK22" i="8"/>
  <c r="AI25" i="8"/>
  <c r="AK56" i="8"/>
  <c r="AK60" i="8" s="1"/>
  <c r="AG56" i="8"/>
  <c r="AG60" i="8" s="1"/>
  <c r="AJ18" i="8"/>
  <c r="AI123" i="8"/>
  <c r="AI10" i="8"/>
  <c r="AI17" i="8"/>
  <c r="AK18" i="8"/>
  <c r="AG22" i="8"/>
  <c r="AG44" i="8"/>
  <c r="AG49" i="8" s="1"/>
  <c r="AK44" i="8"/>
  <c r="AK49" i="8" s="1"/>
  <c r="AJ65" i="8"/>
  <c r="AJ123" i="8"/>
  <c r="AJ10" i="8"/>
  <c r="AI13" i="8"/>
  <c r="AJ17" i="8"/>
  <c r="AH44" i="8"/>
  <c r="AH49" i="8" s="1"/>
  <c r="AH56" i="8"/>
  <c r="AH60" i="8" s="1"/>
  <c r="AJ56" i="8"/>
  <c r="AJ60" i="8" s="1"/>
  <c r="AK65" i="8"/>
  <c r="AG65" i="8"/>
  <c r="AI122" i="8"/>
  <c r="AK123" i="8"/>
  <c r="AJ122" i="8"/>
  <c r="AM22" i="8"/>
  <c r="AP123" i="8"/>
  <c r="AP13" i="8"/>
  <c r="AN22" i="8"/>
  <c r="AN65" i="8"/>
  <c r="AO13" i="8"/>
  <c r="AN17" i="8"/>
  <c r="AM25" i="8"/>
  <c r="AN44" i="8"/>
  <c r="AN49" i="8" s="1"/>
  <c r="AO65" i="8"/>
  <c r="AP18" i="8"/>
  <c r="AN10" i="8"/>
  <c r="AM18" i="8"/>
  <c r="AO22" i="8"/>
  <c r="AN25" i="8"/>
  <c r="AN56" i="8"/>
  <c r="AN60" i="8" s="1"/>
  <c r="AP17" i="8"/>
  <c r="AO17" i="8"/>
  <c r="AN18" i="8"/>
  <c r="AO25" i="8"/>
  <c r="AO56" i="8"/>
  <c r="AO60" i="8" s="1"/>
  <c r="AM13" i="8"/>
  <c r="AM10" i="8"/>
  <c r="AO10" i="8"/>
  <c r="AO44" i="8"/>
  <c r="AO49" i="8" s="1"/>
  <c r="AM123" i="8"/>
  <c r="AN123" i="8"/>
  <c r="AO123" i="8"/>
  <c r="AB66" i="8"/>
  <c r="AB68" i="8" s="1"/>
  <c r="AF122" i="8"/>
  <c r="AL11" i="8" l="1"/>
  <c r="AL14" i="8" s="1"/>
  <c r="AL15" i="8" s="1"/>
  <c r="AH11" i="8"/>
  <c r="AH14" i="8" s="1"/>
  <c r="AK11" i="8"/>
  <c r="AK14" i="8" s="1"/>
  <c r="AJ11" i="8"/>
  <c r="AJ14" i="8" s="1"/>
  <c r="AI11" i="8"/>
  <c r="AI14" i="8" s="1"/>
  <c r="AI19" i="8" s="1"/>
  <c r="AG11" i="8"/>
  <c r="AN11" i="8"/>
  <c r="AN14" i="8" s="1"/>
  <c r="AN15" i="8" s="1"/>
  <c r="AO11" i="8"/>
  <c r="AO14" i="8" s="1"/>
  <c r="AO15" i="8" s="1"/>
  <c r="AM11" i="8"/>
  <c r="AB19" i="8"/>
  <c r="AB23" i="8" s="1"/>
  <c r="AB26" i="8" s="1"/>
  <c r="AQ16" i="9"/>
  <c r="AM14" i="10"/>
  <c r="AF66" i="8"/>
  <c r="AF68" i="8" s="1"/>
  <c r="AJ100" i="8"/>
  <c r="AF14" i="8"/>
  <c r="AF123" i="8"/>
  <c r="AH101" i="8"/>
  <c r="AF101" i="8"/>
  <c r="AH92" i="8"/>
  <c r="AF92" i="8"/>
  <c r="G16" i="9"/>
  <c r="G21" i="9" s="1"/>
  <c r="G25" i="9" s="1"/>
  <c r="AK101" i="8"/>
  <c r="AI101" i="8"/>
  <c r="AK100" i="8"/>
  <c r="AM43" i="9"/>
  <c r="AF106" i="8"/>
  <c r="AI100" i="8"/>
  <c r="AM101" i="8"/>
  <c r="AG101" i="8"/>
  <c r="AO101" i="8"/>
  <c r="AN101" i="8"/>
  <c r="AL101" i="8"/>
  <c r="AP100" i="8"/>
  <c r="AM100" i="8"/>
  <c r="AN100" i="8"/>
  <c r="AG92" i="8"/>
  <c r="AP122" i="8"/>
  <c r="AH122" i="8"/>
  <c r="AB17" i="9"/>
  <c r="AB21" i="9"/>
  <c r="AL66" i="8"/>
  <c r="AL68" i="8" s="1"/>
  <c r="AJ66" i="8"/>
  <c r="AJ68" i="8" s="1"/>
  <c r="AH66" i="8"/>
  <c r="AH68" i="8" s="1"/>
  <c r="AK66" i="8"/>
  <c r="AK68" i="8" s="1"/>
  <c r="AG66" i="8"/>
  <c r="AG68" i="8" s="1"/>
  <c r="AG14" i="8"/>
  <c r="AH123" i="8"/>
  <c r="AG123" i="8"/>
  <c r="AG122" i="8"/>
  <c r="AN66" i="8"/>
  <c r="AN68" i="8" s="1"/>
  <c r="AM122" i="8"/>
  <c r="AO66" i="8"/>
  <c r="AO68" i="8" s="1"/>
  <c r="AN122" i="8"/>
  <c r="AO122" i="8"/>
  <c r="AM86" i="10" l="1"/>
  <c r="AM14" i="8"/>
  <c r="AM19" i="8" s="1"/>
  <c r="AK19" i="8"/>
  <c r="AK23" i="8" s="1"/>
  <c r="AK26" i="8" s="1"/>
  <c r="AK15" i="8"/>
  <c r="AJ15" i="8"/>
  <c r="AJ19" i="8"/>
  <c r="AJ23" i="8" s="1"/>
  <c r="AJ26" i="8" s="1"/>
  <c r="AH19" i="8"/>
  <c r="AH23" i="8" s="1"/>
  <c r="AH26" i="8" s="1"/>
  <c r="AH15" i="8"/>
  <c r="AM24" i="10"/>
  <c r="AL19" i="10"/>
  <c r="AL18" i="10"/>
  <c r="AL21" i="10"/>
  <c r="AL22" i="10"/>
  <c r="AL20" i="10"/>
  <c r="AL15" i="10"/>
  <c r="AB20" i="8"/>
  <c r="AQ17" i="9"/>
  <c r="AQ21" i="9"/>
  <c r="AN14" i="10"/>
  <c r="AN86" i="10" s="1"/>
  <c r="AO14" i="10"/>
  <c r="AO86" i="10" s="1"/>
  <c r="AI23" i="8"/>
  <c r="AI26" i="8" s="1"/>
  <c r="AF19" i="8"/>
  <c r="AF23" i="8" s="1"/>
  <c r="AF15" i="8"/>
  <c r="AN19" i="8"/>
  <c r="AN20" i="8" s="1"/>
  <c r="AG14" i="10"/>
  <c r="AG86" i="10" s="1"/>
  <c r="AH14" i="10"/>
  <c r="AH86" i="10" s="1"/>
  <c r="G17" i="9"/>
  <c r="G22" i="9"/>
  <c r="AH106" i="8"/>
  <c r="AP106" i="8"/>
  <c r="AL43" i="9"/>
  <c r="AM106" i="8"/>
  <c r="AL106" i="8"/>
  <c r="AJ106" i="8"/>
  <c r="AI106" i="8"/>
  <c r="AK106" i="8"/>
  <c r="AG106" i="8"/>
  <c r="AO106" i="8"/>
  <c r="AN106" i="8"/>
  <c r="AB75" i="8"/>
  <c r="AB88" i="8" s="1"/>
  <c r="AB33" i="8"/>
  <c r="AB30" i="8"/>
  <c r="AL19" i="8"/>
  <c r="AB22" i="9"/>
  <c r="G26" i="9"/>
  <c r="G29" i="9"/>
  <c r="AK20" i="8"/>
  <c r="AI20" i="8"/>
  <c r="AO19" i="8"/>
  <c r="AI15" i="8"/>
  <c r="AG15" i="8"/>
  <c r="AG19" i="8"/>
  <c r="AG23" i="8" s="1"/>
  <c r="AB27" i="8"/>
  <c r="AM15" i="8" l="1"/>
  <c r="AJ24" i="10"/>
  <c r="AF14" i="10"/>
  <c r="AF86" i="10" s="1"/>
  <c r="AP14" i="10"/>
  <c r="AP86" i="10" s="1"/>
  <c r="AH20" i="8"/>
  <c r="AJ20" i="8"/>
  <c r="AP24" i="10"/>
  <c r="AN24" i="10"/>
  <c r="AL24" i="10"/>
  <c r="AK24" i="10"/>
  <c r="AO24" i="10"/>
  <c r="AM18" i="10"/>
  <c r="AI20" i="10"/>
  <c r="AJ19" i="10"/>
  <c r="AM21" i="10"/>
  <c r="AM20" i="10"/>
  <c r="AM22" i="10"/>
  <c r="AM19" i="10"/>
  <c r="AK21" i="10"/>
  <c r="AK22" i="10"/>
  <c r="AJ21" i="10"/>
  <c r="AJ22" i="10"/>
  <c r="AI22" i="10"/>
  <c r="AI21" i="10"/>
  <c r="AJ20" i="10"/>
  <c r="AK20" i="10"/>
  <c r="AK19" i="10"/>
  <c r="AI19" i="10"/>
  <c r="AK15" i="10"/>
  <c r="AK18" i="10"/>
  <c r="AJ15" i="10"/>
  <c r="AJ18" i="10"/>
  <c r="AI15" i="10"/>
  <c r="AI18" i="10"/>
  <c r="AQ25" i="9"/>
  <c r="AQ22" i="9"/>
  <c r="AK27" i="8"/>
  <c r="AK30" i="8"/>
  <c r="AK33" i="8"/>
  <c r="AJ27" i="8"/>
  <c r="AJ30" i="8"/>
  <c r="AJ33" i="8"/>
  <c r="AI30" i="8"/>
  <c r="AI33" i="8"/>
  <c r="AI27" i="8"/>
  <c r="AL23" i="8"/>
  <c r="AL26" i="8" s="1"/>
  <c r="AO20" i="8"/>
  <c r="AO23" i="8"/>
  <c r="AO26" i="8" s="1"/>
  <c r="AM23" i="8"/>
  <c r="AN23" i="8"/>
  <c r="AN26" i="8" s="1"/>
  <c r="AF20" i="8"/>
  <c r="AF26" i="8"/>
  <c r="AO43" i="9"/>
  <c r="AN43" i="9"/>
  <c r="AP43" i="9"/>
  <c r="AL20" i="8"/>
  <c r="AH27" i="8"/>
  <c r="AH30" i="8"/>
  <c r="AH33" i="8"/>
  <c r="G80" i="9" a="1"/>
  <c r="G80" i="9" s="1"/>
  <c r="G79" i="9" a="1"/>
  <c r="G79" i="9" s="1"/>
  <c r="G78" i="9"/>
  <c r="G30" i="9"/>
  <c r="G76" i="9"/>
  <c r="G36" i="9"/>
  <c r="G45" i="9" s="1"/>
  <c r="G77" i="9"/>
  <c r="AM20" i="8"/>
  <c r="AG26" i="8"/>
  <c r="AG20" i="8"/>
  <c r="AM26" i="8" l="1"/>
  <c r="AG19" i="10"/>
  <c r="AG18" i="10"/>
  <c r="AN18" i="10"/>
  <c r="AF21" i="10"/>
  <c r="AF22" i="10"/>
  <c r="AF20" i="10"/>
  <c r="AP22" i="10"/>
  <c r="AP21" i="10"/>
  <c r="AP20" i="10"/>
  <c r="AP19" i="10"/>
  <c r="AH22" i="10"/>
  <c r="AH21" i="10"/>
  <c r="AH20" i="10"/>
  <c r="AG22" i="10"/>
  <c r="AG21" i="10"/>
  <c r="AG20" i="10"/>
  <c r="AH19" i="10"/>
  <c r="AF19" i="10"/>
  <c r="AO18" i="10"/>
  <c r="AO21" i="10"/>
  <c r="AO22" i="10"/>
  <c r="AO20" i="10"/>
  <c r="AO19" i="10"/>
  <c r="AN20" i="10"/>
  <c r="AN22" i="10"/>
  <c r="AN21" i="10"/>
  <c r="AN19" i="10"/>
  <c r="AH15" i="10"/>
  <c r="AG15" i="10"/>
  <c r="AH18" i="10"/>
  <c r="AF18" i="10"/>
  <c r="AF15" i="10"/>
  <c r="AP18" i="10"/>
  <c r="AQ29" i="9"/>
  <c r="AQ26" i="9"/>
  <c r="AM27" i="8"/>
  <c r="AL33" i="8"/>
  <c r="AL27" i="8"/>
  <c r="AL30" i="8"/>
  <c r="AN27" i="8"/>
  <c r="AN30" i="8"/>
  <c r="AN33" i="8"/>
  <c r="AF30" i="8"/>
  <c r="AF27" i="8"/>
  <c r="AF33" i="8"/>
  <c r="AG27" i="8"/>
  <c r="AG30" i="8"/>
  <c r="AG33" i="8"/>
  <c r="AO27" i="8"/>
  <c r="AO30" i="8"/>
  <c r="AO33" i="8"/>
  <c r="AM33" i="8" l="1"/>
  <c r="AM30" i="8"/>
  <c r="AQ80" i="9" a="1"/>
  <c r="AQ80" i="9" s="1"/>
  <c r="AQ30" i="9"/>
  <c r="AQ79" i="9" a="1"/>
  <c r="AQ79" i="9" s="1"/>
  <c r="AQ78" i="9"/>
  <c r="AQ76" i="9"/>
  <c r="AQ77" i="9"/>
  <c r="AQ36" i="9"/>
  <c r="AF103" i="8" l="1"/>
  <c r="AF93" i="8"/>
  <c r="AF79" i="8"/>
  <c r="AF78" i="8"/>
  <c r="AF84" i="8"/>
  <c r="AM62" i="8"/>
  <c r="AM59" i="8"/>
  <c r="AI59" i="8"/>
  <c r="AM55" i="8"/>
  <c r="AM53" i="8"/>
  <c r="AI55" i="8"/>
  <c r="AI53" i="8"/>
  <c r="AM48" i="8"/>
  <c r="AM47" i="8"/>
  <c r="AM46" i="8"/>
  <c r="AI48" i="8"/>
  <c r="AI47" i="8"/>
  <c r="AI46" i="8"/>
  <c r="AM43" i="8"/>
  <c r="AI43" i="8"/>
  <c r="AF99" i="8" l="1"/>
  <c r="AF102" i="8"/>
  <c r="AF105" i="8"/>
  <c r="AM58" i="8"/>
  <c r="AI52" i="8"/>
  <c r="AI58" i="8"/>
  <c r="AM51" i="8"/>
  <c r="AI51" i="8"/>
  <c r="AM52" i="8"/>
  <c r="AB25" i="9"/>
  <c r="AJ105" i="8"/>
  <c r="AI105" i="8"/>
  <c r="AL105" i="8"/>
  <c r="AK105" i="8"/>
  <c r="AG99" i="8"/>
  <c r="AG93" i="8"/>
  <c r="AH78" i="8"/>
  <c r="AG78" i="8"/>
  <c r="AL78" i="8"/>
  <c r="AK78" i="8"/>
  <c r="AJ78" i="8"/>
  <c r="AI78" i="8"/>
  <c r="AG102" i="8"/>
  <c r="AL87" i="8"/>
  <c r="AJ87" i="8"/>
  <c r="AI87" i="8"/>
  <c r="AK87" i="8"/>
  <c r="AH79" i="8"/>
  <c r="AG79" i="8"/>
  <c r="AL79" i="8"/>
  <c r="AK79" i="8"/>
  <c r="AJ79" i="8"/>
  <c r="AI79" i="8"/>
  <c r="AH103" i="8"/>
  <c r="AG103" i="8"/>
  <c r="AH84" i="8"/>
  <c r="AG84" i="8"/>
  <c r="AH105" i="8"/>
  <c r="AG105" i="8"/>
  <c r="AJ84" i="8"/>
  <c r="AL84" i="8"/>
  <c r="AK84" i="8"/>
  <c r="AI84" i="8"/>
  <c r="AJ95" i="8"/>
  <c r="AL95" i="8"/>
  <c r="AK95" i="8"/>
  <c r="AI95" i="8"/>
  <c r="AJ103" i="8"/>
  <c r="AI103" i="8"/>
  <c r="AL103" i="8"/>
  <c r="AK103" i="8"/>
  <c r="AP86" i="8"/>
  <c r="AO87" i="8"/>
  <c r="AN87" i="8"/>
  <c r="AM87" i="8"/>
  <c r="AP87" i="8"/>
  <c r="AB107" i="8"/>
  <c r="AM78" i="8"/>
  <c r="AP78" i="8"/>
  <c r="AN78" i="8"/>
  <c r="AO78" i="8"/>
  <c r="AP94" i="8"/>
  <c r="AP79" i="8"/>
  <c r="AO79" i="8"/>
  <c r="AN79" i="8"/>
  <c r="AM79" i="8"/>
  <c r="AM103" i="8"/>
  <c r="AO103" i="8"/>
  <c r="AN103" i="8"/>
  <c r="AP103" i="8"/>
  <c r="AO105" i="8"/>
  <c r="AN105" i="8"/>
  <c r="AP105" i="8"/>
  <c r="AM105" i="8"/>
  <c r="AO84" i="8"/>
  <c r="AN84" i="8"/>
  <c r="AM84" i="8"/>
  <c r="AP84" i="8"/>
  <c r="AP95" i="8"/>
  <c r="AO95" i="8"/>
  <c r="AN95" i="8"/>
  <c r="AM95" i="8"/>
  <c r="AA107" i="8"/>
  <c r="AF95" i="8"/>
  <c r="AF86" i="8"/>
  <c r="AI56" i="8" l="1"/>
  <c r="AI60" i="8" s="1"/>
  <c r="AI66" i="8" s="1"/>
  <c r="AM56" i="8"/>
  <c r="AF104" i="8"/>
  <c r="AF107" i="8" s="1"/>
  <c r="AH87" i="8"/>
  <c r="AF87" i="8"/>
  <c r="AF80" i="8"/>
  <c r="AF81" i="8"/>
  <c r="AO104" i="8"/>
  <c r="AH102" i="8"/>
  <c r="AH95" i="8"/>
  <c r="AB96" i="8"/>
  <c r="AM85" i="8"/>
  <c r="AB26" i="9"/>
  <c r="AB29" i="9"/>
  <c r="AN81" i="8"/>
  <c r="AL80" i="8"/>
  <c r="AH81" i="8"/>
  <c r="AL86" i="8"/>
  <c r="AH86" i="8"/>
  <c r="AL94" i="8"/>
  <c r="AH104" i="8"/>
  <c r="AH80" i="8"/>
  <c r="AI94" i="8"/>
  <c r="AG87" i="8"/>
  <c r="AJ94" i="8"/>
  <c r="AG86" i="8"/>
  <c r="AG104" i="8"/>
  <c r="AG95" i="8"/>
  <c r="AH93" i="8"/>
  <c r="AK94" i="8"/>
  <c r="AG80" i="8"/>
  <c r="AG81" i="8"/>
  <c r="AH99" i="8"/>
  <c r="AI86" i="8"/>
  <c r="AJ86" i="8"/>
  <c r="AK86" i="8"/>
  <c r="AM86" i="8"/>
  <c r="AM94" i="8"/>
  <c r="AN86" i="8"/>
  <c r="AN94" i="8"/>
  <c r="AO86" i="8"/>
  <c r="AO94" i="8"/>
  <c r="AM60" i="8" l="1"/>
  <c r="AB116" i="8"/>
  <c r="AJ99" i="8"/>
  <c r="AM104" i="8"/>
  <c r="AK104" i="8"/>
  <c r="AN104" i="8"/>
  <c r="AL104" i="8"/>
  <c r="AF85" i="8"/>
  <c r="AF94" i="8"/>
  <c r="AF91" i="8"/>
  <c r="AK99" i="8"/>
  <c r="AH94" i="8"/>
  <c r="AP99" i="8"/>
  <c r="AJ102" i="8"/>
  <c r="AL102" i="8"/>
  <c r="AO99" i="8"/>
  <c r="AG94" i="8"/>
  <c r="AI104" i="8"/>
  <c r="AP102" i="8"/>
  <c r="AI99" i="8"/>
  <c r="AP104" i="8"/>
  <c r="AN99" i="8"/>
  <c r="AM99" i="8"/>
  <c r="AJ104" i="8"/>
  <c r="AL99" i="8"/>
  <c r="AG91" i="8"/>
  <c r="AH91" i="8"/>
  <c r="AK102" i="8"/>
  <c r="AM81" i="8"/>
  <c r="AO85" i="8"/>
  <c r="AN85" i="8"/>
  <c r="AO81" i="8"/>
  <c r="AI81" i="8"/>
  <c r="AP93" i="8"/>
  <c r="AL93" i="8"/>
  <c r="AK81" i="8"/>
  <c r="AH85" i="8"/>
  <c r="AG85" i="8"/>
  <c r="AJ80" i="8"/>
  <c r="AO80" i="8"/>
  <c r="AP91" i="8"/>
  <c r="AK85" i="8"/>
  <c r="AP81" i="8"/>
  <c r="AP85" i="8"/>
  <c r="AI80" i="8"/>
  <c r="AJ81" i="8"/>
  <c r="AB36" i="9"/>
  <c r="AB44" i="9" s="1"/>
  <c r="AB30" i="9"/>
  <c r="AK80" i="8"/>
  <c r="AL91" i="8"/>
  <c r="AL81" i="8"/>
  <c r="AI102" i="8"/>
  <c r="AI93" i="8"/>
  <c r="AG107" i="8"/>
  <c r="AJ93" i="8"/>
  <c r="AJ91" i="8"/>
  <c r="AK91" i="8"/>
  <c r="AL85" i="8"/>
  <c r="AJ85" i="8"/>
  <c r="AI85" i="8"/>
  <c r="AK93" i="8"/>
  <c r="AI91" i="8"/>
  <c r="AH107" i="8"/>
  <c r="AO102" i="8"/>
  <c r="AO91" i="8"/>
  <c r="AM91" i="8"/>
  <c r="AN91" i="8"/>
  <c r="AM102" i="8"/>
  <c r="AN102" i="8"/>
  <c r="AN93" i="8"/>
  <c r="AP80" i="8"/>
  <c r="AM80" i="8"/>
  <c r="AM93" i="8"/>
  <c r="AO93" i="8"/>
  <c r="AN80" i="8"/>
  <c r="AL107" i="8" l="1"/>
  <c r="AK107" i="8"/>
  <c r="AG96" i="8"/>
  <c r="AH96" i="8"/>
  <c r="AF96" i="8"/>
  <c r="AL96" i="8"/>
  <c r="AJ107" i="8"/>
  <c r="AO107" i="8"/>
  <c r="AI107" i="8"/>
  <c r="AI96" i="8"/>
  <c r="AJ96" i="8"/>
  <c r="AK96" i="8"/>
  <c r="AM107" i="8"/>
  <c r="AM96" i="8"/>
  <c r="AN107" i="8"/>
  <c r="AO96" i="8"/>
  <c r="AN96" i="8"/>
  <c r="G96" i="8" l="1"/>
  <c r="G65" i="8"/>
  <c r="G56" i="8"/>
  <c r="G60" i="8" s="1"/>
  <c r="G49" i="8"/>
  <c r="G11" i="8"/>
  <c r="G15" i="10" s="1"/>
  <c r="AI40" i="8"/>
  <c r="AM40" i="8"/>
  <c r="AF50" i="9"/>
  <c r="AF55" i="9"/>
  <c r="X11" i="8"/>
  <c r="X15" i="10" s="1"/>
  <c r="W11" i="8"/>
  <c r="W15" i="10" s="1"/>
  <c r="V11" i="8"/>
  <c r="V15" i="10" s="1"/>
  <c r="T11" i="8"/>
  <c r="T15" i="10" s="1"/>
  <c r="S11" i="8"/>
  <c r="S15" i="10" s="1"/>
  <c r="R11" i="8"/>
  <c r="R15" i="10" s="1"/>
  <c r="P11" i="8"/>
  <c r="P15" i="10" s="1"/>
  <c r="O11" i="8"/>
  <c r="O15" i="10" s="1"/>
  <c r="N11" i="8"/>
  <c r="N15" i="10" s="1"/>
  <c r="AA11" i="8"/>
  <c r="AA15" i="10" s="1"/>
  <c r="K11" i="8"/>
  <c r="K15" i="10" s="1"/>
  <c r="J11" i="8"/>
  <c r="J15" i="10" s="1"/>
  <c r="I11" i="8"/>
  <c r="I15" i="10" s="1"/>
  <c r="H11" i="8"/>
  <c r="H15" i="10" s="1"/>
  <c r="N107" i="8"/>
  <c r="V96" i="8"/>
  <c r="R96" i="8"/>
  <c r="N96" i="8"/>
  <c r="K96" i="8"/>
  <c r="J96" i="8"/>
  <c r="I96" i="8"/>
  <c r="H96" i="8"/>
  <c r="AP71" i="9"/>
  <c r="AO71" i="9"/>
  <c r="AM71" i="9"/>
  <c r="AL71" i="9"/>
  <c r="AK71" i="9"/>
  <c r="AI71" i="9"/>
  <c r="AH71" i="9"/>
  <c r="AG71" i="9"/>
  <c r="K65" i="8"/>
  <c r="J65" i="8"/>
  <c r="I65" i="8"/>
  <c r="H65" i="8"/>
  <c r="AM64" i="8"/>
  <c r="AM63" i="8"/>
  <c r="AA56" i="8"/>
  <c r="X56" i="8"/>
  <c r="W56" i="8"/>
  <c r="V56" i="8"/>
  <c r="T56" i="8"/>
  <c r="S56" i="8"/>
  <c r="R56" i="8"/>
  <c r="P56" i="8"/>
  <c r="O56" i="8"/>
  <c r="N56" i="8"/>
  <c r="K56" i="8"/>
  <c r="K60" i="8" s="1"/>
  <c r="J56" i="8"/>
  <c r="J60" i="8" s="1"/>
  <c r="I56" i="8"/>
  <c r="I60" i="8" s="1"/>
  <c r="H56" i="8"/>
  <c r="H60" i="8" s="1"/>
  <c r="AA49" i="8"/>
  <c r="X49" i="8"/>
  <c r="W49" i="8"/>
  <c r="V49" i="8"/>
  <c r="T49" i="8"/>
  <c r="S49" i="8"/>
  <c r="R49" i="8"/>
  <c r="P49" i="8"/>
  <c r="O49" i="8"/>
  <c r="N49" i="8"/>
  <c r="K49" i="8"/>
  <c r="J49" i="8"/>
  <c r="I49" i="8"/>
  <c r="Y11" i="8"/>
  <c r="Y15" i="10" s="1"/>
  <c r="AP11" i="8"/>
  <c r="AA69" i="9"/>
  <c r="Z69" i="9"/>
  <c r="Z72" i="9" s="1"/>
  <c r="Z81" i="9" s="1"/>
  <c r="X69" i="9"/>
  <c r="W69" i="9"/>
  <c r="V69" i="9"/>
  <c r="T69" i="9"/>
  <c r="S69" i="9"/>
  <c r="R69" i="9"/>
  <c r="R72" i="9" s="1"/>
  <c r="R81" i="9" s="1"/>
  <c r="P69" i="9"/>
  <c r="O69" i="9"/>
  <c r="N69" i="9"/>
  <c r="K69" i="9"/>
  <c r="J69" i="9"/>
  <c r="I69" i="9"/>
  <c r="H69" i="9"/>
  <c r="AP64" i="9"/>
  <c r="AO64" i="9"/>
  <c r="AN64" i="9"/>
  <c r="AM64" i="9"/>
  <c r="AL64" i="9"/>
  <c r="AK64" i="9"/>
  <c r="AJ64" i="9"/>
  <c r="AI64" i="9"/>
  <c r="AH64" i="9"/>
  <c r="AG64" i="9"/>
  <c r="AF64" i="9"/>
  <c r="AP63" i="9"/>
  <c r="AO63" i="9"/>
  <c r="AN63" i="9"/>
  <c r="AM63" i="9"/>
  <c r="AL63" i="9"/>
  <c r="AK63" i="9"/>
  <c r="AJ63" i="9"/>
  <c r="AI63" i="9"/>
  <c r="AH63" i="9"/>
  <c r="AG63" i="9"/>
  <c r="AF63" i="9"/>
  <c r="AP58" i="9"/>
  <c r="AO58" i="9"/>
  <c r="AN58" i="9"/>
  <c r="AM58" i="9"/>
  <c r="AL58" i="9"/>
  <c r="AK58" i="9"/>
  <c r="AJ58" i="9"/>
  <c r="AI58" i="9"/>
  <c r="AH58" i="9"/>
  <c r="AG58" i="9"/>
  <c r="AF58" i="9"/>
  <c r="AP56" i="9"/>
  <c r="AO56" i="9"/>
  <c r="AN56" i="9"/>
  <c r="AM56" i="9"/>
  <c r="AL56" i="9"/>
  <c r="AK56" i="9"/>
  <c r="AJ56" i="9"/>
  <c r="AI56" i="9"/>
  <c r="AH56" i="9"/>
  <c r="AG56" i="9"/>
  <c r="AF56" i="9"/>
  <c r="AP55" i="9"/>
  <c r="AO55" i="9"/>
  <c r="AM55" i="9"/>
  <c r="AL55" i="9"/>
  <c r="AK55" i="9"/>
  <c r="AI55" i="9"/>
  <c r="AH55" i="9"/>
  <c r="AG55" i="9"/>
  <c r="AP50" i="9"/>
  <c r="AO50" i="9"/>
  <c r="AK50" i="9"/>
  <c r="AI50" i="9"/>
  <c r="AH50" i="9"/>
  <c r="AG50" i="9"/>
  <c r="AO49" i="9"/>
  <c r="AM49" i="9"/>
  <c r="AL49" i="9"/>
  <c r="AK49" i="9"/>
  <c r="AH49" i="9"/>
  <c r="AM35" i="9"/>
  <c r="AK35" i="9"/>
  <c r="AJ32" i="9"/>
  <c r="AM28" i="9"/>
  <c r="AL28" i="9"/>
  <c r="AN24" i="9"/>
  <c r="AF24" i="9"/>
  <c r="AK20" i="9"/>
  <c r="AN19" i="9"/>
  <c r="AF19" i="9"/>
  <c r="H12" i="9"/>
  <c r="H71" i="9" l="1"/>
  <c r="I71" i="9"/>
  <c r="I72" i="9" s="1"/>
  <c r="I81" i="9" s="1"/>
  <c r="J71" i="9"/>
  <c r="J72" i="9" s="1"/>
  <c r="J81" i="9" s="1"/>
  <c r="K71" i="9"/>
  <c r="K72" i="9" s="1"/>
  <c r="K81" i="9" s="1"/>
  <c r="AK52" i="9"/>
  <c r="AH52" i="9"/>
  <c r="AO52" i="9"/>
  <c r="H59" i="9"/>
  <c r="H60" i="9"/>
  <c r="I59" i="9"/>
  <c r="I60" i="9"/>
  <c r="G60" i="9"/>
  <c r="G59" i="9"/>
  <c r="J59" i="9"/>
  <c r="J60" i="9"/>
  <c r="G71" i="9"/>
  <c r="G72" i="9" s="1"/>
  <c r="G81" i="9" s="1"/>
  <c r="K59" i="9"/>
  <c r="K60" i="9"/>
  <c r="S72" i="9"/>
  <c r="S81" i="9" s="1"/>
  <c r="AA72" i="9"/>
  <c r="AA81" i="9" s="1"/>
  <c r="S60" i="8"/>
  <c r="AI39" i="8"/>
  <c r="AJ49" i="9"/>
  <c r="T60" i="8"/>
  <c r="AM41" i="8"/>
  <c r="AN50" i="9"/>
  <c r="V60" i="8"/>
  <c r="AI41" i="8"/>
  <c r="AJ50" i="9"/>
  <c r="W60" i="8"/>
  <c r="N60" i="8"/>
  <c r="X60" i="8"/>
  <c r="O60" i="8"/>
  <c r="AO60" i="9"/>
  <c r="AO59" i="9"/>
  <c r="T72" i="9"/>
  <c r="T81" i="9" s="1"/>
  <c r="P60" i="8"/>
  <c r="AA60" i="8"/>
  <c r="AN55" i="9"/>
  <c r="R60" i="8"/>
  <c r="AJ55" i="9"/>
  <c r="AM39" i="8"/>
  <c r="AN49" i="9"/>
  <c r="AF69" i="9"/>
  <c r="G14" i="8"/>
  <c r="G15" i="8" s="1"/>
  <c r="P72" i="9"/>
  <c r="AM40" i="9"/>
  <c r="AK41" i="9"/>
  <c r="AI41" i="9"/>
  <c r="AP49" i="9"/>
  <c r="AP52" i="9" s="1"/>
  <c r="AB45" i="9"/>
  <c r="AJ42" i="9"/>
  <c r="AI39" i="9"/>
  <c r="AG40" i="9"/>
  <c r="AO40" i="9"/>
  <c r="AK42" i="9"/>
  <c r="AM24" i="9"/>
  <c r="AK28" i="9"/>
  <c r="AI32" i="9"/>
  <c r="AL35" i="9"/>
  <c r="AL40" i="9"/>
  <c r="AH69" i="9"/>
  <c r="AH72" i="9" s="1"/>
  <c r="AH81" i="9" s="1"/>
  <c r="O72" i="9"/>
  <c r="AM20" i="9"/>
  <c r="AM19" i="9"/>
  <c r="AF49" i="9"/>
  <c r="AF52" i="9" s="1"/>
  <c r="T16" i="9"/>
  <c r="AG49" i="9"/>
  <c r="AG52" i="9" s="1"/>
  <c r="AK32" i="9"/>
  <c r="AH39" i="9"/>
  <c r="AP39" i="9"/>
  <c r="AL41" i="9"/>
  <c r="R12" i="9"/>
  <c r="Z12" i="9"/>
  <c r="AF20" i="9"/>
  <c r="AN20" i="9"/>
  <c r="AH28" i="9"/>
  <c r="AP28" i="9"/>
  <c r="AJ39" i="9"/>
  <c r="AL42" i="9"/>
  <c r="AP69" i="9"/>
  <c r="AP72" i="9" s="1"/>
  <c r="AP81" i="9" s="1"/>
  <c r="AG20" i="9"/>
  <c r="AO20" i="9"/>
  <c r="AK39" i="9"/>
  <c r="AG41" i="9"/>
  <c r="AO41" i="9"/>
  <c r="AM42" i="9"/>
  <c r="AL39" i="9"/>
  <c r="AH41" i="9"/>
  <c r="AP41" i="9"/>
  <c r="AF42" i="9"/>
  <c r="AN42" i="9"/>
  <c r="AH20" i="9"/>
  <c r="AP20" i="9"/>
  <c r="AF39" i="9"/>
  <c r="AN39" i="9"/>
  <c r="AJ40" i="9"/>
  <c r="AF41" i="9"/>
  <c r="AN41" i="9"/>
  <c r="AH42" i="9"/>
  <c r="AP42" i="9"/>
  <c r="AO69" i="9"/>
  <c r="AO72" i="9" s="1"/>
  <c r="AO81" i="9" s="1"/>
  <c r="AG19" i="9"/>
  <c r="AO19" i="9"/>
  <c r="AG32" i="9"/>
  <c r="AO32" i="9"/>
  <c r="AI38" i="9"/>
  <c r="AG39" i="9"/>
  <c r="AO39" i="9"/>
  <c r="AK40" i="9"/>
  <c r="AI42" i="9"/>
  <c r="AG69" i="9"/>
  <c r="AG72" i="9" s="1"/>
  <c r="AG81" i="9" s="1"/>
  <c r="N72" i="9"/>
  <c r="AP24" i="9"/>
  <c r="AJ19" i="9"/>
  <c r="AL24" i="9"/>
  <c r="AL38" i="9"/>
  <c r="AF40" i="9"/>
  <c r="AN40" i="9"/>
  <c r="AJ41" i="9"/>
  <c r="AP19" i="9"/>
  <c r="Z13" i="9"/>
  <c r="AL19" i="9"/>
  <c r="AL32" i="9"/>
  <c r="AL69" i="9"/>
  <c r="AL72" i="9" s="1"/>
  <c r="AL81" i="9" s="1"/>
  <c r="AG24" i="9"/>
  <c r="AO24" i="9"/>
  <c r="AJ28" i="9"/>
  <c r="AF35" i="9"/>
  <c r="AN35" i="9"/>
  <c r="AM39" i="9"/>
  <c r="AM41" i="9"/>
  <c r="AM69" i="9"/>
  <c r="AM72" i="9" s="1"/>
  <c r="AM81" i="9" s="1"/>
  <c r="AM65" i="8"/>
  <c r="Y44" i="8"/>
  <c r="Y49" i="8" s="1"/>
  <c r="U44" i="8"/>
  <c r="U49" i="8" s="1"/>
  <c r="Q44" i="8"/>
  <c r="Q49" i="8" s="1"/>
  <c r="G107" i="8"/>
  <c r="J14" i="8"/>
  <c r="J19" i="8" s="1"/>
  <c r="J23" i="8" s="1"/>
  <c r="I14" i="8"/>
  <c r="I19" i="8" s="1"/>
  <c r="I23" i="8" s="1"/>
  <c r="V14" i="8"/>
  <c r="V15" i="8" s="1"/>
  <c r="O14" i="8"/>
  <c r="O15" i="8" s="1"/>
  <c r="U11" i="8"/>
  <c r="U15" i="10" s="1"/>
  <c r="Q11" i="8"/>
  <c r="Q15" i="10" s="1"/>
  <c r="K14" i="8"/>
  <c r="K19" i="8" s="1"/>
  <c r="K23" i="8" s="1"/>
  <c r="W14" i="8"/>
  <c r="W15" i="8" s="1"/>
  <c r="N14" i="8"/>
  <c r="N15" i="8" s="1"/>
  <c r="X14" i="8"/>
  <c r="X15" i="8" s="1"/>
  <c r="V107" i="8"/>
  <c r="P14" i="8"/>
  <c r="P19" i="8" s="1"/>
  <c r="P23" i="8" s="1"/>
  <c r="AA14" i="8"/>
  <c r="AA15" i="8" s="1"/>
  <c r="K107" i="8"/>
  <c r="S107" i="8"/>
  <c r="R14" i="8"/>
  <c r="R19" i="8" s="1"/>
  <c r="R23" i="8" s="1"/>
  <c r="H14" i="8"/>
  <c r="H15" i="8" s="1"/>
  <c r="S14" i="8"/>
  <c r="S15" i="8" s="1"/>
  <c r="H107" i="8"/>
  <c r="Y14" i="8"/>
  <c r="I66" i="8"/>
  <c r="I68" i="8" s="1"/>
  <c r="Y56" i="8"/>
  <c r="AF71" i="9"/>
  <c r="O96" i="8"/>
  <c r="J107" i="8"/>
  <c r="Q56" i="8"/>
  <c r="AJ71" i="9"/>
  <c r="AA96" i="8"/>
  <c r="X107" i="8"/>
  <c r="I107" i="8"/>
  <c r="U56" i="8"/>
  <c r="AN71" i="9"/>
  <c r="O107" i="8"/>
  <c r="T14" i="8"/>
  <c r="T19" i="8" s="1"/>
  <c r="T23" i="8" s="1"/>
  <c r="AP56" i="8"/>
  <c r="S96" i="8"/>
  <c r="H66" i="8"/>
  <c r="H68" i="8" s="1"/>
  <c r="P96" i="8"/>
  <c r="R107" i="8"/>
  <c r="W96" i="8"/>
  <c r="AP65" i="8"/>
  <c r="K16" i="9"/>
  <c r="K12" i="9"/>
  <c r="I16" i="9"/>
  <c r="I12" i="9"/>
  <c r="J16" i="9"/>
  <c r="J12" i="9"/>
  <c r="R13" i="9"/>
  <c r="AL20" i="9"/>
  <c r="AJ20" i="9"/>
  <c r="AI20" i="9"/>
  <c r="AI28" i="9"/>
  <c r="AG28" i="9"/>
  <c r="AF28" i="9"/>
  <c r="AO28" i="9"/>
  <c r="AN28" i="9"/>
  <c r="AF15" i="9"/>
  <c r="AK19" i="9"/>
  <c r="AI19" i="9"/>
  <c r="AH19" i="9"/>
  <c r="AH32" i="9"/>
  <c r="AF32" i="9"/>
  <c r="AP32" i="9"/>
  <c r="AN32" i="9"/>
  <c r="AM32" i="9"/>
  <c r="AI35" i="9"/>
  <c r="AB12" i="9"/>
  <c r="AB13" i="9"/>
  <c r="AJ35" i="9"/>
  <c r="AH35" i="9"/>
  <c r="AG35" i="9"/>
  <c r="AP35" i="9"/>
  <c r="AO35" i="9"/>
  <c r="AN15" i="9"/>
  <c r="AF34" i="9"/>
  <c r="AL50" i="9"/>
  <c r="AL52" i="9" s="1"/>
  <c r="V72" i="9"/>
  <c r="V81" i="9" s="1"/>
  <c r="H16" i="9"/>
  <c r="AJ24" i="9"/>
  <c r="AP34" i="9"/>
  <c r="AK15" i="9"/>
  <c r="AK24" i="9"/>
  <c r="AI24" i="9"/>
  <c r="AH24" i="9"/>
  <c r="AH38" i="9"/>
  <c r="AG38" i="9"/>
  <c r="AF38" i="9"/>
  <c r="AP38" i="9"/>
  <c r="AO38" i="9"/>
  <c r="AN38" i="9"/>
  <c r="AJ38" i="9"/>
  <c r="AH40" i="9"/>
  <c r="AP40" i="9"/>
  <c r="AK38" i="9"/>
  <c r="AI40" i="9"/>
  <c r="AG42" i="9"/>
  <c r="AO42" i="9"/>
  <c r="AI69" i="9"/>
  <c r="AM38" i="9"/>
  <c r="AP33" i="9"/>
  <c r="AK69" i="9"/>
  <c r="AI49" i="9"/>
  <c r="AI52" i="9" s="1"/>
  <c r="W72" i="9"/>
  <c r="W81" i="9" s="1"/>
  <c r="AM50" i="9"/>
  <c r="AM52" i="9" s="1"/>
  <c r="X72" i="9"/>
  <c r="X81" i="9" s="1"/>
  <c r="H72" i="9"/>
  <c r="H81" i="9" s="1"/>
  <c r="AM66" i="8" l="1"/>
  <c r="AJ52" i="9"/>
  <c r="AN52" i="9"/>
  <c r="R59" i="9"/>
  <c r="AG59" i="9" s="1"/>
  <c r="R60" i="9"/>
  <c r="AG60" i="9" s="1"/>
  <c r="W60" i="9"/>
  <c r="AL60" i="9" s="1"/>
  <c r="W59" i="9"/>
  <c r="AL59" i="9" s="1"/>
  <c r="T59" i="9"/>
  <c r="AI59" i="9" s="1"/>
  <c r="T60" i="9"/>
  <c r="AI60" i="9" s="1"/>
  <c r="P60" i="9"/>
  <c r="P59" i="9"/>
  <c r="O60" i="9"/>
  <c r="O59" i="9"/>
  <c r="V60" i="9"/>
  <c r="AK60" i="9" s="1"/>
  <c r="V59" i="9"/>
  <c r="AK59" i="9" s="1"/>
  <c r="S59" i="9"/>
  <c r="AH59" i="9" s="1"/>
  <c r="S60" i="9"/>
  <c r="AH60" i="9" s="1"/>
  <c r="N60" i="9"/>
  <c r="N59" i="9"/>
  <c r="AA59" i="9"/>
  <c r="AP59" i="9" s="1"/>
  <c r="AA60" i="9"/>
  <c r="AP60" i="9" s="1"/>
  <c r="X60" i="9"/>
  <c r="AM60" i="9" s="1"/>
  <c r="X59" i="9"/>
  <c r="AM59" i="9" s="1"/>
  <c r="AN69" i="9"/>
  <c r="AN72" i="9" s="1"/>
  <c r="AN81" i="9" s="1"/>
  <c r="AJ69" i="9"/>
  <c r="AJ72" i="9" s="1"/>
  <c r="AJ81" i="9" s="1"/>
  <c r="X66" i="8"/>
  <c r="X68" i="8" s="1"/>
  <c r="T66" i="8"/>
  <c r="T68" i="8" s="1"/>
  <c r="V66" i="8"/>
  <c r="V68" i="8" s="1"/>
  <c r="Y69" i="9"/>
  <c r="Y72" i="9" s="1"/>
  <c r="Y81" i="9" s="1"/>
  <c r="P66" i="8"/>
  <c r="P68" i="8" s="1"/>
  <c r="G19" i="8"/>
  <c r="G23" i="8" s="1"/>
  <c r="G26" i="8" s="1"/>
  <c r="G75" i="8" s="1"/>
  <c r="G88" i="8" s="1"/>
  <c r="AM44" i="8"/>
  <c r="N66" i="8"/>
  <c r="N68" i="8" s="1"/>
  <c r="AI44" i="8"/>
  <c r="AI49" i="8" s="1"/>
  <c r="AI68" i="8" s="1"/>
  <c r="AA66" i="8"/>
  <c r="AA68" i="8" s="1"/>
  <c r="W66" i="8"/>
  <c r="W68" i="8" s="1"/>
  <c r="R66" i="8"/>
  <c r="R68" i="8" s="1"/>
  <c r="S66" i="8"/>
  <c r="S68" i="8" s="1"/>
  <c r="O66" i="8"/>
  <c r="O68" i="8" s="1"/>
  <c r="J66" i="8"/>
  <c r="J68" i="8" s="1"/>
  <c r="K66" i="8"/>
  <c r="K68" i="8" s="1"/>
  <c r="G66" i="8"/>
  <c r="G68" i="8" s="1"/>
  <c r="Q60" i="8"/>
  <c r="U60" i="8"/>
  <c r="U69" i="9"/>
  <c r="U72" i="9" s="1"/>
  <c r="U81" i="9" s="1"/>
  <c r="AP60" i="8"/>
  <c r="Q69" i="9"/>
  <c r="Q72" i="9" s="1"/>
  <c r="Q81" i="9" s="1"/>
  <c r="Y60" i="8"/>
  <c r="U13" i="9"/>
  <c r="Y12" i="9"/>
  <c r="V12" i="9"/>
  <c r="W13" i="9"/>
  <c r="Y16" i="9"/>
  <c r="Y21" i="9" s="1"/>
  <c r="T13" i="9"/>
  <c r="V13" i="9"/>
  <c r="S13" i="9"/>
  <c r="W16" i="9"/>
  <c r="W17" i="9" s="1"/>
  <c r="U16" i="9"/>
  <c r="U21" i="9" s="1"/>
  <c r="AJ33" i="9"/>
  <c r="AN16" i="9"/>
  <c r="AH34" i="9"/>
  <c r="O13" i="9"/>
  <c r="AH33" i="9"/>
  <c r="AI34" i="9"/>
  <c r="AG34" i="9"/>
  <c r="W12" i="9"/>
  <c r="AK16" i="9"/>
  <c r="AL34" i="9"/>
  <c r="AF33" i="9"/>
  <c r="S12" i="9"/>
  <c r="AG33" i="9"/>
  <c r="AF16" i="9"/>
  <c r="O16" i="9"/>
  <c r="O17" i="9" s="1"/>
  <c r="AM33" i="9"/>
  <c r="AJ34" i="9"/>
  <c r="U12" i="9"/>
  <c r="AP44" i="8"/>
  <c r="J15" i="8"/>
  <c r="K15" i="8"/>
  <c r="I15" i="8"/>
  <c r="O19" i="8"/>
  <c r="V19" i="8"/>
  <c r="W19" i="8"/>
  <c r="U14" i="8"/>
  <c r="U19" i="8" s="1"/>
  <c r="P15" i="8"/>
  <c r="H19" i="8"/>
  <c r="X19" i="8"/>
  <c r="S19" i="8"/>
  <c r="S23" i="8" s="1"/>
  <c r="Q14" i="8"/>
  <c r="Q19" i="8" s="1"/>
  <c r="AA19" i="8"/>
  <c r="N19" i="8"/>
  <c r="Y107" i="8"/>
  <c r="T15" i="8"/>
  <c r="AP14" i="8"/>
  <c r="AP107" i="8"/>
  <c r="W107" i="8"/>
  <c r="R15" i="8"/>
  <c r="T96" i="8"/>
  <c r="U96" i="8"/>
  <c r="U107" i="8"/>
  <c r="Q96" i="8"/>
  <c r="Y96" i="8"/>
  <c r="T26" i="8"/>
  <c r="T20" i="8"/>
  <c r="P20" i="8"/>
  <c r="P26" i="8"/>
  <c r="P75" i="8" s="1"/>
  <c r="P88" i="8" s="1"/>
  <c r="J26" i="8"/>
  <c r="J75" i="8" s="1"/>
  <c r="J88" i="8" s="1"/>
  <c r="J20" i="8"/>
  <c r="R20" i="8"/>
  <c r="R26" i="8"/>
  <c r="T107" i="8"/>
  <c r="P107" i="8"/>
  <c r="Y19" i="8"/>
  <c r="Y23" i="8" s="1"/>
  <c r="Y15" i="8"/>
  <c r="I26" i="8"/>
  <c r="I75" i="8" s="1"/>
  <c r="I88" i="8" s="1"/>
  <c r="I20" i="8"/>
  <c r="X96" i="8"/>
  <c r="K26" i="8"/>
  <c r="K75" i="8" s="1"/>
  <c r="K88" i="8" s="1"/>
  <c r="K20" i="8"/>
  <c r="T21" i="9"/>
  <c r="T17" i="9"/>
  <c r="AM34" i="9"/>
  <c r="AO33" i="9"/>
  <c r="AN33" i="9"/>
  <c r="AP15" i="9"/>
  <c r="AL15" i="9"/>
  <c r="J21" i="9"/>
  <c r="J17" i="9"/>
  <c r="AF72" i="9"/>
  <c r="AF81" i="9" s="1"/>
  <c r="AJ15" i="9"/>
  <c r="X12" i="9"/>
  <c r="X16" i="9"/>
  <c r="X13" i="9"/>
  <c r="P16" i="9"/>
  <c r="P13" i="9"/>
  <c r="AH15" i="9"/>
  <c r="Z16" i="9"/>
  <c r="AI72" i="9"/>
  <c r="AI81" i="9" s="1"/>
  <c r="AG15" i="9"/>
  <c r="AI15" i="9"/>
  <c r="AL33" i="9"/>
  <c r="AO15" i="9"/>
  <c r="AQ12" i="9"/>
  <c r="AM15" i="9"/>
  <c r="S16" i="9"/>
  <c r="Y13" i="9"/>
  <c r="AK72" i="9"/>
  <c r="AK81" i="9" s="1"/>
  <c r="H21" i="9"/>
  <c r="H17" i="9"/>
  <c r="AN34" i="9"/>
  <c r="AK34" i="9"/>
  <c r="AA12" i="9"/>
  <c r="AA16" i="9"/>
  <c r="AA13" i="9"/>
  <c r="Q16" i="9"/>
  <c r="Q13" i="9"/>
  <c r="T12" i="9"/>
  <c r="R16" i="9"/>
  <c r="K21" i="9"/>
  <c r="K17" i="9"/>
  <c r="V16" i="9"/>
  <c r="I21" i="9"/>
  <c r="I17" i="9"/>
  <c r="AO34" i="9"/>
  <c r="AK33" i="9"/>
  <c r="AI33" i="9"/>
  <c r="N16" i="9"/>
  <c r="AM49" i="8" l="1"/>
  <c r="AM68" i="8"/>
  <c r="G20" i="8"/>
  <c r="U59" i="9"/>
  <c r="AJ59" i="9" s="1"/>
  <c r="U60" i="9"/>
  <c r="AJ60" i="9" s="1"/>
  <c r="Y60" i="9"/>
  <c r="AN60" i="9" s="1"/>
  <c r="Y59" i="9"/>
  <c r="AN59" i="9" s="1"/>
  <c r="Q60" i="9"/>
  <c r="AF60" i="9" s="1"/>
  <c r="Q59" i="9"/>
  <c r="AF59" i="9" s="1"/>
  <c r="AO16" i="9"/>
  <c r="AO21" i="9" s="1"/>
  <c r="H23" i="8"/>
  <c r="H26" i="8" s="1"/>
  <c r="U23" i="8"/>
  <c r="U26" i="8" s="1"/>
  <c r="N23" i="8"/>
  <c r="N26" i="8" s="1"/>
  <c r="W23" i="8"/>
  <c r="W26" i="8" s="1"/>
  <c r="AA23" i="8"/>
  <c r="AA26" i="8" s="1"/>
  <c r="V23" i="8"/>
  <c r="V26" i="8" s="1"/>
  <c r="Q20" i="8"/>
  <c r="Q23" i="8"/>
  <c r="Q26" i="8" s="1"/>
  <c r="O20" i="8"/>
  <c r="O23" i="8"/>
  <c r="O26" i="8" s="1"/>
  <c r="O75" i="8" s="1"/>
  <c r="O88" i="8" s="1"/>
  <c r="X23" i="8"/>
  <c r="X26" i="8" s="1"/>
  <c r="AP66" i="8"/>
  <c r="S26" i="8"/>
  <c r="U66" i="8"/>
  <c r="U68" i="8" s="1"/>
  <c r="Q66" i="8"/>
  <c r="Q68" i="8" s="1"/>
  <c r="Y66" i="8"/>
  <c r="Y68" i="8" s="1"/>
  <c r="AP49" i="8"/>
  <c r="Y17" i="9"/>
  <c r="U17" i="9"/>
  <c r="K30" i="8"/>
  <c r="K33" i="8"/>
  <c r="I30" i="8"/>
  <c r="I33" i="8"/>
  <c r="J33" i="8"/>
  <c r="J30" i="8"/>
  <c r="R30" i="8"/>
  <c r="R33" i="8"/>
  <c r="P30" i="8"/>
  <c r="P33" i="8"/>
  <c r="T33" i="8"/>
  <c r="T30" i="8"/>
  <c r="G116" i="8"/>
  <c r="G33" i="8"/>
  <c r="G30" i="8"/>
  <c r="W21" i="9"/>
  <c r="W22" i="9" s="1"/>
  <c r="AG16" i="9"/>
  <c r="AG17" i="9" s="1"/>
  <c r="AN12" i="9"/>
  <c r="AJ12" i="9"/>
  <c r="AL12" i="9"/>
  <c r="AL16" i="9"/>
  <c r="AL17" i="9" s="1"/>
  <c r="AP12" i="9"/>
  <c r="AK12" i="9"/>
  <c r="AH16" i="9"/>
  <c r="AH17" i="9" s="1"/>
  <c r="AO12" i="9"/>
  <c r="AI16" i="9"/>
  <c r="AI17" i="9" s="1"/>
  <c r="AJ16" i="9"/>
  <c r="AJ21" i="9" s="1"/>
  <c r="O21" i="9"/>
  <c r="O22" i="9" s="1"/>
  <c r="AP19" i="8"/>
  <c r="T27" i="8"/>
  <c r="T75" i="8"/>
  <c r="T88" i="8" s="1"/>
  <c r="K27" i="8"/>
  <c r="K116" i="8"/>
  <c r="I27" i="8"/>
  <c r="I116" i="8"/>
  <c r="J27" i="8"/>
  <c r="J116" i="8"/>
  <c r="R27" i="8"/>
  <c r="R75" i="8"/>
  <c r="R88" i="8" s="1"/>
  <c r="P27" i="8"/>
  <c r="G27" i="8"/>
  <c r="V20" i="8"/>
  <c r="W20" i="8"/>
  <c r="X20" i="8"/>
  <c r="H20" i="8"/>
  <c r="N20" i="8"/>
  <c r="U15" i="8"/>
  <c r="S20" i="8"/>
  <c r="AA20" i="8"/>
  <c r="Q15" i="8"/>
  <c r="AP96" i="8"/>
  <c r="AP15" i="8"/>
  <c r="U20" i="8"/>
  <c r="Y20" i="8"/>
  <c r="Y26" i="8"/>
  <c r="Q107" i="8"/>
  <c r="N21" i="9"/>
  <c r="N17" i="9"/>
  <c r="I25" i="9"/>
  <c r="I22" i="9"/>
  <c r="H25" i="9"/>
  <c r="H22" i="9"/>
  <c r="AM16" i="9"/>
  <c r="AM12" i="9"/>
  <c r="P17" i="9"/>
  <c r="P21" i="9"/>
  <c r="AN21" i="9"/>
  <c r="AN17" i="9"/>
  <c r="V21" i="9"/>
  <c r="V17" i="9"/>
  <c r="Q17" i="9"/>
  <c r="Q21" i="9"/>
  <c r="J25" i="9"/>
  <c r="J22" i="9"/>
  <c r="T25" i="9"/>
  <c r="T22" i="9"/>
  <c r="AA21" i="9"/>
  <c r="AA17" i="9"/>
  <c r="X17" i="9"/>
  <c r="X21" i="9"/>
  <c r="Y25" i="9"/>
  <c r="Y22" i="9"/>
  <c r="U22" i="9"/>
  <c r="U25" i="9"/>
  <c r="AK17" i="9"/>
  <c r="AK21" i="9"/>
  <c r="AP16" i="9"/>
  <c r="K22" i="9"/>
  <c r="K25" i="9"/>
  <c r="Z21" i="9"/>
  <c r="Z17" i="9"/>
  <c r="R21" i="9"/>
  <c r="R17" i="9"/>
  <c r="S21" i="9"/>
  <c r="S17" i="9"/>
  <c r="AF21" i="9"/>
  <c r="AF17" i="9"/>
  <c r="AO17" i="9" l="1"/>
  <c r="AA27" i="8"/>
  <c r="AA75" i="8"/>
  <c r="AQ75" i="8" s="1"/>
  <c r="AA33" i="8"/>
  <c r="AA30" i="8"/>
  <c r="W30" i="8"/>
  <c r="W27" i="8"/>
  <c r="W33" i="8"/>
  <c r="W75" i="8"/>
  <c r="X30" i="8"/>
  <c r="X33" i="8"/>
  <c r="X27" i="8"/>
  <c r="X75" i="8"/>
  <c r="X88" i="8" s="1"/>
  <c r="X116" i="8" s="1"/>
  <c r="N75" i="8"/>
  <c r="N88" i="8" s="1"/>
  <c r="N30" i="8"/>
  <c r="N27" i="8"/>
  <c r="N33" i="8"/>
  <c r="V27" i="8"/>
  <c r="V30" i="8"/>
  <c r="V75" i="8"/>
  <c r="V33" i="8"/>
  <c r="U27" i="8"/>
  <c r="U75" i="8"/>
  <c r="U30" i="8"/>
  <c r="U33" i="8"/>
  <c r="H75" i="8"/>
  <c r="H27" i="8"/>
  <c r="H33" i="8"/>
  <c r="H30" i="8"/>
  <c r="AP23" i="8"/>
  <c r="S27" i="8"/>
  <c r="S75" i="8"/>
  <c r="S88" i="8" s="1"/>
  <c r="S30" i="8"/>
  <c r="S33" i="8"/>
  <c r="AP68" i="8"/>
  <c r="AG21" i="9"/>
  <c r="AG25" i="9" s="1"/>
  <c r="AJ17" i="9"/>
  <c r="W25" i="9"/>
  <c r="W29" i="9" s="1"/>
  <c r="AH21" i="9"/>
  <c r="AH22" i="9" s="1"/>
  <c r="Q30" i="8"/>
  <c r="Q33" i="8"/>
  <c r="O30" i="8"/>
  <c r="O33" i="8"/>
  <c r="Y33" i="8"/>
  <c r="Y30" i="8"/>
  <c r="AL21" i="9"/>
  <c r="AL25" i="9" s="1"/>
  <c r="O25" i="9"/>
  <c r="O29" i="9" s="1"/>
  <c r="AI21" i="9"/>
  <c r="AI22" i="9" s="1"/>
  <c r="AP20" i="8"/>
  <c r="P116" i="8"/>
  <c r="T116" i="8"/>
  <c r="R116" i="8"/>
  <c r="Y27" i="8"/>
  <c r="Y75" i="8"/>
  <c r="Y88" i="8" s="1"/>
  <c r="O27" i="8"/>
  <c r="O116" i="8"/>
  <c r="Q27" i="8"/>
  <c r="Q75" i="8"/>
  <c r="Q88" i="8" s="1"/>
  <c r="K26" i="9"/>
  <c r="K29" i="9"/>
  <c r="S25" i="9"/>
  <c r="S22" i="9"/>
  <c r="Y29" i="9"/>
  <c r="Y26" i="9"/>
  <c r="J26" i="9"/>
  <c r="J29" i="9"/>
  <c r="AN25" i="9"/>
  <c r="AN22" i="9"/>
  <c r="H29" i="9"/>
  <c r="H26" i="9"/>
  <c r="AO22" i="9"/>
  <c r="AO25" i="9"/>
  <c r="AM21" i="9"/>
  <c r="AM17" i="9"/>
  <c r="AK25" i="9"/>
  <c r="AK22" i="9"/>
  <c r="AJ22" i="9"/>
  <c r="AJ25" i="9"/>
  <c r="T26" i="9"/>
  <c r="T29" i="9"/>
  <c r="X22" i="9"/>
  <c r="X25" i="9"/>
  <c r="I29" i="9"/>
  <c r="I26" i="9"/>
  <c r="Z25" i="9"/>
  <c r="Z22" i="9"/>
  <c r="V22" i="9"/>
  <c r="V25" i="9"/>
  <c r="R25" i="9"/>
  <c r="R22" i="9"/>
  <c r="U26" i="9"/>
  <c r="U29" i="9"/>
  <c r="Q25" i="9"/>
  <c r="Q22" i="9"/>
  <c r="AP21" i="9"/>
  <c r="AP17" i="9"/>
  <c r="P22" i="9"/>
  <c r="P25" i="9"/>
  <c r="AF25" i="9"/>
  <c r="AF22" i="9"/>
  <c r="AA25" i="9"/>
  <c r="AA22" i="9"/>
  <c r="N22" i="9"/>
  <c r="N25" i="9"/>
  <c r="AQ88" i="8" l="1"/>
  <c r="U88" i="8"/>
  <c r="U116" i="8" s="1"/>
  <c r="AA88" i="8"/>
  <c r="AA116" i="8" s="1"/>
  <c r="V88" i="8"/>
  <c r="V116" i="8" s="1"/>
  <c r="H88" i="8"/>
  <c r="H116" i="8" s="1"/>
  <c r="W88" i="8"/>
  <c r="W116" i="8" s="1"/>
  <c r="N116" i="8"/>
  <c r="AO75" i="8"/>
  <c r="AO88" i="8" s="1"/>
  <c r="AO116" i="8" s="1"/>
  <c r="AI75" i="8"/>
  <c r="AI88" i="8" s="1"/>
  <c r="AI116" i="8" s="1"/>
  <c r="AK75" i="8"/>
  <c r="AK88" i="8" s="1"/>
  <c r="AK116" i="8" s="1"/>
  <c r="AJ75" i="8"/>
  <c r="AJ88" i="8" s="1"/>
  <c r="AJ116" i="8" s="1"/>
  <c r="S116" i="8"/>
  <c r="AL75" i="8"/>
  <c r="AL88" i="8" s="1"/>
  <c r="AL116" i="8" s="1"/>
  <c r="AH25" i="9"/>
  <c r="AH26" i="9" s="1"/>
  <c r="AP26" i="8"/>
  <c r="AP33" i="8" s="1"/>
  <c r="AH75" i="8"/>
  <c r="AH88" i="8" s="1"/>
  <c r="AH116" i="8" s="1"/>
  <c r="AF75" i="8"/>
  <c r="AF88" i="8" s="1"/>
  <c r="AF116" i="8" s="1"/>
  <c r="AG22" i="9"/>
  <c r="W26" i="9"/>
  <c r="AL22" i="9"/>
  <c r="O26" i="9"/>
  <c r="AI25" i="9"/>
  <c r="AI29" i="9" s="1"/>
  <c r="AG75" i="8"/>
  <c r="AG88" i="8" s="1"/>
  <c r="AG116" i="8" s="1"/>
  <c r="AM75" i="8"/>
  <c r="AM88" i="8" s="1"/>
  <c r="AM116" i="8" s="1"/>
  <c r="Y116" i="8"/>
  <c r="AP75" i="8"/>
  <c r="AN75" i="8"/>
  <c r="AN88" i="8" s="1"/>
  <c r="AN116" i="8" s="1"/>
  <c r="Q116" i="8"/>
  <c r="R29" i="9"/>
  <c r="R26" i="9"/>
  <c r="AL29" i="9"/>
  <c r="AL26" i="9"/>
  <c r="V26" i="9"/>
  <c r="V29" i="9"/>
  <c r="W80" i="9" s="1" a="1"/>
  <c r="W80" i="9" s="1"/>
  <c r="AP22" i="9"/>
  <c r="AP25" i="9"/>
  <c r="O36" i="9"/>
  <c r="O44" i="9" s="1"/>
  <c r="O30" i="9"/>
  <c r="AK29" i="9"/>
  <c r="AK26" i="9"/>
  <c r="AN26" i="9"/>
  <c r="AN29" i="9"/>
  <c r="S29" i="9"/>
  <c r="S26" i="9"/>
  <c r="H79" i="9" a="1"/>
  <c r="H79" i="9" s="1"/>
  <c r="H80" i="9" a="1"/>
  <c r="H80" i="9" s="1"/>
  <c r="H78" i="9"/>
  <c r="H36" i="9"/>
  <c r="H30" i="9"/>
  <c r="H77" i="9"/>
  <c r="H76" i="9"/>
  <c r="J80" i="9" a="1"/>
  <c r="J80" i="9" s="1"/>
  <c r="J78" i="9"/>
  <c r="J79" i="9" a="1"/>
  <c r="J79" i="9" s="1"/>
  <c r="J30" i="9"/>
  <c r="J36" i="9"/>
  <c r="J44" i="9" s="1"/>
  <c r="J76" i="9"/>
  <c r="J77" i="9"/>
  <c r="K79" i="9" a="1"/>
  <c r="K79" i="9" s="1"/>
  <c r="K78" i="9"/>
  <c r="K80" i="9" a="1"/>
  <c r="K80" i="9" s="1"/>
  <c r="K30" i="9"/>
  <c r="K77" i="9"/>
  <c r="K36" i="9"/>
  <c r="K44" i="9" s="1"/>
  <c r="K76" i="9"/>
  <c r="W30" i="9"/>
  <c r="W36" i="9"/>
  <c r="W44" i="9" s="1"/>
  <c r="AA29" i="9"/>
  <c r="AA26" i="9"/>
  <c r="AG26" i="9"/>
  <c r="AG29" i="9"/>
  <c r="Q29" i="9"/>
  <c r="Q26" i="9"/>
  <c r="Z29" i="9"/>
  <c r="Z26" i="9"/>
  <c r="AM25" i="9"/>
  <c r="AM22" i="9"/>
  <c r="AJ29" i="9"/>
  <c r="AJ26" i="9"/>
  <c r="AF26" i="9"/>
  <c r="AF29" i="9"/>
  <c r="U36" i="9"/>
  <c r="U44" i="9" s="1"/>
  <c r="U30" i="9"/>
  <c r="T36" i="9"/>
  <c r="T44" i="9" s="1"/>
  <c r="T30" i="9"/>
  <c r="AO26" i="9"/>
  <c r="AO29" i="9"/>
  <c r="X29" i="9"/>
  <c r="X26" i="9"/>
  <c r="N26" i="9"/>
  <c r="N29" i="9"/>
  <c r="P29" i="9"/>
  <c r="P26" i="9"/>
  <c r="I80" i="9" a="1"/>
  <c r="I80" i="9" s="1"/>
  <c r="I78" i="9"/>
  <c r="I36" i="9"/>
  <c r="I44" i="9" s="1"/>
  <c r="I30" i="9"/>
  <c r="I79" i="9" a="1"/>
  <c r="I79" i="9" s="1"/>
  <c r="I77" i="9"/>
  <c r="I76" i="9"/>
  <c r="Y30" i="9"/>
  <c r="Y36" i="9"/>
  <c r="Y44" i="9" s="1"/>
  <c r="AD77" i="9" l="1"/>
  <c r="AD80" i="9" a="1"/>
  <c r="AD80" i="9" s="1"/>
  <c r="AD79" i="9" a="1"/>
  <c r="AD79" i="9" s="1"/>
  <c r="AD78" i="9" a="1"/>
  <c r="AD78" i="9" s="1"/>
  <c r="AD76" i="9"/>
  <c r="AQ116" i="8"/>
  <c r="AC80" i="9" a="1"/>
  <c r="AC80" i="9" s="1"/>
  <c r="AC79" i="9" a="1"/>
  <c r="AC79" i="9" s="1"/>
  <c r="AC78" i="9" a="1"/>
  <c r="AC78" i="9" s="1"/>
  <c r="AC77" i="9"/>
  <c r="AC76" i="9"/>
  <c r="AP88" i="8"/>
  <c r="AP116" i="8" s="1"/>
  <c r="AH29" i="9"/>
  <c r="AH36" i="9" s="1"/>
  <c r="AP30" i="8"/>
  <c r="AP27" i="8"/>
  <c r="W79" i="9" a="1"/>
  <c r="W79" i="9" s="1"/>
  <c r="H44" i="9"/>
  <c r="H45" i="9" s="1"/>
  <c r="Z79" i="9" a="1"/>
  <c r="Z79" i="9" s="1"/>
  <c r="AB77" i="9"/>
  <c r="AB79" i="9" a="1"/>
  <c r="AB79" i="9" s="1"/>
  <c r="AB76" i="9"/>
  <c r="AB78" i="9" a="1"/>
  <c r="AB78" i="9" s="1"/>
  <c r="AI26" i="9"/>
  <c r="AB80" i="9" a="1"/>
  <c r="AB80" i="9" s="1"/>
  <c r="X79" i="9" a="1"/>
  <c r="X79" i="9" s="1"/>
  <c r="Z77" i="9"/>
  <c r="S80" i="9" a="1"/>
  <c r="S80" i="9" s="1"/>
  <c r="S79" i="9" a="1"/>
  <c r="S79" i="9" s="1"/>
  <c r="S78" i="9" a="1"/>
  <c r="S78" i="9" s="1"/>
  <c r="S76" i="9"/>
  <c r="P36" i="9"/>
  <c r="P44" i="9" s="1"/>
  <c r="P30" i="9"/>
  <c r="S77" i="9"/>
  <c r="R79" i="9" a="1"/>
  <c r="R79" i="9" s="1"/>
  <c r="V36" i="9"/>
  <c r="V44" i="9" s="1"/>
  <c r="Y79" i="9" a="1"/>
  <c r="Y79" i="9" s="1"/>
  <c r="Y78" i="9" a="1"/>
  <c r="Y78" i="9" s="1"/>
  <c r="Y80" i="9" a="1"/>
  <c r="Y80" i="9" s="1"/>
  <c r="V30" i="9"/>
  <c r="Y76" i="9"/>
  <c r="Y77" i="9"/>
  <c r="N36" i="9"/>
  <c r="Q79" i="9" a="1"/>
  <c r="Q79" i="9" s="1"/>
  <c r="Q78" i="9" a="1"/>
  <c r="Q78" i="9" s="1"/>
  <c r="Q80" i="9" a="1"/>
  <c r="Q80" i="9" s="1"/>
  <c r="N30" i="9"/>
  <c r="Q76" i="9"/>
  <c r="Q77" i="9"/>
  <c r="W77" i="9"/>
  <c r="X76" i="9"/>
  <c r="AF36" i="9"/>
  <c r="AF79" i="9" a="1"/>
  <c r="AF79" i="9" s="1"/>
  <c r="AF78" i="9"/>
  <c r="AF30" i="9"/>
  <c r="AF80" i="9" a="1"/>
  <c r="AF80" i="9" s="1"/>
  <c r="AF77" i="9"/>
  <c r="AF76" i="9"/>
  <c r="K45" i="9"/>
  <c r="AN36" i="9"/>
  <c r="AN79" i="9" a="1"/>
  <c r="AN79" i="9" s="1"/>
  <c r="AN78" i="9"/>
  <c r="AN30" i="9"/>
  <c r="AN80" i="9" a="1"/>
  <c r="AN80" i="9" s="1"/>
  <c r="AN77" i="9"/>
  <c r="AN76" i="9"/>
  <c r="O45" i="9"/>
  <c r="W76" i="9"/>
  <c r="T79" i="9" a="1"/>
  <c r="T79" i="9" s="1"/>
  <c r="T78" i="9" a="1"/>
  <c r="T78" i="9" s="1"/>
  <c r="Q36" i="9"/>
  <c r="Q44" i="9" s="1"/>
  <c r="Q30" i="9"/>
  <c r="T80" i="9" a="1"/>
  <c r="T80" i="9" s="1"/>
  <c r="T76" i="9"/>
  <c r="T77" i="9"/>
  <c r="J45" i="9"/>
  <c r="R76" i="9"/>
  <c r="Z36" i="9"/>
  <c r="Z44" i="9" s="1"/>
  <c r="Z30" i="9"/>
  <c r="V78" i="9" a="1"/>
  <c r="V78" i="9" s="1"/>
  <c r="V80" i="9" a="1"/>
  <c r="V80" i="9" s="1"/>
  <c r="S36" i="9"/>
  <c r="S44" i="9" s="1"/>
  <c r="S30" i="9"/>
  <c r="V79" i="9" a="1"/>
  <c r="V79" i="9" s="1"/>
  <c r="V76" i="9"/>
  <c r="V77" i="9"/>
  <c r="X80" i="9" a="1"/>
  <c r="X80" i="9" s="1"/>
  <c r="AG79" i="9" a="1"/>
  <c r="AG79" i="9" s="1"/>
  <c r="AG78" i="9"/>
  <c r="AG80" i="9" a="1"/>
  <c r="AG80" i="9" s="1"/>
  <c r="AG30" i="9"/>
  <c r="AG36" i="9"/>
  <c r="AG77" i="9"/>
  <c r="AG76" i="9"/>
  <c r="Z76" i="9"/>
  <c r="R80" i="9" a="1"/>
  <c r="R80" i="9" s="1"/>
  <c r="AL80" i="9" a="1"/>
  <c r="AL80" i="9" s="1"/>
  <c r="AL36" i="9"/>
  <c r="AL78" i="9"/>
  <c r="AL79" i="9" a="1"/>
  <c r="AL79" i="9" s="1"/>
  <c r="AL76" i="9"/>
  <c r="AL30" i="9"/>
  <c r="AL77" i="9"/>
  <c r="I45" i="9"/>
  <c r="AJ78" i="9"/>
  <c r="AJ79" i="9" a="1"/>
  <c r="AJ79" i="9" s="1"/>
  <c r="AJ36" i="9"/>
  <c r="AJ80" i="9" a="1"/>
  <c r="AJ80" i="9" s="1"/>
  <c r="AJ30" i="9"/>
  <c r="AJ76" i="9"/>
  <c r="AJ77" i="9"/>
  <c r="AK79" i="9" a="1"/>
  <c r="AK79" i="9" s="1"/>
  <c r="AK80" i="9" a="1"/>
  <c r="AK80" i="9" s="1"/>
  <c r="AK78" i="9"/>
  <c r="AK36" i="9"/>
  <c r="AK30" i="9"/>
  <c r="AK76" i="9"/>
  <c r="AK77" i="9"/>
  <c r="R78" i="9" a="1"/>
  <c r="R78" i="9" s="1"/>
  <c r="AA80" i="9" a="1"/>
  <c r="AA80" i="9" s="1"/>
  <c r="AA79" i="9" a="1"/>
  <c r="AA79" i="9" s="1"/>
  <c r="AA78" i="9" a="1"/>
  <c r="AA78" i="9" s="1"/>
  <c r="AA76" i="9"/>
  <c r="X30" i="9"/>
  <c r="X36" i="9"/>
  <c r="X44" i="9" s="1"/>
  <c r="AA77" i="9"/>
  <c r="Y45" i="9"/>
  <c r="W78" i="9" a="1"/>
  <c r="W78" i="9" s="1"/>
  <c r="Z80" i="9" a="1"/>
  <c r="Z80" i="9" s="1"/>
  <c r="AP26" i="9"/>
  <c r="AP29" i="9"/>
  <c r="U79" i="9" a="1"/>
  <c r="U79" i="9" s="1"/>
  <c r="U78" i="9" a="1"/>
  <c r="U78" i="9" s="1"/>
  <c r="U80" i="9" a="1"/>
  <c r="U80" i="9" s="1"/>
  <c r="R36" i="9"/>
  <c r="R44" i="9" s="1"/>
  <c r="R30" i="9"/>
  <c r="U76" i="9"/>
  <c r="U77" i="9"/>
  <c r="X77" i="9"/>
  <c r="AI80" i="9" a="1"/>
  <c r="AI80" i="9" s="1"/>
  <c r="AI78" i="9"/>
  <c r="AI79" i="9" a="1"/>
  <c r="AI79" i="9" s="1"/>
  <c r="AI36" i="9"/>
  <c r="AI30" i="9"/>
  <c r="AI76" i="9"/>
  <c r="AI77" i="9"/>
  <c r="AM29" i="9"/>
  <c r="AM26" i="9"/>
  <c r="AA30" i="9"/>
  <c r="AA36" i="9"/>
  <c r="AA44" i="9" s="1"/>
  <c r="Z78" i="9" a="1"/>
  <c r="Z78" i="9" s="1"/>
  <c r="R77" i="9"/>
  <c r="AO79" i="9" a="1"/>
  <c r="AO79" i="9" s="1"/>
  <c r="AO78" i="9"/>
  <c r="AO80" i="9" a="1"/>
  <c r="AO80" i="9" s="1"/>
  <c r="AO30" i="9"/>
  <c r="AO36" i="9"/>
  <c r="AO76" i="9"/>
  <c r="AO77" i="9"/>
  <c r="X78" i="9" a="1"/>
  <c r="X78" i="9" s="1"/>
  <c r="AH30" i="9" l="1"/>
  <c r="AH77" i="9"/>
  <c r="AR44" i="9"/>
  <c r="AR45" i="9" s="1"/>
  <c r="AH76" i="9"/>
  <c r="AH80" i="9" a="1"/>
  <c r="AH80" i="9" s="1"/>
  <c r="AH78" i="9"/>
  <c r="AH79" i="9" a="1"/>
  <c r="AH79" i="9" s="1"/>
  <c r="AQ44" i="9"/>
  <c r="AQ45" i="9" s="1"/>
  <c r="N44" i="9"/>
  <c r="N45" i="9" s="1"/>
  <c r="Z45" i="9"/>
  <c r="AA45" i="9"/>
  <c r="AP36" i="9"/>
  <c r="AP78" i="9"/>
  <c r="AP80" i="9" a="1"/>
  <c r="AP80" i="9" s="1"/>
  <c r="AP79" i="9" a="1"/>
  <c r="AP79" i="9" s="1"/>
  <c r="AP30" i="9"/>
  <c r="AP77" i="9"/>
  <c r="AP76" i="9"/>
  <c r="X45" i="9"/>
  <c r="P45" i="9"/>
  <c r="W45" i="9"/>
  <c r="AM80" i="9" a="1"/>
  <c r="AM80" i="9" s="1"/>
  <c r="AM79" i="9" a="1"/>
  <c r="AM79" i="9" s="1"/>
  <c r="AM78" i="9"/>
  <c r="AM30" i="9"/>
  <c r="AM36" i="9"/>
  <c r="AM76" i="9"/>
  <c r="AM77" i="9"/>
  <c r="R45" i="9"/>
  <c r="AK44" i="9"/>
  <c r="AK45" i="9" s="1"/>
  <c r="AL44" i="9"/>
  <c r="AL45" i="9" s="1"/>
  <c r="T45" i="9"/>
  <c r="U45" i="9"/>
  <c r="AI44" i="9" l="1"/>
  <c r="AI45" i="9" s="1"/>
  <c r="AO44" i="9"/>
  <c r="AO45" i="9" s="1"/>
  <c r="AN44" i="9"/>
  <c r="AN45" i="9" s="1"/>
  <c r="S45" i="9"/>
  <c r="AH44" i="9"/>
  <c r="AH45" i="9" s="1"/>
  <c r="V45" i="9"/>
  <c r="AJ44" i="9"/>
  <c r="AJ45" i="9" s="1"/>
  <c r="AF44" i="9"/>
  <c r="AF45" i="9" s="1"/>
  <c r="AP44" i="9"/>
  <c r="AP45" i="9" s="1"/>
  <c r="AG44" i="9"/>
  <c r="AG45" i="9" s="1"/>
  <c r="AM44" i="9"/>
  <c r="AM45" i="9" s="1"/>
  <c r="Q45" i="9"/>
  <c r="H111" i="8" l="1"/>
  <c r="G117" i="8"/>
  <c r="G119" i="8" s="1"/>
  <c r="H110" i="8" l="1"/>
  <c r="H112" i="8" s="1"/>
  <c r="H117" i="8" s="1"/>
  <c r="H119" i="8" l="1"/>
  <c r="I110" i="8"/>
  <c r="I112" i="8" l="1"/>
  <c r="I117" i="8" s="1"/>
  <c r="J110" i="8" s="1"/>
  <c r="J112" i="8" s="1"/>
  <c r="J117" i="8" s="1"/>
  <c r="N110" i="8"/>
  <c r="N112" i="8" s="1"/>
  <c r="N117" i="8" s="1"/>
  <c r="I119" i="8" l="1"/>
  <c r="AF110" i="8"/>
  <c r="AF112" i="8" s="1"/>
  <c r="AF117" i="8" s="1"/>
  <c r="AF119" i="8" s="1"/>
  <c r="N119" i="8"/>
  <c r="O110" i="8"/>
  <c r="O112" i="8" s="1"/>
  <c r="O117" i="8" s="1"/>
  <c r="J119" i="8"/>
  <c r="K110" i="8"/>
  <c r="K112" i="8" s="1"/>
  <c r="K117" i="8" s="1"/>
  <c r="K119" i="8" l="1"/>
  <c r="L110" i="8"/>
  <c r="L112" i="8" s="1"/>
  <c r="AG110" i="8"/>
  <c r="AG112" i="8" s="1"/>
  <c r="AG117" i="8" s="1"/>
  <c r="AG119" i="8" s="1"/>
  <c r="P110" i="8"/>
  <c r="P112" i="8" s="1"/>
  <c r="P117" i="8" s="1"/>
  <c r="O119" i="8"/>
  <c r="P119" i="8" l="1"/>
  <c r="AH110" i="8"/>
  <c r="AH112" i="8" s="1"/>
  <c r="AH117" i="8" s="1"/>
  <c r="AH119" i="8" s="1"/>
  <c r="Q110" i="8"/>
  <c r="Q112" i="8" s="1"/>
  <c r="Q117" i="8" s="1"/>
  <c r="AI110" i="8" l="1"/>
  <c r="AI112" i="8" s="1"/>
  <c r="AI117" i="8" s="1"/>
  <c r="AI119" i="8" s="1"/>
  <c r="R110" i="8"/>
  <c r="R112" i="8" s="1"/>
  <c r="R117" i="8" s="1"/>
  <c r="Q119" i="8"/>
  <c r="AJ110" i="8" l="1"/>
  <c r="AJ112" i="8" s="1"/>
  <c r="AJ117" i="8" s="1"/>
  <c r="AJ119" i="8" s="1"/>
  <c r="R119" i="8"/>
  <c r="S110" i="8"/>
  <c r="S112" i="8" s="1"/>
  <c r="S117" i="8" s="1"/>
  <c r="AK110" i="8" l="1"/>
  <c r="AK112" i="8" s="1"/>
  <c r="AK117" i="8" s="1"/>
  <c r="AK119" i="8" s="1"/>
  <c r="T110" i="8"/>
  <c r="T112" i="8" s="1"/>
  <c r="T117" i="8" s="1"/>
  <c r="S119" i="8"/>
  <c r="AL110" i="8" l="1"/>
  <c r="AL112" i="8" s="1"/>
  <c r="AL117" i="8" s="1"/>
  <c r="AL119" i="8" s="1"/>
  <c r="U110" i="8"/>
  <c r="U112" i="8" s="1"/>
  <c r="U117" i="8" s="1"/>
  <c r="T119" i="8"/>
  <c r="AM110" i="8" l="1"/>
  <c r="AM112" i="8" s="1"/>
  <c r="AM117" i="8" s="1"/>
  <c r="AM119" i="8" s="1"/>
  <c r="V110" i="8"/>
  <c r="V112" i="8" s="1"/>
  <c r="V117" i="8" s="1"/>
  <c r="U119" i="8"/>
  <c r="AN110" i="8" l="1"/>
  <c r="AN112" i="8" s="1"/>
  <c r="AN117" i="8" s="1"/>
  <c r="AN119" i="8" s="1"/>
  <c r="V119" i="8"/>
  <c r="W110" i="8"/>
  <c r="W112" i="8" s="1"/>
  <c r="W117" i="8" s="1"/>
  <c r="AO110" i="8" l="1"/>
  <c r="AO112" i="8" s="1"/>
  <c r="AO117" i="8" s="1"/>
  <c r="AO119" i="8" s="1"/>
  <c r="X110" i="8"/>
  <c r="X112" i="8" s="1"/>
  <c r="X117" i="8" s="1"/>
  <c r="W119" i="8"/>
  <c r="AP110" i="8" l="1"/>
  <c r="AP112" i="8" s="1"/>
  <c r="AP117" i="8" s="1"/>
  <c r="AP119" i="8" s="1"/>
  <c r="X119" i="8"/>
  <c r="Y110" i="8"/>
  <c r="Y112" i="8" s="1"/>
  <c r="Y117" i="8" s="1"/>
  <c r="AQ110" i="8" s="1"/>
  <c r="AQ112" i="8" s="1"/>
  <c r="AQ117" i="8" s="1"/>
  <c r="AQ119" i="8" s="1"/>
  <c r="Z110" i="8" l="1"/>
  <c r="Z112" i="8" s="1"/>
  <c r="Z117" i="8" s="1"/>
  <c r="Y119" i="8"/>
  <c r="AA110" i="8" l="1"/>
  <c r="AA112" i="8" s="1"/>
  <c r="AA117" i="8" s="1"/>
  <c r="Z119" i="8"/>
  <c r="AB110" i="8" l="1"/>
  <c r="AB112" i="8" s="1"/>
  <c r="AB117" i="8" s="1"/>
  <c r="AA119" i="8"/>
  <c r="AB119" i="8" l="1"/>
  <c r="AC110" i="8"/>
  <c r="AC112" i="8" s="1"/>
  <c r="AC117" i="8" s="1"/>
  <c r="AC119" i="8" l="1"/>
  <c r="AD110" i="8"/>
  <c r="AD112" i="8" s="1"/>
  <c r="AD117" i="8" s="1"/>
  <c r="AD119" i="8" s="1"/>
  <c r="L117" i="8"/>
  <c r="L119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<sst xmlns="http://schemas.openxmlformats.org/spreadsheetml/2006/main" count="850" uniqueCount="188">
  <si>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</si>
  <si>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</si>
  <si>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</si>
  <si>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</si>
  <si>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</si>
  <si>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</si>
  <si>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</si>
  <si>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</si>
  <si>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</si>
  <si>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</si>
  <si>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</si>
  <si>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</si>
  <si>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</si>
  <si>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Cost of Sales</t>
  </si>
  <si>
    <t>Inventories</t>
  </si>
  <si>
    <t>Changes in assets and liabilities: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</si>
  <si>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</si>
  <si>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</si>
  <si>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</si>
  <si>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</si>
  <si>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</si>
  <si>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</si>
  <si>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</si>
  <si>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</si>
  <si>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</si>
  <si>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</si>
  <si>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</si>
  <si>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1Q22</t>
  </si>
  <si>
    <t>2Q22</t>
  </si>
  <si>
    <t>3Q22</t>
  </si>
  <si>
    <t>4Q22</t>
  </si>
  <si>
    <t>1Q25</t>
  </si>
  <si>
    <t>2Q25</t>
  </si>
  <si>
    <t>Y/Y Growth (%)</t>
  </si>
  <si>
    <t>Q/Q Growth (%)</t>
  </si>
  <si>
    <t>N/A</t>
  </si>
  <si>
    <t>(-) Cost of Sales</t>
  </si>
  <si>
    <t>Gross Margin (%)</t>
  </si>
  <si>
    <t>Earning before Interest &amp; Taxes (EBIT)</t>
  </si>
  <si>
    <t>Operating Margin (%)</t>
  </si>
  <si>
    <t>(+) Depreciation and Amortization</t>
  </si>
  <si>
    <t>EBITDA Margin (%)</t>
  </si>
  <si>
    <t xml:space="preserve">(+) Share-based Compensation 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</si>
  <si>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</si>
  <si>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</si>
  <si>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</si>
  <si>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</si>
  <si>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</si>
  <si>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</si>
  <si>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</si>
  <si>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</si>
  <si>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</si>
  <si>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</si>
  <si>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</si>
  <si>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Receivable</t>
  </si>
  <si>
    <t>Accounts Payable</t>
  </si>
  <si>
    <t>Property Plant, and Equiptment</t>
  </si>
  <si>
    <t>Current Liabilities</t>
  </si>
  <si>
    <t>Summary Debt (BS):</t>
  </si>
  <si>
    <t>CPLTD</t>
  </si>
  <si>
    <t>LTD</t>
  </si>
  <si>
    <t>Total Shareholder Equity</t>
  </si>
  <si>
    <t>Total Book Capitalization</t>
  </si>
  <si>
    <t>Total Leverage</t>
  </si>
  <si>
    <t>Net Leverage (C&amp;CE)</t>
  </si>
  <si>
    <t xml:space="preserve">Interest Coverage </t>
  </si>
  <si>
    <t>Debt Service Coverage</t>
  </si>
  <si>
    <t>Fixed Charge Coverage</t>
  </si>
  <si>
    <t>Debt-to-Book Capitalization</t>
  </si>
  <si>
    <t>Profit From Operations</t>
  </si>
  <si>
    <t>Net loss before provision for income taxes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</si>
  <si>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</si>
  <si>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</si>
  <si>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</si>
  <si>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</si>
  <si>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</si>
  <si>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</si>
  <si>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</si>
  <si>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</si>
  <si>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</si>
  <si>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</si>
  <si>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Common Stock</t>
  </si>
  <si>
    <t>Adjustments to reconcile net income:</t>
  </si>
  <si>
    <t>Other</t>
  </si>
  <si>
    <t>Balance Check</t>
  </si>
  <si>
    <t>Net Change in Cash</t>
  </si>
  <si>
    <t>Inventory</t>
  </si>
  <si>
    <t>Cash paid during the period for:</t>
  </si>
  <si>
    <t xml:space="preserve">Provision for taxes </t>
  </si>
  <si>
    <t>3Q25</t>
  </si>
  <si>
    <t>Net Margin (%)</t>
  </si>
  <si>
    <t>Basic shares</t>
  </si>
  <si>
    <t>Basic EPS</t>
  </si>
  <si>
    <t>Fully Diluted Shares</t>
  </si>
  <si>
    <t>Diluted EPS</t>
  </si>
  <si>
    <t>Segment Anaysis</t>
  </si>
  <si>
    <t>Total Net Revenue</t>
  </si>
  <si>
    <t>(-) Research and Development (R&amp;D)</t>
  </si>
  <si>
    <t xml:space="preserve">(+/-) Other </t>
  </si>
  <si>
    <t>(+/-) Issuance / (Repayment) of Debt</t>
  </si>
  <si>
    <t xml:space="preserve">(+/-) Dividends </t>
  </si>
  <si>
    <t>Credit Metrics</t>
  </si>
  <si>
    <t>Property, plant &amp; equipment</t>
  </si>
  <si>
    <t>Apple Inc. (NASDAQ: AAPL)</t>
  </si>
  <si>
    <t>Other Current Assets</t>
  </si>
  <si>
    <t>Other Assets</t>
  </si>
  <si>
    <t>Other Non-Current Liabilities</t>
  </si>
  <si>
    <t>Long-Term Debt</t>
  </si>
  <si>
    <t>Retained Earnings (Deficit)</t>
  </si>
  <si>
    <t xml:space="preserve">Accumulated Other comprehensive income </t>
  </si>
  <si>
    <t>Treasury Stock</t>
  </si>
  <si>
    <t>Depreciation and Amortization</t>
  </si>
  <si>
    <t>Stock Based Compensation</t>
  </si>
  <si>
    <t>Deferred Taxes</t>
  </si>
  <si>
    <t xml:space="preserve">Other Asset and Other Liabilities </t>
  </si>
  <si>
    <t>Capital Expenditures</t>
  </si>
  <si>
    <t>Proceeds of investments</t>
  </si>
  <si>
    <t>Purchase of Investments</t>
  </si>
  <si>
    <t>Acquisitions/intang assets</t>
  </si>
  <si>
    <t>Proceeds from the issuance of term debt, net</t>
  </si>
  <si>
    <t>Repayments of term debt</t>
  </si>
  <si>
    <t>Issuance of Common</t>
  </si>
  <si>
    <t>Change in commercial paper, net</t>
  </si>
  <si>
    <t>Preferred Stock</t>
  </si>
  <si>
    <t>Dividends</t>
  </si>
  <si>
    <t xml:space="preserve">Research &amp; Development </t>
  </si>
  <si>
    <t>Selling, General &amp; Administrative</t>
  </si>
  <si>
    <t>Other income/(expense), net</t>
  </si>
  <si>
    <t>Cash paid for income taxes, net</t>
  </si>
  <si>
    <t>Cash paid for interest</t>
  </si>
  <si>
    <t>Adjusted Cash Position BOP</t>
  </si>
  <si>
    <t>Adjusted Cash Position EOP</t>
  </si>
  <si>
    <t xml:space="preserve">EOP Restricted Cash Adjustments </t>
  </si>
  <si>
    <t xml:space="preserve">BOP Restricted Cash Adjustments </t>
  </si>
  <si>
    <t>Revenue by End Product</t>
  </si>
  <si>
    <t>Apple Watch</t>
  </si>
  <si>
    <t>iPhone Revenue</t>
  </si>
  <si>
    <t>Mac Revenue</t>
  </si>
  <si>
    <t>iPad Revenue</t>
  </si>
  <si>
    <t>Services Revenue</t>
  </si>
  <si>
    <t>Wearables, Home, and Accessories Revenue</t>
  </si>
  <si>
    <t>(-) Selling, General &amp; Administrative (SG&amp;A)</t>
  </si>
  <si>
    <t xml:space="preserve">(-) Cash Interest </t>
  </si>
  <si>
    <t>(+/-) Proceeds / (Purchases) of Investments</t>
  </si>
  <si>
    <t>(+/-) Proceeds / (Purchases) of Other/Strategic investments</t>
  </si>
  <si>
    <t>(+/-) Issuances / (Share Repurchases)</t>
  </si>
  <si>
    <t>(+/-) Change in commercial paper, net</t>
  </si>
  <si>
    <t>Commerical Paper</t>
  </si>
  <si>
    <t>Term Debt, Current Portion</t>
  </si>
  <si>
    <t>Commercial Paper Outstanding</t>
  </si>
  <si>
    <t>Aggregate Term Debt, Current Portion</t>
  </si>
  <si>
    <t>Aggregate Term Debt, Net of Current Portion</t>
  </si>
  <si>
    <t>Marketable Securities, Current</t>
  </si>
  <si>
    <t>Marketable Securities, Net of Current Portion</t>
  </si>
  <si>
    <t>Income Statement</t>
  </si>
  <si>
    <t xml:space="preserve">Balance Sheet </t>
  </si>
  <si>
    <t>Historical Financials</t>
  </si>
  <si>
    <t>Fiscal Period</t>
  </si>
  <si>
    <t>Fiscal Period End Date</t>
  </si>
  <si>
    <t>iPhone</t>
  </si>
  <si>
    <t>iPad</t>
  </si>
  <si>
    <t>Mac</t>
  </si>
  <si>
    <t xml:space="preserve">Revenues By Region </t>
  </si>
  <si>
    <t>Americas</t>
  </si>
  <si>
    <t>Europe</t>
  </si>
  <si>
    <t>Japan</t>
  </si>
  <si>
    <t>Asia Pacific</t>
  </si>
  <si>
    <t>Variance Check</t>
  </si>
  <si>
    <t>Segments as a % of Total Revenue</t>
  </si>
  <si>
    <t>Y/Y Growth Rates (%)</t>
  </si>
  <si>
    <t>Q/Q Growth Rates (%)</t>
  </si>
  <si>
    <t>Revenue by reportable segment</t>
  </si>
  <si>
    <t>Per Unit Data (k)</t>
  </si>
  <si>
    <t xml:space="preserve">Total Units Sold </t>
  </si>
  <si>
    <t>Total Units Sold per End Market</t>
  </si>
  <si>
    <t>ASP Per End Product</t>
  </si>
  <si>
    <t>($ in Millions)</t>
  </si>
  <si>
    <t xml:space="preserve">Deferred Revenue </t>
  </si>
  <si>
    <t xml:space="preserve">Other Current Liabilities </t>
  </si>
  <si>
    <t xml:space="preserve">EOP FX Adjustments </t>
  </si>
  <si>
    <t>Cash Position BOP</t>
  </si>
  <si>
    <t>Other investing activities</t>
  </si>
  <si>
    <t>4Q25</t>
  </si>
  <si>
    <t>($ in Millions, Except Per Share Data)</t>
  </si>
  <si>
    <t>1Q26</t>
  </si>
  <si>
    <t>Cash and cash equivalents</t>
  </si>
  <si>
    <t>Marketable securities</t>
  </si>
  <si>
    <t>Accounts receivable, 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</si>
</sst>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$&quot;#,##0_);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0.0%"/>
    <numFmt numFmtId="167" formatCode="#,##0.0%;\(#,##0.0%\)"/>
    <numFmt numFmtId="168" formatCode="#,##0.0&quot;bps&quot;_);\(#,##0.0&quot;bps&quot;\)"/>
    <numFmt numFmtId="169" formatCode="#,##0.00&quot;bps&quot;_);\(#,##0.00&quot;bps&quot;\)"/>
    <numFmt numFmtId="170" formatCode="_(* #,##0.00&quot;x&quot;_);_(* \(#,##0.00&quot;x&quot;\);_(* &quot;-&quot;_);_(@_)"/>
    <numFmt numFmtId="175" formatCode="0.0%_);\(0.0%\);@_)"/>
    <numFmt numFmtId="178" formatCode="_(* #,##0.0000_);_(* \(#,##0.0000\);_(* &quot;-&quot;??_);_(@_)"/>
    <numFmt numFmtId="179" formatCode="_(* #,##0.00000_);_(* \(#,##0.00000\);_(* &quot;-&quot;??_);_(@_)"/>
    <numFmt numFmtId="180" formatCode="_(* #,##0.0_);_(* \(#,##0.0\);_(* &quot;-&quot;??_);_(@_)"/>
  </numFmts>
  <fonts count="3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b/>
      <sz val="9"/>
      <color rgb="FF0000FF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sz val="10"/>
      <name val="GillSans"/>
      <family val="2"/>
    </font>
    <font>
      <u/>
      <sz val="10"/>
      <color indexed="12"/>
      <name val="Arial Narrow MT"/>
      <family val="2"/>
    </font>
    <font>
      <u/>
      <sz val="10"/>
      <color theme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0" fillId="0" borderId="0"/>
    <xf numFmtId="0" fontId="27" fillId="0" borderId="0" applyNumberFormat="0" applyFont="0" applyFill="0" applyBorder="0" applyAlignment="0" applyProtection="0"/>
    <xf numFmtId="0" fontId="27" fillId="0" borderId="0" applyNumberFormat="0" applyFill="0" applyBorder="0" applyAlignment="0" applyProtection="0"/>
    <xf numFmtId="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5" fontId="28" fillId="0" borderId="0" applyFont="0" applyFill="0" applyBorder="0" applyAlignment="0" applyProtection="0"/>
    <xf numFmtId="42" fontId="28" fillId="0" borderId="0" applyFont="0" applyFill="0" applyBorder="0" applyAlignment="0" applyProtection="0"/>
    <xf numFmtId="0" fontId="29" fillId="0" borderId="0" applyNumberFormat="0" applyFill="0" applyBorder="0">
      <protection locked="0"/>
    </xf>
    <xf numFmtId="41" fontId="28" fillId="0" borderId="0" applyFont="0" applyFill="0" applyBorder="0" applyAlignment="0" applyProtection="0"/>
    <xf numFmtId="0" fontId="1" fillId="0" borderId="0"/>
    <xf numFmtId="0" fontId="30" fillId="0" borderId="0" applyNumberFormat="0" applyFill="0" applyBorder="0" applyAlignment="0" applyProtection="0"/>
  </cellStyleXfs>
  <cellXfs count="163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4" fillId="3" borderId="0" xfId="0" applyFont="1" applyFill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7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7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7" fontId="10" fillId="0" borderId="0" xfId="1" applyNumberFormat="1" applyFont="1" applyBorder="1" applyAlignment="1">
      <alignment horizontal="right" vertical="center" wrapText="1"/>
    </xf>
    <xf numFmtId="168" fontId="9" fillId="3" borderId="0" xfId="1" applyNumberFormat="1" applyFont="1" applyFill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4" fillId="0" borderId="0" xfId="0" quotePrefix="1" applyFont="1" applyAlignment="1">
      <alignment wrapText="1"/>
    </xf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7" fontId="7" fillId="0" borderId="0" xfId="1" applyNumberFormat="1" applyFont="1" applyBorder="1" applyAlignment="1">
      <alignment horizontal="right" vertical="center" wrapText="1"/>
    </xf>
    <xf numFmtId="37" fontId="15" fillId="0" borderId="0" xfId="0" applyNumberFormat="1" applyFont="1"/>
    <xf numFmtId="37" fontId="6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8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4" fillId="0" borderId="0" xfId="0" applyNumberFormat="1" applyFont="1"/>
    <xf numFmtId="37" fontId="19" fillId="0" borderId="0" xfId="2" applyNumberFormat="1" applyFont="1" applyFill="1" applyBorder="1" applyAlignment="1">
      <alignment wrapText="1"/>
    </xf>
    <xf numFmtId="37" fontId="12" fillId="0" borderId="0" xfId="2" applyNumberFormat="1" applyFont="1" applyFill="1" applyBorder="1" applyAlignment="1">
      <alignment wrapText="1"/>
    </xf>
    <xf numFmtId="37" fontId="12" fillId="0" borderId="0" xfId="2" applyNumberFormat="1" applyFont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1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vertical="top" wrapText="1"/>
    </xf>
    <xf numFmtId="43" fontId="22" fillId="0" borderId="0" xfId="0" applyNumberFormat="1" applyFont="1" applyAlignment="1">
      <alignment wrapText="1"/>
    </xf>
    <xf numFmtId="0" fontId="23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7" fontId="7" fillId="4" borderId="0" xfId="1" applyNumberFormat="1" applyFont="1" applyFill="1" applyBorder="1" applyAlignment="1">
      <alignment horizontal="right" vertical="center" wrapText="1"/>
    </xf>
    <xf numFmtId="167" fontId="9" fillId="4" borderId="0" xfId="1" applyNumberFormat="1" applyFont="1" applyFill="1" applyBorder="1" applyAlignment="1">
      <alignment horizontal="right" vertical="center" wrapText="1"/>
    </xf>
    <xf numFmtId="169" fontId="9" fillId="4" borderId="0" xfId="1" applyNumberFormat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0" borderId="5" xfId="0" applyFont="1" applyBorder="1" applyAlignment="1">
      <alignment vertical="top" wrapText="1"/>
    </xf>
    <xf numFmtId="0" fontId="25" fillId="0" borderId="0" xfId="0" applyFont="1" applyAlignment="1">
      <alignment horizontal="right" vertical="center" wrapText="1"/>
    </xf>
    <xf numFmtId="41" fontId="25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70" fontId="4" fillId="0" borderId="0" xfId="0" applyNumberFormat="1" applyFont="1"/>
    <xf numFmtId="0" fontId="6" fillId="0" borderId="0" xfId="0" applyFont="1"/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2" fillId="0" borderId="6" xfId="0" applyNumberFormat="1" applyFont="1" applyBorder="1" applyAlignment="1">
      <alignment wrapText="1"/>
    </xf>
    <xf numFmtId="179" fontId="22" fillId="0" borderId="6" xfId="0" applyNumberFormat="1" applyFont="1" applyBorder="1" applyAlignment="1">
      <alignment wrapText="1"/>
    </xf>
    <xf numFmtId="178" fontId="22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180" fontId="22" fillId="0" borderId="6" xfId="0" applyNumberFormat="1" applyFont="1" applyBorder="1" applyAlignment="1">
      <alignment wrapText="1"/>
    </xf>
    <xf numFmtId="0" fontId="4" fillId="0" borderId="6" xfId="0" applyFont="1" applyBorder="1" applyAlignment="1">
      <alignment wrapText="1"/>
    </xf>
    <xf numFmtId="41" fontId="8" fillId="0" borderId="8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0" fontId="22" fillId="0" borderId="7" xfId="0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1" fontId="6" fillId="0" borderId="10" xfId="0" applyNumberFormat="1" applyFont="1" applyBorder="1" applyAlignment="1">
      <alignment horizontal="right" vertical="top" wrapText="1"/>
    </xf>
    <xf numFmtId="41" fontId="26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0" fontId="2" fillId="7" borderId="0" xfId="0" applyFont="1" applyFill="1" applyAlignment="1">
      <alignment vertical="center" wrapText="1"/>
    </xf>
    <xf numFmtId="0" fontId="3" fillId="7" borderId="0" xfId="0" applyFont="1" applyFill="1" applyAlignment="1">
      <alignment vertical="center" wrapText="1"/>
    </xf>
    <xf numFmtId="167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 wrapText="1"/>
    </xf>
    <xf numFmtId="0" fontId="2" fillId="8" borderId="0" xfId="0" applyFont="1" applyFill="1" applyAlignment="1">
      <alignment vertical="center" wrapText="1"/>
    </xf>
    <xf numFmtId="0" fontId="2" fillId="8" borderId="3" xfId="0" applyFont="1" applyFill="1" applyBorder="1" applyAlignment="1">
      <alignment horizontal="centerContinuous" vertical="center" wrapText="1"/>
    </xf>
    <xf numFmtId="0" fontId="4" fillId="8" borderId="0" xfId="0" applyFont="1" applyFill="1" applyAlignment="1">
      <alignment wrapText="1"/>
    </xf>
    <xf numFmtId="0" fontId="5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vertical="center" wrapText="1"/>
    </xf>
    <xf numFmtId="0" fontId="5" fillId="8" borderId="0" xfId="0" applyFont="1" applyFill="1" applyAlignment="1">
      <alignment vertical="center" wrapText="1"/>
    </xf>
    <xf numFmtId="14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vertical="center" wrapText="1"/>
    </xf>
    <xf numFmtId="5" fontId="8" fillId="9" borderId="0" xfId="0" applyNumberFormat="1" applyFont="1" applyFill="1" applyAlignment="1">
      <alignment horizontal="right" vertical="top" wrapText="1"/>
    </xf>
    <xf numFmtId="9" fontId="10" fillId="0" borderId="2" xfId="1" applyFont="1" applyBorder="1" applyAlignment="1">
      <alignment horizontal="right"/>
    </xf>
    <xf numFmtId="9" fontId="10" fillId="0" borderId="0" xfId="1" applyFont="1" applyBorder="1" applyAlignment="1">
      <alignment horizontal="right"/>
    </xf>
    <xf numFmtId="9" fontId="10" fillId="0" borderId="5" xfId="1" applyFont="1" applyBorder="1" applyAlignment="1">
      <alignment horizontal="right"/>
    </xf>
    <xf numFmtId="0" fontId="24" fillId="6" borderId="12" xfId="0" applyFont="1" applyFill="1" applyBorder="1" applyAlignment="1">
      <alignment horizontal="left" indent="1"/>
    </xf>
    <xf numFmtId="0" fontId="24" fillId="6" borderId="14" xfId="0" applyFont="1" applyFill="1" applyBorder="1" applyAlignment="1">
      <alignment horizontal="left" indent="1"/>
    </xf>
    <xf numFmtId="166" fontId="10" fillId="0" borderId="0" xfId="1" applyNumberFormat="1" applyFont="1" applyBorder="1" applyAlignment="1">
      <alignment horizontal="right"/>
    </xf>
    <xf numFmtId="175" fontId="10" fillId="0" borderId="0" xfId="1" applyNumberFormat="1" applyFont="1" applyBorder="1" applyAlignment="1">
      <alignment horizontal="right"/>
    </xf>
    <xf numFmtId="175" fontId="10" fillId="0" borderId="5" xfId="1" applyNumberFormat="1" applyFont="1" applyBorder="1" applyAlignment="1">
      <alignment horizontal="right"/>
    </xf>
    <xf numFmtId="0" fontId="23" fillId="6" borderId="12" xfId="0" applyFont="1" applyFill="1" applyBorder="1"/>
    <xf numFmtId="9" fontId="10" fillId="0" borderId="15" xfId="1" applyFont="1" applyBorder="1" applyAlignment="1">
      <alignment horizontal="right"/>
    </xf>
    <xf numFmtId="0" fontId="23" fillId="6" borderId="13" xfId="0" applyFont="1" applyFill="1" applyBorder="1"/>
    <xf numFmtId="9" fontId="10" fillId="0" borderId="11" xfId="1" applyFont="1" applyBorder="1" applyAlignment="1">
      <alignment horizontal="right"/>
    </xf>
    <xf numFmtId="166" fontId="10" fillId="0" borderId="15" xfId="1" applyNumberFormat="1" applyFont="1" applyBorder="1" applyAlignment="1">
      <alignment horizontal="right"/>
    </xf>
    <xf numFmtId="175" fontId="10" fillId="0" borderId="15" xfId="1" applyNumberFormat="1" applyFont="1" applyBorder="1" applyAlignment="1">
      <alignment horizontal="right"/>
    </xf>
    <xf numFmtId="175" fontId="10" fillId="0" borderId="16" xfId="1" applyNumberFormat="1" applyFont="1" applyBorder="1" applyAlignment="1">
      <alignment horizontal="right"/>
    </xf>
    <xf numFmtId="0" fontId="3" fillId="2" borderId="0" xfId="0" applyFont="1" applyFill="1" applyAlignment="1">
      <alignment vertical="center"/>
    </xf>
    <xf numFmtId="0" fontId="7" fillId="0" borderId="8" xfId="0" applyFont="1" applyBorder="1" applyAlignment="1">
      <alignment horizontal="right" vertical="center" wrapText="1"/>
    </xf>
    <xf numFmtId="41" fontId="11" fillId="0" borderId="10" xfId="0" applyNumberFormat="1" applyFont="1" applyBorder="1" applyAlignment="1">
      <alignment horizontal="right" vertical="top" wrapText="1"/>
    </xf>
    <xf numFmtId="5" fontId="25" fillId="0" borderId="0" xfId="0" applyNumberFormat="1" applyFont="1" applyAlignment="1">
      <alignment horizontal="right" vertical="center" wrapText="1"/>
    </xf>
    <xf numFmtId="5" fontId="8" fillId="5" borderId="2" xfId="0" applyNumberFormat="1" applyFont="1" applyFill="1" applyBorder="1" applyAlignment="1">
      <alignment horizontal="right" vertical="top" wrapText="1"/>
    </xf>
    <xf numFmtId="37" fontId="8" fillId="3" borderId="2" xfId="0" applyNumberFormat="1" applyFont="1" applyFill="1" applyBorder="1" applyAlignment="1">
      <alignment horizontal="right" vertical="top" wrapText="1"/>
    </xf>
    <xf numFmtId="168" fontId="7" fillId="3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5" fontId="8" fillId="5" borderId="0" xfId="0" applyNumberFormat="1" applyFont="1" applyFill="1" applyBorder="1" applyAlignment="1">
      <alignment horizontal="right" vertical="top" wrapText="1"/>
    </xf>
    <xf numFmtId="41" fontId="11" fillId="0" borderId="0" xfId="0" applyNumberFormat="1" applyFont="1" applyFill="1" applyAlignment="1">
      <alignment horizontal="right" vertical="top" wrapText="1"/>
    </xf>
    <xf numFmtId="41" fontId="6" fillId="0" borderId="0" xfId="0" applyNumberFormat="1" applyFont="1" applyFill="1" applyAlignment="1">
      <alignment horizontal="right" vertical="top" wrapText="1"/>
    </xf>
    <xf numFmtId="41" fontId="6" fillId="0" borderId="0" xfId="0" applyNumberFormat="1" applyFont="1" applyBorder="1" applyAlignment="1">
      <alignment horizontal="right" vertical="top" wrapText="1"/>
    </xf>
    <xf numFmtId="37" fontId="4" fillId="0" borderId="0" xfId="0" applyNumberFormat="1" applyFont="1" applyBorder="1" applyAlignment="1">
      <alignment wrapText="1"/>
    </xf>
    <xf numFmtId="180" fontId="22" fillId="0" borderId="0" xfId="0" applyNumberFormat="1" applyFont="1" applyBorder="1" applyAlignment="1">
      <alignment wrapText="1"/>
    </xf>
  </cellXfs>
  <cellStyles count="14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Comma [0] 2" xfId="11" xr:uid="{BDE7212B-D1B3-496E-BCDA-953C3506620C}"/>
    <cellStyle name="Comma 2" xfId="7" xr:uid="{DB5BEC9A-0B5E-4A8A-8948-B23EED3B8D63}"/>
    <cellStyle name="Currency [0] 2" xfId="9" xr:uid="{BBBE41B8-518A-4376-890F-5FC8D27CFA47}"/>
    <cellStyle name="Currency 2" xfId="8" xr:uid="{E5471D50-9525-4504-9CEB-CEF0D46054B5}"/>
    <cellStyle name="Hyperlink 2" xfId="10" xr:uid="{B5070B12-4E72-4158-BE36-0E42A92EC131}"/>
    <cellStyle name="Hyperlink 2 2" xfId="13" xr:uid="{181D088A-619D-4E9B-98C1-749B071C4654}"/>
    <cellStyle name="Normal" xfId="0" builtinId="0"/>
    <cellStyle name="Normal 2" xfId="5" xr:uid="{6F008E06-22BA-4329-A7F8-95C63A5512E3}"/>
    <cellStyle name="Normal 2 2 2" xfId="12" xr:uid="{96F2B2BF-FC68-4634-B2C3-7C4B4F2F1D0F}"/>
    <cellStyle name="Percent" xfId="1" builtinId="5"/>
    <cellStyle name="Percent 2" xfId="6" xr:uid="{E0A4DE01-79E4-4846-AF37-608F68CA4E90}"/>
  </cellStyles>
  <dxfs count="0"/>
  <tableStyles count="0" defaultTableStyle="TableStyleMedium2" defaultPivotStyle="PivotStyleLight16"/>
  <colors>
    <mruColors>
      <color rgb="FF00B03C"/>
      <color rgb="FF0000C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  <pageSetUpPr autoPageBreaks="0"/>
  </sheetPr>
  <dimension ref="A2:AT137"/>
  <sheetViews>
    <sheetView showGridLines="0" zoomScale="115" zoomScaleNormal="115" workbookViewId="0">
      <selection activeCell="B15" sqref="B15"/>
    </sheetView>
  </sheetViews>
  <sheetFormatPr defaultRowHeight="12" outlineLevelCol="1"/>
  <cols>
    <col min="1" max="1" width="1.625" style="5" bestFit="1" customWidth="1"/>
    <col min="2" max="2" width="43.25" style="5" bestFit="1" customWidth="1"/>
    <col min="3" max="8" width="8.625" style="5" hidden="1" customWidth="1" outlineLevel="1"/>
    <col min="9" max="9" width="8.75" style="5" hidden="1" customWidth="1" outlineLevel="1"/>
    <col min="10" max="10" width="8.75" style="5" bestFit="1" customWidth="1" collapsed="1"/>
    <col min="11" max="12" width="9.5" style="5" bestFit="1" customWidth="1"/>
    <col min="13" max="13" width="1.5" style="5" customWidth="1"/>
    <col min="14" max="14" width="8.625" style="5" hidden="1" customWidth="1" outlineLevel="1"/>
    <col min="15" max="16" width="7.875" style="5" hidden="1" customWidth="1" outlineLevel="1"/>
    <col min="17" max="18" width="8.625" style="5" hidden="1" customWidth="1" outlineLevel="1"/>
    <col min="19" max="19" width="8" style="5" hidden="1" customWidth="1" outlineLevel="1"/>
    <col min="20" max="20" width="8.25" style="5" hidden="1" customWidth="1" outlineLevel="1"/>
    <col min="21" max="23" width="8.625" style="5" hidden="1" customWidth="1" outlineLevel="1"/>
    <col min="24" max="24" width="8.75" style="5" hidden="1" customWidth="1" outlineLevel="1"/>
    <col min="25" max="25" width="9.5" style="5" hidden="1" customWidth="1" outlineLevel="1" collapsed="1"/>
    <col min="26" max="26" width="9.5" style="5" bestFit="1" customWidth="1" collapsed="1"/>
    <col min="27" max="30" width="9.5" style="5" bestFit="1" customWidth="1"/>
    <col min="31" max="31" width="1.5" style="5" customWidth="1"/>
    <col min="32" max="37" width="9" style="5" hidden="1" customWidth="1" outlineLevel="1"/>
    <col min="38" max="38" width="9" style="5" hidden="1" customWidth="1" outlineLevel="1" collapsed="1"/>
    <col min="39" max="39" width="9" style="5" hidden="1" customWidth="1" outlineLevel="1"/>
    <col min="40" max="40" width="9" style="5" customWidth="1" collapsed="1"/>
    <col min="41" max="43" width="9" style="5" hidden="1" customWidth="1" outlineLevel="1"/>
    <col min="44" max="44" width="9" style="5" bestFit="1" customWidth="1" collapsed="1"/>
    <col min="45" max="45" width="1.25" style="5" customWidth="1"/>
    <col min="46" max="46" width="8.125" style="5" bestFit="1" customWidth="1"/>
    <col min="47" max="47" width="1.375" style="5" customWidth="1"/>
    <col min="48" max="16384" width="9" style="5"/>
  </cols>
  <sheetData>
    <row r="2" spans="1:46" ht="12.75" customHeight="1">
      <c r="B2" s="1" t="s">
        <v>103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3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3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3"/>
      <c r="AT2" s="1"/>
    </row>
    <row r="3" spans="1:46" ht="12.75" customHeight="1">
      <c r="B3" s="6" t="s">
        <v>156</v>
      </c>
      <c r="C3" s="7"/>
      <c r="D3" s="7"/>
      <c r="E3" s="7"/>
      <c r="F3" s="7"/>
      <c r="G3" s="7"/>
      <c r="H3" s="7"/>
      <c r="I3" s="7"/>
      <c r="J3" s="7"/>
      <c r="K3" s="7"/>
      <c r="L3" s="7"/>
      <c r="M3" s="3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3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3"/>
      <c r="AT3" s="1"/>
    </row>
    <row r="4" spans="1:46" ht="12.75" customHeight="1">
      <c r="B4" s="6" t="s">
        <v>183</v>
      </c>
      <c r="C4" s="3"/>
      <c r="D4" s="3"/>
      <c r="E4" s="3"/>
      <c r="F4" s="3"/>
      <c r="G4" s="3"/>
      <c r="H4" s="3"/>
      <c r="I4" s="3"/>
      <c r="J4" s="99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1"/>
    </row>
    <row r="6" spans="1:46" ht="12.75" customHeight="1">
      <c r="A6" s="5" t="s">
        <v>19</v>
      </c>
      <c r="B6" s="1" t="s">
        <v>154</v>
      </c>
      <c r="C6" s="2" t="s">
        <v>0</v>
      </c>
      <c r="D6" s="2"/>
      <c r="E6" s="2"/>
      <c r="F6" s="2" t="s">
        <v>0</v>
      </c>
      <c r="G6" s="2" t="s">
        <v>0</v>
      </c>
      <c r="H6" s="2"/>
      <c r="I6" s="2"/>
      <c r="J6" s="2" t="s">
        <v>0</v>
      </c>
      <c r="K6" s="2"/>
      <c r="L6" s="2"/>
      <c r="M6" s="3"/>
      <c r="N6" s="2" t="s">
        <v>1</v>
      </c>
      <c r="O6" s="2"/>
      <c r="P6" s="2"/>
      <c r="Q6" s="2"/>
      <c r="R6" s="2"/>
      <c r="S6" s="2"/>
      <c r="T6" s="2" t="s">
        <v>1</v>
      </c>
      <c r="U6" s="2"/>
      <c r="V6" s="2"/>
      <c r="W6" s="2"/>
      <c r="X6" s="2"/>
      <c r="Y6" s="2" t="s">
        <v>1</v>
      </c>
      <c r="Z6" s="2" t="s">
        <v>1</v>
      </c>
      <c r="AA6" s="2"/>
      <c r="AB6" s="2"/>
      <c r="AC6" s="2"/>
      <c r="AD6" s="2"/>
      <c r="AE6" s="3"/>
      <c r="AF6" s="2"/>
      <c r="AG6" s="2"/>
      <c r="AH6" s="2"/>
      <c r="AI6" s="2"/>
      <c r="AJ6" s="2"/>
      <c r="AK6" s="2"/>
      <c r="AL6" s="2" t="s">
        <v>10</v>
      </c>
      <c r="AM6" s="2"/>
      <c r="AN6" s="2" t="s">
        <v>10</v>
      </c>
      <c r="AO6" s="2"/>
      <c r="AP6" s="2"/>
      <c r="AQ6" s="2"/>
      <c r="AR6" s="2"/>
      <c r="AS6" s="41"/>
      <c r="AT6" s="154" t="s">
        <v>25</v>
      </c>
    </row>
    <row r="7" spans="1:46" ht="12.75" customHeight="1">
      <c r="B7" s="6" t="s">
        <v>157</v>
      </c>
      <c r="C7" s="7">
        <v>2016</v>
      </c>
      <c r="D7" s="7">
        <v>2017</v>
      </c>
      <c r="E7" s="7">
        <v>2018</v>
      </c>
      <c r="F7" s="7">
        <v>2019</v>
      </c>
      <c r="G7" s="7">
        <v>2020</v>
      </c>
      <c r="H7" s="7">
        <v>2021</v>
      </c>
      <c r="I7" s="7">
        <v>2022</v>
      </c>
      <c r="J7" s="7">
        <v>2023</v>
      </c>
      <c r="K7" s="7">
        <v>2024</v>
      </c>
      <c r="L7" s="7">
        <v>2025</v>
      </c>
      <c r="M7" s="3"/>
      <c r="N7" s="4" t="s">
        <v>27</v>
      </c>
      <c r="O7" s="4" t="s">
        <v>28</v>
      </c>
      <c r="P7" s="4" t="s">
        <v>29</v>
      </c>
      <c r="Q7" s="4" t="s">
        <v>30</v>
      </c>
      <c r="R7" s="4" t="s">
        <v>6</v>
      </c>
      <c r="S7" s="4" t="s">
        <v>7</v>
      </c>
      <c r="T7" s="4" t="s">
        <v>8</v>
      </c>
      <c r="U7" s="4" t="s">
        <v>9</v>
      </c>
      <c r="V7" s="4" t="s">
        <v>2</v>
      </c>
      <c r="W7" s="4" t="s">
        <v>3</v>
      </c>
      <c r="X7" s="4" t="s">
        <v>4</v>
      </c>
      <c r="Y7" s="4" t="s">
        <v>5</v>
      </c>
      <c r="Z7" s="4" t="s">
        <v>31</v>
      </c>
      <c r="AA7" s="4" t="s">
        <v>32</v>
      </c>
      <c r="AB7" s="4" t="s">
        <v>89</v>
      </c>
      <c r="AC7" s="4" t="s">
        <v>182</v>
      </c>
      <c r="AD7" s="4" t="s">
        <v>184</v>
      </c>
      <c r="AE7" s="3"/>
      <c r="AF7" s="4" t="str">
        <f t="shared" ref="AF7:AF8" si="0">R7</f>
        <v>1Q23</v>
      </c>
      <c r="AG7" s="4" t="str">
        <f t="shared" ref="AG7:AG8" si="1">S7</f>
        <v>2Q23</v>
      </c>
      <c r="AH7" s="4" t="str">
        <f t="shared" ref="AH7:AH8" si="2">T7</f>
        <v>3Q23</v>
      </c>
      <c r="AI7" s="4" t="str">
        <f t="shared" ref="AI7:AI8" si="3">U7</f>
        <v>4Q23</v>
      </c>
      <c r="AJ7" s="4" t="str">
        <f t="shared" ref="AJ7:AJ8" si="4">V7</f>
        <v>1Q24</v>
      </c>
      <c r="AK7" s="4" t="str">
        <f t="shared" ref="AK7:AK8" si="5">W7</f>
        <v>2Q24</v>
      </c>
      <c r="AL7" s="4" t="str">
        <f t="shared" ref="AL7:AL8" si="6">X7</f>
        <v>3Q24</v>
      </c>
      <c r="AM7" s="4" t="str">
        <f t="shared" ref="AM7:AM8" si="7">Y7</f>
        <v>4Q24</v>
      </c>
      <c r="AN7" s="4" t="str">
        <f t="shared" ref="AN7:AN8" si="8">Z7</f>
        <v>1Q25</v>
      </c>
      <c r="AO7" s="4" t="str">
        <f t="shared" ref="AO7:AO8" si="9">AA7</f>
        <v>2Q25</v>
      </c>
      <c r="AP7" s="4" t="str">
        <f>AB7</f>
        <v>3Q25</v>
      </c>
      <c r="AQ7" s="4" t="str">
        <f>AC7</f>
        <v>4Q25</v>
      </c>
      <c r="AR7" s="4" t="str">
        <f>AD7</f>
        <v>1Q26</v>
      </c>
      <c r="AS7" s="41"/>
      <c r="AT7" s="154"/>
    </row>
    <row r="8" spans="1:46" ht="12.75" customHeight="1">
      <c r="B8" s="6" t="s">
        <v>158</v>
      </c>
      <c r="C8" s="3">
        <v>42643</v>
      </c>
      <c r="D8" s="3">
        <v>43008</v>
      </c>
      <c r="E8" s="3">
        <v>43372</v>
      </c>
      <c r="F8" s="3">
        <v>43737</v>
      </c>
      <c r="G8" s="3">
        <v>44104</v>
      </c>
      <c r="H8" s="3">
        <v>44469</v>
      </c>
      <c r="I8" s="3">
        <v>44834</v>
      </c>
      <c r="J8" s="99">
        <v>45192</v>
      </c>
      <c r="K8" s="3">
        <v>45559</v>
      </c>
      <c r="L8" s="3">
        <v>45927</v>
      </c>
      <c r="M8" s="3"/>
      <c r="N8" s="3">
        <v>44560</v>
      </c>
      <c r="O8" s="3">
        <v>44650</v>
      </c>
      <c r="P8" s="3">
        <v>44742</v>
      </c>
      <c r="Q8" s="3">
        <f>I8</f>
        <v>44834</v>
      </c>
      <c r="R8" s="3">
        <v>44917</v>
      </c>
      <c r="S8" s="3">
        <v>45008</v>
      </c>
      <c r="T8" s="3">
        <v>45100</v>
      </c>
      <c r="U8" s="3">
        <f>J8</f>
        <v>45192</v>
      </c>
      <c r="V8" s="3">
        <v>45283</v>
      </c>
      <c r="W8" s="3">
        <v>45375</v>
      </c>
      <c r="X8" s="3">
        <v>45467</v>
      </c>
      <c r="Y8" s="3">
        <f>K8</f>
        <v>45559</v>
      </c>
      <c r="Z8" s="3">
        <v>45650</v>
      </c>
      <c r="AA8" s="3">
        <v>45741</v>
      </c>
      <c r="AB8" s="3">
        <v>45833</v>
      </c>
      <c r="AC8" s="3">
        <f>L8</f>
        <v>45927</v>
      </c>
      <c r="AD8" s="3">
        <v>46018</v>
      </c>
      <c r="AE8" s="3"/>
      <c r="AF8" s="3">
        <f t="shared" si="0"/>
        <v>44917</v>
      </c>
      <c r="AG8" s="3">
        <f t="shared" si="1"/>
        <v>45008</v>
      </c>
      <c r="AH8" s="3">
        <f t="shared" si="2"/>
        <v>45100</v>
      </c>
      <c r="AI8" s="3">
        <f t="shared" si="3"/>
        <v>45192</v>
      </c>
      <c r="AJ8" s="3">
        <f t="shared" si="4"/>
        <v>45283</v>
      </c>
      <c r="AK8" s="3">
        <f t="shared" si="5"/>
        <v>45375</v>
      </c>
      <c r="AL8" s="3">
        <f t="shared" si="6"/>
        <v>45467</v>
      </c>
      <c r="AM8" s="3">
        <f t="shared" si="7"/>
        <v>45559</v>
      </c>
      <c r="AN8" s="3">
        <f t="shared" si="8"/>
        <v>45650</v>
      </c>
      <c r="AO8" s="3">
        <f t="shared" si="9"/>
        <v>45741</v>
      </c>
      <c r="AP8" s="3">
        <f>AB8</f>
        <v>45833</v>
      </c>
      <c r="AQ8" s="3">
        <f>AC8</f>
        <v>45927</v>
      </c>
      <c r="AR8" s="3">
        <f>AD8</f>
        <v>46018</v>
      </c>
      <c r="AS8" s="41"/>
      <c r="AT8" s="154"/>
    </row>
    <row r="9" spans="1:46" ht="5.0999999999999996" customHeight="1">
      <c r="AT9" s="117"/>
    </row>
    <row r="10" spans="1:46" ht="12.75" customHeight="1">
      <c r="B10" s="10" t="s">
        <v>80</v>
      </c>
      <c r="C10" s="114">
        <v>215639</v>
      </c>
      <c r="D10" s="114">
        <v>229234</v>
      </c>
      <c r="E10" s="114">
        <v>265595</v>
      </c>
      <c r="F10" s="114">
        <v>260174</v>
      </c>
      <c r="G10" s="114">
        <v>274515</v>
      </c>
      <c r="H10" s="114">
        <v>365817</v>
      </c>
      <c r="I10" s="114">
        <v>394328</v>
      </c>
      <c r="J10" s="114">
        <v>383285</v>
      </c>
      <c r="K10" s="114">
        <v>391035</v>
      </c>
      <c r="L10" s="114">
        <v>416161</v>
      </c>
      <c r="M10" s="12"/>
      <c r="N10" s="114">
        <v>123945</v>
      </c>
      <c r="O10" s="114">
        <v>97278</v>
      </c>
      <c r="P10" s="114">
        <v>82959</v>
      </c>
      <c r="Q10" s="34">
        <f t="shared" ref="Q10" si="10">SUM(I10-SUM(N10:P10))</f>
        <v>90146</v>
      </c>
      <c r="R10" s="114">
        <v>117154</v>
      </c>
      <c r="S10" s="114">
        <v>94836</v>
      </c>
      <c r="T10" s="114">
        <v>81797</v>
      </c>
      <c r="U10" s="34">
        <f t="shared" ref="U10" si="11">SUM(J10-SUM(R10:T10))</f>
        <v>89498</v>
      </c>
      <c r="V10" s="114">
        <v>119575</v>
      </c>
      <c r="W10" s="114">
        <v>90753</v>
      </c>
      <c r="X10" s="114">
        <v>85777</v>
      </c>
      <c r="Y10" s="34">
        <f t="shared" ref="Y10" si="12">SUM(K10-SUM(V10:X10))</f>
        <v>94930</v>
      </c>
      <c r="Z10" s="96">
        <v>124300</v>
      </c>
      <c r="AA10" s="96">
        <v>95359</v>
      </c>
      <c r="AB10" s="96">
        <v>94036</v>
      </c>
      <c r="AC10" s="34">
        <f>SUM(L10-SUM(Z10:AB10))</f>
        <v>102466</v>
      </c>
      <c r="AD10" s="96">
        <v>143756</v>
      </c>
      <c r="AF10" s="34">
        <f>SUM(O10:R10)</f>
        <v>387537</v>
      </c>
      <c r="AG10" s="34">
        <f>SUM(P10:S10)</f>
        <v>385095</v>
      </c>
      <c r="AH10" s="34">
        <f>SUM(Q10:T10)</f>
        <v>383933</v>
      </c>
      <c r="AI10" s="34">
        <f>SUM(R10:U10)</f>
        <v>383285</v>
      </c>
      <c r="AJ10" s="34">
        <f>SUM(S10:V10)</f>
        <v>385706</v>
      </c>
      <c r="AK10" s="34">
        <f>SUM(T10:W10)</f>
        <v>381623</v>
      </c>
      <c r="AL10" s="34">
        <f>SUM(U10:X10)</f>
        <v>385603</v>
      </c>
      <c r="AM10" s="34">
        <f>SUM(V10:Y10)</f>
        <v>391035</v>
      </c>
      <c r="AN10" s="34">
        <f>SUM(W10:Z10)</f>
        <v>395760</v>
      </c>
      <c r="AO10" s="34">
        <f>SUM(X10:AA10)</f>
        <v>400366</v>
      </c>
      <c r="AP10" s="34">
        <f>SUM(Y10:AB10)</f>
        <v>408625</v>
      </c>
      <c r="AQ10" s="34">
        <f>SUM(Z10:AC10)</f>
        <v>416161</v>
      </c>
      <c r="AR10" s="34">
        <f>SUM(AA10:AD10)</f>
        <v>435617</v>
      </c>
      <c r="AS10" s="43"/>
      <c r="AT10" s="87">
        <f>SUM(AR10/AN10)-1</f>
        <v>0.10071002627855274</v>
      </c>
    </row>
    <row r="11" spans="1:46" ht="12.75" customHeight="1">
      <c r="B11" s="14" t="s">
        <v>12</v>
      </c>
      <c r="C11" s="15">
        <f t="shared" ref="C11:F11" si="13">+SUM(C10:C10)</f>
        <v>215639</v>
      </c>
      <c r="D11" s="15">
        <f t="shared" si="13"/>
        <v>229234</v>
      </c>
      <c r="E11" s="15">
        <f t="shared" si="13"/>
        <v>265595</v>
      </c>
      <c r="F11" s="15">
        <f t="shared" si="13"/>
        <v>260174</v>
      </c>
      <c r="G11" s="15">
        <f t="shared" ref="G11:L11" si="14">+SUM(G10:G10)</f>
        <v>274515</v>
      </c>
      <c r="H11" s="15">
        <f t="shared" si="14"/>
        <v>365817</v>
      </c>
      <c r="I11" s="15">
        <f t="shared" si="14"/>
        <v>394328</v>
      </c>
      <c r="J11" s="15">
        <f t="shared" si="14"/>
        <v>383285</v>
      </c>
      <c r="K11" s="15">
        <f t="shared" si="14"/>
        <v>391035</v>
      </c>
      <c r="L11" s="15">
        <f t="shared" si="14"/>
        <v>416161</v>
      </c>
      <c r="M11" s="12"/>
      <c r="N11" s="15">
        <f t="shared" ref="N11:AB11" si="15">+SUM(N10:N10)</f>
        <v>123945</v>
      </c>
      <c r="O11" s="15">
        <f t="shared" si="15"/>
        <v>97278</v>
      </c>
      <c r="P11" s="15">
        <f t="shared" si="15"/>
        <v>82959</v>
      </c>
      <c r="Q11" s="15">
        <f t="shared" si="15"/>
        <v>90146</v>
      </c>
      <c r="R11" s="15">
        <f t="shared" si="15"/>
        <v>117154</v>
      </c>
      <c r="S11" s="15">
        <f t="shared" si="15"/>
        <v>94836</v>
      </c>
      <c r="T11" s="15">
        <f t="shared" si="15"/>
        <v>81797</v>
      </c>
      <c r="U11" s="15">
        <f t="shared" si="15"/>
        <v>89498</v>
      </c>
      <c r="V11" s="15">
        <f t="shared" si="15"/>
        <v>119575</v>
      </c>
      <c r="W11" s="15">
        <f t="shared" si="15"/>
        <v>90753</v>
      </c>
      <c r="X11" s="15">
        <f t="shared" si="15"/>
        <v>85777</v>
      </c>
      <c r="Y11" s="15">
        <f t="shared" si="15"/>
        <v>94930</v>
      </c>
      <c r="Z11" s="15">
        <f t="shared" si="15"/>
        <v>124300</v>
      </c>
      <c r="AA11" s="15">
        <f t="shared" si="15"/>
        <v>95359</v>
      </c>
      <c r="AB11" s="15">
        <f t="shared" si="15"/>
        <v>94036</v>
      </c>
      <c r="AC11" s="15">
        <f t="shared" ref="AC11:AD11" si="16">+SUM(AC10:AC10)</f>
        <v>102466</v>
      </c>
      <c r="AD11" s="15">
        <f t="shared" si="16"/>
        <v>143756</v>
      </c>
      <c r="AF11" s="15">
        <f t="shared" ref="AF11:AG11" si="17">+SUM(AF10:AF10)</f>
        <v>387537</v>
      </c>
      <c r="AG11" s="15">
        <f t="shared" si="17"/>
        <v>385095</v>
      </c>
      <c r="AH11" s="15">
        <f t="shared" ref="AH11" si="18">+SUM(AH10:AH10)</f>
        <v>383933</v>
      </c>
      <c r="AI11" s="15">
        <f t="shared" ref="AI11" si="19">+SUM(AI10:AI10)</f>
        <v>383285</v>
      </c>
      <c r="AJ11" s="15">
        <f t="shared" ref="AJ11" si="20">+SUM(AJ10:AJ10)</f>
        <v>385706</v>
      </c>
      <c r="AK11" s="15">
        <f t="shared" ref="AK11" si="21">+SUM(AK10:AK10)</f>
        <v>381623</v>
      </c>
      <c r="AL11" s="15">
        <f t="shared" ref="AL11" si="22">+SUM(AL10:AL10)</f>
        <v>385603</v>
      </c>
      <c r="AM11" s="15">
        <f t="shared" ref="AM11:AO11" si="23">+SUM(AM10:AM10)</f>
        <v>391035</v>
      </c>
      <c r="AN11" s="15">
        <f t="shared" si="23"/>
        <v>395760</v>
      </c>
      <c r="AO11" s="15">
        <f t="shared" si="23"/>
        <v>400366</v>
      </c>
      <c r="AP11" s="15">
        <f>+SUM(AP10:AP10)</f>
        <v>408625</v>
      </c>
      <c r="AQ11" s="15">
        <f>+SUM(AQ10:AQ10)</f>
        <v>416161</v>
      </c>
      <c r="AR11" s="15">
        <f>+SUM(AR10:AR10)</f>
        <v>435617</v>
      </c>
      <c r="AS11" s="43"/>
      <c r="AT11" s="88">
        <f t="shared" ref="AT11:AT14" si="24">SUM(AR11/AN11)-1</f>
        <v>0.10071002627855274</v>
      </c>
    </row>
    <row r="12" spans="1:46" s="22" customFormat="1" ht="5.0999999999999996" customHeight="1"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N12" s="23"/>
      <c r="O12" s="23"/>
      <c r="P12" s="23"/>
      <c r="Q12" s="24"/>
      <c r="R12" s="23"/>
      <c r="S12" s="23"/>
      <c r="T12" s="23"/>
      <c r="U12" s="24"/>
      <c r="V12" s="23"/>
      <c r="W12" s="23"/>
      <c r="X12" s="23"/>
      <c r="Y12" s="23"/>
      <c r="Z12" s="23"/>
      <c r="AA12" s="23"/>
      <c r="AB12" s="23"/>
      <c r="AC12" s="23"/>
      <c r="AD12" s="23"/>
      <c r="AT12" s="87"/>
    </row>
    <row r="13" spans="1:46" ht="12.75" customHeight="1">
      <c r="B13" s="10" t="s">
        <v>13</v>
      </c>
      <c r="C13" s="96">
        <v>-131376</v>
      </c>
      <c r="D13" s="96">
        <v>-141048</v>
      </c>
      <c r="E13" s="96">
        <v>-163756</v>
      </c>
      <c r="F13" s="96">
        <v>-161782</v>
      </c>
      <c r="G13" s="96">
        <v>-169559</v>
      </c>
      <c r="H13" s="96">
        <v>-212981</v>
      </c>
      <c r="I13" s="96">
        <v>-223546</v>
      </c>
      <c r="J13" s="96">
        <v>-214137</v>
      </c>
      <c r="K13" s="96">
        <v>-210352</v>
      </c>
      <c r="L13" s="96">
        <v>-220960</v>
      </c>
      <c r="M13" s="26"/>
      <c r="N13" s="96">
        <v>-69702</v>
      </c>
      <c r="O13" s="96">
        <v>-54719</v>
      </c>
      <c r="P13" s="96">
        <v>-47074</v>
      </c>
      <c r="Q13" s="34">
        <f t="shared" ref="Q13" si="25">SUM(I13-SUM(N13:P13))</f>
        <v>-52051</v>
      </c>
      <c r="R13" s="96">
        <v>-66822</v>
      </c>
      <c r="S13" s="96">
        <v>-52860</v>
      </c>
      <c r="T13" s="96">
        <v>-45384</v>
      </c>
      <c r="U13" s="34">
        <f t="shared" ref="U13" si="26">SUM(J13-SUM(R13:T13))</f>
        <v>-49071</v>
      </c>
      <c r="V13" s="114">
        <v>-64720</v>
      </c>
      <c r="W13" s="114">
        <v>-48482</v>
      </c>
      <c r="X13" s="114">
        <v>-46099</v>
      </c>
      <c r="Y13" s="34">
        <f t="shared" ref="Y13" si="27">SUM(K13-SUM(V13:X13))</f>
        <v>-51051</v>
      </c>
      <c r="Z13" s="96">
        <v>-66025</v>
      </c>
      <c r="AA13" s="96">
        <v>-50492</v>
      </c>
      <c r="AB13" s="96">
        <v>-50318</v>
      </c>
      <c r="AC13" s="34">
        <f>SUM(L13-SUM(Z13:AB13))</f>
        <v>-54125</v>
      </c>
      <c r="AD13" s="96">
        <v>-74525</v>
      </c>
      <c r="AF13" s="34">
        <f>SUM(O13:R13)</f>
        <v>-220666</v>
      </c>
      <c r="AG13" s="34">
        <f>SUM(P13:S13)</f>
        <v>-218807</v>
      </c>
      <c r="AH13" s="34">
        <f>SUM(Q13:T13)</f>
        <v>-217117</v>
      </c>
      <c r="AI13" s="34">
        <f>SUM(R13:U13)</f>
        <v>-214137</v>
      </c>
      <c r="AJ13" s="34">
        <f>SUM(S13:V13)</f>
        <v>-212035</v>
      </c>
      <c r="AK13" s="34">
        <f>SUM(T13:W13)</f>
        <v>-207657</v>
      </c>
      <c r="AL13" s="34">
        <f>SUM(U13:X13)</f>
        <v>-208372</v>
      </c>
      <c r="AM13" s="34">
        <f>SUM(V13:Y13)</f>
        <v>-210352</v>
      </c>
      <c r="AN13" s="34">
        <f>SUM(W13:Z13)</f>
        <v>-211657</v>
      </c>
      <c r="AO13" s="34">
        <f>SUM(X13:AA13)</f>
        <v>-213667</v>
      </c>
      <c r="AP13" s="34">
        <f>SUM(Y13:AB13)</f>
        <v>-217886</v>
      </c>
      <c r="AQ13" s="34">
        <f>SUM(Z13:AC13)</f>
        <v>-220960</v>
      </c>
      <c r="AR13" s="34">
        <f>SUM(AA13:AD13)</f>
        <v>-229460</v>
      </c>
      <c r="AS13" s="12"/>
      <c r="AT13" s="87">
        <f t="shared" si="24"/>
        <v>8.4112502775717246E-2</v>
      </c>
    </row>
    <row r="14" spans="1:46" ht="12.75" customHeight="1">
      <c r="B14" s="27" t="s">
        <v>23</v>
      </c>
      <c r="C14" s="28">
        <f t="shared" ref="C14:F14" si="28">+SUM(C11+SUM(C13:C13))</f>
        <v>84263</v>
      </c>
      <c r="D14" s="28">
        <f t="shared" si="28"/>
        <v>88186</v>
      </c>
      <c r="E14" s="28">
        <f t="shared" si="28"/>
        <v>101839</v>
      </c>
      <c r="F14" s="28">
        <f t="shared" si="28"/>
        <v>98392</v>
      </c>
      <c r="G14" s="28">
        <f t="shared" ref="G14:L14" si="29">+SUM(G11+SUM(G13:G13))</f>
        <v>104956</v>
      </c>
      <c r="H14" s="28">
        <f t="shared" si="29"/>
        <v>152836</v>
      </c>
      <c r="I14" s="28">
        <f t="shared" si="29"/>
        <v>170782</v>
      </c>
      <c r="J14" s="28">
        <f t="shared" si="29"/>
        <v>169148</v>
      </c>
      <c r="K14" s="28">
        <f t="shared" si="29"/>
        <v>180683</v>
      </c>
      <c r="L14" s="28">
        <f t="shared" si="29"/>
        <v>195201</v>
      </c>
      <c r="N14" s="28">
        <f t="shared" ref="N14:AB14" si="30">+SUM(N11+SUM(N13:N13))</f>
        <v>54243</v>
      </c>
      <c r="O14" s="28">
        <f t="shared" si="30"/>
        <v>42559</v>
      </c>
      <c r="P14" s="28">
        <f t="shared" si="30"/>
        <v>35885</v>
      </c>
      <c r="Q14" s="28">
        <f t="shared" si="30"/>
        <v>38095</v>
      </c>
      <c r="R14" s="28">
        <f t="shared" si="30"/>
        <v>50332</v>
      </c>
      <c r="S14" s="28">
        <f t="shared" si="30"/>
        <v>41976</v>
      </c>
      <c r="T14" s="28">
        <f t="shared" si="30"/>
        <v>36413</v>
      </c>
      <c r="U14" s="28">
        <f t="shared" si="30"/>
        <v>40427</v>
      </c>
      <c r="V14" s="28">
        <f t="shared" si="30"/>
        <v>54855</v>
      </c>
      <c r="W14" s="28">
        <f t="shared" si="30"/>
        <v>42271</v>
      </c>
      <c r="X14" s="28">
        <f t="shared" si="30"/>
        <v>39678</v>
      </c>
      <c r="Y14" s="28">
        <f t="shared" si="30"/>
        <v>43879</v>
      </c>
      <c r="Z14" s="28">
        <f t="shared" si="30"/>
        <v>58275</v>
      </c>
      <c r="AA14" s="28">
        <f t="shared" si="30"/>
        <v>44867</v>
      </c>
      <c r="AB14" s="28">
        <f t="shared" si="30"/>
        <v>43718</v>
      </c>
      <c r="AC14" s="28">
        <f t="shared" ref="AC14:AD14" si="31">+SUM(AC11+SUM(AC13:AC13))</f>
        <v>48341</v>
      </c>
      <c r="AD14" s="28">
        <f t="shared" si="31"/>
        <v>69231</v>
      </c>
      <c r="AF14" s="28">
        <f t="shared" ref="AF14:AG14" si="32">+SUM(AF11+SUM(AF13:AF13))</f>
        <v>166871</v>
      </c>
      <c r="AG14" s="28">
        <f t="shared" si="32"/>
        <v>166288</v>
      </c>
      <c r="AH14" s="28">
        <f t="shared" ref="AH14" si="33">+SUM(AH11+SUM(AH13:AH13))</f>
        <v>166816</v>
      </c>
      <c r="AI14" s="28">
        <f t="shared" ref="AI14" si="34">+SUM(AI11+SUM(AI13:AI13))</f>
        <v>169148</v>
      </c>
      <c r="AJ14" s="28">
        <f t="shared" ref="AJ14" si="35">+SUM(AJ11+SUM(AJ13:AJ13))</f>
        <v>173671</v>
      </c>
      <c r="AK14" s="28">
        <f t="shared" ref="AK14" si="36">+SUM(AK11+SUM(AK13:AK13))</f>
        <v>173966</v>
      </c>
      <c r="AL14" s="28">
        <f t="shared" ref="AL14" si="37">+SUM(AL11+SUM(AL13:AL13))</f>
        <v>177231</v>
      </c>
      <c r="AM14" s="28">
        <f t="shared" ref="AM14:AO14" si="38">+SUM(AM11+SUM(AM13:AM13))</f>
        <v>180683</v>
      </c>
      <c r="AN14" s="28">
        <f t="shared" si="38"/>
        <v>184103</v>
      </c>
      <c r="AO14" s="28">
        <f t="shared" si="38"/>
        <v>186699</v>
      </c>
      <c r="AP14" s="28">
        <f>+SUM(AP11+SUM(AP13:AP13))</f>
        <v>190739</v>
      </c>
      <c r="AQ14" s="28">
        <f>+SUM(AQ11+SUM(AQ13:AQ13))</f>
        <v>195201</v>
      </c>
      <c r="AR14" s="28">
        <f>+SUM(AR11+SUM(AR13:AR13))</f>
        <v>206157</v>
      </c>
      <c r="AS14" s="45"/>
      <c r="AT14" s="88">
        <f t="shared" si="24"/>
        <v>0.11979163837634377</v>
      </c>
    </row>
    <row r="15" spans="1:46" ht="12.75" customHeight="1">
      <c r="B15" s="17" t="s">
        <v>37</v>
      </c>
      <c r="C15" s="18">
        <f t="shared" ref="C15:F15" si="39">C14/C11</f>
        <v>0.39075955648097049</v>
      </c>
      <c r="D15" s="18">
        <f t="shared" si="39"/>
        <v>0.38469860491899105</v>
      </c>
      <c r="E15" s="18">
        <f t="shared" si="39"/>
        <v>0.38343718820007905</v>
      </c>
      <c r="F15" s="18">
        <f t="shared" si="39"/>
        <v>0.37817768109034722</v>
      </c>
      <c r="G15" s="18">
        <f t="shared" ref="G15:L15" si="40">G14/G11</f>
        <v>0.38233247727810865</v>
      </c>
      <c r="H15" s="18">
        <f t="shared" si="40"/>
        <v>0.41779359625167778</v>
      </c>
      <c r="I15" s="18">
        <f t="shared" si="40"/>
        <v>0.43309630561360085</v>
      </c>
      <c r="J15" s="18">
        <f t="shared" si="40"/>
        <v>0.44131129577207562</v>
      </c>
      <c r="K15" s="18">
        <f t="shared" si="40"/>
        <v>0.46206349815233932</v>
      </c>
      <c r="L15" s="18">
        <f t="shared" si="40"/>
        <v>0.46905164107160452</v>
      </c>
      <c r="M15" s="29"/>
      <c r="N15" s="18">
        <f t="shared" ref="N15:AB15" si="41">N14/N11</f>
        <v>0.43763766186615033</v>
      </c>
      <c r="O15" s="18">
        <f t="shared" si="41"/>
        <v>0.43749871502292398</v>
      </c>
      <c r="P15" s="18">
        <f t="shared" si="41"/>
        <v>0.43256307332537758</v>
      </c>
      <c r="Q15" s="18">
        <f t="shared" si="41"/>
        <v>0.4225922392563175</v>
      </c>
      <c r="R15" s="18">
        <f t="shared" si="41"/>
        <v>0.42962254809908323</v>
      </c>
      <c r="S15" s="18">
        <f t="shared" si="41"/>
        <v>0.44261672782487665</v>
      </c>
      <c r="T15" s="18">
        <f t="shared" si="41"/>
        <v>0.44516302553883397</v>
      </c>
      <c r="U15" s="18">
        <f t="shared" si="41"/>
        <v>0.45170841806520817</v>
      </c>
      <c r="V15" s="18">
        <f t="shared" si="41"/>
        <v>0.45874973865774621</v>
      </c>
      <c r="W15" s="18">
        <f t="shared" si="41"/>
        <v>0.46578074554009236</v>
      </c>
      <c r="X15" s="18">
        <f t="shared" si="41"/>
        <v>0.46257155181458898</v>
      </c>
      <c r="Y15" s="18">
        <f t="shared" si="41"/>
        <v>0.4622247972190035</v>
      </c>
      <c r="Z15" s="18">
        <f t="shared" si="41"/>
        <v>0.46882542236524538</v>
      </c>
      <c r="AA15" s="18">
        <f t="shared" si="41"/>
        <v>0.47050619238876246</v>
      </c>
      <c r="AB15" s="18">
        <f t="shared" si="41"/>
        <v>0.46490705687183631</v>
      </c>
      <c r="AC15" s="18">
        <f t="shared" ref="AC15:AD15" si="42">AC14/AC11</f>
        <v>0.47177600374758455</v>
      </c>
      <c r="AD15" s="18">
        <f t="shared" si="42"/>
        <v>0.4815868555051615</v>
      </c>
      <c r="AE15" s="30"/>
      <c r="AF15" s="18">
        <f t="shared" ref="AF15:AG15" si="43">AF14/AF11</f>
        <v>0.43059372395409989</v>
      </c>
      <c r="AG15" s="18">
        <f t="shared" si="43"/>
        <v>0.43181033251535333</v>
      </c>
      <c r="AH15" s="18">
        <f t="shared" ref="AH15" si="44">AH14/AH11</f>
        <v>0.43449247655189838</v>
      </c>
      <c r="AI15" s="18">
        <f t="shared" ref="AI15" si="45">AI14/AI11</f>
        <v>0.44131129577207562</v>
      </c>
      <c r="AJ15" s="18">
        <f t="shared" ref="AJ15" si="46">AJ14/AJ11</f>
        <v>0.45026782056799741</v>
      </c>
      <c r="AK15" s="18">
        <f t="shared" ref="AK15" si="47">AK14/AK11</f>
        <v>0.4558582685005883</v>
      </c>
      <c r="AL15" s="18">
        <f t="shared" ref="AL15" si="48">AL14/AL11</f>
        <v>0.45962038677084982</v>
      </c>
      <c r="AM15" s="18">
        <f t="shared" ref="AM15:AO15" si="49">AM14/AM11</f>
        <v>0.46206349815233932</v>
      </c>
      <c r="AN15" s="18">
        <f t="shared" si="49"/>
        <v>0.46518849807964424</v>
      </c>
      <c r="AO15" s="18">
        <f t="shared" si="49"/>
        <v>0.46632081645294554</v>
      </c>
      <c r="AP15" s="18">
        <f>AP14/AP11</f>
        <v>0.46678250229427959</v>
      </c>
      <c r="AQ15" s="18">
        <f>AQ14/AQ11</f>
        <v>0.46905164107160452</v>
      </c>
      <c r="AR15" s="18">
        <f>AR14/AR11</f>
        <v>0.47325288039722968</v>
      </c>
      <c r="AS15" s="45"/>
      <c r="AT15" s="89">
        <f>SUM(AR15-AN15)*1000</f>
        <v>8.064382317585439</v>
      </c>
    </row>
    <row r="16" spans="1:46" ht="5.0999999999999996" customHeight="1">
      <c r="B16" s="31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45"/>
      <c r="AT16" s="87"/>
    </row>
    <row r="17" spans="2:46" ht="12.75" customHeight="1">
      <c r="B17" s="10" t="s">
        <v>125</v>
      </c>
      <c r="C17" s="96">
        <v>-10045</v>
      </c>
      <c r="D17" s="96">
        <v>-11581</v>
      </c>
      <c r="E17" s="96">
        <v>-14236</v>
      </c>
      <c r="F17" s="96">
        <v>-16217</v>
      </c>
      <c r="G17" s="96">
        <v>-18752</v>
      </c>
      <c r="H17" s="96">
        <v>-21914</v>
      </c>
      <c r="I17" s="96">
        <v>-26251</v>
      </c>
      <c r="J17" s="96">
        <v>-29915</v>
      </c>
      <c r="K17" s="96">
        <v>-31370</v>
      </c>
      <c r="L17" s="96">
        <v>-34550</v>
      </c>
      <c r="M17" s="34"/>
      <c r="N17" s="96">
        <v>-6306</v>
      </c>
      <c r="O17" s="96">
        <v>-6387</v>
      </c>
      <c r="P17" s="96">
        <v>-6797</v>
      </c>
      <c r="Q17" s="34">
        <f t="shared" ref="Q17:Q18" si="50">SUM(I17-SUM(N17:P17))</f>
        <v>-6761</v>
      </c>
      <c r="R17" s="96">
        <v>-7709</v>
      </c>
      <c r="S17" s="96">
        <v>-7457</v>
      </c>
      <c r="T17" s="96">
        <v>-7442</v>
      </c>
      <c r="U17" s="34">
        <f t="shared" ref="U17:U18" si="51">SUM(J17-SUM(R17:T17))</f>
        <v>-7307</v>
      </c>
      <c r="V17" s="114">
        <v>-7696</v>
      </c>
      <c r="W17" s="114">
        <v>-7903</v>
      </c>
      <c r="X17" s="114">
        <v>-8006</v>
      </c>
      <c r="Y17" s="34">
        <f t="shared" ref="Y17:Y18" si="52">SUM(K17-SUM(V17:X17))</f>
        <v>-7765</v>
      </c>
      <c r="Z17" s="96">
        <v>-8268</v>
      </c>
      <c r="AA17" s="96">
        <v>-8550</v>
      </c>
      <c r="AB17" s="96">
        <v>-8866</v>
      </c>
      <c r="AC17" s="34">
        <f t="shared" ref="AC17:AC18" si="53">SUM(L17-SUM(Z17:AB17))</f>
        <v>-8866</v>
      </c>
      <c r="AD17" s="96">
        <v>-10887</v>
      </c>
      <c r="AF17" s="34">
        <f>SUM(O17:R17)</f>
        <v>-27654</v>
      </c>
      <c r="AG17" s="34">
        <f>SUM(P17:S17)</f>
        <v>-28724</v>
      </c>
      <c r="AH17" s="34">
        <f>SUM(Q17:T17)</f>
        <v>-29369</v>
      </c>
      <c r="AI17" s="34">
        <f>SUM(R17:U17)</f>
        <v>-29915</v>
      </c>
      <c r="AJ17" s="34">
        <f>SUM(S17:V17)</f>
        <v>-29902</v>
      </c>
      <c r="AK17" s="34">
        <f>SUM(T17:W17)</f>
        <v>-30348</v>
      </c>
      <c r="AL17" s="34">
        <f>SUM(U17:X17)</f>
        <v>-30912</v>
      </c>
      <c r="AM17" s="34">
        <f>SUM(V17:Y17)</f>
        <v>-31370</v>
      </c>
      <c r="AN17" s="34">
        <f>SUM(W17:Z17)</f>
        <v>-31942</v>
      </c>
      <c r="AO17" s="34">
        <f>SUM(X17:AA17)</f>
        <v>-32589</v>
      </c>
      <c r="AP17" s="34">
        <f>SUM(Y17:AB17)</f>
        <v>-33449</v>
      </c>
      <c r="AQ17" s="34">
        <f>SUM(Z17:AC17)</f>
        <v>-34550</v>
      </c>
      <c r="AR17" s="34">
        <f>SUM(AA17:AD17)</f>
        <v>-37169</v>
      </c>
      <c r="AS17" s="12"/>
      <c r="AT17" s="87">
        <f t="shared" ref="AT17:AT19" si="54">SUM(AR17/AN17)-1</f>
        <v>0.16364034813098738</v>
      </c>
    </row>
    <row r="18" spans="2:46" ht="12.75" customHeight="1">
      <c r="B18" s="10" t="s">
        <v>126</v>
      </c>
      <c r="C18" s="96">
        <v>-14194</v>
      </c>
      <c r="D18" s="96">
        <v>-15261</v>
      </c>
      <c r="E18" s="96">
        <v>-16705</v>
      </c>
      <c r="F18" s="96">
        <v>-18245</v>
      </c>
      <c r="G18" s="96">
        <v>-19916</v>
      </c>
      <c r="H18" s="96">
        <v>-21973</v>
      </c>
      <c r="I18" s="96">
        <v>-25094</v>
      </c>
      <c r="J18" s="96">
        <v>-24932</v>
      </c>
      <c r="K18" s="96">
        <v>-26097</v>
      </c>
      <c r="L18" s="96">
        <v>-27601</v>
      </c>
      <c r="M18" s="34"/>
      <c r="N18" s="96">
        <v>-6449</v>
      </c>
      <c r="O18" s="96">
        <v>-6193</v>
      </c>
      <c r="P18" s="96">
        <v>-6012</v>
      </c>
      <c r="Q18" s="34">
        <f t="shared" si="50"/>
        <v>-6440</v>
      </c>
      <c r="R18" s="96">
        <v>-6607</v>
      </c>
      <c r="S18" s="96">
        <v>-6201</v>
      </c>
      <c r="T18" s="96">
        <v>-5973</v>
      </c>
      <c r="U18" s="34">
        <f t="shared" si="51"/>
        <v>-6151</v>
      </c>
      <c r="V18" s="114">
        <v>-6786</v>
      </c>
      <c r="W18" s="114">
        <v>-6468</v>
      </c>
      <c r="X18" s="114">
        <v>-6320</v>
      </c>
      <c r="Y18" s="34">
        <f t="shared" si="52"/>
        <v>-6523</v>
      </c>
      <c r="Z18" s="96">
        <v>-7175</v>
      </c>
      <c r="AA18" s="96">
        <v>-6728</v>
      </c>
      <c r="AB18" s="96">
        <v>-6650</v>
      </c>
      <c r="AC18" s="34">
        <f t="shared" si="53"/>
        <v>-7048</v>
      </c>
      <c r="AD18" s="96">
        <v>-7492</v>
      </c>
      <c r="AF18" s="34">
        <f>SUM(O18:R18)</f>
        <v>-25252</v>
      </c>
      <c r="AG18" s="34">
        <f>SUM(P18:S18)</f>
        <v>-25260</v>
      </c>
      <c r="AH18" s="34">
        <f>SUM(Q18:T18)</f>
        <v>-25221</v>
      </c>
      <c r="AI18" s="34">
        <f>SUM(R18:U18)</f>
        <v>-24932</v>
      </c>
      <c r="AJ18" s="34">
        <f>SUM(S18:V18)</f>
        <v>-25111</v>
      </c>
      <c r="AK18" s="34">
        <f>SUM(T18:W18)</f>
        <v>-25378</v>
      </c>
      <c r="AL18" s="34">
        <f>SUM(U18:X18)</f>
        <v>-25725</v>
      </c>
      <c r="AM18" s="34">
        <f>SUM(V18:Y18)</f>
        <v>-26097</v>
      </c>
      <c r="AN18" s="34">
        <f>SUM(W18:Z18)</f>
        <v>-26486</v>
      </c>
      <c r="AO18" s="34">
        <f>SUM(X18:AA18)</f>
        <v>-26746</v>
      </c>
      <c r="AP18" s="34">
        <f>SUM(Y18:AB18)</f>
        <v>-27076</v>
      </c>
      <c r="AQ18" s="34">
        <f>SUM(Z18:AC18)</f>
        <v>-27601</v>
      </c>
      <c r="AR18" s="34">
        <f>SUM(AA18:AD18)</f>
        <v>-27918</v>
      </c>
      <c r="AS18" s="12"/>
      <c r="AT18" s="87">
        <f t="shared" si="54"/>
        <v>5.4066299176923627E-2</v>
      </c>
    </row>
    <row r="19" spans="2:46" ht="12.75" customHeight="1">
      <c r="B19" s="27" t="s">
        <v>69</v>
      </c>
      <c r="C19" s="28">
        <f t="shared" ref="C19:F19" si="55">SUM(C14+SUM(C17:C18))</f>
        <v>60024</v>
      </c>
      <c r="D19" s="28">
        <f t="shared" si="55"/>
        <v>61344</v>
      </c>
      <c r="E19" s="28">
        <f t="shared" si="55"/>
        <v>70898</v>
      </c>
      <c r="F19" s="28">
        <f t="shared" si="55"/>
        <v>63930</v>
      </c>
      <c r="G19" s="28">
        <f t="shared" ref="G19:L19" si="56">SUM(G14+SUM(G17:G18))</f>
        <v>66288</v>
      </c>
      <c r="H19" s="28">
        <f t="shared" si="56"/>
        <v>108949</v>
      </c>
      <c r="I19" s="28">
        <f t="shared" si="56"/>
        <v>119437</v>
      </c>
      <c r="J19" s="28">
        <f t="shared" si="56"/>
        <v>114301</v>
      </c>
      <c r="K19" s="28">
        <f t="shared" si="56"/>
        <v>123216</v>
      </c>
      <c r="L19" s="28">
        <f t="shared" si="56"/>
        <v>133050</v>
      </c>
      <c r="N19" s="28">
        <f t="shared" ref="N19:AB19" si="57">SUM(N14+SUM(N17:N18))</f>
        <v>41488</v>
      </c>
      <c r="O19" s="28">
        <f t="shared" si="57"/>
        <v>29979</v>
      </c>
      <c r="P19" s="28">
        <f t="shared" si="57"/>
        <v>23076</v>
      </c>
      <c r="Q19" s="28">
        <f t="shared" si="57"/>
        <v>24894</v>
      </c>
      <c r="R19" s="28">
        <f t="shared" si="57"/>
        <v>36016</v>
      </c>
      <c r="S19" s="28">
        <f t="shared" si="57"/>
        <v>28318</v>
      </c>
      <c r="T19" s="28">
        <f t="shared" si="57"/>
        <v>22998</v>
      </c>
      <c r="U19" s="28">
        <f t="shared" si="57"/>
        <v>26969</v>
      </c>
      <c r="V19" s="28">
        <f t="shared" si="57"/>
        <v>40373</v>
      </c>
      <c r="W19" s="28">
        <f t="shared" si="57"/>
        <v>27900</v>
      </c>
      <c r="X19" s="28">
        <f t="shared" si="57"/>
        <v>25352</v>
      </c>
      <c r="Y19" s="28">
        <f t="shared" si="57"/>
        <v>29591</v>
      </c>
      <c r="Z19" s="28">
        <f t="shared" si="57"/>
        <v>42832</v>
      </c>
      <c r="AA19" s="28">
        <f t="shared" si="57"/>
        <v>29589</v>
      </c>
      <c r="AB19" s="28">
        <f t="shared" si="57"/>
        <v>28202</v>
      </c>
      <c r="AC19" s="28">
        <f t="shared" ref="AC19:AD19" si="58">SUM(AC14+SUM(AC17:AC18))</f>
        <v>32427</v>
      </c>
      <c r="AD19" s="28">
        <f t="shared" si="58"/>
        <v>50852</v>
      </c>
      <c r="AF19" s="28">
        <f t="shared" ref="AF19:AP19" si="59">SUM(AF14+SUM(AF17:AF18))</f>
        <v>113965</v>
      </c>
      <c r="AG19" s="28">
        <f t="shared" si="59"/>
        <v>112304</v>
      </c>
      <c r="AH19" s="28">
        <f t="shared" si="59"/>
        <v>112226</v>
      </c>
      <c r="AI19" s="28">
        <f t="shared" si="59"/>
        <v>114301</v>
      </c>
      <c r="AJ19" s="28">
        <f t="shared" si="59"/>
        <v>118658</v>
      </c>
      <c r="AK19" s="28">
        <f t="shared" si="59"/>
        <v>118240</v>
      </c>
      <c r="AL19" s="28">
        <f t="shared" si="59"/>
        <v>120594</v>
      </c>
      <c r="AM19" s="28">
        <f t="shared" si="59"/>
        <v>123216</v>
      </c>
      <c r="AN19" s="28">
        <f t="shared" si="59"/>
        <v>125675</v>
      </c>
      <c r="AO19" s="28">
        <f t="shared" si="59"/>
        <v>127364</v>
      </c>
      <c r="AP19" s="28">
        <f t="shared" si="59"/>
        <v>130214</v>
      </c>
      <c r="AQ19" s="28">
        <f t="shared" ref="AQ19:AR19" si="60">SUM(AQ14+SUM(AQ17:AQ18))</f>
        <v>133050</v>
      </c>
      <c r="AR19" s="28">
        <f t="shared" si="60"/>
        <v>141070</v>
      </c>
      <c r="AS19" s="45"/>
      <c r="AT19" s="88">
        <f t="shared" si="54"/>
        <v>0.12249850805649487</v>
      </c>
    </row>
    <row r="20" spans="2:46" ht="12.75" customHeight="1">
      <c r="B20" s="17" t="s">
        <v>39</v>
      </c>
      <c r="C20" s="18">
        <f t="shared" ref="C20:F20" si="61">C19/C11</f>
        <v>0.27835410106706115</v>
      </c>
      <c r="D20" s="18">
        <f t="shared" si="61"/>
        <v>0.26760428208729942</v>
      </c>
      <c r="E20" s="18">
        <f t="shared" si="61"/>
        <v>0.26694026619477024</v>
      </c>
      <c r="F20" s="18">
        <f t="shared" si="61"/>
        <v>0.24572017188496928</v>
      </c>
      <c r="G20" s="18">
        <f t="shared" ref="G20:L20" si="62">G19/G11</f>
        <v>0.24147314354406862</v>
      </c>
      <c r="H20" s="18">
        <f t="shared" si="62"/>
        <v>0.29782377527561593</v>
      </c>
      <c r="I20" s="18">
        <f t="shared" si="62"/>
        <v>0.30288744395528594</v>
      </c>
      <c r="J20" s="18">
        <f t="shared" si="62"/>
        <v>0.29821412265024722</v>
      </c>
      <c r="K20" s="18">
        <f t="shared" si="62"/>
        <v>0.31510222870075566</v>
      </c>
      <c r="L20" s="18">
        <f t="shared" si="62"/>
        <v>0.31970799762591884</v>
      </c>
      <c r="M20" s="29"/>
      <c r="N20" s="18">
        <f t="shared" ref="N20:AB20" si="63">N19/N11</f>
        <v>0.33472911371979508</v>
      </c>
      <c r="O20" s="18">
        <f t="shared" si="63"/>
        <v>0.30817862209338187</v>
      </c>
      <c r="P20" s="18">
        <f t="shared" si="63"/>
        <v>0.27816150146457891</v>
      </c>
      <c r="Q20" s="18">
        <f t="shared" si="63"/>
        <v>0.27615202005635303</v>
      </c>
      <c r="R20" s="18">
        <f t="shared" si="63"/>
        <v>0.30742441572630896</v>
      </c>
      <c r="S20" s="18">
        <f t="shared" si="63"/>
        <v>0.29859968788223878</v>
      </c>
      <c r="T20" s="18">
        <f t="shared" si="63"/>
        <v>0.28115945572576012</v>
      </c>
      <c r="U20" s="18">
        <f t="shared" si="63"/>
        <v>0.30133634271156895</v>
      </c>
      <c r="V20" s="18">
        <f t="shared" si="63"/>
        <v>0.33763746602550698</v>
      </c>
      <c r="W20" s="18">
        <f t="shared" si="63"/>
        <v>0.30742785362467356</v>
      </c>
      <c r="X20" s="18">
        <f t="shared" si="63"/>
        <v>0.29555708406682446</v>
      </c>
      <c r="Y20" s="18">
        <f t="shared" si="63"/>
        <v>0.31171389444854103</v>
      </c>
      <c r="Z20" s="18">
        <f t="shared" si="63"/>
        <v>0.34458567980691873</v>
      </c>
      <c r="AA20" s="18">
        <f t="shared" si="63"/>
        <v>0.31029058610094484</v>
      </c>
      <c r="AB20" s="18">
        <f t="shared" si="63"/>
        <v>0.29990641881832492</v>
      </c>
      <c r="AC20" s="18">
        <f t="shared" ref="AC20:AD20" si="64">AC19/AC11</f>
        <v>0.31646594968086977</v>
      </c>
      <c r="AD20" s="18">
        <f t="shared" si="64"/>
        <v>0.35373827875010433</v>
      </c>
      <c r="AE20" s="30"/>
      <c r="AF20" s="18">
        <f t="shared" ref="AF20:AP20" si="65">AF19/AF11</f>
        <v>0.29407514637312049</v>
      </c>
      <c r="AG20" s="18">
        <f t="shared" si="65"/>
        <v>0.29162674145340761</v>
      </c>
      <c r="AH20" s="18">
        <f t="shared" si="65"/>
        <v>0.29230620967720933</v>
      </c>
      <c r="AI20" s="18">
        <f t="shared" si="65"/>
        <v>0.29821412265024722</v>
      </c>
      <c r="AJ20" s="18">
        <f t="shared" si="65"/>
        <v>0.30763846038174153</v>
      </c>
      <c r="AK20" s="18">
        <f t="shared" si="65"/>
        <v>0.30983457496010458</v>
      </c>
      <c r="AL20" s="18">
        <f t="shared" si="65"/>
        <v>0.31274134278000948</v>
      </c>
      <c r="AM20" s="18">
        <f t="shared" si="65"/>
        <v>0.31510222870075566</v>
      </c>
      <c r="AN20" s="18">
        <f t="shared" si="65"/>
        <v>0.31755356781888011</v>
      </c>
      <c r="AO20" s="18">
        <f t="shared" si="65"/>
        <v>0.31811892118711377</v>
      </c>
      <c r="AP20" s="18">
        <f t="shared" si="65"/>
        <v>0.31866381156316914</v>
      </c>
      <c r="AQ20" s="18">
        <f t="shared" ref="AQ20:AR20" si="66">AQ19/AQ11</f>
        <v>0.31970799762591884</v>
      </c>
      <c r="AR20" s="18">
        <f t="shared" si="66"/>
        <v>0.32383951957797791</v>
      </c>
      <c r="AS20" s="46"/>
      <c r="AT20" s="89">
        <f>SUM(AR20-AN20)*1000</f>
        <v>6.2859517590977969</v>
      </c>
    </row>
    <row r="21" spans="2:46" ht="5.0999999999999996" customHeight="1">
      <c r="B21" s="31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32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6"/>
      <c r="AT21" s="87"/>
    </row>
    <row r="22" spans="2:46" ht="12.75" customHeight="1">
      <c r="B22" s="10" t="s">
        <v>127</v>
      </c>
      <c r="C22" s="96">
        <v>1348</v>
      </c>
      <c r="D22" s="96">
        <v>2745</v>
      </c>
      <c r="E22" s="96">
        <v>2005</v>
      </c>
      <c r="F22" s="96">
        <v>1807</v>
      </c>
      <c r="G22" s="96">
        <v>803</v>
      </c>
      <c r="H22" s="96">
        <v>258</v>
      </c>
      <c r="I22" s="96">
        <v>-334</v>
      </c>
      <c r="J22" s="96">
        <v>-565</v>
      </c>
      <c r="K22" s="96">
        <v>269</v>
      </c>
      <c r="L22" s="96">
        <v>-321</v>
      </c>
      <c r="M22" s="26"/>
      <c r="N22" s="96">
        <v>-247</v>
      </c>
      <c r="O22" s="96">
        <v>160</v>
      </c>
      <c r="P22" s="96">
        <v>-10</v>
      </c>
      <c r="Q22" s="34">
        <f t="shared" ref="Q22" si="67">SUM(I22-SUM(N22:P22))</f>
        <v>-237</v>
      </c>
      <c r="R22" s="96">
        <v>-393</v>
      </c>
      <c r="S22" s="96">
        <v>64</v>
      </c>
      <c r="T22" s="96">
        <v>-265</v>
      </c>
      <c r="U22" s="34">
        <f t="shared" ref="U22" si="68">SUM(J22-SUM(R22:T22))</f>
        <v>29</v>
      </c>
      <c r="V22" s="114">
        <v>-50</v>
      </c>
      <c r="W22" s="114">
        <v>158</v>
      </c>
      <c r="X22" s="114">
        <v>142</v>
      </c>
      <c r="Y22" s="34">
        <f t="shared" ref="Y22" si="69">SUM(K22-SUM(V22:X22))</f>
        <v>19</v>
      </c>
      <c r="Z22" s="96">
        <v>-248</v>
      </c>
      <c r="AA22" s="96">
        <v>-279</v>
      </c>
      <c r="AB22" s="96">
        <v>-171</v>
      </c>
      <c r="AC22" s="34">
        <f>SUM(L22-SUM(Z22:AB22))</f>
        <v>377</v>
      </c>
      <c r="AD22" s="96">
        <v>150</v>
      </c>
      <c r="AE22" s="34"/>
      <c r="AF22" s="34">
        <f>SUM(O22:R22)</f>
        <v>-480</v>
      </c>
      <c r="AG22" s="34">
        <f>SUM(P22:S22)</f>
        <v>-576</v>
      </c>
      <c r="AH22" s="34">
        <f>SUM(Q22:T22)</f>
        <v>-831</v>
      </c>
      <c r="AI22" s="34">
        <f>SUM(R22:U22)</f>
        <v>-565</v>
      </c>
      <c r="AJ22" s="34">
        <f>SUM(S22:V22)</f>
        <v>-222</v>
      </c>
      <c r="AK22" s="34">
        <f>SUM(T22:W22)</f>
        <v>-128</v>
      </c>
      <c r="AL22" s="34">
        <f>SUM(U22:X22)</f>
        <v>279</v>
      </c>
      <c r="AM22" s="34">
        <f>SUM(V22:Y22)</f>
        <v>269</v>
      </c>
      <c r="AN22" s="34">
        <f>SUM(W22:Z22)</f>
        <v>71</v>
      </c>
      <c r="AO22" s="34">
        <f>SUM(X22:AA22)</f>
        <v>-366</v>
      </c>
      <c r="AP22" s="34">
        <f>SUM(Y22:AB22)</f>
        <v>-679</v>
      </c>
      <c r="AQ22" s="34">
        <f>SUM(Z22:AC22)</f>
        <v>-321</v>
      </c>
      <c r="AR22" s="34">
        <f>SUM(AA22:AD22)</f>
        <v>77</v>
      </c>
      <c r="AS22" s="46"/>
      <c r="AT22" s="87">
        <f t="shared" ref="AT22:AT23" si="70">SUM(AR22/AN22)-1</f>
        <v>8.4507042253521236E-2</v>
      </c>
    </row>
    <row r="23" spans="2:46" ht="12.75" customHeight="1">
      <c r="B23" s="27" t="s">
        <v>70</v>
      </c>
      <c r="C23" s="28">
        <f t="shared" ref="C23:L23" si="71">SUM(C22:C22)+C19</f>
        <v>61372</v>
      </c>
      <c r="D23" s="28">
        <f t="shared" si="71"/>
        <v>64089</v>
      </c>
      <c r="E23" s="28">
        <f t="shared" si="71"/>
        <v>72903</v>
      </c>
      <c r="F23" s="28">
        <f t="shared" si="71"/>
        <v>65737</v>
      </c>
      <c r="G23" s="28">
        <f t="shared" si="71"/>
        <v>67091</v>
      </c>
      <c r="H23" s="28">
        <f t="shared" si="71"/>
        <v>109207</v>
      </c>
      <c r="I23" s="28">
        <f t="shared" si="71"/>
        <v>119103</v>
      </c>
      <c r="J23" s="28">
        <f t="shared" si="71"/>
        <v>113736</v>
      </c>
      <c r="K23" s="28">
        <f t="shared" si="71"/>
        <v>123485</v>
      </c>
      <c r="L23" s="28">
        <f t="shared" si="71"/>
        <v>132729</v>
      </c>
      <c r="N23" s="28">
        <f t="shared" ref="N23:AC23" si="72">SUM(N22:N22)+N19</f>
        <v>41241</v>
      </c>
      <c r="O23" s="28">
        <f t="shared" si="72"/>
        <v>30139</v>
      </c>
      <c r="P23" s="28">
        <f t="shared" si="72"/>
        <v>23066</v>
      </c>
      <c r="Q23" s="28">
        <f t="shared" si="72"/>
        <v>24657</v>
      </c>
      <c r="R23" s="28">
        <f t="shared" si="72"/>
        <v>35623</v>
      </c>
      <c r="S23" s="28">
        <f t="shared" si="72"/>
        <v>28382</v>
      </c>
      <c r="T23" s="28">
        <f t="shared" si="72"/>
        <v>22733</v>
      </c>
      <c r="U23" s="28">
        <f t="shared" si="72"/>
        <v>26998</v>
      </c>
      <c r="V23" s="28">
        <f t="shared" si="72"/>
        <v>40323</v>
      </c>
      <c r="W23" s="28">
        <f t="shared" si="72"/>
        <v>28058</v>
      </c>
      <c r="X23" s="28">
        <f t="shared" si="72"/>
        <v>25494</v>
      </c>
      <c r="Y23" s="28">
        <f t="shared" si="72"/>
        <v>29610</v>
      </c>
      <c r="Z23" s="28">
        <f t="shared" si="72"/>
        <v>42584</v>
      </c>
      <c r="AA23" s="28">
        <f t="shared" si="72"/>
        <v>29310</v>
      </c>
      <c r="AB23" s="28">
        <f t="shared" si="72"/>
        <v>28031</v>
      </c>
      <c r="AC23" s="28">
        <f t="shared" si="72"/>
        <v>32804</v>
      </c>
      <c r="AD23" s="28">
        <f t="shared" ref="AD23" si="73">SUM(AD22:AD22)+AD19</f>
        <v>51002</v>
      </c>
      <c r="AF23" s="28">
        <f t="shared" ref="AF23:AQ23" si="74">SUM(AF22:AF22)+AF19</f>
        <v>113485</v>
      </c>
      <c r="AG23" s="28">
        <f t="shared" si="74"/>
        <v>111728</v>
      </c>
      <c r="AH23" s="28">
        <f t="shared" si="74"/>
        <v>111395</v>
      </c>
      <c r="AI23" s="28">
        <f t="shared" si="74"/>
        <v>113736</v>
      </c>
      <c r="AJ23" s="28">
        <f t="shared" si="74"/>
        <v>118436</v>
      </c>
      <c r="AK23" s="28">
        <f t="shared" si="74"/>
        <v>118112</v>
      </c>
      <c r="AL23" s="28">
        <f t="shared" si="74"/>
        <v>120873</v>
      </c>
      <c r="AM23" s="28">
        <f t="shared" si="74"/>
        <v>123485</v>
      </c>
      <c r="AN23" s="28">
        <f t="shared" si="74"/>
        <v>125746</v>
      </c>
      <c r="AO23" s="28">
        <f t="shared" si="74"/>
        <v>126998</v>
      </c>
      <c r="AP23" s="28">
        <f t="shared" si="74"/>
        <v>129535</v>
      </c>
      <c r="AQ23" s="28">
        <f t="shared" si="74"/>
        <v>132729</v>
      </c>
      <c r="AR23" s="28">
        <f t="shared" ref="AR23" si="75">SUM(AR22:AR22)+AR19</f>
        <v>141147</v>
      </c>
      <c r="AS23" s="46"/>
      <c r="AT23" s="88">
        <f t="shared" si="70"/>
        <v>0.12247705692427591</v>
      </c>
    </row>
    <row r="24" spans="2:46" ht="5.0999999999999996" customHeight="1">
      <c r="B24" s="27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9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6"/>
      <c r="AT24" s="87"/>
    </row>
    <row r="25" spans="2:46" ht="12.75" customHeight="1">
      <c r="B25" s="50" t="s">
        <v>88</v>
      </c>
      <c r="C25" s="96">
        <v>-15685</v>
      </c>
      <c r="D25" s="96">
        <v>-15738</v>
      </c>
      <c r="E25" s="96">
        <v>-13372</v>
      </c>
      <c r="F25" s="96">
        <v>-10481</v>
      </c>
      <c r="G25" s="96">
        <v>-9680</v>
      </c>
      <c r="H25" s="96">
        <v>-14527</v>
      </c>
      <c r="I25" s="96">
        <v>-19300</v>
      </c>
      <c r="J25" s="96">
        <v>-16741</v>
      </c>
      <c r="K25" s="96">
        <v>-29749</v>
      </c>
      <c r="L25" s="96">
        <v>-20719</v>
      </c>
      <c r="M25" s="34"/>
      <c r="N25" s="96">
        <v>-6611</v>
      </c>
      <c r="O25" s="96">
        <v>-5129</v>
      </c>
      <c r="P25" s="96">
        <v>-3624</v>
      </c>
      <c r="Q25" s="34">
        <f t="shared" ref="Q25" si="76">SUM(I25-SUM(N25:P25))</f>
        <v>-3936</v>
      </c>
      <c r="R25" s="96">
        <v>-5625</v>
      </c>
      <c r="S25" s="96">
        <v>-4222</v>
      </c>
      <c r="T25" s="96">
        <v>-2852</v>
      </c>
      <c r="U25" s="34">
        <f t="shared" ref="U25" si="77">SUM(J25-SUM(R25:T25))</f>
        <v>-4042</v>
      </c>
      <c r="V25" s="114">
        <v>-6407</v>
      </c>
      <c r="W25" s="114">
        <v>-4422</v>
      </c>
      <c r="X25" s="114">
        <v>-4046</v>
      </c>
      <c r="Y25" s="34">
        <f t="shared" ref="Y25" si="78">SUM(K25-SUM(V25:X25))</f>
        <v>-14874</v>
      </c>
      <c r="Z25" s="96">
        <v>-6254</v>
      </c>
      <c r="AA25" s="96">
        <v>-4530</v>
      </c>
      <c r="AB25" s="96">
        <v>-4597</v>
      </c>
      <c r="AC25" s="34">
        <f>SUM(L25-SUM(Z25:AB25))</f>
        <v>-5338</v>
      </c>
      <c r="AD25" s="96">
        <v>-8905</v>
      </c>
      <c r="AE25" s="34"/>
      <c r="AF25" s="34">
        <f>SUM(O25:R25)</f>
        <v>-18314</v>
      </c>
      <c r="AG25" s="34">
        <f>SUM(P25:S25)</f>
        <v>-17407</v>
      </c>
      <c r="AH25" s="34">
        <f>SUM(Q25:T25)</f>
        <v>-16635</v>
      </c>
      <c r="AI25" s="34">
        <f>SUM(R25:U25)</f>
        <v>-16741</v>
      </c>
      <c r="AJ25" s="34">
        <f>SUM(S25:V25)</f>
        <v>-17523</v>
      </c>
      <c r="AK25" s="34">
        <f>SUM(T25:W25)</f>
        <v>-17723</v>
      </c>
      <c r="AL25" s="34">
        <f>SUM(U25:X25)</f>
        <v>-18917</v>
      </c>
      <c r="AM25" s="34">
        <f>SUM(V25:Y25)</f>
        <v>-29749</v>
      </c>
      <c r="AN25" s="34">
        <f>SUM(W25:Z25)</f>
        <v>-29596</v>
      </c>
      <c r="AO25" s="34">
        <f>SUM(X25:AA25)</f>
        <v>-29704</v>
      </c>
      <c r="AP25" s="34">
        <f>SUM(Y25:AB25)</f>
        <v>-30255</v>
      </c>
      <c r="AQ25" s="34">
        <f>SUM(Z25:AC25)</f>
        <v>-20719</v>
      </c>
      <c r="AR25" s="34">
        <f>SUM(AA25:AD25)</f>
        <v>-23370</v>
      </c>
      <c r="AS25" s="46"/>
      <c r="AT25" s="87">
        <f t="shared" ref="AT25:AT26" si="79">SUM(AR25/AN25)-1</f>
        <v>-0.21036626571158268</v>
      </c>
    </row>
    <row r="26" spans="2:46" ht="12.75" customHeight="1">
      <c r="B26" s="14" t="s">
        <v>71</v>
      </c>
      <c r="C26" s="15">
        <f t="shared" ref="C26:F26" si="80">SUM(C23+C25)</f>
        <v>45687</v>
      </c>
      <c r="D26" s="15">
        <f t="shared" si="80"/>
        <v>48351</v>
      </c>
      <c r="E26" s="15">
        <f t="shared" si="80"/>
        <v>59531</v>
      </c>
      <c r="F26" s="15">
        <f t="shared" si="80"/>
        <v>55256</v>
      </c>
      <c r="G26" s="15">
        <f>SUM(G23+G25)</f>
        <v>57411</v>
      </c>
      <c r="H26" s="15">
        <f>SUM(H23+H25)</f>
        <v>94680</v>
      </c>
      <c r="I26" s="15">
        <f t="shared" ref="I26:K26" si="81">SUM(I23+I25)</f>
        <v>99803</v>
      </c>
      <c r="J26" s="15">
        <f t="shared" si="81"/>
        <v>96995</v>
      </c>
      <c r="K26" s="15">
        <f t="shared" si="81"/>
        <v>93736</v>
      </c>
      <c r="L26" s="15">
        <f t="shared" ref="L26" si="82">SUM(L23+L25)</f>
        <v>112010</v>
      </c>
      <c r="M26" s="12"/>
      <c r="N26" s="15">
        <f t="shared" ref="N26:AP26" si="83">SUM(N23+N25)</f>
        <v>34630</v>
      </c>
      <c r="O26" s="15">
        <f t="shared" si="83"/>
        <v>25010</v>
      </c>
      <c r="P26" s="15">
        <f t="shared" si="83"/>
        <v>19442</v>
      </c>
      <c r="Q26" s="15">
        <f t="shared" si="83"/>
        <v>20721</v>
      </c>
      <c r="R26" s="15">
        <f t="shared" si="83"/>
        <v>29998</v>
      </c>
      <c r="S26" s="15">
        <f t="shared" si="83"/>
        <v>24160</v>
      </c>
      <c r="T26" s="15">
        <f t="shared" si="83"/>
        <v>19881</v>
      </c>
      <c r="U26" s="15">
        <f t="shared" si="83"/>
        <v>22956</v>
      </c>
      <c r="V26" s="15">
        <f t="shared" si="83"/>
        <v>33916</v>
      </c>
      <c r="W26" s="15">
        <f t="shared" si="83"/>
        <v>23636</v>
      </c>
      <c r="X26" s="15">
        <f t="shared" si="83"/>
        <v>21448</v>
      </c>
      <c r="Y26" s="15">
        <f t="shared" si="83"/>
        <v>14736</v>
      </c>
      <c r="Z26" s="15">
        <f t="shared" si="83"/>
        <v>36330</v>
      </c>
      <c r="AA26" s="15">
        <f t="shared" si="83"/>
        <v>24780</v>
      </c>
      <c r="AB26" s="15">
        <f t="shared" ref="AB26:AC26" si="84">SUM(AB23+AB25)</f>
        <v>23434</v>
      </c>
      <c r="AC26" s="15">
        <f t="shared" si="84"/>
        <v>27466</v>
      </c>
      <c r="AD26" s="15">
        <f t="shared" ref="AD26" si="85">SUM(AD23+AD25)</f>
        <v>42097</v>
      </c>
      <c r="AF26" s="15">
        <f t="shared" ref="AF26" si="86">SUM(AF23+AF25)</f>
        <v>95171</v>
      </c>
      <c r="AG26" s="15">
        <f t="shared" ref="AG26:AL26" si="87">SUM(AG23+AG25)</f>
        <v>94321</v>
      </c>
      <c r="AH26" s="15">
        <f t="shared" si="87"/>
        <v>94760</v>
      </c>
      <c r="AI26" s="15">
        <f t="shared" si="87"/>
        <v>96995</v>
      </c>
      <c r="AJ26" s="15">
        <f t="shared" si="87"/>
        <v>100913</v>
      </c>
      <c r="AK26" s="15">
        <f t="shared" si="87"/>
        <v>100389</v>
      </c>
      <c r="AL26" s="15">
        <f t="shared" si="87"/>
        <v>101956</v>
      </c>
      <c r="AM26" s="15">
        <f t="shared" ref="AM26:AO26" si="88">SUM(AM23+AM25)</f>
        <v>93736</v>
      </c>
      <c r="AN26" s="15">
        <f t="shared" si="88"/>
        <v>96150</v>
      </c>
      <c r="AO26" s="15">
        <f t="shared" si="88"/>
        <v>97294</v>
      </c>
      <c r="AP26" s="15">
        <f t="shared" si="83"/>
        <v>99280</v>
      </c>
      <c r="AQ26" s="15">
        <f t="shared" ref="AQ26:AR26" si="89">SUM(AQ23+AQ25)</f>
        <v>112010</v>
      </c>
      <c r="AR26" s="15">
        <f t="shared" si="89"/>
        <v>117777</v>
      </c>
      <c r="AS26" s="39"/>
      <c r="AT26" s="88">
        <f t="shared" si="79"/>
        <v>0.22492979719188777</v>
      </c>
    </row>
    <row r="27" spans="2:46" ht="12.75" customHeight="1">
      <c r="B27" s="17" t="s">
        <v>90</v>
      </c>
      <c r="C27" s="18">
        <f t="shared" ref="C27:L27" si="90">C26/C11</f>
        <v>0.211867983064288</v>
      </c>
      <c r="D27" s="18">
        <f t="shared" si="90"/>
        <v>0.21092420845075338</v>
      </c>
      <c r="E27" s="18">
        <f t="shared" si="90"/>
        <v>0.22414202074587247</v>
      </c>
      <c r="F27" s="18">
        <f t="shared" si="90"/>
        <v>0.21238094505984456</v>
      </c>
      <c r="G27" s="18">
        <f t="shared" si="90"/>
        <v>0.20913611278072236</v>
      </c>
      <c r="H27" s="18">
        <f t="shared" si="90"/>
        <v>0.25881793355694238</v>
      </c>
      <c r="I27" s="18">
        <f t="shared" si="90"/>
        <v>0.25309640705199732</v>
      </c>
      <c r="J27" s="18">
        <f t="shared" si="90"/>
        <v>0.25306234264320282</v>
      </c>
      <c r="K27" s="18">
        <f t="shared" si="90"/>
        <v>0.23971255769943867</v>
      </c>
      <c r="L27" s="18">
        <f t="shared" si="90"/>
        <v>0.26915064121818238</v>
      </c>
      <c r="M27" s="29"/>
      <c r="N27" s="18">
        <f t="shared" ref="N27:AC27" si="91">N26/N11</f>
        <v>0.27939812013393039</v>
      </c>
      <c r="O27" s="18">
        <f t="shared" si="91"/>
        <v>0.25709821336787353</v>
      </c>
      <c r="P27" s="18">
        <f t="shared" si="91"/>
        <v>0.23435673043310551</v>
      </c>
      <c r="Q27" s="18">
        <f t="shared" si="91"/>
        <v>0.22986044860559537</v>
      </c>
      <c r="R27" s="18">
        <f t="shared" si="91"/>
        <v>0.2560561312460522</v>
      </c>
      <c r="S27" s="18">
        <f t="shared" si="91"/>
        <v>0.25475557805052934</v>
      </c>
      <c r="T27" s="18">
        <f t="shared" si="91"/>
        <v>0.24305292370135825</v>
      </c>
      <c r="U27" s="18">
        <f t="shared" si="91"/>
        <v>0.25649735189613176</v>
      </c>
      <c r="V27" s="18">
        <f t="shared" si="91"/>
        <v>0.28363788417311309</v>
      </c>
      <c r="W27" s="18">
        <f t="shared" si="91"/>
        <v>0.26044318094167684</v>
      </c>
      <c r="X27" s="18">
        <f t="shared" si="91"/>
        <v>0.25004371801298714</v>
      </c>
      <c r="Y27" s="18">
        <f t="shared" si="91"/>
        <v>0.15523016959865163</v>
      </c>
      <c r="Z27" s="18">
        <f t="shared" si="91"/>
        <v>0.29227674979887369</v>
      </c>
      <c r="AA27" s="18">
        <f t="shared" si="91"/>
        <v>0.25986010759341016</v>
      </c>
      <c r="AB27" s="18">
        <f t="shared" si="91"/>
        <v>0.24920243311072354</v>
      </c>
      <c r="AC27" s="18">
        <f t="shared" si="91"/>
        <v>0.26804988971951671</v>
      </c>
      <c r="AD27" s="18">
        <f t="shared" ref="AD27" si="92">AD26/AD11</f>
        <v>0.29283647291243498</v>
      </c>
      <c r="AE27" s="30"/>
      <c r="AF27" s="18">
        <f t="shared" ref="AF27:AQ27" si="93">AF26/AF11</f>
        <v>0.24557913179902821</v>
      </c>
      <c r="AG27" s="18">
        <f t="shared" si="93"/>
        <v>0.24492917332086889</v>
      </c>
      <c r="AH27" s="18">
        <f t="shared" si="93"/>
        <v>0.2468138972164414</v>
      </c>
      <c r="AI27" s="18">
        <f t="shared" si="93"/>
        <v>0.25306234264320282</v>
      </c>
      <c r="AJ27" s="18">
        <f t="shared" si="93"/>
        <v>0.26163191653746637</v>
      </c>
      <c r="AK27" s="18">
        <f t="shared" si="93"/>
        <v>0.26305804419544943</v>
      </c>
      <c r="AL27" s="18">
        <f t="shared" si="93"/>
        <v>0.26440665658721535</v>
      </c>
      <c r="AM27" s="18">
        <f t="shared" si="93"/>
        <v>0.23971255769943867</v>
      </c>
      <c r="AN27" s="18">
        <f t="shared" si="93"/>
        <v>0.24295027289266222</v>
      </c>
      <c r="AO27" s="18">
        <f t="shared" si="93"/>
        <v>0.24301264343126039</v>
      </c>
      <c r="AP27" s="18">
        <f t="shared" si="93"/>
        <v>0.24296115019883757</v>
      </c>
      <c r="AQ27" s="18">
        <f t="shared" si="93"/>
        <v>0.26915064121818238</v>
      </c>
      <c r="AR27" s="18">
        <f t="shared" ref="AR27" si="94">AR26/AR11</f>
        <v>0.27036823631768275</v>
      </c>
      <c r="AS27" s="46"/>
      <c r="AT27" s="89">
        <f>SUM(AR27-AN27)*1000</f>
        <v>27.417963425020535</v>
      </c>
    </row>
    <row r="28" spans="2:46" ht="5.0999999999999996" customHeight="1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29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30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46"/>
      <c r="AT28" s="89"/>
    </row>
    <row r="29" spans="2:46" ht="12.75" customHeight="1">
      <c r="B29" s="50" t="s">
        <v>91</v>
      </c>
      <c r="C29" s="96">
        <v>21883.281000000003</v>
      </c>
      <c r="D29" s="96">
        <v>20868.968000000001</v>
      </c>
      <c r="E29" s="96">
        <v>19821.510000000002</v>
      </c>
      <c r="F29" s="96">
        <v>18471.335999999999</v>
      </c>
      <c r="G29" s="96">
        <v>17352.118999999999</v>
      </c>
      <c r="H29" s="96">
        <v>16701.272000000001</v>
      </c>
      <c r="I29" s="96">
        <v>16215.963</v>
      </c>
      <c r="J29" s="96">
        <v>15744.231</v>
      </c>
      <c r="K29" s="96">
        <v>15343.782999999999</v>
      </c>
      <c r="L29" s="96">
        <v>14948.5</v>
      </c>
      <c r="M29" s="29"/>
      <c r="N29" s="96">
        <v>16391.723999999998</v>
      </c>
      <c r="O29" s="96">
        <v>16278.802</v>
      </c>
      <c r="P29" s="96">
        <v>16162.945</v>
      </c>
      <c r="Q29" s="34">
        <f>I29</f>
        <v>16215.963</v>
      </c>
      <c r="R29" s="96">
        <v>15892.723</v>
      </c>
      <c r="S29" s="96">
        <v>15787.154</v>
      </c>
      <c r="T29" s="96">
        <v>15697.614</v>
      </c>
      <c r="U29" s="34">
        <f>J29</f>
        <v>15744.231</v>
      </c>
      <c r="V29" s="114">
        <v>15509.763000000001</v>
      </c>
      <c r="W29" s="114">
        <v>15405.856</v>
      </c>
      <c r="X29" s="114">
        <v>15287.521000000001</v>
      </c>
      <c r="Y29" s="34">
        <f>K29</f>
        <v>15343.782999999999</v>
      </c>
      <c r="Z29" s="96">
        <v>15081.724</v>
      </c>
      <c r="AA29" s="96">
        <v>14994.082</v>
      </c>
      <c r="AB29" s="96">
        <v>14902.886</v>
      </c>
      <c r="AC29" s="34">
        <f>L29</f>
        <v>14948.5</v>
      </c>
      <c r="AD29" s="96">
        <v>14748.157999999999</v>
      </c>
      <c r="AE29" s="30"/>
      <c r="AF29" s="34">
        <f>R29</f>
        <v>15892.723</v>
      </c>
      <c r="AG29" s="34">
        <f>S29</f>
        <v>15787.154</v>
      </c>
      <c r="AH29" s="34">
        <f>T29</f>
        <v>15697.614</v>
      </c>
      <c r="AI29" s="34">
        <f>U29</f>
        <v>15744.231</v>
      </c>
      <c r="AJ29" s="34">
        <f>V29</f>
        <v>15509.763000000001</v>
      </c>
      <c r="AK29" s="34">
        <f>W29</f>
        <v>15405.856</v>
      </c>
      <c r="AL29" s="34">
        <f>X29</f>
        <v>15287.521000000001</v>
      </c>
      <c r="AM29" s="34">
        <f>Y29</f>
        <v>15343.782999999999</v>
      </c>
      <c r="AN29" s="34">
        <f>Z29</f>
        <v>15081.724</v>
      </c>
      <c r="AO29" s="34">
        <f>AA29</f>
        <v>14994.082</v>
      </c>
      <c r="AP29" s="34">
        <f>AB29</f>
        <v>14902.886</v>
      </c>
      <c r="AQ29" s="34">
        <f>AC29</f>
        <v>14948.5</v>
      </c>
      <c r="AR29" s="34">
        <f>AD29</f>
        <v>14748.157999999999</v>
      </c>
      <c r="AS29" s="46"/>
      <c r="AT29" s="87">
        <f t="shared" ref="AT29:AT30" si="95">SUM(AR29/AN29)-1</f>
        <v>-2.2117232751375115E-2</v>
      </c>
    </row>
    <row r="30" spans="2:46" ht="12.75" customHeight="1">
      <c r="B30" s="14" t="s">
        <v>92</v>
      </c>
      <c r="C30" s="90">
        <f t="shared" ref="C30:F30" si="96">C26/C29</f>
        <v>2.0877582296731463</v>
      </c>
      <c r="D30" s="90">
        <f t="shared" si="96"/>
        <v>2.3168850515272243</v>
      </c>
      <c r="E30" s="90">
        <f t="shared" si="96"/>
        <v>3.0033534276651976</v>
      </c>
      <c r="F30" s="90">
        <f t="shared" si="96"/>
        <v>2.9914457730615696</v>
      </c>
      <c r="G30" s="90">
        <f>G26/G29</f>
        <v>3.3085872682177895</v>
      </c>
      <c r="H30" s="90">
        <f t="shared" ref="H30:K30" si="97">H26/H29</f>
        <v>5.6690292811230183</v>
      </c>
      <c r="I30" s="90">
        <f t="shared" si="97"/>
        <v>6.1546144376377772</v>
      </c>
      <c r="J30" s="90">
        <f t="shared" si="97"/>
        <v>6.1606692635543778</v>
      </c>
      <c r="K30" s="90">
        <f t="shared" si="97"/>
        <v>6.1090540709549925</v>
      </c>
      <c r="L30" s="90">
        <f t="shared" ref="L30" si="98">L26/L29</f>
        <v>7.4930595042980901</v>
      </c>
      <c r="M30" s="12"/>
      <c r="N30" s="90">
        <f t="shared" ref="N30" si="99">N26/N29</f>
        <v>2.1126514819307598</v>
      </c>
      <c r="O30" s="90">
        <f t="shared" ref="O30" si="100">O26/O29</f>
        <v>1.5363538422544853</v>
      </c>
      <c r="P30" s="90">
        <f t="shared" ref="P30" si="101">P26/P29</f>
        <v>1.2028748473746584</v>
      </c>
      <c r="Q30" s="90">
        <f t="shared" ref="Q30" si="102">Q26/Q29</f>
        <v>1.2778149530804923</v>
      </c>
      <c r="R30" s="90">
        <f t="shared" ref="R30" si="103">R26/R29</f>
        <v>1.8875305383476451</v>
      </c>
      <c r="S30" s="90">
        <f t="shared" ref="S30" si="104">S26/S29</f>
        <v>1.5303581633523053</v>
      </c>
      <c r="T30" s="90">
        <f t="shared" ref="T30" si="105">T26/T29</f>
        <v>1.2664982079442137</v>
      </c>
      <c r="U30" s="90">
        <f t="shared" ref="U30" si="106">U26/U29</f>
        <v>1.4580578752941316</v>
      </c>
      <c r="V30" s="90">
        <f t="shared" ref="V30" si="107">V26/V29</f>
        <v>2.1867516608732189</v>
      </c>
      <c r="W30" s="90">
        <f t="shared" ref="W30" si="108">W26/W29</f>
        <v>1.5342217920250585</v>
      </c>
      <c r="X30" s="90">
        <f t="shared" ref="X30" si="109">X26/X29</f>
        <v>1.4029743605912299</v>
      </c>
      <c r="Y30" s="90">
        <f t="shared" ref="Y30" si="110">Y26/Y29</f>
        <v>0.96038897317565042</v>
      </c>
      <c r="Z30" s="90">
        <f t="shared" ref="Z30" si="111">Z26/Z29</f>
        <v>2.408875802262394</v>
      </c>
      <c r="AA30" s="90">
        <f t="shared" ref="AA30" si="112">AA26/AA29</f>
        <v>1.6526520263127813</v>
      </c>
      <c r="AB30" s="90">
        <f t="shared" ref="AB30:AC30" si="113">AB26/AB29</f>
        <v>1.5724471085667568</v>
      </c>
      <c r="AC30" s="90">
        <f t="shared" si="113"/>
        <v>1.8373749874569354</v>
      </c>
      <c r="AD30" s="90">
        <f t="shared" ref="AD30" si="114">AD26/AD29</f>
        <v>2.8543903584434069</v>
      </c>
      <c r="AE30" s="30"/>
      <c r="AF30" s="90">
        <f t="shared" ref="AF30:AG30" si="115">AF26/AF29</f>
        <v>5.9883381847151052</v>
      </c>
      <c r="AG30" s="90">
        <f t="shared" si="115"/>
        <v>5.9745410730775159</v>
      </c>
      <c r="AH30" s="90">
        <f t="shared" ref="AH30" si="116">AH26/AH29</f>
        <v>6.0365861971125039</v>
      </c>
      <c r="AI30" s="90">
        <f t="shared" ref="AI30" si="117">AI26/AI29</f>
        <v>6.1606692635543778</v>
      </c>
      <c r="AJ30" s="90">
        <f t="shared" ref="AJ30" si="118">AJ26/AJ29</f>
        <v>6.5064179252771304</v>
      </c>
      <c r="AK30" s="90">
        <f t="shared" ref="AK30" si="119">AK26/AK29</f>
        <v>6.5162883516501777</v>
      </c>
      <c r="AL30" s="90">
        <f t="shared" ref="AL30" si="120">AL26/AL29</f>
        <v>6.6692304134856135</v>
      </c>
      <c r="AM30" s="90">
        <f t="shared" ref="AM30" si="121">AM26/AM29</f>
        <v>6.1090540709549925</v>
      </c>
      <c r="AN30" s="90">
        <f t="shared" ref="AN30" si="122">AN26/AN29</f>
        <v>6.375265851569754</v>
      </c>
      <c r="AO30" s="90">
        <f t="shared" ref="AO30" si="123">AO26/AO29</f>
        <v>6.4888267251039444</v>
      </c>
      <c r="AP30" s="90">
        <f t="shared" ref="AP30:AQ30" si="124">AP26/AP29</f>
        <v>6.6617969163825048</v>
      </c>
      <c r="AQ30" s="90">
        <f t="shared" si="124"/>
        <v>7.4930595042980901</v>
      </c>
      <c r="AR30" s="90">
        <f t="shared" ref="AR30" si="125">AR26/AR29</f>
        <v>7.9858786432854876</v>
      </c>
      <c r="AS30" s="39"/>
      <c r="AT30" s="88">
        <f t="shared" si="95"/>
        <v>0.25263460837780749</v>
      </c>
    </row>
    <row r="31" spans="2:46" ht="5.0999999999999996" customHeight="1">
      <c r="B31" s="17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29"/>
      <c r="N31" s="18"/>
      <c r="O31" s="18"/>
      <c r="P31" s="18"/>
      <c r="Q31" s="34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30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46"/>
      <c r="AT31" s="89"/>
    </row>
    <row r="32" spans="2:46" ht="12.75" customHeight="1">
      <c r="B32" s="50" t="s">
        <v>93</v>
      </c>
      <c r="C32" s="96">
        <v>22001.127</v>
      </c>
      <c r="D32" s="96">
        <v>21006.767</v>
      </c>
      <c r="E32" s="96">
        <v>20000.436000000002</v>
      </c>
      <c r="F32" s="96">
        <v>18595.651000000002</v>
      </c>
      <c r="G32" s="96">
        <v>17528.214</v>
      </c>
      <c r="H32" s="96">
        <v>16864.919000000002</v>
      </c>
      <c r="I32" s="96">
        <v>16325.819</v>
      </c>
      <c r="J32" s="96">
        <v>15812.547</v>
      </c>
      <c r="K32" s="96">
        <v>15408.094999999999</v>
      </c>
      <c r="L32" s="96">
        <v>15004.697</v>
      </c>
      <c r="M32" s="29"/>
      <c r="N32" s="96">
        <v>16519.291000000001</v>
      </c>
      <c r="O32" s="96">
        <v>16403.315999999999</v>
      </c>
      <c r="P32" s="96">
        <v>16262.203</v>
      </c>
      <c r="Q32" s="34">
        <f>I32</f>
        <v>16325.819</v>
      </c>
      <c r="R32" s="96">
        <v>15955.718000000001</v>
      </c>
      <c r="S32" s="96">
        <v>15847.05</v>
      </c>
      <c r="T32" s="96">
        <v>15775.021000000001</v>
      </c>
      <c r="U32" s="34">
        <f>J32</f>
        <v>15812.547</v>
      </c>
      <c r="V32" s="114">
        <v>15576.641</v>
      </c>
      <c r="W32" s="114">
        <v>15464.709000000001</v>
      </c>
      <c r="X32" s="114">
        <v>15348.174999999999</v>
      </c>
      <c r="Y32" s="34">
        <f>K32</f>
        <v>15408.094999999999</v>
      </c>
      <c r="Z32" s="96">
        <v>15150.865</v>
      </c>
      <c r="AA32" s="96">
        <v>15056.133</v>
      </c>
      <c r="AB32" s="96">
        <v>14948.179</v>
      </c>
      <c r="AC32" s="34">
        <f>L32</f>
        <v>15004.697</v>
      </c>
      <c r="AD32" s="96">
        <v>14810.356</v>
      </c>
      <c r="AE32" s="34"/>
      <c r="AF32" s="34">
        <f>R32</f>
        <v>15955.718000000001</v>
      </c>
      <c r="AG32" s="34">
        <f>S32</f>
        <v>15847.05</v>
      </c>
      <c r="AH32" s="34">
        <f>T32</f>
        <v>15775.021000000001</v>
      </c>
      <c r="AI32" s="34">
        <f>U32</f>
        <v>15812.547</v>
      </c>
      <c r="AJ32" s="34">
        <f>V32</f>
        <v>15576.641</v>
      </c>
      <c r="AK32" s="34">
        <f>W32</f>
        <v>15464.709000000001</v>
      </c>
      <c r="AL32" s="34">
        <f>X32</f>
        <v>15348.174999999999</v>
      </c>
      <c r="AM32" s="34">
        <f>Y32</f>
        <v>15408.094999999999</v>
      </c>
      <c r="AN32" s="34">
        <f>Z32</f>
        <v>15150.865</v>
      </c>
      <c r="AO32" s="34">
        <f>AA32</f>
        <v>15056.133</v>
      </c>
      <c r="AP32" s="34">
        <f>AB32</f>
        <v>14948.179</v>
      </c>
      <c r="AQ32" s="34">
        <f>AC32</f>
        <v>15004.697</v>
      </c>
      <c r="AR32" s="34">
        <f>AD32</f>
        <v>14810.356</v>
      </c>
      <c r="AS32" s="46"/>
      <c r="AT32" s="87">
        <f t="shared" ref="AT32:AT33" si="126">SUM(AR32/AN32)-1</f>
        <v>-2.2474558383300258E-2</v>
      </c>
    </row>
    <row r="33" spans="1:46" ht="12.75" customHeight="1">
      <c r="B33" s="14" t="s">
        <v>94</v>
      </c>
      <c r="C33" s="90">
        <f t="shared" ref="C33:F33" si="127">C26/C32</f>
        <v>2.0765754408853692</v>
      </c>
      <c r="D33" s="90">
        <f t="shared" si="127"/>
        <v>2.301686880232451</v>
      </c>
      <c r="E33" s="90">
        <f t="shared" si="127"/>
        <v>2.9764851126245446</v>
      </c>
      <c r="F33" s="90">
        <f t="shared" si="127"/>
        <v>2.9714474637107351</v>
      </c>
      <c r="G33" s="90">
        <f>G26/G32</f>
        <v>3.2753479618630856</v>
      </c>
      <c r="H33" s="90">
        <f t="shared" ref="H33:K33" si="128">H26/H32</f>
        <v>5.6140204408927188</v>
      </c>
      <c r="I33" s="90">
        <f t="shared" si="128"/>
        <v>6.1132002014722815</v>
      </c>
      <c r="J33" s="90">
        <f t="shared" si="128"/>
        <v>6.1340529138031972</v>
      </c>
      <c r="K33" s="90">
        <f t="shared" si="128"/>
        <v>6.0835554297919376</v>
      </c>
      <c r="L33" s="90">
        <f t="shared" ref="L33" si="129">L26/L32</f>
        <v>7.4649957943169394</v>
      </c>
      <c r="M33" s="29"/>
      <c r="N33" s="90">
        <f t="shared" ref="N33" si="130">N26/N32</f>
        <v>2.0963369432743812</v>
      </c>
      <c r="O33" s="90">
        <f t="shared" ref="O33" si="131">O26/O32</f>
        <v>1.5246917147727936</v>
      </c>
      <c r="P33" s="90">
        <f t="shared" ref="P33" si="132">P26/P32</f>
        <v>1.1955329791418789</v>
      </c>
      <c r="Q33" s="90">
        <f t="shared" ref="Q33" si="133">Q26/Q32</f>
        <v>1.2692165703907412</v>
      </c>
      <c r="R33" s="90">
        <f t="shared" ref="R33" si="134">R26/R32</f>
        <v>1.8800783518485347</v>
      </c>
      <c r="S33" s="90">
        <f t="shared" ref="S33" si="135">S26/S32</f>
        <v>1.5245739743359175</v>
      </c>
      <c r="T33" s="90">
        <f t="shared" ref="T33" si="136">T26/T32</f>
        <v>1.2602835837746269</v>
      </c>
      <c r="U33" s="90">
        <f t="shared" ref="U33" si="137">U26/U32</f>
        <v>1.4517585307414422</v>
      </c>
      <c r="V33" s="90">
        <f t="shared" ref="V33" si="138">V26/V32</f>
        <v>2.1773628858750742</v>
      </c>
      <c r="W33" s="90">
        <f t="shared" ref="W33" si="139">W26/W32</f>
        <v>1.5283831076291186</v>
      </c>
      <c r="X33" s="90">
        <f t="shared" ref="X33" si="140">X26/X32</f>
        <v>1.3974299876043894</v>
      </c>
      <c r="Y33" s="90">
        <f t="shared" ref="Y33" si="141">Y26/Y32</f>
        <v>0.95638039614890746</v>
      </c>
      <c r="Z33" s="90">
        <f t="shared" ref="Z33" si="142">Z26/Z32</f>
        <v>2.3978828931549452</v>
      </c>
      <c r="AA33" s="90">
        <f t="shared" ref="AA33" si="143">AA26/AA32</f>
        <v>1.6458409340565736</v>
      </c>
      <c r="AB33" s="90">
        <f t="shared" ref="AB33:AC33" si="144">AB26/AB32</f>
        <v>1.5676825919732431</v>
      </c>
      <c r="AC33" s="90">
        <f t="shared" si="144"/>
        <v>1.8304934781422111</v>
      </c>
      <c r="AD33" s="90">
        <f t="shared" ref="AD33" si="145">AD26/AD32</f>
        <v>2.8424029780242961</v>
      </c>
      <c r="AE33" s="34"/>
      <c r="AF33" s="90">
        <f t="shared" ref="AF33:AG33" si="146">AF26/AF32</f>
        <v>5.9646955404952626</v>
      </c>
      <c r="AG33" s="90">
        <f t="shared" si="146"/>
        <v>5.9519595129692915</v>
      </c>
      <c r="AH33" s="90">
        <f t="shared" ref="AH33" si="147">AH26/AH32</f>
        <v>6.0069650620433404</v>
      </c>
      <c r="AI33" s="90">
        <f t="shared" ref="AI33" si="148">AI26/AI32</f>
        <v>6.1340529138031972</v>
      </c>
      <c r="AJ33" s="90">
        <f t="shared" ref="AJ33" si="149">AJ26/AJ32</f>
        <v>6.4784827486234038</v>
      </c>
      <c r="AK33" s="90">
        <f t="shared" ref="AK33" si="150">AK26/AK32</f>
        <v>6.4914897525714839</v>
      </c>
      <c r="AL33" s="90">
        <f t="shared" ref="AL33" si="151">AL26/AL32</f>
        <v>6.6428744785617839</v>
      </c>
      <c r="AM33" s="90">
        <f t="shared" ref="AM33" si="152">AM26/AM32</f>
        <v>6.0835554297919376</v>
      </c>
      <c r="AN33" s="90">
        <f t="shared" ref="AN33" si="153">AN26/AN32</f>
        <v>6.3461723142540043</v>
      </c>
      <c r="AO33" s="90">
        <f t="shared" ref="AO33" si="154">AO26/AO32</f>
        <v>6.4620842549677269</v>
      </c>
      <c r="AP33" s="90">
        <f t="shared" ref="AP33:AQ33" si="155">AP26/AP32</f>
        <v>6.6416116638688898</v>
      </c>
      <c r="AQ33" s="90">
        <f t="shared" si="155"/>
        <v>7.4649957943169394</v>
      </c>
      <c r="AR33" s="90">
        <f t="shared" ref="AR33" si="156">AR26/AR32</f>
        <v>7.9523409160455021</v>
      </c>
      <c r="AS33" s="39"/>
      <c r="AT33" s="88">
        <f t="shared" si="126"/>
        <v>0.25309249769091768</v>
      </c>
    </row>
    <row r="34" spans="1:46">
      <c r="B34" s="17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29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30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46"/>
    </row>
    <row r="35" spans="1:46" ht="12.75" customHeight="1">
      <c r="A35" s="5" t="s">
        <v>19</v>
      </c>
      <c r="B35" s="123" t="s">
        <v>155</v>
      </c>
      <c r="C35" s="124" t="s">
        <v>0</v>
      </c>
      <c r="D35" s="124"/>
      <c r="E35" s="124"/>
      <c r="F35" s="124"/>
      <c r="G35" s="124"/>
      <c r="H35" s="124"/>
      <c r="I35" s="124"/>
      <c r="J35" s="124" t="s">
        <v>0</v>
      </c>
      <c r="K35" s="124"/>
      <c r="L35" s="124"/>
      <c r="M35" s="125"/>
      <c r="N35" s="124" t="s">
        <v>1</v>
      </c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 t="s">
        <v>1</v>
      </c>
      <c r="Z35" s="124"/>
      <c r="AA35" s="124"/>
      <c r="AB35" s="124"/>
      <c r="AC35" s="124"/>
      <c r="AD35" s="124"/>
      <c r="AE35" s="123"/>
      <c r="AF35" s="124"/>
      <c r="AG35" s="124"/>
      <c r="AH35" s="124"/>
      <c r="AI35" s="124"/>
      <c r="AJ35" s="124"/>
      <c r="AK35" s="124"/>
      <c r="AL35" s="124" t="s">
        <v>10</v>
      </c>
      <c r="AM35" s="124"/>
      <c r="AN35" s="124"/>
      <c r="AO35" s="124"/>
      <c r="AP35" s="124"/>
      <c r="AQ35" s="124"/>
      <c r="AR35" s="124"/>
      <c r="AS35" s="125"/>
      <c r="AT35" s="155" t="s">
        <v>25</v>
      </c>
    </row>
    <row r="36" spans="1:46" ht="12.75" customHeight="1">
      <c r="B36" s="127" t="str">
        <f t="shared" ref="B36:L36" si="157">B7</f>
        <v>Fiscal Period</v>
      </c>
      <c r="C36" s="126">
        <f t="shared" si="157"/>
        <v>2016</v>
      </c>
      <c r="D36" s="126">
        <f t="shared" si="157"/>
        <v>2017</v>
      </c>
      <c r="E36" s="126">
        <f t="shared" si="157"/>
        <v>2018</v>
      </c>
      <c r="F36" s="126">
        <f t="shared" si="157"/>
        <v>2019</v>
      </c>
      <c r="G36" s="126">
        <f t="shared" si="157"/>
        <v>2020</v>
      </c>
      <c r="H36" s="126">
        <f t="shared" si="157"/>
        <v>2021</v>
      </c>
      <c r="I36" s="126">
        <f t="shared" si="157"/>
        <v>2022</v>
      </c>
      <c r="J36" s="126">
        <f t="shared" si="157"/>
        <v>2023</v>
      </c>
      <c r="K36" s="126">
        <f t="shared" si="157"/>
        <v>2024</v>
      </c>
      <c r="L36" s="126">
        <f t="shared" si="157"/>
        <v>2025</v>
      </c>
      <c r="M36" s="125"/>
      <c r="N36" s="126" t="str">
        <f t="shared" ref="N36:AC36" si="158">N7</f>
        <v>1Q22</v>
      </c>
      <c r="O36" s="126" t="str">
        <f t="shared" si="158"/>
        <v>2Q22</v>
      </c>
      <c r="P36" s="126" t="str">
        <f t="shared" si="158"/>
        <v>3Q22</v>
      </c>
      <c r="Q36" s="126" t="str">
        <f t="shared" si="158"/>
        <v>4Q22</v>
      </c>
      <c r="R36" s="126" t="str">
        <f t="shared" si="158"/>
        <v>1Q23</v>
      </c>
      <c r="S36" s="126" t="str">
        <f t="shared" si="158"/>
        <v>2Q23</v>
      </c>
      <c r="T36" s="126" t="str">
        <f t="shared" si="158"/>
        <v>3Q23</v>
      </c>
      <c r="U36" s="126" t="str">
        <f t="shared" si="158"/>
        <v>4Q23</v>
      </c>
      <c r="V36" s="126" t="str">
        <f t="shared" si="158"/>
        <v>1Q24</v>
      </c>
      <c r="W36" s="126" t="str">
        <f t="shared" si="158"/>
        <v>2Q24</v>
      </c>
      <c r="X36" s="126" t="str">
        <f t="shared" si="158"/>
        <v>3Q24</v>
      </c>
      <c r="Y36" s="126" t="str">
        <f t="shared" si="158"/>
        <v>4Q24</v>
      </c>
      <c r="Z36" s="126" t="str">
        <f t="shared" si="158"/>
        <v>1Q25</v>
      </c>
      <c r="AA36" s="126" t="str">
        <f t="shared" si="158"/>
        <v>2Q25</v>
      </c>
      <c r="AB36" s="126" t="str">
        <f t="shared" si="158"/>
        <v>3Q25</v>
      </c>
      <c r="AC36" s="126" t="str">
        <f t="shared" si="158"/>
        <v>4Q25</v>
      </c>
      <c r="AD36" s="126" t="str">
        <f t="shared" ref="AD36" si="159">AD7</f>
        <v>1Q26</v>
      </c>
      <c r="AE36" s="128"/>
      <c r="AF36" s="126" t="str">
        <f t="shared" ref="AF36:AQ36" si="160">AF7</f>
        <v>1Q23</v>
      </c>
      <c r="AG36" s="126" t="str">
        <f t="shared" si="160"/>
        <v>2Q23</v>
      </c>
      <c r="AH36" s="126" t="str">
        <f t="shared" si="160"/>
        <v>3Q23</v>
      </c>
      <c r="AI36" s="126" t="str">
        <f t="shared" si="160"/>
        <v>4Q23</v>
      </c>
      <c r="AJ36" s="126" t="str">
        <f t="shared" si="160"/>
        <v>1Q24</v>
      </c>
      <c r="AK36" s="126" t="str">
        <f t="shared" si="160"/>
        <v>2Q24</v>
      </c>
      <c r="AL36" s="126" t="str">
        <f t="shared" si="160"/>
        <v>3Q24</v>
      </c>
      <c r="AM36" s="126" t="str">
        <f t="shared" si="160"/>
        <v>4Q24</v>
      </c>
      <c r="AN36" s="126" t="str">
        <f t="shared" si="160"/>
        <v>1Q25</v>
      </c>
      <c r="AO36" s="126" t="str">
        <f t="shared" si="160"/>
        <v>2Q25</v>
      </c>
      <c r="AP36" s="126" t="str">
        <f t="shared" si="160"/>
        <v>3Q25</v>
      </c>
      <c r="AQ36" s="126" t="str">
        <f t="shared" si="160"/>
        <v>4Q25</v>
      </c>
      <c r="AR36" s="126" t="str">
        <f t="shared" ref="AR36" si="161">AR7</f>
        <v>1Q26</v>
      </c>
      <c r="AS36" s="125"/>
      <c r="AT36" s="155"/>
    </row>
    <row r="37" spans="1:46" ht="12.75" customHeight="1">
      <c r="B37" s="127" t="str">
        <f t="shared" ref="B37:L37" si="162">B8</f>
        <v>Fiscal Period End Date</v>
      </c>
      <c r="C37" s="129">
        <f t="shared" si="162"/>
        <v>42643</v>
      </c>
      <c r="D37" s="129">
        <f t="shared" si="162"/>
        <v>43008</v>
      </c>
      <c r="E37" s="129">
        <f t="shared" si="162"/>
        <v>43372</v>
      </c>
      <c r="F37" s="129">
        <f t="shared" si="162"/>
        <v>43737</v>
      </c>
      <c r="G37" s="129">
        <f t="shared" si="162"/>
        <v>44104</v>
      </c>
      <c r="H37" s="129">
        <f t="shared" si="162"/>
        <v>44469</v>
      </c>
      <c r="I37" s="129">
        <f t="shared" si="162"/>
        <v>44834</v>
      </c>
      <c r="J37" s="129">
        <f t="shared" si="162"/>
        <v>45192</v>
      </c>
      <c r="K37" s="129">
        <f t="shared" si="162"/>
        <v>45559</v>
      </c>
      <c r="L37" s="129">
        <f t="shared" si="162"/>
        <v>45927</v>
      </c>
      <c r="M37" s="125"/>
      <c r="N37" s="129">
        <f t="shared" ref="N37:AC37" si="163">N8</f>
        <v>44560</v>
      </c>
      <c r="O37" s="129">
        <f t="shared" si="163"/>
        <v>44650</v>
      </c>
      <c r="P37" s="129">
        <f t="shared" si="163"/>
        <v>44742</v>
      </c>
      <c r="Q37" s="129">
        <f t="shared" si="163"/>
        <v>44834</v>
      </c>
      <c r="R37" s="129">
        <f t="shared" si="163"/>
        <v>44917</v>
      </c>
      <c r="S37" s="129">
        <f t="shared" si="163"/>
        <v>45008</v>
      </c>
      <c r="T37" s="129">
        <f t="shared" si="163"/>
        <v>45100</v>
      </c>
      <c r="U37" s="129">
        <f t="shared" si="163"/>
        <v>45192</v>
      </c>
      <c r="V37" s="129">
        <f t="shared" si="163"/>
        <v>45283</v>
      </c>
      <c r="W37" s="129">
        <f t="shared" si="163"/>
        <v>45375</v>
      </c>
      <c r="X37" s="129">
        <f t="shared" si="163"/>
        <v>45467</v>
      </c>
      <c r="Y37" s="129">
        <f t="shared" si="163"/>
        <v>45559</v>
      </c>
      <c r="Z37" s="129">
        <f t="shared" si="163"/>
        <v>45650</v>
      </c>
      <c r="AA37" s="129">
        <f t="shared" si="163"/>
        <v>45741</v>
      </c>
      <c r="AB37" s="129">
        <f t="shared" si="163"/>
        <v>45833</v>
      </c>
      <c r="AC37" s="129">
        <f t="shared" si="163"/>
        <v>45927</v>
      </c>
      <c r="AD37" s="129">
        <f t="shared" ref="AD37" si="164">AD8</f>
        <v>46018</v>
      </c>
      <c r="AE37" s="130"/>
      <c r="AF37" s="129">
        <f t="shared" ref="AF37:AQ37" si="165">AF8</f>
        <v>44917</v>
      </c>
      <c r="AG37" s="129">
        <f t="shared" si="165"/>
        <v>45008</v>
      </c>
      <c r="AH37" s="129">
        <f t="shared" si="165"/>
        <v>45100</v>
      </c>
      <c r="AI37" s="129">
        <f t="shared" si="165"/>
        <v>45192</v>
      </c>
      <c r="AJ37" s="129">
        <f t="shared" si="165"/>
        <v>45283</v>
      </c>
      <c r="AK37" s="129">
        <f t="shared" si="165"/>
        <v>45375</v>
      </c>
      <c r="AL37" s="129">
        <f t="shared" si="165"/>
        <v>45467</v>
      </c>
      <c r="AM37" s="129">
        <f t="shared" si="165"/>
        <v>45559</v>
      </c>
      <c r="AN37" s="129">
        <f t="shared" si="165"/>
        <v>45650</v>
      </c>
      <c r="AO37" s="129">
        <f t="shared" si="165"/>
        <v>45741</v>
      </c>
      <c r="AP37" s="129">
        <f t="shared" si="165"/>
        <v>45833</v>
      </c>
      <c r="AQ37" s="129">
        <f t="shared" si="165"/>
        <v>45927</v>
      </c>
      <c r="AR37" s="129">
        <f t="shared" ref="AR37" si="166">AR8</f>
        <v>46018</v>
      </c>
      <c r="AS37" s="125"/>
      <c r="AT37" s="155"/>
    </row>
    <row r="38" spans="1:46" ht="5.0999999999999996" customHeight="1">
      <c r="B38" s="52"/>
      <c r="C38" s="53"/>
      <c r="D38" s="53"/>
      <c r="E38" s="53"/>
      <c r="F38" s="53"/>
      <c r="G38" s="53"/>
      <c r="H38" s="53"/>
      <c r="I38" s="53"/>
      <c r="J38" s="53"/>
      <c r="K38" s="53"/>
      <c r="L38" s="53"/>
    </row>
    <row r="39" spans="1:46" ht="12.75" customHeight="1">
      <c r="B39" s="10" t="s">
        <v>185</v>
      </c>
      <c r="C39" s="96">
        <v>20484</v>
      </c>
      <c r="D39" s="96">
        <v>20289</v>
      </c>
      <c r="E39" s="96">
        <v>25913</v>
      </c>
      <c r="F39" s="96">
        <v>48844</v>
      </c>
      <c r="G39" s="96">
        <v>38016</v>
      </c>
      <c r="H39" s="96">
        <v>34940</v>
      </c>
      <c r="I39" s="96">
        <v>23646</v>
      </c>
      <c r="J39" s="96">
        <v>29965</v>
      </c>
      <c r="K39" s="96">
        <v>29943</v>
      </c>
      <c r="L39" s="96">
        <v>35934</v>
      </c>
      <c r="N39" s="96">
        <v>37119</v>
      </c>
      <c r="O39" s="96">
        <v>28098</v>
      </c>
      <c r="P39" s="96">
        <v>27502</v>
      </c>
      <c r="Q39" s="34">
        <f t="shared" ref="Q39:Q43" si="167">I39</f>
        <v>23646</v>
      </c>
      <c r="R39" s="96">
        <v>20535</v>
      </c>
      <c r="S39" s="96">
        <v>24687</v>
      </c>
      <c r="T39" s="96">
        <v>28408</v>
      </c>
      <c r="U39" s="34">
        <f t="shared" ref="U39:U43" si="168">J39</f>
        <v>29965</v>
      </c>
      <c r="V39" s="96">
        <v>40760</v>
      </c>
      <c r="W39" s="96">
        <v>32695</v>
      </c>
      <c r="X39" s="96">
        <v>25565</v>
      </c>
      <c r="Y39" s="34">
        <f t="shared" ref="Y39:Y43" si="169">K39</f>
        <v>29943</v>
      </c>
      <c r="Z39" s="96">
        <v>30299</v>
      </c>
      <c r="AA39" s="96">
        <v>28162</v>
      </c>
      <c r="AB39" s="96">
        <v>36269</v>
      </c>
      <c r="AC39" s="34">
        <f t="shared" ref="AC39:AC43" si="170">L39</f>
        <v>35934</v>
      </c>
      <c r="AD39" s="96">
        <v>45317</v>
      </c>
      <c r="AF39" s="34">
        <f>R39</f>
        <v>20535</v>
      </c>
      <c r="AG39" s="34">
        <f>S39</f>
        <v>24687</v>
      </c>
      <c r="AH39" s="34">
        <f>T39</f>
        <v>28408</v>
      </c>
      <c r="AI39" s="34">
        <f>U39</f>
        <v>29965</v>
      </c>
      <c r="AJ39" s="34">
        <f>V39</f>
        <v>40760</v>
      </c>
      <c r="AK39" s="34">
        <f>W39</f>
        <v>32695</v>
      </c>
      <c r="AL39" s="34">
        <f>X39</f>
        <v>25565</v>
      </c>
      <c r="AM39" s="34">
        <f>Y39</f>
        <v>29943</v>
      </c>
      <c r="AN39" s="34">
        <f>Z39</f>
        <v>30299</v>
      </c>
      <c r="AO39" s="34">
        <f t="shared" ref="AO39:AO43" si="171">AA39</f>
        <v>28162</v>
      </c>
      <c r="AP39" s="34">
        <f>AB39</f>
        <v>36269</v>
      </c>
      <c r="AQ39" s="34">
        <f>AC39</f>
        <v>35934</v>
      </c>
      <c r="AR39" s="34">
        <f>AD39</f>
        <v>45317</v>
      </c>
      <c r="AS39" s="12"/>
      <c r="AT39" s="87">
        <f t="shared" ref="AT39:AT44" si="172">SUM(AR39/AN39)-1</f>
        <v>0.49565992276972848</v>
      </c>
    </row>
    <row r="40" spans="1:46" ht="12.75" customHeight="1">
      <c r="B40" s="10" t="s">
        <v>186</v>
      </c>
      <c r="C40" s="96">
        <v>46671</v>
      </c>
      <c r="D40" s="96">
        <v>53892</v>
      </c>
      <c r="E40" s="96">
        <v>40388</v>
      </c>
      <c r="F40" s="96">
        <v>51713</v>
      </c>
      <c r="G40" s="96">
        <v>52927</v>
      </c>
      <c r="H40" s="96">
        <v>27699</v>
      </c>
      <c r="I40" s="96">
        <v>24658</v>
      </c>
      <c r="J40" s="96">
        <v>31590</v>
      </c>
      <c r="K40" s="96">
        <v>35228</v>
      </c>
      <c r="L40" s="96">
        <v>18763</v>
      </c>
      <c r="N40" s="96">
        <v>26794</v>
      </c>
      <c r="O40" s="96">
        <v>23413</v>
      </c>
      <c r="P40" s="96">
        <v>20729</v>
      </c>
      <c r="Q40" s="34">
        <f t="shared" si="167"/>
        <v>24658</v>
      </c>
      <c r="R40" s="96">
        <v>30820</v>
      </c>
      <c r="S40" s="96">
        <v>31185</v>
      </c>
      <c r="T40" s="96">
        <v>34074</v>
      </c>
      <c r="U40" s="34">
        <f t="shared" si="168"/>
        <v>31590</v>
      </c>
      <c r="V40" s="96">
        <v>32340</v>
      </c>
      <c r="W40" s="96">
        <v>34455</v>
      </c>
      <c r="X40" s="96">
        <v>36236</v>
      </c>
      <c r="Y40" s="34">
        <f t="shared" si="169"/>
        <v>35228</v>
      </c>
      <c r="Z40" s="96">
        <v>23476</v>
      </c>
      <c r="AA40" s="96">
        <v>20336</v>
      </c>
      <c r="AB40" s="96">
        <v>19103</v>
      </c>
      <c r="AC40" s="34">
        <f t="shared" si="170"/>
        <v>18763</v>
      </c>
      <c r="AD40" s="96">
        <v>21590</v>
      </c>
      <c r="AF40" s="34">
        <f>R40</f>
        <v>30820</v>
      </c>
      <c r="AG40" s="34">
        <f>S40</f>
        <v>31185</v>
      </c>
      <c r="AH40" s="34">
        <f>T40</f>
        <v>34074</v>
      </c>
      <c r="AI40" s="34">
        <f>U40</f>
        <v>31590</v>
      </c>
      <c r="AJ40" s="34">
        <f>V40</f>
        <v>32340</v>
      </c>
      <c r="AK40" s="34">
        <f>W40</f>
        <v>34455</v>
      </c>
      <c r="AL40" s="34">
        <f>X40</f>
        <v>36236</v>
      </c>
      <c r="AM40" s="34">
        <f>Y40</f>
        <v>35228</v>
      </c>
      <c r="AN40" s="34">
        <f>Z40</f>
        <v>23476</v>
      </c>
      <c r="AO40" s="34">
        <f t="shared" si="171"/>
        <v>20336</v>
      </c>
      <c r="AP40" s="34">
        <f>AB40</f>
        <v>19103</v>
      </c>
      <c r="AQ40" s="34">
        <f>AC40</f>
        <v>18763</v>
      </c>
      <c r="AR40" s="34">
        <f>AD40</f>
        <v>21590</v>
      </c>
      <c r="AS40" s="12"/>
      <c r="AT40" s="87">
        <f t="shared" si="172"/>
        <v>-8.0337365820412288E-2</v>
      </c>
    </row>
    <row r="41" spans="1:46" ht="12.75" customHeight="1">
      <c r="B41" s="10" t="s">
        <v>187</v>
      </c>
      <c r="C41" s="96">
        <v>15754</v>
      </c>
      <c r="D41" s="96">
        <v>17874</v>
      </c>
      <c r="E41" s="96">
        <v>23186</v>
      </c>
      <c r="F41" s="96">
        <v>22926</v>
      </c>
      <c r="G41" s="96">
        <v>16120</v>
      </c>
      <c r="H41" s="96">
        <v>26278</v>
      </c>
      <c r="I41" s="96">
        <v>28184</v>
      </c>
      <c r="J41" s="96">
        <v>29508</v>
      </c>
      <c r="K41" s="96">
        <v>66243</v>
      </c>
      <c r="L41" s="96">
        <v>39777</v>
      </c>
      <c r="N41" s="96">
        <v>30213</v>
      </c>
      <c r="O41" s="96">
        <v>20815</v>
      </c>
      <c r="P41" s="96">
        <v>21803</v>
      </c>
      <c r="Q41" s="34">
        <f t="shared" si="167"/>
        <v>28184</v>
      </c>
      <c r="R41" s="96">
        <v>23752</v>
      </c>
      <c r="S41" s="96">
        <v>17936</v>
      </c>
      <c r="T41" s="96">
        <v>19549</v>
      </c>
      <c r="U41" s="34">
        <f t="shared" si="168"/>
        <v>29508</v>
      </c>
      <c r="V41" s="96">
        <v>23194</v>
      </c>
      <c r="W41" s="96">
        <v>21837</v>
      </c>
      <c r="X41" s="96">
        <v>22795</v>
      </c>
      <c r="Y41" s="34">
        <f t="shared" si="169"/>
        <v>66243</v>
      </c>
      <c r="Z41" s="96">
        <v>29639</v>
      </c>
      <c r="AA41" s="96">
        <v>49798</v>
      </c>
      <c r="AB41" s="96">
        <v>46835</v>
      </c>
      <c r="AC41" s="34">
        <f t="shared" si="170"/>
        <v>39777</v>
      </c>
      <c r="AD41" s="96">
        <v>39921</v>
      </c>
      <c r="AF41" s="34">
        <f>R41</f>
        <v>23752</v>
      </c>
      <c r="AG41" s="34">
        <f>S41</f>
        <v>17936</v>
      </c>
      <c r="AH41" s="34">
        <f>T41</f>
        <v>19549</v>
      </c>
      <c r="AI41" s="34">
        <f>U41</f>
        <v>29508</v>
      </c>
      <c r="AJ41" s="34">
        <f>V41</f>
        <v>23194</v>
      </c>
      <c r="AK41" s="34">
        <f>W41</f>
        <v>21837</v>
      </c>
      <c r="AL41" s="34">
        <f>X41</f>
        <v>22795</v>
      </c>
      <c r="AM41" s="34">
        <f>Y41</f>
        <v>66243</v>
      </c>
      <c r="AN41" s="34">
        <f>Z41</f>
        <v>29639</v>
      </c>
      <c r="AO41" s="34">
        <f t="shared" si="171"/>
        <v>49798</v>
      </c>
      <c r="AP41" s="34">
        <f>AB41</f>
        <v>46835</v>
      </c>
      <c r="AQ41" s="34">
        <f>AC41</f>
        <v>39777</v>
      </c>
      <c r="AR41" s="34">
        <f>AD41</f>
        <v>39921</v>
      </c>
      <c r="AS41" s="12"/>
      <c r="AT41" s="87">
        <f t="shared" si="172"/>
        <v>0.3469077904112825</v>
      </c>
    </row>
    <row r="42" spans="1:46" ht="12.75" customHeight="1">
      <c r="B42" s="10" t="s">
        <v>86</v>
      </c>
      <c r="C42" s="96">
        <v>2132</v>
      </c>
      <c r="D42" s="96">
        <v>4855</v>
      </c>
      <c r="E42" s="96">
        <v>3956</v>
      </c>
      <c r="F42" s="96">
        <v>4106</v>
      </c>
      <c r="G42" s="96">
        <v>4061</v>
      </c>
      <c r="H42" s="96">
        <v>6580</v>
      </c>
      <c r="I42" s="96">
        <v>4946</v>
      </c>
      <c r="J42" s="96">
        <v>6331</v>
      </c>
      <c r="K42" s="96">
        <v>7286</v>
      </c>
      <c r="L42" s="96">
        <v>5718</v>
      </c>
      <c r="N42" s="96">
        <v>5876</v>
      </c>
      <c r="O42" s="96">
        <v>5460</v>
      </c>
      <c r="P42" s="96">
        <v>5433</v>
      </c>
      <c r="Q42" s="34">
        <f t="shared" si="167"/>
        <v>4946</v>
      </c>
      <c r="R42" s="96">
        <v>6820</v>
      </c>
      <c r="S42" s="96">
        <v>7482</v>
      </c>
      <c r="T42" s="96">
        <v>7351</v>
      </c>
      <c r="U42" s="34">
        <f t="shared" si="168"/>
        <v>6331</v>
      </c>
      <c r="V42" s="96">
        <v>6511</v>
      </c>
      <c r="W42" s="96">
        <v>6232</v>
      </c>
      <c r="X42" s="96">
        <v>6165</v>
      </c>
      <c r="Y42" s="34">
        <f t="shared" si="169"/>
        <v>7286</v>
      </c>
      <c r="Z42" s="96">
        <v>6911</v>
      </c>
      <c r="AA42" s="96">
        <v>6269</v>
      </c>
      <c r="AB42" s="96">
        <v>5925</v>
      </c>
      <c r="AC42" s="34">
        <f t="shared" si="170"/>
        <v>5718</v>
      </c>
      <c r="AD42" s="96">
        <v>5875</v>
      </c>
      <c r="AF42" s="34">
        <f>R42</f>
        <v>6820</v>
      </c>
      <c r="AG42" s="34">
        <f>S42</f>
        <v>7482</v>
      </c>
      <c r="AH42" s="34">
        <f>T42</f>
        <v>7351</v>
      </c>
      <c r="AI42" s="34">
        <f>U42</f>
        <v>6331</v>
      </c>
      <c r="AJ42" s="34">
        <f>V42</f>
        <v>6511</v>
      </c>
      <c r="AK42" s="34">
        <f>W42</f>
        <v>6232</v>
      </c>
      <c r="AL42" s="34">
        <f>X42</f>
        <v>6165</v>
      </c>
      <c r="AM42" s="34">
        <f>Y42</f>
        <v>7286</v>
      </c>
      <c r="AN42" s="34">
        <f>Z42</f>
        <v>6911</v>
      </c>
      <c r="AO42" s="34">
        <f t="shared" si="171"/>
        <v>6269</v>
      </c>
      <c r="AP42" s="34">
        <f>AB42</f>
        <v>5925</v>
      </c>
      <c r="AQ42" s="34">
        <f>AC42</f>
        <v>5718</v>
      </c>
      <c r="AR42" s="34">
        <f>AD42</f>
        <v>5875</v>
      </c>
      <c r="AS42" s="12"/>
      <c r="AT42" s="87">
        <f t="shared" si="172"/>
        <v>-0.14990594704094917</v>
      </c>
    </row>
    <row r="43" spans="1:46" ht="12.75" customHeight="1">
      <c r="B43" s="10" t="s">
        <v>104</v>
      </c>
      <c r="C43" s="96">
        <v>21828</v>
      </c>
      <c r="D43" s="96">
        <f>13936+17799</f>
        <v>31735</v>
      </c>
      <c r="E43" s="96">
        <v>37896</v>
      </c>
      <c r="F43" s="96">
        <v>35230</v>
      </c>
      <c r="G43" s="96">
        <v>32589</v>
      </c>
      <c r="H43" s="96">
        <v>39339</v>
      </c>
      <c r="I43" s="96">
        <v>53971</v>
      </c>
      <c r="J43" s="96">
        <v>46172</v>
      </c>
      <c r="K43" s="96">
        <v>14287</v>
      </c>
      <c r="L43" s="96">
        <f>33180+14585</f>
        <v>47765</v>
      </c>
      <c r="N43" s="96">
        <v>53152</v>
      </c>
      <c r="O43" s="96">
        <v>40394</v>
      </c>
      <c r="P43" s="96">
        <v>36825</v>
      </c>
      <c r="Q43" s="34">
        <f t="shared" si="167"/>
        <v>53971</v>
      </c>
      <c r="R43" s="96">
        <v>46850</v>
      </c>
      <c r="S43" s="96">
        <v>31623</v>
      </c>
      <c r="T43" s="96">
        <v>33277</v>
      </c>
      <c r="U43" s="34">
        <f t="shared" si="168"/>
        <v>46172</v>
      </c>
      <c r="V43" s="96">
        <v>40887</v>
      </c>
      <c r="W43" s="96">
        <v>33197</v>
      </c>
      <c r="X43" s="96">
        <v>34674</v>
      </c>
      <c r="Y43" s="34">
        <f t="shared" si="169"/>
        <v>14287</v>
      </c>
      <c r="Z43" s="96">
        <v>42915</v>
      </c>
      <c r="AA43" s="96">
        <v>14109</v>
      </c>
      <c r="AB43" s="96">
        <v>14359</v>
      </c>
      <c r="AC43" s="34">
        <f t="shared" si="170"/>
        <v>47765</v>
      </c>
      <c r="AD43" s="96">
        <f>30399+15002</f>
        <v>45401</v>
      </c>
      <c r="AF43" s="34">
        <f>R43</f>
        <v>46850</v>
      </c>
      <c r="AG43" s="34">
        <f>S43</f>
        <v>31623</v>
      </c>
      <c r="AH43" s="34">
        <f>T43</f>
        <v>33277</v>
      </c>
      <c r="AI43" s="34">
        <f>U43</f>
        <v>46172</v>
      </c>
      <c r="AJ43" s="34">
        <f>V43</f>
        <v>40887</v>
      </c>
      <c r="AK43" s="34">
        <f>W43</f>
        <v>33197</v>
      </c>
      <c r="AL43" s="34">
        <f>X43</f>
        <v>34674</v>
      </c>
      <c r="AM43" s="34">
        <f>Y43</f>
        <v>14287</v>
      </c>
      <c r="AN43" s="34">
        <f>Z43</f>
        <v>42915</v>
      </c>
      <c r="AO43" s="34">
        <f t="shared" si="171"/>
        <v>14109</v>
      </c>
      <c r="AP43" s="34">
        <f>AB43</f>
        <v>14359</v>
      </c>
      <c r="AQ43" s="34">
        <f>AC43</f>
        <v>47765</v>
      </c>
      <c r="AR43" s="34">
        <f>AD43</f>
        <v>45401</v>
      </c>
      <c r="AS43" s="12"/>
      <c r="AT43" s="87">
        <f t="shared" si="172"/>
        <v>5.7928463241290862E-2</v>
      </c>
    </row>
    <row r="44" spans="1:46" ht="12.75" customHeight="1">
      <c r="B44" s="27" t="s">
        <v>21</v>
      </c>
      <c r="C44" s="28">
        <f t="shared" ref="C44:K44" si="173">SUM(C39:C43)</f>
        <v>106869</v>
      </c>
      <c r="D44" s="28">
        <f t="shared" si="173"/>
        <v>128645</v>
      </c>
      <c r="E44" s="28">
        <f t="shared" si="173"/>
        <v>131339</v>
      </c>
      <c r="F44" s="28">
        <f t="shared" si="173"/>
        <v>162819</v>
      </c>
      <c r="G44" s="28">
        <f t="shared" si="173"/>
        <v>143713</v>
      </c>
      <c r="H44" s="28">
        <f t="shared" si="173"/>
        <v>134836</v>
      </c>
      <c r="I44" s="28">
        <f t="shared" si="173"/>
        <v>135405</v>
      </c>
      <c r="J44" s="28">
        <f t="shared" si="173"/>
        <v>143566</v>
      </c>
      <c r="K44" s="28">
        <f t="shared" si="173"/>
        <v>152987</v>
      </c>
      <c r="L44" s="28">
        <f t="shared" ref="L44" si="174">SUM(L39:L43)</f>
        <v>147957</v>
      </c>
      <c r="M44" s="54"/>
      <c r="N44" s="28">
        <f t="shared" ref="N44:AB44" si="175">SUM(N39:N43)</f>
        <v>153154</v>
      </c>
      <c r="O44" s="28">
        <f t="shared" si="175"/>
        <v>118180</v>
      </c>
      <c r="P44" s="28">
        <f t="shared" si="175"/>
        <v>112292</v>
      </c>
      <c r="Q44" s="28">
        <f t="shared" si="175"/>
        <v>135405</v>
      </c>
      <c r="R44" s="28">
        <f t="shared" si="175"/>
        <v>128777</v>
      </c>
      <c r="S44" s="28">
        <f t="shared" si="175"/>
        <v>112913</v>
      </c>
      <c r="T44" s="28">
        <f t="shared" si="175"/>
        <v>122659</v>
      </c>
      <c r="U44" s="28">
        <f t="shared" si="175"/>
        <v>143566</v>
      </c>
      <c r="V44" s="28">
        <f t="shared" si="175"/>
        <v>143692</v>
      </c>
      <c r="W44" s="28">
        <f t="shared" si="175"/>
        <v>128416</v>
      </c>
      <c r="X44" s="28">
        <f t="shared" si="175"/>
        <v>125435</v>
      </c>
      <c r="Y44" s="28">
        <f t="shared" si="175"/>
        <v>152987</v>
      </c>
      <c r="Z44" s="28">
        <f t="shared" si="175"/>
        <v>133240</v>
      </c>
      <c r="AA44" s="28">
        <f t="shared" si="175"/>
        <v>118674</v>
      </c>
      <c r="AB44" s="28">
        <f t="shared" si="175"/>
        <v>122491</v>
      </c>
      <c r="AC44" s="28">
        <f t="shared" ref="AC44:AD44" si="176">SUM(AC39:AC43)</f>
        <v>147957</v>
      </c>
      <c r="AD44" s="28">
        <f t="shared" si="176"/>
        <v>158104</v>
      </c>
      <c r="AE44" s="54"/>
      <c r="AF44" s="28">
        <f t="shared" ref="AF44:AP44" si="177">SUM(AF39:AF43)</f>
        <v>128777</v>
      </c>
      <c r="AG44" s="28">
        <f t="shared" si="177"/>
        <v>112913</v>
      </c>
      <c r="AH44" s="28">
        <f t="shared" si="177"/>
        <v>122659</v>
      </c>
      <c r="AI44" s="28">
        <f t="shared" si="177"/>
        <v>143566</v>
      </c>
      <c r="AJ44" s="28">
        <f t="shared" si="177"/>
        <v>143692</v>
      </c>
      <c r="AK44" s="28">
        <f t="shared" si="177"/>
        <v>128416</v>
      </c>
      <c r="AL44" s="28">
        <f t="shared" si="177"/>
        <v>125435</v>
      </c>
      <c r="AM44" s="28">
        <f t="shared" si="177"/>
        <v>152987</v>
      </c>
      <c r="AN44" s="28">
        <f t="shared" si="177"/>
        <v>133240</v>
      </c>
      <c r="AO44" s="28">
        <f t="shared" si="177"/>
        <v>118674</v>
      </c>
      <c r="AP44" s="28">
        <f t="shared" si="177"/>
        <v>122491</v>
      </c>
      <c r="AQ44" s="28">
        <f t="shared" ref="AQ44:AR44" si="178">SUM(AQ39:AQ43)</f>
        <v>147957</v>
      </c>
      <c r="AR44" s="28">
        <f t="shared" si="178"/>
        <v>158104</v>
      </c>
      <c r="AS44" s="45"/>
      <c r="AT44" s="88">
        <f t="shared" si="172"/>
        <v>0.18661062743920742</v>
      </c>
    </row>
    <row r="45" spans="1:46" ht="5.0999999999999996" customHeight="1">
      <c r="B45" s="27"/>
      <c r="C45" s="55"/>
      <c r="D45" s="55"/>
      <c r="E45" s="55"/>
      <c r="F45" s="55"/>
      <c r="G45" s="55"/>
      <c r="H45" s="55"/>
      <c r="I45" s="55"/>
      <c r="J45" s="44"/>
      <c r="K45" s="44"/>
      <c r="L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2"/>
    </row>
    <row r="46" spans="1:46" ht="12.75" customHeight="1">
      <c r="B46" s="10" t="s">
        <v>102</v>
      </c>
      <c r="C46" s="96">
        <v>27010</v>
      </c>
      <c r="D46" s="96">
        <v>33783</v>
      </c>
      <c r="E46" s="96">
        <v>41304</v>
      </c>
      <c r="F46" s="96">
        <v>37378</v>
      </c>
      <c r="G46" s="96">
        <v>36766</v>
      </c>
      <c r="H46" s="96">
        <v>39440</v>
      </c>
      <c r="I46" s="96">
        <v>42117</v>
      </c>
      <c r="J46" s="96">
        <v>43715</v>
      </c>
      <c r="K46" s="96">
        <v>45680</v>
      </c>
      <c r="L46" s="96">
        <v>49834</v>
      </c>
      <c r="N46" s="96">
        <v>39245</v>
      </c>
      <c r="O46" s="96">
        <v>39304</v>
      </c>
      <c r="P46" s="96">
        <v>40335</v>
      </c>
      <c r="Q46" s="34">
        <f t="shared" ref="Q46:Q48" si="179">I46</f>
        <v>42117</v>
      </c>
      <c r="R46" s="96">
        <v>42951</v>
      </c>
      <c r="S46" s="96">
        <v>43398</v>
      </c>
      <c r="T46" s="96">
        <v>43550</v>
      </c>
      <c r="U46" s="34">
        <f t="shared" ref="U46:U48" si="180">J46</f>
        <v>43715</v>
      </c>
      <c r="V46" s="96">
        <v>43666</v>
      </c>
      <c r="W46" s="96">
        <v>43546</v>
      </c>
      <c r="X46" s="96">
        <v>44502</v>
      </c>
      <c r="Y46" s="34">
        <f t="shared" ref="Y46:Y48" si="181">K46</f>
        <v>45680</v>
      </c>
      <c r="Z46" s="96">
        <v>46069</v>
      </c>
      <c r="AA46" s="96">
        <v>46876</v>
      </c>
      <c r="AB46" s="96">
        <v>48508</v>
      </c>
      <c r="AC46" s="34">
        <f t="shared" ref="AC46:AC48" si="182">L46</f>
        <v>49834</v>
      </c>
      <c r="AD46" s="96">
        <v>50159</v>
      </c>
      <c r="AF46" s="34">
        <f>R46</f>
        <v>42951</v>
      </c>
      <c r="AG46" s="34">
        <f>S46</f>
        <v>43398</v>
      </c>
      <c r="AH46" s="34">
        <f>T46</f>
        <v>43550</v>
      </c>
      <c r="AI46" s="34">
        <f>U46</f>
        <v>43715</v>
      </c>
      <c r="AJ46" s="34">
        <f>V46</f>
        <v>43666</v>
      </c>
      <c r="AK46" s="34">
        <f>W46</f>
        <v>43546</v>
      </c>
      <c r="AL46" s="34">
        <f>X46</f>
        <v>44502</v>
      </c>
      <c r="AM46" s="34">
        <f>Y46</f>
        <v>45680</v>
      </c>
      <c r="AN46" s="34">
        <f>Z46</f>
        <v>46069</v>
      </c>
      <c r="AO46" s="34">
        <f t="shared" ref="AO46:AO48" si="183">AA46</f>
        <v>46876</v>
      </c>
      <c r="AP46" s="34">
        <f>AB46</f>
        <v>48508</v>
      </c>
      <c r="AQ46" s="34">
        <f>AC46</f>
        <v>49834</v>
      </c>
      <c r="AR46" s="34">
        <f>AD46</f>
        <v>50159</v>
      </c>
      <c r="AS46" s="12"/>
      <c r="AT46" s="87">
        <f t="shared" ref="AT46:AT49" si="184">SUM(AR46/AN46)-1</f>
        <v>8.877987366775919E-2</v>
      </c>
    </row>
    <row r="47" spans="1:46" ht="12.75" customHeight="1">
      <c r="B47" s="10" t="s">
        <v>153</v>
      </c>
      <c r="C47" s="96">
        <v>170430</v>
      </c>
      <c r="D47" s="96">
        <v>194714</v>
      </c>
      <c r="E47" s="96">
        <v>170799</v>
      </c>
      <c r="F47" s="96">
        <v>105341</v>
      </c>
      <c r="G47" s="96">
        <v>100887</v>
      </c>
      <c r="H47" s="96">
        <v>127877</v>
      </c>
      <c r="I47" s="96">
        <v>120805</v>
      </c>
      <c r="J47" s="96">
        <v>100544</v>
      </c>
      <c r="K47" s="96">
        <v>91479</v>
      </c>
      <c r="L47" s="96">
        <v>77723</v>
      </c>
      <c r="N47" s="96">
        <v>138683</v>
      </c>
      <c r="O47" s="96">
        <v>141219</v>
      </c>
      <c r="P47" s="96">
        <v>131077</v>
      </c>
      <c r="Q47" s="34">
        <f t="shared" si="179"/>
        <v>120805</v>
      </c>
      <c r="R47" s="96">
        <v>114095</v>
      </c>
      <c r="S47" s="96">
        <v>110461</v>
      </c>
      <c r="T47" s="96">
        <v>104061</v>
      </c>
      <c r="U47" s="34">
        <f t="shared" si="180"/>
        <v>100544</v>
      </c>
      <c r="V47" s="96">
        <v>99475</v>
      </c>
      <c r="W47" s="96">
        <v>95187</v>
      </c>
      <c r="X47" s="96">
        <v>91240</v>
      </c>
      <c r="Y47" s="34">
        <f t="shared" si="181"/>
        <v>91479</v>
      </c>
      <c r="Z47" s="96">
        <v>87593</v>
      </c>
      <c r="AA47" s="96">
        <v>84424</v>
      </c>
      <c r="AB47" s="96">
        <v>77614</v>
      </c>
      <c r="AC47" s="34">
        <f t="shared" si="182"/>
        <v>77723</v>
      </c>
      <c r="AD47" s="96">
        <v>77888</v>
      </c>
      <c r="AF47" s="34">
        <f>R47</f>
        <v>114095</v>
      </c>
      <c r="AG47" s="34">
        <f>S47</f>
        <v>110461</v>
      </c>
      <c r="AH47" s="34">
        <f>T47</f>
        <v>104061</v>
      </c>
      <c r="AI47" s="34">
        <f>U47</f>
        <v>100544</v>
      </c>
      <c r="AJ47" s="34">
        <f>V47</f>
        <v>99475</v>
      </c>
      <c r="AK47" s="34">
        <f>W47</f>
        <v>95187</v>
      </c>
      <c r="AL47" s="34">
        <f>X47</f>
        <v>91240</v>
      </c>
      <c r="AM47" s="34">
        <f>Y47</f>
        <v>91479</v>
      </c>
      <c r="AN47" s="34">
        <f>Z47</f>
        <v>87593</v>
      </c>
      <c r="AO47" s="34">
        <f t="shared" si="183"/>
        <v>84424</v>
      </c>
      <c r="AP47" s="34">
        <f>AB47</f>
        <v>77614</v>
      </c>
      <c r="AQ47" s="34">
        <f>AC47</f>
        <v>77723</v>
      </c>
      <c r="AR47" s="34">
        <f>AD47</f>
        <v>77888</v>
      </c>
      <c r="AS47" s="12"/>
      <c r="AT47" s="87">
        <f t="shared" si="184"/>
        <v>-0.11079652483645952</v>
      </c>
    </row>
    <row r="48" spans="1:46" ht="12.75" customHeight="1">
      <c r="B48" s="10" t="s">
        <v>105</v>
      </c>
      <c r="C48" s="96">
        <f>5414+3206+8757</f>
        <v>17377</v>
      </c>
      <c r="D48" s="96">
        <v>18177</v>
      </c>
      <c r="E48" s="96">
        <v>22283</v>
      </c>
      <c r="F48" s="96">
        <v>32978</v>
      </c>
      <c r="G48" s="96">
        <v>42522</v>
      </c>
      <c r="H48" s="96">
        <v>48849</v>
      </c>
      <c r="I48" s="96">
        <v>54428</v>
      </c>
      <c r="J48" s="96">
        <v>64758</v>
      </c>
      <c r="K48" s="96">
        <v>74834</v>
      </c>
      <c r="L48" s="96">
        <v>83727</v>
      </c>
      <c r="N48" s="96">
        <v>42071</v>
      </c>
      <c r="O48" s="96">
        <v>43921</v>
      </c>
      <c r="P48" s="96">
        <v>44567</v>
      </c>
      <c r="Q48" s="34">
        <f t="shared" si="179"/>
        <v>54428</v>
      </c>
      <c r="R48" s="96">
        <v>52886</v>
      </c>
      <c r="S48" s="96">
        <v>57350</v>
      </c>
      <c r="T48" s="96">
        <v>56730</v>
      </c>
      <c r="U48" s="34">
        <f t="shared" si="180"/>
        <v>64758</v>
      </c>
      <c r="V48" s="96">
        <v>58643</v>
      </c>
      <c r="W48" s="96">
        <v>62224</v>
      </c>
      <c r="X48" s="96">
        <v>62397</v>
      </c>
      <c r="Y48" s="34">
        <f t="shared" si="181"/>
        <v>74834</v>
      </c>
      <c r="Z48" s="96">
        <v>77183</v>
      </c>
      <c r="AA48" s="96">
        <v>81259</v>
      </c>
      <c r="AB48" s="96">
        <v>82882</v>
      </c>
      <c r="AC48" s="34">
        <f t="shared" si="182"/>
        <v>83727</v>
      </c>
      <c r="AD48" s="96">
        <v>93146</v>
      </c>
      <c r="AF48" s="34">
        <f>R48</f>
        <v>52886</v>
      </c>
      <c r="AG48" s="34">
        <f>S48</f>
        <v>57350</v>
      </c>
      <c r="AH48" s="34">
        <f>T48</f>
        <v>56730</v>
      </c>
      <c r="AI48" s="34">
        <f>U48</f>
        <v>64758</v>
      </c>
      <c r="AJ48" s="34">
        <f>V48</f>
        <v>58643</v>
      </c>
      <c r="AK48" s="34">
        <f>W48</f>
        <v>62224</v>
      </c>
      <c r="AL48" s="34">
        <f>X48</f>
        <v>62397</v>
      </c>
      <c r="AM48" s="34">
        <f>Y48</f>
        <v>74834</v>
      </c>
      <c r="AN48" s="34">
        <f>Z48</f>
        <v>77183</v>
      </c>
      <c r="AO48" s="34">
        <f t="shared" si="183"/>
        <v>81259</v>
      </c>
      <c r="AP48" s="34">
        <f>AB48</f>
        <v>82882</v>
      </c>
      <c r="AQ48" s="34">
        <f>AC48</f>
        <v>83727</v>
      </c>
      <c r="AR48" s="34">
        <f>AD48</f>
        <v>93146</v>
      </c>
      <c r="AS48" s="12"/>
      <c r="AT48" s="87">
        <f t="shared" si="184"/>
        <v>0.20682015469727788</v>
      </c>
    </row>
    <row r="49" spans="2:46" ht="12.75" customHeight="1">
      <c r="B49" s="14" t="s">
        <v>22</v>
      </c>
      <c r="C49" s="15">
        <f t="shared" ref="C49:F49" si="185">SUM(C46:C48)+C44</f>
        <v>321686</v>
      </c>
      <c r="D49" s="15">
        <f t="shared" si="185"/>
        <v>375319</v>
      </c>
      <c r="E49" s="15">
        <f t="shared" si="185"/>
        <v>365725</v>
      </c>
      <c r="F49" s="15">
        <f t="shared" si="185"/>
        <v>338516</v>
      </c>
      <c r="G49" s="15">
        <f t="shared" ref="G49:L49" si="186">SUM(G46:G48)+G44</f>
        <v>323888</v>
      </c>
      <c r="H49" s="36">
        <f t="shared" si="186"/>
        <v>351002</v>
      </c>
      <c r="I49" s="15">
        <f t="shared" si="186"/>
        <v>352755</v>
      </c>
      <c r="J49" s="15">
        <f t="shared" si="186"/>
        <v>352583</v>
      </c>
      <c r="K49" s="15">
        <f t="shared" si="186"/>
        <v>364980</v>
      </c>
      <c r="L49" s="15">
        <f t="shared" si="186"/>
        <v>359241</v>
      </c>
      <c r="N49" s="15">
        <f t="shared" ref="N49:AB49" si="187">SUM(N46:N48)+N44</f>
        <v>373153</v>
      </c>
      <c r="O49" s="15">
        <f t="shared" si="187"/>
        <v>342624</v>
      </c>
      <c r="P49" s="15">
        <f t="shared" si="187"/>
        <v>328271</v>
      </c>
      <c r="Q49" s="15">
        <f t="shared" si="187"/>
        <v>352755</v>
      </c>
      <c r="R49" s="15">
        <f t="shared" si="187"/>
        <v>338709</v>
      </c>
      <c r="S49" s="15">
        <f t="shared" si="187"/>
        <v>324122</v>
      </c>
      <c r="T49" s="15">
        <f t="shared" si="187"/>
        <v>327000</v>
      </c>
      <c r="U49" s="15">
        <f t="shared" si="187"/>
        <v>352583</v>
      </c>
      <c r="V49" s="15">
        <f t="shared" si="187"/>
        <v>345476</v>
      </c>
      <c r="W49" s="15">
        <f t="shared" si="187"/>
        <v>329373</v>
      </c>
      <c r="X49" s="15">
        <f t="shared" si="187"/>
        <v>323574</v>
      </c>
      <c r="Y49" s="15">
        <f t="shared" si="187"/>
        <v>364980</v>
      </c>
      <c r="Z49" s="15">
        <f t="shared" si="187"/>
        <v>344085</v>
      </c>
      <c r="AA49" s="15">
        <f t="shared" si="187"/>
        <v>331233</v>
      </c>
      <c r="AB49" s="15">
        <f t="shared" si="187"/>
        <v>331495</v>
      </c>
      <c r="AC49" s="15">
        <f t="shared" ref="AC49:AD49" si="188">SUM(AC46:AC48)+AC44</f>
        <v>359241</v>
      </c>
      <c r="AD49" s="15">
        <f t="shared" si="188"/>
        <v>379297</v>
      </c>
      <c r="AF49" s="15">
        <f t="shared" ref="AF49:AP49" si="189">SUM(AF46:AF48)+AF44</f>
        <v>338709</v>
      </c>
      <c r="AG49" s="15">
        <f t="shared" si="189"/>
        <v>324122</v>
      </c>
      <c r="AH49" s="15">
        <f t="shared" si="189"/>
        <v>327000</v>
      </c>
      <c r="AI49" s="15">
        <f t="shared" si="189"/>
        <v>352583</v>
      </c>
      <c r="AJ49" s="15">
        <f t="shared" si="189"/>
        <v>345476</v>
      </c>
      <c r="AK49" s="15">
        <f t="shared" si="189"/>
        <v>329373</v>
      </c>
      <c r="AL49" s="15">
        <f t="shared" si="189"/>
        <v>323574</v>
      </c>
      <c r="AM49" s="15">
        <f t="shared" si="189"/>
        <v>364980</v>
      </c>
      <c r="AN49" s="15">
        <f t="shared" si="189"/>
        <v>344085</v>
      </c>
      <c r="AO49" s="15">
        <f t="shared" si="189"/>
        <v>331233</v>
      </c>
      <c r="AP49" s="15">
        <f t="shared" si="189"/>
        <v>331495</v>
      </c>
      <c r="AQ49" s="15">
        <f t="shared" ref="AQ49:AR49" si="190">SUM(AQ46:AQ48)+AQ44</f>
        <v>359241</v>
      </c>
      <c r="AR49" s="15">
        <f t="shared" si="190"/>
        <v>379297</v>
      </c>
      <c r="AS49" s="45"/>
      <c r="AT49" s="88">
        <f t="shared" si="184"/>
        <v>0.10233517880756215</v>
      </c>
    </row>
    <row r="50" spans="2:46" ht="12.75" customHeight="1">
      <c r="B50" s="27"/>
      <c r="C50" s="56"/>
      <c r="D50" s="56"/>
      <c r="E50" s="56"/>
      <c r="F50" s="56"/>
      <c r="G50" s="56"/>
      <c r="H50" s="56"/>
      <c r="I50" s="56"/>
      <c r="J50" s="44"/>
      <c r="K50" s="44"/>
      <c r="L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2"/>
    </row>
    <row r="51" spans="2:46" ht="12.75" customHeight="1">
      <c r="B51" s="10" t="s">
        <v>55</v>
      </c>
      <c r="C51" s="96">
        <v>37294</v>
      </c>
      <c r="D51" s="96">
        <v>44242</v>
      </c>
      <c r="E51" s="96">
        <v>55888</v>
      </c>
      <c r="F51" s="96">
        <v>46236</v>
      </c>
      <c r="G51" s="96">
        <v>42296</v>
      </c>
      <c r="H51" s="96">
        <v>54763</v>
      </c>
      <c r="I51" s="96">
        <v>64115</v>
      </c>
      <c r="J51" s="96">
        <v>62611</v>
      </c>
      <c r="K51" s="96">
        <v>68960</v>
      </c>
      <c r="L51" s="96">
        <v>69860</v>
      </c>
      <c r="N51" s="96">
        <v>74362</v>
      </c>
      <c r="O51" s="96">
        <v>52682</v>
      </c>
      <c r="P51" s="96">
        <v>48343</v>
      </c>
      <c r="Q51" s="34">
        <f t="shared" ref="Q51:Q53" si="191">I51</f>
        <v>64115</v>
      </c>
      <c r="R51" s="96">
        <v>57918</v>
      </c>
      <c r="S51" s="96">
        <v>42945</v>
      </c>
      <c r="T51" s="96">
        <v>46699</v>
      </c>
      <c r="U51" s="34">
        <f t="shared" ref="U51:U53" si="192">J51</f>
        <v>62611</v>
      </c>
      <c r="V51" s="96">
        <v>58146</v>
      </c>
      <c r="W51" s="96">
        <v>45753</v>
      </c>
      <c r="X51" s="96">
        <v>47574</v>
      </c>
      <c r="Y51" s="34">
        <f t="shared" ref="Y51:Y53" si="193">K51</f>
        <v>68960</v>
      </c>
      <c r="Z51" s="96">
        <v>61910</v>
      </c>
      <c r="AA51" s="96">
        <v>54126</v>
      </c>
      <c r="AB51" s="96">
        <v>50374</v>
      </c>
      <c r="AC51" s="34">
        <f t="shared" ref="AC51:AC55" si="194">L51</f>
        <v>69860</v>
      </c>
      <c r="AD51" s="96">
        <v>70587</v>
      </c>
      <c r="AF51" s="34">
        <f>R51</f>
        <v>57918</v>
      </c>
      <c r="AG51" s="34">
        <f>S51</f>
        <v>42945</v>
      </c>
      <c r="AH51" s="34">
        <f>T51</f>
        <v>46699</v>
      </c>
      <c r="AI51" s="34">
        <f>U51</f>
        <v>62611</v>
      </c>
      <c r="AJ51" s="34">
        <f>V51</f>
        <v>58146</v>
      </c>
      <c r="AK51" s="34">
        <f>W51</f>
        <v>45753</v>
      </c>
      <c r="AL51" s="34">
        <f>X51</f>
        <v>47574</v>
      </c>
      <c r="AM51" s="34">
        <f>Y51</f>
        <v>68960</v>
      </c>
      <c r="AN51" s="34">
        <f>Z51</f>
        <v>61910</v>
      </c>
      <c r="AO51" s="34">
        <f t="shared" ref="AO51:AO55" si="195">AA51</f>
        <v>54126</v>
      </c>
      <c r="AP51" s="34">
        <f>AB51</f>
        <v>50374</v>
      </c>
      <c r="AQ51" s="34">
        <f>AC51</f>
        <v>69860</v>
      </c>
      <c r="AR51" s="34">
        <f>AD51</f>
        <v>70587</v>
      </c>
      <c r="AS51" s="12"/>
      <c r="AT51" s="87">
        <f t="shared" ref="AT51:AT56" si="196">SUM(AR51/AN51)-1</f>
        <v>0.1401550638022937</v>
      </c>
    </row>
    <row r="52" spans="2:46" ht="12.75" customHeight="1">
      <c r="B52" s="10" t="s">
        <v>177</v>
      </c>
      <c r="C52" s="96">
        <v>8080</v>
      </c>
      <c r="D52" s="96">
        <v>7548</v>
      </c>
      <c r="E52" s="96">
        <v>7543</v>
      </c>
      <c r="F52" s="96">
        <v>5522</v>
      </c>
      <c r="G52" s="96">
        <v>6643</v>
      </c>
      <c r="H52" s="96">
        <v>7612</v>
      </c>
      <c r="I52" s="96">
        <v>7912</v>
      </c>
      <c r="J52" s="96">
        <v>8061</v>
      </c>
      <c r="K52" s="96">
        <v>8249</v>
      </c>
      <c r="L52" s="96">
        <v>9055</v>
      </c>
      <c r="N52" s="96">
        <v>7876</v>
      </c>
      <c r="O52" s="96">
        <v>7920</v>
      </c>
      <c r="P52" s="96">
        <v>7728</v>
      </c>
      <c r="Q52" s="34">
        <f t="shared" si="191"/>
        <v>7912</v>
      </c>
      <c r="R52" s="96">
        <v>7992</v>
      </c>
      <c r="S52" s="96">
        <v>8131</v>
      </c>
      <c r="T52" s="96">
        <v>8158</v>
      </c>
      <c r="U52" s="34">
        <f t="shared" si="192"/>
        <v>8061</v>
      </c>
      <c r="V52" s="96">
        <v>8264</v>
      </c>
      <c r="W52" s="96">
        <v>8012</v>
      </c>
      <c r="X52" s="96">
        <v>8053</v>
      </c>
      <c r="Y52" s="34">
        <f t="shared" si="193"/>
        <v>8249</v>
      </c>
      <c r="Z52" s="96">
        <v>8461</v>
      </c>
      <c r="AA52" s="96">
        <v>8976</v>
      </c>
      <c r="AB52" s="96">
        <v>8979</v>
      </c>
      <c r="AC52" s="34">
        <f t="shared" si="194"/>
        <v>9055</v>
      </c>
      <c r="AD52" s="96">
        <v>9413</v>
      </c>
      <c r="AF52" s="34">
        <f>R52</f>
        <v>7992</v>
      </c>
      <c r="AG52" s="34">
        <f>S52</f>
        <v>8131</v>
      </c>
      <c r="AH52" s="34">
        <f>T52</f>
        <v>8158</v>
      </c>
      <c r="AI52" s="34">
        <f>U52</f>
        <v>8061</v>
      </c>
      <c r="AJ52" s="34">
        <f>V52</f>
        <v>8264</v>
      </c>
      <c r="AK52" s="34">
        <f>W52</f>
        <v>8012</v>
      </c>
      <c r="AL52" s="34">
        <f>X52</f>
        <v>8053</v>
      </c>
      <c r="AM52" s="34">
        <f>Y52</f>
        <v>8249</v>
      </c>
      <c r="AN52" s="34">
        <f>Z52</f>
        <v>8461</v>
      </c>
      <c r="AO52" s="34">
        <f t="shared" si="195"/>
        <v>8976</v>
      </c>
      <c r="AP52" s="34">
        <f>AB52</f>
        <v>8979</v>
      </c>
      <c r="AQ52" s="34">
        <f>AC52</f>
        <v>9055</v>
      </c>
      <c r="AR52" s="34">
        <f>AD52</f>
        <v>9413</v>
      </c>
      <c r="AS52" s="12"/>
      <c r="AT52" s="87">
        <f t="shared" si="196"/>
        <v>0.11251625103415663</v>
      </c>
    </row>
    <row r="53" spans="2:46" ht="12.75" customHeight="1">
      <c r="B53" s="10" t="s">
        <v>178</v>
      </c>
      <c r="C53" s="96">
        <v>22027</v>
      </c>
      <c r="D53" s="96">
        <v>30551</v>
      </c>
      <c r="E53" s="96">
        <v>32687</v>
      </c>
      <c r="F53" s="96">
        <v>37720</v>
      </c>
      <c r="G53" s="96">
        <v>42684</v>
      </c>
      <c r="H53" s="96">
        <v>47493</v>
      </c>
      <c r="I53" s="96">
        <v>60845</v>
      </c>
      <c r="J53" s="96">
        <v>58829</v>
      </c>
      <c r="K53" s="96">
        <v>78304</v>
      </c>
      <c r="L53" s="96">
        <v>66387</v>
      </c>
      <c r="N53" s="96">
        <v>49167</v>
      </c>
      <c r="O53" s="96">
        <v>50248</v>
      </c>
      <c r="P53" s="96">
        <v>48811</v>
      </c>
      <c r="Q53" s="34">
        <f t="shared" si="191"/>
        <v>60845</v>
      </c>
      <c r="R53" s="96">
        <v>59893</v>
      </c>
      <c r="S53" s="96">
        <v>56425</v>
      </c>
      <c r="T53" s="96">
        <v>58897</v>
      </c>
      <c r="U53" s="34">
        <f t="shared" si="192"/>
        <v>58829</v>
      </c>
      <c r="V53" s="96">
        <v>54611</v>
      </c>
      <c r="W53" s="96">
        <v>57298</v>
      </c>
      <c r="X53" s="96">
        <v>60889</v>
      </c>
      <c r="Y53" s="34">
        <f t="shared" si="193"/>
        <v>78304</v>
      </c>
      <c r="Z53" s="96">
        <v>61151</v>
      </c>
      <c r="AA53" s="96">
        <v>61849</v>
      </c>
      <c r="AB53" s="96">
        <v>62499</v>
      </c>
      <c r="AC53" s="34">
        <f t="shared" si="194"/>
        <v>66387</v>
      </c>
      <c r="AD53" s="96">
        <v>68543</v>
      </c>
      <c r="AF53" s="34">
        <f>R53</f>
        <v>59893</v>
      </c>
      <c r="AG53" s="34">
        <f>S53</f>
        <v>56425</v>
      </c>
      <c r="AH53" s="34">
        <f>T53</f>
        <v>58897</v>
      </c>
      <c r="AI53" s="34">
        <f>U53</f>
        <v>58829</v>
      </c>
      <c r="AJ53" s="34">
        <f>V53</f>
        <v>54611</v>
      </c>
      <c r="AK53" s="34">
        <f>W53</f>
        <v>57298</v>
      </c>
      <c r="AL53" s="34">
        <f>X53</f>
        <v>60889</v>
      </c>
      <c r="AM53" s="34">
        <f>Y53</f>
        <v>78304</v>
      </c>
      <c r="AN53" s="34">
        <f>Z53</f>
        <v>61151</v>
      </c>
      <c r="AO53" s="34">
        <f t="shared" si="195"/>
        <v>61849</v>
      </c>
      <c r="AP53" s="34">
        <f>AB53</f>
        <v>62499</v>
      </c>
      <c r="AQ53" s="34">
        <f>AC53</f>
        <v>66387</v>
      </c>
      <c r="AR53" s="34">
        <f>AD53</f>
        <v>68543</v>
      </c>
      <c r="AS53" s="12"/>
      <c r="AT53" s="87">
        <f t="shared" si="196"/>
        <v>0.1208810976108321</v>
      </c>
    </row>
    <row r="54" spans="2:46" ht="12.75" customHeight="1">
      <c r="B54" s="10" t="s">
        <v>147</v>
      </c>
      <c r="C54" s="96">
        <v>8105</v>
      </c>
      <c r="D54" s="96">
        <v>11977</v>
      </c>
      <c r="E54" s="96">
        <v>11964</v>
      </c>
      <c r="F54" s="96">
        <v>5980</v>
      </c>
      <c r="G54" s="96">
        <v>4996</v>
      </c>
      <c r="H54" s="96">
        <v>6000</v>
      </c>
      <c r="I54" s="96">
        <v>9982</v>
      </c>
      <c r="J54" s="96">
        <v>5985</v>
      </c>
      <c r="K54" s="96">
        <v>9967</v>
      </c>
      <c r="L54" s="96">
        <v>7979</v>
      </c>
      <c r="N54" s="96">
        <v>5000</v>
      </c>
      <c r="O54" s="96">
        <v>6999</v>
      </c>
      <c r="P54" s="96">
        <v>10982</v>
      </c>
      <c r="Q54" s="34">
        <v>9982</v>
      </c>
      <c r="R54" s="96">
        <v>1743</v>
      </c>
      <c r="S54" s="96">
        <v>1996</v>
      </c>
      <c r="T54" s="96">
        <v>3993</v>
      </c>
      <c r="U54" s="34">
        <v>5985</v>
      </c>
      <c r="V54" s="96">
        <v>1998</v>
      </c>
      <c r="W54" s="96">
        <v>1997</v>
      </c>
      <c r="X54" s="96">
        <v>2994</v>
      </c>
      <c r="Y54" s="34">
        <v>9967</v>
      </c>
      <c r="Z54" s="96">
        <v>1995</v>
      </c>
      <c r="AA54" s="96">
        <v>5982</v>
      </c>
      <c r="AB54" s="96">
        <v>9923</v>
      </c>
      <c r="AC54" s="34">
        <f t="shared" si="194"/>
        <v>7979</v>
      </c>
      <c r="AD54" s="96">
        <v>1997</v>
      </c>
      <c r="AF54" s="34">
        <f>R54</f>
        <v>1743</v>
      </c>
      <c r="AG54" s="34">
        <f>S54</f>
        <v>1996</v>
      </c>
      <c r="AH54" s="34">
        <f>T54</f>
        <v>3993</v>
      </c>
      <c r="AI54" s="34">
        <f>U54</f>
        <v>5985</v>
      </c>
      <c r="AJ54" s="34">
        <f>V54</f>
        <v>1998</v>
      </c>
      <c r="AK54" s="34">
        <f>W54</f>
        <v>1997</v>
      </c>
      <c r="AL54" s="34">
        <f>X54</f>
        <v>2994</v>
      </c>
      <c r="AM54" s="34">
        <f>Y54</f>
        <v>9967</v>
      </c>
      <c r="AN54" s="34">
        <f>Z54</f>
        <v>1995</v>
      </c>
      <c r="AO54" s="34">
        <f t="shared" ref="AO54" si="197">AA54</f>
        <v>5982</v>
      </c>
      <c r="AP54" s="34">
        <f>AB54</f>
        <v>9923</v>
      </c>
      <c r="AQ54" s="34">
        <f>AC54</f>
        <v>7979</v>
      </c>
      <c r="AR54" s="34">
        <f>AD54</f>
        <v>1997</v>
      </c>
      <c r="AS54" s="12"/>
      <c r="AT54" s="87">
        <f t="shared" si="196"/>
        <v>1.002506265664227E-3</v>
      </c>
    </row>
    <row r="55" spans="2:46" ht="12.75" customHeight="1">
      <c r="B55" s="10" t="s">
        <v>148</v>
      </c>
      <c r="C55" s="96">
        <v>3500</v>
      </c>
      <c r="D55" s="96">
        <v>6496</v>
      </c>
      <c r="E55" s="96">
        <v>8784</v>
      </c>
      <c r="F55" s="96">
        <v>10260</v>
      </c>
      <c r="G55" s="96">
        <v>8773</v>
      </c>
      <c r="H55" s="96">
        <v>9613</v>
      </c>
      <c r="I55" s="96">
        <v>11128</v>
      </c>
      <c r="J55" s="96">
        <v>9822</v>
      </c>
      <c r="K55" s="96">
        <v>10912</v>
      </c>
      <c r="L55" s="96">
        <v>12350</v>
      </c>
      <c r="N55" s="96">
        <v>11169</v>
      </c>
      <c r="O55" s="96">
        <v>9659</v>
      </c>
      <c r="P55" s="96">
        <v>14009</v>
      </c>
      <c r="Q55" s="34">
        <v>11128</v>
      </c>
      <c r="R55" s="96">
        <v>9740</v>
      </c>
      <c r="S55" s="96">
        <v>10578</v>
      </c>
      <c r="T55" s="96">
        <v>7216</v>
      </c>
      <c r="U55" s="34">
        <v>9822</v>
      </c>
      <c r="V55" s="96">
        <v>10954</v>
      </c>
      <c r="W55" s="96">
        <v>10762</v>
      </c>
      <c r="X55" s="96">
        <v>12114</v>
      </c>
      <c r="Y55" s="34">
        <v>10912</v>
      </c>
      <c r="Z55" s="96">
        <v>10848</v>
      </c>
      <c r="AA55" s="96">
        <v>13638</v>
      </c>
      <c r="AB55" s="96">
        <v>9345</v>
      </c>
      <c r="AC55" s="34">
        <f t="shared" si="194"/>
        <v>12350</v>
      </c>
      <c r="AD55" s="96">
        <v>11827</v>
      </c>
      <c r="AF55" s="34">
        <f>R55</f>
        <v>9740</v>
      </c>
      <c r="AG55" s="34">
        <f>S55</f>
        <v>10578</v>
      </c>
      <c r="AH55" s="34">
        <f>T55</f>
        <v>7216</v>
      </c>
      <c r="AI55" s="34">
        <f>U55</f>
        <v>9822</v>
      </c>
      <c r="AJ55" s="34">
        <f>V55</f>
        <v>10954</v>
      </c>
      <c r="AK55" s="34">
        <f>W55</f>
        <v>10762</v>
      </c>
      <c r="AL55" s="34">
        <f>X55</f>
        <v>12114</v>
      </c>
      <c r="AM55" s="34">
        <f>Y55</f>
        <v>10912</v>
      </c>
      <c r="AN55" s="34">
        <f>Z55</f>
        <v>10848</v>
      </c>
      <c r="AO55" s="34">
        <f t="shared" si="195"/>
        <v>13638</v>
      </c>
      <c r="AP55" s="34">
        <f>AB55</f>
        <v>9345</v>
      </c>
      <c r="AQ55" s="34">
        <f>AC55</f>
        <v>12350</v>
      </c>
      <c r="AR55" s="34">
        <f>AD55</f>
        <v>11827</v>
      </c>
      <c r="AS55" s="12"/>
      <c r="AT55" s="87">
        <f t="shared" si="196"/>
        <v>9.0247050147492569E-2</v>
      </c>
    </row>
    <row r="56" spans="2:46" ht="12.75" customHeight="1">
      <c r="B56" s="27" t="s">
        <v>20</v>
      </c>
      <c r="C56" s="28">
        <f t="shared" ref="C56:F56" si="198">SUM(C51:C55)</f>
        <v>79006</v>
      </c>
      <c r="D56" s="28">
        <f t="shared" si="198"/>
        <v>100814</v>
      </c>
      <c r="E56" s="28">
        <f t="shared" si="198"/>
        <v>116866</v>
      </c>
      <c r="F56" s="28">
        <f t="shared" si="198"/>
        <v>105718</v>
      </c>
      <c r="G56" s="28">
        <f t="shared" ref="G56:L56" si="199">SUM(G51:G55)</f>
        <v>105392</v>
      </c>
      <c r="H56" s="28">
        <f t="shared" si="199"/>
        <v>125481</v>
      </c>
      <c r="I56" s="28">
        <f t="shared" si="199"/>
        <v>153982</v>
      </c>
      <c r="J56" s="28">
        <f t="shared" si="199"/>
        <v>145308</v>
      </c>
      <c r="K56" s="28">
        <f t="shared" si="199"/>
        <v>176392</v>
      </c>
      <c r="L56" s="28">
        <f t="shared" si="199"/>
        <v>165631</v>
      </c>
      <c r="N56" s="28">
        <f t="shared" ref="N56:AB56" si="200">SUM(N51:N55)</f>
        <v>147574</v>
      </c>
      <c r="O56" s="28">
        <f t="shared" si="200"/>
        <v>127508</v>
      </c>
      <c r="P56" s="28">
        <f t="shared" si="200"/>
        <v>129873</v>
      </c>
      <c r="Q56" s="28">
        <f t="shared" si="200"/>
        <v>153982</v>
      </c>
      <c r="R56" s="28">
        <f t="shared" si="200"/>
        <v>137286</v>
      </c>
      <c r="S56" s="28">
        <f t="shared" si="200"/>
        <v>120075</v>
      </c>
      <c r="T56" s="28">
        <f t="shared" si="200"/>
        <v>124963</v>
      </c>
      <c r="U56" s="28">
        <f t="shared" si="200"/>
        <v>145308</v>
      </c>
      <c r="V56" s="28">
        <f t="shared" si="200"/>
        <v>133973</v>
      </c>
      <c r="W56" s="28">
        <f t="shared" si="200"/>
        <v>123822</v>
      </c>
      <c r="X56" s="28">
        <f t="shared" si="200"/>
        <v>131624</v>
      </c>
      <c r="Y56" s="28">
        <f t="shared" si="200"/>
        <v>176392</v>
      </c>
      <c r="Z56" s="28">
        <f t="shared" si="200"/>
        <v>144365</v>
      </c>
      <c r="AA56" s="28">
        <f t="shared" si="200"/>
        <v>144571</v>
      </c>
      <c r="AB56" s="28">
        <f t="shared" si="200"/>
        <v>141120</v>
      </c>
      <c r="AC56" s="28">
        <f t="shared" ref="AC56:AD56" si="201">SUM(AC51:AC55)</f>
        <v>165631</v>
      </c>
      <c r="AD56" s="28">
        <f t="shared" si="201"/>
        <v>162367</v>
      </c>
      <c r="AE56" s="54"/>
      <c r="AF56" s="28">
        <f t="shared" ref="AF56:AP56" si="202">SUM(AF51:AF55)</f>
        <v>137286</v>
      </c>
      <c r="AG56" s="28">
        <f t="shared" si="202"/>
        <v>120075</v>
      </c>
      <c r="AH56" s="28">
        <f t="shared" si="202"/>
        <v>124963</v>
      </c>
      <c r="AI56" s="28">
        <f t="shared" si="202"/>
        <v>145308</v>
      </c>
      <c r="AJ56" s="28">
        <f t="shared" si="202"/>
        <v>133973</v>
      </c>
      <c r="AK56" s="28">
        <f t="shared" si="202"/>
        <v>123822</v>
      </c>
      <c r="AL56" s="28">
        <f t="shared" si="202"/>
        <v>131624</v>
      </c>
      <c r="AM56" s="28">
        <f t="shared" si="202"/>
        <v>176392</v>
      </c>
      <c r="AN56" s="28">
        <f t="shared" si="202"/>
        <v>144365</v>
      </c>
      <c r="AO56" s="28">
        <f t="shared" si="202"/>
        <v>144571</v>
      </c>
      <c r="AP56" s="28">
        <f t="shared" si="202"/>
        <v>141120</v>
      </c>
      <c r="AQ56" s="28">
        <f t="shared" ref="AQ56:AR56" si="203">SUM(AQ51:AQ55)</f>
        <v>165631</v>
      </c>
      <c r="AR56" s="28">
        <f t="shared" si="203"/>
        <v>162367</v>
      </c>
      <c r="AS56" s="45"/>
      <c r="AT56" s="88">
        <f t="shared" si="196"/>
        <v>0.12469781456724283</v>
      </c>
    </row>
    <row r="57" spans="2:46" ht="5.0999999999999996" customHeight="1">
      <c r="B57" s="27"/>
      <c r="C57" s="56"/>
      <c r="D57" s="56"/>
      <c r="E57" s="56"/>
      <c r="F57" s="56"/>
      <c r="G57" s="56"/>
      <c r="H57" s="56"/>
      <c r="I57" s="56"/>
      <c r="J57" s="44"/>
      <c r="K57" s="44"/>
      <c r="L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2"/>
    </row>
    <row r="58" spans="2:46" ht="12.75" customHeight="1">
      <c r="B58" s="10" t="s">
        <v>107</v>
      </c>
      <c r="C58" s="96">
        <v>75427</v>
      </c>
      <c r="D58" s="96">
        <v>97207</v>
      </c>
      <c r="E58" s="96">
        <v>93735</v>
      </c>
      <c r="F58" s="96">
        <v>91807</v>
      </c>
      <c r="G58" s="96">
        <v>98667</v>
      </c>
      <c r="H58" s="96">
        <v>109106</v>
      </c>
      <c r="I58" s="96">
        <v>98959</v>
      </c>
      <c r="J58" s="96">
        <v>95281</v>
      </c>
      <c r="K58" s="96">
        <v>85750</v>
      </c>
      <c r="L58" s="96">
        <v>78328</v>
      </c>
      <c r="M58" s="57"/>
      <c r="N58" s="96">
        <v>106629</v>
      </c>
      <c r="O58" s="96">
        <v>103323</v>
      </c>
      <c r="P58" s="96">
        <v>94700</v>
      </c>
      <c r="Q58" s="34">
        <f t="shared" ref="Q58:Q59" si="204">I58</f>
        <v>98959</v>
      </c>
      <c r="R58" s="96">
        <v>99627</v>
      </c>
      <c r="S58" s="96">
        <v>97041</v>
      </c>
      <c r="T58" s="96">
        <v>98071</v>
      </c>
      <c r="U58" s="34">
        <f t="shared" ref="U58:U59" si="205">J58</f>
        <v>95281</v>
      </c>
      <c r="V58" s="96">
        <v>95088</v>
      </c>
      <c r="W58" s="96">
        <v>91831</v>
      </c>
      <c r="X58" s="96">
        <v>86196</v>
      </c>
      <c r="Y58" s="34">
        <f t="shared" ref="Y58:Y59" si="206">K58</f>
        <v>85750</v>
      </c>
      <c r="Z58" s="96">
        <v>83956</v>
      </c>
      <c r="AA58" s="96">
        <v>78566</v>
      </c>
      <c r="AB58" s="96">
        <v>82430</v>
      </c>
      <c r="AC58" s="34">
        <f t="shared" ref="AC58:AC59" si="207">L58</f>
        <v>78328</v>
      </c>
      <c r="AD58" s="96">
        <v>76685</v>
      </c>
      <c r="AF58" s="34">
        <f>R58</f>
        <v>99627</v>
      </c>
      <c r="AG58" s="34">
        <f>S58</f>
        <v>97041</v>
      </c>
      <c r="AH58" s="34">
        <f>T58</f>
        <v>98071</v>
      </c>
      <c r="AI58" s="34">
        <f>U58</f>
        <v>95281</v>
      </c>
      <c r="AJ58" s="34">
        <f>V58</f>
        <v>95088</v>
      </c>
      <c r="AK58" s="34">
        <f>W58</f>
        <v>91831</v>
      </c>
      <c r="AL58" s="34">
        <f>X58</f>
        <v>86196</v>
      </c>
      <c r="AM58" s="34">
        <f>Y58</f>
        <v>85750</v>
      </c>
      <c r="AN58" s="34">
        <f>Z58</f>
        <v>83956</v>
      </c>
      <c r="AO58" s="34">
        <f t="shared" ref="AO58:AO59" si="208">AA58</f>
        <v>78566</v>
      </c>
      <c r="AP58" s="34">
        <f>AB58</f>
        <v>82430</v>
      </c>
      <c r="AQ58" s="34">
        <f>AC58</f>
        <v>78328</v>
      </c>
      <c r="AR58" s="34">
        <f>AD58</f>
        <v>76685</v>
      </c>
      <c r="AS58" s="45"/>
      <c r="AT58" s="87">
        <f t="shared" ref="AT58:AT60" si="209">SUM(AR58/AN58)-1</f>
        <v>-8.660488827481061E-2</v>
      </c>
    </row>
    <row r="59" spans="2:46" ht="12.75" customHeight="1">
      <c r="B59" s="10" t="s">
        <v>106</v>
      </c>
      <c r="C59" s="96">
        <f>36074+2930</f>
        <v>39004</v>
      </c>
      <c r="D59" s="96">
        <f>40415+2836</f>
        <v>43251</v>
      </c>
      <c r="E59" s="96">
        <f>45180+2797</f>
        <v>47977</v>
      </c>
      <c r="F59" s="96">
        <v>50503</v>
      </c>
      <c r="G59" s="96">
        <v>54490</v>
      </c>
      <c r="H59" s="96">
        <v>53325</v>
      </c>
      <c r="I59" s="96">
        <v>49142</v>
      </c>
      <c r="J59" s="96">
        <v>49848</v>
      </c>
      <c r="K59" s="96">
        <v>45888</v>
      </c>
      <c r="L59" s="96">
        <v>41549</v>
      </c>
      <c r="M59" s="57"/>
      <c r="N59" s="96">
        <v>55056</v>
      </c>
      <c r="O59" s="96">
        <v>52432</v>
      </c>
      <c r="P59" s="96">
        <v>53629</v>
      </c>
      <c r="Q59" s="34">
        <f t="shared" si="204"/>
        <v>49142</v>
      </c>
      <c r="R59" s="96">
        <v>53107</v>
      </c>
      <c r="S59" s="96">
        <v>52886</v>
      </c>
      <c r="T59" s="96">
        <v>51730</v>
      </c>
      <c r="U59" s="34">
        <f t="shared" si="205"/>
        <v>49848</v>
      </c>
      <c r="V59" s="96">
        <v>50353</v>
      </c>
      <c r="W59" s="96">
        <v>47564</v>
      </c>
      <c r="X59" s="96">
        <v>47084</v>
      </c>
      <c r="Y59" s="34">
        <f t="shared" si="206"/>
        <v>45888</v>
      </c>
      <c r="Z59" s="96">
        <v>49006</v>
      </c>
      <c r="AA59" s="96">
        <v>41300</v>
      </c>
      <c r="AB59" s="96">
        <v>42115</v>
      </c>
      <c r="AC59" s="34">
        <f t="shared" si="207"/>
        <v>41549</v>
      </c>
      <c r="AD59" s="96">
        <v>52055</v>
      </c>
      <c r="AF59" s="34">
        <f>R59</f>
        <v>53107</v>
      </c>
      <c r="AG59" s="34">
        <f>S59</f>
        <v>52886</v>
      </c>
      <c r="AH59" s="34">
        <f>T59</f>
        <v>51730</v>
      </c>
      <c r="AI59" s="34">
        <f>U59</f>
        <v>49848</v>
      </c>
      <c r="AJ59" s="34">
        <f>V59</f>
        <v>50353</v>
      </c>
      <c r="AK59" s="34">
        <f>W59</f>
        <v>47564</v>
      </c>
      <c r="AL59" s="34">
        <f>X59</f>
        <v>47084</v>
      </c>
      <c r="AM59" s="34">
        <f>Y59</f>
        <v>45888</v>
      </c>
      <c r="AN59" s="34">
        <f>Z59</f>
        <v>49006</v>
      </c>
      <c r="AO59" s="34">
        <f t="shared" si="208"/>
        <v>41300</v>
      </c>
      <c r="AP59" s="34">
        <f>AB59</f>
        <v>42115</v>
      </c>
      <c r="AQ59" s="34">
        <f>AC59</f>
        <v>41549</v>
      </c>
      <c r="AR59" s="34">
        <f>AD59</f>
        <v>52055</v>
      </c>
      <c r="AS59" s="12"/>
      <c r="AT59" s="87">
        <f t="shared" si="209"/>
        <v>6.2216871403501628E-2</v>
      </c>
    </row>
    <row r="60" spans="2:46" ht="12.75" customHeight="1">
      <c r="B60" s="14" t="s">
        <v>18</v>
      </c>
      <c r="C60" s="15">
        <f t="shared" ref="C60:L60" si="210">SUM(C58:C59)+C56</f>
        <v>193437</v>
      </c>
      <c r="D60" s="15">
        <f t="shared" si="210"/>
        <v>241272</v>
      </c>
      <c r="E60" s="15">
        <f t="shared" si="210"/>
        <v>258578</v>
      </c>
      <c r="F60" s="15">
        <f t="shared" si="210"/>
        <v>248028</v>
      </c>
      <c r="G60" s="15">
        <f t="shared" si="210"/>
        <v>258549</v>
      </c>
      <c r="H60" s="15">
        <f t="shared" si="210"/>
        <v>287912</v>
      </c>
      <c r="I60" s="15">
        <f t="shared" si="210"/>
        <v>302083</v>
      </c>
      <c r="J60" s="15">
        <f t="shared" si="210"/>
        <v>290437</v>
      </c>
      <c r="K60" s="15">
        <f t="shared" si="210"/>
        <v>308030</v>
      </c>
      <c r="L60" s="15">
        <f t="shared" si="210"/>
        <v>285508</v>
      </c>
      <c r="N60" s="15">
        <f t="shared" ref="N60:AC60" si="211">SUM(N58:N59)+N56</f>
        <v>309259</v>
      </c>
      <c r="O60" s="15">
        <f t="shared" si="211"/>
        <v>283263</v>
      </c>
      <c r="P60" s="15">
        <f t="shared" si="211"/>
        <v>278202</v>
      </c>
      <c r="Q60" s="15">
        <f t="shared" si="211"/>
        <v>302083</v>
      </c>
      <c r="R60" s="15">
        <f t="shared" si="211"/>
        <v>290020</v>
      </c>
      <c r="S60" s="15">
        <f t="shared" si="211"/>
        <v>270002</v>
      </c>
      <c r="T60" s="15">
        <f t="shared" si="211"/>
        <v>274764</v>
      </c>
      <c r="U60" s="15">
        <f t="shared" si="211"/>
        <v>290437</v>
      </c>
      <c r="V60" s="15">
        <f t="shared" si="211"/>
        <v>279414</v>
      </c>
      <c r="W60" s="15">
        <f t="shared" si="211"/>
        <v>263217</v>
      </c>
      <c r="X60" s="15">
        <f t="shared" si="211"/>
        <v>264904</v>
      </c>
      <c r="Y60" s="15">
        <f t="shared" si="211"/>
        <v>308030</v>
      </c>
      <c r="Z60" s="15">
        <f t="shared" si="211"/>
        <v>277327</v>
      </c>
      <c r="AA60" s="15">
        <f t="shared" si="211"/>
        <v>264437</v>
      </c>
      <c r="AB60" s="15">
        <f t="shared" si="211"/>
        <v>265665</v>
      </c>
      <c r="AC60" s="15">
        <f t="shared" si="211"/>
        <v>285508</v>
      </c>
      <c r="AD60" s="15">
        <f t="shared" ref="AD60" si="212">SUM(AD58:AD59)+AD56</f>
        <v>291107</v>
      </c>
      <c r="AF60" s="15">
        <f t="shared" ref="AF60:AQ60" si="213">SUM(AF58:AF59)+AF56</f>
        <v>290020</v>
      </c>
      <c r="AG60" s="15">
        <f t="shared" si="213"/>
        <v>270002</v>
      </c>
      <c r="AH60" s="15">
        <f t="shared" si="213"/>
        <v>274764</v>
      </c>
      <c r="AI60" s="15">
        <f t="shared" si="213"/>
        <v>290437</v>
      </c>
      <c r="AJ60" s="15">
        <f t="shared" si="213"/>
        <v>279414</v>
      </c>
      <c r="AK60" s="15">
        <f t="shared" si="213"/>
        <v>263217</v>
      </c>
      <c r="AL60" s="15">
        <f t="shared" si="213"/>
        <v>264904</v>
      </c>
      <c r="AM60" s="15">
        <f t="shared" si="213"/>
        <v>308030</v>
      </c>
      <c r="AN60" s="15">
        <f t="shared" si="213"/>
        <v>277327</v>
      </c>
      <c r="AO60" s="15">
        <f t="shared" si="213"/>
        <v>264437</v>
      </c>
      <c r="AP60" s="15">
        <f t="shared" si="213"/>
        <v>265665</v>
      </c>
      <c r="AQ60" s="15">
        <f t="shared" si="213"/>
        <v>285508</v>
      </c>
      <c r="AR60" s="15">
        <f t="shared" ref="AR60" si="214">SUM(AR58:AR59)+AR56</f>
        <v>291107</v>
      </c>
      <c r="AS60" s="45"/>
      <c r="AT60" s="88">
        <f t="shared" si="209"/>
        <v>4.9688634716417823E-2</v>
      </c>
    </row>
    <row r="61" spans="2:46" ht="5.0999999999999996" customHeight="1">
      <c r="B61" s="27"/>
      <c r="C61" s="55"/>
      <c r="D61" s="55"/>
      <c r="E61" s="55"/>
      <c r="F61" s="55"/>
      <c r="G61" s="55"/>
      <c r="H61" s="55"/>
      <c r="I61" s="55"/>
      <c r="J61" s="44"/>
      <c r="K61" s="44"/>
      <c r="L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2"/>
    </row>
    <row r="62" spans="2:46" ht="12.75" customHeight="1">
      <c r="B62" s="10" t="s">
        <v>81</v>
      </c>
      <c r="C62" s="96">
        <v>31251</v>
      </c>
      <c r="D62" s="96">
        <v>35867</v>
      </c>
      <c r="E62" s="96">
        <v>40201</v>
      </c>
      <c r="F62" s="96">
        <v>45174</v>
      </c>
      <c r="G62" s="96">
        <v>50779</v>
      </c>
      <c r="H62" s="96">
        <v>57365</v>
      </c>
      <c r="I62" s="96">
        <v>64849</v>
      </c>
      <c r="J62" s="96">
        <v>73812</v>
      </c>
      <c r="K62" s="96">
        <v>83276</v>
      </c>
      <c r="L62" s="96">
        <v>93568</v>
      </c>
      <c r="M62" s="34"/>
      <c r="N62" s="96">
        <v>58424</v>
      </c>
      <c r="O62" s="96">
        <v>61181</v>
      </c>
      <c r="P62" s="96">
        <v>62115</v>
      </c>
      <c r="Q62" s="34">
        <f t="shared" ref="Q62:Q64" si="215">I62</f>
        <v>64849</v>
      </c>
      <c r="R62" s="96">
        <v>66399</v>
      </c>
      <c r="S62" s="96">
        <v>69568</v>
      </c>
      <c r="T62" s="96">
        <v>70667</v>
      </c>
      <c r="U62" s="34">
        <f t="shared" ref="U62:U64" si="216">J62</f>
        <v>73812</v>
      </c>
      <c r="V62" s="96">
        <v>75236</v>
      </c>
      <c r="W62" s="96">
        <v>75236</v>
      </c>
      <c r="X62" s="96">
        <v>79850</v>
      </c>
      <c r="Y62" s="34">
        <f t="shared" ref="Y62:Y64" si="217">K62</f>
        <v>83276</v>
      </c>
      <c r="Z62" s="96">
        <v>84768</v>
      </c>
      <c r="AA62" s="96">
        <v>88711</v>
      </c>
      <c r="AB62" s="96">
        <v>89806</v>
      </c>
      <c r="AC62" s="34">
        <f t="shared" ref="AC62:AC64" si="218">L62</f>
        <v>93568</v>
      </c>
      <c r="AD62" s="96">
        <v>95221</v>
      </c>
      <c r="AF62" s="34">
        <f>R62</f>
        <v>66399</v>
      </c>
      <c r="AG62" s="34">
        <f>S62</f>
        <v>69568</v>
      </c>
      <c r="AH62" s="34">
        <f>T62</f>
        <v>70667</v>
      </c>
      <c r="AI62" s="34">
        <f>U62</f>
        <v>73812</v>
      </c>
      <c r="AJ62" s="34">
        <f>V62</f>
        <v>75236</v>
      </c>
      <c r="AK62" s="34">
        <f>W62</f>
        <v>75236</v>
      </c>
      <c r="AL62" s="34">
        <f>X62</f>
        <v>79850</v>
      </c>
      <c r="AM62" s="34">
        <f>Y62</f>
        <v>83276</v>
      </c>
      <c r="AN62" s="34">
        <f>Z62</f>
        <v>84768</v>
      </c>
      <c r="AO62" s="34">
        <f t="shared" ref="AO62:AO64" si="219">AA62</f>
        <v>88711</v>
      </c>
      <c r="AP62" s="34">
        <f>AB62</f>
        <v>89806</v>
      </c>
      <c r="AQ62" s="34">
        <f>AC62</f>
        <v>93568</v>
      </c>
      <c r="AR62" s="34">
        <f>AD62</f>
        <v>95221</v>
      </c>
      <c r="AS62" s="12"/>
      <c r="AT62" s="87">
        <f t="shared" ref="AT62:AT66" si="220">SUM(AR62/AN62)-1</f>
        <v>0.12331304265760656</v>
      </c>
    </row>
    <row r="63" spans="2:46" ht="12.75" customHeight="1">
      <c r="B63" s="10" t="s">
        <v>108</v>
      </c>
      <c r="C63" s="96">
        <v>96364</v>
      </c>
      <c r="D63" s="96">
        <v>98330</v>
      </c>
      <c r="E63" s="96">
        <v>70400</v>
      </c>
      <c r="F63" s="96">
        <v>45898</v>
      </c>
      <c r="G63" s="96">
        <v>14966</v>
      </c>
      <c r="H63" s="96">
        <v>5562</v>
      </c>
      <c r="I63" s="96">
        <v>-3068</v>
      </c>
      <c r="J63" s="96">
        <v>-214</v>
      </c>
      <c r="K63" s="96">
        <v>-19154</v>
      </c>
      <c r="L63" s="96">
        <v>-14264</v>
      </c>
      <c r="M63" s="34"/>
      <c r="N63" s="96">
        <v>6397</v>
      </c>
      <c r="O63" s="96">
        <v>4674</v>
      </c>
      <c r="P63" s="96">
        <v>-2749</v>
      </c>
      <c r="Q63" s="34">
        <f t="shared" si="215"/>
        <v>-3068</v>
      </c>
      <c r="R63" s="96">
        <v>-4798</v>
      </c>
      <c r="S63" s="96">
        <v>-3702</v>
      </c>
      <c r="T63" s="96">
        <v>-6630</v>
      </c>
      <c r="U63" s="34">
        <f t="shared" si="216"/>
        <v>-214</v>
      </c>
      <c r="V63" s="96">
        <v>204</v>
      </c>
      <c r="W63" s="96">
        <v>-120</v>
      </c>
      <c r="X63" s="96">
        <v>-12764</v>
      </c>
      <c r="Y63" s="34">
        <f t="shared" si="217"/>
        <v>-19154</v>
      </c>
      <c r="Z63" s="96">
        <v>-11221</v>
      </c>
      <c r="AA63" s="96">
        <v>-15552</v>
      </c>
      <c r="AB63" s="96">
        <v>-17613</v>
      </c>
      <c r="AC63" s="34">
        <f t="shared" si="218"/>
        <v>-14264</v>
      </c>
      <c r="AD63" s="96">
        <v>-2177</v>
      </c>
      <c r="AF63" s="34">
        <f>R63</f>
        <v>-4798</v>
      </c>
      <c r="AG63" s="34">
        <f>S63</f>
        <v>-3702</v>
      </c>
      <c r="AH63" s="34">
        <f>T63</f>
        <v>-6630</v>
      </c>
      <c r="AI63" s="34">
        <f>U63</f>
        <v>-214</v>
      </c>
      <c r="AJ63" s="34">
        <f>V63</f>
        <v>204</v>
      </c>
      <c r="AK63" s="34">
        <f>W63</f>
        <v>-120</v>
      </c>
      <c r="AL63" s="34">
        <f>X63</f>
        <v>-12764</v>
      </c>
      <c r="AM63" s="34">
        <f>Y63</f>
        <v>-19154</v>
      </c>
      <c r="AN63" s="34">
        <f>Z63</f>
        <v>-11221</v>
      </c>
      <c r="AO63" s="34">
        <f t="shared" si="219"/>
        <v>-15552</v>
      </c>
      <c r="AP63" s="34">
        <f>AB63</f>
        <v>-17613</v>
      </c>
      <c r="AQ63" s="34">
        <f>AC63</f>
        <v>-14264</v>
      </c>
      <c r="AR63" s="34">
        <f>AD63</f>
        <v>-2177</v>
      </c>
      <c r="AS63" s="12"/>
      <c r="AT63" s="87">
        <f t="shared" si="220"/>
        <v>-0.80598877105427325</v>
      </c>
    </row>
    <row r="64" spans="2:46" ht="12.75" customHeight="1">
      <c r="B64" s="10" t="s">
        <v>109</v>
      </c>
      <c r="C64" s="96">
        <v>634</v>
      </c>
      <c r="D64" s="96">
        <v>-150</v>
      </c>
      <c r="E64" s="96">
        <v>-3454</v>
      </c>
      <c r="F64" s="96">
        <v>-584</v>
      </c>
      <c r="G64" s="96">
        <v>-406</v>
      </c>
      <c r="H64" s="96">
        <v>163</v>
      </c>
      <c r="I64" s="96">
        <v>-11109</v>
      </c>
      <c r="J64" s="96">
        <v>-11452</v>
      </c>
      <c r="K64" s="96">
        <v>-7172</v>
      </c>
      <c r="L64" s="96">
        <v>-5571</v>
      </c>
      <c r="M64" s="34"/>
      <c r="N64" s="96">
        <v>-927</v>
      </c>
      <c r="O64" s="96">
        <v>-6494</v>
      </c>
      <c r="P64" s="96">
        <v>-9297</v>
      </c>
      <c r="Q64" s="34">
        <f t="shared" si="215"/>
        <v>-11109</v>
      </c>
      <c r="R64" s="96">
        <v>-12912</v>
      </c>
      <c r="S64" s="96">
        <v>-11746</v>
      </c>
      <c r="T64" s="96">
        <v>-11801</v>
      </c>
      <c r="U64" s="34">
        <f t="shared" si="216"/>
        <v>-11452</v>
      </c>
      <c r="V64" s="96">
        <v>-9378</v>
      </c>
      <c r="W64" s="96">
        <v>-8960</v>
      </c>
      <c r="X64" s="96">
        <v>-8416</v>
      </c>
      <c r="Y64" s="34">
        <f t="shared" si="217"/>
        <v>-7172</v>
      </c>
      <c r="Z64" s="96">
        <v>-6789</v>
      </c>
      <c r="AA64" s="96">
        <v>-6363</v>
      </c>
      <c r="AB64" s="96">
        <v>-6363</v>
      </c>
      <c r="AC64" s="34">
        <f t="shared" si="218"/>
        <v>-5571</v>
      </c>
      <c r="AD64" s="96">
        <v>-4854</v>
      </c>
      <c r="AF64" s="34">
        <f>R64</f>
        <v>-12912</v>
      </c>
      <c r="AG64" s="34">
        <f>S64</f>
        <v>-11746</v>
      </c>
      <c r="AH64" s="34">
        <f>T64</f>
        <v>-11801</v>
      </c>
      <c r="AI64" s="34">
        <f>U64</f>
        <v>-11452</v>
      </c>
      <c r="AJ64" s="34">
        <f>V64</f>
        <v>-9378</v>
      </c>
      <c r="AK64" s="34">
        <f>W64</f>
        <v>-8960</v>
      </c>
      <c r="AL64" s="34">
        <f>X64</f>
        <v>-8416</v>
      </c>
      <c r="AM64" s="34">
        <f>Y64</f>
        <v>-7172</v>
      </c>
      <c r="AN64" s="34">
        <f>Z64</f>
        <v>-6789</v>
      </c>
      <c r="AO64" s="34">
        <f t="shared" si="219"/>
        <v>-6363</v>
      </c>
      <c r="AP64" s="34">
        <f>AB64</f>
        <v>-6363</v>
      </c>
      <c r="AQ64" s="34">
        <f>AC64</f>
        <v>-5571</v>
      </c>
      <c r="AR64" s="34">
        <f>AD64</f>
        <v>-4854</v>
      </c>
      <c r="AS64" s="12"/>
      <c r="AT64" s="87">
        <f t="shared" si="220"/>
        <v>-0.28501988510826337</v>
      </c>
    </row>
    <row r="65" spans="1:46" ht="12.75" customHeight="1">
      <c r="B65" s="14" t="s">
        <v>17</v>
      </c>
      <c r="C65" s="15">
        <f t="shared" ref="C65:K65" si="221">SUM(C62:C64)</f>
        <v>128249</v>
      </c>
      <c r="D65" s="15">
        <f t="shared" si="221"/>
        <v>134047</v>
      </c>
      <c r="E65" s="15">
        <f t="shared" si="221"/>
        <v>107147</v>
      </c>
      <c r="F65" s="15">
        <f t="shared" si="221"/>
        <v>90488</v>
      </c>
      <c r="G65" s="15">
        <f t="shared" si="221"/>
        <v>65339</v>
      </c>
      <c r="H65" s="15">
        <f t="shared" si="221"/>
        <v>63090</v>
      </c>
      <c r="I65" s="15">
        <f t="shared" si="221"/>
        <v>50672</v>
      </c>
      <c r="J65" s="15">
        <f t="shared" si="221"/>
        <v>62146</v>
      </c>
      <c r="K65" s="15">
        <f t="shared" si="221"/>
        <v>56950</v>
      </c>
      <c r="L65" s="15">
        <f t="shared" ref="L65" si="222">SUM(L62:L64)</f>
        <v>73733</v>
      </c>
      <c r="M65" s="58"/>
      <c r="N65" s="15">
        <f t="shared" ref="N65:AB65" si="223">SUM(N62:N64)</f>
        <v>63894</v>
      </c>
      <c r="O65" s="15">
        <f t="shared" si="223"/>
        <v>59361</v>
      </c>
      <c r="P65" s="15">
        <f t="shared" si="223"/>
        <v>50069</v>
      </c>
      <c r="Q65" s="15">
        <f t="shared" si="223"/>
        <v>50672</v>
      </c>
      <c r="R65" s="15">
        <f t="shared" si="223"/>
        <v>48689</v>
      </c>
      <c r="S65" s="15">
        <f t="shared" si="223"/>
        <v>54120</v>
      </c>
      <c r="T65" s="15">
        <f t="shared" si="223"/>
        <v>52236</v>
      </c>
      <c r="U65" s="15">
        <f t="shared" si="223"/>
        <v>62146</v>
      </c>
      <c r="V65" s="15">
        <f t="shared" si="223"/>
        <v>66062</v>
      </c>
      <c r="W65" s="15">
        <f t="shared" si="223"/>
        <v>66156</v>
      </c>
      <c r="X65" s="15">
        <f t="shared" si="223"/>
        <v>58670</v>
      </c>
      <c r="Y65" s="15">
        <f t="shared" si="223"/>
        <v>56950</v>
      </c>
      <c r="Z65" s="15">
        <f t="shared" si="223"/>
        <v>66758</v>
      </c>
      <c r="AA65" s="15">
        <f t="shared" si="223"/>
        <v>66796</v>
      </c>
      <c r="AB65" s="15">
        <f t="shared" si="223"/>
        <v>65830</v>
      </c>
      <c r="AC65" s="15">
        <f t="shared" ref="AC65:AD65" si="224">SUM(AC62:AC64)</f>
        <v>73733</v>
      </c>
      <c r="AD65" s="15">
        <f t="shared" si="224"/>
        <v>88190</v>
      </c>
      <c r="AF65" s="15">
        <f t="shared" ref="AF65:AP65" si="225">SUM(AF62:AF64)</f>
        <v>48689</v>
      </c>
      <c r="AG65" s="15">
        <f t="shared" si="225"/>
        <v>54120</v>
      </c>
      <c r="AH65" s="15">
        <f t="shared" si="225"/>
        <v>52236</v>
      </c>
      <c r="AI65" s="15">
        <f t="shared" si="225"/>
        <v>62146</v>
      </c>
      <c r="AJ65" s="15">
        <f t="shared" si="225"/>
        <v>66062</v>
      </c>
      <c r="AK65" s="15">
        <f t="shared" si="225"/>
        <v>66156</v>
      </c>
      <c r="AL65" s="15">
        <f t="shared" si="225"/>
        <v>58670</v>
      </c>
      <c r="AM65" s="15">
        <f t="shared" si="225"/>
        <v>56950</v>
      </c>
      <c r="AN65" s="15">
        <f t="shared" si="225"/>
        <v>66758</v>
      </c>
      <c r="AO65" s="15">
        <f t="shared" si="225"/>
        <v>66796</v>
      </c>
      <c r="AP65" s="15">
        <f t="shared" si="225"/>
        <v>65830</v>
      </c>
      <c r="AQ65" s="15">
        <f t="shared" ref="AQ65:AR65" si="226">SUM(AQ62:AQ64)</f>
        <v>73733</v>
      </c>
      <c r="AR65" s="15">
        <f t="shared" si="226"/>
        <v>88190</v>
      </c>
      <c r="AS65" s="45"/>
      <c r="AT65" s="88">
        <f t="shared" si="220"/>
        <v>0.32104017496030446</v>
      </c>
    </row>
    <row r="66" spans="1:46" ht="12.75" customHeight="1">
      <c r="B66" s="27" t="s">
        <v>72</v>
      </c>
      <c r="C66" s="34">
        <f t="shared" ref="C66:K66" si="227">SUM(C65+C60)</f>
        <v>321686</v>
      </c>
      <c r="D66" s="34">
        <f t="shared" si="227"/>
        <v>375319</v>
      </c>
      <c r="E66" s="34">
        <f t="shared" si="227"/>
        <v>365725</v>
      </c>
      <c r="F66" s="34">
        <f t="shared" si="227"/>
        <v>338516</v>
      </c>
      <c r="G66" s="34">
        <f t="shared" si="227"/>
        <v>323888</v>
      </c>
      <c r="H66" s="34">
        <f t="shared" si="227"/>
        <v>351002</v>
      </c>
      <c r="I66" s="34">
        <f t="shared" si="227"/>
        <v>352755</v>
      </c>
      <c r="J66" s="34">
        <f t="shared" si="227"/>
        <v>352583</v>
      </c>
      <c r="K66" s="34">
        <f t="shared" si="227"/>
        <v>364980</v>
      </c>
      <c r="L66" s="34">
        <f t="shared" ref="L66" si="228">SUM(L65+L60)</f>
        <v>359241</v>
      </c>
      <c r="M66" s="34"/>
      <c r="N66" s="34">
        <f t="shared" ref="N66:AB66" si="229">SUM(N65+N60)</f>
        <v>373153</v>
      </c>
      <c r="O66" s="34">
        <f t="shared" si="229"/>
        <v>342624</v>
      </c>
      <c r="P66" s="34">
        <f t="shared" si="229"/>
        <v>328271</v>
      </c>
      <c r="Q66" s="34">
        <f t="shared" si="229"/>
        <v>352755</v>
      </c>
      <c r="R66" s="34">
        <f t="shared" si="229"/>
        <v>338709</v>
      </c>
      <c r="S66" s="34">
        <f t="shared" si="229"/>
        <v>324122</v>
      </c>
      <c r="T66" s="34">
        <f t="shared" si="229"/>
        <v>327000</v>
      </c>
      <c r="U66" s="34">
        <f t="shared" si="229"/>
        <v>352583</v>
      </c>
      <c r="V66" s="34">
        <f t="shared" si="229"/>
        <v>345476</v>
      </c>
      <c r="W66" s="34">
        <f t="shared" si="229"/>
        <v>329373</v>
      </c>
      <c r="X66" s="34">
        <f t="shared" si="229"/>
        <v>323574</v>
      </c>
      <c r="Y66" s="34">
        <f t="shared" si="229"/>
        <v>364980</v>
      </c>
      <c r="Z66" s="34">
        <f t="shared" si="229"/>
        <v>344085</v>
      </c>
      <c r="AA66" s="34">
        <f t="shared" si="229"/>
        <v>331233</v>
      </c>
      <c r="AB66" s="34">
        <f t="shared" si="229"/>
        <v>331495</v>
      </c>
      <c r="AC66" s="34">
        <f t="shared" ref="AC66:AD66" si="230">SUM(AC65+AC60)</f>
        <v>359241</v>
      </c>
      <c r="AD66" s="34">
        <f t="shared" si="230"/>
        <v>379297</v>
      </c>
      <c r="AE66" s="34"/>
      <c r="AF66" s="34">
        <f t="shared" ref="AF66:AP66" si="231">SUM(AF65+AF60)</f>
        <v>338709</v>
      </c>
      <c r="AG66" s="34">
        <f t="shared" si="231"/>
        <v>324122</v>
      </c>
      <c r="AH66" s="34">
        <f t="shared" si="231"/>
        <v>327000</v>
      </c>
      <c r="AI66" s="34">
        <f t="shared" si="231"/>
        <v>352583</v>
      </c>
      <c r="AJ66" s="34">
        <f t="shared" si="231"/>
        <v>345476</v>
      </c>
      <c r="AK66" s="34">
        <f t="shared" si="231"/>
        <v>329373</v>
      </c>
      <c r="AL66" s="34">
        <f t="shared" si="231"/>
        <v>323574</v>
      </c>
      <c r="AM66" s="34">
        <f t="shared" si="231"/>
        <v>364980</v>
      </c>
      <c r="AN66" s="34">
        <f t="shared" si="231"/>
        <v>344085</v>
      </c>
      <c r="AO66" s="34">
        <f t="shared" si="231"/>
        <v>331233</v>
      </c>
      <c r="AP66" s="34">
        <f t="shared" si="231"/>
        <v>331495</v>
      </c>
      <c r="AQ66" s="34">
        <f t="shared" ref="AQ66:AR66" si="232">SUM(AQ65+AQ60)</f>
        <v>359241</v>
      </c>
      <c r="AR66" s="34">
        <f t="shared" si="232"/>
        <v>379297</v>
      </c>
      <c r="AS66" s="12"/>
      <c r="AT66" s="88">
        <f t="shared" si="220"/>
        <v>0.10233517880756215</v>
      </c>
    </row>
    <row r="67" spans="1:46" ht="5.0999999999999996" customHeight="1">
      <c r="B67" s="27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12"/>
    </row>
    <row r="68" spans="1:46" ht="12.75" customHeight="1">
      <c r="B68" s="80" t="s">
        <v>84</v>
      </c>
      <c r="C68" s="81">
        <f t="shared" ref="C68:L68" si="233">C66-C49</f>
        <v>0</v>
      </c>
      <c r="D68" s="81">
        <f t="shared" si="233"/>
        <v>0</v>
      </c>
      <c r="E68" s="81">
        <f t="shared" si="233"/>
        <v>0</v>
      </c>
      <c r="F68" s="81">
        <f t="shared" si="233"/>
        <v>0</v>
      </c>
      <c r="G68" s="81">
        <f t="shared" si="233"/>
        <v>0</v>
      </c>
      <c r="H68" s="81">
        <f t="shared" si="233"/>
        <v>0</v>
      </c>
      <c r="I68" s="81">
        <f t="shared" si="233"/>
        <v>0</v>
      </c>
      <c r="J68" s="81">
        <f t="shared" si="233"/>
        <v>0</v>
      </c>
      <c r="K68" s="81">
        <f t="shared" si="233"/>
        <v>0</v>
      </c>
      <c r="L68" s="81">
        <f t="shared" si="233"/>
        <v>0</v>
      </c>
      <c r="M68" s="82"/>
      <c r="N68" s="81">
        <f t="shared" ref="N68:AC68" si="234">N66-N49</f>
        <v>0</v>
      </c>
      <c r="O68" s="81">
        <f t="shared" si="234"/>
        <v>0</v>
      </c>
      <c r="P68" s="81">
        <f t="shared" si="234"/>
        <v>0</v>
      </c>
      <c r="Q68" s="81">
        <f t="shared" si="234"/>
        <v>0</v>
      </c>
      <c r="R68" s="81">
        <f t="shared" si="234"/>
        <v>0</v>
      </c>
      <c r="S68" s="81">
        <f t="shared" si="234"/>
        <v>0</v>
      </c>
      <c r="T68" s="81">
        <f t="shared" si="234"/>
        <v>0</v>
      </c>
      <c r="U68" s="81">
        <f t="shared" si="234"/>
        <v>0</v>
      </c>
      <c r="V68" s="81">
        <f t="shared" si="234"/>
        <v>0</v>
      </c>
      <c r="W68" s="81">
        <f t="shared" si="234"/>
        <v>0</v>
      </c>
      <c r="X68" s="81">
        <f t="shared" si="234"/>
        <v>0</v>
      </c>
      <c r="Y68" s="81">
        <f t="shared" si="234"/>
        <v>0</v>
      </c>
      <c r="Z68" s="81">
        <f t="shared" si="234"/>
        <v>0</v>
      </c>
      <c r="AA68" s="81">
        <f t="shared" si="234"/>
        <v>0</v>
      </c>
      <c r="AB68" s="81">
        <f t="shared" si="234"/>
        <v>0</v>
      </c>
      <c r="AC68" s="81">
        <f t="shared" si="234"/>
        <v>0</v>
      </c>
      <c r="AD68" s="81">
        <f t="shared" ref="AD68" si="235">AD66-AD49</f>
        <v>0</v>
      </c>
      <c r="AE68" s="30"/>
      <c r="AF68" s="81">
        <f t="shared" ref="AF68:AQ68" si="236">AF66-AF49</f>
        <v>0</v>
      </c>
      <c r="AG68" s="81">
        <f t="shared" si="236"/>
        <v>0</v>
      </c>
      <c r="AH68" s="81">
        <f t="shared" si="236"/>
        <v>0</v>
      </c>
      <c r="AI68" s="81">
        <f t="shared" si="236"/>
        <v>0</v>
      </c>
      <c r="AJ68" s="81">
        <f t="shared" si="236"/>
        <v>0</v>
      </c>
      <c r="AK68" s="81">
        <f t="shared" si="236"/>
        <v>0</v>
      </c>
      <c r="AL68" s="81">
        <f t="shared" si="236"/>
        <v>0</v>
      </c>
      <c r="AM68" s="81">
        <f t="shared" si="236"/>
        <v>0</v>
      </c>
      <c r="AN68" s="81">
        <f t="shared" si="236"/>
        <v>0</v>
      </c>
      <c r="AO68" s="81">
        <f t="shared" si="236"/>
        <v>0</v>
      </c>
      <c r="AP68" s="81">
        <f t="shared" si="236"/>
        <v>0</v>
      </c>
      <c r="AQ68" s="81">
        <f t="shared" si="236"/>
        <v>0</v>
      </c>
      <c r="AR68" s="81">
        <f t="shared" ref="AR68" si="237">AR66-AR49</f>
        <v>0</v>
      </c>
    </row>
    <row r="69" spans="1:46">
      <c r="B69" s="78"/>
      <c r="C69" s="79"/>
      <c r="D69" s="79"/>
      <c r="E69" s="79"/>
      <c r="F69" s="79"/>
      <c r="G69" s="79"/>
      <c r="H69" s="59"/>
      <c r="I69" s="26"/>
      <c r="J69" s="26"/>
      <c r="K69" s="26"/>
      <c r="L69" s="26"/>
      <c r="M69" s="59"/>
    </row>
    <row r="70" spans="1:46" ht="12.75" customHeight="1">
      <c r="A70" s="5" t="s">
        <v>19</v>
      </c>
      <c r="B70" s="115" t="s">
        <v>16</v>
      </c>
      <c r="C70" s="119" t="s">
        <v>0</v>
      </c>
      <c r="D70" s="119"/>
      <c r="E70" s="119"/>
      <c r="F70" s="119"/>
      <c r="G70" s="119"/>
      <c r="H70" s="119"/>
      <c r="I70" s="119"/>
      <c r="J70" s="119" t="s">
        <v>0</v>
      </c>
      <c r="K70" s="119"/>
      <c r="L70" s="119"/>
      <c r="M70" s="120"/>
      <c r="N70" s="119" t="s">
        <v>1</v>
      </c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 t="s">
        <v>1</v>
      </c>
      <c r="Z70" s="119"/>
      <c r="AA70" s="119"/>
      <c r="AB70" s="119"/>
      <c r="AC70" s="119"/>
      <c r="AD70" s="119"/>
      <c r="AE70" s="115"/>
      <c r="AF70" s="119"/>
      <c r="AG70" s="119"/>
      <c r="AH70" s="119"/>
      <c r="AI70" s="119"/>
      <c r="AJ70" s="119"/>
      <c r="AK70" s="119"/>
      <c r="AL70" s="119" t="s">
        <v>10</v>
      </c>
      <c r="AM70" s="119"/>
      <c r="AN70" s="119"/>
      <c r="AO70" s="119"/>
      <c r="AP70" s="119"/>
      <c r="AQ70" s="119"/>
      <c r="AR70" s="119"/>
      <c r="AS70" s="120"/>
      <c r="AT70" s="156" t="s">
        <v>25</v>
      </c>
    </row>
    <row r="71" spans="1:46" ht="12.75" customHeight="1">
      <c r="B71" s="116" t="str">
        <f t="shared" ref="B71:L71" si="238">B7</f>
        <v>Fiscal Period</v>
      </c>
      <c r="C71" s="121">
        <f t="shared" si="238"/>
        <v>2016</v>
      </c>
      <c r="D71" s="121">
        <f t="shared" si="238"/>
        <v>2017</v>
      </c>
      <c r="E71" s="121">
        <f t="shared" si="238"/>
        <v>2018</v>
      </c>
      <c r="F71" s="121">
        <f t="shared" si="238"/>
        <v>2019</v>
      </c>
      <c r="G71" s="121">
        <f t="shared" si="238"/>
        <v>2020</v>
      </c>
      <c r="H71" s="121">
        <f t="shared" si="238"/>
        <v>2021</v>
      </c>
      <c r="I71" s="121">
        <f t="shared" si="238"/>
        <v>2022</v>
      </c>
      <c r="J71" s="121">
        <f t="shared" si="238"/>
        <v>2023</v>
      </c>
      <c r="K71" s="121">
        <f t="shared" si="238"/>
        <v>2024</v>
      </c>
      <c r="L71" s="121">
        <f t="shared" si="238"/>
        <v>2025</v>
      </c>
      <c r="M71" s="120"/>
      <c r="N71" s="121" t="str">
        <f t="shared" ref="N71:AC71" si="239">N7</f>
        <v>1Q22</v>
      </c>
      <c r="O71" s="121" t="str">
        <f t="shared" si="239"/>
        <v>2Q22</v>
      </c>
      <c r="P71" s="121" t="str">
        <f t="shared" si="239"/>
        <v>3Q22</v>
      </c>
      <c r="Q71" s="121" t="str">
        <f t="shared" si="239"/>
        <v>4Q22</v>
      </c>
      <c r="R71" s="121" t="str">
        <f t="shared" si="239"/>
        <v>1Q23</v>
      </c>
      <c r="S71" s="121" t="str">
        <f t="shared" si="239"/>
        <v>2Q23</v>
      </c>
      <c r="T71" s="121" t="str">
        <f t="shared" si="239"/>
        <v>3Q23</v>
      </c>
      <c r="U71" s="121" t="str">
        <f t="shared" si="239"/>
        <v>4Q23</v>
      </c>
      <c r="V71" s="121" t="str">
        <f t="shared" si="239"/>
        <v>1Q24</v>
      </c>
      <c r="W71" s="121" t="str">
        <f t="shared" si="239"/>
        <v>2Q24</v>
      </c>
      <c r="X71" s="121" t="str">
        <f t="shared" si="239"/>
        <v>3Q24</v>
      </c>
      <c r="Y71" s="121" t="str">
        <f t="shared" si="239"/>
        <v>4Q24</v>
      </c>
      <c r="Z71" s="121" t="str">
        <f t="shared" si="239"/>
        <v>1Q25</v>
      </c>
      <c r="AA71" s="121" t="str">
        <f t="shared" si="239"/>
        <v>2Q25</v>
      </c>
      <c r="AB71" s="121" t="str">
        <f t="shared" si="239"/>
        <v>3Q25</v>
      </c>
      <c r="AC71" s="121" t="str">
        <f t="shared" si="239"/>
        <v>4Q25</v>
      </c>
      <c r="AD71" s="121" t="str">
        <f t="shared" ref="AD71" si="240">AD7</f>
        <v>1Q26</v>
      </c>
      <c r="AE71" s="121"/>
      <c r="AF71" s="121" t="str">
        <f t="shared" ref="AF71:AQ71" si="241">AF7</f>
        <v>1Q23</v>
      </c>
      <c r="AG71" s="121" t="str">
        <f t="shared" si="241"/>
        <v>2Q23</v>
      </c>
      <c r="AH71" s="121" t="str">
        <f t="shared" si="241"/>
        <v>3Q23</v>
      </c>
      <c r="AI71" s="121" t="str">
        <f t="shared" si="241"/>
        <v>4Q23</v>
      </c>
      <c r="AJ71" s="121" t="str">
        <f t="shared" si="241"/>
        <v>1Q24</v>
      </c>
      <c r="AK71" s="121" t="str">
        <f t="shared" si="241"/>
        <v>2Q24</v>
      </c>
      <c r="AL71" s="121" t="str">
        <f t="shared" si="241"/>
        <v>3Q24</v>
      </c>
      <c r="AM71" s="121" t="str">
        <f t="shared" si="241"/>
        <v>4Q24</v>
      </c>
      <c r="AN71" s="121" t="str">
        <f t="shared" si="241"/>
        <v>1Q25</v>
      </c>
      <c r="AO71" s="121" t="str">
        <f t="shared" si="241"/>
        <v>2Q25</v>
      </c>
      <c r="AP71" s="121" t="str">
        <f t="shared" si="241"/>
        <v>3Q25</v>
      </c>
      <c r="AQ71" s="121" t="str">
        <f t="shared" si="241"/>
        <v>4Q25</v>
      </c>
      <c r="AR71" s="121" t="str">
        <f t="shared" ref="AR71" si="242">AR7</f>
        <v>1Q26</v>
      </c>
      <c r="AS71" s="120"/>
      <c r="AT71" s="156"/>
    </row>
    <row r="72" spans="1:46" ht="12.75" customHeight="1">
      <c r="B72" s="116" t="str">
        <f t="shared" ref="B72:L72" si="243">B8</f>
        <v>Fiscal Period End Date</v>
      </c>
      <c r="C72" s="122">
        <f t="shared" si="243"/>
        <v>42643</v>
      </c>
      <c r="D72" s="122">
        <f t="shared" si="243"/>
        <v>43008</v>
      </c>
      <c r="E72" s="122">
        <f t="shared" si="243"/>
        <v>43372</v>
      </c>
      <c r="F72" s="122">
        <f t="shared" si="243"/>
        <v>43737</v>
      </c>
      <c r="G72" s="122">
        <f t="shared" si="243"/>
        <v>44104</v>
      </c>
      <c r="H72" s="122">
        <f t="shared" si="243"/>
        <v>44469</v>
      </c>
      <c r="I72" s="122">
        <f t="shared" si="243"/>
        <v>44834</v>
      </c>
      <c r="J72" s="122">
        <f t="shared" si="243"/>
        <v>45192</v>
      </c>
      <c r="K72" s="122">
        <f t="shared" si="243"/>
        <v>45559</v>
      </c>
      <c r="L72" s="122">
        <f t="shared" si="243"/>
        <v>45927</v>
      </c>
      <c r="M72" s="120"/>
      <c r="N72" s="122">
        <f t="shared" ref="N72:AC72" si="244">N8</f>
        <v>44560</v>
      </c>
      <c r="O72" s="122">
        <f t="shared" si="244"/>
        <v>44650</v>
      </c>
      <c r="P72" s="122">
        <f t="shared" si="244"/>
        <v>44742</v>
      </c>
      <c r="Q72" s="122">
        <f t="shared" si="244"/>
        <v>44834</v>
      </c>
      <c r="R72" s="122">
        <f t="shared" si="244"/>
        <v>44917</v>
      </c>
      <c r="S72" s="122">
        <f t="shared" si="244"/>
        <v>45008</v>
      </c>
      <c r="T72" s="122">
        <f t="shared" si="244"/>
        <v>45100</v>
      </c>
      <c r="U72" s="122">
        <f t="shared" si="244"/>
        <v>45192</v>
      </c>
      <c r="V72" s="122">
        <f t="shared" si="244"/>
        <v>45283</v>
      </c>
      <c r="W72" s="122">
        <f t="shared" si="244"/>
        <v>45375</v>
      </c>
      <c r="X72" s="122">
        <f t="shared" si="244"/>
        <v>45467</v>
      </c>
      <c r="Y72" s="122">
        <f t="shared" si="244"/>
        <v>45559</v>
      </c>
      <c r="Z72" s="122">
        <f t="shared" si="244"/>
        <v>45650</v>
      </c>
      <c r="AA72" s="122">
        <f t="shared" si="244"/>
        <v>45741</v>
      </c>
      <c r="AB72" s="122">
        <f t="shared" si="244"/>
        <v>45833</v>
      </c>
      <c r="AC72" s="122">
        <f t="shared" si="244"/>
        <v>45927</v>
      </c>
      <c r="AD72" s="122">
        <f t="shared" ref="AD72" si="245">AD8</f>
        <v>46018</v>
      </c>
      <c r="AE72" s="122"/>
      <c r="AF72" s="122">
        <f t="shared" ref="AF72:AQ72" si="246">AF8</f>
        <v>44917</v>
      </c>
      <c r="AG72" s="122">
        <f t="shared" si="246"/>
        <v>45008</v>
      </c>
      <c r="AH72" s="122">
        <f t="shared" si="246"/>
        <v>45100</v>
      </c>
      <c r="AI72" s="122">
        <f t="shared" si="246"/>
        <v>45192</v>
      </c>
      <c r="AJ72" s="122">
        <f t="shared" si="246"/>
        <v>45283</v>
      </c>
      <c r="AK72" s="122">
        <f t="shared" si="246"/>
        <v>45375</v>
      </c>
      <c r="AL72" s="122">
        <f t="shared" si="246"/>
        <v>45467</v>
      </c>
      <c r="AM72" s="122">
        <f t="shared" si="246"/>
        <v>45559</v>
      </c>
      <c r="AN72" s="122">
        <f t="shared" si="246"/>
        <v>45650</v>
      </c>
      <c r="AO72" s="122">
        <f t="shared" si="246"/>
        <v>45741</v>
      </c>
      <c r="AP72" s="122">
        <f t="shared" si="246"/>
        <v>45833</v>
      </c>
      <c r="AQ72" s="122">
        <f t="shared" si="246"/>
        <v>45927</v>
      </c>
      <c r="AR72" s="122">
        <f t="shared" ref="AR72" si="247">AR8</f>
        <v>46018</v>
      </c>
      <c r="AS72" s="120"/>
      <c r="AT72" s="156"/>
    </row>
    <row r="73" spans="1:46" ht="5.0999999999999996" customHeight="1">
      <c r="B73" s="60"/>
      <c r="C73" s="53"/>
      <c r="D73" s="53"/>
      <c r="E73" s="53"/>
      <c r="F73" s="53"/>
      <c r="G73" s="53"/>
      <c r="H73" s="53"/>
      <c r="I73" s="53"/>
      <c r="J73" s="53"/>
      <c r="K73" s="53"/>
      <c r="L73" s="53"/>
    </row>
    <row r="74" spans="1:46" ht="12.75" customHeight="1">
      <c r="B74" s="61" t="s">
        <v>73</v>
      </c>
      <c r="C74" s="62"/>
      <c r="D74" s="62"/>
      <c r="E74" s="62"/>
      <c r="F74" s="62"/>
      <c r="G74" s="62"/>
      <c r="H74" s="62"/>
      <c r="I74" s="62"/>
      <c r="J74" s="62"/>
      <c r="K74" s="62"/>
      <c r="L74" s="62"/>
    </row>
    <row r="75" spans="1:46" ht="12.75" customHeight="1">
      <c r="B75" s="63" t="s">
        <v>74</v>
      </c>
      <c r="C75" s="96">
        <f t="shared" ref="C75:L75" si="248">C26</f>
        <v>45687</v>
      </c>
      <c r="D75" s="34">
        <f t="shared" si="248"/>
        <v>48351</v>
      </c>
      <c r="E75" s="34">
        <f t="shared" si="248"/>
        <v>59531</v>
      </c>
      <c r="F75" s="34">
        <f t="shared" si="248"/>
        <v>55256</v>
      </c>
      <c r="G75" s="34">
        <f t="shared" si="248"/>
        <v>57411</v>
      </c>
      <c r="H75" s="34">
        <f t="shared" si="248"/>
        <v>94680</v>
      </c>
      <c r="I75" s="34">
        <f t="shared" si="248"/>
        <v>99803</v>
      </c>
      <c r="J75" s="34">
        <f t="shared" si="248"/>
        <v>96995</v>
      </c>
      <c r="K75" s="34">
        <f t="shared" si="248"/>
        <v>93736</v>
      </c>
      <c r="L75" s="34">
        <f t="shared" si="248"/>
        <v>112010</v>
      </c>
      <c r="M75" s="34"/>
      <c r="N75" s="34">
        <f t="shared" ref="N75:AC75" si="249">N26</f>
        <v>34630</v>
      </c>
      <c r="O75" s="34">
        <f t="shared" si="249"/>
        <v>25010</v>
      </c>
      <c r="P75" s="34">
        <f t="shared" si="249"/>
        <v>19442</v>
      </c>
      <c r="Q75" s="34">
        <f t="shared" si="249"/>
        <v>20721</v>
      </c>
      <c r="R75" s="34">
        <f t="shared" si="249"/>
        <v>29998</v>
      </c>
      <c r="S75" s="34">
        <f t="shared" si="249"/>
        <v>24160</v>
      </c>
      <c r="T75" s="34">
        <f t="shared" si="249"/>
        <v>19881</v>
      </c>
      <c r="U75" s="34">
        <f t="shared" si="249"/>
        <v>22956</v>
      </c>
      <c r="V75" s="34">
        <f t="shared" si="249"/>
        <v>33916</v>
      </c>
      <c r="W75" s="34">
        <f t="shared" si="249"/>
        <v>23636</v>
      </c>
      <c r="X75" s="34">
        <f t="shared" si="249"/>
        <v>21448</v>
      </c>
      <c r="Y75" s="34">
        <f t="shared" si="249"/>
        <v>14736</v>
      </c>
      <c r="Z75" s="34">
        <f t="shared" si="249"/>
        <v>36330</v>
      </c>
      <c r="AA75" s="34">
        <f t="shared" si="249"/>
        <v>24780</v>
      </c>
      <c r="AB75" s="34">
        <f t="shared" si="249"/>
        <v>23434</v>
      </c>
      <c r="AC75" s="34">
        <f t="shared" si="249"/>
        <v>27466</v>
      </c>
      <c r="AD75" s="34">
        <f t="shared" ref="AD75" si="250">AD26</f>
        <v>42097</v>
      </c>
      <c r="AF75" s="34">
        <f>SUM(O75:R75)</f>
        <v>95171</v>
      </c>
      <c r="AG75" s="34">
        <f>SUM(P75:S75)</f>
        <v>94321</v>
      </c>
      <c r="AH75" s="34">
        <f>SUM(Q75:T75)</f>
        <v>94760</v>
      </c>
      <c r="AI75" s="34">
        <f>SUM(R75:U75)</f>
        <v>96995</v>
      </c>
      <c r="AJ75" s="34">
        <f>SUM(S75:V75)</f>
        <v>100913</v>
      </c>
      <c r="AK75" s="34">
        <f>SUM(T75:W75)</f>
        <v>100389</v>
      </c>
      <c r="AL75" s="34">
        <f>SUM(U75:X75)</f>
        <v>101956</v>
      </c>
      <c r="AM75" s="34">
        <f>SUM(V75:Y75)</f>
        <v>93736</v>
      </c>
      <c r="AN75" s="34">
        <f>SUM(W75:Z75)</f>
        <v>96150</v>
      </c>
      <c r="AO75" s="34">
        <f>SUM(X75:AA75)</f>
        <v>97294</v>
      </c>
      <c r="AP75" s="34">
        <f>SUM(Y75:AB75)</f>
        <v>99280</v>
      </c>
      <c r="AQ75" s="34">
        <f>SUM(Z75:AC75)</f>
        <v>112010</v>
      </c>
      <c r="AR75" s="34">
        <f>SUM(AA75:AD75)</f>
        <v>117777</v>
      </c>
      <c r="AS75" s="12"/>
      <c r="AT75" s="87">
        <f t="shared" ref="AT75" si="251">SUM(AR75/AN75)-1</f>
        <v>0.22492979719188777</v>
      </c>
    </row>
    <row r="76" spans="1:46" ht="5.0999999999999996" customHeight="1">
      <c r="C76" s="96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12"/>
      <c r="AT76" s="87"/>
    </row>
    <row r="77" spans="1:46" ht="12.75" customHeight="1">
      <c r="B77" s="39" t="s">
        <v>82</v>
      </c>
      <c r="C77" s="96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65"/>
      <c r="AT77" s="87"/>
    </row>
    <row r="78" spans="1:46" ht="12.75" customHeight="1">
      <c r="B78" s="66" t="s">
        <v>111</v>
      </c>
      <c r="C78" s="96">
        <v>10505</v>
      </c>
      <c r="D78" s="96">
        <v>10157</v>
      </c>
      <c r="E78" s="96">
        <v>10903</v>
      </c>
      <c r="F78" s="96">
        <v>12547</v>
      </c>
      <c r="G78" s="96">
        <v>11056</v>
      </c>
      <c r="H78" s="96">
        <v>11284</v>
      </c>
      <c r="I78" s="96">
        <v>11104</v>
      </c>
      <c r="J78" s="96">
        <v>11519</v>
      </c>
      <c r="K78" s="96">
        <v>11445</v>
      </c>
      <c r="L78" s="96">
        <v>11698</v>
      </c>
      <c r="M78" s="34"/>
      <c r="N78" s="96">
        <v>2697</v>
      </c>
      <c r="O78" s="96">
        <f>5434-N78</f>
        <v>2737</v>
      </c>
      <c r="P78" s="96">
        <f>8239-SUM(N78:O78)</f>
        <v>2805</v>
      </c>
      <c r="Q78" s="34">
        <f t="shared" ref="Q78:Q81" si="252">SUM(I78-SUM(N78:P78))</f>
        <v>2865</v>
      </c>
      <c r="R78" s="96">
        <v>2916</v>
      </c>
      <c r="S78" s="96">
        <f>5814-R78</f>
        <v>2898</v>
      </c>
      <c r="T78" s="158">
        <f>8866-S78-R78</f>
        <v>3052</v>
      </c>
      <c r="U78" s="34">
        <f t="shared" ref="U78:U81" si="253">SUM(J78-SUM(R78:T78))</f>
        <v>2653</v>
      </c>
      <c r="V78" s="96">
        <v>2848</v>
      </c>
      <c r="W78" s="96">
        <f>5684-V78</f>
        <v>2836</v>
      </c>
      <c r="X78" s="96">
        <f>8534-W78-V78</f>
        <v>2850</v>
      </c>
      <c r="Y78" s="34">
        <f t="shared" ref="Y78:Y81" si="254">SUM(K78-SUM(V78:X78))</f>
        <v>2911</v>
      </c>
      <c r="Z78" s="96">
        <v>3080</v>
      </c>
      <c r="AA78" s="96">
        <f>5741-Z78</f>
        <v>2661</v>
      </c>
      <c r="AB78" s="96">
        <f>8571-AA78-Z78</f>
        <v>2830</v>
      </c>
      <c r="AC78" s="34">
        <f t="shared" ref="AC78:AC81" si="255">SUM(L78-SUM(Z78:AB78))</f>
        <v>3127</v>
      </c>
      <c r="AD78" s="96">
        <v>3214</v>
      </c>
      <c r="AF78" s="34">
        <f>SUM(O78:R78)</f>
        <v>11323</v>
      </c>
      <c r="AG78" s="34">
        <f>SUM(P78:S78)</f>
        <v>11484</v>
      </c>
      <c r="AH78" s="34">
        <f>SUM(Q78:T78)</f>
        <v>11731</v>
      </c>
      <c r="AI78" s="34">
        <f>SUM(R78:U78)</f>
        <v>11519</v>
      </c>
      <c r="AJ78" s="34">
        <f>SUM(S78:V78)</f>
        <v>11451</v>
      </c>
      <c r="AK78" s="34">
        <f>SUM(T78:W78)</f>
        <v>11389</v>
      </c>
      <c r="AL78" s="34">
        <f>SUM(U78:X78)</f>
        <v>11187</v>
      </c>
      <c r="AM78" s="34">
        <f>SUM(V78:Y78)</f>
        <v>11445</v>
      </c>
      <c r="AN78" s="34">
        <f>SUM(W78:Z78)</f>
        <v>11677</v>
      </c>
      <c r="AO78" s="34">
        <f>SUM(X78:AA78)</f>
        <v>11502</v>
      </c>
      <c r="AP78" s="34">
        <f>SUM(Y78:AB78)</f>
        <v>11482</v>
      </c>
      <c r="AQ78" s="34">
        <f>SUM(Z78:AC78)</f>
        <v>11698</v>
      </c>
      <c r="AR78" s="34">
        <f>SUM(AA78:AD78)</f>
        <v>11832</v>
      </c>
      <c r="AS78" s="12"/>
      <c r="AT78" s="87">
        <f t="shared" ref="AT78:AT81" si="256">SUM(AR78/AN78)-1</f>
        <v>1.3273957352059496E-2</v>
      </c>
    </row>
    <row r="79" spans="1:46" ht="12.75" customHeight="1">
      <c r="B79" s="66" t="s">
        <v>112</v>
      </c>
      <c r="C79" s="96">
        <v>4210</v>
      </c>
      <c r="D79" s="96">
        <v>4840</v>
      </c>
      <c r="E79" s="96">
        <v>5340</v>
      </c>
      <c r="F79" s="96">
        <v>6068</v>
      </c>
      <c r="G79" s="96">
        <v>6829</v>
      </c>
      <c r="H79" s="96">
        <v>7906</v>
      </c>
      <c r="I79" s="96">
        <v>9038</v>
      </c>
      <c r="J79" s="96">
        <v>10833</v>
      </c>
      <c r="K79" s="96">
        <v>11688</v>
      </c>
      <c r="L79" s="96">
        <v>12863</v>
      </c>
      <c r="M79" s="34"/>
      <c r="N79" s="96">
        <v>2265</v>
      </c>
      <c r="O79" s="96">
        <f>4517-N79</f>
        <v>2252</v>
      </c>
      <c r="P79" s="96">
        <f>6760-SUM(N79:O79)</f>
        <v>2243</v>
      </c>
      <c r="Q79" s="34">
        <f t="shared" si="252"/>
        <v>2278</v>
      </c>
      <c r="R79" s="96">
        <v>2905</v>
      </c>
      <c r="S79" s="96">
        <f>5591-R79</f>
        <v>2686</v>
      </c>
      <c r="T79" s="158">
        <f>8208-S79-R79</f>
        <v>2617</v>
      </c>
      <c r="U79" s="34">
        <f t="shared" si="253"/>
        <v>2625</v>
      </c>
      <c r="V79" s="96">
        <v>2997</v>
      </c>
      <c r="W79" s="96">
        <f>5961-V79+3</f>
        <v>2967</v>
      </c>
      <c r="X79" s="96">
        <f>8830-W79-V79</f>
        <v>2866</v>
      </c>
      <c r="Y79" s="34">
        <f t="shared" si="254"/>
        <v>2858</v>
      </c>
      <c r="Z79" s="96">
        <v>3286</v>
      </c>
      <c r="AA79" s="96">
        <f>6512-Z79</f>
        <v>3226</v>
      </c>
      <c r="AB79" s="96">
        <f>9680-AA79-Z79</f>
        <v>3168</v>
      </c>
      <c r="AC79" s="34">
        <f t="shared" si="255"/>
        <v>3183</v>
      </c>
      <c r="AD79" s="96">
        <v>3594</v>
      </c>
      <c r="AF79" s="34">
        <f>SUM(O79:R79)</f>
        <v>9678</v>
      </c>
      <c r="AG79" s="34">
        <f>SUM(P79:S79)</f>
        <v>10112</v>
      </c>
      <c r="AH79" s="34">
        <f>SUM(Q79:T79)</f>
        <v>10486</v>
      </c>
      <c r="AI79" s="34">
        <f>SUM(R79:U79)</f>
        <v>10833</v>
      </c>
      <c r="AJ79" s="34">
        <f>SUM(S79:V79)</f>
        <v>10925</v>
      </c>
      <c r="AK79" s="34">
        <f>SUM(T79:W79)</f>
        <v>11206</v>
      </c>
      <c r="AL79" s="34">
        <f>SUM(U79:X79)</f>
        <v>11455</v>
      </c>
      <c r="AM79" s="34">
        <f>SUM(V79:Y79)</f>
        <v>11688</v>
      </c>
      <c r="AN79" s="34">
        <f>SUM(W79:Z79)</f>
        <v>11977</v>
      </c>
      <c r="AO79" s="34">
        <f>SUM(X79:AA79)</f>
        <v>12236</v>
      </c>
      <c r="AP79" s="34">
        <f>SUM(Y79:AB79)</f>
        <v>12538</v>
      </c>
      <c r="AQ79" s="34">
        <f>SUM(Z79:AC79)</f>
        <v>12863</v>
      </c>
      <c r="AR79" s="34">
        <f>SUM(AA79:AD79)</f>
        <v>13171</v>
      </c>
      <c r="AS79" s="12"/>
      <c r="AT79" s="87">
        <f t="shared" si="256"/>
        <v>9.969107455957249E-2</v>
      </c>
    </row>
    <row r="80" spans="1:46" ht="12.75" customHeight="1">
      <c r="B80" s="66" t="s">
        <v>113</v>
      </c>
      <c r="C80" s="96">
        <v>4938</v>
      </c>
      <c r="D80" s="96">
        <v>5966</v>
      </c>
      <c r="E80" s="96">
        <v>-32590</v>
      </c>
      <c r="F80" s="96">
        <v>-340</v>
      </c>
      <c r="G80" s="96">
        <v>-215</v>
      </c>
      <c r="H80" s="96">
        <v>-4774</v>
      </c>
      <c r="I80" s="96">
        <v>895</v>
      </c>
      <c r="J80" s="96">
        <v>0</v>
      </c>
      <c r="K80" s="96">
        <v>0</v>
      </c>
      <c r="L80" s="96">
        <v>0</v>
      </c>
      <c r="M80" s="34"/>
      <c r="N80" s="96">
        <v>682</v>
      </c>
      <c r="O80" s="96">
        <f>1088-N80</f>
        <v>406</v>
      </c>
      <c r="P80" s="96">
        <f>2756-SUM(N80:O80)</f>
        <v>1668</v>
      </c>
      <c r="Q80" s="34">
        <f t="shared" si="252"/>
        <v>-1861</v>
      </c>
      <c r="R80" s="96">
        <v>0</v>
      </c>
      <c r="S80" s="96">
        <f t="shared" ref="S80" si="257">R80</f>
        <v>0</v>
      </c>
      <c r="T80" s="158">
        <v>0</v>
      </c>
      <c r="U80" s="34">
        <f t="shared" si="253"/>
        <v>0</v>
      </c>
      <c r="V80" s="96">
        <f t="shared" ref="V80" si="258">U80</f>
        <v>0</v>
      </c>
      <c r="W80" s="96">
        <v>0</v>
      </c>
      <c r="X80" s="96">
        <v>0</v>
      </c>
      <c r="Y80" s="34">
        <f t="shared" si="254"/>
        <v>0</v>
      </c>
      <c r="Z80" s="96">
        <f t="shared" ref="Z80:AA80" si="259">Y80</f>
        <v>0</v>
      </c>
      <c r="AA80" s="96">
        <f t="shared" si="259"/>
        <v>0</v>
      </c>
      <c r="AB80" s="96">
        <v>0</v>
      </c>
      <c r="AC80" s="34">
        <f t="shared" si="255"/>
        <v>0</v>
      </c>
      <c r="AD80" s="96">
        <v>0</v>
      </c>
      <c r="AF80" s="34">
        <f>SUM(O80:R80)</f>
        <v>213</v>
      </c>
      <c r="AG80" s="34">
        <f>SUM(P80:S80)</f>
        <v>-193</v>
      </c>
      <c r="AH80" s="34">
        <f>SUM(Q80:T80)</f>
        <v>-1861</v>
      </c>
      <c r="AI80" s="34">
        <f>SUM(R80:U80)</f>
        <v>0</v>
      </c>
      <c r="AJ80" s="34">
        <f>SUM(S80:V80)</f>
        <v>0</v>
      </c>
      <c r="AK80" s="34">
        <f>SUM(T80:W80)</f>
        <v>0</v>
      </c>
      <c r="AL80" s="34">
        <f>SUM(U80:X80)</f>
        <v>0</v>
      </c>
      <c r="AM80" s="34">
        <f>SUM(V80:Y80)</f>
        <v>0</v>
      </c>
      <c r="AN80" s="34">
        <f>SUM(W80:Z80)</f>
        <v>0</v>
      </c>
      <c r="AO80" s="34">
        <f>SUM(X80:AA80)</f>
        <v>0</v>
      </c>
      <c r="AP80" s="34">
        <f>SUM(Y80:AB80)</f>
        <v>0</v>
      </c>
      <c r="AQ80" s="34">
        <f>SUM(Z80:AC80)</f>
        <v>0</v>
      </c>
      <c r="AR80" s="34">
        <f>SUM(AA80:AD80)</f>
        <v>0</v>
      </c>
      <c r="AS80" s="12"/>
      <c r="AT80" s="87" t="e">
        <f t="shared" si="256"/>
        <v>#DIV/0!</v>
      </c>
    </row>
    <row r="81" spans="2:46" ht="12.75" customHeight="1">
      <c r="B81" s="66" t="s">
        <v>83</v>
      </c>
      <c r="C81" s="96">
        <v>0</v>
      </c>
      <c r="D81" s="96">
        <v>-166</v>
      </c>
      <c r="E81" s="96">
        <v>-444</v>
      </c>
      <c r="F81" s="96">
        <v>-652</v>
      </c>
      <c r="G81" s="96">
        <v>-97</v>
      </c>
      <c r="H81" s="96">
        <v>-147</v>
      </c>
      <c r="I81" s="96">
        <v>111</v>
      </c>
      <c r="J81" s="96">
        <v>-2227</v>
      </c>
      <c r="K81" s="96">
        <v>-2266</v>
      </c>
      <c r="L81" s="96">
        <v>-89</v>
      </c>
      <c r="M81" s="34"/>
      <c r="N81" s="96">
        <v>167</v>
      </c>
      <c r="O81" s="96">
        <f>-20-N81</f>
        <v>-187</v>
      </c>
      <c r="P81" s="96">
        <f>-61-SUM(N81:O81)</f>
        <v>-41</v>
      </c>
      <c r="Q81" s="34">
        <f t="shared" si="252"/>
        <v>172</v>
      </c>
      <c r="R81" s="96">
        <v>-317</v>
      </c>
      <c r="S81" s="96">
        <f>-1732-R81</f>
        <v>-1415</v>
      </c>
      <c r="T81" s="158">
        <f>-1651-S81-R81</f>
        <v>81</v>
      </c>
      <c r="U81" s="34">
        <f t="shared" si="253"/>
        <v>-576</v>
      </c>
      <c r="V81" s="96">
        <v>-989</v>
      </c>
      <c r="W81" s="96">
        <f>-1971-V81</f>
        <v>-982</v>
      </c>
      <c r="X81" s="96">
        <f>-1964-W81-V81</f>
        <v>7</v>
      </c>
      <c r="Y81" s="34">
        <f t="shared" si="254"/>
        <v>-302</v>
      </c>
      <c r="Z81" s="96">
        <v>-2009</v>
      </c>
      <c r="AA81" s="96">
        <f>-2217-Z81</f>
        <v>-208</v>
      </c>
      <c r="AB81" s="96">
        <f>-1748-AA81-Z81</f>
        <v>469</v>
      </c>
      <c r="AC81" s="34">
        <f t="shared" si="255"/>
        <v>1659</v>
      </c>
      <c r="AD81" s="96">
        <v>-528</v>
      </c>
      <c r="AF81" s="34">
        <f>SUM(O81:R81)</f>
        <v>-373</v>
      </c>
      <c r="AG81" s="34">
        <f>SUM(P81:S81)</f>
        <v>-1601</v>
      </c>
      <c r="AH81" s="34">
        <f>SUM(Q81:T81)</f>
        <v>-1479</v>
      </c>
      <c r="AI81" s="34">
        <f>SUM(R81:U81)</f>
        <v>-2227</v>
      </c>
      <c r="AJ81" s="34">
        <f>SUM(S81:V81)</f>
        <v>-2899</v>
      </c>
      <c r="AK81" s="34">
        <f>SUM(T81:W81)</f>
        <v>-2466</v>
      </c>
      <c r="AL81" s="34">
        <f>SUM(U81:X81)</f>
        <v>-2540</v>
      </c>
      <c r="AM81" s="34">
        <f>SUM(V81:Y81)</f>
        <v>-2266</v>
      </c>
      <c r="AN81" s="34">
        <f>SUM(W81:Z81)</f>
        <v>-3286</v>
      </c>
      <c r="AO81" s="34">
        <f>SUM(X81:AA81)</f>
        <v>-2512</v>
      </c>
      <c r="AP81" s="34">
        <f>SUM(Y81:AB81)</f>
        <v>-2050</v>
      </c>
      <c r="AQ81" s="34">
        <f>SUM(Z81:AC81)</f>
        <v>-89</v>
      </c>
      <c r="AR81" s="34">
        <f>SUM(AA81:AD81)</f>
        <v>1392</v>
      </c>
      <c r="AS81" s="12"/>
      <c r="AT81" s="87">
        <f t="shared" si="256"/>
        <v>-1.4236153377967133</v>
      </c>
    </row>
    <row r="82" spans="2:46" ht="5.0999999999999996" customHeight="1">
      <c r="B82" s="8"/>
      <c r="C82" s="96"/>
      <c r="D82" s="96"/>
      <c r="E82" s="96"/>
      <c r="F82" s="96"/>
      <c r="G82" s="96"/>
      <c r="H82" s="96"/>
      <c r="I82" s="96"/>
      <c r="J82" s="96"/>
      <c r="K82" s="96"/>
      <c r="L82" s="96"/>
      <c r="M82" s="34"/>
      <c r="N82" s="96"/>
      <c r="O82" s="34"/>
      <c r="P82" s="34"/>
      <c r="Q82" s="34"/>
      <c r="R82" s="96"/>
      <c r="S82" s="34"/>
      <c r="T82" s="159"/>
      <c r="U82" s="34"/>
      <c r="V82" s="96"/>
      <c r="W82" s="34"/>
      <c r="X82" s="34"/>
      <c r="Y82" s="34"/>
      <c r="Z82" s="96"/>
      <c r="AA82" s="34"/>
      <c r="AB82" s="34"/>
      <c r="AC82" s="34"/>
      <c r="AD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12"/>
      <c r="AT82" s="87"/>
    </row>
    <row r="83" spans="2:46" ht="12.75" customHeight="1">
      <c r="B83" s="39" t="s">
        <v>15</v>
      </c>
      <c r="C83" s="96"/>
      <c r="D83" s="96"/>
      <c r="E83" s="96"/>
      <c r="F83" s="96"/>
      <c r="G83" s="96"/>
      <c r="H83" s="96"/>
      <c r="I83" s="96"/>
      <c r="J83" s="96"/>
      <c r="K83" s="96"/>
      <c r="L83" s="96"/>
      <c r="M83" s="34"/>
      <c r="N83" s="96"/>
      <c r="O83" s="34"/>
      <c r="P83" s="34"/>
      <c r="Q83" s="34"/>
      <c r="R83" s="96"/>
      <c r="S83" s="34"/>
      <c r="T83" s="159"/>
      <c r="U83" s="34"/>
      <c r="V83" s="96"/>
      <c r="W83" s="34"/>
      <c r="X83" s="34"/>
      <c r="Y83" s="34"/>
      <c r="Z83" s="96"/>
      <c r="AA83" s="34"/>
      <c r="AB83" s="34"/>
      <c r="AC83" s="34"/>
      <c r="AD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65"/>
      <c r="AT83" s="87"/>
    </row>
    <row r="84" spans="2:46" ht="12.75" customHeight="1">
      <c r="B84" s="66" t="s">
        <v>54</v>
      </c>
      <c r="C84" s="96">
        <v>1095</v>
      </c>
      <c r="D84" s="96">
        <v>-2093</v>
      </c>
      <c r="E84" s="96">
        <v>-5322</v>
      </c>
      <c r="F84" s="96">
        <v>245</v>
      </c>
      <c r="G84" s="96">
        <v>6917</v>
      </c>
      <c r="H84" s="96">
        <v>-10125</v>
      </c>
      <c r="I84" s="96">
        <v>-1823</v>
      </c>
      <c r="J84" s="96">
        <v>-1688</v>
      </c>
      <c r="K84" s="96">
        <v>-3788</v>
      </c>
      <c r="L84" s="96">
        <v>-6682</v>
      </c>
      <c r="M84" s="34"/>
      <c r="N84" s="96">
        <v>-3934</v>
      </c>
      <c r="O84" s="96">
        <f>5542-N84</f>
        <v>9476</v>
      </c>
      <c r="P84" s="96">
        <f>4561-SUM(N84:O84)</f>
        <v>-981</v>
      </c>
      <c r="Q84" s="34">
        <f t="shared" ref="Q84:Q87" si="260">SUM(I84-SUM(N84:P84))</f>
        <v>-6384</v>
      </c>
      <c r="R84" s="96">
        <v>4275</v>
      </c>
      <c r="S84" s="96">
        <f>9596-R84</f>
        <v>5321</v>
      </c>
      <c r="T84" s="158">
        <f>7609-S84-R84</f>
        <v>-1987</v>
      </c>
      <c r="U84" s="34">
        <f t="shared" ref="U84:U87" si="261">SUM(J84-SUM(R84:T84))</f>
        <v>-9297</v>
      </c>
      <c r="V84" s="96">
        <v>6555</v>
      </c>
      <c r="W84" s="96">
        <f>7727-V84</f>
        <v>1172</v>
      </c>
      <c r="X84" s="96">
        <f>6697-W84-V84</f>
        <v>-1030</v>
      </c>
      <c r="Y84" s="34">
        <f t="shared" ref="Y84:Y87" si="262">SUM(K84-SUM(V84:X84))</f>
        <v>-10485</v>
      </c>
      <c r="Z84" s="96">
        <v>3597</v>
      </c>
      <c r="AA84" s="96">
        <f>7266-Z84</f>
        <v>3669</v>
      </c>
      <c r="AB84" s="96">
        <f>5685-AA84-Z84</f>
        <v>-1581</v>
      </c>
      <c r="AC84" s="34">
        <f t="shared" ref="AC84:AC87" si="263">SUM(L84-SUM(Z84:AB84))</f>
        <v>-12367</v>
      </c>
      <c r="AD84" s="96">
        <v>-153</v>
      </c>
      <c r="AF84" s="34">
        <f>SUM(O84:R84)</f>
        <v>6386</v>
      </c>
      <c r="AG84" s="34">
        <f>SUM(P84:S84)</f>
        <v>2231</v>
      </c>
      <c r="AH84" s="34">
        <f>SUM(Q84:T84)</f>
        <v>1225</v>
      </c>
      <c r="AI84" s="34">
        <f>SUM(R84:U84)</f>
        <v>-1688</v>
      </c>
      <c r="AJ84" s="34">
        <f>SUM(S84:V84)</f>
        <v>592</v>
      </c>
      <c r="AK84" s="34">
        <f>SUM(T84:W84)</f>
        <v>-3557</v>
      </c>
      <c r="AL84" s="34">
        <f>SUM(U84:X84)</f>
        <v>-2600</v>
      </c>
      <c r="AM84" s="34">
        <f>SUM(V84:Y84)</f>
        <v>-3788</v>
      </c>
      <c r="AN84" s="34">
        <f>SUM(W84:Z84)</f>
        <v>-6746</v>
      </c>
      <c r="AO84" s="34">
        <f>SUM(X84:AA84)</f>
        <v>-4249</v>
      </c>
      <c r="AP84" s="34">
        <f>SUM(Y84:AB84)</f>
        <v>-4800</v>
      </c>
      <c r="AQ84" s="34">
        <f>SUM(Z84:AC84)</f>
        <v>-6682</v>
      </c>
      <c r="AR84" s="34">
        <f>SUM(AA84:AD84)</f>
        <v>-10432</v>
      </c>
      <c r="AS84" s="65"/>
      <c r="AT84" s="87">
        <f t="shared" ref="AT84:AT88" si="264">SUM(AR84/AN84)-1</f>
        <v>0.54639786540171964</v>
      </c>
    </row>
    <row r="85" spans="2:46" ht="12.75" customHeight="1">
      <c r="B85" s="66" t="s">
        <v>86</v>
      </c>
      <c r="C85" s="96">
        <v>217</v>
      </c>
      <c r="D85" s="96">
        <v>-2723</v>
      </c>
      <c r="E85" s="96">
        <v>828</v>
      </c>
      <c r="F85" s="96">
        <v>-289</v>
      </c>
      <c r="G85" s="96">
        <v>-127</v>
      </c>
      <c r="H85" s="96">
        <v>-2642</v>
      </c>
      <c r="I85" s="96">
        <v>1484</v>
      </c>
      <c r="J85" s="96">
        <v>-1618</v>
      </c>
      <c r="K85" s="96">
        <v>-1046</v>
      </c>
      <c r="L85" s="96">
        <v>-9197</v>
      </c>
      <c r="M85" s="34"/>
      <c r="N85" s="96">
        <v>681</v>
      </c>
      <c r="O85" s="96">
        <f>1065-N85</f>
        <v>384</v>
      </c>
      <c r="P85" s="96">
        <f>1049-SUM(N85:O85)</f>
        <v>-16</v>
      </c>
      <c r="Q85" s="34">
        <f t="shared" si="260"/>
        <v>435</v>
      </c>
      <c r="R85" s="96">
        <v>-1807</v>
      </c>
      <c r="S85" s="96">
        <f>-2548-R85</f>
        <v>-741</v>
      </c>
      <c r="T85" s="158">
        <f>-2570-S85-R85</f>
        <v>-22</v>
      </c>
      <c r="U85" s="34">
        <f t="shared" si="261"/>
        <v>952</v>
      </c>
      <c r="V85" s="96">
        <v>-137</v>
      </c>
      <c r="W85" s="96">
        <f>53-V85</f>
        <v>190</v>
      </c>
      <c r="X85" s="96">
        <f>41-W85-V85</f>
        <v>-12</v>
      </c>
      <c r="Y85" s="34">
        <f t="shared" si="262"/>
        <v>-1087</v>
      </c>
      <c r="Z85" s="96">
        <v>215</v>
      </c>
      <c r="AA85" s="96">
        <f>858-Z85</f>
        <v>643</v>
      </c>
      <c r="AB85" s="96">
        <f>1223-AA85-Z85</f>
        <v>365</v>
      </c>
      <c r="AC85" s="34">
        <f t="shared" si="263"/>
        <v>-10420</v>
      </c>
      <c r="AD85" s="96">
        <v>-211</v>
      </c>
      <c r="AF85" s="34">
        <f>SUM(O85:R85)</f>
        <v>-1004</v>
      </c>
      <c r="AG85" s="34">
        <f>SUM(P85:S85)</f>
        <v>-2129</v>
      </c>
      <c r="AH85" s="34">
        <f>SUM(Q85:T85)</f>
        <v>-2135</v>
      </c>
      <c r="AI85" s="34">
        <f>SUM(R85:U85)</f>
        <v>-1618</v>
      </c>
      <c r="AJ85" s="34">
        <f>SUM(S85:V85)</f>
        <v>52</v>
      </c>
      <c r="AK85" s="34">
        <f>SUM(T85:W85)</f>
        <v>983</v>
      </c>
      <c r="AL85" s="34">
        <f>SUM(U85:X85)</f>
        <v>993</v>
      </c>
      <c r="AM85" s="34">
        <f>SUM(V85:Y85)</f>
        <v>-1046</v>
      </c>
      <c r="AN85" s="34">
        <f>SUM(W85:Z85)</f>
        <v>-694</v>
      </c>
      <c r="AO85" s="34">
        <f>SUM(X85:AA85)</f>
        <v>-241</v>
      </c>
      <c r="AP85" s="34">
        <f>SUM(Y85:AB85)</f>
        <v>136</v>
      </c>
      <c r="AQ85" s="34">
        <f>SUM(Z85:AC85)</f>
        <v>-9197</v>
      </c>
      <c r="AR85" s="34">
        <f>SUM(AA85:AD85)</f>
        <v>-9623</v>
      </c>
      <c r="AS85" s="65"/>
      <c r="AT85" s="87">
        <f t="shared" si="264"/>
        <v>12.86599423631124</v>
      </c>
    </row>
    <row r="86" spans="2:46" ht="12.75" customHeight="1">
      <c r="B86" s="66" t="s">
        <v>55</v>
      </c>
      <c r="C86" s="96">
        <v>1791</v>
      </c>
      <c r="D86" s="96">
        <v>9618</v>
      </c>
      <c r="E86" s="96">
        <v>9175</v>
      </c>
      <c r="F86" s="96">
        <v>-1923</v>
      </c>
      <c r="G86" s="96">
        <v>-4062</v>
      </c>
      <c r="H86" s="96">
        <v>12326</v>
      </c>
      <c r="I86" s="96">
        <v>9448</v>
      </c>
      <c r="J86" s="96">
        <v>-1889</v>
      </c>
      <c r="K86" s="96">
        <v>6020</v>
      </c>
      <c r="L86" s="96">
        <v>902</v>
      </c>
      <c r="M86" s="34"/>
      <c r="N86" s="96">
        <v>19813</v>
      </c>
      <c r="O86" s="96">
        <f>-1750-N86</f>
        <v>-21563</v>
      </c>
      <c r="P86" s="96">
        <f>-6108-SUM(N86:O86)</f>
        <v>-4358</v>
      </c>
      <c r="Q86" s="34">
        <f t="shared" si="260"/>
        <v>15556</v>
      </c>
      <c r="R86" s="96">
        <v>-6075</v>
      </c>
      <c r="S86" s="96">
        <f>-20764-R86</f>
        <v>-14689</v>
      </c>
      <c r="T86" s="158">
        <f>-16790-S86-R86</f>
        <v>3974</v>
      </c>
      <c r="U86" s="34">
        <f t="shared" si="261"/>
        <v>14901</v>
      </c>
      <c r="V86" s="96">
        <v>-4542</v>
      </c>
      <c r="W86" s="96">
        <f>-16710-V86</f>
        <v>-12168</v>
      </c>
      <c r="X86" s="96">
        <f>-15171-W86-V86</f>
        <v>1539</v>
      </c>
      <c r="Y86" s="34">
        <f t="shared" si="262"/>
        <v>21191</v>
      </c>
      <c r="Z86" s="96">
        <v>-6671</v>
      </c>
      <c r="AA86" s="96">
        <f>-14604-Z86</f>
        <v>-7933</v>
      </c>
      <c r="AB86" s="96">
        <f>-18479-AA86-Z86</f>
        <v>-3875</v>
      </c>
      <c r="AC86" s="34">
        <f t="shared" si="263"/>
        <v>19381</v>
      </c>
      <c r="AD86" s="96">
        <v>848</v>
      </c>
      <c r="AF86" s="34">
        <f>SUM(O86:R86)</f>
        <v>-16440</v>
      </c>
      <c r="AG86" s="34">
        <f>SUM(P86:S86)</f>
        <v>-9566</v>
      </c>
      <c r="AH86" s="34">
        <f>SUM(Q86:T86)</f>
        <v>-1234</v>
      </c>
      <c r="AI86" s="34">
        <f>SUM(R86:U86)</f>
        <v>-1889</v>
      </c>
      <c r="AJ86" s="34">
        <f>SUM(S86:V86)</f>
        <v>-356</v>
      </c>
      <c r="AK86" s="34">
        <f>SUM(T86:W86)</f>
        <v>2165</v>
      </c>
      <c r="AL86" s="34">
        <f>SUM(U86:X86)</f>
        <v>-270</v>
      </c>
      <c r="AM86" s="34">
        <f>SUM(V86:Y86)</f>
        <v>6020</v>
      </c>
      <c r="AN86" s="34">
        <f>SUM(W86:Z86)</f>
        <v>3891</v>
      </c>
      <c r="AO86" s="34">
        <f>SUM(X86:AA86)</f>
        <v>8126</v>
      </c>
      <c r="AP86" s="34">
        <f>SUM(Y86:AB86)</f>
        <v>2712</v>
      </c>
      <c r="AQ86" s="34">
        <f>SUM(Z86:AC86)</f>
        <v>902</v>
      </c>
      <c r="AR86" s="34">
        <f>SUM(AA86:AD86)</f>
        <v>8421</v>
      </c>
      <c r="AS86" s="65"/>
      <c r="AT86" s="87">
        <f t="shared" si="264"/>
        <v>1.1642251349267538</v>
      </c>
    </row>
    <row r="87" spans="2:46" ht="12.75" customHeight="1">
      <c r="B87" s="66" t="s">
        <v>114</v>
      </c>
      <c r="C87" s="96">
        <f>-2104+1039-1554</f>
        <v>-2619</v>
      </c>
      <c r="D87" s="96">
        <f>-154-9572-626</f>
        <v>-10352</v>
      </c>
      <c r="E87" s="96">
        <f>38490-8433-44</f>
        <v>30013</v>
      </c>
      <c r="F87" s="96">
        <f>-4700+3804-625</f>
        <v>-1521</v>
      </c>
      <c r="G87" s="96">
        <f>8916-8035+2081</f>
        <v>2962</v>
      </c>
      <c r="H87" s="96">
        <f>5799-11945+1676</f>
        <v>-4470</v>
      </c>
      <c r="I87" s="96">
        <f>5632-14019+478</f>
        <v>-7909</v>
      </c>
      <c r="J87" s="96">
        <f>3031-4413</f>
        <v>-1382</v>
      </c>
      <c r="K87" s="96">
        <f>15552-13087</f>
        <v>2465</v>
      </c>
      <c r="L87" s="96">
        <f>-347-11076+1400</f>
        <v>-10023</v>
      </c>
      <c r="M87" s="34"/>
      <c r="N87" s="96">
        <f>4236+-9812-4921+462</f>
        <v>-10035</v>
      </c>
      <c r="O87" s="96">
        <f>1888+643-3542+627-N87</f>
        <v>9651</v>
      </c>
      <c r="P87" s="96">
        <f>-14+260+4789-3289-SUM(N87:O87)</f>
        <v>2130</v>
      </c>
      <c r="Q87" s="34">
        <f t="shared" si="260"/>
        <v>-9655</v>
      </c>
      <c r="R87" s="96">
        <f>3758+131-4099+2320</f>
        <v>2110</v>
      </c>
      <c r="S87" s="96">
        <f>1757+0+14785-4092-R87</f>
        <v>10340</v>
      </c>
      <c r="T87" s="158">
        <f>-4863+13111+2986-S87-R87</f>
        <v>-1216</v>
      </c>
      <c r="U87" s="34">
        <f t="shared" si="261"/>
        <v>-12616</v>
      </c>
      <c r="V87" s="96">
        <f>-3865+4569-1457</f>
        <v>-753</v>
      </c>
      <c r="W87" s="96">
        <f>-3437+12161-4438-V87</f>
        <v>5039</v>
      </c>
      <c r="X87" s="96">
        <f>2+11100-5626-W87-V87</f>
        <v>1190</v>
      </c>
      <c r="Y87" s="34">
        <f t="shared" si="262"/>
        <v>-3011</v>
      </c>
      <c r="Z87" s="96">
        <f>-11998+4105</f>
        <v>-7893</v>
      </c>
      <c r="AA87" s="96">
        <f>-15579+9171+-4371-Z87</f>
        <v>-2886</v>
      </c>
      <c r="AB87" s="96">
        <f>-15161+13555+-6116-AA87-Z87</f>
        <v>3057</v>
      </c>
      <c r="AC87" s="34">
        <f t="shared" si="263"/>
        <v>-2301</v>
      </c>
      <c r="AD87" s="96">
        <f>12533+2781-10250</f>
        <v>5064</v>
      </c>
      <c r="AF87" s="34">
        <f>SUM(O87:R87)</f>
        <v>4236</v>
      </c>
      <c r="AG87" s="34">
        <f>SUM(P87:S87)</f>
        <v>4925</v>
      </c>
      <c r="AH87" s="34">
        <f>SUM(Q87:T87)</f>
        <v>1579</v>
      </c>
      <c r="AI87" s="34">
        <f>SUM(R87:U87)</f>
        <v>-1382</v>
      </c>
      <c r="AJ87" s="34">
        <f>SUM(S87:V87)</f>
        <v>-4245</v>
      </c>
      <c r="AK87" s="34">
        <f>SUM(T87:W87)</f>
        <v>-9546</v>
      </c>
      <c r="AL87" s="34">
        <f>SUM(U87:X87)</f>
        <v>-7140</v>
      </c>
      <c r="AM87" s="34">
        <f>SUM(V87:Y87)</f>
        <v>2465</v>
      </c>
      <c r="AN87" s="34">
        <f>SUM(W87:Z87)</f>
        <v>-4675</v>
      </c>
      <c r="AO87" s="34">
        <f>SUM(X87:AA87)</f>
        <v>-12600</v>
      </c>
      <c r="AP87" s="34">
        <f>SUM(Y87:AB87)</f>
        <v>-10733</v>
      </c>
      <c r="AQ87" s="34">
        <f>SUM(Z87:AC87)</f>
        <v>-10023</v>
      </c>
      <c r="AR87" s="34">
        <f>SUM(AA87:AD87)</f>
        <v>2934</v>
      </c>
      <c r="AS87" s="65"/>
      <c r="AT87" s="87">
        <f t="shared" si="264"/>
        <v>-1.6275935828877004</v>
      </c>
    </row>
    <row r="88" spans="2:46" ht="12.75" customHeight="1">
      <c r="B88" s="14" t="s">
        <v>75</v>
      </c>
      <c r="C88" s="15">
        <f>SUM(C75:C87)</f>
        <v>65824</v>
      </c>
      <c r="D88" s="15">
        <f>SUM(D75:D87)</f>
        <v>63598</v>
      </c>
      <c r="E88" s="15">
        <f>SUM(E75:E87)</f>
        <v>77434</v>
      </c>
      <c r="F88" s="15">
        <f>SUM(F75:F87)</f>
        <v>69391</v>
      </c>
      <c r="G88" s="15">
        <f>SUM(G75:G87)</f>
        <v>80674</v>
      </c>
      <c r="H88" s="15">
        <f>SUM(H75:H87)</f>
        <v>104038</v>
      </c>
      <c r="I88" s="15">
        <f>SUM(I75:I87)</f>
        <v>122151</v>
      </c>
      <c r="J88" s="15">
        <f>SUM(J75:J87)</f>
        <v>110543</v>
      </c>
      <c r="K88" s="15">
        <f>SUM(K75:K87)</f>
        <v>118254</v>
      </c>
      <c r="L88" s="15">
        <f>SUM(L75:L87)</f>
        <v>111482</v>
      </c>
      <c r="N88" s="15">
        <f>SUM(N75:N87)</f>
        <v>46966</v>
      </c>
      <c r="O88" s="15">
        <f>SUM(O75:O87)</f>
        <v>28166</v>
      </c>
      <c r="P88" s="15">
        <f>SUM(P75:P87)</f>
        <v>22892</v>
      </c>
      <c r="Q88" s="15">
        <f>SUM(Q75:Q87)</f>
        <v>24127</v>
      </c>
      <c r="R88" s="15">
        <f>SUM(R75:R87)</f>
        <v>34005</v>
      </c>
      <c r="S88" s="15">
        <f>SUM(S75:S87)</f>
        <v>28560</v>
      </c>
      <c r="T88" s="15">
        <f>SUM(T75:T87)</f>
        <v>26380</v>
      </c>
      <c r="U88" s="15">
        <f>SUM(U75:U87)</f>
        <v>21598</v>
      </c>
      <c r="V88" s="15">
        <f>SUM(V75:V87)</f>
        <v>39895</v>
      </c>
      <c r="W88" s="15">
        <f>SUM(W75:W87)</f>
        <v>22690</v>
      </c>
      <c r="X88" s="15">
        <f>SUM(X75:X87)</f>
        <v>28858</v>
      </c>
      <c r="Y88" s="15">
        <f>SUM(Y75:Y87)</f>
        <v>26811</v>
      </c>
      <c r="Z88" s="15">
        <f>SUM(Z75:Z87)</f>
        <v>29935</v>
      </c>
      <c r="AA88" s="15">
        <f>SUM(AA75:AA87)</f>
        <v>23952</v>
      </c>
      <c r="AB88" s="15">
        <f>SUM(AB75:AB87)</f>
        <v>27867</v>
      </c>
      <c r="AC88" s="15">
        <f>SUM(AC75:AC87)</f>
        <v>29728</v>
      </c>
      <c r="AD88" s="15">
        <f>SUM(AD75:AD87)</f>
        <v>53925</v>
      </c>
      <c r="AF88" s="15">
        <f>SUM(AF75:AF87)</f>
        <v>109190</v>
      </c>
      <c r="AG88" s="15">
        <f>SUM(AG75:AG87)</f>
        <v>109584</v>
      </c>
      <c r="AH88" s="15">
        <f>SUM(AH75:AH87)</f>
        <v>113072</v>
      </c>
      <c r="AI88" s="15">
        <f>SUM(AI75:AI87)</f>
        <v>110543</v>
      </c>
      <c r="AJ88" s="15">
        <f>SUM(AJ75:AJ87)</f>
        <v>116433</v>
      </c>
      <c r="AK88" s="15">
        <f>SUM(AK75:AK87)</f>
        <v>110563</v>
      </c>
      <c r="AL88" s="15">
        <f>SUM(AL75:AL87)</f>
        <v>113041</v>
      </c>
      <c r="AM88" s="15">
        <f>SUM(AM75:AM87)</f>
        <v>118254</v>
      </c>
      <c r="AN88" s="15">
        <f>SUM(AN75:AN87)</f>
        <v>108294</v>
      </c>
      <c r="AO88" s="15">
        <f>SUM(AO75:AO87)</f>
        <v>109556</v>
      </c>
      <c r="AP88" s="15">
        <f>SUM(AP75:AP87)</f>
        <v>108565</v>
      </c>
      <c r="AQ88" s="15">
        <f>SUM(AQ75:AQ87)</f>
        <v>111482</v>
      </c>
      <c r="AR88" s="15">
        <f>SUM(AR75:AR87)</f>
        <v>135472</v>
      </c>
      <c r="AS88" s="45"/>
      <c r="AT88" s="88">
        <f t="shared" si="264"/>
        <v>0.2509649657414077</v>
      </c>
    </row>
    <row r="89" spans="2:46" ht="12.75" customHeight="1">
      <c r="B89" s="59"/>
      <c r="C89" s="67"/>
      <c r="D89" s="67"/>
      <c r="E89" s="67"/>
      <c r="F89" s="67"/>
      <c r="G89" s="67"/>
      <c r="H89" s="67"/>
      <c r="I89" s="67"/>
      <c r="J89" s="67"/>
      <c r="K89" s="67"/>
      <c r="L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2"/>
    </row>
    <row r="90" spans="2:46" ht="12.75" customHeight="1">
      <c r="B90" s="59" t="s">
        <v>76</v>
      </c>
      <c r="C90" s="64"/>
      <c r="D90" s="64"/>
      <c r="E90" s="64"/>
      <c r="F90" s="64"/>
      <c r="G90" s="64"/>
      <c r="H90" s="64"/>
      <c r="I90" s="64"/>
      <c r="J90" s="64"/>
      <c r="K90" s="64"/>
      <c r="L90" s="64"/>
      <c r="N90" s="64"/>
      <c r="O90" s="64"/>
      <c r="P90" s="68"/>
      <c r="Q90" s="64"/>
      <c r="R90" s="64"/>
      <c r="S90" s="64"/>
      <c r="T90" s="68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5"/>
      <c r="AT90" s="42"/>
    </row>
    <row r="91" spans="2:46" ht="12.75" customHeight="1">
      <c r="B91" s="66" t="s">
        <v>115</v>
      </c>
      <c r="C91" s="96">
        <v>-12734</v>
      </c>
      <c r="D91" s="96">
        <v>-12451</v>
      </c>
      <c r="E91" s="96">
        <v>-13313</v>
      </c>
      <c r="F91" s="96">
        <v>-10495</v>
      </c>
      <c r="G91" s="96">
        <v>-7309</v>
      </c>
      <c r="H91" s="96">
        <v>-11085</v>
      </c>
      <c r="I91" s="96">
        <v>-10708</v>
      </c>
      <c r="J91" s="96">
        <v>-10959</v>
      </c>
      <c r="K91" s="96">
        <v>-9447</v>
      </c>
      <c r="L91" s="96">
        <v>-12715</v>
      </c>
      <c r="M91" s="34"/>
      <c r="N91" s="96">
        <v>-2803</v>
      </c>
      <c r="O91" s="96">
        <f>-5317-N91</f>
        <v>-2514</v>
      </c>
      <c r="P91" s="96">
        <f>-7419-SUM(N91:O91)</f>
        <v>-2102</v>
      </c>
      <c r="Q91" s="34">
        <f t="shared" ref="Q91:Q95" si="265">SUM(I91-SUM(N91:P91))</f>
        <v>-3289</v>
      </c>
      <c r="R91" s="96">
        <v>-3787</v>
      </c>
      <c r="S91" s="96">
        <f>-6703-R91</f>
        <v>-2916</v>
      </c>
      <c r="T91" s="158">
        <f>-8796-S91-R91</f>
        <v>-2093</v>
      </c>
      <c r="U91" s="34">
        <f t="shared" ref="U91:U95" si="266">SUM(J91-SUM(R91:T91))</f>
        <v>-2163</v>
      </c>
      <c r="V91" s="96">
        <v>-2392</v>
      </c>
      <c r="W91" s="96">
        <f>-4388-V91</f>
        <v>-1996</v>
      </c>
      <c r="X91" s="96">
        <f>-6539-W91-V91</f>
        <v>-2151</v>
      </c>
      <c r="Y91" s="34">
        <f t="shared" ref="Y91:Y95" si="267">SUM(K91-SUM(V91:X91))</f>
        <v>-2908</v>
      </c>
      <c r="Z91" s="96">
        <v>-2940</v>
      </c>
      <c r="AA91" s="96">
        <f>-6011-Z91</f>
        <v>-3071</v>
      </c>
      <c r="AB91" s="96">
        <f>-9473-AA91-Z91</f>
        <v>-3462</v>
      </c>
      <c r="AC91" s="34">
        <f t="shared" ref="AC91:AC95" si="268">SUM(L91-SUM(Z91:AB91))</f>
        <v>-3242</v>
      </c>
      <c r="AD91" s="96">
        <v>-2373</v>
      </c>
      <c r="AE91" s="34"/>
      <c r="AF91" s="34">
        <f>SUM(O91:R91)</f>
        <v>-11692</v>
      </c>
      <c r="AG91" s="34">
        <f>SUM(P91:S91)</f>
        <v>-12094</v>
      </c>
      <c r="AH91" s="34">
        <f>SUM(Q91:T91)</f>
        <v>-12085</v>
      </c>
      <c r="AI91" s="34">
        <f>SUM(R91:U91)</f>
        <v>-10959</v>
      </c>
      <c r="AJ91" s="34">
        <f>SUM(S91:V91)</f>
        <v>-9564</v>
      </c>
      <c r="AK91" s="34">
        <f>SUM(T91:W91)</f>
        <v>-8644</v>
      </c>
      <c r="AL91" s="34">
        <f>SUM(U91:X91)</f>
        <v>-8702</v>
      </c>
      <c r="AM91" s="34">
        <f>SUM(V91:Y91)</f>
        <v>-9447</v>
      </c>
      <c r="AN91" s="34">
        <f>SUM(W91:Z91)</f>
        <v>-9995</v>
      </c>
      <c r="AO91" s="34">
        <f>SUM(X91:AA91)</f>
        <v>-11070</v>
      </c>
      <c r="AP91" s="34">
        <f>SUM(Y91:AB91)</f>
        <v>-12381</v>
      </c>
      <c r="AQ91" s="34">
        <f>SUM(Z91:AC91)</f>
        <v>-12715</v>
      </c>
      <c r="AR91" s="34">
        <f>SUM(AA91:AD91)</f>
        <v>-12148</v>
      </c>
      <c r="AS91" s="65"/>
      <c r="AT91" s="87">
        <f t="shared" ref="AT91:AT96" si="269">SUM(AR91/AN91)-1</f>
        <v>0.21540770385192598</v>
      </c>
    </row>
    <row r="92" spans="2:46" ht="12.75" customHeight="1">
      <c r="B92" s="66" t="s">
        <v>116</v>
      </c>
      <c r="C92" s="96">
        <v>111794</v>
      </c>
      <c r="D92" s="96">
        <v>126339</v>
      </c>
      <c r="E92" s="96">
        <v>103719</v>
      </c>
      <c r="F92" s="96">
        <v>97090</v>
      </c>
      <c r="G92" s="96">
        <v>120391</v>
      </c>
      <c r="H92" s="96">
        <v>106483</v>
      </c>
      <c r="I92" s="96">
        <v>67363</v>
      </c>
      <c r="J92" s="96">
        <v>45514</v>
      </c>
      <c r="K92" s="96">
        <v>62346</v>
      </c>
      <c r="L92" s="96">
        <f>40907+12890</f>
        <v>53797</v>
      </c>
      <c r="M92" s="34"/>
      <c r="N92" s="96">
        <f>11309+10675</f>
        <v>21984</v>
      </c>
      <c r="O92" s="96">
        <f>18000+24668-N92</f>
        <v>20684</v>
      </c>
      <c r="P92" s="96">
        <f>24203+33609-SUM(N92:O92)</f>
        <v>15144</v>
      </c>
      <c r="Q92" s="34">
        <f t="shared" si="265"/>
        <v>9551</v>
      </c>
      <c r="R92" s="96">
        <f>7127+509</f>
        <v>7636</v>
      </c>
      <c r="S92" s="96">
        <f>17124+1897-R92</f>
        <v>11385</v>
      </c>
      <c r="T92" s="158">
        <f>27857+3959-S92-R92</f>
        <v>12795</v>
      </c>
      <c r="U92" s="34">
        <f t="shared" si="266"/>
        <v>13698</v>
      </c>
      <c r="V92" s="96">
        <f>13046+1337</f>
        <v>14383</v>
      </c>
      <c r="W92" s="96">
        <f>27462+4314-V92</f>
        <v>17393</v>
      </c>
      <c r="X92" s="96">
        <f>39838+7382-W92-V92</f>
        <v>15444</v>
      </c>
      <c r="Y92" s="34">
        <f t="shared" si="267"/>
        <v>15126</v>
      </c>
      <c r="Z92" s="96">
        <v>19459</v>
      </c>
      <c r="AA92" s="96">
        <f>26587+5210-Z92</f>
        <v>12338</v>
      </c>
      <c r="AB92" s="96">
        <f>35036+10785-AA92-Z92</f>
        <v>14024</v>
      </c>
      <c r="AC92" s="34">
        <f t="shared" si="268"/>
        <v>7976</v>
      </c>
      <c r="AD92" s="96">
        <f>7510+2824</f>
        <v>10334</v>
      </c>
      <c r="AE92" s="34"/>
      <c r="AF92" s="34">
        <f>SUM(O92:R92)</f>
        <v>53015</v>
      </c>
      <c r="AG92" s="34">
        <f>SUM(P92:S92)</f>
        <v>43716</v>
      </c>
      <c r="AH92" s="34">
        <f>SUM(Q92:T92)</f>
        <v>41367</v>
      </c>
      <c r="AI92" s="34">
        <f>SUM(R92:U92)</f>
        <v>45514</v>
      </c>
      <c r="AJ92" s="34">
        <f>SUM(S92:V92)</f>
        <v>52261</v>
      </c>
      <c r="AK92" s="34">
        <f>SUM(T92:W92)</f>
        <v>58269</v>
      </c>
      <c r="AL92" s="34">
        <f>SUM(U92:X92)</f>
        <v>60918</v>
      </c>
      <c r="AM92" s="34">
        <f>SUM(V92:Y92)</f>
        <v>62346</v>
      </c>
      <c r="AN92" s="34">
        <f>SUM(W92:Z92)</f>
        <v>67422</v>
      </c>
      <c r="AO92" s="34">
        <f>SUM(X92:AA92)</f>
        <v>62367</v>
      </c>
      <c r="AP92" s="34">
        <f>SUM(Y92:AB92)</f>
        <v>60947</v>
      </c>
      <c r="AQ92" s="34">
        <f>SUM(Z92:AC92)</f>
        <v>53797</v>
      </c>
      <c r="AR92" s="34">
        <f>SUM(AA92:AD92)</f>
        <v>44672</v>
      </c>
      <c r="AS92" s="65"/>
      <c r="AT92" s="87">
        <f t="shared" si="269"/>
        <v>-0.33742695262673905</v>
      </c>
    </row>
    <row r="93" spans="2:46" ht="12.75" customHeight="1">
      <c r="B93" s="66" t="s">
        <v>117</v>
      </c>
      <c r="C93" s="96">
        <v>-142428</v>
      </c>
      <c r="D93" s="96">
        <v>-159486</v>
      </c>
      <c r="E93" s="96">
        <v>-71356</v>
      </c>
      <c r="F93" s="96">
        <v>-39630</v>
      </c>
      <c r="G93" s="96">
        <v>-114938</v>
      </c>
      <c r="H93" s="96">
        <v>-109558</v>
      </c>
      <c r="I93" s="96">
        <v>-76923</v>
      </c>
      <c r="J93" s="96">
        <v>-29513</v>
      </c>
      <c r="K93" s="96">
        <v>-48656</v>
      </c>
      <c r="L93" s="96">
        <v>-24407</v>
      </c>
      <c r="M93" s="34"/>
      <c r="N93" s="96">
        <v>-34913</v>
      </c>
      <c r="O93" s="96">
        <f>-61987-N93</f>
        <v>-27074</v>
      </c>
      <c r="P93" s="96">
        <f>-70178-SUM(N93:O93)</f>
        <v>-8191</v>
      </c>
      <c r="Q93" s="34">
        <f t="shared" si="265"/>
        <v>-6745</v>
      </c>
      <c r="R93" s="96">
        <v>-5153</v>
      </c>
      <c r="S93" s="96">
        <f>-11197-R93</f>
        <v>-6044</v>
      </c>
      <c r="T93" s="158">
        <f>-20956-S93-R93</f>
        <v>-9759</v>
      </c>
      <c r="U93" s="34">
        <f t="shared" si="266"/>
        <v>-8557</v>
      </c>
      <c r="V93" s="96">
        <v>-9780</v>
      </c>
      <c r="W93" s="96">
        <f>-25042-V93</f>
        <v>-15262</v>
      </c>
      <c r="X93" s="96">
        <f>-38074-W93-V93</f>
        <v>-13032</v>
      </c>
      <c r="Y93" s="34">
        <f t="shared" si="267"/>
        <v>-10582</v>
      </c>
      <c r="Z93" s="96">
        <v>-6124</v>
      </c>
      <c r="AA93" s="96">
        <f>-12442-Z93</f>
        <v>-6318</v>
      </c>
      <c r="AB93" s="96">
        <f>-17591-AA93-Z93</f>
        <v>-5149</v>
      </c>
      <c r="AC93" s="34">
        <f t="shared" si="268"/>
        <v>-6816</v>
      </c>
      <c r="AD93" s="96">
        <v>-12693</v>
      </c>
      <c r="AE93" s="34"/>
      <c r="AF93" s="34">
        <f>SUM(O93:R93)</f>
        <v>-47163</v>
      </c>
      <c r="AG93" s="34">
        <f>SUM(P93:S93)</f>
        <v>-26133</v>
      </c>
      <c r="AH93" s="34">
        <f>SUM(Q93:T93)</f>
        <v>-27701</v>
      </c>
      <c r="AI93" s="34">
        <f>SUM(R93:U93)</f>
        <v>-29513</v>
      </c>
      <c r="AJ93" s="34">
        <f>SUM(S93:V93)</f>
        <v>-34140</v>
      </c>
      <c r="AK93" s="34">
        <f>SUM(T93:W93)</f>
        <v>-43358</v>
      </c>
      <c r="AL93" s="34">
        <f>SUM(U93:X93)</f>
        <v>-46631</v>
      </c>
      <c r="AM93" s="34">
        <f>SUM(V93:Y93)</f>
        <v>-48656</v>
      </c>
      <c r="AN93" s="34">
        <f>SUM(W93:Z93)</f>
        <v>-45000</v>
      </c>
      <c r="AO93" s="34">
        <f>SUM(X93:AA93)</f>
        <v>-36056</v>
      </c>
      <c r="AP93" s="34">
        <f>SUM(Y93:AB93)</f>
        <v>-28173</v>
      </c>
      <c r="AQ93" s="34">
        <f>SUM(Z93:AC93)</f>
        <v>-24407</v>
      </c>
      <c r="AR93" s="34">
        <f>SUM(AA93:AD93)</f>
        <v>-30976</v>
      </c>
      <c r="AS93" s="65"/>
      <c r="AT93" s="87">
        <f t="shared" si="269"/>
        <v>-0.31164444444444439</v>
      </c>
    </row>
    <row r="94" spans="2:46" ht="12.75" customHeight="1">
      <c r="B94" s="66" t="s">
        <v>118</v>
      </c>
      <c r="C94" s="96">
        <v>-1111</v>
      </c>
      <c r="D94" s="96">
        <v>-673</v>
      </c>
      <c r="E94" s="96">
        <v>-721</v>
      </c>
      <c r="F94" s="96">
        <v>-624</v>
      </c>
      <c r="G94" s="96">
        <v>-1524</v>
      </c>
      <c r="H94" s="96">
        <v>-33</v>
      </c>
      <c r="I94" s="96">
        <v>-306</v>
      </c>
      <c r="J94" s="96">
        <v>0</v>
      </c>
      <c r="K94" s="96">
        <v>0</v>
      </c>
      <c r="L94" s="96">
        <v>0</v>
      </c>
      <c r="M94" s="34"/>
      <c r="N94" s="96">
        <v>0</v>
      </c>
      <c r="O94" s="96">
        <v>-167</v>
      </c>
      <c r="P94" s="96">
        <f>-169-SUM(N94:O94)</f>
        <v>-2</v>
      </c>
      <c r="Q94" s="34">
        <f t="shared" si="265"/>
        <v>-137</v>
      </c>
      <c r="R94" s="96">
        <v>0</v>
      </c>
      <c r="S94" s="96">
        <v>0</v>
      </c>
      <c r="T94" s="158">
        <v>0</v>
      </c>
      <c r="U94" s="34">
        <f t="shared" si="266"/>
        <v>0</v>
      </c>
      <c r="V94" s="96">
        <v>0</v>
      </c>
      <c r="W94" s="96">
        <v>0</v>
      </c>
      <c r="X94" s="96">
        <v>0</v>
      </c>
      <c r="Y94" s="34">
        <f t="shared" si="267"/>
        <v>0</v>
      </c>
      <c r="Z94" s="96">
        <v>0</v>
      </c>
      <c r="AA94" s="96">
        <v>0</v>
      </c>
      <c r="AB94" s="96">
        <v>0</v>
      </c>
      <c r="AC94" s="34">
        <f t="shared" si="268"/>
        <v>0</v>
      </c>
      <c r="AD94" s="96">
        <v>0</v>
      </c>
      <c r="AE94" s="34"/>
      <c r="AF94" s="34">
        <f>SUM(O94:R94)</f>
        <v>-306</v>
      </c>
      <c r="AG94" s="34">
        <f>SUM(P94:S94)</f>
        <v>-139</v>
      </c>
      <c r="AH94" s="34">
        <f>SUM(Q94:T94)</f>
        <v>-137</v>
      </c>
      <c r="AI94" s="34">
        <f>SUM(R94:U94)</f>
        <v>0</v>
      </c>
      <c r="AJ94" s="34">
        <f>SUM(S94:V94)</f>
        <v>0</v>
      </c>
      <c r="AK94" s="34">
        <f>SUM(T94:W94)</f>
        <v>0</v>
      </c>
      <c r="AL94" s="34">
        <f>SUM(U94:X94)</f>
        <v>0</v>
      </c>
      <c r="AM94" s="34">
        <f>SUM(V94:Y94)</f>
        <v>0</v>
      </c>
      <c r="AN94" s="34">
        <f>SUM(W94:Z94)</f>
        <v>0</v>
      </c>
      <c r="AO94" s="34">
        <f>SUM(X94:AA94)</f>
        <v>0</v>
      </c>
      <c r="AP94" s="34">
        <f>SUM(Y94:AB94)</f>
        <v>0</v>
      </c>
      <c r="AQ94" s="34">
        <f>SUM(Z94:AC94)</f>
        <v>0</v>
      </c>
      <c r="AR94" s="34">
        <f>SUM(AA94:AD94)</f>
        <v>0</v>
      </c>
      <c r="AS94" s="65"/>
      <c r="AT94" s="87" t="e">
        <f t="shared" si="269"/>
        <v>#DIV/0!</v>
      </c>
    </row>
    <row r="95" spans="2:46" ht="12.75" customHeight="1">
      <c r="B95" s="66" t="s">
        <v>181</v>
      </c>
      <c r="C95" s="96">
        <v>-1498</v>
      </c>
      <c r="D95" s="96">
        <v>-175</v>
      </c>
      <c r="E95" s="96">
        <v>-2263</v>
      </c>
      <c r="F95" s="96">
        <v>-445</v>
      </c>
      <c r="G95" s="96">
        <v>-909</v>
      </c>
      <c r="H95" s="96">
        <v>-352</v>
      </c>
      <c r="I95" s="96">
        <v>-1780</v>
      </c>
      <c r="J95" s="96">
        <v>-1337</v>
      </c>
      <c r="K95" s="96">
        <v>-1308</v>
      </c>
      <c r="L95" s="96">
        <v>-1480</v>
      </c>
      <c r="M95" s="34"/>
      <c r="N95" s="96">
        <v>-374</v>
      </c>
      <c r="O95" s="96">
        <f>-568-N95</f>
        <v>-194</v>
      </c>
      <c r="P95" s="96">
        <f>-1183-SUM(N95:O95)</f>
        <v>-615</v>
      </c>
      <c r="Q95" s="34">
        <f t="shared" si="265"/>
        <v>-597</v>
      </c>
      <c r="R95" s="96">
        <v>-141</v>
      </c>
      <c r="S95" s="96">
        <f>-247-R95</f>
        <v>-106</v>
      </c>
      <c r="T95" s="158">
        <f>-753-S95-R95</f>
        <v>-506</v>
      </c>
      <c r="U95" s="34">
        <f t="shared" si="266"/>
        <v>-584</v>
      </c>
      <c r="V95" s="96">
        <v>-284</v>
      </c>
      <c r="W95" s="96">
        <f>-729-V95</f>
        <v>-445</v>
      </c>
      <c r="X95" s="96">
        <f>-1117-W95-V95</f>
        <v>-388</v>
      </c>
      <c r="Y95" s="34">
        <f t="shared" si="267"/>
        <v>-191</v>
      </c>
      <c r="Z95" s="96">
        <v>-603</v>
      </c>
      <c r="AA95" s="96">
        <f>-635-Z95</f>
        <v>-32</v>
      </c>
      <c r="AB95" s="96">
        <f>-975-AA95-Z95</f>
        <v>-340</v>
      </c>
      <c r="AC95" s="34">
        <f t="shared" si="268"/>
        <v>-505</v>
      </c>
      <c r="AD95" s="96">
        <v>-154</v>
      </c>
      <c r="AE95" s="34"/>
      <c r="AF95" s="34">
        <f>SUM(O95:R95)</f>
        <v>-1547</v>
      </c>
      <c r="AG95" s="34">
        <f>SUM(P95:S95)</f>
        <v>-1459</v>
      </c>
      <c r="AH95" s="34">
        <f>SUM(Q95:T95)</f>
        <v>-1350</v>
      </c>
      <c r="AI95" s="34">
        <f>SUM(R95:U95)</f>
        <v>-1337</v>
      </c>
      <c r="AJ95" s="34">
        <f>SUM(S95:V95)</f>
        <v>-1480</v>
      </c>
      <c r="AK95" s="34">
        <f>SUM(T95:W95)</f>
        <v>-1819</v>
      </c>
      <c r="AL95" s="34">
        <f>SUM(U95:X95)</f>
        <v>-1701</v>
      </c>
      <c r="AM95" s="34">
        <f>SUM(V95:Y95)</f>
        <v>-1308</v>
      </c>
      <c r="AN95" s="34">
        <f>SUM(W95:Z95)</f>
        <v>-1627</v>
      </c>
      <c r="AO95" s="34">
        <f>SUM(X95:AA95)</f>
        <v>-1214</v>
      </c>
      <c r="AP95" s="34">
        <f>SUM(Y95:AB95)</f>
        <v>-1166</v>
      </c>
      <c r="AQ95" s="34">
        <f>SUM(Z95:AC95)</f>
        <v>-1480</v>
      </c>
      <c r="AR95" s="34">
        <f>SUM(AA95:AD95)</f>
        <v>-1031</v>
      </c>
      <c r="AS95" s="65"/>
      <c r="AT95" s="87">
        <f t="shared" si="269"/>
        <v>-0.36631837738168405</v>
      </c>
    </row>
    <row r="96" spans="2:46" ht="12.75" customHeight="1">
      <c r="B96" s="14" t="s">
        <v>77</v>
      </c>
      <c r="C96" s="15">
        <f t="shared" ref="C96:K96" si="270">SUM(C91:C95)</f>
        <v>-45977</v>
      </c>
      <c r="D96" s="15">
        <f t="shared" si="270"/>
        <v>-46446</v>
      </c>
      <c r="E96" s="15">
        <f t="shared" si="270"/>
        <v>16066</v>
      </c>
      <c r="F96" s="15">
        <f t="shared" si="270"/>
        <v>45896</v>
      </c>
      <c r="G96" s="15">
        <f t="shared" si="270"/>
        <v>-4289</v>
      </c>
      <c r="H96" s="15">
        <f t="shared" si="270"/>
        <v>-14545</v>
      </c>
      <c r="I96" s="15">
        <f t="shared" si="270"/>
        <v>-22354</v>
      </c>
      <c r="J96" s="15">
        <f t="shared" si="270"/>
        <v>3705</v>
      </c>
      <c r="K96" s="15">
        <f t="shared" si="270"/>
        <v>2935</v>
      </c>
      <c r="L96" s="15">
        <f t="shared" ref="L96" si="271">SUM(L91:L95)</f>
        <v>15195</v>
      </c>
      <c r="N96" s="15">
        <f t="shared" ref="N96:AB96" si="272">SUM(N91:N95)</f>
        <v>-16106</v>
      </c>
      <c r="O96" s="15">
        <f t="shared" si="272"/>
        <v>-9265</v>
      </c>
      <c r="P96" s="15">
        <f t="shared" si="272"/>
        <v>4234</v>
      </c>
      <c r="Q96" s="15">
        <f t="shared" si="272"/>
        <v>-1217</v>
      </c>
      <c r="R96" s="15">
        <f t="shared" si="272"/>
        <v>-1445</v>
      </c>
      <c r="S96" s="15">
        <f t="shared" si="272"/>
        <v>2319</v>
      </c>
      <c r="T96" s="15">
        <f t="shared" si="272"/>
        <v>437</v>
      </c>
      <c r="U96" s="15">
        <f t="shared" si="272"/>
        <v>2394</v>
      </c>
      <c r="V96" s="15">
        <f t="shared" si="272"/>
        <v>1927</v>
      </c>
      <c r="W96" s="15">
        <f t="shared" si="272"/>
        <v>-310</v>
      </c>
      <c r="X96" s="15">
        <f t="shared" si="272"/>
        <v>-127</v>
      </c>
      <c r="Y96" s="15">
        <f t="shared" si="272"/>
        <v>1445</v>
      </c>
      <c r="Z96" s="15">
        <f t="shared" si="272"/>
        <v>9792</v>
      </c>
      <c r="AA96" s="15">
        <f t="shared" si="272"/>
        <v>2917</v>
      </c>
      <c r="AB96" s="15">
        <f t="shared" si="272"/>
        <v>5073</v>
      </c>
      <c r="AC96" s="15">
        <f t="shared" ref="AC96:AD96" si="273">SUM(AC91:AC95)</f>
        <v>-2587</v>
      </c>
      <c r="AD96" s="15">
        <f t="shared" si="273"/>
        <v>-4886</v>
      </c>
      <c r="AF96" s="15">
        <f t="shared" ref="AF96:AP96" si="274">SUM(AF91:AF95)</f>
        <v>-7693</v>
      </c>
      <c r="AG96" s="15">
        <f t="shared" si="274"/>
        <v>3891</v>
      </c>
      <c r="AH96" s="15">
        <f t="shared" si="274"/>
        <v>94</v>
      </c>
      <c r="AI96" s="15">
        <f t="shared" si="274"/>
        <v>3705</v>
      </c>
      <c r="AJ96" s="15">
        <f t="shared" si="274"/>
        <v>7077</v>
      </c>
      <c r="AK96" s="15">
        <f t="shared" si="274"/>
        <v>4448</v>
      </c>
      <c r="AL96" s="15">
        <f t="shared" si="274"/>
        <v>3884</v>
      </c>
      <c r="AM96" s="15">
        <f t="shared" si="274"/>
        <v>2935</v>
      </c>
      <c r="AN96" s="15">
        <f t="shared" si="274"/>
        <v>10800</v>
      </c>
      <c r="AO96" s="15">
        <f t="shared" si="274"/>
        <v>14027</v>
      </c>
      <c r="AP96" s="15">
        <f t="shared" si="274"/>
        <v>19227</v>
      </c>
      <c r="AQ96" s="15">
        <f t="shared" ref="AQ96:AR96" si="275">SUM(AQ91:AQ95)</f>
        <v>15195</v>
      </c>
      <c r="AR96" s="15">
        <f t="shared" si="275"/>
        <v>517</v>
      </c>
      <c r="AS96" s="45"/>
      <c r="AT96" s="88">
        <f t="shared" si="269"/>
        <v>-0.95212962962962966</v>
      </c>
    </row>
    <row r="97" spans="2:46" ht="12.75" customHeight="1">
      <c r="B97" s="58"/>
      <c r="C97" s="67"/>
      <c r="D97" s="67"/>
      <c r="E97" s="67"/>
      <c r="F97" s="67"/>
      <c r="G97" s="67"/>
      <c r="H97" s="67"/>
      <c r="I97" s="67"/>
      <c r="J97" s="67"/>
      <c r="K97" s="67"/>
      <c r="L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2"/>
    </row>
    <row r="98" spans="2:46" ht="12.75" customHeight="1">
      <c r="B98" s="59" t="s">
        <v>78</v>
      </c>
      <c r="C98" s="69"/>
      <c r="D98" s="69"/>
      <c r="E98" s="69"/>
      <c r="F98" s="69"/>
      <c r="G98" s="69"/>
      <c r="H98" s="69"/>
      <c r="I98" s="69"/>
      <c r="J98" s="69"/>
      <c r="K98" s="69"/>
      <c r="L98" s="69"/>
      <c r="N98" s="69"/>
      <c r="O98" s="69"/>
      <c r="P98" s="69"/>
      <c r="Q98" s="69"/>
      <c r="R98" s="69"/>
      <c r="S98" s="69"/>
      <c r="T98" s="69"/>
      <c r="U98" s="70"/>
      <c r="V98" s="69"/>
      <c r="W98" s="69"/>
      <c r="X98" s="69"/>
      <c r="Y98" s="69"/>
      <c r="Z98" s="69"/>
      <c r="AA98" s="69"/>
      <c r="AB98" s="69"/>
      <c r="AC98" s="69"/>
      <c r="AD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71"/>
      <c r="AT98" s="42"/>
    </row>
    <row r="99" spans="2:46" ht="12.75" customHeight="1">
      <c r="B99" s="66" t="s">
        <v>119</v>
      </c>
      <c r="C99" s="96">
        <v>22454</v>
      </c>
      <c r="D99" s="96">
        <v>28662</v>
      </c>
      <c r="E99" s="96">
        <v>6969</v>
      </c>
      <c r="F99" s="96">
        <v>6963</v>
      </c>
      <c r="G99" s="96">
        <v>16091</v>
      </c>
      <c r="H99" s="96">
        <v>20393</v>
      </c>
      <c r="I99" s="96">
        <v>5465</v>
      </c>
      <c r="J99" s="96">
        <v>5228</v>
      </c>
      <c r="K99" s="96">
        <v>0</v>
      </c>
      <c r="L99" s="96">
        <v>4481</v>
      </c>
      <c r="M99" s="72"/>
      <c r="N99" s="96">
        <v>0</v>
      </c>
      <c r="O99" s="96">
        <v>0</v>
      </c>
      <c r="P99" s="96">
        <v>0</v>
      </c>
      <c r="Q99" s="34">
        <f t="shared" ref="Q99:Q106" si="276">SUM(I99-SUM(N99:P99))</f>
        <v>5465</v>
      </c>
      <c r="R99" s="96">
        <v>0</v>
      </c>
      <c r="S99" s="96">
        <v>0</v>
      </c>
      <c r="T99" s="158">
        <v>5228</v>
      </c>
      <c r="U99" s="34">
        <f t="shared" ref="U99:U106" si="277">SUM(J99-SUM(R99:T99))</f>
        <v>0</v>
      </c>
      <c r="V99" s="96">
        <v>0</v>
      </c>
      <c r="W99" s="96">
        <v>0</v>
      </c>
      <c r="X99" s="96">
        <v>0</v>
      </c>
      <c r="Y99" s="34">
        <f t="shared" ref="Y99:Y106" si="278">SUM(K99-SUM(V99:X99))</f>
        <v>0</v>
      </c>
      <c r="Z99" s="96">
        <v>0</v>
      </c>
      <c r="AA99" s="96">
        <v>0</v>
      </c>
      <c r="AB99" s="96">
        <f>4481-AA99-Z99</f>
        <v>4481</v>
      </c>
      <c r="AC99" s="34">
        <f t="shared" ref="AC99:AC106" si="279">SUM(L99-SUM(Z99:AB99))</f>
        <v>0</v>
      </c>
      <c r="AD99" s="96">
        <v>0</v>
      </c>
      <c r="AF99" s="34">
        <f>SUM(O99:R99)</f>
        <v>5465</v>
      </c>
      <c r="AG99" s="34">
        <f>SUM(P99:S99)</f>
        <v>5465</v>
      </c>
      <c r="AH99" s="34">
        <f>SUM(Q99:T99)</f>
        <v>10693</v>
      </c>
      <c r="AI99" s="34">
        <f>SUM(R99:U99)</f>
        <v>5228</v>
      </c>
      <c r="AJ99" s="34">
        <f>SUM(S99:V99)</f>
        <v>5228</v>
      </c>
      <c r="AK99" s="34">
        <f>SUM(T99:W99)</f>
        <v>5228</v>
      </c>
      <c r="AL99" s="34">
        <f>SUM(U99:X99)</f>
        <v>0</v>
      </c>
      <c r="AM99" s="34">
        <f>SUM(V99:Y99)</f>
        <v>0</v>
      </c>
      <c r="AN99" s="34">
        <f>SUM(W99:Z99)</f>
        <v>0</v>
      </c>
      <c r="AO99" s="34">
        <f>SUM(X99:AA99)</f>
        <v>0</v>
      </c>
      <c r="AP99" s="34">
        <f>SUM(Y99:AB99)</f>
        <v>4481</v>
      </c>
      <c r="AQ99" s="34">
        <f>SUM(Z99:AC99)</f>
        <v>4481</v>
      </c>
      <c r="AR99" s="34">
        <f>SUM(AA99:AD99)</f>
        <v>4481</v>
      </c>
      <c r="AS99" s="12"/>
      <c r="AT99" s="87" t="e">
        <f t="shared" ref="AT99:AT107" si="280">SUM(AR99/AN99)-1</f>
        <v>#DIV/0!</v>
      </c>
    </row>
    <row r="100" spans="2:46" ht="12.75" customHeight="1">
      <c r="B100" s="66" t="s">
        <v>120</v>
      </c>
      <c r="C100" s="96">
        <v>0</v>
      </c>
      <c r="D100" s="96">
        <v>-3500</v>
      </c>
      <c r="E100" s="96">
        <v>-6500</v>
      </c>
      <c r="F100" s="96">
        <v>-8805</v>
      </c>
      <c r="G100" s="96">
        <v>-12629</v>
      </c>
      <c r="H100" s="96">
        <v>-8750</v>
      </c>
      <c r="I100" s="96">
        <v>-9543</v>
      </c>
      <c r="J100" s="96">
        <v>-11151.108</v>
      </c>
      <c r="K100" s="96">
        <v>-9958</v>
      </c>
      <c r="L100" s="96">
        <v>-10932</v>
      </c>
      <c r="M100" s="72"/>
      <c r="N100" s="96">
        <v>0</v>
      </c>
      <c r="O100" s="96">
        <v>-3750</v>
      </c>
      <c r="P100" s="96">
        <v>-3000</v>
      </c>
      <c r="Q100" s="34">
        <f t="shared" si="276"/>
        <v>-2793</v>
      </c>
      <c r="R100" s="96">
        <v>-1401</v>
      </c>
      <c r="S100" s="96">
        <v>-2250</v>
      </c>
      <c r="T100" s="158">
        <f>-11151-S100-R100</f>
        <v>-7500</v>
      </c>
      <c r="U100" s="34">
        <f t="shared" si="277"/>
        <v>-0.10800000000017462</v>
      </c>
      <c r="V100" s="96">
        <v>0</v>
      </c>
      <c r="W100" s="96">
        <v>-3150</v>
      </c>
      <c r="X100" s="96">
        <v>-4250</v>
      </c>
      <c r="Y100" s="34">
        <f t="shared" si="278"/>
        <v>-2558</v>
      </c>
      <c r="Z100" s="96">
        <v>-1009</v>
      </c>
      <c r="AA100" s="96">
        <f>-4009-Z100</f>
        <v>-3000</v>
      </c>
      <c r="AB100" s="96">
        <f>-9682-AA100-Z100</f>
        <v>-5673</v>
      </c>
      <c r="AC100" s="34">
        <f t="shared" si="279"/>
        <v>-1250</v>
      </c>
      <c r="AD100" s="96">
        <v>-2164</v>
      </c>
      <c r="AF100" s="34">
        <f>SUM(O100:R100)</f>
        <v>-10944</v>
      </c>
      <c r="AG100" s="34">
        <f>SUM(P100:S100)</f>
        <v>-9444</v>
      </c>
      <c r="AH100" s="34">
        <f>SUM(Q100:T100)</f>
        <v>-13944</v>
      </c>
      <c r="AI100" s="34">
        <f>SUM(R100:U100)</f>
        <v>-11151.108</v>
      </c>
      <c r="AJ100" s="34">
        <f>SUM(S100:V100)</f>
        <v>-9750.1080000000002</v>
      </c>
      <c r="AK100" s="34">
        <f>SUM(T100:W100)</f>
        <v>-10650.108</v>
      </c>
      <c r="AL100" s="34">
        <f>SUM(U100:X100)</f>
        <v>-7400.1080000000002</v>
      </c>
      <c r="AM100" s="34">
        <f>SUM(V100:Y100)</f>
        <v>-9958</v>
      </c>
      <c r="AN100" s="34">
        <f>SUM(W100:Z100)</f>
        <v>-10967</v>
      </c>
      <c r="AO100" s="34">
        <f>SUM(X100:AA100)</f>
        <v>-10817</v>
      </c>
      <c r="AP100" s="34">
        <f>SUM(Y100:AB100)</f>
        <v>-12240</v>
      </c>
      <c r="AQ100" s="34">
        <f>SUM(Z100:AC100)</f>
        <v>-10932</v>
      </c>
      <c r="AR100" s="34">
        <f>SUM(AA100:AD100)</f>
        <v>-12087</v>
      </c>
      <c r="AS100" s="12"/>
      <c r="AT100" s="87">
        <f t="shared" si="280"/>
        <v>0.10212455548463573</v>
      </c>
    </row>
    <row r="101" spans="2:46" ht="12.75" customHeight="1">
      <c r="B101" s="66" t="s">
        <v>121</v>
      </c>
      <c r="C101" s="96">
        <v>495</v>
      </c>
      <c r="D101" s="96">
        <v>555</v>
      </c>
      <c r="E101" s="96">
        <v>669</v>
      </c>
      <c r="F101" s="96">
        <v>781</v>
      </c>
      <c r="G101" s="96">
        <v>880</v>
      </c>
      <c r="H101" s="96">
        <v>1105</v>
      </c>
      <c r="I101" s="96">
        <v>0</v>
      </c>
      <c r="J101" s="96">
        <v>0</v>
      </c>
      <c r="K101" s="96">
        <v>0</v>
      </c>
      <c r="L101" s="96">
        <v>0</v>
      </c>
      <c r="M101" s="72"/>
      <c r="N101" s="96">
        <v>0</v>
      </c>
      <c r="O101" s="96">
        <v>0</v>
      </c>
      <c r="P101" s="96">
        <v>0</v>
      </c>
      <c r="Q101" s="34">
        <f t="shared" si="276"/>
        <v>0</v>
      </c>
      <c r="R101" s="96">
        <v>0</v>
      </c>
      <c r="S101" s="96">
        <v>0</v>
      </c>
      <c r="T101" s="158">
        <v>0</v>
      </c>
      <c r="U101" s="34">
        <f t="shared" si="277"/>
        <v>0</v>
      </c>
      <c r="V101" s="96">
        <v>0</v>
      </c>
      <c r="W101" s="96">
        <v>0</v>
      </c>
      <c r="X101" s="96">
        <v>0</v>
      </c>
      <c r="Y101" s="34">
        <f t="shared" si="278"/>
        <v>0</v>
      </c>
      <c r="Z101" s="96">
        <v>0</v>
      </c>
      <c r="AA101" s="96">
        <v>0</v>
      </c>
      <c r="AB101" s="96">
        <v>0</v>
      </c>
      <c r="AC101" s="34">
        <f t="shared" si="279"/>
        <v>0</v>
      </c>
      <c r="AD101" s="96">
        <v>0</v>
      </c>
      <c r="AF101" s="34">
        <f>SUM(O101:R101)</f>
        <v>0</v>
      </c>
      <c r="AG101" s="34">
        <f>SUM(P101:S101)</f>
        <v>0</v>
      </c>
      <c r="AH101" s="34">
        <f>SUM(Q101:T101)</f>
        <v>0</v>
      </c>
      <c r="AI101" s="34">
        <f>SUM(R101:U101)</f>
        <v>0</v>
      </c>
      <c r="AJ101" s="34">
        <f>SUM(S101:V101)</f>
        <v>0</v>
      </c>
      <c r="AK101" s="34">
        <f>SUM(T101:W101)</f>
        <v>0</v>
      </c>
      <c r="AL101" s="34">
        <f>SUM(U101:X101)</f>
        <v>0</v>
      </c>
      <c r="AM101" s="34">
        <f>SUM(V101:Y101)</f>
        <v>0</v>
      </c>
      <c r="AN101" s="34">
        <f>SUM(W101:Z101)</f>
        <v>0</v>
      </c>
      <c r="AO101" s="34">
        <f>SUM(X101:AA101)</f>
        <v>0</v>
      </c>
      <c r="AP101" s="34">
        <f>SUM(Y101:AB101)</f>
        <v>0</v>
      </c>
      <c r="AQ101" s="34">
        <f>SUM(Z101:AC101)</f>
        <v>0</v>
      </c>
      <c r="AR101" s="34">
        <f>SUM(AA101:AD101)</f>
        <v>0</v>
      </c>
      <c r="AS101" s="12"/>
      <c r="AT101" s="87" t="e">
        <f t="shared" si="280"/>
        <v>#DIV/0!</v>
      </c>
    </row>
    <row r="102" spans="2:46" ht="12.75" customHeight="1">
      <c r="B102" s="66" t="s">
        <v>110</v>
      </c>
      <c r="C102" s="96">
        <v>-29722</v>
      </c>
      <c r="D102" s="96">
        <v>-32900</v>
      </c>
      <c r="E102" s="96">
        <v>-72738</v>
      </c>
      <c r="F102" s="96">
        <v>-66897</v>
      </c>
      <c r="G102" s="96">
        <v>-72358</v>
      </c>
      <c r="H102" s="96">
        <v>-85971</v>
      </c>
      <c r="I102" s="96">
        <v>-89402</v>
      </c>
      <c r="J102" s="96">
        <v>-77550</v>
      </c>
      <c r="K102" s="96">
        <v>-94949</v>
      </c>
      <c r="L102" s="96">
        <v>-90711</v>
      </c>
      <c r="M102" s="72"/>
      <c r="N102" s="96">
        <v>-20478</v>
      </c>
      <c r="O102" s="96">
        <f>-43109-N102</f>
        <v>-22631</v>
      </c>
      <c r="P102" s="96">
        <f>-64974-SUM(N102:O102)</f>
        <v>-21865</v>
      </c>
      <c r="Q102" s="34">
        <f t="shared" si="276"/>
        <v>-24428</v>
      </c>
      <c r="R102" s="96">
        <v>-19475</v>
      </c>
      <c r="S102" s="96">
        <f>-39069-R102</f>
        <v>-19594</v>
      </c>
      <c r="T102" s="158">
        <f>-56547-5119-S102-R102</f>
        <v>-22597</v>
      </c>
      <c r="U102" s="34">
        <f t="shared" si="277"/>
        <v>-15884</v>
      </c>
      <c r="V102" s="96">
        <v>-20139</v>
      </c>
      <c r="W102" s="96">
        <f>-43344-V102</f>
        <v>-23205</v>
      </c>
      <c r="X102" s="96">
        <f>-69866-W102-V102</f>
        <v>-26522</v>
      </c>
      <c r="Y102" s="34">
        <f t="shared" si="278"/>
        <v>-25083</v>
      </c>
      <c r="Z102" s="96">
        <v>-23606</v>
      </c>
      <c r="AA102" s="96">
        <f>-49504-Z102</f>
        <v>-25898</v>
      </c>
      <c r="AB102" s="96">
        <f>-70579-AA102-Z102</f>
        <v>-21075</v>
      </c>
      <c r="AC102" s="34">
        <f t="shared" si="279"/>
        <v>-20132</v>
      </c>
      <c r="AD102" s="96">
        <f>-2922-24701</f>
        <v>-27623</v>
      </c>
      <c r="AF102" s="34">
        <f>SUM(O102:R102)</f>
        <v>-88399</v>
      </c>
      <c r="AG102" s="34">
        <f>SUM(P102:S102)</f>
        <v>-85362</v>
      </c>
      <c r="AH102" s="34">
        <f>SUM(Q102:T102)</f>
        <v>-86094</v>
      </c>
      <c r="AI102" s="34">
        <f>SUM(R102:U102)</f>
        <v>-77550</v>
      </c>
      <c r="AJ102" s="34">
        <f>SUM(S102:V102)</f>
        <v>-78214</v>
      </c>
      <c r="AK102" s="34">
        <f>SUM(T102:W102)</f>
        <v>-81825</v>
      </c>
      <c r="AL102" s="34">
        <f>SUM(U102:X102)</f>
        <v>-85750</v>
      </c>
      <c r="AM102" s="34">
        <f>SUM(V102:Y102)</f>
        <v>-94949</v>
      </c>
      <c r="AN102" s="34">
        <f>SUM(W102:Z102)</f>
        <v>-98416</v>
      </c>
      <c r="AO102" s="34">
        <f>SUM(X102:AA102)</f>
        <v>-101109</v>
      </c>
      <c r="AP102" s="34">
        <f>SUM(Y102:AB102)</f>
        <v>-95662</v>
      </c>
      <c r="AQ102" s="34">
        <f>SUM(Z102:AC102)</f>
        <v>-90711</v>
      </c>
      <c r="AR102" s="34">
        <f>SUM(AA102:AD102)</f>
        <v>-94728</v>
      </c>
      <c r="AS102" s="12"/>
      <c r="AT102" s="87">
        <f t="shared" si="280"/>
        <v>-3.74735815314583E-2</v>
      </c>
    </row>
    <row r="103" spans="2:46" ht="12.75" customHeight="1">
      <c r="B103" s="66" t="s">
        <v>122</v>
      </c>
      <c r="C103" s="96">
        <v>-397</v>
      </c>
      <c r="D103" s="96">
        <v>3852</v>
      </c>
      <c r="E103" s="96">
        <v>-37</v>
      </c>
      <c r="F103" s="96">
        <v>-5977</v>
      </c>
      <c r="G103" s="96">
        <v>-963</v>
      </c>
      <c r="H103" s="96">
        <v>1022</v>
      </c>
      <c r="I103" s="96">
        <v>3955</v>
      </c>
      <c r="J103" s="96">
        <v>-3978</v>
      </c>
      <c r="K103" s="96">
        <v>3960</v>
      </c>
      <c r="L103" s="96">
        <v>-2032</v>
      </c>
      <c r="M103" s="72"/>
      <c r="N103" s="96">
        <v>-1000</v>
      </c>
      <c r="O103" s="96">
        <f>999-N103</f>
        <v>1999</v>
      </c>
      <c r="P103" s="96">
        <f>4970-SUM(N103:O103)</f>
        <v>3971</v>
      </c>
      <c r="Q103" s="34">
        <f t="shared" si="276"/>
        <v>-1015</v>
      </c>
      <c r="R103" s="96">
        <v>-8214</v>
      </c>
      <c r="S103" s="96">
        <f>-7960-R103</f>
        <v>254</v>
      </c>
      <c r="T103" s="158">
        <f>-5971-S103-R103</f>
        <v>1989</v>
      </c>
      <c r="U103" s="34">
        <f t="shared" si="277"/>
        <v>1993</v>
      </c>
      <c r="V103" s="96">
        <v>-3984</v>
      </c>
      <c r="W103" s="96">
        <f>-3982-V103</f>
        <v>2</v>
      </c>
      <c r="X103" s="96">
        <f>-2985-W103-V103</f>
        <v>997</v>
      </c>
      <c r="Y103" s="34">
        <f t="shared" si="278"/>
        <v>6945</v>
      </c>
      <c r="Z103" s="96">
        <v>-7944</v>
      </c>
      <c r="AA103" s="96">
        <f>-3968-Z103</f>
        <v>3976</v>
      </c>
      <c r="AB103" s="96">
        <f>-65-AA103-Z103</f>
        <v>3903</v>
      </c>
      <c r="AC103" s="34">
        <f t="shared" si="279"/>
        <v>-1967</v>
      </c>
      <c r="AD103" s="96">
        <v>-5910</v>
      </c>
      <c r="AF103" s="34">
        <f>SUM(O103:R103)</f>
        <v>-3259</v>
      </c>
      <c r="AG103" s="34">
        <f>SUM(P103:S103)</f>
        <v>-5004</v>
      </c>
      <c r="AH103" s="34">
        <f>SUM(Q103:T103)</f>
        <v>-6986</v>
      </c>
      <c r="AI103" s="34">
        <f>SUM(R103:U103)</f>
        <v>-3978</v>
      </c>
      <c r="AJ103" s="34">
        <f>SUM(S103:V103)</f>
        <v>252</v>
      </c>
      <c r="AK103" s="34">
        <f>SUM(T103:W103)</f>
        <v>0</v>
      </c>
      <c r="AL103" s="34">
        <f>SUM(U103:X103)</f>
        <v>-992</v>
      </c>
      <c r="AM103" s="34">
        <f>SUM(V103:Y103)</f>
        <v>3960</v>
      </c>
      <c r="AN103" s="34">
        <f>SUM(W103:Z103)</f>
        <v>0</v>
      </c>
      <c r="AO103" s="34">
        <f>SUM(X103:AA103)</f>
        <v>3974</v>
      </c>
      <c r="AP103" s="34">
        <f>SUM(Y103:AB103)</f>
        <v>6880</v>
      </c>
      <c r="AQ103" s="34">
        <f>SUM(Z103:AC103)</f>
        <v>-2032</v>
      </c>
      <c r="AR103" s="34">
        <f>SUM(AA103:AD103)</f>
        <v>2</v>
      </c>
      <c r="AS103" s="12"/>
      <c r="AT103" s="87" t="e">
        <f t="shared" si="280"/>
        <v>#DIV/0!</v>
      </c>
    </row>
    <row r="104" spans="2:46" ht="12.75" customHeight="1">
      <c r="B104" s="66" t="s">
        <v>123</v>
      </c>
      <c r="C104" s="96">
        <v>0</v>
      </c>
      <c r="D104" s="96">
        <v>0</v>
      </c>
      <c r="E104" s="96">
        <v>0</v>
      </c>
      <c r="F104" s="96">
        <v>0</v>
      </c>
      <c r="G104" s="96">
        <v>0</v>
      </c>
      <c r="H104" s="96">
        <v>0</v>
      </c>
      <c r="I104" s="96">
        <v>0</v>
      </c>
      <c r="J104" s="96">
        <v>0</v>
      </c>
      <c r="K104" s="96">
        <v>0</v>
      </c>
      <c r="L104" s="96">
        <v>0</v>
      </c>
      <c r="M104" s="34"/>
      <c r="N104" s="96">
        <v>0</v>
      </c>
      <c r="O104" s="96">
        <v>0</v>
      </c>
      <c r="P104" s="96">
        <v>0</v>
      </c>
      <c r="Q104" s="34">
        <f t="shared" si="276"/>
        <v>0</v>
      </c>
      <c r="R104" s="96">
        <v>0</v>
      </c>
      <c r="S104" s="96">
        <v>0</v>
      </c>
      <c r="T104" s="158">
        <v>0</v>
      </c>
      <c r="U104" s="34">
        <f t="shared" si="277"/>
        <v>0</v>
      </c>
      <c r="V104" s="96">
        <v>0</v>
      </c>
      <c r="W104" s="96">
        <v>0</v>
      </c>
      <c r="X104" s="96">
        <v>0</v>
      </c>
      <c r="Y104" s="34">
        <f t="shared" si="278"/>
        <v>0</v>
      </c>
      <c r="Z104" s="96">
        <v>0</v>
      </c>
      <c r="AA104" s="96">
        <v>0</v>
      </c>
      <c r="AB104" s="96">
        <v>0</v>
      </c>
      <c r="AC104" s="34">
        <f t="shared" si="279"/>
        <v>0</v>
      </c>
      <c r="AD104" s="96">
        <v>0</v>
      </c>
      <c r="AF104" s="34">
        <f>SUM(O104:R104)</f>
        <v>0</v>
      </c>
      <c r="AG104" s="34">
        <f>SUM(P104:S104)</f>
        <v>0</v>
      </c>
      <c r="AH104" s="34">
        <f>SUM(Q104:T104)</f>
        <v>0</v>
      </c>
      <c r="AI104" s="34">
        <f>SUM(R104:U104)</f>
        <v>0</v>
      </c>
      <c r="AJ104" s="34">
        <f>SUM(S104:V104)</f>
        <v>0</v>
      </c>
      <c r="AK104" s="34">
        <f>SUM(T104:W104)</f>
        <v>0</v>
      </c>
      <c r="AL104" s="34">
        <f>SUM(U104:X104)</f>
        <v>0</v>
      </c>
      <c r="AM104" s="34">
        <f>SUM(V104:Y104)</f>
        <v>0</v>
      </c>
      <c r="AN104" s="34">
        <f>SUM(W104:Z104)</f>
        <v>0</v>
      </c>
      <c r="AO104" s="34">
        <f>SUM(X104:AA104)</f>
        <v>0</v>
      </c>
      <c r="AP104" s="34">
        <f>SUM(Y104:AB104)</f>
        <v>0</v>
      </c>
      <c r="AQ104" s="34">
        <f>SUM(Z104:AC104)</f>
        <v>0</v>
      </c>
      <c r="AR104" s="34">
        <f>SUM(AA104:AD104)</f>
        <v>0</v>
      </c>
      <c r="AS104" s="12"/>
      <c r="AT104" s="87" t="e">
        <f t="shared" si="280"/>
        <v>#DIV/0!</v>
      </c>
    </row>
    <row r="105" spans="2:46" ht="12.75" customHeight="1">
      <c r="B105" s="66" t="s">
        <v>83</v>
      </c>
      <c r="C105" s="96">
        <v>-1163</v>
      </c>
      <c r="D105" s="96">
        <v>-1247</v>
      </c>
      <c r="E105" s="96">
        <v>-2527</v>
      </c>
      <c r="F105" s="96">
        <v>-2922</v>
      </c>
      <c r="G105" s="96">
        <v>-3760</v>
      </c>
      <c r="H105" s="96">
        <v>-6685</v>
      </c>
      <c r="I105" s="96">
        <v>-6383</v>
      </c>
      <c r="J105" s="96">
        <v>-6012</v>
      </c>
      <c r="K105" s="96">
        <v>-5802</v>
      </c>
      <c r="L105" s="96">
        <f>-5960-111</f>
        <v>-6071</v>
      </c>
      <c r="M105" s="72"/>
      <c r="N105" s="96">
        <f>-2888-61</f>
        <v>-2949</v>
      </c>
      <c r="O105" s="96">
        <f>-3218-105-N105</f>
        <v>-374</v>
      </c>
      <c r="P105" s="96">
        <f>-148-5915-SUM(N105:O105)</f>
        <v>-2740</v>
      </c>
      <c r="Q105" s="34">
        <f t="shared" si="276"/>
        <v>-320</v>
      </c>
      <c r="R105" s="96">
        <f>-2316-389</f>
        <v>-2705</v>
      </c>
      <c r="S105" s="96">
        <f>-2734-455-R105</f>
        <v>-484</v>
      </c>
      <c r="T105" s="158">
        <f>-508-S105-R105</f>
        <v>2681</v>
      </c>
      <c r="U105" s="34">
        <f t="shared" si="277"/>
        <v>-5504</v>
      </c>
      <c r="V105" s="96">
        <f>-2591-46</f>
        <v>-2637</v>
      </c>
      <c r="W105" s="96">
        <f>-2875-V105-132</f>
        <v>-370</v>
      </c>
      <c r="X105" s="96">
        <f>-5163-191-W105-V105</f>
        <v>-2347</v>
      </c>
      <c r="Y105" s="34">
        <f t="shared" si="278"/>
        <v>-448</v>
      </c>
      <c r="Z105" s="96">
        <f>-2921-35</f>
        <v>-2956</v>
      </c>
      <c r="AA105" s="96">
        <f>-3205+-77-Z105</f>
        <v>-326</v>
      </c>
      <c r="AB105" s="96">
        <f>-5719+-87-AA105-Z105</f>
        <v>-2524</v>
      </c>
      <c r="AC105" s="34">
        <f t="shared" si="279"/>
        <v>-265</v>
      </c>
      <c r="AD105" s="96">
        <v>-38</v>
      </c>
      <c r="AF105" s="34">
        <f>SUM(O105:R105)</f>
        <v>-6139</v>
      </c>
      <c r="AG105" s="34">
        <f>SUM(P105:S105)</f>
        <v>-6249</v>
      </c>
      <c r="AH105" s="34">
        <f>SUM(Q105:T105)</f>
        <v>-828</v>
      </c>
      <c r="AI105" s="34">
        <f>SUM(R105:U105)</f>
        <v>-6012</v>
      </c>
      <c r="AJ105" s="34">
        <f>SUM(S105:V105)</f>
        <v>-5944</v>
      </c>
      <c r="AK105" s="34">
        <f>SUM(T105:W105)</f>
        <v>-5830</v>
      </c>
      <c r="AL105" s="34">
        <f>SUM(U105:X105)</f>
        <v>-10858</v>
      </c>
      <c r="AM105" s="34">
        <f>SUM(V105:Y105)</f>
        <v>-5802</v>
      </c>
      <c r="AN105" s="34">
        <f>SUM(W105:Z105)</f>
        <v>-6121</v>
      </c>
      <c r="AO105" s="34">
        <f>SUM(X105:AA105)</f>
        <v>-6077</v>
      </c>
      <c r="AP105" s="34">
        <f>SUM(Y105:AB105)</f>
        <v>-6254</v>
      </c>
      <c r="AQ105" s="34">
        <f>SUM(Z105:AC105)</f>
        <v>-6071</v>
      </c>
      <c r="AR105" s="34">
        <f>SUM(AA105:AD105)</f>
        <v>-3153</v>
      </c>
      <c r="AS105" s="12"/>
      <c r="AT105" s="87">
        <f t="shared" si="280"/>
        <v>-0.48488809018134293</v>
      </c>
    </row>
    <row r="106" spans="2:46" ht="12.75" customHeight="1">
      <c r="B106" s="66" t="s">
        <v>124</v>
      </c>
      <c r="C106" s="96">
        <v>-12150</v>
      </c>
      <c r="D106" s="96">
        <v>-12769</v>
      </c>
      <c r="E106" s="96">
        <v>-13712</v>
      </c>
      <c r="F106" s="96">
        <v>-14119</v>
      </c>
      <c r="G106" s="96">
        <v>-14081</v>
      </c>
      <c r="H106" s="96">
        <v>-14467</v>
      </c>
      <c r="I106" s="96">
        <v>-14841</v>
      </c>
      <c r="J106" s="96">
        <v>-14875</v>
      </c>
      <c r="K106" s="96">
        <v>-15234</v>
      </c>
      <c r="L106" s="96">
        <v>-15421</v>
      </c>
      <c r="M106" s="72"/>
      <c r="N106" s="96">
        <v>-3732</v>
      </c>
      <c r="O106" s="96">
        <f>-7327-N106</f>
        <v>-3595</v>
      </c>
      <c r="P106" s="96">
        <f>-11138-SUM(N106:O106)</f>
        <v>-3811</v>
      </c>
      <c r="Q106" s="34">
        <f t="shared" si="276"/>
        <v>-3703</v>
      </c>
      <c r="R106" s="96">
        <v>-3768</v>
      </c>
      <c r="S106" s="96">
        <f>-7418-R106</f>
        <v>-3650</v>
      </c>
      <c r="T106" s="158">
        <f>-11267-S106-R106</f>
        <v>-3849</v>
      </c>
      <c r="U106" s="34">
        <f t="shared" si="277"/>
        <v>-3608</v>
      </c>
      <c r="V106" s="96">
        <v>-3825</v>
      </c>
      <c r="W106" s="96">
        <f>-7535-V106</f>
        <v>-3710</v>
      </c>
      <c r="X106" s="96">
        <f>-11430-W106-V106</f>
        <v>-3895</v>
      </c>
      <c r="Y106" s="34">
        <f t="shared" si="278"/>
        <v>-3804</v>
      </c>
      <c r="Z106" s="96">
        <v>-3856</v>
      </c>
      <c r="AA106" s="96">
        <f>-7614-Z106</f>
        <v>-3758</v>
      </c>
      <c r="AB106" s="96">
        <f>-11559-AA106-Z106</f>
        <v>-3945</v>
      </c>
      <c r="AC106" s="34">
        <f t="shared" si="279"/>
        <v>-3862</v>
      </c>
      <c r="AD106" s="96">
        <v>-3921</v>
      </c>
      <c r="AF106" s="34">
        <f>SUM(O106:R106)</f>
        <v>-14877</v>
      </c>
      <c r="AG106" s="34">
        <f>SUM(P106:S106)</f>
        <v>-14932</v>
      </c>
      <c r="AH106" s="34">
        <f>SUM(Q106:T106)</f>
        <v>-14970</v>
      </c>
      <c r="AI106" s="34">
        <f>SUM(R106:U106)</f>
        <v>-14875</v>
      </c>
      <c r="AJ106" s="34">
        <f>SUM(S106:V106)</f>
        <v>-14932</v>
      </c>
      <c r="AK106" s="34">
        <f>SUM(T106:W106)</f>
        <v>-14992</v>
      </c>
      <c r="AL106" s="34">
        <f>SUM(U106:X106)</f>
        <v>-15038</v>
      </c>
      <c r="AM106" s="34">
        <f>SUM(V106:Y106)</f>
        <v>-15234</v>
      </c>
      <c r="AN106" s="34">
        <f>SUM(W106:Z106)</f>
        <v>-15265</v>
      </c>
      <c r="AO106" s="34">
        <f>SUM(X106:AA106)</f>
        <v>-15313</v>
      </c>
      <c r="AP106" s="34">
        <f>SUM(Y106:AB106)</f>
        <v>-15363</v>
      </c>
      <c r="AQ106" s="34">
        <f>SUM(Z106:AC106)</f>
        <v>-15421</v>
      </c>
      <c r="AR106" s="34">
        <f>SUM(AA106:AD106)</f>
        <v>-15486</v>
      </c>
      <c r="AS106" s="12"/>
      <c r="AT106" s="87">
        <f t="shared" si="280"/>
        <v>1.4477563052734954E-2</v>
      </c>
    </row>
    <row r="107" spans="2:46" ht="12.75" customHeight="1">
      <c r="B107" s="14" t="s">
        <v>79</v>
      </c>
      <c r="C107" s="15">
        <f t="shared" ref="C107:K107" si="281">SUM(C99:C106)</f>
        <v>-20483</v>
      </c>
      <c r="D107" s="15">
        <f t="shared" si="281"/>
        <v>-17347</v>
      </c>
      <c r="E107" s="15">
        <f t="shared" si="281"/>
        <v>-87876</v>
      </c>
      <c r="F107" s="15">
        <f t="shared" si="281"/>
        <v>-90976</v>
      </c>
      <c r="G107" s="15">
        <f t="shared" si="281"/>
        <v>-86820</v>
      </c>
      <c r="H107" s="15">
        <f t="shared" si="281"/>
        <v>-93353</v>
      </c>
      <c r="I107" s="15">
        <f t="shared" si="281"/>
        <v>-110749</v>
      </c>
      <c r="J107" s="15">
        <f t="shared" si="281"/>
        <v>-108338.10800000001</v>
      </c>
      <c r="K107" s="15">
        <f t="shared" si="281"/>
        <v>-121983</v>
      </c>
      <c r="L107" s="15">
        <f t="shared" ref="L107" si="282">SUM(L99:L106)</f>
        <v>-120686</v>
      </c>
      <c r="M107" s="34"/>
      <c r="N107" s="15">
        <f t="shared" ref="N107:AB107" si="283">SUM(N99:N106)</f>
        <v>-28159</v>
      </c>
      <c r="O107" s="15">
        <f t="shared" si="283"/>
        <v>-28351</v>
      </c>
      <c r="P107" s="15">
        <f t="shared" si="283"/>
        <v>-27445</v>
      </c>
      <c r="Q107" s="15">
        <f t="shared" si="283"/>
        <v>-26794</v>
      </c>
      <c r="R107" s="15">
        <f t="shared" si="283"/>
        <v>-35563</v>
      </c>
      <c r="S107" s="15">
        <f t="shared" si="283"/>
        <v>-25724</v>
      </c>
      <c r="T107" s="15">
        <f t="shared" si="283"/>
        <v>-24048</v>
      </c>
      <c r="U107" s="15">
        <f t="shared" si="283"/>
        <v>-23003.108</v>
      </c>
      <c r="V107" s="15">
        <f t="shared" si="283"/>
        <v>-30585</v>
      </c>
      <c r="W107" s="15">
        <f t="shared" si="283"/>
        <v>-30433</v>
      </c>
      <c r="X107" s="15">
        <f t="shared" si="283"/>
        <v>-36017</v>
      </c>
      <c r="Y107" s="15">
        <f t="shared" si="283"/>
        <v>-24948</v>
      </c>
      <c r="Z107" s="15">
        <f t="shared" si="283"/>
        <v>-39371</v>
      </c>
      <c r="AA107" s="36">
        <f t="shared" si="283"/>
        <v>-29006</v>
      </c>
      <c r="AB107" s="36">
        <f t="shared" si="283"/>
        <v>-24833</v>
      </c>
      <c r="AC107" s="36">
        <f t="shared" ref="AC107:AD107" si="284">SUM(AC99:AC106)</f>
        <v>-27476</v>
      </c>
      <c r="AD107" s="36">
        <f t="shared" si="284"/>
        <v>-39656</v>
      </c>
      <c r="AF107" s="36">
        <f t="shared" ref="AF107:AP107" si="285">SUM(AF99:AF106)</f>
        <v>-118153</v>
      </c>
      <c r="AG107" s="36">
        <f t="shared" si="285"/>
        <v>-115526</v>
      </c>
      <c r="AH107" s="15">
        <f t="shared" si="285"/>
        <v>-112129</v>
      </c>
      <c r="AI107" s="15">
        <f t="shared" si="285"/>
        <v>-108338.10800000001</v>
      </c>
      <c r="AJ107" s="15">
        <f t="shared" si="285"/>
        <v>-103360.10800000001</v>
      </c>
      <c r="AK107" s="15">
        <f t="shared" si="285"/>
        <v>-108069.10800000001</v>
      </c>
      <c r="AL107" s="15">
        <f t="shared" si="285"/>
        <v>-120038.10800000001</v>
      </c>
      <c r="AM107" s="15">
        <f t="shared" si="285"/>
        <v>-121983</v>
      </c>
      <c r="AN107" s="15">
        <f t="shared" si="285"/>
        <v>-130769</v>
      </c>
      <c r="AO107" s="15">
        <f t="shared" si="285"/>
        <v>-129342</v>
      </c>
      <c r="AP107" s="15">
        <f t="shared" si="285"/>
        <v>-118158</v>
      </c>
      <c r="AQ107" s="15">
        <f t="shared" ref="AQ107:AR107" si="286">SUM(AQ99:AQ106)</f>
        <v>-120686</v>
      </c>
      <c r="AR107" s="15">
        <f t="shared" si="286"/>
        <v>-120971</v>
      </c>
      <c r="AS107" s="45"/>
      <c r="AT107" s="88">
        <f t="shared" si="280"/>
        <v>-7.4926014575319888E-2</v>
      </c>
    </row>
    <row r="108" spans="2:46" ht="5.0999999999999996" customHeight="1">
      <c r="B108" s="8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34"/>
      <c r="N108" s="73"/>
      <c r="O108" s="73"/>
      <c r="P108" s="73"/>
      <c r="Q108" s="73"/>
      <c r="R108" s="73"/>
      <c r="S108" s="73"/>
      <c r="T108" s="73"/>
      <c r="U108" s="73"/>
      <c r="V108" s="74"/>
      <c r="W108" s="73"/>
      <c r="X108" s="73"/>
      <c r="Y108" s="73"/>
      <c r="Z108" s="73"/>
      <c r="AA108" s="73"/>
      <c r="AB108" s="73"/>
      <c r="AC108" s="73"/>
      <c r="AD108" s="73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51"/>
    </row>
    <row r="109" spans="2:46" ht="5.0999999999999996" customHeight="1">
      <c r="B109" s="83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12"/>
      <c r="AT109" s="51"/>
    </row>
    <row r="110" spans="2:46">
      <c r="B110" s="111" t="s">
        <v>180</v>
      </c>
      <c r="C110" s="149">
        <v>21120</v>
      </c>
      <c r="D110" s="112">
        <f t="shared" ref="D110:G110" si="287">C117</f>
        <v>20484</v>
      </c>
      <c r="E110" s="112">
        <f t="shared" si="287"/>
        <v>20289</v>
      </c>
      <c r="F110" s="112">
        <f t="shared" si="287"/>
        <v>25913</v>
      </c>
      <c r="G110" s="112">
        <f t="shared" si="287"/>
        <v>48844</v>
      </c>
      <c r="H110" s="112">
        <f>G117</f>
        <v>38016</v>
      </c>
      <c r="I110" s="112">
        <f t="shared" ref="I110:L110" si="288">H117</f>
        <v>34940</v>
      </c>
      <c r="J110" s="112">
        <f t="shared" si="288"/>
        <v>23646</v>
      </c>
      <c r="K110" s="112">
        <f t="shared" si="288"/>
        <v>29964.999999999993</v>
      </c>
      <c r="L110" s="112">
        <f t="shared" si="288"/>
        <v>29943</v>
      </c>
      <c r="M110" s="112"/>
      <c r="N110" s="112">
        <f>I110</f>
        <v>34940</v>
      </c>
      <c r="O110" s="112">
        <f t="shared" ref="O110:AD110" si="289">N117</f>
        <v>37119</v>
      </c>
      <c r="P110" s="112">
        <f t="shared" si="289"/>
        <v>28098</v>
      </c>
      <c r="Q110" s="112">
        <f t="shared" si="289"/>
        <v>27502</v>
      </c>
      <c r="R110" s="112">
        <f t="shared" si="289"/>
        <v>23646</v>
      </c>
      <c r="S110" s="112">
        <f t="shared" si="289"/>
        <v>20535</v>
      </c>
      <c r="T110" s="112">
        <f t="shared" si="289"/>
        <v>24687</v>
      </c>
      <c r="U110" s="112">
        <f t="shared" si="289"/>
        <v>28408</v>
      </c>
      <c r="V110" s="112">
        <f t="shared" si="289"/>
        <v>29965</v>
      </c>
      <c r="W110" s="112">
        <f t="shared" si="289"/>
        <v>40760</v>
      </c>
      <c r="X110" s="112">
        <f t="shared" si="289"/>
        <v>32695</v>
      </c>
      <c r="Y110" s="112">
        <f t="shared" si="289"/>
        <v>25565</v>
      </c>
      <c r="Z110" s="112">
        <f t="shared" si="289"/>
        <v>29943</v>
      </c>
      <c r="AA110" s="112">
        <f t="shared" si="289"/>
        <v>30299</v>
      </c>
      <c r="AB110" s="112">
        <f t="shared" si="289"/>
        <v>28162</v>
      </c>
      <c r="AC110" s="112">
        <f t="shared" si="289"/>
        <v>36269</v>
      </c>
      <c r="AD110" s="112">
        <f t="shared" si="289"/>
        <v>35934.000000000007</v>
      </c>
      <c r="AE110" s="112"/>
      <c r="AF110" s="112">
        <f>N117</f>
        <v>37119</v>
      </c>
      <c r="AG110" s="112">
        <f>O117</f>
        <v>28098</v>
      </c>
      <c r="AH110" s="112">
        <f>P117</f>
        <v>27502</v>
      </c>
      <c r="AI110" s="112">
        <f>Q117</f>
        <v>23646</v>
      </c>
      <c r="AJ110" s="112">
        <f>R117</f>
        <v>20535</v>
      </c>
      <c r="AK110" s="112">
        <f>S117</f>
        <v>24687</v>
      </c>
      <c r="AL110" s="112">
        <f>T117</f>
        <v>28408</v>
      </c>
      <c r="AM110" s="112">
        <f>U117</f>
        <v>29965</v>
      </c>
      <c r="AN110" s="112">
        <f>V117</f>
        <v>40760</v>
      </c>
      <c r="AO110" s="112">
        <f>W117</f>
        <v>32695</v>
      </c>
      <c r="AP110" s="112">
        <f>X117</f>
        <v>25565</v>
      </c>
      <c r="AQ110" s="160">
        <f>Y117</f>
        <v>29943</v>
      </c>
      <c r="AR110" s="160">
        <f>Z117</f>
        <v>30299</v>
      </c>
      <c r="AS110" s="12"/>
      <c r="AT110" s="51"/>
    </row>
    <row r="111" spans="2:46">
      <c r="B111" s="148" t="s">
        <v>133</v>
      </c>
      <c r="C111" s="96">
        <v>0</v>
      </c>
      <c r="D111" s="34">
        <f t="shared" ref="D111:F111" si="290">-C115</f>
        <v>0</v>
      </c>
      <c r="E111" s="34">
        <f t="shared" si="290"/>
        <v>0</v>
      </c>
      <c r="F111" s="34">
        <f t="shared" si="290"/>
        <v>0</v>
      </c>
      <c r="G111" s="34">
        <f>-F115</f>
        <v>1380</v>
      </c>
      <c r="H111" s="34">
        <f>-G115</f>
        <v>1773</v>
      </c>
      <c r="I111" s="34">
        <f>-H115</f>
        <v>989</v>
      </c>
      <c r="J111" s="34">
        <f t="shared" ref="J111:L111" si="291">-I115</f>
        <v>1331</v>
      </c>
      <c r="K111" s="34">
        <f t="shared" si="291"/>
        <v>921.89200000000005</v>
      </c>
      <c r="L111" s="34">
        <f t="shared" si="291"/>
        <v>149.891999999993</v>
      </c>
      <c r="M111" s="34"/>
      <c r="N111" s="34">
        <f>I111</f>
        <v>989</v>
      </c>
      <c r="O111" s="34">
        <f>-N115</f>
        <v>1511</v>
      </c>
      <c r="P111" s="34">
        <f t="shared" ref="P111:AD111" si="292">-O115</f>
        <v>1082</v>
      </c>
      <c r="Q111" s="34">
        <f t="shared" si="292"/>
        <v>1359</v>
      </c>
      <c r="R111" s="34">
        <f t="shared" si="292"/>
        <v>1331</v>
      </c>
      <c r="S111" s="34">
        <f t="shared" si="292"/>
        <v>1439</v>
      </c>
      <c r="T111" s="34">
        <f t="shared" si="292"/>
        <v>2442</v>
      </c>
      <c r="U111" s="34">
        <f t="shared" si="292"/>
        <v>1490</v>
      </c>
      <c r="V111" s="34">
        <f t="shared" si="292"/>
        <v>921.89199999999983</v>
      </c>
      <c r="W111" s="34">
        <f t="shared" si="292"/>
        <v>1363.8919999999998</v>
      </c>
      <c r="X111" s="34">
        <f t="shared" si="292"/>
        <v>1375.8919999999998</v>
      </c>
      <c r="Y111" s="34">
        <f t="shared" si="292"/>
        <v>1219.8919999999998</v>
      </c>
      <c r="Z111" s="34">
        <f t="shared" si="292"/>
        <v>149.89199999999983</v>
      </c>
      <c r="AA111" s="34">
        <f t="shared" si="292"/>
        <v>149.89199999999983</v>
      </c>
      <c r="AB111" s="34">
        <f t="shared" si="292"/>
        <v>149.89199999999983</v>
      </c>
      <c r="AC111" s="34">
        <f t="shared" si="292"/>
        <v>149.89199999999983</v>
      </c>
      <c r="AD111" s="34">
        <f t="shared" si="292"/>
        <v>149.891999999993</v>
      </c>
      <c r="AE111" s="34"/>
      <c r="AF111" s="34">
        <f>-N115</f>
        <v>1511</v>
      </c>
      <c r="AG111" s="34">
        <f>-O115</f>
        <v>1082</v>
      </c>
      <c r="AH111" s="34">
        <f>-P115</f>
        <v>1359</v>
      </c>
      <c r="AI111" s="34">
        <f>-Q115</f>
        <v>1331</v>
      </c>
      <c r="AJ111" s="34">
        <f>-R115</f>
        <v>1439</v>
      </c>
      <c r="AK111" s="34">
        <f>-S115</f>
        <v>2442</v>
      </c>
      <c r="AL111" s="34">
        <f>-T115</f>
        <v>1490</v>
      </c>
      <c r="AM111" s="34">
        <f>-U115</f>
        <v>921.89199999999983</v>
      </c>
      <c r="AN111" s="34">
        <f>-V115</f>
        <v>1363.8919999999998</v>
      </c>
      <c r="AO111" s="34">
        <f>-W115</f>
        <v>1375.8919999999998</v>
      </c>
      <c r="AP111" s="34">
        <f>-X115</f>
        <v>1219.8919999999998</v>
      </c>
      <c r="AQ111" s="160">
        <f>-Y115</f>
        <v>149.89199999999983</v>
      </c>
      <c r="AR111" s="160">
        <f>-Z115</f>
        <v>149.89199999999983</v>
      </c>
      <c r="AS111" s="12"/>
      <c r="AT111" s="51"/>
    </row>
    <row r="112" spans="2:46">
      <c r="B112" s="108" t="s">
        <v>130</v>
      </c>
      <c r="C112" s="151">
        <f t="shared" ref="C112:L112" si="293">SUM(C110:C111)</f>
        <v>21120</v>
      </c>
      <c r="D112" s="151">
        <f t="shared" si="293"/>
        <v>20484</v>
      </c>
      <c r="E112" s="151">
        <f t="shared" si="293"/>
        <v>20289</v>
      </c>
      <c r="F112" s="151">
        <f t="shared" si="293"/>
        <v>25913</v>
      </c>
      <c r="G112" s="151">
        <f t="shared" si="293"/>
        <v>50224</v>
      </c>
      <c r="H112" s="151">
        <f t="shared" si="293"/>
        <v>39789</v>
      </c>
      <c r="I112" s="151">
        <f t="shared" si="293"/>
        <v>35929</v>
      </c>
      <c r="J112" s="151">
        <f t="shared" si="293"/>
        <v>24977</v>
      </c>
      <c r="K112" s="151">
        <f t="shared" si="293"/>
        <v>30886.891999999993</v>
      </c>
      <c r="L112" s="151">
        <f t="shared" si="293"/>
        <v>30092.891999999993</v>
      </c>
      <c r="M112" s="34"/>
      <c r="N112" s="151">
        <f t="shared" ref="N112:AC112" si="294">SUM(N110:N111)</f>
        <v>35929</v>
      </c>
      <c r="O112" s="151">
        <f t="shared" si="294"/>
        <v>38630</v>
      </c>
      <c r="P112" s="151">
        <f t="shared" si="294"/>
        <v>29180</v>
      </c>
      <c r="Q112" s="151">
        <f t="shared" si="294"/>
        <v>28861</v>
      </c>
      <c r="R112" s="151">
        <f t="shared" si="294"/>
        <v>24977</v>
      </c>
      <c r="S112" s="151">
        <f t="shared" si="294"/>
        <v>21974</v>
      </c>
      <c r="T112" s="151">
        <f t="shared" si="294"/>
        <v>27129</v>
      </c>
      <c r="U112" s="151">
        <f t="shared" si="294"/>
        <v>29898</v>
      </c>
      <c r="V112" s="151">
        <f t="shared" si="294"/>
        <v>30886.892</v>
      </c>
      <c r="W112" s="151">
        <f t="shared" si="294"/>
        <v>42123.892</v>
      </c>
      <c r="X112" s="151">
        <f t="shared" si="294"/>
        <v>34070.892</v>
      </c>
      <c r="Y112" s="151">
        <f t="shared" si="294"/>
        <v>26784.892</v>
      </c>
      <c r="Z112" s="151">
        <f t="shared" si="294"/>
        <v>30092.892</v>
      </c>
      <c r="AA112" s="151">
        <f t="shared" si="294"/>
        <v>30448.892</v>
      </c>
      <c r="AB112" s="151">
        <f t="shared" si="294"/>
        <v>28311.892</v>
      </c>
      <c r="AC112" s="151">
        <f t="shared" si="294"/>
        <v>36418.892</v>
      </c>
      <c r="AD112" s="151">
        <f t="shared" ref="AD112" si="295">SUM(AD110:AD111)</f>
        <v>36083.892</v>
      </c>
      <c r="AE112" s="34"/>
      <c r="AF112" s="151">
        <f t="shared" ref="AF112:AQ112" si="296">SUM(AF110:AF111)</f>
        <v>38630</v>
      </c>
      <c r="AG112" s="151">
        <f t="shared" si="296"/>
        <v>29180</v>
      </c>
      <c r="AH112" s="151">
        <f t="shared" si="296"/>
        <v>28861</v>
      </c>
      <c r="AI112" s="151">
        <f t="shared" si="296"/>
        <v>24977</v>
      </c>
      <c r="AJ112" s="151">
        <f t="shared" si="296"/>
        <v>21974</v>
      </c>
      <c r="AK112" s="151">
        <f t="shared" si="296"/>
        <v>27129</v>
      </c>
      <c r="AL112" s="151">
        <f t="shared" si="296"/>
        <v>29898</v>
      </c>
      <c r="AM112" s="151">
        <f t="shared" si="296"/>
        <v>30886.892</v>
      </c>
      <c r="AN112" s="151">
        <f t="shared" si="296"/>
        <v>42123.892</v>
      </c>
      <c r="AO112" s="151">
        <f t="shared" si="296"/>
        <v>34070.892</v>
      </c>
      <c r="AP112" s="151">
        <f t="shared" si="296"/>
        <v>26784.892</v>
      </c>
      <c r="AQ112" s="157">
        <f t="shared" si="296"/>
        <v>30092.892</v>
      </c>
      <c r="AR112" s="157">
        <f t="shared" ref="AR112" si="297">SUM(AR110:AR111)</f>
        <v>30448.892</v>
      </c>
      <c r="AS112" s="12"/>
      <c r="AT112" s="51"/>
    </row>
    <row r="113" spans="2:46" ht="5.0999999999999996" customHeight="1">
      <c r="B113" s="107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160"/>
      <c r="AR113" s="160"/>
      <c r="AS113" s="12"/>
      <c r="AT113" s="51"/>
    </row>
    <row r="114" spans="2:46">
      <c r="B114" s="148" t="s">
        <v>179</v>
      </c>
      <c r="C114" s="96">
        <v>0</v>
      </c>
      <c r="D114" s="96">
        <v>0</v>
      </c>
      <c r="E114" s="96">
        <v>0</v>
      </c>
      <c r="F114" s="96">
        <v>0</v>
      </c>
      <c r="G114" s="96">
        <v>0</v>
      </c>
      <c r="H114" s="96">
        <v>0</v>
      </c>
      <c r="I114" s="96">
        <v>0</v>
      </c>
      <c r="J114" s="96">
        <v>0</v>
      </c>
      <c r="K114" s="96">
        <v>0</v>
      </c>
      <c r="L114" s="96">
        <v>0</v>
      </c>
      <c r="M114" s="34"/>
      <c r="N114" s="96">
        <v>0</v>
      </c>
      <c r="O114" s="96">
        <v>0</v>
      </c>
      <c r="P114" s="96">
        <v>0</v>
      </c>
      <c r="Q114" s="34">
        <f t="shared" ref="Q114" si="298">SUM(I114-SUM(N114:P114))</f>
        <v>0</v>
      </c>
      <c r="R114" s="96">
        <v>0</v>
      </c>
      <c r="S114" s="96">
        <v>0</v>
      </c>
      <c r="T114" s="96">
        <v>0</v>
      </c>
      <c r="U114" s="34">
        <f t="shared" ref="U114" si="299">SUM(J114-SUM(R114:T114))</f>
        <v>0</v>
      </c>
      <c r="V114" s="96">
        <v>0</v>
      </c>
      <c r="W114" s="96">
        <v>0</v>
      </c>
      <c r="X114" s="96">
        <v>0</v>
      </c>
      <c r="Y114" s="34">
        <f t="shared" ref="Y114" si="300">SUM(K114-SUM(V114:X114))</f>
        <v>0</v>
      </c>
      <c r="Z114" s="96">
        <v>0</v>
      </c>
      <c r="AA114" s="96">
        <v>0</v>
      </c>
      <c r="AB114" s="96">
        <v>0</v>
      </c>
      <c r="AC114" s="34">
        <f t="shared" ref="AC114" si="301">SUM(L114-SUM(Z114:AB114))</f>
        <v>0</v>
      </c>
      <c r="AD114" s="96">
        <v>0</v>
      </c>
      <c r="AE114" s="34"/>
      <c r="AF114" s="34">
        <f t="shared" ref="AF114" si="302">R114</f>
        <v>0</v>
      </c>
      <c r="AG114" s="34">
        <f t="shared" ref="AG114" si="303">S114</f>
        <v>0</v>
      </c>
      <c r="AH114" s="34">
        <f t="shared" ref="AH114" si="304">T114</f>
        <v>0</v>
      </c>
      <c r="AI114" s="34">
        <f t="shared" ref="AI114" si="305">U114</f>
        <v>0</v>
      </c>
      <c r="AJ114" s="34">
        <f t="shared" ref="AJ114" si="306">V114</f>
        <v>0</v>
      </c>
      <c r="AK114" s="34">
        <f t="shared" ref="AK114" si="307">W114</f>
        <v>0</v>
      </c>
      <c r="AL114" s="34">
        <f t="shared" ref="AL114" si="308">X114</f>
        <v>0</v>
      </c>
      <c r="AM114" s="34">
        <f t="shared" ref="AM114" si="309">Y114</f>
        <v>0</v>
      </c>
      <c r="AN114" s="34">
        <f t="shared" ref="AN114" si="310">Z114</f>
        <v>0</v>
      </c>
      <c r="AO114" s="34">
        <f t="shared" ref="AO114" si="311">AA114</f>
        <v>0</v>
      </c>
      <c r="AP114" s="34">
        <f>AB114</f>
        <v>0</v>
      </c>
      <c r="AQ114" s="160">
        <f>AC114</f>
        <v>0</v>
      </c>
      <c r="AR114" s="160">
        <f>AD114</f>
        <v>0</v>
      </c>
      <c r="AS114" s="12"/>
      <c r="AT114" s="51"/>
    </row>
    <row r="115" spans="2:46">
      <c r="B115" s="148" t="s">
        <v>132</v>
      </c>
      <c r="C115" s="96">
        <v>0</v>
      </c>
      <c r="D115" s="96">
        <v>0</v>
      </c>
      <c r="E115" s="96">
        <v>0</v>
      </c>
      <c r="F115" s="96">
        <f>-23-1357</f>
        <v>-1380</v>
      </c>
      <c r="G115" s="96">
        <f>-(1737+36)</f>
        <v>-1773</v>
      </c>
      <c r="H115" s="96">
        <v>-989</v>
      </c>
      <c r="I115" s="96">
        <v>-1331</v>
      </c>
      <c r="J115" s="96">
        <v>-921.89200000000005</v>
      </c>
      <c r="K115" s="96">
        <v>-149.891999999993</v>
      </c>
      <c r="L115" s="96">
        <v>-149.891999999993</v>
      </c>
      <c r="M115" s="34"/>
      <c r="N115" s="96">
        <v>-1511</v>
      </c>
      <c r="O115" s="96">
        <v>-1082</v>
      </c>
      <c r="P115" s="96">
        <v>-1359</v>
      </c>
      <c r="Q115" s="96">
        <v>-1331</v>
      </c>
      <c r="R115" s="96">
        <v>-1439</v>
      </c>
      <c r="S115" s="96">
        <v>-2442</v>
      </c>
      <c r="T115" s="96">
        <v>-1490</v>
      </c>
      <c r="U115" s="96">
        <v>-921.89199999999983</v>
      </c>
      <c r="V115" s="96">
        <v>-1363.8919999999998</v>
      </c>
      <c r="W115" s="96">
        <v>-1375.8919999999998</v>
      </c>
      <c r="X115" s="96">
        <v>-1219.8919999999998</v>
      </c>
      <c r="Y115" s="96">
        <v>-149.89199999999983</v>
      </c>
      <c r="Z115" s="96">
        <v>-149.89199999999983</v>
      </c>
      <c r="AA115" s="96">
        <v>-149.89199999999983</v>
      </c>
      <c r="AB115" s="96">
        <v>-149.89199999999983</v>
      </c>
      <c r="AC115" s="34">
        <f>L115</f>
        <v>-149.891999999993</v>
      </c>
      <c r="AD115" s="96">
        <v>-149.892</v>
      </c>
      <c r="AE115" s="34"/>
      <c r="AF115" s="34">
        <f>R115</f>
        <v>-1439</v>
      </c>
      <c r="AG115" s="34">
        <f>S115</f>
        <v>-2442</v>
      </c>
      <c r="AH115" s="34">
        <f>T115</f>
        <v>-1490</v>
      </c>
      <c r="AI115" s="34">
        <f>U115</f>
        <v>-921.89199999999983</v>
      </c>
      <c r="AJ115" s="34">
        <f>V115</f>
        <v>-1363.8919999999998</v>
      </c>
      <c r="AK115" s="34">
        <f>W115</f>
        <v>-1375.8919999999998</v>
      </c>
      <c r="AL115" s="34">
        <f>X115</f>
        <v>-1219.8919999999998</v>
      </c>
      <c r="AM115" s="34">
        <f>Y115</f>
        <v>-149.89199999999983</v>
      </c>
      <c r="AN115" s="34">
        <f>Z115</f>
        <v>-149.89199999999983</v>
      </c>
      <c r="AO115" s="34">
        <f>AA115</f>
        <v>-149.89199999999983</v>
      </c>
      <c r="AP115" s="34">
        <f>AB115</f>
        <v>-149.89199999999983</v>
      </c>
      <c r="AQ115" s="160">
        <f>AC115</f>
        <v>-149.891999999993</v>
      </c>
      <c r="AR115" s="160">
        <f>AD115</f>
        <v>-149.892</v>
      </c>
      <c r="AS115" s="12"/>
      <c r="AT115" s="51"/>
    </row>
    <row r="116" spans="2:46">
      <c r="B116" s="107" t="s">
        <v>85</v>
      </c>
      <c r="C116" s="34">
        <f t="shared" ref="C116:L116" si="312">+C107+C96+C88</f>
        <v>-636</v>
      </c>
      <c r="D116" s="34">
        <f t="shared" si="312"/>
        <v>-195</v>
      </c>
      <c r="E116" s="34">
        <f t="shared" si="312"/>
        <v>5624</v>
      </c>
      <c r="F116" s="34">
        <f t="shared" si="312"/>
        <v>24311</v>
      </c>
      <c r="G116" s="34">
        <f t="shared" si="312"/>
        <v>-10435</v>
      </c>
      <c r="H116" s="34">
        <f t="shared" si="312"/>
        <v>-3860</v>
      </c>
      <c r="I116" s="34">
        <f t="shared" si="312"/>
        <v>-10952</v>
      </c>
      <c r="J116" s="34">
        <f t="shared" si="312"/>
        <v>5909.8919999999925</v>
      </c>
      <c r="K116" s="34">
        <f t="shared" si="312"/>
        <v>-794</v>
      </c>
      <c r="L116" s="34">
        <f t="shared" si="312"/>
        <v>5991</v>
      </c>
      <c r="M116" s="34"/>
      <c r="N116" s="34">
        <f t="shared" ref="N116:AC116" si="313">+N107+N96+N88</f>
        <v>2701</v>
      </c>
      <c r="O116" s="34">
        <f t="shared" si="313"/>
        <v>-9450</v>
      </c>
      <c r="P116" s="34">
        <f t="shared" si="313"/>
        <v>-319</v>
      </c>
      <c r="Q116" s="34">
        <f t="shared" si="313"/>
        <v>-3884</v>
      </c>
      <c r="R116" s="34">
        <f t="shared" si="313"/>
        <v>-3003</v>
      </c>
      <c r="S116" s="34">
        <f t="shared" si="313"/>
        <v>5155</v>
      </c>
      <c r="T116" s="34">
        <f t="shared" si="313"/>
        <v>2769</v>
      </c>
      <c r="U116" s="34">
        <f t="shared" si="313"/>
        <v>988.89199999999983</v>
      </c>
      <c r="V116" s="34">
        <f t="shared" si="313"/>
        <v>11237</v>
      </c>
      <c r="W116" s="34">
        <f t="shared" si="313"/>
        <v>-8053</v>
      </c>
      <c r="X116" s="34">
        <f t="shared" si="313"/>
        <v>-7286</v>
      </c>
      <c r="Y116" s="34">
        <f t="shared" si="313"/>
        <v>3308</v>
      </c>
      <c r="Z116" s="34">
        <f t="shared" si="313"/>
        <v>356</v>
      </c>
      <c r="AA116" s="34">
        <f t="shared" si="313"/>
        <v>-2137</v>
      </c>
      <c r="AB116" s="34">
        <f t="shared" si="313"/>
        <v>8107</v>
      </c>
      <c r="AC116" s="34">
        <f t="shared" si="313"/>
        <v>-335</v>
      </c>
      <c r="AD116" s="34">
        <f t="shared" ref="AD116" si="314">+AD107+AD96+AD88</f>
        <v>9383</v>
      </c>
      <c r="AE116" s="34"/>
      <c r="AF116" s="34">
        <f t="shared" ref="AF116:AQ116" si="315">+AF107+AF96+AF88</f>
        <v>-16656</v>
      </c>
      <c r="AG116" s="34">
        <f t="shared" si="315"/>
        <v>-2051</v>
      </c>
      <c r="AH116" s="34">
        <f t="shared" si="315"/>
        <v>1037</v>
      </c>
      <c r="AI116" s="34">
        <f t="shared" si="315"/>
        <v>5909.8919999999925</v>
      </c>
      <c r="AJ116" s="34">
        <f t="shared" si="315"/>
        <v>20149.891999999993</v>
      </c>
      <c r="AK116" s="34">
        <f t="shared" si="315"/>
        <v>6941.8919999999925</v>
      </c>
      <c r="AL116" s="34">
        <f t="shared" si="315"/>
        <v>-3113.1080000000075</v>
      </c>
      <c r="AM116" s="34">
        <f t="shared" si="315"/>
        <v>-794</v>
      </c>
      <c r="AN116" s="34">
        <f t="shared" si="315"/>
        <v>-11675</v>
      </c>
      <c r="AO116" s="34">
        <f t="shared" si="315"/>
        <v>-5759</v>
      </c>
      <c r="AP116" s="34">
        <f t="shared" si="315"/>
        <v>9634</v>
      </c>
      <c r="AQ116" s="160">
        <f t="shared" si="315"/>
        <v>5991</v>
      </c>
      <c r="AR116" s="160">
        <f t="shared" ref="AR116" si="316">+AR107+AR96+AR88</f>
        <v>15018</v>
      </c>
      <c r="AS116" s="12"/>
      <c r="AT116" s="51"/>
    </row>
    <row r="117" spans="2:46">
      <c r="B117" s="108" t="s">
        <v>131</v>
      </c>
      <c r="C117" s="151">
        <f t="shared" ref="C117:F117" si="317">SUM(C112:C116)</f>
        <v>20484</v>
      </c>
      <c r="D117" s="151">
        <f t="shared" si="317"/>
        <v>20289</v>
      </c>
      <c r="E117" s="151">
        <f t="shared" si="317"/>
        <v>25913</v>
      </c>
      <c r="F117" s="151">
        <f t="shared" si="317"/>
        <v>48844</v>
      </c>
      <c r="G117" s="151">
        <f>SUM(G112:G116)</f>
        <v>38016</v>
      </c>
      <c r="H117" s="151">
        <f t="shared" ref="H117:K117" si="318">SUM(H112:H116)</f>
        <v>34940</v>
      </c>
      <c r="I117" s="151">
        <f t="shared" si="318"/>
        <v>23646</v>
      </c>
      <c r="J117" s="151">
        <f t="shared" si="318"/>
        <v>29964.999999999993</v>
      </c>
      <c r="K117" s="151">
        <f t="shared" si="318"/>
        <v>29943</v>
      </c>
      <c r="L117" s="151">
        <f t="shared" ref="L117" si="319">SUM(L112:L116)</f>
        <v>35934</v>
      </c>
      <c r="M117" s="34"/>
      <c r="N117" s="151">
        <f t="shared" ref="N117" si="320">SUM(N112:N116)</f>
        <v>37119</v>
      </c>
      <c r="O117" s="151">
        <f t="shared" ref="O117" si="321">SUM(O112:O116)</f>
        <v>28098</v>
      </c>
      <c r="P117" s="151">
        <f t="shared" ref="P117" si="322">SUM(P112:P116)</f>
        <v>27502</v>
      </c>
      <c r="Q117" s="151">
        <f t="shared" ref="Q117" si="323">SUM(Q112:Q116)</f>
        <v>23646</v>
      </c>
      <c r="R117" s="151">
        <f t="shared" ref="R117" si="324">SUM(R112:R116)</f>
        <v>20535</v>
      </c>
      <c r="S117" s="151">
        <f t="shared" ref="S117" si="325">SUM(S112:S116)</f>
        <v>24687</v>
      </c>
      <c r="T117" s="151">
        <f t="shared" ref="T117" si="326">SUM(T112:T116)</f>
        <v>28408</v>
      </c>
      <c r="U117" s="151">
        <f t="shared" ref="U117" si="327">SUM(U112:U116)</f>
        <v>29965</v>
      </c>
      <c r="V117" s="151">
        <f t="shared" ref="V117" si="328">SUM(V112:V116)</f>
        <v>40760</v>
      </c>
      <c r="W117" s="151">
        <f t="shared" ref="W117" si="329">SUM(W112:W116)</f>
        <v>32695</v>
      </c>
      <c r="X117" s="151">
        <f t="shared" ref="X117" si="330">SUM(X112:X116)</f>
        <v>25565</v>
      </c>
      <c r="Y117" s="151">
        <f t="shared" ref="Y117" si="331">SUM(Y112:Y116)</f>
        <v>29943</v>
      </c>
      <c r="Z117" s="151">
        <f t="shared" ref="Z117" si="332">SUM(Z112:Z116)</f>
        <v>30299</v>
      </c>
      <c r="AA117" s="151">
        <f t="shared" ref="AA117" si="333">SUM(AA112:AA116)</f>
        <v>28162</v>
      </c>
      <c r="AB117" s="151">
        <f t="shared" ref="AB117:AC117" si="334">SUM(AB112:AB116)</f>
        <v>36269</v>
      </c>
      <c r="AC117" s="151">
        <f t="shared" si="334"/>
        <v>35934.000000000007</v>
      </c>
      <c r="AD117" s="151">
        <f t="shared" ref="AD117" si="335">SUM(AD112:AD116)</f>
        <v>45317</v>
      </c>
      <c r="AE117" s="34"/>
      <c r="AF117" s="151">
        <f t="shared" ref="AF117" si="336">SUM(AF112:AF116)</f>
        <v>20535</v>
      </c>
      <c r="AG117" s="151">
        <f t="shared" ref="AG117" si="337">SUM(AG112:AG116)</f>
        <v>24687</v>
      </c>
      <c r="AH117" s="151">
        <f t="shared" ref="AH117" si="338">SUM(AH112:AH116)</f>
        <v>28408</v>
      </c>
      <c r="AI117" s="151">
        <f t="shared" ref="AI117" si="339">SUM(AI112:AI116)</f>
        <v>29964.999999999993</v>
      </c>
      <c r="AJ117" s="151">
        <f t="shared" ref="AJ117" si="340">SUM(AJ112:AJ116)</f>
        <v>40759.999999999993</v>
      </c>
      <c r="AK117" s="151">
        <f t="shared" ref="AK117" si="341">SUM(AK112:AK116)</f>
        <v>32694.999999999993</v>
      </c>
      <c r="AL117" s="151">
        <f t="shared" ref="AL117" si="342">SUM(AL112:AL116)</f>
        <v>25564.999999999993</v>
      </c>
      <c r="AM117" s="151">
        <f t="shared" ref="AM117" si="343">SUM(AM112:AM116)</f>
        <v>29943</v>
      </c>
      <c r="AN117" s="151">
        <f t="shared" ref="AN117" si="344">SUM(AN112:AN116)</f>
        <v>30299</v>
      </c>
      <c r="AO117" s="151">
        <f t="shared" ref="AO117" si="345">SUM(AO112:AO116)</f>
        <v>28162</v>
      </c>
      <c r="AP117" s="151">
        <f t="shared" ref="AP117:AQ117" si="346">SUM(AP112:AP116)</f>
        <v>36269</v>
      </c>
      <c r="AQ117" s="157">
        <f t="shared" si="346"/>
        <v>35934.000000000007</v>
      </c>
      <c r="AR117" s="157">
        <f t="shared" ref="AR117" si="347">SUM(AR112:AR116)</f>
        <v>45317</v>
      </c>
      <c r="AS117" s="12"/>
      <c r="AT117" s="51"/>
    </row>
    <row r="118" spans="2:46" ht="5.0999999999999996" customHeight="1">
      <c r="B118" s="109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34"/>
      <c r="N118" s="73"/>
      <c r="O118" s="73"/>
      <c r="P118" s="73"/>
      <c r="Q118" s="73"/>
      <c r="R118" s="73"/>
      <c r="S118" s="73"/>
      <c r="T118" s="73"/>
      <c r="U118" s="73"/>
      <c r="V118" s="74"/>
      <c r="W118" s="73"/>
      <c r="X118" s="73"/>
      <c r="Y118" s="73"/>
      <c r="Z118" s="73"/>
      <c r="AA118" s="73"/>
      <c r="AB118" s="73"/>
      <c r="AC118" s="73"/>
      <c r="AD118" s="73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61"/>
      <c r="AR118" s="161"/>
      <c r="AS118" s="12"/>
      <c r="AT118" s="51"/>
    </row>
    <row r="119" spans="2:46">
      <c r="B119" s="110" t="s">
        <v>84</v>
      </c>
      <c r="C119" s="101">
        <f>C117-C39</f>
        <v>0</v>
      </c>
      <c r="D119" s="101">
        <f>D117-D39</f>
        <v>0</v>
      </c>
      <c r="E119" s="101">
        <f>E117-E39</f>
        <v>0</v>
      </c>
      <c r="F119" s="101">
        <f>F117-F39</f>
        <v>0</v>
      </c>
      <c r="G119" s="101">
        <f>G117-G39</f>
        <v>0</v>
      </c>
      <c r="H119" s="101">
        <f>H117-H39</f>
        <v>0</v>
      </c>
      <c r="I119" s="101">
        <f>I117-I39</f>
        <v>0</v>
      </c>
      <c r="J119" s="102">
        <f>J117-J39</f>
        <v>0</v>
      </c>
      <c r="K119" s="103">
        <f>K117-K39</f>
        <v>0</v>
      </c>
      <c r="L119" s="103">
        <f>L117-L39</f>
        <v>0</v>
      </c>
      <c r="M119" s="104"/>
      <c r="N119" s="105">
        <f>N117-N39</f>
        <v>0</v>
      </c>
      <c r="O119" s="105">
        <f>O117-O39</f>
        <v>0</v>
      </c>
      <c r="P119" s="105">
        <f>P117-P39</f>
        <v>0</v>
      </c>
      <c r="Q119" s="105">
        <f>Q117-Q39</f>
        <v>0</v>
      </c>
      <c r="R119" s="105">
        <f>R117-R39</f>
        <v>0</v>
      </c>
      <c r="S119" s="105">
        <f>S117-S39</f>
        <v>0</v>
      </c>
      <c r="T119" s="105">
        <f>T117-T39</f>
        <v>0</v>
      </c>
      <c r="U119" s="105">
        <f>U117-U39</f>
        <v>0</v>
      </c>
      <c r="V119" s="105">
        <f>V117-V39</f>
        <v>0</v>
      </c>
      <c r="W119" s="105">
        <f>W117-W39</f>
        <v>0</v>
      </c>
      <c r="X119" s="105">
        <f>X117-X39</f>
        <v>0</v>
      </c>
      <c r="Y119" s="105">
        <f>Y117-Y39</f>
        <v>0</v>
      </c>
      <c r="Z119" s="105">
        <f>Z117-Z39</f>
        <v>0</v>
      </c>
      <c r="AA119" s="105">
        <f>AA117-AA39</f>
        <v>0</v>
      </c>
      <c r="AB119" s="105">
        <f>AB117-AB39</f>
        <v>0</v>
      </c>
      <c r="AC119" s="105">
        <f>AC117-AC39</f>
        <v>0</v>
      </c>
      <c r="AD119" s="105">
        <f>AD117-AD39</f>
        <v>0</v>
      </c>
      <c r="AE119" s="106"/>
      <c r="AF119" s="105">
        <f>AF117-AF39</f>
        <v>0</v>
      </c>
      <c r="AG119" s="105">
        <f>AG117-AG39</f>
        <v>0</v>
      </c>
      <c r="AH119" s="105">
        <f>AH117-AH39</f>
        <v>0</v>
      </c>
      <c r="AI119" s="105">
        <f>AI117-AI39</f>
        <v>0</v>
      </c>
      <c r="AJ119" s="105">
        <f>AJ117-AJ39</f>
        <v>0</v>
      </c>
      <c r="AK119" s="105">
        <f>AK117-AK39</f>
        <v>0</v>
      </c>
      <c r="AL119" s="105">
        <f>AL117-AL39</f>
        <v>0</v>
      </c>
      <c r="AM119" s="105">
        <f>AM117-AM39</f>
        <v>0</v>
      </c>
      <c r="AN119" s="105">
        <f>AN117-AN39</f>
        <v>0</v>
      </c>
      <c r="AO119" s="105">
        <f>AO117-AO39</f>
        <v>0</v>
      </c>
      <c r="AP119" s="105">
        <f>AP117-AP39</f>
        <v>0</v>
      </c>
      <c r="AQ119" s="162">
        <f>AQ117-AQ39</f>
        <v>0</v>
      </c>
      <c r="AR119" s="162">
        <f>AR117-AR39</f>
        <v>0</v>
      </c>
      <c r="AS119" s="12"/>
      <c r="AT119" s="51"/>
    </row>
    <row r="120" spans="2:46" ht="5.0999999999999996" customHeight="1">
      <c r="B120" s="8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34"/>
      <c r="N120" s="73"/>
      <c r="O120" s="73"/>
      <c r="P120" s="73"/>
      <c r="Q120" s="73"/>
      <c r="R120" s="73"/>
      <c r="S120" s="73"/>
      <c r="T120" s="73"/>
      <c r="U120" s="73"/>
      <c r="V120" s="74"/>
      <c r="W120" s="73"/>
      <c r="X120" s="73"/>
      <c r="Y120" s="73"/>
      <c r="Z120" s="73"/>
      <c r="AA120" s="73"/>
      <c r="AB120" s="73"/>
      <c r="AC120" s="73"/>
      <c r="AD120" s="73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51"/>
    </row>
    <row r="121" spans="2:46" ht="12.75" customHeight="1">
      <c r="B121" s="84" t="s">
        <v>87</v>
      </c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12"/>
      <c r="N121" s="68"/>
      <c r="O121" s="68"/>
      <c r="P121" s="68"/>
      <c r="Q121" s="96"/>
      <c r="R121" s="68"/>
      <c r="S121" s="68"/>
      <c r="T121" s="68"/>
      <c r="U121" s="68"/>
      <c r="V121" s="75"/>
      <c r="W121" s="68"/>
      <c r="X121" s="68"/>
      <c r="Y121" s="68"/>
      <c r="Z121" s="68"/>
      <c r="AA121" s="68"/>
      <c r="AB121" s="68"/>
      <c r="AC121" s="68"/>
      <c r="AD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76"/>
      <c r="AT121" s="51"/>
    </row>
    <row r="122" spans="2:46" ht="12.75" customHeight="1">
      <c r="B122" s="8" t="s">
        <v>128</v>
      </c>
      <c r="C122" s="96">
        <v>10444</v>
      </c>
      <c r="D122" s="96">
        <v>11591</v>
      </c>
      <c r="E122" s="96">
        <v>10417</v>
      </c>
      <c r="F122" s="96">
        <v>15263</v>
      </c>
      <c r="G122" s="96">
        <v>9501</v>
      </c>
      <c r="H122" s="96">
        <v>25385</v>
      </c>
      <c r="I122" s="96">
        <v>19573</v>
      </c>
      <c r="J122" s="96">
        <v>18679</v>
      </c>
      <c r="K122" s="96">
        <v>26102</v>
      </c>
      <c r="L122" s="96">
        <v>43369</v>
      </c>
      <c r="M122" s="34"/>
      <c r="N122" s="96">
        <v>5235</v>
      </c>
      <c r="O122" s="96">
        <f>9301-N122</f>
        <v>4066</v>
      </c>
      <c r="P122" s="96">
        <f>12251-O122-N122</f>
        <v>2950</v>
      </c>
      <c r="Q122" s="34">
        <f t="shared" ref="Q122:Q123" si="348">SUM(I122-SUM(N122:P122))</f>
        <v>7322</v>
      </c>
      <c r="R122" s="96">
        <v>828</v>
      </c>
      <c r="S122" s="96">
        <f>4894-R122</f>
        <v>4066</v>
      </c>
      <c r="T122" s="96">
        <f>7020-S122-R122</f>
        <v>2126</v>
      </c>
      <c r="U122" s="34">
        <f t="shared" ref="U122:U123" si="349">SUM(J122-SUM(R122:T122))</f>
        <v>11659</v>
      </c>
      <c r="V122" s="96">
        <v>7255</v>
      </c>
      <c r="W122" s="96">
        <f>14531-V122</f>
        <v>7276</v>
      </c>
      <c r="X122" s="96">
        <f>19230-W122-V122</f>
        <v>4699</v>
      </c>
      <c r="Y122" s="34">
        <f t="shared" ref="Y122:Y123" si="350">SUM(K122-SUM(V122:X122))</f>
        <v>6872</v>
      </c>
      <c r="Z122" s="96">
        <v>18651</v>
      </c>
      <c r="AA122" s="96">
        <f>31683-Z122</f>
        <v>13032</v>
      </c>
      <c r="AB122" s="96">
        <f>37332-AA122-Z122</f>
        <v>5649</v>
      </c>
      <c r="AC122" s="34">
        <f t="shared" ref="AC122:AC123" si="351">SUM(L122-SUM(Z122:AB122))</f>
        <v>6037</v>
      </c>
      <c r="AD122" s="96">
        <v>3434</v>
      </c>
      <c r="AE122" s="34"/>
      <c r="AF122" s="34">
        <f t="shared" ref="AF122:AR123" si="352">SUM(O122:R122)</f>
        <v>15166</v>
      </c>
      <c r="AG122" s="34">
        <f t="shared" si="352"/>
        <v>15166</v>
      </c>
      <c r="AH122" s="34">
        <f t="shared" si="352"/>
        <v>14342</v>
      </c>
      <c r="AI122" s="34">
        <f t="shared" si="352"/>
        <v>18679</v>
      </c>
      <c r="AJ122" s="34">
        <f t="shared" si="352"/>
        <v>25106</v>
      </c>
      <c r="AK122" s="34">
        <f t="shared" si="352"/>
        <v>28316</v>
      </c>
      <c r="AL122" s="34">
        <f t="shared" si="352"/>
        <v>30889</v>
      </c>
      <c r="AM122" s="34">
        <f t="shared" si="352"/>
        <v>26102</v>
      </c>
      <c r="AN122" s="34">
        <f t="shared" si="352"/>
        <v>37498</v>
      </c>
      <c r="AO122" s="34">
        <f t="shared" si="352"/>
        <v>43254</v>
      </c>
      <c r="AP122" s="34">
        <f t="shared" si="352"/>
        <v>44204</v>
      </c>
      <c r="AQ122" s="34">
        <f t="shared" si="352"/>
        <v>43369</v>
      </c>
      <c r="AR122" s="34">
        <f t="shared" si="352"/>
        <v>28152</v>
      </c>
      <c r="AS122" s="12"/>
      <c r="AT122" s="51"/>
    </row>
    <row r="123" spans="2:46" ht="12.75" customHeight="1">
      <c r="B123" s="5" t="s">
        <v>129</v>
      </c>
      <c r="C123" s="96">
        <v>1316</v>
      </c>
      <c r="D123" s="96">
        <v>2092</v>
      </c>
      <c r="E123" s="96">
        <v>3022</v>
      </c>
      <c r="F123" s="96">
        <v>3423</v>
      </c>
      <c r="G123" s="96">
        <v>3002</v>
      </c>
      <c r="H123" s="96">
        <v>2687</v>
      </c>
      <c r="I123" s="96">
        <v>2865</v>
      </c>
      <c r="J123" s="96">
        <v>3803</v>
      </c>
      <c r="K123" s="96">
        <v>0</v>
      </c>
      <c r="L123" s="96">
        <v>0</v>
      </c>
      <c r="M123" s="34"/>
      <c r="N123" s="96">
        <v>531</v>
      </c>
      <c r="O123" s="96">
        <f>1406-N123</f>
        <v>875</v>
      </c>
      <c r="P123" s="96">
        <f>1910-O123-N123</f>
        <v>504</v>
      </c>
      <c r="Q123" s="34">
        <f t="shared" si="348"/>
        <v>955</v>
      </c>
      <c r="R123" s="96">
        <v>703</v>
      </c>
      <c r="S123" s="96">
        <f>1873-R123</f>
        <v>1170</v>
      </c>
      <c r="T123" s="96">
        <f>2590-S123-R123</f>
        <v>717</v>
      </c>
      <c r="U123" s="34">
        <f t="shared" si="349"/>
        <v>1213</v>
      </c>
      <c r="V123" s="96">
        <v>0</v>
      </c>
      <c r="W123" s="96">
        <v>0</v>
      </c>
      <c r="X123" s="96">
        <v>0</v>
      </c>
      <c r="Y123" s="34">
        <f t="shared" si="350"/>
        <v>0</v>
      </c>
      <c r="Z123" s="96">
        <v>0</v>
      </c>
      <c r="AA123" s="96">
        <v>0</v>
      </c>
      <c r="AB123" s="96">
        <v>0</v>
      </c>
      <c r="AC123" s="34">
        <f t="shared" si="351"/>
        <v>0</v>
      </c>
      <c r="AD123" s="96">
        <v>0</v>
      </c>
      <c r="AE123" s="34"/>
      <c r="AF123" s="34">
        <f t="shared" si="352"/>
        <v>3037</v>
      </c>
      <c r="AG123" s="34">
        <f t="shared" si="352"/>
        <v>3332</v>
      </c>
      <c r="AH123" s="34">
        <f t="shared" si="352"/>
        <v>3545</v>
      </c>
      <c r="AI123" s="34">
        <f t="shared" si="352"/>
        <v>3803</v>
      </c>
      <c r="AJ123" s="34">
        <f t="shared" si="352"/>
        <v>3100</v>
      </c>
      <c r="AK123" s="34">
        <f t="shared" si="352"/>
        <v>1930</v>
      </c>
      <c r="AL123" s="34">
        <f t="shared" si="352"/>
        <v>1213</v>
      </c>
      <c r="AM123" s="34">
        <f t="shared" si="352"/>
        <v>0</v>
      </c>
      <c r="AN123" s="34">
        <f t="shared" si="352"/>
        <v>0</v>
      </c>
      <c r="AO123" s="34">
        <f t="shared" si="352"/>
        <v>0</v>
      </c>
      <c r="AP123" s="34">
        <f t="shared" si="352"/>
        <v>0</v>
      </c>
      <c r="AQ123" s="34">
        <f t="shared" si="352"/>
        <v>0</v>
      </c>
      <c r="AR123" s="34">
        <f t="shared" si="352"/>
        <v>0</v>
      </c>
      <c r="AT123" s="51"/>
    </row>
    <row r="124" spans="2:46" ht="5.0999999999999996" customHeight="1" thickBot="1">
      <c r="B124" s="85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5"/>
      <c r="AM124" s="85"/>
      <c r="AN124" s="85"/>
      <c r="AO124" s="85"/>
      <c r="AP124" s="85"/>
      <c r="AQ124" s="85"/>
      <c r="AR124" s="85"/>
      <c r="AT124" s="51"/>
    </row>
    <row r="125" spans="2:46" ht="12.75" customHeight="1">
      <c r="B125" s="59"/>
      <c r="C125" s="77"/>
      <c r="D125" s="77"/>
      <c r="E125" s="77"/>
      <c r="F125" s="77"/>
      <c r="G125" s="77"/>
      <c r="H125" s="77"/>
      <c r="I125" s="77"/>
      <c r="J125" s="77"/>
      <c r="K125" s="77"/>
      <c r="L125" s="77"/>
    </row>
    <row r="126" spans="2:46" ht="12.75" customHeight="1">
      <c r="C126" s="62"/>
      <c r="D126" s="62"/>
      <c r="E126" s="62"/>
      <c r="F126" s="62"/>
      <c r="G126" s="62"/>
      <c r="H126" s="62"/>
      <c r="I126" s="62"/>
      <c r="J126" s="62"/>
      <c r="K126" s="62"/>
      <c r="L126" s="62"/>
    </row>
    <row r="127" spans="2:46" ht="12.75" customHeight="1">
      <c r="C127" s="62"/>
      <c r="D127" s="62"/>
      <c r="E127" s="62"/>
      <c r="F127" s="62"/>
      <c r="G127" s="62"/>
      <c r="H127" s="62"/>
      <c r="I127" s="62"/>
      <c r="J127" s="62"/>
      <c r="K127" s="62"/>
      <c r="L127" s="62"/>
    </row>
    <row r="128" spans="2:46" ht="12.75" customHeight="1">
      <c r="C128" s="62"/>
      <c r="D128" s="62"/>
      <c r="E128" s="62"/>
      <c r="F128" s="62"/>
      <c r="G128" s="62"/>
      <c r="H128" s="62"/>
      <c r="I128" s="62"/>
      <c r="J128" s="62"/>
      <c r="K128" s="62"/>
      <c r="L128" s="62"/>
    </row>
    <row r="129" spans="3:14" ht="12.75" customHeight="1">
      <c r="C129" s="62"/>
      <c r="D129" s="62"/>
      <c r="E129" s="62"/>
      <c r="F129" s="62"/>
      <c r="G129" s="62"/>
      <c r="H129" s="62"/>
      <c r="I129" s="62"/>
      <c r="J129" s="62"/>
      <c r="K129" s="62"/>
      <c r="L129" s="62"/>
    </row>
    <row r="130" spans="3:14" ht="12.75" customHeight="1"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N130" s="100"/>
    </row>
    <row r="131" spans="3:14" ht="12.75" customHeight="1">
      <c r="C131" s="62"/>
      <c r="D131" s="62"/>
      <c r="E131" s="62"/>
      <c r="F131" s="62"/>
      <c r="G131" s="62"/>
      <c r="H131" s="62"/>
      <c r="I131" s="62"/>
      <c r="J131" s="62"/>
      <c r="K131" s="62"/>
      <c r="L131" s="62"/>
    </row>
    <row r="132" spans="3:14" ht="12.75" customHeight="1"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N132" s="100"/>
    </row>
    <row r="133" spans="3:14">
      <c r="N133" s="100"/>
    </row>
    <row r="134" spans="3:14">
      <c r="N134" s="100"/>
    </row>
    <row r="136" spans="3:14">
      <c r="N136" s="100"/>
    </row>
    <row r="137" spans="3:14">
      <c r="N137" s="100"/>
    </row>
  </sheetData>
  <mergeCells count="3">
    <mergeCell ref="AT6:AT8"/>
    <mergeCell ref="AT35:AT37"/>
    <mergeCell ref="AT70:AT72"/>
  </mergeCells>
  <pageMargins left="0.7" right="0.7" top="0.75" bottom="0.75" header="0.3" footer="0.3"/>
  <pageSetup orientation="landscape" r:id="rId1"/>
  <ignoredErrors>
    <ignoredError sqref="AP14:AP16 AP26:AP27 M44" formulaRange="1"/>
    <ignoredError sqref="AT12 AT89:AT90 AT16 AT21 AT28 AT24 AT31 AT34:AT38 AT45 AT50 AT57 AT61 AT67:AT74 AT76:AT77 AT82:AT83 AT97:AT98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T102"/>
  <sheetViews>
    <sheetView showGridLines="0" zoomScaleNormal="100" workbookViewId="0">
      <selection activeCell="AT18" sqref="AT18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9" width="7.875" style="8" hidden="1" customWidth="1" outlineLevel="1"/>
    <col min="10" max="10" width="7.875" style="8" bestFit="1" customWidth="1" collapsed="1"/>
    <col min="11" max="12" width="7.875" style="8" bestFit="1" customWidth="1"/>
    <col min="13" max="13" width="1.5" style="8" customWidth="1"/>
    <col min="14" max="14" width="8.625" style="8" hidden="1" customWidth="1" outlineLevel="1"/>
    <col min="15" max="16" width="7.875" style="8" hidden="1" customWidth="1" outlineLevel="1"/>
    <col min="17" max="17" width="8.75" style="8" hidden="1" customWidth="1" outlineLevel="1"/>
    <col min="18" max="18" width="8.625" style="8" hidden="1" customWidth="1" outlineLevel="1"/>
    <col min="19" max="20" width="8" style="8" hidden="1" customWidth="1" outlineLevel="1"/>
    <col min="21" max="21" width="8.75" style="8" hidden="1" customWidth="1" outlineLevel="1"/>
    <col min="22" max="22" width="8.5" style="8" hidden="1" customWidth="1" outlineLevel="1"/>
    <col min="23" max="23" width="8.25" style="8" hidden="1" customWidth="1" outlineLevel="1"/>
    <col min="24" max="24" width="8.5" style="8" hidden="1" customWidth="1" outlineLevel="1"/>
    <col min="25" max="25" width="9.125" style="8" bestFit="1" customWidth="1" collapsed="1"/>
    <col min="26" max="30" width="9.125" style="8" bestFit="1" customWidth="1"/>
    <col min="31" max="31" width="1.5" style="8" customWidth="1"/>
    <col min="32" max="38" width="8.75" style="8" hidden="1" customWidth="1" outlineLevel="1"/>
    <col min="39" max="39" width="8.75" style="8" hidden="1" customWidth="1" outlineLevel="1" collapsed="1"/>
    <col min="40" max="40" width="8.75" style="8" customWidth="1" collapsed="1"/>
    <col min="41" max="43" width="8.75" style="8" hidden="1" customWidth="1" outlineLevel="1"/>
    <col min="44" max="44" width="8.75" style="8" bestFit="1" customWidth="1" collapsed="1"/>
    <col min="45" max="45" width="1.5" style="8" customWidth="1"/>
    <col min="46" max="46" width="9.875" style="8" bestFit="1" customWidth="1"/>
    <col min="47" max="16384" width="9" style="8"/>
  </cols>
  <sheetData>
    <row r="2" spans="1:46" s="5" customFormat="1" ht="12.75" customHeight="1">
      <c r="B2" s="1" t="s">
        <v>103</v>
      </c>
      <c r="C2" s="2" t="s">
        <v>0</v>
      </c>
      <c r="D2" s="2"/>
      <c r="E2" s="2"/>
      <c r="F2" s="2"/>
      <c r="G2" s="2"/>
      <c r="H2" s="2"/>
      <c r="I2" s="2"/>
      <c r="J2" s="2" t="s">
        <v>0</v>
      </c>
      <c r="K2" s="2"/>
      <c r="L2" s="2"/>
      <c r="M2" s="3"/>
      <c r="N2" s="2" t="s">
        <v>1</v>
      </c>
      <c r="O2" s="2"/>
      <c r="P2" s="2"/>
      <c r="Q2" s="2"/>
      <c r="R2" s="2"/>
      <c r="S2" s="2"/>
      <c r="T2" s="2"/>
      <c r="U2" s="2"/>
      <c r="V2" s="2"/>
      <c r="W2" s="2"/>
      <c r="X2" s="2"/>
      <c r="Y2" s="2" t="s">
        <v>1</v>
      </c>
      <c r="Z2" s="2"/>
      <c r="AA2" s="2"/>
      <c r="AB2" s="2"/>
      <c r="AC2" s="2"/>
      <c r="AD2" s="2"/>
      <c r="AE2" s="3"/>
      <c r="AF2" s="2" t="s">
        <v>10</v>
      </c>
      <c r="AG2" s="2"/>
      <c r="AH2" s="2"/>
      <c r="AI2" s="2"/>
      <c r="AJ2" s="2" t="s">
        <v>10</v>
      </c>
      <c r="AK2" s="2"/>
      <c r="AL2" s="2"/>
      <c r="AM2" s="2" t="s">
        <v>10</v>
      </c>
      <c r="AN2" s="2" t="s">
        <v>10</v>
      </c>
      <c r="AO2" s="2"/>
      <c r="AP2" s="2"/>
      <c r="AQ2" s="2"/>
      <c r="AR2" s="2"/>
      <c r="AS2" s="3"/>
      <c r="AT2" s="154" t="s">
        <v>25</v>
      </c>
    </row>
    <row r="3" spans="1:46" s="5" customFormat="1" ht="12.75" customHeight="1">
      <c r="B3" s="6" t="s">
        <v>95</v>
      </c>
      <c r="C3" s="7">
        <f>'Historical Financials'!C7</f>
        <v>2016</v>
      </c>
      <c r="D3" s="7">
        <f>'Historical Financials'!D7</f>
        <v>2017</v>
      </c>
      <c r="E3" s="7">
        <f>'Historical Financials'!E7</f>
        <v>2018</v>
      </c>
      <c r="F3" s="7">
        <f>'Historical Financials'!F7</f>
        <v>2019</v>
      </c>
      <c r="G3" s="7">
        <f>'Historical Financials'!G7</f>
        <v>2020</v>
      </c>
      <c r="H3" s="7">
        <f>'Historical Financials'!H7</f>
        <v>2021</v>
      </c>
      <c r="I3" s="7">
        <f>'Historical Financials'!I7</f>
        <v>2022</v>
      </c>
      <c r="J3" s="7">
        <f>'Historical Financials'!J7</f>
        <v>2023</v>
      </c>
      <c r="K3" s="7">
        <f>'Historical Financials'!K7</f>
        <v>2024</v>
      </c>
      <c r="L3" s="7">
        <f>'Historical Financials'!L7</f>
        <v>2025</v>
      </c>
      <c r="M3" s="3"/>
      <c r="N3" s="7" t="str">
        <f>'Historical Financials'!N7</f>
        <v>1Q22</v>
      </c>
      <c r="O3" s="7" t="str">
        <f>'Historical Financials'!O7</f>
        <v>2Q22</v>
      </c>
      <c r="P3" s="7" t="str">
        <f>'Historical Financials'!P7</f>
        <v>3Q22</v>
      </c>
      <c r="Q3" s="7" t="str">
        <f>'Historical Financials'!Q7</f>
        <v>4Q22</v>
      </c>
      <c r="R3" s="7" t="str">
        <f>'Historical Financials'!R7</f>
        <v>1Q23</v>
      </c>
      <c r="S3" s="7" t="str">
        <f>'Historical Financials'!S7</f>
        <v>2Q23</v>
      </c>
      <c r="T3" s="7" t="str">
        <f>'Historical Financials'!T7</f>
        <v>3Q23</v>
      </c>
      <c r="U3" s="7" t="str">
        <f>'Historical Financials'!U7</f>
        <v>4Q23</v>
      </c>
      <c r="V3" s="7" t="str">
        <f>'Historical Financials'!V7</f>
        <v>1Q24</v>
      </c>
      <c r="W3" s="7" t="str">
        <f>'Historical Financials'!W7</f>
        <v>2Q24</v>
      </c>
      <c r="X3" s="7" t="str">
        <f>'Historical Financials'!X7</f>
        <v>3Q24</v>
      </c>
      <c r="Y3" s="7" t="str">
        <f>'Historical Financials'!Y7</f>
        <v>4Q24</v>
      </c>
      <c r="Z3" s="7" t="str">
        <f>'Historical Financials'!Z7</f>
        <v>1Q25</v>
      </c>
      <c r="AA3" s="7" t="str">
        <f>'Historical Financials'!AA7</f>
        <v>2Q25</v>
      </c>
      <c r="AB3" s="7" t="str">
        <f>'Historical Financials'!AB7</f>
        <v>3Q25</v>
      </c>
      <c r="AC3" s="7" t="str">
        <f>'Historical Financials'!AC7</f>
        <v>4Q25</v>
      </c>
      <c r="AD3" s="7" t="str">
        <f>'Historical Financials'!AD7</f>
        <v>1Q26</v>
      </c>
      <c r="AE3" s="3"/>
      <c r="AF3" s="4" t="str">
        <f>R3</f>
        <v>1Q23</v>
      </c>
      <c r="AG3" s="4" t="str">
        <f>S3</f>
        <v>2Q23</v>
      </c>
      <c r="AH3" s="4" t="str">
        <f>T3</f>
        <v>3Q23</v>
      </c>
      <c r="AI3" s="4" t="str">
        <f>U3</f>
        <v>4Q23</v>
      </c>
      <c r="AJ3" s="4" t="str">
        <f>V3</f>
        <v>1Q24</v>
      </c>
      <c r="AK3" s="4" t="str">
        <f>W3</f>
        <v>2Q24</v>
      </c>
      <c r="AL3" s="4" t="str">
        <f>X3</f>
        <v>3Q24</v>
      </c>
      <c r="AM3" s="4" t="str">
        <f>Y3</f>
        <v>4Q24</v>
      </c>
      <c r="AN3" s="4" t="str">
        <f>Z3</f>
        <v>1Q25</v>
      </c>
      <c r="AO3" s="4" t="str">
        <f>AA3</f>
        <v>2Q25</v>
      </c>
      <c r="AP3" s="4" t="str">
        <f>AB3</f>
        <v>3Q25</v>
      </c>
      <c r="AQ3" s="4" t="str">
        <f>AC3</f>
        <v>4Q25</v>
      </c>
      <c r="AR3" s="4" t="str">
        <f>AD3</f>
        <v>1Q26</v>
      </c>
      <c r="AS3" s="3"/>
      <c r="AT3" s="154"/>
    </row>
    <row r="4" spans="1:46" s="5" customFormat="1" ht="12.75" customHeight="1">
      <c r="B4" s="147" t="s">
        <v>176</v>
      </c>
      <c r="C4" s="3">
        <f>'Historical Financials'!C8</f>
        <v>42643</v>
      </c>
      <c r="D4" s="3">
        <f>'Historical Financials'!D8</f>
        <v>43008</v>
      </c>
      <c r="E4" s="3">
        <f>'Historical Financials'!E8</f>
        <v>43372</v>
      </c>
      <c r="F4" s="3">
        <f>'Historical Financials'!F8</f>
        <v>43737</v>
      </c>
      <c r="G4" s="3">
        <f>'Historical Financials'!G8</f>
        <v>44104</v>
      </c>
      <c r="H4" s="3">
        <f>'Historical Financials'!H8</f>
        <v>44469</v>
      </c>
      <c r="I4" s="3">
        <f>'Historical Financials'!I8</f>
        <v>44834</v>
      </c>
      <c r="J4" s="3">
        <f>'Historical Financials'!J8</f>
        <v>45192</v>
      </c>
      <c r="K4" s="3">
        <f>'Historical Financials'!K8</f>
        <v>45559</v>
      </c>
      <c r="L4" s="3">
        <f>'Historical Financials'!L8</f>
        <v>45927</v>
      </c>
      <c r="M4" s="3"/>
      <c r="N4" s="3">
        <f>'Historical Financials'!N8</f>
        <v>44560</v>
      </c>
      <c r="O4" s="3">
        <f>'Historical Financials'!O8</f>
        <v>44650</v>
      </c>
      <c r="P4" s="3">
        <f>'Historical Financials'!P8</f>
        <v>44742</v>
      </c>
      <c r="Q4" s="3">
        <f>'Historical Financials'!Q8</f>
        <v>44834</v>
      </c>
      <c r="R4" s="3">
        <f>'Historical Financials'!R8</f>
        <v>44917</v>
      </c>
      <c r="S4" s="3">
        <f>'Historical Financials'!S8</f>
        <v>45008</v>
      </c>
      <c r="T4" s="3">
        <f>'Historical Financials'!T8</f>
        <v>45100</v>
      </c>
      <c r="U4" s="3">
        <f>'Historical Financials'!U8</f>
        <v>45192</v>
      </c>
      <c r="V4" s="3">
        <f>'Historical Financials'!V8</f>
        <v>45283</v>
      </c>
      <c r="W4" s="3">
        <f>'Historical Financials'!W8</f>
        <v>45375</v>
      </c>
      <c r="X4" s="3">
        <f>'Historical Financials'!X8</f>
        <v>45467</v>
      </c>
      <c r="Y4" s="3">
        <f>'Historical Financials'!Y8</f>
        <v>45559</v>
      </c>
      <c r="Z4" s="3">
        <f>'Historical Financials'!Z8</f>
        <v>45650</v>
      </c>
      <c r="AA4" s="3">
        <f>'Historical Financials'!AA8</f>
        <v>45741</v>
      </c>
      <c r="AB4" s="3">
        <f>'Historical Financials'!AB8</f>
        <v>45833</v>
      </c>
      <c r="AC4" s="3">
        <f>'Historical Financials'!AC8</f>
        <v>45927</v>
      </c>
      <c r="AD4" s="3">
        <f>'Historical Financials'!AD8</f>
        <v>46018</v>
      </c>
      <c r="AE4" s="3"/>
      <c r="AF4" s="3">
        <f>R4</f>
        <v>44917</v>
      </c>
      <c r="AG4" s="3">
        <f>S4</f>
        <v>45008</v>
      </c>
      <c r="AH4" s="3">
        <f>T4</f>
        <v>45100</v>
      </c>
      <c r="AI4" s="3">
        <f>U4</f>
        <v>45192</v>
      </c>
      <c r="AJ4" s="3">
        <f>V4</f>
        <v>45283</v>
      </c>
      <c r="AK4" s="3">
        <f>W4</f>
        <v>45375</v>
      </c>
      <c r="AL4" s="3">
        <f>X4</f>
        <v>45467</v>
      </c>
      <c r="AM4" s="3">
        <f>Y4</f>
        <v>45559</v>
      </c>
      <c r="AN4" s="3">
        <f>Z4</f>
        <v>45650</v>
      </c>
      <c r="AO4" s="3">
        <f>AA4</f>
        <v>45741</v>
      </c>
      <c r="AP4" s="3">
        <f>AB4</f>
        <v>45833</v>
      </c>
      <c r="AQ4" s="3">
        <f>AC4</f>
        <v>45927</v>
      </c>
      <c r="AR4" s="3">
        <f>AD4</f>
        <v>46018</v>
      </c>
      <c r="AS4" s="3"/>
      <c r="AT4" s="154"/>
    </row>
    <row r="5" spans="1:46" ht="5.0999999999999996" customHeight="1"/>
    <row r="6" spans="1:46">
      <c r="A6" s="39" t="s">
        <v>19</v>
      </c>
      <c r="B6" s="1" t="s">
        <v>171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ht="5.0999999999999996" customHeight="1"/>
    <row r="8" spans="1:46">
      <c r="A8" s="94" t="s">
        <v>19</v>
      </c>
      <c r="B8" s="91" t="s">
        <v>134</v>
      </c>
      <c r="C8" s="27"/>
      <c r="D8" s="27"/>
      <c r="E8" s="27"/>
      <c r="F8" s="27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5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6" ht="12.75" customHeight="1">
      <c r="B9" s="10" t="s">
        <v>136</v>
      </c>
      <c r="C9" s="95">
        <v>136700</v>
      </c>
      <c r="D9" s="95">
        <v>141319</v>
      </c>
      <c r="E9" s="95">
        <v>164888</v>
      </c>
      <c r="F9" s="95">
        <v>142381</v>
      </c>
      <c r="G9" s="95">
        <v>137781</v>
      </c>
      <c r="H9" s="95">
        <v>191973</v>
      </c>
      <c r="I9" s="95">
        <v>205489</v>
      </c>
      <c r="J9" s="95">
        <v>200583</v>
      </c>
      <c r="K9" s="95">
        <v>201183</v>
      </c>
      <c r="L9" s="95">
        <v>209586</v>
      </c>
      <c r="M9" s="95"/>
      <c r="N9" s="95">
        <v>71628</v>
      </c>
      <c r="O9" s="95">
        <v>50570</v>
      </c>
      <c r="P9" s="95">
        <v>40665</v>
      </c>
      <c r="Q9" s="34">
        <f t="shared" ref="Q9:Q13" si="0">SUM(I9-SUM(N9:P9))</f>
        <v>42626</v>
      </c>
      <c r="R9" s="95">
        <v>65775</v>
      </c>
      <c r="S9" s="95">
        <v>51334</v>
      </c>
      <c r="T9" s="95">
        <v>39669</v>
      </c>
      <c r="U9" s="34">
        <f t="shared" ref="U9:U13" si="1">SUM(J9-SUM(R9:T9))</f>
        <v>43805</v>
      </c>
      <c r="V9" s="95">
        <v>69702</v>
      </c>
      <c r="W9" s="95">
        <v>45963</v>
      </c>
      <c r="X9" s="95">
        <v>39296</v>
      </c>
      <c r="Y9" s="34">
        <f t="shared" ref="Y9:Y13" si="2">SUM(K9-SUM(V9:X9))</f>
        <v>46222</v>
      </c>
      <c r="Z9" s="95">
        <v>69138</v>
      </c>
      <c r="AA9" s="95">
        <v>46841</v>
      </c>
      <c r="AB9" s="95">
        <v>44582</v>
      </c>
      <c r="AC9" s="34">
        <f>SUM(L9-SUM(Z9:AB9))</f>
        <v>49025</v>
      </c>
      <c r="AD9" s="95">
        <v>85269</v>
      </c>
      <c r="AE9" s="5"/>
      <c r="AF9" s="12">
        <f>SUM(O9:R9)</f>
        <v>199636</v>
      </c>
      <c r="AG9" s="12">
        <f>SUM(P9:S9)</f>
        <v>200400</v>
      </c>
      <c r="AH9" s="12">
        <f>SUM(Q9:T9)</f>
        <v>199404</v>
      </c>
      <c r="AI9" s="12">
        <f>SUM(R9:U9)</f>
        <v>200583</v>
      </c>
      <c r="AJ9" s="12">
        <f>SUM(S9:V9)</f>
        <v>204510</v>
      </c>
      <c r="AK9" s="12">
        <f>SUM(T9:W9)</f>
        <v>199139</v>
      </c>
      <c r="AL9" s="12">
        <f>SUM(U9:X9)</f>
        <v>198766</v>
      </c>
      <c r="AM9" s="12">
        <f>SUM(V9:Y9)</f>
        <v>201183</v>
      </c>
      <c r="AN9" s="12">
        <f>SUM(W9:Z9)</f>
        <v>200619</v>
      </c>
      <c r="AO9" s="12">
        <f>SUM(X9:AA9)</f>
        <v>201497</v>
      </c>
      <c r="AP9" s="12">
        <f>SUM(Y9:AB9)</f>
        <v>206783</v>
      </c>
      <c r="AQ9" s="12">
        <f>SUM(Z9:AC9)</f>
        <v>209586</v>
      </c>
      <c r="AR9" s="12">
        <f>SUM(AA9:AD9)</f>
        <v>225717</v>
      </c>
      <c r="AT9" s="87">
        <f>SUM(AR9/AN9)-1</f>
        <v>0.12510280681291408</v>
      </c>
    </row>
    <row r="10" spans="1:46" ht="12.75" customHeight="1">
      <c r="B10" s="10" t="s">
        <v>137</v>
      </c>
      <c r="C10" s="95">
        <v>22831</v>
      </c>
      <c r="D10" s="95">
        <v>25850</v>
      </c>
      <c r="E10" s="95">
        <v>25198</v>
      </c>
      <c r="F10" s="95">
        <v>25740</v>
      </c>
      <c r="G10" s="95">
        <v>28622</v>
      </c>
      <c r="H10" s="95">
        <v>35190</v>
      </c>
      <c r="I10" s="95">
        <v>40177</v>
      </c>
      <c r="J10" s="95">
        <v>29357</v>
      </c>
      <c r="K10" s="95">
        <v>29984</v>
      </c>
      <c r="L10" s="95">
        <v>33708</v>
      </c>
      <c r="M10" s="95"/>
      <c r="N10" s="95">
        <v>10852</v>
      </c>
      <c r="O10" s="95">
        <v>10435</v>
      </c>
      <c r="P10" s="95">
        <v>7382</v>
      </c>
      <c r="Q10" s="34">
        <f t="shared" si="0"/>
        <v>11508</v>
      </c>
      <c r="R10" s="95">
        <v>7735</v>
      </c>
      <c r="S10" s="95">
        <v>7168</v>
      </c>
      <c r="T10" s="95">
        <v>6840</v>
      </c>
      <c r="U10" s="34">
        <f t="shared" si="1"/>
        <v>7614</v>
      </c>
      <c r="V10" s="95">
        <v>7780</v>
      </c>
      <c r="W10" s="95">
        <v>7451</v>
      </c>
      <c r="X10" s="95">
        <v>7009</v>
      </c>
      <c r="Y10" s="34">
        <f t="shared" si="2"/>
        <v>7744</v>
      </c>
      <c r="Z10" s="95">
        <v>8987</v>
      </c>
      <c r="AA10" s="95">
        <v>7949</v>
      </c>
      <c r="AB10" s="95">
        <v>8046</v>
      </c>
      <c r="AC10" s="34">
        <f t="shared" ref="AC10:AC13" si="3">SUM(L10-SUM(Z10:AB10))</f>
        <v>8726</v>
      </c>
      <c r="AD10" s="95">
        <v>8386</v>
      </c>
      <c r="AE10" s="5"/>
      <c r="AF10" s="12">
        <f>SUM(O10:R10)</f>
        <v>37060</v>
      </c>
      <c r="AG10" s="12">
        <f>SUM(P10:S10)</f>
        <v>33793</v>
      </c>
      <c r="AH10" s="12">
        <f>SUM(Q10:T10)</f>
        <v>33251</v>
      </c>
      <c r="AI10" s="12">
        <f>SUM(R10:U10)</f>
        <v>29357</v>
      </c>
      <c r="AJ10" s="12">
        <f>SUM(S10:V10)</f>
        <v>29402</v>
      </c>
      <c r="AK10" s="12">
        <f>SUM(T10:W10)</f>
        <v>29685</v>
      </c>
      <c r="AL10" s="12">
        <f>SUM(U10:X10)</f>
        <v>29854</v>
      </c>
      <c r="AM10" s="12">
        <f>SUM(V10:Y10)</f>
        <v>29984</v>
      </c>
      <c r="AN10" s="12">
        <f>SUM(W10:Z10)</f>
        <v>31191</v>
      </c>
      <c r="AO10" s="12">
        <f>SUM(X10:AA10)</f>
        <v>31689</v>
      </c>
      <c r="AP10" s="12">
        <f>SUM(Y10:AB10)</f>
        <v>32726</v>
      </c>
      <c r="AQ10" s="12">
        <f t="shared" ref="AQ10:AR13" si="4">SUM(Z10:AC10)</f>
        <v>33708</v>
      </c>
      <c r="AR10" s="12">
        <f t="shared" si="4"/>
        <v>33107</v>
      </c>
      <c r="AT10" s="13">
        <f t="shared" ref="AT10:AT14" si="5">SUM(AR10/AN10)-1</f>
        <v>6.1427976018723296E-2</v>
      </c>
    </row>
    <row r="11" spans="1:46" ht="12.75" customHeight="1">
      <c r="B11" s="10" t="s">
        <v>138</v>
      </c>
      <c r="C11" s="95">
        <v>20628</v>
      </c>
      <c r="D11" s="95">
        <v>19222</v>
      </c>
      <c r="E11" s="95">
        <v>18380</v>
      </c>
      <c r="F11" s="95">
        <v>21280</v>
      </c>
      <c r="G11" s="95">
        <v>23724</v>
      </c>
      <c r="H11" s="95">
        <v>31862</v>
      </c>
      <c r="I11" s="95">
        <v>29292</v>
      </c>
      <c r="J11" s="95">
        <v>28300</v>
      </c>
      <c r="K11" s="95">
        <v>26694</v>
      </c>
      <c r="L11" s="95">
        <v>28023</v>
      </c>
      <c r="M11" s="95"/>
      <c r="N11" s="95">
        <v>7248</v>
      </c>
      <c r="O11" s="95">
        <v>7646</v>
      </c>
      <c r="P11" s="95">
        <v>7224</v>
      </c>
      <c r="Q11" s="34">
        <f t="shared" si="0"/>
        <v>7174</v>
      </c>
      <c r="R11" s="95">
        <v>9396</v>
      </c>
      <c r="S11" s="95">
        <v>6670</v>
      </c>
      <c r="T11" s="95">
        <v>5791</v>
      </c>
      <c r="U11" s="34">
        <f t="shared" si="1"/>
        <v>6443</v>
      </c>
      <c r="V11" s="95">
        <v>7023</v>
      </c>
      <c r="W11" s="95">
        <v>5559</v>
      </c>
      <c r="X11" s="95">
        <v>7162</v>
      </c>
      <c r="Y11" s="34">
        <f t="shared" si="2"/>
        <v>6950</v>
      </c>
      <c r="Z11" s="95">
        <v>8088</v>
      </c>
      <c r="AA11" s="95">
        <v>6402</v>
      </c>
      <c r="AB11" s="95">
        <v>6581</v>
      </c>
      <c r="AC11" s="34">
        <f t="shared" si="3"/>
        <v>6952</v>
      </c>
      <c r="AD11" s="95">
        <v>8595</v>
      </c>
      <c r="AE11" s="5"/>
      <c r="AF11" s="12">
        <f>SUM(O11:R11)</f>
        <v>31440</v>
      </c>
      <c r="AG11" s="12">
        <f>SUM(P11:S11)</f>
        <v>30464</v>
      </c>
      <c r="AH11" s="12">
        <f>SUM(Q11:T11)</f>
        <v>29031</v>
      </c>
      <c r="AI11" s="12">
        <f>SUM(R11:U11)</f>
        <v>28300</v>
      </c>
      <c r="AJ11" s="12">
        <f>SUM(S11:V11)</f>
        <v>25927</v>
      </c>
      <c r="AK11" s="12">
        <f>SUM(T11:W11)</f>
        <v>24816</v>
      </c>
      <c r="AL11" s="12">
        <f>SUM(U11:X11)</f>
        <v>26187</v>
      </c>
      <c r="AM11" s="12">
        <f>SUM(V11:Y11)</f>
        <v>26694</v>
      </c>
      <c r="AN11" s="12">
        <f>SUM(W11:Z11)</f>
        <v>27759</v>
      </c>
      <c r="AO11" s="12">
        <f>SUM(X11:AA11)</f>
        <v>28602</v>
      </c>
      <c r="AP11" s="12">
        <f>SUM(Y11:AB11)</f>
        <v>28021</v>
      </c>
      <c r="AQ11" s="12">
        <f t="shared" si="4"/>
        <v>28023</v>
      </c>
      <c r="AR11" s="12">
        <f t="shared" si="4"/>
        <v>28530</v>
      </c>
      <c r="AT11" s="13">
        <f t="shared" si="5"/>
        <v>2.7774775748405922E-2</v>
      </c>
    </row>
    <row r="12" spans="1:46" ht="12.75" customHeight="1">
      <c r="B12" s="10" t="s">
        <v>139</v>
      </c>
      <c r="C12" s="95">
        <v>24348</v>
      </c>
      <c r="D12" s="95">
        <v>29980</v>
      </c>
      <c r="E12" s="95">
        <v>39748</v>
      </c>
      <c r="F12" s="95">
        <v>46291</v>
      </c>
      <c r="G12" s="95">
        <v>53768</v>
      </c>
      <c r="H12" s="95">
        <v>68425</v>
      </c>
      <c r="I12" s="95">
        <v>78129</v>
      </c>
      <c r="J12" s="95">
        <v>85200</v>
      </c>
      <c r="K12" s="95">
        <v>96169</v>
      </c>
      <c r="L12" s="95">
        <v>109158</v>
      </c>
      <c r="M12" s="95"/>
      <c r="N12" s="95">
        <v>19516</v>
      </c>
      <c r="O12" s="95">
        <v>19821</v>
      </c>
      <c r="P12" s="95">
        <v>19604</v>
      </c>
      <c r="Q12" s="34">
        <f t="shared" si="0"/>
        <v>19188</v>
      </c>
      <c r="R12" s="95">
        <v>20766</v>
      </c>
      <c r="S12" s="95">
        <v>20907</v>
      </c>
      <c r="T12" s="95">
        <v>21213</v>
      </c>
      <c r="U12" s="34">
        <f t="shared" si="1"/>
        <v>22314</v>
      </c>
      <c r="V12" s="95">
        <v>23117</v>
      </c>
      <c r="W12" s="95">
        <v>23867</v>
      </c>
      <c r="X12" s="95">
        <v>24213</v>
      </c>
      <c r="Y12" s="34">
        <f t="shared" si="2"/>
        <v>24972</v>
      </c>
      <c r="Z12" s="95">
        <v>26340</v>
      </c>
      <c r="AA12" s="95">
        <v>26645</v>
      </c>
      <c r="AB12" s="95">
        <v>27423</v>
      </c>
      <c r="AC12" s="34">
        <f t="shared" si="3"/>
        <v>28750</v>
      </c>
      <c r="AD12" s="95">
        <v>30013</v>
      </c>
      <c r="AE12" s="5"/>
      <c r="AF12" s="12">
        <f>SUM(O12:R12)</f>
        <v>79379</v>
      </c>
      <c r="AG12" s="12">
        <f>SUM(P12:S12)</f>
        <v>80465</v>
      </c>
      <c r="AH12" s="12">
        <f>SUM(Q12:T12)</f>
        <v>82074</v>
      </c>
      <c r="AI12" s="12">
        <f>SUM(R12:U12)</f>
        <v>85200</v>
      </c>
      <c r="AJ12" s="12">
        <f>SUM(S12:V12)</f>
        <v>87551</v>
      </c>
      <c r="AK12" s="12">
        <f>SUM(T12:W12)</f>
        <v>90511</v>
      </c>
      <c r="AL12" s="12">
        <f>SUM(U12:X12)</f>
        <v>93511</v>
      </c>
      <c r="AM12" s="12">
        <f>SUM(V12:Y12)</f>
        <v>96169</v>
      </c>
      <c r="AN12" s="12">
        <f>SUM(W12:Z12)</f>
        <v>99392</v>
      </c>
      <c r="AO12" s="12">
        <f>SUM(X12:AA12)</f>
        <v>102170</v>
      </c>
      <c r="AP12" s="12">
        <f>SUM(Y12:AB12)</f>
        <v>105380</v>
      </c>
      <c r="AQ12" s="12">
        <f t="shared" si="4"/>
        <v>109158</v>
      </c>
      <c r="AR12" s="12">
        <f t="shared" si="4"/>
        <v>112831</v>
      </c>
      <c r="AT12" s="13">
        <f t="shared" si="5"/>
        <v>0.13521208950418551</v>
      </c>
    </row>
    <row r="13" spans="1:46" ht="12.75" customHeight="1">
      <c r="B13" s="10" t="s">
        <v>140</v>
      </c>
      <c r="C13" s="95">
        <v>11132</v>
      </c>
      <c r="D13" s="95">
        <v>12863</v>
      </c>
      <c r="E13" s="95">
        <v>17381</v>
      </c>
      <c r="F13" s="95">
        <v>24482</v>
      </c>
      <c r="G13" s="95">
        <v>30620</v>
      </c>
      <c r="H13" s="95">
        <v>38367</v>
      </c>
      <c r="I13" s="95">
        <v>41241</v>
      </c>
      <c r="J13" s="95">
        <v>39845</v>
      </c>
      <c r="K13" s="95">
        <v>37005</v>
      </c>
      <c r="L13" s="95">
        <v>35686</v>
      </c>
      <c r="M13" s="95"/>
      <c r="N13" s="95">
        <v>14701</v>
      </c>
      <c r="O13" s="95">
        <v>8806</v>
      </c>
      <c r="P13" s="95">
        <v>8084</v>
      </c>
      <c r="Q13" s="34">
        <f t="shared" si="0"/>
        <v>9650</v>
      </c>
      <c r="R13" s="95">
        <v>13482</v>
      </c>
      <c r="S13" s="95">
        <v>8757</v>
      </c>
      <c r="T13" s="95">
        <v>8284</v>
      </c>
      <c r="U13" s="34">
        <f t="shared" si="1"/>
        <v>9322</v>
      </c>
      <c r="V13" s="95">
        <v>11953</v>
      </c>
      <c r="W13" s="95">
        <v>7913</v>
      </c>
      <c r="X13" s="95">
        <v>8097</v>
      </c>
      <c r="Y13" s="34">
        <f t="shared" si="2"/>
        <v>9042</v>
      </c>
      <c r="Z13" s="95">
        <v>11747</v>
      </c>
      <c r="AA13" s="95">
        <v>7522</v>
      </c>
      <c r="AB13" s="95">
        <v>7404</v>
      </c>
      <c r="AC13" s="34">
        <f t="shared" si="3"/>
        <v>9013</v>
      </c>
      <c r="AD13" s="95">
        <v>11493</v>
      </c>
      <c r="AE13" s="5"/>
      <c r="AF13" s="12">
        <f>SUM(O13:R13)</f>
        <v>40022</v>
      </c>
      <c r="AG13" s="12">
        <f>SUM(P13:S13)</f>
        <v>39973</v>
      </c>
      <c r="AH13" s="12">
        <f>SUM(Q13:T13)</f>
        <v>40173</v>
      </c>
      <c r="AI13" s="12">
        <f>SUM(R13:U13)</f>
        <v>39845</v>
      </c>
      <c r="AJ13" s="12">
        <f>SUM(S13:V13)</f>
        <v>38316</v>
      </c>
      <c r="AK13" s="12">
        <f>SUM(T13:W13)</f>
        <v>37472</v>
      </c>
      <c r="AL13" s="12">
        <f>SUM(U13:X13)</f>
        <v>37285</v>
      </c>
      <c r="AM13" s="12">
        <f>SUM(V13:Y13)</f>
        <v>37005</v>
      </c>
      <c r="AN13" s="12">
        <f>SUM(W13:Z13)</f>
        <v>36799</v>
      </c>
      <c r="AO13" s="12">
        <f>SUM(X13:AA13)</f>
        <v>36408</v>
      </c>
      <c r="AP13" s="12">
        <f>SUM(Y13:AB13)</f>
        <v>35715</v>
      </c>
      <c r="AQ13" s="12">
        <f t="shared" si="4"/>
        <v>35686</v>
      </c>
      <c r="AR13" s="12">
        <f t="shared" si="4"/>
        <v>35432</v>
      </c>
      <c r="AT13" s="13">
        <f t="shared" si="5"/>
        <v>-3.7147748580124484E-2</v>
      </c>
    </row>
    <row r="14" spans="1:46" ht="12.75" customHeight="1">
      <c r="B14" s="14" t="s">
        <v>96</v>
      </c>
      <c r="C14" s="15">
        <f t="shared" ref="C14:AP14" si="6">SUM(C9:C13)</f>
        <v>215639</v>
      </c>
      <c r="D14" s="15">
        <f t="shared" si="6"/>
        <v>229234</v>
      </c>
      <c r="E14" s="15">
        <f t="shared" si="6"/>
        <v>265595</v>
      </c>
      <c r="F14" s="15">
        <f t="shared" si="6"/>
        <v>260174</v>
      </c>
      <c r="G14" s="15">
        <f t="shared" si="6"/>
        <v>274515</v>
      </c>
      <c r="H14" s="15">
        <f t="shared" si="6"/>
        <v>365817</v>
      </c>
      <c r="I14" s="15">
        <f t="shared" si="6"/>
        <v>394328</v>
      </c>
      <c r="J14" s="15">
        <f t="shared" si="6"/>
        <v>383285</v>
      </c>
      <c r="K14" s="15">
        <f t="shared" si="6"/>
        <v>391035</v>
      </c>
      <c r="L14" s="15">
        <f t="shared" si="6"/>
        <v>416161</v>
      </c>
      <c r="M14" s="12"/>
      <c r="N14" s="15">
        <f t="shared" si="6"/>
        <v>123945</v>
      </c>
      <c r="O14" s="15">
        <f t="shared" si="6"/>
        <v>97278</v>
      </c>
      <c r="P14" s="15">
        <f t="shared" si="6"/>
        <v>82959</v>
      </c>
      <c r="Q14" s="15">
        <f t="shared" si="6"/>
        <v>90146</v>
      </c>
      <c r="R14" s="15">
        <f t="shared" si="6"/>
        <v>117154</v>
      </c>
      <c r="S14" s="15">
        <f t="shared" si="6"/>
        <v>94836</v>
      </c>
      <c r="T14" s="15">
        <f t="shared" si="6"/>
        <v>81797</v>
      </c>
      <c r="U14" s="15">
        <f t="shared" si="6"/>
        <v>89498</v>
      </c>
      <c r="V14" s="15">
        <f t="shared" si="6"/>
        <v>119575</v>
      </c>
      <c r="W14" s="15">
        <f t="shared" si="6"/>
        <v>90753</v>
      </c>
      <c r="X14" s="15">
        <f t="shared" si="6"/>
        <v>85777</v>
      </c>
      <c r="Y14" s="15">
        <f t="shared" si="6"/>
        <v>94930</v>
      </c>
      <c r="Z14" s="15">
        <f t="shared" si="6"/>
        <v>124300</v>
      </c>
      <c r="AA14" s="15">
        <f t="shared" si="6"/>
        <v>95359</v>
      </c>
      <c r="AB14" s="15">
        <f t="shared" si="6"/>
        <v>94036</v>
      </c>
      <c r="AC14" s="15">
        <f t="shared" ref="AC14:AD14" si="7">SUM(AC9:AC13)</f>
        <v>102466</v>
      </c>
      <c r="AD14" s="15">
        <f t="shared" si="7"/>
        <v>143756</v>
      </c>
      <c r="AE14" s="5"/>
      <c r="AF14" s="15">
        <f t="shared" si="6"/>
        <v>387537</v>
      </c>
      <c r="AG14" s="15">
        <f t="shared" si="6"/>
        <v>385095</v>
      </c>
      <c r="AH14" s="15">
        <f t="shared" si="6"/>
        <v>383933</v>
      </c>
      <c r="AI14" s="15">
        <f t="shared" si="6"/>
        <v>383285</v>
      </c>
      <c r="AJ14" s="15">
        <f t="shared" si="6"/>
        <v>385706</v>
      </c>
      <c r="AK14" s="15">
        <f t="shared" si="6"/>
        <v>381623</v>
      </c>
      <c r="AL14" s="15">
        <f t="shared" si="6"/>
        <v>385603</v>
      </c>
      <c r="AM14" s="15">
        <f t="shared" si="6"/>
        <v>391035</v>
      </c>
      <c r="AN14" s="15">
        <f t="shared" si="6"/>
        <v>395760</v>
      </c>
      <c r="AO14" s="15">
        <f t="shared" si="6"/>
        <v>400366</v>
      </c>
      <c r="AP14" s="15">
        <f t="shared" si="6"/>
        <v>408625</v>
      </c>
      <c r="AQ14" s="15">
        <f t="shared" ref="AQ14:AR14" si="8">SUM(AQ9:AQ13)</f>
        <v>416161</v>
      </c>
      <c r="AR14" s="15">
        <f t="shared" si="8"/>
        <v>435617</v>
      </c>
      <c r="AT14" s="16">
        <f t="shared" si="5"/>
        <v>0.10071002627855274</v>
      </c>
    </row>
    <row r="15" spans="1:46" outlineLevel="1">
      <c r="B15" s="92" t="s">
        <v>167</v>
      </c>
      <c r="C15" s="93">
        <f>C14-'Historical Financials'!C11</f>
        <v>0</v>
      </c>
      <c r="D15" s="93">
        <f>D14-'Historical Financials'!D11</f>
        <v>0</v>
      </c>
      <c r="E15" s="93">
        <f>E14-'Historical Financials'!E11</f>
        <v>0</v>
      </c>
      <c r="F15" s="93">
        <f>F14-'Historical Financials'!F11</f>
        <v>0</v>
      </c>
      <c r="G15" s="93">
        <f>G14-'Historical Financials'!G11</f>
        <v>0</v>
      </c>
      <c r="H15" s="93">
        <f>H14-'Historical Financials'!H11</f>
        <v>0</v>
      </c>
      <c r="I15" s="93">
        <f>I14-'Historical Financials'!I11</f>
        <v>0</v>
      </c>
      <c r="J15" s="93">
        <f>J14-'Historical Financials'!J11</f>
        <v>0</v>
      </c>
      <c r="K15" s="93">
        <f>K14-'Historical Financials'!K11</f>
        <v>0</v>
      </c>
      <c r="L15" s="93">
        <f>L14-'Historical Financials'!L11</f>
        <v>0</v>
      </c>
      <c r="M15" s="12"/>
      <c r="N15" s="93">
        <f>N14-'Historical Financials'!N11</f>
        <v>0</v>
      </c>
      <c r="O15" s="93">
        <f>O14-'Historical Financials'!O11</f>
        <v>0</v>
      </c>
      <c r="P15" s="93">
        <f>P14-'Historical Financials'!P11</f>
        <v>0</v>
      </c>
      <c r="Q15" s="93">
        <f>Q14-'Historical Financials'!Q11</f>
        <v>0</v>
      </c>
      <c r="R15" s="93">
        <f>R14-'Historical Financials'!R11</f>
        <v>0</v>
      </c>
      <c r="S15" s="93">
        <f>S14-'Historical Financials'!S11</f>
        <v>0</v>
      </c>
      <c r="T15" s="93">
        <f>T14-'Historical Financials'!T11</f>
        <v>0</v>
      </c>
      <c r="U15" s="93">
        <f>U14-'Historical Financials'!U11</f>
        <v>0</v>
      </c>
      <c r="V15" s="93">
        <f>V14-'Historical Financials'!V11</f>
        <v>0</v>
      </c>
      <c r="W15" s="93">
        <f>W14-'Historical Financials'!W11</f>
        <v>0</v>
      </c>
      <c r="X15" s="93">
        <f>X14-'Historical Financials'!X11</f>
        <v>0</v>
      </c>
      <c r="Y15" s="93">
        <f>Y14-'Historical Financials'!Y11</f>
        <v>0</v>
      </c>
      <c r="Z15" s="93">
        <f>Z14-'Historical Financials'!Z11</f>
        <v>0</v>
      </c>
      <c r="AA15" s="93">
        <f>AA14-'Historical Financials'!AA11</f>
        <v>0</v>
      </c>
      <c r="AB15" s="93">
        <f>AB14-'Historical Financials'!AB11</f>
        <v>0</v>
      </c>
      <c r="AC15" s="93">
        <f>AC14-'Historical Financials'!AC11</f>
        <v>0</v>
      </c>
      <c r="AD15" s="93">
        <f>AD14-'Historical Financials'!AD11</f>
        <v>0</v>
      </c>
      <c r="AE15" s="93"/>
      <c r="AF15" s="93">
        <f>AF14-'Historical Financials'!AF11</f>
        <v>0</v>
      </c>
      <c r="AG15" s="93">
        <f>AG14-'Historical Financials'!AG11</f>
        <v>0</v>
      </c>
      <c r="AH15" s="93">
        <f>AH14-'Historical Financials'!AH11</f>
        <v>0</v>
      </c>
      <c r="AI15" s="93">
        <f>AI14-'Historical Financials'!AI11</f>
        <v>0</v>
      </c>
      <c r="AJ15" s="93">
        <f>AJ14-'Historical Financials'!AJ11</f>
        <v>0</v>
      </c>
      <c r="AK15" s="93">
        <f>AK14-'Historical Financials'!AK11</f>
        <v>0</v>
      </c>
      <c r="AL15" s="93">
        <f>AL14-'Historical Financials'!AL11</f>
        <v>0</v>
      </c>
      <c r="AM15" s="93">
        <f>AM14-'Historical Financials'!AM11</f>
        <v>0</v>
      </c>
      <c r="AN15" s="93">
        <f>AN14-'Historical Financials'!AN11</f>
        <v>0</v>
      </c>
      <c r="AO15" s="93">
        <f>AO14-'Historical Financials'!AO11</f>
        <v>0</v>
      </c>
      <c r="AP15" s="93">
        <f>AP14-'Historical Financials'!AP11</f>
        <v>0</v>
      </c>
      <c r="AQ15" s="93">
        <f>AQ14-'Historical Financials'!AQ11</f>
        <v>0</v>
      </c>
      <c r="AR15" s="93">
        <f>AR14-'Historical Financials'!AR11</f>
        <v>0</v>
      </c>
      <c r="AT15" s="9"/>
    </row>
    <row r="16" spans="1:46" ht="5.0999999999999996" customHeight="1">
      <c r="B16" s="92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12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T16" s="9"/>
    </row>
    <row r="17" spans="2:46">
      <c r="B17" s="142" t="s">
        <v>168</v>
      </c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  <c r="AG17" s="132"/>
      <c r="AH17" s="132"/>
      <c r="AI17" s="132"/>
      <c r="AJ17" s="132"/>
      <c r="AK17" s="132"/>
      <c r="AL17" s="132"/>
      <c r="AM17" s="132"/>
      <c r="AN17" s="132"/>
      <c r="AO17" s="132"/>
      <c r="AP17" s="132"/>
      <c r="AQ17" s="132"/>
      <c r="AR17" s="143"/>
      <c r="AT17" s="9"/>
    </row>
    <row r="18" spans="2:46">
      <c r="B18" s="135" t="str">
        <f>B9&amp;"(%)"</f>
        <v>iPhone Revenue(%)</v>
      </c>
      <c r="C18" s="137">
        <f t="shared" ref="C18:L18" si="9">SUM(C9/C$14)</f>
        <v>0.63392985498912535</v>
      </c>
      <c r="D18" s="137">
        <f t="shared" si="9"/>
        <v>0.61648359318425716</v>
      </c>
      <c r="E18" s="137">
        <f t="shared" si="9"/>
        <v>0.62082494022854351</v>
      </c>
      <c r="F18" s="137">
        <f t="shared" si="9"/>
        <v>0.54725299222827795</v>
      </c>
      <c r="G18" s="137">
        <f t="shared" si="9"/>
        <v>0.50190699961750729</v>
      </c>
      <c r="H18" s="137">
        <f t="shared" si="9"/>
        <v>0.52477878283404</v>
      </c>
      <c r="I18" s="137">
        <f t="shared" si="9"/>
        <v>0.52111186626361805</v>
      </c>
      <c r="J18" s="137">
        <f t="shared" si="9"/>
        <v>0.52332598458066448</v>
      </c>
      <c r="K18" s="137">
        <f t="shared" si="9"/>
        <v>0.51448847289884536</v>
      </c>
      <c r="L18" s="137">
        <f t="shared" si="9"/>
        <v>0.50361759030759734</v>
      </c>
      <c r="M18" s="133"/>
      <c r="N18" s="137">
        <f t="shared" ref="N18:AC18" si="10">SUM(N9/N$14)</f>
        <v>0.57790148856347578</v>
      </c>
      <c r="O18" s="137">
        <f t="shared" si="10"/>
        <v>0.51985032587018642</v>
      </c>
      <c r="P18" s="137">
        <f t="shared" si="10"/>
        <v>0.49018189708169096</v>
      </c>
      <c r="Q18" s="137">
        <f t="shared" si="10"/>
        <v>0.47285514609633261</v>
      </c>
      <c r="R18" s="137">
        <f t="shared" si="10"/>
        <v>0.56144049712344435</v>
      </c>
      <c r="S18" s="137">
        <f t="shared" si="10"/>
        <v>0.54129233624362061</v>
      </c>
      <c r="T18" s="137">
        <f t="shared" si="10"/>
        <v>0.48496888638947638</v>
      </c>
      <c r="U18" s="137">
        <f t="shared" si="10"/>
        <v>0.48945227826320142</v>
      </c>
      <c r="V18" s="137">
        <f t="shared" si="10"/>
        <v>0.58291448881455155</v>
      </c>
      <c r="W18" s="137">
        <f t="shared" si="10"/>
        <v>0.50646259627780899</v>
      </c>
      <c r="X18" s="137">
        <f t="shared" si="10"/>
        <v>0.4581181435582965</v>
      </c>
      <c r="Y18" s="137">
        <f t="shared" si="10"/>
        <v>0.4869061413673233</v>
      </c>
      <c r="Z18" s="137">
        <f t="shared" si="10"/>
        <v>0.55621882542236523</v>
      </c>
      <c r="AA18" s="137">
        <f t="shared" si="10"/>
        <v>0.49120691282416973</v>
      </c>
      <c r="AB18" s="137">
        <f t="shared" si="10"/>
        <v>0.474095027436301</v>
      </c>
      <c r="AC18" s="137">
        <f t="shared" si="10"/>
        <v>0.47845138875334259</v>
      </c>
      <c r="AD18" s="137">
        <f t="shared" ref="AD18" si="11">SUM(AD9/AD$14)</f>
        <v>0.59315089457135706</v>
      </c>
      <c r="AE18" s="133"/>
      <c r="AF18" s="137">
        <f t="shared" ref="AF18:AQ18" si="12">SUM(AF9/AF$14)</f>
        <v>0.51514048981129545</v>
      </c>
      <c r="AG18" s="137">
        <f t="shared" si="12"/>
        <v>0.52039107233280102</v>
      </c>
      <c r="AH18" s="137">
        <f t="shared" si="12"/>
        <v>0.51937186957099291</v>
      </c>
      <c r="AI18" s="137">
        <f t="shared" si="12"/>
        <v>0.52332598458066448</v>
      </c>
      <c r="AJ18" s="137">
        <f t="shared" si="12"/>
        <v>0.53022250107594904</v>
      </c>
      <c r="AK18" s="137">
        <f t="shared" si="12"/>
        <v>0.52182127387500232</v>
      </c>
      <c r="AL18" s="137">
        <f t="shared" si="12"/>
        <v>0.51546798131757277</v>
      </c>
      <c r="AM18" s="137">
        <f t="shared" si="12"/>
        <v>0.51448847289884536</v>
      </c>
      <c r="AN18" s="137">
        <f t="shared" si="12"/>
        <v>0.50692086112795631</v>
      </c>
      <c r="AO18" s="137">
        <f t="shared" si="12"/>
        <v>0.50328199697276987</v>
      </c>
      <c r="AP18" s="137">
        <f t="shared" si="12"/>
        <v>0.50604588559192409</v>
      </c>
      <c r="AQ18" s="137">
        <f t="shared" si="12"/>
        <v>0.50361759030759734</v>
      </c>
      <c r="AR18" s="144">
        <f t="shared" ref="AR18" si="13">SUM(AR9/AR$14)</f>
        <v>0.51815470929738738</v>
      </c>
      <c r="AT18" s="153">
        <f>SUM(AR18-AN18)*1000</f>
        <v>11.23384816943107</v>
      </c>
    </row>
    <row r="19" spans="2:46">
      <c r="B19" s="135" t="str">
        <f t="shared" ref="B19:B22" si="14">B10&amp;"(%)"</f>
        <v>Mac Revenue(%)</v>
      </c>
      <c r="C19" s="137">
        <f t="shared" ref="C19:K19" si="15">SUM(C10/C$14)</f>
        <v>0.10587602428132202</v>
      </c>
      <c r="D19" s="137">
        <f t="shared" si="15"/>
        <v>0.11276686704415576</v>
      </c>
      <c r="E19" s="137">
        <f t="shared" si="15"/>
        <v>9.487377397917883E-2</v>
      </c>
      <c r="F19" s="137">
        <f t="shared" si="15"/>
        <v>9.8933790463305332E-2</v>
      </c>
      <c r="G19" s="137">
        <f t="shared" si="15"/>
        <v>0.10426388357648944</v>
      </c>
      <c r="H19" s="137">
        <f t="shared" si="15"/>
        <v>9.6195638803008063E-2</v>
      </c>
      <c r="I19" s="137">
        <f t="shared" si="15"/>
        <v>0.10188726136617232</v>
      </c>
      <c r="J19" s="137">
        <f t="shared" si="15"/>
        <v>7.659313565623492E-2</v>
      </c>
      <c r="K19" s="137">
        <f t="shared" si="15"/>
        <v>7.6678558185328677E-2</v>
      </c>
      <c r="L19" s="137">
        <f t="shared" ref="L19" si="16">SUM(L10/L$14)</f>
        <v>8.0997498564257586E-2</v>
      </c>
      <c r="M19" s="133"/>
      <c r="N19" s="137">
        <f t="shared" ref="N19:AB19" si="17">SUM(N10/N$14)</f>
        <v>8.7554963895276131E-2</v>
      </c>
      <c r="O19" s="137">
        <f t="shared" si="17"/>
        <v>0.10726988630522831</v>
      </c>
      <c r="P19" s="137">
        <f t="shared" si="17"/>
        <v>8.8983714847093137E-2</v>
      </c>
      <c r="Q19" s="137">
        <f t="shared" si="17"/>
        <v>0.1276595744680851</v>
      </c>
      <c r="R19" s="137">
        <f t="shared" si="17"/>
        <v>6.6024207453437359E-2</v>
      </c>
      <c r="S19" s="137">
        <f t="shared" si="17"/>
        <v>7.5583111898435196E-2</v>
      </c>
      <c r="T19" s="137">
        <f t="shared" si="17"/>
        <v>8.3621648715723071E-2</v>
      </c>
      <c r="U19" s="137">
        <f t="shared" si="17"/>
        <v>8.5074526805068273E-2</v>
      </c>
      <c r="V19" s="137">
        <f t="shared" si="17"/>
        <v>6.5063767509931009E-2</v>
      </c>
      <c r="W19" s="137">
        <f t="shared" si="17"/>
        <v>8.2101969080911927E-2</v>
      </c>
      <c r="X19" s="137">
        <f t="shared" si="17"/>
        <v>8.1711880807209397E-2</v>
      </c>
      <c r="Y19" s="137">
        <f t="shared" si="17"/>
        <v>8.1575898030127464E-2</v>
      </c>
      <c r="Z19" s="137">
        <f t="shared" si="17"/>
        <v>7.2300884955752209E-2</v>
      </c>
      <c r="AA19" s="137">
        <f t="shared" si="17"/>
        <v>8.3358676160614098E-2</v>
      </c>
      <c r="AB19" s="137">
        <f t="shared" si="17"/>
        <v>8.5562975881577269E-2</v>
      </c>
      <c r="AC19" s="137">
        <f t="shared" ref="AC19:AD19" si="18">SUM(AC10/AC$14)</f>
        <v>8.5159955497433298E-2</v>
      </c>
      <c r="AD19" s="137">
        <f t="shared" si="18"/>
        <v>5.8334956453991484E-2</v>
      </c>
      <c r="AE19" s="133"/>
      <c r="AF19" s="137">
        <f t="shared" ref="AF19:AP19" si="19">SUM(AF10/AF$14)</f>
        <v>9.5629578595076078E-2</v>
      </c>
      <c r="AG19" s="137">
        <f t="shared" si="19"/>
        <v>8.7752372791129463E-2</v>
      </c>
      <c r="AH19" s="137">
        <f t="shared" si="19"/>
        <v>8.660625682085156E-2</v>
      </c>
      <c r="AI19" s="137">
        <f t="shared" si="19"/>
        <v>7.659313565623492E-2</v>
      </c>
      <c r="AJ19" s="137">
        <f t="shared" si="19"/>
        <v>7.6229044920224212E-2</v>
      </c>
      <c r="AK19" s="137">
        <f t="shared" si="19"/>
        <v>7.7786192132025589E-2</v>
      </c>
      <c r="AL19" s="137">
        <f t="shared" si="19"/>
        <v>7.7421596823676164E-2</v>
      </c>
      <c r="AM19" s="137">
        <f t="shared" si="19"/>
        <v>7.6678558185328677E-2</v>
      </c>
      <c r="AN19" s="137">
        <f t="shared" si="19"/>
        <v>7.8812916919345055E-2</v>
      </c>
      <c r="AO19" s="137">
        <f t="shared" si="19"/>
        <v>7.9150077678923791E-2</v>
      </c>
      <c r="AP19" s="137">
        <f t="shared" si="19"/>
        <v>8.0088100336494342E-2</v>
      </c>
      <c r="AQ19" s="137">
        <f t="shared" ref="AQ19:AR19" si="20">SUM(AQ10/AQ$14)</f>
        <v>8.0997498564257586E-2</v>
      </c>
      <c r="AR19" s="144">
        <f t="shared" si="20"/>
        <v>7.6000247924208647E-2</v>
      </c>
      <c r="AT19" s="153">
        <f t="shared" ref="AT19:AT22" si="21">SUM(AR19-AN19)*1000</f>
        <v>-2.8126689951364083</v>
      </c>
    </row>
    <row r="20" spans="2:46">
      <c r="B20" s="135" t="str">
        <f t="shared" si="14"/>
        <v>iPad Revenue(%)</v>
      </c>
      <c r="C20" s="137">
        <f t="shared" ref="C20:K20" si="22">SUM(C11/C$14)</f>
        <v>9.5659875996457047E-2</v>
      </c>
      <c r="D20" s="137">
        <f t="shared" si="22"/>
        <v>8.3853180592756746E-2</v>
      </c>
      <c r="E20" s="137">
        <f t="shared" si="22"/>
        <v>6.9203109998305687E-2</v>
      </c>
      <c r="F20" s="137">
        <f t="shared" si="22"/>
        <v>8.1791416513564003E-2</v>
      </c>
      <c r="G20" s="137">
        <f t="shared" si="22"/>
        <v>8.6421507021474234E-2</v>
      </c>
      <c r="H20" s="137">
        <f t="shared" si="22"/>
        <v>8.7098193905696022E-2</v>
      </c>
      <c r="I20" s="137">
        <f t="shared" si="22"/>
        <v>7.4283337728997187E-2</v>
      </c>
      <c r="J20" s="137">
        <f t="shared" si="22"/>
        <v>7.3835396636967268E-2</v>
      </c>
      <c r="K20" s="137">
        <f t="shared" si="22"/>
        <v>6.8264989067474774E-2</v>
      </c>
      <c r="L20" s="137">
        <f t="shared" ref="L20" si="23">SUM(L11/L$14)</f>
        <v>6.7336920086216626E-2</v>
      </c>
      <c r="M20" s="133"/>
      <c r="N20" s="137">
        <f t="shared" ref="N20:AB20" si="24">SUM(N11/N$14)</f>
        <v>5.8477550526443184E-2</v>
      </c>
      <c r="O20" s="137">
        <f t="shared" si="24"/>
        <v>7.8599477785316313E-2</v>
      </c>
      <c r="P20" s="137">
        <f t="shared" si="24"/>
        <v>8.7079159584855167E-2</v>
      </c>
      <c r="Q20" s="137">
        <f t="shared" si="24"/>
        <v>7.9582011403722855E-2</v>
      </c>
      <c r="R20" s="137">
        <f t="shared" si="24"/>
        <v>8.020212711473787E-2</v>
      </c>
      <c r="S20" s="137">
        <f t="shared" si="24"/>
        <v>7.0331941456830735E-2</v>
      </c>
      <c r="T20" s="137">
        <f t="shared" si="24"/>
        <v>7.0797217501864365E-2</v>
      </c>
      <c r="U20" s="137">
        <f t="shared" si="24"/>
        <v>7.1990435540459002E-2</v>
      </c>
      <c r="V20" s="137">
        <f t="shared" si="24"/>
        <v>5.8733012753501984E-2</v>
      </c>
      <c r="W20" s="137">
        <f t="shared" si="24"/>
        <v>6.1254173415754849E-2</v>
      </c>
      <c r="X20" s="137">
        <f t="shared" si="24"/>
        <v>8.34955757370857E-2</v>
      </c>
      <c r="Y20" s="137">
        <f t="shared" si="24"/>
        <v>7.3211840303381445E-2</v>
      </c>
      <c r="Z20" s="137">
        <f t="shared" si="24"/>
        <v>6.5068382944489134E-2</v>
      </c>
      <c r="AA20" s="137">
        <f t="shared" si="24"/>
        <v>6.7135771138539621E-2</v>
      </c>
      <c r="AB20" s="137">
        <f t="shared" si="24"/>
        <v>6.9983835977710671E-2</v>
      </c>
      <c r="AC20" s="137">
        <f t="shared" ref="AC20:AD20" si="25">SUM(AC11/AC$14)</f>
        <v>6.7846895555598932E-2</v>
      </c>
      <c r="AD20" s="137">
        <f t="shared" si="25"/>
        <v>5.9788808814936423E-2</v>
      </c>
      <c r="AE20" s="133"/>
      <c r="AF20" s="137">
        <f t="shared" ref="AF20:AP20" si="26">SUM(AF11/AF$14)</f>
        <v>8.1127737480550244E-2</v>
      </c>
      <c r="AG20" s="137">
        <f t="shared" si="26"/>
        <v>7.9107752632467318E-2</v>
      </c>
      <c r="AH20" s="137">
        <f t="shared" si="26"/>
        <v>7.5614755699562164E-2</v>
      </c>
      <c r="AI20" s="137">
        <f t="shared" si="26"/>
        <v>7.3835396636967268E-2</v>
      </c>
      <c r="AJ20" s="137">
        <f t="shared" si="26"/>
        <v>6.721959212457157E-2</v>
      </c>
      <c r="AK20" s="137">
        <f t="shared" si="26"/>
        <v>6.5027527166863636E-2</v>
      </c>
      <c r="AL20" s="137">
        <f t="shared" si="26"/>
        <v>6.7911816038775635E-2</v>
      </c>
      <c r="AM20" s="137">
        <f t="shared" si="26"/>
        <v>6.8264989067474774E-2</v>
      </c>
      <c r="AN20" s="137">
        <f t="shared" si="26"/>
        <v>7.0140994542146756E-2</v>
      </c>
      <c r="AO20" s="137">
        <f t="shared" si="26"/>
        <v>7.1439632736046518E-2</v>
      </c>
      <c r="AP20" s="137">
        <f t="shared" si="26"/>
        <v>6.8573875802997855E-2</v>
      </c>
      <c r="AQ20" s="137">
        <f t="shared" ref="AQ20:AR20" si="27">SUM(AQ11/AQ$14)</f>
        <v>6.7336920086216626E-2</v>
      </c>
      <c r="AR20" s="144">
        <f t="shared" si="27"/>
        <v>6.5493311785352726E-2</v>
      </c>
      <c r="AT20" s="153">
        <f t="shared" si="21"/>
        <v>-4.6476827567940306</v>
      </c>
    </row>
    <row r="21" spans="2:46">
      <c r="B21" s="135" t="str">
        <f t="shared" si="14"/>
        <v>Services Revenue(%)</v>
      </c>
      <c r="C21" s="137">
        <f t="shared" ref="C21:K21" si="28">SUM(C12/C$14)</f>
        <v>0.11291092984107698</v>
      </c>
      <c r="D21" s="137">
        <f t="shared" si="28"/>
        <v>0.13078339164347347</v>
      </c>
      <c r="E21" s="137">
        <f t="shared" si="28"/>
        <v>0.14965643178523691</v>
      </c>
      <c r="F21" s="137">
        <f t="shared" si="28"/>
        <v>0.17792323598822327</v>
      </c>
      <c r="G21" s="137">
        <f t="shared" si="28"/>
        <v>0.19586543540425841</v>
      </c>
      <c r="H21" s="137">
        <f t="shared" si="28"/>
        <v>0.18704707545029345</v>
      </c>
      <c r="I21" s="137">
        <f t="shared" si="28"/>
        <v>0.19813201192915542</v>
      </c>
      <c r="J21" s="137">
        <f t="shared" si="28"/>
        <v>0.222288897295746</v>
      </c>
      <c r="K21" s="137">
        <f t="shared" si="28"/>
        <v>0.24593450714130449</v>
      </c>
      <c r="L21" s="137">
        <f t="shared" ref="L21" si="29">SUM(L12/L$14)</f>
        <v>0.26229752427546071</v>
      </c>
      <c r="M21" s="133"/>
      <c r="N21" s="137">
        <f t="shared" ref="N21:AB21" si="30">SUM(N12/N$14)</f>
        <v>0.15745693654443504</v>
      </c>
      <c r="O21" s="137">
        <f t="shared" si="30"/>
        <v>0.20375624498858941</v>
      </c>
      <c r="P21" s="137">
        <f t="shared" si="30"/>
        <v>0.2363095022842609</v>
      </c>
      <c r="Q21" s="137">
        <f t="shared" si="30"/>
        <v>0.21285470237170812</v>
      </c>
      <c r="R21" s="137">
        <f t="shared" si="30"/>
        <v>0.17725387097324888</v>
      </c>
      <c r="S21" s="137">
        <f t="shared" si="30"/>
        <v>0.22045425787675565</v>
      </c>
      <c r="T21" s="137">
        <f t="shared" si="30"/>
        <v>0.25933713950389381</v>
      </c>
      <c r="U21" s="137">
        <f t="shared" si="30"/>
        <v>0.24932400724038525</v>
      </c>
      <c r="V21" s="137">
        <f t="shared" si="30"/>
        <v>0.1933263642065649</v>
      </c>
      <c r="W21" s="137">
        <f t="shared" si="30"/>
        <v>0.26298855134265536</v>
      </c>
      <c r="X21" s="137">
        <f t="shared" si="30"/>
        <v>0.28227846625552305</v>
      </c>
      <c r="Y21" s="137">
        <f t="shared" si="30"/>
        <v>0.26305698936058147</v>
      </c>
      <c r="Z21" s="137">
        <f t="shared" si="30"/>
        <v>0.21190667739340305</v>
      </c>
      <c r="AA21" s="137">
        <f t="shared" si="30"/>
        <v>0.27941777912939525</v>
      </c>
      <c r="AB21" s="137">
        <f t="shared" si="30"/>
        <v>0.29162235739504022</v>
      </c>
      <c r="AC21" s="137">
        <f t="shared" ref="AC21:AD21" si="31">SUM(AC12/AC$14)</f>
        <v>0.2805808756075186</v>
      </c>
      <c r="AD21" s="137">
        <f t="shared" si="31"/>
        <v>0.20877737277052785</v>
      </c>
      <c r="AE21" s="133"/>
      <c r="AF21" s="137">
        <f t="shared" ref="AF21:AP21" si="32">SUM(AF12/AF$14)</f>
        <v>0.20482947434696558</v>
      </c>
      <c r="AG21" s="137">
        <f t="shared" si="32"/>
        <v>0.20894844129370674</v>
      </c>
      <c r="AH21" s="137">
        <f t="shared" si="32"/>
        <v>0.21377167370348471</v>
      </c>
      <c r="AI21" s="137">
        <f t="shared" si="32"/>
        <v>0.222288897295746</v>
      </c>
      <c r="AJ21" s="137">
        <f t="shared" si="32"/>
        <v>0.22698895013300285</v>
      </c>
      <c r="AK21" s="137">
        <f t="shared" si="32"/>
        <v>0.23717386006608615</v>
      </c>
      <c r="AL21" s="137">
        <f t="shared" si="32"/>
        <v>0.2425058933670122</v>
      </c>
      <c r="AM21" s="137">
        <f t="shared" si="32"/>
        <v>0.24593450714130449</v>
      </c>
      <c r="AN21" s="137">
        <f t="shared" si="32"/>
        <v>0.25114210632706691</v>
      </c>
      <c r="AO21" s="137">
        <f t="shared" si="32"/>
        <v>0.25519149977770339</v>
      </c>
      <c r="AP21" s="137">
        <f t="shared" si="32"/>
        <v>0.25788926277148977</v>
      </c>
      <c r="AQ21" s="137">
        <f t="shared" ref="AQ21:AR21" si="33">SUM(AQ12/AQ$14)</f>
        <v>0.26229752427546071</v>
      </c>
      <c r="AR21" s="144">
        <f t="shared" si="33"/>
        <v>0.25901422579926864</v>
      </c>
      <c r="AT21" s="153">
        <f t="shared" si="21"/>
        <v>7.8721194722017334</v>
      </c>
    </row>
    <row r="22" spans="2:46">
      <c r="B22" s="135" t="str">
        <f t="shared" si="14"/>
        <v>Wearables, Home, and Accessories Revenue(%)</v>
      </c>
      <c r="C22" s="137">
        <f t="shared" ref="C22:K22" si="34">SUM(C13/C$14)</f>
        <v>5.1623314892018608E-2</v>
      </c>
      <c r="D22" s="137">
        <f t="shared" si="34"/>
        <v>5.6112967535356884E-2</v>
      </c>
      <c r="E22" s="137">
        <f t="shared" si="34"/>
        <v>6.5441744008735106E-2</v>
      </c>
      <c r="F22" s="137">
        <f t="shared" si="34"/>
        <v>9.4098564806629412E-2</v>
      </c>
      <c r="G22" s="137">
        <f t="shared" si="34"/>
        <v>0.11154217438027066</v>
      </c>
      <c r="H22" s="137">
        <f t="shared" si="34"/>
        <v>0.10488030900696249</v>
      </c>
      <c r="I22" s="137">
        <f t="shared" si="34"/>
        <v>0.10458552271205697</v>
      </c>
      <c r="J22" s="137">
        <f t="shared" si="34"/>
        <v>0.1039565858303873</v>
      </c>
      <c r="K22" s="137">
        <f t="shared" si="34"/>
        <v>9.4633472707046681E-2</v>
      </c>
      <c r="L22" s="137">
        <f t="shared" ref="L22" si="35">SUM(L13/L$14)</f>
        <v>8.5750466766467789E-2</v>
      </c>
      <c r="M22" s="133"/>
      <c r="N22" s="137">
        <f t="shared" ref="N22:AB22" si="36">SUM(N13/N$14)</f>
        <v>0.11860906047036993</v>
      </c>
      <c r="O22" s="137">
        <f t="shared" si="36"/>
        <v>9.0524065050679489E-2</v>
      </c>
      <c r="P22" s="137">
        <f t="shared" si="36"/>
        <v>9.7445726202099833E-2</v>
      </c>
      <c r="Q22" s="137">
        <f t="shared" si="36"/>
        <v>0.10704856566015131</v>
      </c>
      <c r="R22" s="137">
        <f t="shared" si="36"/>
        <v>0.11507929733513153</v>
      </c>
      <c r="S22" s="137">
        <f t="shared" si="36"/>
        <v>9.2338352524357833E-2</v>
      </c>
      <c r="T22" s="137">
        <f t="shared" si="36"/>
        <v>0.10127510788904238</v>
      </c>
      <c r="U22" s="137">
        <f t="shared" si="36"/>
        <v>0.10415875215088605</v>
      </c>
      <c r="V22" s="137">
        <f t="shared" si="36"/>
        <v>9.9962366715450557E-2</v>
      </c>
      <c r="W22" s="137">
        <f t="shared" si="36"/>
        <v>8.7192709882868882E-2</v>
      </c>
      <c r="X22" s="137">
        <f t="shared" si="36"/>
        <v>9.4395933641885352E-2</v>
      </c>
      <c r="Y22" s="137">
        <f t="shared" si="36"/>
        <v>9.5249130938586321E-2</v>
      </c>
      <c r="Z22" s="137">
        <f t="shared" si="36"/>
        <v>9.4505229283990341E-2</v>
      </c>
      <c r="AA22" s="137">
        <f t="shared" si="36"/>
        <v>7.8880860747281331E-2</v>
      </c>
      <c r="AB22" s="137">
        <f t="shared" si="36"/>
        <v>7.8735803309370883E-2</v>
      </c>
      <c r="AC22" s="137">
        <f t="shared" ref="AC22:AD22" si="37">SUM(AC13/AC$14)</f>
        <v>8.7960884586106611E-2</v>
      </c>
      <c r="AD22" s="137">
        <f t="shared" si="37"/>
        <v>7.9947967389187233E-2</v>
      </c>
      <c r="AE22" s="133"/>
      <c r="AF22" s="137">
        <f t="shared" ref="AF22:AP22" si="38">SUM(AF13/AF$14)</f>
        <v>0.10327271976611266</v>
      </c>
      <c r="AG22" s="137">
        <f t="shared" si="38"/>
        <v>0.10380036094989548</v>
      </c>
      <c r="AH22" s="137">
        <f t="shared" si="38"/>
        <v>0.1046354442051087</v>
      </c>
      <c r="AI22" s="137">
        <f t="shared" si="38"/>
        <v>0.1039565858303873</v>
      </c>
      <c r="AJ22" s="137">
        <f t="shared" si="38"/>
        <v>9.9339911746252327E-2</v>
      </c>
      <c r="AK22" s="137">
        <f t="shared" si="38"/>
        <v>9.819114676002233E-2</v>
      </c>
      <c r="AL22" s="137">
        <f t="shared" si="38"/>
        <v>9.6692712452963278E-2</v>
      </c>
      <c r="AM22" s="137">
        <f t="shared" si="38"/>
        <v>9.4633472707046681E-2</v>
      </c>
      <c r="AN22" s="137">
        <f t="shared" si="38"/>
        <v>9.2983121083484943E-2</v>
      </c>
      <c r="AO22" s="137">
        <f t="shared" si="38"/>
        <v>9.0936792834556385E-2</v>
      </c>
      <c r="AP22" s="137">
        <f t="shared" si="38"/>
        <v>8.7402875497093913E-2</v>
      </c>
      <c r="AQ22" s="137">
        <f t="shared" ref="AQ22:AR22" si="39">SUM(AQ13/AQ$14)</f>
        <v>8.5750466766467789E-2</v>
      </c>
      <c r="AR22" s="144">
        <f t="shared" si="39"/>
        <v>8.1337505193782605E-2</v>
      </c>
      <c r="AT22" s="153">
        <f t="shared" si="21"/>
        <v>-11.645615889702338</v>
      </c>
    </row>
    <row r="23" spans="2:46">
      <c r="B23" s="140" t="s">
        <v>169</v>
      </c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41"/>
      <c r="AT23" s="9"/>
    </row>
    <row r="24" spans="2:46">
      <c r="B24" s="135" t="str">
        <f>B9&amp;"(%)"</f>
        <v>iPhone Revenue(%)</v>
      </c>
      <c r="C24" s="133" t="s">
        <v>35</v>
      </c>
      <c r="D24" s="138">
        <f>SUM(D9/C9)-1</f>
        <v>3.3789319678127372E-2</v>
      </c>
      <c r="E24" s="138">
        <f t="shared" ref="E24:K24" si="40">SUM(E9/D9)-1</f>
        <v>0.16677870633106662</v>
      </c>
      <c r="F24" s="138">
        <f t="shared" si="40"/>
        <v>-0.13649871427878313</v>
      </c>
      <c r="G24" s="138">
        <f t="shared" si="40"/>
        <v>-3.2307681502447672E-2</v>
      </c>
      <c r="H24" s="138">
        <f t="shared" si="40"/>
        <v>0.39331983364905176</v>
      </c>
      <c r="I24" s="138">
        <f t="shared" si="40"/>
        <v>7.0405734139696641E-2</v>
      </c>
      <c r="J24" s="138">
        <f t="shared" si="40"/>
        <v>-2.3874757286278081E-2</v>
      </c>
      <c r="K24" s="138">
        <f t="shared" si="40"/>
        <v>2.9912804175826757E-3</v>
      </c>
      <c r="L24" s="138">
        <f t="shared" ref="L24" si="41">SUM(L9/K9)-1</f>
        <v>4.1767942619406195E-2</v>
      </c>
      <c r="M24" s="133"/>
      <c r="N24" s="138" t="s">
        <v>35</v>
      </c>
      <c r="O24" s="138" t="s">
        <v>35</v>
      </c>
      <c r="P24" s="138" t="s">
        <v>35</v>
      </c>
      <c r="Q24" s="138" t="s">
        <v>35</v>
      </c>
      <c r="R24" s="138">
        <f>SUM(R9/N9)-1</f>
        <v>-8.1713854917071505E-2</v>
      </c>
      <c r="S24" s="138">
        <f t="shared" ref="S24:AD24" si="42">SUM(S9/R9)-1</f>
        <v>-0.21955150133029266</v>
      </c>
      <c r="T24" s="138">
        <f t="shared" si="42"/>
        <v>-0.22723730860638169</v>
      </c>
      <c r="U24" s="138">
        <f t="shared" si="42"/>
        <v>0.10426277445864529</v>
      </c>
      <c r="V24" s="138">
        <f t="shared" si="42"/>
        <v>0.59118822052277142</v>
      </c>
      <c r="W24" s="138">
        <f t="shared" si="42"/>
        <v>-0.3405784625979168</v>
      </c>
      <c r="X24" s="138">
        <f t="shared" si="42"/>
        <v>-0.14505145443073775</v>
      </c>
      <c r="Y24" s="138">
        <f t="shared" si="42"/>
        <v>0.17625203583061899</v>
      </c>
      <c r="Z24" s="138">
        <f t="shared" si="42"/>
        <v>0.49578122971745064</v>
      </c>
      <c r="AA24" s="138">
        <f t="shared" si="42"/>
        <v>-0.3224999276808701</v>
      </c>
      <c r="AB24" s="138">
        <f t="shared" si="42"/>
        <v>-4.8226980636621786E-2</v>
      </c>
      <c r="AC24" s="138">
        <f t="shared" ref="AC24" si="43">SUM(AC9/AB9)-1</f>
        <v>9.9659055224081472E-2</v>
      </c>
      <c r="AD24" s="138">
        <f t="shared" si="42"/>
        <v>0.73929627740948489</v>
      </c>
      <c r="AE24" s="133"/>
      <c r="AF24" s="138" t="s">
        <v>35</v>
      </c>
      <c r="AG24" s="138" t="s">
        <v>35</v>
      </c>
      <c r="AH24" s="138" t="s">
        <v>35</v>
      </c>
      <c r="AI24" s="138" t="s">
        <v>35</v>
      </c>
      <c r="AJ24" s="138">
        <f t="shared" ref="AJ24:AO27" si="44">SUM(AJ9/AF9)-1</f>
        <v>2.4414434270372043E-2</v>
      </c>
      <c r="AK24" s="138">
        <f t="shared" si="44"/>
        <v>-6.2924151696607256E-3</v>
      </c>
      <c r="AL24" s="138">
        <f t="shared" si="44"/>
        <v>-3.199534613147148E-3</v>
      </c>
      <c r="AM24" s="138">
        <f t="shared" si="44"/>
        <v>2.9912804175826757E-3</v>
      </c>
      <c r="AN24" s="138">
        <f t="shared" si="44"/>
        <v>-1.9025964500513415E-2</v>
      </c>
      <c r="AO24" s="138">
        <f t="shared" si="44"/>
        <v>1.1840975399093123E-2</v>
      </c>
      <c r="AP24" s="138">
        <f>SUM(AP9/AL9)-1</f>
        <v>4.0333859915679726E-2</v>
      </c>
      <c r="AQ24" s="138">
        <f>SUM(AQ9/AM9)-1</f>
        <v>4.1767942619406195E-2</v>
      </c>
      <c r="AR24" s="145">
        <f>SUM(AR9/AN9)-1</f>
        <v>0.12510280681291408</v>
      </c>
      <c r="AT24" s="153">
        <f t="shared" ref="AT24:AT28" si="45">SUM(AR24-AN24)*1000</f>
        <v>144.12877131342751</v>
      </c>
    </row>
    <row r="25" spans="2:46">
      <c r="B25" s="135" t="str">
        <f t="shared" ref="B25:B28" si="46">B10&amp;"(%)"</f>
        <v>Mac Revenue(%)</v>
      </c>
      <c r="C25" s="133" t="s">
        <v>35</v>
      </c>
      <c r="D25" s="138">
        <f t="shared" ref="D25:K25" si="47">SUM(D10/C10)-1</f>
        <v>0.13223249091148004</v>
      </c>
      <c r="E25" s="138">
        <f t="shared" si="47"/>
        <v>-2.5222437137330744E-2</v>
      </c>
      <c r="F25" s="138">
        <f t="shared" si="47"/>
        <v>2.1509643622509733E-2</v>
      </c>
      <c r="G25" s="138">
        <f t="shared" si="47"/>
        <v>0.11196581196581201</v>
      </c>
      <c r="H25" s="138">
        <f t="shared" si="47"/>
        <v>0.22947383131856625</v>
      </c>
      <c r="I25" s="138">
        <f t="shared" si="47"/>
        <v>0.14171639670360903</v>
      </c>
      <c r="J25" s="138">
        <f t="shared" si="47"/>
        <v>-0.26930831072504169</v>
      </c>
      <c r="K25" s="138">
        <f t="shared" si="47"/>
        <v>2.1357768164322E-2</v>
      </c>
      <c r="L25" s="138">
        <f t="shared" ref="L25" si="48">SUM(L10/K10)-1</f>
        <v>0.12419957310565644</v>
      </c>
      <c r="M25" s="133"/>
      <c r="N25" s="138" t="s">
        <v>35</v>
      </c>
      <c r="O25" s="138" t="s">
        <v>35</v>
      </c>
      <c r="P25" s="138" t="s">
        <v>35</v>
      </c>
      <c r="Q25" s="138" t="s">
        <v>35</v>
      </c>
      <c r="R25" s="138">
        <f t="shared" ref="R25:R28" si="49">SUM(R10/N10)-1</f>
        <v>-0.28722816070770363</v>
      </c>
      <c r="S25" s="138">
        <f t="shared" ref="S25:AD25" si="50">SUM(S10/R10)-1</f>
        <v>-7.3303167420814441E-2</v>
      </c>
      <c r="T25" s="138">
        <f t="shared" si="50"/>
        <v>-4.5758928571428603E-2</v>
      </c>
      <c r="U25" s="138">
        <f t="shared" si="50"/>
        <v>0.11315789473684212</v>
      </c>
      <c r="V25" s="138">
        <f t="shared" si="50"/>
        <v>2.1801943787759459E-2</v>
      </c>
      <c r="W25" s="138">
        <f t="shared" si="50"/>
        <v>-4.2287917737789171E-2</v>
      </c>
      <c r="X25" s="138">
        <f t="shared" si="50"/>
        <v>-5.9320896523956557E-2</v>
      </c>
      <c r="Y25" s="138">
        <f t="shared" si="50"/>
        <v>0.10486517334855194</v>
      </c>
      <c r="Z25" s="138">
        <f t="shared" si="50"/>
        <v>0.16051136363636354</v>
      </c>
      <c r="AA25" s="138">
        <f t="shared" si="50"/>
        <v>-0.11550016690775566</v>
      </c>
      <c r="AB25" s="138">
        <f t="shared" si="50"/>
        <v>1.2202792804126394E-2</v>
      </c>
      <c r="AC25" s="138">
        <f t="shared" ref="AC25" si="51">SUM(AC10/AB10)-1</f>
        <v>8.4514044245587838E-2</v>
      </c>
      <c r="AD25" s="138">
        <f t="shared" si="50"/>
        <v>-3.8964015585606249E-2</v>
      </c>
      <c r="AE25" s="133"/>
      <c r="AF25" s="138" t="s">
        <v>35</v>
      </c>
      <c r="AG25" s="138" t="s">
        <v>35</v>
      </c>
      <c r="AH25" s="138" t="s">
        <v>35</v>
      </c>
      <c r="AI25" s="138" t="s">
        <v>35</v>
      </c>
      <c r="AJ25" s="138">
        <f t="shared" si="44"/>
        <v>-0.20663788451160281</v>
      </c>
      <c r="AK25" s="138">
        <f t="shared" si="44"/>
        <v>-0.12156363743970644</v>
      </c>
      <c r="AL25" s="138">
        <f t="shared" si="44"/>
        <v>-0.1021623409822261</v>
      </c>
      <c r="AM25" s="138">
        <f t="shared" si="44"/>
        <v>2.1357768164322E-2</v>
      </c>
      <c r="AN25" s="138">
        <f t="shared" si="44"/>
        <v>6.0846200938711625E-2</v>
      </c>
      <c r="AO25" s="138">
        <f t="shared" si="44"/>
        <v>6.75088428499242E-2</v>
      </c>
      <c r="AP25" s="138">
        <f t="shared" ref="AP25:AR27" si="52">SUM(AP10/AL10)-1</f>
        <v>9.6201514034970126E-2</v>
      </c>
      <c r="AQ25" s="138">
        <f t="shared" si="52"/>
        <v>0.12419957310565644</v>
      </c>
      <c r="AR25" s="145">
        <f t="shared" si="52"/>
        <v>6.1427976018723296E-2</v>
      </c>
      <c r="AT25" s="153">
        <f t="shared" si="45"/>
        <v>0.58177508001167055</v>
      </c>
    </row>
    <row r="26" spans="2:46">
      <c r="B26" s="135" t="str">
        <f t="shared" si="46"/>
        <v>iPad Revenue(%)</v>
      </c>
      <c r="C26" s="133" t="s">
        <v>35</v>
      </c>
      <c r="D26" s="138">
        <f t="shared" ref="D26:K26" si="53">SUM(D11/C11)-1</f>
        <v>-6.8159782819468662E-2</v>
      </c>
      <c r="E26" s="138">
        <f t="shared" si="53"/>
        <v>-4.3803974612423247E-2</v>
      </c>
      <c r="F26" s="138">
        <f t="shared" si="53"/>
        <v>0.15778019586507064</v>
      </c>
      <c r="G26" s="138">
        <f t="shared" si="53"/>
        <v>0.11484962406015042</v>
      </c>
      <c r="H26" s="138">
        <f t="shared" si="53"/>
        <v>0.34302815714044854</v>
      </c>
      <c r="I26" s="138">
        <f t="shared" si="53"/>
        <v>-8.0660347749670458E-2</v>
      </c>
      <c r="J26" s="138">
        <f t="shared" si="53"/>
        <v>-3.3865901952751631E-2</v>
      </c>
      <c r="K26" s="138">
        <f t="shared" si="53"/>
        <v>-5.674911660777382E-2</v>
      </c>
      <c r="L26" s="138">
        <f t="shared" ref="L26" si="54">SUM(L11/K11)-1</f>
        <v>4.9786468869408962E-2</v>
      </c>
      <c r="M26" s="133"/>
      <c r="N26" s="138" t="s">
        <v>35</v>
      </c>
      <c r="O26" s="138" t="s">
        <v>35</v>
      </c>
      <c r="P26" s="138" t="s">
        <v>35</v>
      </c>
      <c r="Q26" s="138" t="s">
        <v>35</v>
      </c>
      <c r="R26" s="138">
        <f t="shared" si="49"/>
        <v>0.29635761589403975</v>
      </c>
      <c r="S26" s="138">
        <f t="shared" ref="S26:AD26" si="55">SUM(S11/R11)-1</f>
        <v>-0.29012345679012341</v>
      </c>
      <c r="T26" s="138">
        <f t="shared" si="55"/>
        <v>-0.13178410794602702</v>
      </c>
      <c r="U26" s="138">
        <f t="shared" si="55"/>
        <v>0.11258849939561388</v>
      </c>
      <c r="V26" s="138">
        <f t="shared" si="55"/>
        <v>9.0020176936209895E-2</v>
      </c>
      <c r="W26" s="138">
        <f t="shared" si="55"/>
        <v>-0.20845792396411789</v>
      </c>
      <c r="X26" s="138">
        <f t="shared" si="55"/>
        <v>0.28836121604605136</v>
      </c>
      <c r="Y26" s="138">
        <f t="shared" si="55"/>
        <v>-2.9600670203853707E-2</v>
      </c>
      <c r="Z26" s="138">
        <f t="shared" si="55"/>
        <v>0.16374100719424467</v>
      </c>
      <c r="AA26" s="138">
        <f t="shared" si="55"/>
        <v>-0.20845697329376855</v>
      </c>
      <c r="AB26" s="138">
        <f t="shared" si="55"/>
        <v>2.7960012496095032E-2</v>
      </c>
      <c r="AC26" s="138">
        <f t="shared" ref="AC26" si="56">SUM(AC11/AB11)-1</f>
        <v>5.6374411183710782E-2</v>
      </c>
      <c r="AD26" s="138">
        <f t="shared" si="55"/>
        <v>0.2363348676639816</v>
      </c>
      <c r="AE26" s="133"/>
      <c r="AF26" s="138" t="s">
        <v>35</v>
      </c>
      <c r="AG26" s="138" t="s">
        <v>35</v>
      </c>
      <c r="AH26" s="138" t="s">
        <v>35</v>
      </c>
      <c r="AI26" s="138" t="s">
        <v>35</v>
      </c>
      <c r="AJ26" s="138">
        <f t="shared" si="44"/>
        <v>-0.17534987277353686</v>
      </c>
      <c r="AK26" s="138">
        <f t="shared" si="44"/>
        <v>-0.18539915966386555</v>
      </c>
      <c r="AL26" s="138">
        <f t="shared" si="44"/>
        <v>-9.7964245117288407E-2</v>
      </c>
      <c r="AM26" s="138">
        <f t="shared" si="44"/>
        <v>-5.674911660777382E-2</v>
      </c>
      <c r="AN26" s="138">
        <f t="shared" si="44"/>
        <v>7.065992980290825E-2</v>
      </c>
      <c r="AO26" s="138">
        <f t="shared" si="44"/>
        <v>0.15256286266924568</v>
      </c>
      <c r="AP26" s="138">
        <f t="shared" si="52"/>
        <v>7.0034750066827023E-2</v>
      </c>
      <c r="AQ26" s="138">
        <f t="shared" si="52"/>
        <v>4.9786468869408962E-2</v>
      </c>
      <c r="AR26" s="145">
        <f t="shared" si="52"/>
        <v>2.7774775748405922E-2</v>
      </c>
      <c r="AT26" s="153">
        <f t="shared" si="45"/>
        <v>-42.88515405450233</v>
      </c>
    </row>
    <row r="27" spans="2:46">
      <c r="B27" s="135" t="str">
        <f t="shared" si="46"/>
        <v>Services Revenue(%)</v>
      </c>
      <c r="C27" s="133" t="s">
        <v>35</v>
      </c>
      <c r="D27" s="138">
        <f t="shared" ref="D27:K27" si="57">SUM(D12/C12)-1</f>
        <v>0.23131263348118947</v>
      </c>
      <c r="E27" s="138">
        <f t="shared" si="57"/>
        <v>0.3258172114743163</v>
      </c>
      <c r="F27" s="138">
        <f t="shared" si="57"/>
        <v>0.16461205595250084</v>
      </c>
      <c r="G27" s="138">
        <f t="shared" si="57"/>
        <v>0.16152167807997242</v>
      </c>
      <c r="H27" s="138">
        <f t="shared" si="57"/>
        <v>0.27259708376729663</v>
      </c>
      <c r="I27" s="138">
        <f t="shared" si="57"/>
        <v>0.14181951041286078</v>
      </c>
      <c r="J27" s="138">
        <f t="shared" si="57"/>
        <v>9.0504166186691215E-2</v>
      </c>
      <c r="K27" s="138">
        <f t="shared" si="57"/>
        <v>0.12874413145539898</v>
      </c>
      <c r="L27" s="138">
        <f t="shared" ref="L27" si="58">SUM(L12/K12)-1</f>
        <v>0.13506431386413498</v>
      </c>
      <c r="M27" s="133"/>
      <c r="N27" s="138" t="s">
        <v>35</v>
      </c>
      <c r="O27" s="138" t="s">
        <v>35</v>
      </c>
      <c r="P27" s="138" t="s">
        <v>35</v>
      </c>
      <c r="Q27" s="138" t="s">
        <v>35</v>
      </c>
      <c r="R27" s="138">
        <f t="shared" si="49"/>
        <v>6.4050010248001721E-2</v>
      </c>
      <c r="S27" s="138">
        <f t="shared" ref="S27:AD27" si="59">SUM(S12/R12)-1</f>
        <v>6.7899451025714708E-3</v>
      </c>
      <c r="T27" s="138">
        <f t="shared" si="59"/>
        <v>1.4636246233318939E-2</v>
      </c>
      <c r="U27" s="138">
        <f t="shared" si="59"/>
        <v>5.1902135482958522E-2</v>
      </c>
      <c r="V27" s="138">
        <f t="shared" si="59"/>
        <v>3.5986376266021303E-2</v>
      </c>
      <c r="W27" s="138">
        <f t="shared" si="59"/>
        <v>3.2443656183760883E-2</v>
      </c>
      <c r="X27" s="138">
        <f t="shared" si="59"/>
        <v>1.4497004231784461E-2</v>
      </c>
      <c r="Y27" s="138">
        <f t="shared" si="59"/>
        <v>3.1346797175071162E-2</v>
      </c>
      <c r="Z27" s="138">
        <f t="shared" si="59"/>
        <v>5.4781355117731856E-2</v>
      </c>
      <c r="AA27" s="138">
        <f t="shared" si="59"/>
        <v>1.1579347000759244E-2</v>
      </c>
      <c r="AB27" s="138">
        <f t="shared" si="59"/>
        <v>2.9198723963220097E-2</v>
      </c>
      <c r="AC27" s="138">
        <f t="shared" ref="AC27" si="60">SUM(AC12/AB12)-1</f>
        <v>4.8390037559712606E-2</v>
      </c>
      <c r="AD27" s="138">
        <f t="shared" si="59"/>
        <v>4.3930434782608607E-2</v>
      </c>
      <c r="AE27" s="133"/>
      <c r="AF27" s="138" t="s">
        <v>35</v>
      </c>
      <c r="AG27" s="138" t="s">
        <v>35</v>
      </c>
      <c r="AH27" s="138" t="s">
        <v>35</v>
      </c>
      <c r="AI27" s="138" t="s">
        <v>35</v>
      </c>
      <c r="AJ27" s="138">
        <f t="shared" si="44"/>
        <v>0.10294914272036682</v>
      </c>
      <c r="AK27" s="138">
        <f t="shared" si="44"/>
        <v>0.12484931336605976</v>
      </c>
      <c r="AL27" s="138">
        <f t="shared" si="44"/>
        <v>0.13934985500889452</v>
      </c>
      <c r="AM27" s="138">
        <f t="shared" si="44"/>
        <v>0.12874413145539898</v>
      </c>
      <c r="AN27" s="138">
        <f t="shared" si="44"/>
        <v>0.13524688467293355</v>
      </c>
      <c r="AO27" s="138">
        <f t="shared" si="44"/>
        <v>0.12881307244423335</v>
      </c>
      <c r="AP27" s="138">
        <f t="shared" si="52"/>
        <v>0.12692624397129748</v>
      </c>
      <c r="AQ27" s="138">
        <f t="shared" si="52"/>
        <v>0.13506431386413498</v>
      </c>
      <c r="AR27" s="145">
        <f t="shared" si="52"/>
        <v>0.13521208950418551</v>
      </c>
      <c r="AT27" s="153">
        <f t="shared" si="45"/>
        <v>-3.4795168748047445E-2</v>
      </c>
    </row>
    <row r="28" spans="2:46">
      <c r="B28" s="135" t="str">
        <f t="shared" si="46"/>
        <v>Wearables, Home, and Accessories Revenue(%)</v>
      </c>
      <c r="C28" s="133" t="s">
        <v>35</v>
      </c>
      <c r="D28" s="138">
        <f t="shared" ref="D28:K28" si="61">SUM(D13/C13)-1</f>
        <v>0.15549766439094492</v>
      </c>
      <c r="E28" s="138">
        <f t="shared" si="61"/>
        <v>0.35123999067091649</v>
      </c>
      <c r="F28" s="138">
        <f t="shared" si="61"/>
        <v>0.40854956561762834</v>
      </c>
      <c r="G28" s="138">
        <f t="shared" si="61"/>
        <v>0.25071481088146386</v>
      </c>
      <c r="H28" s="138">
        <f t="shared" si="61"/>
        <v>0.2530045721750489</v>
      </c>
      <c r="I28" s="138">
        <f t="shared" si="61"/>
        <v>7.4908124169208001E-2</v>
      </c>
      <c r="J28" s="138">
        <f t="shared" si="61"/>
        <v>-3.3849809655439933E-2</v>
      </c>
      <c r="K28" s="138">
        <f t="shared" si="61"/>
        <v>-7.1276195256619435E-2</v>
      </c>
      <c r="L28" s="138">
        <f t="shared" ref="L28" si="62">SUM(L13/K13)-1</f>
        <v>-3.5643831914606183E-2</v>
      </c>
      <c r="M28" s="133"/>
      <c r="N28" s="138" t="s">
        <v>35</v>
      </c>
      <c r="O28" s="138" t="s">
        <v>35</v>
      </c>
      <c r="P28" s="138" t="s">
        <v>35</v>
      </c>
      <c r="Q28" s="138" t="s">
        <v>35</v>
      </c>
      <c r="R28" s="138">
        <f t="shared" si="49"/>
        <v>-8.2919529283722149E-2</v>
      </c>
      <c r="S28" s="138">
        <f t="shared" ref="S28:AD28" si="63">SUM(S13/R13)-1</f>
        <v>-0.35046728971962615</v>
      </c>
      <c r="T28" s="138">
        <f t="shared" si="63"/>
        <v>-5.4013931711773489E-2</v>
      </c>
      <c r="U28" s="138">
        <f t="shared" si="63"/>
        <v>0.12530178657653313</v>
      </c>
      <c r="V28" s="138">
        <f t="shared" si="63"/>
        <v>0.28223557176571545</v>
      </c>
      <c r="W28" s="138">
        <f t="shared" si="63"/>
        <v>-0.33799046264536103</v>
      </c>
      <c r="X28" s="138">
        <f t="shared" si="63"/>
        <v>2.3252875015796759E-2</v>
      </c>
      <c r="Y28" s="138">
        <f t="shared" si="63"/>
        <v>0.1167098925527974</v>
      </c>
      <c r="Z28" s="138">
        <f t="shared" si="63"/>
        <v>0.2991594779915947</v>
      </c>
      <c r="AA28" s="138">
        <f t="shared" si="63"/>
        <v>-0.35966629777815617</v>
      </c>
      <c r="AB28" s="138">
        <f t="shared" si="63"/>
        <v>-1.5687317202871531E-2</v>
      </c>
      <c r="AC28" s="138">
        <f t="shared" ref="AC28" si="64">SUM(AC13/AB13)-1</f>
        <v>0.21731496488384661</v>
      </c>
      <c r="AD28" s="138">
        <f t="shared" si="63"/>
        <v>0.27515810495950288</v>
      </c>
      <c r="AE28" s="133"/>
      <c r="AF28" s="138" t="s">
        <v>35</v>
      </c>
      <c r="AG28" s="138" t="s">
        <v>35</v>
      </c>
      <c r="AH28" s="138" t="s">
        <v>35</v>
      </c>
      <c r="AI28" s="138" t="s">
        <v>35</v>
      </c>
      <c r="AJ28" s="138">
        <f t="shared" ref="AJ28" si="65">SUM(AJ13/AF13)-1</f>
        <v>-4.2626555394532972E-2</v>
      </c>
      <c r="AK28" s="138">
        <f t="shared" ref="AK28" si="66">SUM(AK13/AG13)-1</f>
        <v>-6.2567232882195456E-2</v>
      </c>
      <c r="AL28" s="138">
        <f t="shared" ref="AL28" si="67">SUM(AL13/AH13)-1</f>
        <v>-7.1889079730167005E-2</v>
      </c>
      <c r="AM28" s="138">
        <f t="shared" ref="AM28" si="68">SUM(AM13/AI13)-1</f>
        <v>-7.1276195256619435E-2</v>
      </c>
      <c r="AN28" s="138">
        <f t="shared" ref="AN28" si="69">SUM(AN13/AJ13)-1</f>
        <v>-3.9591815429585564E-2</v>
      </c>
      <c r="AO28" s="138">
        <f t="shared" ref="AO28" si="70">SUM(AO13/AK13)-1</f>
        <v>-2.8394534585824083E-2</v>
      </c>
      <c r="AP28" s="138">
        <f t="shared" ref="AP28:AR28" si="71">SUM(AP13/AL13)-1</f>
        <v>-4.2108086361807739E-2</v>
      </c>
      <c r="AQ28" s="138">
        <f t="shared" si="71"/>
        <v>-3.5643831914606183E-2</v>
      </c>
      <c r="AR28" s="145">
        <f t="shared" si="71"/>
        <v>-3.7147748580124484E-2</v>
      </c>
      <c r="AT28" s="153">
        <f t="shared" si="45"/>
        <v>2.4440668494610795</v>
      </c>
    </row>
    <row r="29" spans="2:46">
      <c r="B29" s="140" t="s">
        <v>170</v>
      </c>
      <c r="C29" s="133"/>
      <c r="D29" s="138"/>
      <c r="E29" s="138"/>
      <c r="F29" s="138"/>
      <c r="G29" s="138"/>
      <c r="H29" s="138"/>
      <c r="I29" s="138"/>
      <c r="J29" s="138"/>
      <c r="K29" s="138"/>
      <c r="L29" s="138"/>
      <c r="M29" s="133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3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45"/>
      <c r="AT29" s="9"/>
    </row>
    <row r="30" spans="2:46">
      <c r="B30" s="135" t="str">
        <f>B9&amp;"(%)"</f>
        <v>iPhone Revenue(%)</v>
      </c>
      <c r="C30" s="133" t="s">
        <v>35</v>
      </c>
      <c r="D30" s="133" t="s">
        <v>35</v>
      </c>
      <c r="E30" s="133" t="s">
        <v>35</v>
      </c>
      <c r="F30" s="133" t="s">
        <v>35</v>
      </c>
      <c r="G30" s="133" t="s">
        <v>35</v>
      </c>
      <c r="H30" s="133" t="s">
        <v>35</v>
      </c>
      <c r="I30" s="133" t="s">
        <v>35</v>
      </c>
      <c r="J30" s="133" t="s">
        <v>35</v>
      </c>
      <c r="K30" s="133" t="s">
        <v>35</v>
      </c>
      <c r="L30" s="133" t="s">
        <v>35</v>
      </c>
      <c r="M30" s="133"/>
      <c r="N30" s="138" t="s">
        <v>35</v>
      </c>
      <c r="O30" s="138">
        <f t="shared" ref="O30:AD30" si="72">SUM(O9/N9)-1</f>
        <v>-0.29399117663483554</v>
      </c>
      <c r="P30" s="138">
        <f t="shared" si="72"/>
        <v>-0.1958671148902511</v>
      </c>
      <c r="Q30" s="138">
        <f t="shared" si="72"/>
        <v>4.8223287839665563E-2</v>
      </c>
      <c r="R30" s="138">
        <f t="shared" si="72"/>
        <v>0.5430723032890723</v>
      </c>
      <c r="S30" s="138">
        <f t="shared" si="72"/>
        <v>-0.21955150133029266</v>
      </c>
      <c r="T30" s="138">
        <f t="shared" si="72"/>
        <v>-0.22723730860638169</v>
      </c>
      <c r="U30" s="138">
        <f t="shared" si="72"/>
        <v>0.10426277445864529</v>
      </c>
      <c r="V30" s="138">
        <f t="shared" si="72"/>
        <v>0.59118822052277142</v>
      </c>
      <c r="W30" s="138">
        <f t="shared" si="72"/>
        <v>-0.3405784625979168</v>
      </c>
      <c r="X30" s="138">
        <f t="shared" si="72"/>
        <v>-0.14505145443073775</v>
      </c>
      <c r="Y30" s="138">
        <f t="shared" si="72"/>
        <v>0.17625203583061899</v>
      </c>
      <c r="Z30" s="138">
        <f t="shared" si="72"/>
        <v>0.49578122971745064</v>
      </c>
      <c r="AA30" s="138">
        <f t="shared" si="72"/>
        <v>-0.3224999276808701</v>
      </c>
      <c r="AB30" s="138">
        <f t="shared" si="72"/>
        <v>-4.8226980636621786E-2</v>
      </c>
      <c r="AC30" s="138">
        <f t="shared" ref="AC30" si="73">SUM(AC9/AB9)-1</f>
        <v>9.9659055224081472E-2</v>
      </c>
      <c r="AD30" s="138">
        <f t="shared" si="72"/>
        <v>0.73929627740948489</v>
      </c>
      <c r="AE30" s="133"/>
      <c r="AF30" s="138" t="s">
        <v>35</v>
      </c>
      <c r="AG30" s="138" t="s">
        <v>35</v>
      </c>
      <c r="AH30" s="138" t="s">
        <v>35</v>
      </c>
      <c r="AI30" s="138" t="s">
        <v>35</v>
      </c>
      <c r="AJ30" s="138" t="s">
        <v>35</v>
      </c>
      <c r="AK30" s="138" t="s">
        <v>35</v>
      </c>
      <c r="AL30" s="138" t="s">
        <v>35</v>
      </c>
      <c r="AM30" s="138" t="s">
        <v>35</v>
      </c>
      <c r="AN30" s="138" t="s">
        <v>35</v>
      </c>
      <c r="AO30" s="138" t="s">
        <v>35</v>
      </c>
      <c r="AP30" s="138" t="s">
        <v>35</v>
      </c>
      <c r="AQ30" s="138" t="s">
        <v>35</v>
      </c>
      <c r="AR30" s="145" t="s">
        <v>35</v>
      </c>
      <c r="AT30" s="153">
        <f>SUM(AD30-Z30)*10000</f>
        <v>2435.1504769203425</v>
      </c>
    </row>
    <row r="31" spans="2:46">
      <c r="B31" s="135" t="str">
        <f t="shared" ref="B31:B34" si="74">B10&amp;"(%)"</f>
        <v>Mac Revenue(%)</v>
      </c>
      <c r="C31" s="133" t="s">
        <v>35</v>
      </c>
      <c r="D31" s="133" t="s">
        <v>35</v>
      </c>
      <c r="E31" s="133" t="s">
        <v>35</v>
      </c>
      <c r="F31" s="133" t="s">
        <v>35</v>
      </c>
      <c r="G31" s="133" t="s">
        <v>35</v>
      </c>
      <c r="H31" s="133" t="s">
        <v>35</v>
      </c>
      <c r="I31" s="133" t="s">
        <v>35</v>
      </c>
      <c r="J31" s="133" t="s">
        <v>35</v>
      </c>
      <c r="K31" s="133" t="s">
        <v>35</v>
      </c>
      <c r="L31" s="133" t="s">
        <v>35</v>
      </c>
      <c r="M31" s="133"/>
      <c r="N31" s="138" t="s">
        <v>35</v>
      </c>
      <c r="O31" s="138">
        <f t="shared" ref="O31:AD31" si="75">SUM(O10/N10)-1</f>
        <v>-3.842609657206042E-2</v>
      </c>
      <c r="P31" s="138">
        <f t="shared" si="75"/>
        <v>-0.29257307139434596</v>
      </c>
      <c r="Q31" s="138">
        <f t="shared" si="75"/>
        <v>0.55892712002167433</v>
      </c>
      <c r="R31" s="138">
        <f t="shared" si="75"/>
        <v>-0.32785888077858882</v>
      </c>
      <c r="S31" s="138">
        <f t="shared" si="75"/>
        <v>-7.3303167420814441E-2</v>
      </c>
      <c r="T31" s="138">
        <f t="shared" si="75"/>
        <v>-4.5758928571428603E-2</v>
      </c>
      <c r="U31" s="138">
        <f t="shared" si="75"/>
        <v>0.11315789473684212</v>
      </c>
      <c r="V31" s="138">
        <f t="shared" si="75"/>
        <v>2.1801943787759459E-2</v>
      </c>
      <c r="W31" s="138">
        <f t="shared" si="75"/>
        <v>-4.2287917737789171E-2</v>
      </c>
      <c r="X31" s="138">
        <f t="shared" si="75"/>
        <v>-5.9320896523956557E-2</v>
      </c>
      <c r="Y31" s="138">
        <f t="shared" si="75"/>
        <v>0.10486517334855194</v>
      </c>
      <c r="Z31" s="138">
        <f t="shared" si="75"/>
        <v>0.16051136363636354</v>
      </c>
      <c r="AA31" s="138">
        <f t="shared" si="75"/>
        <v>-0.11550016690775566</v>
      </c>
      <c r="AB31" s="138">
        <f t="shared" si="75"/>
        <v>1.2202792804126394E-2</v>
      </c>
      <c r="AC31" s="138">
        <f t="shared" ref="AC31" si="76">SUM(AC10/AB10)-1</f>
        <v>8.4514044245587838E-2</v>
      </c>
      <c r="AD31" s="138">
        <f t="shared" si="75"/>
        <v>-3.8964015585606249E-2</v>
      </c>
      <c r="AE31" s="133"/>
      <c r="AF31" s="138" t="s">
        <v>35</v>
      </c>
      <c r="AG31" s="138" t="s">
        <v>35</v>
      </c>
      <c r="AH31" s="138" t="s">
        <v>35</v>
      </c>
      <c r="AI31" s="138" t="s">
        <v>35</v>
      </c>
      <c r="AJ31" s="138" t="s">
        <v>35</v>
      </c>
      <c r="AK31" s="138" t="s">
        <v>35</v>
      </c>
      <c r="AL31" s="138" t="s">
        <v>35</v>
      </c>
      <c r="AM31" s="138" t="s">
        <v>35</v>
      </c>
      <c r="AN31" s="138" t="s">
        <v>35</v>
      </c>
      <c r="AO31" s="138" t="s">
        <v>35</v>
      </c>
      <c r="AP31" s="138" t="s">
        <v>35</v>
      </c>
      <c r="AQ31" s="138" t="s">
        <v>35</v>
      </c>
      <c r="AR31" s="145" t="s">
        <v>35</v>
      </c>
      <c r="AT31" s="153">
        <f t="shared" ref="AT31:AT34" si="77">SUM(AD31-Z31)*10000</f>
        <v>-1994.7537922196977</v>
      </c>
    </row>
    <row r="32" spans="2:46">
      <c r="B32" s="135" t="str">
        <f t="shared" si="74"/>
        <v>iPad Revenue(%)</v>
      </c>
      <c r="C32" s="133" t="s">
        <v>35</v>
      </c>
      <c r="D32" s="133" t="s">
        <v>35</v>
      </c>
      <c r="E32" s="133" t="s">
        <v>35</v>
      </c>
      <c r="F32" s="133" t="s">
        <v>35</v>
      </c>
      <c r="G32" s="133" t="s">
        <v>35</v>
      </c>
      <c r="H32" s="133" t="s">
        <v>35</v>
      </c>
      <c r="I32" s="133" t="s">
        <v>35</v>
      </c>
      <c r="J32" s="133" t="s">
        <v>35</v>
      </c>
      <c r="K32" s="133" t="s">
        <v>35</v>
      </c>
      <c r="L32" s="133" t="s">
        <v>35</v>
      </c>
      <c r="M32" s="133"/>
      <c r="N32" s="138" t="s">
        <v>35</v>
      </c>
      <c r="O32" s="138">
        <f t="shared" ref="O32:AD32" si="78">SUM(O11/N11)-1</f>
        <v>5.4911699779249368E-2</v>
      </c>
      <c r="P32" s="138">
        <f t="shared" si="78"/>
        <v>-5.5192257389484745E-2</v>
      </c>
      <c r="Q32" s="138">
        <f t="shared" si="78"/>
        <v>-6.9213732004429485E-3</v>
      </c>
      <c r="R32" s="138">
        <f t="shared" si="78"/>
        <v>0.30972957903540554</v>
      </c>
      <c r="S32" s="138">
        <f t="shared" si="78"/>
        <v>-0.29012345679012341</v>
      </c>
      <c r="T32" s="138">
        <f t="shared" si="78"/>
        <v>-0.13178410794602702</v>
      </c>
      <c r="U32" s="138">
        <f t="shared" si="78"/>
        <v>0.11258849939561388</v>
      </c>
      <c r="V32" s="138">
        <f t="shared" si="78"/>
        <v>9.0020176936209895E-2</v>
      </c>
      <c r="W32" s="138">
        <f t="shared" si="78"/>
        <v>-0.20845792396411789</v>
      </c>
      <c r="X32" s="138">
        <f t="shared" si="78"/>
        <v>0.28836121604605136</v>
      </c>
      <c r="Y32" s="138">
        <f t="shared" si="78"/>
        <v>-2.9600670203853707E-2</v>
      </c>
      <c r="Z32" s="138">
        <f t="shared" si="78"/>
        <v>0.16374100719424467</v>
      </c>
      <c r="AA32" s="138">
        <f t="shared" si="78"/>
        <v>-0.20845697329376855</v>
      </c>
      <c r="AB32" s="138">
        <f t="shared" si="78"/>
        <v>2.7960012496095032E-2</v>
      </c>
      <c r="AC32" s="138">
        <f t="shared" ref="AC32" si="79">SUM(AC11/AB11)-1</f>
        <v>5.6374411183710782E-2</v>
      </c>
      <c r="AD32" s="138">
        <f t="shared" si="78"/>
        <v>0.2363348676639816</v>
      </c>
      <c r="AE32" s="133"/>
      <c r="AF32" s="138" t="s">
        <v>35</v>
      </c>
      <c r="AG32" s="138" t="s">
        <v>35</v>
      </c>
      <c r="AH32" s="138" t="s">
        <v>35</v>
      </c>
      <c r="AI32" s="138" t="s">
        <v>35</v>
      </c>
      <c r="AJ32" s="138" t="s">
        <v>35</v>
      </c>
      <c r="AK32" s="138" t="s">
        <v>35</v>
      </c>
      <c r="AL32" s="138" t="s">
        <v>35</v>
      </c>
      <c r="AM32" s="138" t="s">
        <v>35</v>
      </c>
      <c r="AN32" s="138" t="s">
        <v>35</v>
      </c>
      <c r="AO32" s="138" t="s">
        <v>35</v>
      </c>
      <c r="AP32" s="138" t="s">
        <v>35</v>
      </c>
      <c r="AQ32" s="138" t="s">
        <v>35</v>
      </c>
      <c r="AR32" s="145" t="s">
        <v>35</v>
      </c>
      <c r="AT32" s="153">
        <f t="shared" si="77"/>
        <v>725.93860469736921</v>
      </c>
    </row>
    <row r="33" spans="1:46">
      <c r="B33" s="135" t="str">
        <f t="shared" si="74"/>
        <v>Services Revenue(%)</v>
      </c>
      <c r="C33" s="133" t="s">
        <v>35</v>
      </c>
      <c r="D33" s="133" t="s">
        <v>35</v>
      </c>
      <c r="E33" s="133" t="s">
        <v>35</v>
      </c>
      <c r="F33" s="133" t="s">
        <v>35</v>
      </c>
      <c r="G33" s="133" t="s">
        <v>35</v>
      </c>
      <c r="H33" s="133" t="s">
        <v>35</v>
      </c>
      <c r="I33" s="133" t="s">
        <v>35</v>
      </c>
      <c r="J33" s="133" t="s">
        <v>35</v>
      </c>
      <c r="K33" s="133" t="s">
        <v>35</v>
      </c>
      <c r="L33" s="133" t="s">
        <v>35</v>
      </c>
      <c r="M33" s="133"/>
      <c r="N33" s="138" t="s">
        <v>35</v>
      </c>
      <c r="O33" s="138">
        <f t="shared" ref="O33:AD33" si="80">SUM(O12/N12)-1</f>
        <v>1.5628202500512334E-2</v>
      </c>
      <c r="P33" s="138">
        <f t="shared" si="80"/>
        <v>-1.0947984460925264E-2</v>
      </c>
      <c r="Q33" s="138">
        <f t="shared" si="80"/>
        <v>-2.1220159151193685E-2</v>
      </c>
      <c r="R33" s="138">
        <f t="shared" si="80"/>
        <v>8.2238899312069957E-2</v>
      </c>
      <c r="S33" s="138">
        <f t="shared" si="80"/>
        <v>6.7899451025714708E-3</v>
      </c>
      <c r="T33" s="138">
        <f t="shared" si="80"/>
        <v>1.4636246233318939E-2</v>
      </c>
      <c r="U33" s="138">
        <f t="shared" si="80"/>
        <v>5.1902135482958522E-2</v>
      </c>
      <c r="V33" s="138">
        <f t="shared" si="80"/>
        <v>3.5986376266021303E-2</v>
      </c>
      <c r="W33" s="138">
        <f t="shared" si="80"/>
        <v>3.2443656183760883E-2</v>
      </c>
      <c r="X33" s="138">
        <f t="shared" si="80"/>
        <v>1.4497004231784461E-2</v>
      </c>
      <c r="Y33" s="138">
        <f t="shared" si="80"/>
        <v>3.1346797175071162E-2</v>
      </c>
      <c r="Z33" s="138">
        <f t="shared" si="80"/>
        <v>5.4781355117731856E-2</v>
      </c>
      <c r="AA33" s="138">
        <f t="shared" si="80"/>
        <v>1.1579347000759244E-2</v>
      </c>
      <c r="AB33" s="138">
        <f t="shared" si="80"/>
        <v>2.9198723963220097E-2</v>
      </c>
      <c r="AC33" s="138">
        <f t="shared" ref="AC33" si="81">SUM(AC12/AB12)-1</f>
        <v>4.8390037559712606E-2</v>
      </c>
      <c r="AD33" s="138">
        <f t="shared" si="80"/>
        <v>4.3930434782608607E-2</v>
      </c>
      <c r="AE33" s="133"/>
      <c r="AF33" s="138" t="s">
        <v>35</v>
      </c>
      <c r="AG33" s="138" t="s">
        <v>35</v>
      </c>
      <c r="AH33" s="138" t="s">
        <v>35</v>
      </c>
      <c r="AI33" s="138" t="s">
        <v>35</v>
      </c>
      <c r="AJ33" s="138" t="s">
        <v>35</v>
      </c>
      <c r="AK33" s="138" t="s">
        <v>35</v>
      </c>
      <c r="AL33" s="138" t="s">
        <v>35</v>
      </c>
      <c r="AM33" s="138" t="s">
        <v>35</v>
      </c>
      <c r="AN33" s="138" t="s">
        <v>35</v>
      </c>
      <c r="AO33" s="138" t="s">
        <v>35</v>
      </c>
      <c r="AP33" s="138" t="s">
        <v>35</v>
      </c>
      <c r="AQ33" s="138" t="s">
        <v>35</v>
      </c>
      <c r="AR33" s="145" t="s">
        <v>35</v>
      </c>
      <c r="AT33" s="153">
        <f t="shared" si="77"/>
        <v>-108.50920335123249</v>
      </c>
    </row>
    <row r="34" spans="1:46">
      <c r="B34" s="136" t="str">
        <f t="shared" si="74"/>
        <v>Wearables, Home, and Accessories Revenue(%)</v>
      </c>
      <c r="C34" s="134" t="s">
        <v>35</v>
      </c>
      <c r="D34" s="134" t="s">
        <v>35</v>
      </c>
      <c r="E34" s="134" t="s">
        <v>35</v>
      </c>
      <c r="F34" s="134" t="s">
        <v>35</v>
      </c>
      <c r="G34" s="134" t="s">
        <v>35</v>
      </c>
      <c r="H34" s="134" t="s">
        <v>35</v>
      </c>
      <c r="I34" s="134" t="s">
        <v>35</v>
      </c>
      <c r="J34" s="134" t="s">
        <v>35</v>
      </c>
      <c r="K34" s="134" t="s">
        <v>35</v>
      </c>
      <c r="L34" s="134" t="s">
        <v>35</v>
      </c>
      <c r="M34" s="134"/>
      <c r="N34" s="139" t="s">
        <v>35</v>
      </c>
      <c r="O34" s="139">
        <f t="shared" ref="O34:AD34" si="82">SUM(O13/N13)-1</f>
        <v>-0.40099312971906675</v>
      </c>
      <c r="P34" s="139">
        <f t="shared" si="82"/>
        <v>-8.1989552577787839E-2</v>
      </c>
      <c r="Q34" s="139">
        <f t="shared" si="82"/>
        <v>0.19371598218703623</v>
      </c>
      <c r="R34" s="139">
        <f t="shared" si="82"/>
        <v>0.39709844559585483</v>
      </c>
      <c r="S34" s="139">
        <f t="shared" si="82"/>
        <v>-0.35046728971962615</v>
      </c>
      <c r="T34" s="139">
        <f t="shared" si="82"/>
        <v>-5.4013931711773489E-2</v>
      </c>
      <c r="U34" s="139">
        <f t="shared" si="82"/>
        <v>0.12530178657653313</v>
      </c>
      <c r="V34" s="139">
        <f t="shared" si="82"/>
        <v>0.28223557176571545</v>
      </c>
      <c r="W34" s="139">
        <f t="shared" si="82"/>
        <v>-0.33799046264536103</v>
      </c>
      <c r="X34" s="139">
        <f t="shared" si="82"/>
        <v>2.3252875015796759E-2</v>
      </c>
      <c r="Y34" s="139">
        <f t="shared" si="82"/>
        <v>0.1167098925527974</v>
      </c>
      <c r="Z34" s="139">
        <f t="shared" si="82"/>
        <v>0.2991594779915947</v>
      </c>
      <c r="AA34" s="139">
        <f t="shared" si="82"/>
        <v>-0.35966629777815617</v>
      </c>
      <c r="AB34" s="139">
        <f t="shared" si="82"/>
        <v>-1.5687317202871531E-2</v>
      </c>
      <c r="AC34" s="139">
        <f t="shared" ref="AC34" si="83">SUM(AC13/AB13)-1</f>
        <v>0.21731496488384661</v>
      </c>
      <c r="AD34" s="139">
        <f t="shared" si="82"/>
        <v>0.27515810495950288</v>
      </c>
      <c r="AE34" s="134"/>
      <c r="AF34" s="139" t="s">
        <v>35</v>
      </c>
      <c r="AG34" s="139" t="s">
        <v>35</v>
      </c>
      <c r="AH34" s="139" t="s">
        <v>35</v>
      </c>
      <c r="AI34" s="139" t="s">
        <v>35</v>
      </c>
      <c r="AJ34" s="139" t="s">
        <v>35</v>
      </c>
      <c r="AK34" s="139" t="s">
        <v>35</v>
      </c>
      <c r="AL34" s="139" t="s">
        <v>35</v>
      </c>
      <c r="AM34" s="139" t="s">
        <v>35</v>
      </c>
      <c r="AN34" s="139" t="s">
        <v>35</v>
      </c>
      <c r="AO34" s="139" t="s">
        <v>35</v>
      </c>
      <c r="AP34" s="139" t="s">
        <v>35</v>
      </c>
      <c r="AQ34" s="139" t="s">
        <v>35</v>
      </c>
      <c r="AR34" s="146" t="s">
        <v>35</v>
      </c>
      <c r="AT34" s="153">
        <f t="shared" si="77"/>
        <v>-240.01373032091823</v>
      </c>
    </row>
    <row r="35" spans="1:46">
      <c r="B35" s="20"/>
      <c r="C35" s="20"/>
      <c r="D35" s="20"/>
      <c r="E35" s="20"/>
      <c r="F35" s="20"/>
      <c r="G35" s="21"/>
      <c r="H35" s="21"/>
      <c r="I35" s="21"/>
      <c r="J35" s="21"/>
      <c r="K35" s="21"/>
      <c r="L35" s="21"/>
      <c r="M35" s="22"/>
      <c r="N35" s="23"/>
      <c r="O35" s="23"/>
      <c r="P35" s="23"/>
      <c r="Q35" s="24"/>
      <c r="R35" s="23"/>
      <c r="S35" s="23"/>
      <c r="T35" s="23"/>
      <c r="U35" s="24"/>
      <c r="V35" s="23"/>
      <c r="W35" s="23"/>
      <c r="X35" s="23"/>
      <c r="Y35" s="23"/>
      <c r="Z35" s="23"/>
      <c r="AA35" s="23"/>
      <c r="AB35" s="23"/>
      <c r="AC35" s="23"/>
      <c r="AD35" s="23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</row>
    <row r="36" spans="1:46">
      <c r="A36" s="39" t="s">
        <v>19</v>
      </c>
      <c r="B36" s="1" t="s">
        <v>172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ht="5.0999999999999996" customHeight="1"/>
    <row r="38" spans="1:46">
      <c r="A38" s="94" t="s">
        <v>19</v>
      </c>
      <c r="B38" s="91" t="s">
        <v>174</v>
      </c>
      <c r="C38" s="27"/>
      <c r="D38" s="27"/>
      <c r="E38" s="27"/>
      <c r="F38" s="27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5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6" ht="12.75" customHeight="1">
      <c r="B39" s="10" t="s">
        <v>159</v>
      </c>
      <c r="C39" s="95">
        <v>211884</v>
      </c>
      <c r="D39" s="95">
        <v>216756</v>
      </c>
      <c r="E39" s="95">
        <v>217722</v>
      </c>
      <c r="F39" s="95">
        <v>186000</v>
      </c>
      <c r="G39" s="95">
        <v>186860</v>
      </c>
      <c r="H39" s="95">
        <v>235000</v>
      </c>
      <c r="I39" s="95">
        <v>245000</v>
      </c>
      <c r="J39" s="95">
        <v>218000</v>
      </c>
      <c r="K39" s="95">
        <v>224000</v>
      </c>
      <c r="L39" s="95">
        <v>231000</v>
      </c>
      <c r="M39" s="95"/>
      <c r="N39" s="95">
        <v>82000</v>
      </c>
      <c r="O39" s="95">
        <v>60000</v>
      </c>
      <c r="P39" s="95">
        <v>50000</v>
      </c>
      <c r="Q39" s="34">
        <f t="shared" ref="Q39:Q42" si="84">SUM(I39-SUM(N39:P39))</f>
        <v>53000</v>
      </c>
      <c r="R39" s="95">
        <v>70000</v>
      </c>
      <c r="S39" s="95">
        <v>55000</v>
      </c>
      <c r="T39" s="95">
        <v>42000</v>
      </c>
      <c r="U39" s="34">
        <f t="shared" ref="U39:U42" si="85">SUM(J39-SUM(R39:T39))</f>
        <v>51000</v>
      </c>
      <c r="V39" s="95">
        <v>77000</v>
      </c>
      <c r="W39" s="95">
        <v>52000</v>
      </c>
      <c r="X39" s="95">
        <v>43000</v>
      </c>
      <c r="Y39" s="34">
        <f t="shared" ref="Y39:Y42" si="86">SUM(K39-SUM(V39:X39))</f>
        <v>52000</v>
      </c>
      <c r="Z39" s="95">
        <v>75000</v>
      </c>
      <c r="AA39" s="95">
        <v>53000</v>
      </c>
      <c r="AB39" s="95">
        <v>49000</v>
      </c>
      <c r="AC39" s="34">
        <f t="shared" ref="AC39:AC42" si="87">SUM(L39-SUM(Z39:AB39))</f>
        <v>54000</v>
      </c>
      <c r="AD39" s="95">
        <v>87000</v>
      </c>
      <c r="AE39" s="5"/>
      <c r="AF39" s="12">
        <f t="shared" ref="AF39" si="88">SUM(O39:R39)</f>
        <v>233000</v>
      </c>
      <c r="AG39" s="12">
        <f t="shared" ref="AG39" si="89">SUM(P39:S39)</f>
        <v>228000</v>
      </c>
      <c r="AH39" s="12">
        <f t="shared" ref="AH39" si="90">SUM(Q39:T39)</f>
        <v>220000</v>
      </c>
      <c r="AI39" s="12">
        <f t="shared" ref="AI39" si="91">SUM(R39:U39)</f>
        <v>218000</v>
      </c>
      <c r="AJ39" s="12">
        <f t="shared" ref="AJ39" si="92">SUM(S39:V39)</f>
        <v>225000</v>
      </c>
      <c r="AK39" s="12">
        <f t="shared" ref="AK39" si="93">SUM(T39:W39)</f>
        <v>222000</v>
      </c>
      <c r="AL39" s="12">
        <f t="shared" ref="AL39" si="94">SUM(U39:X39)</f>
        <v>223000</v>
      </c>
      <c r="AM39" s="12">
        <f t="shared" ref="AM39" si="95">SUM(V39:Y39)</f>
        <v>224000</v>
      </c>
      <c r="AN39" s="12">
        <f t="shared" ref="AN39" si="96">SUM(W39:Z39)</f>
        <v>222000</v>
      </c>
      <c r="AO39" s="12">
        <f t="shared" ref="AO39" si="97">SUM(X39:AA39)</f>
        <v>223000</v>
      </c>
      <c r="AP39" s="12">
        <f t="shared" ref="AP39" si="98">SUM(Y39:AB39)</f>
        <v>229000</v>
      </c>
      <c r="AQ39" s="12">
        <f>SUM(Z39:AC39)</f>
        <v>231000</v>
      </c>
      <c r="AR39" s="12">
        <f>SUM(AA39:AD39)</f>
        <v>243000</v>
      </c>
      <c r="AT39" s="13">
        <f t="shared" ref="AT39:AT43" si="99">SUM(AR39/AN39)-1</f>
        <v>9.4594594594594517E-2</v>
      </c>
    </row>
    <row r="40" spans="1:46" ht="12.75" customHeight="1">
      <c r="B40" s="10" t="s">
        <v>160</v>
      </c>
      <c r="C40" s="95">
        <v>45590</v>
      </c>
      <c r="D40" s="95">
        <v>43753</v>
      </c>
      <c r="E40" s="95">
        <v>43535</v>
      </c>
      <c r="F40" s="95">
        <v>45307.857150009942</v>
      </c>
      <c r="G40" s="95">
        <v>52625.999999999956</v>
      </c>
      <c r="H40" s="95">
        <v>68510.999999999927</v>
      </c>
      <c r="I40" s="95">
        <v>59348.239999999991</v>
      </c>
      <c r="J40" s="95">
        <v>52508.535999999993</v>
      </c>
      <c r="K40" s="95">
        <v>50349.696340000002</v>
      </c>
      <c r="L40" s="95">
        <v>50850</v>
      </c>
      <c r="M40" s="95"/>
      <c r="N40" s="95">
        <v>15647.999999999989</v>
      </c>
      <c r="O40" s="95">
        <v>15806</v>
      </c>
      <c r="P40" s="95">
        <v>14810</v>
      </c>
      <c r="Q40" s="34">
        <f t="shared" si="84"/>
        <v>13084.240000000005</v>
      </c>
      <c r="R40" s="95">
        <v>14709.119999999988</v>
      </c>
      <c r="S40" s="95">
        <v>13435.1</v>
      </c>
      <c r="T40" s="95">
        <v>12588.5</v>
      </c>
      <c r="U40" s="34">
        <f t="shared" si="85"/>
        <v>11775.816000000006</v>
      </c>
      <c r="V40" s="95">
        <v>11767.295999999991</v>
      </c>
      <c r="W40" s="95">
        <v>12991.7417</v>
      </c>
      <c r="X40" s="95">
        <v>13343.810000000001</v>
      </c>
      <c r="Y40" s="34">
        <f t="shared" si="86"/>
        <v>12246.848640000004</v>
      </c>
      <c r="Z40" s="95">
        <v>12237.98784</v>
      </c>
      <c r="AA40" s="95">
        <v>13251.576534000002</v>
      </c>
      <c r="AB40" s="95">
        <v>13610.686200000002</v>
      </c>
      <c r="AC40" s="34">
        <f t="shared" si="87"/>
        <v>11749.749425999995</v>
      </c>
      <c r="AD40" s="95">
        <v>12730</v>
      </c>
      <c r="AE40" s="5"/>
      <c r="AF40" s="12">
        <f t="shared" ref="AF40:AF42" si="100">SUM(O40:R40)</f>
        <v>58409.359999999993</v>
      </c>
      <c r="AG40" s="12">
        <f t="shared" ref="AG40:AG42" si="101">SUM(P40:S40)</f>
        <v>56038.459999999992</v>
      </c>
      <c r="AH40" s="12">
        <f t="shared" ref="AH40:AH42" si="102">SUM(Q40:T40)</f>
        <v>53816.959999999992</v>
      </c>
      <c r="AI40" s="12">
        <f t="shared" ref="AI40:AI42" si="103">SUM(R40:U40)</f>
        <v>52508.535999999993</v>
      </c>
      <c r="AJ40" s="12">
        <f t="shared" ref="AJ40:AJ42" si="104">SUM(S40:V40)</f>
        <v>49566.712</v>
      </c>
      <c r="AK40" s="12">
        <f t="shared" ref="AK40:AK42" si="105">SUM(T40:W40)</f>
        <v>49123.353699999992</v>
      </c>
      <c r="AL40" s="12">
        <f t="shared" ref="AL40:AL42" si="106">SUM(U40:X40)</f>
        <v>49878.663700000005</v>
      </c>
      <c r="AM40" s="12">
        <f t="shared" ref="AM40:AM42" si="107">SUM(V40:Y40)</f>
        <v>50349.696340000002</v>
      </c>
      <c r="AN40" s="12">
        <f t="shared" ref="AN40:AN42" si="108">SUM(W40:Z40)</f>
        <v>50820.388180000009</v>
      </c>
      <c r="AO40" s="12">
        <f t="shared" ref="AO40:AO42" si="109">SUM(X40:AA40)</f>
        <v>51080.223014000003</v>
      </c>
      <c r="AP40" s="12">
        <f t="shared" ref="AP40:AP42" si="110">SUM(Y40:AB40)</f>
        <v>51347.099214000009</v>
      </c>
      <c r="AQ40" s="12">
        <f t="shared" ref="AQ40:AR42" si="111">SUM(Z40:AC40)</f>
        <v>50850</v>
      </c>
      <c r="AR40" s="12">
        <f t="shared" si="111"/>
        <v>51342.012159999998</v>
      </c>
      <c r="AT40" s="13">
        <f t="shared" si="99"/>
        <v>1.0264069179331203E-2</v>
      </c>
    </row>
    <row r="41" spans="1:46" ht="12.75" customHeight="1">
      <c r="B41" s="10" t="s">
        <v>161</v>
      </c>
      <c r="C41" s="95">
        <v>18484</v>
      </c>
      <c r="D41" s="95">
        <v>19251</v>
      </c>
      <c r="E41" s="95">
        <v>18209</v>
      </c>
      <c r="F41" s="95">
        <v>18433.59</v>
      </c>
      <c r="G41" s="95">
        <v>20907.113499999999</v>
      </c>
      <c r="H41" s="95">
        <v>27537.025875000003</v>
      </c>
      <c r="I41" s="95">
        <v>28368.573</v>
      </c>
      <c r="J41" s="95">
        <v>24996.715700000001</v>
      </c>
      <c r="K41" s="95">
        <v>24935.375601</v>
      </c>
      <c r="L41" s="95">
        <v>26947</v>
      </c>
      <c r="M41" s="95"/>
      <c r="N41" s="95">
        <v>7608.5730000000003</v>
      </c>
      <c r="O41" s="95">
        <v>7160.0000000000009</v>
      </c>
      <c r="P41" s="95">
        <v>5500</v>
      </c>
      <c r="Q41" s="34">
        <f t="shared" si="84"/>
        <v>8100</v>
      </c>
      <c r="R41" s="95">
        <v>6847.7157000000007</v>
      </c>
      <c r="S41" s="95">
        <v>6444.0000000000009</v>
      </c>
      <c r="T41" s="95">
        <v>5225</v>
      </c>
      <c r="U41" s="34">
        <f t="shared" si="85"/>
        <v>6480</v>
      </c>
      <c r="V41" s="95">
        <v>6368.3756009999997</v>
      </c>
      <c r="W41" s="95">
        <v>6444.0000000000009</v>
      </c>
      <c r="X41" s="95">
        <v>5643</v>
      </c>
      <c r="Y41" s="34">
        <f t="shared" si="86"/>
        <v>6480</v>
      </c>
      <c r="Z41" s="95">
        <v>7005.2131611000004</v>
      </c>
      <c r="AA41" s="95">
        <v>6766.2000000000016</v>
      </c>
      <c r="AB41" s="95">
        <v>6545.8799999999992</v>
      </c>
      <c r="AC41" s="34">
        <f t="shared" si="87"/>
        <v>6629.7068388999978</v>
      </c>
      <c r="AD41" s="95">
        <v>7300</v>
      </c>
      <c r="AE41" s="5"/>
      <c r="AF41" s="12">
        <f t="shared" si="100"/>
        <v>27607.715700000001</v>
      </c>
      <c r="AG41" s="12">
        <f t="shared" si="101"/>
        <v>26891.715700000001</v>
      </c>
      <c r="AH41" s="12">
        <f t="shared" si="102"/>
        <v>26616.715700000001</v>
      </c>
      <c r="AI41" s="12">
        <f t="shared" si="103"/>
        <v>24996.715700000001</v>
      </c>
      <c r="AJ41" s="12">
        <f t="shared" si="104"/>
        <v>24517.375601</v>
      </c>
      <c r="AK41" s="12">
        <f t="shared" si="105"/>
        <v>24517.375601</v>
      </c>
      <c r="AL41" s="12">
        <f t="shared" si="106"/>
        <v>24935.375601</v>
      </c>
      <c r="AM41" s="12">
        <f t="shared" si="107"/>
        <v>24935.375601</v>
      </c>
      <c r="AN41" s="12">
        <f t="shared" si="108"/>
        <v>25572.2131611</v>
      </c>
      <c r="AO41" s="12">
        <f t="shared" si="109"/>
        <v>25894.413161100001</v>
      </c>
      <c r="AP41" s="12">
        <f t="shared" si="110"/>
        <v>26797.293161100002</v>
      </c>
      <c r="AQ41" s="12">
        <f t="shared" si="111"/>
        <v>26947</v>
      </c>
      <c r="AR41" s="12">
        <f t="shared" si="111"/>
        <v>27241.7868389</v>
      </c>
      <c r="AT41" s="13">
        <f t="shared" si="99"/>
        <v>6.5288587549384491E-2</v>
      </c>
    </row>
    <row r="42" spans="1:46" ht="12.75" customHeight="1">
      <c r="B42" s="10" t="s">
        <v>135</v>
      </c>
      <c r="C42" s="95">
        <v>10500</v>
      </c>
      <c r="D42" s="95">
        <v>14000</v>
      </c>
      <c r="E42" s="95">
        <v>20700</v>
      </c>
      <c r="F42" s="95">
        <v>30350</v>
      </c>
      <c r="G42" s="95">
        <v>41627.5</v>
      </c>
      <c r="H42" s="95">
        <v>49942.75</v>
      </c>
      <c r="I42" s="95">
        <v>54498.707499999997</v>
      </c>
      <c r="J42" s="95">
        <v>47633.540874999999</v>
      </c>
      <c r="K42" s="95">
        <v>43243.039787499998</v>
      </c>
      <c r="L42" s="95">
        <v>43916</v>
      </c>
      <c r="M42" s="95"/>
      <c r="N42" s="95">
        <v>25582.899999999994</v>
      </c>
      <c r="O42" s="95">
        <v>7688.5200000000013</v>
      </c>
      <c r="P42" s="95">
        <v>10411.5375</v>
      </c>
      <c r="Q42" s="34">
        <f t="shared" si="84"/>
        <v>10815.75</v>
      </c>
      <c r="R42" s="95">
        <v>21745.464999999997</v>
      </c>
      <c r="S42" s="95">
        <v>7304.094000000001</v>
      </c>
      <c r="T42" s="95">
        <v>8849.8068749999984</v>
      </c>
      <c r="U42" s="34">
        <f t="shared" si="85"/>
        <v>9734.1750000000029</v>
      </c>
      <c r="V42" s="95">
        <v>18483.645249999994</v>
      </c>
      <c r="W42" s="95">
        <v>6573.6846000000005</v>
      </c>
      <c r="X42" s="95">
        <v>7964.8261874999989</v>
      </c>
      <c r="Y42" s="34">
        <f t="shared" si="86"/>
        <v>10220.883750000001</v>
      </c>
      <c r="Z42" s="95">
        <v>18668.481702499997</v>
      </c>
      <c r="AA42" s="95">
        <v>6902.3688300000013</v>
      </c>
      <c r="AB42" s="95">
        <v>8124.1227112499992</v>
      </c>
      <c r="AC42" s="34">
        <f t="shared" si="87"/>
        <v>10221.026756250001</v>
      </c>
      <c r="AD42" s="95">
        <v>18668</v>
      </c>
      <c r="AE42" s="5"/>
      <c r="AF42" s="12">
        <f t="shared" si="100"/>
        <v>50661.272499999999</v>
      </c>
      <c r="AG42" s="12">
        <f t="shared" si="101"/>
        <v>50276.8465</v>
      </c>
      <c r="AH42" s="12">
        <f t="shared" si="102"/>
        <v>48715.115874999989</v>
      </c>
      <c r="AI42" s="12">
        <f t="shared" si="103"/>
        <v>47633.540874999999</v>
      </c>
      <c r="AJ42" s="12">
        <f t="shared" si="104"/>
        <v>44371.721124999996</v>
      </c>
      <c r="AK42" s="12">
        <f t="shared" si="105"/>
        <v>43641.311725</v>
      </c>
      <c r="AL42" s="12">
        <f t="shared" si="106"/>
        <v>42756.3310375</v>
      </c>
      <c r="AM42" s="12">
        <f t="shared" si="107"/>
        <v>43243.039787499998</v>
      </c>
      <c r="AN42" s="12">
        <f t="shared" si="108"/>
        <v>43427.876239999998</v>
      </c>
      <c r="AO42" s="12">
        <f t="shared" si="109"/>
        <v>43756.560469999997</v>
      </c>
      <c r="AP42" s="12">
        <f t="shared" si="110"/>
        <v>43915.85699375</v>
      </c>
      <c r="AQ42" s="12">
        <f t="shared" si="111"/>
        <v>43916</v>
      </c>
      <c r="AR42" s="12">
        <f t="shared" si="111"/>
        <v>43915.518297500006</v>
      </c>
      <c r="AT42" s="13">
        <f t="shared" si="99"/>
        <v>1.1228779754393292E-2</v>
      </c>
    </row>
    <row r="43" spans="1:46" ht="12.75" customHeight="1">
      <c r="B43" s="14" t="s">
        <v>173</v>
      </c>
      <c r="C43" s="152">
        <f t="shared" ref="C43:L43" si="112">SUM(C39:C42)</f>
        <v>286458</v>
      </c>
      <c r="D43" s="152">
        <f t="shared" si="112"/>
        <v>293760</v>
      </c>
      <c r="E43" s="152">
        <f t="shared" si="112"/>
        <v>300166</v>
      </c>
      <c r="F43" s="152">
        <f t="shared" si="112"/>
        <v>280091.44715000992</v>
      </c>
      <c r="G43" s="152">
        <f t="shared" si="112"/>
        <v>302020.61349999998</v>
      </c>
      <c r="H43" s="152">
        <f t="shared" si="112"/>
        <v>380990.77587499993</v>
      </c>
      <c r="I43" s="152">
        <f t="shared" si="112"/>
        <v>387215.52049999998</v>
      </c>
      <c r="J43" s="152">
        <f t="shared" si="112"/>
        <v>343138.79257499997</v>
      </c>
      <c r="K43" s="152">
        <f t="shared" si="112"/>
        <v>342528.11172849999</v>
      </c>
      <c r="L43" s="152">
        <f t="shared" si="112"/>
        <v>352713</v>
      </c>
      <c r="M43" s="12"/>
      <c r="N43" s="152">
        <f t="shared" ref="N43:AC43" si="113">SUM(N39:N42)</f>
        <v>130839.47299999998</v>
      </c>
      <c r="O43" s="152">
        <f t="shared" si="113"/>
        <v>90654.52</v>
      </c>
      <c r="P43" s="152">
        <f t="shared" si="113"/>
        <v>80721.537500000006</v>
      </c>
      <c r="Q43" s="152">
        <f t="shared" si="113"/>
        <v>84999.99</v>
      </c>
      <c r="R43" s="152">
        <f t="shared" si="113"/>
        <v>113302.30069999999</v>
      </c>
      <c r="S43" s="152">
        <f t="shared" si="113"/>
        <v>82183.194000000003</v>
      </c>
      <c r="T43" s="152">
        <f t="shared" si="113"/>
        <v>68663.306874999995</v>
      </c>
      <c r="U43" s="152">
        <f t="shared" si="113"/>
        <v>78989.991000000009</v>
      </c>
      <c r="V43" s="152">
        <f t="shared" si="113"/>
        <v>113619.31685099998</v>
      </c>
      <c r="W43" s="152">
        <f t="shared" si="113"/>
        <v>78009.426299999992</v>
      </c>
      <c r="X43" s="152">
        <f t="shared" si="113"/>
        <v>69951.6361875</v>
      </c>
      <c r="Y43" s="152">
        <f t="shared" si="113"/>
        <v>80947.732390000019</v>
      </c>
      <c r="Z43" s="152">
        <f t="shared" si="113"/>
        <v>112911.6827036</v>
      </c>
      <c r="AA43" s="152">
        <f t="shared" si="113"/>
        <v>79920.145364000011</v>
      </c>
      <c r="AB43" s="152">
        <f t="shared" si="113"/>
        <v>77280.688911250007</v>
      </c>
      <c r="AC43" s="152">
        <f t="shared" si="113"/>
        <v>82600.483021149994</v>
      </c>
      <c r="AD43" s="152">
        <f t="shared" ref="AD43" si="114">SUM(AD39:AD42)</f>
        <v>125698</v>
      </c>
      <c r="AE43" s="5"/>
      <c r="AF43" s="152">
        <f t="shared" ref="AF43:AK43" si="115">SUM(AF39:AF41)</f>
        <v>319017.07569999999</v>
      </c>
      <c r="AG43" s="152">
        <f t="shared" si="115"/>
        <v>310930.17569999996</v>
      </c>
      <c r="AH43" s="152">
        <f t="shared" si="115"/>
        <v>300433.67569999996</v>
      </c>
      <c r="AI43" s="152">
        <f t="shared" si="115"/>
        <v>295505.25169999996</v>
      </c>
      <c r="AJ43" s="152">
        <f t="shared" si="115"/>
        <v>299084.08760099998</v>
      </c>
      <c r="AK43" s="152">
        <f t="shared" si="115"/>
        <v>295640.72930099996</v>
      </c>
      <c r="AL43" s="152">
        <f t="shared" ref="AL43:AQ43" si="116">SUM(AL39:AL42)</f>
        <v>340570.37033850001</v>
      </c>
      <c r="AM43" s="152">
        <f t="shared" si="116"/>
        <v>342528.11172849999</v>
      </c>
      <c r="AN43" s="152">
        <f t="shared" si="116"/>
        <v>341820.47758110001</v>
      </c>
      <c r="AO43" s="152">
        <f t="shared" si="116"/>
        <v>343731.19664510002</v>
      </c>
      <c r="AP43" s="152">
        <f t="shared" si="116"/>
        <v>351060.24936885003</v>
      </c>
      <c r="AQ43" s="152">
        <f t="shared" si="116"/>
        <v>352713</v>
      </c>
      <c r="AR43" s="152">
        <f t="shared" ref="AR43" si="117">SUM(AR39:AR42)</f>
        <v>365499.31729639997</v>
      </c>
      <c r="AT43" s="16">
        <f t="shared" si="99"/>
        <v>6.9272736036365634E-2</v>
      </c>
    </row>
    <row r="45" spans="1:46">
      <c r="B45" s="142" t="s">
        <v>168</v>
      </c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43"/>
      <c r="AT45" s="9"/>
    </row>
    <row r="46" spans="1:46">
      <c r="B46" s="135" t="str">
        <f>B39&amp;"(%)"</f>
        <v>iPhone(%)</v>
      </c>
      <c r="C46" s="137">
        <f>SUM(C39/C$43)</f>
        <v>0.73966864252351128</v>
      </c>
      <c r="D46" s="137">
        <f t="shared" ref="D46:K46" si="118">SUM(D39/D$43)</f>
        <v>0.73786764705882357</v>
      </c>
      <c r="E46" s="137">
        <f t="shared" si="118"/>
        <v>0.72533864594924147</v>
      </c>
      <c r="F46" s="137">
        <f t="shared" si="118"/>
        <v>0.66406883142127182</v>
      </c>
      <c r="G46" s="137">
        <f t="shared" si="118"/>
        <v>0.61869949151666104</v>
      </c>
      <c r="H46" s="137">
        <f t="shared" si="118"/>
        <v>0.61681283348734317</v>
      </c>
      <c r="I46" s="137">
        <f t="shared" si="118"/>
        <v>0.6327225718732522</v>
      </c>
      <c r="J46" s="137">
        <f t="shared" si="118"/>
        <v>0.63531143874486784</v>
      </c>
      <c r="K46" s="137">
        <f t="shared" si="118"/>
        <v>0.65396092270975525</v>
      </c>
      <c r="L46" s="137">
        <f t="shared" ref="L46" si="119">SUM(L39/L$43)</f>
        <v>0.65492340798326121</v>
      </c>
      <c r="M46" s="133"/>
      <c r="N46" s="137">
        <f t="shared" ref="N46:AB46" si="120">SUM(N39/N$43)</f>
        <v>0.62672218192135343</v>
      </c>
      <c r="O46" s="137">
        <f t="shared" si="120"/>
        <v>0.66185337476829609</v>
      </c>
      <c r="P46" s="137">
        <f t="shared" si="120"/>
        <v>0.61941337527174822</v>
      </c>
      <c r="Q46" s="137">
        <f t="shared" si="120"/>
        <v>0.62352948512111583</v>
      </c>
      <c r="R46" s="137">
        <f t="shared" si="120"/>
        <v>0.61781622762758259</v>
      </c>
      <c r="S46" s="137">
        <f t="shared" si="120"/>
        <v>0.66923658382028806</v>
      </c>
      <c r="T46" s="137">
        <f t="shared" si="120"/>
        <v>0.61168041435085629</v>
      </c>
      <c r="U46" s="137">
        <f t="shared" si="120"/>
        <v>0.64565142183647029</v>
      </c>
      <c r="V46" s="137">
        <f t="shared" si="120"/>
        <v>0.67770166318617775</v>
      </c>
      <c r="W46" s="137">
        <f t="shared" si="120"/>
        <v>0.66658610973530519</v>
      </c>
      <c r="X46" s="137">
        <f t="shared" si="120"/>
        <v>0.61471042485327709</v>
      </c>
      <c r="Y46" s="137">
        <f t="shared" si="120"/>
        <v>0.64238982939593603</v>
      </c>
      <c r="Z46" s="137">
        <f t="shared" si="120"/>
        <v>0.66423596039109201</v>
      </c>
      <c r="AA46" s="137">
        <f t="shared" si="120"/>
        <v>0.66316195695852453</v>
      </c>
      <c r="AB46" s="137">
        <f t="shared" si="120"/>
        <v>0.63405231876584511</v>
      </c>
      <c r="AC46" s="137">
        <f t="shared" ref="AC46:AD46" si="121">SUM(AC39/AC$43)</f>
        <v>0.65374920369622058</v>
      </c>
      <c r="AD46" s="137">
        <f t="shared" si="121"/>
        <v>0.69213511750385848</v>
      </c>
      <c r="AE46" s="133"/>
      <c r="AF46" s="137">
        <f t="shared" ref="AF46:AP46" si="122">SUM(AF39/AF$43)</f>
        <v>0.73036842773617094</v>
      </c>
      <c r="AG46" s="137">
        <f t="shared" si="122"/>
        <v>0.73328360454787478</v>
      </c>
      <c r="AH46" s="137">
        <f t="shared" si="122"/>
        <v>0.73227476742548148</v>
      </c>
      <c r="AI46" s="137">
        <f t="shared" si="122"/>
        <v>0.73771954557787656</v>
      </c>
      <c r="AJ46" s="137">
        <f t="shared" si="122"/>
        <v>0.75229679320207243</v>
      </c>
      <c r="AK46" s="137">
        <f t="shared" si="122"/>
        <v>0.75091142050991122</v>
      </c>
      <c r="AL46" s="137">
        <f t="shared" si="122"/>
        <v>0.65478391375725264</v>
      </c>
      <c r="AM46" s="137">
        <f t="shared" si="122"/>
        <v>0.65396092270975525</v>
      </c>
      <c r="AN46" s="137">
        <f t="shared" si="122"/>
        <v>0.6494637230951984</v>
      </c>
      <c r="AO46" s="137">
        <f t="shared" si="122"/>
        <v>0.6487627604841637</v>
      </c>
      <c r="AP46" s="137">
        <f t="shared" si="122"/>
        <v>0.65230968305783765</v>
      </c>
      <c r="AQ46" s="137">
        <f t="shared" ref="AQ46:AR46" si="123">SUM(AQ39/AQ$43)</f>
        <v>0.65492340798326121</v>
      </c>
      <c r="AR46" s="144">
        <f t="shared" si="123"/>
        <v>0.66484392309532081</v>
      </c>
      <c r="AT46" s="153">
        <f t="shared" ref="AT46:AT54" si="124">SUM(AR46-AN46)*1000</f>
        <v>15.380200000122413</v>
      </c>
    </row>
    <row r="47" spans="1:46">
      <c r="B47" s="135" t="str">
        <f t="shared" ref="B47:B49" si="125">B40&amp;"(%)"</f>
        <v>iPad(%)</v>
      </c>
      <c r="C47" s="137">
        <f t="shared" ref="C47:K49" si="126">SUM(C40/C$43)</f>
        <v>0.15915073064812293</v>
      </c>
      <c r="D47" s="137">
        <f t="shared" si="126"/>
        <v>0.14894131263616558</v>
      </c>
      <c r="E47" s="137">
        <f t="shared" si="126"/>
        <v>0.14503641318470448</v>
      </c>
      <c r="F47" s="137">
        <f t="shared" si="126"/>
        <v>0.16176094490219903</v>
      </c>
      <c r="G47" s="137">
        <f t="shared" si="126"/>
        <v>0.17424638467599152</v>
      </c>
      <c r="H47" s="137">
        <f t="shared" si="126"/>
        <v>0.17982325121298434</v>
      </c>
      <c r="I47" s="137">
        <f t="shared" si="126"/>
        <v>0.15326926958755516</v>
      </c>
      <c r="J47" s="137">
        <f t="shared" si="126"/>
        <v>0.15302419060801231</v>
      </c>
      <c r="K47" s="137">
        <f t="shared" si="126"/>
        <v>0.14699434766367139</v>
      </c>
      <c r="L47" s="137">
        <f t="shared" ref="L47" si="127">SUM(L40/L$43)</f>
        <v>0.14416820474436723</v>
      </c>
      <c r="M47" s="133"/>
      <c r="N47" s="137">
        <f t="shared" ref="N47:AB47" si="128">SUM(N40/N$43)</f>
        <v>0.11959693539884551</v>
      </c>
      <c r="O47" s="137">
        <f t="shared" si="128"/>
        <v>0.17435424069312813</v>
      </c>
      <c r="P47" s="137">
        <f t="shared" si="128"/>
        <v>0.18347024175549181</v>
      </c>
      <c r="Q47" s="137">
        <f t="shared" si="128"/>
        <v>0.15393225340379457</v>
      </c>
      <c r="R47" s="137">
        <f t="shared" si="128"/>
        <v>0.129821900430306</v>
      </c>
      <c r="S47" s="137">
        <f t="shared" si="128"/>
        <v>0.1634774623142537</v>
      </c>
      <c r="T47" s="137">
        <f t="shared" si="128"/>
        <v>0.1833366403822799</v>
      </c>
      <c r="U47" s="137">
        <f t="shared" si="128"/>
        <v>0.14907984987616982</v>
      </c>
      <c r="V47" s="137">
        <f t="shared" si="128"/>
        <v>0.10356774117407858</v>
      </c>
      <c r="W47" s="137">
        <f t="shared" si="128"/>
        <v>0.1665406645863258</v>
      </c>
      <c r="X47" s="137">
        <f t="shared" si="128"/>
        <v>0.19075765382003276</v>
      </c>
      <c r="Y47" s="137">
        <f t="shared" si="128"/>
        <v>0.15129328862475874</v>
      </c>
      <c r="Z47" s="137">
        <f t="shared" si="128"/>
        <v>0.10838548808209207</v>
      </c>
      <c r="AA47" s="137">
        <f t="shared" si="128"/>
        <v>0.16581021560515288</v>
      </c>
      <c r="AB47" s="137">
        <f t="shared" si="128"/>
        <v>0.17612014581845489</v>
      </c>
      <c r="AC47" s="137">
        <f t="shared" ref="AC47:AD47" si="129">SUM(AC40/AC$43)</f>
        <v>0.14224795057180781</v>
      </c>
      <c r="AD47" s="137">
        <f t="shared" si="129"/>
        <v>0.10127448328533468</v>
      </c>
      <c r="AE47" s="133"/>
      <c r="AF47" s="137">
        <f t="shared" ref="AF47:AP47" si="130">SUM(AF40/AF$43)</f>
        <v>0.1830916413230729</v>
      </c>
      <c r="AG47" s="137">
        <f t="shared" si="130"/>
        <v>0.18022843834259603</v>
      </c>
      <c r="AH47" s="137">
        <f t="shared" si="130"/>
        <v>0.17913091757975652</v>
      </c>
      <c r="AI47" s="137">
        <f t="shared" si="130"/>
        <v>0.17769070328843836</v>
      </c>
      <c r="AJ47" s="137">
        <f t="shared" si="130"/>
        <v>0.16572834883186971</v>
      </c>
      <c r="AK47" s="137">
        <f t="shared" si="130"/>
        <v>0.16615895183368376</v>
      </c>
      <c r="AL47" s="137">
        <f t="shared" si="130"/>
        <v>0.14645626291689604</v>
      </c>
      <c r="AM47" s="137">
        <f t="shared" si="130"/>
        <v>0.14699434766367139</v>
      </c>
      <c r="AN47" s="137">
        <f t="shared" si="130"/>
        <v>0.14867566899336043</v>
      </c>
      <c r="AO47" s="137">
        <f t="shared" si="130"/>
        <v>0.14860514120497467</v>
      </c>
      <c r="AP47" s="137">
        <f t="shared" si="130"/>
        <v>0.14626292582630432</v>
      </c>
      <c r="AQ47" s="137">
        <f t="shared" ref="AQ47:AR47" si="131">SUM(AQ40/AQ$43)</f>
        <v>0.14416820474436723</v>
      </c>
      <c r="AR47" s="144">
        <f t="shared" si="131"/>
        <v>0.14047088388502907</v>
      </c>
      <c r="AT47" s="153">
        <f t="shared" si="124"/>
        <v>-8.2047851083313645</v>
      </c>
    </row>
    <row r="48" spans="1:46">
      <c r="B48" s="135" t="str">
        <f t="shared" si="125"/>
        <v>Mac(%)</v>
      </c>
      <c r="C48" s="137">
        <f t="shared" si="126"/>
        <v>6.4526038721208698E-2</v>
      </c>
      <c r="D48" s="137">
        <f t="shared" si="126"/>
        <v>6.5533088235294121E-2</v>
      </c>
      <c r="E48" s="137">
        <f t="shared" si="126"/>
        <v>6.0663099751470856E-2</v>
      </c>
      <c r="F48" s="137">
        <f t="shared" si="126"/>
        <v>6.581275575375721E-2</v>
      </c>
      <c r="G48" s="137">
        <f t="shared" si="126"/>
        <v>6.9224127643857006E-2</v>
      </c>
      <c r="H48" s="137">
        <f t="shared" si="126"/>
        <v>7.2277408322438452E-2</v>
      </c>
      <c r="I48" s="137">
        <f t="shared" si="126"/>
        <v>7.3263005995649402E-2</v>
      </c>
      <c r="J48" s="137">
        <f t="shared" si="126"/>
        <v>7.2847245024144164E-2</v>
      </c>
      <c r="K48" s="137">
        <f t="shared" si="126"/>
        <v>7.279804123278695E-2</v>
      </c>
      <c r="L48" s="137">
        <f t="shared" ref="L48" si="132">SUM(L41/L$43)</f>
        <v>7.639922543257549E-2</v>
      </c>
      <c r="M48" s="133"/>
      <c r="N48" s="137">
        <f t="shared" ref="N48:AB48" si="133">SUM(N41/N$43)</f>
        <v>5.8151969169120708E-2</v>
      </c>
      <c r="O48" s="137">
        <f t="shared" si="133"/>
        <v>7.8981169389016684E-2</v>
      </c>
      <c r="P48" s="137">
        <f t="shared" si="133"/>
        <v>6.8135471279892307E-2</v>
      </c>
      <c r="Q48" s="137">
        <f t="shared" si="133"/>
        <v>9.5294128858132807E-2</v>
      </c>
      <c r="R48" s="137">
        <f t="shared" si="133"/>
        <v>6.0437569737716731E-2</v>
      </c>
      <c r="S48" s="137">
        <f t="shared" si="133"/>
        <v>7.8410191747962488E-2</v>
      </c>
      <c r="T48" s="137">
        <f t="shared" si="133"/>
        <v>7.6095956309124385E-2</v>
      </c>
      <c r="U48" s="137">
        <f t="shared" si="133"/>
        <v>8.2035710068633874E-2</v>
      </c>
      <c r="V48" s="137">
        <f t="shared" si="133"/>
        <v>5.6050113462233431E-2</v>
      </c>
      <c r="W48" s="137">
        <f t="shared" si="133"/>
        <v>8.2605401752582838E-2</v>
      </c>
      <c r="X48" s="137">
        <f t="shared" si="133"/>
        <v>8.067002156853588E-2</v>
      </c>
      <c r="Y48" s="137">
        <f t="shared" si="133"/>
        <v>8.0051655663185881E-2</v>
      </c>
      <c r="Z48" s="137">
        <f t="shared" si="133"/>
        <v>6.2041526557434348E-2</v>
      </c>
      <c r="AA48" s="137">
        <f t="shared" si="133"/>
        <v>8.4662008173071124E-2</v>
      </c>
      <c r="AB48" s="137">
        <f t="shared" si="133"/>
        <v>8.4702661068632029E-2</v>
      </c>
      <c r="AC48" s="137">
        <f t="shared" ref="AC48:AD48" si="134">SUM(AC41/AC$43)</f>
        <v>8.0262325308708554E-2</v>
      </c>
      <c r="AD48" s="137">
        <f t="shared" si="134"/>
        <v>5.807570526181801E-2</v>
      </c>
      <c r="AE48" s="133"/>
      <c r="AF48" s="137">
        <f t="shared" ref="AF48:AP48" si="135">SUM(AF41/AF$43)</f>
        <v>8.6539930940756224E-2</v>
      </c>
      <c r="AG48" s="137">
        <f t="shared" si="135"/>
        <v>8.6487957109529279E-2</v>
      </c>
      <c r="AH48" s="137">
        <f t="shared" si="135"/>
        <v>8.8594314994762099E-2</v>
      </c>
      <c r="AI48" s="137">
        <f t="shared" si="135"/>
        <v>8.4589751133685193E-2</v>
      </c>
      <c r="AJ48" s="137">
        <f t="shared" si="135"/>
        <v>8.1974857966057926E-2</v>
      </c>
      <c r="AK48" s="137">
        <f t="shared" si="135"/>
        <v>8.2929627656405172E-2</v>
      </c>
      <c r="AL48" s="137">
        <f t="shared" si="135"/>
        <v>7.3216514919416525E-2</v>
      </c>
      <c r="AM48" s="137">
        <f t="shared" si="135"/>
        <v>7.279804123278695E-2</v>
      </c>
      <c r="AN48" s="137">
        <f t="shared" si="135"/>
        <v>7.4811823276540707E-2</v>
      </c>
      <c r="AO48" s="137">
        <f t="shared" si="135"/>
        <v>7.5333322706334957E-2</v>
      </c>
      <c r="AP48" s="137">
        <f t="shared" si="135"/>
        <v>7.6332462046834512E-2</v>
      </c>
      <c r="AQ48" s="137">
        <f t="shared" ref="AQ48:AR48" si="136">SUM(AQ41/AQ$43)</f>
        <v>7.639922543257549E-2</v>
      </c>
      <c r="AR48" s="144">
        <f t="shared" si="136"/>
        <v>7.4533071745270588E-2</v>
      </c>
      <c r="AT48" s="153">
        <f t="shared" si="124"/>
        <v>-0.27875153127011887</v>
      </c>
    </row>
    <row r="49" spans="1:46">
      <c r="B49" s="135" t="str">
        <f t="shared" si="125"/>
        <v>Apple Watch(%)</v>
      </c>
      <c r="C49" s="137">
        <f t="shared" si="126"/>
        <v>3.665458810715707E-2</v>
      </c>
      <c r="D49" s="137">
        <f t="shared" si="126"/>
        <v>4.7657952069716777E-2</v>
      </c>
      <c r="E49" s="137">
        <f t="shared" si="126"/>
        <v>6.8961841114583269E-2</v>
      </c>
      <c r="F49" s="137">
        <f t="shared" si="126"/>
        <v>0.10835746792277204</v>
      </c>
      <c r="G49" s="137">
        <f t="shared" si="126"/>
        <v>0.13782999616349034</v>
      </c>
      <c r="H49" s="137">
        <f t="shared" si="126"/>
        <v>0.13108650697723406</v>
      </c>
      <c r="I49" s="137">
        <f t="shared" si="126"/>
        <v>0.14074515254354325</v>
      </c>
      <c r="J49" s="137">
        <f t="shared" si="126"/>
        <v>0.13881712562297577</v>
      </c>
      <c r="K49" s="137">
        <f t="shared" si="126"/>
        <v>0.12624668839378642</v>
      </c>
      <c r="L49" s="137">
        <f t="shared" ref="L49" si="137">SUM(L42/L$43)</f>
        <v>0.1245091618397961</v>
      </c>
      <c r="M49" s="133"/>
      <c r="N49" s="137">
        <f t="shared" ref="N49:AB49" si="138">SUM(N42/N$43)</f>
        <v>0.19552891351068036</v>
      </c>
      <c r="O49" s="137">
        <f t="shared" si="138"/>
        <v>8.4811215149559013E-2</v>
      </c>
      <c r="P49" s="137">
        <f t="shared" si="138"/>
        <v>0.1289809116928676</v>
      </c>
      <c r="Q49" s="137">
        <f t="shared" si="138"/>
        <v>0.12724413261695677</v>
      </c>
      <c r="R49" s="137">
        <f t="shared" si="138"/>
        <v>0.19192430220439466</v>
      </c>
      <c r="S49" s="137">
        <f t="shared" si="138"/>
        <v>8.8875762117495705E-2</v>
      </c>
      <c r="T49" s="137">
        <f t="shared" si="138"/>
        <v>0.12888698895773942</v>
      </c>
      <c r="U49" s="137">
        <f t="shared" si="138"/>
        <v>0.12323301821872598</v>
      </c>
      <c r="V49" s="137">
        <f t="shared" si="138"/>
        <v>0.16268048217751027</v>
      </c>
      <c r="W49" s="137">
        <f t="shared" si="138"/>
        <v>8.4267823925786273E-2</v>
      </c>
      <c r="X49" s="137">
        <f t="shared" si="138"/>
        <v>0.11386189975815424</v>
      </c>
      <c r="Y49" s="137">
        <f t="shared" si="138"/>
        <v>0.12626522631611914</v>
      </c>
      <c r="Z49" s="137">
        <f t="shared" si="138"/>
        <v>0.16533702496938152</v>
      </c>
      <c r="AA49" s="137">
        <f t="shared" si="138"/>
        <v>8.6365819263251362E-2</v>
      </c>
      <c r="AB49" s="137">
        <f t="shared" si="138"/>
        <v>0.10512487434706788</v>
      </c>
      <c r="AC49" s="137">
        <f t="shared" ref="AC49:AD49" si="139">SUM(AC42/AC$43)</f>
        <v>0.12374052042326301</v>
      </c>
      <c r="AD49" s="137">
        <f t="shared" si="139"/>
        <v>0.14851469394898884</v>
      </c>
      <c r="AE49" s="133"/>
      <c r="AF49" s="137">
        <f t="shared" ref="AF49:AP49" si="140">SUM(AF42/AF$43)</f>
        <v>0.15880426584952237</v>
      </c>
      <c r="AG49" s="137">
        <f t="shared" si="140"/>
        <v>0.16169818959131668</v>
      </c>
      <c r="AH49" s="137">
        <f t="shared" si="140"/>
        <v>0.1621493188521409</v>
      </c>
      <c r="AI49" s="137">
        <f t="shared" si="140"/>
        <v>0.16119355104848718</v>
      </c>
      <c r="AJ49" s="137">
        <f t="shared" si="140"/>
        <v>0.14835868227197402</v>
      </c>
      <c r="AK49" s="137">
        <f t="shared" si="140"/>
        <v>0.14761603324475492</v>
      </c>
      <c r="AL49" s="137">
        <f t="shared" si="140"/>
        <v>0.12554330840643474</v>
      </c>
      <c r="AM49" s="137">
        <f t="shared" si="140"/>
        <v>0.12624668839378642</v>
      </c>
      <c r="AN49" s="137">
        <f t="shared" si="140"/>
        <v>0.12704878463490046</v>
      </c>
      <c r="AO49" s="137">
        <f t="shared" si="140"/>
        <v>0.1272987756045266</v>
      </c>
      <c r="AP49" s="137">
        <f t="shared" si="140"/>
        <v>0.1250949290690235</v>
      </c>
      <c r="AQ49" s="137">
        <f t="shared" ref="AQ49:AR49" si="141">SUM(AQ42/AQ$43)</f>
        <v>0.1245091618397961</v>
      </c>
      <c r="AR49" s="144">
        <f t="shared" si="141"/>
        <v>0.12015212127437962</v>
      </c>
      <c r="AT49" s="153">
        <f t="shared" si="124"/>
        <v>-6.8966633605208463</v>
      </c>
    </row>
    <row r="50" spans="1:46">
      <c r="B50" s="140" t="s">
        <v>169</v>
      </c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41"/>
      <c r="AT50" s="9"/>
    </row>
    <row r="51" spans="1:46">
      <c r="B51" s="135" t="str">
        <f>B39&amp;"(%)"</f>
        <v>iPhone(%)</v>
      </c>
      <c r="C51" s="133" t="s">
        <v>35</v>
      </c>
      <c r="D51" s="138">
        <f>SUM(D39/C39)-1</f>
        <v>2.2993713541371585E-2</v>
      </c>
      <c r="E51" s="138">
        <f t="shared" ref="E51:K51" si="142">SUM(E39/D39)-1</f>
        <v>4.4566240380889965E-3</v>
      </c>
      <c r="F51" s="138">
        <f t="shared" si="142"/>
        <v>-0.14569956182654942</v>
      </c>
      <c r="G51" s="138">
        <f t="shared" si="142"/>
        <v>4.6236559139785083E-3</v>
      </c>
      <c r="H51" s="138">
        <f t="shared" si="142"/>
        <v>0.25762603018302466</v>
      </c>
      <c r="I51" s="138">
        <f t="shared" si="142"/>
        <v>4.2553191489361764E-2</v>
      </c>
      <c r="J51" s="138">
        <f t="shared" si="142"/>
        <v>-0.11020408163265305</v>
      </c>
      <c r="K51" s="138">
        <f t="shared" si="142"/>
        <v>2.7522935779816571E-2</v>
      </c>
      <c r="L51" s="138">
        <f t="shared" ref="L51" si="143">SUM(L39/K39)-1</f>
        <v>3.125E-2</v>
      </c>
      <c r="M51" s="133"/>
      <c r="N51" s="138" t="s">
        <v>35</v>
      </c>
      <c r="O51" s="138" t="s">
        <v>35</v>
      </c>
      <c r="P51" s="138" t="s">
        <v>35</v>
      </c>
      <c r="Q51" s="138" t="s">
        <v>35</v>
      </c>
      <c r="R51" s="138">
        <f t="shared" ref="R51:AD51" si="144">SUM(R39/Q39)-1</f>
        <v>0.320754716981132</v>
      </c>
      <c r="S51" s="138">
        <f t="shared" si="144"/>
        <v>-0.2142857142857143</v>
      </c>
      <c r="T51" s="138">
        <f t="shared" si="144"/>
        <v>-0.23636363636363633</v>
      </c>
      <c r="U51" s="138">
        <f t="shared" si="144"/>
        <v>0.21428571428571419</v>
      </c>
      <c r="V51" s="138">
        <f t="shared" si="144"/>
        <v>0.50980392156862742</v>
      </c>
      <c r="W51" s="138">
        <f t="shared" si="144"/>
        <v>-0.32467532467532467</v>
      </c>
      <c r="X51" s="138">
        <f t="shared" si="144"/>
        <v>-0.17307692307692313</v>
      </c>
      <c r="Y51" s="138">
        <f t="shared" si="144"/>
        <v>0.20930232558139528</v>
      </c>
      <c r="Z51" s="138">
        <f t="shared" si="144"/>
        <v>0.44230769230769229</v>
      </c>
      <c r="AA51" s="138">
        <f t="shared" si="144"/>
        <v>-0.29333333333333333</v>
      </c>
      <c r="AB51" s="138">
        <f t="shared" si="144"/>
        <v>-7.547169811320753E-2</v>
      </c>
      <c r="AC51" s="138">
        <f t="shared" ref="AC51" si="145">SUM(AC39/AB39)-1</f>
        <v>0.1020408163265305</v>
      </c>
      <c r="AD51" s="138">
        <f t="shared" si="144"/>
        <v>0.61111111111111116</v>
      </c>
      <c r="AE51" s="133"/>
      <c r="AF51" s="138" t="s">
        <v>35</v>
      </c>
      <c r="AG51" s="138" t="s">
        <v>35</v>
      </c>
      <c r="AH51" s="138" t="s">
        <v>35</v>
      </c>
      <c r="AI51" s="138" t="s">
        <v>35</v>
      </c>
      <c r="AJ51" s="138">
        <f t="shared" ref="AJ51:AJ54" si="146">SUM(AJ39/AF39)-1</f>
        <v>-3.4334763948497882E-2</v>
      </c>
      <c r="AK51" s="138">
        <f t="shared" ref="AK51:AK54" si="147">SUM(AK39/AG39)-1</f>
        <v>-2.6315789473684181E-2</v>
      </c>
      <c r="AL51" s="138">
        <f t="shared" ref="AL51:AL54" si="148">SUM(AL39/AH39)-1</f>
        <v>1.3636363636363669E-2</v>
      </c>
      <c r="AM51" s="138">
        <f t="shared" ref="AM51:AM54" si="149">SUM(AM39/AI39)-1</f>
        <v>2.7522935779816571E-2</v>
      </c>
      <c r="AN51" s="138">
        <f t="shared" ref="AN51:AN54" si="150">SUM(AN39/AJ39)-1</f>
        <v>-1.3333333333333308E-2</v>
      </c>
      <c r="AO51" s="138">
        <f t="shared" ref="AO51:AO54" si="151">SUM(AO39/AK39)-1</f>
        <v>4.5045045045044585E-3</v>
      </c>
      <c r="AP51" s="138">
        <f t="shared" ref="AP51:AR54" si="152">SUM(AP39/AL39)-1</f>
        <v>2.6905829596412634E-2</v>
      </c>
      <c r="AQ51" s="138">
        <f t="shared" si="152"/>
        <v>3.125E-2</v>
      </c>
      <c r="AR51" s="145">
        <f t="shared" si="152"/>
        <v>9.4594594594594517E-2</v>
      </c>
      <c r="AT51" s="153">
        <f t="shared" si="124"/>
        <v>107.92792792792783</v>
      </c>
    </row>
    <row r="52" spans="1:46">
      <c r="B52" s="135" t="str">
        <f t="shared" ref="B52:B54" si="153">B40&amp;"(%)"</f>
        <v>iPad(%)</v>
      </c>
      <c r="C52" s="133" t="s">
        <v>35</v>
      </c>
      <c r="D52" s="138">
        <f t="shared" ref="D52:K54" si="154">SUM(D40/C40)-1</f>
        <v>-4.0293924106163614E-2</v>
      </c>
      <c r="E52" s="138">
        <f t="shared" si="154"/>
        <v>-4.98251548465245E-3</v>
      </c>
      <c r="F52" s="138">
        <f t="shared" si="154"/>
        <v>4.0722571494428372E-2</v>
      </c>
      <c r="G52" s="138">
        <f t="shared" si="154"/>
        <v>0.16152039205386282</v>
      </c>
      <c r="H52" s="138">
        <f t="shared" si="154"/>
        <v>0.30184699578155261</v>
      </c>
      <c r="I52" s="138">
        <f t="shared" si="154"/>
        <v>-0.1337414429799586</v>
      </c>
      <c r="J52" s="138">
        <f t="shared" si="154"/>
        <v>-0.11524695593331835</v>
      </c>
      <c r="K52" s="138">
        <f t="shared" si="154"/>
        <v>-4.1114070672242486E-2</v>
      </c>
      <c r="L52" s="138">
        <f t="shared" ref="L52" si="155">SUM(L40/K40)-1</f>
        <v>9.9365775042923321E-3</v>
      </c>
      <c r="M52" s="133"/>
      <c r="N52" s="138" t="s">
        <v>35</v>
      </c>
      <c r="O52" s="138" t="s">
        <v>35</v>
      </c>
      <c r="P52" s="138" t="s">
        <v>35</v>
      </c>
      <c r="Q52" s="138" t="s">
        <v>35</v>
      </c>
      <c r="R52" s="138">
        <f t="shared" ref="R52:AD52" si="156">SUM(R40/Q40)-1</f>
        <v>0.12418604366780062</v>
      </c>
      <c r="S52" s="138">
        <f t="shared" si="156"/>
        <v>-8.6614290997693133E-2</v>
      </c>
      <c r="T52" s="138">
        <f t="shared" si="156"/>
        <v>-6.3014045299253474E-2</v>
      </c>
      <c r="U52" s="138">
        <f t="shared" si="156"/>
        <v>-6.4557651825078E-2</v>
      </c>
      <c r="V52" s="138">
        <f t="shared" si="156"/>
        <v>-7.2351673973292119E-4</v>
      </c>
      <c r="W52" s="138">
        <f t="shared" si="156"/>
        <v>0.10405497575653833</v>
      </c>
      <c r="X52" s="138">
        <f t="shared" si="156"/>
        <v>2.7099391916020066E-2</v>
      </c>
      <c r="Y52" s="138">
        <f t="shared" si="156"/>
        <v>-8.2207507451020123E-2</v>
      </c>
      <c r="Z52" s="138">
        <f t="shared" si="156"/>
        <v>-7.2351673973203301E-4</v>
      </c>
      <c r="AA52" s="138">
        <f t="shared" si="156"/>
        <v>8.2823149299681154E-2</v>
      </c>
      <c r="AB52" s="138">
        <f t="shared" si="156"/>
        <v>2.7099391916020066E-2</v>
      </c>
      <c r="AC52" s="138">
        <f t="shared" ref="AC52" si="157">SUM(AC40/AB40)-1</f>
        <v>-0.13672615374822228</v>
      </c>
      <c r="AD52" s="138">
        <f t="shared" si="156"/>
        <v>8.3427359891683706E-2</v>
      </c>
      <c r="AE52" s="133"/>
      <c r="AF52" s="138" t="s">
        <v>35</v>
      </c>
      <c r="AG52" s="138" t="s">
        <v>35</v>
      </c>
      <c r="AH52" s="138" t="s">
        <v>35</v>
      </c>
      <c r="AI52" s="138" t="s">
        <v>35</v>
      </c>
      <c r="AJ52" s="138">
        <f t="shared" si="146"/>
        <v>-0.15139094145184939</v>
      </c>
      <c r="AK52" s="138">
        <f t="shared" si="147"/>
        <v>-0.12339929220039236</v>
      </c>
      <c r="AL52" s="138">
        <f t="shared" si="148"/>
        <v>-7.3179464243242065E-2</v>
      </c>
      <c r="AM52" s="138">
        <f t="shared" si="149"/>
        <v>-4.1114070672242486E-2</v>
      </c>
      <c r="AN52" s="138">
        <f t="shared" si="150"/>
        <v>2.5292704103512254E-2</v>
      </c>
      <c r="AO52" s="138">
        <f t="shared" si="151"/>
        <v>3.9835824849230761E-2</v>
      </c>
      <c r="AP52" s="138">
        <f t="shared" si="152"/>
        <v>2.9440153465859709E-2</v>
      </c>
      <c r="AQ52" s="138">
        <f t="shared" si="152"/>
        <v>9.9365775042923321E-3</v>
      </c>
      <c r="AR52" s="145">
        <f t="shared" si="152"/>
        <v>1.0264069179331203E-2</v>
      </c>
      <c r="AT52" s="153">
        <f t="shared" si="124"/>
        <v>-15.02863492418105</v>
      </c>
    </row>
    <row r="53" spans="1:46">
      <c r="B53" s="135" t="str">
        <f t="shared" si="153"/>
        <v>Mac(%)</v>
      </c>
      <c r="C53" s="133" t="s">
        <v>35</v>
      </c>
      <c r="D53" s="138">
        <f t="shared" si="154"/>
        <v>4.1495347327418219E-2</v>
      </c>
      <c r="E53" s="138">
        <f t="shared" si="154"/>
        <v>-5.4127058334631939E-2</v>
      </c>
      <c r="F53" s="138">
        <f t="shared" si="154"/>
        <v>1.2334010654072136E-2</v>
      </c>
      <c r="G53" s="138">
        <f t="shared" si="154"/>
        <v>0.13418566323760039</v>
      </c>
      <c r="H53" s="138">
        <f t="shared" si="154"/>
        <v>0.31711275566567343</v>
      </c>
      <c r="I53" s="138">
        <f t="shared" si="154"/>
        <v>3.0197419604232945E-2</v>
      </c>
      <c r="J53" s="138">
        <f t="shared" si="154"/>
        <v>-0.11885889713240072</v>
      </c>
      <c r="K53" s="138">
        <f t="shared" si="154"/>
        <v>-2.4539263372107545E-3</v>
      </c>
      <c r="L53" s="138">
        <f t="shared" ref="L53" si="158">SUM(L41/K41)-1</f>
        <v>8.0673515057031242E-2</v>
      </c>
      <c r="M53" s="133"/>
      <c r="N53" s="138" t="s">
        <v>35</v>
      </c>
      <c r="O53" s="138" t="s">
        <v>35</v>
      </c>
      <c r="P53" s="138" t="s">
        <v>35</v>
      </c>
      <c r="Q53" s="138" t="s">
        <v>35</v>
      </c>
      <c r="R53" s="138">
        <f t="shared" ref="R53:AD53" si="159">SUM(R41/Q41)-1</f>
        <v>-0.15460299999999993</v>
      </c>
      <c r="S53" s="138">
        <f t="shared" si="159"/>
        <v>-5.8956258946322726E-2</v>
      </c>
      <c r="T53" s="138">
        <f t="shared" si="159"/>
        <v>-0.1891682184978275</v>
      </c>
      <c r="U53" s="138">
        <f t="shared" si="159"/>
        <v>0.24019138755980851</v>
      </c>
      <c r="V53" s="138">
        <f t="shared" si="159"/>
        <v>-1.722598750000004E-2</v>
      </c>
      <c r="W53" s="138">
        <f t="shared" si="159"/>
        <v>1.1874990380298156E-2</v>
      </c>
      <c r="X53" s="138">
        <f t="shared" si="159"/>
        <v>-0.12430167597765374</v>
      </c>
      <c r="Y53" s="138">
        <f t="shared" si="159"/>
        <v>0.14832535885167464</v>
      </c>
      <c r="Z53" s="138">
        <f t="shared" si="159"/>
        <v>8.1051413750000023E-2</v>
      </c>
      <c r="AA53" s="138">
        <f t="shared" si="159"/>
        <v>-3.411932736426071E-2</v>
      </c>
      <c r="AB53" s="138">
        <f t="shared" si="159"/>
        <v>-3.2561851556265342E-2</v>
      </c>
      <c r="AC53" s="138">
        <f t="shared" ref="AC53" si="160">SUM(AC41/AB41)-1</f>
        <v>1.2806045772302266E-2</v>
      </c>
      <c r="AD53" s="138">
        <f t="shared" si="159"/>
        <v>0.10110449487253903</v>
      </c>
      <c r="AE53" s="133"/>
      <c r="AF53" s="138" t="s">
        <v>35</v>
      </c>
      <c r="AG53" s="138" t="s">
        <v>35</v>
      </c>
      <c r="AH53" s="138" t="s">
        <v>35</v>
      </c>
      <c r="AI53" s="138" t="s">
        <v>35</v>
      </c>
      <c r="AJ53" s="138">
        <f t="shared" si="146"/>
        <v>-0.11193755153744944</v>
      </c>
      <c r="AK53" s="138">
        <f t="shared" si="147"/>
        <v>-8.829262236325075E-2</v>
      </c>
      <c r="AL53" s="138">
        <f t="shared" si="148"/>
        <v>-6.3168578646237705E-2</v>
      </c>
      <c r="AM53" s="138">
        <f t="shared" si="149"/>
        <v>-2.4539263372107545E-3</v>
      </c>
      <c r="AN53" s="138">
        <f t="shared" si="150"/>
        <v>4.3024081258394409E-2</v>
      </c>
      <c r="AO53" s="138">
        <f t="shared" si="151"/>
        <v>5.6165781464955655E-2</v>
      </c>
      <c r="AP53" s="138">
        <f t="shared" si="152"/>
        <v>7.4669721839896175E-2</v>
      </c>
      <c r="AQ53" s="138">
        <f t="shared" si="152"/>
        <v>8.0673515057031242E-2</v>
      </c>
      <c r="AR53" s="145">
        <f t="shared" si="152"/>
        <v>6.5288587549384491E-2</v>
      </c>
      <c r="AT53" s="153">
        <f t="shared" si="124"/>
        <v>22.264506290990084</v>
      </c>
    </row>
    <row r="54" spans="1:46">
      <c r="B54" s="135" t="str">
        <f t="shared" si="153"/>
        <v>Apple Watch(%)</v>
      </c>
      <c r="C54" s="133" t="s">
        <v>35</v>
      </c>
      <c r="D54" s="138">
        <f t="shared" si="154"/>
        <v>0.33333333333333326</v>
      </c>
      <c r="E54" s="138">
        <f t="shared" si="154"/>
        <v>0.47857142857142865</v>
      </c>
      <c r="F54" s="138">
        <f t="shared" si="154"/>
        <v>0.46618357487922713</v>
      </c>
      <c r="G54" s="138">
        <f t="shared" si="154"/>
        <v>0.37158154859967052</v>
      </c>
      <c r="H54" s="138">
        <f t="shared" si="154"/>
        <v>0.19975376854242999</v>
      </c>
      <c r="I54" s="138">
        <f t="shared" si="154"/>
        <v>9.1223601023171508E-2</v>
      </c>
      <c r="J54" s="138">
        <f t="shared" si="154"/>
        <v>-0.12596934752993905</v>
      </c>
      <c r="K54" s="138">
        <f t="shared" si="154"/>
        <v>-9.2172469374501409E-2</v>
      </c>
      <c r="L54" s="138">
        <f t="shared" ref="L54" si="161">SUM(L42/K42)-1</f>
        <v>1.5562278133243845E-2</v>
      </c>
      <c r="M54" s="133"/>
      <c r="N54" s="138" t="s">
        <v>35</v>
      </c>
      <c r="O54" s="138" t="s">
        <v>35</v>
      </c>
      <c r="P54" s="138" t="s">
        <v>35</v>
      </c>
      <c r="Q54" s="138" t="s">
        <v>35</v>
      </c>
      <c r="R54" s="138">
        <f t="shared" ref="R54:AD54" si="162">SUM(R42/Q42)-1</f>
        <v>1.0105369484316848</v>
      </c>
      <c r="S54" s="138">
        <f t="shared" si="162"/>
        <v>-0.6641095511178996</v>
      </c>
      <c r="T54" s="138">
        <f t="shared" si="162"/>
        <v>0.21162280701754344</v>
      </c>
      <c r="U54" s="138">
        <f t="shared" si="162"/>
        <v>9.9930782387836592E-2</v>
      </c>
      <c r="V54" s="138">
        <f t="shared" si="162"/>
        <v>0.8988404512965904</v>
      </c>
      <c r="W54" s="138">
        <f t="shared" si="162"/>
        <v>-0.64435128941895248</v>
      </c>
      <c r="X54" s="138">
        <f t="shared" si="162"/>
        <v>0.21162280701754366</v>
      </c>
      <c r="Y54" s="138">
        <f t="shared" si="162"/>
        <v>0.28325257945247562</v>
      </c>
      <c r="Z54" s="138">
        <f t="shared" si="162"/>
        <v>0.82650367219957821</v>
      </c>
      <c r="AA54" s="138">
        <f t="shared" si="162"/>
        <v>-0.63026619197019818</v>
      </c>
      <c r="AB54" s="138">
        <f t="shared" si="162"/>
        <v>0.17700501253132805</v>
      </c>
      <c r="AC54" s="138">
        <f t="shared" ref="AC54" si="163">SUM(AC42/AB42)-1</f>
        <v>0.25810836683895522</v>
      </c>
      <c r="AD54" s="138">
        <f t="shared" si="162"/>
        <v>0.82643098831385053</v>
      </c>
      <c r="AE54" s="133"/>
      <c r="AF54" s="138" t="s">
        <v>35</v>
      </c>
      <c r="AG54" s="138" t="s">
        <v>35</v>
      </c>
      <c r="AH54" s="138" t="s">
        <v>35</v>
      </c>
      <c r="AI54" s="138" t="s">
        <v>35</v>
      </c>
      <c r="AJ54" s="138">
        <f t="shared" si="146"/>
        <v>-0.1241490997882061</v>
      </c>
      <c r="AK54" s="138">
        <f t="shared" si="147"/>
        <v>-0.13197993185590906</v>
      </c>
      <c r="AL54" s="138">
        <f t="shared" si="148"/>
        <v>-0.12231901188103234</v>
      </c>
      <c r="AM54" s="138">
        <f t="shared" si="149"/>
        <v>-9.2172469374501409E-2</v>
      </c>
      <c r="AN54" s="138">
        <f t="shared" si="150"/>
        <v>-2.1271315627831577E-2</v>
      </c>
      <c r="AO54" s="138">
        <f t="shared" si="151"/>
        <v>2.6408176208410072E-3</v>
      </c>
      <c r="AP54" s="138">
        <f t="shared" si="152"/>
        <v>2.7119397949113555E-2</v>
      </c>
      <c r="AQ54" s="138">
        <f t="shared" si="152"/>
        <v>1.5562278133243845E-2</v>
      </c>
      <c r="AR54" s="145">
        <f t="shared" si="152"/>
        <v>1.1228779754393292E-2</v>
      </c>
      <c r="AT54" s="153">
        <f t="shared" si="124"/>
        <v>32.50009538222487</v>
      </c>
    </row>
    <row r="55" spans="1:46">
      <c r="B55" s="140" t="s">
        <v>170</v>
      </c>
      <c r="C55" s="133"/>
      <c r="D55" s="138"/>
      <c r="E55" s="138"/>
      <c r="F55" s="138"/>
      <c r="G55" s="138"/>
      <c r="H55" s="138"/>
      <c r="I55" s="138"/>
      <c r="J55" s="138"/>
      <c r="K55" s="138"/>
      <c r="L55" s="138"/>
      <c r="M55" s="133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3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45"/>
      <c r="AT55" s="9"/>
    </row>
    <row r="56" spans="1:46">
      <c r="B56" s="135" t="str">
        <f>B39&amp;"(%)"</f>
        <v>iPhone(%)</v>
      </c>
      <c r="C56" s="133" t="s">
        <v>35</v>
      </c>
      <c r="D56" s="133" t="s">
        <v>35</v>
      </c>
      <c r="E56" s="133" t="s">
        <v>35</v>
      </c>
      <c r="F56" s="133" t="s">
        <v>35</v>
      </c>
      <c r="G56" s="133" t="s">
        <v>35</v>
      </c>
      <c r="H56" s="133" t="s">
        <v>35</v>
      </c>
      <c r="I56" s="133" t="s">
        <v>35</v>
      </c>
      <c r="J56" s="133" t="s">
        <v>35</v>
      </c>
      <c r="K56" s="133" t="s">
        <v>35</v>
      </c>
      <c r="L56" s="133" t="s">
        <v>35</v>
      </c>
      <c r="M56" s="133"/>
      <c r="N56" s="138" t="s">
        <v>35</v>
      </c>
      <c r="O56" s="138">
        <f>SUM(O39/N39)-1</f>
        <v>-0.26829268292682928</v>
      </c>
      <c r="P56" s="138">
        <f t="shared" ref="P56:AD56" si="164">SUM(P39/O39)-1</f>
        <v>-0.16666666666666663</v>
      </c>
      <c r="Q56" s="138">
        <f t="shared" si="164"/>
        <v>6.0000000000000053E-2</v>
      </c>
      <c r="R56" s="138">
        <f t="shared" si="164"/>
        <v>0.320754716981132</v>
      </c>
      <c r="S56" s="138">
        <f t="shared" si="164"/>
        <v>-0.2142857142857143</v>
      </c>
      <c r="T56" s="138">
        <f t="shared" si="164"/>
        <v>-0.23636363636363633</v>
      </c>
      <c r="U56" s="138">
        <f t="shared" si="164"/>
        <v>0.21428571428571419</v>
      </c>
      <c r="V56" s="138">
        <f t="shared" si="164"/>
        <v>0.50980392156862742</v>
      </c>
      <c r="W56" s="138">
        <f t="shared" si="164"/>
        <v>-0.32467532467532467</v>
      </c>
      <c r="X56" s="138">
        <f t="shared" si="164"/>
        <v>-0.17307692307692313</v>
      </c>
      <c r="Y56" s="138">
        <f t="shared" si="164"/>
        <v>0.20930232558139528</v>
      </c>
      <c r="Z56" s="138">
        <f t="shared" si="164"/>
        <v>0.44230769230769229</v>
      </c>
      <c r="AA56" s="138">
        <f t="shared" si="164"/>
        <v>-0.29333333333333333</v>
      </c>
      <c r="AB56" s="138">
        <f t="shared" si="164"/>
        <v>-7.547169811320753E-2</v>
      </c>
      <c r="AC56" s="138">
        <f t="shared" ref="AC56" si="165">SUM(AC39/AB39)-1</f>
        <v>0.1020408163265305</v>
      </c>
      <c r="AD56" s="138">
        <f t="shared" si="164"/>
        <v>0.61111111111111116</v>
      </c>
      <c r="AE56" s="133"/>
      <c r="AF56" s="138" t="s">
        <v>35</v>
      </c>
      <c r="AG56" s="138" t="s">
        <v>35</v>
      </c>
      <c r="AH56" s="138" t="s">
        <v>35</v>
      </c>
      <c r="AI56" s="138" t="s">
        <v>35</v>
      </c>
      <c r="AJ56" s="138" t="s">
        <v>35</v>
      </c>
      <c r="AK56" s="138" t="s">
        <v>35</v>
      </c>
      <c r="AL56" s="138" t="s">
        <v>35</v>
      </c>
      <c r="AM56" s="138" t="s">
        <v>35</v>
      </c>
      <c r="AN56" s="138" t="s">
        <v>35</v>
      </c>
      <c r="AO56" s="138" t="s">
        <v>35</v>
      </c>
      <c r="AP56" s="138" t="s">
        <v>35</v>
      </c>
      <c r="AQ56" s="138" t="s">
        <v>35</v>
      </c>
      <c r="AR56" s="145" t="s">
        <v>35</v>
      </c>
      <c r="AT56" s="153">
        <f t="shared" ref="AT56:AT59" si="166">SUM(AD56-Z56)*10000</f>
        <v>1688.0341880341887</v>
      </c>
    </row>
    <row r="57" spans="1:46">
      <c r="B57" s="135" t="str">
        <f t="shared" ref="B57:B59" si="167">B40&amp;"(%)"</f>
        <v>iPad(%)</v>
      </c>
      <c r="C57" s="133" t="s">
        <v>35</v>
      </c>
      <c r="D57" s="133" t="s">
        <v>35</v>
      </c>
      <c r="E57" s="133" t="s">
        <v>35</v>
      </c>
      <c r="F57" s="133" t="s">
        <v>35</v>
      </c>
      <c r="G57" s="133" t="s">
        <v>35</v>
      </c>
      <c r="H57" s="133" t="s">
        <v>35</v>
      </c>
      <c r="I57" s="133" t="s">
        <v>35</v>
      </c>
      <c r="J57" s="133" t="s">
        <v>35</v>
      </c>
      <c r="K57" s="133" t="s">
        <v>35</v>
      </c>
      <c r="L57" s="133" t="s">
        <v>35</v>
      </c>
      <c r="M57" s="133"/>
      <c r="N57" s="138" t="s">
        <v>35</v>
      </c>
      <c r="O57" s="138">
        <f t="shared" ref="O57:AD59" si="168">SUM(O40/N40)-1</f>
        <v>1.0097137014315694E-2</v>
      </c>
      <c r="P57" s="138">
        <f t="shared" si="168"/>
        <v>-6.3014045299253474E-2</v>
      </c>
      <c r="Q57" s="138">
        <f t="shared" si="168"/>
        <v>-0.11652667116812931</v>
      </c>
      <c r="R57" s="138">
        <f t="shared" si="168"/>
        <v>0.12418604366780062</v>
      </c>
      <c r="S57" s="138">
        <f t="shared" si="168"/>
        <v>-8.6614290997693133E-2</v>
      </c>
      <c r="T57" s="138">
        <f t="shared" si="168"/>
        <v>-6.3014045299253474E-2</v>
      </c>
      <c r="U57" s="138">
        <f t="shared" si="168"/>
        <v>-6.4557651825078E-2</v>
      </c>
      <c r="V57" s="138">
        <f t="shared" si="168"/>
        <v>-7.2351673973292119E-4</v>
      </c>
      <c r="W57" s="138">
        <f t="shared" si="168"/>
        <v>0.10405497575653833</v>
      </c>
      <c r="X57" s="138">
        <f t="shared" si="168"/>
        <v>2.7099391916020066E-2</v>
      </c>
      <c r="Y57" s="138">
        <f t="shared" si="168"/>
        <v>-8.2207507451020123E-2</v>
      </c>
      <c r="Z57" s="138">
        <f t="shared" si="168"/>
        <v>-7.2351673973203301E-4</v>
      </c>
      <c r="AA57" s="138">
        <f t="shared" si="168"/>
        <v>8.2823149299681154E-2</v>
      </c>
      <c r="AB57" s="138">
        <f t="shared" si="168"/>
        <v>2.7099391916020066E-2</v>
      </c>
      <c r="AC57" s="138">
        <f t="shared" ref="AC57" si="169">SUM(AC40/AB40)-1</f>
        <v>-0.13672615374822228</v>
      </c>
      <c r="AD57" s="138">
        <f t="shared" si="168"/>
        <v>8.3427359891683706E-2</v>
      </c>
      <c r="AE57" s="133"/>
      <c r="AF57" s="138" t="s">
        <v>35</v>
      </c>
      <c r="AG57" s="138" t="s">
        <v>35</v>
      </c>
      <c r="AH57" s="138" t="s">
        <v>35</v>
      </c>
      <c r="AI57" s="138" t="s">
        <v>35</v>
      </c>
      <c r="AJ57" s="138" t="s">
        <v>35</v>
      </c>
      <c r="AK57" s="138" t="s">
        <v>35</v>
      </c>
      <c r="AL57" s="138" t="s">
        <v>35</v>
      </c>
      <c r="AM57" s="138" t="s">
        <v>35</v>
      </c>
      <c r="AN57" s="138" t="s">
        <v>35</v>
      </c>
      <c r="AO57" s="138" t="s">
        <v>35</v>
      </c>
      <c r="AP57" s="138" t="s">
        <v>35</v>
      </c>
      <c r="AQ57" s="138" t="s">
        <v>35</v>
      </c>
      <c r="AR57" s="145" t="s">
        <v>35</v>
      </c>
      <c r="AT57" s="153">
        <f t="shared" si="166"/>
        <v>841.50876631415736</v>
      </c>
    </row>
    <row r="58" spans="1:46">
      <c r="B58" s="135" t="str">
        <f t="shared" si="167"/>
        <v>Mac(%)</v>
      </c>
      <c r="C58" s="133" t="s">
        <v>35</v>
      </c>
      <c r="D58" s="133" t="s">
        <v>35</v>
      </c>
      <c r="E58" s="133" t="s">
        <v>35</v>
      </c>
      <c r="F58" s="133" t="s">
        <v>35</v>
      </c>
      <c r="G58" s="133" t="s">
        <v>35</v>
      </c>
      <c r="H58" s="133" t="s">
        <v>35</v>
      </c>
      <c r="I58" s="133" t="s">
        <v>35</v>
      </c>
      <c r="J58" s="133" t="s">
        <v>35</v>
      </c>
      <c r="K58" s="133" t="s">
        <v>35</v>
      </c>
      <c r="L58" s="133" t="s">
        <v>35</v>
      </c>
      <c r="M58" s="133"/>
      <c r="N58" s="138" t="s">
        <v>35</v>
      </c>
      <c r="O58" s="138">
        <f t="shared" si="168"/>
        <v>-5.8956258946322726E-2</v>
      </c>
      <c r="P58" s="138">
        <f t="shared" si="168"/>
        <v>-0.23184357541899447</v>
      </c>
      <c r="Q58" s="138">
        <f t="shared" si="168"/>
        <v>0.47272727272727266</v>
      </c>
      <c r="R58" s="138">
        <f t="shared" si="168"/>
        <v>-0.15460299999999993</v>
      </c>
      <c r="S58" s="138">
        <f t="shared" si="168"/>
        <v>-5.8956258946322726E-2</v>
      </c>
      <c r="T58" s="138">
        <f t="shared" si="168"/>
        <v>-0.1891682184978275</v>
      </c>
      <c r="U58" s="138">
        <f t="shared" si="168"/>
        <v>0.24019138755980851</v>
      </c>
      <c r="V58" s="138">
        <f t="shared" si="168"/>
        <v>-1.722598750000004E-2</v>
      </c>
      <c r="W58" s="138">
        <f t="shared" si="168"/>
        <v>1.1874990380298156E-2</v>
      </c>
      <c r="X58" s="138">
        <f t="shared" si="168"/>
        <v>-0.12430167597765374</v>
      </c>
      <c r="Y58" s="138">
        <f t="shared" si="168"/>
        <v>0.14832535885167464</v>
      </c>
      <c r="Z58" s="138">
        <f t="shared" si="168"/>
        <v>8.1051413750000023E-2</v>
      </c>
      <c r="AA58" s="138">
        <f t="shared" si="168"/>
        <v>-3.411932736426071E-2</v>
      </c>
      <c r="AB58" s="138">
        <f t="shared" si="168"/>
        <v>-3.2561851556265342E-2</v>
      </c>
      <c r="AC58" s="138">
        <f t="shared" ref="AC58" si="170">SUM(AC41/AB41)-1</f>
        <v>1.2806045772302266E-2</v>
      </c>
      <c r="AD58" s="138">
        <f t="shared" si="168"/>
        <v>0.10110449487253903</v>
      </c>
      <c r="AE58" s="133"/>
      <c r="AF58" s="138" t="s">
        <v>35</v>
      </c>
      <c r="AG58" s="138" t="s">
        <v>35</v>
      </c>
      <c r="AH58" s="138" t="s">
        <v>35</v>
      </c>
      <c r="AI58" s="138" t="s">
        <v>35</v>
      </c>
      <c r="AJ58" s="138" t="s">
        <v>35</v>
      </c>
      <c r="AK58" s="138" t="s">
        <v>35</v>
      </c>
      <c r="AL58" s="138" t="s">
        <v>35</v>
      </c>
      <c r="AM58" s="138" t="s">
        <v>35</v>
      </c>
      <c r="AN58" s="138" t="s">
        <v>35</v>
      </c>
      <c r="AO58" s="138" t="s">
        <v>35</v>
      </c>
      <c r="AP58" s="138" t="s">
        <v>35</v>
      </c>
      <c r="AQ58" s="138" t="s">
        <v>35</v>
      </c>
      <c r="AR58" s="145" t="s">
        <v>35</v>
      </c>
      <c r="AT58" s="153">
        <f t="shared" si="166"/>
        <v>200.53081122539007</v>
      </c>
    </row>
    <row r="59" spans="1:46">
      <c r="B59" s="136" t="str">
        <f t="shared" si="167"/>
        <v>Apple Watch(%)</v>
      </c>
      <c r="C59" s="134" t="s">
        <v>35</v>
      </c>
      <c r="D59" s="134" t="s">
        <v>35</v>
      </c>
      <c r="E59" s="134" t="s">
        <v>35</v>
      </c>
      <c r="F59" s="134" t="s">
        <v>35</v>
      </c>
      <c r="G59" s="134" t="s">
        <v>35</v>
      </c>
      <c r="H59" s="134" t="s">
        <v>35</v>
      </c>
      <c r="I59" s="134" t="s">
        <v>35</v>
      </c>
      <c r="J59" s="134" t="s">
        <v>35</v>
      </c>
      <c r="K59" s="134" t="s">
        <v>35</v>
      </c>
      <c r="L59" s="134" t="s">
        <v>35</v>
      </c>
      <c r="M59" s="134"/>
      <c r="N59" s="139" t="s">
        <v>35</v>
      </c>
      <c r="O59" s="139">
        <f t="shared" si="168"/>
        <v>-0.69946644047391016</v>
      </c>
      <c r="P59" s="139">
        <f t="shared" si="168"/>
        <v>0.35416666666666652</v>
      </c>
      <c r="Q59" s="139">
        <f t="shared" si="168"/>
        <v>3.8823516699622918E-2</v>
      </c>
      <c r="R59" s="139">
        <f t="shared" si="168"/>
        <v>1.0105369484316848</v>
      </c>
      <c r="S59" s="139">
        <f t="shared" si="168"/>
        <v>-0.6641095511178996</v>
      </c>
      <c r="T59" s="139">
        <f t="shared" si="168"/>
        <v>0.21162280701754344</v>
      </c>
      <c r="U59" s="139">
        <f t="shared" si="168"/>
        <v>9.9930782387836592E-2</v>
      </c>
      <c r="V59" s="139">
        <f t="shared" si="168"/>
        <v>0.8988404512965904</v>
      </c>
      <c r="W59" s="139">
        <f t="shared" si="168"/>
        <v>-0.64435128941895248</v>
      </c>
      <c r="X59" s="139">
        <f t="shared" si="168"/>
        <v>0.21162280701754366</v>
      </c>
      <c r="Y59" s="139">
        <f t="shared" si="168"/>
        <v>0.28325257945247562</v>
      </c>
      <c r="Z59" s="139">
        <f t="shared" si="168"/>
        <v>0.82650367219957821</v>
      </c>
      <c r="AA59" s="139">
        <f t="shared" si="168"/>
        <v>-0.63026619197019818</v>
      </c>
      <c r="AB59" s="139">
        <f t="shared" si="168"/>
        <v>0.17700501253132805</v>
      </c>
      <c r="AC59" s="139">
        <f t="shared" ref="AC59" si="171">SUM(AC42/AB42)-1</f>
        <v>0.25810836683895522</v>
      </c>
      <c r="AD59" s="139">
        <f t="shared" si="168"/>
        <v>0.82643098831385053</v>
      </c>
      <c r="AE59" s="134"/>
      <c r="AF59" s="139" t="s">
        <v>35</v>
      </c>
      <c r="AG59" s="139" t="s">
        <v>35</v>
      </c>
      <c r="AH59" s="139" t="s">
        <v>35</v>
      </c>
      <c r="AI59" s="139" t="s">
        <v>35</v>
      </c>
      <c r="AJ59" s="139" t="s">
        <v>35</v>
      </c>
      <c r="AK59" s="139" t="s">
        <v>35</v>
      </c>
      <c r="AL59" s="139" t="s">
        <v>35</v>
      </c>
      <c r="AM59" s="139" t="s">
        <v>35</v>
      </c>
      <c r="AN59" s="139" t="s">
        <v>35</v>
      </c>
      <c r="AO59" s="139" t="s">
        <v>35</v>
      </c>
      <c r="AP59" s="139" t="s">
        <v>35</v>
      </c>
      <c r="AQ59" s="139" t="s">
        <v>35</v>
      </c>
      <c r="AR59" s="146" t="s">
        <v>35</v>
      </c>
      <c r="AT59" s="153">
        <f t="shared" si="166"/>
        <v>-0.72683885727675701</v>
      </c>
    </row>
    <row r="61" spans="1:46">
      <c r="A61" s="94" t="s">
        <v>19</v>
      </c>
      <c r="B61" s="91" t="s">
        <v>175</v>
      </c>
      <c r="C61" s="27"/>
      <c r="D61" s="27"/>
      <c r="E61" s="27"/>
      <c r="F61" s="27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5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6" ht="12.75" customHeight="1">
      <c r="B62" s="10" t="s">
        <v>159</v>
      </c>
      <c r="C62" s="95">
        <v>618.72432052380634</v>
      </c>
      <c r="D62" s="95">
        <v>617.99173040255369</v>
      </c>
      <c r="E62" s="95">
        <v>783.87255006504722</v>
      </c>
      <c r="F62" s="95">
        <v>775.8604651162791</v>
      </c>
      <c r="G62" s="95">
        <v>695.89473684210532</v>
      </c>
      <c r="H62" s="95">
        <v>793.22448979591832</v>
      </c>
      <c r="I62" s="95">
        <v>804.2641509433962</v>
      </c>
      <c r="J62" s="95">
        <v>858.92156862745094</v>
      </c>
      <c r="K62" s="95">
        <v>888.88461538461536</v>
      </c>
      <c r="L62" s="95">
        <v>907</v>
      </c>
      <c r="M62" s="95"/>
      <c r="N62" s="95">
        <v>873.51219512195121</v>
      </c>
      <c r="O62" s="95">
        <v>842.83333333333337</v>
      </c>
      <c r="P62" s="95">
        <v>813.3</v>
      </c>
      <c r="Q62" s="34">
        <f t="shared" ref="Q62:Q64" si="172">I62</f>
        <v>804.2641509433962</v>
      </c>
      <c r="R62" s="95">
        <v>939.64285714285711</v>
      </c>
      <c r="S62" s="95">
        <v>933.34545454545457</v>
      </c>
      <c r="T62" s="95">
        <v>944.5</v>
      </c>
      <c r="U62" s="34">
        <f t="shared" ref="U62:U64" si="173">J62</f>
        <v>858.92156862745094</v>
      </c>
      <c r="V62" s="95">
        <v>905.22077922077926</v>
      </c>
      <c r="W62" s="95">
        <v>883.90384615384619</v>
      </c>
      <c r="X62" s="95">
        <v>913.8604651162791</v>
      </c>
      <c r="Y62" s="34">
        <f>K62</f>
        <v>888.88461538461536</v>
      </c>
      <c r="Z62" s="95">
        <v>921.84</v>
      </c>
      <c r="AA62" s="95">
        <v>883.79245283018872</v>
      </c>
      <c r="AB62" s="95">
        <v>909.83673469387759</v>
      </c>
      <c r="AC62" s="34">
        <f>L62</f>
        <v>907</v>
      </c>
      <c r="AD62" s="95">
        <v>980</v>
      </c>
      <c r="AE62" s="5"/>
      <c r="AF62" s="12">
        <f t="shared" ref="AF62:AF65" si="174">SUM(O62:R62)</f>
        <v>3400.0403414195862</v>
      </c>
      <c r="AG62" s="12">
        <f t="shared" ref="AG62:AG65" si="175">SUM(P62:S62)</f>
        <v>3490.5524626317078</v>
      </c>
      <c r="AH62" s="12">
        <f t="shared" ref="AH62:AH65" si="176">SUM(Q62:T62)</f>
        <v>3621.7524626317081</v>
      </c>
      <c r="AI62" s="12">
        <f t="shared" ref="AI62:AI65" si="177">SUM(R62:U62)</f>
        <v>3676.4098803157626</v>
      </c>
      <c r="AJ62" s="12">
        <f t="shared" ref="AJ62:AJ65" si="178">SUM(S62:V62)</f>
        <v>3641.9878023936849</v>
      </c>
      <c r="AK62" s="12">
        <f t="shared" ref="AK62:AK65" si="179">SUM(T62:W62)</f>
        <v>3592.5461940020764</v>
      </c>
      <c r="AL62" s="12">
        <f t="shared" ref="AL62:AL65" si="180">SUM(U62:X62)</f>
        <v>3561.9066591183555</v>
      </c>
      <c r="AM62" s="12">
        <f t="shared" ref="AM62:AM65" si="181">SUM(V62:Y62)</f>
        <v>3591.8697058755197</v>
      </c>
      <c r="AN62" s="12">
        <f t="shared" ref="AN62:AN65" si="182">SUM(W62:Z62)</f>
        <v>3608.4889266547407</v>
      </c>
      <c r="AO62" s="12">
        <f t="shared" ref="AO62:AO65" si="183">SUM(X62:AA62)</f>
        <v>3608.3775333310832</v>
      </c>
      <c r="AP62" s="12">
        <f>SUM(Y62:AB62)</f>
        <v>3604.3538029086817</v>
      </c>
      <c r="AQ62" s="12">
        <f>SUM(Z62:AC62)</f>
        <v>3622.4691875240665</v>
      </c>
      <c r="AR62" s="12">
        <f>SUM(AA62:AD62)</f>
        <v>3680.6291875240663</v>
      </c>
      <c r="AT62" s="13">
        <f t="shared" ref="AT62:AT65" si="184">SUM(AR62/AN62)-1</f>
        <v>1.9991819937827504E-2</v>
      </c>
    </row>
    <row r="63" spans="1:46" ht="12.75" customHeight="1">
      <c r="B63" s="10" t="s">
        <v>160</v>
      </c>
      <c r="C63" s="95">
        <v>459.15614546239345</v>
      </c>
      <c r="D63" s="95">
        <v>467.84815030021304</v>
      </c>
      <c r="E63" s="95">
        <v>410.66089287555417</v>
      </c>
      <c r="F63" s="95">
        <v>459.23500286035687</v>
      </c>
      <c r="G63" s="95">
        <v>451.02853351028568</v>
      </c>
      <c r="H63" s="95">
        <v>477.60157425628017</v>
      </c>
      <c r="I63" s="95">
        <v>548.29321382059618</v>
      </c>
      <c r="J63" s="95">
        <v>547.13830447078976</v>
      </c>
      <c r="K63" s="95">
        <v>567.4929285318575</v>
      </c>
      <c r="L63" s="95">
        <v>551</v>
      </c>
      <c r="M63" s="95"/>
      <c r="N63" s="95">
        <v>463.19018404908007</v>
      </c>
      <c r="O63" s="95">
        <v>483.74035176515247</v>
      </c>
      <c r="P63" s="95">
        <v>487.77852802160703</v>
      </c>
      <c r="Q63" s="34">
        <f t="shared" si="172"/>
        <v>548.29321382059618</v>
      </c>
      <c r="R63" s="95">
        <v>638.78736457381592</v>
      </c>
      <c r="S63" s="95">
        <v>496.46076322468758</v>
      </c>
      <c r="T63" s="95">
        <v>460.0230368987568</v>
      </c>
      <c r="U63" s="34">
        <f t="shared" si="173"/>
        <v>547.13830447078976</v>
      </c>
      <c r="V63" s="95">
        <v>596.82360331549455</v>
      </c>
      <c r="W63" s="95">
        <v>427.88720160592476</v>
      </c>
      <c r="X63" s="95">
        <v>536.72826576517491</v>
      </c>
      <c r="Y63" s="34">
        <f t="shared" ref="Y63:Y65" si="185">K63</f>
        <v>567.4929285318575</v>
      </c>
      <c r="Z63" s="95">
        <v>634.23350520464317</v>
      </c>
      <c r="AA63" s="95">
        <v>458.53701709296558</v>
      </c>
      <c r="AB63" s="95">
        <v>459.3461474800219</v>
      </c>
      <c r="AC63" s="34">
        <f t="shared" ref="AC63:AC65" si="186">L63</f>
        <v>551</v>
      </c>
      <c r="AD63" s="95">
        <v>666</v>
      </c>
      <c r="AE63" s="5"/>
      <c r="AF63" s="12">
        <f t="shared" si="174"/>
        <v>2158.5994581811715</v>
      </c>
      <c r="AG63" s="12">
        <f t="shared" si="175"/>
        <v>2171.3198696407067</v>
      </c>
      <c r="AH63" s="12">
        <f t="shared" si="176"/>
        <v>2143.5643785178563</v>
      </c>
      <c r="AI63" s="12">
        <f t="shared" si="177"/>
        <v>2142.4094691680502</v>
      </c>
      <c r="AJ63" s="12">
        <f t="shared" si="178"/>
        <v>2100.4457079097288</v>
      </c>
      <c r="AK63" s="12">
        <f t="shared" si="179"/>
        <v>2031.8721462909659</v>
      </c>
      <c r="AL63" s="12">
        <f t="shared" si="180"/>
        <v>2108.5773751573843</v>
      </c>
      <c r="AM63" s="12">
        <f t="shared" si="181"/>
        <v>2128.9319992184519</v>
      </c>
      <c r="AN63" s="12">
        <f t="shared" si="182"/>
        <v>2166.3419011076003</v>
      </c>
      <c r="AO63" s="12">
        <f t="shared" si="183"/>
        <v>2196.9917165946413</v>
      </c>
      <c r="AP63" s="12">
        <f>SUM(Y63:AB63)</f>
        <v>2119.6095983094883</v>
      </c>
      <c r="AQ63" s="12">
        <f>SUM(Z63:AC63)</f>
        <v>2103.1166697776307</v>
      </c>
      <c r="AR63" s="12">
        <f>SUM(AA63:AD63)</f>
        <v>2134.8831645729874</v>
      </c>
      <c r="AT63" s="13">
        <f t="shared" si="184"/>
        <v>-1.4521593529871146E-2</v>
      </c>
    </row>
    <row r="64" spans="1:46" ht="12.75" customHeight="1">
      <c r="B64" s="10" t="s">
        <v>161</v>
      </c>
      <c r="C64" s="95">
        <v>1153.6661379451493</v>
      </c>
      <c r="D64" s="95">
        <v>1311.5134608243595</v>
      </c>
      <c r="E64" s="95">
        <v>1365.3085251934326</v>
      </c>
      <c r="F64" s="95">
        <v>1368.4271736971227</v>
      </c>
      <c r="G64" s="95">
        <v>1313.4846558179534</v>
      </c>
      <c r="H64" s="95">
        <v>1269.8014348893382</v>
      </c>
      <c r="I64" s="95">
        <v>1404.5723869425155</v>
      </c>
      <c r="J64" s="95">
        <v>1153.3969191970486</v>
      </c>
      <c r="K64" s="95">
        <v>1172.6038851864198</v>
      </c>
      <c r="L64" s="95">
        <v>1251</v>
      </c>
      <c r="M64" s="95"/>
      <c r="N64" s="95">
        <v>1410.458039797262</v>
      </c>
      <c r="O64" s="95">
        <v>1439.9909510103876</v>
      </c>
      <c r="P64" s="95">
        <v>1319.0704925880682</v>
      </c>
      <c r="Q64" s="34">
        <f t="shared" si="172"/>
        <v>1404.5723869425155</v>
      </c>
      <c r="R64" s="95">
        <v>1110.1514005826607</v>
      </c>
      <c r="S64" s="95">
        <v>1091.2346590078948</v>
      </c>
      <c r="T64" s="95">
        <v>1282.6794674922251</v>
      </c>
      <c r="U64" s="34">
        <f t="shared" si="173"/>
        <v>1153.3969191970486</v>
      </c>
      <c r="V64" s="95">
        <v>1199.3479033721178</v>
      </c>
      <c r="W64" s="95">
        <v>1133.6491846206545</v>
      </c>
      <c r="X64" s="95">
        <v>1216.2039200240122</v>
      </c>
      <c r="Y64" s="34">
        <f t="shared" si="185"/>
        <v>1172.6038851864198</v>
      </c>
      <c r="Z64" s="95">
        <v>1219.3200690733481</v>
      </c>
      <c r="AA64" s="95">
        <v>1152.5273010526332</v>
      </c>
      <c r="AB64" s="95">
        <v>1228.3659592242523</v>
      </c>
      <c r="AC64" s="34">
        <f t="shared" si="186"/>
        <v>1251</v>
      </c>
      <c r="AD64" s="95">
        <v>1129</v>
      </c>
      <c r="AE64" s="5"/>
      <c r="AF64" s="12">
        <f t="shared" si="174"/>
        <v>5273.7852311236329</v>
      </c>
      <c r="AG64" s="12">
        <f t="shared" si="175"/>
        <v>4925.028939121139</v>
      </c>
      <c r="AH64" s="12">
        <f t="shared" si="176"/>
        <v>4888.6379140252957</v>
      </c>
      <c r="AI64" s="12">
        <f t="shared" si="177"/>
        <v>4637.4624462798292</v>
      </c>
      <c r="AJ64" s="12">
        <f t="shared" si="178"/>
        <v>4726.6589490692859</v>
      </c>
      <c r="AK64" s="12">
        <f t="shared" si="179"/>
        <v>4769.0734746820463</v>
      </c>
      <c r="AL64" s="12">
        <f t="shared" si="180"/>
        <v>4702.5979272138329</v>
      </c>
      <c r="AM64" s="12">
        <f t="shared" si="181"/>
        <v>4721.8048932032043</v>
      </c>
      <c r="AN64" s="12">
        <f t="shared" si="182"/>
        <v>4741.7770589044349</v>
      </c>
      <c r="AO64" s="12">
        <f t="shared" si="183"/>
        <v>4760.6551753364138</v>
      </c>
      <c r="AP64" s="12">
        <f>SUM(Y64:AB64)</f>
        <v>4772.8172145366534</v>
      </c>
      <c r="AQ64" s="12">
        <f>SUM(Z64:AC64)</f>
        <v>4851.2133293502338</v>
      </c>
      <c r="AR64" s="12">
        <f>SUM(AA64:AD64)</f>
        <v>4760.8932602768855</v>
      </c>
      <c r="AT64" s="13">
        <f t="shared" si="184"/>
        <v>4.0314424602803101E-3</v>
      </c>
    </row>
    <row r="65" spans="1:46" ht="12.75" customHeight="1">
      <c r="B65" s="10" t="s">
        <v>135</v>
      </c>
      <c r="C65" s="95">
        <v>452.12599999999998</v>
      </c>
      <c r="D65" s="95">
        <v>432.12599999999998</v>
      </c>
      <c r="E65" s="95">
        <v>400.726</v>
      </c>
      <c r="F65" s="95">
        <v>400</v>
      </c>
      <c r="G65" s="95">
        <v>375</v>
      </c>
      <c r="H65" s="95">
        <v>350</v>
      </c>
      <c r="I65" s="95">
        <v>412.476</v>
      </c>
      <c r="J65" s="95">
        <v>412.476</v>
      </c>
      <c r="K65" s="95">
        <v>412.476</v>
      </c>
      <c r="L65" s="95">
        <v>416</v>
      </c>
      <c r="M65" s="95"/>
      <c r="N65" s="95">
        <v>350</v>
      </c>
      <c r="O65" s="95">
        <v>350</v>
      </c>
      <c r="P65" s="95">
        <v>350</v>
      </c>
      <c r="Q65" s="34">
        <f>I65</f>
        <v>412.476</v>
      </c>
      <c r="R65" s="95">
        <v>421.25600000000003</v>
      </c>
      <c r="S65" s="95">
        <v>412.476</v>
      </c>
      <c r="T65" s="95">
        <v>412.476</v>
      </c>
      <c r="U65" s="34">
        <f>J65</f>
        <v>412.476</v>
      </c>
      <c r="V65" s="95">
        <v>421.25600000000003</v>
      </c>
      <c r="W65" s="95">
        <v>412.476</v>
      </c>
      <c r="X65" s="95">
        <v>412.476</v>
      </c>
      <c r="Y65" s="34">
        <f t="shared" si="185"/>
        <v>412.476</v>
      </c>
      <c r="Z65" s="95">
        <v>421.25600000000003</v>
      </c>
      <c r="AA65" s="95">
        <v>412.476</v>
      </c>
      <c r="AB65" s="95">
        <v>412.476</v>
      </c>
      <c r="AC65" s="34">
        <f t="shared" si="186"/>
        <v>416</v>
      </c>
      <c r="AD65" s="95">
        <v>421</v>
      </c>
      <c r="AE65" s="5"/>
      <c r="AF65" s="12">
        <f t="shared" si="174"/>
        <v>1533.7320000000002</v>
      </c>
      <c r="AG65" s="12">
        <f t="shared" si="175"/>
        <v>1596.2080000000001</v>
      </c>
      <c r="AH65" s="12">
        <f t="shared" si="176"/>
        <v>1658.6840000000002</v>
      </c>
      <c r="AI65" s="12">
        <f t="shared" si="177"/>
        <v>1658.6840000000002</v>
      </c>
      <c r="AJ65" s="12">
        <f t="shared" si="178"/>
        <v>1658.684</v>
      </c>
      <c r="AK65" s="12">
        <f t="shared" si="179"/>
        <v>1658.6840000000002</v>
      </c>
      <c r="AL65" s="12">
        <f t="shared" si="180"/>
        <v>1658.6840000000002</v>
      </c>
      <c r="AM65" s="12">
        <f t="shared" si="181"/>
        <v>1658.6840000000002</v>
      </c>
      <c r="AN65" s="12">
        <f t="shared" si="182"/>
        <v>1658.684</v>
      </c>
      <c r="AO65" s="12">
        <f t="shared" si="183"/>
        <v>1658.6840000000002</v>
      </c>
      <c r="AP65" s="12">
        <f>SUM(Y65:AB65)</f>
        <v>1658.6840000000002</v>
      </c>
      <c r="AQ65" s="12">
        <f>SUM(Z65:AC65)</f>
        <v>1662.2080000000001</v>
      </c>
      <c r="AR65" s="12">
        <f>SUM(AA65:AD65)</f>
        <v>1661.952</v>
      </c>
      <c r="AT65" s="13">
        <f t="shared" si="184"/>
        <v>1.9702366454370512E-3</v>
      </c>
    </row>
    <row r="67" spans="1:46">
      <c r="B67" s="142" t="s">
        <v>169</v>
      </c>
      <c r="C67" s="132"/>
      <c r="D67" s="132"/>
      <c r="E67" s="132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  <c r="AG67" s="132"/>
      <c r="AH67" s="132"/>
      <c r="AI67" s="132"/>
      <c r="AJ67" s="132"/>
      <c r="AK67" s="132"/>
      <c r="AL67" s="132"/>
      <c r="AM67" s="132"/>
      <c r="AN67" s="132"/>
      <c r="AO67" s="132"/>
      <c r="AP67" s="132"/>
      <c r="AQ67" s="132"/>
      <c r="AR67" s="143"/>
      <c r="AT67" s="9"/>
    </row>
    <row r="68" spans="1:46">
      <c r="B68" s="135" t="str">
        <f>B62&amp;"(%)"</f>
        <v>iPhone(%)</v>
      </c>
      <c r="C68" s="133" t="s">
        <v>35</v>
      </c>
      <c r="D68" s="138">
        <f>SUM(D62/C62)-1</f>
        <v>-1.1840331743100396E-3</v>
      </c>
      <c r="E68" s="138">
        <f t="shared" ref="E68:K68" si="187">SUM(E62/D62)-1</f>
        <v>0.26841915757422896</v>
      </c>
      <c r="F68" s="138">
        <f t="shared" si="187"/>
        <v>-1.0221157697259953E-2</v>
      </c>
      <c r="G68" s="138">
        <f t="shared" si="187"/>
        <v>-0.10306715172320224</v>
      </c>
      <c r="H68" s="138">
        <f t="shared" si="187"/>
        <v>0.13986275193786479</v>
      </c>
      <c r="I68" s="138">
        <f t="shared" si="187"/>
        <v>1.3917448703983037E-2</v>
      </c>
      <c r="J68" s="138">
        <f t="shared" si="187"/>
        <v>6.7959534961171686E-2</v>
      </c>
      <c r="K68" s="138">
        <f t="shared" si="187"/>
        <v>3.4884496852308766E-2</v>
      </c>
      <c r="L68" s="138">
        <f t="shared" ref="L68" si="188">SUM(L62/K62)-1</f>
        <v>2.0379905672623488E-2</v>
      </c>
      <c r="M68" s="133"/>
      <c r="N68" s="138" t="s">
        <v>35</v>
      </c>
      <c r="O68" s="138" t="s">
        <v>35</v>
      </c>
      <c r="P68" s="138" t="s">
        <v>35</v>
      </c>
      <c r="Q68" s="138" t="s">
        <v>35</v>
      </c>
      <c r="R68" s="138">
        <f t="shared" ref="R68:AD68" si="189">SUM(R62/Q62)-1</f>
        <v>0.16832617249029758</v>
      </c>
      <c r="S68" s="138">
        <f t="shared" si="189"/>
        <v>-6.7019107840088354E-3</v>
      </c>
      <c r="T68" s="138">
        <f t="shared" si="189"/>
        <v>1.1951143491642835E-2</v>
      </c>
      <c r="U68" s="138">
        <f t="shared" si="189"/>
        <v>-9.0607126916409819E-2</v>
      </c>
      <c r="V68" s="138">
        <f t="shared" si="189"/>
        <v>5.3903886320277206E-2</v>
      </c>
      <c r="W68" s="138">
        <f t="shared" si="189"/>
        <v>-2.3548877308453786E-2</v>
      </c>
      <c r="X68" s="138">
        <f t="shared" si="189"/>
        <v>3.3891264409340316E-2</v>
      </c>
      <c r="Y68" s="138">
        <f t="shared" si="189"/>
        <v>-2.7330047293911308E-2</v>
      </c>
      <c r="Z68" s="138">
        <f t="shared" si="189"/>
        <v>3.7074985937432414E-2</v>
      </c>
      <c r="AA68" s="138">
        <f t="shared" si="189"/>
        <v>-4.1273482567269038E-2</v>
      </c>
      <c r="AB68" s="138">
        <f t="shared" si="189"/>
        <v>2.9468776046102985E-2</v>
      </c>
      <c r="AC68" s="138">
        <f t="shared" ref="AC68" si="190">SUM(AC62/AB62)-1</f>
        <v>-3.1178502534655594E-3</v>
      </c>
      <c r="AD68" s="138">
        <f t="shared" si="189"/>
        <v>8.0485115766262494E-2</v>
      </c>
      <c r="AE68" s="133"/>
      <c r="AF68" s="138" t="s">
        <v>35</v>
      </c>
      <c r="AG68" s="138" t="s">
        <v>35</v>
      </c>
      <c r="AH68" s="138" t="s">
        <v>35</v>
      </c>
      <c r="AI68" s="138" t="s">
        <v>35</v>
      </c>
      <c r="AJ68" s="138">
        <f t="shared" ref="AJ68:AJ71" si="191">SUM(AJ62/AF62)-1</f>
        <v>7.1160173609316812E-2</v>
      </c>
      <c r="AK68" s="138">
        <f t="shared" ref="AK68:AK71" si="192">SUM(AK62/AG62)-1</f>
        <v>2.9219939382738813E-2</v>
      </c>
      <c r="AL68" s="138">
        <f t="shared" ref="AL68:AL71" si="193">SUM(AL62/AH62)-1</f>
        <v>-1.6523990562807955E-2</v>
      </c>
      <c r="AM68" s="138">
        <f t="shared" ref="AM68:AM71" si="194">SUM(AM62/AI62)-1</f>
        <v>-2.2995307158999889E-2</v>
      </c>
      <c r="AN68" s="138">
        <f t="shared" ref="AN68:AN71" si="195">SUM(AN62/AJ62)-1</f>
        <v>-9.1979648358314625E-3</v>
      </c>
      <c r="AO68" s="138">
        <f t="shared" ref="AO68:AO71" si="196">SUM(AO62/AK62)-1</f>
        <v>4.4067183757965367E-3</v>
      </c>
      <c r="AP68" s="138">
        <f t="shared" ref="AP68:AR71" si="197">SUM(AP62/AL62)-1</f>
        <v>1.1916972524157243E-2</v>
      </c>
      <c r="AQ68" s="138">
        <f t="shared" si="197"/>
        <v>8.5190956672209772E-3</v>
      </c>
      <c r="AR68" s="145">
        <f t="shared" si="197"/>
        <v>1.9991819937827504E-2</v>
      </c>
      <c r="AT68" s="153">
        <f t="shared" ref="AT68:AT71" si="198">SUM(AR68-AN68)*1000</f>
        <v>29.189784773658968</v>
      </c>
    </row>
    <row r="69" spans="1:46">
      <c r="B69" s="135" t="str">
        <f t="shared" ref="B69:B71" si="199">B63&amp;"(%)"</f>
        <v>iPad(%)</v>
      </c>
      <c r="C69" s="133" t="s">
        <v>35</v>
      </c>
      <c r="D69" s="138">
        <f t="shared" ref="D69:K69" si="200">SUM(D63/C63)-1</f>
        <v>1.8930389854776575E-2</v>
      </c>
      <c r="E69" s="138">
        <f t="shared" si="200"/>
        <v>-0.1222346553854331</v>
      </c>
      <c r="F69" s="138">
        <f t="shared" si="200"/>
        <v>0.1182827749793125</v>
      </c>
      <c r="G69" s="138">
        <f t="shared" si="200"/>
        <v>-1.7869869019035978E-2</v>
      </c>
      <c r="H69" s="138">
        <f t="shared" si="200"/>
        <v>5.8916540244539739E-2</v>
      </c>
      <c r="I69" s="138">
        <f t="shared" si="200"/>
        <v>0.14801383281534797</v>
      </c>
      <c r="J69" s="138">
        <f t="shared" si="200"/>
        <v>-2.1063717746182542E-3</v>
      </c>
      <c r="K69" s="138">
        <f t="shared" si="200"/>
        <v>3.7201972325361821E-2</v>
      </c>
      <c r="L69" s="138">
        <f t="shared" ref="L69" si="201">SUM(L63/K63)-1</f>
        <v>-2.9062791274819588E-2</v>
      </c>
      <c r="M69" s="133"/>
      <c r="N69" s="138" t="s">
        <v>35</v>
      </c>
      <c r="O69" s="138" t="s">
        <v>35</v>
      </c>
      <c r="P69" s="138" t="s">
        <v>35</v>
      </c>
      <c r="Q69" s="138" t="s">
        <v>35</v>
      </c>
      <c r="R69" s="138">
        <f t="shared" ref="R69:AD69" si="202">SUM(R63/Q63)-1</f>
        <v>0.16504700126168226</v>
      </c>
      <c r="S69" s="138">
        <f t="shared" si="202"/>
        <v>-0.22280747748366214</v>
      </c>
      <c r="T69" s="138">
        <f t="shared" si="202"/>
        <v>-7.3394977055699084E-2</v>
      </c>
      <c r="U69" s="138">
        <f t="shared" si="202"/>
        <v>0.18937153269392804</v>
      </c>
      <c r="V69" s="138">
        <f t="shared" si="202"/>
        <v>9.0809395793924663E-2</v>
      </c>
      <c r="W69" s="138">
        <f t="shared" si="202"/>
        <v>-0.28305918326803536</v>
      </c>
      <c r="X69" s="138">
        <f t="shared" si="202"/>
        <v>0.25436859001800793</v>
      </c>
      <c r="Y69" s="138">
        <f t="shared" si="202"/>
        <v>5.7318879457230798E-2</v>
      </c>
      <c r="Z69" s="138">
        <f t="shared" si="202"/>
        <v>0.11760600585006054</v>
      </c>
      <c r="AA69" s="138">
        <f t="shared" si="202"/>
        <v>-0.27702176985270899</v>
      </c>
      <c r="AB69" s="138">
        <f t="shared" si="202"/>
        <v>1.7645912039687683E-3</v>
      </c>
      <c r="AC69" s="138">
        <f t="shared" ref="AC69" si="203">SUM(AC63/AB63)-1</f>
        <v>0.1995311227116896</v>
      </c>
      <c r="AD69" s="138">
        <f t="shared" si="202"/>
        <v>0.2087114337568059</v>
      </c>
      <c r="AE69" s="133"/>
      <c r="AF69" s="138" t="s">
        <v>35</v>
      </c>
      <c r="AG69" s="138" t="s">
        <v>35</v>
      </c>
      <c r="AH69" s="138" t="s">
        <v>35</v>
      </c>
      <c r="AI69" s="138" t="s">
        <v>35</v>
      </c>
      <c r="AJ69" s="138">
        <f t="shared" si="191"/>
        <v>-2.6940500726541861E-2</v>
      </c>
      <c r="AK69" s="138">
        <f t="shared" si="192"/>
        <v>-6.4222561263078903E-2</v>
      </c>
      <c r="AL69" s="138">
        <f t="shared" si="193"/>
        <v>-1.6321881307182151E-2</v>
      </c>
      <c r="AM69" s="138">
        <f t="shared" si="194"/>
        <v>-6.2908002151577103E-3</v>
      </c>
      <c r="AN69" s="138">
        <f t="shared" si="195"/>
        <v>3.1372481064244395E-2</v>
      </c>
      <c r="AO69" s="138">
        <f t="shared" si="196"/>
        <v>8.1264744243425557E-2</v>
      </c>
      <c r="AP69" s="138">
        <f t="shared" si="197"/>
        <v>5.2320693952625508E-3</v>
      </c>
      <c r="AQ69" s="138">
        <f t="shared" si="197"/>
        <v>-1.2125953036686066E-2</v>
      </c>
      <c r="AR69" s="145">
        <f t="shared" si="197"/>
        <v>-1.4521593529871146E-2</v>
      </c>
      <c r="AT69" s="153">
        <f t="shared" si="198"/>
        <v>-45.894074594115544</v>
      </c>
    </row>
    <row r="70" spans="1:46">
      <c r="B70" s="135" t="str">
        <f t="shared" si="199"/>
        <v>Mac(%)</v>
      </c>
      <c r="C70" s="133" t="s">
        <v>35</v>
      </c>
      <c r="D70" s="138">
        <f t="shared" ref="D70:K70" si="204">SUM(D64/C64)-1</f>
        <v>0.13682235933556974</v>
      </c>
      <c r="E70" s="138">
        <f t="shared" si="204"/>
        <v>4.1017546503304469E-2</v>
      </c>
      <c r="F70" s="138">
        <f t="shared" si="204"/>
        <v>2.2842078886515793E-3</v>
      </c>
      <c r="G70" s="138">
        <f t="shared" si="204"/>
        <v>-4.015012193212264E-2</v>
      </c>
      <c r="H70" s="138">
        <f t="shared" si="204"/>
        <v>-3.325750379734127E-2</v>
      </c>
      <c r="I70" s="138">
        <f t="shared" si="204"/>
        <v>0.10613545421369164</v>
      </c>
      <c r="J70" s="138">
        <f t="shared" si="204"/>
        <v>-0.17882700107199723</v>
      </c>
      <c r="K70" s="138">
        <f t="shared" si="204"/>
        <v>1.6652520628148038E-2</v>
      </c>
      <c r="L70" s="138">
        <f t="shared" ref="L70" si="205">SUM(L64/K64)-1</f>
        <v>6.6856434473707038E-2</v>
      </c>
      <c r="M70" s="133"/>
      <c r="N70" s="138" t="s">
        <v>35</v>
      </c>
      <c r="O70" s="138" t="s">
        <v>35</v>
      </c>
      <c r="P70" s="138" t="s">
        <v>35</v>
      </c>
      <c r="Q70" s="138" t="s">
        <v>35</v>
      </c>
      <c r="R70" s="138">
        <f t="shared" ref="R70:AD70" si="206">SUM(R64/Q64)-1</f>
        <v>-0.20961610031416955</v>
      </c>
      <c r="S70" s="138">
        <f t="shared" si="206"/>
        <v>-1.7039785352554127E-2</v>
      </c>
      <c r="T70" s="138">
        <f t="shared" si="206"/>
        <v>0.17543871696522539</v>
      </c>
      <c r="U70" s="138">
        <f t="shared" si="206"/>
        <v>-0.10079100162719334</v>
      </c>
      <c r="V70" s="138">
        <f t="shared" si="206"/>
        <v>3.9839697341188085E-2</v>
      </c>
      <c r="W70" s="138">
        <f t="shared" si="206"/>
        <v>-5.4778699797400798E-2</v>
      </c>
      <c r="X70" s="138">
        <f t="shared" si="206"/>
        <v>7.2822118626568288E-2</v>
      </c>
      <c r="Y70" s="138">
        <f t="shared" si="206"/>
        <v>-3.5849279976610804E-2</v>
      </c>
      <c r="Z70" s="138">
        <f t="shared" si="206"/>
        <v>3.9839697341188085E-2</v>
      </c>
      <c r="AA70" s="138">
        <f t="shared" si="206"/>
        <v>-5.4778699797400798E-2</v>
      </c>
      <c r="AB70" s="138">
        <f t="shared" si="206"/>
        <v>6.5802049202959179E-2</v>
      </c>
      <c r="AC70" s="138">
        <f t="shared" ref="AC70" si="207">SUM(AC64/AB64)-1</f>
        <v>1.8426138078624144E-2</v>
      </c>
      <c r="AD70" s="138">
        <f t="shared" si="206"/>
        <v>-9.7521982414068731E-2</v>
      </c>
      <c r="AE70" s="133"/>
      <c r="AF70" s="138" t="s">
        <v>35</v>
      </c>
      <c r="AG70" s="138" t="s">
        <v>35</v>
      </c>
      <c r="AH70" s="138" t="s">
        <v>35</v>
      </c>
      <c r="AI70" s="138" t="s">
        <v>35</v>
      </c>
      <c r="AJ70" s="138">
        <f t="shared" si="191"/>
        <v>-0.10374451330051149</v>
      </c>
      <c r="AK70" s="138">
        <f t="shared" si="192"/>
        <v>-3.1665898082402499E-2</v>
      </c>
      <c r="AL70" s="138">
        <f t="shared" si="193"/>
        <v>-3.8055587278763681E-2</v>
      </c>
      <c r="AM70" s="138">
        <f t="shared" si="194"/>
        <v>1.8187197826482482E-2</v>
      </c>
      <c r="AN70" s="138">
        <f t="shared" si="195"/>
        <v>3.1984769787813949E-3</v>
      </c>
      <c r="AO70" s="138">
        <f t="shared" si="196"/>
        <v>-1.7651854999347627E-3</v>
      </c>
      <c r="AP70" s="138">
        <f t="shared" si="197"/>
        <v>1.493202021726403E-2</v>
      </c>
      <c r="AQ70" s="138">
        <f t="shared" si="197"/>
        <v>2.7406561489507153E-2</v>
      </c>
      <c r="AR70" s="145">
        <f t="shared" si="197"/>
        <v>4.0314424602803101E-3</v>
      </c>
      <c r="AT70" s="153">
        <f t="shared" si="198"/>
        <v>0.83296548149891514</v>
      </c>
    </row>
    <row r="71" spans="1:46">
      <c r="B71" s="135" t="str">
        <f t="shared" si="199"/>
        <v>Apple Watch(%)</v>
      </c>
      <c r="C71" s="133" t="s">
        <v>35</v>
      </c>
      <c r="D71" s="138">
        <f t="shared" ref="D71:K71" si="208">SUM(D65/C65)-1</f>
        <v>-4.4235456487793257E-2</v>
      </c>
      <c r="E71" s="138">
        <f t="shared" si="208"/>
        <v>-7.2663991520991567E-2</v>
      </c>
      <c r="F71" s="138">
        <f t="shared" si="208"/>
        <v>-1.8117117431860619E-3</v>
      </c>
      <c r="G71" s="138">
        <f t="shared" si="208"/>
        <v>-6.25E-2</v>
      </c>
      <c r="H71" s="138">
        <f t="shared" si="208"/>
        <v>-6.6666666666666652E-2</v>
      </c>
      <c r="I71" s="138">
        <f t="shared" si="208"/>
        <v>0.17850285714285707</v>
      </c>
      <c r="J71" s="138">
        <f t="shared" si="208"/>
        <v>0</v>
      </c>
      <c r="K71" s="138">
        <f t="shared" si="208"/>
        <v>0</v>
      </c>
      <c r="L71" s="138">
        <f t="shared" ref="L71" si="209">SUM(L65/K65)-1</f>
        <v>8.5435273809870704E-3</v>
      </c>
      <c r="M71" s="133"/>
      <c r="N71" s="138" t="s">
        <v>35</v>
      </c>
      <c r="O71" s="138" t="s">
        <v>35</v>
      </c>
      <c r="P71" s="138" t="s">
        <v>35</v>
      </c>
      <c r="Q71" s="138" t="s">
        <v>35</v>
      </c>
      <c r="R71" s="138">
        <f t="shared" ref="R71:AD71" si="210">SUM(R65/Q65)-1</f>
        <v>2.1286086948089089E-2</v>
      </c>
      <c r="S71" s="138">
        <f t="shared" si="210"/>
        <v>-2.0842433104810487E-2</v>
      </c>
      <c r="T71" s="138">
        <f t="shared" si="210"/>
        <v>0</v>
      </c>
      <c r="U71" s="138">
        <f t="shared" si="210"/>
        <v>0</v>
      </c>
      <c r="V71" s="138">
        <f t="shared" si="210"/>
        <v>2.1286086948089089E-2</v>
      </c>
      <c r="W71" s="138">
        <f t="shared" si="210"/>
        <v>-2.0842433104810487E-2</v>
      </c>
      <c r="X71" s="138">
        <f t="shared" si="210"/>
        <v>0</v>
      </c>
      <c r="Y71" s="138">
        <f t="shared" si="210"/>
        <v>0</v>
      </c>
      <c r="Z71" s="138">
        <f t="shared" si="210"/>
        <v>2.1286086948089089E-2</v>
      </c>
      <c r="AA71" s="138">
        <f t="shared" si="210"/>
        <v>-2.0842433104810487E-2</v>
      </c>
      <c r="AB71" s="138">
        <f t="shared" si="210"/>
        <v>0</v>
      </c>
      <c r="AC71" s="138">
        <f t="shared" ref="AC71" si="211">SUM(AC65/AB65)-1</f>
        <v>8.5435273809870704E-3</v>
      </c>
      <c r="AD71" s="138">
        <f t="shared" si="210"/>
        <v>1.2019230769230838E-2</v>
      </c>
      <c r="AE71" s="133"/>
      <c r="AF71" s="138" t="s">
        <v>35</v>
      </c>
      <c r="AG71" s="138" t="s">
        <v>35</v>
      </c>
      <c r="AH71" s="138" t="s">
        <v>35</v>
      </c>
      <c r="AI71" s="138" t="s">
        <v>35</v>
      </c>
      <c r="AJ71" s="138">
        <f t="shared" si="191"/>
        <v>8.1469252776886547E-2</v>
      </c>
      <c r="AK71" s="138">
        <f t="shared" si="192"/>
        <v>3.9140262421940131E-2</v>
      </c>
      <c r="AL71" s="138">
        <f t="shared" si="193"/>
        <v>0</v>
      </c>
      <c r="AM71" s="138">
        <f t="shared" si="194"/>
        <v>0</v>
      </c>
      <c r="AN71" s="138">
        <f t="shared" si="195"/>
        <v>0</v>
      </c>
      <c r="AO71" s="138">
        <f t="shared" si="196"/>
        <v>0</v>
      </c>
      <c r="AP71" s="138">
        <f t="shared" si="197"/>
        <v>0</v>
      </c>
      <c r="AQ71" s="138">
        <f t="shared" si="197"/>
        <v>2.1245758685801697E-3</v>
      </c>
      <c r="AR71" s="145">
        <f t="shared" si="197"/>
        <v>1.9702366454370512E-3</v>
      </c>
      <c r="AT71" s="153">
        <f t="shared" si="198"/>
        <v>1.9702366454370512</v>
      </c>
    </row>
    <row r="72" spans="1:46">
      <c r="B72" s="140" t="s">
        <v>170</v>
      </c>
      <c r="C72" s="133"/>
      <c r="D72" s="138"/>
      <c r="E72" s="138"/>
      <c r="F72" s="138"/>
      <c r="G72" s="138"/>
      <c r="H72" s="138"/>
      <c r="I72" s="138"/>
      <c r="J72" s="138"/>
      <c r="K72" s="138"/>
      <c r="L72" s="138"/>
      <c r="M72" s="133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3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138"/>
      <c r="AQ72" s="138"/>
      <c r="AR72" s="145"/>
      <c r="AT72" s="9"/>
    </row>
    <row r="73" spans="1:46">
      <c r="B73" s="135" t="str">
        <f>B62&amp;"(%)"</f>
        <v>iPhone(%)</v>
      </c>
      <c r="C73" s="133" t="s">
        <v>35</v>
      </c>
      <c r="D73" s="133" t="s">
        <v>35</v>
      </c>
      <c r="E73" s="133" t="s">
        <v>35</v>
      </c>
      <c r="F73" s="133" t="s">
        <v>35</v>
      </c>
      <c r="G73" s="133" t="s">
        <v>35</v>
      </c>
      <c r="H73" s="133" t="s">
        <v>35</v>
      </c>
      <c r="I73" s="133" t="s">
        <v>35</v>
      </c>
      <c r="J73" s="133" t="s">
        <v>35</v>
      </c>
      <c r="K73" s="133" t="s">
        <v>35</v>
      </c>
      <c r="L73" s="133" t="s">
        <v>35</v>
      </c>
      <c r="M73" s="133"/>
      <c r="N73" s="138" t="s">
        <v>35</v>
      </c>
      <c r="O73" s="138">
        <f>SUM(O62/N62)-1</f>
        <v>-3.5121274734275176E-2</v>
      </c>
      <c r="P73" s="138">
        <f t="shared" ref="P73:AD73" si="212">SUM(P62/O62)-1</f>
        <v>-3.5040537868301413E-2</v>
      </c>
      <c r="Q73" s="138">
        <f t="shared" si="212"/>
        <v>-1.1110105811636184E-2</v>
      </c>
      <c r="R73" s="138">
        <f t="shared" si="212"/>
        <v>0.16832617249029758</v>
      </c>
      <c r="S73" s="138">
        <f t="shared" si="212"/>
        <v>-6.7019107840088354E-3</v>
      </c>
      <c r="T73" s="138">
        <f t="shared" si="212"/>
        <v>1.1951143491642835E-2</v>
      </c>
      <c r="U73" s="138">
        <f t="shared" si="212"/>
        <v>-9.0607126916409819E-2</v>
      </c>
      <c r="V73" s="138">
        <f t="shared" si="212"/>
        <v>5.3903886320277206E-2</v>
      </c>
      <c r="W73" s="138">
        <f t="shared" si="212"/>
        <v>-2.3548877308453786E-2</v>
      </c>
      <c r="X73" s="138">
        <f t="shared" si="212"/>
        <v>3.3891264409340316E-2</v>
      </c>
      <c r="Y73" s="138">
        <f t="shared" si="212"/>
        <v>-2.7330047293911308E-2</v>
      </c>
      <c r="Z73" s="138">
        <f t="shared" si="212"/>
        <v>3.7074985937432414E-2</v>
      </c>
      <c r="AA73" s="138">
        <f t="shared" si="212"/>
        <v>-4.1273482567269038E-2</v>
      </c>
      <c r="AB73" s="138">
        <f t="shared" si="212"/>
        <v>2.9468776046102985E-2</v>
      </c>
      <c r="AC73" s="138">
        <f t="shared" ref="AC73" si="213">SUM(AC62/AB62)-1</f>
        <v>-3.1178502534655594E-3</v>
      </c>
      <c r="AD73" s="138">
        <f t="shared" si="212"/>
        <v>8.0485115766262494E-2</v>
      </c>
      <c r="AE73" s="133"/>
      <c r="AF73" s="138" t="s">
        <v>35</v>
      </c>
      <c r="AG73" s="138" t="s">
        <v>35</v>
      </c>
      <c r="AH73" s="138" t="s">
        <v>35</v>
      </c>
      <c r="AI73" s="138" t="s">
        <v>35</v>
      </c>
      <c r="AJ73" s="138" t="s">
        <v>35</v>
      </c>
      <c r="AK73" s="138" t="s">
        <v>35</v>
      </c>
      <c r="AL73" s="138" t="s">
        <v>35</v>
      </c>
      <c r="AM73" s="138" t="s">
        <v>35</v>
      </c>
      <c r="AN73" s="138" t="s">
        <v>35</v>
      </c>
      <c r="AO73" s="138" t="s">
        <v>35</v>
      </c>
      <c r="AP73" s="138" t="s">
        <v>35</v>
      </c>
      <c r="AQ73" s="138" t="s">
        <v>35</v>
      </c>
      <c r="AR73" s="145" t="s">
        <v>35</v>
      </c>
      <c r="AT73" s="153">
        <f t="shared" ref="AT73:AT76" si="214">SUM(AD73-Z73)*10000</f>
        <v>434.10129828830077</v>
      </c>
    </row>
    <row r="74" spans="1:46">
      <c r="B74" s="135" t="str">
        <f t="shared" ref="B74:B76" si="215">B63&amp;"(%)"</f>
        <v>iPad(%)</v>
      </c>
      <c r="C74" s="133" t="s">
        <v>35</v>
      </c>
      <c r="D74" s="133" t="s">
        <v>35</v>
      </c>
      <c r="E74" s="133" t="s">
        <v>35</v>
      </c>
      <c r="F74" s="133" t="s">
        <v>35</v>
      </c>
      <c r="G74" s="133" t="s">
        <v>35</v>
      </c>
      <c r="H74" s="133" t="s">
        <v>35</v>
      </c>
      <c r="I74" s="133" t="s">
        <v>35</v>
      </c>
      <c r="J74" s="133" t="s">
        <v>35</v>
      </c>
      <c r="K74" s="133" t="s">
        <v>35</v>
      </c>
      <c r="L74" s="133" t="s">
        <v>35</v>
      </c>
      <c r="M74" s="133"/>
      <c r="N74" s="138" t="s">
        <v>35</v>
      </c>
      <c r="O74" s="138">
        <f t="shared" ref="O74:AD74" si="216">SUM(O63/N63)-1</f>
        <v>4.436658725456688E-2</v>
      </c>
      <c r="P74" s="138">
        <f t="shared" si="216"/>
        <v>8.3478176706148766E-3</v>
      </c>
      <c r="Q74" s="138">
        <f t="shared" si="216"/>
        <v>0.12406180740352002</v>
      </c>
      <c r="R74" s="138">
        <f t="shared" si="216"/>
        <v>0.16504700126168226</v>
      </c>
      <c r="S74" s="138">
        <f t="shared" si="216"/>
        <v>-0.22280747748366214</v>
      </c>
      <c r="T74" s="138">
        <f t="shared" si="216"/>
        <v>-7.3394977055699084E-2</v>
      </c>
      <c r="U74" s="138">
        <f t="shared" si="216"/>
        <v>0.18937153269392804</v>
      </c>
      <c r="V74" s="138">
        <f t="shared" si="216"/>
        <v>9.0809395793924663E-2</v>
      </c>
      <c r="W74" s="138">
        <f t="shared" si="216"/>
        <v>-0.28305918326803536</v>
      </c>
      <c r="X74" s="138">
        <f t="shared" si="216"/>
        <v>0.25436859001800793</v>
      </c>
      <c r="Y74" s="138">
        <f t="shared" si="216"/>
        <v>5.7318879457230798E-2</v>
      </c>
      <c r="Z74" s="138">
        <f t="shared" si="216"/>
        <v>0.11760600585006054</v>
      </c>
      <c r="AA74" s="138">
        <f t="shared" si="216"/>
        <v>-0.27702176985270899</v>
      </c>
      <c r="AB74" s="138">
        <f t="shared" si="216"/>
        <v>1.7645912039687683E-3</v>
      </c>
      <c r="AC74" s="138">
        <f t="shared" ref="AC74" si="217">SUM(AC63/AB63)-1</f>
        <v>0.1995311227116896</v>
      </c>
      <c r="AD74" s="138">
        <f t="shared" si="216"/>
        <v>0.2087114337568059</v>
      </c>
      <c r="AE74" s="133"/>
      <c r="AF74" s="138" t="s">
        <v>35</v>
      </c>
      <c r="AG74" s="138" t="s">
        <v>35</v>
      </c>
      <c r="AH74" s="138" t="s">
        <v>35</v>
      </c>
      <c r="AI74" s="138" t="s">
        <v>35</v>
      </c>
      <c r="AJ74" s="138" t="s">
        <v>35</v>
      </c>
      <c r="AK74" s="138" t="s">
        <v>35</v>
      </c>
      <c r="AL74" s="138" t="s">
        <v>35</v>
      </c>
      <c r="AM74" s="138" t="s">
        <v>35</v>
      </c>
      <c r="AN74" s="138" t="s">
        <v>35</v>
      </c>
      <c r="AO74" s="138" t="s">
        <v>35</v>
      </c>
      <c r="AP74" s="138" t="s">
        <v>35</v>
      </c>
      <c r="AQ74" s="138" t="s">
        <v>35</v>
      </c>
      <c r="AR74" s="145" t="s">
        <v>35</v>
      </c>
      <c r="AT74" s="153">
        <f t="shared" si="214"/>
        <v>911.05427906745365</v>
      </c>
    </row>
    <row r="75" spans="1:46">
      <c r="B75" s="135" t="str">
        <f t="shared" si="215"/>
        <v>Mac(%)</v>
      </c>
      <c r="C75" s="133" t="s">
        <v>35</v>
      </c>
      <c r="D75" s="133" t="s">
        <v>35</v>
      </c>
      <c r="E75" s="133" t="s">
        <v>35</v>
      </c>
      <c r="F75" s="133" t="s">
        <v>35</v>
      </c>
      <c r="G75" s="133" t="s">
        <v>35</v>
      </c>
      <c r="H75" s="133" t="s">
        <v>35</v>
      </c>
      <c r="I75" s="133" t="s">
        <v>35</v>
      </c>
      <c r="J75" s="133" t="s">
        <v>35</v>
      </c>
      <c r="K75" s="133" t="s">
        <v>35</v>
      </c>
      <c r="L75" s="133" t="s">
        <v>35</v>
      </c>
      <c r="M75" s="133"/>
      <c r="N75" s="138" t="s">
        <v>35</v>
      </c>
      <c r="O75" s="138">
        <f t="shared" ref="O75:AD75" si="218">SUM(O64/N64)-1</f>
        <v>2.0938525202331082E-2</v>
      </c>
      <c r="P75" s="138">
        <f t="shared" si="218"/>
        <v>-8.3973068259542871E-2</v>
      </c>
      <c r="Q75" s="138">
        <f t="shared" si="218"/>
        <v>6.4819806700921134E-2</v>
      </c>
      <c r="R75" s="138">
        <f t="shared" si="218"/>
        <v>-0.20961610031416955</v>
      </c>
      <c r="S75" s="138">
        <f t="shared" si="218"/>
        <v>-1.7039785352554127E-2</v>
      </c>
      <c r="T75" s="138">
        <f t="shared" si="218"/>
        <v>0.17543871696522539</v>
      </c>
      <c r="U75" s="138">
        <f t="shared" si="218"/>
        <v>-0.10079100162719334</v>
      </c>
      <c r="V75" s="138">
        <f t="shared" si="218"/>
        <v>3.9839697341188085E-2</v>
      </c>
      <c r="W75" s="138">
        <f t="shared" si="218"/>
        <v>-5.4778699797400798E-2</v>
      </c>
      <c r="X75" s="138">
        <f t="shared" si="218"/>
        <v>7.2822118626568288E-2</v>
      </c>
      <c r="Y75" s="138">
        <f t="shared" si="218"/>
        <v>-3.5849279976610804E-2</v>
      </c>
      <c r="Z75" s="138">
        <f t="shared" si="218"/>
        <v>3.9839697341188085E-2</v>
      </c>
      <c r="AA75" s="138">
        <f t="shared" si="218"/>
        <v>-5.4778699797400798E-2</v>
      </c>
      <c r="AB75" s="138">
        <f t="shared" si="218"/>
        <v>6.5802049202959179E-2</v>
      </c>
      <c r="AC75" s="138">
        <f t="shared" ref="AC75" si="219">SUM(AC64/AB64)-1</f>
        <v>1.8426138078624144E-2</v>
      </c>
      <c r="AD75" s="138">
        <f t="shared" si="218"/>
        <v>-9.7521982414068731E-2</v>
      </c>
      <c r="AE75" s="133"/>
      <c r="AF75" s="138" t="s">
        <v>35</v>
      </c>
      <c r="AG75" s="138" t="s">
        <v>35</v>
      </c>
      <c r="AH75" s="138" t="s">
        <v>35</v>
      </c>
      <c r="AI75" s="138" t="s">
        <v>35</v>
      </c>
      <c r="AJ75" s="138" t="s">
        <v>35</v>
      </c>
      <c r="AK75" s="138" t="s">
        <v>35</v>
      </c>
      <c r="AL75" s="138" t="s">
        <v>35</v>
      </c>
      <c r="AM75" s="138" t="s">
        <v>35</v>
      </c>
      <c r="AN75" s="138" t="s">
        <v>35</v>
      </c>
      <c r="AO75" s="138" t="s">
        <v>35</v>
      </c>
      <c r="AP75" s="138" t="s">
        <v>35</v>
      </c>
      <c r="AQ75" s="138" t="s">
        <v>35</v>
      </c>
      <c r="AR75" s="145" t="s">
        <v>35</v>
      </c>
      <c r="AT75" s="153">
        <f t="shared" si="214"/>
        <v>-1373.6167975525682</v>
      </c>
    </row>
    <row r="76" spans="1:46">
      <c r="B76" s="136" t="str">
        <f t="shared" si="215"/>
        <v>Apple Watch(%)</v>
      </c>
      <c r="C76" s="134" t="s">
        <v>35</v>
      </c>
      <c r="D76" s="134" t="s">
        <v>35</v>
      </c>
      <c r="E76" s="134" t="s">
        <v>35</v>
      </c>
      <c r="F76" s="134" t="s">
        <v>35</v>
      </c>
      <c r="G76" s="134" t="s">
        <v>35</v>
      </c>
      <c r="H76" s="134" t="s">
        <v>35</v>
      </c>
      <c r="I76" s="134" t="s">
        <v>35</v>
      </c>
      <c r="J76" s="134" t="s">
        <v>35</v>
      </c>
      <c r="K76" s="134" t="s">
        <v>35</v>
      </c>
      <c r="L76" s="134" t="s">
        <v>35</v>
      </c>
      <c r="M76" s="134"/>
      <c r="N76" s="139" t="s">
        <v>35</v>
      </c>
      <c r="O76" s="139">
        <f t="shared" ref="O76:AD76" si="220">SUM(O65/N65)-1</f>
        <v>0</v>
      </c>
      <c r="P76" s="139">
        <f t="shared" si="220"/>
        <v>0</v>
      </c>
      <c r="Q76" s="139">
        <f t="shared" si="220"/>
        <v>0.17850285714285707</v>
      </c>
      <c r="R76" s="139">
        <f t="shared" si="220"/>
        <v>2.1286086948089089E-2</v>
      </c>
      <c r="S76" s="139">
        <f t="shared" si="220"/>
        <v>-2.0842433104810487E-2</v>
      </c>
      <c r="T76" s="139">
        <f t="shared" si="220"/>
        <v>0</v>
      </c>
      <c r="U76" s="139">
        <f t="shared" si="220"/>
        <v>0</v>
      </c>
      <c r="V76" s="139">
        <f t="shared" si="220"/>
        <v>2.1286086948089089E-2</v>
      </c>
      <c r="W76" s="139">
        <f t="shared" si="220"/>
        <v>-2.0842433104810487E-2</v>
      </c>
      <c r="X76" s="139">
        <f t="shared" si="220"/>
        <v>0</v>
      </c>
      <c r="Y76" s="139">
        <f t="shared" si="220"/>
        <v>0</v>
      </c>
      <c r="Z76" s="139">
        <f t="shared" si="220"/>
        <v>2.1286086948089089E-2</v>
      </c>
      <c r="AA76" s="139">
        <f t="shared" si="220"/>
        <v>-2.0842433104810487E-2</v>
      </c>
      <c r="AB76" s="139">
        <f t="shared" si="220"/>
        <v>0</v>
      </c>
      <c r="AC76" s="139">
        <f t="shared" ref="AC76" si="221">SUM(AC65/AB65)-1</f>
        <v>8.5435273809870704E-3</v>
      </c>
      <c r="AD76" s="139">
        <f t="shared" si="220"/>
        <v>1.2019230769230838E-2</v>
      </c>
      <c r="AE76" s="134"/>
      <c r="AF76" s="139" t="s">
        <v>35</v>
      </c>
      <c r="AG76" s="139" t="s">
        <v>35</v>
      </c>
      <c r="AH76" s="139" t="s">
        <v>35</v>
      </c>
      <c r="AI76" s="139" t="s">
        <v>35</v>
      </c>
      <c r="AJ76" s="139" t="s">
        <v>35</v>
      </c>
      <c r="AK76" s="139" t="s">
        <v>35</v>
      </c>
      <c r="AL76" s="139" t="s">
        <v>35</v>
      </c>
      <c r="AM76" s="139" t="s">
        <v>35</v>
      </c>
      <c r="AN76" s="139" t="s">
        <v>35</v>
      </c>
      <c r="AO76" s="139" t="s">
        <v>35</v>
      </c>
      <c r="AP76" s="139" t="s">
        <v>35</v>
      </c>
      <c r="AQ76" s="139" t="s">
        <v>35</v>
      </c>
      <c r="AR76" s="146" t="s">
        <v>35</v>
      </c>
      <c r="AT76" s="153">
        <f t="shared" si="214"/>
        <v>-92.668561788582508</v>
      </c>
    </row>
    <row r="78" spans="1:46">
      <c r="A78" s="94" t="s">
        <v>19</v>
      </c>
      <c r="B78" s="1" t="s">
        <v>162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ht="5.0999999999999996" customHeight="1"/>
    <row r="80" spans="1:46">
      <c r="A80" s="94" t="s">
        <v>19</v>
      </c>
      <c r="B80" s="91" t="s">
        <v>134</v>
      </c>
      <c r="C80" s="27"/>
      <c r="D80" s="27"/>
      <c r="E80" s="27"/>
      <c r="F80" s="27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5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2:46" ht="12.75" customHeight="1">
      <c r="B81" s="10" t="s">
        <v>163</v>
      </c>
      <c r="C81" s="95">
        <v>86613</v>
      </c>
      <c r="D81" s="95">
        <v>96600</v>
      </c>
      <c r="E81" s="95">
        <v>112093</v>
      </c>
      <c r="F81" s="95">
        <v>116914</v>
      </c>
      <c r="G81" s="95">
        <v>124556</v>
      </c>
      <c r="H81" s="95">
        <v>153306</v>
      </c>
      <c r="I81" s="95">
        <v>169658</v>
      </c>
      <c r="J81" s="95">
        <v>162560</v>
      </c>
      <c r="K81" s="95">
        <v>167045</v>
      </c>
      <c r="L81" s="95">
        <v>178353</v>
      </c>
      <c r="M81" s="95"/>
      <c r="N81" s="95">
        <v>51496</v>
      </c>
      <c r="O81" s="95">
        <v>40882</v>
      </c>
      <c r="P81" s="95">
        <v>37472</v>
      </c>
      <c r="Q81" s="34">
        <f>SUM(I81-SUM(N81:P81))</f>
        <v>39808</v>
      </c>
      <c r="R81" s="95">
        <v>49278</v>
      </c>
      <c r="S81" s="95">
        <v>37784</v>
      </c>
      <c r="T81" s="95">
        <v>35383</v>
      </c>
      <c r="U81" s="34">
        <f>SUM(J81-SUM(R81:T81))</f>
        <v>40115</v>
      </c>
      <c r="V81" s="95">
        <v>50430</v>
      </c>
      <c r="W81" s="95">
        <v>37273</v>
      </c>
      <c r="X81" s="95">
        <v>37678</v>
      </c>
      <c r="Y81" s="34">
        <f>SUM(K81-SUM(V81:X81))</f>
        <v>41664</v>
      </c>
      <c r="Z81" s="95">
        <v>52648</v>
      </c>
      <c r="AA81" s="95">
        <v>40315</v>
      </c>
      <c r="AB81" s="95">
        <v>41198</v>
      </c>
      <c r="AC81" s="34">
        <f t="shared" ref="AC81:AC84" si="222">SUM(L81-SUM(Z81:AB81))</f>
        <v>44192</v>
      </c>
      <c r="AD81" s="95">
        <v>58529</v>
      </c>
      <c r="AE81" s="5"/>
      <c r="AF81" s="12">
        <f t="shared" ref="AF81:AF84" si="223">SUM(O81:R81)</f>
        <v>167440</v>
      </c>
      <c r="AG81" s="12">
        <f t="shared" ref="AG81:AG84" si="224">SUM(P81:S81)</f>
        <v>164342</v>
      </c>
      <c r="AH81" s="12">
        <f t="shared" ref="AH81:AH84" si="225">SUM(Q81:T81)</f>
        <v>162253</v>
      </c>
      <c r="AI81" s="12">
        <f t="shared" ref="AI81:AI84" si="226">SUM(R81:U81)</f>
        <v>162560</v>
      </c>
      <c r="AJ81" s="12">
        <f t="shared" ref="AJ81:AJ84" si="227">SUM(S81:V81)</f>
        <v>163712</v>
      </c>
      <c r="AK81" s="12">
        <f t="shared" ref="AK81:AK84" si="228">SUM(T81:W81)</f>
        <v>163201</v>
      </c>
      <c r="AL81" s="12">
        <f t="shared" ref="AL81:AL84" si="229">SUM(U81:X81)</f>
        <v>165496</v>
      </c>
      <c r="AM81" s="12">
        <f t="shared" ref="AM81:AM84" si="230">SUM(V81:Y81)</f>
        <v>167045</v>
      </c>
      <c r="AN81" s="12">
        <f t="shared" ref="AN81:AN84" si="231">SUM(W81:Z81)</f>
        <v>169263</v>
      </c>
      <c r="AO81" s="12">
        <f t="shared" ref="AO81:AO84" si="232">SUM(X81:AA81)</f>
        <v>172305</v>
      </c>
      <c r="AP81" s="12">
        <f t="shared" ref="AP81:AP84" si="233">SUM(Y81:AB81)</f>
        <v>175825</v>
      </c>
      <c r="AQ81" s="12">
        <f t="shared" ref="AQ81:AR84" si="234">SUM(Z81:AC81)</f>
        <v>178353</v>
      </c>
      <c r="AR81" s="12">
        <f t="shared" si="234"/>
        <v>184234</v>
      </c>
      <c r="AT81" s="13">
        <f t="shared" ref="AT81:AT85" si="235">SUM(AR81/AN81)-1</f>
        <v>8.8448154646910471E-2</v>
      </c>
    </row>
    <row r="82" spans="2:46" ht="12.75" customHeight="1">
      <c r="B82" s="10" t="s">
        <v>164</v>
      </c>
      <c r="C82" s="95">
        <v>49952</v>
      </c>
      <c r="D82" s="95">
        <v>54938</v>
      </c>
      <c r="E82" s="95">
        <v>62420</v>
      </c>
      <c r="F82" s="95">
        <v>60288</v>
      </c>
      <c r="G82" s="95">
        <v>68640</v>
      </c>
      <c r="H82" s="95">
        <v>89307</v>
      </c>
      <c r="I82" s="95">
        <v>95118</v>
      </c>
      <c r="J82" s="95">
        <v>94294</v>
      </c>
      <c r="K82" s="95">
        <v>101328</v>
      </c>
      <c r="L82" s="95">
        <v>111032</v>
      </c>
      <c r="M82" s="95"/>
      <c r="N82" s="95">
        <v>29749</v>
      </c>
      <c r="O82" s="95">
        <v>23287</v>
      </c>
      <c r="P82" s="95">
        <v>19287</v>
      </c>
      <c r="Q82" s="34">
        <f t="shared" ref="Q82:Q84" si="236">SUM(I82-SUM(N82:P82))</f>
        <v>22795</v>
      </c>
      <c r="R82" s="95">
        <v>27681</v>
      </c>
      <c r="S82" s="95">
        <v>23945</v>
      </c>
      <c r="T82" s="95">
        <v>20205</v>
      </c>
      <c r="U82" s="34">
        <f t="shared" ref="U82:U84" si="237">SUM(J82-SUM(R82:T82))</f>
        <v>22463</v>
      </c>
      <c r="V82" s="95">
        <v>30397</v>
      </c>
      <c r="W82" s="95">
        <v>24123</v>
      </c>
      <c r="X82" s="95">
        <v>21884</v>
      </c>
      <c r="Y82" s="34">
        <f t="shared" ref="Y82:Y84" si="238">SUM(K82-SUM(V82:X82))</f>
        <v>24924</v>
      </c>
      <c r="Z82" s="95">
        <v>33861</v>
      </c>
      <c r="AA82" s="95">
        <v>24454</v>
      </c>
      <c r="AB82" s="95">
        <v>24014</v>
      </c>
      <c r="AC82" s="34">
        <f t="shared" si="222"/>
        <v>28703</v>
      </c>
      <c r="AD82" s="95">
        <v>38146</v>
      </c>
      <c r="AE82" s="5"/>
      <c r="AF82" s="12">
        <f t="shared" si="223"/>
        <v>93050</v>
      </c>
      <c r="AG82" s="12">
        <f t="shared" si="224"/>
        <v>93708</v>
      </c>
      <c r="AH82" s="12">
        <f t="shared" si="225"/>
        <v>94626</v>
      </c>
      <c r="AI82" s="12">
        <f t="shared" si="226"/>
        <v>94294</v>
      </c>
      <c r="AJ82" s="12">
        <f t="shared" si="227"/>
        <v>97010</v>
      </c>
      <c r="AK82" s="12">
        <f t="shared" si="228"/>
        <v>97188</v>
      </c>
      <c r="AL82" s="12">
        <f t="shared" si="229"/>
        <v>98867</v>
      </c>
      <c r="AM82" s="12">
        <f t="shared" si="230"/>
        <v>101328</v>
      </c>
      <c r="AN82" s="12">
        <f t="shared" si="231"/>
        <v>104792</v>
      </c>
      <c r="AO82" s="12">
        <f t="shared" si="232"/>
        <v>105123</v>
      </c>
      <c r="AP82" s="12">
        <f t="shared" si="233"/>
        <v>107253</v>
      </c>
      <c r="AQ82" s="12">
        <f t="shared" si="234"/>
        <v>111032</v>
      </c>
      <c r="AR82" s="12">
        <f t="shared" si="234"/>
        <v>115317</v>
      </c>
      <c r="AT82" s="13">
        <f t="shared" si="235"/>
        <v>0.10043705626383703</v>
      </c>
    </row>
    <row r="83" spans="2:46" ht="12.75" customHeight="1">
      <c r="B83" s="10" t="s">
        <v>165</v>
      </c>
      <c r="C83" s="95">
        <v>16928</v>
      </c>
      <c r="D83" s="95">
        <v>17733</v>
      </c>
      <c r="E83" s="95">
        <v>21733</v>
      </c>
      <c r="F83" s="95">
        <v>21506</v>
      </c>
      <c r="G83" s="95">
        <v>21418</v>
      </c>
      <c r="H83" s="95">
        <v>28482</v>
      </c>
      <c r="I83" s="95">
        <v>25977</v>
      </c>
      <c r="J83" s="95">
        <v>24257</v>
      </c>
      <c r="K83" s="95">
        <v>25052</v>
      </c>
      <c r="L83" s="95">
        <v>28703</v>
      </c>
      <c r="M83" s="95"/>
      <c r="N83" s="95">
        <v>7107</v>
      </c>
      <c r="O83" s="95">
        <v>7724</v>
      </c>
      <c r="P83" s="95">
        <v>5446</v>
      </c>
      <c r="Q83" s="34">
        <f t="shared" si="236"/>
        <v>5700</v>
      </c>
      <c r="R83" s="95">
        <v>6755</v>
      </c>
      <c r="S83" s="95">
        <v>7176</v>
      </c>
      <c r="T83" s="95">
        <v>4821</v>
      </c>
      <c r="U83" s="34">
        <f t="shared" si="237"/>
        <v>5505</v>
      </c>
      <c r="V83" s="95">
        <v>7767</v>
      </c>
      <c r="W83" s="95">
        <v>6262</v>
      </c>
      <c r="X83" s="95">
        <v>5097</v>
      </c>
      <c r="Y83" s="34">
        <f t="shared" si="238"/>
        <v>5926</v>
      </c>
      <c r="Z83" s="95">
        <v>8987</v>
      </c>
      <c r="AA83" s="95">
        <v>7298</v>
      </c>
      <c r="AB83" s="95">
        <v>5782</v>
      </c>
      <c r="AC83" s="34">
        <f t="shared" si="222"/>
        <v>6636</v>
      </c>
      <c r="AD83" s="95">
        <v>9413</v>
      </c>
      <c r="AE83" s="5"/>
      <c r="AF83" s="12">
        <f t="shared" si="223"/>
        <v>25625</v>
      </c>
      <c r="AG83" s="12">
        <f t="shared" si="224"/>
        <v>25077</v>
      </c>
      <c r="AH83" s="12">
        <f t="shared" si="225"/>
        <v>24452</v>
      </c>
      <c r="AI83" s="12">
        <f t="shared" si="226"/>
        <v>24257</v>
      </c>
      <c r="AJ83" s="12">
        <f t="shared" si="227"/>
        <v>25269</v>
      </c>
      <c r="AK83" s="12">
        <f t="shared" si="228"/>
        <v>24355</v>
      </c>
      <c r="AL83" s="12">
        <f t="shared" si="229"/>
        <v>24631</v>
      </c>
      <c r="AM83" s="12">
        <f t="shared" si="230"/>
        <v>25052</v>
      </c>
      <c r="AN83" s="12">
        <f t="shared" si="231"/>
        <v>26272</v>
      </c>
      <c r="AO83" s="12">
        <f t="shared" si="232"/>
        <v>27308</v>
      </c>
      <c r="AP83" s="12">
        <f t="shared" si="233"/>
        <v>27993</v>
      </c>
      <c r="AQ83" s="12">
        <f t="shared" si="234"/>
        <v>28703</v>
      </c>
      <c r="AR83" s="12">
        <f t="shared" si="234"/>
        <v>29129</v>
      </c>
      <c r="AT83" s="13">
        <f t="shared" si="235"/>
        <v>0.10874695493300846</v>
      </c>
    </row>
    <row r="84" spans="2:46" ht="12.75" customHeight="1">
      <c r="B84" s="10" t="s">
        <v>166</v>
      </c>
      <c r="C84" s="95">
        <v>62146</v>
      </c>
      <c r="D84" s="95">
        <v>59963</v>
      </c>
      <c r="E84" s="95">
        <v>69349</v>
      </c>
      <c r="F84" s="95">
        <v>61466</v>
      </c>
      <c r="G84" s="95">
        <v>59901</v>
      </c>
      <c r="H84" s="95">
        <v>94722</v>
      </c>
      <c r="I84" s="95">
        <v>103575</v>
      </c>
      <c r="J84" s="95">
        <v>102174</v>
      </c>
      <c r="K84" s="95">
        <v>97610</v>
      </c>
      <c r="L84" s="95">
        <f>64377+33696</f>
        <v>98073</v>
      </c>
      <c r="M84" s="95"/>
      <c r="N84" s="95">
        <v>35593</v>
      </c>
      <c r="O84" s="95">
        <v>25385</v>
      </c>
      <c r="P84" s="95">
        <v>20754</v>
      </c>
      <c r="Q84" s="34">
        <f t="shared" si="236"/>
        <v>21843</v>
      </c>
      <c r="R84" s="95">
        <v>33440</v>
      </c>
      <c r="S84" s="95">
        <v>25931</v>
      </c>
      <c r="T84" s="95">
        <v>21388</v>
      </c>
      <c r="U84" s="34">
        <f t="shared" si="237"/>
        <v>21415</v>
      </c>
      <c r="V84" s="95">
        <v>30981</v>
      </c>
      <c r="W84" s="95">
        <v>23095</v>
      </c>
      <c r="X84" s="95">
        <v>21118</v>
      </c>
      <c r="Y84" s="34">
        <f t="shared" si="238"/>
        <v>22416</v>
      </c>
      <c r="Z84" s="95">
        <v>28804</v>
      </c>
      <c r="AA84" s="95">
        <v>23292</v>
      </c>
      <c r="AB84" s="95">
        <v>23042</v>
      </c>
      <c r="AC84" s="34">
        <f t="shared" si="222"/>
        <v>22935</v>
      </c>
      <c r="AD84" s="95">
        <f>25526+12142</f>
        <v>37668</v>
      </c>
      <c r="AE84" s="5"/>
      <c r="AF84" s="12">
        <f t="shared" si="223"/>
        <v>101422</v>
      </c>
      <c r="AG84" s="12">
        <f t="shared" si="224"/>
        <v>101968</v>
      </c>
      <c r="AH84" s="12">
        <f t="shared" si="225"/>
        <v>102602</v>
      </c>
      <c r="AI84" s="12">
        <f t="shared" si="226"/>
        <v>102174</v>
      </c>
      <c r="AJ84" s="12">
        <f t="shared" si="227"/>
        <v>99715</v>
      </c>
      <c r="AK84" s="12">
        <f t="shared" si="228"/>
        <v>96879</v>
      </c>
      <c r="AL84" s="12">
        <f t="shared" si="229"/>
        <v>96609</v>
      </c>
      <c r="AM84" s="12">
        <f t="shared" si="230"/>
        <v>97610</v>
      </c>
      <c r="AN84" s="12">
        <f t="shared" si="231"/>
        <v>95433</v>
      </c>
      <c r="AO84" s="12">
        <f t="shared" si="232"/>
        <v>95630</v>
      </c>
      <c r="AP84" s="12">
        <f t="shared" si="233"/>
        <v>97554</v>
      </c>
      <c r="AQ84" s="12">
        <f t="shared" si="234"/>
        <v>98073</v>
      </c>
      <c r="AR84" s="12">
        <f t="shared" si="234"/>
        <v>106937</v>
      </c>
      <c r="AT84" s="13">
        <f t="shared" si="235"/>
        <v>0.12054530403529173</v>
      </c>
    </row>
    <row r="85" spans="2:46" ht="12.75" customHeight="1">
      <c r="B85" s="14" t="s">
        <v>96</v>
      </c>
      <c r="C85" s="15">
        <f t="shared" ref="C85:L85" si="239">SUM(C81:C84)</f>
        <v>215639</v>
      </c>
      <c r="D85" s="15">
        <f t="shared" si="239"/>
        <v>229234</v>
      </c>
      <c r="E85" s="15">
        <f t="shared" si="239"/>
        <v>265595</v>
      </c>
      <c r="F85" s="15">
        <f t="shared" si="239"/>
        <v>260174</v>
      </c>
      <c r="G85" s="15">
        <f t="shared" si="239"/>
        <v>274515</v>
      </c>
      <c r="H85" s="15">
        <f t="shared" si="239"/>
        <v>365817</v>
      </c>
      <c r="I85" s="15">
        <f t="shared" si="239"/>
        <v>394328</v>
      </c>
      <c r="J85" s="15">
        <f t="shared" si="239"/>
        <v>383285</v>
      </c>
      <c r="K85" s="15">
        <f t="shared" si="239"/>
        <v>391035</v>
      </c>
      <c r="L85" s="15">
        <f t="shared" si="239"/>
        <v>416161</v>
      </c>
      <c r="M85" s="12"/>
      <c r="N85" s="15">
        <f t="shared" ref="N85:AC85" si="240">SUM(N81:N84)</f>
        <v>123945</v>
      </c>
      <c r="O85" s="15">
        <f t="shared" si="240"/>
        <v>97278</v>
      </c>
      <c r="P85" s="15">
        <f t="shared" si="240"/>
        <v>82959</v>
      </c>
      <c r="Q85" s="15">
        <f t="shared" si="240"/>
        <v>90146</v>
      </c>
      <c r="R85" s="15">
        <f t="shared" si="240"/>
        <v>117154</v>
      </c>
      <c r="S85" s="15">
        <f t="shared" si="240"/>
        <v>94836</v>
      </c>
      <c r="T85" s="15">
        <f t="shared" si="240"/>
        <v>81797</v>
      </c>
      <c r="U85" s="15">
        <f t="shared" si="240"/>
        <v>89498</v>
      </c>
      <c r="V85" s="15">
        <f t="shared" si="240"/>
        <v>119575</v>
      </c>
      <c r="W85" s="15">
        <f t="shared" si="240"/>
        <v>90753</v>
      </c>
      <c r="X85" s="15">
        <f t="shared" si="240"/>
        <v>85777</v>
      </c>
      <c r="Y85" s="15">
        <f t="shared" si="240"/>
        <v>94930</v>
      </c>
      <c r="Z85" s="15">
        <f t="shared" si="240"/>
        <v>124300</v>
      </c>
      <c r="AA85" s="15">
        <f t="shared" si="240"/>
        <v>95359</v>
      </c>
      <c r="AB85" s="15">
        <f t="shared" si="240"/>
        <v>94036</v>
      </c>
      <c r="AC85" s="15">
        <f t="shared" si="240"/>
        <v>102466</v>
      </c>
      <c r="AD85" s="15">
        <f t="shared" ref="AD85" si="241">SUM(AD81:AD84)</f>
        <v>143756</v>
      </c>
      <c r="AE85" s="5"/>
      <c r="AF85" s="15">
        <f t="shared" ref="AF85:AK85" si="242">SUM(AF81:AF83)</f>
        <v>286115</v>
      </c>
      <c r="AG85" s="15">
        <f t="shared" si="242"/>
        <v>283127</v>
      </c>
      <c r="AH85" s="15">
        <f t="shared" si="242"/>
        <v>281331</v>
      </c>
      <c r="AI85" s="15">
        <f t="shared" si="242"/>
        <v>281111</v>
      </c>
      <c r="AJ85" s="15">
        <f t="shared" si="242"/>
        <v>285991</v>
      </c>
      <c r="AK85" s="15">
        <f t="shared" si="242"/>
        <v>284744</v>
      </c>
      <c r="AL85" s="15">
        <f t="shared" ref="AL85:AQ85" si="243">SUM(AL81:AL84)</f>
        <v>385603</v>
      </c>
      <c r="AM85" s="15">
        <f t="shared" si="243"/>
        <v>391035</v>
      </c>
      <c r="AN85" s="15">
        <f t="shared" si="243"/>
        <v>395760</v>
      </c>
      <c r="AO85" s="15">
        <f t="shared" si="243"/>
        <v>400366</v>
      </c>
      <c r="AP85" s="15">
        <f t="shared" si="243"/>
        <v>408625</v>
      </c>
      <c r="AQ85" s="15">
        <f t="shared" si="243"/>
        <v>416161</v>
      </c>
      <c r="AR85" s="15">
        <f t="shared" ref="AR85" si="244">SUM(AR81:AR84)</f>
        <v>435617</v>
      </c>
      <c r="AT85" s="16">
        <f t="shared" si="235"/>
        <v>0.10071002627855274</v>
      </c>
    </row>
    <row r="86" spans="2:46" outlineLevel="1">
      <c r="B86" s="92" t="s">
        <v>167</v>
      </c>
      <c r="C86" s="93">
        <f>C85-C14</f>
        <v>0</v>
      </c>
      <c r="D86" s="93">
        <f t="shared" ref="D86:L86" si="245">D85-D14</f>
        <v>0</v>
      </c>
      <c r="E86" s="93">
        <f t="shared" si="245"/>
        <v>0</v>
      </c>
      <c r="F86" s="93">
        <f t="shared" si="245"/>
        <v>0</v>
      </c>
      <c r="G86" s="93">
        <f t="shared" si="245"/>
        <v>0</v>
      </c>
      <c r="H86" s="93">
        <f t="shared" si="245"/>
        <v>0</v>
      </c>
      <c r="I86" s="93">
        <f t="shared" si="245"/>
        <v>0</v>
      </c>
      <c r="J86" s="93">
        <f t="shared" si="245"/>
        <v>0</v>
      </c>
      <c r="K86" s="93">
        <f t="shared" si="245"/>
        <v>0</v>
      </c>
      <c r="L86" s="93">
        <f t="shared" si="245"/>
        <v>0</v>
      </c>
      <c r="M86" s="12"/>
      <c r="N86" s="93">
        <f t="shared" ref="N86" si="246">N85-N14</f>
        <v>0</v>
      </c>
      <c r="O86" s="93">
        <f t="shared" ref="O86" si="247">O85-O14</f>
        <v>0</v>
      </c>
      <c r="P86" s="93">
        <f t="shared" ref="P86" si="248">P85-P14</f>
        <v>0</v>
      </c>
      <c r="Q86" s="93">
        <f t="shared" ref="Q86" si="249">Q85-Q14</f>
        <v>0</v>
      </c>
      <c r="R86" s="93">
        <f t="shared" ref="R86" si="250">R85-R14</f>
        <v>0</v>
      </c>
      <c r="S86" s="93">
        <f t="shared" ref="S86" si="251">S85-S14</f>
        <v>0</v>
      </c>
      <c r="T86" s="93">
        <f t="shared" ref="T86" si="252">T85-T14</f>
        <v>0</v>
      </c>
      <c r="U86" s="93">
        <f t="shared" ref="U86" si="253">U85-U14</f>
        <v>0</v>
      </c>
      <c r="V86" s="93">
        <f t="shared" ref="V86" si="254">V85-V14</f>
        <v>0</v>
      </c>
      <c r="W86" s="93">
        <f t="shared" ref="W86" si="255">W85-W14</f>
        <v>0</v>
      </c>
      <c r="X86" s="93">
        <f t="shared" ref="X86" si="256">X85-X14</f>
        <v>0</v>
      </c>
      <c r="Y86" s="93">
        <f t="shared" ref="Y86" si="257">Y85-Y14</f>
        <v>0</v>
      </c>
      <c r="Z86" s="93">
        <f t="shared" ref="Z86" si="258">Z85-Z14</f>
        <v>0</v>
      </c>
      <c r="AA86" s="93">
        <f t="shared" ref="AA86" si="259">AA85-AA14</f>
        <v>0</v>
      </c>
      <c r="AB86" s="93">
        <f t="shared" ref="AB86:AD86" si="260">AB85-AB14</f>
        <v>0</v>
      </c>
      <c r="AC86" s="93">
        <f t="shared" ref="AC86" si="261">AC85-AC14</f>
        <v>0</v>
      </c>
      <c r="AD86" s="93">
        <f t="shared" si="260"/>
        <v>0</v>
      </c>
      <c r="AE86" s="93"/>
      <c r="AF86" s="150">
        <f>AF85-AF14</f>
        <v>-101422</v>
      </c>
      <c r="AG86" s="93">
        <f t="shared" ref="AG86" si="262">AG85-AG14</f>
        <v>-101968</v>
      </c>
      <c r="AH86" s="93">
        <f t="shared" ref="AH86" si="263">AH85-AH14</f>
        <v>-102602</v>
      </c>
      <c r="AI86" s="93">
        <f t="shared" ref="AI86" si="264">AI85-AI14</f>
        <v>-102174</v>
      </c>
      <c r="AJ86" s="93">
        <f t="shared" ref="AJ86" si="265">AJ85-AJ14</f>
        <v>-99715</v>
      </c>
      <c r="AK86" s="93">
        <f t="shared" ref="AK86" si="266">AK85-AK14</f>
        <v>-96879</v>
      </c>
      <c r="AL86" s="93">
        <f t="shared" ref="AL86" si="267">AL85-AL14</f>
        <v>0</v>
      </c>
      <c r="AM86" s="93">
        <f t="shared" ref="AM86" si="268">AM85-AM14</f>
        <v>0</v>
      </c>
      <c r="AN86" s="93">
        <f t="shared" ref="AN86" si="269">AN85-AN14</f>
        <v>0</v>
      </c>
      <c r="AO86" s="93">
        <f t="shared" ref="AO86" si="270">AO85-AO14</f>
        <v>0</v>
      </c>
      <c r="AP86" s="93">
        <f t="shared" ref="AP86" si="271">AP85-AP14</f>
        <v>0</v>
      </c>
      <c r="AQ86" s="93">
        <f t="shared" ref="AQ86:AR86" si="272">AQ85-AQ14</f>
        <v>0</v>
      </c>
      <c r="AR86" s="93">
        <f t="shared" si="272"/>
        <v>0</v>
      </c>
      <c r="AT86" s="9"/>
    </row>
    <row r="87" spans="2:46" ht="5.0999999999999996" customHeight="1">
      <c r="B87" s="92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12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T87" s="9"/>
    </row>
    <row r="88" spans="2:46">
      <c r="B88" s="142" t="s">
        <v>168</v>
      </c>
      <c r="C88" s="132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2"/>
      <c r="AE88" s="132"/>
      <c r="AF88" s="132"/>
      <c r="AG88" s="132"/>
      <c r="AH88" s="132"/>
      <c r="AI88" s="132"/>
      <c r="AJ88" s="132"/>
      <c r="AK88" s="132"/>
      <c r="AL88" s="132"/>
      <c r="AM88" s="132"/>
      <c r="AN88" s="132"/>
      <c r="AO88" s="132"/>
      <c r="AP88" s="132"/>
      <c r="AQ88" s="132"/>
      <c r="AR88" s="143"/>
      <c r="AT88" s="9"/>
    </row>
    <row r="89" spans="2:46">
      <c r="B89" s="135" t="str">
        <f>B81&amp;"(%)"</f>
        <v>Americas(%)</v>
      </c>
      <c r="C89" s="137">
        <f>SUM(C81/C$85)</f>
        <v>0.4016573996355019</v>
      </c>
      <c r="D89" s="137">
        <f t="shared" ref="D89:K89" si="273">SUM(D81/D$85)</f>
        <v>0.4214034567298045</v>
      </c>
      <c r="E89" s="137">
        <f t="shared" si="273"/>
        <v>0.42204484271164744</v>
      </c>
      <c r="F89" s="137">
        <f t="shared" si="273"/>
        <v>0.44936849954261376</v>
      </c>
      <c r="G89" s="137">
        <f t="shared" si="273"/>
        <v>0.45373112580369013</v>
      </c>
      <c r="H89" s="137">
        <f t="shared" si="273"/>
        <v>0.41907839165484384</v>
      </c>
      <c r="I89" s="137">
        <f t="shared" si="273"/>
        <v>0.43024588667302349</v>
      </c>
      <c r="J89" s="137">
        <f t="shared" si="273"/>
        <v>0.42412304160089748</v>
      </c>
      <c r="K89" s="137">
        <f t="shared" si="273"/>
        <v>0.42718682470878566</v>
      </c>
      <c r="L89" s="137">
        <f t="shared" ref="L89" si="274">SUM(L81/L$85)</f>
        <v>0.42856730928655018</v>
      </c>
      <c r="M89" s="133"/>
      <c r="N89" s="137">
        <f t="shared" ref="N89:AB89" si="275">SUM(N81/N$85)</f>
        <v>0.41547460567187061</v>
      </c>
      <c r="O89" s="137">
        <f t="shared" si="275"/>
        <v>0.42025946257118774</v>
      </c>
      <c r="P89" s="137">
        <f t="shared" si="275"/>
        <v>0.45169300497836279</v>
      </c>
      <c r="Q89" s="137">
        <f t="shared" si="275"/>
        <v>0.44159474630044593</v>
      </c>
      <c r="R89" s="137">
        <f t="shared" si="275"/>
        <v>0.42062584290762584</v>
      </c>
      <c r="S89" s="137">
        <f t="shared" si="275"/>
        <v>0.39841410434855962</v>
      </c>
      <c r="T89" s="137">
        <f t="shared" si="275"/>
        <v>0.43257087668251892</v>
      </c>
      <c r="U89" s="137">
        <f t="shared" si="275"/>
        <v>0.44822230664372387</v>
      </c>
      <c r="V89" s="137">
        <f t="shared" si="275"/>
        <v>0.42174367551745767</v>
      </c>
      <c r="W89" s="137">
        <f t="shared" si="275"/>
        <v>0.41070818595528524</v>
      </c>
      <c r="X89" s="137">
        <f t="shared" si="275"/>
        <v>0.43925527822143468</v>
      </c>
      <c r="Y89" s="137">
        <f t="shared" si="275"/>
        <v>0.43889181502159486</v>
      </c>
      <c r="Z89" s="137">
        <f t="shared" si="275"/>
        <v>0.42355591311343521</v>
      </c>
      <c r="AA89" s="137">
        <f t="shared" si="275"/>
        <v>0.422770792478948</v>
      </c>
      <c r="AB89" s="137">
        <f t="shared" si="275"/>
        <v>0.43810880939214769</v>
      </c>
      <c r="AC89" s="137">
        <f t="shared" ref="AC89:AD89" si="276">SUM(AC81/AC$85)</f>
        <v>0.43128452364686826</v>
      </c>
      <c r="AD89" s="137">
        <f t="shared" si="276"/>
        <v>0.40714126714711041</v>
      </c>
      <c r="AE89" s="133"/>
      <c r="AF89" s="137">
        <f t="shared" ref="AF89:AP89" si="277">SUM(AF81/AF$85)</f>
        <v>0.58521923002988308</v>
      </c>
      <c r="AG89" s="137">
        <f t="shared" si="277"/>
        <v>0.58045329481116248</v>
      </c>
      <c r="AH89" s="137">
        <f t="shared" si="277"/>
        <v>0.5767334563201354</v>
      </c>
      <c r="AI89" s="137">
        <f t="shared" si="277"/>
        <v>0.57827690840984525</v>
      </c>
      <c r="AJ89" s="137">
        <f t="shared" si="277"/>
        <v>0.57243759419002693</v>
      </c>
      <c r="AK89" s="137">
        <f t="shared" si="277"/>
        <v>0.57314991711853458</v>
      </c>
      <c r="AL89" s="137">
        <f t="shared" si="277"/>
        <v>0.42918753225467643</v>
      </c>
      <c r="AM89" s="137">
        <f t="shared" si="277"/>
        <v>0.42718682470878566</v>
      </c>
      <c r="AN89" s="137">
        <f t="shared" si="277"/>
        <v>0.42769102486355365</v>
      </c>
      <c r="AO89" s="137">
        <f t="shared" si="277"/>
        <v>0.4303687126279454</v>
      </c>
      <c r="AP89" s="137">
        <f t="shared" si="277"/>
        <v>0.43028449066992963</v>
      </c>
      <c r="AQ89" s="137">
        <f t="shared" ref="AQ89:AR89" si="278">SUM(AQ81/AQ$85)</f>
        <v>0.42856730928655018</v>
      </c>
      <c r="AR89" s="144">
        <f t="shared" si="278"/>
        <v>0.42292656163556519</v>
      </c>
      <c r="AT89" s="153">
        <f t="shared" ref="AT89:AT92" si="279">SUM(AR89-AN89)*1000</f>
        <v>-4.7644632279884576</v>
      </c>
    </row>
    <row r="90" spans="2:46">
      <c r="B90" s="135" t="str">
        <f>B82&amp;"(%)"</f>
        <v>Europe(%)</v>
      </c>
      <c r="C90" s="137">
        <f t="shared" ref="C90:K92" si="280">SUM(C82/C$85)</f>
        <v>0.23164640904474609</v>
      </c>
      <c r="D90" s="137">
        <f t="shared" si="280"/>
        <v>0.23965903836254657</v>
      </c>
      <c r="E90" s="137">
        <f t="shared" si="280"/>
        <v>0.23501948455354957</v>
      </c>
      <c r="F90" s="137">
        <f t="shared" si="280"/>
        <v>0.23172184768654824</v>
      </c>
      <c r="G90" s="137">
        <f t="shared" si="280"/>
        <v>0.25004098136713843</v>
      </c>
      <c r="H90" s="137">
        <f t="shared" si="280"/>
        <v>0.2441302618522376</v>
      </c>
      <c r="I90" s="137">
        <f t="shared" si="280"/>
        <v>0.24121543486640562</v>
      </c>
      <c r="J90" s="137">
        <f t="shared" si="280"/>
        <v>0.24601536715498912</v>
      </c>
      <c r="K90" s="137">
        <f t="shared" si="280"/>
        <v>0.25912769956653497</v>
      </c>
      <c r="L90" s="137">
        <f t="shared" ref="L90" si="281">SUM(L82/L$85)</f>
        <v>0.26680058919504712</v>
      </c>
      <c r="M90" s="133"/>
      <c r="N90" s="137">
        <f t="shared" ref="N90:AB90" si="282">SUM(N82/N$85)</f>
        <v>0.24001774980838275</v>
      </c>
      <c r="O90" s="137">
        <f t="shared" si="282"/>
        <v>0.23938608935216596</v>
      </c>
      <c r="P90" s="137">
        <f t="shared" si="282"/>
        <v>0.23248833761255561</v>
      </c>
      <c r="Q90" s="137">
        <f t="shared" si="282"/>
        <v>0.25286757038581859</v>
      </c>
      <c r="R90" s="137">
        <f t="shared" si="282"/>
        <v>0.2362787442170135</v>
      </c>
      <c r="S90" s="137">
        <f t="shared" si="282"/>
        <v>0.25248850647433463</v>
      </c>
      <c r="T90" s="137">
        <f t="shared" si="282"/>
        <v>0.24701394916683986</v>
      </c>
      <c r="U90" s="137">
        <f t="shared" si="282"/>
        <v>0.25098884891282486</v>
      </c>
      <c r="V90" s="137">
        <f t="shared" si="282"/>
        <v>0.25420865565544637</v>
      </c>
      <c r="W90" s="137">
        <f t="shared" si="282"/>
        <v>0.26580939473075271</v>
      </c>
      <c r="X90" s="137">
        <f t="shared" si="282"/>
        <v>0.25512666565629483</v>
      </c>
      <c r="Y90" s="137">
        <f t="shared" si="282"/>
        <v>0.26255135362898979</v>
      </c>
      <c r="Z90" s="137">
        <f t="shared" si="282"/>
        <v>0.27241351568785199</v>
      </c>
      <c r="AA90" s="137">
        <f t="shared" si="282"/>
        <v>0.25644144758229426</v>
      </c>
      <c r="AB90" s="137">
        <f t="shared" si="282"/>
        <v>0.25537028372112808</v>
      </c>
      <c r="AC90" s="137">
        <f t="shared" ref="AC90:AD90" si="283">SUM(AC82/AC$85)</f>
        <v>0.28012218687174284</v>
      </c>
      <c r="AD90" s="137">
        <f t="shared" si="283"/>
        <v>0.26535240268232285</v>
      </c>
      <c r="AE90" s="133"/>
      <c r="AF90" s="137">
        <f t="shared" ref="AF90:AP90" si="284">SUM(AF82/AF$85)</f>
        <v>0.32521888052007059</v>
      </c>
      <c r="AG90" s="137">
        <f t="shared" si="284"/>
        <v>0.33097514542943623</v>
      </c>
      <c r="AH90" s="137">
        <f t="shared" si="284"/>
        <v>0.33635113087430818</v>
      </c>
      <c r="AI90" s="137">
        <f t="shared" si="284"/>
        <v>0.33543333416337318</v>
      </c>
      <c r="AJ90" s="137">
        <f t="shared" si="284"/>
        <v>0.33920647852554803</v>
      </c>
      <c r="AK90" s="137">
        <f t="shared" si="284"/>
        <v>0.34131711291546091</v>
      </c>
      <c r="AL90" s="137">
        <f t="shared" si="284"/>
        <v>0.25639582679595335</v>
      </c>
      <c r="AM90" s="137">
        <f t="shared" si="284"/>
        <v>0.25912769956653497</v>
      </c>
      <c r="AN90" s="137">
        <f t="shared" si="284"/>
        <v>0.26478673943804326</v>
      </c>
      <c r="AO90" s="137">
        <f t="shared" si="284"/>
        <v>0.26256725096536671</v>
      </c>
      <c r="AP90" s="137">
        <f t="shared" si="284"/>
        <v>0.26247292750076479</v>
      </c>
      <c r="AQ90" s="137">
        <f t="shared" ref="AQ90:AR90" si="285">SUM(AQ82/AQ$85)</f>
        <v>0.26680058919504712</v>
      </c>
      <c r="AR90" s="144">
        <f t="shared" si="285"/>
        <v>0.26472107378729481</v>
      </c>
      <c r="AT90" s="153">
        <f t="shared" si="279"/>
        <v>-6.5665650748447657E-2</v>
      </c>
    </row>
    <row r="91" spans="2:46">
      <c r="B91" s="135" t="str">
        <f>B83&amp;"(%)"</f>
        <v>Japan(%)</v>
      </c>
      <c r="C91" s="137">
        <f t="shared" si="280"/>
        <v>7.8501569753152256E-2</v>
      </c>
      <c r="D91" s="137">
        <f t="shared" si="280"/>
        <v>7.7357634556828397E-2</v>
      </c>
      <c r="E91" s="137">
        <f t="shared" si="280"/>
        <v>8.1827594645983548E-2</v>
      </c>
      <c r="F91" s="137">
        <f t="shared" si="280"/>
        <v>8.2660065955860312E-2</v>
      </c>
      <c r="G91" s="137">
        <f t="shared" si="280"/>
        <v>7.8021237455148176E-2</v>
      </c>
      <c r="H91" s="137">
        <f t="shared" si="280"/>
        <v>7.7858601431863475E-2</v>
      </c>
      <c r="I91" s="137">
        <f t="shared" si="280"/>
        <v>6.5876630622223126E-2</v>
      </c>
      <c r="J91" s="137">
        <f t="shared" si="280"/>
        <v>6.3287110113883924E-2</v>
      </c>
      <c r="K91" s="137">
        <f t="shared" si="280"/>
        <v>6.4065876456071702E-2</v>
      </c>
      <c r="L91" s="137">
        <f t="shared" ref="L91" si="286">SUM(L83/L$85)</f>
        <v>6.8970903087987576E-2</v>
      </c>
      <c r="M91" s="133"/>
      <c r="N91" s="137">
        <f t="shared" ref="N91:AB91" si="287">SUM(N83/N$85)</f>
        <v>5.7339949171003268E-2</v>
      </c>
      <c r="O91" s="137">
        <f t="shared" si="287"/>
        <v>7.9401303480745908E-2</v>
      </c>
      <c r="P91" s="137">
        <f t="shared" si="287"/>
        <v>6.5646885811063302E-2</v>
      </c>
      <c r="Q91" s="137">
        <f t="shared" si="287"/>
        <v>6.3230758990970207E-2</v>
      </c>
      <c r="R91" s="137">
        <f t="shared" si="287"/>
        <v>5.7659149495535793E-2</v>
      </c>
      <c r="S91" s="137">
        <f t="shared" si="287"/>
        <v>7.5667468050107559E-2</v>
      </c>
      <c r="T91" s="137">
        <f t="shared" si="287"/>
        <v>5.8938591879897799E-2</v>
      </c>
      <c r="U91" s="137">
        <f t="shared" si="287"/>
        <v>6.1509754407919733E-2</v>
      </c>
      <c r="V91" s="137">
        <f t="shared" si="287"/>
        <v>6.495504913234372E-2</v>
      </c>
      <c r="W91" s="137">
        <f t="shared" si="287"/>
        <v>6.9000473813537841E-2</v>
      </c>
      <c r="X91" s="137">
        <f t="shared" si="287"/>
        <v>5.9421523252153843E-2</v>
      </c>
      <c r="Y91" s="137">
        <f t="shared" si="287"/>
        <v>6.2424944696091854E-2</v>
      </c>
      <c r="Z91" s="137">
        <f t="shared" si="287"/>
        <v>7.2300884955752209E-2</v>
      </c>
      <c r="AA91" s="137">
        <f t="shared" si="287"/>
        <v>7.6531842825532992E-2</v>
      </c>
      <c r="AB91" s="137">
        <f t="shared" si="287"/>
        <v>6.1487090050618913E-2</v>
      </c>
      <c r="AC91" s="137">
        <f t="shared" ref="AC91:AD91" si="288">SUM(AC83/AC$85)</f>
        <v>6.4762945757617166E-2</v>
      </c>
      <c r="AD91" s="137">
        <f t="shared" si="288"/>
        <v>6.5479006093658698E-2</v>
      </c>
      <c r="AE91" s="133"/>
      <c r="AF91" s="137">
        <f t="shared" ref="AF91:AP91" si="289">SUM(AF83/AF$85)</f>
        <v>8.9561889450046311E-2</v>
      </c>
      <c r="AG91" s="137">
        <f t="shared" si="289"/>
        <v>8.8571559759401258E-2</v>
      </c>
      <c r="AH91" s="137">
        <f t="shared" si="289"/>
        <v>8.6915412805556438E-2</v>
      </c>
      <c r="AI91" s="137">
        <f t="shared" si="289"/>
        <v>8.6289757426781591E-2</v>
      </c>
      <c r="AJ91" s="137">
        <f t="shared" si="289"/>
        <v>8.835592728442504E-2</v>
      </c>
      <c r="AK91" s="137">
        <f t="shared" si="289"/>
        <v>8.5532969966004554E-2</v>
      </c>
      <c r="AL91" s="137">
        <f t="shared" si="289"/>
        <v>6.3876577723721031E-2</v>
      </c>
      <c r="AM91" s="137">
        <f t="shared" si="289"/>
        <v>6.4065876456071702E-2</v>
      </c>
      <c r="AN91" s="137">
        <f t="shared" si="289"/>
        <v>6.638366686880938E-2</v>
      </c>
      <c r="AO91" s="137">
        <f t="shared" si="289"/>
        <v>6.820759005509959E-2</v>
      </c>
      <c r="AP91" s="137">
        <f t="shared" si="289"/>
        <v>6.8505353319057813E-2</v>
      </c>
      <c r="AQ91" s="137">
        <f t="shared" ref="AQ91:AR91" si="290">SUM(AQ83/AQ$85)</f>
        <v>6.8970903087987576E-2</v>
      </c>
      <c r="AR91" s="144">
        <f t="shared" si="290"/>
        <v>6.6868372905556944E-2</v>
      </c>
      <c r="AT91" s="153">
        <f t="shared" si="279"/>
        <v>0.48470603674756474</v>
      </c>
    </row>
    <row r="92" spans="2:46">
      <c r="B92" s="135" t="str">
        <f>B84&amp;"(%)"</f>
        <v>Asia Pacific(%)</v>
      </c>
      <c r="C92" s="137">
        <f t="shared" si="280"/>
        <v>0.28819462156659975</v>
      </c>
      <c r="D92" s="137">
        <f t="shared" si="280"/>
        <v>0.26157987035082053</v>
      </c>
      <c r="E92" s="137">
        <f t="shared" si="280"/>
        <v>0.26110807808881942</v>
      </c>
      <c r="F92" s="137">
        <f t="shared" si="280"/>
        <v>0.23624958681497768</v>
      </c>
      <c r="G92" s="137">
        <f t="shared" si="280"/>
        <v>0.21820665537402328</v>
      </c>
      <c r="H92" s="137">
        <f t="shared" si="280"/>
        <v>0.25893274506105513</v>
      </c>
      <c r="I92" s="137">
        <f t="shared" si="280"/>
        <v>0.26266204783834779</v>
      </c>
      <c r="J92" s="137">
        <f t="shared" si="280"/>
        <v>0.26657448113022947</v>
      </c>
      <c r="K92" s="137">
        <f t="shared" si="280"/>
        <v>0.24961959926860766</v>
      </c>
      <c r="L92" s="137">
        <f t="shared" ref="L92" si="291">SUM(L84/L$85)</f>
        <v>0.23566119843041516</v>
      </c>
      <c r="M92" s="133"/>
      <c r="N92" s="137">
        <f t="shared" ref="N92:AB92" si="292">SUM(N84/N$85)</f>
        <v>0.28716769534874337</v>
      </c>
      <c r="O92" s="137">
        <f t="shared" si="292"/>
        <v>0.26095314459590041</v>
      </c>
      <c r="P92" s="137">
        <f t="shared" si="292"/>
        <v>0.25017177159801829</v>
      </c>
      <c r="Q92" s="137">
        <f t="shared" si="292"/>
        <v>0.24230692432276529</v>
      </c>
      <c r="R92" s="137">
        <f t="shared" si="292"/>
        <v>0.28543626337982486</v>
      </c>
      <c r="S92" s="137">
        <f t="shared" si="292"/>
        <v>0.27342992112699821</v>
      </c>
      <c r="T92" s="137">
        <f t="shared" si="292"/>
        <v>0.26147658227074344</v>
      </c>
      <c r="U92" s="137">
        <f t="shared" si="292"/>
        <v>0.23927909003553152</v>
      </c>
      <c r="V92" s="137">
        <f t="shared" si="292"/>
        <v>0.25909261969475222</v>
      </c>
      <c r="W92" s="137">
        <f t="shared" si="292"/>
        <v>0.25448194550042424</v>
      </c>
      <c r="X92" s="137">
        <f t="shared" si="292"/>
        <v>0.2461965328701167</v>
      </c>
      <c r="Y92" s="137">
        <f t="shared" si="292"/>
        <v>0.23613188665332349</v>
      </c>
      <c r="Z92" s="137">
        <f t="shared" si="292"/>
        <v>0.23172968624296059</v>
      </c>
      <c r="AA92" s="137">
        <f t="shared" si="292"/>
        <v>0.24425591711322475</v>
      </c>
      <c r="AB92" s="137">
        <f t="shared" si="292"/>
        <v>0.24503381683610531</v>
      </c>
      <c r="AC92" s="137">
        <f t="shared" ref="AC92:AD92" si="293">SUM(AC84/AC$85)</f>
        <v>0.22383034372377178</v>
      </c>
      <c r="AD92" s="137">
        <f t="shared" si="293"/>
        <v>0.2620273240769081</v>
      </c>
      <c r="AE92" s="133"/>
      <c r="AF92" s="137">
        <f t="shared" ref="AF92:AP92" si="294">SUM(AF84/AF$85)</f>
        <v>0.35447984202156474</v>
      </c>
      <c r="AG92" s="137">
        <f t="shared" si="294"/>
        <v>0.36014933227844748</v>
      </c>
      <c r="AH92" s="137">
        <f t="shared" si="294"/>
        <v>0.36470207691296019</v>
      </c>
      <c r="AI92" s="137">
        <f t="shared" si="294"/>
        <v>0.36346496579642917</v>
      </c>
      <c r="AJ92" s="137">
        <f t="shared" si="294"/>
        <v>0.34866481812364725</v>
      </c>
      <c r="AK92" s="137">
        <f t="shared" si="294"/>
        <v>0.34023192762621862</v>
      </c>
      <c r="AL92" s="137">
        <f t="shared" si="294"/>
        <v>0.2505400632256492</v>
      </c>
      <c r="AM92" s="137">
        <f t="shared" si="294"/>
        <v>0.24961959926860766</v>
      </c>
      <c r="AN92" s="137">
        <f t="shared" si="294"/>
        <v>0.2411385688295937</v>
      </c>
      <c r="AO92" s="137">
        <f t="shared" si="294"/>
        <v>0.23885644635158829</v>
      </c>
      <c r="AP92" s="137">
        <f t="shared" si="294"/>
        <v>0.23873722851024778</v>
      </c>
      <c r="AQ92" s="137">
        <f t="shared" ref="AQ92:AR92" si="295">SUM(AQ84/AQ$85)</f>
        <v>0.23566119843041516</v>
      </c>
      <c r="AR92" s="144">
        <f t="shared" si="295"/>
        <v>0.24548399167158305</v>
      </c>
      <c r="AT92" s="153">
        <f t="shared" si="279"/>
        <v>4.3454228419893548</v>
      </c>
    </row>
    <row r="93" spans="2:46">
      <c r="B93" s="140" t="s">
        <v>169</v>
      </c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  <c r="AC93" s="133"/>
      <c r="AD93" s="133"/>
      <c r="AE93" s="133"/>
      <c r="AF93" s="133"/>
      <c r="AG93" s="133"/>
      <c r="AH93" s="133"/>
      <c r="AI93" s="133"/>
      <c r="AJ93" s="133"/>
      <c r="AK93" s="133"/>
      <c r="AL93" s="133"/>
      <c r="AM93" s="133"/>
      <c r="AN93" s="133"/>
      <c r="AO93" s="133"/>
      <c r="AP93" s="133"/>
      <c r="AQ93" s="133"/>
      <c r="AR93" s="141"/>
      <c r="AT93" s="9"/>
    </row>
    <row r="94" spans="2:46">
      <c r="B94" s="135" t="str">
        <f>B81&amp;"(%)"</f>
        <v>Americas(%)</v>
      </c>
      <c r="C94" s="133" t="s">
        <v>35</v>
      </c>
      <c r="D94" s="138">
        <f t="shared" ref="D94:L94" si="296">SUM(D81/C81)-1</f>
        <v>0.11530601641785876</v>
      </c>
      <c r="E94" s="138">
        <f t="shared" si="296"/>
        <v>0.16038302277432703</v>
      </c>
      <c r="F94" s="138">
        <f t="shared" si="296"/>
        <v>4.3008930084840191E-2</v>
      </c>
      <c r="G94" s="138">
        <f t="shared" si="296"/>
        <v>6.5364284858956179E-2</v>
      </c>
      <c r="H94" s="138">
        <f t="shared" si="296"/>
        <v>0.23081987218600464</v>
      </c>
      <c r="I94" s="138">
        <f t="shared" si="296"/>
        <v>0.10666249200944522</v>
      </c>
      <c r="J94" s="138">
        <f t="shared" si="296"/>
        <v>-4.1837107592922251E-2</v>
      </c>
      <c r="K94" s="138">
        <f t="shared" si="296"/>
        <v>2.7589812992125928E-2</v>
      </c>
      <c r="L94" s="138">
        <f t="shared" si="296"/>
        <v>6.7694333862132972E-2</v>
      </c>
      <c r="M94" s="133"/>
      <c r="N94" s="138" t="s">
        <v>35</v>
      </c>
      <c r="O94" s="138" t="s">
        <v>35</v>
      </c>
      <c r="P94" s="138" t="s">
        <v>35</v>
      </c>
      <c r="Q94" s="138" t="s">
        <v>35</v>
      </c>
      <c r="R94" s="138">
        <f>SUM(R81/N81)-1</f>
        <v>-4.3071306509243401E-2</v>
      </c>
      <c r="S94" s="138">
        <f t="shared" ref="S94:AD94" si="297">SUM(S81/R81)-1</f>
        <v>-0.23324810260156659</v>
      </c>
      <c r="T94" s="138">
        <f t="shared" si="297"/>
        <v>-6.3545416049121339E-2</v>
      </c>
      <c r="U94" s="138">
        <f t="shared" si="297"/>
        <v>0.13373654014639791</v>
      </c>
      <c r="V94" s="138">
        <f t="shared" si="297"/>
        <v>0.25713573476255758</v>
      </c>
      <c r="W94" s="138">
        <f t="shared" si="297"/>
        <v>-0.26089629188974817</v>
      </c>
      <c r="X94" s="138">
        <f t="shared" si="297"/>
        <v>1.0865774152872154E-2</v>
      </c>
      <c r="Y94" s="138">
        <f t="shared" si="297"/>
        <v>0.10579117787568348</v>
      </c>
      <c r="Z94" s="138">
        <f t="shared" si="297"/>
        <v>0.26363287250384015</v>
      </c>
      <c r="AA94" s="138">
        <f t="shared" si="297"/>
        <v>-0.23425391277921292</v>
      </c>
      <c r="AB94" s="138">
        <f t="shared" si="297"/>
        <v>2.1902517673322519E-2</v>
      </c>
      <c r="AC94" s="138">
        <f t="shared" si="297"/>
        <v>7.2673430749065515E-2</v>
      </c>
      <c r="AD94" s="138">
        <f t="shared" si="297"/>
        <v>0.32442523533671253</v>
      </c>
      <c r="AE94" s="133"/>
      <c r="AF94" s="138" t="s">
        <v>35</v>
      </c>
      <c r="AG94" s="138" t="s">
        <v>35</v>
      </c>
      <c r="AH94" s="138" t="s">
        <v>35</v>
      </c>
      <c r="AI94" s="138" t="s">
        <v>35</v>
      </c>
      <c r="AJ94" s="138">
        <f t="shared" ref="AJ94:AR97" si="298">SUM(AJ81/AF81)-1</f>
        <v>-2.22646918299092E-2</v>
      </c>
      <c r="AK94" s="138">
        <f t="shared" si="298"/>
        <v>-6.9428387143882775E-3</v>
      </c>
      <c r="AL94" s="138">
        <f t="shared" si="298"/>
        <v>1.9987303778666643E-2</v>
      </c>
      <c r="AM94" s="138">
        <f t="shared" si="298"/>
        <v>2.7589812992125928E-2</v>
      </c>
      <c r="AN94" s="138">
        <f t="shared" si="298"/>
        <v>3.3907105160281503E-2</v>
      </c>
      <c r="AO94" s="138">
        <f t="shared" si="298"/>
        <v>5.5783971911936847E-2</v>
      </c>
      <c r="AP94" s="138">
        <f t="shared" si="298"/>
        <v>6.2412384589355607E-2</v>
      </c>
      <c r="AQ94" s="138">
        <f t="shared" si="298"/>
        <v>6.7694333862132972E-2</v>
      </c>
      <c r="AR94" s="145">
        <f t="shared" si="298"/>
        <v>8.8448154646910471E-2</v>
      </c>
      <c r="AT94" s="153">
        <f t="shared" ref="AT94:AT97" si="299">SUM(AR94-AN94)*1000</f>
        <v>54.541049486628964</v>
      </c>
    </row>
    <row r="95" spans="2:46">
      <c r="B95" s="135" t="str">
        <f>B82&amp;"(%)"</f>
        <v>Europe(%)</v>
      </c>
      <c r="C95" s="133" t="s">
        <v>35</v>
      </c>
      <c r="D95" s="138">
        <f t="shared" ref="D95:L95" si="300">SUM(D82/C82)-1</f>
        <v>9.9815823190262609E-2</v>
      </c>
      <c r="E95" s="138">
        <f t="shared" si="300"/>
        <v>0.13618988678146282</v>
      </c>
      <c r="F95" s="138">
        <f t="shared" si="300"/>
        <v>-3.4155719320730582E-2</v>
      </c>
      <c r="G95" s="138">
        <f t="shared" si="300"/>
        <v>0.13853503184713367</v>
      </c>
      <c r="H95" s="138">
        <f t="shared" si="300"/>
        <v>0.30109265734265733</v>
      </c>
      <c r="I95" s="138">
        <f t="shared" si="300"/>
        <v>6.5067687863213486E-2</v>
      </c>
      <c r="J95" s="138">
        <f t="shared" si="300"/>
        <v>-8.662923947097334E-3</v>
      </c>
      <c r="K95" s="138">
        <f t="shared" si="300"/>
        <v>7.4596474855239903E-2</v>
      </c>
      <c r="L95" s="138">
        <f t="shared" si="300"/>
        <v>9.5768198326227738E-2</v>
      </c>
      <c r="M95" s="133"/>
      <c r="N95" s="138" t="s">
        <v>35</v>
      </c>
      <c r="O95" s="138" t="s">
        <v>35</v>
      </c>
      <c r="P95" s="138" t="s">
        <v>35</v>
      </c>
      <c r="Q95" s="138" t="s">
        <v>35</v>
      </c>
      <c r="R95" s="138">
        <f>SUM(R82/N82)-1</f>
        <v>-6.9514941678711861E-2</v>
      </c>
      <c r="S95" s="138">
        <f t="shared" ref="S95:AD95" si="301">SUM(S82/R82)-1</f>
        <v>-0.13496622231855782</v>
      </c>
      <c r="T95" s="138">
        <f t="shared" si="301"/>
        <v>-0.15619127166423052</v>
      </c>
      <c r="U95" s="138">
        <f t="shared" si="301"/>
        <v>0.11175451620885912</v>
      </c>
      <c r="V95" s="138">
        <f t="shared" si="301"/>
        <v>0.35320304500734534</v>
      </c>
      <c r="W95" s="138">
        <f t="shared" si="301"/>
        <v>-0.20640194756061458</v>
      </c>
      <c r="X95" s="138">
        <f t="shared" si="301"/>
        <v>-9.2815984744849311E-2</v>
      </c>
      <c r="Y95" s="138">
        <f t="shared" si="301"/>
        <v>0.13891427526960332</v>
      </c>
      <c r="Z95" s="138">
        <f t="shared" si="301"/>
        <v>0.35857005296100142</v>
      </c>
      <c r="AA95" s="138">
        <f t="shared" si="301"/>
        <v>-0.27781223236171404</v>
      </c>
      <c r="AB95" s="138">
        <f t="shared" si="301"/>
        <v>-1.7992966385867337E-2</v>
      </c>
      <c r="AC95" s="138">
        <f t="shared" si="301"/>
        <v>0.19526109769301248</v>
      </c>
      <c r="AD95" s="138">
        <f t="shared" si="301"/>
        <v>0.32899000104518694</v>
      </c>
      <c r="AE95" s="133"/>
      <c r="AF95" s="138" t="s">
        <v>35</v>
      </c>
      <c r="AG95" s="138" t="s">
        <v>35</v>
      </c>
      <c r="AH95" s="138" t="s">
        <v>35</v>
      </c>
      <c r="AI95" s="138" t="s">
        <v>35</v>
      </c>
      <c r="AJ95" s="138">
        <f t="shared" si="298"/>
        <v>4.2557764642665141E-2</v>
      </c>
      <c r="AK95" s="138">
        <f t="shared" si="298"/>
        <v>3.7136637213471602E-2</v>
      </c>
      <c r="AL95" s="138">
        <f t="shared" si="298"/>
        <v>4.4818548813222669E-2</v>
      </c>
      <c r="AM95" s="138">
        <f t="shared" si="298"/>
        <v>7.4596474855239903E-2</v>
      </c>
      <c r="AN95" s="138">
        <f t="shared" si="298"/>
        <v>8.0218534171734968E-2</v>
      </c>
      <c r="AO95" s="138">
        <f t="shared" si="298"/>
        <v>8.1645882207679987E-2</v>
      </c>
      <c r="AP95" s="138">
        <f t="shared" si="298"/>
        <v>8.4821022181314376E-2</v>
      </c>
      <c r="AQ95" s="138">
        <f t="shared" si="298"/>
        <v>9.5768198326227738E-2</v>
      </c>
      <c r="AR95" s="145">
        <f t="shared" si="298"/>
        <v>0.10043705626383703</v>
      </c>
      <c r="AT95" s="153">
        <f t="shared" si="299"/>
        <v>20.218522092102063</v>
      </c>
    </row>
    <row r="96" spans="2:46">
      <c r="B96" s="135" t="str">
        <f>B83&amp;"(%)"</f>
        <v>Japan(%)</v>
      </c>
      <c r="C96" s="133" t="s">
        <v>35</v>
      </c>
      <c r="D96" s="138">
        <f t="shared" ref="D96:L96" si="302">SUM(D83/C83)-1</f>
        <v>4.7554347826086918E-2</v>
      </c>
      <c r="E96" s="138">
        <f t="shared" si="302"/>
        <v>0.22556814977725148</v>
      </c>
      <c r="F96" s="138">
        <f t="shared" si="302"/>
        <v>-1.0444945474623824E-2</v>
      </c>
      <c r="G96" s="138">
        <f t="shared" si="302"/>
        <v>-4.0918813354412498E-3</v>
      </c>
      <c r="H96" s="138">
        <f t="shared" si="302"/>
        <v>0.32981604258100661</v>
      </c>
      <c r="I96" s="138">
        <f t="shared" si="302"/>
        <v>-8.7950284390141187E-2</v>
      </c>
      <c r="J96" s="138">
        <f t="shared" si="302"/>
        <v>-6.621241867806138E-2</v>
      </c>
      <c r="K96" s="138">
        <f t="shared" si="302"/>
        <v>3.2774044605680785E-2</v>
      </c>
      <c r="L96" s="138">
        <f t="shared" si="302"/>
        <v>0.14573686731598268</v>
      </c>
      <c r="M96" s="133"/>
      <c r="N96" s="138" t="s">
        <v>35</v>
      </c>
      <c r="O96" s="138" t="s">
        <v>35</v>
      </c>
      <c r="P96" s="138" t="s">
        <v>35</v>
      </c>
      <c r="Q96" s="138" t="s">
        <v>35</v>
      </c>
      <c r="R96" s="138">
        <f>SUM(R83/N83)-1</f>
        <v>-4.9528633741381722E-2</v>
      </c>
      <c r="S96" s="138">
        <f t="shared" ref="S96:AD96" si="303">SUM(S83/R83)-1</f>
        <v>6.2324204293116248E-2</v>
      </c>
      <c r="T96" s="138">
        <f t="shared" si="303"/>
        <v>-0.32817725752508364</v>
      </c>
      <c r="U96" s="138">
        <f t="shared" si="303"/>
        <v>0.14187927815805845</v>
      </c>
      <c r="V96" s="138">
        <f t="shared" si="303"/>
        <v>0.41089918256130797</v>
      </c>
      <c r="W96" s="138">
        <f t="shared" si="303"/>
        <v>-0.19376850778936527</v>
      </c>
      <c r="X96" s="138">
        <f t="shared" si="303"/>
        <v>-0.1860427978281699</v>
      </c>
      <c r="Y96" s="138">
        <f t="shared" si="303"/>
        <v>0.16264469295664119</v>
      </c>
      <c r="Z96" s="138">
        <f t="shared" si="303"/>
        <v>0.51653729328383391</v>
      </c>
      <c r="AA96" s="138">
        <f t="shared" si="303"/>
        <v>-0.18793813285857353</v>
      </c>
      <c r="AB96" s="138">
        <f t="shared" si="303"/>
        <v>-0.20772814469717726</v>
      </c>
      <c r="AC96" s="138">
        <f t="shared" si="303"/>
        <v>0.14769975786924938</v>
      </c>
      <c r="AD96" s="138">
        <f t="shared" si="303"/>
        <v>0.41847498493068103</v>
      </c>
      <c r="AE96" s="133"/>
      <c r="AF96" s="138" t="s">
        <v>35</v>
      </c>
      <c r="AG96" s="138" t="s">
        <v>35</v>
      </c>
      <c r="AH96" s="138" t="s">
        <v>35</v>
      </c>
      <c r="AI96" s="138" t="s">
        <v>35</v>
      </c>
      <c r="AJ96" s="138">
        <f t="shared" si="298"/>
        <v>-1.3892682926829214E-2</v>
      </c>
      <c r="AK96" s="138">
        <f t="shared" si="298"/>
        <v>-2.8791322726003932E-2</v>
      </c>
      <c r="AL96" s="138">
        <f t="shared" si="298"/>
        <v>7.3204645836741911E-3</v>
      </c>
      <c r="AM96" s="138">
        <f t="shared" si="298"/>
        <v>3.2774044605680785E-2</v>
      </c>
      <c r="AN96" s="138">
        <f t="shared" si="298"/>
        <v>3.9692904349202474E-2</v>
      </c>
      <c r="AO96" s="138">
        <f t="shared" si="298"/>
        <v>0.12124820365428035</v>
      </c>
      <c r="AP96" s="138">
        <f t="shared" si="298"/>
        <v>0.13649466119930165</v>
      </c>
      <c r="AQ96" s="138">
        <f t="shared" si="298"/>
        <v>0.14573686731598268</v>
      </c>
      <c r="AR96" s="145">
        <f t="shared" si="298"/>
        <v>0.10874695493300846</v>
      </c>
      <c r="AT96" s="153">
        <f t="shared" si="299"/>
        <v>69.054050583805974</v>
      </c>
    </row>
    <row r="97" spans="2:46">
      <c r="B97" s="135" t="str">
        <f>B84&amp;"(%)"</f>
        <v>Asia Pacific(%)</v>
      </c>
      <c r="C97" s="133" t="s">
        <v>35</v>
      </c>
      <c r="D97" s="138">
        <f t="shared" ref="D97:L97" si="304">SUM(D84/C84)-1</f>
        <v>-3.5126959096321575E-2</v>
      </c>
      <c r="E97" s="138">
        <f t="shared" si="304"/>
        <v>0.15652986008038283</v>
      </c>
      <c r="F97" s="138">
        <f t="shared" si="304"/>
        <v>-0.1136714300134104</v>
      </c>
      <c r="G97" s="138">
        <f t="shared" si="304"/>
        <v>-2.5461230599030382E-2</v>
      </c>
      <c r="H97" s="138">
        <f t="shared" si="304"/>
        <v>0.58130916011418843</v>
      </c>
      <c r="I97" s="138">
        <f t="shared" si="304"/>
        <v>9.34629758662191E-2</v>
      </c>
      <c r="J97" s="138">
        <f t="shared" si="304"/>
        <v>-1.3526430123099176E-2</v>
      </c>
      <c r="K97" s="138">
        <f t="shared" si="304"/>
        <v>-4.4668898154129222E-2</v>
      </c>
      <c r="L97" s="138">
        <f t="shared" si="304"/>
        <v>4.7433664583547142E-3</v>
      </c>
      <c r="M97" s="133"/>
      <c r="N97" s="138" t="s">
        <v>35</v>
      </c>
      <c r="O97" s="138" t="s">
        <v>35</v>
      </c>
      <c r="P97" s="138" t="s">
        <v>35</v>
      </c>
      <c r="Q97" s="138" t="s">
        <v>35</v>
      </c>
      <c r="R97" s="138">
        <f>SUM(R84/N84)-1</f>
        <v>-6.0489422077374733E-2</v>
      </c>
      <c r="S97" s="138">
        <f t="shared" ref="S97:AD97" si="305">SUM(S84/R84)-1</f>
        <v>-0.22455143540669853</v>
      </c>
      <c r="T97" s="138">
        <f t="shared" si="305"/>
        <v>-0.17519571169642512</v>
      </c>
      <c r="U97" s="138">
        <f t="shared" si="305"/>
        <v>1.262390125303936E-3</v>
      </c>
      <c r="V97" s="138">
        <f t="shared" si="305"/>
        <v>0.44669624095260341</v>
      </c>
      <c r="W97" s="138">
        <f t="shared" si="305"/>
        <v>-0.25454310706562089</v>
      </c>
      <c r="X97" s="138">
        <f t="shared" si="305"/>
        <v>-8.5602944360251176E-2</v>
      </c>
      <c r="Y97" s="138">
        <f t="shared" si="305"/>
        <v>6.1464153802443411E-2</v>
      </c>
      <c r="Z97" s="138">
        <f t="shared" si="305"/>
        <v>0.28497501784439683</v>
      </c>
      <c r="AA97" s="138">
        <f t="shared" si="305"/>
        <v>-0.19136231079016808</v>
      </c>
      <c r="AB97" s="138">
        <f t="shared" si="305"/>
        <v>-1.0733298986776552E-2</v>
      </c>
      <c r="AC97" s="138">
        <f t="shared" si="305"/>
        <v>-4.6436941237739671E-3</v>
      </c>
      <c r="AD97" s="138">
        <f t="shared" si="305"/>
        <v>0.64238064094179204</v>
      </c>
      <c r="AE97" s="133"/>
      <c r="AF97" s="138" t="s">
        <v>35</v>
      </c>
      <c r="AG97" s="138" t="s">
        <v>35</v>
      </c>
      <c r="AH97" s="138" t="s">
        <v>35</v>
      </c>
      <c r="AI97" s="138" t="s">
        <v>35</v>
      </c>
      <c r="AJ97" s="138">
        <f t="shared" si="298"/>
        <v>-1.6830667902427487E-2</v>
      </c>
      <c r="AK97" s="138">
        <f t="shared" si="298"/>
        <v>-4.99078142162247E-2</v>
      </c>
      <c r="AL97" s="138">
        <f t="shared" si="298"/>
        <v>-5.8410167443129768E-2</v>
      </c>
      <c r="AM97" s="138">
        <f t="shared" si="298"/>
        <v>-4.4668898154129222E-2</v>
      </c>
      <c r="AN97" s="138">
        <f t="shared" si="298"/>
        <v>-4.2942385799528693E-2</v>
      </c>
      <c r="AO97" s="138">
        <f t="shared" si="298"/>
        <v>-1.2892370895653316E-2</v>
      </c>
      <c r="AP97" s="138">
        <f t="shared" si="298"/>
        <v>9.7816973573889854E-3</v>
      </c>
      <c r="AQ97" s="138">
        <f t="shared" si="298"/>
        <v>4.7433664583547142E-3</v>
      </c>
      <c r="AR97" s="145">
        <f t="shared" si="298"/>
        <v>0.12054530403529173</v>
      </c>
      <c r="AT97" s="153">
        <f t="shared" si="299"/>
        <v>163.48768983482043</v>
      </c>
    </row>
    <row r="98" spans="2:46">
      <c r="B98" s="140" t="s">
        <v>170</v>
      </c>
      <c r="C98" s="133"/>
      <c r="D98" s="138"/>
      <c r="E98" s="138"/>
      <c r="F98" s="138"/>
      <c r="G98" s="138"/>
      <c r="H98" s="138"/>
      <c r="I98" s="138"/>
      <c r="J98" s="138"/>
      <c r="K98" s="138"/>
      <c r="L98" s="138"/>
      <c r="M98" s="133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3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45"/>
      <c r="AT98" s="9"/>
    </row>
    <row r="99" spans="2:46">
      <c r="B99" s="135" t="str">
        <f>B81&amp;"(%)"</f>
        <v>Americas(%)</v>
      </c>
      <c r="C99" s="133" t="s">
        <v>35</v>
      </c>
      <c r="D99" s="133" t="s">
        <v>35</v>
      </c>
      <c r="E99" s="133" t="s">
        <v>35</v>
      </c>
      <c r="F99" s="133" t="s">
        <v>35</v>
      </c>
      <c r="G99" s="133" t="s">
        <v>35</v>
      </c>
      <c r="H99" s="133" t="s">
        <v>35</v>
      </c>
      <c r="I99" s="133" t="s">
        <v>35</v>
      </c>
      <c r="J99" s="133" t="s">
        <v>35</v>
      </c>
      <c r="K99" s="133" t="s">
        <v>35</v>
      </c>
      <c r="L99" s="133" t="s">
        <v>35</v>
      </c>
      <c r="M99" s="133"/>
      <c r="N99" s="138" t="s">
        <v>35</v>
      </c>
      <c r="O99" s="138">
        <f t="shared" ref="O99:AD99" si="306">SUM(O81/N81)-1</f>
        <v>-0.20611309616280871</v>
      </c>
      <c r="P99" s="138">
        <f t="shared" si="306"/>
        <v>-8.3410792035614745E-2</v>
      </c>
      <c r="Q99" s="138">
        <f t="shared" si="306"/>
        <v>6.233988044406491E-2</v>
      </c>
      <c r="R99" s="138">
        <f t="shared" si="306"/>
        <v>0.23789188102893899</v>
      </c>
      <c r="S99" s="138">
        <f t="shared" si="306"/>
        <v>-0.23324810260156659</v>
      </c>
      <c r="T99" s="138">
        <f t="shared" si="306"/>
        <v>-6.3545416049121339E-2</v>
      </c>
      <c r="U99" s="138">
        <f t="shared" si="306"/>
        <v>0.13373654014639791</v>
      </c>
      <c r="V99" s="138">
        <f t="shared" si="306"/>
        <v>0.25713573476255758</v>
      </c>
      <c r="W99" s="138">
        <f t="shared" si="306"/>
        <v>-0.26089629188974817</v>
      </c>
      <c r="X99" s="138">
        <f t="shared" si="306"/>
        <v>1.0865774152872154E-2</v>
      </c>
      <c r="Y99" s="138">
        <f t="shared" si="306"/>
        <v>0.10579117787568348</v>
      </c>
      <c r="Z99" s="138">
        <f t="shared" si="306"/>
        <v>0.26363287250384015</v>
      </c>
      <c r="AA99" s="138">
        <f t="shared" si="306"/>
        <v>-0.23425391277921292</v>
      </c>
      <c r="AB99" s="138">
        <f t="shared" si="306"/>
        <v>2.1902517673322519E-2</v>
      </c>
      <c r="AC99" s="138">
        <f t="shared" si="306"/>
        <v>7.2673430749065515E-2</v>
      </c>
      <c r="AD99" s="138">
        <f t="shared" si="306"/>
        <v>0.32442523533671253</v>
      </c>
      <c r="AE99" s="133"/>
      <c r="AF99" s="138" t="s">
        <v>35</v>
      </c>
      <c r="AG99" s="138" t="s">
        <v>35</v>
      </c>
      <c r="AH99" s="138" t="s">
        <v>35</v>
      </c>
      <c r="AI99" s="138" t="s">
        <v>35</v>
      </c>
      <c r="AJ99" s="138" t="s">
        <v>35</v>
      </c>
      <c r="AK99" s="138" t="s">
        <v>35</v>
      </c>
      <c r="AL99" s="138" t="s">
        <v>35</v>
      </c>
      <c r="AM99" s="138" t="s">
        <v>35</v>
      </c>
      <c r="AN99" s="138" t="s">
        <v>35</v>
      </c>
      <c r="AO99" s="138" t="s">
        <v>35</v>
      </c>
      <c r="AP99" s="138" t="s">
        <v>35</v>
      </c>
      <c r="AQ99" s="138" t="s">
        <v>35</v>
      </c>
      <c r="AR99" s="145" t="s">
        <v>35</v>
      </c>
      <c r="AT99" s="153">
        <f t="shared" ref="AT99:AT102" si="307">SUM(AD99-Z99)*10000</f>
        <v>607.92362832872368</v>
      </c>
    </row>
    <row r="100" spans="2:46">
      <c r="B100" s="135" t="str">
        <f>B82&amp;"(%)"</f>
        <v>Europe(%)</v>
      </c>
      <c r="C100" s="133" t="s">
        <v>35</v>
      </c>
      <c r="D100" s="133" t="s">
        <v>35</v>
      </c>
      <c r="E100" s="133" t="s">
        <v>35</v>
      </c>
      <c r="F100" s="133" t="s">
        <v>35</v>
      </c>
      <c r="G100" s="133" t="s">
        <v>35</v>
      </c>
      <c r="H100" s="133" t="s">
        <v>35</v>
      </c>
      <c r="I100" s="133" t="s">
        <v>35</v>
      </c>
      <c r="J100" s="133" t="s">
        <v>35</v>
      </c>
      <c r="K100" s="133" t="s">
        <v>35</v>
      </c>
      <c r="L100" s="133" t="s">
        <v>35</v>
      </c>
      <c r="M100" s="133"/>
      <c r="N100" s="138" t="s">
        <v>35</v>
      </c>
      <c r="O100" s="138">
        <f t="shared" ref="O100:AD100" si="308">SUM(O82/N82)-1</f>
        <v>-0.21721738545833469</v>
      </c>
      <c r="P100" s="138">
        <f t="shared" si="308"/>
        <v>-0.17176965689011037</v>
      </c>
      <c r="Q100" s="138">
        <f t="shared" si="308"/>
        <v>0.18188417068491725</v>
      </c>
      <c r="R100" s="138">
        <f t="shared" si="308"/>
        <v>0.21434525115156822</v>
      </c>
      <c r="S100" s="138">
        <f t="shared" si="308"/>
        <v>-0.13496622231855782</v>
      </c>
      <c r="T100" s="138">
        <f t="shared" si="308"/>
        <v>-0.15619127166423052</v>
      </c>
      <c r="U100" s="138">
        <f t="shared" si="308"/>
        <v>0.11175451620885912</v>
      </c>
      <c r="V100" s="138">
        <f t="shared" si="308"/>
        <v>0.35320304500734534</v>
      </c>
      <c r="W100" s="138">
        <f t="shared" si="308"/>
        <v>-0.20640194756061458</v>
      </c>
      <c r="X100" s="138">
        <f t="shared" si="308"/>
        <v>-9.2815984744849311E-2</v>
      </c>
      <c r="Y100" s="138">
        <f t="shared" si="308"/>
        <v>0.13891427526960332</v>
      </c>
      <c r="Z100" s="138">
        <f t="shared" si="308"/>
        <v>0.35857005296100142</v>
      </c>
      <c r="AA100" s="138">
        <f t="shared" si="308"/>
        <v>-0.27781223236171404</v>
      </c>
      <c r="AB100" s="138">
        <f t="shared" si="308"/>
        <v>-1.7992966385867337E-2</v>
      </c>
      <c r="AC100" s="138">
        <f t="shared" si="308"/>
        <v>0.19526109769301248</v>
      </c>
      <c r="AD100" s="138">
        <f t="shared" si="308"/>
        <v>0.32899000104518694</v>
      </c>
      <c r="AE100" s="133"/>
      <c r="AF100" s="138" t="s">
        <v>35</v>
      </c>
      <c r="AG100" s="138" t="s">
        <v>35</v>
      </c>
      <c r="AH100" s="138" t="s">
        <v>35</v>
      </c>
      <c r="AI100" s="138" t="s">
        <v>35</v>
      </c>
      <c r="AJ100" s="138" t="s">
        <v>35</v>
      </c>
      <c r="AK100" s="138" t="s">
        <v>35</v>
      </c>
      <c r="AL100" s="138" t="s">
        <v>35</v>
      </c>
      <c r="AM100" s="138" t="s">
        <v>35</v>
      </c>
      <c r="AN100" s="138" t="s">
        <v>35</v>
      </c>
      <c r="AO100" s="138" t="s">
        <v>35</v>
      </c>
      <c r="AP100" s="138" t="s">
        <v>35</v>
      </c>
      <c r="AQ100" s="138" t="s">
        <v>35</v>
      </c>
      <c r="AR100" s="145" t="s">
        <v>35</v>
      </c>
      <c r="AT100" s="153">
        <f t="shared" si="307"/>
        <v>-295.80051915814477</v>
      </c>
    </row>
    <row r="101" spans="2:46">
      <c r="B101" s="135" t="str">
        <f>B83&amp;"(%)"</f>
        <v>Japan(%)</v>
      </c>
      <c r="C101" s="133" t="s">
        <v>35</v>
      </c>
      <c r="D101" s="133" t="s">
        <v>35</v>
      </c>
      <c r="E101" s="133" t="s">
        <v>35</v>
      </c>
      <c r="F101" s="133" t="s">
        <v>35</v>
      </c>
      <c r="G101" s="133" t="s">
        <v>35</v>
      </c>
      <c r="H101" s="133" t="s">
        <v>35</v>
      </c>
      <c r="I101" s="133" t="s">
        <v>35</v>
      </c>
      <c r="J101" s="133" t="s">
        <v>35</v>
      </c>
      <c r="K101" s="133" t="s">
        <v>35</v>
      </c>
      <c r="L101" s="133" t="s">
        <v>35</v>
      </c>
      <c r="M101" s="133"/>
      <c r="N101" s="138" t="s">
        <v>35</v>
      </c>
      <c r="O101" s="138">
        <f t="shared" ref="O101:AD101" si="309">SUM(O83/N83)-1</f>
        <v>8.681581539327432E-2</v>
      </c>
      <c r="P101" s="138">
        <f t="shared" si="309"/>
        <v>-0.29492490937338167</v>
      </c>
      <c r="Q101" s="138">
        <f t="shared" si="309"/>
        <v>4.6639735585751074E-2</v>
      </c>
      <c r="R101" s="138">
        <f t="shared" si="309"/>
        <v>0.18508771929824563</v>
      </c>
      <c r="S101" s="138">
        <f t="shared" si="309"/>
        <v>6.2324204293116248E-2</v>
      </c>
      <c r="T101" s="138">
        <f t="shared" si="309"/>
        <v>-0.32817725752508364</v>
      </c>
      <c r="U101" s="138">
        <f t="shared" si="309"/>
        <v>0.14187927815805845</v>
      </c>
      <c r="V101" s="138">
        <f t="shared" si="309"/>
        <v>0.41089918256130797</v>
      </c>
      <c r="W101" s="138">
        <f t="shared" si="309"/>
        <v>-0.19376850778936527</v>
      </c>
      <c r="X101" s="138">
        <f t="shared" si="309"/>
        <v>-0.1860427978281699</v>
      </c>
      <c r="Y101" s="138">
        <f t="shared" si="309"/>
        <v>0.16264469295664119</v>
      </c>
      <c r="Z101" s="138">
        <f t="shared" si="309"/>
        <v>0.51653729328383391</v>
      </c>
      <c r="AA101" s="138">
        <f t="shared" si="309"/>
        <v>-0.18793813285857353</v>
      </c>
      <c r="AB101" s="138">
        <f t="shared" si="309"/>
        <v>-0.20772814469717726</v>
      </c>
      <c r="AC101" s="138">
        <f t="shared" si="309"/>
        <v>0.14769975786924938</v>
      </c>
      <c r="AD101" s="138">
        <f t="shared" si="309"/>
        <v>0.41847498493068103</v>
      </c>
      <c r="AE101" s="133"/>
      <c r="AF101" s="138" t="s">
        <v>35</v>
      </c>
      <c r="AG101" s="138" t="s">
        <v>35</v>
      </c>
      <c r="AH101" s="138" t="s">
        <v>35</v>
      </c>
      <c r="AI101" s="138" t="s">
        <v>35</v>
      </c>
      <c r="AJ101" s="138" t="s">
        <v>35</v>
      </c>
      <c r="AK101" s="138" t="s">
        <v>35</v>
      </c>
      <c r="AL101" s="138" t="s">
        <v>35</v>
      </c>
      <c r="AM101" s="138" t="s">
        <v>35</v>
      </c>
      <c r="AN101" s="138" t="s">
        <v>35</v>
      </c>
      <c r="AO101" s="138" t="s">
        <v>35</v>
      </c>
      <c r="AP101" s="138" t="s">
        <v>35</v>
      </c>
      <c r="AQ101" s="138" t="s">
        <v>35</v>
      </c>
      <c r="AR101" s="145" t="s">
        <v>35</v>
      </c>
      <c r="AT101" s="153">
        <f t="shared" si="307"/>
        <v>-980.62308353152878</v>
      </c>
    </row>
    <row r="102" spans="2:46">
      <c r="B102" s="136" t="str">
        <f>B84&amp;"(%)"</f>
        <v>Asia Pacific(%)</v>
      </c>
      <c r="C102" s="134" t="s">
        <v>35</v>
      </c>
      <c r="D102" s="134" t="s">
        <v>35</v>
      </c>
      <c r="E102" s="134" t="s">
        <v>35</v>
      </c>
      <c r="F102" s="134" t="s">
        <v>35</v>
      </c>
      <c r="G102" s="134" t="s">
        <v>35</v>
      </c>
      <c r="H102" s="134" t="s">
        <v>35</v>
      </c>
      <c r="I102" s="134" t="s">
        <v>35</v>
      </c>
      <c r="J102" s="134" t="s">
        <v>35</v>
      </c>
      <c r="K102" s="134" t="s">
        <v>35</v>
      </c>
      <c r="L102" s="134" t="s">
        <v>35</v>
      </c>
      <c r="M102" s="134"/>
      <c r="N102" s="139" t="s">
        <v>35</v>
      </c>
      <c r="O102" s="139">
        <f t="shared" ref="O102:AD102" si="310">SUM(O84/N84)-1</f>
        <v>-0.28679796589216977</v>
      </c>
      <c r="P102" s="139">
        <f t="shared" si="310"/>
        <v>-0.18243056923379952</v>
      </c>
      <c r="Q102" s="139">
        <f t="shared" si="310"/>
        <v>5.2471812662619355E-2</v>
      </c>
      <c r="R102" s="139">
        <f t="shared" si="310"/>
        <v>0.53092523920706869</v>
      </c>
      <c r="S102" s="139">
        <f t="shared" si="310"/>
        <v>-0.22455143540669853</v>
      </c>
      <c r="T102" s="139">
        <f t="shared" si="310"/>
        <v>-0.17519571169642512</v>
      </c>
      <c r="U102" s="139">
        <f t="shared" si="310"/>
        <v>1.262390125303936E-3</v>
      </c>
      <c r="V102" s="139">
        <f t="shared" si="310"/>
        <v>0.44669624095260341</v>
      </c>
      <c r="W102" s="139">
        <f t="shared" si="310"/>
        <v>-0.25454310706562089</v>
      </c>
      <c r="X102" s="139">
        <f t="shared" si="310"/>
        <v>-8.5602944360251176E-2</v>
      </c>
      <c r="Y102" s="139">
        <f t="shared" si="310"/>
        <v>6.1464153802443411E-2</v>
      </c>
      <c r="Z102" s="139">
        <f t="shared" si="310"/>
        <v>0.28497501784439683</v>
      </c>
      <c r="AA102" s="139">
        <f t="shared" si="310"/>
        <v>-0.19136231079016808</v>
      </c>
      <c r="AB102" s="139">
        <f t="shared" si="310"/>
        <v>-1.0733298986776552E-2</v>
      </c>
      <c r="AC102" s="139">
        <f t="shared" si="310"/>
        <v>-4.6436941237739671E-3</v>
      </c>
      <c r="AD102" s="139">
        <f t="shared" si="310"/>
        <v>0.64238064094179204</v>
      </c>
      <c r="AE102" s="134"/>
      <c r="AF102" s="139" t="s">
        <v>35</v>
      </c>
      <c r="AG102" s="139" t="s">
        <v>35</v>
      </c>
      <c r="AH102" s="139" t="s">
        <v>35</v>
      </c>
      <c r="AI102" s="139" t="s">
        <v>35</v>
      </c>
      <c r="AJ102" s="139" t="s">
        <v>35</v>
      </c>
      <c r="AK102" s="139" t="s">
        <v>35</v>
      </c>
      <c r="AL102" s="139" t="s">
        <v>35</v>
      </c>
      <c r="AM102" s="139" t="s">
        <v>35</v>
      </c>
      <c r="AN102" s="139" t="s">
        <v>35</v>
      </c>
      <c r="AO102" s="139" t="s">
        <v>35</v>
      </c>
      <c r="AP102" s="139" t="s">
        <v>35</v>
      </c>
      <c r="AQ102" s="139" t="s">
        <v>35</v>
      </c>
      <c r="AR102" s="146" t="s">
        <v>35</v>
      </c>
      <c r="AT102" s="153">
        <f t="shared" si="307"/>
        <v>3574.0562309739521</v>
      </c>
    </row>
  </sheetData>
  <mergeCells count="1">
    <mergeCell ref="AT2:AT4"/>
  </mergeCells>
  <pageMargins left="0.7" right="0.7" top="0.75" bottom="0.75" header="0.3" footer="0.3"/>
  <ignoredErrors>
    <ignoredError sqref="AC81:AC85 U81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U82"/>
  <sheetViews>
    <sheetView showGridLines="0" tabSelected="1" zoomScaleNormal="100" workbookViewId="0">
      <selection activeCell="K23" sqref="K23"/>
    </sheetView>
  </sheetViews>
  <sheetFormatPr defaultRowHeight="12" outlineLevelCol="1"/>
  <cols>
    <col min="1" max="1" width="1.5" style="8" customWidth="1"/>
    <col min="2" max="2" width="46.5" style="8" bestFit="1" customWidth="1"/>
    <col min="3" max="8" width="8.25" style="8" hidden="1" customWidth="1" outlineLevel="1"/>
    <col min="9" max="9" width="8.625" style="8" hidden="1" customWidth="1" outlineLevel="1"/>
    <col min="10" max="10" width="8.625" style="8" customWidth="1" collapsed="1"/>
    <col min="11" max="12" width="8.625" style="8" customWidth="1"/>
    <col min="13" max="13" width="1.5" style="8" customWidth="1"/>
    <col min="14" max="14" width="8.625" style="8" hidden="1" customWidth="1" outlineLevel="1"/>
    <col min="15" max="16" width="7.875" style="8" hidden="1" customWidth="1" outlineLevel="1"/>
    <col min="17" max="17" width="8.75" style="8" hidden="1" customWidth="1" outlineLevel="1"/>
    <col min="18" max="18" width="8.625" style="8" hidden="1" customWidth="1" outlineLevel="1"/>
    <col min="19" max="20" width="8" style="8" hidden="1" customWidth="1" outlineLevel="1"/>
    <col min="21" max="21" width="8.75" style="8" hidden="1" customWidth="1" outlineLevel="1"/>
    <col min="22" max="22" width="8.5" style="8" hidden="1" customWidth="1" outlineLevel="1"/>
    <col min="23" max="23" width="8.25" style="8" hidden="1" customWidth="1" outlineLevel="1"/>
    <col min="24" max="24" width="8.5" style="8" hidden="1" customWidth="1" outlineLevel="1"/>
    <col min="25" max="25" width="9.125" style="8" hidden="1" customWidth="1" outlineLevel="1" collapsed="1"/>
    <col min="26" max="26" width="8.625" style="8" customWidth="1" collapsed="1"/>
    <col min="27" max="30" width="8.625" style="8" customWidth="1"/>
    <col min="31" max="31" width="1.5" style="8" customWidth="1"/>
    <col min="32" max="39" width="8.75" style="8" hidden="1" customWidth="1" outlineLevel="1"/>
    <col min="40" max="40" width="8.75" style="8" hidden="1" customWidth="1" outlineLevel="1" collapsed="1"/>
    <col min="41" max="41" width="8.625" style="8" bestFit="1" customWidth="1" collapsed="1"/>
    <col min="42" max="44" width="7.875" style="8" hidden="1" customWidth="1" outlineLevel="1"/>
    <col min="45" max="45" width="8.625" style="8" bestFit="1" customWidth="1" collapsed="1"/>
    <col min="46" max="46" width="1.5" style="8" customWidth="1"/>
    <col min="47" max="47" width="9.875" style="8" bestFit="1" customWidth="1"/>
    <col min="48" max="16384" width="9" style="8"/>
  </cols>
  <sheetData>
    <row r="2" spans="2:47" s="5" customFormat="1" ht="12.75" customHeight="1">
      <c r="B2" s="1" t="s">
        <v>103</v>
      </c>
      <c r="C2" s="2" t="s">
        <v>0</v>
      </c>
      <c r="D2" s="2"/>
      <c r="E2" s="2"/>
      <c r="F2" s="2"/>
      <c r="G2" s="2"/>
      <c r="H2" s="2"/>
      <c r="I2" s="2"/>
      <c r="J2" s="2" t="s">
        <v>0</v>
      </c>
      <c r="K2" s="2"/>
      <c r="L2" s="2"/>
      <c r="M2" s="3"/>
      <c r="N2" s="2" t="s">
        <v>1</v>
      </c>
      <c r="O2" s="2"/>
      <c r="P2" s="2"/>
      <c r="Q2" s="2"/>
      <c r="R2" s="2"/>
      <c r="S2" s="2"/>
      <c r="T2" s="2"/>
      <c r="U2" s="2"/>
      <c r="V2" s="2"/>
      <c r="W2" s="2"/>
      <c r="X2" s="2"/>
      <c r="Y2" s="2" t="s">
        <v>1</v>
      </c>
      <c r="Z2" s="2" t="s">
        <v>1</v>
      </c>
      <c r="AA2" s="2"/>
      <c r="AB2" s="2"/>
      <c r="AC2" s="2"/>
      <c r="AD2" s="2"/>
      <c r="AE2" s="3"/>
      <c r="AF2" s="2" t="s">
        <v>10</v>
      </c>
      <c r="AG2" s="2"/>
      <c r="AH2" s="2"/>
      <c r="AI2" s="2"/>
      <c r="AJ2" s="2" t="s">
        <v>10</v>
      </c>
      <c r="AK2" s="2"/>
      <c r="AL2" s="2"/>
      <c r="AM2" s="2" t="s">
        <v>10</v>
      </c>
      <c r="AN2" s="2" t="s">
        <v>10</v>
      </c>
      <c r="AO2" s="2" t="s">
        <v>10</v>
      </c>
      <c r="AP2" s="2"/>
      <c r="AQ2" s="2"/>
      <c r="AR2" s="2"/>
      <c r="AS2" s="2"/>
      <c r="AT2" s="3"/>
      <c r="AU2" s="154" t="s">
        <v>25</v>
      </c>
    </row>
    <row r="3" spans="2:47" s="5" customFormat="1" ht="12.75" customHeight="1">
      <c r="B3" s="6" t="s">
        <v>26</v>
      </c>
      <c r="C3" s="7">
        <f>'Historical Financials'!C7</f>
        <v>2016</v>
      </c>
      <c r="D3" s="7">
        <f>'Historical Financials'!D7</f>
        <v>2017</v>
      </c>
      <c r="E3" s="7">
        <f>'Historical Financials'!E7</f>
        <v>2018</v>
      </c>
      <c r="F3" s="7">
        <f>'Historical Financials'!F7</f>
        <v>2019</v>
      </c>
      <c r="G3" s="7">
        <f>'Historical Financials'!G7</f>
        <v>2020</v>
      </c>
      <c r="H3" s="7">
        <f>'Historical Financials'!H7</f>
        <v>2021</v>
      </c>
      <c r="I3" s="7">
        <f>'Historical Financials'!I7</f>
        <v>2022</v>
      </c>
      <c r="J3" s="7">
        <f>'Historical Financials'!J7</f>
        <v>2023</v>
      </c>
      <c r="K3" s="7">
        <f>'Historical Financials'!K7</f>
        <v>2024</v>
      </c>
      <c r="L3" s="7">
        <f>'Historical Financials'!L7</f>
        <v>2025</v>
      </c>
      <c r="M3" s="3"/>
      <c r="N3" s="7" t="str">
        <f>'Historical Financials'!N7</f>
        <v>1Q22</v>
      </c>
      <c r="O3" s="7" t="str">
        <f>'Historical Financials'!O7</f>
        <v>2Q22</v>
      </c>
      <c r="P3" s="7" t="str">
        <f>'Historical Financials'!P7</f>
        <v>3Q22</v>
      </c>
      <c r="Q3" s="7" t="str">
        <f>'Historical Financials'!Q7</f>
        <v>4Q22</v>
      </c>
      <c r="R3" s="7" t="str">
        <f>'Historical Financials'!R7</f>
        <v>1Q23</v>
      </c>
      <c r="S3" s="7" t="str">
        <f>'Historical Financials'!S7</f>
        <v>2Q23</v>
      </c>
      <c r="T3" s="7" t="str">
        <f>'Historical Financials'!T7</f>
        <v>3Q23</v>
      </c>
      <c r="U3" s="7" t="str">
        <f>'Historical Financials'!U7</f>
        <v>4Q23</v>
      </c>
      <c r="V3" s="7" t="str">
        <f>'Historical Financials'!V7</f>
        <v>1Q24</v>
      </c>
      <c r="W3" s="7" t="str">
        <f>'Historical Financials'!W7</f>
        <v>2Q24</v>
      </c>
      <c r="X3" s="7" t="str">
        <f>'Historical Financials'!X7</f>
        <v>3Q24</v>
      </c>
      <c r="Y3" s="7" t="str">
        <f>'Historical Financials'!Y7</f>
        <v>4Q24</v>
      </c>
      <c r="Z3" s="7" t="str">
        <f>'Historical Financials'!Z7</f>
        <v>1Q25</v>
      </c>
      <c r="AA3" s="7" t="str">
        <f>'Historical Financials'!AA7</f>
        <v>2Q25</v>
      </c>
      <c r="AB3" s="7" t="str">
        <f>'Historical Financials'!AB7</f>
        <v>3Q25</v>
      </c>
      <c r="AC3" s="7" t="str">
        <f>'Historical Financials'!AC7</f>
        <v>4Q25</v>
      </c>
      <c r="AD3" s="7" t="str">
        <f>'Historical Financials'!AD7</f>
        <v>1Q26</v>
      </c>
      <c r="AE3" s="4"/>
      <c r="AF3" s="4" t="str">
        <f>Q3</f>
        <v>4Q22</v>
      </c>
      <c r="AG3" s="4" t="str">
        <f>R3</f>
        <v>1Q23</v>
      </c>
      <c r="AH3" s="4" t="str">
        <f>S3</f>
        <v>2Q23</v>
      </c>
      <c r="AI3" s="4" t="str">
        <f>T3</f>
        <v>3Q23</v>
      </c>
      <c r="AJ3" s="4" t="str">
        <f>U3</f>
        <v>4Q23</v>
      </c>
      <c r="AK3" s="4" t="str">
        <f>V3</f>
        <v>1Q24</v>
      </c>
      <c r="AL3" s="4" t="str">
        <f>W3</f>
        <v>2Q24</v>
      </c>
      <c r="AM3" s="4" t="str">
        <f>X3</f>
        <v>3Q24</v>
      </c>
      <c r="AN3" s="4" t="str">
        <f>Y3</f>
        <v>4Q24</v>
      </c>
      <c r="AO3" s="4" t="str">
        <f>Z3</f>
        <v>1Q25</v>
      </c>
      <c r="AP3" s="4" t="str">
        <f>AA3</f>
        <v>2Q25</v>
      </c>
      <c r="AQ3" s="4" t="str">
        <f>AB3</f>
        <v>3Q25</v>
      </c>
      <c r="AR3" s="4" t="str">
        <f>AC3</f>
        <v>4Q25</v>
      </c>
      <c r="AS3" s="4" t="str">
        <f>AD3</f>
        <v>1Q26</v>
      </c>
      <c r="AT3" s="3"/>
      <c r="AU3" s="154"/>
    </row>
    <row r="4" spans="2:47" s="5" customFormat="1" ht="12.75" customHeight="1">
      <c r="B4" s="147" t="s">
        <v>176</v>
      </c>
      <c r="C4" s="3">
        <f>'Historical Financials'!C8</f>
        <v>42643</v>
      </c>
      <c r="D4" s="3">
        <f>'Historical Financials'!D8</f>
        <v>43008</v>
      </c>
      <c r="E4" s="3">
        <f>'Historical Financials'!E8</f>
        <v>43372</v>
      </c>
      <c r="F4" s="3">
        <f>'Historical Financials'!F8</f>
        <v>43737</v>
      </c>
      <c r="G4" s="3">
        <f>'Historical Financials'!G8</f>
        <v>44104</v>
      </c>
      <c r="H4" s="3">
        <f>'Historical Financials'!H8</f>
        <v>44469</v>
      </c>
      <c r="I4" s="3">
        <f>'Historical Financials'!I8</f>
        <v>44834</v>
      </c>
      <c r="J4" s="3">
        <f>'Historical Financials'!J8</f>
        <v>45192</v>
      </c>
      <c r="K4" s="3">
        <f>'Historical Financials'!K8</f>
        <v>45559</v>
      </c>
      <c r="L4" s="3">
        <f>'Historical Financials'!L8</f>
        <v>45927</v>
      </c>
      <c r="M4" s="3"/>
      <c r="N4" s="3">
        <f>'Historical Financials'!N8</f>
        <v>44560</v>
      </c>
      <c r="O4" s="3">
        <f>'Historical Financials'!O8</f>
        <v>44650</v>
      </c>
      <c r="P4" s="3">
        <f>'Historical Financials'!P8</f>
        <v>44742</v>
      </c>
      <c r="Q4" s="3">
        <f>'Historical Financials'!Q8</f>
        <v>44834</v>
      </c>
      <c r="R4" s="3">
        <f>'Historical Financials'!R8</f>
        <v>44917</v>
      </c>
      <c r="S4" s="3">
        <f>'Historical Financials'!S8</f>
        <v>45008</v>
      </c>
      <c r="T4" s="3">
        <f>'Historical Financials'!T8</f>
        <v>45100</v>
      </c>
      <c r="U4" s="3">
        <f>'Historical Financials'!U8</f>
        <v>45192</v>
      </c>
      <c r="V4" s="3">
        <f>'Historical Financials'!V8</f>
        <v>45283</v>
      </c>
      <c r="W4" s="3">
        <f>'Historical Financials'!W8</f>
        <v>45375</v>
      </c>
      <c r="X4" s="3">
        <f>'Historical Financials'!X8</f>
        <v>45467</v>
      </c>
      <c r="Y4" s="3">
        <f>'Historical Financials'!Y8</f>
        <v>45559</v>
      </c>
      <c r="Z4" s="3">
        <f>'Historical Financials'!Z8</f>
        <v>45650</v>
      </c>
      <c r="AA4" s="3">
        <f>'Historical Financials'!AA8</f>
        <v>45741</v>
      </c>
      <c r="AB4" s="3">
        <f>'Historical Financials'!AB8</f>
        <v>45833</v>
      </c>
      <c r="AC4" s="3">
        <f>'Historical Financials'!AC8</f>
        <v>45927</v>
      </c>
      <c r="AD4" s="3">
        <f>'Historical Financials'!AD8</f>
        <v>46018</v>
      </c>
      <c r="AE4" s="3"/>
      <c r="AF4" s="3">
        <f>Q4</f>
        <v>44834</v>
      </c>
      <c r="AG4" s="3">
        <f>R4</f>
        <v>44917</v>
      </c>
      <c r="AH4" s="3">
        <f>S4</f>
        <v>45008</v>
      </c>
      <c r="AI4" s="3">
        <f>T4</f>
        <v>45100</v>
      </c>
      <c r="AJ4" s="3">
        <f>U4</f>
        <v>45192</v>
      </c>
      <c r="AK4" s="3">
        <f>V4</f>
        <v>45283</v>
      </c>
      <c r="AL4" s="3">
        <f>W4</f>
        <v>45375</v>
      </c>
      <c r="AM4" s="3">
        <f>X4</f>
        <v>45467</v>
      </c>
      <c r="AN4" s="3">
        <f>Y4</f>
        <v>45559</v>
      </c>
      <c r="AO4" s="3">
        <f>Z4</f>
        <v>45650</v>
      </c>
      <c r="AP4" s="3">
        <f>AA4</f>
        <v>45741</v>
      </c>
      <c r="AQ4" s="3">
        <f>AB4</f>
        <v>45833</v>
      </c>
      <c r="AR4" s="3">
        <f>AC4</f>
        <v>45927</v>
      </c>
      <c r="AS4" s="3">
        <f>AD4</f>
        <v>46018</v>
      </c>
      <c r="AT4" s="3"/>
      <c r="AU4" s="154"/>
    </row>
    <row r="5" spans="2:47" ht="5.0999999999999996" customHeight="1">
      <c r="AU5" s="9"/>
    </row>
    <row r="6" spans="2:47" ht="12.75" customHeight="1">
      <c r="B6" s="10" t="str">
        <f>'Revenue Drivers'!B9</f>
        <v>iPhone Revenue</v>
      </c>
      <c r="C6" s="113">
        <f>'Revenue Drivers'!C9</f>
        <v>136700</v>
      </c>
      <c r="D6" s="113">
        <f>'Revenue Drivers'!D9</f>
        <v>141319</v>
      </c>
      <c r="E6" s="113">
        <f>'Revenue Drivers'!E9</f>
        <v>164888</v>
      </c>
      <c r="F6" s="113">
        <f>'Revenue Drivers'!F9</f>
        <v>142381</v>
      </c>
      <c r="G6" s="113">
        <f>'Revenue Drivers'!G9</f>
        <v>137781</v>
      </c>
      <c r="H6" s="113">
        <f>'Revenue Drivers'!H9</f>
        <v>191973</v>
      </c>
      <c r="I6" s="113">
        <f>'Revenue Drivers'!I9</f>
        <v>205489</v>
      </c>
      <c r="J6" s="113">
        <f>'Revenue Drivers'!J9</f>
        <v>200583</v>
      </c>
      <c r="K6" s="113">
        <f>'Revenue Drivers'!K9</f>
        <v>201183</v>
      </c>
      <c r="L6" s="113">
        <f>'Revenue Drivers'!L9</f>
        <v>209586</v>
      </c>
      <c r="M6" s="11"/>
      <c r="N6" s="113">
        <f>'Revenue Drivers'!N9</f>
        <v>71628</v>
      </c>
      <c r="O6" s="113">
        <f>'Revenue Drivers'!O9</f>
        <v>50570</v>
      </c>
      <c r="P6" s="113">
        <f>'Revenue Drivers'!P9</f>
        <v>40665</v>
      </c>
      <c r="Q6" s="113">
        <f>'Revenue Drivers'!Q9</f>
        <v>42626</v>
      </c>
      <c r="R6" s="113">
        <f>'Revenue Drivers'!R9</f>
        <v>65775</v>
      </c>
      <c r="S6" s="113">
        <f>'Revenue Drivers'!S9</f>
        <v>51334</v>
      </c>
      <c r="T6" s="113">
        <f>'Revenue Drivers'!T9</f>
        <v>39669</v>
      </c>
      <c r="U6" s="113">
        <f>'Revenue Drivers'!U9</f>
        <v>43805</v>
      </c>
      <c r="V6" s="113">
        <f>'Revenue Drivers'!V9</f>
        <v>69702</v>
      </c>
      <c r="W6" s="113">
        <f>'Revenue Drivers'!W9</f>
        <v>45963</v>
      </c>
      <c r="X6" s="113">
        <f>'Revenue Drivers'!X9</f>
        <v>39296</v>
      </c>
      <c r="Y6" s="113">
        <f>'Revenue Drivers'!Y9</f>
        <v>46222</v>
      </c>
      <c r="Z6" s="113">
        <f>'Revenue Drivers'!Z9</f>
        <v>69138</v>
      </c>
      <c r="AA6" s="113">
        <f>'Revenue Drivers'!AA9</f>
        <v>46841</v>
      </c>
      <c r="AB6" s="113">
        <f>'Revenue Drivers'!AB9</f>
        <v>44582</v>
      </c>
      <c r="AC6" s="113">
        <f>'Revenue Drivers'!AC9</f>
        <v>49025</v>
      </c>
      <c r="AD6" s="113">
        <f>'Revenue Drivers'!AD9</f>
        <v>85269</v>
      </c>
      <c r="AE6" s="5"/>
      <c r="AF6" s="11">
        <f t="shared" ref="AF6:AF10" si="0">SUM(N6:Q6)</f>
        <v>205489</v>
      </c>
      <c r="AG6" s="11">
        <f t="shared" ref="AG6:AG10" si="1">SUM(O6:R6)</f>
        <v>199636</v>
      </c>
      <c r="AH6" s="11">
        <f t="shared" ref="AH6:AH10" si="2">SUM(P6:S6)</f>
        <v>200400</v>
      </c>
      <c r="AI6" s="11">
        <f t="shared" ref="AI6:AI10" si="3">SUM(Q6:T6)</f>
        <v>199404</v>
      </c>
      <c r="AJ6" s="11">
        <f t="shared" ref="AJ6:AJ10" si="4">SUM(R6:U6)</f>
        <v>200583</v>
      </c>
      <c r="AK6" s="11">
        <f t="shared" ref="AK6:AK10" si="5">SUM(S6:V6)</f>
        <v>204510</v>
      </c>
      <c r="AL6" s="11">
        <f t="shared" ref="AL6:AL10" si="6">SUM(T6:W6)</f>
        <v>199139</v>
      </c>
      <c r="AM6" s="11">
        <f t="shared" ref="AM6:AM10" si="7">SUM(U6:X6)</f>
        <v>198766</v>
      </c>
      <c r="AN6" s="11">
        <f t="shared" ref="AN6:AN10" si="8">SUM(V6:Y6)</f>
        <v>201183</v>
      </c>
      <c r="AO6" s="11">
        <f t="shared" ref="AO6:AO10" si="9">SUM(W6:Z6)</f>
        <v>200619</v>
      </c>
      <c r="AP6" s="11">
        <f t="shared" ref="AP6:AP10" si="10">SUM(X6:AA6)</f>
        <v>201497</v>
      </c>
      <c r="AQ6" s="11">
        <f>SUM(Y6:AB6)</f>
        <v>206783</v>
      </c>
      <c r="AR6" s="11">
        <f>SUM(Z6:AC6)</f>
        <v>209586</v>
      </c>
      <c r="AS6" s="11">
        <f>SUM(AA6:AD6)</f>
        <v>225717</v>
      </c>
      <c r="AU6" s="13">
        <f>SUM(AS6/AO6)-1</f>
        <v>0.12510280681291408</v>
      </c>
    </row>
    <row r="7" spans="2:47" ht="12.75" customHeight="1">
      <c r="B7" s="10" t="str">
        <f>'Revenue Drivers'!B10</f>
        <v>Mac Revenue</v>
      </c>
      <c r="C7" s="113">
        <f>'Revenue Drivers'!C10</f>
        <v>22831</v>
      </c>
      <c r="D7" s="113">
        <f>'Revenue Drivers'!D10</f>
        <v>25850</v>
      </c>
      <c r="E7" s="113">
        <f>'Revenue Drivers'!E10</f>
        <v>25198</v>
      </c>
      <c r="F7" s="113">
        <f>'Revenue Drivers'!F10</f>
        <v>25740</v>
      </c>
      <c r="G7" s="113">
        <f>'Revenue Drivers'!G10</f>
        <v>28622</v>
      </c>
      <c r="H7" s="113">
        <f>'Revenue Drivers'!H10</f>
        <v>35190</v>
      </c>
      <c r="I7" s="113">
        <f>'Revenue Drivers'!I10</f>
        <v>40177</v>
      </c>
      <c r="J7" s="113">
        <f>'Revenue Drivers'!J10</f>
        <v>29357</v>
      </c>
      <c r="K7" s="113">
        <f>'Revenue Drivers'!K10</f>
        <v>29984</v>
      </c>
      <c r="L7" s="113">
        <f>'Revenue Drivers'!L10</f>
        <v>33708</v>
      </c>
      <c r="M7" s="11"/>
      <c r="N7" s="113">
        <f>'Revenue Drivers'!N10</f>
        <v>10852</v>
      </c>
      <c r="O7" s="113">
        <f>'Revenue Drivers'!O10</f>
        <v>10435</v>
      </c>
      <c r="P7" s="113">
        <f>'Revenue Drivers'!P10</f>
        <v>7382</v>
      </c>
      <c r="Q7" s="113">
        <f>'Revenue Drivers'!Q10</f>
        <v>11508</v>
      </c>
      <c r="R7" s="113">
        <f>'Revenue Drivers'!R10</f>
        <v>7735</v>
      </c>
      <c r="S7" s="113">
        <f>'Revenue Drivers'!S10</f>
        <v>7168</v>
      </c>
      <c r="T7" s="113">
        <f>'Revenue Drivers'!T10</f>
        <v>6840</v>
      </c>
      <c r="U7" s="113">
        <f>'Revenue Drivers'!U10</f>
        <v>7614</v>
      </c>
      <c r="V7" s="113">
        <f>'Revenue Drivers'!V10</f>
        <v>7780</v>
      </c>
      <c r="W7" s="113">
        <f>'Revenue Drivers'!W10</f>
        <v>7451</v>
      </c>
      <c r="X7" s="113">
        <f>'Revenue Drivers'!X10</f>
        <v>7009</v>
      </c>
      <c r="Y7" s="113">
        <f>'Revenue Drivers'!Y10</f>
        <v>7744</v>
      </c>
      <c r="Z7" s="113">
        <f>'Revenue Drivers'!Z10</f>
        <v>8987</v>
      </c>
      <c r="AA7" s="113">
        <f>'Revenue Drivers'!AA10</f>
        <v>7949</v>
      </c>
      <c r="AB7" s="113">
        <f>'Revenue Drivers'!AB10</f>
        <v>8046</v>
      </c>
      <c r="AC7" s="113">
        <f>'Revenue Drivers'!AC10</f>
        <v>8726</v>
      </c>
      <c r="AD7" s="113">
        <f>'Revenue Drivers'!AD10</f>
        <v>8386</v>
      </c>
      <c r="AE7" s="5"/>
      <c r="AF7" s="11">
        <f t="shared" si="0"/>
        <v>40177</v>
      </c>
      <c r="AG7" s="11">
        <f t="shared" si="1"/>
        <v>37060</v>
      </c>
      <c r="AH7" s="11">
        <f t="shared" si="2"/>
        <v>33793</v>
      </c>
      <c r="AI7" s="11">
        <f t="shared" si="3"/>
        <v>33251</v>
      </c>
      <c r="AJ7" s="11">
        <f t="shared" si="4"/>
        <v>29357</v>
      </c>
      <c r="AK7" s="11">
        <f t="shared" si="5"/>
        <v>29402</v>
      </c>
      <c r="AL7" s="11">
        <f t="shared" si="6"/>
        <v>29685</v>
      </c>
      <c r="AM7" s="11">
        <f t="shared" si="7"/>
        <v>29854</v>
      </c>
      <c r="AN7" s="11">
        <f t="shared" si="8"/>
        <v>29984</v>
      </c>
      <c r="AO7" s="11">
        <f t="shared" si="9"/>
        <v>31191</v>
      </c>
      <c r="AP7" s="11">
        <f t="shared" si="10"/>
        <v>31689</v>
      </c>
      <c r="AQ7" s="11">
        <f>SUM(Y7:AB7)</f>
        <v>32726</v>
      </c>
      <c r="AR7" s="11">
        <f>SUM(Z7:AC7)</f>
        <v>33708</v>
      </c>
      <c r="AS7" s="11">
        <f>SUM(AA7:AD7)</f>
        <v>33107</v>
      </c>
      <c r="AU7" s="13">
        <f t="shared" ref="AU7:AU11" si="11">SUM(AS7/AO7)-1</f>
        <v>6.1427976018723296E-2</v>
      </c>
    </row>
    <row r="8" spans="2:47" ht="12.75" customHeight="1">
      <c r="B8" s="10" t="str">
        <f>'Revenue Drivers'!B11</f>
        <v>iPad Revenue</v>
      </c>
      <c r="C8" s="113">
        <f>'Revenue Drivers'!C11</f>
        <v>20628</v>
      </c>
      <c r="D8" s="113">
        <f>'Revenue Drivers'!D11</f>
        <v>19222</v>
      </c>
      <c r="E8" s="113">
        <f>'Revenue Drivers'!E11</f>
        <v>18380</v>
      </c>
      <c r="F8" s="113">
        <f>'Revenue Drivers'!F11</f>
        <v>21280</v>
      </c>
      <c r="G8" s="113">
        <f>'Revenue Drivers'!G11</f>
        <v>23724</v>
      </c>
      <c r="H8" s="113">
        <f>'Revenue Drivers'!H11</f>
        <v>31862</v>
      </c>
      <c r="I8" s="113">
        <f>'Revenue Drivers'!I11</f>
        <v>29292</v>
      </c>
      <c r="J8" s="113">
        <f>'Revenue Drivers'!J11</f>
        <v>28300</v>
      </c>
      <c r="K8" s="113">
        <f>'Revenue Drivers'!K11</f>
        <v>26694</v>
      </c>
      <c r="L8" s="113">
        <f>'Revenue Drivers'!L11</f>
        <v>28023</v>
      </c>
      <c r="M8" s="11"/>
      <c r="N8" s="113">
        <f>'Revenue Drivers'!N11</f>
        <v>7248</v>
      </c>
      <c r="O8" s="113">
        <f>'Revenue Drivers'!O11</f>
        <v>7646</v>
      </c>
      <c r="P8" s="113">
        <f>'Revenue Drivers'!P11</f>
        <v>7224</v>
      </c>
      <c r="Q8" s="113">
        <f>'Revenue Drivers'!Q11</f>
        <v>7174</v>
      </c>
      <c r="R8" s="113">
        <f>'Revenue Drivers'!R11</f>
        <v>9396</v>
      </c>
      <c r="S8" s="113">
        <f>'Revenue Drivers'!S11</f>
        <v>6670</v>
      </c>
      <c r="T8" s="113">
        <f>'Revenue Drivers'!T11</f>
        <v>5791</v>
      </c>
      <c r="U8" s="113">
        <f>'Revenue Drivers'!U11</f>
        <v>6443</v>
      </c>
      <c r="V8" s="113">
        <f>'Revenue Drivers'!V11</f>
        <v>7023</v>
      </c>
      <c r="W8" s="113">
        <f>'Revenue Drivers'!W11</f>
        <v>5559</v>
      </c>
      <c r="X8" s="113">
        <f>'Revenue Drivers'!X11</f>
        <v>7162</v>
      </c>
      <c r="Y8" s="113">
        <f>'Revenue Drivers'!Y11</f>
        <v>6950</v>
      </c>
      <c r="Z8" s="113">
        <f>'Revenue Drivers'!Z11</f>
        <v>8088</v>
      </c>
      <c r="AA8" s="113">
        <f>'Revenue Drivers'!AA11</f>
        <v>6402</v>
      </c>
      <c r="AB8" s="113">
        <f>'Revenue Drivers'!AB11</f>
        <v>6581</v>
      </c>
      <c r="AC8" s="113">
        <f>'Revenue Drivers'!AC11</f>
        <v>6952</v>
      </c>
      <c r="AD8" s="113">
        <f>'Revenue Drivers'!AD11</f>
        <v>8595</v>
      </c>
      <c r="AE8" s="5"/>
      <c r="AF8" s="11">
        <f t="shared" si="0"/>
        <v>29292</v>
      </c>
      <c r="AG8" s="11">
        <f t="shared" si="1"/>
        <v>31440</v>
      </c>
      <c r="AH8" s="11">
        <f t="shared" si="2"/>
        <v>30464</v>
      </c>
      <c r="AI8" s="11">
        <f t="shared" si="3"/>
        <v>29031</v>
      </c>
      <c r="AJ8" s="11">
        <f t="shared" si="4"/>
        <v>28300</v>
      </c>
      <c r="AK8" s="11">
        <f t="shared" si="5"/>
        <v>25927</v>
      </c>
      <c r="AL8" s="11">
        <f t="shared" si="6"/>
        <v>24816</v>
      </c>
      <c r="AM8" s="11">
        <f t="shared" si="7"/>
        <v>26187</v>
      </c>
      <c r="AN8" s="11">
        <f t="shared" si="8"/>
        <v>26694</v>
      </c>
      <c r="AO8" s="11">
        <f t="shared" si="9"/>
        <v>27759</v>
      </c>
      <c r="AP8" s="11">
        <f t="shared" si="10"/>
        <v>28602</v>
      </c>
      <c r="AQ8" s="11">
        <f>SUM(Y8:AB8)</f>
        <v>28021</v>
      </c>
      <c r="AR8" s="11">
        <f>SUM(Z8:AC8)</f>
        <v>28023</v>
      </c>
      <c r="AS8" s="11">
        <f>SUM(AA8:AD8)</f>
        <v>28530</v>
      </c>
      <c r="AU8" s="13">
        <f t="shared" si="11"/>
        <v>2.7774775748405922E-2</v>
      </c>
    </row>
    <row r="9" spans="2:47" ht="12.75" customHeight="1">
      <c r="B9" s="10" t="str">
        <f>'Revenue Drivers'!B12</f>
        <v>Services Revenue</v>
      </c>
      <c r="C9" s="113">
        <f>'Revenue Drivers'!C12</f>
        <v>24348</v>
      </c>
      <c r="D9" s="113">
        <f>'Revenue Drivers'!D12</f>
        <v>29980</v>
      </c>
      <c r="E9" s="113">
        <f>'Revenue Drivers'!E12</f>
        <v>39748</v>
      </c>
      <c r="F9" s="113">
        <f>'Revenue Drivers'!F12</f>
        <v>46291</v>
      </c>
      <c r="G9" s="113">
        <f>'Revenue Drivers'!G12</f>
        <v>53768</v>
      </c>
      <c r="H9" s="113">
        <f>'Revenue Drivers'!H12</f>
        <v>68425</v>
      </c>
      <c r="I9" s="113">
        <f>'Revenue Drivers'!I12</f>
        <v>78129</v>
      </c>
      <c r="J9" s="113">
        <f>'Revenue Drivers'!J12</f>
        <v>85200</v>
      </c>
      <c r="K9" s="113">
        <f>'Revenue Drivers'!K12</f>
        <v>96169</v>
      </c>
      <c r="L9" s="113">
        <f>'Revenue Drivers'!L12</f>
        <v>109158</v>
      </c>
      <c r="M9" s="11"/>
      <c r="N9" s="113">
        <f>'Revenue Drivers'!N12</f>
        <v>19516</v>
      </c>
      <c r="O9" s="113">
        <f>'Revenue Drivers'!O12</f>
        <v>19821</v>
      </c>
      <c r="P9" s="113">
        <f>'Revenue Drivers'!P12</f>
        <v>19604</v>
      </c>
      <c r="Q9" s="113">
        <f>'Revenue Drivers'!Q12</f>
        <v>19188</v>
      </c>
      <c r="R9" s="113">
        <f>'Revenue Drivers'!R12</f>
        <v>20766</v>
      </c>
      <c r="S9" s="113">
        <f>'Revenue Drivers'!S12</f>
        <v>20907</v>
      </c>
      <c r="T9" s="113">
        <f>'Revenue Drivers'!T12</f>
        <v>21213</v>
      </c>
      <c r="U9" s="113">
        <f>'Revenue Drivers'!U12</f>
        <v>22314</v>
      </c>
      <c r="V9" s="113">
        <f>'Revenue Drivers'!V12</f>
        <v>23117</v>
      </c>
      <c r="W9" s="113">
        <f>'Revenue Drivers'!W12</f>
        <v>23867</v>
      </c>
      <c r="X9" s="113">
        <f>'Revenue Drivers'!X12</f>
        <v>24213</v>
      </c>
      <c r="Y9" s="113">
        <f>'Revenue Drivers'!Y12</f>
        <v>24972</v>
      </c>
      <c r="Z9" s="113">
        <f>'Revenue Drivers'!Z12</f>
        <v>26340</v>
      </c>
      <c r="AA9" s="113">
        <f>'Revenue Drivers'!AA12</f>
        <v>26645</v>
      </c>
      <c r="AB9" s="113">
        <f>'Revenue Drivers'!AB12</f>
        <v>27423</v>
      </c>
      <c r="AC9" s="113">
        <f>'Revenue Drivers'!AC12</f>
        <v>28750</v>
      </c>
      <c r="AD9" s="113">
        <f>'Revenue Drivers'!AD12</f>
        <v>30013</v>
      </c>
      <c r="AE9" s="5"/>
      <c r="AF9" s="11">
        <f t="shared" si="0"/>
        <v>78129</v>
      </c>
      <c r="AG9" s="11">
        <f t="shared" si="1"/>
        <v>79379</v>
      </c>
      <c r="AH9" s="11">
        <f t="shared" si="2"/>
        <v>80465</v>
      </c>
      <c r="AI9" s="11">
        <f t="shared" si="3"/>
        <v>82074</v>
      </c>
      <c r="AJ9" s="11">
        <f t="shared" si="4"/>
        <v>85200</v>
      </c>
      <c r="AK9" s="11">
        <f t="shared" si="5"/>
        <v>87551</v>
      </c>
      <c r="AL9" s="11">
        <f t="shared" si="6"/>
        <v>90511</v>
      </c>
      <c r="AM9" s="11">
        <f t="shared" si="7"/>
        <v>93511</v>
      </c>
      <c r="AN9" s="11">
        <f t="shared" si="8"/>
        <v>96169</v>
      </c>
      <c r="AO9" s="11">
        <f t="shared" si="9"/>
        <v>99392</v>
      </c>
      <c r="AP9" s="11">
        <f t="shared" si="10"/>
        <v>102170</v>
      </c>
      <c r="AQ9" s="11">
        <f>SUM(Y9:AB9)</f>
        <v>105380</v>
      </c>
      <c r="AR9" s="11">
        <f>SUM(Z9:AC9)</f>
        <v>109158</v>
      </c>
      <c r="AS9" s="11">
        <f>SUM(AA9:AD9)</f>
        <v>112831</v>
      </c>
      <c r="AU9" s="13">
        <f t="shared" si="11"/>
        <v>0.13521208950418551</v>
      </c>
    </row>
    <row r="10" spans="2:47" ht="12.75" customHeight="1">
      <c r="B10" s="10" t="str">
        <f>'Revenue Drivers'!B13</f>
        <v>Wearables, Home, and Accessories Revenue</v>
      </c>
      <c r="C10" s="113">
        <f>'Revenue Drivers'!C13</f>
        <v>11132</v>
      </c>
      <c r="D10" s="113">
        <f>'Revenue Drivers'!D13</f>
        <v>12863</v>
      </c>
      <c r="E10" s="113">
        <f>'Revenue Drivers'!E13</f>
        <v>17381</v>
      </c>
      <c r="F10" s="113">
        <f>'Revenue Drivers'!F13</f>
        <v>24482</v>
      </c>
      <c r="G10" s="113">
        <f>'Revenue Drivers'!G13</f>
        <v>30620</v>
      </c>
      <c r="H10" s="113">
        <f>'Revenue Drivers'!H13</f>
        <v>38367</v>
      </c>
      <c r="I10" s="113">
        <f>'Revenue Drivers'!I13</f>
        <v>41241</v>
      </c>
      <c r="J10" s="113">
        <f>'Revenue Drivers'!J13</f>
        <v>39845</v>
      </c>
      <c r="K10" s="113">
        <f>'Revenue Drivers'!K13</f>
        <v>37005</v>
      </c>
      <c r="L10" s="113">
        <f>'Revenue Drivers'!L13</f>
        <v>35686</v>
      </c>
      <c r="M10" s="11"/>
      <c r="N10" s="113">
        <f>'Revenue Drivers'!N13</f>
        <v>14701</v>
      </c>
      <c r="O10" s="113">
        <f>'Revenue Drivers'!O13</f>
        <v>8806</v>
      </c>
      <c r="P10" s="113">
        <f>'Revenue Drivers'!P13</f>
        <v>8084</v>
      </c>
      <c r="Q10" s="113">
        <f>'Revenue Drivers'!Q13</f>
        <v>9650</v>
      </c>
      <c r="R10" s="113">
        <f>'Revenue Drivers'!R13</f>
        <v>13482</v>
      </c>
      <c r="S10" s="113">
        <f>'Revenue Drivers'!S13</f>
        <v>8757</v>
      </c>
      <c r="T10" s="113">
        <f>'Revenue Drivers'!T13</f>
        <v>8284</v>
      </c>
      <c r="U10" s="113">
        <f>'Revenue Drivers'!U13</f>
        <v>9322</v>
      </c>
      <c r="V10" s="113">
        <f>'Revenue Drivers'!V13</f>
        <v>11953</v>
      </c>
      <c r="W10" s="113">
        <f>'Revenue Drivers'!W13</f>
        <v>7913</v>
      </c>
      <c r="X10" s="113">
        <f>'Revenue Drivers'!X13</f>
        <v>8097</v>
      </c>
      <c r="Y10" s="113">
        <f>'Revenue Drivers'!Y13</f>
        <v>9042</v>
      </c>
      <c r="Z10" s="113">
        <f>'Revenue Drivers'!Z13</f>
        <v>11747</v>
      </c>
      <c r="AA10" s="113">
        <f>'Revenue Drivers'!AA13</f>
        <v>7522</v>
      </c>
      <c r="AB10" s="113">
        <f>'Revenue Drivers'!AB13</f>
        <v>7404</v>
      </c>
      <c r="AC10" s="113">
        <f>'Revenue Drivers'!AC13</f>
        <v>9013</v>
      </c>
      <c r="AD10" s="113">
        <f>'Revenue Drivers'!AD13</f>
        <v>11493</v>
      </c>
      <c r="AE10" s="5"/>
      <c r="AF10" s="11">
        <f t="shared" si="0"/>
        <v>41241</v>
      </c>
      <c r="AG10" s="11">
        <f t="shared" si="1"/>
        <v>40022</v>
      </c>
      <c r="AH10" s="11">
        <f t="shared" si="2"/>
        <v>39973</v>
      </c>
      <c r="AI10" s="11">
        <f t="shared" si="3"/>
        <v>40173</v>
      </c>
      <c r="AJ10" s="11">
        <f t="shared" si="4"/>
        <v>39845</v>
      </c>
      <c r="AK10" s="11">
        <f t="shared" si="5"/>
        <v>38316</v>
      </c>
      <c r="AL10" s="11">
        <f t="shared" si="6"/>
        <v>37472</v>
      </c>
      <c r="AM10" s="11">
        <f t="shared" si="7"/>
        <v>37285</v>
      </c>
      <c r="AN10" s="11">
        <f t="shared" si="8"/>
        <v>37005</v>
      </c>
      <c r="AO10" s="11">
        <f t="shared" si="9"/>
        <v>36799</v>
      </c>
      <c r="AP10" s="11">
        <f t="shared" si="10"/>
        <v>36408</v>
      </c>
      <c r="AQ10" s="11">
        <f>SUM(Y10:AB10)</f>
        <v>35715</v>
      </c>
      <c r="AR10" s="11">
        <f>SUM(Z10:AC10)</f>
        <v>35686</v>
      </c>
      <c r="AS10" s="11">
        <f>SUM(AA10:AD10)</f>
        <v>35432</v>
      </c>
      <c r="AU10" s="13">
        <f t="shared" si="11"/>
        <v>-3.7147748580124484E-2</v>
      </c>
    </row>
    <row r="11" spans="2:47" ht="12.75" customHeight="1">
      <c r="B11" s="14" t="s">
        <v>12</v>
      </c>
      <c r="C11" s="15">
        <f t="shared" ref="C11:F11" si="12">SUM(C6:C10)</f>
        <v>215639</v>
      </c>
      <c r="D11" s="15">
        <f t="shared" si="12"/>
        <v>229234</v>
      </c>
      <c r="E11" s="15">
        <f t="shared" si="12"/>
        <v>265595</v>
      </c>
      <c r="F11" s="15">
        <f t="shared" si="12"/>
        <v>260174</v>
      </c>
      <c r="G11" s="15">
        <f>SUM(G6:G10)</f>
        <v>274515</v>
      </c>
      <c r="H11" s="15">
        <f t="shared" ref="H11:K11" si="13">SUM(H6:H10)</f>
        <v>365817</v>
      </c>
      <c r="I11" s="15">
        <f t="shared" si="13"/>
        <v>394328</v>
      </c>
      <c r="J11" s="15">
        <f t="shared" si="13"/>
        <v>383285</v>
      </c>
      <c r="K11" s="15">
        <f t="shared" si="13"/>
        <v>391035</v>
      </c>
      <c r="L11" s="15">
        <f t="shared" ref="L11" si="14">SUM(L6:L10)</f>
        <v>416161</v>
      </c>
      <c r="M11" s="11"/>
      <c r="N11" s="15">
        <f t="shared" ref="N11" si="15">SUM(N6:N10)</f>
        <v>123945</v>
      </c>
      <c r="O11" s="15">
        <f t="shared" ref="O11" si="16">SUM(O6:O10)</f>
        <v>97278</v>
      </c>
      <c r="P11" s="15">
        <f t="shared" ref="P11" si="17">SUM(P6:P10)</f>
        <v>82959</v>
      </c>
      <c r="Q11" s="15">
        <f t="shared" ref="Q11" si="18">SUM(Q6:Q10)</f>
        <v>90146</v>
      </c>
      <c r="R11" s="15">
        <f t="shared" ref="R11" si="19">SUM(R6:R10)</f>
        <v>117154</v>
      </c>
      <c r="S11" s="15">
        <f t="shared" ref="S11" si="20">SUM(S6:S10)</f>
        <v>94836</v>
      </c>
      <c r="T11" s="15">
        <f t="shared" ref="T11" si="21">SUM(T6:T10)</f>
        <v>81797</v>
      </c>
      <c r="U11" s="15">
        <f t="shared" ref="U11" si="22">SUM(U6:U10)</f>
        <v>89498</v>
      </c>
      <c r="V11" s="15">
        <f t="shared" ref="V11" si="23">SUM(V6:V10)</f>
        <v>119575</v>
      </c>
      <c r="W11" s="15">
        <f t="shared" ref="W11" si="24">SUM(W6:W10)</f>
        <v>90753</v>
      </c>
      <c r="X11" s="15">
        <f t="shared" ref="X11" si="25">SUM(X6:X10)</f>
        <v>85777</v>
      </c>
      <c r="Y11" s="15">
        <f t="shared" ref="Y11" si="26">SUM(Y6:Y10)</f>
        <v>94930</v>
      </c>
      <c r="Z11" s="15">
        <f t="shared" ref="Z11" si="27">SUM(Z6:Z10)</f>
        <v>124300</v>
      </c>
      <c r="AA11" s="15">
        <f t="shared" ref="AA11" si="28">SUM(AA6:AA10)</f>
        <v>95359</v>
      </c>
      <c r="AB11" s="15">
        <f t="shared" ref="AB11" si="29">SUM(AB6:AB10)</f>
        <v>94036</v>
      </c>
      <c r="AC11" s="15">
        <f t="shared" ref="AC11:AD11" si="30">SUM(AC6:AC10)</f>
        <v>102466</v>
      </c>
      <c r="AD11" s="15">
        <f t="shared" si="30"/>
        <v>143756</v>
      </c>
      <c r="AE11" s="5"/>
      <c r="AF11" s="15">
        <f t="shared" ref="AF11" si="31">SUM(AF6:AF10)</f>
        <v>394328</v>
      </c>
      <c r="AG11" s="15">
        <f t="shared" ref="AG11" si="32">SUM(AG6:AG10)</f>
        <v>387537</v>
      </c>
      <c r="AH11" s="15">
        <f t="shared" ref="AH11" si="33">SUM(AH6:AH10)</f>
        <v>385095</v>
      </c>
      <c r="AI11" s="15">
        <f t="shared" ref="AI11" si="34">SUM(AI6:AI10)</f>
        <v>383933</v>
      </c>
      <c r="AJ11" s="15">
        <f t="shared" ref="AJ11" si="35">SUM(AJ6:AJ10)</f>
        <v>383285</v>
      </c>
      <c r="AK11" s="15">
        <f t="shared" ref="AK11" si="36">SUM(AK6:AK10)</f>
        <v>385706</v>
      </c>
      <c r="AL11" s="15">
        <f t="shared" ref="AL11" si="37">SUM(AL6:AL10)</f>
        <v>381623</v>
      </c>
      <c r="AM11" s="15">
        <f t="shared" ref="AM11" si="38">SUM(AM6:AM10)</f>
        <v>385603</v>
      </c>
      <c r="AN11" s="15">
        <f t="shared" ref="AN11" si="39">SUM(AN6:AN10)</f>
        <v>391035</v>
      </c>
      <c r="AO11" s="15">
        <f t="shared" ref="AO11" si="40">SUM(AO6:AO10)</f>
        <v>395760</v>
      </c>
      <c r="AP11" s="15">
        <f t="shared" ref="AP11" si="41">SUM(AP6:AP10)</f>
        <v>400366</v>
      </c>
      <c r="AQ11" s="15">
        <f t="shared" ref="AQ11:AR11" si="42">SUM(AQ6:AQ10)</f>
        <v>408625</v>
      </c>
      <c r="AR11" s="15">
        <f t="shared" si="42"/>
        <v>416161</v>
      </c>
      <c r="AS11" s="15">
        <f t="shared" ref="AS11" si="43">SUM(AS6:AS10)</f>
        <v>435617</v>
      </c>
      <c r="AU11" s="16">
        <f t="shared" si="11"/>
        <v>0.10071002627855274</v>
      </c>
    </row>
    <row r="12" spans="2:47" ht="12.75" customHeight="1">
      <c r="B12" s="17" t="s">
        <v>33</v>
      </c>
      <c r="C12" s="131"/>
      <c r="D12" s="18">
        <f t="shared" ref="D12:G12" si="44">SUM(D11/C11)-1</f>
        <v>6.304518199398057E-2</v>
      </c>
      <c r="E12" s="18">
        <f t="shared" si="44"/>
        <v>0.15861957650261305</v>
      </c>
      <c r="F12" s="18">
        <f t="shared" si="44"/>
        <v>-2.04107758052674E-2</v>
      </c>
      <c r="G12" s="18">
        <f t="shared" si="44"/>
        <v>5.5120803769784787E-2</v>
      </c>
      <c r="H12" s="18">
        <f>SUM(H11/G11)-1</f>
        <v>0.33259384733074704</v>
      </c>
      <c r="I12" s="18">
        <f>SUM(I11/H11)-1</f>
        <v>7.7937876041846099E-2</v>
      </c>
      <c r="J12" s="18">
        <f t="shared" ref="J12:L12" si="45">SUM(J11/I11)-1</f>
        <v>-2.800460530319937E-2</v>
      </c>
      <c r="K12" s="18">
        <f t="shared" si="45"/>
        <v>2.021994077514111E-2</v>
      </c>
      <c r="L12" s="18">
        <f t="shared" si="45"/>
        <v>6.425511782832749E-2</v>
      </c>
      <c r="M12" s="12"/>
      <c r="N12" s="131"/>
      <c r="O12" s="131"/>
      <c r="P12" s="131"/>
      <c r="Q12" s="131"/>
      <c r="R12" s="18">
        <f>SUM(R11/N11)-1</f>
        <v>-5.4790431239662762E-2</v>
      </c>
      <c r="S12" s="18">
        <f t="shared" ref="S12:AD12" si="46">SUM(S11/O11)-1</f>
        <v>-2.5103312156911084E-2</v>
      </c>
      <c r="T12" s="18">
        <f t="shared" si="46"/>
        <v>-1.4006919080509661E-2</v>
      </c>
      <c r="U12" s="18">
        <f t="shared" si="46"/>
        <v>-7.1883389168682088E-3</v>
      </c>
      <c r="V12" s="18">
        <f t="shared" si="46"/>
        <v>2.0665107465387411E-2</v>
      </c>
      <c r="W12" s="18">
        <f t="shared" si="46"/>
        <v>-4.3053270909781061E-2</v>
      </c>
      <c r="X12" s="18">
        <f t="shared" si="46"/>
        <v>4.8657041211780383E-2</v>
      </c>
      <c r="Y12" s="18">
        <f t="shared" si="46"/>
        <v>6.0694093722764686E-2</v>
      </c>
      <c r="Z12" s="18">
        <f t="shared" si="46"/>
        <v>3.9514948776918191E-2</v>
      </c>
      <c r="AA12" s="18">
        <f t="shared" si="46"/>
        <v>5.075314314678292E-2</v>
      </c>
      <c r="AB12" s="18">
        <f t="shared" si="46"/>
        <v>9.628455180293094E-2</v>
      </c>
      <c r="AC12" s="18">
        <f t="shared" si="46"/>
        <v>7.9384809859896821E-2</v>
      </c>
      <c r="AD12" s="18">
        <f t="shared" si="46"/>
        <v>0.15652453740949324</v>
      </c>
      <c r="AE12" s="5"/>
      <c r="AF12" s="131"/>
      <c r="AG12" s="131"/>
      <c r="AH12" s="131"/>
      <c r="AI12" s="131"/>
      <c r="AJ12" s="18">
        <f t="shared" ref="AJ12:AM12" si="47">SUM(AJ11/AF11)-1</f>
        <v>-2.800460530319937E-2</v>
      </c>
      <c r="AK12" s="18">
        <f t="shared" si="47"/>
        <v>-4.7247101567076122E-3</v>
      </c>
      <c r="AL12" s="18">
        <f t="shared" si="47"/>
        <v>-9.0159571014943873E-3</v>
      </c>
      <c r="AM12" s="18">
        <f t="shared" si="47"/>
        <v>4.3497172683775176E-3</v>
      </c>
      <c r="AN12" s="18">
        <f>SUM(AN11/AJ11)-1</f>
        <v>2.021994077514111E-2</v>
      </c>
      <c r="AO12" s="18">
        <f t="shared" ref="AO12:AS12" si="48">SUM(AO11/AK11)-1</f>
        <v>2.6066485872659584E-2</v>
      </c>
      <c r="AP12" s="18">
        <f t="shared" si="48"/>
        <v>4.9113916089963183E-2</v>
      </c>
      <c r="AQ12" s="18">
        <f t="shared" si="48"/>
        <v>5.9703892345235987E-2</v>
      </c>
      <c r="AR12" s="18">
        <f t="shared" si="48"/>
        <v>6.425511782832749E-2</v>
      </c>
      <c r="AS12" s="18">
        <f t="shared" si="48"/>
        <v>0.10071002627855274</v>
      </c>
      <c r="AU12" s="19">
        <f>SUM(AS12-AO12)*1000</f>
        <v>74.643540405893162</v>
      </c>
    </row>
    <row r="13" spans="2:47" ht="12.75" customHeight="1">
      <c r="B13" s="17" t="s">
        <v>34</v>
      </c>
      <c r="C13" s="18" t="s">
        <v>35</v>
      </c>
      <c r="D13" s="18" t="s">
        <v>35</v>
      </c>
      <c r="E13" s="18" t="s">
        <v>35</v>
      </c>
      <c r="F13" s="18" t="s">
        <v>35</v>
      </c>
      <c r="G13" s="18" t="s">
        <v>35</v>
      </c>
      <c r="H13" s="18" t="s">
        <v>35</v>
      </c>
      <c r="I13" s="18" t="s">
        <v>35</v>
      </c>
      <c r="J13" s="18" t="s">
        <v>35</v>
      </c>
      <c r="K13" s="18" t="s">
        <v>35</v>
      </c>
      <c r="L13" s="18" t="s">
        <v>35</v>
      </c>
      <c r="M13" s="12"/>
      <c r="N13" s="131"/>
      <c r="O13" s="18">
        <f>SUM(O11/N11)-1</f>
        <v>-0.21515188188309331</v>
      </c>
      <c r="P13" s="18">
        <f t="shared" ref="P13:AD13" si="49">SUM(P11/O11)-1</f>
        <v>-0.14719669401097879</v>
      </c>
      <c r="Q13" s="18">
        <f t="shared" si="49"/>
        <v>8.6633156137368994E-2</v>
      </c>
      <c r="R13" s="18">
        <f t="shared" si="49"/>
        <v>0.29960286646107415</v>
      </c>
      <c r="S13" s="18">
        <f t="shared" si="49"/>
        <v>-0.19050139133106847</v>
      </c>
      <c r="T13" s="18">
        <f t="shared" si="49"/>
        <v>-0.13748998270698887</v>
      </c>
      <c r="U13" s="18">
        <f t="shared" si="49"/>
        <v>9.4147707128623193E-2</v>
      </c>
      <c r="V13" s="18">
        <f t="shared" si="49"/>
        <v>0.33606337571789324</v>
      </c>
      <c r="W13" s="18">
        <f t="shared" si="49"/>
        <v>-0.24103700606314027</v>
      </c>
      <c r="X13" s="18">
        <f t="shared" si="49"/>
        <v>-5.4830143356142447E-2</v>
      </c>
      <c r="Y13" s="18">
        <f t="shared" si="49"/>
        <v>0.10670692609907095</v>
      </c>
      <c r="Z13" s="18">
        <f t="shared" si="49"/>
        <v>0.30938586326767092</v>
      </c>
      <c r="AA13" s="18">
        <f t="shared" si="49"/>
        <v>-0.23283185840707965</v>
      </c>
      <c r="AB13" s="18">
        <f t="shared" si="49"/>
        <v>-1.387388710032611E-2</v>
      </c>
      <c r="AC13" s="18">
        <f t="shared" si="49"/>
        <v>8.9646518354672633E-2</v>
      </c>
      <c r="AD13" s="18">
        <f t="shared" si="49"/>
        <v>0.40296293404641537</v>
      </c>
      <c r="AE13" s="5"/>
      <c r="AF13" s="18" t="s">
        <v>35</v>
      </c>
      <c r="AG13" s="18" t="s">
        <v>35</v>
      </c>
      <c r="AH13" s="18" t="s">
        <v>35</v>
      </c>
      <c r="AI13" s="18" t="s">
        <v>35</v>
      </c>
      <c r="AJ13" s="18" t="s">
        <v>35</v>
      </c>
      <c r="AK13" s="18" t="s">
        <v>35</v>
      </c>
      <c r="AL13" s="18" t="s">
        <v>35</v>
      </c>
      <c r="AM13" s="18" t="s">
        <v>35</v>
      </c>
      <c r="AN13" s="18" t="s">
        <v>35</v>
      </c>
      <c r="AO13" s="18" t="s">
        <v>35</v>
      </c>
      <c r="AP13" s="18" t="s">
        <v>35</v>
      </c>
      <c r="AQ13" s="18" t="s">
        <v>35</v>
      </c>
      <c r="AR13" s="18" t="s">
        <v>35</v>
      </c>
      <c r="AS13" s="18" t="s">
        <v>35</v>
      </c>
      <c r="AU13" s="9"/>
    </row>
    <row r="14" spans="2:47" ht="5.0999999999999996" customHeight="1">
      <c r="B14" s="20"/>
      <c r="C14" s="113"/>
      <c r="D14" s="113"/>
      <c r="E14" s="113"/>
      <c r="F14" s="113"/>
      <c r="G14" s="113"/>
      <c r="H14" s="21"/>
      <c r="I14" s="21"/>
      <c r="J14" s="21"/>
      <c r="K14" s="21"/>
      <c r="L14" s="21"/>
      <c r="M14" s="22"/>
      <c r="N14" s="23"/>
      <c r="O14" s="23"/>
      <c r="P14" s="23"/>
      <c r="Q14" s="24"/>
      <c r="R14" s="23"/>
      <c r="S14" s="23"/>
      <c r="T14" s="23"/>
      <c r="U14" s="24"/>
      <c r="V14" s="23"/>
      <c r="W14" s="23"/>
      <c r="X14" s="23"/>
      <c r="Y14" s="23"/>
      <c r="Z14" s="23"/>
      <c r="AA14" s="23"/>
      <c r="AB14" s="23"/>
      <c r="AC14" s="23"/>
      <c r="AD14" s="23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U14" s="9"/>
    </row>
    <row r="15" spans="2:47" ht="12.75" customHeight="1">
      <c r="B15" s="25" t="s">
        <v>36</v>
      </c>
      <c r="C15" s="113">
        <f>'Historical Financials'!C13</f>
        <v>-131376</v>
      </c>
      <c r="D15" s="113">
        <f>'Historical Financials'!D13</f>
        <v>-141048</v>
      </c>
      <c r="E15" s="113">
        <f>'Historical Financials'!E13</f>
        <v>-163756</v>
      </c>
      <c r="F15" s="113">
        <f>'Historical Financials'!F13</f>
        <v>-161782</v>
      </c>
      <c r="G15" s="113">
        <f>'Historical Financials'!G13</f>
        <v>-169559</v>
      </c>
      <c r="H15" s="113">
        <f>'Historical Financials'!H13</f>
        <v>-212981</v>
      </c>
      <c r="I15" s="113">
        <f>'Historical Financials'!I13</f>
        <v>-223546</v>
      </c>
      <c r="J15" s="113">
        <f>'Historical Financials'!J13</f>
        <v>-214137</v>
      </c>
      <c r="K15" s="113">
        <f>'Historical Financials'!K13</f>
        <v>-210352</v>
      </c>
      <c r="L15" s="113">
        <f>'Historical Financials'!L13</f>
        <v>-220960</v>
      </c>
      <c r="M15" s="11"/>
      <c r="N15" s="113">
        <f>'Historical Financials'!N13</f>
        <v>-69702</v>
      </c>
      <c r="O15" s="113">
        <f>'Historical Financials'!O13</f>
        <v>-54719</v>
      </c>
      <c r="P15" s="113">
        <f>'Historical Financials'!P13</f>
        <v>-47074</v>
      </c>
      <c r="Q15" s="113">
        <f>'Historical Financials'!Q13</f>
        <v>-52051</v>
      </c>
      <c r="R15" s="113">
        <f>'Historical Financials'!R13</f>
        <v>-66822</v>
      </c>
      <c r="S15" s="113">
        <f>'Historical Financials'!S13</f>
        <v>-52860</v>
      </c>
      <c r="T15" s="113">
        <f>'Historical Financials'!T13</f>
        <v>-45384</v>
      </c>
      <c r="U15" s="113">
        <f>'Historical Financials'!U13</f>
        <v>-49071</v>
      </c>
      <c r="V15" s="113">
        <f>'Historical Financials'!V13</f>
        <v>-64720</v>
      </c>
      <c r="W15" s="113">
        <f>'Historical Financials'!W13</f>
        <v>-48482</v>
      </c>
      <c r="X15" s="113">
        <f>'Historical Financials'!X13</f>
        <v>-46099</v>
      </c>
      <c r="Y15" s="113">
        <f>'Historical Financials'!Y13</f>
        <v>-51051</v>
      </c>
      <c r="Z15" s="113">
        <f>'Historical Financials'!Z13</f>
        <v>-66025</v>
      </c>
      <c r="AA15" s="113">
        <f>'Historical Financials'!AA13</f>
        <v>-50492</v>
      </c>
      <c r="AB15" s="113">
        <f>'Historical Financials'!AB13</f>
        <v>-50318</v>
      </c>
      <c r="AC15" s="113">
        <f>'Historical Financials'!AC13</f>
        <v>-54125</v>
      </c>
      <c r="AD15" s="113">
        <f>'Historical Financials'!AD13</f>
        <v>-74525</v>
      </c>
      <c r="AE15" s="5"/>
      <c r="AF15" s="12">
        <f t="shared" ref="AF15" si="50">SUM(N15:Q15)</f>
        <v>-223546</v>
      </c>
      <c r="AG15" s="12">
        <f>SUM(O15:R15)</f>
        <v>-220666</v>
      </c>
      <c r="AH15" s="12">
        <f>SUM(P15:S15)</f>
        <v>-218807</v>
      </c>
      <c r="AI15" s="12">
        <f>SUM(Q15:T15)</f>
        <v>-217117</v>
      </c>
      <c r="AJ15" s="12">
        <f>SUM(R15:U15)</f>
        <v>-214137</v>
      </c>
      <c r="AK15" s="12">
        <f>SUM(S15:V15)</f>
        <v>-212035</v>
      </c>
      <c r="AL15" s="11">
        <f>SUM(T15:W15)</f>
        <v>-207657</v>
      </c>
      <c r="AM15" s="11">
        <f>SUM(U15:X15)</f>
        <v>-208372</v>
      </c>
      <c r="AN15" s="11">
        <f>SUM(V15:Y15)</f>
        <v>-210352</v>
      </c>
      <c r="AO15" s="11">
        <f>SUM(W15:Z15)</f>
        <v>-211657</v>
      </c>
      <c r="AP15" s="11">
        <f>SUM(X15:AA15)</f>
        <v>-213667</v>
      </c>
      <c r="AQ15" s="11">
        <f>SUM(Y15:AB15)</f>
        <v>-217886</v>
      </c>
      <c r="AR15" s="11">
        <f>SUM(Z15:AC15)</f>
        <v>-220960</v>
      </c>
      <c r="AS15" s="11">
        <f>SUM(AA15:AD15)</f>
        <v>-229460</v>
      </c>
      <c r="AU15" s="13">
        <f t="shared" ref="AU15:AU21" si="51">SUM(AS15/AO15)-1</f>
        <v>8.4112502775717246E-2</v>
      </c>
    </row>
    <row r="16" spans="2:47" ht="12.75" customHeight="1">
      <c r="B16" s="27" t="s">
        <v>23</v>
      </c>
      <c r="C16" s="28">
        <f t="shared" ref="C16:F16" si="52">+C11+C15</f>
        <v>84263</v>
      </c>
      <c r="D16" s="28">
        <f t="shared" si="52"/>
        <v>88186</v>
      </c>
      <c r="E16" s="28">
        <f t="shared" si="52"/>
        <v>101839</v>
      </c>
      <c r="F16" s="28">
        <f t="shared" si="52"/>
        <v>98392</v>
      </c>
      <c r="G16" s="28">
        <f t="shared" ref="G16:L16" si="53">+G11+G15</f>
        <v>104956</v>
      </c>
      <c r="H16" s="28">
        <f t="shared" si="53"/>
        <v>152836</v>
      </c>
      <c r="I16" s="28">
        <f t="shared" si="53"/>
        <v>170782</v>
      </c>
      <c r="J16" s="28">
        <f t="shared" si="53"/>
        <v>169148</v>
      </c>
      <c r="K16" s="28">
        <f t="shared" si="53"/>
        <v>180683</v>
      </c>
      <c r="L16" s="28">
        <f t="shared" si="53"/>
        <v>195201</v>
      </c>
      <c r="M16" s="5"/>
      <c r="N16" s="28">
        <f t="shared" ref="N16:AB16" si="54">+N11+N15</f>
        <v>54243</v>
      </c>
      <c r="O16" s="28">
        <f t="shared" si="54"/>
        <v>42559</v>
      </c>
      <c r="P16" s="28">
        <f t="shared" si="54"/>
        <v>35885</v>
      </c>
      <c r="Q16" s="28">
        <f t="shared" si="54"/>
        <v>38095</v>
      </c>
      <c r="R16" s="28">
        <f t="shared" si="54"/>
        <v>50332</v>
      </c>
      <c r="S16" s="28">
        <f t="shared" si="54"/>
        <v>41976</v>
      </c>
      <c r="T16" s="28">
        <f t="shared" si="54"/>
        <v>36413</v>
      </c>
      <c r="U16" s="28">
        <f t="shared" si="54"/>
        <v>40427</v>
      </c>
      <c r="V16" s="28">
        <f t="shared" si="54"/>
        <v>54855</v>
      </c>
      <c r="W16" s="28">
        <f t="shared" si="54"/>
        <v>42271</v>
      </c>
      <c r="X16" s="28">
        <f t="shared" si="54"/>
        <v>39678</v>
      </c>
      <c r="Y16" s="28">
        <f t="shared" si="54"/>
        <v>43879</v>
      </c>
      <c r="Z16" s="28">
        <f t="shared" si="54"/>
        <v>58275</v>
      </c>
      <c r="AA16" s="28">
        <f t="shared" si="54"/>
        <v>44867</v>
      </c>
      <c r="AB16" s="28">
        <f t="shared" si="54"/>
        <v>43718</v>
      </c>
      <c r="AC16" s="28">
        <f t="shared" ref="AC16:AD16" si="55">+AC11+AC15</f>
        <v>48341</v>
      </c>
      <c r="AD16" s="28">
        <f t="shared" si="55"/>
        <v>69231</v>
      </c>
      <c r="AE16" s="5"/>
      <c r="AF16" s="28">
        <f t="shared" ref="AF16:AQ16" si="56">+AF11+AF15</f>
        <v>170782</v>
      </c>
      <c r="AG16" s="28">
        <f t="shared" si="56"/>
        <v>166871</v>
      </c>
      <c r="AH16" s="28">
        <f t="shared" si="56"/>
        <v>166288</v>
      </c>
      <c r="AI16" s="28">
        <f t="shared" si="56"/>
        <v>166816</v>
      </c>
      <c r="AJ16" s="28">
        <f t="shared" si="56"/>
        <v>169148</v>
      </c>
      <c r="AK16" s="28">
        <f t="shared" si="56"/>
        <v>173671</v>
      </c>
      <c r="AL16" s="28">
        <f t="shared" si="56"/>
        <v>173966</v>
      </c>
      <c r="AM16" s="28">
        <f t="shared" si="56"/>
        <v>177231</v>
      </c>
      <c r="AN16" s="28">
        <f t="shared" si="56"/>
        <v>180683</v>
      </c>
      <c r="AO16" s="28">
        <f t="shared" si="56"/>
        <v>184103</v>
      </c>
      <c r="AP16" s="28">
        <f t="shared" si="56"/>
        <v>186699</v>
      </c>
      <c r="AQ16" s="28">
        <f t="shared" si="56"/>
        <v>190739</v>
      </c>
      <c r="AR16" s="28">
        <f t="shared" ref="AR16:AS16" si="57">+AR11+AR15</f>
        <v>195201</v>
      </c>
      <c r="AS16" s="28">
        <f t="shared" si="57"/>
        <v>206157</v>
      </c>
      <c r="AU16" s="16">
        <f t="shared" si="51"/>
        <v>0.11979163837634377</v>
      </c>
    </row>
    <row r="17" spans="2:47" ht="12.75" customHeight="1">
      <c r="B17" s="17" t="s">
        <v>37</v>
      </c>
      <c r="C17" s="18">
        <f t="shared" ref="C17:F17" si="58">C16/C11</f>
        <v>0.39075955648097049</v>
      </c>
      <c r="D17" s="18">
        <f t="shared" si="58"/>
        <v>0.38469860491899105</v>
      </c>
      <c r="E17" s="18">
        <f t="shared" si="58"/>
        <v>0.38343718820007905</v>
      </c>
      <c r="F17" s="18">
        <f t="shared" si="58"/>
        <v>0.37817768109034722</v>
      </c>
      <c r="G17" s="18">
        <f t="shared" ref="G17:L17" si="59">G16/G11</f>
        <v>0.38233247727810865</v>
      </c>
      <c r="H17" s="18">
        <f t="shared" si="59"/>
        <v>0.41779359625167778</v>
      </c>
      <c r="I17" s="18">
        <f t="shared" si="59"/>
        <v>0.43309630561360085</v>
      </c>
      <c r="J17" s="18">
        <f t="shared" si="59"/>
        <v>0.44131129577207562</v>
      </c>
      <c r="K17" s="18">
        <f t="shared" si="59"/>
        <v>0.46206349815233932</v>
      </c>
      <c r="L17" s="18">
        <f t="shared" si="59"/>
        <v>0.46905164107160452</v>
      </c>
      <c r="M17" s="29"/>
      <c r="N17" s="18">
        <f t="shared" ref="N17:AB17" si="60">N16/N11</f>
        <v>0.43763766186615033</v>
      </c>
      <c r="O17" s="18">
        <f t="shared" si="60"/>
        <v>0.43749871502292398</v>
      </c>
      <c r="P17" s="18">
        <f t="shared" si="60"/>
        <v>0.43256307332537758</v>
      </c>
      <c r="Q17" s="18">
        <f t="shared" si="60"/>
        <v>0.4225922392563175</v>
      </c>
      <c r="R17" s="18">
        <f t="shared" si="60"/>
        <v>0.42962254809908323</v>
      </c>
      <c r="S17" s="18">
        <f t="shared" si="60"/>
        <v>0.44261672782487665</v>
      </c>
      <c r="T17" s="18">
        <f t="shared" si="60"/>
        <v>0.44516302553883397</v>
      </c>
      <c r="U17" s="18">
        <f t="shared" si="60"/>
        <v>0.45170841806520817</v>
      </c>
      <c r="V17" s="18">
        <f t="shared" si="60"/>
        <v>0.45874973865774621</v>
      </c>
      <c r="W17" s="18">
        <f t="shared" si="60"/>
        <v>0.46578074554009236</v>
      </c>
      <c r="X17" s="18">
        <f t="shared" si="60"/>
        <v>0.46257155181458898</v>
      </c>
      <c r="Y17" s="18">
        <f t="shared" si="60"/>
        <v>0.4622247972190035</v>
      </c>
      <c r="Z17" s="18">
        <f t="shared" si="60"/>
        <v>0.46882542236524538</v>
      </c>
      <c r="AA17" s="18">
        <f t="shared" si="60"/>
        <v>0.47050619238876246</v>
      </c>
      <c r="AB17" s="18">
        <f t="shared" si="60"/>
        <v>0.46490705687183631</v>
      </c>
      <c r="AC17" s="18">
        <f t="shared" ref="AC17:AD17" si="61">AC16/AC11</f>
        <v>0.47177600374758455</v>
      </c>
      <c r="AD17" s="18">
        <f t="shared" si="61"/>
        <v>0.4815868555051615</v>
      </c>
      <c r="AE17" s="30"/>
      <c r="AF17" s="18">
        <f t="shared" ref="AF17:AQ17" si="62">AF16/AF11</f>
        <v>0.43309630561360085</v>
      </c>
      <c r="AG17" s="18">
        <f t="shared" si="62"/>
        <v>0.43059372395409989</v>
      </c>
      <c r="AH17" s="18">
        <f t="shared" si="62"/>
        <v>0.43181033251535333</v>
      </c>
      <c r="AI17" s="18">
        <f t="shared" si="62"/>
        <v>0.43449247655189838</v>
      </c>
      <c r="AJ17" s="18">
        <f t="shared" si="62"/>
        <v>0.44131129577207562</v>
      </c>
      <c r="AK17" s="18">
        <f t="shared" si="62"/>
        <v>0.45026782056799741</v>
      </c>
      <c r="AL17" s="18">
        <f t="shared" si="62"/>
        <v>0.4558582685005883</v>
      </c>
      <c r="AM17" s="18">
        <f t="shared" si="62"/>
        <v>0.45962038677084982</v>
      </c>
      <c r="AN17" s="18">
        <f t="shared" si="62"/>
        <v>0.46206349815233932</v>
      </c>
      <c r="AO17" s="18">
        <f t="shared" si="62"/>
        <v>0.46518849807964424</v>
      </c>
      <c r="AP17" s="18">
        <f t="shared" si="62"/>
        <v>0.46632081645294554</v>
      </c>
      <c r="AQ17" s="18">
        <f t="shared" si="62"/>
        <v>0.46678250229427959</v>
      </c>
      <c r="AR17" s="18">
        <f t="shared" ref="AR17:AS17" si="63">AR16/AR11</f>
        <v>0.46905164107160452</v>
      </c>
      <c r="AS17" s="18">
        <f t="shared" si="63"/>
        <v>0.47325288039722968</v>
      </c>
      <c r="AU17" s="19">
        <f>SUM(AS17-AO17)*1000</f>
        <v>8.064382317585439</v>
      </c>
    </row>
    <row r="18" spans="2:47" ht="5.0999999999999996" customHeight="1">
      <c r="B18" s="31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5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U18" s="9"/>
    </row>
    <row r="19" spans="2:47" ht="12.75" customHeight="1">
      <c r="B19" s="25" t="s">
        <v>97</v>
      </c>
      <c r="C19" s="113">
        <f>'Historical Financials'!C17</f>
        <v>-10045</v>
      </c>
      <c r="D19" s="113">
        <f>'Historical Financials'!D17</f>
        <v>-11581</v>
      </c>
      <c r="E19" s="113">
        <f>'Historical Financials'!E17</f>
        <v>-14236</v>
      </c>
      <c r="F19" s="113">
        <f>'Historical Financials'!F17</f>
        <v>-16217</v>
      </c>
      <c r="G19" s="113">
        <f>'Historical Financials'!G17</f>
        <v>-18752</v>
      </c>
      <c r="H19" s="113">
        <f>'Historical Financials'!H17</f>
        <v>-21914</v>
      </c>
      <c r="I19" s="113">
        <f>'Historical Financials'!I17</f>
        <v>-26251</v>
      </c>
      <c r="J19" s="113">
        <f>'Historical Financials'!J17</f>
        <v>-29915</v>
      </c>
      <c r="K19" s="113">
        <f>'Historical Financials'!K17</f>
        <v>-31370</v>
      </c>
      <c r="L19" s="113">
        <f>'Historical Financials'!L17</f>
        <v>-34550</v>
      </c>
      <c r="M19" s="113"/>
      <c r="N19" s="113">
        <f>'Historical Financials'!N17</f>
        <v>-6306</v>
      </c>
      <c r="O19" s="113">
        <f>'Historical Financials'!O17</f>
        <v>-6387</v>
      </c>
      <c r="P19" s="113">
        <f>'Historical Financials'!P17</f>
        <v>-6797</v>
      </c>
      <c r="Q19" s="113">
        <f>'Historical Financials'!Q17</f>
        <v>-6761</v>
      </c>
      <c r="R19" s="113">
        <f>'Historical Financials'!R17</f>
        <v>-7709</v>
      </c>
      <c r="S19" s="113">
        <f>'Historical Financials'!S17</f>
        <v>-7457</v>
      </c>
      <c r="T19" s="113">
        <f>'Historical Financials'!T17</f>
        <v>-7442</v>
      </c>
      <c r="U19" s="113">
        <f>'Historical Financials'!U17</f>
        <v>-7307</v>
      </c>
      <c r="V19" s="113">
        <f>'Historical Financials'!V17</f>
        <v>-7696</v>
      </c>
      <c r="W19" s="113">
        <f>'Historical Financials'!W17</f>
        <v>-7903</v>
      </c>
      <c r="X19" s="113">
        <f>'Historical Financials'!X17</f>
        <v>-8006</v>
      </c>
      <c r="Y19" s="113">
        <f>'Historical Financials'!Y17</f>
        <v>-7765</v>
      </c>
      <c r="Z19" s="113">
        <f>'Historical Financials'!Z17</f>
        <v>-8268</v>
      </c>
      <c r="AA19" s="113">
        <f>'Historical Financials'!AA17</f>
        <v>-8550</v>
      </c>
      <c r="AB19" s="113">
        <f>'Historical Financials'!AB17</f>
        <v>-8866</v>
      </c>
      <c r="AC19" s="113">
        <f>'Historical Financials'!AC17</f>
        <v>-8866</v>
      </c>
      <c r="AD19" s="113">
        <f>'Historical Financials'!AD17</f>
        <v>-10887</v>
      </c>
      <c r="AE19" s="5"/>
      <c r="AF19" s="12">
        <f t="shared" ref="AF19:AF20" si="64">SUM(N19:Q19)</f>
        <v>-26251</v>
      </c>
      <c r="AG19" s="12">
        <f>SUM(O19:R19)</f>
        <v>-27654</v>
      </c>
      <c r="AH19" s="12">
        <f>SUM(P19:S19)</f>
        <v>-28724</v>
      </c>
      <c r="AI19" s="12">
        <f>SUM(Q19:T19)</f>
        <v>-29369</v>
      </c>
      <c r="AJ19" s="12">
        <f>SUM(R19:U19)</f>
        <v>-29915</v>
      </c>
      <c r="AK19" s="12">
        <f>SUM(S19:V19)</f>
        <v>-29902</v>
      </c>
      <c r="AL19" s="11">
        <f>SUM(T19:W19)</f>
        <v>-30348</v>
      </c>
      <c r="AM19" s="11">
        <f>SUM(U19:X19)</f>
        <v>-30912</v>
      </c>
      <c r="AN19" s="11">
        <f>SUM(V19:Y19)</f>
        <v>-31370</v>
      </c>
      <c r="AO19" s="11">
        <f>SUM(W19:Z19)</f>
        <v>-31942</v>
      </c>
      <c r="AP19" s="11">
        <f>SUM(X19:AA19)</f>
        <v>-32589</v>
      </c>
      <c r="AQ19" s="11">
        <f>SUM(Y19:AB19)</f>
        <v>-33449</v>
      </c>
      <c r="AR19" s="11">
        <f>SUM(Z19:AC19)</f>
        <v>-34550</v>
      </c>
      <c r="AS19" s="11">
        <f>SUM(AA19:AD19)</f>
        <v>-37169</v>
      </c>
      <c r="AU19" s="13">
        <f t="shared" si="51"/>
        <v>0.16364034813098738</v>
      </c>
    </row>
    <row r="20" spans="2:47" ht="12.75" customHeight="1">
      <c r="B20" s="25" t="s">
        <v>141</v>
      </c>
      <c r="C20" s="113">
        <f>'Historical Financials'!C18</f>
        <v>-14194</v>
      </c>
      <c r="D20" s="113">
        <f>'Historical Financials'!D18</f>
        <v>-15261</v>
      </c>
      <c r="E20" s="113">
        <f>'Historical Financials'!E18</f>
        <v>-16705</v>
      </c>
      <c r="F20" s="113">
        <f>'Historical Financials'!F18</f>
        <v>-18245</v>
      </c>
      <c r="G20" s="113">
        <f>'Historical Financials'!G18</f>
        <v>-19916</v>
      </c>
      <c r="H20" s="113">
        <f>'Historical Financials'!H18</f>
        <v>-21973</v>
      </c>
      <c r="I20" s="113">
        <f>'Historical Financials'!I18</f>
        <v>-25094</v>
      </c>
      <c r="J20" s="113">
        <f>'Historical Financials'!J18</f>
        <v>-24932</v>
      </c>
      <c r="K20" s="113">
        <f>'Historical Financials'!K18</f>
        <v>-26097</v>
      </c>
      <c r="L20" s="113">
        <f>'Historical Financials'!L18</f>
        <v>-27601</v>
      </c>
      <c r="M20" s="113"/>
      <c r="N20" s="113">
        <f>'Historical Financials'!N18</f>
        <v>-6449</v>
      </c>
      <c r="O20" s="113">
        <f>'Historical Financials'!O18</f>
        <v>-6193</v>
      </c>
      <c r="P20" s="113">
        <f>'Historical Financials'!P18</f>
        <v>-6012</v>
      </c>
      <c r="Q20" s="113">
        <f>'Historical Financials'!Q18</f>
        <v>-6440</v>
      </c>
      <c r="R20" s="113">
        <f>'Historical Financials'!R18</f>
        <v>-6607</v>
      </c>
      <c r="S20" s="113">
        <f>'Historical Financials'!S18</f>
        <v>-6201</v>
      </c>
      <c r="T20" s="113">
        <f>'Historical Financials'!T18</f>
        <v>-5973</v>
      </c>
      <c r="U20" s="113">
        <f>'Historical Financials'!U18</f>
        <v>-6151</v>
      </c>
      <c r="V20" s="113">
        <f>'Historical Financials'!V18</f>
        <v>-6786</v>
      </c>
      <c r="W20" s="113">
        <f>'Historical Financials'!W18</f>
        <v>-6468</v>
      </c>
      <c r="X20" s="113">
        <f>'Historical Financials'!X18</f>
        <v>-6320</v>
      </c>
      <c r="Y20" s="113">
        <f>'Historical Financials'!Y18</f>
        <v>-6523</v>
      </c>
      <c r="Z20" s="113">
        <f>'Historical Financials'!Z18</f>
        <v>-7175</v>
      </c>
      <c r="AA20" s="113">
        <f>'Historical Financials'!AA18</f>
        <v>-6728</v>
      </c>
      <c r="AB20" s="113">
        <f>'Historical Financials'!AB18</f>
        <v>-6650</v>
      </c>
      <c r="AC20" s="113">
        <f>'Historical Financials'!AC18</f>
        <v>-7048</v>
      </c>
      <c r="AD20" s="113">
        <f>'Historical Financials'!AD18</f>
        <v>-7492</v>
      </c>
      <c r="AE20" s="5"/>
      <c r="AF20" s="12">
        <f t="shared" si="64"/>
        <v>-25094</v>
      </c>
      <c r="AG20" s="12">
        <f>SUM(O20:R20)</f>
        <v>-25252</v>
      </c>
      <c r="AH20" s="12">
        <f>SUM(P20:S20)</f>
        <v>-25260</v>
      </c>
      <c r="AI20" s="12">
        <f>SUM(Q20:T20)</f>
        <v>-25221</v>
      </c>
      <c r="AJ20" s="12">
        <f>SUM(R20:U20)</f>
        <v>-24932</v>
      </c>
      <c r="AK20" s="12">
        <f>SUM(S20:V20)</f>
        <v>-25111</v>
      </c>
      <c r="AL20" s="11">
        <f>SUM(T20:W20)</f>
        <v>-25378</v>
      </c>
      <c r="AM20" s="11">
        <f>SUM(U20:X20)</f>
        <v>-25725</v>
      </c>
      <c r="AN20" s="11">
        <f>SUM(V20:Y20)</f>
        <v>-26097</v>
      </c>
      <c r="AO20" s="11">
        <f>SUM(W20:Z20)</f>
        <v>-26486</v>
      </c>
      <c r="AP20" s="11">
        <f>SUM(X20:AA20)</f>
        <v>-26746</v>
      </c>
      <c r="AQ20" s="11">
        <f>SUM(Y20:AB20)</f>
        <v>-27076</v>
      </c>
      <c r="AR20" s="11">
        <f>SUM(Z20:AC20)</f>
        <v>-27601</v>
      </c>
      <c r="AS20" s="11">
        <f>SUM(AA20:AD20)</f>
        <v>-27918</v>
      </c>
      <c r="AU20" s="13">
        <f t="shared" si="51"/>
        <v>5.4066299176923627E-2</v>
      </c>
    </row>
    <row r="21" spans="2:47" ht="12.75" customHeight="1">
      <c r="B21" s="14" t="s">
        <v>38</v>
      </c>
      <c r="C21" s="15">
        <f t="shared" ref="C21:F21" si="65">SUM(C16+SUM(C19:C20))</f>
        <v>60024</v>
      </c>
      <c r="D21" s="15">
        <f t="shared" si="65"/>
        <v>61344</v>
      </c>
      <c r="E21" s="15">
        <f t="shared" si="65"/>
        <v>70898</v>
      </c>
      <c r="F21" s="15">
        <f t="shared" si="65"/>
        <v>63930</v>
      </c>
      <c r="G21" s="15">
        <f t="shared" ref="G21:L21" si="66">SUM(G16+SUM(G19:G20))</f>
        <v>66288</v>
      </c>
      <c r="H21" s="15">
        <f t="shared" si="66"/>
        <v>108949</v>
      </c>
      <c r="I21" s="15">
        <f t="shared" si="66"/>
        <v>119437</v>
      </c>
      <c r="J21" s="15">
        <f t="shared" si="66"/>
        <v>114301</v>
      </c>
      <c r="K21" s="15">
        <f t="shared" si="66"/>
        <v>123216</v>
      </c>
      <c r="L21" s="15">
        <f t="shared" si="66"/>
        <v>133050</v>
      </c>
      <c r="M21" s="12"/>
      <c r="N21" s="15">
        <f t="shared" ref="N21:AB21" si="67">SUM(N16+SUM(N19:N20))</f>
        <v>41488</v>
      </c>
      <c r="O21" s="15">
        <f t="shared" si="67"/>
        <v>29979</v>
      </c>
      <c r="P21" s="15">
        <f t="shared" si="67"/>
        <v>23076</v>
      </c>
      <c r="Q21" s="15">
        <f t="shared" si="67"/>
        <v>24894</v>
      </c>
      <c r="R21" s="15">
        <f t="shared" si="67"/>
        <v>36016</v>
      </c>
      <c r="S21" s="15">
        <f t="shared" si="67"/>
        <v>28318</v>
      </c>
      <c r="T21" s="15">
        <f t="shared" si="67"/>
        <v>22998</v>
      </c>
      <c r="U21" s="15">
        <f t="shared" si="67"/>
        <v>26969</v>
      </c>
      <c r="V21" s="15">
        <f t="shared" si="67"/>
        <v>40373</v>
      </c>
      <c r="W21" s="15">
        <f t="shared" si="67"/>
        <v>27900</v>
      </c>
      <c r="X21" s="15">
        <f t="shared" si="67"/>
        <v>25352</v>
      </c>
      <c r="Y21" s="15">
        <f t="shared" si="67"/>
        <v>29591</v>
      </c>
      <c r="Z21" s="15">
        <f t="shared" si="67"/>
        <v>42832</v>
      </c>
      <c r="AA21" s="15">
        <f t="shared" si="67"/>
        <v>29589</v>
      </c>
      <c r="AB21" s="15">
        <f t="shared" si="67"/>
        <v>28202</v>
      </c>
      <c r="AC21" s="15">
        <f t="shared" ref="AC21:AD21" si="68">SUM(AC16+SUM(AC19:AC20))</f>
        <v>32427</v>
      </c>
      <c r="AD21" s="15">
        <f t="shared" si="68"/>
        <v>50852</v>
      </c>
      <c r="AE21" s="5"/>
      <c r="AF21" s="15">
        <f t="shared" ref="AF21:AQ21" si="69">SUM(AF16+SUM(AF19:AF20))</f>
        <v>119437</v>
      </c>
      <c r="AG21" s="15">
        <f t="shared" si="69"/>
        <v>113965</v>
      </c>
      <c r="AH21" s="15">
        <f t="shared" si="69"/>
        <v>112304</v>
      </c>
      <c r="AI21" s="15">
        <f t="shared" si="69"/>
        <v>112226</v>
      </c>
      <c r="AJ21" s="15">
        <f t="shared" si="69"/>
        <v>114301</v>
      </c>
      <c r="AK21" s="15">
        <f t="shared" si="69"/>
        <v>118658</v>
      </c>
      <c r="AL21" s="15">
        <f t="shared" si="69"/>
        <v>118240</v>
      </c>
      <c r="AM21" s="15">
        <f t="shared" si="69"/>
        <v>120594</v>
      </c>
      <c r="AN21" s="15">
        <f t="shared" si="69"/>
        <v>123216</v>
      </c>
      <c r="AO21" s="15">
        <f t="shared" si="69"/>
        <v>125675</v>
      </c>
      <c r="AP21" s="15">
        <f t="shared" si="69"/>
        <v>127364</v>
      </c>
      <c r="AQ21" s="15">
        <f t="shared" si="69"/>
        <v>130214</v>
      </c>
      <c r="AR21" s="15">
        <f t="shared" ref="AR21:AS21" si="70">SUM(AR16+SUM(AR19:AR20))</f>
        <v>133050</v>
      </c>
      <c r="AS21" s="15">
        <f t="shared" si="70"/>
        <v>141070</v>
      </c>
      <c r="AU21" s="16">
        <f t="shared" si="51"/>
        <v>0.12249850805649487</v>
      </c>
    </row>
    <row r="22" spans="2:47" ht="12.75" customHeight="1">
      <c r="B22" s="17" t="s">
        <v>39</v>
      </c>
      <c r="C22" s="18">
        <f t="shared" ref="C22:F22" si="71">C21/C11</f>
        <v>0.27835410106706115</v>
      </c>
      <c r="D22" s="18">
        <f t="shared" si="71"/>
        <v>0.26760428208729942</v>
      </c>
      <c r="E22" s="18">
        <f t="shared" si="71"/>
        <v>0.26694026619477024</v>
      </c>
      <c r="F22" s="18">
        <f t="shared" si="71"/>
        <v>0.24572017188496928</v>
      </c>
      <c r="G22" s="18">
        <f t="shared" ref="G22:L22" si="72">G21/G11</f>
        <v>0.24147314354406862</v>
      </c>
      <c r="H22" s="18">
        <f t="shared" si="72"/>
        <v>0.29782377527561593</v>
      </c>
      <c r="I22" s="18">
        <f t="shared" si="72"/>
        <v>0.30288744395528594</v>
      </c>
      <c r="J22" s="18">
        <f t="shared" si="72"/>
        <v>0.29821412265024722</v>
      </c>
      <c r="K22" s="18">
        <f t="shared" si="72"/>
        <v>0.31510222870075566</v>
      </c>
      <c r="L22" s="18">
        <f t="shared" si="72"/>
        <v>0.31970799762591884</v>
      </c>
      <c r="M22" s="29"/>
      <c r="N22" s="18">
        <f t="shared" ref="N22:AB22" si="73">N21/N11</f>
        <v>0.33472911371979508</v>
      </c>
      <c r="O22" s="18">
        <f t="shared" si="73"/>
        <v>0.30817862209338187</v>
      </c>
      <c r="P22" s="18">
        <f t="shared" si="73"/>
        <v>0.27816150146457891</v>
      </c>
      <c r="Q22" s="18">
        <f t="shared" si="73"/>
        <v>0.27615202005635303</v>
      </c>
      <c r="R22" s="18">
        <f t="shared" si="73"/>
        <v>0.30742441572630896</v>
      </c>
      <c r="S22" s="18">
        <f t="shared" si="73"/>
        <v>0.29859968788223878</v>
      </c>
      <c r="T22" s="18">
        <f t="shared" si="73"/>
        <v>0.28115945572576012</v>
      </c>
      <c r="U22" s="18">
        <f t="shared" si="73"/>
        <v>0.30133634271156895</v>
      </c>
      <c r="V22" s="18">
        <f t="shared" si="73"/>
        <v>0.33763746602550698</v>
      </c>
      <c r="W22" s="18">
        <f t="shared" si="73"/>
        <v>0.30742785362467356</v>
      </c>
      <c r="X22" s="18">
        <f t="shared" si="73"/>
        <v>0.29555708406682446</v>
      </c>
      <c r="Y22" s="18">
        <f t="shared" si="73"/>
        <v>0.31171389444854103</v>
      </c>
      <c r="Z22" s="18">
        <f t="shared" si="73"/>
        <v>0.34458567980691873</v>
      </c>
      <c r="AA22" s="18">
        <f t="shared" si="73"/>
        <v>0.31029058610094484</v>
      </c>
      <c r="AB22" s="18">
        <f t="shared" si="73"/>
        <v>0.29990641881832492</v>
      </c>
      <c r="AC22" s="18">
        <f t="shared" ref="AC22:AD22" si="74">AC21/AC11</f>
        <v>0.31646594968086977</v>
      </c>
      <c r="AD22" s="18">
        <f t="shared" si="74"/>
        <v>0.35373827875010433</v>
      </c>
      <c r="AE22" s="30"/>
      <c r="AF22" s="18">
        <f t="shared" ref="AF22:AQ22" si="75">AF21/AF11</f>
        <v>0.30288744395528594</v>
      </c>
      <c r="AG22" s="18">
        <f t="shared" si="75"/>
        <v>0.29407514637312049</v>
      </c>
      <c r="AH22" s="18">
        <f t="shared" si="75"/>
        <v>0.29162674145340761</v>
      </c>
      <c r="AI22" s="18">
        <f t="shared" si="75"/>
        <v>0.29230620967720933</v>
      </c>
      <c r="AJ22" s="18">
        <f t="shared" si="75"/>
        <v>0.29821412265024722</v>
      </c>
      <c r="AK22" s="18">
        <f t="shared" si="75"/>
        <v>0.30763846038174153</v>
      </c>
      <c r="AL22" s="18">
        <f t="shared" si="75"/>
        <v>0.30983457496010458</v>
      </c>
      <c r="AM22" s="18">
        <f t="shared" si="75"/>
        <v>0.31274134278000948</v>
      </c>
      <c r="AN22" s="18">
        <f t="shared" si="75"/>
        <v>0.31510222870075566</v>
      </c>
      <c r="AO22" s="18">
        <f t="shared" si="75"/>
        <v>0.31755356781888011</v>
      </c>
      <c r="AP22" s="18">
        <f t="shared" si="75"/>
        <v>0.31811892118711377</v>
      </c>
      <c r="AQ22" s="18">
        <f t="shared" si="75"/>
        <v>0.31866381156316914</v>
      </c>
      <c r="AR22" s="18">
        <f t="shared" ref="AR22:AS22" si="76">AR21/AR11</f>
        <v>0.31970799762591884</v>
      </c>
      <c r="AS22" s="18">
        <f t="shared" si="76"/>
        <v>0.32383951957797791</v>
      </c>
      <c r="AU22" s="19">
        <f>SUM(AS22-AO22)*1000</f>
        <v>6.2859517590977969</v>
      </c>
    </row>
    <row r="23" spans="2:47" ht="5.0999999999999996" customHeight="1">
      <c r="AU23" s="9"/>
    </row>
    <row r="24" spans="2:47" ht="12.75" customHeight="1">
      <c r="B24" s="33" t="s">
        <v>40</v>
      </c>
      <c r="C24" s="113">
        <f>'Historical Financials'!C78</f>
        <v>10505</v>
      </c>
      <c r="D24" s="113">
        <f>'Historical Financials'!D78</f>
        <v>10157</v>
      </c>
      <c r="E24" s="113">
        <f>'Historical Financials'!E78</f>
        <v>10903</v>
      </c>
      <c r="F24" s="113">
        <f>'Historical Financials'!F78</f>
        <v>12547</v>
      </c>
      <c r="G24" s="113">
        <f>'Historical Financials'!G78</f>
        <v>11056</v>
      </c>
      <c r="H24" s="113">
        <f>'Historical Financials'!H78</f>
        <v>11284</v>
      </c>
      <c r="I24" s="113">
        <f>'Historical Financials'!I78</f>
        <v>11104</v>
      </c>
      <c r="J24" s="113">
        <f>'Historical Financials'!J78</f>
        <v>11519</v>
      </c>
      <c r="K24" s="113">
        <f>'Historical Financials'!K78</f>
        <v>11445</v>
      </c>
      <c r="L24" s="113">
        <f>'Historical Financials'!L78</f>
        <v>11698</v>
      </c>
      <c r="N24" s="113">
        <f>'Historical Financials'!N78</f>
        <v>2697</v>
      </c>
      <c r="O24" s="113">
        <f>'Historical Financials'!O78</f>
        <v>2737</v>
      </c>
      <c r="P24" s="113">
        <f>'Historical Financials'!P78</f>
        <v>2805</v>
      </c>
      <c r="Q24" s="113">
        <f>'Historical Financials'!Q78</f>
        <v>2865</v>
      </c>
      <c r="R24" s="113">
        <f>'Historical Financials'!R78</f>
        <v>2916</v>
      </c>
      <c r="S24" s="113">
        <f>'Historical Financials'!S78</f>
        <v>2898</v>
      </c>
      <c r="T24" s="113">
        <f>'Historical Financials'!T78</f>
        <v>3052</v>
      </c>
      <c r="U24" s="113">
        <f>'Historical Financials'!U78</f>
        <v>2653</v>
      </c>
      <c r="V24" s="113">
        <f>'Historical Financials'!V78</f>
        <v>2848</v>
      </c>
      <c r="W24" s="113">
        <f>'Historical Financials'!W78</f>
        <v>2836</v>
      </c>
      <c r="X24" s="113">
        <f>'Historical Financials'!X78</f>
        <v>2850</v>
      </c>
      <c r="Y24" s="113">
        <f>'Historical Financials'!Y78</f>
        <v>2911</v>
      </c>
      <c r="Z24" s="113">
        <f>'Historical Financials'!Z78</f>
        <v>3080</v>
      </c>
      <c r="AA24" s="113">
        <f>'Historical Financials'!AA78</f>
        <v>2661</v>
      </c>
      <c r="AB24" s="113">
        <f>'Historical Financials'!AB78</f>
        <v>2830</v>
      </c>
      <c r="AC24" s="113">
        <f>'Historical Financials'!AC78</f>
        <v>3127</v>
      </c>
      <c r="AD24" s="113">
        <f>'Historical Financials'!AD78</f>
        <v>3214</v>
      </c>
      <c r="AF24" s="12">
        <f>SUM(N24:Q24)</f>
        <v>11104</v>
      </c>
      <c r="AG24" s="12">
        <f>SUM(O24:R24)</f>
        <v>11323</v>
      </c>
      <c r="AH24" s="12">
        <f>SUM(P24:S24)</f>
        <v>11484</v>
      </c>
      <c r="AI24" s="12">
        <f>SUM(Q24:T24)</f>
        <v>11731</v>
      </c>
      <c r="AJ24" s="12">
        <f>SUM(R24:U24)</f>
        <v>11519</v>
      </c>
      <c r="AK24" s="12">
        <f>SUM(S24:V24)</f>
        <v>11451</v>
      </c>
      <c r="AL24" s="11">
        <f>SUM(T24:W24)</f>
        <v>11389</v>
      </c>
      <c r="AM24" s="11">
        <f>SUM(U24:X24)</f>
        <v>11187</v>
      </c>
      <c r="AN24" s="11">
        <f>SUM(V24:Y24)</f>
        <v>11445</v>
      </c>
      <c r="AO24" s="11">
        <f>SUM(W24:Z24)</f>
        <v>11677</v>
      </c>
      <c r="AP24" s="11">
        <f>SUM(X24:AA24)</f>
        <v>11502</v>
      </c>
      <c r="AQ24" s="11">
        <f>SUM(Y24:AB24)</f>
        <v>11482</v>
      </c>
      <c r="AR24" s="11">
        <f>SUM(Z24:AC24)</f>
        <v>11698</v>
      </c>
      <c r="AS24" s="11">
        <f>SUM(AA24:AD24)</f>
        <v>11832</v>
      </c>
      <c r="AU24" s="13">
        <f t="shared" ref="AU24" si="77">SUM(AS24/AO24)-1</f>
        <v>1.3273957352059496E-2</v>
      </c>
    </row>
    <row r="25" spans="2:47" ht="12.75" customHeight="1">
      <c r="B25" s="27" t="s">
        <v>11</v>
      </c>
      <c r="C25" s="28">
        <f t="shared" ref="C25" si="78">SUM(C21+C24)</f>
        <v>70529</v>
      </c>
      <c r="D25" s="28">
        <f t="shared" ref="D25:F25" si="79">SUM(D21+D24)</f>
        <v>71501</v>
      </c>
      <c r="E25" s="28">
        <f t="shared" si="79"/>
        <v>81801</v>
      </c>
      <c r="F25" s="28">
        <f t="shared" si="79"/>
        <v>76477</v>
      </c>
      <c r="G25" s="28">
        <f t="shared" ref="G25" si="80">SUM(G21+G24)</f>
        <v>77344</v>
      </c>
      <c r="H25" s="28">
        <f t="shared" ref="H25:I25" si="81">SUM(H21+H24)</f>
        <v>120233</v>
      </c>
      <c r="I25" s="28">
        <f t="shared" si="81"/>
        <v>130541</v>
      </c>
      <c r="J25" s="28">
        <f>SUM(J21+J24)</f>
        <v>125820</v>
      </c>
      <c r="K25" s="28">
        <f>SUM(K21+K24)</f>
        <v>134661</v>
      </c>
      <c r="L25" s="28">
        <f>SUM(L21+L24)</f>
        <v>144748</v>
      </c>
      <c r="N25" s="28">
        <f t="shared" ref="N25:AP25" si="82">SUM(N21+N24)</f>
        <v>44185</v>
      </c>
      <c r="O25" s="28">
        <f t="shared" si="82"/>
        <v>32716</v>
      </c>
      <c r="P25" s="28">
        <f t="shared" si="82"/>
        <v>25881</v>
      </c>
      <c r="Q25" s="28">
        <f t="shared" si="82"/>
        <v>27759</v>
      </c>
      <c r="R25" s="28">
        <f t="shared" si="82"/>
        <v>38932</v>
      </c>
      <c r="S25" s="28">
        <f t="shared" si="82"/>
        <v>31216</v>
      </c>
      <c r="T25" s="28">
        <f t="shared" si="82"/>
        <v>26050</v>
      </c>
      <c r="U25" s="28">
        <f t="shared" si="82"/>
        <v>29622</v>
      </c>
      <c r="V25" s="28">
        <f t="shared" si="82"/>
        <v>43221</v>
      </c>
      <c r="W25" s="28">
        <f t="shared" si="82"/>
        <v>30736</v>
      </c>
      <c r="X25" s="28">
        <f>SUM(X21+X24)</f>
        <v>28202</v>
      </c>
      <c r="Y25" s="28">
        <f>SUM(Y21+Y24)</f>
        <v>32502</v>
      </c>
      <c r="Z25" s="28">
        <f t="shared" ref="Z25:AA25" si="83">SUM(Z21+Z24)</f>
        <v>45912</v>
      </c>
      <c r="AA25" s="28">
        <f t="shared" si="83"/>
        <v>32250</v>
      </c>
      <c r="AB25" s="28">
        <f t="shared" ref="AB25" si="84">SUM(AB21+AB24)</f>
        <v>31032</v>
      </c>
      <c r="AC25" s="28">
        <f t="shared" ref="AC25:AD25" si="85">SUM(AC21+AC24)</f>
        <v>35554</v>
      </c>
      <c r="AD25" s="28">
        <f t="shared" si="85"/>
        <v>54066</v>
      </c>
      <c r="AF25" s="28">
        <f t="shared" ref="AF25:AM25" si="86">SUM(AF21+AF24)</f>
        <v>130541</v>
      </c>
      <c r="AG25" s="28">
        <f t="shared" si="86"/>
        <v>125288</v>
      </c>
      <c r="AH25" s="28">
        <f t="shared" si="86"/>
        <v>123788</v>
      </c>
      <c r="AI25" s="28">
        <f t="shared" si="86"/>
        <v>123957</v>
      </c>
      <c r="AJ25" s="28">
        <f t="shared" si="86"/>
        <v>125820</v>
      </c>
      <c r="AK25" s="28">
        <f t="shared" si="86"/>
        <v>130109</v>
      </c>
      <c r="AL25" s="28">
        <f t="shared" si="86"/>
        <v>129629</v>
      </c>
      <c r="AM25" s="28">
        <f t="shared" si="86"/>
        <v>131781</v>
      </c>
      <c r="AN25" s="28">
        <f t="shared" si="82"/>
        <v>134661</v>
      </c>
      <c r="AO25" s="28">
        <f t="shared" si="82"/>
        <v>137352</v>
      </c>
      <c r="AP25" s="28">
        <f t="shared" si="82"/>
        <v>138866</v>
      </c>
      <c r="AQ25" s="28">
        <f t="shared" ref="AQ25:AR25" si="87">SUM(AQ21+AQ24)</f>
        <v>141696</v>
      </c>
      <c r="AR25" s="28">
        <f t="shared" si="87"/>
        <v>144748</v>
      </c>
      <c r="AS25" s="28">
        <f t="shared" ref="AS25" si="88">SUM(AS21+AS24)</f>
        <v>152902</v>
      </c>
      <c r="AU25" s="16">
        <f t="shared" ref="AU25:AU26" si="89">SUM(AS25/AO25)-1</f>
        <v>0.11321276719669182</v>
      </c>
    </row>
    <row r="26" spans="2:47" ht="12.75" customHeight="1">
      <c r="B26" s="17" t="s">
        <v>41</v>
      </c>
      <c r="C26" s="18">
        <f t="shared" ref="C26:F26" si="90">C25/C11</f>
        <v>0.32706977865784947</v>
      </c>
      <c r="D26" s="18">
        <f t="shared" si="90"/>
        <v>0.31191271800867237</v>
      </c>
      <c r="E26" s="18">
        <f t="shared" si="90"/>
        <v>0.30799149080366722</v>
      </c>
      <c r="F26" s="18">
        <f t="shared" si="90"/>
        <v>0.29394559025882677</v>
      </c>
      <c r="G26" s="18">
        <f t="shared" ref="G26:L26" si="91">G25/G11</f>
        <v>0.2817478097736007</v>
      </c>
      <c r="H26" s="18">
        <f t="shared" si="91"/>
        <v>0.32866979938056462</v>
      </c>
      <c r="I26" s="18">
        <f t="shared" si="91"/>
        <v>0.3310467428130896</v>
      </c>
      <c r="J26" s="18">
        <f t="shared" si="91"/>
        <v>0.32826747720364741</v>
      </c>
      <c r="K26" s="18">
        <f t="shared" si="91"/>
        <v>0.34437070850435381</v>
      </c>
      <c r="L26" s="18">
        <f t="shared" si="91"/>
        <v>0.34781731108873731</v>
      </c>
      <c r="N26" s="18">
        <f t="shared" ref="N26:AB26" si="92">N25/N11</f>
        <v>0.35648876517810318</v>
      </c>
      <c r="O26" s="18">
        <f t="shared" si="92"/>
        <v>0.33631448014967413</v>
      </c>
      <c r="P26" s="18">
        <f t="shared" si="92"/>
        <v>0.31197338444291761</v>
      </c>
      <c r="Q26" s="18">
        <f t="shared" si="92"/>
        <v>0.30793379628602491</v>
      </c>
      <c r="R26" s="18">
        <f t="shared" si="92"/>
        <v>0.33231473103777931</v>
      </c>
      <c r="S26" s="18">
        <f t="shared" si="92"/>
        <v>0.32915770382555148</v>
      </c>
      <c r="T26" s="18">
        <f t="shared" si="92"/>
        <v>0.31847133757961782</v>
      </c>
      <c r="U26" s="18">
        <f t="shared" si="92"/>
        <v>0.33097946322822858</v>
      </c>
      <c r="V26" s="18">
        <f t="shared" si="92"/>
        <v>0.36145515366924524</v>
      </c>
      <c r="W26" s="18">
        <f t="shared" si="92"/>
        <v>0.33867750928343965</v>
      </c>
      <c r="X26" s="18">
        <f t="shared" si="92"/>
        <v>0.32878277393706939</v>
      </c>
      <c r="Y26" s="18">
        <f t="shared" si="92"/>
        <v>0.34237859475402926</v>
      </c>
      <c r="Z26" s="18">
        <f t="shared" si="92"/>
        <v>0.36936444086886566</v>
      </c>
      <c r="AA26" s="18">
        <f t="shared" si="92"/>
        <v>0.33819566060885703</v>
      </c>
      <c r="AB26" s="18">
        <f t="shared" si="92"/>
        <v>0.33000127610702285</v>
      </c>
      <c r="AC26" s="18">
        <f t="shared" ref="AC26:AD26" si="93">AC25/AC11</f>
        <v>0.34698338961216402</v>
      </c>
      <c r="AD26" s="18">
        <f t="shared" si="93"/>
        <v>0.37609560644425277</v>
      </c>
      <c r="AF26" s="18">
        <f t="shared" ref="AF26:AQ26" si="94">AF25/AF11</f>
        <v>0.3310467428130896</v>
      </c>
      <c r="AG26" s="18">
        <f t="shared" si="94"/>
        <v>0.32329300170048281</v>
      </c>
      <c r="AH26" s="18">
        <f t="shared" si="94"/>
        <v>0.3214479544008621</v>
      </c>
      <c r="AI26" s="18">
        <f t="shared" si="94"/>
        <v>0.32286102002172257</v>
      </c>
      <c r="AJ26" s="18">
        <f t="shared" si="94"/>
        <v>0.32826747720364741</v>
      </c>
      <c r="AK26" s="18">
        <f t="shared" si="94"/>
        <v>0.33732687591066773</v>
      </c>
      <c r="AL26" s="18">
        <f t="shared" si="94"/>
        <v>0.33967816405195705</v>
      </c>
      <c r="AM26" s="18">
        <f t="shared" si="94"/>
        <v>0.34175304652712762</v>
      </c>
      <c r="AN26" s="18">
        <f t="shared" si="94"/>
        <v>0.34437070850435381</v>
      </c>
      <c r="AO26" s="18">
        <f t="shared" si="94"/>
        <v>0.34705882352941175</v>
      </c>
      <c r="AP26" s="18">
        <f t="shared" si="94"/>
        <v>0.34684763441451072</v>
      </c>
      <c r="AQ26" s="18">
        <f t="shared" si="94"/>
        <v>0.3467629244417253</v>
      </c>
      <c r="AR26" s="18">
        <f t="shared" ref="AR26:AS26" si="95">AR25/AR11</f>
        <v>0.34781731108873731</v>
      </c>
      <c r="AS26" s="18">
        <f t="shared" si="95"/>
        <v>0.35100099399242912</v>
      </c>
      <c r="AU26" s="19">
        <f>SUM(AS26-AO26)*1000</f>
        <v>3.9421704630173693</v>
      </c>
    </row>
    <row r="27" spans="2:47" ht="5.0999999999999996" customHeight="1">
      <c r="AU27" s="9"/>
    </row>
    <row r="28" spans="2:47" ht="12.75" customHeight="1">
      <c r="B28" s="33" t="s">
        <v>42</v>
      </c>
      <c r="C28" s="113">
        <f>'Historical Financials'!C79</f>
        <v>4210</v>
      </c>
      <c r="D28" s="113">
        <f>'Historical Financials'!D79</f>
        <v>4840</v>
      </c>
      <c r="E28" s="113">
        <f>'Historical Financials'!E79</f>
        <v>5340</v>
      </c>
      <c r="F28" s="113">
        <f>'Historical Financials'!F79</f>
        <v>6068</v>
      </c>
      <c r="G28" s="113">
        <f>'Historical Financials'!G79</f>
        <v>6829</v>
      </c>
      <c r="H28" s="113">
        <f>'Historical Financials'!H79</f>
        <v>7906</v>
      </c>
      <c r="I28" s="113">
        <f>'Historical Financials'!I79</f>
        <v>9038</v>
      </c>
      <c r="J28" s="113">
        <f>'Historical Financials'!J79</f>
        <v>10833</v>
      </c>
      <c r="K28" s="113">
        <f>'Historical Financials'!K79</f>
        <v>11688</v>
      </c>
      <c r="L28" s="113">
        <f>'Historical Financials'!L79</f>
        <v>12863</v>
      </c>
      <c r="N28" s="113">
        <f>'Historical Financials'!N79</f>
        <v>2265</v>
      </c>
      <c r="O28" s="113">
        <f>'Historical Financials'!O79</f>
        <v>2252</v>
      </c>
      <c r="P28" s="113">
        <f>'Historical Financials'!P79</f>
        <v>2243</v>
      </c>
      <c r="Q28" s="113">
        <f>'Historical Financials'!Q79</f>
        <v>2278</v>
      </c>
      <c r="R28" s="113">
        <f>'Historical Financials'!R79</f>
        <v>2905</v>
      </c>
      <c r="S28" s="113">
        <f>'Historical Financials'!S79</f>
        <v>2686</v>
      </c>
      <c r="T28" s="113">
        <f>'Historical Financials'!T79</f>
        <v>2617</v>
      </c>
      <c r="U28" s="113">
        <f>'Historical Financials'!U79</f>
        <v>2625</v>
      </c>
      <c r="V28" s="113">
        <f>'Historical Financials'!V79</f>
        <v>2997</v>
      </c>
      <c r="W28" s="113">
        <f>'Historical Financials'!W79</f>
        <v>2967</v>
      </c>
      <c r="X28" s="113">
        <f>'Historical Financials'!X79</f>
        <v>2866</v>
      </c>
      <c r="Y28" s="113">
        <f>'Historical Financials'!Y79</f>
        <v>2858</v>
      </c>
      <c r="Z28" s="113">
        <f>'Historical Financials'!Z79</f>
        <v>3286</v>
      </c>
      <c r="AA28" s="113">
        <f>'Historical Financials'!AA79</f>
        <v>3226</v>
      </c>
      <c r="AB28" s="113">
        <f>'Historical Financials'!AB79</f>
        <v>3168</v>
      </c>
      <c r="AC28" s="113">
        <f>'Historical Financials'!AC79</f>
        <v>3183</v>
      </c>
      <c r="AD28" s="113">
        <f>'Historical Financials'!AD79</f>
        <v>3594</v>
      </c>
      <c r="AF28" s="34">
        <f t="shared" ref="AF28" si="96">SUM(N28:Q28)</f>
        <v>9038</v>
      </c>
      <c r="AG28" s="34">
        <f>SUM(O28:R28)</f>
        <v>9678</v>
      </c>
      <c r="AH28" s="34">
        <f>SUM(P28:S28)</f>
        <v>10112</v>
      </c>
      <c r="AI28" s="34">
        <f>SUM(Q28:T28)</f>
        <v>10486</v>
      </c>
      <c r="AJ28" s="34">
        <f>SUM(R28:U28)</f>
        <v>10833</v>
      </c>
      <c r="AK28" s="34">
        <f>SUM(S28:V28)</f>
        <v>10925</v>
      </c>
      <c r="AL28" s="34">
        <f>SUM(T28:W28)</f>
        <v>11206</v>
      </c>
      <c r="AM28" s="34">
        <f>SUM(U28:X28)</f>
        <v>11455</v>
      </c>
      <c r="AN28" s="34">
        <f>SUM(V28:Y28)</f>
        <v>11688</v>
      </c>
      <c r="AO28" s="34">
        <f>SUM(W28:Z28)</f>
        <v>11977</v>
      </c>
      <c r="AP28" s="34">
        <f>SUM(X28:AA28)</f>
        <v>12236</v>
      </c>
      <c r="AQ28" s="34">
        <f>SUM(Y28:AB28)</f>
        <v>12538</v>
      </c>
      <c r="AR28" s="34">
        <f>SUM(Z28:AC28)</f>
        <v>12863</v>
      </c>
      <c r="AS28" s="34">
        <f>SUM(AA28:AD28)</f>
        <v>13171</v>
      </c>
      <c r="AU28" s="13">
        <f t="shared" ref="AU28:AU29" si="97">SUM(AS28/AO28)-1</f>
        <v>9.969107455957249E-2</v>
      </c>
    </row>
    <row r="29" spans="2:47" ht="12.75" customHeight="1">
      <c r="B29" s="14" t="s">
        <v>43</v>
      </c>
      <c r="C29" s="15">
        <f t="shared" ref="C29:F29" si="98">+SUM(C25+SUM(C28:C28))</f>
        <v>74739</v>
      </c>
      <c r="D29" s="15">
        <f t="shared" si="98"/>
        <v>76341</v>
      </c>
      <c r="E29" s="15">
        <f t="shared" si="98"/>
        <v>87141</v>
      </c>
      <c r="F29" s="15">
        <f t="shared" si="98"/>
        <v>82545</v>
      </c>
      <c r="G29" s="15">
        <f t="shared" ref="G29:L29" si="99">+SUM(G25+SUM(G28:G28))</f>
        <v>84173</v>
      </c>
      <c r="H29" s="15">
        <f t="shared" si="99"/>
        <v>128139</v>
      </c>
      <c r="I29" s="15">
        <f t="shared" si="99"/>
        <v>139579</v>
      </c>
      <c r="J29" s="15">
        <f t="shared" si="99"/>
        <v>136653</v>
      </c>
      <c r="K29" s="15">
        <f t="shared" si="99"/>
        <v>146349</v>
      </c>
      <c r="L29" s="15">
        <f t="shared" si="99"/>
        <v>157611</v>
      </c>
      <c r="M29" s="12"/>
      <c r="N29" s="15">
        <f t="shared" ref="N29:AB29" si="100">+SUM(N25+SUM(N28:N28))</f>
        <v>46450</v>
      </c>
      <c r="O29" s="15">
        <f t="shared" si="100"/>
        <v>34968</v>
      </c>
      <c r="P29" s="15">
        <f t="shared" si="100"/>
        <v>28124</v>
      </c>
      <c r="Q29" s="15">
        <f t="shared" si="100"/>
        <v>30037</v>
      </c>
      <c r="R29" s="15">
        <f t="shared" si="100"/>
        <v>41837</v>
      </c>
      <c r="S29" s="15">
        <f t="shared" si="100"/>
        <v>33902</v>
      </c>
      <c r="T29" s="15">
        <f t="shared" si="100"/>
        <v>28667</v>
      </c>
      <c r="U29" s="15">
        <f t="shared" si="100"/>
        <v>32247</v>
      </c>
      <c r="V29" s="15">
        <f t="shared" si="100"/>
        <v>46218</v>
      </c>
      <c r="W29" s="15">
        <f t="shared" si="100"/>
        <v>33703</v>
      </c>
      <c r="X29" s="15">
        <f t="shared" si="100"/>
        <v>31068</v>
      </c>
      <c r="Y29" s="15">
        <f t="shared" si="100"/>
        <v>35360</v>
      </c>
      <c r="Z29" s="15">
        <f t="shared" si="100"/>
        <v>49198</v>
      </c>
      <c r="AA29" s="15">
        <f t="shared" si="100"/>
        <v>35476</v>
      </c>
      <c r="AB29" s="15">
        <f t="shared" si="100"/>
        <v>34200</v>
      </c>
      <c r="AC29" s="15">
        <f t="shared" ref="AC29:AD29" si="101">+SUM(AC25+SUM(AC28:AC28))</f>
        <v>38737</v>
      </c>
      <c r="AD29" s="15">
        <f t="shared" si="101"/>
        <v>57660</v>
      </c>
      <c r="AE29" s="5"/>
      <c r="AF29" s="15">
        <f t="shared" ref="AF29:AQ29" si="102">+SUM(AF25+SUM(AF28:AF28))</f>
        <v>139579</v>
      </c>
      <c r="AG29" s="15">
        <f t="shared" si="102"/>
        <v>134966</v>
      </c>
      <c r="AH29" s="15">
        <f t="shared" si="102"/>
        <v>133900</v>
      </c>
      <c r="AI29" s="15">
        <f t="shared" si="102"/>
        <v>134443</v>
      </c>
      <c r="AJ29" s="15">
        <f t="shared" si="102"/>
        <v>136653</v>
      </c>
      <c r="AK29" s="15">
        <f t="shared" si="102"/>
        <v>141034</v>
      </c>
      <c r="AL29" s="15">
        <f t="shared" si="102"/>
        <v>140835</v>
      </c>
      <c r="AM29" s="15">
        <f t="shared" si="102"/>
        <v>143236</v>
      </c>
      <c r="AN29" s="15">
        <f t="shared" si="102"/>
        <v>146349</v>
      </c>
      <c r="AO29" s="15">
        <f t="shared" si="102"/>
        <v>149329</v>
      </c>
      <c r="AP29" s="15">
        <f t="shared" si="102"/>
        <v>151102</v>
      </c>
      <c r="AQ29" s="15">
        <f t="shared" si="102"/>
        <v>154234</v>
      </c>
      <c r="AR29" s="15">
        <f t="shared" ref="AR29:AS29" si="103">+SUM(AR25+SUM(AR28:AR28))</f>
        <v>157611</v>
      </c>
      <c r="AS29" s="15">
        <f t="shared" si="103"/>
        <v>166073</v>
      </c>
      <c r="AU29" s="16">
        <f t="shared" si="97"/>
        <v>0.11212825372164814</v>
      </c>
    </row>
    <row r="30" spans="2:47" ht="12.75" customHeight="1">
      <c r="B30" s="17" t="s">
        <v>44</v>
      </c>
      <c r="C30" s="18">
        <f t="shared" ref="C30:F30" si="104">C29/C11</f>
        <v>0.34659314873469083</v>
      </c>
      <c r="D30" s="18">
        <f t="shared" si="104"/>
        <v>0.3330265143914079</v>
      </c>
      <c r="E30" s="18">
        <f t="shared" si="104"/>
        <v>0.32809729098815865</v>
      </c>
      <c r="F30" s="18">
        <f t="shared" si="104"/>
        <v>0.31726844342632238</v>
      </c>
      <c r="G30" s="18">
        <f t="shared" ref="G30:L30" si="105">G29/G11</f>
        <v>0.30662441032366172</v>
      </c>
      <c r="H30" s="18">
        <f t="shared" si="105"/>
        <v>0.35028169822616229</v>
      </c>
      <c r="I30" s="18">
        <f t="shared" si="105"/>
        <v>0.35396674849363979</v>
      </c>
      <c r="J30" s="18">
        <f t="shared" si="105"/>
        <v>0.35653104087037063</v>
      </c>
      <c r="K30" s="18">
        <f t="shared" si="105"/>
        <v>0.37426061605738614</v>
      </c>
      <c r="L30" s="18">
        <f t="shared" si="105"/>
        <v>0.37872602190017807</v>
      </c>
      <c r="N30" s="18">
        <f t="shared" ref="N30:AB30" si="106">N29/N11</f>
        <v>0.37476299971761667</v>
      </c>
      <c r="O30" s="18">
        <f t="shared" si="106"/>
        <v>0.35946462715105165</v>
      </c>
      <c r="P30" s="18">
        <f t="shared" si="106"/>
        <v>0.33901083667835918</v>
      </c>
      <c r="Q30" s="18">
        <f t="shared" si="106"/>
        <v>0.33320391365118807</v>
      </c>
      <c r="R30" s="18">
        <f t="shared" si="106"/>
        <v>0.35711115284155898</v>
      </c>
      <c r="S30" s="18">
        <f t="shared" si="106"/>
        <v>0.3574802817495466</v>
      </c>
      <c r="T30" s="18">
        <f t="shared" si="106"/>
        <v>0.35046517598444932</v>
      </c>
      <c r="U30" s="18">
        <f t="shared" si="106"/>
        <v>0.36030972759167801</v>
      </c>
      <c r="V30" s="18">
        <f t="shared" si="106"/>
        <v>0.38651892117917624</v>
      </c>
      <c r="W30" s="18">
        <f t="shared" si="106"/>
        <v>0.37137064339470871</v>
      </c>
      <c r="X30" s="18">
        <f t="shared" si="106"/>
        <v>0.36219499399605953</v>
      </c>
      <c r="Y30" s="18">
        <f t="shared" si="106"/>
        <v>0.37248498893921839</v>
      </c>
      <c r="Z30" s="18">
        <f t="shared" si="106"/>
        <v>0.39580048270313756</v>
      </c>
      <c r="AA30" s="18">
        <f t="shared" si="106"/>
        <v>0.37202571335689344</v>
      </c>
      <c r="AB30" s="18">
        <f t="shared" si="106"/>
        <v>0.36369050151005999</v>
      </c>
      <c r="AC30" s="18">
        <f t="shared" ref="AC30:AD30" si="107">AC29/AC11</f>
        <v>0.37804735229246772</v>
      </c>
      <c r="AD30" s="18">
        <f t="shared" si="107"/>
        <v>0.401096302067392</v>
      </c>
      <c r="AF30" s="18">
        <f t="shared" ref="AF30:AQ30" si="108">AF29/AF11</f>
        <v>0.35396674849363979</v>
      </c>
      <c r="AG30" s="18">
        <f t="shared" si="108"/>
        <v>0.34826610104325523</v>
      </c>
      <c r="AH30" s="18">
        <f t="shared" si="108"/>
        <v>0.34770641010659709</v>
      </c>
      <c r="AI30" s="18">
        <f t="shared" si="108"/>
        <v>0.35017307707334355</v>
      </c>
      <c r="AJ30" s="18">
        <f t="shared" si="108"/>
        <v>0.35653104087037063</v>
      </c>
      <c r="AK30" s="18">
        <f t="shared" si="108"/>
        <v>0.36565155844088504</v>
      </c>
      <c r="AL30" s="18">
        <f t="shared" si="108"/>
        <v>0.36904222229792227</v>
      </c>
      <c r="AM30" s="18">
        <f t="shared" si="108"/>
        <v>0.37145976561385674</v>
      </c>
      <c r="AN30" s="18">
        <f t="shared" si="108"/>
        <v>0.37426061605738614</v>
      </c>
      <c r="AO30" s="18">
        <f t="shared" si="108"/>
        <v>0.37732211441277541</v>
      </c>
      <c r="AP30" s="18">
        <f t="shared" si="108"/>
        <v>0.37740967015181109</v>
      </c>
      <c r="AQ30" s="18">
        <f t="shared" si="108"/>
        <v>0.37744631385744876</v>
      </c>
      <c r="AR30" s="18">
        <f t="shared" ref="AR30:AS30" si="109">AR29/AR11</f>
        <v>0.37872602190017807</v>
      </c>
      <c r="AS30" s="18">
        <f t="shared" si="109"/>
        <v>0.38123626947525002</v>
      </c>
      <c r="AU30" s="19">
        <f>SUM(AS30-AO30)*1000</f>
        <v>3.9141550624746113</v>
      </c>
    </row>
    <row r="31" spans="2:47" ht="5.0999999999999996" customHeight="1">
      <c r="AU31" s="9"/>
    </row>
    <row r="32" spans="2:47" ht="12.75" customHeight="1">
      <c r="B32" s="25" t="s">
        <v>45</v>
      </c>
      <c r="C32" s="113">
        <f>'Historical Financials'!C91</f>
        <v>-12734</v>
      </c>
      <c r="D32" s="113">
        <f>'Historical Financials'!D91</f>
        <v>-12451</v>
      </c>
      <c r="E32" s="113">
        <f>'Historical Financials'!E91</f>
        <v>-13313</v>
      </c>
      <c r="F32" s="113">
        <f>'Historical Financials'!F91</f>
        <v>-10495</v>
      </c>
      <c r="G32" s="113">
        <f>'Historical Financials'!G91</f>
        <v>-7309</v>
      </c>
      <c r="H32" s="113">
        <f>'Historical Financials'!H91</f>
        <v>-11085</v>
      </c>
      <c r="I32" s="113">
        <f>'Historical Financials'!I91</f>
        <v>-10708</v>
      </c>
      <c r="J32" s="113">
        <f>'Historical Financials'!J91</f>
        <v>-10959</v>
      </c>
      <c r="K32" s="113">
        <f>'Historical Financials'!K91</f>
        <v>-9447</v>
      </c>
      <c r="L32" s="113">
        <f>'Historical Financials'!L91</f>
        <v>-12715</v>
      </c>
      <c r="N32" s="113">
        <f>'Historical Financials'!N91</f>
        <v>-2803</v>
      </c>
      <c r="O32" s="113">
        <f>'Historical Financials'!O91</f>
        <v>-2514</v>
      </c>
      <c r="P32" s="113">
        <f>'Historical Financials'!P91</f>
        <v>-2102</v>
      </c>
      <c r="Q32" s="113">
        <f>'Historical Financials'!Q91</f>
        <v>-3289</v>
      </c>
      <c r="R32" s="113">
        <f>'Historical Financials'!R91</f>
        <v>-3787</v>
      </c>
      <c r="S32" s="113">
        <f>'Historical Financials'!S91</f>
        <v>-2916</v>
      </c>
      <c r="T32" s="113">
        <f>'Historical Financials'!T91</f>
        <v>-2093</v>
      </c>
      <c r="U32" s="113">
        <f>'Historical Financials'!U91</f>
        <v>-2163</v>
      </c>
      <c r="V32" s="113">
        <f>'Historical Financials'!V91</f>
        <v>-2392</v>
      </c>
      <c r="W32" s="113">
        <f>'Historical Financials'!W91</f>
        <v>-1996</v>
      </c>
      <c r="X32" s="113">
        <f>'Historical Financials'!X91</f>
        <v>-2151</v>
      </c>
      <c r="Y32" s="113">
        <f>'Historical Financials'!Y91</f>
        <v>-2908</v>
      </c>
      <c r="Z32" s="113">
        <f>'Historical Financials'!Z91</f>
        <v>-2940</v>
      </c>
      <c r="AA32" s="113">
        <f>'Historical Financials'!AA91</f>
        <v>-3071</v>
      </c>
      <c r="AB32" s="113">
        <f>'Historical Financials'!AB91</f>
        <v>-3462</v>
      </c>
      <c r="AC32" s="113">
        <f>'Historical Financials'!AC91</f>
        <v>-3242</v>
      </c>
      <c r="AD32" s="113">
        <f>'Historical Financials'!AD91</f>
        <v>-2373</v>
      </c>
      <c r="AF32" s="34">
        <f t="shared" ref="AF32:AF35" si="110">SUM(N32:Q32)</f>
        <v>-10708</v>
      </c>
      <c r="AG32" s="34">
        <f>SUM(O32:R32)</f>
        <v>-11692</v>
      </c>
      <c r="AH32" s="34">
        <f>SUM(P32:S32)</f>
        <v>-12094</v>
      </c>
      <c r="AI32" s="34">
        <f>SUM(Q32:T32)</f>
        <v>-12085</v>
      </c>
      <c r="AJ32" s="34">
        <f>SUM(R32:U32)</f>
        <v>-10959</v>
      </c>
      <c r="AK32" s="34">
        <f>SUM(S32:V32)</f>
        <v>-9564</v>
      </c>
      <c r="AL32" s="34">
        <f>SUM(T32:W32)</f>
        <v>-8644</v>
      </c>
      <c r="AM32" s="34">
        <f>SUM(U32:X32)</f>
        <v>-8702</v>
      </c>
      <c r="AN32" s="34">
        <f>SUM(V32:Y32)</f>
        <v>-9447</v>
      </c>
      <c r="AO32" s="34">
        <f>SUM(W32:Z32)</f>
        <v>-9995</v>
      </c>
      <c r="AP32" s="34">
        <f>SUM(X32:AA32)</f>
        <v>-11070</v>
      </c>
      <c r="AQ32" s="34">
        <f>SUM(Y32:AB32)</f>
        <v>-12381</v>
      </c>
      <c r="AR32" s="34">
        <f>SUM(Z32:AC32)</f>
        <v>-12715</v>
      </c>
      <c r="AS32" s="34">
        <f>SUM(AA32:AD32)</f>
        <v>-12148</v>
      </c>
      <c r="AU32" s="13">
        <f t="shared" ref="AU32:AU45" si="111">SUM(AS32/AO32)-1</f>
        <v>0.21540770385192598</v>
      </c>
    </row>
    <row r="33" spans="1:47" ht="12.75" customHeight="1">
      <c r="B33" s="25" t="s">
        <v>46</v>
      </c>
      <c r="C33" s="113">
        <f>-'Historical Financials'!C122</f>
        <v>-10444</v>
      </c>
      <c r="D33" s="113">
        <f>-'Historical Financials'!D122</f>
        <v>-11591</v>
      </c>
      <c r="E33" s="113">
        <f>-'Historical Financials'!E122</f>
        <v>-10417</v>
      </c>
      <c r="F33" s="113">
        <f>-'Historical Financials'!F122</f>
        <v>-15263</v>
      </c>
      <c r="G33" s="113">
        <f>-'Historical Financials'!G122</f>
        <v>-9501</v>
      </c>
      <c r="H33" s="113">
        <f>-'Historical Financials'!H122</f>
        <v>-25385</v>
      </c>
      <c r="I33" s="113">
        <f>-'Historical Financials'!I122</f>
        <v>-19573</v>
      </c>
      <c r="J33" s="113">
        <f>-'Historical Financials'!J122</f>
        <v>-18679</v>
      </c>
      <c r="K33" s="113">
        <f>-'Historical Financials'!K122</f>
        <v>-26102</v>
      </c>
      <c r="L33" s="113">
        <f>-'Historical Financials'!L122</f>
        <v>-43369</v>
      </c>
      <c r="N33" s="113">
        <f>-'Historical Financials'!N122</f>
        <v>-5235</v>
      </c>
      <c r="O33" s="113">
        <f>-'Historical Financials'!O122</f>
        <v>-4066</v>
      </c>
      <c r="P33" s="113">
        <f>-'Historical Financials'!P122</f>
        <v>-2950</v>
      </c>
      <c r="Q33" s="113">
        <f>-'Historical Financials'!Q122</f>
        <v>-7322</v>
      </c>
      <c r="R33" s="113">
        <f>-'Historical Financials'!R122</f>
        <v>-828</v>
      </c>
      <c r="S33" s="113">
        <f>-'Historical Financials'!S122</f>
        <v>-4066</v>
      </c>
      <c r="T33" s="113">
        <f>-'Historical Financials'!T122</f>
        <v>-2126</v>
      </c>
      <c r="U33" s="113">
        <f>-'Historical Financials'!U122</f>
        <v>-11659</v>
      </c>
      <c r="V33" s="113">
        <f>-'Historical Financials'!V122</f>
        <v>-7255</v>
      </c>
      <c r="W33" s="113">
        <f>-'Historical Financials'!W122</f>
        <v>-7276</v>
      </c>
      <c r="X33" s="113">
        <f>-'Historical Financials'!X122</f>
        <v>-4699</v>
      </c>
      <c r="Y33" s="113">
        <f>-'Historical Financials'!Y122</f>
        <v>-6872</v>
      </c>
      <c r="Z33" s="113">
        <f>-'Historical Financials'!Z122</f>
        <v>-18651</v>
      </c>
      <c r="AA33" s="113">
        <f>-'Historical Financials'!AA122</f>
        <v>-13032</v>
      </c>
      <c r="AB33" s="113">
        <f>-'Historical Financials'!AB122</f>
        <v>-5649</v>
      </c>
      <c r="AC33" s="113">
        <f>-'Historical Financials'!AC122</f>
        <v>-6037</v>
      </c>
      <c r="AD33" s="113">
        <f>-'Historical Financials'!AD122</f>
        <v>-3434</v>
      </c>
      <c r="AF33" s="34">
        <f t="shared" si="110"/>
        <v>-19573</v>
      </c>
      <c r="AG33" s="34">
        <f>SUM(O33:R33)</f>
        <v>-15166</v>
      </c>
      <c r="AH33" s="34">
        <f>SUM(P33:S33)</f>
        <v>-15166</v>
      </c>
      <c r="AI33" s="34">
        <f>SUM(Q33:T33)</f>
        <v>-14342</v>
      </c>
      <c r="AJ33" s="34">
        <f>SUM(R33:U33)</f>
        <v>-18679</v>
      </c>
      <c r="AK33" s="34">
        <f>SUM(S33:V33)</f>
        <v>-25106</v>
      </c>
      <c r="AL33" s="34">
        <f>SUM(T33:W33)</f>
        <v>-28316</v>
      </c>
      <c r="AM33" s="34">
        <f>SUM(U33:X33)</f>
        <v>-30889</v>
      </c>
      <c r="AN33" s="34">
        <f>SUM(V33:Y33)</f>
        <v>-26102</v>
      </c>
      <c r="AO33" s="34">
        <f>SUM(W33:Z33)</f>
        <v>-37498</v>
      </c>
      <c r="AP33" s="34">
        <f>SUM(X33:AA33)</f>
        <v>-43254</v>
      </c>
      <c r="AQ33" s="34">
        <f>SUM(Y33:AB33)</f>
        <v>-44204</v>
      </c>
      <c r="AR33" s="34">
        <f>SUM(Z33:AC33)</f>
        <v>-43369</v>
      </c>
      <c r="AS33" s="34">
        <f>SUM(AA33:AD33)</f>
        <v>-28152</v>
      </c>
      <c r="AU33" s="13">
        <f t="shared" si="111"/>
        <v>-0.24923995946450472</v>
      </c>
    </row>
    <row r="34" spans="1:47" ht="12.75" customHeight="1">
      <c r="B34" s="25" t="s">
        <v>142</v>
      </c>
      <c r="C34" s="113">
        <f>-'Historical Financials'!C123</f>
        <v>-1316</v>
      </c>
      <c r="D34" s="113">
        <f>-'Historical Financials'!D123</f>
        <v>-2092</v>
      </c>
      <c r="E34" s="113">
        <f>-'Historical Financials'!E123</f>
        <v>-3022</v>
      </c>
      <c r="F34" s="113">
        <f>-'Historical Financials'!F123</f>
        <v>-3423</v>
      </c>
      <c r="G34" s="113">
        <f>-'Historical Financials'!G123</f>
        <v>-3002</v>
      </c>
      <c r="H34" s="113">
        <f>-'Historical Financials'!H123</f>
        <v>-2687</v>
      </c>
      <c r="I34" s="113">
        <f>-'Historical Financials'!I123</f>
        <v>-2865</v>
      </c>
      <c r="J34" s="113">
        <f>-'Historical Financials'!J123</f>
        <v>-3803</v>
      </c>
      <c r="K34" s="113">
        <f>-'Historical Financials'!K123</f>
        <v>0</v>
      </c>
      <c r="L34" s="113">
        <f>-'Historical Financials'!L123</f>
        <v>0</v>
      </c>
      <c r="N34" s="113">
        <f>-'Historical Financials'!N123</f>
        <v>-531</v>
      </c>
      <c r="O34" s="113">
        <f>-'Historical Financials'!O123</f>
        <v>-875</v>
      </c>
      <c r="P34" s="113">
        <f>-'Historical Financials'!P123</f>
        <v>-504</v>
      </c>
      <c r="Q34" s="113">
        <f>-'Historical Financials'!Q123</f>
        <v>-955</v>
      </c>
      <c r="R34" s="113">
        <f>-'Historical Financials'!R123</f>
        <v>-703</v>
      </c>
      <c r="S34" s="113">
        <f>-'Historical Financials'!S123</f>
        <v>-1170</v>
      </c>
      <c r="T34" s="113">
        <f>-'Historical Financials'!T123</f>
        <v>-717</v>
      </c>
      <c r="U34" s="113">
        <f>-'Historical Financials'!U123</f>
        <v>-1213</v>
      </c>
      <c r="V34" s="113">
        <f>-'Historical Financials'!V123</f>
        <v>0</v>
      </c>
      <c r="W34" s="113">
        <f>-'Historical Financials'!W123</f>
        <v>0</v>
      </c>
      <c r="X34" s="113">
        <f>-'Historical Financials'!X123</f>
        <v>0</v>
      </c>
      <c r="Y34" s="113">
        <f>-'Historical Financials'!Y123</f>
        <v>0</v>
      </c>
      <c r="Z34" s="113">
        <f>-'Historical Financials'!Z123</f>
        <v>0</v>
      </c>
      <c r="AA34" s="113">
        <f>-'Historical Financials'!AA123</f>
        <v>0</v>
      </c>
      <c r="AB34" s="113">
        <f>-'Historical Financials'!AB123</f>
        <v>0</v>
      </c>
      <c r="AC34" s="113">
        <f>-'Historical Financials'!AC123</f>
        <v>0</v>
      </c>
      <c r="AD34" s="113">
        <f>-'Historical Financials'!AD123</f>
        <v>0</v>
      </c>
      <c r="AF34" s="34">
        <f t="shared" si="110"/>
        <v>-2865</v>
      </c>
      <c r="AG34" s="34">
        <f>SUM(O34:R34)</f>
        <v>-3037</v>
      </c>
      <c r="AH34" s="34">
        <f>SUM(P34:S34)</f>
        <v>-3332</v>
      </c>
      <c r="AI34" s="34">
        <f>SUM(Q34:T34)</f>
        <v>-3545</v>
      </c>
      <c r="AJ34" s="34">
        <f>SUM(R34:U34)</f>
        <v>-3803</v>
      </c>
      <c r="AK34" s="34">
        <f>SUM(S34:V34)</f>
        <v>-3100</v>
      </c>
      <c r="AL34" s="34">
        <f>SUM(T34:W34)</f>
        <v>-1930</v>
      </c>
      <c r="AM34" s="34">
        <f>SUM(U34:X34)</f>
        <v>-1213</v>
      </c>
      <c r="AN34" s="34">
        <f>SUM(V34:Y34)</f>
        <v>0</v>
      </c>
      <c r="AO34" s="34">
        <f>SUM(W34:Z34)</f>
        <v>0</v>
      </c>
      <c r="AP34" s="34">
        <f>SUM(X34:AA34)</f>
        <v>0</v>
      </c>
      <c r="AQ34" s="34">
        <f>SUM(Y34:AB34)</f>
        <v>0</v>
      </c>
      <c r="AR34" s="34">
        <f>SUM(Z34:AC34)</f>
        <v>0</v>
      </c>
      <c r="AS34" s="34">
        <f>SUM(AA34:AD34)</f>
        <v>0</v>
      </c>
      <c r="AU34" s="13" t="e">
        <f t="shared" si="111"/>
        <v>#DIV/0!</v>
      </c>
    </row>
    <row r="35" spans="1:47" ht="12.75" customHeight="1">
      <c r="B35" s="25" t="s">
        <v>47</v>
      </c>
      <c r="C35" s="113">
        <f>SUM('Historical Financials'!C84:C87)</f>
        <v>484</v>
      </c>
      <c r="D35" s="113">
        <f>SUM('Historical Financials'!D84:D87)</f>
        <v>-5550</v>
      </c>
      <c r="E35" s="113">
        <f>SUM('Historical Financials'!E84:E87)</f>
        <v>34694</v>
      </c>
      <c r="F35" s="113">
        <f>SUM('Historical Financials'!F84:F87)</f>
        <v>-3488</v>
      </c>
      <c r="G35" s="113">
        <f>SUM('Historical Financials'!G84:G87)</f>
        <v>5690</v>
      </c>
      <c r="H35" s="113">
        <f>SUM('Historical Financials'!H84:H87)</f>
        <v>-4911</v>
      </c>
      <c r="I35" s="113">
        <f>SUM('Historical Financials'!I84:I87)</f>
        <v>1200</v>
      </c>
      <c r="J35" s="113">
        <f>SUM('Historical Financials'!J84:J87)</f>
        <v>-6577</v>
      </c>
      <c r="K35" s="113">
        <f>SUM('Historical Financials'!K84:K87)</f>
        <v>3651</v>
      </c>
      <c r="L35" s="113">
        <f>SUM('Historical Financials'!L84:L87)</f>
        <v>-25000</v>
      </c>
      <c r="N35" s="113">
        <f>SUM('Historical Financials'!N84:N87)</f>
        <v>6525</v>
      </c>
      <c r="O35" s="113">
        <f>SUM('Historical Financials'!O84:O87)</f>
        <v>-2052</v>
      </c>
      <c r="P35" s="113">
        <f>SUM('Historical Financials'!P84:P87)</f>
        <v>-3225</v>
      </c>
      <c r="Q35" s="113">
        <f>SUM('Historical Financials'!Q84:Q87)</f>
        <v>-48</v>
      </c>
      <c r="R35" s="113">
        <f>SUM('Historical Financials'!R84:R87)</f>
        <v>-1497</v>
      </c>
      <c r="S35" s="113">
        <f>SUM('Historical Financials'!S84:S87)</f>
        <v>231</v>
      </c>
      <c r="T35" s="113">
        <f>SUM('Historical Financials'!T84:T87)</f>
        <v>749</v>
      </c>
      <c r="U35" s="113">
        <f>SUM('Historical Financials'!U84:U87)</f>
        <v>-6060</v>
      </c>
      <c r="V35" s="113">
        <f>SUM('Historical Financials'!V84:V87)</f>
        <v>1123</v>
      </c>
      <c r="W35" s="113">
        <f>SUM('Historical Financials'!W84:W87)</f>
        <v>-5767</v>
      </c>
      <c r="X35" s="113">
        <f>SUM('Historical Financials'!X84:X87)</f>
        <v>1687</v>
      </c>
      <c r="Y35" s="113">
        <f>SUM('Historical Financials'!Y84:Y87)</f>
        <v>6608</v>
      </c>
      <c r="Z35" s="113">
        <f>SUM('Historical Financials'!Z84:Z87)</f>
        <v>-10752</v>
      </c>
      <c r="AA35" s="113">
        <f>SUM('Historical Financials'!AA84:AA87)</f>
        <v>-6507</v>
      </c>
      <c r="AB35" s="113">
        <f>SUM('Historical Financials'!AB84:AB87)</f>
        <v>-2034</v>
      </c>
      <c r="AC35" s="113">
        <f>SUM('Historical Financials'!AC84:AC87)</f>
        <v>-5707</v>
      </c>
      <c r="AD35" s="113">
        <f>SUM('Historical Financials'!AD84:AD87)</f>
        <v>5548</v>
      </c>
      <c r="AF35" s="34">
        <f t="shared" si="110"/>
        <v>1200</v>
      </c>
      <c r="AG35" s="34">
        <f>SUM(O35:R35)</f>
        <v>-6822</v>
      </c>
      <c r="AH35" s="34">
        <f>SUM(P35:S35)</f>
        <v>-4539</v>
      </c>
      <c r="AI35" s="34">
        <f>SUM(Q35:T35)</f>
        <v>-565</v>
      </c>
      <c r="AJ35" s="34">
        <f>SUM(R35:U35)</f>
        <v>-6577</v>
      </c>
      <c r="AK35" s="34">
        <f>SUM(S35:V35)</f>
        <v>-3957</v>
      </c>
      <c r="AL35" s="34">
        <f>SUM(T35:W35)</f>
        <v>-9955</v>
      </c>
      <c r="AM35" s="34">
        <f>SUM(U35:X35)</f>
        <v>-9017</v>
      </c>
      <c r="AN35" s="34">
        <f>SUM(V35:Y35)</f>
        <v>3651</v>
      </c>
      <c r="AO35" s="34">
        <f>SUM(W35:Z35)</f>
        <v>-8224</v>
      </c>
      <c r="AP35" s="34">
        <f>SUM(X35:AA35)</f>
        <v>-8964</v>
      </c>
      <c r="AQ35" s="34">
        <f>SUM(Y35:AB35)</f>
        <v>-12685</v>
      </c>
      <c r="AR35" s="34">
        <f>SUM(Z35:AC35)</f>
        <v>-25000</v>
      </c>
      <c r="AS35" s="34">
        <f>SUM(AA35:AD35)</f>
        <v>-8700</v>
      </c>
      <c r="AU35" s="13">
        <f t="shared" si="111"/>
        <v>5.7879377431906631E-2</v>
      </c>
    </row>
    <row r="36" spans="1:47" ht="12.75" customHeight="1">
      <c r="B36" s="14" t="s">
        <v>48</v>
      </c>
      <c r="C36" s="15">
        <f t="shared" ref="C36:F36" si="112">SUM(C29+SUM(C32:C35))</f>
        <v>50729</v>
      </c>
      <c r="D36" s="15">
        <f t="shared" si="112"/>
        <v>44657</v>
      </c>
      <c r="E36" s="15">
        <f t="shared" si="112"/>
        <v>95083</v>
      </c>
      <c r="F36" s="15">
        <f t="shared" si="112"/>
        <v>49876</v>
      </c>
      <c r="G36" s="15">
        <f t="shared" ref="G36:L36" si="113">SUM(G29+SUM(G32:G35))</f>
        <v>70051</v>
      </c>
      <c r="H36" s="15">
        <f t="shared" si="113"/>
        <v>84071</v>
      </c>
      <c r="I36" s="15">
        <f t="shared" si="113"/>
        <v>107633</v>
      </c>
      <c r="J36" s="15">
        <f t="shared" si="113"/>
        <v>96635</v>
      </c>
      <c r="K36" s="15">
        <f t="shared" si="113"/>
        <v>114451</v>
      </c>
      <c r="L36" s="15">
        <f t="shared" si="113"/>
        <v>76527</v>
      </c>
      <c r="N36" s="15">
        <f t="shared" ref="N36:AB36" si="114">SUM(N29+SUM(N32:N35))</f>
        <v>44406</v>
      </c>
      <c r="O36" s="15">
        <f t="shared" si="114"/>
        <v>25461</v>
      </c>
      <c r="P36" s="15">
        <f t="shared" si="114"/>
        <v>19343</v>
      </c>
      <c r="Q36" s="15">
        <f t="shared" si="114"/>
        <v>18423</v>
      </c>
      <c r="R36" s="15">
        <f t="shared" si="114"/>
        <v>35022</v>
      </c>
      <c r="S36" s="15">
        <f t="shared" si="114"/>
        <v>25981</v>
      </c>
      <c r="T36" s="15">
        <f t="shared" si="114"/>
        <v>24480</v>
      </c>
      <c r="U36" s="15">
        <f t="shared" si="114"/>
        <v>11152</v>
      </c>
      <c r="V36" s="15">
        <f t="shared" si="114"/>
        <v>37694</v>
      </c>
      <c r="W36" s="15">
        <f t="shared" si="114"/>
        <v>18664</v>
      </c>
      <c r="X36" s="15">
        <f t="shared" si="114"/>
        <v>25905</v>
      </c>
      <c r="Y36" s="15">
        <f t="shared" si="114"/>
        <v>32188</v>
      </c>
      <c r="Z36" s="15">
        <f t="shared" si="114"/>
        <v>16855</v>
      </c>
      <c r="AA36" s="15">
        <f t="shared" si="114"/>
        <v>12866</v>
      </c>
      <c r="AB36" s="15">
        <f t="shared" si="114"/>
        <v>23055</v>
      </c>
      <c r="AC36" s="15">
        <f t="shared" ref="AC36:AD36" si="115">SUM(AC29+SUM(AC32:AC35))</f>
        <v>23751</v>
      </c>
      <c r="AD36" s="15">
        <f t="shared" si="115"/>
        <v>57401</v>
      </c>
      <c r="AF36" s="15">
        <f t="shared" ref="AF36:AQ36" si="116">SUM(AF29+SUM(AF32:AF35))</f>
        <v>107633</v>
      </c>
      <c r="AG36" s="15">
        <f t="shared" si="116"/>
        <v>98249</v>
      </c>
      <c r="AH36" s="15">
        <f t="shared" si="116"/>
        <v>98769</v>
      </c>
      <c r="AI36" s="15">
        <f t="shared" si="116"/>
        <v>103906</v>
      </c>
      <c r="AJ36" s="15">
        <f t="shared" si="116"/>
        <v>96635</v>
      </c>
      <c r="AK36" s="15">
        <f t="shared" si="116"/>
        <v>99307</v>
      </c>
      <c r="AL36" s="15">
        <f t="shared" si="116"/>
        <v>91990</v>
      </c>
      <c r="AM36" s="15">
        <f t="shared" si="116"/>
        <v>93415</v>
      </c>
      <c r="AN36" s="15">
        <f t="shared" si="116"/>
        <v>114451</v>
      </c>
      <c r="AO36" s="15">
        <f t="shared" si="116"/>
        <v>93612</v>
      </c>
      <c r="AP36" s="15">
        <f t="shared" si="116"/>
        <v>87814</v>
      </c>
      <c r="AQ36" s="15">
        <f t="shared" si="116"/>
        <v>84964</v>
      </c>
      <c r="AR36" s="15">
        <f t="shared" ref="AR36:AS36" si="117">SUM(AR29+SUM(AR32:AR35))</f>
        <v>76527</v>
      </c>
      <c r="AS36" s="15">
        <f t="shared" si="117"/>
        <v>117073</v>
      </c>
      <c r="AU36" s="16">
        <f t="shared" si="111"/>
        <v>0.25061957868649309</v>
      </c>
    </row>
    <row r="37" spans="1:47" ht="5.0999999999999996" customHeight="1">
      <c r="AU37" s="16"/>
    </row>
    <row r="38" spans="1:47" ht="12.75" customHeight="1">
      <c r="B38" s="33" t="s">
        <v>143</v>
      </c>
      <c r="C38" s="113">
        <f>SUM('Historical Financials'!C92:C93)</f>
        <v>-30634</v>
      </c>
      <c r="D38" s="113">
        <f>SUM('Historical Financials'!D92:D93)</f>
        <v>-33147</v>
      </c>
      <c r="E38" s="113">
        <f>SUM('Historical Financials'!E92:E93)</f>
        <v>32363</v>
      </c>
      <c r="F38" s="113">
        <f>SUM('Historical Financials'!F92:F93)</f>
        <v>57460</v>
      </c>
      <c r="G38" s="113">
        <f>SUM('Historical Financials'!G92:G93)</f>
        <v>5453</v>
      </c>
      <c r="H38" s="113">
        <f>SUM('Historical Financials'!H92:H93)</f>
        <v>-3075</v>
      </c>
      <c r="I38" s="113">
        <f>SUM('Historical Financials'!I92:I93)</f>
        <v>-9560</v>
      </c>
      <c r="J38" s="113">
        <f>SUM('Historical Financials'!J92:J93)</f>
        <v>16001</v>
      </c>
      <c r="K38" s="113">
        <f>SUM('Historical Financials'!K92:K93)</f>
        <v>13690</v>
      </c>
      <c r="L38" s="113">
        <f>SUM('Historical Financials'!L92:L93)</f>
        <v>29390</v>
      </c>
      <c r="M38" s="34"/>
      <c r="N38" s="113">
        <f>SUM('Historical Financials'!N92:N93)</f>
        <v>-12929</v>
      </c>
      <c r="O38" s="113">
        <f>SUM('Historical Financials'!O92:O93)</f>
        <v>-6390</v>
      </c>
      <c r="P38" s="113">
        <f>SUM('Historical Financials'!P92:P93)</f>
        <v>6953</v>
      </c>
      <c r="Q38" s="113">
        <f>SUM('Historical Financials'!Q92:Q93)</f>
        <v>2806</v>
      </c>
      <c r="R38" s="113">
        <f>SUM('Historical Financials'!R92:R93)</f>
        <v>2483</v>
      </c>
      <c r="S38" s="113">
        <f>SUM('Historical Financials'!S92:S93)</f>
        <v>5341</v>
      </c>
      <c r="T38" s="113">
        <f>SUM('Historical Financials'!T92:T93)</f>
        <v>3036</v>
      </c>
      <c r="U38" s="113">
        <f>SUM('Historical Financials'!U92:U93)</f>
        <v>5141</v>
      </c>
      <c r="V38" s="113">
        <f>SUM('Historical Financials'!V92:V93)</f>
        <v>4603</v>
      </c>
      <c r="W38" s="113">
        <f>SUM('Historical Financials'!W92:W93)</f>
        <v>2131</v>
      </c>
      <c r="X38" s="113">
        <f>SUM('Historical Financials'!X92:X93)</f>
        <v>2412</v>
      </c>
      <c r="Y38" s="113">
        <f>SUM('Historical Financials'!Y92:Y93)</f>
        <v>4544</v>
      </c>
      <c r="Z38" s="113">
        <f>SUM('Historical Financials'!Z92:Z93)</f>
        <v>13335</v>
      </c>
      <c r="AA38" s="113">
        <f>SUM('Historical Financials'!AA92:AA93)</f>
        <v>6020</v>
      </c>
      <c r="AB38" s="113">
        <f>SUM('Historical Financials'!AB92:AB93)</f>
        <v>8875</v>
      </c>
      <c r="AC38" s="113">
        <f>SUM('Historical Financials'!AC92:AC93)</f>
        <v>1160</v>
      </c>
      <c r="AD38" s="113">
        <f>SUM('Historical Financials'!AD92:AD93)</f>
        <v>-2359</v>
      </c>
      <c r="AF38" s="34">
        <f t="shared" ref="AF38:AF42" si="118">SUM(N38:Q38)</f>
        <v>-9560</v>
      </c>
      <c r="AG38" s="34">
        <f>SUM(O38:R38)</f>
        <v>5852</v>
      </c>
      <c r="AH38" s="34">
        <f>SUM(P38:S38)</f>
        <v>17583</v>
      </c>
      <c r="AI38" s="34">
        <f>SUM(Q38:T38)</f>
        <v>13666</v>
      </c>
      <c r="AJ38" s="34">
        <f>SUM(R38:U38)</f>
        <v>16001</v>
      </c>
      <c r="AK38" s="34">
        <f>SUM(S38:V38)</f>
        <v>18121</v>
      </c>
      <c r="AL38" s="34">
        <f>SUM(T38:W38)</f>
        <v>14911</v>
      </c>
      <c r="AM38" s="34">
        <f>SUM(U38:X38)</f>
        <v>14287</v>
      </c>
      <c r="AN38" s="34">
        <f>SUM(V38:Y38)</f>
        <v>13690</v>
      </c>
      <c r="AO38" s="34">
        <f>SUM(W38:Z38)</f>
        <v>22422</v>
      </c>
      <c r="AP38" s="34">
        <f>SUM(X38:AA38)</f>
        <v>26311</v>
      </c>
      <c r="AQ38" s="34">
        <f>SUM(Y38:AB38)</f>
        <v>32774</v>
      </c>
      <c r="AR38" s="34">
        <f>SUM(Z38:AC38)</f>
        <v>29390</v>
      </c>
      <c r="AS38" s="34">
        <f>SUM(AA38:AD38)</f>
        <v>13696</v>
      </c>
      <c r="AU38" s="13">
        <f t="shared" si="111"/>
        <v>-0.38917134956738919</v>
      </c>
    </row>
    <row r="39" spans="1:47" ht="12.75" customHeight="1">
      <c r="B39" s="33" t="s">
        <v>144</v>
      </c>
      <c r="C39" s="113">
        <f>'Historical Financials'!C95</f>
        <v>-1498</v>
      </c>
      <c r="D39" s="113">
        <f>'Historical Financials'!D95</f>
        <v>-175</v>
      </c>
      <c r="E39" s="113">
        <f>'Historical Financials'!E95</f>
        <v>-2263</v>
      </c>
      <c r="F39" s="113">
        <f>'Historical Financials'!F95</f>
        <v>-445</v>
      </c>
      <c r="G39" s="113">
        <f>'Historical Financials'!G95</f>
        <v>-909</v>
      </c>
      <c r="H39" s="113">
        <f>'Historical Financials'!H95</f>
        <v>-352</v>
      </c>
      <c r="I39" s="113">
        <f>'Historical Financials'!I95</f>
        <v>-1780</v>
      </c>
      <c r="J39" s="113">
        <f>'Historical Financials'!J95</f>
        <v>-1337</v>
      </c>
      <c r="K39" s="113">
        <f>'Historical Financials'!K95</f>
        <v>-1308</v>
      </c>
      <c r="L39" s="113">
        <f>'Historical Financials'!L95</f>
        <v>-1480</v>
      </c>
      <c r="M39" s="34"/>
      <c r="N39" s="113">
        <f>'Historical Financials'!N95</f>
        <v>-374</v>
      </c>
      <c r="O39" s="113">
        <f>'Historical Financials'!O95</f>
        <v>-194</v>
      </c>
      <c r="P39" s="113">
        <f>'Historical Financials'!P95</f>
        <v>-615</v>
      </c>
      <c r="Q39" s="113">
        <f>'Historical Financials'!Q95</f>
        <v>-597</v>
      </c>
      <c r="R39" s="113">
        <f>'Historical Financials'!R95</f>
        <v>-141</v>
      </c>
      <c r="S39" s="113">
        <f>'Historical Financials'!S95</f>
        <v>-106</v>
      </c>
      <c r="T39" s="113">
        <f>'Historical Financials'!T95</f>
        <v>-506</v>
      </c>
      <c r="U39" s="113">
        <f>'Historical Financials'!U95</f>
        <v>-584</v>
      </c>
      <c r="V39" s="113">
        <f>'Historical Financials'!V95</f>
        <v>-284</v>
      </c>
      <c r="W39" s="113">
        <f>'Historical Financials'!W95</f>
        <v>-445</v>
      </c>
      <c r="X39" s="113">
        <f>'Historical Financials'!X95</f>
        <v>-388</v>
      </c>
      <c r="Y39" s="113">
        <f>'Historical Financials'!Y95</f>
        <v>-191</v>
      </c>
      <c r="Z39" s="113">
        <f>'Historical Financials'!Z95</f>
        <v>-603</v>
      </c>
      <c r="AA39" s="113">
        <f>'Historical Financials'!AA95</f>
        <v>-32</v>
      </c>
      <c r="AB39" s="113">
        <f>'Historical Financials'!AB95</f>
        <v>-340</v>
      </c>
      <c r="AC39" s="113">
        <f>'Historical Financials'!AC95</f>
        <v>-505</v>
      </c>
      <c r="AD39" s="113">
        <f>'Historical Financials'!AD95</f>
        <v>-154</v>
      </c>
      <c r="AF39" s="34">
        <f t="shared" si="118"/>
        <v>-1780</v>
      </c>
      <c r="AG39" s="34">
        <f>SUM(O39:R39)</f>
        <v>-1547</v>
      </c>
      <c r="AH39" s="34">
        <f>SUM(P39:S39)</f>
        <v>-1459</v>
      </c>
      <c r="AI39" s="34">
        <f>SUM(Q39:T39)</f>
        <v>-1350</v>
      </c>
      <c r="AJ39" s="34">
        <f>SUM(R39:U39)</f>
        <v>-1337</v>
      </c>
      <c r="AK39" s="34">
        <f>SUM(S39:V39)</f>
        <v>-1480</v>
      </c>
      <c r="AL39" s="34">
        <f>SUM(T39:W39)</f>
        <v>-1819</v>
      </c>
      <c r="AM39" s="34">
        <f>SUM(U39:X39)</f>
        <v>-1701</v>
      </c>
      <c r="AN39" s="34">
        <f>SUM(V39:Y39)</f>
        <v>-1308</v>
      </c>
      <c r="AO39" s="34">
        <f>SUM(W39:Z39)</f>
        <v>-1627</v>
      </c>
      <c r="AP39" s="34">
        <f>SUM(X39:AA39)</f>
        <v>-1214</v>
      </c>
      <c r="AQ39" s="34">
        <f>SUM(Y39:AB39)</f>
        <v>-1166</v>
      </c>
      <c r="AR39" s="34">
        <f>SUM(Z39:AC39)</f>
        <v>-1480</v>
      </c>
      <c r="AS39" s="34">
        <f>SUM(AA39:AD39)</f>
        <v>-1031</v>
      </c>
      <c r="AU39" s="13">
        <f t="shared" si="111"/>
        <v>-0.36631837738168405</v>
      </c>
    </row>
    <row r="40" spans="1:47" ht="12.75" customHeight="1">
      <c r="B40" s="33" t="s">
        <v>99</v>
      </c>
      <c r="C40" s="113">
        <f>SUM('Historical Financials'!C99:C100)</f>
        <v>22454</v>
      </c>
      <c r="D40" s="113">
        <f>SUM('Historical Financials'!D99:D100)</f>
        <v>25162</v>
      </c>
      <c r="E40" s="113">
        <f>SUM('Historical Financials'!E99:E100)</f>
        <v>469</v>
      </c>
      <c r="F40" s="113">
        <f>SUM('Historical Financials'!F99:F100)</f>
        <v>-1842</v>
      </c>
      <c r="G40" s="113">
        <f>SUM('Historical Financials'!G99:G100)</f>
        <v>3462</v>
      </c>
      <c r="H40" s="113">
        <f>SUM('Historical Financials'!H99:H100)</f>
        <v>11643</v>
      </c>
      <c r="I40" s="113">
        <f>SUM('Historical Financials'!I99:I100)</f>
        <v>-4078</v>
      </c>
      <c r="J40" s="113">
        <f>SUM('Historical Financials'!J99:J100)</f>
        <v>-5923.1080000000002</v>
      </c>
      <c r="K40" s="113">
        <f>SUM('Historical Financials'!K99:K100)</f>
        <v>-9958</v>
      </c>
      <c r="L40" s="113">
        <f>SUM('Historical Financials'!L99:L100)</f>
        <v>-6451</v>
      </c>
      <c r="M40" s="34"/>
      <c r="N40" s="113">
        <f>SUM('Historical Financials'!N99:N100)</f>
        <v>0</v>
      </c>
      <c r="O40" s="113">
        <f>SUM('Historical Financials'!O99:O100)</f>
        <v>-3750</v>
      </c>
      <c r="P40" s="113">
        <f>SUM('Historical Financials'!P99:P100)</f>
        <v>-3000</v>
      </c>
      <c r="Q40" s="113">
        <f>SUM('Historical Financials'!Q99:Q100)</f>
        <v>2672</v>
      </c>
      <c r="R40" s="113">
        <f>SUM('Historical Financials'!R99:R100)</f>
        <v>-1401</v>
      </c>
      <c r="S40" s="113">
        <f>SUM('Historical Financials'!S99:S100)</f>
        <v>-2250</v>
      </c>
      <c r="T40" s="113">
        <f>SUM('Historical Financials'!T99:T100)</f>
        <v>-2272</v>
      </c>
      <c r="U40" s="113">
        <f>SUM('Historical Financials'!U99:U100)</f>
        <v>-0.10800000000017462</v>
      </c>
      <c r="V40" s="113">
        <f>SUM('Historical Financials'!V99:V100)</f>
        <v>0</v>
      </c>
      <c r="W40" s="113">
        <f>SUM('Historical Financials'!W99:W100)</f>
        <v>-3150</v>
      </c>
      <c r="X40" s="113">
        <f>SUM('Historical Financials'!X99:X100)</f>
        <v>-4250</v>
      </c>
      <c r="Y40" s="113">
        <f>SUM('Historical Financials'!Y99:Y100)</f>
        <v>-2558</v>
      </c>
      <c r="Z40" s="113">
        <f>SUM('Historical Financials'!Z99:Z100)</f>
        <v>-1009</v>
      </c>
      <c r="AA40" s="113">
        <f>SUM('Historical Financials'!AA99:AA100)</f>
        <v>-3000</v>
      </c>
      <c r="AB40" s="113">
        <f>SUM('Historical Financials'!AB99:AB100)</f>
        <v>-1192</v>
      </c>
      <c r="AC40" s="113">
        <f>SUM('Historical Financials'!AC99:AC100)</f>
        <v>-1250</v>
      </c>
      <c r="AD40" s="113">
        <f>SUM('Historical Financials'!AD99:AD100)</f>
        <v>-2164</v>
      </c>
      <c r="AF40" s="34">
        <f t="shared" si="118"/>
        <v>-4078</v>
      </c>
      <c r="AG40" s="34">
        <f>SUM(O40:R40)</f>
        <v>-5479</v>
      </c>
      <c r="AH40" s="34">
        <f>SUM(P40:S40)</f>
        <v>-3979</v>
      </c>
      <c r="AI40" s="34">
        <f>SUM(Q40:T40)</f>
        <v>-3251</v>
      </c>
      <c r="AJ40" s="34">
        <f>SUM(R40:U40)</f>
        <v>-5923.1080000000002</v>
      </c>
      <c r="AK40" s="34">
        <f>SUM(S40:V40)</f>
        <v>-4522.1080000000002</v>
      </c>
      <c r="AL40" s="34">
        <f>SUM(T40:W40)</f>
        <v>-5422.1080000000002</v>
      </c>
      <c r="AM40" s="34">
        <f>SUM(U40:X40)</f>
        <v>-7400.1080000000002</v>
      </c>
      <c r="AN40" s="34">
        <f>SUM(V40:Y40)</f>
        <v>-9958</v>
      </c>
      <c r="AO40" s="34">
        <f>SUM(W40:Z40)</f>
        <v>-10967</v>
      </c>
      <c r="AP40" s="34">
        <f>SUM(X40:AA40)</f>
        <v>-10817</v>
      </c>
      <c r="AQ40" s="34">
        <f>SUM(Y40:AB40)</f>
        <v>-7759</v>
      </c>
      <c r="AR40" s="34">
        <f>SUM(Z40:AC40)</f>
        <v>-6451</v>
      </c>
      <c r="AS40" s="34">
        <f>SUM(AA40:AD40)</f>
        <v>-7606</v>
      </c>
      <c r="AU40" s="13">
        <f t="shared" si="111"/>
        <v>-0.30646484909273275</v>
      </c>
    </row>
    <row r="41" spans="1:47" ht="12.75" customHeight="1">
      <c r="B41" s="33" t="s">
        <v>145</v>
      </c>
      <c r="C41" s="113">
        <f>SUM('Historical Financials'!C101:C102)</f>
        <v>-29227</v>
      </c>
      <c r="D41" s="113">
        <f>SUM('Historical Financials'!D101:D102)</f>
        <v>-32345</v>
      </c>
      <c r="E41" s="113">
        <f>SUM('Historical Financials'!E101:E102)</f>
        <v>-72069</v>
      </c>
      <c r="F41" s="113">
        <f>SUM('Historical Financials'!F101:F102)</f>
        <v>-66116</v>
      </c>
      <c r="G41" s="113">
        <f>SUM('Historical Financials'!G101:G102)</f>
        <v>-71478</v>
      </c>
      <c r="H41" s="113">
        <f>SUM('Historical Financials'!H101:H102)</f>
        <v>-84866</v>
      </c>
      <c r="I41" s="113">
        <f>SUM('Historical Financials'!I101:I102)</f>
        <v>-89402</v>
      </c>
      <c r="J41" s="113">
        <f>SUM('Historical Financials'!J101:J102)</f>
        <v>-77550</v>
      </c>
      <c r="K41" s="113">
        <f>SUM('Historical Financials'!K101:K102)</f>
        <v>-94949</v>
      </c>
      <c r="L41" s="113">
        <f>SUM('Historical Financials'!L101:L102)</f>
        <v>-90711</v>
      </c>
      <c r="M41" s="34"/>
      <c r="N41" s="113">
        <f>SUM('Historical Financials'!N101:N102)</f>
        <v>-20478</v>
      </c>
      <c r="O41" s="113">
        <f>SUM('Historical Financials'!O101:O102)</f>
        <v>-22631</v>
      </c>
      <c r="P41" s="113">
        <f>SUM('Historical Financials'!P101:P102)</f>
        <v>-21865</v>
      </c>
      <c r="Q41" s="113">
        <f>SUM('Historical Financials'!Q101:Q102)</f>
        <v>-24428</v>
      </c>
      <c r="R41" s="113">
        <f>SUM('Historical Financials'!R101:R102)</f>
        <v>-19475</v>
      </c>
      <c r="S41" s="113">
        <f>SUM('Historical Financials'!S101:S102)</f>
        <v>-19594</v>
      </c>
      <c r="T41" s="113">
        <f>SUM('Historical Financials'!T101:T102)</f>
        <v>-22597</v>
      </c>
      <c r="U41" s="113">
        <f>SUM('Historical Financials'!U101:U102)</f>
        <v>-15884</v>
      </c>
      <c r="V41" s="113">
        <f>SUM('Historical Financials'!V101:V102)</f>
        <v>-20139</v>
      </c>
      <c r="W41" s="113">
        <f>SUM('Historical Financials'!W101:W102)</f>
        <v>-23205</v>
      </c>
      <c r="X41" s="113">
        <f>SUM('Historical Financials'!X101:X102)</f>
        <v>-26522</v>
      </c>
      <c r="Y41" s="113">
        <f>SUM('Historical Financials'!Y101:Y102)</f>
        <v>-25083</v>
      </c>
      <c r="Z41" s="113">
        <f>SUM('Historical Financials'!Z101:Z102)</f>
        <v>-23606</v>
      </c>
      <c r="AA41" s="113">
        <f>SUM('Historical Financials'!AA101:AA102)</f>
        <v>-25898</v>
      </c>
      <c r="AB41" s="113">
        <f>SUM('Historical Financials'!AB101:AB102)</f>
        <v>-21075</v>
      </c>
      <c r="AC41" s="113">
        <f>SUM('Historical Financials'!AC101:AC102)</f>
        <v>-20132</v>
      </c>
      <c r="AD41" s="113">
        <f>SUM('Historical Financials'!AD101:AD102)</f>
        <v>-27623</v>
      </c>
      <c r="AF41" s="34">
        <f t="shared" si="118"/>
        <v>-89402</v>
      </c>
      <c r="AG41" s="34">
        <f>SUM(O41:R41)</f>
        <v>-88399</v>
      </c>
      <c r="AH41" s="34">
        <f>SUM(P41:S41)</f>
        <v>-85362</v>
      </c>
      <c r="AI41" s="34">
        <f>SUM(Q41:T41)</f>
        <v>-86094</v>
      </c>
      <c r="AJ41" s="34">
        <f>SUM(R41:U41)</f>
        <v>-77550</v>
      </c>
      <c r="AK41" s="34">
        <f>SUM(S41:V41)</f>
        <v>-78214</v>
      </c>
      <c r="AL41" s="34">
        <f>SUM(T41:W41)</f>
        <v>-81825</v>
      </c>
      <c r="AM41" s="34">
        <f>SUM(U41:X41)</f>
        <v>-85750</v>
      </c>
      <c r="AN41" s="34">
        <f>SUM(V41:Y41)</f>
        <v>-94949</v>
      </c>
      <c r="AO41" s="34">
        <f>SUM(W41:Z41)</f>
        <v>-98416</v>
      </c>
      <c r="AP41" s="34">
        <f>SUM(X41:AA41)</f>
        <v>-101109</v>
      </c>
      <c r="AQ41" s="34">
        <f>SUM(Y41:AB41)</f>
        <v>-95662</v>
      </c>
      <c r="AR41" s="34">
        <f>SUM(Z41:AC41)</f>
        <v>-90711</v>
      </c>
      <c r="AS41" s="34">
        <f>SUM(AA41:AD41)</f>
        <v>-94728</v>
      </c>
      <c r="AU41" s="13">
        <f t="shared" si="111"/>
        <v>-3.74735815314583E-2</v>
      </c>
    </row>
    <row r="42" spans="1:47" ht="12.75" customHeight="1">
      <c r="B42" s="33" t="s">
        <v>146</v>
      </c>
      <c r="C42" s="113">
        <f>'Historical Financials'!C103</f>
        <v>-397</v>
      </c>
      <c r="D42" s="113">
        <f>'Historical Financials'!D103</f>
        <v>3852</v>
      </c>
      <c r="E42" s="113">
        <f>'Historical Financials'!E103</f>
        <v>-37</v>
      </c>
      <c r="F42" s="113">
        <f>'Historical Financials'!F103</f>
        <v>-5977</v>
      </c>
      <c r="G42" s="113">
        <f>'Historical Financials'!G103</f>
        <v>-963</v>
      </c>
      <c r="H42" s="113">
        <f>'Historical Financials'!H103</f>
        <v>1022</v>
      </c>
      <c r="I42" s="113">
        <f>'Historical Financials'!I103</f>
        <v>3955</v>
      </c>
      <c r="J42" s="113">
        <f>'Historical Financials'!J103</f>
        <v>-3978</v>
      </c>
      <c r="K42" s="113">
        <f>'Historical Financials'!K103</f>
        <v>3960</v>
      </c>
      <c r="L42" s="113">
        <f>'Historical Financials'!L103</f>
        <v>-2032</v>
      </c>
      <c r="M42" s="34"/>
      <c r="N42" s="113">
        <f>'Historical Financials'!N103</f>
        <v>-1000</v>
      </c>
      <c r="O42" s="113">
        <f>'Historical Financials'!O103</f>
        <v>1999</v>
      </c>
      <c r="P42" s="113">
        <f>'Historical Financials'!P103</f>
        <v>3971</v>
      </c>
      <c r="Q42" s="113">
        <f>'Historical Financials'!Q103</f>
        <v>-1015</v>
      </c>
      <c r="R42" s="113">
        <f>'Historical Financials'!R103</f>
        <v>-8214</v>
      </c>
      <c r="S42" s="113">
        <f>'Historical Financials'!S103</f>
        <v>254</v>
      </c>
      <c r="T42" s="113">
        <f>'Historical Financials'!T103</f>
        <v>1989</v>
      </c>
      <c r="U42" s="113">
        <f>'Historical Financials'!U103</f>
        <v>1993</v>
      </c>
      <c r="V42" s="113">
        <f>'Historical Financials'!V103</f>
        <v>-3984</v>
      </c>
      <c r="W42" s="113">
        <f>'Historical Financials'!W103</f>
        <v>2</v>
      </c>
      <c r="X42" s="113">
        <f>'Historical Financials'!X103</f>
        <v>997</v>
      </c>
      <c r="Y42" s="113">
        <f>'Historical Financials'!Y103</f>
        <v>6945</v>
      </c>
      <c r="Z42" s="113">
        <f>'Historical Financials'!Z103</f>
        <v>-7944</v>
      </c>
      <c r="AA42" s="113">
        <f>'Historical Financials'!AA103</f>
        <v>3976</v>
      </c>
      <c r="AB42" s="113">
        <f>'Historical Financials'!AB103</f>
        <v>3903</v>
      </c>
      <c r="AC42" s="113">
        <f>'Historical Financials'!AC103</f>
        <v>-1967</v>
      </c>
      <c r="AD42" s="113">
        <f>'Historical Financials'!AD103</f>
        <v>-5910</v>
      </c>
      <c r="AF42" s="34">
        <f t="shared" si="118"/>
        <v>3955</v>
      </c>
      <c r="AG42" s="34">
        <f>SUM(O42:R42)</f>
        <v>-3259</v>
      </c>
      <c r="AH42" s="34">
        <f>SUM(P42:S42)</f>
        <v>-5004</v>
      </c>
      <c r="AI42" s="34">
        <f>SUM(Q42:T42)</f>
        <v>-6986</v>
      </c>
      <c r="AJ42" s="34">
        <f>SUM(R42:U42)</f>
        <v>-3978</v>
      </c>
      <c r="AK42" s="34">
        <f>SUM(S42:V42)</f>
        <v>252</v>
      </c>
      <c r="AL42" s="34">
        <f>SUM(T42:W42)</f>
        <v>0</v>
      </c>
      <c r="AM42" s="34">
        <f>SUM(U42:X42)</f>
        <v>-992</v>
      </c>
      <c r="AN42" s="34">
        <f>SUM(V42:Y42)</f>
        <v>3960</v>
      </c>
      <c r="AO42" s="34">
        <f>SUM(W42:Z42)</f>
        <v>0</v>
      </c>
      <c r="AP42" s="34">
        <f>SUM(X42:AA42)</f>
        <v>3974</v>
      </c>
      <c r="AQ42" s="34">
        <f>SUM(Y42:AB42)</f>
        <v>6880</v>
      </c>
      <c r="AR42" s="34">
        <f>SUM(Z42:AC42)</f>
        <v>-2032</v>
      </c>
      <c r="AS42" s="34">
        <f>SUM(AA42:AD42)</f>
        <v>2</v>
      </c>
      <c r="AU42" s="13" t="e">
        <f t="shared" si="111"/>
        <v>#DIV/0!</v>
      </c>
    </row>
    <row r="43" spans="1:47" ht="12.75" customHeight="1">
      <c r="B43" s="33" t="s">
        <v>100</v>
      </c>
      <c r="C43" s="113">
        <f>'Historical Financials'!C106</f>
        <v>-12150</v>
      </c>
      <c r="D43" s="113">
        <f>'Historical Financials'!D106</f>
        <v>-12769</v>
      </c>
      <c r="E43" s="113">
        <f>'Historical Financials'!E106</f>
        <v>-13712</v>
      </c>
      <c r="F43" s="113">
        <f>'Historical Financials'!F106</f>
        <v>-14119</v>
      </c>
      <c r="G43" s="113">
        <f>'Historical Financials'!G106</f>
        <v>-14081</v>
      </c>
      <c r="H43" s="113">
        <f>'Historical Financials'!H106</f>
        <v>-14467</v>
      </c>
      <c r="I43" s="113">
        <f>'Historical Financials'!I106</f>
        <v>-14841</v>
      </c>
      <c r="J43" s="113">
        <f>'Historical Financials'!J106</f>
        <v>-14875</v>
      </c>
      <c r="K43" s="113">
        <f>'Historical Financials'!K106</f>
        <v>-15234</v>
      </c>
      <c r="L43" s="113">
        <f>'Historical Financials'!L106</f>
        <v>-15421</v>
      </c>
      <c r="M43" s="34"/>
      <c r="N43" s="113">
        <f>'Historical Financials'!N106</f>
        <v>-3732</v>
      </c>
      <c r="O43" s="113">
        <f>'Historical Financials'!O106</f>
        <v>-3595</v>
      </c>
      <c r="P43" s="113">
        <f>'Historical Financials'!P106</f>
        <v>-3811</v>
      </c>
      <c r="Q43" s="113">
        <f>'Historical Financials'!Q106</f>
        <v>-3703</v>
      </c>
      <c r="R43" s="113">
        <f>'Historical Financials'!R106</f>
        <v>-3768</v>
      </c>
      <c r="S43" s="113">
        <f>'Historical Financials'!S106</f>
        <v>-3650</v>
      </c>
      <c r="T43" s="113">
        <f>'Historical Financials'!T106</f>
        <v>-3849</v>
      </c>
      <c r="U43" s="113">
        <f>'Historical Financials'!U106</f>
        <v>-3608</v>
      </c>
      <c r="V43" s="113">
        <f>'Historical Financials'!V106</f>
        <v>-3825</v>
      </c>
      <c r="W43" s="113">
        <f>'Historical Financials'!W106</f>
        <v>-3710</v>
      </c>
      <c r="X43" s="113">
        <f>'Historical Financials'!X106</f>
        <v>-3895</v>
      </c>
      <c r="Y43" s="113">
        <f>'Historical Financials'!Y106</f>
        <v>-3804</v>
      </c>
      <c r="Z43" s="113">
        <f>'Historical Financials'!Z106</f>
        <v>-3856</v>
      </c>
      <c r="AA43" s="113">
        <f>'Historical Financials'!AA106</f>
        <v>-3758</v>
      </c>
      <c r="AB43" s="113">
        <f>'Historical Financials'!AB106</f>
        <v>-3945</v>
      </c>
      <c r="AC43" s="113">
        <f>'Historical Financials'!AC106</f>
        <v>-3862</v>
      </c>
      <c r="AD43" s="113">
        <f>'Historical Financials'!AD106</f>
        <v>-3921</v>
      </c>
      <c r="AF43" s="34"/>
      <c r="AG43" s="34"/>
      <c r="AH43" s="34"/>
      <c r="AI43" s="34"/>
      <c r="AJ43" s="34"/>
      <c r="AK43" s="34"/>
      <c r="AL43" s="34">
        <f t="shared" ref="AL43" si="119">SUM(T43:W43)</f>
        <v>-14992</v>
      </c>
      <c r="AM43" s="34">
        <f t="shared" ref="AM43" si="120">SUM(U43:X43)</f>
        <v>-15038</v>
      </c>
      <c r="AN43" s="34">
        <f t="shared" ref="AN43" si="121">SUM(V43:Y43)</f>
        <v>-15234</v>
      </c>
      <c r="AO43" s="34">
        <f t="shared" ref="AO43" si="122">SUM(W43:Z43)</f>
        <v>-15265</v>
      </c>
      <c r="AP43" s="34">
        <f>SUM(X43:AA43)</f>
        <v>-15313</v>
      </c>
      <c r="AQ43" s="34">
        <f>SUM(Y43:AB43)</f>
        <v>-15363</v>
      </c>
      <c r="AR43" s="34">
        <f>SUM(Z43:AC43)</f>
        <v>-15421</v>
      </c>
      <c r="AS43" s="34">
        <f>SUM(AA43:AD43)</f>
        <v>-15486</v>
      </c>
      <c r="AU43" s="13">
        <f t="shared" si="111"/>
        <v>1.4477563052734954E-2</v>
      </c>
    </row>
    <row r="44" spans="1:47" ht="12.75" customHeight="1">
      <c r="B44" s="33" t="s">
        <v>98</v>
      </c>
      <c r="C44" s="34"/>
      <c r="D44" s="34"/>
      <c r="E44" s="34"/>
      <c r="F44" s="34"/>
      <c r="G44" s="34"/>
      <c r="H44" s="34">
        <f>SUM(H49-G49)-SUM(H36:H43)</f>
        <v>2948</v>
      </c>
      <c r="I44" s="34">
        <f>SUM(I49-H49)-SUM(I36:I43)</f>
        <v>-3221</v>
      </c>
      <c r="J44" s="34">
        <f>SUM(J49-I49)-SUM(J36:J43)</f>
        <v>-2653.8919999999925</v>
      </c>
      <c r="K44" s="34">
        <f>SUM(K49-J49)-SUM(K36:K43)</f>
        <v>-10674</v>
      </c>
      <c r="L44" s="34">
        <f>SUM(L49-K49)-SUM(L36:L43)</f>
        <v>16169</v>
      </c>
      <c r="M44" s="34"/>
      <c r="N44" s="34">
        <f>SUM(N49-H49)-SUM(N36:N43)</f>
        <v>-3714</v>
      </c>
      <c r="O44" s="34">
        <f t="shared" ref="O44:AD44" si="123">SUM(O49-N49)-SUM(O36:O43)</f>
        <v>79</v>
      </c>
      <c r="P44" s="34">
        <f t="shared" si="123"/>
        <v>-1572</v>
      </c>
      <c r="Q44" s="34">
        <f t="shared" si="123"/>
        <v>1986</v>
      </c>
      <c r="R44" s="34">
        <f t="shared" si="123"/>
        <v>-7617</v>
      </c>
      <c r="S44" s="34">
        <f t="shared" si="123"/>
        <v>-1824</v>
      </c>
      <c r="T44" s="34">
        <f t="shared" si="123"/>
        <v>3440</v>
      </c>
      <c r="U44" s="34">
        <f t="shared" si="123"/>
        <v>3347.1080000000002</v>
      </c>
      <c r="V44" s="34">
        <f t="shared" si="123"/>
        <v>-3270</v>
      </c>
      <c r="W44" s="34">
        <f t="shared" si="123"/>
        <v>1648</v>
      </c>
      <c r="X44" s="34">
        <f t="shared" si="123"/>
        <v>-1389</v>
      </c>
      <c r="Y44" s="34">
        <f t="shared" si="123"/>
        <v>-7663</v>
      </c>
      <c r="Z44" s="34">
        <f t="shared" si="123"/>
        <v>7184</v>
      </c>
      <c r="AA44" s="34">
        <f t="shared" si="123"/>
        <v>7689</v>
      </c>
      <c r="AB44" s="34">
        <f t="shared" si="123"/>
        <v>-1174</v>
      </c>
      <c r="AC44" s="34">
        <f t="shared" si="123"/>
        <v>2470</v>
      </c>
      <c r="AD44" s="34">
        <f t="shared" si="123"/>
        <v>-5887</v>
      </c>
      <c r="AF44" s="34">
        <f t="shared" ref="AF44" si="124">SUM(N44:Q44)</f>
        <v>-3221</v>
      </c>
      <c r="AG44" s="34">
        <f>SUM(O44:R44)</f>
        <v>-7124</v>
      </c>
      <c r="AH44" s="34">
        <f>SUM(P44:S44)</f>
        <v>-9027</v>
      </c>
      <c r="AI44" s="34">
        <f>SUM(Q44:T44)</f>
        <v>-4015</v>
      </c>
      <c r="AJ44" s="34">
        <f>SUM(R44:U44)</f>
        <v>-2653.8919999999998</v>
      </c>
      <c r="AK44" s="34">
        <f>SUM(S44:V44)</f>
        <v>1693.1080000000002</v>
      </c>
      <c r="AL44" s="34">
        <f>SUM(T44:W44)</f>
        <v>5165.1080000000002</v>
      </c>
      <c r="AM44" s="34">
        <f>SUM(U44:X44)</f>
        <v>336.10800000000017</v>
      </c>
      <c r="AN44" s="34">
        <f>SUM(V44:Y44)</f>
        <v>-10674</v>
      </c>
      <c r="AO44" s="34">
        <f>SUM(W44:Z44)</f>
        <v>-220</v>
      </c>
      <c r="AP44" s="34">
        <f>SUM(X44:AA44)</f>
        <v>5821</v>
      </c>
      <c r="AQ44" s="34">
        <f>SUM(Y44:AB44)</f>
        <v>6036</v>
      </c>
      <c r="AR44" s="34">
        <f>SUM(Z44:AC44)</f>
        <v>16169</v>
      </c>
      <c r="AS44" s="34">
        <f>SUM(AA44:AD44)</f>
        <v>3098</v>
      </c>
      <c r="AU44" s="13">
        <f t="shared" si="111"/>
        <v>-15.081818181818182</v>
      </c>
    </row>
    <row r="45" spans="1:47" ht="12.75" customHeight="1">
      <c r="B45" s="14" t="s">
        <v>49</v>
      </c>
      <c r="C45" s="15">
        <f t="shared" ref="C45:F45" si="125">SUM(C36+SUM(C38:C44))</f>
        <v>-723</v>
      </c>
      <c r="D45" s="15">
        <f t="shared" si="125"/>
        <v>-4765</v>
      </c>
      <c r="E45" s="15">
        <f t="shared" si="125"/>
        <v>39834</v>
      </c>
      <c r="F45" s="15">
        <f t="shared" si="125"/>
        <v>18837</v>
      </c>
      <c r="G45" s="15">
        <f t="shared" ref="G45:L45" si="126">SUM(G36+SUM(G38:G44))</f>
        <v>-8465</v>
      </c>
      <c r="H45" s="15">
        <f t="shared" si="126"/>
        <v>-3076</v>
      </c>
      <c r="I45" s="15">
        <f t="shared" si="126"/>
        <v>-11294</v>
      </c>
      <c r="J45" s="15">
        <f t="shared" si="126"/>
        <v>6319</v>
      </c>
      <c r="K45" s="15">
        <f t="shared" si="126"/>
        <v>-22</v>
      </c>
      <c r="L45" s="15">
        <f t="shared" si="126"/>
        <v>5991</v>
      </c>
      <c r="N45" s="15">
        <f t="shared" ref="N45:AB45" si="127">SUM(N36+SUM(N38:N44))</f>
        <v>2179</v>
      </c>
      <c r="O45" s="15">
        <f t="shared" si="127"/>
        <v>-9021</v>
      </c>
      <c r="P45" s="15">
        <f t="shared" si="127"/>
        <v>-596</v>
      </c>
      <c r="Q45" s="15">
        <f t="shared" si="127"/>
        <v>-3856</v>
      </c>
      <c r="R45" s="15">
        <f t="shared" si="127"/>
        <v>-3111</v>
      </c>
      <c r="S45" s="15">
        <f t="shared" si="127"/>
        <v>4152</v>
      </c>
      <c r="T45" s="15">
        <f t="shared" si="127"/>
        <v>3721</v>
      </c>
      <c r="U45" s="15">
        <f t="shared" si="127"/>
        <v>1557</v>
      </c>
      <c r="V45" s="15">
        <f t="shared" si="127"/>
        <v>10795</v>
      </c>
      <c r="W45" s="15">
        <f t="shared" si="127"/>
        <v>-8065</v>
      </c>
      <c r="X45" s="15">
        <f t="shared" si="127"/>
        <v>-7130</v>
      </c>
      <c r="Y45" s="15">
        <f t="shared" si="127"/>
        <v>4378</v>
      </c>
      <c r="Z45" s="15">
        <f t="shared" si="127"/>
        <v>356</v>
      </c>
      <c r="AA45" s="15">
        <f t="shared" si="127"/>
        <v>-2137</v>
      </c>
      <c r="AB45" s="15">
        <f t="shared" si="127"/>
        <v>8107</v>
      </c>
      <c r="AC45" s="15">
        <f t="shared" ref="AC45:AD45" si="128">SUM(AC36+SUM(AC38:AC44))</f>
        <v>-335</v>
      </c>
      <c r="AD45" s="15">
        <f t="shared" si="128"/>
        <v>9383</v>
      </c>
      <c r="AF45" s="15">
        <f t="shared" ref="AF45:AQ45" si="129">SUM(AF36+SUM(AF38:AF44))</f>
        <v>3547</v>
      </c>
      <c r="AG45" s="15">
        <f t="shared" si="129"/>
        <v>-1707</v>
      </c>
      <c r="AH45" s="15">
        <f t="shared" si="129"/>
        <v>11521</v>
      </c>
      <c r="AI45" s="15">
        <f t="shared" si="129"/>
        <v>15876</v>
      </c>
      <c r="AJ45" s="15">
        <f t="shared" si="129"/>
        <v>21194</v>
      </c>
      <c r="AK45" s="15">
        <f t="shared" si="129"/>
        <v>35156.999999999993</v>
      </c>
      <c r="AL45" s="15">
        <f t="shared" si="129"/>
        <v>8008</v>
      </c>
      <c r="AM45" s="15">
        <f t="shared" si="129"/>
        <v>-2843</v>
      </c>
      <c r="AN45" s="15">
        <f t="shared" si="129"/>
        <v>-22</v>
      </c>
      <c r="AO45" s="15">
        <f t="shared" si="129"/>
        <v>-10461</v>
      </c>
      <c r="AP45" s="15">
        <f t="shared" si="129"/>
        <v>-4533</v>
      </c>
      <c r="AQ45" s="15">
        <f t="shared" si="129"/>
        <v>10704</v>
      </c>
      <c r="AR45" s="15">
        <f t="shared" ref="AR45:AS45" si="130">SUM(AR36+SUM(AR38:AR44))</f>
        <v>5991</v>
      </c>
      <c r="AS45" s="15">
        <f t="shared" si="130"/>
        <v>15018</v>
      </c>
      <c r="AU45" s="16">
        <f t="shared" si="111"/>
        <v>-2.4356180097505016</v>
      </c>
    </row>
    <row r="46" spans="1:47" ht="5.0999999999999996" customHeight="1"/>
    <row r="47" spans="1:47" ht="12.75" customHeight="1">
      <c r="A47" s="5"/>
      <c r="B47" s="35" t="s">
        <v>50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</row>
    <row r="48" spans="1:47" ht="5.0999999999999996" customHeight="1"/>
    <row r="49" spans="2:45" ht="12.75" customHeight="1">
      <c r="B49" s="8" t="s">
        <v>51</v>
      </c>
      <c r="C49" s="113">
        <f>'Historical Financials'!C39</f>
        <v>20484</v>
      </c>
      <c r="D49" s="113">
        <f>'Historical Financials'!D39</f>
        <v>20289</v>
      </c>
      <c r="E49" s="113">
        <f>'Historical Financials'!E39</f>
        <v>25913</v>
      </c>
      <c r="F49" s="113">
        <f>'Historical Financials'!F39</f>
        <v>48844</v>
      </c>
      <c r="G49" s="113">
        <f>'Historical Financials'!G39</f>
        <v>38016</v>
      </c>
      <c r="H49" s="113">
        <f>'Historical Financials'!H39</f>
        <v>34940</v>
      </c>
      <c r="I49" s="113">
        <f>'Historical Financials'!I39</f>
        <v>23646</v>
      </c>
      <c r="J49" s="113">
        <f>'Historical Financials'!J39</f>
        <v>29965</v>
      </c>
      <c r="K49" s="113">
        <f>'Historical Financials'!K39</f>
        <v>29943</v>
      </c>
      <c r="L49" s="113">
        <f>'Historical Financials'!L39</f>
        <v>35934</v>
      </c>
      <c r="M49" s="34"/>
      <c r="N49" s="113">
        <f>'Historical Financials'!N39</f>
        <v>37119</v>
      </c>
      <c r="O49" s="113">
        <f>'Historical Financials'!O39</f>
        <v>28098</v>
      </c>
      <c r="P49" s="113">
        <f>'Historical Financials'!P39</f>
        <v>27502</v>
      </c>
      <c r="Q49" s="113">
        <f>'Historical Financials'!Q39</f>
        <v>23646</v>
      </c>
      <c r="R49" s="113">
        <f>'Historical Financials'!R39</f>
        <v>20535</v>
      </c>
      <c r="S49" s="113">
        <f>'Historical Financials'!S39</f>
        <v>24687</v>
      </c>
      <c r="T49" s="113">
        <f>'Historical Financials'!T39</f>
        <v>28408</v>
      </c>
      <c r="U49" s="113">
        <f>'Historical Financials'!U39</f>
        <v>29965</v>
      </c>
      <c r="V49" s="113">
        <f>'Historical Financials'!V39</f>
        <v>40760</v>
      </c>
      <c r="W49" s="113">
        <f>'Historical Financials'!W39</f>
        <v>32695</v>
      </c>
      <c r="X49" s="113">
        <f>'Historical Financials'!X39</f>
        <v>25565</v>
      </c>
      <c r="Y49" s="113">
        <f>'Historical Financials'!Y39</f>
        <v>29943</v>
      </c>
      <c r="Z49" s="113">
        <f>'Historical Financials'!Z39</f>
        <v>30299</v>
      </c>
      <c r="AA49" s="113">
        <f>'Historical Financials'!AA39</f>
        <v>28162</v>
      </c>
      <c r="AB49" s="113">
        <f>'Historical Financials'!AB39</f>
        <v>36269</v>
      </c>
      <c r="AC49" s="113">
        <f>'Historical Financials'!AC39</f>
        <v>35934</v>
      </c>
      <c r="AD49" s="113">
        <f>'Historical Financials'!AD39</f>
        <v>45317</v>
      </c>
      <c r="AF49" s="11">
        <f>Q49</f>
        <v>23646</v>
      </c>
      <c r="AG49" s="11">
        <f>R49</f>
        <v>20535</v>
      </c>
      <c r="AH49" s="11">
        <f>S49</f>
        <v>24687</v>
      </c>
      <c r="AI49" s="11">
        <f>T49</f>
        <v>28408</v>
      </c>
      <c r="AJ49" s="11">
        <f>U49</f>
        <v>29965</v>
      </c>
      <c r="AK49" s="11">
        <f>V49</f>
        <v>40760</v>
      </c>
      <c r="AL49" s="11">
        <f>W49</f>
        <v>32695</v>
      </c>
      <c r="AM49" s="11">
        <f>X49</f>
        <v>25565</v>
      </c>
      <c r="AN49" s="11">
        <f>Y49</f>
        <v>29943</v>
      </c>
      <c r="AO49" s="11">
        <f>Z49</f>
        <v>30299</v>
      </c>
      <c r="AP49" s="11">
        <f>AA49</f>
        <v>28162</v>
      </c>
      <c r="AQ49" s="11">
        <f>AB49</f>
        <v>36269</v>
      </c>
      <c r="AR49" s="11">
        <f>AC49</f>
        <v>35934</v>
      </c>
      <c r="AS49" s="11">
        <f>AD49</f>
        <v>45317</v>
      </c>
    </row>
    <row r="50" spans="2:45" ht="12.75" customHeight="1">
      <c r="B50" s="8" t="s">
        <v>152</v>
      </c>
      <c r="C50" s="113">
        <f>'Historical Financials'!C40</f>
        <v>46671</v>
      </c>
      <c r="D50" s="113">
        <f>'Historical Financials'!D40</f>
        <v>53892</v>
      </c>
      <c r="E50" s="113">
        <f>'Historical Financials'!E40</f>
        <v>40388</v>
      </c>
      <c r="F50" s="113">
        <f>'Historical Financials'!F40</f>
        <v>51713</v>
      </c>
      <c r="G50" s="113">
        <f>'Historical Financials'!G40</f>
        <v>52927</v>
      </c>
      <c r="H50" s="113">
        <f>'Historical Financials'!H40</f>
        <v>27699</v>
      </c>
      <c r="I50" s="113">
        <f>'Historical Financials'!I40</f>
        <v>24658</v>
      </c>
      <c r="J50" s="113">
        <f>'Historical Financials'!J40</f>
        <v>31590</v>
      </c>
      <c r="K50" s="113">
        <f>'Historical Financials'!K40</f>
        <v>35228</v>
      </c>
      <c r="L50" s="113">
        <f>'Historical Financials'!L40</f>
        <v>18763</v>
      </c>
      <c r="M50" s="34"/>
      <c r="N50" s="113">
        <f>'Historical Financials'!N40</f>
        <v>26794</v>
      </c>
      <c r="O50" s="113">
        <f>'Historical Financials'!O40</f>
        <v>23413</v>
      </c>
      <c r="P50" s="113">
        <f>'Historical Financials'!P40</f>
        <v>20729</v>
      </c>
      <c r="Q50" s="113">
        <f>'Historical Financials'!Q40</f>
        <v>24658</v>
      </c>
      <c r="R50" s="113">
        <f>'Historical Financials'!R40</f>
        <v>30820</v>
      </c>
      <c r="S50" s="113">
        <f>'Historical Financials'!S40</f>
        <v>31185</v>
      </c>
      <c r="T50" s="113">
        <f>'Historical Financials'!T40</f>
        <v>34074</v>
      </c>
      <c r="U50" s="113">
        <f>'Historical Financials'!U40</f>
        <v>31590</v>
      </c>
      <c r="V50" s="113">
        <f>'Historical Financials'!V40</f>
        <v>32340</v>
      </c>
      <c r="W50" s="113">
        <f>'Historical Financials'!W40</f>
        <v>34455</v>
      </c>
      <c r="X50" s="113">
        <f>'Historical Financials'!X40</f>
        <v>36236</v>
      </c>
      <c r="Y50" s="113">
        <f>'Historical Financials'!Y40</f>
        <v>35228</v>
      </c>
      <c r="Z50" s="113">
        <f>'Historical Financials'!Z40</f>
        <v>23476</v>
      </c>
      <c r="AA50" s="113">
        <f>'Historical Financials'!AA40</f>
        <v>20336</v>
      </c>
      <c r="AB50" s="113">
        <f>'Historical Financials'!AB40</f>
        <v>19103</v>
      </c>
      <c r="AC50" s="113">
        <f>'Historical Financials'!AC40</f>
        <v>18763</v>
      </c>
      <c r="AD50" s="113">
        <f>'Historical Financials'!AD40</f>
        <v>21590</v>
      </c>
      <c r="AF50" s="11">
        <f>Q50</f>
        <v>24658</v>
      </c>
      <c r="AG50" s="11">
        <f>R50</f>
        <v>30820</v>
      </c>
      <c r="AH50" s="11">
        <f>S50</f>
        <v>31185</v>
      </c>
      <c r="AI50" s="11">
        <f>T50</f>
        <v>34074</v>
      </c>
      <c r="AJ50" s="11">
        <f>U50</f>
        <v>31590</v>
      </c>
      <c r="AK50" s="11">
        <f>V50</f>
        <v>32340</v>
      </c>
      <c r="AL50" s="11">
        <f>W50</f>
        <v>34455</v>
      </c>
      <c r="AM50" s="11">
        <f>X50</f>
        <v>36236</v>
      </c>
      <c r="AN50" s="11">
        <f>Y50</f>
        <v>35228</v>
      </c>
      <c r="AO50" s="11">
        <f>Z50</f>
        <v>23476</v>
      </c>
      <c r="AP50" s="11">
        <f>AA50</f>
        <v>20336</v>
      </c>
      <c r="AQ50" s="11">
        <f>AB50</f>
        <v>19103</v>
      </c>
      <c r="AR50" s="11">
        <f>AC50</f>
        <v>18763</v>
      </c>
      <c r="AS50" s="11">
        <f>AD50</f>
        <v>21590</v>
      </c>
    </row>
    <row r="51" spans="2:45" ht="12.75" customHeight="1">
      <c r="B51" s="8" t="s">
        <v>153</v>
      </c>
      <c r="C51" s="113">
        <f>'Historical Financials'!C47</f>
        <v>170430</v>
      </c>
      <c r="D51" s="113">
        <f>'Historical Financials'!D47</f>
        <v>194714</v>
      </c>
      <c r="E51" s="113">
        <f>'Historical Financials'!E47</f>
        <v>170799</v>
      </c>
      <c r="F51" s="113">
        <f>'Historical Financials'!F47</f>
        <v>105341</v>
      </c>
      <c r="G51" s="113">
        <f>'Historical Financials'!G47</f>
        <v>100887</v>
      </c>
      <c r="H51" s="113">
        <f>'Historical Financials'!H47</f>
        <v>127877</v>
      </c>
      <c r="I51" s="113">
        <f>'Historical Financials'!I47</f>
        <v>120805</v>
      </c>
      <c r="J51" s="113">
        <f>'Historical Financials'!J47</f>
        <v>100544</v>
      </c>
      <c r="K51" s="113">
        <f>'Historical Financials'!K47</f>
        <v>91479</v>
      </c>
      <c r="L51" s="113">
        <f>'Historical Financials'!L47</f>
        <v>77723</v>
      </c>
      <c r="M51" s="113"/>
      <c r="N51" s="113">
        <f>'Historical Financials'!N47</f>
        <v>138683</v>
      </c>
      <c r="O51" s="113">
        <f>'Historical Financials'!O47</f>
        <v>141219</v>
      </c>
      <c r="P51" s="113">
        <f>'Historical Financials'!P47</f>
        <v>131077</v>
      </c>
      <c r="Q51" s="113">
        <f>'Historical Financials'!Q47</f>
        <v>120805</v>
      </c>
      <c r="R51" s="113">
        <f>'Historical Financials'!R47</f>
        <v>114095</v>
      </c>
      <c r="S51" s="113">
        <f>'Historical Financials'!S47</f>
        <v>110461</v>
      </c>
      <c r="T51" s="113">
        <f>'Historical Financials'!T47</f>
        <v>104061</v>
      </c>
      <c r="U51" s="113">
        <f>'Historical Financials'!U47</f>
        <v>100544</v>
      </c>
      <c r="V51" s="113">
        <f>'Historical Financials'!V47</f>
        <v>99475</v>
      </c>
      <c r="W51" s="113">
        <f>'Historical Financials'!W47</f>
        <v>95187</v>
      </c>
      <c r="X51" s="113">
        <f>'Historical Financials'!X47</f>
        <v>91240</v>
      </c>
      <c r="Y51" s="113">
        <f>'Historical Financials'!Y47</f>
        <v>91479</v>
      </c>
      <c r="Z51" s="113">
        <f>'Historical Financials'!Z47</f>
        <v>87593</v>
      </c>
      <c r="AA51" s="113">
        <f>'Historical Financials'!AA47</f>
        <v>84424</v>
      </c>
      <c r="AB51" s="113">
        <f>'Historical Financials'!AB47</f>
        <v>77614</v>
      </c>
      <c r="AC51" s="113">
        <f>'Historical Financials'!AC47</f>
        <v>77723</v>
      </c>
      <c r="AD51" s="113">
        <f>'Historical Financials'!AD47</f>
        <v>77888</v>
      </c>
      <c r="AF51" s="11">
        <f>Q51</f>
        <v>120805</v>
      </c>
      <c r="AG51" s="11">
        <f>R51</f>
        <v>114095</v>
      </c>
      <c r="AH51" s="11">
        <f>S51</f>
        <v>110461</v>
      </c>
      <c r="AI51" s="11">
        <f>T51</f>
        <v>104061</v>
      </c>
      <c r="AJ51" s="11">
        <f>U51</f>
        <v>100544</v>
      </c>
      <c r="AK51" s="11">
        <f>V51</f>
        <v>99475</v>
      </c>
      <c r="AL51" s="11">
        <f>W51</f>
        <v>95187</v>
      </c>
      <c r="AM51" s="11">
        <f>X51</f>
        <v>91240</v>
      </c>
      <c r="AN51" s="11">
        <f>Y51</f>
        <v>91479</v>
      </c>
      <c r="AO51" s="11">
        <f>Z51</f>
        <v>87593</v>
      </c>
      <c r="AP51" s="11">
        <f>AA51</f>
        <v>84424</v>
      </c>
      <c r="AQ51" s="11">
        <f>AB51</f>
        <v>77614</v>
      </c>
      <c r="AR51" s="11">
        <f>AC51</f>
        <v>77723</v>
      </c>
      <c r="AS51" s="11">
        <f>AD51</f>
        <v>77888</v>
      </c>
    </row>
    <row r="52" spans="2:45" ht="12.75" customHeight="1">
      <c r="B52" s="14" t="s">
        <v>52</v>
      </c>
      <c r="C52" s="15">
        <f t="shared" ref="C52:F52" si="131">SUM(C49:C51)</f>
        <v>237585</v>
      </c>
      <c r="D52" s="15">
        <f t="shared" si="131"/>
        <v>268895</v>
      </c>
      <c r="E52" s="15">
        <f t="shared" si="131"/>
        <v>237100</v>
      </c>
      <c r="F52" s="15">
        <f t="shared" si="131"/>
        <v>205898</v>
      </c>
      <c r="G52" s="15">
        <f>SUM(G49:G51)</f>
        <v>191830</v>
      </c>
      <c r="H52" s="15">
        <f t="shared" ref="H52:K52" si="132">SUM(H49:H51)</f>
        <v>190516</v>
      </c>
      <c r="I52" s="15">
        <f t="shared" si="132"/>
        <v>169109</v>
      </c>
      <c r="J52" s="15">
        <f t="shared" si="132"/>
        <v>162099</v>
      </c>
      <c r="K52" s="15">
        <f t="shared" si="132"/>
        <v>156650</v>
      </c>
      <c r="L52" s="15">
        <f t="shared" ref="L52" si="133">SUM(L49:L51)</f>
        <v>132420</v>
      </c>
      <c r="M52" s="34"/>
      <c r="N52" s="15">
        <f t="shared" ref="N52" si="134">SUM(N49:N51)</f>
        <v>202596</v>
      </c>
      <c r="O52" s="15">
        <f t="shared" ref="O52" si="135">SUM(O49:O51)</f>
        <v>192730</v>
      </c>
      <c r="P52" s="15">
        <f t="shared" ref="P52" si="136">SUM(P49:P51)</f>
        <v>179308</v>
      </c>
      <c r="Q52" s="15">
        <f t="shared" ref="Q52" si="137">SUM(Q49:Q51)</f>
        <v>169109</v>
      </c>
      <c r="R52" s="15">
        <f t="shared" ref="R52" si="138">SUM(R49:R51)</f>
        <v>165450</v>
      </c>
      <c r="S52" s="15">
        <f t="shared" ref="S52" si="139">SUM(S49:S51)</f>
        <v>166333</v>
      </c>
      <c r="T52" s="15">
        <f t="shared" ref="T52" si="140">SUM(T49:T51)</f>
        <v>166543</v>
      </c>
      <c r="U52" s="15">
        <f t="shared" ref="U52" si="141">SUM(U49:U51)</f>
        <v>162099</v>
      </c>
      <c r="V52" s="15">
        <f t="shared" ref="V52" si="142">SUM(V49:V51)</f>
        <v>172575</v>
      </c>
      <c r="W52" s="15">
        <f t="shared" ref="W52" si="143">SUM(W49:W51)</f>
        <v>162337</v>
      </c>
      <c r="X52" s="15">
        <f t="shared" ref="X52" si="144">SUM(X49:X51)</f>
        <v>153041</v>
      </c>
      <c r="Y52" s="15">
        <f t="shared" ref="Y52" si="145">SUM(Y49:Y51)</f>
        <v>156650</v>
      </c>
      <c r="Z52" s="15">
        <f t="shared" ref="Z52" si="146">SUM(Z49:Z51)</f>
        <v>141368</v>
      </c>
      <c r="AA52" s="15">
        <f t="shared" ref="AA52" si="147">SUM(AA49:AA51)</f>
        <v>132922</v>
      </c>
      <c r="AB52" s="15">
        <f t="shared" ref="AB52" si="148">SUM(AB49:AB51)</f>
        <v>132986</v>
      </c>
      <c r="AC52" s="15">
        <f t="shared" ref="AC52:AD52" si="149">SUM(AC49:AC51)</f>
        <v>132420</v>
      </c>
      <c r="AD52" s="15">
        <f t="shared" si="149"/>
        <v>144795</v>
      </c>
      <c r="AF52" s="15">
        <f t="shared" ref="AF52" si="150">SUM(AF49:AF51)</f>
        <v>169109</v>
      </c>
      <c r="AG52" s="15">
        <f t="shared" ref="AG52" si="151">SUM(AG49:AG51)</f>
        <v>165450</v>
      </c>
      <c r="AH52" s="15">
        <f t="shared" ref="AH52" si="152">SUM(AH49:AH51)</f>
        <v>166333</v>
      </c>
      <c r="AI52" s="15">
        <f t="shared" ref="AI52" si="153">SUM(AI49:AI51)</f>
        <v>166543</v>
      </c>
      <c r="AJ52" s="15">
        <f t="shared" ref="AJ52" si="154">SUM(AJ49:AJ51)</f>
        <v>162099</v>
      </c>
      <c r="AK52" s="15">
        <f t="shared" ref="AK52" si="155">SUM(AK49:AK51)</f>
        <v>172575</v>
      </c>
      <c r="AL52" s="15">
        <f t="shared" ref="AL52" si="156">SUM(AL49:AL51)</f>
        <v>162337</v>
      </c>
      <c r="AM52" s="15">
        <f t="shared" ref="AM52" si="157">SUM(AM49:AM51)</f>
        <v>153041</v>
      </c>
      <c r="AN52" s="15">
        <f t="shared" ref="AN52" si="158">SUM(AN49:AN51)</f>
        <v>156650</v>
      </c>
      <c r="AO52" s="15">
        <f t="shared" ref="AO52" si="159">SUM(AO49:AO51)</f>
        <v>141368</v>
      </c>
      <c r="AP52" s="15">
        <f t="shared" ref="AP52" si="160">SUM(AP49:AP51)</f>
        <v>132922</v>
      </c>
      <c r="AQ52" s="15">
        <f t="shared" ref="AQ52:AR52" si="161">SUM(AQ49:AQ51)</f>
        <v>132986</v>
      </c>
      <c r="AR52" s="15">
        <f t="shared" si="161"/>
        <v>132420</v>
      </c>
      <c r="AS52" s="15">
        <f t="shared" ref="AS52" si="162">SUM(AS49:AS51)</f>
        <v>144795</v>
      </c>
    </row>
    <row r="53" spans="2:45" ht="5.0999999999999996" customHeight="1"/>
    <row r="54" spans="2:45" ht="12.75" customHeight="1">
      <c r="B54" s="37" t="s">
        <v>53</v>
      </c>
    </row>
    <row r="55" spans="2:45" ht="12.75" customHeight="1">
      <c r="B55" s="8" t="s">
        <v>54</v>
      </c>
      <c r="C55" s="113">
        <f>'Historical Financials'!C41</f>
        <v>15754</v>
      </c>
      <c r="D55" s="113">
        <f>'Historical Financials'!D41</f>
        <v>17874</v>
      </c>
      <c r="E55" s="113">
        <f>'Historical Financials'!E41</f>
        <v>23186</v>
      </c>
      <c r="F55" s="113">
        <f>'Historical Financials'!F41</f>
        <v>22926</v>
      </c>
      <c r="G55" s="113">
        <f>'Historical Financials'!G41</f>
        <v>16120</v>
      </c>
      <c r="H55" s="113">
        <f>'Historical Financials'!H41</f>
        <v>26278</v>
      </c>
      <c r="I55" s="113">
        <f>'Historical Financials'!I41</f>
        <v>28184</v>
      </c>
      <c r="J55" s="113">
        <f>'Historical Financials'!J41</f>
        <v>29508</v>
      </c>
      <c r="K55" s="113">
        <f>'Historical Financials'!K41</f>
        <v>66243</v>
      </c>
      <c r="L55" s="113">
        <f>'Historical Financials'!L41</f>
        <v>39777</v>
      </c>
      <c r="N55" s="113">
        <f>'Historical Financials'!N41</f>
        <v>30213</v>
      </c>
      <c r="O55" s="113">
        <f>'Historical Financials'!O41</f>
        <v>20815</v>
      </c>
      <c r="P55" s="113">
        <f>'Historical Financials'!P41</f>
        <v>21803</v>
      </c>
      <c r="Q55" s="113">
        <f>'Historical Financials'!Q41</f>
        <v>28184</v>
      </c>
      <c r="R55" s="113">
        <f>'Historical Financials'!R41</f>
        <v>23752</v>
      </c>
      <c r="S55" s="113">
        <f>'Historical Financials'!S41</f>
        <v>17936</v>
      </c>
      <c r="T55" s="113">
        <f>'Historical Financials'!T41</f>
        <v>19549</v>
      </c>
      <c r="U55" s="113">
        <f>'Historical Financials'!U41</f>
        <v>29508</v>
      </c>
      <c r="V55" s="113">
        <f>'Historical Financials'!V41</f>
        <v>23194</v>
      </c>
      <c r="W55" s="113">
        <f>'Historical Financials'!W41</f>
        <v>21837</v>
      </c>
      <c r="X55" s="113">
        <f>'Historical Financials'!X41</f>
        <v>22795</v>
      </c>
      <c r="Y55" s="113">
        <f>'Historical Financials'!Y41</f>
        <v>66243</v>
      </c>
      <c r="Z55" s="113">
        <f>'Historical Financials'!Z41</f>
        <v>29639</v>
      </c>
      <c r="AA55" s="113">
        <f>'Historical Financials'!AA41</f>
        <v>49798</v>
      </c>
      <c r="AB55" s="113">
        <f>'Historical Financials'!AB41</f>
        <v>46835</v>
      </c>
      <c r="AC55" s="113">
        <f>'Historical Financials'!AC41</f>
        <v>39777</v>
      </c>
      <c r="AD55" s="113">
        <f>'Historical Financials'!AD41</f>
        <v>39921</v>
      </c>
      <c r="AE55" s="11"/>
      <c r="AF55" s="11">
        <f>Q55</f>
        <v>28184</v>
      </c>
      <c r="AG55" s="11">
        <f>R55</f>
        <v>23752</v>
      </c>
      <c r="AH55" s="11">
        <f>S55</f>
        <v>17936</v>
      </c>
      <c r="AI55" s="11">
        <f>T55</f>
        <v>19549</v>
      </c>
      <c r="AJ55" s="11">
        <f>U55</f>
        <v>29508</v>
      </c>
      <c r="AK55" s="11">
        <f>V55</f>
        <v>23194</v>
      </c>
      <c r="AL55" s="11">
        <f>W55</f>
        <v>21837</v>
      </c>
      <c r="AM55" s="11">
        <f>X55</f>
        <v>22795</v>
      </c>
      <c r="AN55" s="11">
        <f>Y55</f>
        <v>66243</v>
      </c>
      <c r="AO55" s="11">
        <f>Z55</f>
        <v>29639</v>
      </c>
      <c r="AP55" s="11">
        <f>AA55</f>
        <v>49798</v>
      </c>
      <c r="AQ55" s="11">
        <f>AB55</f>
        <v>46835</v>
      </c>
      <c r="AR55" s="11">
        <f>AC55</f>
        <v>39777</v>
      </c>
      <c r="AS55" s="11">
        <f>AD55</f>
        <v>39921</v>
      </c>
    </row>
    <row r="56" spans="2:45" ht="12.75" customHeight="1">
      <c r="B56" s="8" t="s">
        <v>55</v>
      </c>
      <c r="C56" s="113">
        <f>'Historical Financials'!C51</f>
        <v>37294</v>
      </c>
      <c r="D56" s="113">
        <f>'Historical Financials'!D51</f>
        <v>44242</v>
      </c>
      <c r="E56" s="113">
        <f>'Historical Financials'!E51</f>
        <v>55888</v>
      </c>
      <c r="F56" s="113">
        <f>'Historical Financials'!F51</f>
        <v>46236</v>
      </c>
      <c r="G56" s="113">
        <f>'Historical Financials'!G51</f>
        <v>42296</v>
      </c>
      <c r="H56" s="113">
        <f>'Historical Financials'!H51</f>
        <v>54763</v>
      </c>
      <c r="I56" s="113">
        <f>'Historical Financials'!I51</f>
        <v>64115</v>
      </c>
      <c r="J56" s="113">
        <f>'Historical Financials'!J51</f>
        <v>62611</v>
      </c>
      <c r="K56" s="113">
        <f>'Historical Financials'!K51</f>
        <v>68960</v>
      </c>
      <c r="L56" s="113">
        <f>'Historical Financials'!L51</f>
        <v>69860</v>
      </c>
      <c r="M56" s="113"/>
      <c r="N56" s="113">
        <f>'Historical Financials'!N51</f>
        <v>74362</v>
      </c>
      <c r="O56" s="113">
        <f>'Historical Financials'!O51</f>
        <v>52682</v>
      </c>
      <c r="P56" s="113">
        <f>'Historical Financials'!P51</f>
        <v>48343</v>
      </c>
      <c r="Q56" s="113">
        <f>'Historical Financials'!Q51</f>
        <v>64115</v>
      </c>
      <c r="R56" s="113">
        <f>'Historical Financials'!R51</f>
        <v>57918</v>
      </c>
      <c r="S56" s="113">
        <f>'Historical Financials'!S51</f>
        <v>42945</v>
      </c>
      <c r="T56" s="113">
        <f>'Historical Financials'!T51</f>
        <v>46699</v>
      </c>
      <c r="U56" s="113">
        <f>'Historical Financials'!U51</f>
        <v>62611</v>
      </c>
      <c r="V56" s="113">
        <f>'Historical Financials'!V51</f>
        <v>58146</v>
      </c>
      <c r="W56" s="113">
        <f>'Historical Financials'!W51</f>
        <v>45753</v>
      </c>
      <c r="X56" s="113">
        <f>'Historical Financials'!X51</f>
        <v>47574</v>
      </c>
      <c r="Y56" s="113">
        <f>'Historical Financials'!Y51</f>
        <v>68960</v>
      </c>
      <c r="Z56" s="113">
        <f>'Historical Financials'!Z51</f>
        <v>61910</v>
      </c>
      <c r="AA56" s="113">
        <f>'Historical Financials'!AA51</f>
        <v>54126</v>
      </c>
      <c r="AB56" s="113">
        <f>'Historical Financials'!AB51</f>
        <v>50374</v>
      </c>
      <c r="AC56" s="113">
        <f>'Historical Financials'!AC51</f>
        <v>69860</v>
      </c>
      <c r="AD56" s="113">
        <f>'Historical Financials'!AD51</f>
        <v>70587</v>
      </c>
      <c r="AF56" s="11">
        <f>Q56</f>
        <v>64115</v>
      </c>
      <c r="AG56" s="11">
        <f>R56</f>
        <v>57918</v>
      </c>
      <c r="AH56" s="11">
        <f>S56</f>
        <v>42945</v>
      </c>
      <c r="AI56" s="11">
        <f>T56</f>
        <v>46699</v>
      </c>
      <c r="AJ56" s="11">
        <f>U56</f>
        <v>62611</v>
      </c>
      <c r="AK56" s="11">
        <f>V56</f>
        <v>58146</v>
      </c>
      <c r="AL56" s="11">
        <f>W56</f>
        <v>45753</v>
      </c>
      <c r="AM56" s="11">
        <f>X56</f>
        <v>47574</v>
      </c>
      <c r="AN56" s="11">
        <f>Y56</f>
        <v>68960</v>
      </c>
      <c r="AO56" s="11">
        <f>Z56</f>
        <v>61910</v>
      </c>
      <c r="AP56" s="11">
        <f>AA56</f>
        <v>54126</v>
      </c>
      <c r="AQ56" s="11">
        <f>AB56</f>
        <v>50374</v>
      </c>
      <c r="AR56" s="11">
        <f>AC56</f>
        <v>69860</v>
      </c>
      <c r="AS56" s="11">
        <f>AD56</f>
        <v>70587</v>
      </c>
    </row>
    <row r="57" spans="2:45" ht="12.75" customHeight="1">
      <c r="B57" s="8" t="s">
        <v>14</v>
      </c>
      <c r="C57" s="113">
        <f>'Historical Financials'!C42</f>
        <v>2132</v>
      </c>
      <c r="D57" s="113">
        <f>'Historical Financials'!D42</f>
        <v>4855</v>
      </c>
      <c r="E57" s="113">
        <f>'Historical Financials'!E42</f>
        <v>3956</v>
      </c>
      <c r="F57" s="113">
        <f>'Historical Financials'!F42</f>
        <v>4106</v>
      </c>
      <c r="G57" s="113">
        <f>'Historical Financials'!G42</f>
        <v>4061</v>
      </c>
      <c r="H57" s="113">
        <f>'Historical Financials'!H42</f>
        <v>6580</v>
      </c>
      <c r="I57" s="113">
        <f>'Historical Financials'!I42</f>
        <v>4946</v>
      </c>
      <c r="J57" s="113">
        <f>'Historical Financials'!J42</f>
        <v>6331</v>
      </c>
      <c r="K57" s="113">
        <f>'Historical Financials'!K42</f>
        <v>7286</v>
      </c>
      <c r="L57" s="113">
        <f>'Historical Financials'!L42</f>
        <v>5718</v>
      </c>
      <c r="M57" s="113"/>
      <c r="N57" s="113">
        <f>'Historical Financials'!N42</f>
        <v>5876</v>
      </c>
      <c r="O57" s="113">
        <f>'Historical Financials'!O42</f>
        <v>5460</v>
      </c>
      <c r="P57" s="113">
        <f>'Historical Financials'!P42</f>
        <v>5433</v>
      </c>
      <c r="Q57" s="113">
        <f>'Historical Financials'!Q42</f>
        <v>4946</v>
      </c>
      <c r="R57" s="113">
        <f>'Historical Financials'!R42</f>
        <v>6820</v>
      </c>
      <c r="S57" s="113">
        <f>'Historical Financials'!S42</f>
        <v>7482</v>
      </c>
      <c r="T57" s="113">
        <f>'Historical Financials'!T42</f>
        <v>7351</v>
      </c>
      <c r="U57" s="113">
        <f>'Historical Financials'!U42</f>
        <v>6331</v>
      </c>
      <c r="V57" s="113">
        <f>'Historical Financials'!V42</f>
        <v>6511</v>
      </c>
      <c r="W57" s="113">
        <f>'Historical Financials'!W42</f>
        <v>6232</v>
      </c>
      <c r="X57" s="113">
        <f>'Historical Financials'!X42</f>
        <v>6165</v>
      </c>
      <c r="Y57" s="113">
        <f>'Historical Financials'!Y42</f>
        <v>7286</v>
      </c>
      <c r="Z57" s="113">
        <f>'Historical Financials'!Z42</f>
        <v>6911</v>
      </c>
      <c r="AA57" s="113">
        <f>'Historical Financials'!AA42</f>
        <v>6269</v>
      </c>
      <c r="AB57" s="113">
        <f>'Historical Financials'!AB42</f>
        <v>5925</v>
      </c>
      <c r="AC57" s="113">
        <f>'Historical Financials'!AC42</f>
        <v>5718</v>
      </c>
      <c r="AD57" s="113">
        <f>'Historical Financials'!AD42</f>
        <v>5875</v>
      </c>
      <c r="AF57" s="11"/>
      <c r="AG57" s="11"/>
      <c r="AH57" s="11"/>
      <c r="AI57" s="11"/>
      <c r="AJ57" s="11"/>
      <c r="AK57" s="11"/>
      <c r="AL57" s="11">
        <f>W57</f>
        <v>6232</v>
      </c>
      <c r="AM57" s="11">
        <f>X57</f>
        <v>6165</v>
      </c>
      <c r="AN57" s="11">
        <f>Y57</f>
        <v>7286</v>
      </c>
      <c r="AO57" s="11">
        <f>Z57</f>
        <v>6911</v>
      </c>
      <c r="AP57" s="11">
        <f>AA57</f>
        <v>6269</v>
      </c>
      <c r="AQ57" s="11">
        <f>AB57</f>
        <v>5925</v>
      </c>
      <c r="AR57" s="11">
        <f>AC57</f>
        <v>5718</v>
      </c>
      <c r="AS57" s="11">
        <f>AD57</f>
        <v>5875</v>
      </c>
    </row>
    <row r="58" spans="2:45" ht="12.75" customHeight="1">
      <c r="B58" s="8" t="s">
        <v>56</v>
      </c>
      <c r="C58" s="113">
        <f>'Historical Financials'!C46</f>
        <v>27010</v>
      </c>
      <c r="D58" s="113">
        <f>'Historical Financials'!D46</f>
        <v>33783</v>
      </c>
      <c r="E58" s="113">
        <f>'Historical Financials'!E46</f>
        <v>41304</v>
      </c>
      <c r="F58" s="113">
        <f>'Historical Financials'!F46</f>
        <v>37378</v>
      </c>
      <c r="G58" s="113">
        <f>'Historical Financials'!G46</f>
        <v>36766</v>
      </c>
      <c r="H58" s="113">
        <f>'Historical Financials'!H46</f>
        <v>39440</v>
      </c>
      <c r="I58" s="113">
        <f>'Historical Financials'!I46</f>
        <v>42117</v>
      </c>
      <c r="J58" s="113">
        <f>'Historical Financials'!J46</f>
        <v>43715</v>
      </c>
      <c r="K58" s="113">
        <f>'Historical Financials'!K46</f>
        <v>45680</v>
      </c>
      <c r="L58" s="113">
        <f>'Historical Financials'!L46</f>
        <v>49834</v>
      </c>
      <c r="M58" s="113"/>
      <c r="N58" s="113">
        <f>'Historical Financials'!N46</f>
        <v>39245</v>
      </c>
      <c r="O58" s="113">
        <f>'Historical Financials'!O46</f>
        <v>39304</v>
      </c>
      <c r="P58" s="113">
        <f>'Historical Financials'!P46</f>
        <v>40335</v>
      </c>
      <c r="Q58" s="113">
        <f>'Historical Financials'!Q46</f>
        <v>42117</v>
      </c>
      <c r="R58" s="113">
        <f>'Historical Financials'!R46</f>
        <v>42951</v>
      </c>
      <c r="S58" s="113">
        <f>'Historical Financials'!S46</f>
        <v>43398</v>
      </c>
      <c r="T58" s="113">
        <f>'Historical Financials'!T46</f>
        <v>43550</v>
      </c>
      <c r="U58" s="113">
        <f>'Historical Financials'!U46</f>
        <v>43715</v>
      </c>
      <c r="V58" s="113">
        <f>'Historical Financials'!V46</f>
        <v>43666</v>
      </c>
      <c r="W58" s="113">
        <f>'Historical Financials'!W46</f>
        <v>43546</v>
      </c>
      <c r="X58" s="113">
        <f>'Historical Financials'!X46</f>
        <v>44502</v>
      </c>
      <c r="Y58" s="113">
        <f>'Historical Financials'!Y46</f>
        <v>45680</v>
      </c>
      <c r="Z58" s="113">
        <f>'Historical Financials'!Z46</f>
        <v>46069</v>
      </c>
      <c r="AA58" s="113">
        <f>'Historical Financials'!AA46</f>
        <v>46876</v>
      </c>
      <c r="AB58" s="113">
        <f>'Historical Financials'!AB46</f>
        <v>48508</v>
      </c>
      <c r="AC58" s="113">
        <f>'Historical Financials'!AC46</f>
        <v>49834</v>
      </c>
      <c r="AD58" s="113">
        <f>'Historical Financials'!AD46</f>
        <v>50159</v>
      </c>
      <c r="AF58" s="11">
        <f>Q58</f>
        <v>42117</v>
      </c>
      <c r="AG58" s="11">
        <f>R58</f>
        <v>42951</v>
      </c>
      <c r="AH58" s="11">
        <f>S58</f>
        <v>43398</v>
      </c>
      <c r="AI58" s="11">
        <f>T58</f>
        <v>43550</v>
      </c>
      <c r="AJ58" s="11">
        <f>U58</f>
        <v>43715</v>
      </c>
      <c r="AK58" s="11">
        <f>V58</f>
        <v>43666</v>
      </c>
      <c r="AL58" s="11">
        <f>W58</f>
        <v>43546</v>
      </c>
      <c r="AM58" s="11">
        <f>X58</f>
        <v>44502</v>
      </c>
      <c r="AN58" s="11">
        <f>Y58</f>
        <v>45680</v>
      </c>
      <c r="AO58" s="11">
        <f>Z58</f>
        <v>46069</v>
      </c>
      <c r="AP58" s="11">
        <f>AA58</f>
        <v>46876</v>
      </c>
      <c r="AQ58" s="11">
        <f>AB58</f>
        <v>48508</v>
      </c>
      <c r="AR58" s="11">
        <f>AC58</f>
        <v>49834</v>
      </c>
      <c r="AS58" s="11">
        <f>AD58</f>
        <v>50159</v>
      </c>
    </row>
    <row r="59" spans="2:45" ht="12.75" customHeight="1">
      <c r="B59" s="8" t="s">
        <v>57</v>
      </c>
      <c r="C59" s="113">
        <f>'Historical Financials'!C60</f>
        <v>193437</v>
      </c>
      <c r="D59" s="113">
        <f>'Historical Financials'!D60</f>
        <v>241272</v>
      </c>
      <c r="E59" s="113">
        <f>'Historical Financials'!E60</f>
        <v>258578</v>
      </c>
      <c r="F59" s="113">
        <f>'Historical Financials'!F60</f>
        <v>248028</v>
      </c>
      <c r="G59" s="113">
        <f>'Historical Financials'!G60</f>
        <v>258549</v>
      </c>
      <c r="H59" s="113">
        <f>'Historical Financials'!H60</f>
        <v>287912</v>
      </c>
      <c r="I59" s="113">
        <f>'Historical Financials'!I60</f>
        <v>302083</v>
      </c>
      <c r="J59" s="113">
        <f>'Historical Financials'!J60</f>
        <v>290437</v>
      </c>
      <c r="K59" s="113">
        <f>'Historical Financials'!K60</f>
        <v>308030</v>
      </c>
      <c r="L59" s="113">
        <f>'Historical Financials'!L60</f>
        <v>285508</v>
      </c>
      <c r="M59" s="113"/>
      <c r="N59" s="113">
        <f>'Historical Financials'!N60</f>
        <v>309259</v>
      </c>
      <c r="O59" s="113">
        <f>'Historical Financials'!O60</f>
        <v>283263</v>
      </c>
      <c r="P59" s="113">
        <f>'Historical Financials'!P60</f>
        <v>278202</v>
      </c>
      <c r="Q59" s="113">
        <f>'Historical Financials'!Q60</f>
        <v>302083</v>
      </c>
      <c r="R59" s="113">
        <f>'Historical Financials'!R60</f>
        <v>290020</v>
      </c>
      <c r="S59" s="113">
        <f>'Historical Financials'!S60</f>
        <v>270002</v>
      </c>
      <c r="T59" s="113">
        <f>'Historical Financials'!T60</f>
        <v>274764</v>
      </c>
      <c r="U59" s="113">
        <f>'Historical Financials'!U60</f>
        <v>290437</v>
      </c>
      <c r="V59" s="113">
        <f>'Historical Financials'!V60</f>
        <v>279414</v>
      </c>
      <c r="W59" s="113">
        <f>'Historical Financials'!W60</f>
        <v>263217</v>
      </c>
      <c r="X59" s="113">
        <f>'Historical Financials'!X60</f>
        <v>264904</v>
      </c>
      <c r="Y59" s="113">
        <f>'Historical Financials'!Y60</f>
        <v>308030</v>
      </c>
      <c r="Z59" s="113">
        <f>'Historical Financials'!Z60</f>
        <v>277327</v>
      </c>
      <c r="AA59" s="113">
        <f>'Historical Financials'!AA60</f>
        <v>264437</v>
      </c>
      <c r="AB59" s="113">
        <f>'Historical Financials'!AB60</f>
        <v>265665</v>
      </c>
      <c r="AC59" s="113">
        <f>'Historical Financials'!AC60</f>
        <v>285508</v>
      </c>
      <c r="AD59" s="113">
        <f>'Historical Financials'!AD60</f>
        <v>291107</v>
      </c>
      <c r="AF59" s="11">
        <f>Q59</f>
        <v>302083</v>
      </c>
      <c r="AG59" s="11">
        <f>R59</f>
        <v>290020</v>
      </c>
      <c r="AH59" s="11">
        <f>S59</f>
        <v>270002</v>
      </c>
      <c r="AI59" s="11">
        <f>T59</f>
        <v>274764</v>
      </c>
      <c r="AJ59" s="11">
        <f>U59</f>
        <v>290437</v>
      </c>
      <c r="AK59" s="11">
        <f>V59</f>
        <v>279414</v>
      </c>
      <c r="AL59" s="11">
        <f>W59</f>
        <v>263217</v>
      </c>
      <c r="AM59" s="11">
        <f>X59</f>
        <v>264904</v>
      </c>
      <c r="AN59" s="11">
        <f>Y59</f>
        <v>308030</v>
      </c>
      <c r="AO59" s="11">
        <f>Z59</f>
        <v>277327</v>
      </c>
      <c r="AP59" s="11">
        <f>AA59</f>
        <v>264437</v>
      </c>
      <c r="AQ59" s="11">
        <f>AB59</f>
        <v>265665</v>
      </c>
      <c r="AR59" s="11">
        <f>AC59</f>
        <v>285508</v>
      </c>
      <c r="AS59" s="11">
        <f>AD59</f>
        <v>291107</v>
      </c>
    </row>
    <row r="60" spans="2:45" ht="12.75" customHeight="1">
      <c r="B60" s="8" t="s">
        <v>18</v>
      </c>
      <c r="C60" s="113">
        <f>'Historical Financials'!C60</f>
        <v>193437</v>
      </c>
      <c r="D60" s="113">
        <f>'Historical Financials'!D60</f>
        <v>241272</v>
      </c>
      <c r="E60" s="113">
        <f>'Historical Financials'!E60</f>
        <v>258578</v>
      </c>
      <c r="F60" s="113">
        <f>'Historical Financials'!F60</f>
        <v>248028</v>
      </c>
      <c r="G60" s="113">
        <f>'Historical Financials'!G60</f>
        <v>258549</v>
      </c>
      <c r="H60" s="113">
        <f>'Historical Financials'!H60</f>
        <v>287912</v>
      </c>
      <c r="I60" s="113">
        <f>'Historical Financials'!I60</f>
        <v>302083</v>
      </c>
      <c r="J60" s="113">
        <f>'Historical Financials'!J60</f>
        <v>290437</v>
      </c>
      <c r="K60" s="113">
        <f>'Historical Financials'!K60</f>
        <v>308030</v>
      </c>
      <c r="L60" s="113">
        <f>'Historical Financials'!L60</f>
        <v>285508</v>
      </c>
      <c r="M60" s="113"/>
      <c r="N60" s="113">
        <f>'Historical Financials'!N60</f>
        <v>309259</v>
      </c>
      <c r="O60" s="113">
        <f>'Historical Financials'!O60</f>
        <v>283263</v>
      </c>
      <c r="P60" s="113">
        <f>'Historical Financials'!P60</f>
        <v>278202</v>
      </c>
      <c r="Q60" s="113">
        <f>'Historical Financials'!Q60</f>
        <v>302083</v>
      </c>
      <c r="R60" s="113">
        <f>'Historical Financials'!R60</f>
        <v>290020</v>
      </c>
      <c r="S60" s="113">
        <f>'Historical Financials'!S60</f>
        <v>270002</v>
      </c>
      <c r="T60" s="113">
        <f>'Historical Financials'!T60</f>
        <v>274764</v>
      </c>
      <c r="U60" s="113">
        <f>'Historical Financials'!U60</f>
        <v>290437</v>
      </c>
      <c r="V60" s="113">
        <f>'Historical Financials'!V60</f>
        <v>279414</v>
      </c>
      <c r="W60" s="113">
        <f>'Historical Financials'!W60</f>
        <v>263217</v>
      </c>
      <c r="X60" s="113">
        <f>'Historical Financials'!X60</f>
        <v>264904</v>
      </c>
      <c r="Y60" s="113">
        <f>'Historical Financials'!Y60</f>
        <v>308030</v>
      </c>
      <c r="Z60" s="113">
        <f>'Historical Financials'!Z60</f>
        <v>277327</v>
      </c>
      <c r="AA60" s="113">
        <f>'Historical Financials'!AA60</f>
        <v>264437</v>
      </c>
      <c r="AB60" s="113">
        <f>'Historical Financials'!AB60</f>
        <v>265665</v>
      </c>
      <c r="AC60" s="113">
        <f>'Historical Financials'!AC60</f>
        <v>285508</v>
      </c>
      <c r="AD60" s="113">
        <f>'Historical Financials'!AD60</f>
        <v>291107</v>
      </c>
      <c r="AF60" s="11">
        <f>Q60</f>
        <v>302083</v>
      </c>
      <c r="AG60" s="11">
        <f>R60</f>
        <v>290020</v>
      </c>
      <c r="AH60" s="11">
        <f>S60</f>
        <v>270002</v>
      </c>
      <c r="AI60" s="11">
        <f>T60</f>
        <v>274764</v>
      </c>
      <c r="AJ60" s="11">
        <f>U60</f>
        <v>290437</v>
      </c>
      <c r="AK60" s="11">
        <f>V60</f>
        <v>279414</v>
      </c>
      <c r="AL60" s="11">
        <f>W60</f>
        <v>263217</v>
      </c>
      <c r="AM60" s="11">
        <f>X60</f>
        <v>264904</v>
      </c>
      <c r="AN60" s="11">
        <f>Y60</f>
        <v>308030</v>
      </c>
      <c r="AO60" s="11">
        <f>Z60</f>
        <v>277327</v>
      </c>
      <c r="AP60" s="11">
        <f>AA60</f>
        <v>264437</v>
      </c>
      <c r="AQ60" s="11">
        <f>AB60</f>
        <v>265665</v>
      </c>
      <c r="AR60" s="11">
        <f>AC60</f>
        <v>285508</v>
      </c>
      <c r="AS60" s="11">
        <f>AD60</f>
        <v>291107</v>
      </c>
    </row>
    <row r="61" spans="2:45" ht="5.0999999999999996" customHeight="1"/>
    <row r="62" spans="2:45" ht="12.75" customHeight="1">
      <c r="B62" s="37" t="s">
        <v>58</v>
      </c>
    </row>
    <row r="63" spans="2:45" ht="12.75" customHeight="1">
      <c r="B63" s="8" t="s">
        <v>59</v>
      </c>
      <c r="C63" s="113">
        <f>+'Historical Financials'!C54+'Historical Financials'!C55</f>
        <v>11605</v>
      </c>
      <c r="D63" s="113">
        <f>+'Historical Financials'!D54+'Historical Financials'!D55</f>
        <v>18473</v>
      </c>
      <c r="E63" s="113">
        <f>+'Historical Financials'!E54+'Historical Financials'!E55</f>
        <v>20748</v>
      </c>
      <c r="F63" s="113">
        <f>+'Historical Financials'!F54+'Historical Financials'!F55</f>
        <v>16240</v>
      </c>
      <c r="G63" s="113">
        <f>+'Historical Financials'!G54+'Historical Financials'!G55</f>
        <v>13769</v>
      </c>
      <c r="H63" s="113">
        <f>+'Historical Financials'!H54+'Historical Financials'!H55</f>
        <v>15613</v>
      </c>
      <c r="I63" s="113">
        <f>+'Historical Financials'!I54+'Historical Financials'!I55</f>
        <v>21110</v>
      </c>
      <c r="J63" s="113">
        <f>+'Historical Financials'!J54+'Historical Financials'!J55</f>
        <v>15807</v>
      </c>
      <c r="K63" s="113">
        <f>+'Historical Financials'!K54+'Historical Financials'!K55</f>
        <v>20879</v>
      </c>
      <c r="L63" s="113">
        <f>+'Historical Financials'!L54+'Historical Financials'!L55</f>
        <v>20329</v>
      </c>
      <c r="N63" s="113">
        <f>+'Historical Financials'!N54+'Historical Financials'!N55</f>
        <v>16169</v>
      </c>
      <c r="O63" s="113">
        <f>+'Historical Financials'!O54+'Historical Financials'!O55</f>
        <v>16658</v>
      </c>
      <c r="P63" s="113">
        <f>+'Historical Financials'!P54+'Historical Financials'!P55</f>
        <v>24991</v>
      </c>
      <c r="Q63" s="113">
        <f>+'Historical Financials'!Q54+'Historical Financials'!Q55</f>
        <v>21110</v>
      </c>
      <c r="R63" s="113">
        <f>+'Historical Financials'!R54+'Historical Financials'!R55</f>
        <v>11483</v>
      </c>
      <c r="S63" s="113">
        <f>+'Historical Financials'!S54+'Historical Financials'!S55</f>
        <v>12574</v>
      </c>
      <c r="T63" s="113">
        <f>+'Historical Financials'!T54+'Historical Financials'!T55</f>
        <v>11209</v>
      </c>
      <c r="U63" s="113">
        <f>+'Historical Financials'!U54+'Historical Financials'!U55</f>
        <v>15807</v>
      </c>
      <c r="V63" s="113">
        <f>+'Historical Financials'!V54+'Historical Financials'!V55</f>
        <v>12952</v>
      </c>
      <c r="W63" s="113">
        <f>+'Historical Financials'!W54+'Historical Financials'!W55</f>
        <v>12759</v>
      </c>
      <c r="X63" s="113">
        <f>+'Historical Financials'!X54+'Historical Financials'!X55</f>
        <v>15108</v>
      </c>
      <c r="Y63" s="113">
        <f>+'Historical Financials'!Y54+'Historical Financials'!Y55</f>
        <v>20879</v>
      </c>
      <c r="Z63" s="113">
        <f>+'Historical Financials'!Z54+'Historical Financials'!Z55</f>
        <v>12843</v>
      </c>
      <c r="AA63" s="113">
        <f>+'Historical Financials'!AA54+'Historical Financials'!AA55</f>
        <v>19620</v>
      </c>
      <c r="AB63" s="113">
        <f>+'Historical Financials'!AB54+'Historical Financials'!AB55</f>
        <v>19268</v>
      </c>
      <c r="AC63" s="113">
        <f>+'Historical Financials'!AC54+'Historical Financials'!AC55</f>
        <v>20329</v>
      </c>
      <c r="AD63" s="113">
        <f>+'Historical Financials'!AD54+'Historical Financials'!AD55</f>
        <v>13824</v>
      </c>
      <c r="AF63" s="11">
        <f>Q63</f>
        <v>21110</v>
      </c>
      <c r="AG63" s="11">
        <f>R63</f>
        <v>11483</v>
      </c>
      <c r="AH63" s="11">
        <f>S63</f>
        <v>12574</v>
      </c>
      <c r="AI63" s="11">
        <f>T63</f>
        <v>11209</v>
      </c>
      <c r="AJ63" s="11">
        <f>U63</f>
        <v>15807</v>
      </c>
      <c r="AK63" s="11">
        <f>V63</f>
        <v>12952</v>
      </c>
      <c r="AL63" s="11">
        <f>W63</f>
        <v>12759</v>
      </c>
      <c r="AM63" s="11">
        <f>X63</f>
        <v>15108</v>
      </c>
      <c r="AN63" s="11">
        <f>Y63</f>
        <v>20879</v>
      </c>
      <c r="AO63" s="11">
        <f>Z63</f>
        <v>12843</v>
      </c>
      <c r="AP63" s="11">
        <f>AA63</f>
        <v>19620</v>
      </c>
      <c r="AQ63" s="11">
        <f>AB63</f>
        <v>19268</v>
      </c>
      <c r="AR63" s="11">
        <f>AC63</f>
        <v>20329</v>
      </c>
      <c r="AS63" s="11">
        <f>AD63</f>
        <v>13824</v>
      </c>
    </row>
    <row r="64" spans="2:45" ht="12.75" customHeight="1">
      <c r="B64" s="8" t="s">
        <v>60</v>
      </c>
      <c r="C64" s="113">
        <f>'Historical Financials'!C58</f>
        <v>75427</v>
      </c>
      <c r="D64" s="113">
        <f>'Historical Financials'!D58</f>
        <v>97207</v>
      </c>
      <c r="E64" s="113">
        <f>'Historical Financials'!E58</f>
        <v>93735</v>
      </c>
      <c r="F64" s="113">
        <f>'Historical Financials'!F58</f>
        <v>91807</v>
      </c>
      <c r="G64" s="113">
        <f>'Historical Financials'!G58</f>
        <v>98667</v>
      </c>
      <c r="H64" s="113">
        <f>'Historical Financials'!H58</f>
        <v>109106</v>
      </c>
      <c r="I64" s="113">
        <f>'Historical Financials'!I58</f>
        <v>98959</v>
      </c>
      <c r="J64" s="113">
        <f>'Historical Financials'!J58</f>
        <v>95281</v>
      </c>
      <c r="K64" s="113">
        <f>'Historical Financials'!K58</f>
        <v>85750</v>
      </c>
      <c r="L64" s="113">
        <f>'Historical Financials'!L58</f>
        <v>78328</v>
      </c>
      <c r="N64" s="113">
        <f>'Historical Financials'!N58</f>
        <v>106629</v>
      </c>
      <c r="O64" s="113">
        <f>'Historical Financials'!O58</f>
        <v>103323</v>
      </c>
      <c r="P64" s="113">
        <f>'Historical Financials'!P58</f>
        <v>94700</v>
      </c>
      <c r="Q64" s="113">
        <f>'Historical Financials'!Q58</f>
        <v>98959</v>
      </c>
      <c r="R64" s="113">
        <f>'Historical Financials'!R58</f>
        <v>99627</v>
      </c>
      <c r="S64" s="113">
        <f>'Historical Financials'!S58</f>
        <v>97041</v>
      </c>
      <c r="T64" s="113">
        <f>'Historical Financials'!T58</f>
        <v>98071</v>
      </c>
      <c r="U64" s="113">
        <f>'Historical Financials'!U58</f>
        <v>95281</v>
      </c>
      <c r="V64" s="113">
        <f>'Historical Financials'!V58</f>
        <v>95088</v>
      </c>
      <c r="W64" s="113">
        <f>'Historical Financials'!W58</f>
        <v>91831</v>
      </c>
      <c r="X64" s="113">
        <f>'Historical Financials'!X58</f>
        <v>86196</v>
      </c>
      <c r="Y64" s="113">
        <f>'Historical Financials'!Y58</f>
        <v>85750</v>
      </c>
      <c r="Z64" s="113">
        <f>'Historical Financials'!Z58</f>
        <v>83956</v>
      </c>
      <c r="AA64" s="113">
        <f>'Historical Financials'!AA58</f>
        <v>78566</v>
      </c>
      <c r="AB64" s="113">
        <f>'Historical Financials'!AB58</f>
        <v>82430</v>
      </c>
      <c r="AC64" s="113">
        <f>'Historical Financials'!AC58</f>
        <v>78328</v>
      </c>
      <c r="AD64" s="113">
        <f>'Historical Financials'!AD58</f>
        <v>76685</v>
      </c>
      <c r="AF64" s="11">
        <f>Q64</f>
        <v>98959</v>
      </c>
      <c r="AG64" s="11">
        <f>R64</f>
        <v>99627</v>
      </c>
      <c r="AH64" s="11">
        <f>S64</f>
        <v>97041</v>
      </c>
      <c r="AI64" s="11">
        <f>T64</f>
        <v>98071</v>
      </c>
      <c r="AJ64" s="11">
        <f>U64</f>
        <v>95281</v>
      </c>
      <c r="AK64" s="11">
        <f>V64</f>
        <v>95088</v>
      </c>
      <c r="AL64" s="11">
        <f>W64</f>
        <v>91831</v>
      </c>
      <c r="AM64" s="11">
        <f>X64</f>
        <v>86196</v>
      </c>
      <c r="AN64" s="11">
        <f>Y64</f>
        <v>85750</v>
      </c>
      <c r="AO64" s="11">
        <f>Z64</f>
        <v>83956</v>
      </c>
      <c r="AP64" s="11">
        <f>AA64</f>
        <v>78566</v>
      </c>
      <c r="AQ64" s="11">
        <f>AB64</f>
        <v>82430</v>
      </c>
      <c r="AR64" s="11">
        <f>AC64</f>
        <v>78328</v>
      </c>
      <c r="AS64" s="11">
        <f>AD64</f>
        <v>76685</v>
      </c>
    </row>
    <row r="65" spans="1:45">
      <c r="K65" s="11"/>
      <c r="L65" s="11"/>
    </row>
    <row r="66" spans="1:45" ht="12.75" customHeight="1">
      <c r="B66" s="38" t="s">
        <v>149</v>
      </c>
      <c r="C66" s="113">
        <f>'Historical Financials'!C54</f>
        <v>8105</v>
      </c>
      <c r="D66" s="113">
        <f>'Historical Financials'!D54</f>
        <v>11977</v>
      </c>
      <c r="E66" s="113">
        <f>'Historical Financials'!E54</f>
        <v>11964</v>
      </c>
      <c r="F66" s="113">
        <f>'Historical Financials'!F54</f>
        <v>5980</v>
      </c>
      <c r="G66" s="113">
        <f>'Historical Financials'!G54</f>
        <v>4996</v>
      </c>
      <c r="H66" s="113">
        <f>'Historical Financials'!H54</f>
        <v>6000</v>
      </c>
      <c r="I66" s="113">
        <f>'Historical Financials'!I54</f>
        <v>9982</v>
      </c>
      <c r="J66" s="113">
        <f>'Historical Financials'!J54</f>
        <v>5985</v>
      </c>
      <c r="K66" s="113">
        <f>'Historical Financials'!K54</f>
        <v>9967</v>
      </c>
      <c r="L66" s="113">
        <f>'Historical Financials'!L54</f>
        <v>7979</v>
      </c>
      <c r="N66" s="113">
        <f>'Historical Financials'!N54</f>
        <v>5000</v>
      </c>
      <c r="O66" s="113">
        <f>'Historical Financials'!O54</f>
        <v>6999</v>
      </c>
      <c r="P66" s="113">
        <f>'Historical Financials'!P54</f>
        <v>10982</v>
      </c>
      <c r="Q66" s="113">
        <f>'Historical Financials'!Q54</f>
        <v>9982</v>
      </c>
      <c r="R66" s="113">
        <f>'Historical Financials'!R54</f>
        <v>1743</v>
      </c>
      <c r="S66" s="113">
        <f>'Historical Financials'!S54</f>
        <v>1996</v>
      </c>
      <c r="T66" s="113">
        <f>'Historical Financials'!T54</f>
        <v>3993</v>
      </c>
      <c r="U66" s="113">
        <f>'Historical Financials'!U54</f>
        <v>5985</v>
      </c>
      <c r="V66" s="113">
        <f>'Historical Financials'!V54</f>
        <v>1998</v>
      </c>
      <c r="W66" s="113">
        <f>'Historical Financials'!W54</f>
        <v>1997</v>
      </c>
      <c r="X66" s="113">
        <f>'Historical Financials'!X54</f>
        <v>2994</v>
      </c>
      <c r="Y66" s="113">
        <f>'Historical Financials'!Y54</f>
        <v>9967</v>
      </c>
      <c r="Z66" s="113">
        <f>'Historical Financials'!Z54</f>
        <v>1995</v>
      </c>
      <c r="AA66" s="113">
        <f>'Historical Financials'!AA54</f>
        <v>5982</v>
      </c>
      <c r="AB66" s="113">
        <f>'Historical Financials'!AB54</f>
        <v>9923</v>
      </c>
      <c r="AC66" s="113">
        <f>'Historical Financials'!AC54</f>
        <v>7979</v>
      </c>
      <c r="AD66" s="113">
        <f>'Historical Financials'!AD54</f>
        <v>1997</v>
      </c>
      <c r="AF66" s="11">
        <f>Q66</f>
        <v>9982</v>
      </c>
      <c r="AG66" s="11">
        <f>R66</f>
        <v>1743</v>
      </c>
      <c r="AH66" s="11">
        <f>S66</f>
        <v>1996</v>
      </c>
      <c r="AI66" s="11">
        <f>T66</f>
        <v>3993</v>
      </c>
      <c r="AJ66" s="11">
        <f>U66</f>
        <v>5985</v>
      </c>
      <c r="AK66" s="11">
        <f>V66</f>
        <v>1998</v>
      </c>
      <c r="AL66" s="11">
        <f>W66</f>
        <v>1997</v>
      </c>
      <c r="AM66" s="11">
        <f>X66</f>
        <v>2994</v>
      </c>
      <c r="AN66" s="11">
        <f>Y66</f>
        <v>9967</v>
      </c>
      <c r="AO66" s="11">
        <f>Z66</f>
        <v>1995</v>
      </c>
      <c r="AP66" s="11">
        <f>AA66</f>
        <v>5982</v>
      </c>
      <c r="AQ66" s="11">
        <f>AB66</f>
        <v>9923</v>
      </c>
      <c r="AR66" s="11">
        <f>AC66</f>
        <v>7979</v>
      </c>
      <c r="AS66" s="11">
        <f>AD66</f>
        <v>1997</v>
      </c>
    </row>
    <row r="67" spans="1:45" ht="12.75" customHeight="1">
      <c r="B67" s="33" t="s">
        <v>150</v>
      </c>
      <c r="C67" s="113">
        <f>'Historical Financials'!C55</f>
        <v>3500</v>
      </c>
      <c r="D67" s="113">
        <f>'Historical Financials'!D55</f>
        <v>6496</v>
      </c>
      <c r="E67" s="113">
        <f>'Historical Financials'!E55</f>
        <v>8784</v>
      </c>
      <c r="F67" s="113">
        <f>'Historical Financials'!F55</f>
        <v>10260</v>
      </c>
      <c r="G67" s="113">
        <f>'Historical Financials'!G55</f>
        <v>8773</v>
      </c>
      <c r="H67" s="113">
        <f>'Historical Financials'!H55</f>
        <v>9613</v>
      </c>
      <c r="I67" s="113">
        <f>'Historical Financials'!I55</f>
        <v>11128</v>
      </c>
      <c r="J67" s="113">
        <f>'Historical Financials'!J55</f>
        <v>9822</v>
      </c>
      <c r="K67" s="113">
        <f>'Historical Financials'!K55</f>
        <v>10912</v>
      </c>
      <c r="L67" s="113">
        <f>'Historical Financials'!L55</f>
        <v>12350</v>
      </c>
      <c r="N67" s="113">
        <f>'Historical Financials'!N55</f>
        <v>11169</v>
      </c>
      <c r="O67" s="113">
        <f>'Historical Financials'!O55</f>
        <v>9659</v>
      </c>
      <c r="P67" s="113">
        <f>'Historical Financials'!P55</f>
        <v>14009</v>
      </c>
      <c r="Q67" s="113">
        <f>'Historical Financials'!Q55</f>
        <v>11128</v>
      </c>
      <c r="R67" s="113">
        <f>'Historical Financials'!R55</f>
        <v>9740</v>
      </c>
      <c r="S67" s="113">
        <f>'Historical Financials'!S55</f>
        <v>10578</v>
      </c>
      <c r="T67" s="113">
        <f>'Historical Financials'!T55</f>
        <v>7216</v>
      </c>
      <c r="U67" s="113">
        <f>'Historical Financials'!U55</f>
        <v>9822</v>
      </c>
      <c r="V67" s="113">
        <f>'Historical Financials'!V55</f>
        <v>10954</v>
      </c>
      <c r="W67" s="113">
        <f>'Historical Financials'!W55</f>
        <v>10762</v>
      </c>
      <c r="X67" s="113">
        <f>'Historical Financials'!X55</f>
        <v>12114</v>
      </c>
      <c r="Y67" s="113">
        <f>'Historical Financials'!Y55</f>
        <v>10912</v>
      </c>
      <c r="Z67" s="113">
        <f>'Historical Financials'!Z55</f>
        <v>10848</v>
      </c>
      <c r="AA67" s="113">
        <f>'Historical Financials'!AA55</f>
        <v>13638</v>
      </c>
      <c r="AB67" s="113">
        <f>'Historical Financials'!AB55</f>
        <v>9345</v>
      </c>
      <c r="AC67" s="113">
        <f>'Historical Financials'!AC55</f>
        <v>12350</v>
      </c>
      <c r="AD67" s="113">
        <f>'Historical Financials'!AD55</f>
        <v>11827</v>
      </c>
      <c r="AF67" s="11"/>
      <c r="AG67" s="11"/>
      <c r="AH67" s="11"/>
      <c r="AI67" s="11"/>
      <c r="AJ67" s="11"/>
      <c r="AK67" s="11"/>
      <c r="AL67" s="11"/>
      <c r="AM67" s="11">
        <f>X67</f>
        <v>12114</v>
      </c>
      <c r="AN67" s="11">
        <f>Y67</f>
        <v>10912</v>
      </c>
      <c r="AO67" s="11">
        <f>Z67</f>
        <v>10848</v>
      </c>
      <c r="AP67" s="11">
        <f>AA67</f>
        <v>13638</v>
      </c>
      <c r="AQ67" s="11">
        <f>AB67</f>
        <v>9345</v>
      </c>
      <c r="AR67" s="11">
        <f>AC67</f>
        <v>12350</v>
      </c>
      <c r="AS67" s="11">
        <f>AD67</f>
        <v>11827</v>
      </c>
    </row>
    <row r="68" spans="1:45" ht="12.75" customHeight="1">
      <c r="B68" s="33" t="s">
        <v>151</v>
      </c>
      <c r="C68" s="113">
        <f>'Historical Financials'!C58</f>
        <v>75427</v>
      </c>
      <c r="D68" s="113">
        <f>'Historical Financials'!D58</f>
        <v>97207</v>
      </c>
      <c r="E68" s="113">
        <f>'Historical Financials'!E58</f>
        <v>93735</v>
      </c>
      <c r="F68" s="113">
        <f>'Historical Financials'!F58</f>
        <v>91807</v>
      </c>
      <c r="G68" s="113">
        <f>'Historical Financials'!G58</f>
        <v>98667</v>
      </c>
      <c r="H68" s="113">
        <f>'Historical Financials'!H58</f>
        <v>109106</v>
      </c>
      <c r="I68" s="113">
        <f>'Historical Financials'!I58</f>
        <v>98959</v>
      </c>
      <c r="J68" s="113">
        <f>'Historical Financials'!J58</f>
        <v>95281</v>
      </c>
      <c r="K68" s="113">
        <f>'Historical Financials'!K58</f>
        <v>85750</v>
      </c>
      <c r="L68" s="113">
        <f>'Historical Financials'!L58</f>
        <v>78328</v>
      </c>
      <c r="M68" s="98"/>
      <c r="N68" s="113">
        <f>'Historical Financials'!N58</f>
        <v>106629</v>
      </c>
      <c r="O68" s="113">
        <f>'Historical Financials'!O58</f>
        <v>103323</v>
      </c>
      <c r="P68" s="113">
        <f>'Historical Financials'!P58</f>
        <v>94700</v>
      </c>
      <c r="Q68" s="113">
        <f>'Historical Financials'!Q58</f>
        <v>98959</v>
      </c>
      <c r="R68" s="113">
        <f>'Historical Financials'!R58</f>
        <v>99627</v>
      </c>
      <c r="S68" s="113">
        <f>'Historical Financials'!S58</f>
        <v>97041</v>
      </c>
      <c r="T68" s="113">
        <f>'Historical Financials'!T58</f>
        <v>98071</v>
      </c>
      <c r="U68" s="113">
        <f>'Historical Financials'!U58</f>
        <v>95281</v>
      </c>
      <c r="V68" s="113">
        <f>'Historical Financials'!V58</f>
        <v>95088</v>
      </c>
      <c r="W68" s="113">
        <f>'Historical Financials'!W58</f>
        <v>91831</v>
      </c>
      <c r="X68" s="113">
        <f>'Historical Financials'!X58</f>
        <v>86196</v>
      </c>
      <c r="Y68" s="113">
        <f>'Historical Financials'!Y58</f>
        <v>85750</v>
      </c>
      <c r="Z68" s="113">
        <f>'Historical Financials'!Z58</f>
        <v>83956</v>
      </c>
      <c r="AA68" s="113">
        <f>'Historical Financials'!AA58</f>
        <v>78566</v>
      </c>
      <c r="AB68" s="113">
        <f>'Historical Financials'!AB58</f>
        <v>82430</v>
      </c>
      <c r="AC68" s="113">
        <f>'Historical Financials'!AC58</f>
        <v>78328</v>
      </c>
      <c r="AD68" s="113">
        <f>'Historical Financials'!AD58</f>
        <v>76685</v>
      </c>
      <c r="AF68" s="11">
        <f t="shared" ref="AF68" si="163">Q68</f>
        <v>98959</v>
      </c>
      <c r="AG68" s="11">
        <f t="shared" ref="AG68" si="164">R68</f>
        <v>99627</v>
      </c>
      <c r="AH68" s="11">
        <f t="shared" ref="AH68" si="165">S68</f>
        <v>97041</v>
      </c>
      <c r="AI68" s="11">
        <f t="shared" ref="AI68" si="166">T68</f>
        <v>98071</v>
      </c>
      <c r="AJ68" s="11">
        <f t="shared" ref="AJ68" si="167">U68</f>
        <v>95281</v>
      </c>
      <c r="AK68" s="11">
        <f t="shared" ref="AK68" si="168">V68</f>
        <v>95088</v>
      </c>
      <c r="AL68" s="11">
        <f t="shared" ref="AL68" si="169">W68</f>
        <v>91831</v>
      </c>
      <c r="AM68" s="11">
        <f t="shared" ref="AM68" si="170">X68</f>
        <v>86196</v>
      </c>
      <c r="AN68" s="11">
        <f t="shared" ref="AN68" si="171">Y68</f>
        <v>85750</v>
      </c>
      <c r="AO68" s="11">
        <f t="shared" ref="AO68" si="172">Z68</f>
        <v>83956</v>
      </c>
      <c r="AP68" s="11">
        <f>AA68</f>
        <v>78566</v>
      </c>
      <c r="AQ68" s="11">
        <f>AB68</f>
        <v>82430</v>
      </c>
      <c r="AR68" s="11">
        <f>AC68</f>
        <v>78328</v>
      </c>
      <c r="AS68" s="11">
        <f>AD68</f>
        <v>76685</v>
      </c>
    </row>
    <row r="69" spans="1:45" ht="12.75" customHeight="1">
      <c r="B69" s="14" t="s">
        <v>24</v>
      </c>
      <c r="C69" s="15">
        <f t="shared" ref="C69:F69" si="173">SUM(C66:C68)</f>
        <v>87032</v>
      </c>
      <c r="D69" s="15">
        <f t="shared" si="173"/>
        <v>115680</v>
      </c>
      <c r="E69" s="15">
        <f t="shared" si="173"/>
        <v>114483</v>
      </c>
      <c r="F69" s="15">
        <f t="shared" si="173"/>
        <v>108047</v>
      </c>
      <c r="G69" s="15">
        <f t="shared" ref="G69:L69" si="174">SUM(G66:G68)</f>
        <v>112436</v>
      </c>
      <c r="H69" s="15">
        <f t="shared" si="174"/>
        <v>124719</v>
      </c>
      <c r="I69" s="15">
        <f t="shared" si="174"/>
        <v>120069</v>
      </c>
      <c r="J69" s="15">
        <f t="shared" si="174"/>
        <v>111088</v>
      </c>
      <c r="K69" s="15">
        <f t="shared" si="174"/>
        <v>106629</v>
      </c>
      <c r="L69" s="15">
        <f t="shared" si="174"/>
        <v>98657</v>
      </c>
      <c r="N69" s="15">
        <f t="shared" ref="N69:AB69" si="175">SUM(N66:N68)</f>
        <v>122798</v>
      </c>
      <c r="O69" s="15">
        <f t="shared" si="175"/>
        <v>119981</v>
      </c>
      <c r="P69" s="15">
        <f t="shared" si="175"/>
        <v>119691</v>
      </c>
      <c r="Q69" s="15">
        <f t="shared" si="175"/>
        <v>120069</v>
      </c>
      <c r="R69" s="15">
        <f t="shared" si="175"/>
        <v>111110</v>
      </c>
      <c r="S69" s="15">
        <f t="shared" si="175"/>
        <v>109615</v>
      </c>
      <c r="T69" s="15">
        <f t="shared" si="175"/>
        <v>109280</v>
      </c>
      <c r="U69" s="15">
        <f t="shared" si="175"/>
        <v>111088</v>
      </c>
      <c r="V69" s="15">
        <f t="shared" si="175"/>
        <v>108040</v>
      </c>
      <c r="W69" s="15">
        <f t="shared" si="175"/>
        <v>104590</v>
      </c>
      <c r="X69" s="15">
        <f t="shared" si="175"/>
        <v>101304</v>
      </c>
      <c r="Y69" s="15">
        <f t="shared" si="175"/>
        <v>106629</v>
      </c>
      <c r="Z69" s="15">
        <f t="shared" si="175"/>
        <v>96799</v>
      </c>
      <c r="AA69" s="15">
        <f t="shared" si="175"/>
        <v>98186</v>
      </c>
      <c r="AB69" s="15">
        <f t="shared" si="175"/>
        <v>101698</v>
      </c>
      <c r="AC69" s="15">
        <f t="shared" ref="AC69:AD69" si="176">SUM(AC66:AC68)</f>
        <v>98657</v>
      </c>
      <c r="AD69" s="15">
        <f t="shared" si="176"/>
        <v>90509</v>
      </c>
      <c r="AF69" s="15">
        <f t="shared" ref="AF69:AQ69" si="177">SUM(AF66:AF68)</f>
        <v>108941</v>
      </c>
      <c r="AG69" s="15">
        <f t="shared" si="177"/>
        <v>101370</v>
      </c>
      <c r="AH69" s="15">
        <f t="shared" si="177"/>
        <v>99037</v>
      </c>
      <c r="AI69" s="15">
        <f t="shared" si="177"/>
        <v>102064</v>
      </c>
      <c r="AJ69" s="15">
        <f t="shared" si="177"/>
        <v>101266</v>
      </c>
      <c r="AK69" s="15">
        <f t="shared" si="177"/>
        <v>97086</v>
      </c>
      <c r="AL69" s="15">
        <f t="shared" si="177"/>
        <v>93828</v>
      </c>
      <c r="AM69" s="15">
        <f t="shared" si="177"/>
        <v>101304</v>
      </c>
      <c r="AN69" s="15">
        <f t="shared" si="177"/>
        <v>106629</v>
      </c>
      <c r="AO69" s="15">
        <f t="shared" si="177"/>
        <v>96799</v>
      </c>
      <c r="AP69" s="15">
        <f t="shared" si="177"/>
        <v>98186</v>
      </c>
      <c r="AQ69" s="15">
        <f t="shared" si="177"/>
        <v>101698</v>
      </c>
      <c r="AR69" s="15">
        <f t="shared" ref="AR69:AS69" si="178">SUM(AR66:AR68)</f>
        <v>98657</v>
      </c>
      <c r="AS69" s="15">
        <f t="shared" si="178"/>
        <v>90509</v>
      </c>
    </row>
    <row r="70" spans="1:45" ht="5.0999999999999996" customHeight="1"/>
    <row r="71" spans="1:45" ht="12.75" customHeight="1">
      <c r="B71" s="8" t="s">
        <v>61</v>
      </c>
      <c r="C71" s="113">
        <f>'Historical Financials'!C65</f>
        <v>128249</v>
      </c>
      <c r="D71" s="113">
        <f>'Historical Financials'!D65</f>
        <v>134047</v>
      </c>
      <c r="E71" s="113">
        <f>'Historical Financials'!E65</f>
        <v>107147</v>
      </c>
      <c r="F71" s="113">
        <f>'Historical Financials'!F65</f>
        <v>90488</v>
      </c>
      <c r="G71" s="113">
        <f>'Historical Financials'!G65</f>
        <v>65339</v>
      </c>
      <c r="H71" s="113">
        <f>'Historical Financials'!H65</f>
        <v>63090</v>
      </c>
      <c r="I71" s="113">
        <f>'Historical Financials'!I65</f>
        <v>50672</v>
      </c>
      <c r="J71" s="113">
        <f>'Historical Financials'!J65</f>
        <v>62146</v>
      </c>
      <c r="K71" s="113">
        <f>'Historical Financials'!K65</f>
        <v>56950</v>
      </c>
      <c r="L71" s="113">
        <f>'Historical Financials'!L65</f>
        <v>73733</v>
      </c>
      <c r="N71" s="113">
        <f>'Historical Financials'!N65</f>
        <v>63894</v>
      </c>
      <c r="O71" s="113">
        <f>'Historical Financials'!O65</f>
        <v>59361</v>
      </c>
      <c r="P71" s="113">
        <f>'Historical Financials'!P65</f>
        <v>50069</v>
      </c>
      <c r="Q71" s="113">
        <f>'Historical Financials'!Q65</f>
        <v>50672</v>
      </c>
      <c r="R71" s="113">
        <f>'Historical Financials'!R65</f>
        <v>48689</v>
      </c>
      <c r="S71" s="113">
        <f>'Historical Financials'!S65</f>
        <v>54120</v>
      </c>
      <c r="T71" s="113">
        <f>'Historical Financials'!T65</f>
        <v>52236</v>
      </c>
      <c r="U71" s="113">
        <f>'Historical Financials'!U65</f>
        <v>62146</v>
      </c>
      <c r="V71" s="113">
        <f>'Historical Financials'!V65</f>
        <v>66062</v>
      </c>
      <c r="W71" s="113">
        <f>'Historical Financials'!W65</f>
        <v>66156</v>
      </c>
      <c r="X71" s="113">
        <f>'Historical Financials'!X65</f>
        <v>58670</v>
      </c>
      <c r="Y71" s="113">
        <f>'Historical Financials'!Y65</f>
        <v>56950</v>
      </c>
      <c r="Z71" s="113">
        <f>'Historical Financials'!Z65</f>
        <v>66758</v>
      </c>
      <c r="AA71" s="113">
        <f>'Historical Financials'!AA65</f>
        <v>66796</v>
      </c>
      <c r="AB71" s="113">
        <f>'Historical Financials'!AB65</f>
        <v>65830</v>
      </c>
      <c r="AC71" s="113">
        <f>'Historical Financials'!AC65</f>
        <v>73733</v>
      </c>
      <c r="AD71" s="113">
        <f>'Historical Financials'!AD65</f>
        <v>88190</v>
      </c>
      <c r="AF71" s="11">
        <f>Q71</f>
        <v>50672</v>
      </c>
      <c r="AG71" s="11">
        <f>R71</f>
        <v>48689</v>
      </c>
      <c r="AH71" s="11">
        <f>S71</f>
        <v>54120</v>
      </c>
      <c r="AI71" s="11">
        <f>T71</f>
        <v>52236</v>
      </c>
      <c r="AJ71" s="11">
        <f>U71</f>
        <v>62146</v>
      </c>
      <c r="AK71" s="11">
        <f>V71</f>
        <v>66062</v>
      </c>
      <c r="AL71" s="11">
        <f>W71</f>
        <v>66156</v>
      </c>
      <c r="AM71" s="11">
        <f>X71</f>
        <v>58670</v>
      </c>
      <c r="AN71" s="11">
        <f>Y71</f>
        <v>56950</v>
      </c>
      <c r="AO71" s="11">
        <f>Z71</f>
        <v>66758</v>
      </c>
      <c r="AP71" s="11">
        <f>AA71</f>
        <v>66796</v>
      </c>
      <c r="AQ71" s="11">
        <f>AB71</f>
        <v>65830</v>
      </c>
      <c r="AR71" s="11">
        <f>AC71</f>
        <v>73733</v>
      </c>
      <c r="AS71" s="11">
        <f>AD71</f>
        <v>88190</v>
      </c>
    </row>
    <row r="72" spans="1:45" ht="12.75" customHeight="1">
      <c r="B72" s="14" t="s">
        <v>62</v>
      </c>
      <c r="C72" s="15">
        <f t="shared" ref="C72:F72" si="179">SUM(C69:C71)</f>
        <v>215281</v>
      </c>
      <c r="D72" s="15">
        <f t="shared" si="179"/>
        <v>249727</v>
      </c>
      <c r="E72" s="15">
        <f t="shared" si="179"/>
        <v>221630</v>
      </c>
      <c r="F72" s="15">
        <f t="shared" si="179"/>
        <v>198535</v>
      </c>
      <c r="G72" s="15">
        <f>SUM(G69:G71)</f>
        <v>177775</v>
      </c>
      <c r="H72" s="15">
        <f>SUM(H69:H71)</f>
        <v>187809</v>
      </c>
      <c r="I72" s="15">
        <f t="shared" ref="I72:K72" si="180">SUM(I69:I71)</f>
        <v>170741</v>
      </c>
      <c r="J72" s="15">
        <f t="shared" si="180"/>
        <v>173234</v>
      </c>
      <c r="K72" s="15">
        <f t="shared" si="180"/>
        <v>163579</v>
      </c>
      <c r="L72" s="15">
        <f t="shared" ref="L72" si="181">SUM(L69:L71)</f>
        <v>172390</v>
      </c>
      <c r="N72" s="15">
        <f t="shared" ref="N72:W72" si="182">SUM(N69:N71)</f>
        <v>186692</v>
      </c>
      <c r="O72" s="15">
        <f t="shared" si="182"/>
        <v>179342</v>
      </c>
      <c r="P72" s="15">
        <f t="shared" si="182"/>
        <v>169760</v>
      </c>
      <c r="Q72" s="15">
        <f t="shared" si="182"/>
        <v>170741</v>
      </c>
      <c r="R72" s="15">
        <f t="shared" si="182"/>
        <v>159799</v>
      </c>
      <c r="S72" s="15">
        <f t="shared" si="182"/>
        <v>163735</v>
      </c>
      <c r="T72" s="15">
        <f t="shared" si="182"/>
        <v>161516</v>
      </c>
      <c r="U72" s="15">
        <f t="shared" si="182"/>
        <v>173234</v>
      </c>
      <c r="V72" s="15">
        <f t="shared" si="182"/>
        <v>174102</v>
      </c>
      <c r="W72" s="15">
        <f t="shared" si="182"/>
        <v>170746</v>
      </c>
      <c r="X72" s="15">
        <f>SUM(X69:X71)</f>
        <v>159974</v>
      </c>
      <c r="Y72" s="15">
        <f>SUM(Y69:Y71)</f>
        <v>163579</v>
      </c>
      <c r="Z72" s="15">
        <f t="shared" ref="Z72:AA72" si="183">SUM(Z69:Z71)</f>
        <v>163557</v>
      </c>
      <c r="AA72" s="15">
        <f t="shared" si="183"/>
        <v>164982</v>
      </c>
      <c r="AB72" s="15">
        <f t="shared" ref="AB72" si="184">SUM(AB69:AB71)</f>
        <v>167528</v>
      </c>
      <c r="AC72" s="15">
        <f t="shared" ref="AC72:AD72" si="185">SUM(AC69:AC71)</f>
        <v>172390</v>
      </c>
      <c r="AD72" s="15">
        <f t="shared" si="185"/>
        <v>178699</v>
      </c>
      <c r="AF72" s="15">
        <f t="shared" ref="AF72:AM72" si="186">SUM(AF69:AF71)</f>
        <v>159613</v>
      </c>
      <c r="AG72" s="15">
        <f t="shared" si="186"/>
        <v>150059</v>
      </c>
      <c r="AH72" s="15">
        <f t="shared" si="186"/>
        <v>153157</v>
      </c>
      <c r="AI72" s="15">
        <f t="shared" si="186"/>
        <v>154300</v>
      </c>
      <c r="AJ72" s="15">
        <f t="shared" si="186"/>
        <v>163412</v>
      </c>
      <c r="AK72" s="15">
        <f t="shared" si="186"/>
        <v>163148</v>
      </c>
      <c r="AL72" s="15">
        <f t="shared" si="186"/>
        <v>159984</v>
      </c>
      <c r="AM72" s="15">
        <f t="shared" si="186"/>
        <v>159974</v>
      </c>
      <c r="AN72" s="15">
        <f>SUM(AN69:AN71)</f>
        <v>163579</v>
      </c>
      <c r="AO72" s="15">
        <f t="shared" ref="AO72:AP72" si="187">SUM(AO69:AO71)</f>
        <v>163557</v>
      </c>
      <c r="AP72" s="15">
        <f t="shared" si="187"/>
        <v>164982</v>
      </c>
      <c r="AQ72" s="15">
        <f t="shared" ref="AQ72:AR72" si="188">SUM(AQ69:AQ71)</f>
        <v>167528</v>
      </c>
      <c r="AR72" s="15">
        <f t="shared" si="188"/>
        <v>172390</v>
      </c>
      <c r="AS72" s="15">
        <f t="shared" ref="AS72" si="189">SUM(AS69:AS71)</f>
        <v>178699</v>
      </c>
    </row>
    <row r="73" spans="1:45" ht="5.0999999999999996" customHeight="1"/>
    <row r="74" spans="1:45" ht="12.75" customHeight="1">
      <c r="A74" s="5"/>
      <c r="B74" s="35" t="s">
        <v>101</v>
      </c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</row>
    <row r="75" spans="1:45" ht="5.0999999999999996" customHeight="1"/>
    <row r="76" spans="1:45" ht="12.75" customHeight="1">
      <c r="B76" s="8" t="s">
        <v>63</v>
      </c>
      <c r="C76" s="97">
        <f t="shared" ref="C76" si="190">C69/C29</f>
        <v>1.1644790537737995</v>
      </c>
      <c r="D76" s="97">
        <f t="shared" ref="D76:F76" si="191">D69/D29</f>
        <v>1.5153063229457304</v>
      </c>
      <c r="E76" s="97">
        <f t="shared" si="191"/>
        <v>1.3137673425827108</v>
      </c>
      <c r="F76" s="97">
        <f t="shared" si="191"/>
        <v>1.3089466351686958</v>
      </c>
      <c r="G76" s="97">
        <f t="shared" ref="G76:L76" si="192">G69/G29</f>
        <v>1.3357727537333823</v>
      </c>
      <c r="H76" s="97">
        <f t="shared" si="192"/>
        <v>0.97331023341839717</v>
      </c>
      <c r="I76" s="97">
        <f t="shared" si="192"/>
        <v>0.86022252631126461</v>
      </c>
      <c r="J76" s="97">
        <f t="shared" si="192"/>
        <v>0.81292031642188611</v>
      </c>
      <c r="K76" s="97">
        <f t="shared" si="192"/>
        <v>0.72859397741016341</v>
      </c>
      <c r="L76" s="97">
        <f t="shared" si="192"/>
        <v>0.62595250331512398</v>
      </c>
      <c r="N76" s="131"/>
      <c r="O76" s="131"/>
      <c r="P76" s="131"/>
      <c r="Q76" s="97">
        <f t="shared" ref="Q76:AD76" si="193">SUM(Q69/SUM(N29:Q29))</f>
        <v>0.86022252631126461</v>
      </c>
      <c r="R76" s="97">
        <f t="shared" si="193"/>
        <v>0.82324437265681727</v>
      </c>
      <c r="S76" s="97">
        <f t="shared" si="193"/>
        <v>0.81863330843913373</v>
      </c>
      <c r="T76" s="97">
        <f t="shared" si="193"/>
        <v>0.81283517922093373</v>
      </c>
      <c r="U76" s="97">
        <f t="shared" si="193"/>
        <v>0.81292031642188611</v>
      </c>
      <c r="V76" s="97">
        <f t="shared" si="193"/>
        <v>0.76605641192903839</v>
      </c>
      <c r="W76" s="97">
        <f t="shared" si="193"/>
        <v>0.74264209891007205</v>
      </c>
      <c r="X76" s="97">
        <f t="shared" si="193"/>
        <v>0.70725236672344938</v>
      </c>
      <c r="Y76" s="97">
        <f t="shared" si="193"/>
        <v>0.72859397741016341</v>
      </c>
      <c r="Z76" s="97">
        <f t="shared" si="193"/>
        <v>0.64822639942676907</v>
      </c>
      <c r="AA76" s="97">
        <f t="shared" si="193"/>
        <v>0.64979947320353137</v>
      </c>
      <c r="AB76" s="97">
        <f t="shared" si="193"/>
        <v>0.65937471634010658</v>
      </c>
      <c r="AC76" s="97">
        <f t="shared" si="193"/>
        <v>0.62595250331512398</v>
      </c>
      <c r="AD76" s="97">
        <f t="shared" si="193"/>
        <v>0.54499527316300667</v>
      </c>
      <c r="AF76" s="97">
        <f t="shared" ref="AF76:AQ76" si="194">AF69/AF29</f>
        <v>0.78049706617757686</v>
      </c>
      <c r="AG76" s="97">
        <f t="shared" si="194"/>
        <v>0.75107804928648692</v>
      </c>
      <c r="AH76" s="97">
        <f t="shared" si="194"/>
        <v>0.73963405526512327</v>
      </c>
      <c r="AI76" s="97">
        <f t="shared" si="194"/>
        <v>0.75916187529287504</v>
      </c>
      <c r="AJ76" s="97">
        <f t="shared" si="194"/>
        <v>0.7410448361909362</v>
      </c>
      <c r="AK76" s="97">
        <f t="shared" si="194"/>
        <v>0.68838719741338972</v>
      </c>
      <c r="AL76" s="97">
        <f t="shared" si="194"/>
        <v>0.66622643519011604</v>
      </c>
      <c r="AM76" s="97">
        <f t="shared" si="194"/>
        <v>0.70725236672344938</v>
      </c>
      <c r="AN76" s="97">
        <f t="shared" si="194"/>
        <v>0.72859397741016341</v>
      </c>
      <c r="AO76" s="97">
        <f t="shared" si="194"/>
        <v>0.64822639942676907</v>
      </c>
      <c r="AP76" s="97">
        <f t="shared" si="194"/>
        <v>0.64979947320353137</v>
      </c>
      <c r="AQ76" s="97">
        <f t="shared" si="194"/>
        <v>0.65937471634010658</v>
      </c>
      <c r="AR76" s="97">
        <f t="shared" ref="AR76:AS76" si="195">AR69/AR29</f>
        <v>0.62595250331512398</v>
      </c>
      <c r="AS76" s="97">
        <f t="shared" si="195"/>
        <v>0.54499527316300667</v>
      </c>
    </row>
    <row r="77" spans="1:45" ht="12.75" customHeight="1">
      <c r="B77" s="8" t="s">
        <v>64</v>
      </c>
      <c r="C77" s="97">
        <f t="shared" ref="C77" si="196">SUM(C69-C49)/C29</f>
        <v>0.89040527703073358</v>
      </c>
      <c r="D77" s="97">
        <f t="shared" ref="D77:F77" si="197">SUM(D69-D49)/D29</f>
        <v>1.2495382559830235</v>
      </c>
      <c r="E77" s="97">
        <f t="shared" si="197"/>
        <v>1.0163987101364456</v>
      </c>
      <c r="F77" s="97">
        <f t="shared" si="197"/>
        <v>0.71722090980677211</v>
      </c>
      <c r="G77" s="97">
        <f t="shared" ref="G77:L77" si="198">SUM(G69-G49)/G29</f>
        <v>0.88413149109571953</v>
      </c>
      <c r="H77" s="97">
        <f t="shared" si="198"/>
        <v>0.70063758886833827</v>
      </c>
      <c r="I77" s="97">
        <f t="shared" si="198"/>
        <v>0.69081308792869989</v>
      </c>
      <c r="J77" s="97">
        <f t="shared" si="198"/>
        <v>0.59364229105837418</v>
      </c>
      <c r="K77" s="97">
        <f t="shared" si="198"/>
        <v>0.52399401430826309</v>
      </c>
      <c r="L77" s="97">
        <f t="shared" si="198"/>
        <v>0.39796080222827085</v>
      </c>
      <c r="N77" s="131"/>
      <c r="O77" s="131"/>
      <c r="P77" s="131"/>
      <c r="Q77" s="97">
        <f t="shared" ref="Q77:AD77" si="199">SUM(Q69-Q49)/SUM(N29:Q29)</f>
        <v>0.69081308792869989</v>
      </c>
      <c r="R77" s="97">
        <f t="shared" si="199"/>
        <v>0.67109494242994527</v>
      </c>
      <c r="S77" s="97">
        <f t="shared" si="199"/>
        <v>0.63426437640029876</v>
      </c>
      <c r="T77" s="97">
        <f t="shared" si="199"/>
        <v>0.60153373548641431</v>
      </c>
      <c r="U77" s="97">
        <f t="shared" si="199"/>
        <v>0.59364229105837418</v>
      </c>
      <c r="V77" s="97">
        <f t="shared" si="199"/>
        <v>0.47704808769516571</v>
      </c>
      <c r="W77" s="97">
        <f t="shared" si="199"/>
        <v>0.51049100010650761</v>
      </c>
      <c r="X77" s="97">
        <f t="shared" si="199"/>
        <v>0.52877070010332594</v>
      </c>
      <c r="Y77" s="97">
        <f t="shared" si="199"/>
        <v>0.52399401430826309</v>
      </c>
      <c r="Z77" s="97">
        <f t="shared" si="199"/>
        <v>0.44532542238948897</v>
      </c>
      <c r="AA77" s="97">
        <f t="shared" si="199"/>
        <v>0.46342205927122077</v>
      </c>
      <c r="AB77" s="97">
        <f t="shared" si="199"/>
        <v>0.42421904379060388</v>
      </c>
      <c r="AC77" s="97">
        <f t="shared" si="199"/>
        <v>0.39796080222827085</v>
      </c>
      <c r="AD77" s="97">
        <f t="shared" si="199"/>
        <v>0.27212129605655344</v>
      </c>
      <c r="AF77" s="97">
        <f t="shared" ref="AF77:AQ77" si="200">SUM(AF69-AF49)/AF29</f>
        <v>0.61108762779501213</v>
      </c>
      <c r="AG77" s="97">
        <f t="shared" si="200"/>
        <v>0.59892861905961503</v>
      </c>
      <c r="AH77" s="97">
        <f t="shared" si="200"/>
        <v>0.55526512322628829</v>
      </c>
      <c r="AI77" s="97">
        <f t="shared" si="200"/>
        <v>0.54786043155835562</v>
      </c>
      <c r="AJ77" s="97">
        <f t="shared" si="200"/>
        <v>0.52176681082742415</v>
      </c>
      <c r="AK77" s="97">
        <f t="shared" si="200"/>
        <v>0.39937887317951698</v>
      </c>
      <c r="AL77" s="97">
        <f t="shared" si="200"/>
        <v>0.43407533638655166</v>
      </c>
      <c r="AM77" s="97">
        <f t="shared" si="200"/>
        <v>0.52877070010332594</v>
      </c>
      <c r="AN77" s="97">
        <f t="shared" si="200"/>
        <v>0.52399401430826309</v>
      </c>
      <c r="AO77" s="97">
        <f t="shared" si="200"/>
        <v>0.44532542238948897</v>
      </c>
      <c r="AP77" s="97">
        <f t="shared" si="200"/>
        <v>0.46342205927122077</v>
      </c>
      <c r="AQ77" s="97">
        <f t="shared" si="200"/>
        <v>0.42421904379060388</v>
      </c>
      <c r="AR77" s="97">
        <f t="shared" ref="AR77:AS77" si="201">SUM(AR69-AR49)/AR29</f>
        <v>0.39796080222827085</v>
      </c>
      <c r="AS77" s="97">
        <f t="shared" si="201"/>
        <v>0.27212129605655344</v>
      </c>
    </row>
    <row r="78" spans="1:45" ht="12.75" customHeight="1">
      <c r="B78" s="8" t="s">
        <v>65</v>
      </c>
      <c r="C78" s="97">
        <f t="shared" ref="C78" si="202">C29/-C33</f>
        <v>7.1561662198391423</v>
      </c>
      <c r="D78" s="97">
        <f t="shared" ref="D78:F78" si="203">D29/-D33</f>
        <v>6.5862306962298334</v>
      </c>
      <c r="E78" s="97">
        <f t="shared" si="203"/>
        <v>8.3652683114140345</v>
      </c>
      <c r="F78" s="97">
        <f t="shared" si="203"/>
        <v>5.4081766363100305</v>
      </c>
      <c r="G78" s="97">
        <f t="shared" ref="G78:L78" si="204">G29/-G33</f>
        <v>8.85938322281865</v>
      </c>
      <c r="H78" s="97">
        <f t="shared" si="204"/>
        <v>5.0478235178254875</v>
      </c>
      <c r="I78" s="97">
        <f t="shared" si="204"/>
        <v>7.1312011444336587</v>
      </c>
      <c r="J78" s="97">
        <f t="shared" si="204"/>
        <v>7.3158627335510467</v>
      </c>
      <c r="K78" s="97">
        <f t="shared" si="204"/>
        <v>5.6068117385640948</v>
      </c>
      <c r="L78" s="97">
        <f t="shared" si="204"/>
        <v>3.6341857086859277</v>
      </c>
      <c r="N78" s="131"/>
      <c r="O78" s="131"/>
      <c r="P78" s="131"/>
      <c r="Q78" s="97" cm="1">
        <f t="array" ref="Q78">SUM(N29:Q29)/SUM(-N33:Q33)</f>
        <v>7.1312011444336587</v>
      </c>
      <c r="R78" s="97" cm="1">
        <f t="array" ref="R78">SUM(O29:R29)/SUM(-O33:R33)</f>
        <v>8.8992483186074107</v>
      </c>
      <c r="S78" s="97" cm="1">
        <f t="array" ref="S78">SUM(P29:S29)/SUM(-P33:S33)</f>
        <v>8.8289595147039428</v>
      </c>
      <c r="T78" s="97" cm="1">
        <f t="array" ref="T78">SUM(Q29:T29)/SUM(-Q33:T33)</f>
        <v>9.3740761400083663</v>
      </c>
      <c r="U78" s="97" cm="1">
        <f t="array" ref="U78">SUM(R29:U29)/SUM(-R33:U33)</f>
        <v>7.3158627335510467</v>
      </c>
      <c r="V78" s="97" cm="1">
        <f t="array" ref="V78">SUM(S29:V29)/SUM(-S33:V33)</f>
        <v>5.6175416235162912</v>
      </c>
      <c r="W78" s="97" cm="1">
        <f t="array" ref="W78">SUM(T29:W29)/SUM(-T33:W33)</f>
        <v>4.9736897866930354</v>
      </c>
      <c r="X78" s="97" cm="1">
        <f t="array" ref="X78">SUM(U29:X29)/SUM(-U33:X33)</f>
        <v>4.6371200103596752</v>
      </c>
      <c r="Y78" s="97" cm="1">
        <f t="array" ref="Y78">SUM(V29:Y29)/SUM(-V33:Y33)</f>
        <v>5.6068117385640948</v>
      </c>
      <c r="Z78" s="97" cm="1">
        <f t="array" ref="Z78">SUM(W29:Z29)/SUM(-W33:Z33)</f>
        <v>3.9823190570163742</v>
      </c>
      <c r="AA78" s="97" cm="1">
        <f t="array" ref="AA78">SUM(X29:AA29)/SUM(-X33:AA33)</f>
        <v>3.4933647755120916</v>
      </c>
      <c r="AB78" s="97" cm="1">
        <f t="array" ref="AB78">SUM(Y29:AB29)/SUM(-Y33:AB33)</f>
        <v>3.4891412541851414</v>
      </c>
      <c r="AC78" s="97" cm="1">
        <f t="array" ref="AC78">SUM(Z29:AC29)/SUM(-Z33:AC33)</f>
        <v>3.6341857086859277</v>
      </c>
      <c r="AD78" s="97" cm="1">
        <f t="array" ref="AD78">SUM(AA29:AD29)/SUM(-AA33:AD33)</f>
        <v>5.8991545893719808</v>
      </c>
      <c r="AF78" s="97">
        <f t="shared" ref="AF78:AQ78" si="205">AF29/-AF33</f>
        <v>7.1312011444336587</v>
      </c>
      <c r="AG78" s="97">
        <f t="shared" si="205"/>
        <v>8.8992483186074107</v>
      </c>
      <c r="AH78" s="97">
        <f t="shared" si="205"/>
        <v>8.8289595147039428</v>
      </c>
      <c r="AI78" s="97">
        <f t="shared" si="205"/>
        <v>9.3740761400083663</v>
      </c>
      <c r="AJ78" s="97">
        <f t="shared" si="205"/>
        <v>7.3158627335510467</v>
      </c>
      <c r="AK78" s="97">
        <f t="shared" si="205"/>
        <v>5.6175416235162912</v>
      </c>
      <c r="AL78" s="97">
        <f t="shared" si="205"/>
        <v>4.9736897866930354</v>
      </c>
      <c r="AM78" s="97">
        <f t="shared" si="205"/>
        <v>4.6371200103596752</v>
      </c>
      <c r="AN78" s="97">
        <f t="shared" si="205"/>
        <v>5.6068117385640948</v>
      </c>
      <c r="AO78" s="97">
        <f t="shared" si="205"/>
        <v>3.9823190570163742</v>
      </c>
      <c r="AP78" s="97">
        <f t="shared" si="205"/>
        <v>3.4933647755120916</v>
      </c>
      <c r="AQ78" s="97">
        <f t="shared" si="205"/>
        <v>3.4891412541851414</v>
      </c>
      <c r="AR78" s="97">
        <f t="shared" ref="AR78:AS78" si="206">AR29/-AR33</f>
        <v>3.6341857086859277</v>
      </c>
      <c r="AS78" s="97">
        <f t="shared" si="206"/>
        <v>5.8991545893719808</v>
      </c>
    </row>
    <row r="79" spans="1:45" ht="12.75" customHeight="1">
      <c r="B79" s="8" t="s">
        <v>66</v>
      </c>
      <c r="C79" s="97" cm="1">
        <f t="array" ref="C79">SUM(C29+C32)/SUM(-C33:C34)</f>
        <v>5.2725340136054424</v>
      </c>
      <c r="D79" s="97" cm="1">
        <f t="array" ref="D79">SUM(D29+D32)/SUM(-D33:D34)</f>
        <v>4.6692976686399179</v>
      </c>
      <c r="E79" s="97" cm="1">
        <f t="array" ref="E79">SUM(E29+E32)/SUM(-E33:E34)</f>
        <v>5.4935635091896717</v>
      </c>
      <c r="F79" s="97" cm="1">
        <f t="array" ref="F79">SUM(F29+F32)/SUM(-F33:F34)</f>
        <v>3.8558278925398692</v>
      </c>
      <c r="G79" s="97" cm="1">
        <f t="array" ref="G79">SUM(G29+G32)/SUM(-G33:G34)</f>
        <v>6.1476445653043266</v>
      </c>
      <c r="H79" s="97" cm="1">
        <f t="array" ref="H79">SUM(H29+H32)/SUM(-H33:H34)</f>
        <v>4.1697777144485606</v>
      </c>
      <c r="I79" s="97" cm="1">
        <f t="array" ref="I79">SUM(I29+I32)/SUM(-I33:I34)</f>
        <v>5.743426330332472</v>
      </c>
      <c r="J79" s="97" cm="1">
        <f t="array" ref="J79">SUM(J29+J32)/SUM(-J33:J34)</f>
        <v>5.5908726981585266</v>
      </c>
      <c r="K79" s="97" cm="1">
        <f t="array" ref="K79">SUM(K29+K32)/SUM(-K33:K34)</f>
        <v>5.2448854493908517</v>
      </c>
      <c r="L79" s="97" cm="1">
        <f t="array" ref="L79">SUM(L29+L32)/SUM(-L33:L34)</f>
        <v>3.3410039429085292</v>
      </c>
      <c r="N79" s="131"/>
      <c r="O79" s="131"/>
      <c r="P79" s="131"/>
      <c r="Q79" s="97" cm="1">
        <f t="array" ref="Q79">SUM(N29:Q29+N32:Q32)/SUM(-N33:Q34)</f>
        <v>5.743426330332472</v>
      </c>
      <c r="R79" s="97" cm="1">
        <f t="array" ref="R79">SUM(O29:R29+O32:R32)/SUM(-O33:R34)</f>
        <v>6.7721804098225569</v>
      </c>
      <c r="S79" s="97" cm="1">
        <f t="array" ref="S79">SUM(P29:S29+P32:S32)/SUM(-P33:S34)</f>
        <v>6.5848199805384366</v>
      </c>
      <c r="T79" s="97" cm="1">
        <f t="array" ref="T79">SUM(Q29:T29+Q32:T32)/SUM(-Q33:T34)</f>
        <v>6.8406104992452619</v>
      </c>
      <c r="U79" s="97" cm="1">
        <f t="array" ref="U79">SUM(R29:U29+R32:U32)/SUM(-R33:U34)</f>
        <v>5.5908726981585266</v>
      </c>
      <c r="V79" s="97" cm="1">
        <f t="array" ref="V79">SUM(S29:V29+S32:V32)/SUM(-S33:V34)</f>
        <v>4.6610650216266043</v>
      </c>
      <c r="W79" s="97" cm="1">
        <f t="array" ref="W79">SUM(T29:W29+T32:W32)/SUM(-T33:W34)</f>
        <v>4.3705283343251997</v>
      </c>
      <c r="X79" s="97" cm="1">
        <f t="array" ref="X79">SUM(U29:X29+U32:X32)/SUM(-U33:X34)</f>
        <v>4.190829231823562</v>
      </c>
      <c r="Y79" s="97" cm="1">
        <f t="array" ref="Y79">SUM(V29:Y29+V32:Y32)/SUM(-V33:Y34)</f>
        <v>5.2448854493908517</v>
      </c>
      <c r="Z79" s="97" cm="1">
        <f t="array" ref="Z79">SUM(W29:Z29+W32:Z32)/SUM(-W33:Z34)</f>
        <v>3.7157715078137499</v>
      </c>
      <c r="AA79" s="97" cm="1">
        <f t="array" ref="AA79">SUM(X29:AA29+X32:AA32)/SUM(-X33:AA34)</f>
        <v>3.2374346881213296</v>
      </c>
      <c r="AB79" s="97" cm="1">
        <f t="array" ref="AB79">SUM(Y29:AB29+Y32:AB32)/SUM(-Y33:AB34)</f>
        <v>3.209053479323138</v>
      </c>
      <c r="AC79" s="97" cm="1">
        <f t="array" ref="AC79">SUM(Z29:AC29+Z32:AC32)/SUM(-Z33:AC34)</f>
        <v>3.3410039429085292</v>
      </c>
      <c r="AD79" s="97" cm="1">
        <f t="array" ref="AD79">SUM(AA29:AD29+AA32:AD32)/SUM(-AA33:AD34)</f>
        <v>5.4676399545325376</v>
      </c>
      <c r="AF79" s="97" cm="1">
        <f t="array" ref="AF79">SUM(AF29+AF32)/SUM(-AF33:AF34)</f>
        <v>5.743426330332472</v>
      </c>
      <c r="AG79" s="97" cm="1">
        <f t="array" ref="AG79">SUM(AG29+AG32)/SUM(-AG33:AG34)</f>
        <v>6.7721804098225569</v>
      </c>
      <c r="AH79" s="97" cm="1">
        <f t="array" ref="AH79">SUM(AH29+AH32)/SUM(-AH33:AH34)</f>
        <v>6.5848199805384366</v>
      </c>
      <c r="AI79" s="97" cm="1">
        <f t="array" ref="AI79">SUM(AI29+AI32)/SUM(-AI33:AI34)</f>
        <v>6.8406104992452619</v>
      </c>
      <c r="AJ79" s="97" cm="1">
        <f t="array" ref="AJ79">SUM(AJ29+AJ32)/SUM(-AJ33:AJ34)</f>
        <v>5.5908726981585266</v>
      </c>
      <c r="AK79" s="97" cm="1">
        <f t="array" ref="AK79">SUM(AK29+AK32)/SUM(-AK33:AK34)</f>
        <v>4.6610650216266043</v>
      </c>
      <c r="AL79" s="97" cm="1">
        <f t="array" ref="AL79">SUM(AL29+AL32)/SUM(-AL33:AL34)</f>
        <v>4.3705283343251997</v>
      </c>
      <c r="AM79" s="97" cm="1">
        <f t="array" ref="AM79">SUM(AM29+AM32)/SUM(-AM33:AM34)</f>
        <v>4.190829231823562</v>
      </c>
      <c r="AN79" s="97" cm="1">
        <f t="array" ref="AN79">SUM(AN29+AN32)/SUM(-AN33:AN34)</f>
        <v>5.2448854493908517</v>
      </c>
      <c r="AO79" s="97" cm="1">
        <f t="array" ref="AO79">SUM(AO29+AO32)/SUM(-AO33:AO34)</f>
        <v>3.7157715078137499</v>
      </c>
      <c r="AP79" s="97" cm="1">
        <f t="array" ref="AP79">SUM(AP29+AP32)/SUM(-AP33:AP34)</f>
        <v>3.2374346881213296</v>
      </c>
      <c r="AQ79" s="97" cm="1">
        <f t="array" ref="AQ79">SUM(AQ29+AQ32)/SUM(-AQ33:AQ34)</f>
        <v>3.209053479323138</v>
      </c>
      <c r="AR79" s="97" cm="1">
        <f t="array" ref="AR79">SUM(AR29+AR32)/SUM(-AR33:AR34)</f>
        <v>3.3410039429085292</v>
      </c>
      <c r="AS79" s="97" cm="1">
        <f t="array" ref="AS79">SUM(AS29+AS32)/SUM(-AS33:AS34)</f>
        <v>5.4676399545325376</v>
      </c>
    </row>
    <row r="80" spans="1:45" ht="12.75" customHeight="1">
      <c r="B80" s="8" t="s">
        <v>67</v>
      </c>
      <c r="C80" s="97" cm="1">
        <f t="array" ref="C80">SUM(C29)/SUM(-C32:C34)</f>
        <v>3.0513186902915002</v>
      </c>
      <c r="D80" s="97" cm="1">
        <f t="array" ref="D80">SUM(D29)/SUM(-D32:D34)</f>
        <v>2.9211372158873496</v>
      </c>
      <c r="E80" s="97" cm="1">
        <f t="array" ref="E80">SUM(E29)/SUM(-E32:E34)</f>
        <v>3.2573639354066986</v>
      </c>
      <c r="F80" s="97" cm="1">
        <f t="array" ref="F80">SUM(F29)/SUM(-F32:F34)</f>
        <v>2.8287241698365375</v>
      </c>
      <c r="G80" s="97" cm="1">
        <f t="array" ref="G80">SUM(G29)/SUM(-G32:G34)</f>
        <v>4.2485867151221486</v>
      </c>
      <c r="H80" s="97" cm="1">
        <f t="array" ref="H80">SUM(H29)/SUM(-H32:H34)</f>
        <v>3.2724417090175448</v>
      </c>
      <c r="I80" s="97" cm="1">
        <f t="array" ref="I80">SUM(I29)/SUM(-I32:I34)</f>
        <v>4.2110360224461472</v>
      </c>
      <c r="J80" s="97" cm="1">
        <f t="array" ref="J80">SUM(J29)/SUM(-J32:J34)</f>
        <v>4.0863909572082173</v>
      </c>
      <c r="K80" s="97" cm="1">
        <f t="array" ref="K80">SUM(K29)/SUM(-K32:K34)</f>
        <v>4.1168246645475257</v>
      </c>
      <c r="L80" s="97" cm="1">
        <f t="array" ref="L80">SUM(L29)/SUM(-L32:L34)</f>
        <v>2.8102667427430283</v>
      </c>
      <c r="N80" s="131"/>
      <c r="O80" s="131"/>
      <c r="P80" s="131"/>
      <c r="Q80" s="97" cm="1">
        <f t="array" ref="Q80">SUM(N29:Q29)/SUM(-N32:Q34)</f>
        <v>4.2110360224461472</v>
      </c>
      <c r="R80" s="97" cm="1">
        <f t="array" ref="R80">SUM(O29:R29)/SUM(-O32:R34)</f>
        <v>4.514668004683057</v>
      </c>
      <c r="S80" s="97" cm="1">
        <f t="array" ref="S80">SUM(P29:S29)/SUM(-P32:S34)</f>
        <v>4.37696129707113</v>
      </c>
      <c r="T80" s="97" cm="1">
        <f t="array" ref="T80">SUM(Q29:T29)/SUM(-Q32:T34)</f>
        <v>4.48561991191779</v>
      </c>
      <c r="U80" s="97" cm="1">
        <f t="array" ref="U80">SUM(R29:U29)/SUM(-R32:U34)</f>
        <v>4.0863909572082173</v>
      </c>
      <c r="V80" s="97" cm="1">
        <f t="array" ref="V80">SUM(S29:V29)/SUM(-S32:V34)</f>
        <v>3.7340217103521312</v>
      </c>
      <c r="W80" s="97" cm="1">
        <f t="array" ref="W80">SUM(T29:W29)/SUM(-T32:W34)</f>
        <v>3.6213679609154026</v>
      </c>
      <c r="X80" s="97" cm="1">
        <f t="array" ref="X80">SUM(U29:X29)/SUM(-U32:X34)</f>
        <v>3.5103421233212431</v>
      </c>
      <c r="Y80" s="97" cm="1">
        <f t="array" ref="Y80">SUM(V29:Y29)/SUM(-V32:Y34)</f>
        <v>4.1168246645475257</v>
      </c>
      <c r="Z80" s="97" cm="1">
        <f t="array" ref="Z80">SUM(W29:Z29)/SUM(-W32:Z34)</f>
        <v>3.1442317815256984</v>
      </c>
      <c r="AA80" s="97" cm="1">
        <f t="array" ref="AA80">SUM(X29:AA29)/SUM(-X32:AA34)</f>
        <v>2.7814962079375598</v>
      </c>
      <c r="AB80" s="97" cm="1">
        <f t="array" ref="AB80">SUM(Y29:AB29)/SUM(-Y32:AB34)</f>
        <v>2.7257046920561985</v>
      </c>
      <c r="AC80" s="97" cm="1">
        <f t="array" ref="AC80">SUM(Z29:AC29)/SUM(-Z32:AC34)</f>
        <v>2.8102667427430283</v>
      </c>
      <c r="AD80" s="97" cm="1">
        <f t="array" ref="AD80">SUM(AA29:AD29)/SUM(-AA32:AD34)</f>
        <v>4.1209181141439206</v>
      </c>
      <c r="AF80" s="97" cm="1">
        <f t="array" ref="AF80">SUM(AF29)/SUM(-AF32:AF34)</f>
        <v>4.2110360224461472</v>
      </c>
      <c r="AG80" s="97" cm="1">
        <f t="array" ref="AG80">SUM(AG29)/SUM(-AG32:AG34)</f>
        <v>4.514668004683057</v>
      </c>
      <c r="AH80" s="97" cm="1">
        <f t="array" ref="AH80">SUM(AH29)/SUM(-AH32:AH34)</f>
        <v>4.37696129707113</v>
      </c>
      <c r="AI80" s="97" cm="1">
        <f t="array" ref="AI80">SUM(AI29)/SUM(-AI32:AI34)</f>
        <v>4.48561991191779</v>
      </c>
      <c r="AJ80" s="97" cm="1">
        <f t="array" ref="AJ80">SUM(AJ29)/SUM(-AJ32:AJ34)</f>
        <v>4.0863909572082173</v>
      </c>
      <c r="AK80" s="97" cm="1">
        <f t="array" ref="AK80">SUM(AK29)/SUM(-AK32:AK34)</f>
        <v>3.7340217103521312</v>
      </c>
      <c r="AL80" s="97" cm="1">
        <f t="array" ref="AL80">SUM(AL29)/SUM(-AL32:AL34)</f>
        <v>3.6213679609154026</v>
      </c>
      <c r="AM80" s="97" cm="1">
        <f t="array" ref="AM80">SUM(AM29)/SUM(-AM32:AM34)</f>
        <v>3.5103421233212431</v>
      </c>
      <c r="AN80" s="97" cm="1">
        <f t="array" ref="AN80">SUM(AN29)/SUM(-AN32:AN34)</f>
        <v>4.1168246645475257</v>
      </c>
      <c r="AO80" s="97" cm="1">
        <f t="array" ref="AO80">SUM(AO29)/SUM(-AO32:AO34)</f>
        <v>3.1442317815256984</v>
      </c>
      <c r="AP80" s="97" cm="1">
        <f t="array" ref="AP80">SUM(AP29)/SUM(-AP32:AP34)</f>
        <v>2.7814962079375598</v>
      </c>
      <c r="AQ80" s="97" cm="1">
        <f t="array" ref="AQ80">SUM(AQ29)/SUM(-AQ32:AQ34)</f>
        <v>2.7257046920561985</v>
      </c>
      <c r="AR80" s="97" cm="1">
        <f t="array" ref="AR80">SUM(AR29)/SUM(-AR32:AR34)</f>
        <v>2.8102667427430283</v>
      </c>
      <c r="AS80" s="97" cm="1">
        <f t="array" ref="AS80">SUM(AS29)/SUM(-AS32:AS34)</f>
        <v>4.1209181141439206</v>
      </c>
    </row>
    <row r="81" spans="2:45" ht="12.75" customHeight="1">
      <c r="B81" s="8" t="s">
        <v>68</v>
      </c>
      <c r="C81" s="97">
        <f t="shared" ref="C81" si="207">C72/C69</f>
        <v>2.4735844287158746</v>
      </c>
      <c r="D81" s="97">
        <f t="shared" ref="D81:F81" si="208">D72/D69</f>
        <v>2.1587742047026279</v>
      </c>
      <c r="E81" s="97">
        <f t="shared" si="208"/>
        <v>1.9359206170348435</v>
      </c>
      <c r="F81" s="97">
        <f t="shared" si="208"/>
        <v>1.8374873897470545</v>
      </c>
      <c r="G81" s="97">
        <f>G72/G69</f>
        <v>1.5811217047920594</v>
      </c>
      <c r="H81" s="97">
        <f>H72/H69</f>
        <v>1.5058571669112164</v>
      </c>
      <c r="I81" s="97">
        <f t="shared" ref="I81:K81" si="209">I72/I69</f>
        <v>1.4220240028650193</v>
      </c>
      <c r="J81" s="97">
        <f t="shared" si="209"/>
        <v>1.5594303615151952</v>
      </c>
      <c r="K81" s="97">
        <f t="shared" si="209"/>
        <v>1.5340948522446989</v>
      </c>
      <c r="L81" s="97">
        <f t="shared" ref="L81" si="210">L72/L69</f>
        <v>1.7473671406995956</v>
      </c>
      <c r="N81" s="131"/>
      <c r="O81" s="131"/>
      <c r="P81" s="131"/>
      <c r="Q81" s="97">
        <f t="shared" ref="Q81:AA81" si="211">Q72/Q69</f>
        <v>1.4220240028650193</v>
      </c>
      <c r="R81" s="97">
        <f t="shared" si="211"/>
        <v>1.4382053820538205</v>
      </c>
      <c r="S81" s="97">
        <f t="shared" si="211"/>
        <v>1.4937280481685902</v>
      </c>
      <c r="T81" s="97">
        <f t="shared" si="211"/>
        <v>1.4780014641288433</v>
      </c>
      <c r="U81" s="97">
        <f t="shared" si="211"/>
        <v>1.5594303615151952</v>
      </c>
      <c r="V81" s="97">
        <f t="shared" si="211"/>
        <v>1.6114587189929657</v>
      </c>
      <c r="W81" s="97">
        <f t="shared" si="211"/>
        <v>1.6325270102304235</v>
      </c>
      <c r="X81" s="97">
        <f t="shared" si="211"/>
        <v>1.5791479112374636</v>
      </c>
      <c r="Y81" s="97">
        <f t="shared" si="211"/>
        <v>1.5340948522446989</v>
      </c>
      <c r="Z81" s="97">
        <f t="shared" si="211"/>
        <v>1.6896558848748437</v>
      </c>
      <c r="AA81" s="97">
        <f t="shared" si="211"/>
        <v>1.6803006538610392</v>
      </c>
      <c r="AB81" s="97">
        <f t="shared" ref="AB81" si="212">AB72/AB69</f>
        <v>1.6473086983028182</v>
      </c>
      <c r="AC81" s="97">
        <f t="shared" ref="AC81:AD81" si="213">AC72/AC69</f>
        <v>1.7473671406995956</v>
      </c>
      <c r="AD81" s="97">
        <f t="shared" si="213"/>
        <v>1.9743782386282027</v>
      </c>
      <c r="AF81" s="97">
        <f t="shared" ref="AF81:AP81" si="214">AF72/AF69</f>
        <v>1.4651325029144215</v>
      </c>
      <c r="AG81" s="97">
        <f t="shared" si="214"/>
        <v>1.4803097563381671</v>
      </c>
      <c r="AH81" s="97">
        <f t="shared" si="214"/>
        <v>1.5464624332320245</v>
      </c>
      <c r="AI81" s="97">
        <f t="shared" si="214"/>
        <v>1.5117965198306944</v>
      </c>
      <c r="AJ81" s="97">
        <f t="shared" si="214"/>
        <v>1.613690676041317</v>
      </c>
      <c r="AK81" s="97">
        <f t="shared" si="214"/>
        <v>1.6804482623653256</v>
      </c>
      <c r="AL81" s="97">
        <f t="shared" si="214"/>
        <v>1.7050773756234812</v>
      </c>
      <c r="AM81" s="97">
        <f t="shared" si="214"/>
        <v>1.5791479112374636</v>
      </c>
      <c r="AN81" s="97">
        <f t="shared" si="214"/>
        <v>1.5340948522446989</v>
      </c>
      <c r="AO81" s="97">
        <f t="shared" si="214"/>
        <v>1.6896558848748437</v>
      </c>
      <c r="AP81" s="97">
        <f t="shared" si="214"/>
        <v>1.6803006538610392</v>
      </c>
      <c r="AQ81" s="97">
        <f t="shared" ref="AQ81:AR81" si="215">AQ72/AQ69</f>
        <v>1.6473086983028182</v>
      </c>
      <c r="AR81" s="97">
        <f t="shared" si="215"/>
        <v>1.7473671406995956</v>
      </c>
      <c r="AS81" s="97">
        <f t="shared" ref="AS81" si="216">AS72/AS69</f>
        <v>1.9743782386282027</v>
      </c>
    </row>
    <row r="82" spans="2:45" ht="5.0999999999999996" customHeight="1" thickBot="1"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</row>
  </sheetData>
  <mergeCells count="1">
    <mergeCell ref="AU2:AU4"/>
  </mergeCells>
  <pageMargins left="0.7" right="0.7" top="0.75" bottom="0.75" header="0.3" footer="0.3"/>
  <ignoredErrors>
    <ignoredError sqref="M42:M43 M36:AB37 M38:Z41 AT39:AT42 AT35:AT36 M32:M35 AF32:AP42 C38:K43 G36:K37 L40:L41 AT37 AT38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cp:lastPrinted>2026-01-08T18:42:32Z</cp:lastPrinted>
  <dcterms:created xsi:type="dcterms:W3CDTF">2024-08-10T06:01:52Z</dcterms:created>
  <dcterms:modified xsi:type="dcterms:W3CDTF">2026-04-10T18:54:13Z</dcterms:modified>
</cp:coreProperties>
</file>