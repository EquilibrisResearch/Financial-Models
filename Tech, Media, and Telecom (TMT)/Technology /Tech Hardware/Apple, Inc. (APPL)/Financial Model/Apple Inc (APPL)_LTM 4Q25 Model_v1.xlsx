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9BA7AD15-052D-4878-9F31-8DD4F9676602}" xr6:coauthVersionLast="47" xr6:coauthVersionMax="47" xr10:uidLastSave="{00000000-0000-0000-0000-000000000000}"/>
  <bookViews>
    <workbookView xWindow="28680" yWindow="-120" windowWidth="29040" windowHeight="15720" firstSheet="3" activeTab="7" xr2:uid="{BC9106CE-9107-4097-8948-317996376CB5}"/>
  </bookViews>
  <sheets>
    <sheet name="Historical Financials" sheetId="8" r:id="rId1"/>
    <sheet name="Revenue Drivers" sheetId="10" r:id="rId2"/>
    <sheet name="Balance Sheet Drivers" sheetId="24" r:id="rId3"/>
    <sheet name="FCF" sheetId="9" r:id="rId4"/>
    <sheet name="Revenue Projections &amp; Cases" sheetId="28" r:id="rId5"/>
    <sheet name="3 Statement Model" sheetId="25" r:id="rId6"/>
    <sheet name="DCF" sheetId="27" r:id="rId7"/>
    <sheet name="WACC" sheetId="16" r:id="rId8"/>
    <sheet name="Street Price Targets" sheetId="30" r:id="rId9"/>
    <sheet name="Street Consensus" sheetId="22" r:id="rId10"/>
    <sheet name="Peer Comps" sheetId="23" r:id="rId11"/>
  </sheets>
  <externalReferences>
    <externalReference r:id="rId12"/>
    <externalReference r:id="rId13"/>
  </externalReferences>
  <definedNames>
    <definedName name="__FDS_HYPERLINK_TOGGLE_STATE__" hidden="1">"ON"</definedName>
    <definedName name="__FDS_UNIQUE_RANGE_ID_GENERATOR_COUNTER" hidden="1">1191</definedName>
    <definedName name="_meh2" hidden="1">"IMG_11"</definedName>
    <definedName name="_meh3" hidden="1">"IMG_11"</definedName>
    <definedName name="_meh4" hidden="1">"IMG_11"</definedName>
    <definedName name="_meh5" hidden="1">"IMG_11"</definedName>
    <definedName name="_meh6" hidden="1">"IMG_11"</definedName>
    <definedName name="_meh7" hidden="1">"IMG_11"</definedName>
    <definedName name="_Order1" hidden="1">255</definedName>
    <definedName name="_Table1_In1" hidden="1">#REF!</definedName>
    <definedName name="_Table1_Out" hidden="1">#REF!</definedName>
    <definedName name="aa" hidden="1">"IMG_11"</definedName>
    <definedName name="aaaaaa1" hidden="1">"IMG_6"</definedName>
    <definedName name="aaaaaaa2" hidden="1">"IMG_6"</definedName>
    <definedName name="AAB_GSPPG" hidden="1">"AAB_Goldman Sachs PPG Chart Utilities 1.0g"</definedName>
    <definedName name="aasdfas" hidden="1">"IMG_64"</definedName>
    <definedName name="ab" hidden="1">"IMG_11"</definedName>
    <definedName name="ac" hidden="1">"IMG_11"</definedName>
    <definedName name="ACwvu.apl95." hidden="1">#REF!</definedName>
    <definedName name="ACwvu.bs." hidden="1">#REF!</definedName>
    <definedName name="ACwvu.ratios." hidden="1">#REF!</definedName>
    <definedName name="adfaae" hidden="1">"IMG_12"</definedName>
    <definedName name="adsfadfs" hidden="1">{TRUE,TRUE,-1.25,-15.5,604.5,391.5,FALSE,FALSE,TRUE,TRUE,0,1,#N/A,81,#N/A,9.125,26.5294117647059,1,FALSE,FALSE,3,TRUE,1,FALSE,100,"Swvu.supp.","ACwvu.supp.",1,FALSE,FALSE,0.75,0.75,0.8,0.5,1,"&amp;C&amp;""Arial""&amp;14&amp;B&amp;I&amp;UMOLEX&amp;""MS Sans Serif""&amp;10&amp;B&amp;I&amp;U
&amp;""Arial""&amp;11&amp;BSupplemental Data
($ Millions)","",TRUE,FALSE,FALSE,FALSE,1,90,#N/A,#N/A,"=R94C1:R136C21","=C1",#N/A,#N/A,FALSE,FALSE}</definedName>
    <definedName name="afead" hidden="1">"IMG_10"</definedName>
    <definedName name="asasdfa" hidden="1">"IMG_6"</definedName>
    <definedName name="asdf" hidden="1">"IMG_6"</definedName>
    <definedName name="asdfasdfasdf" hidden="1">"IMG_11"</definedName>
    <definedName name="bb_QjIyNjhDNTQ3N0FGNEZGRT" hidden="1">#REF!</definedName>
    <definedName name="BLPH1" hidden="1">#REF!</definedName>
    <definedName name="BLPH11" hidden="1">#REF!</definedName>
    <definedName name="BLPH12" hidden="1">#REF!</definedName>
    <definedName name="BLPH3" hidden="1">#REF!</definedName>
    <definedName name="dd" hidden="1">{#N/A,#N/A,TRUE,"Historicals";#N/A,#N/A,TRUE,"Charts";#N/A,#N/A,TRUE,"Forecasts"}</definedName>
    <definedName name="HAS_BEEN_UPDATED" hidden="1">#REF!</definedName>
    <definedName name="Img_ML_1a9i6f1a" hidden="1">"IMG_12"</definedName>
    <definedName name="Img_ML_1c3d1n6n" hidden="1">"IMG_10"</definedName>
    <definedName name="Img_ML_1d3y2k7q" hidden="1">"IMG_12"</definedName>
    <definedName name="Img_ML_1d6r9l7q" hidden="1">"IMG_12"</definedName>
    <definedName name="Img_ML_1d6s8l7q" hidden="1">"IMG_12"</definedName>
    <definedName name="Img_ML_1d9v5u7q" hidden="1">"IMG_12"</definedName>
    <definedName name="Img_ML_1g6t7l4q" hidden="1">"IMG_11"</definedName>
    <definedName name="Img_ML_1g9y2u4q" hidden="1">"IMG_11"</definedName>
    <definedName name="Img_ML_1j2s8j1q" hidden="1">"IMG_12"</definedName>
    <definedName name="Img_ML_1j5s8m1q" hidden="1">"IMG_12"</definedName>
    <definedName name="Img_ML_1j9x3u8q" hidden="1">"IMG_12"</definedName>
    <definedName name="Img_ML_1k4g9u7k" hidden="1">"IMG_10"</definedName>
    <definedName name="Img_ML_1k5y2m3q" hidden="1">"IMG_12"</definedName>
    <definedName name="Img_ML_1s1r9i6q" hidden="1">"IMG_6"</definedName>
    <definedName name="Img_ML_1s5v5m6q" hidden="1">"IMG_12"</definedName>
    <definedName name="Img_ML_1t5s6u1f" hidden="1">"IMG_10"</definedName>
    <definedName name="Img_ML_1u7y2o5q" hidden="1">"IMG_11"</definedName>
    <definedName name="Img_ML_1y7a6c1t" hidden="1">"IMG_10"</definedName>
    <definedName name="Img_ML_2b2b8h8h" hidden="1">"IMG_6"</definedName>
    <definedName name="Img_ML_2e1r5p2m" hidden="1">"IMG_32"</definedName>
    <definedName name="Img_ML_2j3t7k1a" hidden="1">"IMG_12"</definedName>
    <definedName name="Img_ML_2j6z1l8a" hidden="1">"IMG_12"</definedName>
    <definedName name="Img_ML_2k1r9i3a" hidden="1">"IMG_11"</definedName>
    <definedName name="Img_ML_2k2x3j3a" hidden="1">"IMG_12"</definedName>
    <definedName name="Img_ML_2k5r9m3a" hidden="1">"IMG_12"</definedName>
    <definedName name="Img_ML_2k5y2m3a" hidden="1">"IMG_11"</definedName>
    <definedName name="Img_ML_2k6r9l3a" hidden="1">"IMG_12"</definedName>
    <definedName name="Img_ML_2k9r9u3a" hidden="1">"IMG_11"</definedName>
    <definedName name="Img_ML_2u4x3z5a" hidden="1">"IMG_12"</definedName>
    <definedName name="Img_ML_2v6s9i5c" hidden="1">"IMG_10"</definedName>
    <definedName name="Img_ML_2x1b8j5c" hidden="1">"IMG_10"</definedName>
    <definedName name="Img_ML_3b3j3x9k" hidden="1">"IMG_10"</definedName>
    <definedName name="Img_ML_3c6e9c4g" hidden="1">"IMG_10"</definedName>
    <definedName name="Img_ML_3c7g1a7g" hidden="1">"IMG_12"</definedName>
    <definedName name="Img_ML_3c9i9i4d" hidden="1">"IMG_12"</definedName>
    <definedName name="Img_ML_3d6u6l7p" hidden="1">"IMG_11"</definedName>
    <definedName name="Img_ML_3e2q4k7i" hidden="1">"IMG_10"</definedName>
    <definedName name="Img_ML_3g2u6j4p" hidden="1">"IMG_12"</definedName>
    <definedName name="Img_ML_3g5w4m4p" hidden="1">"IMG_12"</definedName>
    <definedName name="Img_ML_3g6s8l4p" hidden="1">"IMG_12"</definedName>
    <definedName name="Img_ML_3g6x3l4p" hidden="1">"IMG_12"</definedName>
    <definedName name="Img_ML_3g6z1l4p" hidden="1">"IMG_12"</definedName>
    <definedName name="Img_ML_3h2n3p4v" hidden="1">"IMG_10"</definedName>
    <definedName name="Img_ML_3j3r9k8p" hidden="1">"IMG_12"</definedName>
    <definedName name="Img_ML_3j9t7u1p" hidden="1">"IMG_12"</definedName>
    <definedName name="Img_ML_3k2z1j3p" hidden="1">"IMG_6"</definedName>
    <definedName name="Img_ML_3k4s8z3p" hidden="1">"IMG_12"</definedName>
    <definedName name="Img_ML_3k7w4o3p" hidden="1">"IMG_11"</definedName>
    <definedName name="Img_ML_3p5d9q5j" hidden="1">"IMG_10"</definedName>
    <definedName name="Img_ML_3s5w4m6p" hidden="1">"IMG_12"</definedName>
    <definedName name="Img_ML_3u7w4o5p" hidden="1">"IMG_12"</definedName>
    <definedName name="Img_ML_3y1j4m2m" hidden="1">"IMG_10"</definedName>
    <definedName name="Img_ML_4d2b6f6f" hidden="1">"IMG_6"</definedName>
    <definedName name="Img_ML_4d2v5j7l" hidden="1">"IMG_11"</definedName>
    <definedName name="Img_ML_4d2z1j7l" hidden="1">"IMG_12"</definedName>
    <definedName name="Img_ML_4d5v5m7l" hidden="1">"IMG_12"</definedName>
    <definedName name="Img_ML_4d9z1u7l" hidden="1">"IMG_12"</definedName>
    <definedName name="Img_ML_4g2z1j4l" hidden="1">"IMG_12"</definedName>
    <definedName name="Img_ML_4g8z1t4l" hidden="1">"IMG_6"</definedName>
    <definedName name="Img_ML_4j9w4u8l" hidden="1">"IMG_12"</definedName>
    <definedName name="Img_ML_4k4v5z9l" hidden="1">"IMG_12"</definedName>
    <definedName name="Img_ML_4k8t7t3l" hidden="1">"IMG_12"</definedName>
    <definedName name="Img_ML_4m3p5r8j" hidden="1">"IMG_10"</definedName>
    <definedName name="Img_ML_4s4v5z2l" hidden="1">"IMG_12"</definedName>
    <definedName name="Img_ML_4s7w4o2l" hidden="1">"IMG_12"</definedName>
    <definedName name="Img_ML_4s8v5t6l" hidden="1">"IMG_12"</definedName>
    <definedName name="Img_ML_4u1z1i5l" hidden="1">"IMG_12"</definedName>
    <definedName name="Img_ML_4u3z1k5l" hidden="1">"IMG_12"</definedName>
    <definedName name="Img_ML_5e1a1a7g" hidden="1">"IMG_11"</definedName>
    <definedName name="Img_ML_5e7g5e5e" hidden="1">"IMG_12"</definedName>
    <definedName name="Img_ML_5e7s6t2u" hidden="1">"IMG_10"</definedName>
    <definedName name="Img_ML_5e9i9i2b" hidden="1">"IMG_12"</definedName>
    <definedName name="Img_ML_5f9d1i5x" hidden="1">"IMG_10"</definedName>
    <definedName name="Img_ML_5g6r9l4m" hidden="1">"IMG_11"</definedName>
    <definedName name="Img_ML_5g9z1u4m" hidden="1">"IMG_11"</definedName>
    <definedName name="Img_ML_5h6q3g8u" hidden="1">"IMG_10"</definedName>
    <definedName name="Img_ML_5j4u6z8m" hidden="1">"IMG_12"</definedName>
    <definedName name="Img_ML_5j9w4u8m" hidden="1">"IMG_12"</definedName>
    <definedName name="Img_ML_5k5u6m3m" hidden="1">"IMG_12"</definedName>
    <definedName name="Img_ML_5k7e4n8n" hidden="1">"IMG_10"</definedName>
    <definedName name="Img_ML_5k8u7s9i" hidden="1">"IMG_10"</definedName>
    <definedName name="Img_ML_5s9x3u6m" hidden="1">"IMG_12"</definedName>
    <definedName name="Img_ML_5u5x3m5m" hidden="1">"IMG_10"</definedName>
    <definedName name="Img_ML_5u7y2o5m" hidden="1">"IMG_12"</definedName>
    <definedName name="Img_ML_6d2x3j7z" hidden="1">"IMG_12"</definedName>
    <definedName name="Img_ML_6d2z1j7z" hidden="1">"IMG_12"</definedName>
    <definedName name="Img_ML_6d5x3m7z" hidden="1">"IMG_18"</definedName>
    <definedName name="Img_ML_6d6x3l7z" hidden="1">"IMG_12"</definedName>
    <definedName name="Img_ML_6d9t7u7z" hidden="1">"IMG_12"</definedName>
    <definedName name="Img_ML_6f2p1m9g" hidden="1">"IMG_10"</definedName>
    <definedName name="Img_ML_6f9i2b5e" hidden="1">"IMG_12"</definedName>
    <definedName name="Img_ML_6j5x3m8z" hidden="1">"IMG_11"</definedName>
    <definedName name="Img_ML_6j9t7u1z" hidden="1">"IMG_12"</definedName>
    <definedName name="Img_ML_6k1t7i9z" hidden="1">"IMG_12"</definedName>
    <definedName name="Img_ML_6k6x3l9z" hidden="1">"IMG_12"</definedName>
    <definedName name="Img_ML_6k7t7o9z" hidden="1">"IMG_12"</definedName>
    <definedName name="Img_ML_6k7u6o9z" hidden="1">"IMG_6"</definedName>
    <definedName name="Img_ML_6k8x3t3z" hidden="1">"IMG_12"</definedName>
    <definedName name="Img_ML_6k9c9p4d" hidden="1">"IMG_10"</definedName>
    <definedName name="Img_ML_6k9x3u3z" hidden="1">"IMG_12"</definedName>
    <definedName name="Img_ML_6k9x3u9z" hidden="1">"IMG_12"</definedName>
    <definedName name="Img_ML_6r9u1n9k" hidden="1">"IMG_10"</definedName>
    <definedName name="Img_ML_6s1w4i2z" hidden="1">"IMG_12"</definedName>
    <definedName name="Img_ML_6s4u6z2z" hidden="1">"IMG_12"</definedName>
    <definedName name="Img_ML_6s4z1z2z" hidden="1">"IMG_12"</definedName>
    <definedName name="Img_ML_6s7y2o2z" hidden="1">"IMG_12"</definedName>
    <definedName name="Img_ML_6s7z1o2z" hidden="1">"IMG_12"</definedName>
    <definedName name="Img_ML_6y9f7y3n" hidden="1">"IMG_10"</definedName>
    <definedName name="Img_ML_7g4k9d6i" hidden="1">"IMG_10"</definedName>
    <definedName name="Img_ML_7g5e5e2b" hidden="1">"IMG_12"</definedName>
    <definedName name="Img_ML_7g5s8m4i" hidden="1">"IMG_12"</definedName>
    <definedName name="Img_ML_7g7w4o4i" hidden="1">"IMG_12"</definedName>
    <definedName name="Img_ML_7j6w4l1i" hidden="1">"IMG_11"</definedName>
    <definedName name="Img_ML_7m5m4k3b" hidden="1">"IMG_10"</definedName>
    <definedName name="Img_ML_7n6h3t1t" hidden="1">"IMG_10"</definedName>
    <definedName name="Img_ML_7s1w4i6i" hidden="1">"IMG_12"</definedName>
    <definedName name="Img_ML_7s4w7c6r" hidden="1">"IMG_32"</definedName>
    <definedName name="Img_ML_7s5z1m2i" hidden="1">"IMG_12"</definedName>
    <definedName name="Img_ML_7u3t7k5i" hidden="1">"IMG_12"</definedName>
    <definedName name="Img_ML_7u6s8l5i" hidden="1">"IMG_12"</definedName>
    <definedName name="Img_ML_7u7s8o5i" hidden="1">"IMG_12"</definedName>
    <definedName name="Img_ML_8b9j5t1p" hidden="1">"IMG_10"</definedName>
    <definedName name="Img_ML_8c2q5i2r" hidden="1">"IMG_10"</definedName>
    <definedName name="Img_ML_8d9v5u7j" hidden="1">"IMG_12"</definedName>
    <definedName name="Img_ML_8g3u6k4j" hidden="1">"IMG_11"</definedName>
    <definedName name="Img_ML_8g5v5m4j" hidden="1">"IMG_12"</definedName>
    <definedName name="Img_ML_8h3m3i1m" hidden="1">"IMG_10"</definedName>
    <definedName name="Img_ML_8h5e9i3c" hidden="1">"IMG_12"</definedName>
    <definedName name="Img_ML_8h7g3c9i" hidden="1">"IMG_12"</definedName>
    <definedName name="Img_ML_8h7g4d4d" hidden="1">"IMG_12"</definedName>
    <definedName name="Img_ML_8j2v5j8j" hidden="1">"IMG_12"</definedName>
    <definedName name="Img_ML_8j3v5k8j" hidden="1">"IMG_11"</definedName>
    <definedName name="Img_ML_8j3w6p4c" hidden="1">"IMG_10"</definedName>
    <definedName name="Img_ML_8j3y2k8j" hidden="1">"IMG_12"</definedName>
    <definedName name="Img_ML_8j6r9l1j" hidden="1">"IMG_12"</definedName>
    <definedName name="Img_ML_8k1v5i9j" hidden="1">"IMG_12"</definedName>
    <definedName name="Img_ML_8k2r9j3j" hidden="1">"IMG_12"</definedName>
    <definedName name="Img_ML_8k4s8z9j" hidden="1">"IMG_12"</definedName>
    <definedName name="Img_ML_8k5v5m9j" hidden="1">"IMG_12"</definedName>
    <definedName name="Img_ML_8k7v5o9j" hidden="1">"IMG_12"</definedName>
    <definedName name="Img_ML_8k8v5t3j" hidden="1">"IMG_12"</definedName>
    <definedName name="Img_ML_8r1k8t4y" hidden="1">"IMG_10"</definedName>
    <definedName name="Img_ML_8s1r9i6j" hidden="1">"IMG_12"</definedName>
    <definedName name="Img_ML_8s1u6i6j" hidden="1">"IMG_11"</definedName>
    <definedName name="Img_ML_8s2s8j6j" hidden="1">"IMG_12"</definedName>
    <definedName name="Img_ML_8s3q3c1i" hidden="1">"IMG_10"</definedName>
    <definedName name="Img_ML_8s8r9t6j" hidden="1">"IMG_12"</definedName>
    <definedName name="Img_ML_8u4r9z5j" hidden="1">"IMG_12"</definedName>
    <definedName name="Img_ML_8u5r9m5j" hidden="1">"IMG_12"</definedName>
    <definedName name="Img_ML_9d8x3t7w" hidden="1">"IMG_12"</definedName>
    <definedName name="Img_ML_9g2x3j4w" hidden="1">"IMG_12"</definedName>
    <definedName name="Img_ML_9g9t7u4w" hidden="1">"IMG_11"</definedName>
    <definedName name="Img_ML_9g9u6u4w" hidden="1">"IMG_12"</definedName>
    <definedName name="Img_ML_9k2z1j3w" hidden="1">"IMG_12"</definedName>
    <definedName name="Img_ML_9k4u6z9w" hidden="1">"IMG_12"</definedName>
    <definedName name="Img_ML_9k9z1u3w" hidden="1">"IMG_18"</definedName>
    <definedName name="Img_ML_9n1s4m5f" hidden="1">"IMG_10"</definedName>
    <definedName name="Img_ML_9s1r9i6w" hidden="1">"IMG_12"</definedName>
    <definedName name="Img_ML_9s8r9t2w" hidden="1">"IMG_5"</definedName>
    <definedName name="Img_ML_9u7t7o5w" hidden="1">"IMG_12"</definedName>
    <definedName name="Img_ML_9u7x3o5w" hidden="1">"IMG_12"</definedName>
    <definedName name="Img_Product_Breakdown" hidden="1">"IMG_4"</definedName>
    <definedName name="Img_Production_Breakdown" hidden="1">"IMG_3"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39437.6303125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jason" hidden="1">{#N/A,#N/A,TRUE,"Historicals";#N/A,#N/A,TRUE,"Charts";#N/A,#N/A,TRUE,"Forecasts"}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M_PlaceofPath" hidden="1">"F:\KBRAU\eric\ericy_vdf.xls"</definedName>
    <definedName name="meh" hidden="1">"IMG_11"</definedName>
    <definedName name="Rwvu.apl95." hidden="1">#REF!,#REF!</definedName>
    <definedName name="Rwvu.aplcagr." hidden="1">#REF!,#REF!</definedName>
    <definedName name="Rwvu.KNTAPL." hidden="1">#REF!,#REF!</definedName>
    <definedName name="sdf" hidden="1">"IMG_12"</definedName>
    <definedName name="sdfaf" hidden="1">"IMG_12"</definedName>
    <definedName name="Segment3" hidden="1">{TRUE,TRUE,-0.8,-17,618,402.6,FALSE,FALSE,TRUE,TRUE,0,1,#N/A,1,#N/A,20.0634920634921,28.65,1,FALSE,FALSE,3,TRUE,1,FALSE,100,"Swvu.KNTAPL.","ACwvu.KNTAPL.",1,FALSE,FALSE,0.24,0.19,0.56,0.76,2,"&amp;C&amp;""MS Sans Serif""&amp;18&amp;B&amp;I&amp;UKENT ELECTRONICS&amp;""Courier""&amp;10&amp;B&amp;I&amp;U
&amp;""MS Sans Serif""&amp;BAnnual Profit and Loss
FY Ends March
($000)","",TRUE,TRUE,FALSE,FALSE,1,#N/A,1,1,"=R1C1:R45C21","=C1:C2,R1:R5","Rwvu.KNTAPL.",#N/A,FALSE,FALSE}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3729</definedName>
    <definedName name="ssf" hidden="1">{"INCOMEquarterly1",#N/A,TRUE,"income";"INCOMEquarterly2",#N/A,TRUE,"income"}</definedName>
    <definedName name="Swvu.apl95." hidden="1">#REF!</definedName>
    <definedName name="Swvu.bs." hidden="1">#REF!</definedName>
    <definedName name="Swvu.ratios." hidden="1">#REF!</definedName>
    <definedName name="Test1" hidden="1">"IMG_11"</definedName>
    <definedName name="Test2" hidden="1">"IMG_11"</definedName>
    <definedName name="Test3" hidden="1">"IMG_11"</definedName>
    <definedName name="Test4" hidden="1">"IMG_11"</definedName>
    <definedName name="tmp_103" hidden="1">#REF!</definedName>
    <definedName name="tmp_1118" hidden="1">#REF!</definedName>
    <definedName name="tmp_414" hidden="1">#REF!</definedName>
    <definedName name="tmpLoadSedol" hidden="1">#REF!</definedName>
    <definedName name="ver1.0" hidden="1">#REF!</definedName>
    <definedName name="ver1.1" hidden="1">#REF!</definedName>
    <definedName name="wrn.allpages." hidden="1">{#N/A,#N/A,TRUE,"Historicals";#N/A,#N/A,TRUE,"Charts";#N/A,#N/A,TRUE,"Forecasts"}</definedName>
    <definedName name="wrn.entireINCOME." hidden="1">{"INCOMEannual2",#N/A,FALSE,"income";"INCOMEannual1",#N/A,FALSE,"income";"INCOMEquarterly1",#N/A,FALSE,"income";"INCOMEquarterly2",#N/A,FALSE,"income";"INCOMEcalendarized1",#N/A,FALSE,"income"}</definedName>
    <definedName name="wrn.INCOME." hidden="1">{"INCOMEquarterly1",#N/A,TRUE,"income";"INCOMEquarterly2",#N/A,TRUE,"income"}</definedName>
    <definedName name="wrn.OUTPUT." hidden="1">{"DCF","UPSIDE CASE",FALSE,"Sheet1";"DCF","BASE CASE",FALSE,"Sheet1";"DCF","DOWNSIDE CASE",FALSE,"Sheet1"}</definedName>
    <definedName name="wrn.Revenue._.Details." hidden="1">{"Revenue by Industry Chart",#N/A,FALSE,"Mix";"Annual Revenue Detail",#N/A,FALSE,"Mix";"Quarterly Revenue Detail",#N/A,FALSE,"Mix"}</definedName>
    <definedName name="wvu.apl95." hidden="1">{TRUE,TRUE,-0.8,-17,618,402.6,FALSE,FALSE,TRUE,TRUE,0,1,#N/A,1,#N/A,15.6538461538462,27.8636363636364,1,FALSE,FALSE,3,TRUE,1,FALSE,100,"Swvu.apl95.","ACwvu.apl95.",1,FALSE,FALSE,0.39,0.26,0.51,0.78,2,"&amp;C&amp;""Arial""&amp;16&amp;B&amp;I&amp;UMolex Inc.&amp;12&amp;B&amp;I&amp;U
&amp;B(FY June)","&amp;L&amp;""Arial""&amp;IFiscal Year ends June.
All figures have been adjusted for stock splits.",TRUE,TRUE,FALSE,FALSE,1,70,#N/A,#N/A,"=R1C1:R59C48","=C1","Rwvu.apl95.",#N/A,FALSE,FALSE}</definedName>
    <definedName name="wvu.aplcagr." hidden="1">{TRUE,TRUE,-0.8,-17,618,402.6,FALSE,FALSE,TRUE,TRUE,0,1,#N/A,1,#N/A,20.0634920634921,28.65,1,FALSE,FALSE,3,TRUE,1,FALSE,100,"Swvu.aplcagr.","ACwvu.aplcagr.",1,FALSE,FALSE,0.24,0.19,0.56,0.76,2,"&amp;C&amp;""MS Sans Serif""&amp;18&amp;B&amp;I&amp;UKENT ELECTRONICS&amp;""Courier""&amp;10&amp;B&amp;I&amp;U
&amp;""MS Sans Serif""&amp;BAnnual Profit and Loss
FY Ends March
($000)","",TRUE,TRUE,FALSE,FALSE,1,#N/A,1,1,"=R1C1:R45C22","=C1:C2,R1:R5","Rwvu.aplcagr.",#N/A,FALSE,FALSE}</definedName>
    <definedName name="wvu.bs." hidden="1">{TRUE,TRUE,-0.8,-17,618,402.6,FALSE,FALSE,TRUE,TRUE,0,1,#N/A,1,#N/A,9.3125,27.6190476190476,1,FALSE,FALSE,3,TRUE,1,FALSE,100,"Swvu.bs.","ACwvu.bs.",1,FALSE,FALSE,0.75,0.75,0.44,0.5,2,"&amp;C&amp;""Arial""&amp;14&amp;B&amp;I&amp;UMOLEX&amp;""MS Sans Serif""&amp;10&amp;B&amp;I&amp;U
&amp;""Arial""&amp;11&amp;BBalance Sheet
($ Millions)","",TRUE,FALSE,FALSE,FALSE,1,85,#N/A,#N/A,"=R1C1:R45C21","=C1",#N/A,#N/A,FALSE,FALSE}</definedName>
    <definedName name="wvu.geo93_96." hidden="1">{TRUE,TRUE,-0.8,-17,618,402.6,FALSE,FALSE,TRUE,TRUE,0,1,12,1,30,1,8,4,TRUE,TRUE,3,TRUE,1,TRUE,100,"Swvu.geo93_96.","ACwvu.geo93_96.",1,FALSE,FALSE,0.2,0.28,0.35,0.2,2,"&amp;C&amp;""Arial""&amp;16&amp;B&amp;I&amp;UMolex Inc.
&amp;14&amp;I&amp;UGeographic&amp;16&amp;I&amp;U
&amp;10&amp;I&amp;U(FY June)","",TRUE,TRUE,FALSE,FALSE,1,#N/A,1,1,"=R1C1:R42C24","=C1",#N/A,#N/A,FALSE,FALSE}</definedName>
    <definedName name="wvu.KNTAPL." hidden="1">{TRUE,TRUE,-0.8,-17,618,402.6,FALSE,FALSE,TRUE,TRUE,0,1,#N/A,1,#N/A,20.0634920634921,28.65,1,FALSE,FALSE,3,TRUE,1,FALSE,100,"Swvu.KNTAPL.","ACwvu.KNTAPL.",1,FALSE,FALSE,0.24,0.19,0.56,0.76,2,"&amp;C&amp;""MS Sans Serif""&amp;18&amp;B&amp;I&amp;UKENT ELECTRONICS&amp;""Courier""&amp;10&amp;B&amp;I&amp;U
&amp;""MS Sans Serif""&amp;BAnnual Profit and Loss
FY Ends March
($000)","",TRUE,TRUE,FALSE,FALSE,1,#N/A,1,1,"=R1C1:R45C21","=C1:C2,R1:R5","Rwvu.KNTAPL.",#N/A,FALSE,FALSE}</definedName>
    <definedName name="wvu.KNTQPL." hidden="1">{TRUE,TRUE,-0.8,-17,618,402.6,FALSE,FALSE,TRUE,TRUE,0,1,3,1,60,1,5,4,TRUE,TRUE,3,TRUE,1,TRUE,100,"Swvu.KNTQPL.","ACwvu.KNTQPL.",1,FALSE,FALSE,0.55,0.61,0.51,0.72,2,"&amp;C&amp;18&amp;B&amp;I&amp;UKENT ELECTRONICS&amp;10&amp;B&amp;I&amp;U
&amp;BQuarterly Profit and Loss
FY Ends March
($000)","&amp;CFigures may not add due to rounding",TRUE,FALSE,FALSE,FALSE,1,77,#N/A,#N/A,"=R1C1:R99C23","=R1:R9","Rwvu.KNTQPL.","Cwvu.KNTQPL.",FALSE,FALSE}</definedName>
    <definedName name="wvu.percent." hidden="1">{TRUE,TRUE,-0.8,-17,618,402.6,FALSE,FALSE,TRUE,TRUE,0,1,#N/A,33,#N/A,9.3125,27.8571428571429,1,FALSE,FALSE,3,TRUE,1,FALSE,100,"Swvu.percent.","ACwvu.percent.",1,FALSE,FALSE,0.75,0.75,0.49,0.5,2,"&amp;C&amp;""Arial""&amp;14&amp;B&amp;I&amp;UMOLEX&amp;""MS Sans Serif""&amp;10&amp;B&amp;I&amp;U
&amp;""Arial""&amp;11&amp;BCommon Size Statement
(as % of total assets)","",TRUE,FALSE,FALSE,FALSE,1,85,#N/A,#N/A,"=R47C1:R92C21","=C1",#N/A,#N/A,FALSE,FALSE}</definedName>
    <definedName name="wvu.ratios." hidden="1">{TRUE,TRUE,-0.8,-17,618,402.6,FALSE,FALSE,TRUE,TRUE,0,1,#N/A,154,#N/A,9.3125,27.4285714285714,1,FALSE,FALSE,3,TRUE,1,FALSE,100,"Swvu.ratios.","ACwvu.ratios.",1,FALSE,FALSE,0.75,0.75,0.8,0.5,2,"&amp;C&amp;""Arial""&amp;14&amp;B&amp;I&amp;UMOLEX&amp;""MS Sans Serif""&amp;10&amp;B&amp;I&amp;U
&amp;""Arial""&amp;11&amp;BBalance Sheet Ratios
($ Millions)","",TRUE,FALSE,FALSE,FALSE,1,85,#N/A,#N/A,"=R135C1:R176C21","=C1",#N/A,#N/A,FALSE,FALSE}</definedName>
    <definedName name="wvu.supp." hidden="1">{TRUE,TRUE,-1.25,-15.5,604.5,391.5,FALSE,FALSE,TRUE,TRUE,0,1,#N/A,81,#N/A,9.125,26.5294117647059,1,FALSE,FALSE,3,TRUE,1,FALSE,100,"Swvu.supp.","ACwvu.supp.",1,FALSE,FALSE,0.75,0.75,0.8,0.5,1,"&amp;C&amp;""Arial""&amp;14&amp;B&amp;I&amp;UMOLEX&amp;""MS Sans Serif""&amp;10&amp;B&amp;I&amp;U
&amp;""Arial""&amp;11&amp;BSupplemental Data
($ Millions)","",TRUE,FALSE,FALSE,FALSE,1,90,#N/A,#N/A,"=R94C1:R136C21","=C1",#N/A,#N/A,FALSE,FALSE}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30" l="1"/>
  <c r="U35" i="30"/>
  <c r="T35" i="30"/>
  <c r="V34" i="30"/>
  <c r="U34" i="30"/>
  <c r="T34" i="30"/>
  <c r="V33" i="30"/>
  <c r="U33" i="30"/>
  <c r="T33" i="30"/>
  <c r="V32" i="30"/>
  <c r="U32" i="30"/>
  <c r="T32" i="30"/>
  <c r="V31" i="30"/>
  <c r="U31" i="30"/>
  <c r="T31" i="30"/>
  <c r="V30" i="30"/>
  <c r="U30" i="30"/>
  <c r="T30" i="30"/>
  <c r="R35" i="30"/>
  <c r="R34" i="30"/>
  <c r="R33" i="30"/>
  <c r="R32" i="30"/>
  <c r="R31" i="30"/>
  <c r="R30" i="30"/>
  <c r="Q35" i="30"/>
  <c r="Q34" i="30"/>
  <c r="Q33" i="30"/>
  <c r="Q32" i="30"/>
  <c r="Q31" i="30"/>
  <c r="Q30" i="30"/>
  <c r="P35" i="30"/>
  <c r="P34" i="30"/>
  <c r="P33" i="30"/>
  <c r="P32" i="30"/>
  <c r="P31" i="30"/>
  <c r="P30" i="30"/>
  <c r="N35" i="30"/>
  <c r="N34" i="30"/>
  <c r="N33" i="30"/>
  <c r="N32" i="30"/>
  <c r="N31" i="30"/>
  <c r="N30" i="30"/>
  <c r="M35" i="30"/>
  <c r="M34" i="30"/>
  <c r="M33" i="30"/>
  <c r="M32" i="30"/>
  <c r="M31" i="30"/>
  <c r="M30" i="30"/>
  <c r="L35" i="30"/>
  <c r="L34" i="30"/>
  <c r="L33" i="30"/>
  <c r="L32" i="30"/>
  <c r="L31" i="30"/>
  <c r="L30" i="30"/>
  <c r="G30" i="30"/>
  <c r="G35" i="30"/>
  <c r="G34" i="30"/>
  <c r="G33" i="30"/>
  <c r="G32" i="30"/>
  <c r="G31" i="30"/>
  <c r="J26" i="30"/>
  <c r="J25" i="30"/>
  <c r="J24" i="30"/>
  <c r="J23" i="30"/>
  <c r="J21" i="30"/>
  <c r="H28" i="30"/>
  <c r="H27" i="30"/>
  <c r="H25" i="30"/>
  <c r="H24" i="30"/>
  <c r="H23" i="30"/>
  <c r="H22" i="30"/>
  <c r="H21" i="30"/>
  <c r="H20" i="30"/>
  <c r="H19" i="30"/>
  <c r="H18" i="30"/>
  <c r="H26" i="30"/>
  <c r="F26" i="30"/>
  <c r="F25" i="30"/>
  <c r="F24" i="30"/>
  <c r="F23" i="30"/>
  <c r="F21" i="30"/>
  <c r="H31" i="30" l="1"/>
  <c r="H35" i="30"/>
  <c r="H34" i="30"/>
  <c r="H33" i="30"/>
  <c r="H30" i="30"/>
  <c r="H32" i="30"/>
  <c r="C8" i="30"/>
  <c r="F22" i="30" s="1"/>
  <c r="E22" i="30" s="1"/>
  <c r="C10" i="30"/>
  <c r="J22" i="30" s="1"/>
  <c r="I22" i="30" s="1"/>
  <c r="AB28" i="30"/>
  <c r="AB26" i="30"/>
  <c r="AB24" i="30"/>
  <c r="AB20" i="30"/>
  <c r="AB19" i="30"/>
  <c r="AA28" i="30"/>
  <c r="AA26" i="30"/>
  <c r="AA24" i="30"/>
  <c r="AA20" i="30"/>
  <c r="AA19" i="30"/>
  <c r="G477" i="22"/>
  <c r="H477" i="22" s="1"/>
  <c r="F477" i="22"/>
  <c r="G455" i="22"/>
  <c r="H455" i="22" s="1"/>
  <c r="F455" i="22"/>
  <c r="H433" i="22"/>
  <c r="G433" i="22"/>
  <c r="F433" i="22"/>
  <c r="H363" i="22"/>
  <c r="G363" i="22"/>
  <c r="F363" i="22"/>
  <c r="G411" i="22"/>
  <c r="H411" i="22" s="1"/>
  <c r="F411" i="22"/>
  <c r="D395" i="22"/>
  <c r="D397" i="22"/>
  <c r="D399" i="22"/>
  <c r="D401" i="22"/>
  <c r="C401" i="22"/>
  <c r="C399" i="22"/>
  <c r="C397" i="22"/>
  <c r="C395" i="22"/>
  <c r="G335" i="22"/>
  <c r="F335" i="22"/>
  <c r="E335" i="22"/>
  <c r="G19" i="22"/>
  <c r="H19" i="22" s="1"/>
  <c r="F19" i="22"/>
  <c r="E19" i="22"/>
  <c r="D289" i="22"/>
  <c r="D291" i="22"/>
  <c r="D293" i="22"/>
  <c r="D295" i="22"/>
  <c r="C295" i="22"/>
  <c r="C293" i="22"/>
  <c r="C291" i="22"/>
  <c r="C289" i="22"/>
  <c r="E282" i="22"/>
  <c r="F282" i="22" s="1"/>
  <c r="D283" i="22"/>
  <c r="C283" i="22"/>
  <c r="C456" i="22"/>
  <c r="C80" i="22" s="1"/>
  <c r="D456" i="22"/>
  <c r="D80" i="22" s="1"/>
  <c r="D412" i="22"/>
  <c r="D106" i="22" s="1"/>
  <c r="C412" i="22"/>
  <c r="C106" i="22" s="1"/>
  <c r="D368" i="22"/>
  <c r="D54" i="22" s="1"/>
  <c r="C368" i="22"/>
  <c r="C54" i="22" s="1"/>
  <c r="F246" i="22"/>
  <c r="G246" i="22" s="1"/>
  <c r="H246" i="22" s="1"/>
  <c r="F224" i="22"/>
  <c r="G224" i="22" s="1"/>
  <c r="H224" i="22" s="1"/>
  <c r="F202" i="22"/>
  <c r="G202" i="22" s="1"/>
  <c r="H202" i="22" s="1"/>
  <c r="F304" i="22"/>
  <c r="G304" i="22" s="1"/>
  <c r="F172" i="22"/>
  <c r="G172" i="22" s="1"/>
  <c r="E151" i="22"/>
  <c r="E127" i="22"/>
  <c r="E103" i="22"/>
  <c r="E77" i="22"/>
  <c r="E389" i="22"/>
  <c r="E366" i="22"/>
  <c r="D366" i="22"/>
  <c r="D50" i="22" s="1"/>
  <c r="C366" i="22"/>
  <c r="C50" i="22" s="1"/>
  <c r="E153" i="22"/>
  <c r="E129" i="22"/>
  <c r="E105" i="22"/>
  <c r="D105" i="22"/>
  <c r="E79" i="22"/>
  <c r="E53" i="22"/>
  <c r="F183" i="22"/>
  <c r="H100" i="22"/>
  <c r="G100" i="22"/>
  <c r="F100" i="22"/>
  <c r="F101" i="22" s="1"/>
  <c r="E100" i="22"/>
  <c r="E101" i="22" s="1"/>
  <c r="D100" i="22"/>
  <c r="C100" i="22"/>
  <c r="D101" i="22" s="1"/>
  <c r="H74" i="22"/>
  <c r="G74" i="22"/>
  <c r="F74" i="22"/>
  <c r="E74" i="22"/>
  <c r="D74" i="22"/>
  <c r="C74" i="22"/>
  <c r="H48" i="22"/>
  <c r="G48" i="22"/>
  <c r="F48" i="22"/>
  <c r="E48" i="22"/>
  <c r="D48" i="22"/>
  <c r="C48" i="22"/>
  <c r="C415" i="22"/>
  <c r="D353" i="22"/>
  <c r="C353" i="22"/>
  <c r="D351" i="22"/>
  <c r="C351" i="22"/>
  <c r="D349" i="22"/>
  <c r="C349" i="22"/>
  <c r="D347" i="22"/>
  <c r="C347" i="22"/>
  <c r="E341" i="22"/>
  <c r="D341" i="22"/>
  <c r="C341" i="22"/>
  <c r="E23" i="22"/>
  <c r="E337" i="22"/>
  <c r="E21" i="22"/>
  <c r="F35" i="16"/>
  <c r="I35" i="16" s="1"/>
  <c r="F34" i="16"/>
  <c r="I34" i="16" s="1"/>
  <c r="F33" i="16"/>
  <c r="C8" i="16"/>
  <c r="C9" i="16" s="1"/>
  <c r="C23" i="16" s="1"/>
  <c r="D37" i="16"/>
  <c r="C481" i="22"/>
  <c r="C479" i="22"/>
  <c r="C477" i="22"/>
  <c r="C459" i="22"/>
  <c r="C455" i="22"/>
  <c r="C437" i="22"/>
  <c r="C435" i="22"/>
  <c r="C433" i="22"/>
  <c r="C411" i="22"/>
  <c r="C393" i="22"/>
  <c r="C391" i="22"/>
  <c r="C389" i="22"/>
  <c r="C387" i="22"/>
  <c r="C371" i="22"/>
  <c r="C365" i="22"/>
  <c r="C363" i="22"/>
  <c r="C12" i="25"/>
  <c r="J10" i="27" s="1"/>
  <c r="H41" i="28"/>
  <c r="G41" i="28"/>
  <c r="F41" i="28"/>
  <c r="E41" i="28"/>
  <c r="D41" i="28"/>
  <c r="H40" i="28"/>
  <c r="G40" i="28"/>
  <c r="F40" i="28"/>
  <c r="E40" i="28"/>
  <c r="D40" i="28"/>
  <c r="H39" i="28"/>
  <c r="G39" i="28"/>
  <c r="F39" i="28"/>
  <c r="E39" i="28"/>
  <c r="D39" i="28"/>
  <c r="H33" i="28"/>
  <c r="G33" i="28"/>
  <c r="F33" i="28"/>
  <c r="E33" i="28"/>
  <c r="D33" i="28"/>
  <c r="H32" i="28"/>
  <c r="G32" i="28"/>
  <c r="F32" i="28"/>
  <c r="E32" i="28"/>
  <c r="D32" i="28"/>
  <c r="H31" i="28"/>
  <c r="G31" i="28"/>
  <c r="F31" i="28"/>
  <c r="E31" i="28"/>
  <c r="D31" i="28"/>
  <c r="B25" i="28"/>
  <c r="B24" i="28"/>
  <c r="B23" i="28"/>
  <c r="B22" i="28"/>
  <c r="B21" i="28"/>
  <c r="K64" i="28"/>
  <c r="J64" i="28"/>
  <c r="I64" i="28"/>
  <c r="H64" i="28"/>
  <c r="G64" i="28"/>
  <c r="F64" i="28"/>
  <c r="C45" i="28"/>
  <c r="E57" i="28" s="1"/>
  <c r="F18" i="30" l="1"/>
  <c r="E18" i="30" s="1"/>
  <c r="J28" i="30"/>
  <c r="I28" i="30" s="1"/>
  <c r="J20" i="30"/>
  <c r="I20" i="30" s="1"/>
  <c r="J27" i="30"/>
  <c r="I27" i="30" s="1"/>
  <c r="F27" i="30"/>
  <c r="E27" i="30" s="1"/>
  <c r="F28" i="30"/>
  <c r="E28" i="30" s="1"/>
  <c r="J19" i="30"/>
  <c r="I19" i="30" s="1"/>
  <c r="F20" i="30"/>
  <c r="E20" i="30" s="1"/>
  <c r="J18" i="30"/>
  <c r="F19" i="30"/>
  <c r="E19" i="30" s="1"/>
  <c r="G75" i="22"/>
  <c r="D113" i="22"/>
  <c r="C373" i="22"/>
  <c r="G101" i="22"/>
  <c r="F75" i="22"/>
  <c r="H101" i="22"/>
  <c r="E293" i="22"/>
  <c r="C375" i="22"/>
  <c r="D375" i="22"/>
  <c r="C377" i="22"/>
  <c r="C379" i="22"/>
  <c r="D379" i="22"/>
  <c r="E291" i="22"/>
  <c r="D373" i="22"/>
  <c r="E295" i="22"/>
  <c r="D377" i="22"/>
  <c r="E289" i="22"/>
  <c r="G282" i="22"/>
  <c r="E283" i="22"/>
  <c r="H282" i="22"/>
  <c r="E367" i="22"/>
  <c r="D111" i="22"/>
  <c r="D85" i="22"/>
  <c r="J100" i="22"/>
  <c r="C85" i="22"/>
  <c r="C59" i="22"/>
  <c r="D115" i="22"/>
  <c r="D61" i="22"/>
  <c r="C109" i="22"/>
  <c r="E50" i="22"/>
  <c r="D109" i="22"/>
  <c r="C111" i="22"/>
  <c r="C115" i="22"/>
  <c r="C89" i="22"/>
  <c r="J48" i="22"/>
  <c r="C101" i="22"/>
  <c r="C113" i="22"/>
  <c r="J74" i="22"/>
  <c r="C83" i="22"/>
  <c r="D83" i="22"/>
  <c r="E75" i="22"/>
  <c r="D89" i="22"/>
  <c r="C75" i="22"/>
  <c r="C87" i="22"/>
  <c r="D87" i="22"/>
  <c r="H75" i="22"/>
  <c r="D75" i="22"/>
  <c r="F49" i="22"/>
  <c r="H49" i="22"/>
  <c r="C63" i="22"/>
  <c r="C57" i="22"/>
  <c r="D57" i="22"/>
  <c r="D63" i="22"/>
  <c r="C61" i="22"/>
  <c r="D59" i="22"/>
  <c r="E49" i="22"/>
  <c r="G49" i="22"/>
  <c r="F341" i="22"/>
  <c r="G341" i="22" s="1"/>
  <c r="H341" i="22" s="1"/>
  <c r="H37" i="16"/>
  <c r="E53" i="28"/>
  <c r="E54" i="28"/>
  <c r="E55" i="28"/>
  <c r="E56" i="28"/>
  <c r="F35" i="30" l="1"/>
  <c r="I18" i="30"/>
  <c r="J30" i="30"/>
  <c r="J33" i="30"/>
  <c r="J32" i="30"/>
  <c r="J34" i="30"/>
  <c r="J31" i="30"/>
  <c r="J35" i="30"/>
  <c r="F33" i="30"/>
  <c r="F30" i="30"/>
  <c r="F34" i="30"/>
  <c r="F32" i="30"/>
  <c r="F31" i="30"/>
  <c r="E34" i="30"/>
  <c r="E35" i="30"/>
  <c r="E31" i="30"/>
  <c r="E30" i="30"/>
  <c r="E32" i="30"/>
  <c r="E33" i="30"/>
  <c r="J282" i="22"/>
  <c r="F340" i="22"/>
  <c r="G340" i="22" s="1"/>
  <c r="H340" i="22" s="1"/>
  <c r="J340" i="22" s="1"/>
  <c r="I32" i="30" l="1"/>
  <c r="I30" i="30"/>
  <c r="I33" i="30"/>
  <c r="I31" i="30"/>
  <c r="I34" i="30"/>
  <c r="I35" i="30"/>
  <c r="E51" i="28"/>
  <c r="D489" i="22"/>
  <c r="C489" i="22"/>
  <c r="C490" i="22" s="1"/>
  <c r="D487" i="22"/>
  <c r="G68" i="28" s="1"/>
  <c r="C487" i="22"/>
  <c r="D485" i="22"/>
  <c r="C485" i="22"/>
  <c r="C486" i="22" s="1"/>
  <c r="D483" i="22"/>
  <c r="C483" i="22"/>
  <c r="C484" i="22" s="1"/>
  <c r="D445" i="22"/>
  <c r="C445" i="22"/>
  <c r="C446" i="22" s="1"/>
  <c r="D443" i="22"/>
  <c r="C443" i="22"/>
  <c r="C444" i="22" s="1"/>
  <c r="D441" i="22"/>
  <c r="G76" i="28" s="1"/>
  <c r="C441" i="22"/>
  <c r="D439" i="22"/>
  <c r="C439" i="22"/>
  <c r="C440" i="22" s="1"/>
  <c r="D437" i="22"/>
  <c r="C402" i="22"/>
  <c r="G60" i="28"/>
  <c r="C396" i="22"/>
  <c r="C367" i="22"/>
  <c r="D465" i="22"/>
  <c r="G72" i="28" s="1"/>
  <c r="D419" i="22"/>
  <c r="G80" i="28" s="1"/>
  <c r="H481" i="22"/>
  <c r="G481" i="22"/>
  <c r="F481" i="22"/>
  <c r="E481" i="22"/>
  <c r="D481" i="22"/>
  <c r="J480" i="22"/>
  <c r="D479" i="22"/>
  <c r="E479" i="22" s="1"/>
  <c r="F479" i="22" s="1"/>
  <c r="G479" i="22" s="1"/>
  <c r="H479" i="22" s="1"/>
  <c r="E477" i="22"/>
  <c r="D477" i="22"/>
  <c r="H474" i="22"/>
  <c r="G474" i="22"/>
  <c r="F474" i="22"/>
  <c r="E474" i="22"/>
  <c r="D474" i="22"/>
  <c r="C474" i="22"/>
  <c r="J473" i="22"/>
  <c r="H473" i="22"/>
  <c r="G473" i="22"/>
  <c r="F473" i="22"/>
  <c r="E473" i="22"/>
  <c r="D473" i="22"/>
  <c r="C473" i="22"/>
  <c r="H459" i="22"/>
  <c r="G459" i="22"/>
  <c r="F459" i="22"/>
  <c r="E459" i="22"/>
  <c r="D459" i="22"/>
  <c r="J458" i="22"/>
  <c r="E455" i="22"/>
  <c r="D455" i="22"/>
  <c r="H452" i="22"/>
  <c r="G452" i="22"/>
  <c r="F452" i="22"/>
  <c r="E452" i="22"/>
  <c r="D452" i="22"/>
  <c r="C452" i="22"/>
  <c r="J451" i="22"/>
  <c r="H451" i="22"/>
  <c r="G451" i="22"/>
  <c r="F451" i="22"/>
  <c r="E451" i="22"/>
  <c r="D451" i="22"/>
  <c r="C451" i="22"/>
  <c r="H437" i="22"/>
  <c r="G437" i="22"/>
  <c r="F437" i="22"/>
  <c r="E437" i="22"/>
  <c r="D435" i="22"/>
  <c r="E435" i="22" s="1"/>
  <c r="E434" i="22" s="1"/>
  <c r="E445" i="22" s="1"/>
  <c r="E433" i="22"/>
  <c r="D433" i="22"/>
  <c r="H430" i="22"/>
  <c r="G430" i="22"/>
  <c r="F430" i="22"/>
  <c r="E430" i="22"/>
  <c r="D430" i="22"/>
  <c r="C430" i="22"/>
  <c r="J429" i="22"/>
  <c r="H429" i="22"/>
  <c r="G429" i="22"/>
  <c r="F429" i="22"/>
  <c r="E429" i="22"/>
  <c r="D429" i="22"/>
  <c r="C429" i="22"/>
  <c r="H415" i="22"/>
  <c r="G415" i="22"/>
  <c r="F415" i="22"/>
  <c r="E415" i="22"/>
  <c r="D415" i="22"/>
  <c r="J414" i="22"/>
  <c r="E411" i="22"/>
  <c r="D411" i="22"/>
  <c r="H408" i="22"/>
  <c r="G408" i="22"/>
  <c r="F408" i="22"/>
  <c r="E408" i="22"/>
  <c r="D408" i="22"/>
  <c r="C408" i="22"/>
  <c r="J407" i="22"/>
  <c r="H407" i="22"/>
  <c r="G407" i="22"/>
  <c r="F407" i="22"/>
  <c r="E407" i="22"/>
  <c r="D407" i="22"/>
  <c r="C407" i="22"/>
  <c r="C369" i="22"/>
  <c r="H393" i="22"/>
  <c r="G393" i="22"/>
  <c r="F393" i="22"/>
  <c r="E393" i="22"/>
  <c r="D393" i="22"/>
  <c r="J392" i="22"/>
  <c r="D391" i="22"/>
  <c r="E391" i="22" s="1"/>
  <c r="D389" i="22"/>
  <c r="E387" i="22"/>
  <c r="F387" i="22" s="1"/>
  <c r="G387" i="22" s="1"/>
  <c r="H387" i="22" s="1"/>
  <c r="D387" i="22"/>
  <c r="H384" i="22"/>
  <c r="G384" i="22"/>
  <c r="F384" i="22"/>
  <c r="E384" i="22"/>
  <c r="D384" i="22"/>
  <c r="C384" i="22"/>
  <c r="J383" i="22"/>
  <c r="H383" i="22"/>
  <c r="G383" i="22"/>
  <c r="F383" i="22"/>
  <c r="E383" i="22"/>
  <c r="D383" i="22"/>
  <c r="C383" i="22"/>
  <c r="H371" i="22"/>
  <c r="G371" i="22"/>
  <c r="F371" i="22"/>
  <c r="E371" i="22"/>
  <c r="D371" i="22"/>
  <c r="J370" i="22"/>
  <c r="E365" i="22"/>
  <c r="F365" i="22" s="1"/>
  <c r="D365" i="22"/>
  <c r="E363" i="22"/>
  <c r="D363" i="22"/>
  <c r="H360" i="22"/>
  <c r="G360" i="22"/>
  <c r="F360" i="22"/>
  <c r="E360" i="22"/>
  <c r="D360" i="22"/>
  <c r="C360" i="22"/>
  <c r="J359" i="22"/>
  <c r="H359" i="22"/>
  <c r="G359" i="22"/>
  <c r="F359" i="22"/>
  <c r="E359" i="22"/>
  <c r="D359" i="22"/>
  <c r="C359" i="22"/>
  <c r="H16" i="28"/>
  <c r="G16" i="28"/>
  <c r="F16" i="28"/>
  <c r="E16" i="28"/>
  <c r="D16" i="28"/>
  <c r="H15" i="28"/>
  <c r="G15" i="28"/>
  <c r="F15" i="28"/>
  <c r="E15" i="28"/>
  <c r="D15" i="28"/>
  <c r="H14" i="28"/>
  <c r="G14" i="28"/>
  <c r="F14" i="28"/>
  <c r="E14" i="28"/>
  <c r="D14" i="28"/>
  <c r="H13" i="28"/>
  <c r="G13" i="28"/>
  <c r="F13" i="28"/>
  <c r="E13" i="28"/>
  <c r="D13" i="28"/>
  <c r="H12" i="28"/>
  <c r="G12" i="28"/>
  <c r="F12" i="28"/>
  <c r="E12" i="28"/>
  <c r="D12" i="28"/>
  <c r="C16" i="28"/>
  <c r="C15" i="28"/>
  <c r="C14" i="28"/>
  <c r="C13" i="28"/>
  <c r="C12" i="28"/>
  <c r="H160" i="25"/>
  <c r="G160" i="25"/>
  <c r="F160" i="25"/>
  <c r="E160" i="25"/>
  <c r="D160" i="25"/>
  <c r="C160" i="25"/>
  <c r="H153" i="25"/>
  <c r="G153" i="25"/>
  <c r="F153" i="25"/>
  <c r="E153" i="25"/>
  <c r="D153" i="25"/>
  <c r="C153" i="25"/>
  <c r="C150" i="25"/>
  <c r="H148" i="25"/>
  <c r="G148" i="25"/>
  <c r="F148" i="25"/>
  <c r="E148" i="25"/>
  <c r="D148" i="25"/>
  <c r="C148" i="25"/>
  <c r="D423" i="22" l="1"/>
  <c r="D396" i="22"/>
  <c r="D467" i="22"/>
  <c r="D402" i="22"/>
  <c r="D400" i="22"/>
  <c r="D417" i="22"/>
  <c r="D421" i="22"/>
  <c r="C400" i="22"/>
  <c r="F60" i="28"/>
  <c r="F61" i="28" s="1"/>
  <c r="E441" i="22"/>
  <c r="H76" i="28" s="1"/>
  <c r="H77" i="28" s="1"/>
  <c r="D461" i="22"/>
  <c r="F68" i="28"/>
  <c r="F49" i="28" s="1"/>
  <c r="J36" i="28" s="1"/>
  <c r="J40" i="28" s="1"/>
  <c r="C488" i="22"/>
  <c r="F76" i="28"/>
  <c r="F77" i="28" s="1"/>
  <c r="C442" i="22"/>
  <c r="C398" i="22"/>
  <c r="D463" i="22"/>
  <c r="G67" i="28"/>
  <c r="G69" i="28"/>
  <c r="E443" i="22"/>
  <c r="E439" i="22"/>
  <c r="C421" i="22"/>
  <c r="C422" i="22" s="1"/>
  <c r="C413" i="22"/>
  <c r="C463" i="22"/>
  <c r="C464" i="22" s="1"/>
  <c r="C457" i="22"/>
  <c r="H21" i="28"/>
  <c r="F23" i="28"/>
  <c r="D25" i="28"/>
  <c r="E22" i="28"/>
  <c r="H23" i="28"/>
  <c r="F25" i="28"/>
  <c r="F21" i="28"/>
  <c r="D23" i="28"/>
  <c r="G24" i="28"/>
  <c r="E21" i="28"/>
  <c r="F24" i="28"/>
  <c r="F22" i="28"/>
  <c r="D24" i="28"/>
  <c r="G25" i="28"/>
  <c r="D21" i="28"/>
  <c r="G22" i="28"/>
  <c r="E24" i="28"/>
  <c r="H25" i="28"/>
  <c r="H22" i="28"/>
  <c r="G21" i="28"/>
  <c r="E23" i="28"/>
  <c r="H24" i="28"/>
  <c r="D22" i="28"/>
  <c r="G23" i="28"/>
  <c r="E25" i="28"/>
  <c r="J63" i="28"/>
  <c r="E52" i="28"/>
  <c r="E48" i="28"/>
  <c r="E47" i="28"/>
  <c r="E49" i="28"/>
  <c r="E50" i="28"/>
  <c r="G79" i="28"/>
  <c r="G81" i="28"/>
  <c r="G52" i="28" s="1"/>
  <c r="K29" i="28" s="1"/>
  <c r="F65" i="28"/>
  <c r="F63" i="28"/>
  <c r="G77" i="28"/>
  <c r="G75" i="28"/>
  <c r="G63" i="28"/>
  <c r="G65" i="28"/>
  <c r="G48" i="28" s="1"/>
  <c r="K27" i="28" s="1"/>
  <c r="G71" i="28"/>
  <c r="G73" i="28"/>
  <c r="H63" i="28"/>
  <c r="H65" i="28"/>
  <c r="I63" i="28"/>
  <c r="I65" i="28"/>
  <c r="G61" i="28"/>
  <c r="G59" i="28"/>
  <c r="K63" i="28"/>
  <c r="K65" i="28"/>
  <c r="K48" i="28" s="1"/>
  <c r="O27" i="28" s="1"/>
  <c r="J65" i="28"/>
  <c r="E17" i="28"/>
  <c r="F17" i="28"/>
  <c r="C17" i="28"/>
  <c r="I13" i="28"/>
  <c r="G17" i="28"/>
  <c r="C374" i="22"/>
  <c r="C467" i="22"/>
  <c r="C468" i="22" s="1"/>
  <c r="I12" i="28"/>
  <c r="I14" i="28"/>
  <c r="D17" i="28"/>
  <c r="I16" i="28"/>
  <c r="C376" i="22"/>
  <c r="I15" i="28"/>
  <c r="C378" i="22"/>
  <c r="C380" i="22"/>
  <c r="C465" i="22"/>
  <c r="C466" i="22" s="1"/>
  <c r="C461" i="22"/>
  <c r="C462" i="22" s="1"/>
  <c r="H17" i="28"/>
  <c r="H20" i="28" s="1"/>
  <c r="C417" i="22"/>
  <c r="C418" i="22" s="1"/>
  <c r="C423" i="22"/>
  <c r="C424" i="22" s="1"/>
  <c r="C419" i="22"/>
  <c r="C420" i="22" s="1"/>
  <c r="J436" i="22"/>
  <c r="D398" i="22"/>
  <c r="D367" i="22"/>
  <c r="F367" i="22" s="1"/>
  <c r="G367" i="22" s="1"/>
  <c r="H367" i="22" s="1"/>
  <c r="D457" i="22"/>
  <c r="E457" i="22" s="1"/>
  <c r="E456" i="22" s="1"/>
  <c r="D369" i="22"/>
  <c r="E369" i="22" s="1"/>
  <c r="E368" i="22" s="1"/>
  <c r="D486" i="22"/>
  <c r="D442" i="22"/>
  <c r="D446" i="22"/>
  <c r="D484" i="22"/>
  <c r="D490" i="22"/>
  <c r="D440" i="22"/>
  <c r="D413" i="22"/>
  <c r="E413" i="22" s="1"/>
  <c r="F413" i="22" s="1"/>
  <c r="G413" i="22" s="1"/>
  <c r="H413" i="22" s="1"/>
  <c r="D488" i="22"/>
  <c r="F389" i="22"/>
  <c r="G389" i="22" s="1"/>
  <c r="H389" i="22" s="1"/>
  <c r="D444" i="22"/>
  <c r="E478" i="22"/>
  <c r="F435" i="22"/>
  <c r="G435" i="22" s="1"/>
  <c r="H435" i="22" s="1"/>
  <c r="F391" i="22"/>
  <c r="G391" i="22" s="1"/>
  <c r="H391" i="22" s="1"/>
  <c r="E390" i="22"/>
  <c r="G365" i="22"/>
  <c r="H365" i="22" s="1"/>
  <c r="F364" i="22"/>
  <c r="E397" i="22" l="1"/>
  <c r="E401" i="22"/>
  <c r="E395" i="22"/>
  <c r="E399" i="22"/>
  <c r="E375" i="22"/>
  <c r="E377" i="22"/>
  <c r="E379" i="22"/>
  <c r="E373" i="22"/>
  <c r="E80" i="22"/>
  <c r="E54" i="22"/>
  <c r="F59" i="28"/>
  <c r="F75" i="28"/>
  <c r="H75" i="28"/>
  <c r="D422" i="22"/>
  <c r="F478" i="22"/>
  <c r="E485" i="22"/>
  <c r="E487" i="22"/>
  <c r="H68" i="28" s="1"/>
  <c r="E483" i="22"/>
  <c r="E489" i="22"/>
  <c r="F69" i="28"/>
  <c r="F67" i="28"/>
  <c r="E396" i="22"/>
  <c r="E398" i="22"/>
  <c r="E402" i="22"/>
  <c r="J48" i="28"/>
  <c r="N27" i="28" s="1"/>
  <c r="D464" i="22"/>
  <c r="I48" i="28"/>
  <c r="M27" i="28" s="1"/>
  <c r="G50" i="28"/>
  <c r="K28" i="28" s="1"/>
  <c r="F47" i="28"/>
  <c r="J35" i="28" s="1"/>
  <c r="J39" i="28" s="1"/>
  <c r="G51" i="28"/>
  <c r="K37" i="28" s="1"/>
  <c r="F51" i="28"/>
  <c r="J37" i="28" s="1"/>
  <c r="J41" i="28" s="1"/>
  <c r="H51" i="28"/>
  <c r="L37" i="28" s="1"/>
  <c r="G49" i="28"/>
  <c r="K36" i="28" s="1"/>
  <c r="G47" i="28"/>
  <c r="K35" i="28" s="1"/>
  <c r="K12" i="28" s="1"/>
  <c r="F48" i="28"/>
  <c r="J27" i="28" s="1"/>
  <c r="J31" i="28" s="1"/>
  <c r="H48" i="28"/>
  <c r="L27" i="28" s="1"/>
  <c r="L31" i="28" s="1"/>
  <c r="E20" i="28"/>
  <c r="G20" i="28"/>
  <c r="D20" i="28"/>
  <c r="F20" i="28"/>
  <c r="D466" i="22"/>
  <c r="F72" i="28"/>
  <c r="D420" i="22"/>
  <c r="F80" i="28"/>
  <c r="D462" i="22"/>
  <c r="D374" i="22"/>
  <c r="D378" i="22"/>
  <c r="D380" i="22"/>
  <c r="D418" i="22"/>
  <c r="D424" i="22"/>
  <c r="I17" i="28"/>
  <c r="D376" i="22"/>
  <c r="D468" i="22"/>
  <c r="E463" i="22"/>
  <c r="E461" i="22"/>
  <c r="E465" i="22"/>
  <c r="E467" i="22"/>
  <c r="F457" i="22"/>
  <c r="G457" i="22" s="1"/>
  <c r="H457" i="22" s="1"/>
  <c r="F369" i="22"/>
  <c r="G369" i="22" s="1"/>
  <c r="H369" i="22" s="1"/>
  <c r="E412" i="22"/>
  <c r="E106" i="22" s="1"/>
  <c r="F388" i="22"/>
  <c r="F390" i="22"/>
  <c r="F434" i="22"/>
  <c r="G364" i="22"/>
  <c r="H364" i="22" l="1"/>
  <c r="G390" i="22"/>
  <c r="G434" i="22"/>
  <c r="H67" i="28"/>
  <c r="H69" i="28"/>
  <c r="H49" i="28"/>
  <c r="L36" i="28" s="1"/>
  <c r="L40" i="28" s="1"/>
  <c r="H60" i="28"/>
  <c r="E400" i="22"/>
  <c r="G388" i="22"/>
  <c r="G478" i="22"/>
  <c r="N31" i="28"/>
  <c r="O31" i="28"/>
  <c r="K41" i="28"/>
  <c r="K14" i="28"/>
  <c r="M21" i="25" s="1"/>
  <c r="L41" i="28"/>
  <c r="K13" i="28"/>
  <c r="M20" i="25" s="1"/>
  <c r="K40" i="28"/>
  <c r="K39" i="28"/>
  <c r="M31" i="28"/>
  <c r="K31" i="28"/>
  <c r="J12" i="28"/>
  <c r="J21" i="28" s="1"/>
  <c r="L51" i="25" s="1"/>
  <c r="M19" i="25"/>
  <c r="H72" i="28"/>
  <c r="H73" i="28" s="1"/>
  <c r="F79" i="28"/>
  <c r="F81" i="28"/>
  <c r="F71" i="28"/>
  <c r="F73" i="28"/>
  <c r="F366" i="22"/>
  <c r="F412" i="22"/>
  <c r="F106" i="22" s="1"/>
  <c r="E423" i="22"/>
  <c r="E421" i="22"/>
  <c r="E419" i="22"/>
  <c r="E417" i="22"/>
  <c r="F456" i="22"/>
  <c r="F80" i="22" s="1"/>
  <c r="F368" i="22"/>
  <c r="G368" i="22" s="1"/>
  <c r="H368" i="22" s="1"/>
  <c r="J368" i="22" s="1"/>
  <c r="J364" i="22" l="1"/>
  <c r="F54" i="22"/>
  <c r="H390" i="22"/>
  <c r="G54" i="22"/>
  <c r="G366" i="22"/>
  <c r="F50" i="22"/>
  <c r="H388" i="22"/>
  <c r="H61" i="28"/>
  <c r="H59" i="28"/>
  <c r="H47" i="28"/>
  <c r="L35" i="28" s="1"/>
  <c r="H478" i="22"/>
  <c r="H434" i="22"/>
  <c r="F50" i="28"/>
  <c r="J28" i="28" s="1"/>
  <c r="K32" i="28" s="1"/>
  <c r="F52" i="28"/>
  <c r="J29" i="28" s="1"/>
  <c r="K33" i="28" s="1"/>
  <c r="H50" i="28"/>
  <c r="L28" i="28" s="1"/>
  <c r="L19" i="25"/>
  <c r="K21" i="28"/>
  <c r="M51" i="25" s="1"/>
  <c r="H71" i="28"/>
  <c r="H80" i="28"/>
  <c r="H81" i="28" s="1"/>
  <c r="G456" i="22"/>
  <c r="G80" i="22" s="1"/>
  <c r="G412" i="22"/>
  <c r="G106" i="22" s="1"/>
  <c r="G50" i="22" l="1"/>
  <c r="J390" i="22"/>
  <c r="H54" i="22"/>
  <c r="H366" i="22"/>
  <c r="J478" i="22"/>
  <c r="J434" i="22"/>
  <c r="J388" i="22"/>
  <c r="L39" i="28"/>
  <c r="L12" i="28"/>
  <c r="J33" i="28"/>
  <c r="J14" i="28"/>
  <c r="K23" i="28" s="1"/>
  <c r="M53" i="25" s="1"/>
  <c r="L13" i="28"/>
  <c r="L32" i="28"/>
  <c r="J13" i="28"/>
  <c r="J32" i="28"/>
  <c r="H79" i="28"/>
  <c r="H52" i="28" s="1"/>
  <c r="L29" i="28" s="1"/>
  <c r="H456" i="22"/>
  <c r="H80" i="22" s="1"/>
  <c r="H412" i="22"/>
  <c r="H106" i="22" s="1"/>
  <c r="H50" i="22" l="1"/>
  <c r="J366" i="22"/>
  <c r="L21" i="28"/>
  <c r="N51" i="25" s="1"/>
  <c r="N19" i="25"/>
  <c r="L21" i="25"/>
  <c r="J23" i="28"/>
  <c r="L53" i="25" s="1"/>
  <c r="L14" i="28"/>
  <c r="L23" i="28" s="1"/>
  <c r="N53" i="25" s="1"/>
  <c r="L33" i="28"/>
  <c r="L20" i="25"/>
  <c r="K22" i="28"/>
  <c r="M52" i="25" s="1"/>
  <c r="J22" i="28"/>
  <c r="L52" i="25" s="1"/>
  <c r="N20" i="25"/>
  <c r="L22" i="28"/>
  <c r="N52" i="25" s="1"/>
  <c r="J412" i="22"/>
  <c r="J456" i="22"/>
  <c r="N21" i="25" l="1"/>
  <c r="H244" i="22" l="1"/>
  <c r="J327" i="22"/>
  <c r="J301" i="22"/>
  <c r="J273" i="22"/>
  <c r="J243" i="22"/>
  <c r="J221" i="22"/>
  <c r="J199" i="22"/>
  <c r="J169" i="22"/>
  <c r="J143" i="22"/>
  <c r="J119" i="22"/>
  <c r="J93" i="22"/>
  <c r="J67" i="22"/>
  <c r="J41" i="22"/>
  <c r="S77" i="25"/>
  <c r="S107" i="25" s="1"/>
  <c r="J77" i="25"/>
  <c r="J107" i="25" s="1"/>
  <c r="L35" i="25"/>
  <c r="H136" i="25"/>
  <c r="G136" i="25"/>
  <c r="G140" i="25" s="1"/>
  <c r="F136" i="25"/>
  <c r="F140" i="25" s="1"/>
  <c r="E136" i="25"/>
  <c r="E140" i="25" s="1"/>
  <c r="D136" i="25"/>
  <c r="D140" i="25" s="1"/>
  <c r="C136" i="25"/>
  <c r="C140" i="25" s="1"/>
  <c r="E331" i="22"/>
  <c r="F331" i="22" s="1"/>
  <c r="D331" i="22"/>
  <c r="E333" i="22"/>
  <c r="F333" i="22" s="1"/>
  <c r="F332" i="22" s="1"/>
  <c r="D333" i="22"/>
  <c r="D335" i="22"/>
  <c r="D337" i="22"/>
  <c r="D339" i="22"/>
  <c r="E339" i="22" s="1"/>
  <c r="D343" i="22"/>
  <c r="H345" i="22"/>
  <c r="G345" i="22"/>
  <c r="F345" i="22"/>
  <c r="E345" i="22"/>
  <c r="D345" i="22"/>
  <c r="H304" i="22"/>
  <c r="J304" i="22" s="1"/>
  <c r="E147" i="22"/>
  <c r="F147" i="22" s="1"/>
  <c r="G147" i="22" s="1"/>
  <c r="H147" i="22" s="1"/>
  <c r="D147" i="22"/>
  <c r="E123" i="22"/>
  <c r="F123" i="22" s="1"/>
  <c r="G123" i="22" s="1"/>
  <c r="H123" i="22" s="1"/>
  <c r="E45" i="22"/>
  <c r="F45" i="22" s="1"/>
  <c r="E71" i="22"/>
  <c r="F71" i="22" s="1"/>
  <c r="G71" i="22" s="1"/>
  <c r="H71" i="22" s="1"/>
  <c r="D71" i="22"/>
  <c r="E97" i="22"/>
  <c r="F97" i="22" s="1"/>
  <c r="G97" i="22" s="1"/>
  <c r="H97" i="22" s="1"/>
  <c r="J344" i="22"/>
  <c r="J306" i="22"/>
  <c r="J276" i="22"/>
  <c r="J248" i="22"/>
  <c r="J246" i="22"/>
  <c r="J226" i="22"/>
  <c r="J224" i="22"/>
  <c r="J204" i="22"/>
  <c r="J182" i="22"/>
  <c r="J24" i="22"/>
  <c r="H183" i="22"/>
  <c r="G183" i="22"/>
  <c r="E183" i="22"/>
  <c r="D183" i="22"/>
  <c r="C183" i="22"/>
  <c r="H25" i="22"/>
  <c r="E74" i="27"/>
  <c r="C74" i="27"/>
  <c r="E71" i="27"/>
  <c r="C70" i="27"/>
  <c r="C65" i="27"/>
  <c r="C61" i="27"/>
  <c r="C60" i="27"/>
  <c r="E56" i="27"/>
  <c r="E55" i="27"/>
  <c r="E54" i="27"/>
  <c r="E53" i="27"/>
  <c r="E52" i="27"/>
  <c r="C56" i="27"/>
  <c r="C55" i="27"/>
  <c r="C54" i="27"/>
  <c r="C53" i="27"/>
  <c r="C52" i="27"/>
  <c r="C8" i="27"/>
  <c r="H217" i="25"/>
  <c r="G217" i="25"/>
  <c r="F217" i="25"/>
  <c r="E217" i="25"/>
  <c r="D217" i="25"/>
  <c r="C217" i="25"/>
  <c r="H214" i="25"/>
  <c r="G214" i="25"/>
  <c r="F214" i="25"/>
  <c r="E214" i="25"/>
  <c r="D214" i="25"/>
  <c r="C214" i="25"/>
  <c r="C189" i="25"/>
  <c r="C183" i="25"/>
  <c r="C174" i="25"/>
  <c r="H177" i="25"/>
  <c r="G177" i="25"/>
  <c r="F177" i="25"/>
  <c r="E177" i="25"/>
  <c r="D177" i="25"/>
  <c r="C177" i="25"/>
  <c r="H176" i="25"/>
  <c r="G176" i="25"/>
  <c r="F176" i="25"/>
  <c r="E176" i="25"/>
  <c r="D176" i="25"/>
  <c r="C176" i="25"/>
  <c r="C168" i="25"/>
  <c r="C135" i="25"/>
  <c r="H101" i="25"/>
  <c r="G101" i="25"/>
  <c r="F101" i="25"/>
  <c r="E101" i="25"/>
  <c r="D101" i="25"/>
  <c r="H100" i="25"/>
  <c r="G100" i="25"/>
  <c r="F100" i="25"/>
  <c r="E100" i="25"/>
  <c r="D100" i="25"/>
  <c r="H99" i="25"/>
  <c r="G99" i="25"/>
  <c r="F99" i="25"/>
  <c r="E99" i="25"/>
  <c r="D99" i="25"/>
  <c r="C101" i="25"/>
  <c r="C100" i="25"/>
  <c r="C99" i="25"/>
  <c r="H95" i="25"/>
  <c r="G95" i="25"/>
  <c r="F95" i="25"/>
  <c r="E95" i="25"/>
  <c r="D95" i="25"/>
  <c r="C95" i="25"/>
  <c r="H94" i="25"/>
  <c r="G94" i="25"/>
  <c r="F94" i="25"/>
  <c r="E94" i="25"/>
  <c r="D94" i="25"/>
  <c r="C94" i="25"/>
  <c r="H93" i="25"/>
  <c r="G93" i="25"/>
  <c r="F93" i="25"/>
  <c r="E93" i="25"/>
  <c r="D93" i="25"/>
  <c r="C93" i="25"/>
  <c r="H92" i="25"/>
  <c r="G92" i="25"/>
  <c r="F92" i="25"/>
  <c r="E92" i="25"/>
  <c r="D92" i="25"/>
  <c r="C92" i="25"/>
  <c r="H91" i="25"/>
  <c r="G91" i="25"/>
  <c r="F91" i="25"/>
  <c r="E91" i="25"/>
  <c r="D91" i="25"/>
  <c r="C91" i="25"/>
  <c r="H90" i="25"/>
  <c r="G90" i="25"/>
  <c r="F90" i="25"/>
  <c r="E90" i="25"/>
  <c r="D90" i="25"/>
  <c r="C90" i="25"/>
  <c r="H86" i="25"/>
  <c r="G86" i="25"/>
  <c r="F86" i="25"/>
  <c r="E86" i="25"/>
  <c r="D86" i="25"/>
  <c r="C86" i="25"/>
  <c r="H85" i="25"/>
  <c r="G85" i="25"/>
  <c r="F85" i="25"/>
  <c r="E85" i="25"/>
  <c r="D85" i="25"/>
  <c r="C85" i="25"/>
  <c r="H84" i="25"/>
  <c r="G84" i="25"/>
  <c r="F84" i="25"/>
  <c r="E84" i="25"/>
  <c r="D84" i="25"/>
  <c r="C84" i="25"/>
  <c r="H83" i="25"/>
  <c r="G83" i="25"/>
  <c r="F83" i="25"/>
  <c r="E83" i="25"/>
  <c r="D83" i="25"/>
  <c r="C83" i="25"/>
  <c r="H82" i="25"/>
  <c r="G82" i="25"/>
  <c r="F82" i="25"/>
  <c r="E82" i="25"/>
  <c r="D82" i="25"/>
  <c r="C82" i="25"/>
  <c r="H81" i="25"/>
  <c r="C33" i="27" s="1"/>
  <c r="G81" i="25"/>
  <c r="F81" i="25"/>
  <c r="E81" i="25"/>
  <c r="D81" i="25"/>
  <c r="C81" i="25"/>
  <c r="H44" i="25"/>
  <c r="G44" i="25"/>
  <c r="F44" i="25"/>
  <c r="E44" i="25"/>
  <c r="D44" i="25"/>
  <c r="C44" i="25"/>
  <c r="H41" i="25"/>
  <c r="E61" i="27" s="1"/>
  <c r="E69" i="27" s="1"/>
  <c r="G41" i="25"/>
  <c r="F41" i="25"/>
  <c r="E41" i="25"/>
  <c r="D41" i="25"/>
  <c r="C41" i="25"/>
  <c r="H38" i="25"/>
  <c r="E65" i="27" s="1"/>
  <c r="G38" i="25"/>
  <c r="F38" i="25"/>
  <c r="E38" i="25"/>
  <c r="D38" i="25"/>
  <c r="C38" i="25"/>
  <c r="H30" i="25"/>
  <c r="G30" i="25"/>
  <c r="F30" i="25"/>
  <c r="E30" i="25"/>
  <c r="D30" i="25"/>
  <c r="H29" i="25"/>
  <c r="G29" i="25"/>
  <c r="F29" i="25"/>
  <c r="E29" i="25"/>
  <c r="D29" i="25"/>
  <c r="C30" i="25"/>
  <c r="C29" i="25"/>
  <c r="H26" i="25"/>
  <c r="G26" i="25"/>
  <c r="F26" i="25"/>
  <c r="E26" i="25"/>
  <c r="D26" i="25"/>
  <c r="C26" i="25"/>
  <c r="H23" i="25"/>
  <c r="G23" i="25"/>
  <c r="F23" i="25"/>
  <c r="E23" i="25"/>
  <c r="D23" i="25"/>
  <c r="H22" i="25"/>
  <c r="C151" i="22" s="1"/>
  <c r="G22" i="25"/>
  <c r="F22" i="25"/>
  <c r="E22" i="25"/>
  <c r="D22" i="25"/>
  <c r="H21" i="25"/>
  <c r="C73" i="22" s="1"/>
  <c r="G21" i="25"/>
  <c r="F21" i="25"/>
  <c r="E21" i="25"/>
  <c r="D21" i="25"/>
  <c r="H20" i="25"/>
  <c r="G20" i="25"/>
  <c r="F20" i="25"/>
  <c r="E20" i="25"/>
  <c r="D20" i="25"/>
  <c r="H19" i="25"/>
  <c r="C47" i="22" s="1"/>
  <c r="G19" i="25"/>
  <c r="F19" i="25"/>
  <c r="E19" i="25"/>
  <c r="D19" i="25"/>
  <c r="C23" i="25"/>
  <c r="C22" i="25"/>
  <c r="C21" i="25"/>
  <c r="C20" i="25"/>
  <c r="C19" i="25"/>
  <c r="G17" i="25"/>
  <c r="G10" i="28" s="1"/>
  <c r="F17" i="25"/>
  <c r="F10" i="28" s="1"/>
  <c r="E17" i="25"/>
  <c r="E10" i="28" s="1"/>
  <c r="D17" i="25"/>
  <c r="D10" i="28" s="1"/>
  <c r="C17" i="25"/>
  <c r="C10" i="28" s="1"/>
  <c r="G16" i="25"/>
  <c r="G9" i="28" s="1"/>
  <c r="F16" i="25"/>
  <c r="F9" i="28" s="1"/>
  <c r="E16" i="25"/>
  <c r="E9" i="28" s="1"/>
  <c r="D16" i="25"/>
  <c r="D9" i="28" s="1"/>
  <c r="C16" i="25"/>
  <c r="H17" i="25"/>
  <c r="H16" i="25"/>
  <c r="H9" i="28" s="1"/>
  <c r="AP113" i="8"/>
  <c r="AP7" i="8"/>
  <c r="AP71" i="8" s="1"/>
  <c r="AG4" i="10"/>
  <c r="AR42" i="10"/>
  <c r="AL84" i="10"/>
  <c r="AJ84" i="10"/>
  <c r="AP83" i="10"/>
  <c r="AN83" i="10"/>
  <c r="AH83" i="10"/>
  <c r="AF83" i="10"/>
  <c r="AL82" i="10"/>
  <c r="AJ82" i="10"/>
  <c r="AI82" i="10"/>
  <c r="AP81" i="10"/>
  <c r="AH81" i="10"/>
  <c r="AL42" i="10"/>
  <c r="AJ42" i="10"/>
  <c r="AI42" i="10"/>
  <c r="AP41" i="10"/>
  <c r="AN41" i="10"/>
  <c r="AM41" i="10"/>
  <c r="AH41" i="10"/>
  <c r="AF41" i="10"/>
  <c r="AL40" i="10"/>
  <c r="AJ40" i="10"/>
  <c r="AP39" i="10"/>
  <c r="AN39" i="10"/>
  <c r="AH39" i="10"/>
  <c r="AK13" i="10"/>
  <c r="AI13" i="10"/>
  <c r="AH13" i="10"/>
  <c r="AM12" i="10"/>
  <c r="AF11" i="10"/>
  <c r="AE11" i="10"/>
  <c r="AK10" i="10"/>
  <c r="AI10" i="10"/>
  <c r="AH10" i="10"/>
  <c r="AN9" i="10"/>
  <c r="AL9" i="10"/>
  <c r="AK9" i="10"/>
  <c r="AF9" i="10"/>
  <c r="H328" i="22"/>
  <c r="G328" i="22"/>
  <c r="F328" i="22"/>
  <c r="E328" i="22"/>
  <c r="D328" i="22"/>
  <c r="C328" i="22"/>
  <c r="H327" i="22"/>
  <c r="G327" i="22"/>
  <c r="F327" i="22"/>
  <c r="E327" i="22"/>
  <c r="D327" i="22"/>
  <c r="C327" i="22"/>
  <c r="G302" i="22"/>
  <c r="F302" i="22"/>
  <c r="E302" i="22"/>
  <c r="D302" i="22"/>
  <c r="C302" i="22"/>
  <c r="H301" i="22"/>
  <c r="G301" i="22"/>
  <c r="F301" i="22"/>
  <c r="E301" i="22"/>
  <c r="D301" i="22"/>
  <c r="C301" i="22"/>
  <c r="G274" i="22"/>
  <c r="F274" i="22"/>
  <c r="E274" i="22"/>
  <c r="D274" i="22"/>
  <c r="C274" i="22"/>
  <c r="H273" i="22"/>
  <c r="G273" i="22"/>
  <c r="F273" i="22"/>
  <c r="E273" i="22"/>
  <c r="D273" i="22"/>
  <c r="C273" i="22"/>
  <c r="G244" i="22"/>
  <c r="F244" i="22"/>
  <c r="E244" i="22"/>
  <c r="D244" i="22"/>
  <c r="C244" i="22"/>
  <c r="H243" i="22"/>
  <c r="G243" i="22"/>
  <c r="F243" i="22"/>
  <c r="E243" i="22"/>
  <c r="D243" i="22"/>
  <c r="C243" i="22"/>
  <c r="H222" i="22"/>
  <c r="G222" i="22"/>
  <c r="F222" i="22"/>
  <c r="E222" i="22"/>
  <c r="D222" i="22"/>
  <c r="C222" i="22"/>
  <c r="H221" i="22"/>
  <c r="G221" i="22"/>
  <c r="F221" i="22"/>
  <c r="E221" i="22"/>
  <c r="D221" i="22"/>
  <c r="C221" i="22"/>
  <c r="G200" i="22"/>
  <c r="F200" i="22"/>
  <c r="E200" i="22"/>
  <c r="D200" i="22"/>
  <c r="C200" i="22"/>
  <c r="H199" i="22"/>
  <c r="G199" i="22"/>
  <c r="F199" i="22"/>
  <c r="E199" i="22"/>
  <c r="D199" i="22"/>
  <c r="C199" i="22"/>
  <c r="G170" i="22"/>
  <c r="F170" i="22"/>
  <c r="E170" i="22"/>
  <c r="D170" i="22"/>
  <c r="C170" i="22"/>
  <c r="H169" i="22"/>
  <c r="G169" i="22"/>
  <c r="F169" i="22"/>
  <c r="E169" i="22"/>
  <c r="D169" i="22"/>
  <c r="C169" i="22"/>
  <c r="G144" i="22"/>
  <c r="F144" i="22"/>
  <c r="E144" i="22"/>
  <c r="D144" i="22"/>
  <c r="C144" i="22"/>
  <c r="H143" i="22"/>
  <c r="G143" i="22"/>
  <c r="F143" i="22"/>
  <c r="E143" i="22"/>
  <c r="D143" i="22"/>
  <c r="C143" i="22"/>
  <c r="H120" i="22"/>
  <c r="G120" i="22"/>
  <c r="F120" i="22"/>
  <c r="E120" i="22"/>
  <c r="D120" i="22"/>
  <c r="C120" i="22"/>
  <c r="H119" i="22"/>
  <c r="G119" i="22"/>
  <c r="F119" i="22"/>
  <c r="E119" i="22"/>
  <c r="D119" i="22"/>
  <c r="C119" i="22"/>
  <c r="G94" i="22"/>
  <c r="F94" i="22"/>
  <c r="E94" i="22"/>
  <c r="D94" i="22"/>
  <c r="C94" i="22"/>
  <c r="H93" i="22"/>
  <c r="G93" i="22"/>
  <c r="F93" i="22"/>
  <c r="E93" i="22"/>
  <c r="D93" i="22"/>
  <c r="C93" i="22"/>
  <c r="G68" i="22"/>
  <c r="F68" i="22"/>
  <c r="E68" i="22"/>
  <c r="D68" i="22"/>
  <c r="C68" i="22"/>
  <c r="H67" i="22"/>
  <c r="G67" i="22"/>
  <c r="F67" i="22"/>
  <c r="E67" i="22"/>
  <c r="D67" i="22"/>
  <c r="C67" i="22"/>
  <c r="G42" i="22"/>
  <c r="F42" i="22"/>
  <c r="E42" i="22"/>
  <c r="D42" i="22"/>
  <c r="C42" i="22"/>
  <c r="H41" i="22"/>
  <c r="G41" i="22"/>
  <c r="F41" i="22"/>
  <c r="E41" i="22"/>
  <c r="D41" i="22"/>
  <c r="C41" i="22"/>
  <c r="J202" i="22"/>
  <c r="H172" i="22"/>
  <c r="J172" i="22" s="1"/>
  <c r="H277" i="22"/>
  <c r="AC3" i="9"/>
  <c r="AQ3" i="9" s="1"/>
  <c r="Y13" i="10"/>
  <c r="AO13" i="10" s="1"/>
  <c r="Y12" i="10"/>
  <c r="AO12" i="10" s="1"/>
  <c r="Y11" i="10"/>
  <c r="Y14" i="10" s="1"/>
  <c r="Y10" i="10"/>
  <c r="AO10" i="10" s="1"/>
  <c r="Y9" i="10"/>
  <c r="AO9" i="10" s="1"/>
  <c r="Y42" i="10"/>
  <c r="AO42" i="10" s="1"/>
  <c r="Y41" i="10"/>
  <c r="AL41" i="10" s="1"/>
  <c r="Y40" i="10"/>
  <c r="AO40" i="10" s="1"/>
  <c r="Y39" i="10"/>
  <c r="AM39" i="10" s="1"/>
  <c r="U13" i="10"/>
  <c r="AJ13" i="10" s="1"/>
  <c r="U12" i="10"/>
  <c r="AJ12" i="10" s="1"/>
  <c r="U11" i="10"/>
  <c r="AK11" i="10" s="1"/>
  <c r="U10" i="10"/>
  <c r="AJ10" i="10" s="1"/>
  <c r="U9" i="10"/>
  <c r="AJ9" i="10" s="1"/>
  <c r="U42" i="10"/>
  <c r="AH42" i="10" s="1"/>
  <c r="U41" i="10"/>
  <c r="AK41" i="10" s="1"/>
  <c r="U40" i="10"/>
  <c r="AI40" i="10" s="1"/>
  <c r="U39" i="10"/>
  <c r="AK39" i="10" s="1"/>
  <c r="Q13" i="10"/>
  <c r="AE13" i="10" s="1"/>
  <c r="Q12" i="10"/>
  <c r="AG12" i="10" s="1"/>
  <c r="Q11" i="10"/>
  <c r="AG11" i="10" s="1"/>
  <c r="Q10" i="10"/>
  <c r="AE10" i="10" s="1"/>
  <c r="Q9" i="10"/>
  <c r="AG9" i="10" s="1"/>
  <c r="Q42" i="10"/>
  <c r="AG42" i="10" s="1"/>
  <c r="Q41" i="10"/>
  <c r="AE41" i="10" s="1"/>
  <c r="Q40" i="10"/>
  <c r="AG40" i="10" s="1"/>
  <c r="Q39" i="10"/>
  <c r="AE39" i="10" s="1"/>
  <c r="Y65" i="10"/>
  <c r="Y64" i="10"/>
  <c r="Y63" i="10"/>
  <c r="Y62" i="10"/>
  <c r="U64" i="10"/>
  <c r="U63" i="10"/>
  <c r="U62" i="10"/>
  <c r="U65" i="10"/>
  <c r="Q64" i="10"/>
  <c r="Q63" i="10"/>
  <c r="Q62" i="10"/>
  <c r="Q65" i="10"/>
  <c r="Q84" i="10"/>
  <c r="AG84" i="10" s="1"/>
  <c r="Q83" i="10"/>
  <c r="AE83" i="10" s="1"/>
  <c r="Q82" i="10"/>
  <c r="AG82" i="10" s="1"/>
  <c r="Q81" i="10"/>
  <c r="AE81" i="10" s="1"/>
  <c r="U84" i="10"/>
  <c r="AI84" i="10" s="1"/>
  <c r="U83" i="10"/>
  <c r="AK83" i="10" s="1"/>
  <c r="U82" i="10"/>
  <c r="AH82" i="10" s="1"/>
  <c r="U81" i="10"/>
  <c r="AK81" i="10" s="1"/>
  <c r="Y84" i="10"/>
  <c r="AO84" i="10" s="1"/>
  <c r="Y83" i="10"/>
  <c r="AM83" i="10" s="1"/>
  <c r="Y82" i="10"/>
  <c r="AO82" i="10" s="1"/>
  <c r="Y81" i="10"/>
  <c r="AM81" i="10" s="1"/>
  <c r="L84" i="10"/>
  <c r="AC83" i="10"/>
  <c r="AC101" i="10" s="1"/>
  <c r="AC82" i="10"/>
  <c r="AC100" i="10" s="1"/>
  <c r="AC81" i="10"/>
  <c r="AC99" i="10" s="1"/>
  <c r="AC65" i="10"/>
  <c r="AC71" i="10" s="1"/>
  <c r="AC64" i="10"/>
  <c r="AC70" i="10" s="1"/>
  <c r="AC63" i="10"/>
  <c r="AC74" i="10" s="1"/>
  <c r="AC62" i="10"/>
  <c r="AC73" i="10" s="1"/>
  <c r="AC42" i="10"/>
  <c r="AP42" i="10" s="1"/>
  <c r="AP54" i="10" s="1"/>
  <c r="AC41" i="10"/>
  <c r="AC40" i="10"/>
  <c r="AP40" i="10" s="1"/>
  <c r="AP52" i="10" s="1"/>
  <c r="AC39" i="10"/>
  <c r="AC56" i="10" s="1"/>
  <c r="AC13" i="10"/>
  <c r="AC10" i="9" s="1"/>
  <c r="AC12" i="10"/>
  <c r="AC33" i="10" s="1"/>
  <c r="AC11" i="10"/>
  <c r="AC26" i="10" s="1"/>
  <c r="AC10" i="10"/>
  <c r="AC31" i="10" s="1"/>
  <c r="AC9" i="10"/>
  <c r="AC24" i="10" s="1"/>
  <c r="AB4" i="10"/>
  <c r="AO4" i="10" s="1"/>
  <c r="AA4" i="10"/>
  <c r="AN4" i="10" s="1"/>
  <c r="Z4" i="10"/>
  <c r="AM4" i="10" s="1"/>
  <c r="X4" i="10"/>
  <c r="AK4" i="10" s="1"/>
  <c r="W4" i="10"/>
  <c r="AJ4" i="10" s="1"/>
  <c r="V4" i="10"/>
  <c r="AI4" i="10" s="1"/>
  <c r="T4" i="10"/>
  <c r="S4" i="10"/>
  <c r="AF4" i="10" s="1"/>
  <c r="R4" i="10"/>
  <c r="AE4" i="10" s="1"/>
  <c r="P4" i="10"/>
  <c r="O4" i="10"/>
  <c r="AC3" i="10"/>
  <c r="AP3" i="10" s="1"/>
  <c r="AB3" i="10"/>
  <c r="AO3" i="10" s="1"/>
  <c r="AA3" i="10"/>
  <c r="AN3" i="10" s="1"/>
  <c r="Z3" i="10"/>
  <c r="AM3" i="10" s="1"/>
  <c r="Y3" i="10"/>
  <c r="AL3" i="10" s="1"/>
  <c r="X3" i="10"/>
  <c r="AK3" i="10" s="1"/>
  <c r="W3" i="10"/>
  <c r="AJ3" i="10" s="1"/>
  <c r="V3" i="10"/>
  <c r="AI3" i="10" s="1"/>
  <c r="U3" i="10"/>
  <c r="AH3" i="10" s="1"/>
  <c r="T3" i="10"/>
  <c r="AG3" i="10" s="1"/>
  <c r="S3" i="10"/>
  <c r="AF3" i="10" s="1"/>
  <c r="R3" i="10"/>
  <c r="AE3" i="10" s="1"/>
  <c r="Q3" i="10"/>
  <c r="P3" i="10"/>
  <c r="O3" i="10"/>
  <c r="N4" i="10"/>
  <c r="N3" i="10"/>
  <c r="AC94" i="10"/>
  <c r="AC75" i="10"/>
  <c r="AC59" i="10"/>
  <c r="AC57" i="10"/>
  <c r="AC54" i="10"/>
  <c r="AC52" i="10"/>
  <c r="AC34" i="10"/>
  <c r="AC27" i="10"/>
  <c r="L68" i="9"/>
  <c r="L67" i="9"/>
  <c r="L66" i="9"/>
  <c r="L64" i="9"/>
  <c r="L63" i="9"/>
  <c r="L58" i="9"/>
  <c r="L57" i="9"/>
  <c r="L56" i="9"/>
  <c r="L55" i="9"/>
  <c r="L51" i="9"/>
  <c r="L50" i="9"/>
  <c r="L49" i="9"/>
  <c r="L43" i="9"/>
  <c r="L42" i="9"/>
  <c r="L41" i="9"/>
  <c r="L40" i="9"/>
  <c r="L39" i="9"/>
  <c r="L34" i="9"/>
  <c r="L33" i="9"/>
  <c r="L32" i="9"/>
  <c r="L28" i="9"/>
  <c r="L24" i="9"/>
  <c r="L20" i="9"/>
  <c r="L19" i="9"/>
  <c r="L15" i="9"/>
  <c r="L10" i="9"/>
  <c r="L9" i="9"/>
  <c r="L8" i="9"/>
  <c r="L7" i="9"/>
  <c r="L6" i="9"/>
  <c r="L4" i="9"/>
  <c r="L3" i="9"/>
  <c r="AC3" i="24"/>
  <c r="AP3" i="24" s="1"/>
  <c r="L51" i="24"/>
  <c r="L57" i="24" s="1"/>
  <c r="L41" i="24"/>
  <c r="L36" i="24"/>
  <c r="L59" i="24" s="1"/>
  <c r="L31" i="24"/>
  <c r="L42" i="24" s="1"/>
  <c r="L15" i="24"/>
  <c r="L14" i="24"/>
  <c r="L13" i="24"/>
  <c r="L9" i="24"/>
  <c r="L8" i="24"/>
  <c r="L4" i="24"/>
  <c r="L3" i="24"/>
  <c r="AB14" i="10"/>
  <c r="AA14" i="10"/>
  <c r="Z14" i="10"/>
  <c r="X14" i="10"/>
  <c r="W14" i="10"/>
  <c r="V14" i="10"/>
  <c r="T14" i="10"/>
  <c r="S14" i="10"/>
  <c r="R14" i="10"/>
  <c r="P14" i="10"/>
  <c r="O14" i="10"/>
  <c r="N14" i="10"/>
  <c r="L14" i="10"/>
  <c r="L18" i="10" s="1"/>
  <c r="K14" i="10"/>
  <c r="J14" i="10"/>
  <c r="I14" i="10"/>
  <c r="H14" i="10"/>
  <c r="G14" i="10"/>
  <c r="F14" i="10"/>
  <c r="E14" i="10"/>
  <c r="D14" i="10"/>
  <c r="L85" i="10"/>
  <c r="L91" i="10" s="1"/>
  <c r="L96" i="10"/>
  <c r="L95" i="10"/>
  <c r="L94" i="10"/>
  <c r="L71" i="10"/>
  <c r="L70" i="10"/>
  <c r="L69" i="10"/>
  <c r="L68" i="10"/>
  <c r="L54" i="10"/>
  <c r="L53" i="10"/>
  <c r="L52" i="10"/>
  <c r="L51" i="10"/>
  <c r="L43" i="10"/>
  <c r="L49" i="10" s="1"/>
  <c r="L28" i="10"/>
  <c r="L27" i="10"/>
  <c r="L26" i="10"/>
  <c r="L25" i="10"/>
  <c r="L24" i="10"/>
  <c r="L4" i="10"/>
  <c r="L3" i="10"/>
  <c r="AC125" i="8"/>
  <c r="AC34" i="9" s="1"/>
  <c r="AC116" i="8"/>
  <c r="AP116" i="8" s="1"/>
  <c r="AC117" i="8"/>
  <c r="AP117" i="8" s="1"/>
  <c r="AC106" i="8"/>
  <c r="AP106" i="8" s="1"/>
  <c r="AC103" i="8"/>
  <c r="AP103" i="8" s="1"/>
  <c r="AC96" i="8"/>
  <c r="AP96" i="8" s="1"/>
  <c r="AC88" i="8"/>
  <c r="AP88" i="8" s="1"/>
  <c r="AO54" i="8"/>
  <c r="AN54" i="8"/>
  <c r="AM54" i="8"/>
  <c r="AL54" i="8"/>
  <c r="AK54" i="8"/>
  <c r="AJ54" i="8"/>
  <c r="AI54" i="8"/>
  <c r="AH54" i="8"/>
  <c r="AG54" i="8"/>
  <c r="AF54" i="8"/>
  <c r="AE54" i="8"/>
  <c r="AC64" i="8"/>
  <c r="AP64" i="8" s="1"/>
  <c r="AC63" i="8"/>
  <c r="AP63" i="8" s="1"/>
  <c r="AC62" i="8"/>
  <c r="AC59" i="8"/>
  <c r="AP59" i="8" s="1"/>
  <c r="AC58" i="8"/>
  <c r="AC68" i="9" s="1"/>
  <c r="AQ68" i="9" s="1"/>
  <c r="AC55" i="8"/>
  <c r="AP55" i="8" s="1"/>
  <c r="AC54" i="8"/>
  <c r="AC66" i="9" s="1"/>
  <c r="AC53" i="8"/>
  <c r="AP53" i="8" s="1"/>
  <c r="AC52" i="8"/>
  <c r="AC14" i="24" s="1"/>
  <c r="AC51" i="8"/>
  <c r="AC13" i="24" s="1"/>
  <c r="AC48" i="8"/>
  <c r="AP48" i="8" s="1"/>
  <c r="AC47" i="8"/>
  <c r="AC51" i="9" s="1"/>
  <c r="AQ51" i="9" s="1"/>
  <c r="AC46" i="8"/>
  <c r="AC58" i="9" s="1"/>
  <c r="AQ58" i="9" s="1"/>
  <c r="AC42" i="8"/>
  <c r="AC9" i="24" s="1"/>
  <c r="AC41" i="8"/>
  <c r="AC55" i="9" s="1"/>
  <c r="AQ55" i="9" s="1"/>
  <c r="AC40" i="8"/>
  <c r="AP40" i="8" s="1"/>
  <c r="AC39" i="8"/>
  <c r="AC49" i="9" s="1"/>
  <c r="AC29" i="8"/>
  <c r="AC31" i="24" s="1"/>
  <c r="AC32" i="8"/>
  <c r="AC36" i="24" s="1"/>
  <c r="AC59" i="24" s="1"/>
  <c r="AC25" i="8"/>
  <c r="AP25" i="8" s="1"/>
  <c r="AC22" i="8"/>
  <c r="AP22" i="8" s="1"/>
  <c r="AC18" i="8"/>
  <c r="AC20" i="9" s="1"/>
  <c r="AC17" i="8"/>
  <c r="AC19" i="9" s="1"/>
  <c r="AC13" i="8"/>
  <c r="AP13" i="8" s="1"/>
  <c r="AC10" i="8"/>
  <c r="AP10" i="8" s="1"/>
  <c r="AC8" i="8"/>
  <c r="AC4" i="10" s="1"/>
  <c r="AP4" i="10" s="1"/>
  <c r="AC113" i="8"/>
  <c r="AC71" i="8"/>
  <c r="AC36" i="8"/>
  <c r="L107" i="8"/>
  <c r="L109" i="8" s="1"/>
  <c r="L94" i="8"/>
  <c r="L98" i="8" s="1"/>
  <c r="L89" i="8"/>
  <c r="L35" i="9" s="1"/>
  <c r="E59" i="8"/>
  <c r="D59" i="8"/>
  <c r="C59" i="8"/>
  <c r="L43" i="8"/>
  <c r="L44" i="8" s="1"/>
  <c r="L49" i="8" s="1"/>
  <c r="L113" i="8"/>
  <c r="L72" i="8"/>
  <c r="L71" i="8"/>
  <c r="L65" i="8"/>
  <c r="L32" i="24" s="1"/>
  <c r="L56" i="8"/>
  <c r="L60" i="8" s="1"/>
  <c r="L60" i="9" s="1"/>
  <c r="L37" i="8"/>
  <c r="L36" i="8"/>
  <c r="L11" i="8"/>
  <c r="L14" i="8" s="1"/>
  <c r="K28" i="27"/>
  <c r="K26" i="27"/>
  <c r="AO116" i="8"/>
  <c r="AN116" i="8"/>
  <c r="AM116" i="8"/>
  <c r="AK116" i="8"/>
  <c r="AJ116" i="8"/>
  <c r="AI116" i="8"/>
  <c r="AG116" i="8"/>
  <c r="AF116" i="8"/>
  <c r="AE116" i="8"/>
  <c r="Y116" i="8"/>
  <c r="AL116" i="8" s="1"/>
  <c r="U116" i="8"/>
  <c r="AH116" i="8" s="1"/>
  <c r="Q116" i="8"/>
  <c r="O113" i="8"/>
  <c r="E113" i="8"/>
  <c r="D113" i="8"/>
  <c r="F113" i="8"/>
  <c r="F117" i="8"/>
  <c r="G113" i="8" s="1"/>
  <c r="AB4" i="9"/>
  <c r="AP4" i="9" s="1"/>
  <c r="AA4" i="9"/>
  <c r="AO4" i="9" s="1"/>
  <c r="Z4" i="9"/>
  <c r="AN4" i="9" s="1"/>
  <c r="X4" i="9"/>
  <c r="AL4" i="9" s="1"/>
  <c r="W4" i="9"/>
  <c r="AK4" i="9" s="1"/>
  <c r="V4" i="9"/>
  <c r="AJ4" i="9" s="1"/>
  <c r="T4" i="9"/>
  <c r="AH4" i="9" s="1"/>
  <c r="S4" i="9"/>
  <c r="AG4" i="9" s="1"/>
  <c r="R4" i="9"/>
  <c r="AF4" i="9" s="1"/>
  <c r="P4" i="9"/>
  <c r="O4" i="9"/>
  <c r="AB3" i="9"/>
  <c r="AP3" i="9" s="1"/>
  <c r="AA3" i="9"/>
  <c r="AO3" i="9" s="1"/>
  <c r="Z3" i="9"/>
  <c r="AN3" i="9" s="1"/>
  <c r="Y3" i="9"/>
  <c r="AM3" i="9" s="1"/>
  <c r="X3" i="9"/>
  <c r="AL3" i="9" s="1"/>
  <c r="W3" i="9"/>
  <c r="AK3" i="9" s="1"/>
  <c r="V3" i="9"/>
  <c r="AJ3" i="9" s="1"/>
  <c r="U3" i="9"/>
  <c r="AI3" i="9" s="1"/>
  <c r="T3" i="9"/>
  <c r="AH3" i="9" s="1"/>
  <c r="S3" i="9"/>
  <c r="AG3" i="9" s="1"/>
  <c r="R3" i="9"/>
  <c r="AF3" i="9" s="1"/>
  <c r="Q3" i="9"/>
  <c r="AE3" i="9" s="1"/>
  <c r="P3" i="9"/>
  <c r="O3" i="9"/>
  <c r="N4" i="9"/>
  <c r="N3" i="9"/>
  <c r="C68" i="9"/>
  <c r="C67" i="9"/>
  <c r="C66" i="9"/>
  <c r="C64" i="9"/>
  <c r="C63" i="9"/>
  <c r="C58" i="9"/>
  <c r="C57" i="9"/>
  <c r="C56" i="9"/>
  <c r="C55" i="9"/>
  <c r="C51" i="9"/>
  <c r="C50" i="9"/>
  <c r="C49" i="9"/>
  <c r="C43" i="9"/>
  <c r="C42" i="9"/>
  <c r="C41" i="9"/>
  <c r="C40" i="9"/>
  <c r="C39" i="9"/>
  <c r="C38" i="9"/>
  <c r="C35" i="9"/>
  <c r="C34" i="9"/>
  <c r="C33" i="9"/>
  <c r="C32" i="9"/>
  <c r="C28" i="9"/>
  <c r="C24" i="9"/>
  <c r="C20" i="9"/>
  <c r="C19" i="9"/>
  <c r="C15" i="9"/>
  <c r="C10" i="9"/>
  <c r="C9" i="9"/>
  <c r="C8" i="9"/>
  <c r="C7" i="9"/>
  <c r="C6" i="9"/>
  <c r="C4" i="9"/>
  <c r="C3" i="9"/>
  <c r="J4" i="9"/>
  <c r="I4" i="9"/>
  <c r="H4" i="9"/>
  <c r="G4" i="9"/>
  <c r="F4" i="9"/>
  <c r="E4" i="9"/>
  <c r="D4" i="9"/>
  <c r="J3" i="9"/>
  <c r="I3" i="9"/>
  <c r="H3" i="9"/>
  <c r="G3" i="9"/>
  <c r="F3" i="9"/>
  <c r="E3" i="9"/>
  <c r="D3" i="9"/>
  <c r="K4" i="9"/>
  <c r="K3" i="9"/>
  <c r="F68" i="9"/>
  <c r="E68" i="9"/>
  <c r="D68" i="9"/>
  <c r="F67" i="9"/>
  <c r="E67" i="9"/>
  <c r="D67" i="9"/>
  <c r="F66" i="9"/>
  <c r="E66" i="9"/>
  <c r="D66" i="9"/>
  <c r="F64" i="9"/>
  <c r="E64" i="9"/>
  <c r="D64" i="9"/>
  <c r="F63" i="9"/>
  <c r="E63" i="9"/>
  <c r="D63" i="9"/>
  <c r="F58" i="9"/>
  <c r="E58" i="9"/>
  <c r="D58" i="9"/>
  <c r="F57" i="9"/>
  <c r="E57" i="9"/>
  <c r="D57" i="9"/>
  <c r="F56" i="9"/>
  <c r="E56" i="9"/>
  <c r="D56" i="9"/>
  <c r="F55" i="9"/>
  <c r="E55" i="9"/>
  <c r="D55" i="9"/>
  <c r="F51" i="9"/>
  <c r="E51" i="9"/>
  <c r="D51" i="9"/>
  <c r="F50" i="9"/>
  <c r="E50" i="9"/>
  <c r="D50" i="9"/>
  <c r="F49" i="9"/>
  <c r="E49" i="9"/>
  <c r="D49" i="9"/>
  <c r="F43" i="9"/>
  <c r="E43" i="9"/>
  <c r="D43" i="9"/>
  <c r="F42" i="9"/>
  <c r="E42" i="9"/>
  <c r="D42" i="9"/>
  <c r="F41" i="9"/>
  <c r="E41" i="9"/>
  <c r="D41" i="9"/>
  <c r="F40" i="9"/>
  <c r="E40" i="9"/>
  <c r="D40" i="9"/>
  <c r="F39" i="9"/>
  <c r="E39" i="9"/>
  <c r="D39" i="9"/>
  <c r="F38" i="9"/>
  <c r="E38" i="9"/>
  <c r="D38" i="9"/>
  <c r="F35" i="9"/>
  <c r="E35" i="9"/>
  <c r="D35" i="9"/>
  <c r="F34" i="9"/>
  <c r="E34" i="9"/>
  <c r="D34" i="9"/>
  <c r="F33" i="9"/>
  <c r="E33" i="9"/>
  <c r="D33" i="9"/>
  <c r="F32" i="9"/>
  <c r="E32" i="9"/>
  <c r="D32" i="9"/>
  <c r="F28" i="9"/>
  <c r="E28" i="9"/>
  <c r="D28" i="9"/>
  <c r="F24" i="9"/>
  <c r="E24" i="9"/>
  <c r="D24" i="9"/>
  <c r="F20" i="9"/>
  <c r="E20" i="9"/>
  <c r="D20" i="9"/>
  <c r="F19" i="9"/>
  <c r="E19" i="9"/>
  <c r="D19" i="9"/>
  <c r="F15" i="9"/>
  <c r="E15" i="9"/>
  <c r="D15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D67" i="27"/>
  <c r="E80" i="27"/>
  <c r="K29" i="27"/>
  <c r="B77" i="27"/>
  <c r="C26" i="27"/>
  <c r="B2" i="27"/>
  <c r="AB51" i="24"/>
  <c r="AB57" i="24" s="1"/>
  <c r="AA51" i="24"/>
  <c r="AA57" i="24" s="1"/>
  <c r="Z51" i="24"/>
  <c r="Z57" i="24" s="1"/>
  <c r="X51" i="24"/>
  <c r="W51" i="24"/>
  <c r="V51" i="24"/>
  <c r="T51" i="24"/>
  <c r="T57" i="24" s="1"/>
  <c r="S51" i="24"/>
  <c r="S57" i="24" s="1"/>
  <c r="R51" i="24"/>
  <c r="R57" i="24" s="1"/>
  <c r="P51" i="24"/>
  <c r="O51" i="24"/>
  <c r="N51" i="24"/>
  <c r="K51" i="24"/>
  <c r="J51" i="24"/>
  <c r="J57" i="24" s="1"/>
  <c r="I51" i="24"/>
  <c r="I57" i="24" s="1"/>
  <c r="H51" i="24"/>
  <c r="H57" i="24" s="1"/>
  <c r="G51" i="24"/>
  <c r="G57" i="24" s="1"/>
  <c r="F51" i="24"/>
  <c r="F57" i="24" s="1"/>
  <c r="E51" i="24"/>
  <c r="D51" i="24"/>
  <c r="C51" i="24"/>
  <c r="AB41" i="24"/>
  <c r="AB46" i="24" s="1"/>
  <c r="AA41" i="24"/>
  <c r="Z41" i="24"/>
  <c r="Z46" i="24" s="1"/>
  <c r="X41" i="24"/>
  <c r="W41" i="24"/>
  <c r="V41" i="24"/>
  <c r="T41" i="24"/>
  <c r="S41" i="24"/>
  <c r="R41" i="24"/>
  <c r="R46" i="24" s="1"/>
  <c r="P41" i="24"/>
  <c r="O41" i="24"/>
  <c r="N41" i="24"/>
  <c r="K41" i="24"/>
  <c r="K46" i="24" s="1"/>
  <c r="J41" i="24"/>
  <c r="I41" i="24"/>
  <c r="I46" i="24" s="1"/>
  <c r="H41" i="24"/>
  <c r="G41" i="24"/>
  <c r="F41" i="24"/>
  <c r="F46" i="24" s="1"/>
  <c r="E41" i="24"/>
  <c r="D41" i="24"/>
  <c r="C41" i="24"/>
  <c r="AB36" i="24"/>
  <c r="AB47" i="24" s="1"/>
  <c r="AA36" i="24"/>
  <c r="AA47" i="24" s="1"/>
  <c r="Z36" i="24"/>
  <c r="Z47" i="24" s="1"/>
  <c r="X36" i="24"/>
  <c r="X47" i="24" s="1"/>
  <c r="W36" i="24"/>
  <c r="W59" i="24" s="1"/>
  <c r="V36" i="24"/>
  <c r="V47" i="24" s="1"/>
  <c r="T36" i="24"/>
  <c r="T47" i="24" s="1"/>
  <c r="S36" i="24"/>
  <c r="S47" i="24" s="1"/>
  <c r="R36" i="24"/>
  <c r="R59" i="24" s="1"/>
  <c r="P36" i="24"/>
  <c r="P47" i="24" s="1"/>
  <c r="O36" i="24"/>
  <c r="O47" i="24" s="1"/>
  <c r="AB31" i="24"/>
  <c r="AB42" i="24" s="1"/>
  <c r="AA31" i="24"/>
  <c r="AA42" i="24" s="1"/>
  <c r="Z31" i="24"/>
  <c r="Z42" i="24" s="1"/>
  <c r="X31" i="24"/>
  <c r="X42" i="24" s="1"/>
  <c r="W31" i="24"/>
  <c r="W42" i="24" s="1"/>
  <c r="V31" i="24"/>
  <c r="V53" i="24" s="1"/>
  <c r="T31" i="24"/>
  <c r="T42" i="24" s="1"/>
  <c r="S31" i="24"/>
  <c r="S42" i="24" s="1"/>
  <c r="R31" i="24"/>
  <c r="R42" i="24" s="1"/>
  <c r="P31" i="24"/>
  <c r="P42" i="24" s="1"/>
  <c r="O31" i="24"/>
  <c r="O42" i="24" s="1"/>
  <c r="N36" i="24"/>
  <c r="N47" i="24" s="1"/>
  <c r="N31" i="24"/>
  <c r="N42" i="24" s="1"/>
  <c r="K36" i="24"/>
  <c r="K47" i="24" s="1"/>
  <c r="J36" i="24"/>
  <c r="J47" i="24" s="1"/>
  <c r="I36" i="24"/>
  <c r="I47" i="24" s="1"/>
  <c r="H36" i="24"/>
  <c r="H47" i="24" s="1"/>
  <c r="G36" i="24"/>
  <c r="G47" i="24" s="1"/>
  <c r="F36" i="24"/>
  <c r="F47" i="24" s="1"/>
  <c r="E36" i="24"/>
  <c r="E47" i="24" s="1"/>
  <c r="D36" i="24"/>
  <c r="D59" i="24" s="1"/>
  <c r="C36" i="24"/>
  <c r="C47" i="24" s="1"/>
  <c r="K31" i="24"/>
  <c r="K53" i="24" s="1"/>
  <c r="J31" i="24"/>
  <c r="J42" i="24" s="1"/>
  <c r="I31" i="24"/>
  <c r="I42" i="24" s="1"/>
  <c r="H31" i="24"/>
  <c r="H42" i="24" s="1"/>
  <c r="G31" i="24"/>
  <c r="G42" i="24" s="1"/>
  <c r="F31" i="24"/>
  <c r="F42" i="24" s="1"/>
  <c r="E31" i="24"/>
  <c r="E42" i="24" s="1"/>
  <c r="D31" i="24"/>
  <c r="D53" i="24" s="1"/>
  <c r="C31" i="24"/>
  <c r="C42" i="24" s="1"/>
  <c r="AB15" i="24"/>
  <c r="AA15" i="24"/>
  <c r="Z15" i="24"/>
  <c r="X15" i="24"/>
  <c r="W15" i="24"/>
  <c r="V15" i="24"/>
  <c r="T15" i="24"/>
  <c r="S15" i="24"/>
  <c r="R15" i="24"/>
  <c r="P15" i="24"/>
  <c r="O15" i="24"/>
  <c r="AB14" i="24"/>
  <c r="AA14" i="24"/>
  <c r="Z14" i="24"/>
  <c r="X14" i="24"/>
  <c r="W14" i="24"/>
  <c r="V14" i="24"/>
  <c r="T14" i="24"/>
  <c r="S14" i="24"/>
  <c r="R14" i="24"/>
  <c r="P14" i="24"/>
  <c r="O14" i="24"/>
  <c r="AB13" i="24"/>
  <c r="AA13" i="24"/>
  <c r="Z13" i="24"/>
  <c r="X13" i="24"/>
  <c r="W13" i="24"/>
  <c r="V13" i="24"/>
  <c r="T13" i="24"/>
  <c r="S13" i="24"/>
  <c r="R13" i="24"/>
  <c r="P13" i="24"/>
  <c r="O13" i="24"/>
  <c r="AB10" i="24"/>
  <c r="AA10" i="24"/>
  <c r="Z10" i="24"/>
  <c r="X10" i="24"/>
  <c r="W10" i="24"/>
  <c r="V10" i="24"/>
  <c r="T10" i="24"/>
  <c r="S10" i="24"/>
  <c r="R10" i="24"/>
  <c r="P10" i="24"/>
  <c r="O10" i="24"/>
  <c r="AB9" i="24"/>
  <c r="AA9" i="24"/>
  <c r="Z9" i="24"/>
  <c r="X9" i="24"/>
  <c r="W9" i="24"/>
  <c r="V9" i="24"/>
  <c r="T9" i="24"/>
  <c r="S9" i="24"/>
  <c r="R9" i="24"/>
  <c r="P9" i="24"/>
  <c r="O9" i="24"/>
  <c r="AB8" i="24"/>
  <c r="AA8" i="24"/>
  <c r="Z8" i="24"/>
  <c r="X8" i="24"/>
  <c r="W8" i="24"/>
  <c r="V8" i="24"/>
  <c r="T8" i="24"/>
  <c r="S8" i="24"/>
  <c r="R8" i="24"/>
  <c r="P8" i="24"/>
  <c r="O8" i="24"/>
  <c r="N15" i="24"/>
  <c r="N14" i="24"/>
  <c r="N13" i="24"/>
  <c r="N10" i="24"/>
  <c r="N9" i="24"/>
  <c r="N8" i="24"/>
  <c r="K15" i="24"/>
  <c r="J15" i="24"/>
  <c r="I15" i="24"/>
  <c r="H15" i="24"/>
  <c r="G15" i="24"/>
  <c r="F15" i="24"/>
  <c r="E15" i="24"/>
  <c r="D15" i="24"/>
  <c r="K14" i="24"/>
  <c r="J14" i="24"/>
  <c r="I14" i="24"/>
  <c r="H14" i="24"/>
  <c r="G14" i="24"/>
  <c r="F14" i="24"/>
  <c r="E14" i="24"/>
  <c r="D14" i="24"/>
  <c r="K13" i="24"/>
  <c r="J13" i="24"/>
  <c r="I13" i="24"/>
  <c r="H13" i="24"/>
  <c r="G13" i="24"/>
  <c r="G16" i="24" s="1"/>
  <c r="F13" i="24"/>
  <c r="F16" i="24" s="1"/>
  <c r="E13" i="24"/>
  <c r="E16" i="24" s="1"/>
  <c r="D13" i="24"/>
  <c r="D16" i="24" s="1"/>
  <c r="C15" i="24"/>
  <c r="C14" i="24"/>
  <c r="C13" i="24"/>
  <c r="K10" i="24"/>
  <c r="J10" i="24"/>
  <c r="I10" i="24"/>
  <c r="H10" i="24"/>
  <c r="G10" i="24"/>
  <c r="F10" i="24"/>
  <c r="E10" i="24"/>
  <c r="K9" i="24"/>
  <c r="J9" i="24"/>
  <c r="I9" i="24"/>
  <c r="H9" i="24"/>
  <c r="G9" i="24"/>
  <c r="F9" i="24"/>
  <c r="E9" i="24"/>
  <c r="D9" i="24"/>
  <c r="K8" i="24"/>
  <c r="J8" i="24"/>
  <c r="I8" i="24"/>
  <c r="H8" i="24"/>
  <c r="G8" i="24"/>
  <c r="F8" i="24"/>
  <c r="E8" i="24"/>
  <c r="D8" i="24"/>
  <c r="C10" i="24"/>
  <c r="C9" i="24"/>
  <c r="C8" i="24"/>
  <c r="AB4" i="24"/>
  <c r="AO4" i="24" s="1"/>
  <c r="AA4" i="24"/>
  <c r="AN4" i="24" s="1"/>
  <c r="Z4" i="24"/>
  <c r="AM4" i="24" s="1"/>
  <c r="X4" i="24"/>
  <c r="AK4" i="24" s="1"/>
  <c r="W4" i="24"/>
  <c r="AJ4" i="24" s="1"/>
  <c r="V4" i="24"/>
  <c r="AI4" i="24" s="1"/>
  <c r="T4" i="24"/>
  <c r="AG4" i="24" s="1"/>
  <c r="S4" i="24"/>
  <c r="AF4" i="24" s="1"/>
  <c r="R4" i="24"/>
  <c r="AE4" i="24" s="1"/>
  <c r="P4" i="24"/>
  <c r="O4" i="24"/>
  <c r="AB3" i="24"/>
  <c r="AO3" i="24" s="1"/>
  <c r="AA3" i="24"/>
  <c r="AN3" i="24" s="1"/>
  <c r="Z3" i="24"/>
  <c r="AM3" i="24" s="1"/>
  <c r="Y3" i="24"/>
  <c r="AL3" i="24" s="1"/>
  <c r="X3" i="24"/>
  <c r="AK3" i="24" s="1"/>
  <c r="W3" i="24"/>
  <c r="AJ3" i="24" s="1"/>
  <c r="V3" i="24"/>
  <c r="AI3" i="24" s="1"/>
  <c r="U3" i="24"/>
  <c r="AH3" i="24" s="1"/>
  <c r="T3" i="24"/>
  <c r="AG3" i="24" s="1"/>
  <c r="S3" i="24"/>
  <c r="AF3" i="24" s="1"/>
  <c r="R3" i="24"/>
  <c r="AE3" i="24" s="1"/>
  <c r="Q3" i="24"/>
  <c r="P3" i="24"/>
  <c r="O3" i="24"/>
  <c r="N4" i="24"/>
  <c r="N3" i="24"/>
  <c r="J4" i="24"/>
  <c r="I4" i="24"/>
  <c r="H4" i="24"/>
  <c r="G4" i="24"/>
  <c r="F4" i="24"/>
  <c r="E4" i="24"/>
  <c r="D4" i="24"/>
  <c r="C4" i="24"/>
  <c r="J3" i="24"/>
  <c r="I3" i="24"/>
  <c r="H3" i="24"/>
  <c r="G3" i="24"/>
  <c r="F3" i="24"/>
  <c r="E3" i="24"/>
  <c r="D3" i="24"/>
  <c r="C3" i="24"/>
  <c r="K4" i="24"/>
  <c r="K3" i="24"/>
  <c r="B2" i="16"/>
  <c r="G331" i="22" l="1"/>
  <c r="H331" i="22" s="1"/>
  <c r="F330" i="22"/>
  <c r="G45" i="22"/>
  <c r="H45" i="22" s="1"/>
  <c r="F44" i="22"/>
  <c r="C77" i="25"/>
  <c r="C107" i="25" s="1"/>
  <c r="C131" i="25" s="1"/>
  <c r="C9" i="28"/>
  <c r="C6" i="27"/>
  <c r="J26" i="27" s="1"/>
  <c r="H10" i="28"/>
  <c r="I10" i="28" s="1"/>
  <c r="F337" i="22"/>
  <c r="G337" i="22" s="1"/>
  <c r="H337" i="22" s="1"/>
  <c r="H335" i="22"/>
  <c r="F339" i="22"/>
  <c r="G339" i="22" s="1"/>
  <c r="H339" i="22" s="1"/>
  <c r="G333" i="22"/>
  <c r="H333" i="22" s="1"/>
  <c r="H140" i="25"/>
  <c r="E87" i="25"/>
  <c r="G87" i="25"/>
  <c r="D122" i="25"/>
  <c r="C28" i="27"/>
  <c r="F8" i="16" s="1"/>
  <c r="D87" i="25"/>
  <c r="F87" i="25"/>
  <c r="C77" i="22"/>
  <c r="C123" i="22"/>
  <c r="C153" i="22"/>
  <c r="C337" i="22"/>
  <c r="J30" i="27"/>
  <c r="C7" i="27"/>
  <c r="C10" i="27" s="1"/>
  <c r="C81" i="27" s="1"/>
  <c r="J29" i="27"/>
  <c r="J28" i="27"/>
  <c r="J27" i="27"/>
  <c r="H87" i="25"/>
  <c r="C79" i="22"/>
  <c r="C125" i="22"/>
  <c r="C155" i="22"/>
  <c r="C53" i="22"/>
  <c r="C335" i="22"/>
  <c r="C51" i="22"/>
  <c r="C81" i="22"/>
  <c r="C127" i="22"/>
  <c r="C55" i="22"/>
  <c r="C333" i="22"/>
  <c r="C97" i="22"/>
  <c r="C129" i="22"/>
  <c r="C331" i="22"/>
  <c r="C99" i="22"/>
  <c r="C131" i="22"/>
  <c r="C103" i="22"/>
  <c r="C147" i="22"/>
  <c r="C345" i="22"/>
  <c r="C71" i="22"/>
  <c r="C105" i="22"/>
  <c r="C149" i="22"/>
  <c r="C45" i="22"/>
  <c r="C343" i="22"/>
  <c r="C107" i="22"/>
  <c r="C339" i="22"/>
  <c r="H94" i="22"/>
  <c r="H200" i="22"/>
  <c r="H302" i="22"/>
  <c r="J10" i="22"/>
  <c r="H68" i="22"/>
  <c r="H170" i="22"/>
  <c r="H274" i="22"/>
  <c r="H42" i="22"/>
  <c r="H144" i="22"/>
  <c r="AC11" i="8"/>
  <c r="AP17" i="8"/>
  <c r="AC15" i="24"/>
  <c r="AP51" i="8"/>
  <c r="AP13" i="24" s="1"/>
  <c r="K16" i="24"/>
  <c r="F22" i="24" a="1"/>
  <c r="F22" i="24" s="1"/>
  <c r="F24" i="24" a="1"/>
  <c r="F24" i="24" s="1"/>
  <c r="L71" i="9"/>
  <c r="AP41" i="8"/>
  <c r="AP8" i="24" s="1"/>
  <c r="AC24" i="24" a="1"/>
  <c r="AC24" i="24" s="1"/>
  <c r="AC43" i="8"/>
  <c r="AC10" i="24" s="1"/>
  <c r="AP52" i="8"/>
  <c r="AP56" i="8" s="1"/>
  <c r="AP54" i="8"/>
  <c r="AR54" i="8" s="1"/>
  <c r="AC65" i="8"/>
  <c r="AC32" i="24" s="1"/>
  <c r="L53" i="24"/>
  <c r="AC50" i="9"/>
  <c r="AQ50" i="9" s="1"/>
  <c r="L33" i="24"/>
  <c r="AC64" i="9"/>
  <c r="AQ64" i="9" s="1"/>
  <c r="L16" i="24"/>
  <c r="AP43" i="8"/>
  <c r="AP10" i="24" s="1"/>
  <c r="AP15" i="24"/>
  <c r="AP11" i="8"/>
  <c r="AP8" i="8"/>
  <c r="AP37" i="8" s="1"/>
  <c r="AP29" i="8"/>
  <c r="AC25" i="24" a="1"/>
  <c r="AC25" i="24" s="1"/>
  <c r="AP32" i="8"/>
  <c r="AP46" i="8"/>
  <c r="AP58" i="8"/>
  <c r="L10" i="24"/>
  <c r="L11" i="24" s="1"/>
  <c r="L59" i="9"/>
  <c r="AP36" i="8"/>
  <c r="AP47" i="8"/>
  <c r="AC15" i="9"/>
  <c r="AP39" i="8"/>
  <c r="AP62" i="8"/>
  <c r="AP65" i="8" s="1"/>
  <c r="AP125" i="8"/>
  <c r="AP18" i="8"/>
  <c r="AC63" i="9"/>
  <c r="AQ63" i="9" s="1"/>
  <c r="AC41" i="24"/>
  <c r="AC46" i="24" s="1"/>
  <c r="AP42" i="8"/>
  <c r="AC42" i="24"/>
  <c r="AC53" i="24"/>
  <c r="AC23" i="24"/>
  <c r="AC52" i="9"/>
  <c r="AQ49" i="9"/>
  <c r="AQ52" i="9" s="1"/>
  <c r="AQ66" i="9"/>
  <c r="L24" i="24" a="1"/>
  <c r="L24" i="24" s="1"/>
  <c r="J43" i="24"/>
  <c r="AC51" i="24"/>
  <c r="AC57" i="24" s="1"/>
  <c r="AC37" i="8"/>
  <c r="L23" i="24"/>
  <c r="AC4" i="24"/>
  <c r="AP4" i="24" s="1"/>
  <c r="AC56" i="9"/>
  <c r="AQ56" i="9" s="1"/>
  <c r="AC67" i="9"/>
  <c r="AQ67" i="9" s="1"/>
  <c r="AC56" i="8"/>
  <c r="AC60" i="8" s="1"/>
  <c r="AC8" i="24"/>
  <c r="L38" i="9"/>
  <c r="AC57" i="9"/>
  <c r="AQ57" i="9" s="1"/>
  <c r="AC72" i="8"/>
  <c r="L58" i="24"/>
  <c r="L60" i="24" s="1"/>
  <c r="AC4" i="9"/>
  <c r="AQ4" i="9" s="1"/>
  <c r="AC16" i="24"/>
  <c r="AP51" i="10"/>
  <c r="AR84" i="10"/>
  <c r="AN11" i="10"/>
  <c r="AK12" i="10"/>
  <c r="AF39" i="10"/>
  <c r="AP9" i="10"/>
  <c r="AP62" i="10"/>
  <c r="AE9" i="10"/>
  <c r="AM9" i="10"/>
  <c r="AO11" i="10"/>
  <c r="AL12" i="10"/>
  <c r="AG39" i="10"/>
  <c r="AO39" i="10"/>
  <c r="AK40" i="10"/>
  <c r="AG41" i="10"/>
  <c r="AO41" i="10"/>
  <c r="AK42" i="10"/>
  <c r="AG81" i="10"/>
  <c r="AO81" i="10"/>
  <c r="AK82" i="10"/>
  <c r="AG83" i="10"/>
  <c r="AO83" i="10"/>
  <c r="AK84" i="10"/>
  <c r="AP10" i="10"/>
  <c r="AP63" i="10"/>
  <c r="AH11" i="10"/>
  <c r="AE12" i="10"/>
  <c r="AN81" i="10"/>
  <c r="AP11" i="10"/>
  <c r="AP26" i="10" s="1"/>
  <c r="AP64" i="10"/>
  <c r="AL10" i="10"/>
  <c r="AI11" i="10"/>
  <c r="AF12" i="10"/>
  <c r="AN12" i="10"/>
  <c r="AL13" i="10"/>
  <c r="AI39" i="10"/>
  <c r="AE40" i="10"/>
  <c r="AM40" i="10"/>
  <c r="AI41" i="10"/>
  <c r="AE42" i="10"/>
  <c r="AM42" i="10"/>
  <c r="AI81" i="10"/>
  <c r="AE82" i="10"/>
  <c r="AM82" i="10"/>
  <c r="AI83" i="10"/>
  <c r="AE84" i="10"/>
  <c r="AM84" i="10"/>
  <c r="AF81" i="10"/>
  <c r="AC25" i="10"/>
  <c r="AP12" i="10"/>
  <c r="AP27" i="10" s="1"/>
  <c r="AP65" i="10"/>
  <c r="AH9" i="10"/>
  <c r="AM10" i="10"/>
  <c r="AJ11" i="10"/>
  <c r="AM13" i="10"/>
  <c r="AJ39" i="10"/>
  <c r="AF40" i="10"/>
  <c r="AN40" i="10"/>
  <c r="AJ41" i="10"/>
  <c r="AF42" i="10"/>
  <c r="AN42" i="10"/>
  <c r="AJ81" i="10"/>
  <c r="AF82" i="10"/>
  <c r="AN82" i="10"/>
  <c r="AJ83" i="10"/>
  <c r="AF84" i="10"/>
  <c r="AN84" i="10"/>
  <c r="AP24" i="10"/>
  <c r="Q14" i="10"/>
  <c r="AC6" i="9"/>
  <c r="AP13" i="10"/>
  <c r="AP28" i="10" s="1"/>
  <c r="AI9" i="10"/>
  <c r="AF10" i="10"/>
  <c r="AN10" i="10"/>
  <c r="AH12" i="10"/>
  <c r="AF13" i="10"/>
  <c r="AN13" i="10"/>
  <c r="AC28" i="10"/>
  <c r="AG10" i="10"/>
  <c r="AL11" i="10"/>
  <c r="AI12" i="10"/>
  <c r="AG13" i="10"/>
  <c r="AL39" i="10"/>
  <c r="AH40" i="10"/>
  <c r="AL81" i="10"/>
  <c r="AP82" i="10"/>
  <c r="AL83" i="10"/>
  <c r="AP96" i="10" s="1"/>
  <c r="AH84" i="10"/>
  <c r="AM11" i="10"/>
  <c r="AP25" i="10"/>
  <c r="AP43" i="10"/>
  <c r="AP53" i="10"/>
  <c r="AP94" i="10"/>
  <c r="AC76" i="10"/>
  <c r="AC7" i="9"/>
  <c r="AC43" i="10"/>
  <c r="AC49" i="10" s="1"/>
  <c r="U14" i="10"/>
  <c r="AC8" i="9"/>
  <c r="AC9" i="9"/>
  <c r="AC68" i="10"/>
  <c r="L86" i="10"/>
  <c r="AC96" i="10"/>
  <c r="AC95" i="10"/>
  <c r="AC69" i="10"/>
  <c r="AC58" i="10"/>
  <c r="AC51" i="10"/>
  <c r="AC53" i="10"/>
  <c r="AC32" i="10"/>
  <c r="AC14" i="10"/>
  <c r="AC18" i="10" s="1"/>
  <c r="AC30" i="10"/>
  <c r="L69" i="9"/>
  <c r="L72" i="9" s="1"/>
  <c r="L81" i="9" s="1"/>
  <c r="L11" i="9"/>
  <c r="L16" i="9" s="1"/>
  <c r="L52" i="9"/>
  <c r="AC47" i="24"/>
  <c r="L25" i="24" a="1"/>
  <c r="L25" i="24" s="1"/>
  <c r="L37" i="24"/>
  <c r="L38" i="24" s="1"/>
  <c r="L52" i="24"/>
  <c r="L22" i="24" a="1"/>
  <c r="L22" i="24" s="1"/>
  <c r="L43" i="24"/>
  <c r="L46" i="24"/>
  <c r="L47" i="24"/>
  <c r="C11" i="9"/>
  <c r="C16" i="9" s="1"/>
  <c r="C21" i="9" s="1"/>
  <c r="L48" i="10"/>
  <c r="L92" i="10"/>
  <c r="L47" i="10"/>
  <c r="L20" i="10"/>
  <c r="L19" i="10"/>
  <c r="L21" i="10"/>
  <c r="L89" i="10"/>
  <c r="L22" i="10"/>
  <c r="L90" i="10"/>
  <c r="L46" i="10"/>
  <c r="L15" i="10"/>
  <c r="D11" i="9"/>
  <c r="E11" i="9"/>
  <c r="AC14" i="8"/>
  <c r="AC19" i="8" s="1"/>
  <c r="P22" i="24" a="1"/>
  <c r="P22" i="24" s="1"/>
  <c r="L66" i="8"/>
  <c r="L68" i="8" s="1"/>
  <c r="L19" i="8"/>
  <c r="L15" i="8"/>
  <c r="J52" i="24"/>
  <c r="O52" i="24"/>
  <c r="H11" i="24"/>
  <c r="G58" i="24"/>
  <c r="C52" i="24"/>
  <c r="K52" i="24"/>
  <c r="K54" i="24" s="1"/>
  <c r="H52" i="24"/>
  <c r="J16" i="24"/>
  <c r="T52" i="24"/>
  <c r="H59" i="24"/>
  <c r="P59" i="24"/>
  <c r="P53" i="24"/>
  <c r="J11" i="24"/>
  <c r="P52" i="24"/>
  <c r="C52" i="9"/>
  <c r="C69" i="9"/>
  <c r="F53" i="24"/>
  <c r="X22" i="24" a="1"/>
  <c r="X22" i="24" s="1"/>
  <c r="N53" i="24"/>
  <c r="F59" i="24"/>
  <c r="F52" i="9"/>
  <c r="R47" i="24"/>
  <c r="R48" i="24" s="1"/>
  <c r="X53" i="24"/>
  <c r="E52" i="24"/>
  <c r="J58" i="24"/>
  <c r="X59" i="24"/>
  <c r="E52" i="9"/>
  <c r="R58" i="24"/>
  <c r="R60" i="24" s="1"/>
  <c r="Z59" i="24"/>
  <c r="S58" i="24"/>
  <c r="AA52" i="24"/>
  <c r="Z58" i="24"/>
  <c r="F69" i="9"/>
  <c r="D52" i="9"/>
  <c r="E69" i="9"/>
  <c r="D69" i="9"/>
  <c r="F11" i="9"/>
  <c r="K31" i="27"/>
  <c r="E57" i="27"/>
  <c r="E50" i="27"/>
  <c r="G50" i="27" s="1"/>
  <c r="C50" i="27"/>
  <c r="AB52" i="24"/>
  <c r="H58" i="24"/>
  <c r="W47" i="24"/>
  <c r="E53" i="24"/>
  <c r="O53" i="24"/>
  <c r="W53" i="24"/>
  <c r="S52" i="24"/>
  <c r="D52" i="24"/>
  <c r="D54" i="24" s="1"/>
  <c r="N52" i="24"/>
  <c r="V52" i="24"/>
  <c r="V54" i="24" s="1"/>
  <c r="I58" i="24"/>
  <c r="AA58" i="24"/>
  <c r="G59" i="24"/>
  <c r="T58" i="24"/>
  <c r="C57" i="24"/>
  <c r="C58" i="24" s="1"/>
  <c r="G53" i="24"/>
  <c r="G52" i="24"/>
  <c r="W52" i="24"/>
  <c r="I59" i="24"/>
  <c r="S59" i="24"/>
  <c r="AA59" i="24"/>
  <c r="F52" i="24"/>
  <c r="AB58" i="24"/>
  <c r="K57" i="24"/>
  <c r="K58" i="24" s="1"/>
  <c r="H53" i="24"/>
  <c r="R53" i="24"/>
  <c r="Z53" i="24"/>
  <c r="X52" i="24"/>
  <c r="J59" i="24"/>
  <c r="T59" i="24"/>
  <c r="AB59" i="24"/>
  <c r="T43" i="24"/>
  <c r="AB43" i="24"/>
  <c r="I53" i="24"/>
  <c r="S53" i="24"/>
  <c r="AA53" i="24"/>
  <c r="R52" i="24"/>
  <c r="C59" i="24"/>
  <c r="K59" i="24"/>
  <c r="K42" i="24"/>
  <c r="K43" i="24" s="1"/>
  <c r="J53" i="24"/>
  <c r="J54" i="24" s="1"/>
  <c r="T53" i="24"/>
  <c r="AB53" i="24"/>
  <c r="Z52" i="24"/>
  <c r="I52" i="24"/>
  <c r="F58" i="24"/>
  <c r="N59" i="24"/>
  <c r="V59" i="24"/>
  <c r="H43" i="24"/>
  <c r="C53" i="24"/>
  <c r="E59" i="24"/>
  <c r="O59" i="24"/>
  <c r="H46" i="24"/>
  <c r="O43" i="24"/>
  <c r="W43" i="24"/>
  <c r="J46" i="24"/>
  <c r="J48" i="24" s="1"/>
  <c r="T46" i="24"/>
  <c r="T48" i="24" s="1"/>
  <c r="J24" i="24" a="1"/>
  <c r="J24" i="24" s="1"/>
  <c r="T22" i="24" a="1"/>
  <c r="T22" i="24" s="1"/>
  <c r="AB22" i="24" a="1"/>
  <c r="AB22" i="24" s="1"/>
  <c r="K48" i="24"/>
  <c r="F48" i="24"/>
  <c r="C43" i="24"/>
  <c r="C46" i="24"/>
  <c r="D42" i="24"/>
  <c r="D43" i="24" s="1"/>
  <c r="V42" i="24"/>
  <c r="V43" i="24" s="1"/>
  <c r="N43" i="24"/>
  <c r="R43" i="24"/>
  <c r="Z43" i="24"/>
  <c r="D46" i="24"/>
  <c r="N46" i="24"/>
  <c r="V46" i="24"/>
  <c r="I16" i="24"/>
  <c r="E43" i="24"/>
  <c r="S43" i="24"/>
  <c r="AA43" i="24"/>
  <c r="E46" i="24"/>
  <c r="O46" i="24"/>
  <c r="O48" i="24" s="1"/>
  <c r="W46" i="24"/>
  <c r="P57" i="24"/>
  <c r="P58" i="24" s="1"/>
  <c r="X43" i="24"/>
  <c r="F43" i="24"/>
  <c r="P43" i="24"/>
  <c r="P46" i="24"/>
  <c r="X46" i="24"/>
  <c r="X48" i="24" s="1"/>
  <c r="X57" i="24"/>
  <c r="X58" i="24" s="1"/>
  <c r="G43" i="24"/>
  <c r="G46" i="24"/>
  <c r="D47" i="24"/>
  <c r="Z48" i="24"/>
  <c r="W24" i="24" a="1"/>
  <c r="W24" i="24" s="1"/>
  <c r="I43" i="24"/>
  <c r="S46" i="24"/>
  <c r="AA46" i="24"/>
  <c r="AB48" i="24"/>
  <c r="D57" i="24"/>
  <c r="D58" i="24" s="1"/>
  <c r="D60" i="24" s="1"/>
  <c r="N57" i="24"/>
  <c r="N58" i="24" s="1"/>
  <c r="V57" i="24"/>
  <c r="V58" i="24" s="1"/>
  <c r="E57" i="24"/>
  <c r="E58" i="24" s="1"/>
  <c r="O57" i="24"/>
  <c r="O58" i="24" s="1"/>
  <c r="W57" i="24"/>
  <c r="W58" i="24" s="1"/>
  <c r="W60" i="24" s="1"/>
  <c r="I48" i="24"/>
  <c r="O25" i="24" a="1"/>
  <c r="O25" i="24" s="1"/>
  <c r="F11" i="24"/>
  <c r="F18" i="24" s="1"/>
  <c r="D22" i="24" a="1"/>
  <c r="D22" i="24" s="1"/>
  <c r="I11" i="24"/>
  <c r="D24" i="24" a="1"/>
  <c r="D24" i="24" s="1"/>
  <c r="P24" i="24" a="1"/>
  <c r="P24" i="24" s="1"/>
  <c r="X24" i="24" a="1"/>
  <c r="X24" i="24" s="1"/>
  <c r="T25" i="24" a="1"/>
  <c r="T25" i="24" s="1"/>
  <c r="AB25" i="24" a="1"/>
  <c r="AB25" i="24" s="1"/>
  <c r="E24" i="24" a="1"/>
  <c r="E24" i="24" s="1"/>
  <c r="W22" i="24" a="1"/>
  <c r="W22" i="24" s="1"/>
  <c r="K25" i="24" a="1"/>
  <c r="K25" i="24" s="1"/>
  <c r="H22" i="24" a="1"/>
  <c r="H22" i="24" s="1"/>
  <c r="H24" i="24" a="1"/>
  <c r="H24" i="24" s="1"/>
  <c r="O22" i="24" a="1"/>
  <c r="O22" i="24" s="1"/>
  <c r="T24" i="24" a="1"/>
  <c r="T24" i="24" s="1"/>
  <c r="AB24" i="24" a="1"/>
  <c r="AB24" i="24" s="1"/>
  <c r="P25" i="24" a="1"/>
  <c r="P25" i="24" s="1"/>
  <c r="X25" i="24" a="1"/>
  <c r="X25" i="24" s="1"/>
  <c r="O24" i="24" a="1"/>
  <c r="O24" i="24" s="1"/>
  <c r="T23" i="24"/>
  <c r="AB23" i="24"/>
  <c r="K24" i="24" a="1"/>
  <c r="K24" i="24" s="1"/>
  <c r="W23" i="24"/>
  <c r="S25" i="24" a="1"/>
  <c r="S25" i="24" s="1"/>
  <c r="AA25" i="24" a="1"/>
  <c r="AA25" i="24" s="1"/>
  <c r="K23" i="24"/>
  <c r="H16" i="24"/>
  <c r="H18" i="24" s="1"/>
  <c r="D25" i="24" a="1"/>
  <c r="D25" i="24" s="1"/>
  <c r="D23" i="24"/>
  <c r="O23" i="24"/>
  <c r="I23" i="24"/>
  <c r="J23" i="24"/>
  <c r="I22" i="24" a="1"/>
  <c r="I22" i="24" s="1"/>
  <c r="E23" i="24"/>
  <c r="P23" i="24"/>
  <c r="X23" i="24"/>
  <c r="G24" i="24" a="1"/>
  <c r="G24" i="24" s="1"/>
  <c r="S24" i="24" a="1"/>
  <c r="S24" i="24" s="1"/>
  <c r="AA24" i="24" a="1"/>
  <c r="AA24" i="24" s="1"/>
  <c r="W25" i="24" a="1"/>
  <c r="W25" i="24" s="1"/>
  <c r="F23" i="24"/>
  <c r="G23" i="24"/>
  <c r="I24" i="24" a="1"/>
  <c r="I24" i="24" s="1"/>
  <c r="S22" i="24" a="1"/>
  <c r="S22" i="24" s="1"/>
  <c r="AA22" i="24" a="1"/>
  <c r="AA22" i="24" s="1"/>
  <c r="H23" i="24"/>
  <c r="S23" i="24"/>
  <c r="AA23" i="24"/>
  <c r="F25" i="24" a="1"/>
  <c r="F25" i="24" s="1"/>
  <c r="E22" i="24" a="1"/>
  <c r="E22" i="24" s="1"/>
  <c r="G25" i="24" a="1"/>
  <c r="G25" i="24" s="1"/>
  <c r="H25" i="24" a="1"/>
  <c r="H25" i="24" s="1"/>
  <c r="G22" i="24" a="1"/>
  <c r="G22" i="24" s="1"/>
  <c r="I25" i="24" a="1"/>
  <c r="I25" i="24" s="1"/>
  <c r="J25" i="24" a="1"/>
  <c r="J25" i="24" s="1"/>
  <c r="J22" i="24" a="1"/>
  <c r="J22" i="24" s="1"/>
  <c r="K22" i="24" a="1"/>
  <c r="K22" i="24" s="1"/>
  <c r="E25" i="24" a="1"/>
  <c r="E25" i="24" s="1"/>
  <c r="E11" i="24"/>
  <c r="E18" i="24" s="1"/>
  <c r="R11" i="24"/>
  <c r="Z11" i="24"/>
  <c r="G11" i="24"/>
  <c r="G18" i="24" s="1"/>
  <c r="T16" i="24"/>
  <c r="AB16" i="24"/>
  <c r="O11" i="24"/>
  <c r="W11" i="24"/>
  <c r="P11" i="24"/>
  <c r="X11" i="24"/>
  <c r="O16" i="24"/>
  <c r="W16" i="24"/>
  <c r="N16" i="24"/>
  <c r="R16" i="24"/>
  <c r="Z16" i="24"/>
  <c r="S11" i="24"/>
  <c r="AA11" i="24"/>
  <c r="P16" i="24"/>
  <c r="X16" i="24"/>
  <c r="T11" i="24"/>
  <c r="AB11" i="24"/>
  <c r="K11" i="24"/>
  <c r="K18" i="24" s="1"/>
  <c r="C16" i="24"/>
  <c r="V11" i="24"/>
  <c r="S16" i="24"/>
  <c r="AA16" i="24"/>
  <c r="N11" i="24"/>
  <c r="V16" i="24"/>
  <c r="C11" i="24"/>
  <c r="G44" i="22" l="1"/>
  <c r="H44" i="22" s="1"/>
  <c r="G330" i="22"/>
  <c r="H330" i="22" s="1"/>
  <c r="C43" i="27"/>
  <c r="E43" i="27" s="1"/>
  <c r="E37" i="16"/>
  <c r="F37" i="16" s="1"/>
  <c r="F9" i="16" s="1"/>
  <c r="F338" i="22"/>
  <c r="G338" i="22" s="1"/>
  <c r="H338" i="22" s="1"/>
  <c r="G332" i="22"/>
  <c r="H334" i="22"/>
  <c r="J334" i="22" s="1"/>
  <c r="E486" i="22"/>
  <c r="E484" i="22"/>
  <c r="E424" i="22"/>
  <c r="E488" i="22"/>
  <c r="E490" i="22"/>
  <c r="E462" i="22"/>
  <c r="E464" i="22"/>
  <c r="E466" i="22"/>
  <c r="E468" i="22"/>
  <c r="E442" i="22"/>
  <c r="E440" i="22"/>
  <c r="E376" i="22"/>
  <c r="E374" i="22"/>
  <c r="E444" i="22"/>
  <c r="E420" i="22"/>
  <c r="E418" i="22"/>
  <c r="E378" i="22"/>
  <c r="E446" i="22"/>
  <c r="E422" i="22"/>
  <c r="E380" i="22"/>
  <c r="F336" i="22"/>
  <c r="J408" i="22"/>
  <c r="J474" i="22"/>
  <c r="J452" i="22"/>
  <c r="J384" i="22"/>
  <c r="J430" i="22"/>
  <c r="J360" i="22"/>
  <c r="J302" i="22"/>
  <c r="J200" i="22"/>
  <c r="J94" i="22"/>
  <c r="J274" i="22"/>
  <c r="J170" i="22"/>
  <c r="J68" i="22"/>
  <c r="J244" i="22"/>
  <c r="J144" i="22"/>
  <c r="J42" i="22"/>
  <c r="J328" i="22"/>
  <c r="J222" i="22"/>
  <c r="J120" i="22"/>
  <c r="AC44" i="8"/>
  <c r="AC49" i="8" s="1"/>
  <c r="F26" i="24"/>
  <c r="L18" i="24"/>
  <c r="L19" i="24" s="1"/>
  <c r="AC11" i="24"/>
  <c r="AC18" i="24" s="1"/>
  <c r="AC43" i="24"/>
  <c r="AC58" i="24"/>
  <c r="AC60" i="24" s="1"/>
  <c r="AP14" i="24"/>
  <c r="AP16" i="24" s="1"/>
  <c r="AC22" i="24" a="1"/>
  <c r="AC22" i="24" s="1"/>
  <c r="AC26" i="24" s="1"/>
  <c r="AC52" i="24"/>
  <c r="AC54" i="24" s="1"/>
  <c r="L26" i="24"/>
  <c r="L54" i="24"/>
  <c r="AC71" i="9"/>
  <c r="AQ71" i="9" s="1"/>
  <c r="AP72" i="8"/>
  <c r="AP31" i="24"/>
  <c r="AP51" i="24"/>
  <c r="AP57" i="24" s="1"/>
  <c r="Z60" i="24"/>
  <c r="AP9" i="24"/>
  <c r="AP11" i="24" s="1"/>
  <c r="AP41" i="24"/>
  <c r="AP44" i="8"/>
  <c r="AP36" i="24"/>
  <c r="AP14" i="8"/>
  <c r="AP32" i="24"/>
  <c r="AP60" i="8"/>
  <c r="C54" i="24"/>
  <c r="AC60" i="9"/>
  <c r="AQ60" i="9" s="1"/>
  <c r="AC59" i="9"/>
  <c r="AQ59" i="9" s="1"/>
  <c r="AQ69" i="9"/>
  <c r="AC33" i="24"/>
  <c r="AC37" i="24"/>
  <c r="AC38" i="24" s="1"/>
  <c r="AC69" i="9"/>
  <c r="AC66" i="8"/>
  <c r="AC68" i="8" s="1"/>
  <c r="AC48" i="10"/>
  <c r="AC46" i="10"/>
  <c r="AC47" i="10"/>
  <c r="AP95" i="10"/>
  <c r="AP14" i="10"/>
  <c r="AP19" i="10" s="1"/>
  <c r="AC11" i="9"/>
  <c r="AC16" i="9" s="1"/>
  <c r="AC21" i="9" s="1"/>
  <c r="AP15" i="10"/>
  <c r="AP18" i="10"/>
  <c r="AP21" i="10"/>
  <c r="AP49" i="10"/>
  <c r="AP47" i="10"/>
  <c r="AP46" i="10"/>
  <c r="AP48" i="10"/>
  <c r="D12" i="9"/>
  <c r="AC22" i="10"/>
  <c r="AC15" i="10"/>
  <c r="AC19" i="10"/>
  <c r="AC21" i="10"/>
  <c r="AC20" i="10"/>
  <c r="D16" i="9"/>
  <c r="D21" i="9" s="1"/>
  <c r="D22" i="9" s="1"/>
  <c r="E12" i="9"/>
  <c r="L17" i="9"/>
  <c r="L21" i="9"/>
  <c r="AC48" i="24"/>
  <c r="X60" i="24"/>
  <c r="L48" i="24"/>
  <c r="F60" i="24"/>
  <c r="J60" i="24"/>
  <c r="G60" i="24"/>
  <c r="P54" i="24"/>
  <c r="E16" i="9"/>
  <c r="E21" i="9" s="1"/>
  <c r="E25" i="9" s="1"/>
  <c r="F16" i="9"/>
  <c r="F17" i="9" s="1"/>
  <c r="F12" i="9"/>
  <c r="AC15" i="8"/>
  <c r="AC23" i="8"/>
  <c r="AC26" i="8" s="1"/>
  <c r="AC20" i="8"/>
  <c r="J18" i="24"/>
  <c r="K19" i="24" s="1"/>
  <c r="V60" i="24"/>
  <c r="L23" i="8"/>
  <c r="L26" i="8" s="1"/>
  <c r="L20" i="8"/>
  <c r="O54" i="24"/>
  <c r="H60" i="24"/>
  <c r="N60" i="24"/>
  <c r="H54" i="24"/>
  <c r="AA54" i="24"/>
  <c r="X54" i="24"/>
  <c r="E54" i="24"/>
  <c r="O60" i="24"/>
  <c r="N54" i="24"/>
  <c r="E60" i="24"/>
  <c r="C17" i="9"/>
  <c r="T60" i="24"/>
  <c r="F54" i="24"/>
  <c r="Z54" i="24"/>
  <c r="S60" i="24"/>
  <c r="P60" i="24"/>
  <c r="T54" i="24"/>
  <c r="I54" i="24"/>
  <c r="E75" i="27"/>
  <c r="K60" i="24"/>
  <c r="C60" i="24"/>
  <c r="AA60" i="24"/>
  <c r="AB54" i="24"/>
  <c r="C25" i="9"/>
  <c r="C22" i="9"/>
  <c r="H50" i="27"/>
  <c r="G80" i="27"/>
  <c r="AB60" i="24"/>
  <c r="I60" i="24"/>
  <c r="R54" i="24"/>
  <c r="W54" i="24"/>
  <c r="G54" i="24"/>
  <c r="S54" i="24"/>
  <c r="W26" i="24"/>
  <c r="P48" i="24"/>
  <c r="H48" i="24"/>
  <c r="W48" i="24"/>
  <c r="G48" i="24"/>
  <c r="V48" i="24"/>
  <c r="S48" i="24"/>
  <c r="D48" i="24"/>
  <c r="C48" i="24"/>
  <c r="AA48" i="24"/>
  <c r="E48" i="24"/>
  <c r="N48" i="24"/>
  <c r="I18" i="24"/>
  <c r="I19" i="24" s="1"/>
  <c r="D26" i="24"/>
  <c r="T26" i="24"/>
  <c r="P26" i="24"/>
  <c r="G19" i="24"/>
  <c r="AB26" i="24"/>
  <c r="X26" i="24"/>
  <c r="H26" i="24"/>
  <c r="K26" i="24"/>
  <c r="O26" i="24"/>
  <c r="J26" i="24"/>
  <c r="I26" i="24"/>
  <c r="G26" i="24"/>
  <c r="E26" i="24"/>
  <c r="AA26" i="24"/>
  <c r="S26" i="24"/>
  <c r="R18" i="24"/>
  <c r="H19" i="24"/>
  <c r="C18" i="24"/>
  <c r="S18" i="24"/>
  <c r="P18" i="24"/>
  <c r="AA18" i="24"/>
  <c r="V18" i="24"/>
  <c r="F19" i="24"/>
  <c r="N18" i="24"/>
  <c r="X18" i="24"/>
  <c r="AB18" i="24"/>
  <c r="W18" i="24"/>
  <c r="T18" i="24"/>
  <c r="O18" i="24"/>
  <c r="Z18" i="24"/>
  <c r="H332" i="22" l="1"/>
  <c r="G336" i="22"/>
  <c r="AQ72" i="9"/>
  <c r="AQ81" i="9" s="1"/>
  <c r="AP18" i="24"/>
  <c r="AC72" i="9"/>
  <c r="AC81" i="9" s="1"/>
  <c r="AP15" i="8"/>
  <c r="AP19" i="8"/>
  <c r="AP59" i="24"/>
  <c r="AP47" i="24"/>
  <c r="AP49" i="8"/>
  <c r="AP58" i="24"/>
  <c r="AP66" i="8"/>
  <c r="AP46" i="24"/>
  <c r="AP48" i="24" s="1"/>
  <c r="AP52" i="24"/>
  <c r="AP33" i="24"/>
  <c r="AP37" i="24"/>
  <c r="AP38" i="24" s="1"/>
  <c r="AP42" i="24"/>
  <c r="AP43" i="24" s="1"/>
  <c r="AP53" i="24"/>
  <c r="AC19" i="24"/>
  <c r="AC22" i="9"/>
  <c r="AC17" i="9"/>
  <c r="AP20" i="10"/>
  <c r="AP22" i="10"/>
  <c r="D17" i="9"/>
  <c r="D25" i="9"/>
  <c r="D29" i="9" s="1"/>
  <c r="E22" i="9"/>
  <c r="E17" i="9"/>
  <c r="F21" i="9"/>
  <c r="F22" i="9" s="1"/>
  <c r="L22" i="9"/>
  <c r="L25" i="9"/>
  <c r="AC33" i="8"/>
  <c r="AC30" i="8"/>
  <c r="AC27" i="8"/>
  <c r="AC75" i="8"/>
  <c r="L75" i="8"/>
  <c r="L90" i="8" s="1"/>
  <c r="L118" i="8" s="1"/>
  <c r="L33" i="8"/>
  <c r="L30" i="8"/>
  <c r="L27" i="8"/>
  <c r="C26" i="9"/>
  <c r="C29" i="9"/>
  <c r="C79" i="9" s="1" a="1"/>
  <c r="C79" i="9" s="1"/>
  <c r="E26" i="9"/>
  <c r="E29" i="9"/>
  <c r="H80" i="27"/>
  <c r="I50" i="27"/>
  <c r="J19" i="24"/>
  <c r="O19" i="24"/>
  <c r="S19" i="24"/>
  <c r="AB19" i="24"/>
  <c r="X19" i="24"/>
  <c r="AA19" i="24"/>
  <c r="P19" i="24"/>
  <c r="T19" i="24"/>
  <c r="W19" i="24"/>
  <c r="H336" i="22" l="1"/>
  <c r="AP20" i="8"/>
  <c r="AP23" i="8"/>
  <c r="AP68" i="8"/>
  <c r="AP54" i="24"/>
  <c r="AP60" i="24"/>
  <c r="D26" i="9"/>
  <c r="F25" i="9"/>
  <c r="F26" i="9" s="1"/>
  <c r="L26" i="9"/>
  <c r="L29" i="9"/>
  <c r="C36" i="9"/>
  <c r="C45" i="9" s="1"/>
  <c r="C80" i="9" a="1"/>
  <c r="C80" i="9" s="1"/>
  <c r="C78" i="9"/>
  <c r="C30" i="9"/>
  <c r="C77" i="9"/>
  <c r="C76" i="9"/>
  <c r="E78" i="9"/>
  <c r="E30" i="9"/>
  <c r="E79" i="9" a="1"/>
  <c r="E79" i="9" s="1"/>
  <c r="E36" i="9"/>
  <c r="E45" i="9" s="1"/>
  <c r="E80" i="9" a="1"/>
  <c r="E80" i="9" s="1"/>
  <c r="E77" i="9"/>
  <c r="E76" i="9"/>
  <c r="D80" i="9" a="1"/>
  <c r="D80" i="9" s="1"/>
  <c r="D78" i="9"/>
  <c r="D30" i="9"/>
  <c r="D36" i="9"/>
  <c r="D45" i="9" s="1"/>
  <c r="D79" i="9" a="1"/>
  <c r="D79" i="9" s="1"/>
  <c r="D77" i="9"/>
  <c r="D76" i="9"/>
  <c r="J50" i="27"/>
  <c r="I80" i="27"/>
  <c r="AP26" i="8" l="1"/>
  <c r="F29" i="9"/>
  <c r="F78" i="9" s="1"/>
  <c r="L80" i="9" a="1"/>
  <c r="L80" i="9" s="1"/>
  <c r="L36" i="9"/>
  <c r="L79" i="9" a="1"/>
  <c r="L79" i="9" s="1"/>
  <c r="L78" i="9"/>
  <c r="L30" i="9"/>
  <c r="L77" i="9"/>
  <c r="L76" i="9"/>
  <c r="K50" i="27"/>
  <c r="L50" i="27" s="1"/>
  <c r="L80" i="27" s="1"/>
  <c r="J80" i="27"/>
  <c r="F76" i="9" l="1"/>
  <c r="F77" i="9"/>
  <c r="F79" i="9" a="1"/>
  <c r="F79" i="9" s="1"/>
  <c r="F36" i="9"/>
  <c r="F45" i="9" s="1"/>
  <c r="F80" i="9" a="1"/>
  <c r="F80" i="9" s="1"/>
  <c r="F30" i="9"/>
  <c r="AP30" i="8"/>
  <c r="AP27" i="8"/>
  <c r="AP33" i="8"/>
  <c r="K80" i="27"/>
  <c r="G15" i="27"/>
  <c r="B15" i="27"/>
  <c r="B14" i="27"/>
  <c r="H184" i="25" l="1"/>
  <c r="G184" i="25"/>
  <c r="F184" i="25"/>
  <c r="E184" i="25"/>
  <c r="D184" i="25"/>
  <c r="C184" i="25"/>
  <c r="D311" i="22"/>
  <c r="C311" i="22"/>
  <c r="F309" i="22"/>
  <c r="E309" i="22"/>
  <c r="D309" i="22"/>
  <c r="C309" i="22"/>
  <c r="G307" i="22"/>
  <c r="F307" i="22"/>
  <c r="E307" i="22"/>
  <c r="D307" i="22"/>
  <c r="C307" i="22"/>
  <c r="H223" i="25"/>
  <c r="G223" i="25"/>
  <c r="F223" i="25"/>
  <c r="E223" i="25"/>
  <c r="D223" i="25"/>
  <c r="L222" i="25"/>
  <c r="K76" i="25"/>
  <c r="L209" i="25"/>
  <c r="M209" i="25" s="1"/>
  <c r="N209" i="25" s="1"/>
  <c r="O209" i="25" s="1"/>
  <c r="P209" i="25" s="1"/>
  <c r="Q209" i="25" s="1"/>
  <c r="H210" i="25"/>
  <c r="G210" i="25"/>
  <c r="F210" i="25"/>
  <c r="E210" i="25"/>
  <c r="D210" i="25"/>
  <c r="C210" i="25"/>
  <c r="L199" i="25"/>
  <c r="M199" i="25" s="1"/>
  <c r="N199" i="25" s="1"/>
  <c r="O199" i="25" s="1"/>
  <c r="P199" i="25" s="1"/>
  <c r="Q199" i="25" s="1"/>
  <c r="H196" i="25"/>
  <c r="G196" i="25"/>
  <c r="F196" i="25"/>
  <c r="E196" i="25"/>
  <c r="D196" i="25"/>
  <c r="C196" i="25"/>
  <c r="Q184" i="25"/>
  <c r="P184" i="25"/>
  <c r="O184" i="25"/>
  <c r="N184" i="25"/>
  <c r="M184" i="25"/>
  <c r="L184" i="25"/>
  <c r="L177" i="25"/>
  <c r="M177" i="25" s="1"/>
  <c r="N177" i="25" s="1"/>
  <c r="O177" i="25" s="1"/>
  <c r="P177" i="25" s="1"/>
  <c r="Q177" i="25" s="1"/>
  <c r="Q124" i="25" s="1"/>
  <c r="G124" i="25"/>
  <c r="F124" i="25"/>
  <c r="E124" i="25"/>
  <c r="D124" i="25"/>
  <c r="C124" i="25"/>
  <c r="H125" i="25"/>
  <c r="G125" i="25"/>
  <c r="F125" i="25"/>
  <c r="E125" i="25"/>
  <c r="D125" i="25"/>
  <c r="C125" i="25"/>
  <c r="C354" i="22"/>
  <c r="C352" i="22"/>
  <c r="C350" i="22"/>
  <c r="C348" i="22"/>
  <c r="D323" i="22"/>
  <c r="C323" i="22"/>
  <c r="D321" i="22"/>
  <c r="C321" i="22"/>
  <c r="D319" i="22"/>
  <c r="C319" i="22"/>
  <c r="D317" i="22"/>
  <c r="C317" i="22"/>
  <c r="L101" i="25"/>
  <c r="M101" i="25" s="1"/>
  <c r="N101" i="25" s="1"/>
  <c r="O101" i="25" s="1"/>
  <c r="P101" i="25" s="1"/>
  <c r="Q101" i="25" s="1"/>
  <c r="S101" i="25" s="1"/>
  <c r="H178" i="25"/>
  <c r="L174" i="25" s="1"/>
  <c r="G178" i="25"/>
  <c r="H174" i="25" s="1"/>
  <c r="F178" i="25"/>
  <c r="G174" i="25" s="1"/>
  <c r="E178" i="25"/>
  <c r="F174" i="25" s="1"/>
  <c r="D178" i="25"/>
  <c r="E174" i="25" s="1"/>
  <c r="C178" i="25"/>
  <c r="D174" i="25" s="1"/>
  <c r="H192" i="25"/>
  <c r="L189" i="25" s="1"/>
  <c r="G192" i="25"/>
  <c r="H189" i="25" s="1"/>
  <c r="F192" i="25"/>
  <c r="G189" i="25" s="1"/>
  <c r="E192" i="25"/>
  <c r="F189" i="25" s="1"/>
  <c r="D192" i="25"/>
  <c r="E189" i="25" s="1"/>
  <c r="C192" i="25"/>
  <c r="D189" i="25" s="1"/>
  <c r="H116" i="25"/>
  <c r="C116" i="25"/>
  <c r="L94" i="25"/>
  <c r="L204" i="25" s="1"/>
  <c r="F122" i="25"/>
  <c r="E204" i="25"/>
  <c r="D204" i="25"/>
  <c r="L183" i="25"/>
  <c r="H183" i="25"/>
  <c r="G183" i="25"/>
  <c r="F183" i="25"/>
  <c r="E183" i="25"/>
  <c r="D183" i="25"/>
  <c r="H171" i="25"/>
  <c r="G171" i="25"/>
  <c r="H168" i="25" s="1"/>
  <c r="F171" i="25"/>
  <c r="G168" i="25" s="1"/>
  <c r="E171" i="25"/>
  <c r="D171" i="25"/>
  <c r="E168" i="25" s="1"/>
  <c r="C171" i="25"/>
  <c r="D168" i="25" s="1"/>
  <c r="H138" i="25"/>
  <c r="L135" i="25" s="1"/>
  <c r="G138" i="25"/>
  <c r="H135" i="25" s="1"/>
  <c r="F138" i="25"/>
  <c r="G135" i="25" s="1"/>
  <c r="E138" i="25"/>
  <c r="F135" i="25" s="1"/>
  <c r="D138" i="25"/>
  <c r="E135" i="25" s="1"/>
  <c r="C138" i="25"/>
  <c r="D135" i="25" s="1"/>
  <c r="G277" i="22"/>
  <c r="F277" i="22"/>
  <c r="E277" i="22"/>
  <c r="D277" i="22"/>
  <c r="C277" i="22"/>
  <c r="C269" i="22"/>
  <c r="C267" i="22"/>
  <c r="C265" i="22"/>
  <c r="C263" i="22"/>
  <c r="D239" i="22"/>
  <c r="C239" i="22"/>
  <c r="D237" i="22"/>
  <c r="C237" i="22"/>
  <c r="D235" i="22"/>
  <c r="C235" i="22"/>
  <c r="D233" i="22"/>
  <c r="C233" i="22"/>
  <c r="D217" i="22"/>
  <c r="C217" i="22"/>
  <c r="D215" i="22"/>
  <c r="C215" i="22"/>
  <c r="D211" i="22"/>
  <c r="C211" i="22"/>
  <c r="D213" i="22"/>
  <c r="C213" i="22"/>
  <c r="D163" i="22"/>
  <c r="C163" i="22"/>
  <c r="C164" i="22" s="1"/>
  <c r="D161" i="22"/>
  <c r="G84" i="28" s="1"/>
  <c r="C161" i="22"/>
  <c r="D159" i="22"/>
  <c r="C159" i="22"/>
  <c r="C160" i="22" s="1"/>
  <c r="D157" i="22"/>
  <c r="C157" i="22"/>
  <c r="C158" i="22" s="1"/>
  <c r="D139" i="22"/>
  <c r="C139" i="22"/>
  <c r="C140" i="22" s="1"/>
  <c r="D137" i="22"/>
  <c r="G88" i="28" s="1"/>
  <c r="C137" i="22"/>
  <c r="D135" i="22"/>
  <c r="C135" i="22"/>
  <c r="C136" i="22" s="1"/>
  <c r="D133" i="22"/>
  <c r="C133" i="22"/>
  <c r="C134" i="22" s="1"/>
  <c r="C116" i="22"/>
  <c r="C114" i="22"/>
  <c r="C112" i="22"/>
  <c r="C110" i="22"/>
  <c r="C86" i="22"/>
  <c r="C88" i="22"/>
  <c r="C90" i="22"/>
  <c r="C84" i="22"/>
  <c r="H221" i="25"/>
  <c r="G221" i="25"/>
  <c r="F221" i="25"/>
  <c r="E221" i="25"/>
  <c r="D221" i="25"/>
  <c r="C221" i="25"/>
  <c r="H165" i="25"/>
  <c r="H163" i="25" s="1"/>
  <c r="H169" i="25" s="1"/>
  <c r="G165" i="25"/>
  <c r="G163" i="25" s="1"/>
  <c r="G169" i="25" s="1"/>
  <c r="F165" i="25"/>
  <c r="F163" i="25" s="1"/>
  <c r="F169" i="25" s="1"/>
  <c r="E165" i="25"/>
  <c r="E163" i="25" s="1"/>
  <c r="E169" i="25" s="1"/>
  <c r="D165" i="25"/>
  <c r="D163" i="25" s="1"/>
  <c r="D169" i="25" s="1"/>
  <c r="C111" i="25"/>
  <c r="B23" i="25"/>
  <c r="B22" i="25"/>
  <c r="B21" i="25"/>
  <c r="B20" i="25"/>
  <c r="B19" i="25"/>
  <c r="B2" i="25"/>
  <c r="B108" i="25"/>
  <c r="B107" i="25"/>
  <c r="H78" i="25"/>
  <c r="H108" i="25" s="1"/>
  <c r="H132" i="25" s="1"/>
  <c r="G78" i="25"/>
  <c r="G108" i="25" s="1"/>
  <c r="G132" i="25" s="1"/>
  <c r="F78" i="25"/>
  <c r="F108" i="25" s="1"/>
  <c r="F132" i="25" s="1"/>
  <c r="E78" i="25"/>
  <c r="E108" i="25" s="1"/>
  <c r="E132" i="25" s="1"/>
  <c r="D78" i="25"/>
  <c r="D108" i="25" s="1"/>
  <c r="D132" i="25" s="1"/>
  <c r="C78" i="25"/>
  <c r="C108" i="25" s="1"/>
  <c r="C132" i="25" s="1"/>
  <c r="B78" i="25"/>
  <c r="H77" i="25"/>
  <c r="H107" i="25" s="1"/>
  <c r="H131" i="25" s="1"/>
  <c r="G77" i="25"/>
  <c r="G107" i="25" s="1"/>
  <c r="G131" i="25" s="1"/>
  <c r="F77" i="25"/>
  <c r="F107" i="25" s="1"/>
  <c r="F131" i="25" s="1"/>
  <c r="E77" i="25"/>
  <c r="E107" i="25" s="1"/>
  <c r="E131" i="25" s="1"/>
  <c r="D77" i="25"/>
  <c r="D107" i="25" s="1"/>
  <c r="D131" i="25" s="1"/>
  <c r="B77" i="25"/>
  <c r="M35" i="25"/>
  <c r="N35" i="25" s="1"/>
  <c r="O35" i="25" s="1"/>
  <c r="P35" i="25" s="1"/>
  <c r="Q35" i="25" s="1"/>
  <c r="S35" i="25" s="1"/>
  <c r="L17" i="25"/>
  <c r="J17" i="25"/>
  <c r="J78" i="25" s="1"/>
  <c r="J108" i="25" s="1"/>
  <c r="L16" i="25"/>
  <c r="C138" i="22" l="1"/>
  <c r="F88" i="28"/>
  <c r="C162" i="22"/>
  <c r="F84" i="28"/>
  <c r="G87" i="28"/>
  <c r="G89" i="28"/>
  <c r="G54" i="28" s="1"/>
  <c r="K16" i="28" s="1"/>
  <c r="G85" i="28"/>
  <c r="G83" i="28"/>
  <c r="G53" i="28" s="1"/>
  <c r="K15" i="28" s="1"/>
  <c r="J9" i="28"/>
  <c r="F45" i="28"/>
  <c r="L78" i="25"/>
  <c r="F46" i="28"/>
  <c r="J10" i="28"/>
  <c r="D350" i="22"/>
  <c r="D354" i="22"/>
  <c r="D348" i="22"/>
  <c r="D352" i="22"/>
  <c r="J125" i="25"/>
  <c r="L77" i="25"/>
  <c r="L131" i="25" s="1"/>
  <c r="L153" i="25" s="1"/>
  <c r="G49" i="27"/>
  <c r="M136" i="25"/>
  <c r="M119" i="25" s="1"/>
  <c r="L136" i="25"/>
  <c r="B55" i="25"/>
  <c r="B56" i="27"/>
  <c r="B51" i="25"/>
  <c r="B52" i="27"/>
  <c r="B52" i="25"/>
  <c r="B53" i="27"/>
  <c r="B53" i="25"/>
  <c r="B54" i="27"/>
  <c r="B54" i="25"/>
  <c r="B55" i="27"/>
  <c r="E116" i="25"/>
  <c r="H114" i="25"/>
  <c r="F116" i="25"/>
  <c r="G114" i="25"/>
  <c r="E113" i="25"/>
  <c r="G116" i="25"/>
  <c r="G220" i="25"/>
  <c r="D119" i="25"/>
  <c r="D120" i="25" s="1"/>
  <c r="F112" i="25"/>
  <c r="F113" i="25"/>
  <c r="G122" i="25"/>
  <c r="F204" i="25"/>
  <c r="G112" i="25"/>
  <c r="G113" i="25"/>
  <c r="J83" i="25"/>
  <c r="E67" i="25"/>
  <c r="H112" i="25"/>
  <c r="H113" i="25"/>
  <c r="E114" i="25"/>
  <c r="D114" i="25"/>
  <c r="D116" i="25"/>
  <c r="D220" i="25"/>
  <c r="E220" i="25"/>
  <c r="G123" i="25"/>
  <c r="F114" i="25"/>
  <c r="F220" i="25"/>
  <c r="E170" i="25"/>
  <c r="E115" i="25" s="1"/>
  <c r="L176" i="25"/>
  <c r="O220" i="25"/>
  <c r="H111" i="25"/>
  <c r="C112" i="25"/>
  <c r="G119" i="25"/>
  <c r="G120" i="25" s="1"/>
  <c r="E200" i="25"/>
  <c r="P220" i="25"/>
  <c r="D112" i="25"/>
  <c r="D113" i="25"/>
  <c r="H122" i="25"/>
  <c r="F168" i="25"/>
  <c r="F170" i="25" s="1"/>
  <c r="F115" i="25" s="1"/>
  <c r="H119" i="25"/>
  <c r="G204" i="25"/>
  <c r="E112" i="25"/>
  <c r="C126" i="25"/>
  <c r="E122" i="25"/>
  <c r="H123" i="25"/>
  <c r="C119" i="25"/>
  <c r="C120" i="25" s="1"/>
  <c r="D123" i="25"/>
  <c r="Q220" i="25"/>
  <c r="J82" i="25"/>
  <c r="J86" i="25"/>
  <c r="J92" i="25"/>
  <c r="J99" i="25"/>
  <c r="J84" i="25"/>
  <c r="J81" i="25"/>
  <c r="J90" i="25"/>
  <c r="J94" i="25"/>
  <c r="J101" i="25"/>
  <c r="H220" i="25"/>
  <c r="D111" i="25"/>
  <c r="L220" i="25"/>
  <c r="E111" i="25"/>
  <c r="M220" i="25"/>
  <c r="F111" i="25"/>
  <c r="H124" i="25"/>
  <c r="J124" i="25" s="1"/>
  <c r="E123" i="25"/>
  <c r="E119" i="25"/>
  <c r="E120" i="25" s="1"/>
  <c r="C220" i="25"/>
  <c r="N220" i="25"/>
  <c r="G111" i="25"/>
  <c r="F123" i="25"/>
  <c r="F126" i="25" s="1"/>
  <c r="F119" i="25"/>
  <c r="F120" i="25" s="1"/>
  <c r="G170" i="25"/>
  <c r="G115" i="25" s="1"/>
  <c r="H170" i="25"/>
  <c r="H115" i="25" s="1"/>
  <c r="D170" i="25"/>
  <c r="D115" i="25" s="1"/>
  <c r="H204" i="25"/>
  <c r="J91" i="25"/>
  <c r="L168" i="25"/>
  <c r="J93" i="25"/>
  <c r="C204" i="25"/>
  <c r="J85" i="25"/>
  <c r="J95" i="25"/>
  <c r="J100" i="25"/>
  <c r="C200" i="25"/>
  <c r="C201" i="25" s="1"/>
  <c r="C206" i="25" s="1"/>
  <c r="L124" i="25"/>
  <c r="D200" i="25"/>
  <c r="M124" i="25"/>
  <c r="F200" i="25"/>
  <c r="N124" i="25"/>
  <c r="G200" i="25"/>
  <c r="O124" i="25"/>
  <c r="H200" i="25"/>
  <c r="P124" i="25"/>
  <c r="G67" i="25"/>
  <c r="G66" i="25"/>
  <c r="E66" i="25"/>
  <c r="H67" i="25"/>
  <c r="D67" i="25"/>
  <c r="G65" i="25"/>
  <c r="H66" i="25"/>
  <c r="D66" i="25"/>
  <c r="E65" i="25"/>
  <c r="D65" i="25"/>
  <c r="M94" i="25"/>
  <c r="M204" i="25" s="1"/>
  <c r="L122" i="25"/>
  <c r="F66" i="25"/>
  <c r="H65" i="25"/>
  <c r="F67" i="25"/>
  <c r="F65" i="25"/>
  <c r="C294" i="22"/>
  <c r="L60" i="25" s="1"/>
  <c r="C290" i="22"/>
  <c r="C296" i="22"/>
  <c r="C292" i="22"/>
  <c r="G53" i="25"/>
  <c r="E55" i="25"/>
  <c r="D52" i="25"/>
  <c r="F54" i="25"/>
  <c r="E52" i="25"/>
  <c r="F55" i="25"/>
  <c r="F52" i="25"/>
  <c r="D54" i="25"/>
  <c r="G55" i="25"/>
  <c r="H53" i="25"/>
  <c r="F24" i="25"/>
  <c r="F73" i="25" s="1"/>
  <c r="D53" i="25"/>
  <c r="G54" i="25"/>
  <c r="F53" i="25"/>
  <c r="D55" i="25"/>
  <c r="G24" i="25"/>
  <c r="D24" i="25"/>
  <c r="D74" i="25" s="1"/>
  <c r="G52" i="25"/>
  <c r="E54" i="25"/>
  <c r="E53" i="25"/>
  <c r="H52" i="25"/>
  <c r="E24" i="25"/>
  <c r="E74" i="25" s="1"/>
  <c r="H55" i="25"/>
  <c r="H24" i="25"/>
  <c r="H54" i="25"/>
  <c r="D160" i="22"/>
  <c r="D164" i="22"/>
  <c r="D162" i="22"/>
  <c r="D158" i="22"/>
  <c r="D138" i="22"/>
  <c r="D134" i="22"/>
  <c r="D136" i="22"/>
  <c r="D140" i="22"/>
  <c r="D84" i="22"/>
  <c r="D116" i="22"/>
  <c r="D114" i="22"/>
  <c r="D112" i="22"/>
  <c r="D110" i="22"/>
  <c r="D88" i="22"/>
  <c r="D86" i="22"/>
  <c r="D90" i="22"/>
  <c r="J35" i="25"/>
  <c r="H51" i="25"/>
  <c r="J22" i="25"/>
  <c r="J33" i="25"/>
  <c r="J21" i="25"/>
  <c r="C24" i="25"/>
  <c r="C74" i="25" s="1"/>
  <c r="G96" i="25"/>
  <c r="J34" i="25"/>
  <c r="C102" i="25"/>
  <c r="C87" i="25"/>
  <c r="E102" i="25"/>
  <c r="H102" i="25"/>
  <c r="J38" i="25"/>
  <c r="J41" i="25"/>
  <c r="C96" i="25"/>
  <c r="E96" i="25"/>
  <c r="G102" i="25"/>
  <c r="F51" i="25"/>
  <c r="F96" i="25"/>
  <c r="D96" i="25"/>
  <c r="D102" i="25"/>
  <c r="L132" i="25"/>
  <c r="L108" i="25"/>
  <c r="D51" i="25"/>
  <c r="M17" i="25"/>
  <c r="E51" i="25"/>
  <c r="J23" i="25"/>
  <c r="J26" i="25"/>
  <c r="F102" i="25"/>
  <c r="L107" i="25"/>
  <c r="J20" i="25"/>
  <c r="J30" i="25"/>
  <c r="G51" i="25"/>
  <c r="J19" i="25"/>
  <c r="J29" i="25"/>
  <c r="H96" i="25"/>
  <c r="C165" i="25"/>
  <c r="C163" i="25" s="1"/>
  <c r="C169" i="25" s="1"/>
  <c r="C170" i="25" s="1"/>
  <c r="C115" i="25" s="1"/>
  <c r="M16" i="25"/>
  <c r="J44" i="25"/>
  <c r="M22" i="25" l="1"/>
  <c r="K17" i="28"/>
  <c r="M23" i="25"/>
  <c r="F85" i="28"/>
  <c r="F83" i="28"/>
  <c r="F53" i="28" s="1"/>
  <c r="J15" i="28" s="1"/>
  <c r="F89" i="28"/>
  <c r="F87" i="28"/>
  <c r="F54" i="28" s="1"/>
  <c r="J16" i="28" s="1"/>
  <c r="K25" i="28" s="1"/>
  <c r="M55" i="25" s="1"/>
  <c r="H49" i="27"/>
  <c r="G45" i="28"/>
  <c r="K9" i="28"/>
  <c r="G46" i="28"/>
  <c r="K10" i="28"/>
  <c r="L119" i="25"/>
  <c r="G71" i="27" s="1"/>
  <c r="P154" i="25"/>
  <c r="O154" i="25"/>
  <c r="N154" i="25"/>
  <c r="M154" i="25"/>
  <c r="L154" i="25"/>
  <c r="L160" i="25" s="1"/>
  <c r="L137" i="25" s="1"/>
  <c r="Q154" i="25"/>
  <c r="Q155" i="25"/>
  <c r="P155" i="25"/>
  <c r="O155" i="25"/>
  <c r="N155" i="25"/>
  <c r="M155" i="25"/>
  <c r="J116" i="25"/>
  <c r="J119" i="25"/>
  <c r="H164" i="25"/>
  <c r="C19" i="22"/>
  <c r="C25" i="22"/>
  <c r="C23" i="22"/>
  <c r="C21" i="22"/>
  <c r="J122" i="25"/>
  <c r="J111" i="25"/>
  <c r="J123" i="25"/>
  <c r="G126" i="25"/>
  <c r="J113" i="25"/>
  <c r="E70" i="27"/>
  <c r="J114" i="25"/>
  <c r="J115" i="25"/>
  <c r="J112" i="25"/>
  <c r="H120" i="25"/>
  <c r="J120" i="25" s="1"/>
  <c r="E126" i="25"/>
  <c r="G53" i="27"/>
  <c r="H126" i="25"/>
  <c r="C205" i="25"/>
  <c r="D126" i="25"/>
  <c r="E201" i="25"/>
  <c r="E206" i="25" s="1"/>
  <c r="E205" i="25" s="1"/>
  <c r="S124" i="25"/>
  <c r="J102" i="25"/>
  <c r="G201" i="25"/>
  <c r="G206" i="25" s="1"/>
  <c r="G205" i="25" s="1"/>
  <c r="G54" i="27"/>
  <c r="M120" i="25"/>
  <c r="H71" i="27"/>
  <c r="F201" i="25"/>
  <c r="F206" i="25" s="1"/>
  <c r="F205" i="25" s="1"/>
  <c r="J87" i="25"/>
  <c r="J96" i="25"/>
  <c r="H201" i="25"/>
  <c r="H206" i="25" s="1"/>
  <c r="H205" i="25" s="1"/>
  <c r="L205" i="25" s="1"/>
  <c r="D201" i="25"/>
  <c r="D206" i="25" s="1"/>
  <c r="D205" i="25" s="1"/>
  <c r="C164" i="25"/>
  <c r="F74" i="25"/>
  <c r="F164" i="25"/>
  <c r="E164" i="25"/>
  <c r="G73" i="25"/>
  <c r="G164" i="25"/>
  <c r="D164" i="25"/>
  <c r="M122" i="25"/>
  <c r="N94" i="25"/>
  <c r="N204" i="25" s="1"/>
  <c r="F104" i="25"/>
  <c r="D104" i="25"/>
  <c r="C104" i="25"/>
  <c r="H104" i="25"/>
  <c r="E104" i="25"/>
  <c r="G104" i="25"/>
  <c r="E73" i="25"/>
  <c r="D73" i="25"/>
  <c r="G74" i="25"/>
  <c r="C72" i="25"/>
  <c r="C71" i="25"/>
  <c r="H73" i="25"/>
  <c r="C73" i="25"/>
  <c r="H74" i="25"/>
  <c r="H50" i="25"/>
  <c r="H71" i="25"/>
  <c r="H72" i="25"/>
  <c r="F72" i="25"/>
  <c r="F71" i="25"/>
  <c r="G71" i="25"/>
  <c r="G72" i="25"/>
  <c r="D72" i="25"/>
  <c r="D71" i="25"/>
  <c r="E72" i="25"/>
  <c r="E71" i="25"/>
  <c r="C27" i="25"/>
  <c r="C58" i="25" s="1"/>
  <c r="F50" i="25"/>
  <c r="F27" i="25"/>
  <c r="F58" i="25" s="1"/>
  <c r="G50" i="25"/>
  <c r="G27" i="25"/>
  <c r="G58" i="25" s="1"/>
  <c r="D50" i="25"/>
  <c r="D27" i="25"/>
  <c r="D58" i="25" s="1"/>
  <c r="E50" i="25"/>
  <c r="E27" i="25"/>
  <c r="E58" i="25" s="1"/>
  <c r="H27" i="25"/>
  <c r="H58" i="25" s="1"/>
  <c r="N16" i="25"/>
  <c r="M77" i="25"/>
  <c r="M78" i="25"/>
  <c r="N17" i="25"/>
  <c r="J24" i="25"/>
  <c r="J24" i="28" l="1"/>
  <c r="L54" i="25" s="1"/>
  <c r="L22" i="25"/>
  <c r="G55" i="27" s="1"/>
  <c r="J17" i="28"/>
  <c r="J20" i="28" s="1"/>
  <c r="L50" i="25" s="1"/>
  <c r="L23" i="25"/>
  <c r="G56" i="27" s="1"/>
  <c r="J25" i="28"/>
  <c r="L55" i="25" s="1"/>
  <c r="K24" i="28"/>
  <c r="M54" i="25" s="1"/>
  <c r="I49" i="27"/>
  <c r="H45" i="28"/>
  <c r="L9" i="28"/>
  <c r="L164" i="25"/>
  <c r="L10" i="28"/>
  <c r="H46" i="28"/>
  <c r="L120" i="25"/>
  <c r="L138" i="25"/>
  <c r="M135" i="25" s="1"/>
  <c r="L140" i="25"/>
  <c r="M164" i="25"/>
  <c r="N164" i="25" s="1"/>
  <c r="J126" i="25"/>
  <c r="H55" i="27"/>
  <c r="H54" i="27"/>
  <c r="H56" i="27"/>
  <c r="H53" i="27"/>
  <c r="L206" i="25"/>
  <c r="M205" i="25"/>
  <c r="N122" i="25"/>
  <c r="O94" i="25"/>
  <c r="O204" i="25" s="1"/>
  <c r="D31" i="25"/>
  <c r="D59" i="25" s="1"/>
  <c r="C31" i="25"/>
  <c r="N78" i="25"/>
  <c r="O17" i="25"/>
  <c r="F31" i="25"/>
  <c r="F59" i="25" s="1"/>
  <c r="M132" i="25"/>
  <c r="M108" i="25"/>
  <c r="G31" i="25"/>
  <c r="G59" i="25" s="1"/>
  <c r="E31" i="25"/>
  <c r="E59" i="25" s="1"/>
  <c r="M107" i="25"/>
  <c r="M131" i="25"/>
  <c r="M153" i="25" s="1"/>
  <c r="M160" i="25" s="1"/>
  <c r="M137" i="25" s="1"/>
  <c r="M140" i="25" s="1"/>
  <c r="N77" i="25"/>
  <c r="O16" i="25"/>
  <c r="K20" i="28" l="1"/>
  <c r="M50" i="25" s="1"/>
  <c r="L85" i="25"/>
  <c r="J49" i="27"/>
  <c r="I45" i="28"/>
  <c r="M9" i="28"/>
  <c r="M10" i="28"/>
  <c r="I46" i="28"/>
  <c r="M138" i="25"/>
  <c r="M85" i="25" s="1"/>
  <c r="M206" i="25"/>
  <c r="N205" i="25"/>
  <c r="O164" i="25"/>
  <c r="P94" i="25"/>
  <c r="P204" i="25" s="1"/>
  <c r="O122" i="25"/>
  <c r="D36" i="25"/>
  <c r="D60" i="25" s="1"/>
  <c r="D42" i="25"/>
  <c r="C42" i="25"/>
  <c r="C59" i="25"/>
  <c r="C36" i="25"/>
  <c r="N107" i="25"/>
  <c r="N131" i="25"/>
  <c r="N153" i="25" s="1"/>
  <c r="O78" i="25"/>
  <c r="P17" i="25"/>
  <c r="G36" i="25"/>
  <c r="G60" i="25" s="1"/>
  <c r="G42" i="25"/>
  <c r="N132" i="25"/>
  <c r="N108" i="25"/>
  <c r="E36" i="25"/>
  <c r="E60" i="25" s="1"/>
  <c r="E42" i="25"/>
  <c r="F42" i="25"/>
  <c r="F36" i="25"/>
  <c r="F60" i="25" s="1"/>
  <c r="P16" i="25"/>
  <c r="O77" i="25"/>
  <c r="J46" i="28" l="1"/>
  <c r="N10" i="28"/>
  <c r="K49" i="27"/>
  <c r="N9" i="28"/>
  <c r="J45" i="28"/>
  <c r="N135" i="25"/>
  <c r="F61" i="25"/>
  <c r="E61" i="25"/>
  <c r="C61" i="25"/>
  <c r="N206" i="25"/>
  <c r="O205" i="25"/>
  <c r="G61" i="25"/>
  <c r="D61" i="25"/>
  <c r="Q94" i="25"/>
  <c r="P122" i="25"/>
  <c r="P164" i="25"/>
  <c r="D45" i="25"/>
  <c r="D62" i="25" s="1"/>
  <c r="D39" i="25"/>
  <c r="C45" i="25"/>
  <c r="C62" i="25" s="1"/>
  <c r="C39" i="25"/>
  <c r="C60" i="25"/>
  <c r="F39" i="25"/>
  <c r="G39" i="25"/>
  <c r="F45" i="25"/>
  <c r="F62" i="25" s="1"/>
  <c r="G45" i="25"/>
  <c r="G62" i="25" s="1"/>
  <c r="O107" i="25"/>
  <c r="O131" i="25"/>
  <c r="O153" i="25" s="1"/>
  <c r="E45" i="25"/>
  <c r="E62" i="25" s="1"/>
  <c r="P77" i="25"/>
  <c r="Q16" i="25"/>
  <c r="E39" i="25"/>
  <c r="P78" i="25"/>
  <c r="Q17" i="25"/>
  <c r="H31" i="25"/>
  <c r="H59" i="25" s="1"/>
  <c r="J27" i="25"/>
  <c r="O108" i="25"/>
  <c r="O132" i="25"/>
  <c r="O9" i="28" l="1"/>
  <c r="K45" i="28"/>
  <c r="K46" i="28"/>
  <c r="O10" i="28"/>
  <c r="P10" i="28" s="1"/>
  <c r="Q77" i="25"/>
  <c r="Q107" i="25" s="1"/>
  <c r="L49" i="27"/>
  <c r="D110" i="25"/>
  <c r="D117" i="25" s="1"/>
  <c r="D213" i="25"/>
  <c r="E213" i="25"/>
  <c r="E110" i="25"/>
  <c r="E117" i="25" s="1"/>
  <c r="C110" i="25"/>
  <c r="C117" i="25" s="1"/>
  <c r="C185" i="25" s="1"/>
  <c r="C213" i="25"/>
  <c r="F110" i="25"/>
  <c r="F117" i="25" s="1"/>
  <c r="F213" i="25"/>
  <c r="G110" i="25"/>
  <c r="G117" i="25" s="1"/>
  <c r="G213" i="25"/>
  <c r="P205" i="25"/>
  <c r="O206" i="25"/>
  <c r="C175" i="25"/>
  <c r="C179" i="25" s="1"/>
  <c r="D175" i="25"/>
  <c r="D179" i="25" s="1"/>
  <c r="F175" i="25"/>
  <c r="F179" i="25" s="1"/>
  <c r="Q122" i="25"/>
  <c r="S122" i="25" s="1"/>
  <c r="Q204" i="25"/>
  <c r="S94" i="25"/>
  <c r="E175" i="25"/>
  <c r="E179" i="25" s="1"/>
  <c r="G175" i="25"/>
  <c r="G179" i="25" s="1"/>
  <c r="Q164" i="25"/>
  <c r="Q78" i="25"/>
  <c r="S17" i="25"/>
  <c r="S78" i="25" s="1"/>
  <c r="S108" i="25" s="1"/>
  <c r="H42" i="25"/>
  <c r="H36" i="25"/>
  <c r="H60" i="25" s="1"/>
  <c r="J31" i="25"/>
  <c r="P108" i="25"/>
  <c r="P132" i="25"/>
  <c r="P131" i="25"/>
  <c r="P153" i="25" s="1"/>
  <c r="P107" i="25"/>
  <c r="Q131" i="25" l="1"/>
  <c r="Q153" i="25" s="1"/>
  <c r="E60" i="27"/>
  <c r="E62" i="27" s="1"/>
  <c r="E185" i="25"/>
  <c r="E186" i="25" s="1"/>
  <c r="E190" i="25" s="1"/>
  <c r="E128" i="25"/>
  <c r="F128" i="25"/>
  <c r="F185" i="25"/>
  <c r="F186" i="25" s="1"/>
  <c r="F190" i="25" s="1"/>
  <c r="C186" i="25"/>
  <c r="C190" i="25" s="1"/>
  <c r="C128" i="25"/>
  <c r="E218" i="25"/>
  <c r="E215" i="25"/>
  <c r="F215" i="25"/>
  <c r="F218" i="25"/>
  <c r="G215" i="25"/>
  <c r="G218" i="25"/>
  <c r="D218" i="25"/>
  <c r="D215" i="25"/>
  <c r="C218" i="25"/>
  <c r="C215" i="25"/>
  <c r="G185" i="25"/>
  <c r="G186" i="25" s="1"/>
  <c r="G190" i="25" s="1"/>
  <c r="G128" i="25"/>
  <c r="D128" i="25"/>
  <c r="D185" i="25"/>
  <c r="D186" i="25" s="1"/>
  <c r="D190" i="25" s="1"/>
  <c r="H61" i="25"/>
  <c r="Q205" i="25"/>
  <c r="Q206" i="25" s="1"/>
  <c r="P206" i="25"/>
  <c r="Q108" i="25"/>
  <c r="Q132" i="25"/>
  <c r="H39" i="25"/>
  <c r="J36" i="25"/>
  <c r="H45" i="25"/>
  <c r="H62" i="25" s="1"/>
  <c r="J42" i="25"/>
  <c r="E66" i="27" l="1"/>
  <c r="E63" i="27"/>
  <c r="H110" i="25"/>
  <c r="H213" i="25"/>
  <c r="E72" i="27"/>
  <c r="E81" i="27" s="1"/>
  <c r="E67" i="27"/>
  <c r="J39" i="25"/>
  <c r="H175" i="25"/>
  <c r="J45" i="25"/>
  <c r="H117" i="25" l="1"/>
  <c r="J117" i="25" s="1"/>
  <c r="J110" i="25"/>
  <c r="H215" i="25"/>
  <c r="H218" i="25"/>
  <c r="H185" i="25"/>
  <c r="H186" i="25" s="1"/>
  <c r="H190" i="25" s="1"/>
  <c r="H128" i="25"/>
  <c r="J128" i="25" s="1"/>
  <c r="H179" i="25"/>
  <c r="L179" i="25" s="1"/>
  <c r="M179" i="25" s="1"/>
  <c r="N179" i="25" s="1"/>
  <c r="O179" i="25" s="1"/>
  <c r="P179" i="25" s="1"/>
  <c r="Q179" i="25" s="1"/>
  <c r="G249" i="22" l="1"/>
  <c r="F249" i="22"/>
  <c r="E249" i="22"/>
  <c r="D249" i="22"/>
  <c r="C249" i="22"/>
  <c r="F180" i="22"/>
  <c r="D181" i="22"/>
  <c r="C181" i="22"/>
  <c r="F284" i="22"/>
  <c r="D285" i="22"/>
  <c r="C285" i="22"/>
  <c r="D255" i="22"/>
  <c r="C255" i="22"/>
  <c r="D21" i="22"/>
  <c r="F21" i="22" s="1"/>
  <c r="G21" i="22" s="1"/>
  <c r="H21" i="22" s="1"/>
  <c r="F281" i="22"/>
  <c r="E281" i="22"/>
  <c r="D281" i="22"/>
  <c r="C281" i="22"/>
  <c r="H308" i="22"/>
  <c r="H178" i="22"/>
  <c r="J178" i="22" s="1"/>
  <c r="D179" i="22"/>
  <c r="C179" i="22"/>
  <c r="F253" i="22"/>
  <c r="E253" i="22"/>
  <c r="D253" i="22"/>
  <c r="C253" i="22"/>
  <c r="D19" i="22"/>
  <c r="F250" i="22"/>
  <c r="D287" i="22"/>
  <c r="C287" i="22"/>
  <c r="F258" i="22"/>
  <c r="D279" i="22"/>
  <c r="C279" i="22"/>
  <c r="F177" i="22"/>
  <c r="D16" i="22"/>
  <c r="D176" i="22" s="1"/>
  <c r="C16" i="22"/>
  <c r="D151" i="22"/>
  <c r="D127" i="22"/>
  <c r="D103" i="22"/>
  <c r="D77" i="22"/>
  <c r="D51" i="22"/>
  <c r="E51" i="22" s="1"/>
  <c r="C64" i="22"/>
  <c r="C62" i="22"/>
  <c r="C60" i="22"/>
  <c r="C58" i="22"/>
  <c r="E47" i="22"/>
  <c r="F47" i="22" s="1"/>
  <c r="D47" i="22"/>
  <c r="J332" i="22"/>
  <c r="G227" i="22"/>
  <c r="F227" i="22"/>
  <c r="E227" i="22"/>
  <c r="D227" i="22"/>
  <c r="C227" i="22"/>
  <c r="E230" i="22"/>
  <c r="F230" i="22" s="1"/>
  <c r="E208" i="22"/>
  <c r="F208" i="22" s="1"/>
  <c r="G208" i="22" s="1"/>
  <c r="H208" i="22" s="1"/>
  <c r="G205" i="22"/>
  <c r="F205" i="22"/>
  <c r="E205" i="22"/>
  <c r="D205" i="22"/>
  <c r="C205" i="22"/>
  <c r="F175" i="22"/>
  <c r="G175" i="22" s="1"/>
  <c r="H175" i="22" s="1"/>
  <c r="F185" i="22"/>
  <c r="G185" i="22" s="1"/>
  <c r="H185" i="22" s="1"/>
  <c r="E186" i="22"/>
  <c r="F186" i="22" s="1"/>
  <c r="G186" i="22" s="1"/>
  <c r="H186" i="22" s="1"/>
  <c r="D28" i="22"/>
  <c r="D187" i="22" s="1"/>
  <c r="C28" i="22"/>
  <c r="D26" i="22"/>
  <c r="C26" i="22"/>
  <c r="C27" i="22" s="1"/>
  <c r="E14" i="22"/>
  <c r="E174" i="22" s="1"/>
  <c r="D14" i="22"/>
  <c r="C14" i="22"/>
  <c r="D12" i="22"/>
  <c r="D305" i="22" s="1"/>
  <c r="C12" i="22"/>
  <c r="D155" i="22"/>
  <c r="E155" i="22" s="1"/>
  <c r="D153" i="22"/>
  <c r="E149" i="22"/>
  <c r="F149" i="22" s="1"/>
  <c r="D149" i="22"/>
  <c r="D131" i="22"/>
  <c r="E131" i="22" s="1"/>
  <c r="D129" i="22"/>
  <c r="D123" i="22"/>
  <c r="D125" i="22"/>
  <c r="E125" i="22"/>
  <c r="F125" i="22" s="1"/>
  <c r="D107" i="22"/>
  <c r="E107" i="22" s="1"/>
  <c r="D97" i="22"/>
  <c r="E99" i="22"/>
  <c r="F99" i="22" s="1"/>
  <c r="D99" i="22"/>
  <c r="D81" i="22"/>
  <c r="E81" i="22" s="1"/>
  <c r="D79" i="22"/>
  <c r="D73" i="22"/>
  <c r="E73" i="22"/>
  <c r="F73" i="22" s="1"/>
  <c r="D55" i="22"/>
  <c r="E55" i="22" s="1"/>
  <c r="D53" i="22"/>
  <c r="D45" i="22"/>
  <c r="G25" i="22"/>
  <c r="F25" i="22"/>
  <c r="E25" i="22"/>
  <c r="D25" i="22"/>
  <c r="D23" i="22"/>
  <c r="B102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B101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B100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B99" i="10"/>
  <c r="B97" i="10"/>
  <c r="AB96" i="10"/>
  <c r="AA96" i="10"/>
  <c r="Z96" i="10"/>
  <c r="Y96" i="10"/>
  <c r="X96" i="10"/>
  <c r="W96" i="10"/>
  <c r="V96" i="10"/>
  <c r="U96" i="10"/>
  <c r="T96" i="10"/>
  <c r="S96" i="10"/>
  <c r="R96" i="10"/>
  <c r="K96" i="10"/>
  <c r="J96" i="10"/>
  <c r="I96" i="10"/>
  <c r="H96" i="10"/>
  <c r="G96" i="10"/>
  <c r="F96" i="10"/>
  <c r="E96" i="10"/>
  <c r="D96" i="10"/>
  <c r="B96" i="10"/>
  <c r="AB95" i="10"/>
  <c r="AA95" i="10"/>
  <c r="Z95" i="10"/>
  <c r="Y95" i="10"/>
  <c r="X95" i="10"/>
  <c r="W95" i="10"/>
  <c r="V95" i="10"/>
  <c r="U95" i="10"/>
  <c r="T95" i="10"/>
  <c r="S95" i="10"/>
  <c r="R95" i="10"/>
  <c r="K95" i="10"/>
  <c r="J95" i="10"/>
  <c r="I95" i="10"/>
  <c r="H95" i="10"/>
  <c r="G95" i="10"/>
  <c r="F95" i="10"/>
  <c r="E95" i="10"/>
  <c r="D95" i="10"/>
  <c r="B95" i="10"/>
  <c r="AB94" i="10"/>
  <c r="AA94" i="10"/>
  <c r="Z94" i="10"/>
  <c r="Y94" i="10"/>
  <c r="X94" i="10"/>
  <c r="W94" i="10"/>
  <c r="V94" i="10"/>
  <c r="U94" i="10"/>
  <c r="T94" i="10"/>
  <c r="S94" i="10"/>
  <c r="R94" i="10"/>
  <c r="K94" i="10"/>
  <c r="J94" i="10"/>
  <c r="I94" i="10"/>
  <c r="H94" i="10"/>
  <c r="G94" i="10"/>
  <c r="F94" i="10"/>
  <c r="E94" i="10"/>
  <c r="D94" i="10"/>
  <c r="B94" i="10"/>
  <c r="B92" i="10"/>
  <c r="B91" i="10"/>
  <c r="B90" i="10"/>
  <c r="B89" i="10"/>
  <c r="F85" i="10"/>
  <c r="F86" i="10" s="1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B76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B75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B74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B73" i="10"/>
  <c r="AB71" i="10"/>
  <c r="AA71" i="10"/>
  <c r="Z71" i="10"/>
  <c r="Y71" i="10"/>
  <c r="X71" i="10"/>
  <c r="W71" i="10"/>
  <c r="V71" i="10"/>
  <c r="U71" i="10"/>
  <c r="T71" i="10"/>
  <c r="S71" i="10"/>
  <c r="R71" i="10"/>
  <c r="K71" i="10"/>
  <c r="J71" i="10"/>
  <c r="I71" i="10"/>
  <c r="H71" i="10"/>
  <c r="G71" i="10"/>
  <c r="F71" i="10"/>
  <c r="E71" i="10"/>
  <c r="D71" i="10"/>
  <c r="B71" i="10"/>
  <c r="AB70" i="10"/>
  <c r="AA70" i="10"/>
  <c r="Z70" i="10"/>
  <c r="Y70" i="10"/>
  <c r="X70" i="10"/>
  <c r="W70" i="10"/>
  <c r="V70" i="10"/>
  <c r="U70" i="10"/>
  <c r="T70" i="10"/>
  <c r="S70" i="10"/>
  <c r="R70" i="10"/>
  <c r="K70" i="10"/>
  <c r="J70" i="10"/>
  <c r="I70" i="10"/>
  <c r="H70" i="10"/>
  <c r="G70" i="10"/>
  <c r="F70" i="10"/>
  <c r="E70" i="10"/>
  <c r="D70" i="10"/>
  <c r="B70" i="10"/>
  <c r="AB69" i="10"/>
  <c r="AA69" i="10"/>
  <c r="Z69" i="10"/>
  <c r="Y69" i="10"/>
  <c r="X69" i="10"/>
  <c r="W69" i="10"/>
  <c r="V69" i="10"/>
  <c r="U69" i="10"/>
  <c r="T69" i="10"/>
  <c r="S69" i="10"/>
  <c r="R69" i="10"/>
  <c r="K69" i="10"/>
  <c r="J69" i="10"/>
  <c r="I69" i="10"/>
  <c r="H69" i="10"/>
  <c r="G69" i="10"/>
  <c r="F69" i="10"/>
  <c r="E69" i="10"/>
  <c r="D69" i="10"/>
  <c r="B69" i="10"/>
  <c r="AB68" i="10"/>
  <c r="AA68" i="10"/>
  <c r="Z68" i="10"/>
  <c r="Y68" i="10"/>
  <c r="X68" i="10"/>
  <c r="W68" i="10"/>
  <c r="V68" i="10"/>
  <c r="U68" i="10"/>
  <c r="T68" i="10"/>
  <c r="S68" i="10"/>
  <c r="R68" i="10"/>
  <c r="K68" i="10"/>
  <c r="J68" i="10"/>
  <c r="I68" i="10"/>
  <c r="H68" i="10"/>
  <c r="G68" i="10"/>
  <c r="F68" i="10"/>
  <c r="E68" i="10"/>
  <c r="D68" i="10"/>
  <c r="B68" i="10"/>
  <c r="AO65" i="10"/>
  <c r="AN65" i="10"/>
  <c r="AM65" i="10"/>
  <c r="AL65" i="10"/>
  <c r="AP71" i="10" s="1"/>
  <c r="AK65" i="10"/>
  <c r="AJ65" i="10"/>
  <c r="AI65" i="10"/>
  <c r="AH65" i="10"/>
  <c r="AG65" i="10"/>
  <c r="AF65" i="10"/>
  <c r="AE65" i="10"/>
  <c r="AO64" i="10"/>
  <c r="AN64" i="10"/>
  <c r="AM64" i="10"/>
  <c r="AL64" i="10"/>
  <c r="AP70" i="10" s="1"/>
  <c r="AK64" i="10"/>
  <c r="AJ64" i="10"/>
  <c r="AI64" i="10"/>
  <c r="AH64" i="10"/>
  <c r="AG64" i="10"/>
  <c r="AF64" i="10"/>
  <c r="AE64" i="10"/>
  <c r="AO63" i="10"/>
  <c r="AN63" i="10"/>
  <c r="AM63" i="10"/>
  <c r="AL63" i="10"/>
  <c r="AP69" i="10" s="1"/>
  <c r="AK63" i="10"/>
  <c r="AJ63" i="10"/>
  <c r="AI63" i="10"/>
  <c r="AH63" i="10"/>
  <c r="AG63" i="10"/>
  <c r="AF63" i="10"/>
  <c r="AE63" i="10"/>
  <c r="AO62" i="10"/>
  <c r="AN62" i="10"/>
  <c r="AM62" i="10"/>
  <c r="AL62" i="10"/>
  <c r="AP68" i="10" s="1"/>
  <c r="AK62" i="10"/>
  <c r="AJ62" i="10"/>
  <c r="AI62" i="10"/>
  <c r="AH62" i="10"/>
  <c r="AG62" i="10"/>
  <c r="AF62" i="10"/>
  <c r="AE62" i="10"/>
  <c r="AB54" i="10"/>
  <c r="AA54" i="10"/>
  <c r="Z54" i="10"/>
  <c r="Y54" i="10"/>
  <c r="X54" i="10"/>
  <c r="W54" i="10"/>
  <c r="V54" i="10"/>
  <c r="U54" i="10"/>
  <c r="T54" i="10"/>
  <c r="S54" i="10"/>
  <c r="R54" i="10"/>
  <c r="AB53" i="10"/>
  <c r="AA53" i="10"/>
  <c r="Z53" i="10"/>
  <c r="Y53" i="10"/>
  <c r="X53" i="10"/>
  <c r="W53" i="10"/>
  <c r="V53" i="10"/>
  <c r="U53" i="10"/>
  <c r="T53" i="10"/>
  <c r="S53" i="10"/>
  <c r="R53" i="10"/>
  <c r="AB52" i="10"/>
  <c r="AA52" i="10"/>
  <c r="Z52" i="10"/>
  <c r="Y52" i="10"/>
  <c r="X52" i="10"/>
  <c r="W52" i="10"/>
  <c r="V52" i="10"/>
  <c r="U52" i="10"/>
  <c r="T52" i="10"/>
  <c r="S52" i="10"/>
  <c r="R52" i="10"/>
  <c r="AB51" i="10"/>
  <c r="AA51" i="10"/>
  <c r="Z51" i="10"/>
  <c r="Y51" i="10"/>
  <c r="X51" i="10"/>
  <c r="W51" i="10"/>
  <c r="V51" i="10"/>
  <c r="U51" i="10"/>
  <c r="T51" i="10"/>
  <c r="S51" i="10"/>
  <c r="R51" i="10"/>
  <c r="K54" i="10"/>
  <c r="J54" i="10"/>
  <c r="I54" i="10"/>
  <c r="H54" i="10"/>
  <c r="G54" i="10"/>
  <c r="F54" i="10"/>
  <c r="E54" i="10"/>
  <c r="K53" i="10"/>
  <c r="J53" i="10"/>
  <c r="I53" i="10"/>
  <c r="H53" i="10"/>
  <c r="G53" i="10"/>
  <c r="F53" i="10"/>
  <c r="E53" i="10"/>
  <c r="K52" i="10"/>
  <c r="J52" i="10"/>
  <c r="I52" i="10"/>
  <c r="H52" i="10"/>
  <c r="G52" i="10"/>
  <c r="F52" i="10"/>
  <c r="E52" i="10"/>
  <c r="K51" i="10"/>
  <c r="J51" i="10"/>
  <c r="I51" i="10"/>
  <c r="H51" i="10"/>
  <c r="G51" i="10"/>
  <c r="F51" i="10"/>
  <c r="E51" i="10"/>
  <c r="D54" i="10"/>
  <c r="D53" i="10"/>
  <c r="D52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9" i="10"/>
  <c r="O58" i="10"/>
  <c r="O57" i="10"/>
  <c r="O56" i="10"/>
  <c r="B59" i="10"/>
  <c r="B58" i="10"/>
  <c r="B57" i="10"/>
  <c r="B56" i="10"/>
  <c r="B49" i="10"/>
  <c r="B48" i="10"/>
  <c r="B47" i="10"/>
  <c r="B54" i="10"/>
  <c r="B53" i="10"/>
  <c r="B52" i="10"/>
  <c r="B51" i="10"/>
  <c r="D51" i="10"/>
  <c r="B46" i="10"/>
  <c r="AB43" i="10"/>
  <c r="AB49" i="10" s="1"/>
  <c r="AA43" i="10"/>
  <c r="AA49" i="10" s="1"/>
  <c r="Z43" i="10"/>
  <c r="Z49" i="10" s="1"/>
  <c r="Y43" i="10"/>
  <c r="Y49" i="10" s="1"/>
  <c r="X43" i="10"/>
  <c r="X49" i="10" s="1"/>
  <c r="W43" i="10"/>
  <c r="W48" i="10" s="1"/>
  <c r="V43" i="10"/>
  <c r="V49" i="10" s="1"/>
  <c r="U43" i="10"/>
  <c r="U47" i="10" s="1"/>
  <c r="T43" i="10"/>
  <c r="T47" i="10" s="1"/>
  <c r="S43" i="10"/>
  <c r="S47" i="10" s="1"/>
  <c r="R43" i="10"/>
  <c r="R47" i="10" s="1"/>
  <c r="Q43" i="10"/>
  <c r="Q46" i="10" s="1"/>
  <c r="P43" i="10"/>
  <c r="P48" i="10" s="1"/>
  <c r="O43" i="10"/>
  <c r="O47" i="10" s="1"/>
  <c r="N43" i="10"/>
  <c r="N46" i="10" s="1"/>
  <c r="K43" i="10"/>
  <c r="K49" i="10" s="1"/>
  <c r="J43" i="10"/>
  <c r="J49" i="10" s="1"/>
  <c r="I43" i="10"/>
  <c r="I49" i="10" s="1"/>
  <c r="H43" i="10"/>
  <c r="H49" i="10" s="1"/>
  <c r="G43" i="10"/>
  <c r="G49" i="10" s="1"/>
  <c r="F43" i="10"/>
  <c r="F48" i="10" s="1"/>
  <c r="E43" i="10"/>
  <c r="E48" i="10" s="1"/>
  <c r="D43" i="10"/>
  <c r="D49" i="10" s="1"/>
  <c r="C43" i="10"/>
  <c r="C46" i="10" s="1"/>
  <c r="R28" i="10"/>
  <c r="R27" i="10"/>
  <c r="R26" i="10"/>
  <c r="R25" i="10"/>
  <c r="R2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B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B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B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B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B30" i="10"/>
  <c r="AB28" i="10"/>
  <c r="AA28" i="10"/>
  <c r="Z28" i="10"/>
  <c r="Y28" i="10"/>
  <c r="X28" i="10"/>
  <c r="W28" i="10"/>
  <c r="V28" i="10"/>
  <c r="U28" i="10"/>
  <c r="T28" i="10"/>
  <c r="S28" i="10"/>
  <c r="K28" i="10"/>
  <c r="J28" i="10"/>
  <c r="I28" i="10"/>
  <c r="H28" i="10"/>
  <c r="G28" i="10"/>
  <c r="F28" i="10"/>
  <c r="E28" i="10"/>
  <c r="D28" i="10"/>
  <c r="B28" i="10"/>
  <c r="J186" i="22" l="1"/>
  <c r="J208" i="22"/>
  <c r="J308" i="22"/>
  <c r="C15" i="22"/>
  <c r="C187" i="22"/>
  <c r="C29" i="22"/>
  <c r="C176" i="22"/>
  <c r="C17" i="22"/>
  <c r="C305" i="22"/>
  <c r="C13" i="22"/>
  <c r="AC84" i="10"/>
  <c r="AP84" i="10" s="1"/>
  <c r="C85" i="10"/>
  <c r="N85" i="10"/>
  <c r="N86" i="10" s="1"/>
  <c r="F312" i="22"/>
  <c r="G312" i="22" s="1"/>
  <c r="H312" i="22" s="1"/>
  <c r="E313" i="22"/>
  <c r="F314" i="22"/>
  <c r="G314" i="22" s="1"/>
  <c r="H314" i="22" s="1"/>
  <c r="J314" i="22" s="1"/>
  <c r="J336" i="22"/>
  <c r="C184" i="22"/>
  <c r="C315" i="22"/>
  <c r="D184" i="22"/>
  <c r="D315" i="22"/>
  <c r="F23" i="22"/>
  <c r="G23" i="22" s="1"/>
  <c r="H23" i="22" s="1"/>
  <c r="C174" i="22"/>
  <c r="C313" i="22"/>
  <c r="D174" i="22"/>
  <c r="D313" i="22"/>
  <c r="F310" i="22"/>
  <c r="E321" i="22"/>
  <c r="E317" i="22"/>
  <c r="E323" i="22"/>
  <c r="E319" i="22"/>
  <c r="F278" i="22"/>
  <c r="F254" i="22"/>
  <c r="D267" i="22"/>
  <c r="D294" i="22" s="1"/>
  <c r="M60" i="25" s="1"/>
  <c r="D269" i="22"/>
  <c r="D296" i="22" s="1"/>
  <c r="D263" i="22"/>
  <c r="D290" i="22" s="1"/>
  <c r="D265" i="22"/>
  <c r="D292" i="22" s="1"/>
  <c r="E237" i="22"/>
  <c r="E239" i="22"/>
  <c r="E233" i="22"/>
  <c r="E235" i="22"/>
  <c r="F206" i="22"/>
  <c r="G206" i="22" s="1"/>
  <c r="H206" i="22" s="1"/>
  <c r="E217" i="22"/>
  <c r="E215" i="22"/>
  <c r="E211" i="22"/>
  <c r="E213" i="22"/>
  <c r="D62" i="22"/>
  <c r="D58" i="22"/>
  <c r="D60" i="22"/>
  <c r="D64" i="22"/>
  <c r="F124" i="22"/>
  <c r="G125" i="22"/>
  <c r="H125" i="22" s="1"/>
  <c r="F46" i="22"/>
  <c r="G47" i="22"/>
  <c r="H47" i="22" s="1"/>
  <c r="F79" i="22"/>
  <c r="G79" i="22" s="1"/>
  <c r="H79" i="22" s="1"/>
  <c r="F155" i="22"/>
  <c r="G155" i="22" s="1"/>
  <c r="H155" i="22" s="1"/>
  <c r="E154" i="22"/>
  <c r="F51" i="22"/>
  <c r="G51" i="22" s="1"/>
  <c r="H51" i="22" s="1"/>
  <c r="F131" i="22"/>
  <c r="G131" i="22" s="1"/>
  <c r="H131" i="22" s="1"/>
  <c r="E130" i="22"/>
  <c r="F55" i="22"/>
  <c r="G55" i="22" s="1"/>
  <c r="H55" i="22" s="1"/>
  <c r="F81" i="22"/>
  <c r="G81" i="22" s="1"/>
  <c r="H81" i="22" s="1"/>
  <c r="F151" i="22"/>
  <c r="G151" i="22" s="1"/>
  <c r="H151" i="22" s="1"/>
  <c r="F105" i="22"/>
  <c r="G105" i="22" s="1"/>
  <c r="H105" i="22" s="1"/>
  <c r="G99" i="22"/>
  <c r="H99" i="22" s="1"/>
  <c r="F98" i="22"/>
  <c r="G73" i="22"/>
  <c r="H73" i="22" s="1"/>
  <c r="F72" i="22"/>
  <c r="C33" i="22"/>
  <c r="C34" i="22" s="1"/>
  <c r="C31" i="22"/>
  <c r="C32" i="22" s="1"/>
  <c r="C37" i="22"/>
  <c r="C38" i="22" s="1"/>
  <c r="C35" i="22"/>
  <c r="C36" i="22" s="1"/>
  <c r="F77" i="22"/>
  <c r="G77" i="22" s="1"/>
  <c r="H77" i="22" s="1"/>
  <c r="F127" i="22"/>
  <c r="G127" i="22" s="1"/>
  <c r="H127" i="22" s="1"/>
  <c r="C261" i="22"/>
  <c r="F153" i="22"/>
  <c r="G153" i="22" s="1"/>
  <c r="H153" i="22" s="1"/>
  <c r="F107" i="22"/>
  <c r="G107" i="22" s="1"/>
  <c r="H107" i="22" s="1"/>
  <c r="F129" i="22"/>
  <c r="G149" i="22"/>
  <c r="H149" i="22" s="1"/>
  <c r="F148" i="22"/>
  <c r="D203" i="22"/>
  <c r="D33" i="22"/>
  <c r="D37" i="22"/>
  <c r="D31" i="22"/>
  <c r="D35" i="22"/>
  <c r="D261" i="22"/>
  <c r="F53" i="22"/>
  <c r="G53" i="22" s="1"/>
  <c r="H53" i="22" s="1"/>
  <c r="F103" i="22"/>
  <c r="G103" i="22" s="1"/>
  <c r="H103" i="22" s="1"/>
  <c r="E260" i="22"/>
  <c r="F260" i="22" s="1"/>
  <c r="G260" i="22" s="1"/>
  <c r="H260" i="22" s="1"/>
  <c r="G180" i="22"/>
  <c r="H180" i="22" s="1"/>
  <c r="J180" i="22" s="1"/>
  <c r="G284" i="22"/>
  <c r="H284" i="22" s="1"/>
  <c r="E285" i="22"/>
  <c r="G310" i="22"/>
  <c r="H310" i="22" s="1"/>
  <c r="J310" i="22" s="1"/>
  <c r="C251" i="22"/>
  <c r="D251" i="22"/>
  <c r="E251" i="22"/>
  <c r="H252" i="22"/>
  <c r="J252" i="22" s="1"/>
  <c r="D17" i="22"/>
  <c r="E17" i="22" s="1"/>
  <c r="D259" i="22"/>
  <c r="E287" i="22"/>
  <c r="G250" i="22"/>
  <c r="H250" i="22" s="1"/>
  <c r="C259" i="22"/>
  <c r="G258" i="22"/>
  <c r="H258" i="22" s="1"/>
  <c r="J258" i="22" s="1"/>
  <c r="E279" i="22"/>
  <c r="F256" i="22"/>
  <c r="C257" i="22"/>
  <c r="D257" i="22"/>
  <c r="G177" i="22"/>
  <c r="H177" i="22" s="1"/>
  <c r="D27" i="22"/>
  <c r="D13" i="22"/>
  <c r="C229" i="22"/>
  <c r="D229" i="22"/>
  <c r="C207" i="22"/>
  <c r="D173" i="22"/>
  <c r="C225" i="22"/>
  <c r="D225" i="22"/>
  <c r="C231" i="22"/>
  <c r="C209" i="22"/>
  <c r="D231" i="22"/>
  <c r="D209" i="22"/>
  <c r="D207" i="22"/>
  <c r="F286" i="22"/>
  <c r="F287" i="22" s="1"/>
  <c r="G230" i="22"/>
  <c r="H230" i="22" s="1"/>
  <c r="F228" i="22"/>
  <c r="C203" i="22"/>
  <c r="C173" i="22"/>
  <c r="D15" i="22"/>
  <c r="D29" i="22"/>
  <c r="E15" i="22"/>
  <c r="AO94" i="10"/>
  <c r="F90" i="10"/>
  <c r="F89" i="10"/>
  <c r="F91" i="10"/>
  <c r="N90" i="10"/>
  <c r="N91" i="10"/>
  <c r="F92" i="10"/>
  <c r="AG85" i="10"/>
  <c r="AR82" i="10"/>
  <c r="AJ52" i="10"/>
  <c r="AN52" i="10"/>
  <c r="AK94" i="10"/>
  <c r="AL96" i="10"/>
  <c r="E49" i="10"/>
  <c r="AO70" i="10"/>
  <c r="AN94" i="10"/>
  <c r="AK95" i="10"/>
  <c r="AR83" i="10"/>
  <c r="F49" i="10"/>
  <c r="AL68" i="10"/>
  <c r="AI69" i="10"/>
  <c r="AL94" i="10"/>
  <c r="AM96" i="10"/>
  <c r="AH85" i="10"/>
  <c r="AO96" i="10"/>
  <c r="D46" i="10"/>
  <c r="AR81" i="10"/>
  <c r="E46" i="10"/>
  <c r="G46" i="10"/>
  <c r="AJ95" i="10"/>
  <c r="AN95" i="10"/>
  <c r="AN96" i="10"/>
  <c r="G48" i="10"/>
  <c r="AJ85" i="10"/>
  <c r="AO95" i="10"/>
  <c r="AK96" i="10"/>
  <c r="AM95" i="10"/>
  <c r="AJ96" i="10"/>
  <c r="AL95" i="10"/>
  <c r="AI94" i="10"/>
  <c r="AI96" i="10"/>
  <c r="AE85" i="10"/>
  <c r="AJ94" i="10"/>
  <c r="AF85" i="10"/>
  <c r="AI95" i="10"/>
  <c r="AM94" i="10"/>
  <c r="AI85" i="10"/>
  <c r="AJ68" i="10"/>
  <c r="AN71" i="10"/>
  <c r="AK71" i="10"/>
  <c r="AK53" i="10"/>
  <c r="D47" i="10"/>
  <c r="V46" i="10"/>
  <c r="E47" i="10"/>
  <c r="Y46" i="10"/>
  <c r="AN69" i="10"/>
  <c r="G47" i="10"/>
  <c r="P47" i="10"/>
  <c r="AO69" i="10"/>
  <c r="AI71" i="10"/>
  <c r="AL51" i="10"/>
  <c r="D48" i="10"/>
  <c r="Q48" i="10"/>
  <c r="AK68" i="10"/>
  <c r="AI70" i="10"/>
  <c r="AM70" i="10"/>
  <c r="V48" i="10"/>
  <c r="AJ51" i="10"/>
  <c r="AL53" i="10"/>
  <c r="H46" i="10"/>
  <c r="H47" i="10"/>
  <c r="H48" i="10"/>
  <c r="O46" i="10"/>
  <c r="Q47" i="10"/>
  <c r="X48" i="10"/>
  <c r="AR62" i="10"/>
  <c r="AL70" i="10"/>
  <c r="AR64" i="10"/>
  <c r="AL52" i="10"/>
  <c r="I46" i="10"/>
  <c r="I47" i="10"/>
  <c r="I48" i="10"/>
  <c r="P46" i="10"/>
  <c r="X47" i="10"/>
  <c r="Y48" i="10"/>
  <c r="AI68" i="10"/>
  <c r="AM69" i="10"/>
  <c r="AM71" i="10"/>
  <c r="J46" i="10"/>
  <c r="J47" i="10"/>
  <c r="J48" i="10"/>
  <c r="R46" i="10"/>
  <c r="Y47" i="10"/>
  <c r="AJ70" i="10"/>
  <c r="K46" i="10"/>
  <c r="K47" i="10"/>
  <c r="K48" i="10"/>
  <c r="S46" i="10"/>
  <c r="Z47" i="10"/>
  <c r="AR63" i="10"/>
  <c r="AO68" i="10"/>
  <c r="R48" i="10"/>
  <c r="F46" i="10"/>
  <c r="F47" i="10"/>
  <c r="AB46" i="10"/>
  <c r="T48" i="10"/>
  <c r="AJ69" i="10"/>
  <c r="AN70" i="10"/>
  <c r="AJ71" i="10"/>
  <c r="AM68" i="10"/>
  <c r="AN68" i="10"/>
  <c r="AK69" i="10"/>
  <c r="AL71" i="10"/>
  <c r="AL69" i="10"/>
  <c r="AO71" i="10"/>
  <c r="AK70" i="10"/>
  <c r="AO52" i="10"/>
  <c r="AB48" i="10"/>
  <c r="AB47" i="10"/>
  <c r="Z46" i="10"/>
  <c r="AA47" i="10"/>
  <c r="Z48" i="10"/>
  <c r="AA46" i="10"/>
  <c r="AA48" i="10"/>
  <c r="AN53" i="10"/>
  <c r="AN54" i="10"/>
  <c r="AK52" i="10"/>
  <c r="AM52" i="10"/>
  <c r="AO54" i="10"/>
  <c r="W46" i="10"/>
  <c r="V47" i="10"/>
  <c r="X46" i="10"/>
  <c r="W47" i="10"/>
  <c r="AO51" i="10"/>
  <c r="W49" i="10"/>
  <c r="AM53" i="10"/>
  <c r="AJ54" i="10"/>
  <c r="AM51" i="10"/>
  <c r="AI53" i="10"/>
  <c r="T46" i="10"/>
  <c r="S48" i="10"/>
  <c r="AN51" i="10"/>
  <c r="AI51" i="10"/>
  <c r="U48" i="10"/>
  <c r="R49" i="10"/>
  <c r="AO53" i="10"/>
  <c r="AI54" i="10"/>
  <c r="S49" i="10"/>
  <c r="AL54" i="10"/>
  <c r="U46" i="10"/>
  <c r="T49" i="10"/>
  <c r="AM54" i="10"/>
  <c r="AK54" i="10"/>
  <c r="U49" i="10"/>
  <c r="N49" i="10"/>
  <c r="AK51" i="10"/>
  <c r="N48" i="10"/>
  <c r="O49" i="10"/>
  <c r="AI52" i="10"/>
  <c r="N47" i="10"/>
  <c r="O48" i="10"/>
  <c r="P49" i="10"/>
  <c r="Q49" i="10"/>
  <c r="AJ53" i="10"/>
  <c r="C47" i="10"/>
  <c r="C48" i="10"/>
  <c r="C49" i="10"/>
  <c r="AJ43" i="10"/>
  <c r="AG43" i="10"/>
  <c r="AO43" i="10"/>
  <c r="AK43" i="10"/>
  <c r="AL43" i="10"/>
  <c r="AI43" i="10"/>
  <c r="AE43" i="10"/>
  <c r="AM43" i="10"/>
  <c r="AR41" i="10"/>
  <c r="AF43" i="10"/>
  <c r="AN43" i="10"/>
  <c r="AR39" i="10"/>
  <c r="AH43" i="10"/>
  <c r="AR40" i="10"/>
  <c r="F295" i="22" l="1"/>
  <c r="F291" i="22"/>
  <c r="F289" i="22"/>
  <c r="F293" i="22"/>
  <c r="G254" i="22"/>
  <c r="F283" i="22"/>
  <c r="H280" i="22"/>
  <c r="G129" i="22"/>
  <c r="H129" i="22" s="1"/>
  <c r="E111" i="22"/>
  <c r="E112" i="22" s="1"/>
  <c r="E113" i="22"/>
  <c r="E115" i="22"/>
  <c r="E116" i="22" s="1"/>
  <c r="E109" i="22"/>
  <c r="E110" i="22" s="1"/>
  <c r="E83" i="22"/>
  <c r="E84" i="22" s="1"/>
  <c r="E85" i="22"/>
  <c r="E86" i="22" s="1"/>
  <c r="E89" i="22"/>
  <c r="E90" i="22" s="1"/>
  <c r="E87" i="22"/>
  <c r="E88" i="22" s="1"/>
  <c r="E59" i="22"/>
  <c r="E60" i="22" s="1"/>
  <c r="E57" i="22"/>
  <c r="E58" i="22" s="1"/>
  <c r="E61" i="22"/>
  <c r="E62" i="22" s="1"/>
  <c r="E63" i="22"/>
  <c r="E64" i="22" s="1"/>
  <c r="F22" i="22"/>
  <c r="G22" i="22" s="1"/>
  <c r="H22" i="22" s="1"/>
  <c r="J22" i="22" s="1"/>
  <c r="H323" i="22"/>
  <c r="J312" i="22"/>
  <c r="J284" i="22"/>
  <c r="H321" i="22"/>
  <c r="H215" i="22"/>
  <c r="J206" i="22"/>
  <c r="H213" i="22"/>
  <c r="H211" i="22"/>
  <c r="H217" i="22"/>
  <c r="J230" i="22"/>
  <c r="J260" i="22"/>
  <c r="J250" i="22"/>
  <c r="H281" i="22"/>
  <c r="J280" i="22"/>
  <c r="H319" i="22"/>
  <c r="H317" i="22"/>
  <c r="D195" i="22"/>
  <c r="D196" i="22" s="1"/>
  <c r="C195" i="22"/>
  <c r="C196" i="22" s="1"/>
  <c r="G52" i="27"/>
  <c r="G57" i="27" s="1"/>
  <c r="G58" i="27" s="1"/>
  <c r="AP97" i="10"/>
  <c r="AP85" i="10"/>
  <c r="F279" i="22"/>
  <c r="D193" i="22"/>
  <c r="D194" i="22" s="1"/>
  <c r="D189" i="22"/>
  <c r="D190" i="22" s="1"/>
  <c r="AG90" i="10"/>
  <c r="AE91" i="10"/>
  <c r="AH91" i="10"/>
  <c r="AJ89" i="10"/>
  <c r="N92" i="10"/>
  <c r="AC97" i="10"/>
  <c r="AC85" i="10"/>
  <c r="AC102" i="10"/>
  <c r="N89" i="10"/>
  <c r="C90" i="10"/>
  <c r="C92" i="10"/>
  <c r="C89" i="10"/>
  <c r="C91" i="10"/>
  <c r="P102" i="10"/>
  <c r="P85" i="10"/>
  <c r="P86" i="10" s="1"/>
  <c r="H97" i="10"/>
  <c r="H85" i="10"/>
  <c r="H86" i="10" s="1"/>
  <c r="W97" i="10"/>
  <c r="W102" i="10"/>
  <c r="W85" i="10"/>
  <c r="W86" i="10" s="1"/>
  <c r="V102" i="10"/>
  <c r="V85" i="10"/>
  <c r="V86" i="10" s="1"/>
  <c r="V97" i="10"/>
  <c r="L97" i="10"/>
  <c r="K97" i="10"/>
  <c r="K85" i="10"/>
  <c r="K86" i="10" s="1"/>
  <c r="J97" i="10"/>
  <c r="J85" i="10"/>
  <c r="J86" i="10" s="1"/>
  <c r="I97" i="10"/>
  <c r="I85" i="10"/>
  <c r="I86" i="10" s="1"/>
  <c r="Y97" i="10"/>
  <c r="Y102" i="10"/>
  <c r="Y85" i="10"/>
  <c r="Y86" i="10" s="1"/>
  <c r="S102" i="10"/>
  <c r="S85" i="10"/>
  <c r="S86" i="10" s="1"/>
  <c r="S97" i="10"/>
  <c r="AJ97" i="10"/>
  <c r="O102" i="10"/>
  <c r="O85" i="10"/>
  <c r="O86" i="10" s="1"/>
  <c r="Z97" i="10"/>
  <c r="Z102" i="10"/>
  <c r="Z85" i="10"/>
  <c r="Z86" i="10" s="1"/>
  <c r="Q102" i="10"/>
  <c r="Q85" i="10"/>
  <c r="Q86" i="10" s="1"/>
  <c r="U102" i="10"/>
  <c r="U85" i="10"/>
  <c r="U97" i="10"/>
  <c r="AI97" i="10"/>
  <c r="P92" i="10"/>
  <c r="X97" i="10"/>
  <c r="X102" i="10"/>
  <c r="X85" i="10"/>
  <c r="X86" i="10" s="1"/>
  <c r="F97" i="10"/>
  <c r="E97" i="10"/>
  <c r="E85" i="10"/>
  <c r="E86" i="10" s="1"/>
  <c r="D97" i="10"/>
  <c r="D85" i="10"/>
  <c r="D86" i="10" s="1"/>
  <c r="AB102" i="10"/>
  <c r="AB85" i="10"/>
  <c r="AB86" i="10" s="1"/>
  <c r="AB97" i="10"/>
  <c r="AA102" i="10"/>
  <c r="AA85" i="10"/>
  <c r="AA86" i="10" s="1"/>
  <c r="AA97" i="10"/>
  <c r="R97" i="10"/>
  <c r="R102" i="10"/>
  <c r="R85" i="10"/>
  <c r="R86" i="10" s="1"/>
  <c r="G97" i="10"/>
  <c r="G85" i="10"/>
  <c r="G86" i="10" s="1"/>
  <c r="T102" i="10"/>
  <c r="T85" i="10"/>
  <c r="T86" i="10" s="1"/>
  <c r="T97" i="10"/>
  <c r="D191" i="22"/>
  <c r="D192" i="22" s="1"/>
  <c r="G92" i="28" s="1"/>
  <c r="C193" i="22"/>
  <c r="C194" i="22" s="1"/>
  <c r="D318" i="22"/>
  <c r="D240" i="22"/>
  <c r="D324" i="22"/>
  <c r="C268" i="22"/>
  <c r="L59" i="25" s="1"/>
  <c r="C322" i="22"/>
  <c r="D320" i="22"/>
  <c r="C324" i="22"/>
  <c r="C264" i="22"/>
  <c r="C318" i="22"/>
  <c r="C266" i="22"/>
  <c r="C320" i="22"/>
  <c r="C189" i="22"/>
  <c r="C190" i="22" s="1"/>
  <c r="C191" i="22"/>
  <c r="D322" i="22"/>
  <c r="G321" i="22"/>
  <c r="G319" i="22"/>
  <c r="G323" i="22"/>
  <c r="G317" i="22"/>
  <c r="F323" i="22"/>
  <c r="F319" i="22"/>
  <c r="F321" i="22"/>
  <c r="F317" i="22"/>
  <c r="F285" i="22"/>
  <c r="G278" i="22"/>
  <c r="C240" i="22"/>
  <c r="C270" i="22"/>
  <c r="D266" i="22"/>
  <c r="D264" i="22"/>
  <c r="D270" i="22"/>
  <c r="D268" i="22"/>
  <c r="M59" i="25" s="1"/>
  <c r="D216" i="22"/>
  <c r="D238" i="22"/>
  <c r="G100" i="28" s="1"/>
  <c r="E267" i="22"/>
  <c r="E294" i="22" s="1"/>
  <c r="N60" i="25" s="1"/>
  <c r="D212" i="22"/>
  <c r="D234" i="22"/>
  <c r="E263" i="22"/>
  <c r="E290" i="22" s="1"/>
  <c r="C216" i="22"/>
  <c r="C238" i="22"/>
  <c r="F100" i="28" s="1"/>
  <c r="E269" i="22"/>
  <c r="E296" i="22" s="1"/>
  <c r="D214" i="22"/>
  <c r="G96" i="28" s="1"/>
  <c r="D236" i="22"/>
  <c r="C212" i="22"/>
  <c r="C234" i="22"/>
  <c r="F267" i="22"/>
  <c r="C214" i="22"/>
  <c r="F96" i="28" s="1"/>
  <c r="C236" i="22"/>
  <c r="F265" i="22"/>
  <c r="F263" i="22"/>
  <c r="E265" i="22"/>
  <c r="E292" i="22" s="1"/>
  <c r="F269" i="22"/>
  <c r="F235" i="22"/>
  <c r="F239" i="22"/>
  <c r="F233" i="22"/>
  <c r="F237" i="22"/>
  <c r="G211" i="22"/>
  <c r="G213" i="22"/>
  <c r="G217" i="22"/>
  <c r="G215" i="22"/>
  <c r="D247" i="22"/>
  <c r="D218" i="22"/>
  <c r="C247" i="22"/>
  <c r="C218" i="22"/>
  <c r="F211" i="22"/>
  <c r="F215" i="22"/>
  <c r="F217" i="22"/>
  <c r="F213" i="22"/>
  <c r="E161" i="22"/>
  <c r="H84" i="28" s="1"/>
  <c r="E163" i="22"/>
  <c r="E164" i="22" s="1"/>
  <c r="E157" i="22"/>
  <c r="E158" i="22" s="1"/>
  <c r="E159" i="22"/>
  <c r="E160" i="22" s="1"/>
  <c r="E133" i="22"/>
  <c r="E134" i="22" s="1"/>
  <c r="E135" i="22"/>
  <c r="E136" i="22" s="1"/>
  <c r="E137" i="22"/>
  <c r="H88" i="28" s="1"/>
  <c r="E139" i="22"/>
  <c r="E140" i="22" s="1"/>
  <c r="D38" i="22"/>
  <c r="F128" i="22"/>
  <c r="G128" i="22" s="1"/>
  <c r="D36" i="22"/>
  <c r="F126" i="22"/>
  <c r="G126" i="22" s="1"/>
  <c r="H126" i="22" s="1"/>
  <c r="J126" i="22" s="1"/>
  <c r="D32" i="22"/>
  <c r="D34" i="22"/>
  <c r="F104" i="22"/>
  <c r="F154" i="22"/>
  <c r="G154" i="22" s="1"/>
  <c r="H154" i="22" s="1"/>
  <c r="J154" i="22" s="1"/>
  <c r="G148" i="22"/>
  <c r="H148" i="22" s="1"/>
  <c r="J148" i="22" s="1"/>
  <c r="F78" i="22"/>
  <c r="G78" i="22" s="1"/>
  <c r="H78" i="22" s="1"/>
  <c r="J78" i="22" s="1"/>
  <c r="F130" i="22"/>
  <c r="G130" i="22" s="1"/>
  <c r="H130" i="22" s="1"/>
  <c r="J130" i="22" s="1"/>
  <c r="E16" i="22"/>
  <c r="F102" i="22"/>
  <c r="G102" i="22" s="1"/>
  <c r="H102" i="22" s="1"/>
  <c r="J102" i="22" s="1"/>
  <c r="J106" i="22"/>
  <c r="E12" i="22"/>
  <c r="F52" i="22"/>
  <c r="F150" i="22"/>
  <c r="G150" i="22" s="1"/>
  <c r="H150" i="22" s="1"/>
  <c r="J150" i="22" s="1"/>
  <c r="E26" i="22"/>
  <c r="E207" i="22" s="1"/>
  <c r="E28" i="22"/>
  <c r="F76" i="22"/>
  <c r="G72" i="22"/>
  <c r="G46" i="22"/>
  <c r="F14" i="22"/>
  <c r="F152" i="22"/>
  <c r="G152" i="22" s="1"/>
  <c r="H152" i="22" s="1"/>
  <c r="J152" i="22" s="1"/>
  <c r="G98" i="22"/>
  <c r="H98" i="22" s="1"/>
  <c r="J98" i="22" s="1"/>
  <c r="G124" i="22"/>
  <c r="H124" i="22" s="1"/>
  <c r="J124" i="22" s="1"/>
  <c r="G285" i="22"/>
  <c r="G281" i="22"/>
  <c r="G256" i="22"/>
  <c r="G286" i="22"/>
  <c r="G293" i="22" s="1"/>
  <c r="G228" i="22"/>
  <c r="H228" i="22" s="1"/>
  <c r="AG91" i="10"/>
  <c r="AF46" i="10"/>
  <c r="AE92" i="10"/>
  <c r="AO47" i="10"/>
  <c r="AM49" i="10"/>
  <c r="AE89" i="10"/>
  <c r="AJ46" i="10"/>
  <c r="AE46" i="10"/>
  <c r="AJ92" i="10"/>
  <c r="AN48" i="10"/>
  <c r="AH46" i="10"/>
  <c r="AL46" i="10"/>
  <c r="AK47" i="10"/>
  <c r="AJ91" i="10"/>
  <c r="AF91" i="10"/>
  <c r="AH89" i="10"/>
  <c r="AH92" i="10"/>
  <c r="AH90" i="10"/>
  <c r="AF89" i="10"/>
  <c r="AI90" i="10"/>
  <c r="AE90" i="10"/>
  <c r="AI91" i="10"/>
  <c r="AJ90" i="10"/>
  <c r="AF90" i="10"/>
  <c r="AG92" i="10"/>
  <c r="AG89" i="10"/>
  <c r="AI89" i="10"/>
  <c r="AK49" i="10"/>
  <c r="AK48" i="10"/>
  <c r="AO49" i="10"/>
  <c r="AN49" i="10"/>
  <c r="AN46" i="10"/>
  <c r="AL49" i="10"/>
  <c r="AL47" i="10"/>
  <c r="AM47" i="10"/>
  <c r="AO46" i="10"/>
  <c r="AN47" i="10"/>
  <c r="AO48" i="10"/>
  <c r="AM46" i="10"/>
  <c r="AL48" i="10"/>
  <c r="AM48" i="10"/>
  <c r="AJ49" i="10"/>
  <c r="AJ48" i="10"/>
  <c r="AJ47" i="10"/>
  <c r="AI48" i="10"/>
  <c r="AI47" i="10"/>
  <c r="AH48" i="10"/>
  <c r="AH47" i="10"/>
  <c r="AK46" i="10"/>
  <c r="AI49" i="10"/>
  <c r="AH49" i="10"/>
  <c r="AI46" i="10"/>
  <c r="AE49" i="10"/>
  <c r="AG48" i="10"/>
  <c r="AG47" i="10"/>
  <c r="AE47" i="10"/>
  <c r="AG49" i="10"/>
  <c r="AF48" i="10"/>
  <c r="AF49" i="10"/>
  <c r="AG46" i="10"/>
  <c r="AE48" i="10"/>
  <c r="AF47" i="10"/>
  <c r="AR43" i="10"/>
  <c r="G291" i="22" l="1"/>
  <c r="H254" i="22"/>
  <c r="G283" i="22"/>
  <c r="G289" i="22"/>
  <c r="G295" i="22"/>
  <c r="H128" i="22"/>
  <c r="J128" i="22" s="1"/>
  <c r="H278" i="22"/>
  <c r="G104" i="22"/>
  <c r="H72" i="22"/>
  <c r="J72" i="22" s="1"/>
  <c r="F61" i="22"/>
  <c r="F59" i="22"/>
  <c r="H46" i="22"/>
  <c r="F57" i="22"/>
  <c r="F58" i="22" s="1"/>
  <c r="F63" i="22"/>
  <c r="H87" i="28"/>
  <c r="H89" i="28"/>
  <c r="H54" i="28"/>
  <c r="L16" i="28" s="1"/>
  <c r="H83" i="28"/>
  <c r="H85" i="28"/>
  <c r="H53" i="28" s="1"/>
  <c r="L15" i="28" s="1"/>
  <c r="G91" i="28"/>
  <c r="G93" i="28"/>
  <c r="G55" i="28"/>
  <c r="M58" i="25" s="1"/>
  <c r="G97" i="28"/>
  <c r="G95" i="28"/>
  <c r="G56" i="28" s="1"/>
  <c r="M71" i="25" s="1"/>
  <c r="G101" i="28"/>
  <c r="G99" i="28"/>
  <c r="G57" i="28" s="1"/>
  <c r="M72" i="25" s="1"/>
  <c r="F99" i="28"/>
  <c r="F101" i="28"/>
  <c r="F57" i="28"/>
  <c r="L72" i="25" s="1"/>
  <c r="F97" i="28"/>
  <c r="F95" i="28"/>
  <c r="F56" i="28" s="1"/>
  <c r="L71" i="25" s="1"/>
  <c r="J321" i="22"/>
  <c r="J211" i="22"/>
  <c r="J46" i="22"/>
  <c r="J50" i="22"/>
  <c r="I54" i="27"/>
  <c r="J213" i="22"/>
  <c r="H239" i="22"/>
  <c r="J228" i="22"/>
  <c r="H233" i="22"/>
  <c r="H237" i="22"/>
  <c r="H235" i="22"/>
  <c r="J215" i="22"/>
  <c r="G287" i="22"/>
  <c r="H286" i="22"/>
  <c r="H291" i="22" s="1"/>
  <c r="J54" i="22"/>
  <c r="J278" i="22"/>
  <c r="G279" i="22"/>
  <c r="H256" i="22"/>
  <c r="J317" i="22"/>
  <c r="J217" i="22"/>
  <c r="E209" i="22"/>
  <c r="E257" i="22"/>
  <c r="F15" i="22"/>
  <c r="L24" i="25"/>
  <c r="L163" i="25" s="1"/>
  <c r="L169" i="25" s="1"/>
  <c r="H52" i="27"/>
  <c r="H57" i="27" s="1"/>
  <c r="H58" i="27" s="1"/>
  <c r="J319" i="22"/>
  <c r="J323" i="22"/>
  <c r="C192" i="22"/>
  <c r="F92" i="28" s="1"/>
  <c r="J44" i="22"/>
  <c r="AP90" i="10"/>
  <c r="AP91" i="10"/>
  <c r="AP89" i="10"/>
  <c r="AP86" i="10"/>
  <c r="AP92" i="10"/>
  <c r="AC92" i="10"/>
  <c r="AC86" i="10"/>
  <c r="U92" i="10"/>
  <c r="U86" i="10"/>
  <c r="AC89" i="10"/>
  <c r="AC90" i="10"/>
  <c r="AC91" i="10"/>
  <c r="T89" i="10"/>
  <c r="T91" i="10"/>
  <c r="T90" i="10"/>
  <c r="AA92" i="10"/>
  <c r="AA90" i="10"/>
  <c r="AA91" i="10"/>
  <c r="AA89" i="10"/>
  <c r="AL97" i="10"/>
  <c r="AL85" i="10"/>
  <c r="Y89" i="10"/>
  <c r="Y92" i="10"/>
  <c r="Y90" i="10"/>
  <c r="Y91" i="10"/>
  <c r="AF92" i="10"/>
  <c r="Q89" i="10"/>
  <c r="Q90" i="10"/>
  <c r="Q91" i="10"/>
  <c r="Q92" i="10"/>
  <c r="H91" i="10"/>
  <c r="H90" i="10"/>
  <c r="H89" i="10"/>
  <c r="AB91" i="10"/>
  <c r="AB92" i="10"/>
  <c r="AB89" i="10"/>
  <c r="AB90" i="10"/>
  <c r="Z90" i="10"/>
  <c r="Z92" i="10"/>
  <c r="Z89" i="10"/>
  <c r="Z91" i="10"/>
  <c r="I91" i="10"/>
  <c r="I92" i="10"/>
  <c r="I90" i="10"/>
  <c r="I89" i="10"/>
  <c r="V92" i="10"/>
  <c r="V90" i="10"/>
  <c r="V89" i="10"/>
  <c r="V91" i="10"/>
  <c r="G89" i="10"/>
  <c r="G90" i="10"/>
  <c r="G91" i="10"/>
  <c r="G92" i="10"/>
  <c r="X91" i="10"/>
  <c r="X89" i="10"/>
  <c r="X90" i="10"/>
  <c r="X92" i="10"/>
  <c r="AN97" i="10"/>
  <c r="AN85" i="10"/>
  <c r="AK85" i="10"/>
  <c r="AK97" i="10"/>
  <c r="R90" i="10"/>
  <c r="R89" i="10"/>
  <c r="R92" i="10"/>
  <c r="R91" i="10"/>
  <c r="AO97" i="10"/>
  <c r="AO85" i="10"/>
  <c r="AN92" i="10"/>
  <c r="D91" i="10"/>
  <c r="D90" i="10"/>
  <c r="D92" i="10"/>
  <c r="D89" i="10"/>
  <c r="J89" i="10"/>
  <c r="J90" i="10"/>
  <c r="J91" i="10"/>
  <c r="J92" i="10"/>
  <c r="W92" i="10"/>
  <c r="W89" i="10"/>
  <c r="W91" i="10"/>
  <c r="W90" i="10"/>
  <c r="P91" i="10"/>
  <c r="P89" i="10"/>
  <c r="P90" i="10"/>
  <c r="H92" i="10"/>
  <c r="AM97" i="10"/>
  <c r="AM85" i="10"/>
  <c r="O89" i="10"/>
  <c r="O91" i="10"/>
  <c r="O92" i="10"/>
  <c r="O90" i="10"/>
  <c r="S91" i="10"/>
  <c r="S89" i="10"/>
  <c r="S90" i="10"/>
  <c r="S92" i="10"/>
  <c r="E92" i="10"/>
  <c r="E91" i="10"/>
  <c r="E89" i="10"/>
  <c r="E90" i="10"/>
  <c r="AI92" i="10"/>
  <c r="U91" i="10"/>
  <c r="U89" i="10"/>
  <c r="U90" i="10"/>
  <c r="K89" i="10"/>
  <c r="K90" i="10"/>
  <c r="K91" i="10"/>
  <c r="K92" i="10"/>
  <c r="T92" i="10"/>
  <c r="E229" i="22"/>
  <c r="E315" i="22"/>
  <c r="E203" i="22"/>
  <c r="E305" i="22"/>
  <c r="F313" i="22"/>
  <c r="F292" i="22"/>
  <c r="F290" i="22"/>
  <c r="F294" i="22"/>
  <c r="O60" i="25" s="1"/>
  <c r="F296" i="22"/>
  <c r="G267" i="22"/>
  <c r="G265" i="22"/>
  <c r="G263" i="22"/>
  <c r="G269" i="22"/>
  <c r="G239" i="22"/>
  <c r="G233" i="22"/>
  <c r="G235" i="22"/>
  <c r="G237" i="22"/>
  <c r="E162" i="22"/>
  <c r="E138" i="22"/>
  <c r="E13" i="22"/>
  <c r="E114" i="22"/>
  <c r="I53" i="27" s="1"/>
  <c r="E225" i="22"/>
  <c r="E173" i="22"/>
  <c r="F174" i="22"/>
  <c r="E176" i="22"/>
  <c r="F26" i="22"/>
  <c r="F62" i="22"/>
  <c r="F64" i="22"/>
  <c r="E29" i="22"/>
  <c r="G52" i="22"/>
  <c r="G63" i="22" s="1"/>
  <c r="E187" i="22"/>
  <c r="F16" i="22"/>
  <c r="F17" i="22" s="1"/>
  <c r="E27" i="22"/>
  <c r="F251" i="22"/>
  <c r="E261" i="22"/>
  <c r="F60" i="22"/>
  <c r="E259" i="22"/>
  <c r="G14" i="22"/>
  <c r="E231" i="22"/>
  <c r="G76" i="22"/>
  <c r="J80" i="22"/>
  <c r="F28" i="22"/>
  <c r="H293" i="22" l="1"/>
  <c r="H289" i="22"/>
  <c r="H295" i="22"/>
  <c r="J254" i="22"/>
  <c r="H283" i="22"/>
  <c r="H285" i="22"/>
  <c r="J291" i="22"/>
  <c r="H14" i="22"/>
  <c r="H251" i="22" s="1"/>
  <c r="H104" i="22"/>
  <c r="G61" i="22"/>
  <c r="G57" i="22"/>
  <c r="G59" i="22"/>
  <c r="L24" i="28"/>
  <c r="N54" i="25" s="1"/>
  <c r="N22" i="25"/>
  <c r="I55" i="27" s="1"/>
  <c r="L17" i="28"/>
  <c r="L20" i="28" s="1"/>
  <c r="N50" i="25" s="1"/>
  <c r="L25" i="28"/>
  <c r="N55" i="25" s="1"/>
  <c r="N23" i="25"/>
  <c r="F91" i="28"/>
  <c r="F55" i="28"/>
  <c r="L58" i="25" s="1"/>
  <c r="L27" i="25" s="1"/>
  <c r="L26" i="25" s="1"/>
  <c r="L65" i="25" s="1"/>
  <c r="F93" i="28"/>
  <c r="J239" i="22"/>
  <c r="J289" i="22"/>
  <c r="G309" i="22"/>
  <c r="H52" i="22"/>
  <c r="H57" i="22" s="1"/>
  <c r="J286" i="22"/>
  <c r="H287" i="22"/>
  <c r="J256" i="22"/>
  <c r="H263" i="22"/>
  <c r="J263" i="22" s="1"/>
  <c r="H265" i="22"/>
  <c r="J265" i="22" s="1"/>
  <c r="H269" i="22"/>
  <c r="H267" i="22"/>
  <c r="J267" i="22" s="1"/>
  <c r="H279" i="22"/>
  <c r="J235" i="22"/>
  <c r="J295" i="22"/>
  <c r="J237" i="22"/>
  <c r="J233" i="22"/>
  <c r="G16" i="22"/>
  <c r="G176" i="22" s="1"/>
  <c r="H76" i="22"/>
  <c r="H28" i="22"/>
  <c r="J338" i="22"/>
  <c r="L29" i="25"/>
  <c r="L66" i="25" s="1"/>
  <c r="L30" i="25"/>
  <c r="L67" i="25" s="1"/>
  <c r="M24" i="25"/>
  <c r="M163" i="25" s="1"/>
  <c r="M169" i="25" s="1"/>
  <c r="I52" i="27"/>
  <c r="L84" i="25"/>
  <c r="AL92" i="10"/>
  <c r="AM92" i="10"/>
  <c r="AM90" i="10"/>
  <c r="AM89" i="10"/>
  <c r="AM91" i="10"/>
  <c r="AO92" i="10"/>
  <c r="AO89" i="10"/>
  <c r="AR85" i="10"/>
  <c r="AO91" i="10"/>
  <c r="AO90" i="10"/>
  <c r="AK89" i="10"/>
  <c r="AK92" i="10"/>
  <c r="AK91" i="10"/>
  <c r="AK90" i="10"/>
  <c r="AN89" i="10"/>
  <c r="AN90" i="10"/>
  <c r="AN91" i="10"/>
  <c r="AL89" i="10"/>
  <c r="AL90" i="10"/>
  <c r="AL91" i="10"/>
  <c r="G251" i="22"/>
  <c r="G313" i="22"/>
  <c r="F315" i="22"/>
  <c r="G296" i="22"/>
  <c r="G294" i="22"/>
  <c r="P60" i="25" s="1"/>
  <c r="G292" i="22"/>
  <c r="G290" i="22"/>
  <c r="G15" i="22"/>
  <c r="G26" i="22"/>
  <c r="F207" i="22"/>
  <c r="F27" i="22"/>
  <c r="F229" i="22"/>
  <c r="F259" i="22"/>
  <c r="F176" i="22"/>
  <c r="F257" i="22"/>
  <c r="G28" i="22"/>
  <c r="F231" i="22"/>
  <c r="F29" i="22"/>
  <c r="F261" i="22"/>
  <c r="F187" i="22"/>
  <c r="F209" i="22"/>
  <c r="G174" i="22"/>
  <c r="H313" i="22" l="1"/>
  <c r="H174" i="22"/>
  <c r="H15" i="22"/>
  <c r="J14" i="22"/>
  <c r="G17" i="22"/>
  <c r="G257" i="22"/>
  <c r="J104" i="22"/>
  <c r="H61" i="22"/>
  <c r="J61" i="22" s="1"/>
  <c r="H63" i="22"/>
  <c r="J63" i="22" s="1"/>
  <c r="H59" i="22"/>
  <c r="H60" i="22" s="1"/>
  <c r="H29" i="22"/>
  <c r="J174" i="22"/>
  <c r="I56" i="27"/>
  <c r="I57" i="27" s="1"/>
  <c r="I58" i="27" s="1"/>
  <c r="H296" i="22"/>
  <c r="J269" i="22"/>
  <c r="H292" i="22"/>
  <c r="H187" i="22"/>
  <c r="H209" i="22"/>
  <c r="H231" i="22"/>
  <c r="H261" i="22"/>
  <c r="J293" i="22"/>
  <c r="H294" i="22"/>
  <c r="Q60" i="25" s="1"/>
  <c r="G253" i="22"/>
  <c r="J76" i="22"/>
  <c r="H16" i="22"/>
  <c r="H17" i="22" s="1"/>
  <c r="J52" i="22"/>
  <c r="H26" i="22"/>
  <c r="H58" i="22"/>
  <c r="H290" i="22"/>
  <c r="J28" i="22"/>
  <c r="L44" i="25"/>
  <c r="L221" i="25" s="1"/>
  <c r="L214" i="25" s="1"/>
  <c r="L217" i="25" s="1"/>
  <c r="L91" i="25"/>
  <c r="L95" i="25"/>
  <c r="L116" i="25" s="1"/>
  <c r="L86" i="25"/>
  <c r="L171" i="25" s="1"/>
  <c r="M168" i="25" s="1"/>
  <c r="L92" i="25"/>
  <c r="L82" i="25"/>
  <c r="L90" i="25"/>
  <c r="L83" i="25"/>
  <c r="M30" i="25"/>
  <c r="M67" i="25" s="1"/>
  <c r="M29" i="25"/>
  <c r="M66" i="25" s="1"/>
  <c r="M27" i="25"/>
  <c r="M26" i="25" s="1"/>
  <c r="M65" i="25" s="1"/>
  <c r="N24" i="25"/>
  <c r="N163" i="25" s="1"/>
  <c r="N169" i="25" s="1"/>
  <c r="J57" i="22"/>
  <c r="G315" i="22"/>
  <c r="G259" i="22"/>
  <c r="G229" i="22"/>
  <c r="G27" i="22"/>
  <c r="G207" i="22"/>
  <c r="G60" i="22"/>
  <c r="G62" i="22"/>
  <c r="G64" i="22"/>
  <c r="G58" i="22"/>
  <c r="G209" i="22"/>
  <c r="G261" i="22"/>
  <c r="G231" i="22"/>
  <c r="G29" i="22"/>
  <c r="G187" i="22"/>
  <c r="J59" i="22" l="1"/>
  <c r="H64" i="22"/>
  <c r="H62" i="22"/>
  <c r="H259" i="22"/>
  <c r="H229" i="22"/>
  <c r="H315" i="22"/>
  <c r="H207" i="22"/>
  <c r="H184" i="22"/>
  <c r="H27" i="22"/>
  <c r="J26" i="22"/>
  <c r="H176" i="22"/>
  <c r="H257" i="22"/>
  <c r="J16" i="22"/>
  <c r="L74" i="25"/>
  <c r="L99" i="25"/>
  <c r="L112" i="25"/>
  <c r="L114" i="25"/>
  <c r="M82" i="25"/>
  <c r="L113" i="25"/>
  <c r="G74" i="27"/>
  <c r="G75" i="27" s="1"/>
  <c r="M92" i="25"/>
  <c r="N92" i="25" s="1"/>
  <c r="M91" i="25"/>
  <c r="N91" i="25" s="1"/>
  <c r="M90" i="25"/>
  <c r="M84" i="25"/>
  <c r="M83" i="25"/>
  <c r="M86" i="25"/>
  <c r="M171" i="25" s="1"/>
  <c r="M170" i="25" s="1"/>
  <c r="M115" i="25" s="1"/>
  <c r="M44" i="25"/>
  <c r="M221" i="25" s="1"/>
  <c r="M95" i="25"/>
  <c r="N95" i="25" s="1"/>
  <c r="N116" i="25" s="1"/>
  <c r="L170" i="25"/>
  <c r="L115" i="25" s="1"/>
  <c r="G70" i="27" l="1"/>
  <c r="H195" i="22"/>
  <c r="H189" i="22"/>
  <c r="H193" i="22"/>
  <c r="J176" i="22"/>
  <c r="H191" i="22"/>
  <c r="N82" i="25"/>
  <c r="M116" i="25"/>
  <c r="N84" i="25"/>
  <c r="M114" i="25"/>
  <c r="H74" i="27"/>
  <c r="H75" i="27" s="1"/>
  <c r="N86" i="25"/>
  <c r="N171" i="25" s="1"/>
  <c r="O168" i="25" s="1"/>
  <c r="N168" i="25"/>
  <c r="M113" i="25"/>
  <c r="N44" i="25"/>
  <c r="N221" i="25" s="1"/>
  <c r="M74" i="25"/>
  <c r="M112" i="25"/>
  <c r="M99" i="25"/>
  <c r="H70" i="27" l="1"/>
  <c r="N99" i="25"/>
  <c r="N112" i="25"/>
  <c r="N74" i="25"/>
  <c r="N170" i="25"/>
  <c r="N115" i="25" s="1"/>
  <c r="AJ28" i="10" l="1"/>
  <c r="AI28" i="10"/>
  <c r="AB27" i="10"/>
  <c r="AA27" i="10"/>
  <c r="Z27" i="10"/>
  <c r="Y27" i="10"/>
  <c r="X27" i="10"/>
  <c r="W27" i="10"/>
  <c r="V27" i="10"/>
  <c r="U27" i="10"/>
  <c r="T27" i="10"/>
  <c r="S27" i="10"/>
  <c r="AB26" i="10"/>
  <c r="AA26" i="10"/>
  <c r="Z26" i="10"/>
  <c r="Y26" i="10"/>
  <c r="X26" i="10"/>
  <c r="W26" i="10"/>
  <c r="V26" i="10"/>
  <c r="U26" i="10"/>
  <c r="T26" i="10"/>
  <c r="S26" i="10"/>
  <c r="AB25" i="10"/>
  <c r="AA25" i="10"/>
  <c r="Z25" i="10"/>
  <c r="Y25" i="10"/>
  <c r="X25" i="10"/>
  <c r="W25" i="10"/>
  <c r="V25" i="10"/>
  <c r="U25" i="10"/>
  <c r="T25" i="10"/>
  <c r="S25" i="10"/>
  <c r="AB24" i="10"/>
  <c r="AA24" i="10"/>
  <c r="Z24" i="10"/>
  <c r="Y24" i="10"/>
  <c r="X24" i="10"/>
  <c r="W24" i="10"/>
  <c r="V24" i="10"/>
  <c r="U24" i="10"/>
  <c r="T24" i="10"/>
  <c r="S24" i="10"/>
  <c r="K27" i="10"/>
  <c r="J27" i="10"/>
  <c r="I27" i="10"/>
  <c r="H27" i="10"/>
  <c r="G27" i="10"/>
  <c r="F27" i="10"/>
  <c r="E27" i="10"/>
  <c r="D27" i="10"/>
  <c r="K26" i="10"/>
  <c r="J26" i="10"/>
  <c r="I26" i="10"/>
  <c r="H26" i="10"/>
  <c r="G26" i="10"/>
  <c r="F26" i="10"/>
  <c r="E26" i="10"/>
  <c r="D26" i="10"/>
  <c r="K25" i="10"/>
  <c r="J25" i="10"/>
  <c r="I25" i="10"/>
  <c r="H25" i="10"/>
  <c r="G25" i="10"/>
  <c r="F25" i="10"/>
  <c r="E25" i="10"/>
  <c r="D25" i="10"/>
  <c r="K24" i="10"/>
  <c r="J24" i="10"/>
  <c r="I24" i="10"/>
  <c r="H24" i="10"/>
  <c r="G24" i="10"/>
  <c r="F24" i="10"/>
  <c r="E24" i="10"/>
  <c r="D24" i="10"/>
  <c r="B27" i="10"/>
  <c r="B26" i="10"/>
  <c r="B25" i="10"/>
  <c r="B24" i="10"/>
  <c r="B22" i="10"/>
  <c r="B21" i="10"/>
  <c r="B20" i="10"/>
  <c r="B19" i="10"/>
  <c r="B18" i="10"/>
  <c r="AR12" i="10" l="1"/>
  <c r="AR13" i="10"/>
  <c r="AK28" i="10"/>
  <c r="AM25" i="10"/>
  <c r="AJ26" i="10"/>
  <c r="AO27" i="10"/>
  <c r="AL28" i="10"/>
  <c r="AM28" i="10"/>
  <c r="AN28" i="10"/>
  <c r="AO28" i="10"/>
  <c r="AM26" i="10"/>
  <c r="AJ25" i="10"/>
  <c r="AO26" i="10"/>
  <c r="AL27" i="10"/>
  <c r="AK25" i="10"/>
  <c r="AM27" i="10"/>
  <c r="AJ27" i="10"/>
  <c r="AL25" i="10"/>
  <c r="AI26" i="10"/>
  <c r="AN27" i="10"/>
  <c r="AN25" i="10"/>
  <c r="AK26" i="10"/>
  <c r="AO25" i="10"/>
  <c r="AL26" i="10"/>
  <c r="AI27" i="10"/>
  <c r="AI25" i="10"/>
  <c r="AN26" i="10"/>
  <c r="AK27" i="10"/>
  <c r="C14" i="10" l="1"/>
  <c r="C86" i="10" s="1"/>
  <c r="J4" i="10"/>
  <c r="I4" i="10"/>
  <c r="H4" i="10"/>
  <c r="G4" i="10"/>
  <c r="F4" i="10"/>
  <c r="E4" i="10"/>
  <c r="D4" i="10"/>
  <c r="C4" i="10"/>
  <c r="J3" i="10"/>
  <c r="I3" i="10"/>
  <c r="H3" i="10"/>
  <c r="G3" i="10"/>
  <c r="F3" i="10"/>
  <c r="E3" i="10"/>
  <c r="D3" i="10"/>
  <c r="C3" i="10"/>
  <c r="K4" i="10"/>
  <c r="K3" i="10"/>
  <c r="C20" i="10" l="1"/>
  <c r="C22" i="10"/>
  <c r="C19" i="10"/>
  <c r="C21" i="10"/>
  <c r="D22" i="10"/>
  <c r="D19" i="10"/>
  <c r="D21" i="10"/>
  <c r="D20" i="10"/>
  <c r="E22" i="10"/>
  <c r="E19" i="10"/>
  <c r="E21" i="10"/>
  <c r="E20" i="10"/>
  <c r="F19" i="10"/>
  <c r="F20" i="10"/>
  <c r="F21" i="10"/>
  <c r="F22" i="10"/>
  <c r="C18" i="10"/>
  <c r="D18" i="10"/>
  <c r="E18" i="10"/>
  <c r="F18" i="10"/>
  <c r="B72" i="8" l="1"/>
  <c r="B71" i="8"/>
  <c r="AB72" i="8"/>
  <c r="AA72" i="8"/>
  <c r="Z72" i="8"/>
  <c r="X72" i="8"/>
  <c r="W72" i="8"/>
  <c r="V72" i="8"/>
  <c r="T72" i="8"/>
  <c r="S72" i="8"/>
  <c r="R72" i="8"/>
  <c r="P72" i="8"/>
  <c r="O72" i="8"/>
  <c r="N72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K72" i="8"/>
  <c r="J72" i="8"/>
  <c r="I72" i="8"/>
  <c r="H72" i="8"/>
  <c r="G72" i="8"/>
  <c r="F72" i="8"/>
  <c r="E72" i="8"/>
  <c r="D72" i="8"/>
  <c r="K71" i="8"/>
  <c r="J71" i="8"/>
  <c r="I71" i="8"/>
  <c r="H71" i="8"/>
  <c r="G71" i="8"/>
  <c r="F71" i="8"/>
  <c r="E71" i="8"/>
  <c r="D71" i="8"/>
  <c r="C72" i="8"/>
  <c r="C71" i="8"/>
  <c r="B37" i="8"/>
  <c r="B36" i="8"/>
  <c r="AB37" i="8"/>
  <c r="AA37" i="8"/>
  <c r="Z37" i="8"/>
  <c r="X37" i="8"/>
  <c r="W37" i="8"/>
  <c r="V37" i="8"/>
  <c r="T37" i="8"/>
  <c r="S37" i="8"/>
  <c r="R37" i="8"/>
  <c r="P37" i="8"/>
  <c r="O37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7" i="8"/>
  <c r="N36" i="8"/>
  <c r="K37" i="8"/>
  <c r="J37" i="8"/>
  <c r="I37" i="8"/>
  <c r="H37" i="8"/>
  <c r="G37" i="8"/>
  <c r="F37" i="8"/>
  <c r="E37" i="8"/>
  <c r="D37" i="8"/>
  <c r="K36" i="8"/>
  <c r="J36" i="8"/>
  <c r="I36" i="8"/>
  <c r="H36" i="8"/>
  <c r="G36" i="8"/>
  <c r="F36" i="8"/>
  <c r="E36" i="8"/>
  <c r="D36" i="8"/>
  <c r="C37" i="8"/>
  <c r="C36" i="8"/>
  <c r="AO8" i="8"/>
  <c r="AO37" i="8" s="1"/>
  <c r="AN8" i="8"/>
  <c r="AN37" i="8" s="1"/>
  <c r="AM8" i="8"/>
  <c r="AM37" i="8" s="1"/>
  <c r="AK8" i="8"/>
  <c r="AK37" i="8" s="1"/>
  <c r="AJ8" i="8"/>
  <c r="AJ37" i="8" s="1"/>
  <c r="AI8" i="8"/>
  <c r="AI37" i="8" s="1"/>
  <c r="AG8" i="8"/>
  <c r="AG37" i="8" s="1"/>
  <c r="AF8" i="8"/>
  <c r="AF37" i="8" s="1"/>
  <c r="AE8" i="8"/>
  <c r="AE37" i="8" s="1"/>
  <c r="Y8" i="8"/>
  <c r="Y4" i="10" s="1"/>
  <c r="AL4" i="10" s="1"/>
  <c r="U8" i="8"/>
  <c r="U4" i="10" s="1"/>
  <c r="AH4" i="10" s="1"/>
  <c r="Q8" i="8"/>
  <c r="Q4" i="10" s="1"/>
  <c r="AO7" i="8"/>
  <c r="AO71" i="8" s="1"/>
  <c r="AN7" i="8"/>
  <c r="AN36" i="8" s="1"/>
  <c r="AM7" i="8"/>
  <c r="AM36" i="8" s="1"/>
  <c r="AL7" i="8"/>
  <c r="AL36" i="8" s="1"/>
  <c r="AK7" i="8"/>
  <c r="AK36" i="8" s="1"/>
  <c r="AJ7" i="8"/>
  <c r="AJ36" i="8" s="1"/>
  <c r="AI7" i="8"/>
  <c r="AI36" i="8" s="1"/>
  <c r="AH7" i="8"/>
  <c r="AH36" i="8" s="1"/>
  <c r="AG7" i="8"/>
  <c r="AG36" i="8" s="1"/>
  <c r="AF7" i="8"/>
  <c r="AF36" i="8" s="1"/>
  <c r="AE7" i="8"/>
  <c r="AE36" i="8" s="1"/>
  <c r="Q32" i="8"/>
  <c r="Q36" i="24" s="1"/>
  <c r="U32" i="8"/>
  <c r="U36" i="24" s="1"/>
  <c r="Y32" i="8"/>
  <c r="Y36" i="24" s="1"/>
  <c r="Y29" i="8"/>
  <c r="Y31" i="24" s="1"/>
  <c r="U29" i="8"/>
  <c r="U31" i="24" s="1"/>
  <c r="Q29" i="8"/>
  <c r="Q31" i="24" s="1"/>
  <c r="AB51" i="9"/>
  <c r="AP51" i="9" s="1"/>
  <c r="AA51" i="9"/>
  <c r="AO51" i="9" s="1"/>
  <c r="Z51" i="9"/>
  <c r="X51" i="9"/>
  <c r="AL51" i="9" s="1"/>
  <c r="W51" i="9"/>
  <c r="AK51" i="9" s="1"/>
  <c r="V51" i="9"/>
  <c r="AJ51" i="9" s="1"/>
  <c r="T51" i="9"/>
  <c r="AH51" i="9" s="1"/>
  <c r="S51" i="9"/>
  <c r="AG51" i="9" s="1"/>
  <c r="R51" i="9"/>
  <c r="AF51" i="9" s="1"/>
  <c r="P51" i="9"/>
  <c r="O51" i="9"/>
  <c r="N51" i="9"/>
  <c r="K51" i="9"/>
  <c r="J51" i="9"/>
  <c r="I51" i="9"/>
  <c r="H51" i="9"/>
  <c r="G51" i="9"/>
  <c r="K50" i="9"/>
  <c r="J50" i="9"/>
  <c r="I50" i="9"/>
  <c r="H50" i="9"/>
  <c r="H41" i="16"/>
  <c r="F36" i="16"/>
  <c r="F18" i="16"/>
  <c r="F19" i="16" s="1"/>
  <c r="F16" i="16"/>
  <c r="F15" i="16" s="1"/>
  <c r="I14" i="16"/>
  <c r="G14" i="16"/>
  <c r="Q42" i="24" l="1"/>
  <c r="Q53" i="24"/>
  <c r="U42" i="24"/>
  <c r="U53" i="24"/>
  <c r="Y42" i="24"/>
  <c r="Y53" i="24"/>
  <c r="Y47" i="24"/>
  <c r="Y59" i="24"/>
  <c r="Q37" i="8"/>
  <c r="Q4" i="24"/>
  <c r="Q4" i="9"/>
  <c r="AE4" i="9" s="1"/>
  <c r="U47" i="24"/>
  <c r="U59" i="24"/>
  <c r="AH8" i="8"/>
  <c r="AH37" i="8" s="1"/>
  <c r="U4" i="24"/>
  <c r="AH4" i="24" s="1"/>
  <c r="U4" i="9"/>
  <c r="AI4" i="9" s="1"/>
  <c r="AO36" i="8"/>
  <c r="AK71" i="8"/>
  <c r="Q47" i="24"/>
  <c r="Q59" i="24"/>
  <c r="AL8" i="8"/>
  <c r="AL37" i="8" s="1"/>
  <c r="Y4" i="24"/>
  <c r="AL4" i="24" s="1"/>
  <c r="Y4" i="9"/>
  <c r="AM4" i="9" s="1"/>
  <c r="AM71" i="8"/>
  <c r="AN71" i="8"/>
  <c r="AE71" i="8"/>
  <c r="AG72" i="8"/>
  <c r="U72" i="8"/>
  <c r="AF71" i="8"/>
  <c r="AJ72" i="8"/>
  <c r="AG71" i="8"/>
  <c r="AK72" i="8"/>
  <c r="AJ71" i="8"/>
  <c r="AO72" i="8"/>
  <c r="AL71" i="8"/>
  <c r="AI72" i="8"/>
  <c r="AH71" i="8"/>
  <c r="AE72" i="8"/>
  <c r="AM72" i="8"/>
  <c r="Q72" i="8"/>
  <c r="Y72" i="8"/>
  <c r="AI71" i="8"/>
  <c r="AF72" i="8"/>
  <c r="AN72" i="8"/>
  <c r="I33" i="16"/>
  <c r="I36" i="16"/>
  <c r="U37" i="8"/>
  <c r="Y37" i="8"/>
  <c r="AN51" i="9"/>
  <c r="AH72" i="8" l="1"/>
  <c r="AL72" i="8"/>
  <c r="AB64" i="9" l="1"/>
  <c r="AP64" i="9" s="1"/>
  <c r="AA64" i="9"/>
  <c r="Z64" i="9"/>
  <c r="X64" i="9"/>
  <c r="W64" i="9"/>
  <c r="V64" i="9"/>
  <c r="T64" i="9"/>
  <c r="S64" i="9"/>
  <c r="R64" i="9"/>
  <c r="P64" i="9"/>
  <c r="O64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4" i="9"/>
  <c r="N63" i="9"/>
  <c r="AB68" i="9"/>
  <c r="AA68" i="9"/>
  <c r="Z68" i="9"/>
  <c r="X68" i="9"/>
  <c r="W68" i="9"/>
  <c r="V68" i="9"/>
  <c r="T68" i="9"/>
  <c r="S68" i="9"/>
  <c r="R68" i="9"/>
  <c r="P68" i="9"/>
  <c r="O68" i="9"/>
  <c r="N68" i="9"/>
  <c r="AB67" i="9"/>
  <c r="AP67" i="9" s="1"/>
  <c r="AA67" i="9"/>
  <c r="AO67" i="9" s="1"/>
  <c r="Z67" i="9"/>
  <c r="AN67" i="9" s="1"/>
  <c r="Y67" i="9"/>
  <c r="AM67" i="9" s="1"/>
  <c r="X67" i="9"/>
  <c r="AL67" i="9" s="1"/>
  <c r="W67" i="9"/>
  <c r="V67" i="9"/>
  <c r="U67" i="9"/>
  <c r="T67" i="9"/>
  <c r="S67" i="9"/>
  <c r="R67" i="9"/>
  <c r="Q67" i="9"/>
  <c r="P67" i="9"/>
  <c r="O67" i="9"/>
  <c r="N67" i="9"/>
  <c r="AB66" i="9"/>
  <c r="AP66" i="9" s="1"/>
  <c r="AA66" i="9"/>
  <c r="AO66" i="9" s="1"/>
  <c r="Z66" i="9"/>
  <c r="AN66" i="9" s="1"/>
  <c r="Y66" i="9"/>
  <c r="AM66" i="9" s="1"/>
  <c r="X66" i="9"/>
  <c r="AL66" i="9" s="1"/>
  <c r="W66" i="9"/>
  <c r="AK66" i="9" s="1"/>
  <c r="V66" i="9"/>
  <c r="AJ66" i="9" s="1"/>
  <c r="U66" i="9"/>
  <c r="AI66" i="9" s="1"/>
  <c r="T66" i="9"/>
  <c r="AH66" i="9" s="1"/>
  <c r="S66" i="9"/>
  <c r="AG66" i="9" s="1"/>
  <c r="R66" i="9"/>
  <c r="AF66" i="9" s="1"/>
  <c r="Q66" i="9"/>
  <c r="AE66" i="9" s="1"/>
  <c r="P66" i="9"/>
  <c r="O66" i="9"/>
  <c r="N66" i="9"/>
  <c r="K64" i="9"/>
  <c r="J64" i="9"/>
  <c r="I64" i="9"/>
  <c r="H64" i="9"/>
  <c r="K63" i="9"/>
  <c r="J63" i="9"/>
  <c r="I63" i="9"/>
  <c r="H63" i="9"/>
  <c r="K68" i="9"/>
  <c r="J68" i="9"/>
  <c r="I68" i="9"/>
  <c r="H68" i="9"/>
  <c r="K67" i="9"/>
  <c r="J67" i="9"/>
  <c r="I67" i="9"/>
  <c r="H67" i="9"/>
  <c r="K66" i="9"/>
  <c r="J66" i="9"/>
  <c r="I66" i="9"/>
  <c r="H66" i="9"/>
  <c r="G68" i="9"/>
  <c r="G67" i="9"/>
  <c r="G66" i="9"/>
  <c r="G63" i="9"/>
  <c r="D43" i="8"/>
  <c r="E56" i="8"/>
  <c r="E60" i="8" s="1"/>
  <c r="C48" i="8"/>
  <c r="C114" i="8"/>
  <c r="C109" i="8"/>
  <c r="C98" i="8"/>
  <c r="C65" i="8"/>
  <c r="C56" i="8"/>
  <c r="C60" i="8" s="1"/>
  <c r="C44" i="8"/>
  <c r="C11" i="8"/>
  <c r="F109" i="8"/>
  <c r="E109" i="8"/>
  <c r="D109" i="8"/>
  <c r="F98" i="8"/>
  <c r="E98" i="8"/>
  <c r="D98" i="8"/>
  <c r="F65" i="8"/>
  <c r="E65" i="8"/>
  <c r="D65" i="8"/>
  <c r="F56" i="8"/>
  <c r="F60" i="8" s="1"/>
  <c r="D56" i="8"/>
  <c r="D60" i="8" s="1"/>
  <c r="F44" i="8"/>
  <c r="F49" i="8" s="1"/>
  <c r="E44" i="8"/>
  <c r="E49" i="8" s="1"/>
  <c r="F11" i="8"/>
  <c r="E11" i="8"/>
  <c r="D11" i="8"/>
  <c r="G64" i="9"/>
  <c r="AP63" i="9"/>
  <c r="AB58" i="9"/>
  <c r="AP58" i="9" s="1"/>
  <c r="AA58" i="9"/>
  <c r="Z58" i="9"/>
  <c r="X58" i="9"/>
  <c r="W58" i="9"/>
  <c r="V58" i="9"/>
  <c r="T58" i="9"/>
  <c r="S58" i="9"/>
  <c r="R58" i="9"/>
  <c r="P58" i="9"/>
  <c r="O58" i="9"/>
  <c r="N58" i="9"/>
  <c r="K58" i="9"/>
  <c r="J58" i="9"/>
  <c r="I58" i="9"/>
  <c r="H58" i="9"/>
  <c r="G58" i="9"/>
  <c r="AB57" i="9"/>
  <c r="AP57" i="9" s="1"/>
  <c r="AA57" i="9"/>
  <c r="Z57" i="9"/>
  <c r="X57" i="9"/>
  <c r="W57" i="9"/>
  <c r="V57" i="9"/>
  <c r="T57" i="9"/>
  <c r="S57" i="9"/>
  <c r="R57" i="9"/>
  <c r="P57" i="9"/>
  <c r="O57" i="9"/>
  <c r="N57" i="9"/>
  <c r="K57" i="9"/>
  <c r="J57" i="9"/>
  <c r="I57" i="9"/>
  <c r="H57" i="9"/>
  <c r="G57" i="9"/>
  <c r="AB56" i="9"/>
  <c r="AP56" i="9" s="1"/>
  <c r="AA56" i="9"/>
  <c r="Z56" i="9"/>
  <c r="X56" i="9"/>
  <c r="W56" i="9"/>
  <c r="V56" i="9"/>
  <c r="T56" i="9"/>
  <c r="S56" i="9"/>
  <c r="R56" i="9"/>
  <c r="P56" i="9"/>
  <c r="O56" i="9"/>
  <c r="N56" i="9"/>
  <c r="K56" i="9"/>
  <c r="J56" i="9"/>
  <c r="I56" i="9"/>
  <c r="H56" i="9"/>
  <c r="G56" i="9"/>
  <c r="AB55" i="9"/>
  <c r="AP55" i="9" s="1"/>
  <c r="AA55" i="9"/>
  <c r="Z55" i="9"/>
  <c r="X55" i="9"/>
  <c r="W55" i="9"/>
  <c r="V55" i="9"/>
  <c r="T55" i="9"/>
  <c r="S55" i="9"/>
  <c r="R55" i="9"/>
  <c r="P55" i="9"/>
  <c r="O55" i="9"/>
  <c r="N55" i="9"/>
  <c r="K55" i="9"/>
  <c r="J55" i="9"/>
  <c r="I55" i="9"/>
  <c r="H55" i="9"/>
  <c r="G55" i="9"/>
  <c r="AB50" i="9"/>
  <c r="AP50" i="9" s="1"/>
  <c r="AA50" i="9"/>
  <c r="Z50" i="9"/>
  <c r="X50" i="9"/>
  <c r="W50" i="9"/>
  <c r="V50" i="9"/>
  <c r="T50" i="9"/>
  <c r="S50" i="9"/>
  <c r="R50" i="9"/>
  <c r="P50" i="9"/>
  <c r="O50" i="9"/>
  <c r="N50" i="9"/>
  <c r="AB49" i="9"/>
  <c r="AA49" i="9"/>
  <c r="Z49" i="9"/>
  <c r="X49" i="9"/>
  <c r="W49" i="9"/>
  <c r="V49" i="9"/>
  <c r="T49" i="9"/>
  <c r="S49" i="9"/>
  <c r="R49" i="9"/>
  <c r="P49" i="9"/>
  <c r="O49" i="9"/>
  <c r="N49" i="9"/>
  <c r="K49" i="9"/>
  <c r="J49" i="9"/>
  <c r="J52" i="9" s="1"/>
  <c r="I49" i="9"/>
  <c r="I52" i="9" s="1"/>
  <c r="H49" i="9"/>
  <c r="H52" i="9" s="1"/>
  <c r="G50" i="9"/>
  <c r="G49" i="9"/>
  <c r="Z43" i="9"/>
  <c r="V43" i="9"/>
  <c r="T43" i="9"/>
  <c r="R43" i="9"/>
  <c r="N43" i="9"/>
  <c r="K43" i="9"/>
  <c r="J43" i="9"/>
  <c r="I43" i="9"/>
  <c r="H43" i="9"/>
  <c r="G43" i="9"/>
  <c r="Z42" i="9"/>
  <c r="V42" i="9"/>
  <c r="T42" i="9"/>
  <c r="R42" i="9"/>
  <c r="N42" i="9"/>
  <c r="K42" i="9"/>
  <c r="J42" i="9"/>
  <c r="I42" i="9"/>
  <c r="H42" i="9"/>
  <c r="G42" i="9"/>
  <c r="Z41" i="9"/>
  <c r="V41" i="9"/>
  <c r="T41" i="9"/>
  <c r="R41" i="9"/>
  <c r="N41" i="9"/>
  <c r="K41" i="9"/>
  <c r="J41" i="9"/>
  <c r="I41" i="9"/>
  <c r="H41" i="9"/>
  <c r="G41" i="9"/>
  <c r="Z40" i="9"/>
  <c r="X40" i="9"/>
  <c r="W40" i="9"/>
  <c r="V40" i="9"/>
  <c r="T40" i="9"/>
  <c r="S40" i="9"/>
  <c r="R40" i="9"/>
  <c r="P40" i="9"/>
  <c r="O40" i="9"/>
  <c r="N40" i="9"/>
  <c r="K40" i="9"/>
  <c r="J40" i="9"/>
  <c r="I40" i="9"/>
  <c r="H40" i="9"/>
  <c r="G40" i="9"/>
  <c r="Z39" i="9"/>
  <c r="V39" i="9"/>
  <c r="T39" i="9"/>
  <c r="R39" i="9"/>
  <c r="N39" i="9"/>
  <c r="K39" i="9"/>
  <c r="J39" i="9"/>
  <c r="I39" i="9"/>
  <c r="H39" i="9"/>
  <c r="G39" i="9"/>
  <c r="Z38" i="9"/>
  <c r="T38" i="9"/>
  <c r="K38" i="9"/>
  <c r="J38" i="9"/>
  <c r="I38" i="9"/>
  <c r="H38" i="9"/>
  <c r="G38" i="9"/>
  <c r="Z35" i="9"/>
  <c r="T35" i="9"/>
  <c r="K35" i="9"/>
  <c r="J35" i="9"/>
  <c r="I35" i="9"/>
  <c r="H35" i="9"/>
  <c r="G35" i="9"/>
  <c r="AB34" i="9"/>
  <c r="AA34" i="9"/>
  <c r="Z34" i="9"/>
  <c r="X34" i="9"/>
  <c r="W34" i="9"/>
  <c r="V34" i="9"/>
  <c r="R34" i="9"/>
  <c r="Z33" i="9"/>
  <c r="V33" i="9"/>
  <c r="R33" i="9"/>
  <c r="N34" i="9"/>
  <c r="N33" i="9"/>
  <c r="K34" i="9"/>
  <c r="J34" i="9"/>
  <c r="I34" i="9"/>
  <c r="H34" i="9"/>
  <c r="K33" i="9"/>
  <c r="J33" i="9"/>
  <c r="I33" i="9"/>
  <c r="H33" i="9"/>
  <c r="G34" i="9"/>
  <c r="G33" i="9"/>
  <c r="Z32" i="9"/>
  <c r="V32" i="9"/>
  <c r="T32" i="9"/>
  <c r="R32" i="9"/>
  <c r="N32" i="9"/>
  <c r="K32" i="9"/>
  <c r="J32" i="9"/>
  <c r="I32" i="9"/>
  <c r="H32" i="9"/>
  <c r="G32" i="9"/>
  <c r="Z28" i="9"/>
  <c r="V28" i="9"/>
  <c r="T28" i="9"/>
  <c r="R28" i="9"/>
  <c r="N28" i="9"/>
  <c r="K28" i="9"/>
  <c r="J28" i="9"/>
  <c r="I28" i="9"/>
  <c r="H28" i="9"/>
  <c r="G28" i="9"/>
  <c r="Z24" i="9"/>
  <c r="V24" i="9"/>
  <c r="T24" i="9"/>
  <c r="R24" i="9"/>
  <c r="N24" i="9"/>
  <c r="K24" i="9"/>
  <c r="J24" i="9"/>
  <c r="I24" i="9"/>
  <c r="H24" i="9"/>
  <c r="G24" i="9"/>
  <c r="AB20" i="9"/>
  <c r="AA20" i="9"/>
  <c r="Z20" i="9"/>
  <c r="X20" i="9"/>
  <c r="W20" i="9"/>
  <c r="V20" i="9"/>
  <c r="T20" i="9"/>
  <c r="S20" i="9"/>
  <c r="R20" i="9"/>
  <c r="P20" i="9"/>
  <c r="O20" i="9"/>
  <c r="N20" i="9"/>
  <c r="K20" i="9"/>
  <c r="J20" i="9"/>
  <c r="I20" i="9"/>
  <c r="H20" i="9"/>
  <c r="AB19" i="9"/>
  <c r="AA19" i="9"/>
  <c r="Z19" i="9"/>
  <c r="X19" i="9"/>
  <c r="W19" i="9"/>
  <c r="V19" i="9"/>
  <c r="T19" i="9"/>
  <c r="S19" i="9"/>
  <c r="R19" i="9"/>
  <c r="P19" i="9"/>
  <c r="O19" i="9"/>
  <c r="N19" i="9"/>
  <c r="K19" i="9"/>
  <c r="J19" i="9"/>
  <c r="I19" i="9"/>
  <c r="H19" i="9"/>
  <c r="G20" i="9"/>
  <c r="G19" i="9"/>
  <c r="AB15" i="9"/>
  <c r="AA15" i="9"/>
  <c r="Z15" i="9"/>
  <c r="X15" i="9"/>
  <c r="W15" i="9"/>
  <c r="V15" i="9"/>
  <c r="T15" i="9"/>
  <c r="S15" i="9"/>
  <c r="R15" i="9"/>
  <c r="P15" i="9"/>
  <c r="O15" i="9"/>
  <c r="N15" i="9"/>
  <c r="K15" i="9"/>
  <c r="J15" i="9"/>
  <c r="I15" i="9"/>
  <c r="H15" i="9"/>
  <c r="G15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AB9" i="9"/>
  <c r="AA9" i="9"/>
  <c r="Z9" i="9"/>
  <c r="AQ9" i="9" s="1"/>
  <c r="Y9" i="9"/>
  <c r="X9" i="9"/>
  <c r="W9" i="9"/>
  <c r="V9" i="9"/>
  <c r="U9" i="9"/>
  <c r="T9" i="9"/>
  <c r="S9" i="9"/>
  <c r="R9" i="9"/>
  <c r="Q9" i="9"/>
  <c r="P9" i="9"/>
  <c r="O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10" i="9"/>
  <c r="N9" i="9"/>
  <c r="N8" i="9"/>
  <c r="N7" i="9"/>
  <c r="N6" i="9"/>
  <c r="K10" i="9"/>
  <c r="J10" i="9"/>
  <c r="I10" i="9"/>
  <c r="H10" i="9"/>
  <c r="G10" i="9"/>
  <c r="K9" i="9"/>
  <c r="J9" i="9"/>
  <c r="I9" i="9"/>
  <c r="H9" i="9"/>
  <c r="G9" i="9"/>
  <c r="K8" i="9"/>
  <c r="J8" i="9"/>
  <c r="I8" i="9"/>
  <c r="H8" i="9"/>
  <c r="G8" i="9"/>
  <c r="K7" i="9"/>
  <c r="J7" i="9"/>
  <c r="I7" i="9"/>
  <c r="H7" i="9"/>
  <c r="G7" i="9"/>
  <c r="K6" i="9"/>
  <c r="J6" i="9"/>
  <c r="I6" i="9"/>
  <c r="H6" i="9"/>
  <c r="G6" i="9"/>
  <c r="B10" i="9"/>
  <c r="B9" i="9"/>
  <c r="B8" i="9"/>
  <c r="B7" i="9"/>
  <c r="B6" i="9"/>
  <c r="AN113" i="8"/>
  <c r="AM113" i="8"/>
  <c r="AL113" i="8"/>
  <c r="AK113" i="8"/>
  <c r="AJ113" i="8"/>
  <c r="AI113" i="8"/>
  <c r="AH113" i="8"/>
  <c r="AG113" i="8"/>
  <c r="AF113" i="8"/>
  <c r="AE113" i="8"/>
  <c r="AO113" i="8"/>
  <c r="AN117" i="8"/>
  <c r="AM117" i="8"/>
  <c r="AL117" i="8"/>
  <c r="AK117" i="8"/>
  <c r="AJ117" i="8"/>
  <c r="AI117" i="8"/>
  <c r="AH117" i="8"/>
  <c r="AG117" i="8"/>
  <c r="AF117" i="8"/>
  <c r="AE117" i="8"/>
  <c r="AO117" i="8"/>
  <c r="AA124" i="8"/>
  <c r="W124" i="8"/>
  <c r="W33" i="9" s="1"/>
  <c r="S125" i="8"/>
  <c r="S34" i="9" s="1"/>
  <c r="S124" i="8"/>
  <c r="S33" i="9" s="1"/>
  <c r="O125" i="8"/>
  <c r="O34" i="9" s="1"/>
  <c r="O124" i="8"/>
  <c r="P124" i="8" s="1"/>
  <c r="P33" i="9" s="1"/>
  <c r="Y125" i="8"/>
  <c r="Y34" i="9" s="1"/>
  <c r="AA81" i="8"/>
  <c r="W81" i="8"/>
  <c r="X81" i="8" s="1"/>
  <c r="S81" i="8"/>
  <c r="U81" i="8" s="1"/>
  <c r="O81" i="8"/>
  <c r="P81" i="8" s="1"/>
  <c r="S80" i="8"/>
  <c r="U80" i="8" s="1"/>
  <c r="V80" i="8" s="1"/>
  <c r="Y80" i="8" s="1"/>
  <c r="Z80" i="8" s="1"/>
  <c r="O80" i="8"/>
  <c r="P80" i="8" s="1"/>
  <c r="Q80" i="8" s="1"/>
  <c r="AA79" i="8"/>
  <c r="W79" i="8"/>
  <c r="W28" i="9" s="1"/>
  <c r="S79" i="8"/>
  <c r="S28" i="9" s="1"/>
  <c r="O79" i="8"/>
  <c r="P79" i="8" s="1"/>
  <c r="P28" i="9" s="1"/>
  <c r="AA78" i="8"/>
  <c r="W78" i="8"/>
  <c r="X78" i="8" s="1"/>
  <c r="X24" i="9" s="1"/>
  <c r="S78" i="8"/>
  <c r="U78" i="8" s="1"/>
  <c r="U24" i="9" s="1"/>
  <c r="O78" i="8"/>
  <c r="P78" i="8" s="1"/>
  <c r="P24" i="9" s="1"/>
  <c r="G117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K113" i="8"/>
  <c r="J113" i="8"/>
  <c r="I113" i="8"/>
  <c r="N113" i="8" s="1"/>
  <c r="AO29" i="8"/>
  <c r="AO31" i="24" s="1"/>
  <c r="AN29" i="8"/>
  <c r="AN31" i="24" s="1"/>
  <c r="AM29" i="8"/>
  <c r="AM31" i="24" s="1"/>
  <c r="AL29" i="8"/>
  <c r="AK29" i="8"/>
  <c r="AK31" i="24" s="1"/>
  <c r="AJ29" i="8"/>
  <c r="AJ31" i="24" s="1"/>
  <c r="AI29" i="8"/>
  <c r="AI31" i="24" s="1"/>
  <c r="AH29" i="8"/>
  <c r="AH31" i="24" s="1"/>
  <c r="AG29" i="8"/>
  <c r="AG31" i="24" s="1"/>
  <c r="AF29" i="8"/>
  <c r="AF31" i="24" s="1"/>
  <c r="AE29" i="8"/>
  <c r="AE31" i="24" s="1"/>
  <c r="Q18" i="8"/>
  <c r="Q20" i="9" s="1"/>
  <c r="Q17" i="8"/>
  <c r="Q19" i="9" s="1"/>
  <c r="Y106" i="8"/>
  <c r="Y103" i="8"/>
  <c r="Y102" i="8"/>
  <c r="Y101" i="8"/>
  <c r="U106" i="8"/>
  <c r="U103" i="8"/>
  <c r="U102" i="8"/>
  <c r="U101" i="8"/>
  <c r="Q106" i="8"/>
  <c r="Q103" i="8"/>
  <c r="Q102" i="8"/>
  <c r="Q101" i="8"/>
  <c r="AA108" i="8"/>
  <c r="W108" i="8"/>
  <c r="X108" i="8" s="1"/>
  <c r="X43" i="9" s="1"/>
  <c r="S108" i="8"/>
  <c r="U108" i="8" s="1"/>
  <c r="U43" i="9" s="1"/>
  <c r="O108" i="8"/>
  <c r="P108" i="8" s="1"/>
  <c r="P43" i="9" s="1"/>
  <c r="Z107" i="8"/>
  <c r="V107" i="8"/>
  <c r="W107" i="8" s="1"/>
  <c r="X107" i="8" s="1"/>
  <c r="R107" i="8"/>
  <c r="S107" i="8" s="1"/>
  <c r="N107" i="8"/>
  <c r="O107" i="8" s="1"/>
  <c r="P107" i="8" s="1"/>
  <c r="AA105" i="8"/>
  <c r="W105" i="8"/>
  <c r="X105" i="8" s="1"/>
  <c r="X42" i="9" s="1"/>
  <c r="S105" i="8"/>
  <c r="U105" i="8" s="1"/>
  <c r="U42" i="9" s="1"/>
  <c r="O105" i="8"/>
  <c r="P105" i="8" s="1"/>
  <c r="P42" i="9" s="1"/>
  <c r="AA104" i="8"/>
  <c r="W104" i="8"/>
  <c r="X104" i="8" s="1"/>
  <c r="X41" i="9" s="1"/>
  <c r="S104" i="8"/>
  <c r="U104" i="8" s="1"/>
  <c r="O104" i="8"/>
  <c r="P104" i="8" s="1"/>
  <c r="Q104" i="8" s="1"/>
  <c r="AA102" i="8"/>
  <c r="AB101" i="8"/>
  <c r="Y96" i="8"/>
  <c r="U96" i="8"/>
  <c r="AA97" i="8"/>
  <c r="W97" i="8"/>
  <c r="X97" i="8" s="1"/>
  <c r="X39" i="9" s="1"/>
  <c r="S97" i="8"/>
  <c r="U97" i="8" s="1"/>
  <c r="U39" i="9" s="1"/>
  <c r="O97" i="8"/>
  <c r="P97" i="8" s="1"/>
  <c r="Q97" i="8" s="1"/>
  <c r="Q39" i="9" s="1"/>
  <c r="P96" i="8"/>
  <c r="Q96" i="8" s="1"/>
  <c r="AA95" i="8"/>
  <c r="W95" i="8"/>
  <c r="S95" i="8"/>
  <c r="U95" i="8" s="1"/>
  <c r="O95" i="8"/>
  <c r="P95" i="8" s="1"/>
  <c r="AA94" i="8"/>
  <c r="V94" i="8"/>
  <c r="W94" i="8" s="1"/>
  <c r="X94" i="8" s="1"/>
  <c r="R94" i="8"/>
  <c r="R38" i="9" s="1"/>
  <c r="N94" i="8"/>
  <c r="N38" i="9" s="1"/>
  <c r="AA93" i="8"/>
  <c r="W93" i="8"/>
  <c r="X93" i="8" s="1"/>
  <c r="X32" i="9" s="1"/>
  <c r="S93" i="8"/>
  <c r="U93" i="8" s="1"/>
  <c r="U32" i="9" s="1"/>
  <c r="O93" i="8"/>
  <c r="P93" i="8" s="1"/>
  <c r="Q93" i="8" s="1"/>
  <c r="Q32" i="9" s="1"/>
  <c r="Y88" i="8"/>
  <c r="AA89" i="8"/>
  <c r="W89" i="8"/>
  <c r="X89" i="8" s="1"/>
  <c r="S89" i="8"/>
  <c r="U89" i="8" s="1"/>
  <c r="O89" i="8"/>
  <c r="S88" i="8"/>
  <c r="O88" i="8"/>
  <c r="AA87" i="8"/>
  <c r="W87" i="8"/>
  <c r="X87" i="8" s="1"/>
  <c r="S87" i="8"/>
  <c r="U87" i="8" s="1"/>
  <c r="O87" i="8"/>
  <c r="AA86" i="8"/>
  <c r="V86" i="8"/>
  <c r="W86" i="8" s="1"/>
  <c r="R86" i="8"/>
  <c r="R35" i="9" s="1"/>
  <c r="N86" i="8"/>
  <c r="O86" i="8" s="1"/>
  <c r="AA85" i="8"/>
  <c r="W85" i="8"/>
  <c r="X85" i="8" s="1"/>
  <c r="S85" i="8"/>
  <c r="U85" i="8" s="1"/>
  <c r="O85" i="8"/>
  <c r="AA84" i="8"/>
  <c r="W84" i="8"/>
  <c r="X84" i="8" s="1"/>
  <c r="S84" i="8"/>
  <c r="U84" i="8" s="1"/>
  <c r="O84" i="8"/>
  <c r="Y64" i="8"/>
  <c r="Y63" i="8"/>
  <c r="Y62" i="8"/>
  <c r="Y59" i="8"/>
  <c r="Y58" i="8"/>
  <c r="Y53" i="8"/>
  <c r="Y15" i="24" s="1"/>
  <c r="Y52" i="8"/>
  <c r="Y14" i="24" s="1"/>
  <c r="Y51" i="8"/>
  <c r="U64" i="8"/>
  <c r="U63" i="8"/>
  <c r="U62" i="8"/>
  <c r="U59" i="8"/>
  <c r="U58" i="8"/>
  <c r="U53" i="8"/>
  <c r="U15" i="24" s="1"/>
  <c r="U52" i="8"/>
  <c r="U14" i="24" s="1"/>
  <c r="U51" i="8"/>
  <c r="Q64" i="8"/>
  <c r="Q63" i="8"/>
  <c r="Q62" i="8"/>
  <c r="Q59" i="8"/>
  <c r="Q58" i="8"/>
  <c r="Q53" i="8"/>
  <c r="Q15" i="24" s="1"/>
  <c r="Q52" i="8"/>
  <c r="Q14" i="24" s="1"/>
  <c r="Q51" i="8"/>
  <c r="N65" i="8"/>
  <c r="O65" i="8"/>
  <c r="P65" i="8"/>
  <c r="R65" i="8"/>
  <c r="S65" i="8"/>
  <c r="T65" i="8"/>
  <c r="V65" i="8"/>
  <c r="W65" i="8"/>
  <c r="X65" i="8"/>
  <c r="Z65" i="8"/>
  <c r="AA65" i="8"/>
  <c r="AB65" i="8"/>
  <c r="Y43" i="8"/>
  <c r="Y10" i="24" s="1"/>
  <c r="Y42" i="8"/>
  <c r="Y41" i="8"/>
  <c r="Y40" i="8"/>
  <c r="Y50" i="9" s="1"/>
  <c r="Y39" i="8"/>
  <c r="Y48" i="8"/>
  <c r="Y47" i="8"/>
  <c r="Y51" i="9" s="1"/>
  <c r="AM51" i="9" s="1"/>
  <c r="Y46" i="8"/>
  <c r="Y58" i="9" s="1"/>
  <c r="U43" i="8"/>
  <c r="U10" i="24" s="1"/>
  <c r="U42" i="8"/>
  <c r="U41" i="8"/>
  <c r="U40" i="8"/>
  <c r="U50" i="9" s="1"/>
  <c r="U39" i="8"/>
  <c r="U48" i="8"/>
  <c r="U47" i="8"/>
  <c r="U51" i="9" s="1"/>
  <c r="U46" i="8"/>
  <c r="U58" i="9" s="1"/>
  <c r="Q43" i="8"/>
  <c r="Q10" i="24" s="1"/>
  <c r="Q42" i="8"/>
  <c r="Q41" i="8"/>
  <c r="Q40" i="8"/>
  <c r="Q50" i="9" s="1"/>
  <c r="Q39" i="8"/>
  <c r="Q48" i="8"/>
  <c r="Q47" i="8"/>
  <c r="Q51" i="9" s="1"/>
  <c r="AE51" i="9" s="1"/>
  <c r="Q46" i="8"/>
  <c r="Q58" i="9" s="1"/>
  <c r="Z11" i="8"/>
  <c r="Z14" i="8" s="1"/>
  <c r="Z44" i="8"/>
  <c r="Z49" i="8" s="1"/>
  <c r="Z56" i="8"/>
  <c r="Z60" i="8" s="1"/>
  <c r="Z60" i="9" s="1"/>
  <c r="Z98" i="8"/>
  <c r="AL31" i="24" l="1"/>
  <c r="AL42" i="24" s="1"/>
  <c r="AR29" i="8"/>
  <c r="AC101" i="8"/>
  <c r="AP101" i="8"/>
  <c r="AB93" i="8"/>
  <c r="AB32" i="9" s="1"/>
  <c r="AB95" i="8"/>
  <c r="AC95" i="8" s="1"/>
  <c r="AA33" i="9"/>
  <c r="AQ19" i="9"/>
  <c r="AQ20" i="9"/>
  <c r="AB81" i="8"/>
  <c r="AC81" i="8" s="1"/>
  <c r="AB89" i="8"/>
  <c r="AC89" i="8" s="1"/>
  <c r="AA28" i="9"/>
  <c r="AB102" i="8"/>
  <c r="AB105" i="8"/>
  <c r="AB42" i="9" s="1"/>
  <c r="AB108" i="8"/>
  <c r="AB43" i="9" s="1"/>
  <c r="AB94" i="8"/>
  <c r="AC94" i="8" s="1"/>
  <c r="AQ34" i="9"/>
  <c r="AB78" i="8"/>
  <c r="AB24" i="9" s="1"/>
  <c r="AC78" i="8"/>
  <c r="AB84" i="8"/>
  <c r="AC84" i="8" s="1"/>
  <c r="AB86" i="8"/>
  <c r="AC86" i="8" s="1"/>
  <c r="AB85" i="8"/>
  <c r="AB87" i="8"/>
  <c r="AC87" i="8" s="1"/>
  <c r="AB97" i="8"/>
  <c r="AB39" i="9" s="1"/>
  <c r="AB104" i="8"/>
  <c r="AB41" i="9" s="1"/>
  <c r="AA107" i="8"/>
  <c r="AB107" i="8" s="1"/>
  <c r="AA80" i="8"/>
  <c r="AC80" i="8"/>
  <c r="AQ15" i="9"/>
  <c r="AQ8" i="9"/>
  <c r="AQ7" i="9"/>
  <c r="AQ6" i="9"/>
  <c r="AQ10" i="9"/>
  <c r="K52" i="9"/>
  <c r="L44" i="9"/>
  <c r="L45" i="9" s="1"/>
  <c r="P87" i="8"/>
  <c r="Q87" i="8" s="1"/>
  <c r="P89" i="8"/>
  <c r="Q89" i="8" s="1"/>
  <c r="P84" i="8"/>
  <c r="Q84" i="8" s="1"/>
  <c r="P86" i="8"/>
  <c r="Q86" i="8" s="1"/>
  <c r="D60" i="9"/>
  <c r="D59" i="9"/>
  <c r="Q57" i="9"/>
  <c r="Q9" i="24"/>
  <c r="V71" i="9"/>
  <c r="V32" i="24"/>
  <c r="U56" i="9"/>
  <c r="U13" i="24"/>
  <c r="AI53" i="24"/>
  <c r="AI42" i="24"/>
  <c r="T71" i="9"/>
  <c r="T32" i="24"/>
  <c r="Y56" i="9"/>
  <c r="Y13" i="24"/>
  <c r="AJ42" i="24"/>
  <c r="AJ53" i="24"/>
  <c r="F60" i="9"/>
  <c r="F59" i="9"/>
  <c r="Y57" i="9"/>
  <c r="Y9" i="24"/>
  <c r="AK42" i="24"/>
  <c r="AK53" i="24"/>
  <c r="D71" i="9"/>
  <c r="D72" i="9" s="1"/>
  <c r="D81" i="9" s="1"/>
  <c r="D32" i="24"/>
  <c r="D44" i="8"/>
  <c r="D49" i="8" s="1"/>
  <c r="D10" i="24"/>
  <c r="D11" i="24" s="1"/>
  <c r="D18" i="24" s="1"/>
  <c r="U57" i="9"/>
  <c r="U9" i="24"/>
  <c r="S71" i="9"/>
  <c r="S32" i="24"/>
  <c r="Q68" i="9"/>
  <c r="AE68" i="9" s="1"/>
  <c r="Q51" i="24"/>
  <c r="Q57" i="24" s="1"/>
  <c r="AB71" i="9"/>
  <c r="AP71" i="9" s="1"/>
  <c r="AB32" i="24"/>
  <c r="R71" i="9"/>
  <c r="R32" i="24"/>
  <c r="U64" i="9"/>
  <c r="U51" i="24"/>
  <c r="U88" i="8"/>
  <c r="E71" i="9"/>
  <c r="E72" i="9" s="1"/>
  <c r="E81" i="9" s="1"/>
  <c r="E32" i="24"/>
  <c r="P88" i="8"/>
  <c r="AA71" i="9"/>
  <c r="AA32" i="24"/>
  <c r="P71" i="9"/>
  <c r="P32" i="24"/>
  <c r="Y68" i="9"/>
  <c r="Y51" i="24"/>
  <c r="Y57" i="24" s="1"/>
  <c r="AE42" i="24"/>
  <c r="AE53" i="24"/>
  <c r="AM42" i="24"/>
  <c r="AM53" i="24"/>
  <c r="F71" i="9"/>
  <c r="F72" i="9" s="1"/>
  <c r="F81" i="9" s="1"/>
  <c r="F32" i="24"/>
  <c r="AF42" i="24"/>
  <c r="AF53" i="24"/>
  <c r="AN42" i="24"/>
  <c r="AN53" i="24"/>
  <c r="C60" i="9"/>
  <c r="C59" i="9"/>
  <c r="U49" i="9"/>
  <c r="U52" i="9" s="1"/>
  <c r="U41" i="24"/>
  <c r="Y49" i="9"/>
  <c r="Y52" i="9" s="1"/>
  <c r="Y41" i="24"/>
  <c r="Z71" i="9"/>
  <c r="Z32" i="24"/>
  <c r="O71" i="9"/>
  <c r="O32" i="24"/>
  <c r="X71" i="9"/>
  <c r="X32" i="24"/>
  <c r="N71" i="9"/>
  <c r="N32" i="24"/>
  <c r="AG42" i="24"/>
  <c r="AG53" i="24"/>
  <c r="AO42" i="24"/>
  <c r="AO53" i="24"/>
  <c r="C71" i="9"/>
  <c r="C72" i="9" s="1"/>
  <c r="C81" i="9" s="1"/>
  <c r="C32" i="24"/>
  <c r="E60" i="9"/>
  <c r="E59" i="9"/>
  <c r="Q49" i="9"/>
  <c r="Q52" i="9" s="1"/>
  <c r="Q41" i="24"/>
  <c r="Q55" i="9"/>
  <c r="Q8" i="24"/>
  <c r="U55" i="9"/>
  <c r="U8" i="24"/>
  <c r="Y55" i="9"/>
  <c r="Y8" i="24"/>
  <c r="W71" i="9"/>
  <c r="W32" i="24"/>
  <c r="Q56" i="9"/>
  <c r="Q13" i="24"/>
  <c r="AH42" i="24"/>
  <c r="AH53" i="24"/>
  <c r="K20" i="10"/>
  <c r="K21" i="10"/>
  <c r="K22" i="10"/>
  <c r="K19" i="10"/>
  <c r="U20" i="10"/>
  <c r="U22" i="10"/>
  <c r="U19" i="10"/>
  <c r="U21" i="10"/>
  <c r="G19" i="10"/>
  <c r="G21" i="10"/>
  <c r="G20" i="10"/>
  <c r="G22" i="10"/>
  <c r="N22" i="10"/>
  <c r="N19" i="10"/>
  <c r="N21" i="10"/>
  <c r="N20" i="10"/>
  <c r="V22" i="10"/>
  <c r="V19" i="10"/>
  <c r="V20" i="10"/>
  <c r="V21" i="10"/>
  <c r="H21" i="10"/>
  <c r="H22" i="10"/>
  <c r="H20" i="10"/>
  <c r="H19" i="10"/>
  <c r="O22" i="10"/>
  <c r="O19" i="10"/>
  <c r="O21" i="10"/>
  <c r="O20" i="10"/>
  <c r="W22" i="10"/>
  <c r="W19" i="10"/>
  <c r="W21" i="10"/>
  <c r="W20" i="10"/>
  <c r="I19" i="10"/>
  <c r="I20" i="10"/>
  <c r="I22" i="10"/>
  <c r="I21" i="10"/>
  <c r="P19" i="10"/>
  <c r="P22" i="10"/>
  <c r="P21" i="10"/>
  <c r="P20" i="10"/>
  <c r="X19" i="10"/>
  <c r="X20" i="10"/>
  <c r="X21" i="10"/>
  <c r="X22" i="10"/>
  <c r="J20" i="10"/>
  <c r="J22" i="10"/>
  <c r="J19" i="10"/>
  <c r="J21" i="10"/>
  <c r="Q21" i="10"/>
  <c r="Q20" i="10"/>
  <c r="Q22" i="10"/>
  <c r="Q19" i="10"/>
  <c r="Y21" i="10"/>
  <c r="Y19" i="10"/>
  <c r="Y20" i="10"/>
  <c r="Y22" i="10"/>
  <c r="R21" i="10"/>
  <c r="R22" i="10"/>
  <c r="R20" i="10"/>
  <c r="R19" i="10"/>
  <c r="Z21" i="10"/>
  <c r="Z20" i="10"/>
  <c r="Z22" i="10"/>
  <c r="Z19" i="10"/>
  <c r="S19" i="10"/>
  <c r="S20" i="10"/>
  <c r="S21" i="10"/>
  <c r="S22" i="10"/>
  <c r="AA20" i="10"/>
  <c r="AA21" i="10"/>
  <c r="AA22" i="10"/>
  <c r="AA19" i="10"/>
  <c r="T20" i="10"/>
  <c r="T22" i="10"/>
  <c r="T19" i="10"/>
  <c r="T21" i="10"/>
  <c r="AB20" i="10"/>
  <c r="AB22" i="10"/>
  <c r="AB19" i="10"/>
  <c r="AB21" i="10"/>
  <c r="G18" i="10"/>
  <c r="N18" i="10"/>
  <c r="V18" i="10"/>
  <c r="H18" i="10"/>
  <c r="O18" i="10"/>
  <c r="W18" i="10"/>
  <c r="I18" i="10"/>
  <c r="U18" i="10"/>
  <c r="P18" i="10"/>
  <c r="X18" i="10"/>
  <c r="J18" i="10"/>
  <c r="Q18" i="10"/>
  <c r="Y18" i="10"/>
  <c r="R18" i="10"/>
  <c r="Z18" i="10"/>
  <c r="K18" i="10"/>
  <c r="S18" i="10"/>
  <c r="AA18" i="10"/>
  <c r="T18" i="10"/>
  <c r="AB18" i="10"/>
  <c r="AL8" i="9"/>
  <c r="O52" i="9"/>
  <c r="D14" i="8"/>
  <c r="D15" i="8" s="1"/>
  <c r="D15" i="10"/>
  <c r="E14" i="8"/>
  <c r="E15" i="8" s="1"/>
  <c r="E15" i="10"/>
  <c r="Z52" i="9"/>
  <c r="F14" i="8"/>
  <c r="F19" i="8" s="1"/>
  <c r="F15" i="10"/>
  <c r="C14" i="8"/>
  <c r="C15" i="8" s="1"/>
  <c r="C15" i="10"/>
  <c r="AP7" i="9"/>
  <c r="N52" i="9"/>
  <c r="X52" i="9"/>
  <c r="V52" i="9"/>
  <c r="W52" i="9"/>
  <c r="R52" i="9"/>
  <c r="G52" i="9"/>
  <c r="T52" i="9"/>
  <c r="P52" i="9"/>
  <c r="AA52" i="9"/>
  <c r="AI51" i="9"/>
  <c r="AP49" i="9"/>
  <c r="AP52" i="9" s="1"/>
  <c r="AB52" i="9"/>
  <c r="S52" i="9"/>
  <c r="U68" i="9"/>
  <c r="AI68" i="9" s="1"/>
  <c r="AH7" i="9"/>
  <c r="AJ8" i="9"/>
  <c r="AL9" i="9"/>
  <c r="AF10" i="9"/>
  <c r="AN10" i="9"/>
  <c r="J11" i="9"/>
  <c r="AE10" i="9"/>
  <c r="V11" i="9"/>
  <c r="AG7" i="9"/>
  <c r="AO7" i="9"/>
  <c r="AI8" i="9"/>
  <c r="T11" i="9"/>
  <c r="AB11" i="9"/>
  <c r="AC13" i="9" s="1"/>
  <c r="AM10" i="9"/>
  <c r="Q64" i="9"/>
  <c r="Y64" i="9"/>
  <c r="O11" i="9"/>
  <c r="W11" i="9"/>
  <c r="P11" i="9"/>
  <c r="X11" i="9"/>
  <c r="AI7" i="9"/>
  <c r="AM9" i="9"/>
  <c r="AS9" i="9" s="1"/>
  <c r="AG10" i="9"/>
  <c r="AO10" i="9"/>
  <c r="G11" i="9"/>
  <c r="G12" i="9" s="1"/>
  <c r="Q11" i="9"/>
  <c r="AP6" i="9"/>
  <c r="AJ7" i="9"/>
  <c r="AF9" i="9"/>
  <c r="AN9" i="9"/>
  <c r="AH10" i="9"/>
  <c r="AP10" i="9"/>
  <c r="H11" i="9"/>
  <c r="N11" i="9"/>
  <c r="R11" i="9"/>
  <c r="Z11" i="9"/>
  <c r="AK7" i="9"/>
  <c r="AM8" i="9"/>
  <c r="AS8" i="9" s="1"/>
  <c r="AI10" i="9"/>
  <c r="AE7" i="9"/>
  <c r="AL7" i="9"/>
  <c r="AF8" i="9"/>
  <c r="AN8" i="9"/>
  <c r="AJ10" i="9"/>
  <c r="AE8" i="9"/>
  <c r="AM7" i="9"/>
  <c r="AG8" i="9"/>
  <c r="AO8" i="9"/>
  <c r="AI9" i="9"/>
  <c r="AK8" i="9"/>
  <c r="K11" i="9"/>
  <c r="L12" i="9" s="1"/>
  <c r="I11" i="9"/>
  <c r="AE9" i="9"/>
  <c r="AK6" i="9"/>
  <c r="AF7" i="9"/>
  <c r="AN7" i="9"/>
  <c r="AH8" i="9"/>
  <c r="AP8" i="9"/>
  <c r="AH9" i="9"/>
  <c r="AP9" i="9"/>
  <c r="AK10" i="9"/>
  <c r="AB40" i="9"/>
  <c r="C49" i="8"/>
  <c r="Q40" i="9"/>
  <c r="N35" i="9"/>
  <c r="C66" i="8"/>
  <c r="U41" i="9"/>
  <c r="Q41" i="9"/>
  <c r="F66" i="8"/>
  <c r="F68" i="8" s="1"/>
  <c r="E66" i="8"/>
  <c r="E68" i="8" s="1"/>
  <c r="D66" i="8"/>
  <c r="D19" i="8"/>
  <c r="AB38" i="9"/>
  <c r="Z59" i="9"/>
  <c r="AO68" i="9"/>
  <c r="Q78" i="8"/>
  <c r="Q24" i="9" s="1"/>
  <c r="X79" i="8"/>
  <c r="X28" i="9" s="1"/>
  <c r="AG68" i="9"/>
  <c r="Y40" i="9"/>
  <c r="AB79" i="8"/>
  <c r="AB28" i="9" s="1"/>
  <c r="W24" i="9"/>
  <c r="AP34" i="9"/>
  <c r="U40" i="9"/>
  <c r="Y78" i="8"/>
  <c r="Y24" i="9" s="1"/>
  <c r="U79" i="8"/>
  <c r="U28" i="9" s="1"/>
  <c r="Y81" i="8"/>
  <c r="V38" i="9"/>
  <c r="AF68" i="9"/>
  <c r="AN68" i="9"/>
  <c r="O24" i="9"/>
  <c r="O32" i="9"/>
  <c r="W32" i="9"/>
  <c r="AA35" i="9"/>
  <c r="W38" i="9"/>
  <c r="S39" i="9"/>
  <c r="AA39" i="9"/>
  <c r="S41" i="9"/>
  <c r="AA41" i="9"/>
  <c r="O42" i="9"/>
  <c r="W42" i="9"/>
  <c r="S43" i="9"/>
  <c r="AA43" i="9"/>
  <c r="T125" i="8"/>
  <c r="P32" i="9"/>
  <c r="Q124" i="8"/>
  <c r="Q33" i="9" s="1"/>
  <c r="T124" i="8"/>
  <c r="O33" i="9"/>
  <c r="X124" i="8"/>
  <c r="X33" i="9" s="1"/>
  <c r="S24" i="9"/>
  <c r="AA24" i="9"/>
  <c r="O28" i="9"/>
  <c r="S32" i="9"/>
  <c r="AA32" i="9"/>
  <c r="O35" i="9"/>
  <c r="W35" i="9"/>
  <c r="AA38" i="9"/>
  <c r="O39" i="9"/>
  <c r="W39" i="9"/>
  <c r="AA40" i="9"/>
  <c r="O41" i="9"/>
  <c r="W41" i="9"/>
  <c r="S42" i="9"/>
  <c r="AA42" i="9"/>
  <c r="O43" i="9"/>
  <c r="W43" i="9"/>
  <c r="V35" i="9"/>
  <c r="Q81" i="8"/>
  <c r="P125" i="8"/>
  <c r="P34" i="9" s="1"/>
  <c r="P39" i="9"/>
  <c r="P41" i="9"/>
  <c r="AL68" i="9"/>
  <c r="Q79" i="8"/>
  <c r="Q28" i="9" s="1"/>
  <c r="AB124" i="8"/>
  <c r="AB33" i="9" s="1"/>
  <c r="Z15" i="10"/>
  <c r="G69" i="9"/>
  <c r="AA11" i="9"/>
  <c r="AL10" i="9"/>
  <c r="AK68" i="9"/>
  <c r="AH6" i="9"/>
  <c r="Y11" i="9"/>
  <c r="AC12" i="9" s="1"/>
  <c r="AJ6" i="9"/>
  <c r="AO9" i="9"/>
  <c r="AI6" i="9"/>
  <c r="AG9" i="9"/>
  <c r="AL6" i="9"/>
  <c r="AM68" i="9"/>
  <c r="U11" i="9"/>
  <c r="S11" i="9"/>
  <c r="AH68" i="9"/>
  <c r="AP68" i="9"/>
  <c r="AP69" i="9" s="1"/>
  <c r="AE6" i="9"/>
  <c r="AM6" i="9"/>
  <c r="AJ9" i="9"/>
  <c r="AF6" i="9"/>
  <c r="AN6" i="9"/>
  <c r="AK9" i="9"/>
  <c r="AJ68" i="9"/>
  <c r="AG6" i="9"/>
  <c r="AO6" i="9"/>
  <c r="S94" i="8"/>
  <c r="Y104" i="8"/>
  <c r="Y41" i="9" s="1"/>
  <c r="Y107" i="8"/>
  <c r="Q105" i="8"/>
  <c r="Q42" i="9" s="1"/>
  <c r="Q107" i="8"/>
  <c r="Y105" i="8"/>
  <c r="Y42" i="9" s="1"/>
  <c r="Y94" i="8"/>
  <c r="Q108" i="8"/>
  <c r="Q43" i="9" s="1"/>
  <c r="U107" i="8"/>
  <c r="Z109" i="8"/>
  <c r="Y108" i="8"/>
  <c r="Y43" i="9" s="1"/>
  <c r="X95" i="8"/>
  <c r="Y95" i="8" s="1"/>
  <c r="Y97" i="8"/>
  <c r="Y39" i="9" s="1"/>
  <c r="Q95" i="8"/>
  <c r="Y93" i="8"/>
  <c r="Y32" i="9" s="1"/>
  <c r="O94" i="8"/>
  <c r="Y87" i="8"/>
  <c r="Y85" i="8"/>
  <c r="Y89" i="8"/>
  <c r="X86" i="8"/>
  <c r="Y86" i="8" s="1"/>
  <c r="Q65" i="8"/>
  <c r="P85" i="8"/>
  <c r="Q85" i="8" s="1"/>
  <c r="S86" i="8"/>
  <c r="U86" i="8" s="1"/>
  <c r="Y84" i="8"/>
  <c r="U65" i="8"/>
  <c r="Y65" i="8"/>
  <c r="Z66" i="8"/>
  <c r="Z68" i="8" s="1"/>
  <c r="Z15" i="8"/>
  <c r="Z19" i="8"/>
  <c r="Z23" i="8" s="1"/>
  <c r="AP95" i="8" l="1"/>
  <c r="AP89" i="8"/>
  <c r="AC38" i="9"/>
  <c r="AQ38" i="9" s="1"/>
  <c r="AC108" i="8"/>
  <c r="AC43" i="9" s="1"/>
  <c r="AQ43" i="9" s="1"/>
  <c r="AP80" i="8"/>
  <c r="AP87" i="8"/>
  <c r="AC104" i="8"/>
  <c r="AC41" i="9" s="1"/>
  <c r="AQ41" i="9" s="1"/>
  <c r="AP86" i="8"/>
  <c r="AC97" i="8"/>
  <c r="AC39" i="9" s="1"/>
  <c r="AQ39" i="9" s="1"/>
  <c r="AP84" i="8"/>
  <c r="AP81" i="8"/>
  <c r="AC102" i="8"/>
  <c r="AC40" i="9" s="1"/>
  <c r="AQ40" i="9" s="1"/>
  <c r="AC124" i="8"/>
  <c r="AC33" i="9" s="1"/>
  <c r="AQ33" i="9" s="1"/>
  <c r="AP97" i="8"/>
  <c r="AL53" i="24"/>
  <c r="AC107" i="8"/>
  <c r="AP107" i="8" s="1"/>
  <c r="AC85" i="8"/>
  <c r="AP85" i="8" s="1"/>
  <c r="AB35" i="9"/>
  <c r="AC93" i="8"/>
  <c r="AP93" i="8" s="1"/>
  <c r="AP94" i="8"/>
  <c r="AP78" i="8"/>
  <c r="AC79" i="8"/>
  <c r="AC28" i="9" s="1"/>
  <c r="AQ28" i="9" s="1"/>
  <c r="AC24" i="9"/>
  <c r="AC25" i="9" s="1"/>
  <c r="AC105" i="8"/>
  <c r="AC42" i="9" s="1"/>
  <c r="AQ42" i="9" s="1"/>
  <c r="AS10" i="9"/>
  <c r="AQ11" i="9"/>
  <c r="AS6" i="9"/>
  <c r="AS7" i="9"/>
  <c r="D68" i="8"/>
  <c r="Q88" i="8"/>
  <c r="Q58" i="24"/>
  <c r="Q60" i="24" s="1"/>
  <c r="Q52" i="24"/>
  <c r="Q54" i="24" s="1"/>
  <c r="Q43" i="24"/>
  <c r="Q46" i="24"/>
  <c r="Q48" i="24" s="1"/>
  <c r="Y71" i="9"/>
  <c r="Y32" i="24"/>
  <c r="F15" i="8"/>
  <c r="V37" i="24"/>
  <c r="V38" i="24" s="1"/>
  <c r="V33" i="24"/>
  <c r="W37" i="24"/>
  <c r="W38" i="24" s="1"/>
  <c r="W33" i="24"/>
  <c r="S37" i="24"/>
  <c r="S38" i="24" s="1"/>
  <c r="S33" i="24"/>
  <c r="Y16" i="24"/>
  <c r="Z25" i="24" a="1"/>
  <c r="Z25" i="24" s="1"/>
  <c r="U71" i="9"/>
  <c r="U32" i="24"/>
  <c r="Q71" i="9"/>
  <c r="Q32" i="24"/>
  <c r="Y11" i="24"/>
  <c r="Z22" i="24" a="1"/>
  <c r="Z22" i="24" s="1"/>
  <c r="N37" i="24"/>
  <c r="N38" i="24" s="1"/>
  <c r="N33" i="24"/>
  <c r="Y58" i="24"/>
  <c r="Y60" i="24" s="1"/>
  <c r="Y43" i="24"/>
  <c r="Y46" i="24"/>
  <c r="Y48" i="24" s="1"/>
  <c r="Y52" i="24"/>
  <c r="Y54" i="24" s="1"/>
  <c r="E37" i="24"/>
  <c r="E38" i="24" s="1"/>
  <c r="E33" i="24"/>
  <c r="R37" i="24"/>
  <c r="R38" i="24" s="1"/>
  <c r="R33" i="24"/>
  <c r="V24" i="24" a="1"/>
  <c r="V24" i="24" s="1"/>
  <c r="V23" i="24"/>
  <c r="Z24" i="24" a="1"/>
  <c r="Z24" i="24" s="1"/>
  <c r="Z23" i="24"/>
  <c r="T37" i="24"/>
  <c r="T38" i="24" s="1"/>
  <c r="T33" i="24"/>
  <c r="V25" i="24" a="1"/>
  <c r="V25" i="24" s="1"/>
  <c r="U16" i="24"/>
  <c r="R24" i="24" a="1"/>
  <c r="R24" i="24" s="1"/>
  <c r="R23" i="24"/>
  <c r="Z37" i="24"/>
  <c r="Z38" i="24" s="1"/>
  <c r="Z33" i="24"/>
  <c r="V22" i="24" a="1"/>
  <c r="V22" i="24" s="1"/>
  <c r="U11" i="24"/>
  <c r="C37" i="24"/>
  <c r="C38" i="24" s="1"/>
  <c r="C33" i="24"/>
  <c r="X37" i="24"/>
  <c r="X38" i="24" s="1"/>
  <c r="X33" i="24"/>
  <c r="U46" i="24"/>
  <c r="U48" i="24" s="1"/>
  <c r="U43" i="24"/>
  <c r="F37" i="24"/>
  <c r="F38" i="24" s="1"/>
  <c r="F33" i="24"/>
  <c r="P37" i="24"/>
  <c r="P38" i="24" s="1"/>
  <c r="P33" i="24"/>
  <c r="AB37" i="24"/>
  <c r="AB38" i="24" s="1"/>
  <c r="AB33" i="24"/>
  <c r="E19" i="24"/>
  <c r="D19" i="24"/>
  <c r="U35" i="9"/>
  <c r="U52" i="24"/>
  <c r="U54" i="24" s="1"/>
  <c r="U57" i="24"/>
  <c r="U58" i="24" s="1"/>
  <c r="U60" i="24" s="1"/>
  <c r="Q16" i="24"/>
  <c r="R25" i="24" a="1"/>
  <c r="R25" i="24" s="1"/>
  <c r="Q11" i="24"/>
  <c r="R22" i="24" a="1"/>
  <c r="R22" i="24" s="1"/>
  <c r="O37" i="24"/>
  <c r="O38" i="24" s="1"/>
  <c r="O33" i="24"/>
  <c r="AA37" i="24"/>
  <c r="AA38" i="24" s="1"/>
  <c r="AA33" i="24"/>
  <c r="D37" i="24"/>
  <c r="D38" i="24" s="1"/>
  <c r="D33" i="24"/>
  <c r="AE11" i="9"/>
  <c r="E19" i="8"/>
  <c r="E23" i="8" s="1"/>
  <c r="E26" i="8" s="1"/>
  <c r="C19" i="8"/>
  <c r="C23" i="8" s="1"/>
  <c r="C26" i="8" s="1"/>
  <c r="AK11" i="9"/>
  <c r="C68" i="8"/>
  <c r="AP72" i="9"/>
  <c r="AP81" i="9" s="1"/>
  <c r="Y79" i="8"/>
  <c r="Y28" i="9" s="1"/>
  <c r="AP28" i="9" s="1"/>
  <c r="AF11" i="9"/>
  <c r="AH11" i="9"/>
  <c r="AM11" i="9"/>
  <c r="AP11" i="9"/>
  <c r="AI11" i="9"/>
  <c r="AP40" i="9"/>
  <c r="AN11" i="9"/>
  <c r="AP42" i="9"/>
  <c r="D23" i="8"/>
  <c r="D26" i="8" s="1"/>
  <c r="D20" i="8"/>
  <c r="F20" i="8"/>
  <c r="F23" i="8"/>
  <c r="F26" i="8" s="1"/>
  <c r="AP24" i="9"/>
  <c r="S35" i="9"/>
  <c r="AP41" i="9"/>
  <c r="U94" i="8"/>
  <c r="U38" i="9" s="1"/>
  <c r="S38" i="9"/>
  <c r="P94" i="8"/>
  <c r="P38" i="9" s="1"/>
  <c r="O38" i="9"/>
  <c r="U124" i="8"/>
  <c r="U33" i="9" s="1"/>
  <c r="T33" i="9"/>
  <c r="AP32" i="9"/>
  <c r="Y38" i="9"/>
  <c r="AP38" i="9" s="1"/>
  <c r="Q125" i="8"/>
  <c r="Q34" i="9" s="1"/>
  <c r="X35" i="9"/>
  <c r="AP39" i="9"/>
  <c r="Y124" i="8"/>
  <c r="Y33" i="9" s="1"/>
  <c r="AP33" i="9" s="1"/>
  <c r="X38" i="9"/>
  <c r="Q35" i="9"/>
  <c r="Y35" i="9"/>
  <c r="AP35" i="9" s="1"/>
  <c r="AP43" i="9"/>
  <c r="T34" i="9"/>
  <c r="U125" i="8"/>
  <c r="U34" i="9" s="1"/>
  <c r="P35" i="9"/>
  <c r="AO11" i="9"/>
  <c r="AG11" i="9"/>
  <c r="AL11" i="9"/>
  <c r="AJ11" i="9"/>
  <c r="Z20" i="8"/>
  <c r="Z26" i="8"/>
  <c r="AP104" i="8" l="1"/>
  <c r="AP79" i="8"/>
  <c r="AP108" i="8"/>
  <c r="AP124" i="8"/>
  <c r="AC32" i="9"/>
  <c r="AQ32" i="9" s="1"/>
  <c r="AC98" i="8"/>
  <c r="AP98" i="8"/>
  <c r="AP102" i="8"/>
  <c r="AP105" i="8"/>
  <c r="AC35" i="9"/>
  <c r="AQ35" i="9" s="1"/>
  <c r="AC90" i="8"/>
  <c r="AC29" i="9"/>
  <c r="AC26" i="9"/>
  <c r="AQ24" i="9"/>
  <c r="AC109" i="8"/>
  <c r="AS11" i="9"/>
  <c r="AQ16" i="9"/>
  <c r="AQ12" i="9"/>
  <c r="E20" i="8"/>
  <c r="U18" i="24"/>
  <c r="U19" i="24" s="1"/>
  <c r="C20" i="8"/>
  <c r="Y18" i="24"/>
  <c r="Y19" i="24" s="1"/>
  <c r="R26" i="24"/>
  <c r="Q18" i="24"/>
  <c r="R19" i="24" s="1"/>
  <c r="U37" i="24"/>
  <c r="U38" i="24" s="1"/>
  <c r="U33" i="24"/>
  <c r="Y37" i="24"/>
  <c r="Y38" i="24" s="1"/>
  <c r="Y33" i="24"/>
  <c r="Q37" i="24"/>
  <c r="Q38" i="24" s="1"/>
  <c r="Q33" i="24"/>
  <c r="V26" i="24"/>
  <c r="Z26" i="24"/>
  <c r="C75" i="8"/>
  <c r="C33" i="8"/>
  <c r="C30" i="8"/>
  <c r="C27" i="8"/>
  <c r="F27" i="8"/>
  <c r="F75" i="8"/>
  <c r="F33" i="8"/>
  <c r="F30" i="8"/>
  <c r="D30" i="8"/>
  <c r="D27" i="8"/>
  <c r="D75" i="8"/>
  <c r="D33" i="8"/>
  <c r="E27" i="8"/>
  <c r="E75" i="8"/>
  <c r="E33" i="8"/>
  <c r="E30" i="8"/>
  <c r="Q94" i="8"/>
  <c r="Q38" i="9" s="1"/>
  <c r="Z30" i="8"/>
  <c r="Z33" i="8"/>
  <c r="Z75" i="8"/>
  <c r="Z27" i="8"/>
  <c r="AC118" i="8" l="1"/>
  <c r="AP109" i="8"/>
  <c r="Z90" i="8"/>
  <c r="Z118" i="8" s="1"/>
  <c r="V19" i="24"/>
  <c r="Z19" i="24"/>
  <c r="AC30" i="9"/>
  <c r="AC36" i="9"/>
  <c r="AC44" i="9" s="1"/>
  <c r="AC45" i="9" s="1"/>
  <c r="C90" i="8"/>
  <c r="C118" i="8" s="1"/>
  <c r="C119" i="8" s="1"/>
  <c r="C121" i="8" s="1"/>
  <c r="F90" i="8"/>
  <c r="F118" i="8" s="1"/>
  <c r="D90" i="8"/>
  <c r="D118" i="8" s="1"/>
  <c r="E90" i="8"/>
  <c r="E118" i="8" s="1"/>
  <c r="AQ21" i="9"/>
  <c r="AQ17" i="9"/>
  <c r="Q19" i="24"/>
  <c r="D112" i="8" l="1"/>
  <c r="D114" i="8" s="1"/>
  <c r="D119" i="8" s="1"/>
  <c r="AQ25" i="9"/>
  <c r="AQ22" i="9"/>
  <c r="D121" i="8"/>
  <c r="E112" i="8"/>
  <c r="E114" i="8" s="1"/>
  <c r="E119" i="8" s="1"/>
  <c r="E121" i="8" s="1"/>
  <c r="AQ29" i="9" l="1"/>
  <c r="AQ26" i="9"/>
  <c r="F112" i="8"/>
  <c r="F114" i="8" s="1"/>
  <c r="F119" i="8" s="1"/>
  <c r="F121" i="8" s="1"/>
  <c r="AE64" i="8"/>
  <c r="AE63" i="8"/>
  <c r="AE62" i="8"/>
  <c r="AE59" i="8"/>
  <c r="AE58" i="8"/>
  <c r="AE55" i="8"/>
  <c r="AE53" i="8"/>
  <c r="AE15" i="24" s="1"/>
  <c r="AE52" i="8"/>
  <c r="AE14" i="24" s="1"/>
  <c r="AE51" i="8"/>
  <c r="AE13" i="24" s="1"/>
  <c r="AE48" i="8"/>
  <c r="AE47" i="8"/>
  <c r="AE46" i="8"/>
  <c r="AE43" i="8"/>
  <c r="AE10" i="24" s="1"/>
  <c r="AE42" i="8"/>
  <c r="AE9" i="24" s="1"/>
  <c r="AE41" i="8"/>
  <c r="AE8" i="24" s="1"/>
  <c r="AE40" i="8"/>
  <c r="AE39" i="8"/>
  <c r="AE32" i="8"/>
  <c r="AE36" i="24" s="1"/>
  <c r="AO57" i="9"/>
  <c r="AN57" i="9"/>
  <c r="AM57" i="9"/>
  <c r="AL57" i="9"/>
  <c r="AK57" i="9"/>
  <c r="AE102" i="8"/>
  <c r="AK94" i="8"/>
  <c r="AN32" i="8"/>
  <c r="AN36" i="24" s="1"/>
  <c r="AM32" i="8"/>
  <c r="AM36" i="24" s="1"/>
  <c r="AL32" i="8"/>
  <c r="AK32" i="8"/>
  <c r="AK36" i="24" s="1"/>
  <c r="AJ32" i="8"/>
  <c r="AJ36" i="24" s="1"/>
  <c r="AI32" i="8"/>
  <c r="AI36" i="24" s="1"/>
  <c r="AH32" i="8"/>
  <c r="AH36" i="24" s="1"/>
  <c r="AG32" i="8"/>
  <c r="AG36" i="24" s="1"/>
  <c r="AF32" i="8"/>
  <c r="AF36" i="24" s="1"/>
  <c r="AO32" i="8"/>
  <c r="AO36" i="24" s="1"/>
  <c r="AK64" i="8"/>
  <c r="AJ64" i="8"/>
  <c r="AI64" i="8"/>
  <c r="AG64" i="8"/>
  <c r="AF64" i="8"/>
  <c r="AK63" i="8"/>
  <c r="AJ63" i="8"/>
  <c r="AI63" i="8"/>
  <c r="AG63" i="8"/>
  <c r="AF63" i="8"/>
  <c r="AK62" i="8"/>
  <c r="AJ62" i="8"/>
  <c r="AI62" i="8"/>
  <c r="AG62" i="8"/>
  <c r="AF62" i="8"/>
  <c r="AK59" i="8"/>
  <c r="AJ59" i="8"/>
  <c r="AI59" i="8"/>
  <c r="AG59" i="8"/>
  <c r="AF59" i="8"/>
  <c r="AK58" i="8"/>
  <c r="AJ58" i="8"/>
  <c r="AI58" i="8"/>
  <c r="AG58" i="8"/>
  <c r="AF58" i="8"/>
  <c r="AK55" i="8"/>
  <c r="AJ55" i="8"/>
  <c r="AI55" i="8"/>
  <c r="AG55" i="8"/>
  <c r="AF55" i="8"/>
  <c r="AK53" i="8"/>
  <c r="AK15" i="24" s="1"/>
  <c r="AJ53" i="8"/>
  <c r="AJ15" i="24" s="1"/>
  <c r="AI53" i="8"/>
  <c r="AI15" i="24" s="1"/>
  <c r="AG53" i="8"/>
  <c r="AG15" i="24" s="1"/>
  <c r="AF53" i="8"/>
  <c r="AF15" i="24" s="1"/>
  <c r="AK52" i="8"/>
  <c r="AK14" i="24" s="1"/>
  <c r="AJ52" i="8"/>
  <c r="AJ14" i="24" s="1"/>
  <c r="AI52" i="8"/>
  <c r="AI14" i="24" s="1"/>
  <c r="AG52" i="8"/>
  <c r="AG14" i="24" s="1"/>
  <c r="AF52" i="8"/>
  <c r="AF14" i="24" s="1"/>
  <c r="AK51" i="8"/>
  <c r="AK13" i="24" s="1"/>
  <c r="AJ51" i="8"/>
  <c r="AJ13" i="24" s="1"/>
  <c r="AI51" i="8"/>
  <c r="AI13" i="24" s="1"/>
  <c r="AG51" i="8"/>
  <c r="AG13" i="24" s="1"/>
  <c r="AF51" i="8"/>
  <c r="AF13" i="24" s="1"/>
  <c r="AK48" i="8"/>
  <c r="AJ48" i="8"/>
  <c r="AI48" i="8"/>
  <c r="AG48" i="8"/>
  <c r="AF48" i="8"/>
  <c r="AK47" i="8"/>
  <c r="AJ47" i="8"/>
  <c r="AI47" i="8"/>
  <c r="AG47" i="8"/>
  <c r="AF47" i="8"/>
  <c r="AK46" i="8"/>
  <c r="AJ46" i="8"/>
  <c r="AI46" i="8"/>
  <c r="AG46" i="8"/>
  <c r="AF46" i="8"/>
  <c r="AK43" i="8"/>
  <c r="AK10" i="24" s="1"/>
  <c r="AJ43" i="8"/>
  <c r="AJ10" i="24" s="1"/>
  <c r="AI43" i="8"/>
  <c r="AI10" i="24" s="1"/>
  <c r="AG43" i="8"/>
  <c r="AG10" i="24" s="1"/>
  <c r="AF43" i="8"/>
  <c r="AF10" i="24" s="1"/>
  <c r="AK42" i="8"/>
  <c r="AK9" i="24" s="1"/>
  <c r="AJ42" i="8"/>
  <c r="AJ9" i="24" s="1"/>
  <c r="AI42" i="8"/>
  <c r="AI9" i="24" s="1"/>
  <c r="AH42" i="8"/>
  <c r="AH9" i="24" s="1"/>
  <c r="AG42" i="8"/>
  <c r="AG9" i="24" s="1"/>
  <c r="AF42" i="8"/>
  <c r="AF9" i="24" s="1"/>
  <c r="AK41" i="8"/>
  <c r="AK8" i="24" s="1"/>
  <c r="AJ41" i="8"/>
  <c r="AJ8" i="24" s="1"/>
  <c r="AI41" i="8"/>
  <c r="AI8" i="24" s="1"/>
  <c r="AG41" i="8"/>
  <c r="AG8" i="24" s="1"/>
  <c r="AF41" i="8"/>
  <c r="AF8" i="24" s="1"/>
  <c r="AK40" i="8"/>
  <c r="AJ40" i="8"/>
  <c r="AI40" i="8"/>
  <c r="AG40" i="8"/>
  <c r="AF40" i="8"/>
  <c r="AK39" i="8"/>
  <c r="AJ39" i="8"/>
  <c r="AI39" i="8"/>
  <c r="AG39" i="8"/>
  <c r="AF39" i="8"/>
  <c r="AN64" i="8"/>
  <c r="AM64" i="8"/>
  <c r="AN63" i="8"/>
  <c r="AM63" i="8"/>
  <c r="AN62" i="8"/>
  <c r="AM62" i="8"/>
  <c r="AN59" i="8"/>
  <c r="AM59" i="8"/>
  <c r="AN58" i="8"/>
  <c r="AM58" i="8"/>
  <c r="AN55" i="8"/>
  <c r="AM55" i="8"/>
  <c r="AN53" i="8"/>
  <c r="AN15" i="24" s="1"/>
  <c r="AM53" i="8"/>
  <c r="AM15" i="24" s="1"/>
  <c r="AN52" i="8"/>
  <c r="AN14" i="24" s="1"/>
  <c r="AM52" i="8"/>
  <c r="AM14" i="24" s="1"/>
  <c r="AN51" i="8"/>
  <c r="AN13" i="24" s="1"/>
  <c r="AM51" i="8"/>
  <c r="AM13" i="24" s="1"/>
  <c r="AN48" i="8"/>
  <c r="AM48" i="8"/>
  <c r="AN47" i="8"/>
  <c r="AM47" i="8"/>
  <c r="AN46" i="8"/>
  <c r="AM46" i="8"/>
  <c r="AN43" i="8"/>
  <c r="AN10" i="24" s="1"/>
  <c r="AM43" i="8"/>
  <c r="AM10" i="24" s="1"/>
  <c r="AN42" i="8"/>
  <c r="AN9" i="24" s="1"/>
  <c r="AM42" i="8"/>
  <c r="AM9" i="24" s="1"/>
  <c r="AL42" i="8"/>
  <c r="AN41" i="8"/>
  <c r="AN8" i="24" s="1"/>
  <c r="AM41" i="8"/>
  <c r="AM8" i="24" s="1"/>
  <c r="AN40" i="8"/>
  <c r="AM40" i="8"/>
  <c r="AN39" i="8"/>
  <c r="AM39" i="8"/>
  <c r="AO64" i="8"/>
  <c r="AO63" i="8"/>
  <c r="AO62" i="8"/>
  <c r="AO59" i="8"/>
  <c r="AO58" i="8"/>
  <c r="AO55" i="8"/>
  <c r="AO53" i="8"/>
  <c r="AO15" i="24" s="1"/>
  <c r="AO52" i="8"/>
  <c r="AO14" i="24" s="1"/>
  <c r="AO51" i="8"/>
  <c r="AO13" i="24" s="1"/>
  <c r="AP25" i="24" s="1" a="1"/>
  <c r="AP25" i="24" s="1"/>
  <c r="AO48" i="8"/>
  <c r="AO47" i="8"/>
  <c r="AO46" i="8"/>
  <c r="AO43" i="8"/>
  <c r="AO10" i="24" s="1"/>
  <c r="AO42" i="8"/>
  <c r="AO9" i="24" s="1"/>
  <c r="AO41" i="8"/>
  <c r="AO8" i="24" s="1"/>
  <c r="AP22" i="24" s="1" a="1"/>
  <c r="AP22" i="24" s="1"/>
  <c r="AO40" i="8"/>
  <c r="AO39" i="8"/>
  <c r="AB56" i="8"/>
  <c r="AB60" i="8" s="1"/>
  <c r="AB44" i="8"/>
  <c r="AB49" i="8" s="1"/>
  <c r="AB11" i="8"/>
  <c r="Y25" i="8"/>
  <c r="AO25" i="8" s="1"/>
  <c r="Y22" i="8"/>
  <c r="AO22" i="8" s="1"/>
  <c r="Y18" i="8"/>
  <c r="Y17" i="8"/>
  <c r="Y13" i="8"/>
  <c r="Y10" i="8"/>
  <c r="U25" i="8"/>
  <c r="AK25" i="8" s="1"/>
  <c r="U22" i="8"/>
  <c r="AH22" i="8" s="1"/>
  <c r="U18" i="8"/>
  <c r="U17" i="8"/>
  <c r="U13" i="8"/>
  <c r="U10" i="8"/>
  <c r="Q10" i="8"/>
  <c r="Q13" i="8"/>
  <c r="AF18" i="8"/>
  <c r="AG17" i="8"/>
  <c r="Q22" i="8"/>
  <c r="AG22" i="8" s="1"/>
  <c r="Q25" i="8"/>
  <c r="AF25" i="8" s="1"/>
  <c r="AH64" i="8"/>
  <c r="AH63" i="8"/>
  <c r="AH62" i="8"/>
  <c r="AA44" i="8"/>
  <c r="X44" i="8"/>
  <c r="W44" i="8"/>
  <c r="V44" i="8"/>
  <c r="T44" i="8"/>
  <c r="S44" i="8"/>
  <c r="R44" i="8"/>
  <c r="P44" i="8"/>
  <c r="O44" i="8"/>
  <c r="N44" i="8"/>
  <c r="J44" i="8"/>
  <c r="I44" i="8"/>
  <c r="H44" i="8"/>
  <c r="H49" i="8" s="1"/>
  <c r="G44" i="8"/>
  <c r="K44" i="8"/>
  <c r="AP24" i="24" l="1" a="1"/>
  <c r="AP24" i="24" s="1"/>
  <c r="AP26" i="24" s="1"/>
  <c r="AP23" i="24"/>
  <c r="AL36" i="24"/>
  <c r="AR32" i="8"/>
  <c r="AL9" i="24"/>
  <c r="AR42" i="8"/>
  <c r="AQ80" i="9" a="1"/>
  <c r="AQ80" i="9" s="1"/>
  <c r="AQ36" i="9"/>
  <c r="AQ30" i="9"/>
  <c r="AQ78" i="9"/>
  <c r="AQ77" i="9"/>
  <c r="AQ79" i="9" a="1"/>
  <c r="AQ79" i="9" s="1"/>
  <c r="AQ76" i="9"/>
  <c r="AI41" i="24"/>
  <c r="AI43" i="24" s="1"/>
  <c r="AK41" i="24"/>
  <c r="AK46" i="24" s="1"/>
  <c r="AO16" i="24"/>
  <c r="G112" i="8"/>
  <c r="G114" i="8" s="1"/>
  <c r="AE41" i="24"/>
  <c r="AO51" i="24"/>
  <c r="AO57" i="24" s="1"/>
  <c r="AF41" i="24"/>
  <c r="AF46" i="24" s="1"/>
  <c r="AJ51" i="24"/>
  <c r="AJ57" i="24" s="1"/>
  <c r="AE51" i="24"/>
  <c r="AE57" i="24" s="1"/>
  <c r="AI47" i="24"/>
  <c r="AI59" i="24"/>
  <c r="Q15" i="9"/>
  <c r="Q25" i="24" a="1"/>
  <c r="Q25" i="24" s="1"/>
  <c r="Q24" i="24" a="1"/>
  <c r="Q24" i="24" s="1"/>
  <c r="AO10" i="8"/>
  <c r="AO23" i="24" s="1"/>
  <c r="Y23" i="24"/>
  <c r="Y22" i="24" a="1"/>
  <c r="Y22" i="24" s="1"/>
  <c r="AJ41" i="24"/>
  <c r="AG11" i="24"/>
  <c r="AI16" i="24"/>
  <c r="AJ47" i="24"/>
  <c r="AJ59" i="24"/>
  <c r="AE47" i="24"/>
  <c r="AE59" i="24"/>
  <c r="AI46" i="24"/>
  <c r="AG16" i="24"/>
  <c r="AJ16" i="24"/>
  <c r="AE46" i="24"/>
  <c r="AE43" i="24"/>
  <c r="AJ10" i="8"/>
  <c r="U22" i="24" a="1"/>
  <c r="U22" i="24" s="1"/>
  <c r="U23" i="24"/>
  <c r="AK16" i="24"/>
  <c r="AG10" i="8"/>
  <c r="AG22" i="24" s="1" a="1"/>
  <c r="AG22" i="24" s="1"/>
  <c r="Q23" i="24"/>
  <c r="Q22" i="24" a="1"/>
  <c r="Q22" i="24" s="1"/>
  <c r="Y24" i="24" a="1"/>
  <c r="Y24" i="24" s="1"/>
  <c r="Y25" i="24" a="1"/>
  <c r="Y25" i="24" s="1"/>
  <c r="AO41" i="24"/>
  <c r="AI11" i="24"/>
  <c r="AK47" i="24"/>
  <c r="AK59" i="24"/>
  <c r="AE16" i="24"/>
  <c r="AF51" i="24"/>
  <c r="AF57" i="24" s="1"/>
  <c r="AL47" i="24"/>
  <c r="AL59" i="24"/>
  <c r="U25" i="24" a="1"/>
  <c r="U25" i="24" s="1"/>
  <c r="U24" i="24" a="1"/>
  <c r="U24" i="24" s="1"/>
  <c r="AN41" i="24"/>
  <c r="AM16" i="24"/>
  <c r="AM51" i="24"/>
  <c r="AM57" i="24" s="1"/>
  <c r="AK11" i="24"/>
  <c r="AG51" i="24"/>
  <c r="AG57" i="24" s="1"/>
  <c r="AO59" i="24"/>
  <c r="AO47" i="24"/>
  <c r="AM47" i="24"/>
  <c r="AM59" i="24"/>
  <c r="AE11" i="24"/>
  <c r="AN11" i="24"/>
  <c r="AF11" i="24"/>
  <c r="AM41" i="24"/>
  <c r="AJ11" i="24"/>
  <c r="AO11" i="24"/>
  <c r="AN16" i="24"/>
  <c r="AN51" i="24"/>
  <c r="AN57" i="24" s="1"/>
  <c r="AI51" i="24"/>
  <c r="AI57" i="24" s="1"/>
  <c r="AF47" i="24"/>
  <c r="AF59" i="24"/>
  <c r="AN47" i="24"/>
  <c r="AN59" i="24"/>
  <c r="AG47" i="24"/>
  <c r="AG59" i="24"/>
  <c r="AM11" i="24"/>
  <c r="AG41" i="24"/>
  <c r="AF16" i="24"/>
  <c r="AK51" i="24"/>
  <c r="AK57" i="24" s="1"/>
  <c r="AH47" i="24"/>
  <c r="AH59" i="24"/>
  <c r="AJ17" i="8"/>
  <c r="U19" i="9"/>
  <c r="AM13" i="8"/>
  <c r="Y15" i="9"/>
  <c r="AP15" i="9" s="1"/>
  <c r="AI13" i="8"/>
  <c r="AI24" i="24" s="1" a="1"/>
  <c r="AI24" i="24" s="1"/>
  <c r="U15" i="9"/>
  <c r="AN18" i="8"/>
  <c r="Y20" i="9"/>
  <c r="AP20" i="9" s="1"/>
  <c r="AK18" i="8"/>
  <c r="U20" i="9"/>
  <c r="AB14" i="8"/>
  <c r="AB15" i="8" s="1"/>
  <c r="AB15" i="10"/>
  <c r="AL17" i="8"/>
  <c r="AR17" i="8" s="1"/>
  <c r="Y19" i="9"/>
  <c r="AP19" i="9" s="1"/>
  <c r="AB59" i="9"/>
  <c r="AP59" i="9" s="1"/>
  <c r="AB60" i="9"/>
  <c r="AP60" i="9" s="1"/>
  <c r="AJ14" i="10"/>
  <c r="AJ86" i="10" s="1"/>
  <c r="AE56" i="8"/>
  <c r="AE60" i="8" s="1"/>
  <c r="AE44" i="8"/>
  <c r="AE49" i="8" s="1"/>
  <c r="AE65" i="8"/>
  <c r="AE32" i="24" s="1"/>
  <c r="AE25" i="8"/>
  <c r="AE22" i="8"/>
  <c r="AE17" i="8"/>
  <c r="AE18" i="8"/>
  <c r="AE13" i="8"/>
  <c r="AE10" i="8"/>
  <c r="AE11" i="8" s="1"/>
  <c r="AH14" i="10"/>
  <c r="AH86" i="10" s="1"/>
  <c r="AI14" i="10"/>
  <c r="AI86" i="10" s="1"/>
  <c r="AK14" i="10"/>
  <c r="AK86" i="10" s="1"/>
  <c r="AB69" i="9"/>
  <c r="AB72" i="9" s="1"/>
  <c r="AB81" i="9" s="1"/>
  <c r="AG102" i="8"/>
  <c r="AK102" i="8"/>
  <c r="AN102" i="8"/>
  <c r="AI103" i="8"/>
  <c r="AF102" i="8"/>
  <c r="AO103" i="8"/>
  <c r="AO94" i="8"/>
  <c r="AH94" i="8"/>
  <c r="AJ94" i="8"/>
  <c r="AI94" i="8"/>
  <c r="AL94" i="8"/>
  <c r="AR94" i="8" s="1"/>
  <c r="AM94" i="8"/>
  <c r="AN94" i="8"/>
  <c r="AB16" i="9"/>
  <c r="AR11" i="10"/>
  <c r="AG65" i="8"/>
  <c r="AG32" i="24" s="1"/>
  <c r="AK10" i="8"/>
  <c r="AK22" i="24" s="1" a="1"/>
  <c r="AK22" i="24" s="1"/>
  <c r="AI22" i="8"/>
  <c r="AJ13" i="8"/>
  <c r="AJ25" i="24" s="1" a="1"/>
  <c r="AJ25" i="24" s="1"/>
  <c r="AK44" i="8"/>
  <c r="AK49" i="8" s="1"/>
  <c r="AF17" i="8"/>
  <c r="AK17" i="8"/>
  <c r="AI25" i="8"/>
  <c r="AK65" i="8"/>
  <c r="AK32" i="24" s="1"/>
  <c r="AK22" i="8"/>
  <c r="AK124" i="8"/>
  <c r="AH18" i="8"/>
  <c r="AJ25" i="8"/>
  <c r="AJ124" i="8"/>
  <c r="AF10" i="8"/>
  <c r="AG18" i="8"/>
  <c r="AG13" i="8"/>
  <c r="AG24" i="24" s="1" a="1"/>
  <c r="AG24" i="24" s="1"/>
  <c r="AF13" i="8"/>
  <c r="AF24" i="24" s="1" a="1"/>
  <c r="AF24" i="24" s="1"/>
  <c r="AG25" i="8"/>
  <c r="AH65" i="8"/>
  <c r="AH32" i="24" s="1"/>
  <c r="AK125" i="8"/>
  <c r="AI44" i="8"/>
  <c r="AI49" i="8" s="1"/>
  <c r="AK56" i="8"/>
  <c r="AK60" i="8" s="1"/>
  <c r="AK13" i="8"/>
  <c r="AK25" i="24" s="1" a="1"/>
  <c r="AK25" i="24" s="1"/>
  <c r="AJ22" i="8"/>
  <c r="AH25" i="8"/>
  <c r="AJ56" i="8"/>
  <c r="AJ60" i="8" s="1"/>
  <c r="AF56" i="8"/>
  <c r="AF60" i="8" s="1"/>
  <c r="AI18" i="8"/>
  <c r="AH125" i="8"/>
  <c r="AH10" i="8"/>
  <c r="AH17" i="8"/>
  <c r="AJ18" i="8"/>
  <c r="AF22" i="8"/>
  <c r="AF44" i="8"/>
  <c r="AF49" i="8" s="1"/>
  <c r="AJ44" i="8"/>
  <c r="AJ49" i="8" s="1"/>
  <c r="AI65" i="8"/>
  <c r="AI32" i="24" s="1"/>
  <c r="AI125" i="8"/>
  <c r="AI10" i="8"/>
  <c r="AH13" i="8"/>
  <c r="AH24" i="24" s="1" a="1"/>
  <c r="AH24" i="24" s="1"/>
  <c r="AI17" i="8"/>
  <c r="AG44" i="8"/>
  <c r="AG49" i="8" s="1"/>
  <c r="AG56" i="8"/>
  <c r="AG60" i="8" s="1"/>
  <c r="AI56" i="8"/>
  <c r="AI60" i="8" s="1"/>
  <c r="AJ65" i="8"/>
  <c r="AJ32" i="24" s="1"/>
  <c r="AF65" i="8"/>
  <c r="AF32" i="24" s="1"/>
  <c r="AH124" i="8"/>
  <c r="AJ125" i="8"/>
  <c r="AI124" i="8"/>
  <c r="AL22" i="8"/>
  <c r="AR22" i="8" s="1"/>
  <c r="AO125" i="8"/>
  <c r="AO13" i="8"/>
  <c r="AO24" i="24" s="1" a="1"/>
  <c r="AO24" i="24" s="1"/>
  <c r="AM22" i="8"/>
  <c r="AM65" i="8"/>
  <c r="AM32" i="24" s="1"/>
  <c r="AN13" i="8"/>
  <c r="AN24" i="24" s="1" a="1"/>
  <c r="AN24" i="24" s="1"/>
  <c r="AM17" i="8"/>
  <c r="AL25" i="8"/>
  <c r="AR25" i="8" s="1"/>
  <c r="AM44" i="8"/>
  <c r="AM49" i="8" s="1"/>
  <c r="AN65" i="8"/>
  <c r="AN32" i="24" s="1"/>
  <c r="AO18" i="8"/>
  <c r="AM10" i="8"/>
  <c r="AL18" i="8"/>
  <c r="AR18" i="8" s="1"/>
  <c r="AN22" i="8"/>
  <c r="AM25" i="8"/>
  <c r="AM56" i="8"/>
  <c r="AM60" i="8" s="1"/>
  <c r="AO17" i="8"/>
  <c r="AN17" i="8"/>
  <c r="AM18" i="8"/>
  <c r="AN25" i="8"/>
  <c r="AN56" i="8"/>
  <c r="AN60" i="8" s="1"/>
  <c r="AL13" i="8"/>
  <c r="AL10" i="8"/>
  <c r="AR10" i="8" s="1"/>
  <c r="AN10" i="8"/>
  <c r="AN22" i="24" s="1" a="1"/>
  <c r="AN22" i="24" s="1"/>
  <c r="AN44" i="8"/>
  <c r="AN49" i="8" s="1"/>
  <c r="AL125" i="8"/>
  <c r="AM125" i="8"/>
  <c r="AN125" i="8"/>
  <c r="AB66" i="8"/>
  <c r="AB68" i="8" s="1"/>
  <c r="AE124" i="8"/>
  <c r="AO18" i="24" l="1"/>
  <c r="AP19" i="24" s="1"/>
  <c r="AK58" i="24"/>
  <c r="AK43" i="24"/>
  <c r="AL24" i="24" a="1"/>
  <c r="AL24" i="24" s="1"/>
  <c r="AR13" i="8"/>
  <c r="AI58" i="24"/>
  <c r="AI60" i="24" s="1"/>
  <c r="AM24" i="24" a="1"/>
  <c r="AM24" i="24" s="1"/>
  <c r="AF58" i="24"/>
  <c r="AF60" i="24" s="1"/>
  <c r="AO58" i="24"/>
  <c r="AO60" i="24" s="1"/>
  <c r="AK60" i="24"/>
  <c r="Q26" i="24"/>
  <c r="AF43" i="24"/>
  <c r="AE58" i="24"/>
  <c r="AE60" i="24" s="1"/>
  <c r="C35" i="27"/>
  <c r="AN18" i="24"/>
  <c r="AK24" i="24" a="1"/>
  <c r="AK24" i="24" s="1"/>
  <c r="AK26" i="24" s="1"/>
  <c r="AF18" i="24"/>
  <c r="AJ18" i="24"/>
  <c r="AK18" i="24"/>
  <c r="AN25" i="24" a="1"/>
  <c r="AN25" i="24" s="1"/>
  <c r="AN26" i="24" s="1"/>
  <c r="AF25" i="24" a="1"/>
  <c r="AF25" i="24" s="1"/>
  <c r="AI48" i="24"/>
  <c r="AE52" i="24"/>
  <c r="AE54" i="24" s="1"/>
  <c r="AK48" i="24"/>
  <c r="AE48" i="24"/>
  <c r="AF52" i="24"/>
  <c r="AF54" i="24" s="1"/>
  <c r="AI37" i="24"/>
  <c r="AI38" i="24" s="1"/>
  <c r="AI33" i="24"/>
  <c r="Y26" i="24"/>
  <c r="AN52" i="24"/>
  <c r="AN54" i="24" s="1"/>
  <c r="AN46" i="24"/>
  <c r="AN48" i="24" s="1"/>
  <c r="AN58" i="24"/>
  <c r="AN60" i="24" s="1"/>
  <c r="AN43" i="24"/>
  <c r="U26" i="24"/>
  <c r="AF48" i="24"/>
  <c r="AK11" i="8"/>
  <c r="AK14" i="8" s="1"/>
  <c r="AK15" i="8" s="1"/>
  <c r="AK23" i="24"/>
  <c r="AO22" i="24" a="1"/>
  <c r="AO22" i="24" s="1"/>
  <c r="AG58" i="24"/>
  <c r="AG60" i="24" s="1"/>
  <c r="AI18" i="24"/>
  <c r="AJ19" i="24" s="1"/>
  <c r="AG11" i="8"/>
  <c r="AG14" i="8" s="1"/>
  <c r="AG23" i="24"/>
  <c r="AJ11" i="8"/>
  <c r="AJ14" i="8" s="1"/>
  <c r="AJ23" i="24"/>
  <c r="AG18" i="24"/>
  <c r="AH33" i="24"/>
  <c r="AH37" i="24"/>
  <c r="AH38" i="24" s="1"/>
  <c r="AM18" i="24"/>
  <c r="AK33" i="24"/>
  <c r="AK37" i="24"/>
  <c r="AK38" i="24" s="1"/>
  <c r="AG37" i="24"/>
  <c r="AG38" i="24" s="1"/>
  <c r="AG33" i="24"/>
  <c r="AJ22" i="24" a="1"/>
  <c r="AJ22" i="24" s="1"/>
  <c r="AJ24" i="24" a="1"/>
  <c r="AJ24" i="24" s="1"/>
  <c r="AJ33" i="24"/>
  <c r="AJ37" i="24"/>
  <c r="AJ38" i="24" s="1"/>
  <c r="AG46" i="24"/>
  <c r="AG48" i="24" s="1"/>
  <c r="AG52" i="24"/>
  <c r="AG54" i="24" s="1"/>
  <c r="AG43" i="24"/>
  <c r="AN33" i="24"/>
  <c r="AN37" i="24"/>
  <c r="AN38" i="24" s="1"/>
  <c r="AI11" i="8"/>
  <c r="AI14" i="8" s="1"/>
  <c r="AI23" i="24"/>
  <c r="AH11" i="8"/>
  <c r="AH14" i="8" s="1"/>
  <c r="AH19" i="8" s="1"/>
  <c r="AH23" i="24"/>
  <c r="AF11" i="8"/>
  <c r="AF23" i="24"/>
  <c r="AE37" i="24"/>
  <c r="AE38" i="24" s="1"/>
  <c r="AE33" i="24"/>
  <c r="AG25" i="24" a="1"/>
  <c r="AG25" i="24" s="1"/>
  <c r="AG26" i="24" s="1"/>
  <c r="AO25" i="24" a="1"/>
  <c r="AO25" i="24" s="1"/>
  <c r="AK52" i="24"/>
  <c r="AK54" i="24" s="1"/>
  <c r="AE18" i="24"/>
  <c r="AJ52" i="24"/>
  <c r="AJ54" i="24" s="1"/>
  <c r="AJ58" i="24"/>
  <c r="AJ60" i="24" s="1"/>
  <c r="AJ46" i="24"/>
  <c r="AJ48" i="24" s="1"/>
  <c r="AJ43" i="24"/>
  <c r="AM11" i="8"/>
  <c r="AM14" i="8" s="1"/>
  <c r="AM15" i="8" s="1"/>
  <c r="AM23" i="24"/>
  <c r="AM58" i="24"/>
  <c r="AM60" i="24" s="1"/>
  <c r="AM52" i="24"/>
  <c r="AM54" i="24" s="1"/>
  <c r="AM43" i="24"/>
  <c r="AM46" i="24"/>
  <c r="AM48" i="24" s="1"/>
  <c r="AN11" i="8"/>
  <c r="AN14" i="8" s="1"/>
  <c r="AN15" i="8" s="1"/>
  <c r="AN23" i="24"/>
  <c r="AL11" i="8"/>
  <c r="AL23" i="24"/>
  <c r="AM33" i="24"/>
  <c r="AM37" i="24"/>
  <c r="AM38" i="24" s="1"/>
  <c r="AF33" i="24"/>
  <c r="AF37" i="24"/>
  <c r="AF38" i="24" s="1"/>
  <c r="AF22" i="24" a="1"/>
  <c r="AF22" i="24" s="1"/>
  <c r="AO52" i="24"/>
  <c r="AO54" i="24" s="1"/>
  <c r="AO46" i="24"/>
  <c r="AO48" i="24" s="1"/>
  <c r="AO43" i="24"/>
  <c r="AI52" i="24"/>
  <c r="AI54" i="24" s="1"/>
  <c r="AB19" i="8"/>
  <c r="AB23" i="8" s="1"/>
  <c r="AB26" i="8" s="1"/>
  <c r="AP16" i="9"/>
  <c r="AR10" i="10"/>
  <c r="AL14" i="10"/>
  <c r="AL86" i="10" s="1"/>
  <c r="AE66" i="8"/>
  <c r="AE68" i="8" s="1"/>
  <c r="AI102" i="8"/>
  <c r="AE14" i="8"/>
  <c r="AE125" i="8"/>
  <c r="AG103" i="8"/>
  <c r="AE103" i="8"/>
  <c r="AG94" i="8"/>
  <c r="AE94" i="8"/>
  <c r="G16" i="9"/>
  <c r="G21" i="9" s="1"/>
  <c r="G25" i="9" s="1"/>
  <c r="AJ103" i="8"/>
  <c r="AH103" i="8"/>
  <c r="AJ102" i="8"/>
  <c r="AL43" i="9"/>
  <c r="AE108" i="8"/>
  <c r="AH102" i="8"/>
  <c r="AL103" i="8"/>
  <c r="AR103" i="8" s="1"/>
  <c r="AF103" i="8"/>
  <c r="AN103" i="8"/>
  <c r="AM103" i="8"/>
  <c r="AK103" i="8"/>
  <c r="AO102" i="8"/>
  <c r="AL102" i="8"/>
  <c r="AR102" i="8" s="1"/>
  <c r="AM102" i="8"/>
  <c r="AF94" i="8"/>
  <c r="AO124" i="8"/>
  <c r="AG124" i="8"/>
  <c r="AB17" i="9"/>
  <c r="AB21" i="9"/>
  <c r="AK66" i="8"/>
  <c r="AK68" i="8" s="1"/>
  <c r="AI66" i="8"/>
  <c r="AI68" i="8" s="1"/>
  <c r="AG66" i="8"/>
  <c r="AG68" i="8" s="1"/>
  <c r="AJ66" i="8"/>
  <c r="AJ68" i="8" s="1"/>
  <c r="AF66" i="8"/>
  <c r="AF68" i="8" s="1"/>
  <c r="AF14" i="8"/>
  <c r="AG125" i="8"/>
  <c r="AF125" i="8"/>
  <c r="AF124" i="8"/>
  <c r="AM66" i="8"/>
  <c r="AM68" i="8" s="1"/>
  <c r="AL124" i="8"/>
  <c r="AN66" i="8"/>
  <c r="AN68" i="8" s="1"/>
  <c r="AM124" i="8"/>
  <c r="AN124" i="8"/>
  <c r="C41" i="27" l="1"/>
  <c r="E41" i="27" s="1"/>
  <c r="G37" i="16"/>
  <c r="AL14" i="8"/>
  <c r="AR11" i="8"/>
  <c r="AF26" i="24"/>
  <c r="AN19" i="24"/>
  <c r="AO19" i="24"/>
  <c r="AK19" i="24"/>
  <c r="AF19" i="24"/>
  <c r="AG19" i="24"/>
  <c r="AJ19" i="8"/>
  <c r="AJ23" i="8" s="1"/>
  <c r="AJ26" i="8" s="1"/>
  <c r="AJ15" i="8"/>
  <c r="AJ26" i="24"/>
  <c r="AO26" i="24"/>
  <c r="AI15" i="8"/>
  <c r="AI19" i="8"/>
  <c r="AI23" i="8" s="1"/>
  <c r="AI26" i="8" s="1"/>
  <c r="AG19" i="8"/>
  <c r="AG23" i="8" s="1"/>
  <c r="AG26" i="8" s="1"/>
  <c r="AG15" i="8"/>
  <c r="AL24" i="10"/>
  <c r="AK19" i="10"/>
  <c r="AK18" i="10"/>
  <c r="AK21" i="10"/>
  <c r="AK22" i="10"/>
  <c r="AK20" i="10"/>
  <c r="AK15" i="10"/>
  <c r="AB20" i="8"/>
  <c r="AP17" i="9"/>
  <c r="AP21" i="9"/>
  <c r="AM14" i="10"/>
  <c r="AM86" i="10" s="1"/>
  <c r="AN14" i="10"/>
  <c r="AN86" i="10" s="1"/>
  <c r="AH23" i="8"/>
  <c r="AH26" i="8" s="1"/>
  <c r="AE19" i="8"/>
  <c r="AE23" i="8" s="1"/>
  <c r="AE15" i="8"/>
  <c r="AM19" i="8"/>
  <c r="AM20" i="8" s="1"/>
  <c r="AF14" i="10"/>
  <c r="AF86" i="10" s="1"/>
  <c r="AG14" i="10"/>
  <c r="AG86" i="10" s="1"/>
  <c r="G17" i="9"/>
  <c r="G22" i="9"/>
  <c r="AG108" i="8"/>
  <c r="AO108" i="8"/>
  <c r="AK43" i="9"/>
  <c r="AL108" i="8"/>
  <c r="AR108" i="8" s="1"/>
  <c r="AK108" i="8"/>
  <c r="AI108" i="8"/>
  <c r="AH108" i="8"/>
  <c r="AJ108" i="8"/>
  <c r="AF108" i="8"/>
  <c r="AN108" i="8"/>
  <c r="AM108" i="8"/>
  <c r="AB75" i="8"/>
  <c r="AB90" i="8" s="1"/>
  <c r="AB33" i="8"/>
  <c r="AB30" i="8"/>
  <c r="AK19" i="8"/>
  <c r="AB22" i="9"/>
  <c r="G26" i="9"/>
  <c r="G29" i="9"/>
  <c r="AJ20" i="8"/>
  <c r="AH20" i="8"/>
  <c r="AN19" i="8"/>
  <c r="AH15" i="8"/>
  <c r="AF15" i="8"/>
  <c r="AF19" i="8"/>
  <c r="AF23" i="8" s="1"/>
  <c r="AL19" i="8"/>
  <c r="AR19" i="8" s="1"/>
  <c r="AB27" i="8"/>
  <c r="AL15" i="8" l="1"/>
  <c r="AR15" i="8" s="1"/>
  <c r="AR14" i="8"/>
  <c r="AI24" i="10"/>
  <c r="AE14" i="10"/>
  <c r="AE86" i="10" s="1"/>
  <c r="C57" i="27"/>
  <c r="C75" i="27" s="1"/>
  <c r="AO14" i="10"/>
  <c r="AO86" i="10" s="1"/>
  <c r="AG20" i="8"/>
  <c r="AI20" i="8"/>
  <c r="AO24" i="10"/>
  <c r="AM24" i="10"/>
  <c r="AK24" i="10"/>
  <c r="AJ24" i="10"/>
  <c r="AN24" i="10"/>
  <c r="AL18" i="10"/>
  <c r="AH20" i="10"/>
  <c r="AI19" i="10"/>
  <c r="AL21" i="10"/>
  <c r="AL20" i="10"/>
  <c r="AL22" i="10"/>
  <c r="AL19" i="10"/>
  <c r="AJ21" i="10"/>
  <c r="AJ22" i="10"/>
  <c r="AI21" i="10"/>
  <c r="AI22" i="10"/>
  <c r="AH22" i="10"/>
  <c r="AH21" i="10"/>
  <c r="AI20" i="10"/>
  <c r="AJ20" i="10"/>
  <c r="AJ19" i="10"/>
  <c r="AH19" i="10"/>
  <c r="AJ15" i="10"/>
  <c r="AJ18" i="10"/>
  <c r="AI15" i="10"/>
  <c r="AI18" i="10"/>
  <c r="AH15" i="10"/>
  <c r="AH18" i="10"/>
  <c r="AL15" i="10"/>
  <c r="AP25" i="9"/>
  <c r="AP22" i="9"/>
  <c r="AR9" i="10"/>
  <c r="AJ27" i="8"/>
  <c r="AJ30" i="8"/>
  <c r="AJ33" i="8"/>
  <c r="AI27" i="8"/>
  <c r="AI30" i="8"/>
  <c r="AI33" i="8"/>
  <c r="AH30" i="8"/>
  <c r="AH33" i="8"/>
  <c r="AH27" i="8"/>
  <c r="AK23" i="8"/>
  <c r="AK26" i="8" s="1"/>
  <c r="AN20" i="8"/>
  <c r="AN23" i="8"/>
  <c r="AN26" i="8" s="1"/>
  <c r="AL23" i="8"/>
  <c r="AM23" i="8"/>
  <c r="AM26" i="8" s="1"/>
  <c r="AE20" i="8"/>
  <c r="AE26" i="8"/>
  <c r="AN43" i="9"/>
  <c r="AM43" i="9"/>
  <c r="AO43" i="9"/>
  <c r="AK20" i="8"/>
  <c r="AG27" i="8"/>
  <c r="AG30" i="8"/>
  <c r="AG33" i="8"/>
  <c r="G80" i="9" a="1"/>
  <c r="G80" i="9" s="1"/>
  <c r="G79" i="9" a="1"/>
  <c r="G79" i="9" s="1"/>
  <c r="G78" i="9"/>
  <c r="G30" i="9"/>
  <c r="G76" i="9"/>
  <c r="G36" i="9"/>
  <c r="G45" i="9" s="1"/>
  <c r="G77" i="9"/>
  <c r="AL20" i="8"/>
  <c r="AR20" i="8" s="1"/>
  <c r="AF26" i="8"/>
  <c r="AF20" i="8"/>
  <c r="AL26" i="8" l="1"/>
  <c r="AR26" i="8" s="1"/>
  <c r="AR23" i="8"/>
  <c r="AF19" i="10"/>
  <c r="AF18" i="10"/>
  <c r="AM18" i="10"/>
  <c r="AM15" i="10"/>
  <c r="AE21" i="10"/>
  <c r="AE22" i="10"/>
  <c r="AE20" i="10"/>
  <c r="AO22" i="10"/>
  <c r="AO21" i="10"/>
  <c r="AO20" i="10"/>
  <c r="AO19" i="10"/>
  <c r="AG22" i="10"/>
  <c r="AG21" i="10"/>
  <c r="AG20" i="10"/>
  <c r="AF22" i="10"/>
  <c r="AF21" i="10"/>
  <c r="AF20" i="10"/>
  <c r="AG19" i="10"/>
  <c r="AE19" i="10"/>
  <c r="AN18" i="10"/>
  <c r="AN21" i="10"/>
  <c r="AN22" i="10"/>
  <c r="AN20" i="10"/>
  <c r="AN19" i="10"/>
  <c r="AM20" i="10"/>
  <c r="AM22" i="10"/>
  <c r="AM21" i="10"/>
  <c r="AM19" i="10"/>
  <c r="AG15" i="10"/>
  <c r="AF15" i="10"/>
  <c r="AR14" i="10"/>
  <c r="AG18" i="10"/>
  <c r="AE18" i="10"/>
  <c r="AN15" i="10"/>
  <c r="AE15" i="10"/>
  <c r="AO18" i="10"/>
  <c r="AP29" i="9"/>
  <c r="AP26" i="9"/>
  <c r="AL27" i="8"/>
  <c r="AR27" i="8" s="1"/>
  <c r="AL33" i="8"/>
  <c r="AR33" i="8" s="1"/>
  <c r="AL30" i="8"/>
  <c r="AR30" i="8" s="1"/>
  <c r="AK33" i="8"/>
  <c r="AK27" i="8"/>
  <c r="AK30" i="8"/>
  <c r="AM27" i="8"/>
  <c r="AM30" i="8"/>
  <c r="AM33" i="8"/>
  <c r="AE30" i="8"/>
  <c r="AE27" i="8"/>
  <c r="AE33" i="8"/>
  <c r="AF27" i="8"/>
  <c r="AF30" i="8"/>
  <c r="AF33" i="8"/>
  <c r="AN27" i="8"/>
  <c r="AN30" i="8"/>
  <c r="AN33" i="8"/>
  <c r="AP80" i="9" l="1" a="1"/>
  <c r="AP80" i="9" s="1"/>
  <c r="AP30" i="9"/>
  <c r="AP79" i="9" a="1"/>
  <c r="AP79" i="9" s="1"/>
  <c r="AP78" i="9"/>
  <c r="AP76" i="9"/>
  <c r="AP77" i="9"/>
  <c r="AP36" i="9"/>
  <c r="AE105" i="8" l="1"/>
  <c r="AE95" i="8"/>
  <c r="AE79" i="8"/>
  <c r="AE78" i="8"/>
  <c r="AE84" i="8"/>
  <c r="AL62" i="8"/>
  <c r="AR62" i="8" s="1"/>
  <c r="AL59" i="8"/>
  <c r="AR59" i="8" s="1"/>
  <c r="AH59" i="8"/>
  <c r="AL55" i="8"/>
  <c r="AR55" i="8" s="1"/>
  <c r="AL53" i="8"/>
  <c r="AH55" i="8"/>
  <c r="AH53" i="8"/>
  <c r="AH15" i="24" s="1"/>
  <c r="AL48" i="8"/>
  <c r="AR48" i="8" s="1"/>
  <c r="AL47" i="8"/>
  <c r="AR47" i="8" s="1"/>
  <c r="AL46" i="8"/>
  <c r="AR46" i="8" s="1"/>
  <c r="AH48" i="8"/>
  <c r="AH47" i="8"/>
  <c r="AH46" i="8"/>
  <c r="AL43" i="8"/>
  <c r="AH43" i="8"/>
  <c r="AH10" i="24" s="1"/>
  <c r="AL15" i="24" l="1"/>
  <c r="AR53" i="8"/>
  <c r="AL10" i="24"/>
  <c r="AR43" i="8"/>
  <c r="AE101" i="8"/>
  <c r="AE104" i="8"/>
  <c r="AE107" i="8"/>
  <c r="AL58" i="8"/>
  <c r="AH52" i="8"/>
  <c r="AH14" i="24" s="1"/>
  <c r="AH58" i="8"/>
  <c r="AH51" i="24" s="1"/>
  <c r="AH57" i="24" s="1"/>
  <c r="AL51" i="8"/>
  <c r="AH51" i="8"/>
  <c r="AH13" i="24" s="1"/>
  <c r="AL52" i="8"/>
  <c r="AB25" i="9"/>
  <c r="AI107" i="8"/>
  <c r="AH107" i="8"/>
  <c r="AK107" i="8"/>
  <c r="AJ107" i="8"/>
  <c r="AF101" i="8"/>
  <c r="AF95" i="8"/>
  <c r="AG78" i="8"/>
  <c r="AF78" i="8"/>
  <c r="AK78" i="8"/>
  <c r="AJ78" i="8"/>
  <c r="AI78" i="8"/>
  <c r="AH78" i="8"/>
  <c r="AF104" i="8"/>
  <c r="AK89" i="8"/>
  <c r="AI89" i="8"/>
  <c r="AH89" i="8"/>
  <c r="AJ89" i="8"/>
  <c r="AG79" i="8"/>
  <c r="AF79" i="8"/>
  <c r="AK79" i="8"/>
  <c r="AJ79" i="8"/>
  <c r="AI79" i="8"/>
  <c r="AH79" i="8"/>
  <c r="AG105" i="8"/>
  <c r="AF105" i="8"/>
  <c r="AG84" i="8"/>
  <c r="AF84" i="8"/>
  <c r="AG107" i="8"/>
  <c r="AF107" i="8"/>
  <c r="AI84" i="8"/>
  <c r="AK84" i="8"/>
  <c r="AJ84" i="8"/>
  <c r="AH84" i="8"/>
  <c r="AI97" i="8"/>
  <c r="AK97" i="8"/>
  <c r="AJ97" i="8"/>
  <c r="AH97" i="8"/>
  <c r="AI105" i="8"/>
  <c r="AH105" i="8"/>
  <c r="AK105" i="8"/>
  <c r="AJ105" i="8"/>
  <c r="AO87" i="8"/>
  <c r="AN89" i="8"/>
  <c r="AM89" i="8"/>
  <c r="AL89" i="8"/>
  <c r="AR89" i="8" s="1"/>
  <c r="AO89" i="8"/>
  <c r="AB109" i="8"/>
  <c r="AL78" i="8"/>
  <c r="AR78" i="8" s="1"/>
  <c r="AO78" i="8"/>
  <c r="AM78" i="8"/>
  <c r="AN78" i="8"/>
  <c r="AO96" i="8"/>
  <c r="AO79" i="8"/>
  <c r="AN79" i="8"/>
  <c r="AM79" i="8"/>
  <c r="AL79" i="8"/>
  <c r="AR79" i="8" s="1"/>
  <c r="AL105" i="8"/>
  <c r="AR105" i="8" s="1"/>
  <c r="AN105" i="8"/>
  <c r="AM105" i="8"/>
  <c r="AO105" i="8"/>
  <c r="AO86" i="8"/>
  <c r="AO88" i="8"/>
  <c r="AN107" i="8"/>
  <c r="AM107" i="8"/>
  <c r="AO107" i="8"/>
  <c r="AL107" i="8"/>
  <c r="AR107" i="8" s="1"/>
  <c r="AN84" i="8"/>
  <c r="AM84" i="8"/>
  <c r="AL84" i="8"/>
  <c r="AR84" i="8" s="1"/>
  <c r="AO84" i="8"/>
  <c r="AO97" i="8"/>
  <c r="AN97" i="8"/>
  <c r="AM97" i="8"/>
  <c r="AL97" i="8"/>
  <c r="AR97" i="8" s="1"/>
  <c r="AA109" i="8"/>
  <c r="AE97" i="8"/>
  <c r="AE88" i="8"/>
  <c r="AE86" i="8"/>
  <c r="AE87" i="8"/>
  <c r="AL51" i="24" l="1"/>
  <c r="AL57" i="24" s="1"/>
  <c r="AR58" i="8"/>
  <c r="AL13" i="24"/>
  <c r="AL25" i="24" s="1" a="1"/>
  <c r="AL25" i="24" s="1"/>
  <c r="AR51" i="8"/>
  <c r="AL14" i="24"/>
  <c r="AR52" i="8"/>
  <c r="AM25" i="24" a="1"/>
  <c r="AM25" i="24" s="1"/>
  <c r="AL16" i="24"/>
  <c r="AI25" i="24" a="1"/>
  <c r="AI25" i="24" s="1"/>
  <c r="AH16" i="24"/>
  <c r="AH25" i="24" a="1"/>
  <c r="AH25" i="24" s="1"/>
  <c r="AH56" i="8"/>
  <c r="AH60" i="8" s="1"/>
  <c r="AH66" i="8" s="1"/>
  <c r="AL56" i="8"/>
  <c r="AE106" i="8"/>
  <c r="AE109" i="8" s="1"/>
  <c r="AG89" i="8"/>
  <c r="AE89" i="8"/>
  <c r="AE80" i="8"/>
  <c r="AE81" i="8"/>
  <c r="AN106" i="8"/>
  <c r="AG104" i="8"/>
  <c r="AG86" i="8"/>
  <c r="AG97" i="8"/>
  <c r="AB98" i="8"/>
  <c r="AL85" i="8"/>
  <c r="AR85" i="8" s="1"/>
  <c r="AB26" i="9"/>
  <c r="AB29" i="9"/>
  <c r="AM81" i="8"/>
  <c r="AK80" i="8"/>
  <c r="AG81" i="8"/>
  <c r="AK86" i="8"/>
  <c r="AK87" i="8"/>
  <c r="AG87" i="8"/>
  <c r="AK96" i="8"/>
  <c r="AG106" i="8"/>
  <c r="AG80" i="8"/>
  <c r="AF86" i="8"/>
  <c r="AH86" i="8"/>
  <c r="AH96" i="8"/>
  <c r="AF89" i="8"/>
  <c r="AI96" i="8"/>
  <c r="AF87" i="8"/>
  <c r="AF106" i="8"/>
  <c r="AF97" i="8"/>
  <c r="AI86" i="8"/>
  <c r="AG95" i="8"/>
  <c r="AJ96" i="8"/>
  <c r="AF80" i="8"/>
  <c r="AJ86" i="8"/>
  <c r="AF81" i="8"/>
  <c r="AG101" i="8"/>
  <c r="AH87" i="8"/>
  <c r="AK88" i="8"/>
  <c r="AG88" i="8"/>
  <c r="AI87" i="8"/>
  <c r="AF88" i="8"/>
  <c r="AJ87" i="8"/>
  <c r="AL86" i="8"/>
  <c r="AR86" i="8" s="1"/>
  <c r="AL88" i="8"/>
  <c r="AR88" i="8" s="1"/>
  <c r="AN88" i="8"/>
  <c r="AL87" i="8"/>
  <c r="AR87" i="8" s="1"/>
  <c r="AL96" i="8"/>
  <c r="AR96" i="8" s="1"/>
  <c r="AM87" i="8"/>
  <c r="AM88" i="8"/>
  <c r="AM86" i="8"/>
  <c r="AM96" i="8"/>
  <c r="AN87" i="8"/>
  <c r="AN86" i="8"/>
  <c r="AN96" i="8"/>
  <c r="AL60" i="8" l="1"/>
  <c r="AR60" i="8" s="1"/>
  <c r="AR56" i="8"/>
  <c r="C69" i="27"/>
  <c r="C62" i="27"/>
  <c r="AB118" i="8"/>
  <c r="AI101" i="8"/>
  <c r="AL106" i="8"/>
  <c r="AR106" i="8" s="1"/>
  <c r="AJ106" i="8"/>
  <c r="AM106" i="8"/>
  <c r="AK106" i="8"/>
  <c r="AE85" i="8"/>
  <c r="AE96" i="8"/>
  <c r="AE93" i="8"/>
  <c r="AJ101" i="8"/>
  <c r="AG96" i="8"/>
  <c r="AO101" i="8"/>
  <c r="AI104" i="8"/>
  <c r="AK104" i="8"/>
  <c r="AN101" i="8"/>
  <c r="AF96" i="8"/>
  <c r="AH106" i="8"/>
  <c r="AO104" i="8"/>
  <c r="AH101" i="8"/>
  <c r="AO106" i="8"/>
  <c r="AM101" i="8"/>
  <c r="AL101" i="8"/>
  <c r="AR101" i="8" s="1"/>
  <c r="AI106" i="8"/>
  <c r="AK101" i="8"/>
  <c r="AF93" i="8"/>
  <c r="AG93" i="8"/>
  <c r="AJ104" i="8"/>
  <c r="AL81" i="8"/>
  <c r="AR81" i="8" s="1"/>
  <c r="AN85" i="8"/>
  <c r="AM85" i="8"/>
  <c r="AN81" i="8"/>
  <c r="AH81" i="8"/>
  <c r="AO95" i="8"/>
  <c r="AK95" i="8"/>
  <c r="AJ81" i="8"/>
  <c r="AG85" i="8"/>
  <c r="AF85" i="8"/>
  <c r="AI80" i="8"/>
  <c r="AN80" i="8"/>
  <c r="AO93" i="8"/>
  <c r="C71" i="27" s="1"/>
  <c r="AJ85" i="8"/>
  <c r="AO81" i="8"/>
  <c r="AO85" i="8"/>
  <c r="AH80" i="8"/>
  <c r="AI81" i="8"/>
  <c r="AB36" i="9"/>
  <c r="AB44" i="9" s="1"/>
  <c r="AB30" i="9"/>
  <c r="AJ80" i="8"/>
  <c r="AK93" i="8"/>
  <c r="AK81" i="8"/>
  <c r="AH104" i="8"/>
  <c r="AH88" i="8"/>
  <c r="AI88" i="8"/>
  <c r="AH95" i="8"/>
  <c r="AF109" i="8"/>
  <c r="AI95" i="8"/>
  <c r="AI93" i="8"/>
  <c r="AJ88" i="8"/>
  <c r="AJ93" i="8"/>
  <c r="AK85" i="8"/>
  <c r="AI85" i="8"/>
  <c r="AH85" i="8"/>
  <c r="AJ95" i="8"/>
  <c r="AH93" i="8"/>
  <c r="AG109" i="8"/>
  <c r="AN104" i="8"/>
  <c r="AN93" i="8"/>
  <c r="AL93" i="8"/>
  <c r="AR93" i="8" s="1"/>
  <c r="AM93" i="8"/>
  <c r="AL104" i="8"/>
  <c r="AR104" i="8" s="1"/>
  <c r="AM104" i="8"/>
  <c r="AM95" i="8"/>
  <c r="AO80" i="8"/>
  <c r="AL80" i="8"/>
  <c r="AR80" i="8" s="1"/>
  <c r="AL95" i="8"/>
  <c r="AR95" i="8" s="1"/>
  <c r="AN95" i="8"/>
  <c r="AM80" i="8"/>
  <c r="C66" i="27" l="1"/>
  <c r="C63" i="27"/>
  <c r="AK109" i="8"/>
  <c r="AJ109" i="8"/>
  <c r="AF98" i="8"/>
  <c r="AG98" i="8"/>
  <c r="AE98" i="8"/>
  <c r="AK98" i="8"/>
  <c r="AI109" i="8"/>
  <c r="AN109" i="8"/>
  <c r="AH109" i="8"/>
  <c r="AH98" i="8"/>
  <c r="AI98" i="8"/>
  <c r="AJ98" i="8"/>
  <c r="AL109" i="8"/>
  <c r="AR109" i="8" s="1"/>
  <c r="AL98" i="8"/>
  <c r="AR98" i="8" s="1"/>
  <c r="AM109" i="8"/>
  <c r="AN98" i="8"/>
  <c r="AM98" i="8"/>
  <c r="C72" i="27" l="1"/>
  <c r="C67" i="27"/>
  <c r="G98" i="8"/>
  <c r="G65" i="8"/>
  <c r="G32" i="24" s="1"/>
  <c r="G56" i="8"/>
  <c r="G60" i="8" s="1"/>
  <c r="G49" i="8"/>
  <c r="G11" i="8"/>
  <c r="G15" i="10" s="1"/>
  <c r="AH40" i="8"/>
  <c r="AL40" i="8"/>
  <c r="AR40" i="8" s="1"/>
  <c r="AE50" i="9"/>
  <c r="AE55" i="9"/>
  <c r="X11" i="8"/>
  <c r="X15" i="10" s="1"/>
  <c r="W11" i="8"/>
  <c r="W15" i="10" s="1"/>
  <c r="V11" i="8"/>
  <c r="V15" i="10" s="1"/>
  <c r="T11" i="8"/>
  <c r="T15" i="10" s="1"/>
  <c r="S11" i="8"/>
  <c r="S15" i="10" s="1"/>
  <c r="R11" i="8"/>
  <c r="R15" i="10" s="1"/>
  <c r="P11" i="8"/>
  <c r="P15" i="10" s="1"/>
  <c r="O11" i="8"/>
  <c r="O15" i="10" s="1"/>
  <c r="N11" i="8"/>
  <c r="N15" i="10" s="1"/>
  <c r="AA11" i="8"/>
  <c r="AA15" i="10" s="1"/>
  <c r="K11" i="8"/>
  <c r="K15" i="10" s="1"/>
  <c r="J11" i="8"/>
  <c r="J15" i="10" s="1"/>
  <c r="I11" i="8"/>
  <c r="I15" i="10" s="1"/>
  <c r="H11" i="8"/>
  <c r="H15" i="10" s="1"/>
  <c r="N109" i="8"/>
  <c r="V98" i="8"/>
  <c r="R98" i="8"/>
  <c r="N98" i="8"/>
  <c r="K98" i="8"/>
  <c r="J98" i="8"/>
  <c r="I98" i="8"/>
  <c r="H98" i="8"/>
  <c r="AO71" i="9"/>
  <c r="AN71" i="9"/>
  <c r="AL71" i="9"/>
  <c r="AK71" i="9"/>
  <c r="AJ71" i="9"/>
  <c r="AH71" i="9"/>
  <c r="AG71" i="9"/>
  <c r="AF71" i="9"/>
  <c r="K65" i="8"/>
  <c r="J65" i="8"/>
  <c r="I65" i="8"/>
  <c r="H65" i="8"/>
  <c r="AL64" i="8"/>
  <c r="AR64" i="8" s="1"/>
  <c r="AL63" i="8"/>
  <c r="AR63" i="8" s="1"/>
  <c r="AA56" i="8"/>
  <c r="X56" i="8"/>
  <c r="W56" i="8"/>
  <c r="V56" i="8"/>
  <c r="T56" i="8"/>
  <c r="S56" i="8"/>
  <c r="R56" i="8"/>
  <c r="P56" i="8"/>
  <c r="O56" i="8"/>
  <c r="N56" i="8"/>
  <c r="K56" i="8"/>
  <c r="K60" i="8" s="1"/>
  <c r="J56" i="8"/>
  <c r="J60" i="8" s="1"/>
  <c r="I56" i="8"/>
  <c r="I60" i="8" s="1"/>
  <c r="H56" i="8"/>
  <c r="H60" i="8" s="1"/>
  <c r="AA49" i="8"/>
  <c r="X49" i="8"/>
  <c r="W49" i="8"/>
  <c r="V49" i="8"/>
  <c r="T49" i="8"/>
  <c r="S49" i="8"/>
  <c r="R49" i="8"/>
  <c r="P49" i="8"/>
  <c r="O49" i="8"/>
  <c r="N49" i="8"/>
  <c r="K49" i="8"/>
  <c r="J49" i="8"/>
  <c r="I49" i="8"/>
  <c r="Y11" i="8"/>
  <c r="Y15" i="10" s="1"/>
  <c r="AO11" i="8"/>
  <c r="AO15" i="10" s="1"/>
  <c r="AA69" i="9"/>
  <c r="Z69" i="9"/>
  <c r="Z72" i="9" s="1"/>
  <c r="Z81" i="9" s="1"/>
  <c r="X69" i="9"/>
  <c r="W69" i="9"/>
  <c r="V69" i="9"/>
  <c r="T69" i="9"/>
  <c r="S69" i="9"/>
  <c r="R69" i="9"/>
  <c r="R72" i="9" s="1"/>
  <c r="R81" i="9" s="1"/>
  <c r="P69" i="9"/>
  <c r="O69" i="9"/>
  <c r="N69" i="9"/>
  <c r="K69" i="9"/>
  <c r="J69" i="9"/>
  <c r="I69" i="9"/>
  <c r="H69" i="9"/>
  <c r="AO64" i="9"/>
  <c r="AN64" i="9"/>
  <c r="AM64" i="9"/>
  <c r="AL64" i="9"/>
  <c r="AK64" i="9"/>
  <c r="AJ64" i="9"/>
  <c r="AI64" i="9"/>
  <c r="AH64" i="9"/>
  <c r="AG64" i="9"/>
  <c r="AF64" i="9"/>
  <c r="AE64" i="9"/>
  <c r="AO63" i="9"/>
  <c r="AN63" i="9"/>
  <c r="AM63" i="9"/>
  <c r="AL63" i="9"/>
  <c r="AK63" i="9"/>
  <c r="AJ63" i="9"/>
  <c r="AI63" i="9"/>
  <c r="AH63" i="9"/>
  <c r="AG63" i="9"/>
  <c r="AF63" i="9"/>
  <c r="AE63" i="9"/>
  <c r="AO58" i="9"/>
  <c r="AN58" i="9"/>
  <c r="AM58" i="9"/>
  <c r="AL58" i="9"/>
  <c r="AK58" i="9"/>
  <c r="AJ58" i="9"/>
  <c r="AI58" i="9"/>
  <c r="AH58" i="9"/>
  <c r="AG58" i="9"/>
  <c r="AF58" i="9"/>
  <c r="AE58" i="9"/>
  <c r="AO56" i="9"/>
  <c r="AN56" i="9"/>
  <c r="AM56" i="9"/>
  <c r="AL56" i="9"/>
  <c r="AK56" i="9"/>
  <c r="AJ56" i="9"/>
  <c r="AI56" i="9"/>
  <c r="AH56" i="9"/>
  <c r="AG56" i="9"/>
  <c r="AF56" i="9"/>
  <c r="AE56" i="9"/>
  <c r="AO55" i="9"/>
  <c r="AN55" i="9"/>
  <c r="AL55" i="9"/>
  <c r="AK55" i="9"/>
  <c r="AJ55" i="9"/>
  <c r="AH55" i="9"/>
  <c r="AG55" i="9"/>
  <c r="AF55" i="9"/>
  <c r="AO50" i="9"/>
  <c r="AN50" i="9"/>
  <c r="AJ50" i="9"/>
  <c r="AH50" i="9"/>
  <c r="AG50" i="9"/>
  <c r="AF50" i="9"/>
  <c r="AN49" i="9"/>
  <c r="AL49" i="9"/>
  <c r="AK49" i="9"/>
  <c r="AJ49" i="9"/>
  <c r="AG49" i="9"/>
  <c r="AL35" i="9"/>
  <c r="AJ35" i="9"/>
  <c r="AI32" i="9"/>
  <c r="AL28" i="9"/>
  <c r="AK28" i="9"/>
  <c r="AM24" i="9"/>
  <c r="AS24" i="9" s="1"/>
  <c r="AE24" i="9"/>
  <c r="AJ20" i="9"/>
  <c r="AM19" i="9"/>
  <c r="AS19" i="9" s="1"/>
  <c r="AE19" i="9"/>
  <c r="H12" i="9"/>
  <c r="H71" i="9" l="1"/>
  <c r="H32" i="24"/>
  <c r="I71" i="9"/>
  <c r="I72" i="9" s="1"/>
  <c r="I81" i="9" s="1"/>
  <c r="I32" i="24"/>
  <c r="G37" i="24"/>
  <c r="G38" i="24" s="1"/>
  <c r="G33" i="24"/>
  <c r="J71" i="9"/>
  <c r="J72" i="9" s="1"/>
  <c r="J81" i="9" s="1"/>
  <c r="J32" i="24"/>
  <c r="K71" i="9"/>
  <c r="K32" i="24"/>
  <c r="AJ52" i="9"/>
  <c r="AG52" i="9"/>
  <c r="AN52" i="9"/>
  <c r="H59" i="9"/>
  <c r="H60" i="9"/>
  <c r="I59" i="9"/>
  <c r="I60" i="9"/>
  <c r="G60" i="9"/>
  <c r="G59" i="9"/>
  <c r="J59" i="9"/>
  <c r="J60" i="9"/>
  <c r="G71" i="9"/>
  <c r="G72" i="9" s="1"/>
  <c r="G81" i="9" s="1"/>
  <c r="K59" i="9"/>
  <c r="K60" i="9"/>
  <c r="S72" i="9"/>
  <c r="S81" i="9" s="1"/>
  <c r="AA72" i="9"/>
  <c r="AA81" i="9" s="1"/>
  <c r="S60" i="8"/>
  <c r="AH39" i="8"/>
  <c r="AH41" i="24" s="1"/>
  <c r="AI49" i="9"/>
  <c r="T60" i="8"/>
  <c r="AL41" i="8"/>
  <c r="AM50" i="9"/>
  <c r="V60" i="8"/>
  <c r="AH41" i="8"/>
  <c r="AH8" i="24" s="1"/>
  <c r="AI50" i="9"/>
  <c r="W60" i="8"/>
  <c r="N60" i="8"/>
  <c r="X60" i="8"/>
  <c r="O60" i="8"/>
  <c r="AN60" i="9"/>
  <c r="AN59" i="9"/>
  <c r="T72" i="9"/>
  <c r="T81" i="9" s="1"/>
  <c r="P60" i="8"/>
  <c r="AA60" i="8"/>
  <c r="AM55" i="9"/>
  <c r="R60" i="8"/>
  <c r="AI55" i="9"/>
  <c r="AL39" i="8"/>
  <c r="AM49" i="9"/>
  <c r="AE69" i="9"/>
  <c r="G14" i="8"/>
  <c r="G15" i="8" s="1"/>
  <c r="P72" i="9"/>
  <c r="AL40" i="9"/>
  <c r="AJ41" i="9"/>
  <c r="AH41" i="9"/>
  <c r="AO49" i="9"/>
  <c r="AO52" i="9" s="1"/>
  <c r="AB45" i="9"/>
  <c r="AI42" i="9"/>
  <c r="AH39" i="9"/>
  <c r="AF40" i="9"/>
  <c r="AN40" i="9"/>
  <c r="AJ42" i="9"/>
  <c r="AL24" i="9"/>
  <c r="AJ28" i="9"/>
  <c r="AH32" i="9"/>
  <c r="AK35" i="9"/>
  <c r="AK40" i="9"/>
  <c r="AG69" i="9"/>
  <c r="AG72" i="9" s="1"/>
  <c r="AG81" i="9" s="1"/>
  <c r="K72" i="9"/>
  <c r="K81" i="9" s="1"/>
  <c r="O72" i="9"/>
  <c r="AL20" i="9"/>
  <c r="AL19" i="9"/>
  <c r="AE49" i="9"/>
  <c r="AE52" i="9" s="1"/>
  <c r="T16" i="9"/>
  <c r="AF49" i="9"/>
  <c r="AF52" i="9" s="1"/>
  <c r="AJ32" i="9"/>
  <c r="AG39" i="9"/>
  <c r="AO39" i="9"/>
  <c r="AK41" i="9"/>
  <c r="R12" i="9"/>
  <c r="Z12" i="9"/>
  <c r="AE20" i="9"/>
  <c r="AM20" i="9"/>
  <c r="AS20" i="9" s="1"/>
  <c r="AG28" i="9"/>
  <c r="AO28" i="9"/>
  <c r="AI39" i="9"/>
  <c r="AK42" i="9"/>
  <c r="AO69" i="9"/>
  <c r="AO72" i="9" s="1"/>
  <c r="AO81" i="9" s="1"/>
  <c r="AF20" i="9"/>
  <c r="AN20" i="9"/>
  <c r="AJ39" i="9"/>
  <c r="AF41" i="9"/>
  <c r="AN41" i="9"/>
  <c r="AL42" i="9"/>
  <c r="AK39" i="9"/>
  <c r="AG41" i="9"/>
  <c r="AO41" i="9"/>
  <c r="AE42" i="9"/>
  <c r="AM42" i="9"/>
  <c r="AG20" i="9"/>
  <c r="AO20" i="9"/>
  <c r="AE39" i="9"/>
  <c r="AM39" i="9"/>
  <c r="AI40" i="9"/>
  <c r="AE41" i="9"/>
  <c r="AM41" i="9"/>
  <c r="AG42" i="9"/>
  <c r="AO42" i="9"/>
  <c r="AN69" i="9"/>
  <c r="AN72" i="9" s="1"/>
  <c r="AN81" i="9" s="1"/>
  <c r="AF19" i="9"/>
  <c r="AN19" i="9"/>
  <c r="AF32" i="9"/>
  <c r="AN32" i="9"/>
  <c r="AH38" i="9"/>
  <c r="AF39" i="9"/>
  <c r="AN39" i="9"/>
  <c r="AJ40" i="9"/>
  <c r="AH42" i="9"/>
  <c r="AF69" i="9"/>
  <c r="AF72" i="9" s="1"/>
  <c r="AF81" i="9" s="1"/>
  <c r="N72" i="9"/>
  <c r="AO24" i="9"/>
  <c r="AI19" i="9"/>
  <c r="AK24" i="9"/>
  <c r="AK38" i="9"/>
  <c r="AE40" i="9"/>
  <c r="AM40" i="9"/>
  <c r="AI41" i="9"/>
  <c r="AO19" i="9"/>
  <c r="Z13" i="9"/>
  <c r="AK19" i="9"/>
  <c r="AK32" i="9"/>
  <c r="AK69" i="9"/>
  <c r="AK72" i="9" s="1"/>
  <c r="AK81" i="9" s="1"/>
  <c r="AF24" i="9"/>
  <c r="AN24" i="9"/>
  <c r="AI28" i="9"/>
  <c r="AE35" i="9"/>
  <c r="AM35" i="9"/>
  <c r="AS35" i="9" s="1"/>
  <c r="AL39" i="9"/>
  <c r="AL41" i="9"/>
  <c r="AL69" i="9"/>
  <c r="AL72" i="9" s="1"/>
  <c r="AL81" i="9" s="1"/>
  <c r="AL65" i="8"/>
  <c r="AR65" i="8" s="1"/>
  <c r="Y44" i="8"/>
  <c r="Y49" i="8" s="1"/>
  <c r="U44" i="8"/>
  <c r="U49" i="8" s="1"/>
  <c r="Q44" i="8"/>
  <c r="Q49" i="8" s="1"/>
  <c r="G109" i="8"/>
  <c r="J14" i="8"/>
  <c r="J19" i="8" s="1"/>
  <c r="J23" i="8" s="1"/>
  <c r="I14" i="8"/>
  <c r="I19" i="8" s="1"/>
  <c r="I23" i="8" s="1"/>
  <c r="V14" i="8"/>
  <c r="V15" i="8" s="1"/>
  <c r="O14" i="8"/>
  <c r="O15" i="8" s="1"/>
  <c r="U11" i="8"/>
  <c r="U15" i="10" s="1"/>
  <c r="Q11" i="8"/>
  <c r="Q15" i="10" s="1"/>
  <c r="K14" i="8"/>
  <c r="K19" i="8" s="1"/>
  <c r="K23" i="8" s="1"/>
  <c r="W14" i="8"/>
  <c r="W15" i="8" s="1"/>
  <c r="N14" i="8"/>
  <c r="N15" i="8" s="1"/>
  <c r="X14" i="8"/>
  <c r="X15" i="8" s="1"/>
  <c r="V109" i="8"/>
  <c r="P14" i="8"/>
  <c r="P19" i="8" s="1"/>
  <c r="P23" i="8" s="1"/>
  <c r="AA14" i="8"/>
  <c r="AA15" i="8" s="1"/>
  <c r="K109" i="8"/>
  <c r="S109" i="8"/>
  <c r="R14" i="8"/>
  <c r="R19" i="8" s="1"/>
  <c r="R23" i="8" s="1"/>
  <c r="H14" i="8"/>
  <c r="H15" i="8" s="1"/>
  <c r="S14" i="8"/>
  <c r="S15" i="8" s="1"/>
  <c r="H109" i="8"/>
  <c r="Y14" i="8"/>
  <c r="I66" i="8"/>
  <c r="I68" i="8" s="1"/>
  <c r="Y56" i="8"/>
  <c r="AE71" i="9"/>
  <c r="O98" i="8"/>
  <c r="J109" i="8"/>
  <c r="Q56" i="8"/>
  <c r="AI71" i="9"/>
  <c r="AA98" i="8"/>
  <c r="X109" i="8"/>
  <c r="I109" i="8"/>
  <c r="U56" i="8"/>
  <c r="AM71" i="9"/>
  <c r="O109" i="8"/>
  <c r="T14" i="8"/>
  <c r="T19" i="8" s="1"/>
  <c r="T23" i="8" s="1"/>
  <c r="AO56" i="8"/>
  <c r="S98" i="8"/>
  <c r="H66" i="8"/>
  <c r="H68" i="8" s="1"/>
  <c r="P98" i="8"/>
  <c r="R109" i="8"/>
  <c r="W98" i="8"/>
  <c r="AO65" i="8"/>
  <c r="K16" i="9"/>
  <c r="K12" i="9"/>
  <c r="I16" i="9"/>
  <c r="I12" i="9"/>
  <c r="J16" i="9"/>
  <c r="J12" i="9"/>
  <c r="R13" i="9"/>
  <c r="AK20" i="9"/>
  <c r="AI20" i="9"/>
  <c r="AH20" i="9"/>
  <c r="AH28" i="9"/>
  <c r="AF28" i="9"/>
  <c r="AE28" i="9"/>
  <c r="AN28" i="9"/>
  <c r="AM28" i="9"/>
  <c r="AS28" i="9" s="1"/>
  <c r="AE15" i="9"/>
  <c r="AJ19" i="9"/>
  <c r="AH19" i="9"/>
  <c r="AG19" i="9"/>
  <c r="AG32" i="9"/>
  <c r="AE32" i="9"/>
  <c r="AO32" i="9"/>
  <c r="AM32" i="9"/>
  <c r="AS32" i="9" s="1"/>
  <c r="AL32" i="9"/>
  <c r="AH35" i="9"/>
  <c r="AB12" i="9"/>
  <c r="AB13" i="9"/>
  <c r="AI35" i="9"/>
  <c r="AG35" i="9"/>
  <c r="AF35" i="9"/>
  <c r="AO35" i="9"/>
  <c r="AN35" i="9"/>
  <c r="AM15" i="9"/>
  <c r="AS15" i="9" s="1"/>
  <c r="AE34" i="9"/>
  <c r="AK50" i="9"/>
  <c r="AK52" i="9" s="1"/>
  <c r="V72" i="9"/>
  <c r="V81" i="9" s="1"/>
  <c r="H16" i="9"/>
  <c r="AI24" i="9"/>
  <c r="AO34" i="9"/>
  <c r="AJ15" i="9"/>
  <c r="AJ24" i="9"/>
  <c r="AH24" i="9"/>
  <c r="AG24" i="9"/>
  <c r="AG38" i="9"/>
  <c r="AF38" i="9"/>
  <c r="AE38" i="9"/>
  <c r="AO38" i="9"/>
  <c r="AN38" i="9"/>
  <c r="AM38" i="9"/>
  <c r="AI38" i="9"/>
  <c r="AG40" i="9"/>
  <c r="AO40" i="9"/>
  <c r="AJ38" i="9"/>
  <c r="AH40" i="9"/>
  <c r="AF42" i="9"/>
  <c r="AN42" i="9"/>
  <c r="AH69" i="9"/>
  <c r="AL38" i="9"/>
  <c r="AO33" i="9"/>
  <c r="AJ69" i="9"/>
  <c r="AH49" i="9"/>
  <c r="AH52" i="9" s="1"/>
  <c r="W72" i="9"/>
  <c r="W81" i="9" s="1"/>
  <c r="AL50" i="9"/>
  <c r="AL52" i="9" s="1"/>
  <c r="X72" i="9"/>
  <c r="X81" i="9" s="1"/>
  <c r="H72" i="9"/>
  <c r="H81" i="9" s="1"/>
  <c r="AL8" i="24" l="1"/>
  <c r="AR41" i="8"/>
  <c r="AL41" i="24"/>
  <c r="AR39" i="8"/>
  <c r="AM22" i="24" a="1"/>
  <c r="AM22" i="24" s="1"/>
  <c r="AM26" i="24" s="1"/>
  <c r="AL11" i="24"/>
  <c r="AL18" i="24" s="1"/>
  <c r="AL22" i="24" a="1"/>
  <c r="AL22" i="24" s="1"/>
  <c r="AL26" i="24" s="1"/>
  <c r="AL66" i="8"/>
  <c r="AR66" i="8" s="1"/>
  <c r="AL32" i="24"/>
  <c r="AO32" i="24"/>
  <c r="AH52" i="24"/>
  <c r="AH54" i="24" s="1"/>
  <c r="AH43" i="24"/>
  <c r="AH46" i="24"/>
  <c r="AH48" i="24" s="1"/>
  <c r="AH58" i="24"/>
  <c r="AH60" i="24" s="1"/>
  <c r="I37" i="24"/>
  <c r="I38" i="24" s="1"/>
  <c r="I33" i="24"/>
  <c r="J33" i="24"/>
  <c r="J37" i="24"/>
  <c r="J38" i="24" s="1"/>
  <c r="AL52" i="24"/>
  <c r="AL54" i="24" s="1"/>
  <c r="AL58" i="24"/>
  <c r="AL60" i="24" s="1"/>
  <c r="AL46" i="24"/>
  <c r="AL48" i="24" s="1"/>
  <c r="AL43" i="24"/>
  <c r="AH11" i="24"/>
  <c r="AH18" i="24" s="1"/>
  <c r="AI22" i="24" a="1"/>
  <c r="AI22" i="24" s="1"/>
  <c r="AI26" i="24" s="1"/>
  <c r="AH22" i="24" a="1"/>
  <c r="AH22" i="24" s="1"/>
  <c r="AH26" i="24" s="1"/>
  <c r="K37" i="24"/>
  <c r="K38" i="24" s="1"/>
  <c r="K33" i="24"/>
  <c r="H37" i="24"/>
  <c r="H38" i="24" s="1"/>
  <c r="H33" i="24"/>
  <c r="AI52" i="9"/>
  <c r="AM52" i="9"/>
  <c r="R59" i="9"/>
  <c r="AF59" i="9" s="1"/>
  <c r="R60" i="9"/>
  <c r="AF60" i="9" s="1"/>
  <c r="W60" i="9"/>
  <c r="AK60" i="9" s="1"/>
  <c r="W59" i="9"/>
  <c r="AK59" i="9" s="1"/>
  <c r="T59" i="9"/>
  <c r="AH59" i="9" s="1"/>
  <c r="T60" i="9"/>
  <c r="AH60" i="9" s="1"/>
  <c r="P60" i="9"/>
  <c r="P59" i="9"/>
  <c r="O60" i="9"/>
  <c r="O59" i="9"/>
  <c r="V60" i="9"/>
  <c r="AJ60" i="9" s="1"/>
  <c r="V59" i="9"/>
  <c r="AJ59" i="9" s="1"/>
  <c r="S59" i="9"/>
  <c r="AG59" i="9" s="1"/>
  <c r="S60" i="9"/>
  <c r="AG60" i="9" s="1"/>
  <c r="N60" i="9"/>
  <c r="N59" i="9"/>
  <c r="AA59" i="9"/>
  <c r="AO59" i="9" s="1"/>
  <c r="AA60" i="9"/>
  <c r="AO60" i="9" s="1"/>
  <c r="X60" i="9"/>
  <c r="AL60" i="9" s="1"/>
  <c r="X59" i="9"/>
  <c r="AL59" i="9" s="1"/>
  <c r="AM69" i="9"/>
  <c r="AM72" i="9" s="1"/>
  <c r="AM81" i="9" s="1"/>
  <c r="AI69" i="9"/>
  <c r="AI72" i="9" s="1"/>
  <c r="AI81" i="9" s="1"/>
  <c r="X66" i="8"/>
  <c r="X68" i="8" s="1"/>
  <c r="T66" i="8"/>
  <c r="T68" i="8" s="1"/>
  <c r="V66" i="8"/>
  <c r="V68" i="8" s="1"/>
  <c r="Y69" i="9"/>
  <c r="Y72" i="9" s="1"/>
  <c r="Y81" i="9" s="1"/>
  <c r="P66" i="8"/>
  <c r="P68" i="8" s="1"/>
  <c r="G19" i="8"/>
  <c r="G23" i="8" s="1"/>
  <c r="G26" i="8" s="1"/>
  <c r="G75" i="8" s="1"/>
  <c r="G90" i="8" s="1"/>
  <c r="AL44" i="8"/>
  <c r="N66" i="8"/>
  <c r="N68" i="8" s="1"/>
  <c r="AH44" i="8"/>
  <c r="AH49" i="8" s="1"/>
  <c r="AH68" i="8" s="1"/>
  <c r="AA66" i="8"/>
  <c r="AA68" i="8" s="1"/>
  <c r="W66" i="8"/>
  <c r="W68" i="8" s="1"/>
  <c r="R66" i="8"/>
  <c r="R68" i="8" s="1"/>
  <c r="S66" i="8"/>
  <c r="S68" i="8" s="1"/>
  <c r="O66" i="8"/>
  <c r="O68" i="8" s="1"/>
  <c r="J66" i="8"/>
  <c r="J68" i="8" s="1"/>
  <c r="K66" i="8"/>
  <c r="K68" i="8" s="1"/>
  <c r="G66" i="8"/>
  <c r="G68" i="8" s="1"/>
  <c r="Q60" i="8"/>
  <c r="U60" i="8"/>
  <c r="U69" i="9"/>
  <c r="U72" i="9" s="1"/>
  <c r="U81" i="9" s="1"/>
  <c r="AO60" i="8"/>
  <c r="Q69" i="9"/>
  <c r="Q72" i="9" s="1"/>
  <c r="Q81" i="9" s="1"/>
  <c r="Y60" i="8"/>
  <c r="U13" i="9"/>
  <c r="Y12" i="9"/>
  <c r="V12" i="9"/>
  <c r="W13" i="9"/>
  <c r="Y16" i="9"/>
  <c r="Y21" i="9" s="1"/>
  <c r="T13" i="9"/>
  <c r="V13" i="9"/>
  <c r="S13" i="9"/>
  <c r="W16" i="9"/>
  <c r="W17" i="9" s="1"/>
  <c r="U16" i="9"/>
  <c r="U21" i="9" s="1"/>
  <c r="AI33" i="9"/>
  <c r="AM16" i="9"/>
  <c r="AS16" i="9" s="1"/>
  <c r="AG34" i="9"/>
  <c r="O13" i="9"/>
  <c r="AG33" i="9"/>
  <c r="AH34" i="9"/>
  <c r="AF34" i="9"/>
  <c r="W12" i="9"/>
  <c r="AJ16" i="9"/>
  <c r="AK34" i="9"/>
  <c r="AE33" i="9"/>
  <c r="S12" i="9"/>
  <c r="AF33" i="9"/>
  <c r="AE16" i="9"/>
  <c r="O16" i="9"/>
  <c r="O17" i="9" s="1"/>
  <c r="AL33" i="9"/>
  <c r="AI34" i="9"/>
  <c r="U12" i="9"/>
  <c r="AO44" i="8"/>
  <c r="J15" i="8"/>
  <c r="K15" i="8"/>
  <c r="I15" i="8"/>
  <c r="O19" i="8"/>
  <c r="V19" i="8"/>
  <c r="W19" i="8"/>
  <c r="U14" i="8"/>
  <c r="U19" i="8" s="1"/>
  <c r="P15" i="8"/>
  <c r="H19" i="8"/>
  <c r="X19" i="8"/>
  <c r="S19" i="8"/>
  <c r="S23" i="8" s="1"/>
  <c r="Q14" i="8"/>
  <c r="Q19" i="8" s="1"/>
  <c r="AA19" i="8"/>
  <c r="N19" i="8"/>
  <c r="Y109" i="8"/>
  <c r="T15" i="8"/>
  <c r="AO14" i="8"/>
  <c r="AO109" i="8"/>
  <c r="W109" i="8"/>
  <c r="R15" i="8"/>
  <c r="T98" i="8"/>
  <c r="U98" i="8"/>
  <c r="U109" i="8"/>
  <c r="Q98" i="8"/>
  <c r="Y98" i="8"/>
  <c r="T26" i="8"/>
  <c r="T20" i="8"/>
  <c r="P20" i="8"/>
  <c r="P26" i="8"/>
  <c r="P75" i="8" s="1"/>
  <c r="P90" i="8" s="1"/>
  <c r="J26" i="8"/>
  <c r="J75" i="8" s="1"/>
  <c r="J90" i="8" s="1"/>
  <c r="J20" i="8"/>
  <c r="R20" i="8"/>
  <c r="R26" i="8"/>
  <c r="T109" i="8"/>
  <c r="P109" i="8"/>
  <c r="Y19" i="8"/>
  <c r="Y23" i="8" s="1"/>
  <c r="Y15" i="8"/>
  <c r="I26" i="8"/>
  <c r="I75" i="8" s="1"/>
  <c r="I90" i="8" s="1"/>
  <c r="I20" i="8"/>
  <c r="X98" i="8"/>
  <c r="K26" i="8"/>
  <c r="K75" i="8" s="1"/>
  <c r="K90" i="8" s="1"/>
  <c r="K20" i="8"/>
  <c r="T21" i="9"/>
  <c r="T17" i="9"/>
  <c r="AL34" i="9"/>
  <c r="AN33" i="9"/>
  <c r="AM33" i="9"/>
  <c r="AS33" i="9" s="1"/>
  <c r="AO15" i="9"/>
  <c r="AK15" i="9"/>
  <c r="J21" i="9"/>
  <c r="J17" i="9"/>
  <c r="AE72" i="9"/>
  <c r="AE81" i="9" s="1"/>
  <c r="AI15" i="9"/>
  <c r="X12" i="9"/>
  <c r="X16" i="9"/>
  <c r="X13" i="9"/>
  <c r="P16" i="9"/>
  <c r="P13" i="9"/>
  <c r="AG15" i="9"/>
  <c r="Z16" i="9"/>
  <c r="AH72" i="9"/>
  <c r="AH81" i="9" s="1"/>
  <c r="AF15" i="9"/>
  <c r="AH15" i="9"/>
  <c r="AK33" i="9"/>
  <c r="AN15" i="9"/>
  <c r="AP12" i="9"/>
  <c r="AL15" i="9"/>
  <c r="S16" i="9"/>
  <c r="Y13" i="9"/>
  <c r="AJ72" i="9"/>
  <c r="AJ81" i="9" s="1"/>
  <c r="H21" i="9"/>
  <c r="H17" i="9"/>
  <c r="AM34" i="9"/>
  <c r="AS34" i="9" s="1"/>
  <c r="AJ34" i="9"/>
  <c r="AA12" i="9"/>
  <c r="AA16" i="9"/>
  <c r="AA13" i="9"/>
  <c r="Q16" i="9"/>
  <c r="Q13" i="9"/>
  <c r="T12" i="9"/>
  <c r="R16" i="9"/>
  <c r="K21" i="9"/>
  <c r="K17" i="9"/>
  <c r="V16" i="9"/>
  <c r="I21" i="9"/>
  <c r="I17" i="9"/>
  <c r="AN34" i="9"/>
  <c r="AJ33" i="9"/>
  <c r="AH33" i="9"/>
  <c r="N16" i="9"/>
  <c r="AL49" i="8" l="1"/>
  <c r="AR49" i="8" s="1"/>
  <c r="AR44" i="8"/>
  <c r="AL68" i="8"/>
  <c r="AO37" i="24"/>
  <c r="AO38" i="24" s="1"/>
  <c r="AO33" i="24"/>
  <c r="AL37" i="24"/>
  <c r="AL38" i="24" s="1"/>
  <c r="AL33" i="24"/>
  <c r="AH19" i="24"/>
  <c r="AI19" i="24"/>
  <c r="AL19" i="24"/>
  <c r="AM19" i="24"/>
  <c r="G20" i="8"/>
  <c r="U59" i="9"/>
  <c r="AI59" i="9" s="1"/>
  <c r="U60" i="9"/>
  <c r="AI60" i="9" s="1"/>
  <c r="Y60" i="9"/>
  <c r="AM60" i="9" s="1"/>
  <c r="Y59" i="9"/>
  <c r="AM59" i="9" s="1"/>
  <c r="Q60" i="9"/>
  <c r="AE60" i="9" s="1"/>
  <c r="Q59" i="9"/>
  <c r="AE59" i="9" s="1"/>
  <c r="AN16" i="9"/>
  <c r="AN21" i="9" s="1"/>
  <c r="H23" i="8"/>
  <c r="H26" i="8" s="1"/>
  <c r="U23" i="8"/>
  <c r="U26" i="8" s="1"/>
  <c r="N23" i="8"/>
  <c r="N26" i="8" s="1"/>
  <c r="W23" i="8"/>
  <c r="W26" i="8" s="1"/>
  <c r="AA23" i="8"/>
  <c r="AA26" i="8" s="1"/>
  <c r="V23" i="8"/>
  <c r="V26" i="8" s="1"/>
  <c r="Q20" i="8"/>
  <c r="Q23" i="8"/>
  <c r="Q26" i="8" s="1"/>
  <c r="O20" i="8"/>
  <c r="O23" i="8"/>
  <c r="O26" i="8" s="1"/>
  <c r="O75" i="8" s="1"/>
  <c r="O90" i="8" s="1"/>
  <c r="X23" i="8"/>
  <c r="X26" i="8" s="1"/>
  <c r="AO66" i="8"/>
  <c r="S26" i="8"/>
  <c r="U66" i="8"/>
  <c r="U68" i="8" s="1"/>
  <c r="Q66" i="8"/>
  <c r="Q68" i="8" s="1"/>
  <c r="Y66" i="8"/>
  <c r="Y68" i="8" s="1"/>
  <c r="AO49" i="8"/>
  <c r="Y17" i="9"/>
  <c r="U17" i="9"/>
  <c r="K30" i="8"/>
  <c r="K33" i="8"/>
  <c r="I30" i="8"/>
  <c r="I33" i="8"/>
  <c r="J33" i="8"/>
  <c r="J30" i="8"/>
  <c r="R30" i="8"/>
  <c r="R33" i="8"/>
  <c r="P30" i="8"/>
  <c r="P33" i="8"/>
  <c r="T33" i="8"/>
  <c r="T30" i="8"/>
  <c r="G118" i="8"/>
  <c r="G33" i="8"/>
  <c r="G30" i="8"/>
  <c r="W21" i="9"/>
  <c r="W22" i="9" s="1"/>
  <c r="AF16" i="9"/>
  <c r="AF17" i="9" s="1"/>
  <c r="AM12" i="9"/>
  <c r="AS12" i="9" s="1"/>
  <c r="AI12" i="9"/>
  <c r="AK12" i="9"/>
  <c r="AK16" i="9"/>
  <c r="AK17" i="9" s="1"/>
  <c r="AO12" i="9"/>
  <c r="AJ12" i="9"/>
  <c r="AG16" i="9"/>
  <c r="AG17" i="9" s="1"/>
  <c r="AN12" i="9"/>
  <c r="AH16" i="9"/>
  <c r="AH17" i="9" s="1"/>
  <c r="AI16" i="9"/>
  <c r="AI21" i="9" s="1"/>
  <c r="O21" i="9"/>
  <c r="O22" i="9" s="1"/>
  <c r="AO19" i="8"/>
  <c r="T27" i="8"/>
  <c r="T75" i="8"/>
  <c r="T90" i="8" s="1"/>
  <c r="K27" i="8"/>
  <c r="K118" i="8"/>
  <c r="I27" i="8"/>
  <c r="I118" i="8"/>
  <c r="J27" i="8"/>
  <c r="J118" i="8"/>
  <c r="R27" i="8"/>
  <c r="R75" i="8"/>
  <c r="R90" i="8" s="1"/>
  <c r="P27" i="8"/>
  <c r="G27" i="8"/>
  <c r="V20" i="8"/>
  <c r="W20" i="8"/>
  <c r="X20" i="8"/>
  <c r="H20" i="8"/>
  <c r="N20" i="8"/>
  <c r="U15" i="8"/>
  <c r="S20" i="8"/>
  <c r="AA20" i="8"/>
  <c r="Q15" i="8"/>
  <c r="AO98" i="8"/>
  <c r="AO15" i="8"/>
  <c r="U20" i="8"/>
  <c r="Y20" i="8"/>
  <c r="Y26" i="8"/>
  <c r="Q109" i="8"/>
  <c r="N21" i="9"/>
  <c r="N17" i="9"/>
  <c r="I25" i="9"/>
  <c r="I22" i="9"/>
  <c r="H25" i="9"/>
  <c r="H22" i="9"/>
  <c r="AL16" i="9"/>
  <c r="AL12" i="9"/>
  <c r="P17" i="9"/>
  <c r="P21" i="9"/>
  <c r="AM21" i="9"/>
  <c r="AS21" i="9" s="1"/>
  <c r="AM17" i="9"/>
  <c r="AS17" i="9" s="1"/>
  <c r="V21" i="9"/>
  <c r="V17" i="9"/>
  <c r="Q17" i="9"/>
  <c r="Q21" i="9"/>
  <c r="J25" i="9"/>
  <c r="J22" i="9"/>
  <c r="T25" i="9"/>
  <c r="T22" i="9"/>
  <c r="AA21" i="9"/>
  <c r="AA17" i="9"/>
  <c r="X17" i="9"/>
  <c r="X21" i="9"/>
  <c r="Y25" i="9"/>
  <c r="Y22" i="9"/>
  <c r="U22" i="9"/>
  <c r="U25" i="9"/>
  <c r="AJ17" i="9"/>
  <c r="AJ21" i="9"/>
  <c r="AO16" i="9"/>
  <c r="K22" i="9"/>
  <c r="K25" i="9"/>
  <c r="Z21" i="9"/>
  <c r="Z17" i="9"/>
  <c r="R21" i="9"/>
  <c r="R17" i="9"/>
  <c r="S21" i="9"/>
  <c r="S17" i="9"/>
  <c r="AE21" i="9"/>
  <c r="AE17" i="9"/>
  <c r="AN17" i="9" l="1"/>
  <c r="AA27" i="8"/>
  <c r="AA75" i="8"/>
  <c r="AP75" i="8" s="1"/>
  <c r="AA33" i="8"/>
  <c r="AA30" i="8"/>
  <c r="W30" i="8"/>
  <c r="W27" i="8"/>
  <c r="W33" i="8"/>
  <c r="W75" i="8"/>
  <c r="X30" i="8"/>
  <c r="X33" i="8"/>
  <c r="X27" i="8"/>
  <c r="X75" i="8"/>
  <c r="X90" i="8" s="1"/>
  <c r="X118" i="8" s="1"/>
  <c r="N75" i="8"/>
  <c r="N90" i="8" s="1"/>
  <c r="N30" i="8"/>
  <c r="N27" i="8"/>
  <c r="N33" i="8"/>
  <c r="V27" i="8"/>
  <c r="V30" i="8"/>
  <c r="V75" i="8"/>
  <c r="V33" i="8"/>
  <c r="U27" i="8"/>
  <c r="U75" i="8"/>
  <c r="U30" i="8"/>
  <c r="U33" i="8"/>
  <c r="H75" i="8"/>
  <c r="H27" i="8"/>
  <c r="H33" i="8"/>
  <c r="H30" i="8"/>
  <c r="AO23" i="8"/>
  <c r="S27" i="8"/>
  <c r="S75" i="8"/>
  <c r="S90" i="8" s="1"/>
  <c r="S30" i="8"/>
  <c r="S33" i="8"/>
  <c r="AO68" i="8"/>
  <c r="AF21" i="9"/>
  <c r="AF25" i="9" s="1"/>
  <c r="AI17" i="9"/>
  <c r="W25" i="9"/>
  <c r="W29" i="9" s="1"/>
  <c r="AG21" i="9"/>
  <c r="AG22" i="9" s="1"/>
  <c r="Q30" i="8"/>
  <c r="Q33" i="8"/>
  <c r="O30" i="8"/>
  <c r="O33" i="8"/>
  <c r="Y33" i="8"/>
  <c r="Y30" i="8"/>
  <c r="AK21" i="9"/>
  <c r="AK25" i="9" s="1"/>
  <c r="O25" i="9"/>
  <c r="O29" i="9" s="1"/>
  <c r="AH21" i="9"/>
  <c r="AH22" i="9" s="1"/>
  <c r="AO20" i="8"/>
  <c r="P118" i="8"/>
  <c r="T118" i="8"/>
  <c r="R118" i="8"/>
  <c r="Y27" i="8"/>
  <c r="Y75" i="8"/>
  <c r="Y90" i="8" s="1"/>
  <c r="O27" i="8"/>
  <c r="O118" i="8"/>
  <c r="Q27" i="8"/>
  <c r="Q75" i="8"/>
  <c r="Q90" i="8" s="1"/>
  <c r="K26" i="9"/>
  <c r="K29" i="9"/>
  <c r="S25" i="9"/>
  <c r="S22" i="9"/>
  <c r="Y29" i="9"/>
  <c r="Y26" i="9"/>
  <c r="J26" i="9"/>
  <c r="J29" i="9"/>
  <c r="AM25" i="9"/>
  <c r="AS25" i="9" s="1"/>
  <c r="AM22" i="9"/>
  <c r="AS22" i="9" s="1"/>
  <c r="H29" i="9"/>
  <c r="H26" i="9"/>
  <c r="AN22" i="9"/>
  <c r="AN25" i="9"/>
  <c r="AL21" i="9"/>
  <c r="AL17" i="9"/>
  <c r="AJ25" i="9"/>
  <c r="AJ22" i="9"/>
  <c r="AI22" i="9"/>
  <c r="AI25" i="9"/>
  <c r="T26" i="9"/>
  <c r="T29" i="9"/>
  <c r="X22" i="9"/>
  <c r="X25" i="9"/>
  <c r="I29" i="9"/>
  <c r="I26" i="9"/>
  <c r="Z25" i="9"/>
  <c r="Z22" i="9"/>
  <c r="V22" i="9"/>
  <c r="V25" i="9"/>
  <c r="R25" i="9"/>
  <c r="R22" i="9"/>
  <c r="U26" i="9"/>
  <c r="U29" i="9"/>
  <c r="Q25" i="9"/>
  <c r="Q22" i="9"/>
  <c r="AO21" i="9"/>
  <c r="AO17" i="9"/>
  <c r="P22" i="9"/>
  <c r="P25" i="9"/>
  <c r="AE25" i="9"/>
  <c r="AE22" i="9"/>
  <c r="AA25" i="9"/>
  <c r="AA22" i="9"/>
  <c r="N22" i="9"/>
  <c r="N25" i="9"/>
  <c r="AP90" i="8" l="1"/>
  <c r="U90" i="8"/>
  <c r="U118" i="8" s="1"/>
  <c r="AA90" i="8"/>
  <c r="AA118" i="8" s="1"/>
  <c r="V90" i="8"/>
  <c r="V118" i="8" s="1"/>
  <c r="H90" i="8"/>
  <c r="H118" i="8" s="1"/>
  <c r="W90" i="8"/>
  <c r="W118" i="8" s="1"/>
  <c r="N118" i="8"/>
  <c r="AN75" i="8"/>
  <c r="AN90" i="8" s="1"/>
  <c r="AN118" i="8" s="1"/>
  <c r="AH75" i="8"/>
  <c r="AH90" i="8" s="1"/>
  <c r="AH118" i="8" s="1"/>
  <c r="AJ75" i="8"/>
  <c r="AJ90" i="8" s="1"/>
  <c r="AJ118" i="8" s="1"/>
  <c r="AI75" i="8"/>
  <c r="AI90" i="8" s="1"/>
  <c r="AI118" i="8" s="1"/>
  <c r="S118" i="8"/>
  <c r="AK75" i="8"/>
  <c r="AK90" i="8" s="1"/>
  <c r="AK118" i="8" s="1"/>
  <c r="AG25" i="9"/>
  <c r="AG26" i="9" s="1"/>
  <c r="AO26" i="8"/>
  <c r="AO33" i="8" s="1"/>
  <c r="AG75" i="8"/>
  <c r="AG90" i="8" s="1"/>
  <c r="AG118" i="8" s="1"/>
  <c r="AE75" i="8"/>
  <c r="AE90" i="8" s="1"/>
  <c r="AE118" i="8" s="1"/>
  <c r="AF22" i="9"/>
  <c r="W26" i="9"/>
  <c r="AK22" i="9"/>
  <c r="O26" i="9"/>
  <c r="AH25" i="9"/>
  <c r="AH29" i="9" s="1"/>
  <c r="AF75" i="8"/>
  <c r="AF90" i="8" s="1"/>
  <c r="AF118" i="8" s="1"/>
  <c r="AL75" i="8"/>
  <c r="AL90" i="8" s="1"/>
  <c r="AL118" i="8" s="1"/>
  <c r="Y118" i="8"/>
  <c r="AO75" i="8"/>
  <c r="AM75" i="8"/>
  <c r="AM90" i="8" s="1"/>
  <c r="AM118" i="8" s="1"/>
  <c r="Q118" i="8"/>
  <c r="R29" i="9"/>
  <c r="R26" i="9"/>
  <c r="AK29" i="9"/>
  <c r="AK26" i="9"/>
  <c r="V26" i="9"/>
  <c r="V29" i="9"/>
  <c r="W80" i="9" s="1" a="1"/>
  <c r="W80" i="9" s="1"/>
  <c r="AO22" i="9"/>
  <c r="AO25" i="9"/>
  <c r="O36" i="9"/>
  <c r="O44" i="9" s="1"/>
  <c r="O30" i="9"/>
  <c r="AJ29" i="9"/>
  <c r="AJ26" i="9"/>
  <c r="AM26" i="9"/>
  <c r="AS26" i="9" s="1"/>
  <c r="AM29" i="9"/>
  <c r="AS29" i="9" s="1"/>
  <c r="S29" i="9"/>
  <c r="S26" i="9"/>
  <c r="H79" i="9" a="1"/>
  <c r="H79" i="9" s="1"/>
  <c r="H80" i="9" a="1"/>
  <c r="H80" i="9" s="1"/>
  <c r="H78" i="9"/>
  <c r="H36" i="9"/>
  <c r="H30" i="9"/>
  <c r="H77" i="9"/>
  <c r="H76" i="9"/>
  <c r="J80" i="9" a="1"/>
  <c r="J80" i="9" s="1"/>
  <c r="J78" i="9"/>
  <c r="J79" i="9" a="1"/>
  <c r="J79" i="9" s="1"/>
  <c r="J30" i="9"/>
  <c r="J36" i="9"/>
  <c r="J44" i="9" s="1"/>
  <c r="J76" i="9"/>
  <c r="J77" i="9"/>
  <c r="K79" i="9" a="1"/>
  <c r="K79" i="9" s="1"/>
  <c r="K78" i="9"/>
  <c r="K80" i="9" a="1"/>
  <c r="K80" i="9" s="1"/>
  <c r="K30" i="9"/>
  <c r="K77" i="9"/>
  <c r="K36" i="9"/>
  <c r="K44" i="9" s="1"/>
  <c r="K76" i="9"/>
  <c r="W30" i="9"/>
  <c r="W36" i="9"/>
  <c r="W44" i="9" s="1"/>
  <c r="AA29" i="9"/>
  <c r="AA26" i="9"/>
  <c r="AF26" i="9"/>
  <c r="AF29" i="9"/>
  <c r="Q29" i="9"/>
  <c r="Q26" i="9"/>
  <c r="Z29" i="9"/>
  <c r="Z26" i="9"/>
  <c r="AL25" i="9"/>
  <c r="AL22" i="9"/>
  <c r="AI29" i="9"/>
  <c r="AI26" i="9"/>
  <c r="AE26" i="9"/>
  <c r="AE29" i="9"/>
  <c r="U36" i="9"/>
  <c r="U44" i="9" s="1"/>
  <c r="U30" i="9"/>
  <c r="T36" i="9"/>
  <c r="T44" i="9" s="1"/>
  <c r="T30" i="9"/>
  <c r="AN26" i="9"/>
  <c r="AN29" i="9"/>
  <c r="X29" i="9"/>
  <c r="X26" i="9"/>
  <c r="N26" i="9"/>
  <c r="N29" i="9"/>
  <c r="P29" i="9"/>
  <c r="P26" i="9"/>
  <c r="I80" i="9" a="1"/>
  <c r="I80" i="9" s="1"/>
  <c r="I78" i="9"/>
  <c r="I36" i="9"/>
  <c r="I44" i="9" s="1"/>
  <c r="I30" i="9"/>
  <c r="I79" i="9" a="1"/>
  <c r="I79" i="9" s="1"/>
  <c r="I77" i="9"/>
  <c r="I76" i="9"/>
  <c r="Y30" i="9"/>
  <c r="Y36" i="9"/>
  <c r="Y44" i="9" s="1"/>
  <c r="AR90" i="8" l="1"/>
  <c r="AP118" i="8"/>
  <c r="AR75" i="8"/>
  <c r="AC80" i="9" a="1"/>
  <c r="AC80" i="9" s="1"/>
  <c r="AC79" i="9" a="1"/>
  <c r="AC79" i="9" s="1"/>
  <c r="AC78" i="9" a="1"/>
  <c r="AC78" i="9" s="1"/>
  <c r="AC77" i="9"/>
  <c r="AC76" i="9"/>
  <c r="AO90" i="8"/>
  <c r="AO118" i="8" s="1"/>
  <c r="AG29" i="9"/>
  <c r="AG36" i="9" s="1"/>
  <c r="AO30" i="8"/>
  <c r="AO27" i="8"/>
  <c r="W79" i="9" a="1"/>
  <c r="W79" i="9" s="1"/>
  <c r="H44" i="9"/>
  <c r="H45" i="9" s="1"/>
  <c r="Z79" i="9" a="1"/>
  <c r="Z79" i="9" s="1"/>
  <c r="AB77" i="9"/>
  <c r="AB79" i="9" a="1"/>
  <c r="AB79" i="9" s="1"/>
  <c r="AB76" i="9"/>
  <c r="AB78" i="9" a="1"/>
  <c r="AB78" i="9" s="1"/>
  <c r="AH26" i="9"/>
  <c r="AB80" i="9" a="1"/>
  <c r="AB80" i="9" s="1"/>
  <c r="X79" i="9" a="1"/>
  <c r="X79" i="9" s="1"/>
  <c r="Z77" i="9"/>
  <c r="S80" i="9" a="1"/>
  <c r="S80" i="9" s="1"/>
  <c r="S79" i="9" a="1"/>
  <c r="S79" i="9" s="1"/>
  <c r="S78" i="9" a="1"/>
  <c r="S78" i="9" s="1"/>
  <c r="S76" i="9"/>
  <c r="P36" i="9"/>
  <c r="P44" i="9" s="1"/>
  <c r="P30" i="9"/>
  <c r="S77" i="9"/>
  <c r="R79" i="9" a="1"/>
  <c r="R79" i="9" s="1"/>
  <c r="V36" i="9"/>
  <c r="V44" i="9" s="1"/>
  <c r="Y79" i="9" a="1"/>
  <c r="Y79" i="9" s="1"/>
  <c r="Y78" i="9" a="1"/>
  <c r="Y78" i="9" s="1"/>
  <c r="Y80" i="9" a="1"/>
  <c r="Y80" i="9" s="1"/>
  <c r="V30" i="9"/>
  <c r="Y76" i="9"/>
  <c r="Y77" i="9"/>
  <c r="N36" i="9"/>
  <c r="Q79" i="9" a="1"/>
  <c r="Q79" i="9" s="1"/>
  <c r="Q78" i="9" a="1"/>
  <c r="Q78" i="9" s="1"/>
  <c r="Q80" i="9" a="1"/>
  <c r="Q80" i="9" s="1"/>
  <c r="N30" i="9"/>
  <c r="Q76" i="9"/>
  <c r="Q77" i="9"/>
  <c r="W77" i="9"/>
  <c r="X76" i="9"/>
  <c r="AE36" i="9"/>
  <c r="AE79" i="9" a="1"/>
  <c r="AE79" i="9" s="1"/>
  <c r="AE78" i="9"/>
  <c r="AE30" i="9"/>
  <c r="AE80" i="9" a="1"/>
  <c r="AE80" i="9" s="1"/>
  <c r="AE77" i="9"/>
  <c r="AE76" i="9"/>
  <c r="K45" i="9"/>
  <c r="AM36" i="9"/>
  <c r="AS36" i="9" s="1"/>
  <c r="AM79" i="9" a="1"/>
  <c r="AM79" i="9" s="1"/>
  <c r="AM78" i="9"/>
  <c r="AM30" i="9"/>
  <c r="AS30" i="9" s="1"/>
  <c r="AM80" i="9" a="1"/>
  <c r="AM80" i="9" s="1"/>
  <c r="AM77" i="9"/>
  <c r="AM76" i="9"/>
  <c r="O45" i="9"/>
  <c r="W76" i="9"/>
  <c r="T79" i="9" a="1"/>
  <c r="T79" i="9" s="1"/>
  <c r="T78" i="9" a="1"/>
  <c r="T78" i="9" s="1"/>
  <c r="Q36" i="9"/>
  <c r="Q44" i="9" s="1"/>
  <c r="Q30" i="9"/>
  <c r="T80" i="9" a="1"/>
  <c r="T80" i="9" s="1"/>
  <c r="T76" i="9"/>
  <c r="T77" i="9"/>
  <c r="J45" i="9"/>
  <c r="R76" i="9"/>
  <c r="Z36" i="9"/>
  <c r="Z44" i="9" s="1"/>
  <c r="Z30" i="9"/>
  <c r="V78" i="9" a="1"/>
  <c r="V78" i="9" s="1"/>
  <c r="V80" i="9" a="1"/>
  <c r="V80" i="9" s="1"/>
  <c r="S36" i="9"/>
  <c r="S44" i="9" s="1"/>
  <c r="S30" i="9"/>
  <c r="V79" i="9" a="1"/>
  <c r="V79" i="9" s="1"/>
  <c r="V76" i="9"/>
  <c r="V77" i="9"/>
  <c r="X80" i="9" a="1"/>
  <c r="X80" i="9" s="1"/>
  <c r="AF79" i="9" a="1"/>
  <c r="AF79" i="9" s="1"/>
  <c r="AF78" i="9"/>
  <c r="AF80" i="9" a="1"/>
  <c r="AF80" i="9" s="1"/>
  <c r="AF30" i="9"/>
  <c r="AF36" i="9"/>
  <c r="AF77" i="9"/>
  <c r="AF76" i="9"/>
  <c r="Z76" i="9"/>
  <c r="R80" i="9" a="1"/>
  <c r="R80" i="9" s="1"/>
  <c r="AK80" i="9" a="1"/>
  <c r="AK80" i="9" s="1"/>
  <c r="AK36" i="9"/>
  <c r="AK78" i="9"/>
  <c r="AK79" i="9" a="1"/>
  <c r="AK79" i="9" s="1"/>
  <c r="AK76" i="9"/>
  <c r="AK30" i="9"/>
  <c r="AK77" i="9"/>
  <c r="I45" i="9"/>
  <c r="AI78" i="9"/>
  <c r="AI79" i="9" a="1"/>
  <c r="AI79" i="9" s="1"/>
  <c r="AI36" i="9"/>
  <c r="AI80" i="9" a="1"/>
  <c r="AI80" i="9" s="1"/>
  <c r="AI30" i="9"/>
  <c r="AI76" i="9"/>
  <c r="AI77" i="9"/>
  <c r="AJ79" i="9" a="1"/>
  <c r="AJ79" i="9" s="1"/>
  <c r="AJ80" i="9" a="1"/>
  <c r="AJ80" i="9" s="1"/>
  <c r="AJ78" i="9"/>
  <c r="AJ36" i="9"/>
  <c r="AJ30" i="9"/>
  <c r="AJ76" i="9"/>
  <c r="AJ77" i="9"/>
  <c r="R78" i="9" a="1"/>
  <c r="R78" i="9" s="1"/>
  <c r="AA80" i="9" a="1"/>
  <c r="AA80" i="9" s="1"/>
  <c r="AA79" i="9" a="1"/>
  <c r="AA79" i="9" s="1"/>
  <c r="AA78" i="9" a="1"/>
  <c r="AA78" i="9" s="1"/>
  <c r="AA76" i="9"/>
  <c r="X30" i="9"/>
  <c r="X36" i="9"/>
  <c r="X44" i="9" s="1"/>
  <c r="AA77" i="9"/>
  <c r="Y45" i="9"/>
  <c r="W78" i="9" a="1"/>
  <c r="W78" i="9" s="1"/>
  <c r="Z80" i="9" a="1"/>
  <c r="Z80" i="9" s="1"/>
  <c r="AO26" i="9"/>
  <c r="AO29" i="9"/>
  <c r="U79" i="9" a="1"/>
  <c r="U79" i="9" s="1"/>
  <c r="U78" i="9" a="1"/>
  <c r="U78" i="9" s="1"/>
  <c r="U80" i="9" a="1"/>
  <c r="U80" i="9" s="1"/>
  <c r="R36" i="9"/>
  <c r="R44" i="9" s="1"/>
  <c r="R30" i="9"/>
  <c r="U76" i="9"/>
  <c r="U77" i="9"/>
  <c r="X77" i="9"/>
  <c r="AH80" i="9" a="1"/>
  <c r="AH80" i="9" s="1"/>
  <c r="AH78" i="9"/>
  <c r="AH79" i="9" a="1"/>
  <c r="AH79" i="9" s="1"/>
  <c r="AH36" i="9"/>
  <c r="AH30" i="9"/>
  <c r="AH76" i="9"/>
  <c r="AH77" i="9"/>
  <c r="AL29" i="9"/>
  <c r="AL26" i="9"/>
  <c r="AA30" i="9"/>
  <c r="AA36" i="9"/>
  <c r="AA44" i="9" s="1"/>
  <c r="Z78" i="9" a="1"/>
  <c r="Z78" i="9" s="1"/>
  <c r="R77" i="9"/>
  <c r="AG30" i="9"/>
  <c r="AN79" i="9" a="1"/>
  <c r="AN79" i="9" s="1"/>
  <c r="AN78" i="9"/>
  <c r="AN80" i="9" a="1"/>
  <c r="AN80" i="9" s="1"/>
  <c r="AN30" i="9"/>
  <c r="AN36" i="9"/>
  <c r="AN76" i="9"/>
  <c r="AN77" i="9"/>
  <c r="X78" i="9" a="1"/>
  <c r="X78" i="9" s="1"/>
  <c r="AG77" i="9" l="1"/>
  <c r="AQ44" i="9"/>
  <c r="AQ45" i="9" s="1"/>
  <c r="AG76" i="9"/>
  <c r="AG80" i="9" a="1"/>
  <c r="AG80" i="9" s="1"/>
  <c r="AG78" i="9"/>
  <c r="AG79" i="9" a="1"/>
  <c r="AG79" i="9" s="1"/>
  <c r="AP44" i="9"/>
  <c r="AP45" i="9" s="1"/>
  <c r="N44" i="9"/>
  <c r="N45" i="9" s="1"/>
  <c r="Z45" i="9"/>
  <c r="AA45" i="9"/>
  <c r="AO36" i="9"/>
  <c r="AO78" i="9"/>
  <c r="AO80" i="9" a="1"/>
  <c r="AO80" i="9" s="1"/>
  <c r="AO79" i="9" a="1"/>
  <c r="AO79" i="9" s="1"/>
  <c r="AO30" i="9"/>
  <c r="AO77" i="9"/>
  <c r="AO76" i="9"/>
  <c r="X45" i="9"/>
  <c r="P45" i="9"/>
  <c r="W45" i="9"/>
  <c r="AL80" i="9" a="1"/>
  <c r="AL80" i="9" s="1"/>
  <c r="AL79" i="9" a="1"/>
  <c r="AL79" i="9" s="1"/>
  <c r="AL78" i="9"/>
  <c r="AL30" i="9"/>
  <c r="AL36" i="9"/>
  <c r="AL76" i="9"/>
  <c r="AL77" i="9"/>
  <c r="R45" i="9"/>
  <c r="AJ44" i="9"/>
  <c r="AJ45" i="9" s="1"/>
  <c r="AK44" i="9"/>
  <c r="AK45" i="9" s="1"/>
  <c r="T45" i="9"/>
  <c r="U45" i="9"/>
  <c r="AH44" i="9" l="1"/>
  <c r="AH45" i="9" s="1"/>
  <c r="AN44" i="9"/>
  <c r="AN45" i="9" s="1"/>
  <c r="AM44" i="9"/>
  <c r="AM45" i="9" s="1"/>
  <c r="S45" i="9"/>
  <c r="AG44" i="9"/>
  <c r="AG45" i="9" s="1"/>
  <c r="V45" i="9"/>
  <c r="AI44" i="9"/>
  <c r="AI45" i="9" s="1"/>
  <c r="AE44" i="9"/>
  <c r="AE45" i="9" s="1"/>
  <c r="AO44" i="9"/>
  <c r="AO45" i="9" s="1"/>
  <c r="AF44" i="9"/>
  <c r="AF45" i="9" s="1"/>
  <c r="AL44" i="9"/>
  <c r="AL45" i="9" s="1"/>
  <c r="Q45" i="9"/>
  <c r="H113" i="8" l="1"/>
  <c r="G119" i="8"/>
  <c r="G121" i="8" s="1"/>
  <c r="H112" i="8" l="1"/>
  <c r="H114" i="8" s="1"/>
  <c r="H119" i="8" s="1"/>
  <c r="H121" i="8" l="1"/>
  <c r="I112" i="8"/>
  <c r="I114" i="8" l="1"/>
  <c r="I119" i="8" s="1"/>
  <c r="J112" i="8" s="1"/>
  <c r="J114" i="8" s="1"/>
  <c r="J119" i="8" s="1"/>
  <c r="N112" i="8"/>
  <c r="N114" i="8" s="1"/>
  <c r="N119" i="8" s="1"/>
  <c r="I121" i="8" l="1"/>
  <c r="AE112" i="8"/>
  <c r="AE114" i="8" s="1"/>
  <c r="AE119" i="8" s="1"/>
  <c r="AE121" i="8" s="1"/>
  <c r="N121" i="8"/>
  <c r="O112" i="8"/>
  <c r="O114" i="8" s="1"/>
  <c r="O119" i="8" s="1"/>
  <c r="J121" i="8"/>
  <c r="K112" i="8"/>
  <c r="K114" i="8" s="1"/>
  <c r="K119" i="8" s="1"/>
  <c r="K121" i="8" l="1"/>
  <c r="L112" i="8"/>
  <c r="L114" i="8" s="1"/>
  <c r="AF112" i="8"/>
  <c r="AF114" i="8" s="1"/>
  <c r="AF119" i="8" s="1"/>
  <c r="AF121" i="8" s="1"/>
  <c r="P112" i="8"/>
  <c r="P114" i="8" s="1"/>
  <c r="P119" i="8" s="1"/>
  <c r="O121" i="8"/>
  <c r="P121" i="8" l="1"/>
  <c r="AG112" i="8"/>
  <c r="AG114" i="8" s="1"/>
  <c r="AG119" i="8" s="1"/>
  <c r="AG121" i="8" s="1"/>
  <c r="Q112" i="8"/>
  <c r="Q114" i="8" s="1"/>
  <c r="Q119" i="8" s="1"/>
  <c r="AH112" i="8" l="1"/>
  <c r="AH114" i="8" s="1"/>
  <c r="AH119" i="8" s="1"/>
  <c r="AH121" i="8" s="1"/>
  <c r="R112" i="8"/>
  <c r="R114" i="8" s="1"/>
  <c r="R119" i="8" s="1"/>
  <c r="Q121" i="8"/>
  <c r="AI112" i="8" l="1"/>
  <c r="AI114" i="8" s="1"/>
  <c r="AI119" i="8" s="1"/>
  <c r="AI121" i="8" s="1"/>
  <c r="R121" i="8"/>
  <c r="S112" i="8"/>
  <c r="S114" i="8" s="1"/>
  <c r="S119" i="8" s="1"/>
  <c r="AJ112" i="8" l="1"/>
  <c r="AJ114" i="8" s="1"/>
  <c r="AJ119" i="8" s="1"/>
  <c r="AJ121" i="8" s="1"/>
  <c r="T112" i="8"/>
  <c r="T114" i="8" s="1"/>
  <c r="T119" i="8" s="1"/>
  <c r="S121" i="8"/>
  <c r="AK112" i="8" l="1"/>
  <c r="AK114" i="8" s="1"/>
  <c r="AK119" i="8" s="1"/>
  <c r="AK121" i="8" s="1"/>
  <c r="U112" i="8"/>
  <c r="U114" i="8" s="1"/>
  <c r="U119" i="8" s="1"/>
  <c r="T121" i="8"/>
  <c r="AL112" i="8" l="1"/>
  <c r="AL114" i="8" s="1"/>
  <c r="AL119" i="8" s="1"/>
  <c r="AL121" i="8" s="1"/>
  <c r="V112" i="8"/>
  <c r="V114" i="8" s="1"/>
  <c r="V119" i="8" s="1"/>
  <c r="U121" i="8"/>
  <c r="AM112" i="8" l="1"/>
  <c r="AM114" i="8" s="1"/>
  <c r="AM119" i="8" s="1"/>
  <c r="AM121" i="8" s="1"/>
  <c r="V121" i="8"/>
  <c r="W112" i="8"/>
  <c r="W114" i="8" s="1"/>
  <c r="W119" i="8" s="1"/>
  <c r="AN112" i="8" l="1"/>
  <c r="AN114" i="8" s="1"/>
  <c r="AN119" i="8" s="1"/>
  <c r="AN121" i="8" s="1"/>
  <c r="X112" i="8"/>
  <c r="X114" i="8" s="1"/>
  <c r="X119" i="8" s="1"/>
  <c r="W121" i="8"/>
  <c r="AO112" i="8" l="1"/>
  <c r="AO114" i="8" s="1"/>
  <c r="AO119" i="8" s="1"/>
  <c r="AO121" i="8" s="1"/>
  <c r="X121" i="8"/>
  <c r="Y112" i="8"/>
  <c r="Y114" i="8" s="1"/>
  <c r="Y119" i="8" s="1"/>
  <c r="AP112" i="8" s="1"/>
  <c r="AP114" i="8" s="1"/>
  <c r="AP119" i="8" s="1"/>
  <c r="AP121" i="8" s="1"/>
  <c r="Z112" i="8" l="1"/>
  <c r="Z114" i="8" s="1"/>
  <c r="Z119" i="8" s="1"/>
  <c r="Y121" i="8"/>
  <c r="AA112" i="8" l="1"/>
  <c r="AA114" i="8" s="1"/>
  <c r="AA119" i="8" s="1"/>
  <c r="Z121" i="8"/>
  <c r="AB112" i="8" l="1"/>
  <c r="AB114" i="8" s="1"/>
  <c r="AB119" i="8" s="1"/>
  <c r="AA121" i="8"/>
  <c r="AB121" i="8" l="1"/>
  <c r="AC112" i="8"/>
  <c r="AC114" i="8" s="1"/>
  <c r="AC119" i="8" s="1"/>
  <c r="AC121" i="8" s="1"/>
  <c r="E184" i="22" l="1"/>
  <c r="J184" i="22" s="1"/>
  <c r="F184" i="22"/>
  <c r="G184" i="22"/>
  <c r="F189" i="22" l="1"/>
  <c r="F193" i="22"/>
  <c r="F191" i="22"/>
  <c r="F195" i="22"/>
  <c r="E195" i="22"/>
  <c r="E189" i="22"/>
  <c r="E193" i="22"/>
  <c r="E191" i="22"/>
  <c r="G189" i="22"/>
  <c r="G193" i="22"/>
  <c r="G191" i="22"/>
  <c r="G195" i="22"/>
  <c r="J193" i="22" l="1"/>
  <c r="J189" i="22"/>
  <c r="J195" i="22"/>
  <c r="J191" i="22"/>
  <c r="E179" i="22"/>
  <c r="F179" i="22"/>
  <c r="G179" i="22"/>
  <c r="L31" i="25" l="1"/>
  <c r="M31" i="25"/>
  <c r="L165" i="25" l="1"/>
  <c r="L41" i="25" s="1"/>
  <c r="M165" i="25"/>
  <c r="M41" i="25" s="1"/>
  <c r="L73" i="25" l="1"/>
  <c r="G61" i="27"/>
  <c r="G69" i="27" s="1"/>
  <c r="M73" i="25"/>
  <c r="H61" i="27"/>
  <c r="H69" i="27" s="1"/>
  <c r="L42" i="25"/>
  <c r="G60" i="27" s="1"/>
  <c r="L111" i="25"/>
  <c r="M42" i="25"/>
  <c r="H60" i="27" s="1"/>
  <c r="M111" i="25"/>
  <c r="G62" i="27" l="1"/>
  <c r="G63" i="27" s="1"/>
  <c r="H62" i="27"/>
  <c r="H63" i="27" s="1"/>
  <c r="M45" i="25"/>
  <c r="M62" i="25" s="1"/>
  <c r="M61" i="25"/>
  <c r="L45" i="25"/>
  <c r="L62" i="25" s="1"/>
  <c r="L61" i="25"/>
  <c r="E31" i="22" l="1"/>
  <c r="E33" i="22"/>
  <c r="E35" i="22"/>
  <c r="E37" i="22"/>
  <c r="E255" i="22"/>
  <c r="E38" i="22" l="1"/>
  <c r="E324" i="22"/>
  <c r="E32" i="22"/>
  <c r="E318" i="22"/>
  <c r="E322" i="22"/>
  <c r="F20" i="22"/>
  <c r="E311" i="22"/>
  <c r="E214" i="22"/>
  <c r="H96" i="28" s="1"/>
  <c r="E320" i="22"/>
  <c r="E268" i="22"/>
  <c r="N59" i="25" s="1"/>
  <c r="E264" i="22"/>
  <c r="E247" i="22"/>
  <c r="E218" i="22"/>
  <c r="E196" i="22"/>
  <c r="E266" i="22"/>
  <c r="E212" i="22"/>
  <c r="E216" i="22"/>
  <c r="E36" i="22"/>
  <c r="E240" i="22"/>
  <c r="E190" i="22"/>
  <c r="E194" i="22"/>
  <c r="E238" i="22"/>
  <c r="H100" i="28" s="1"/>
  <c r="E181" i="22"/>
  <c r="E270" i="22"/>
  <c r="E234" i="22"/>
  <c r="E34" i="22"/>
  <c r="E236" i="22"/>
  <c r="E192" i="22"/>
  <c r="H92" i="28" s="1"/>
  <c r="H97" i="28" l="1"/>
  <c r="H95" i="28"/>
  <c r="H56" i="28" s="1"/>
  <c r="N71" i="25" s="1"/>
  <c r="N29" i="25" s="1"/>
  <c r="H101" i="28"/>
  <c r="H57" i="28"/>
  <c r="N72" i="25" s="1"/>
  <c r="N30" i="25" s="1"/>
  <c r="N67" i="25" s="1"/>
  <c r="H99" i="28"/>
  <c r="H93" i="28"/>
  <c r="H91" i="28"/>
  <c r="H55" i="28"/>
  <c r="N58" i="25" s="1"/>
  <c r="N27" i="25" s="1"/>
  <c r="N26" i="25" s="1"/>
  <c r="F181" i="22"/>
  <c r="G20" i="22"/>
  <c r="F311" i="22"/>
  <c r="F255" i="22"/>
  <c r="G311" i="22" l="1"/>
  <c r="H20" i="22"/>
  <c r="G181" i="22"/>
  <c r="G255" i="22"/>
  <c r="N65" i="25"/>
  <c r="N90" i="25"/>
  <c r="N83" i="25"/>
  <c r="N66" i="25"/>
  <c r="N31" i="25"/>
  <c r="J20" i="22" l="1"/>
  <c r="H311" i="22"/>
  <c r="H255" i="22"/>
  <c r="H181" i="22"/>
  <c r="N113" i="25"/>
  <c r="I74" i="27"/>
  <c r="I75" i="27" s="1"/>
  <c r="N114" i="25"/>
  <c r="I70" i="27" l="1"/>
  <c r="L125" i="25" l="1"/>
  <c r="L201" i="25"/>
  <c r="L196" i="25" s="1"/>
  <c r="L34" i="25" s="1"/>
  <c r="M201" i="25"/>
  <c r="M196" i="25" s="1"/>
  <c r="M34" i="25" s="1"/>
  <c r="N201" i="25"/>
  <c r="N196" i="25" s="1"/>
  <c r="N34" i="25" s="1"/>
  <c r="O201" i="25"/>
  <c r="O196" i="25" s="1"/>
  <c r="O34" i="25" s="1"/>
  <c r="P201" i="25"/>
  <c r="P196" i="25" s="1"/>
  <c r="P34" i="25" s="1"/>
  <c r="Q201" i="25"/>
  <c r="Q196" i="25" s="1"/>
  <c r="Q34" i="25" s="1"/>
  <c r="L210" i="25"/>
  <c r="L33" i="25" s="1"/>
  <c r="M210" i="25"/>
  <c r="M33" i="25" s="1"/>
  <c r="N210" i="25"/>
  <c r="N33" i="25" s="1"/>
  <c r="O210" i="25"/>
  <c r="O33" i="25" s="1"/>
  <c r="P210" i="25"/>
  <c r="P33" i="25" s="1"/>
  <c r="Q210" i="25"/>
  <c r="Q33" i="25" s="1"/>
  <c r="N36" i="25" l="1"/>
  <c r="N38" i="25" s="1"/>
  <c r="I65" i="27" s="1"/>
  <c r="M36" i="25"/>
  <c r="L36" i="25"/>
  <c r="S34" i="25"/>
  <c r="S33" i="25"/>
  <c r="M38" i="25" l="1"/>
  <c r="H65" i="27" s="1"/>
  <c r="H66" i="27" s="1"/>
  <c r="L38" i="25"/>
  <c r="G65" i="27" s="1"/>
  <c r="G66" i="27" s="1"/>
  <c r="N39" i="25"/>
  <c r="N175" i="25" l="1"/>
  <c r="N176" i="25" s="1"/>
  <c r="N125" i="25" s="1"/>
  <c r="N110" i="25"/>
  <c r="N213" i="25"/>
  <c r="H67" i="27"/>
  <c r="H72" i="27"/>
  <c r="H81" i="27" s="1"/>
  <c r="G72" i="27"/>
  <c r="G81" i="27" s="1"/>
  <c r="G67" i="27"/>
  <c r="L39" i="25"/>
  <c r="M39" i="25"/>
  <c r="L110" i="25" l="1"/>
  <c r="L117" i="25" s="1"/>
  <c r="L185" i="25" s="1"/>
  <c r="L186" i="25" s="1"/>
  <c r="L190" i="25" s="1"/>
  <c r="L192" i="25" s="1"/>
  <c r="L213" i="25"/>
  <c r="L175" i="25"/>
  <c r="L178" i="25" s="1"/>
  <c r="M175" i="25"/>
  <c r="M176" i="25" s="1"/>
  <c r="M125" i="25" s="1"/>
  <c r="M110" i="25"/>
  <c r="M117" i="25" s="1"/>
  <c r="M213" i="25"/>
  <c r="N223" i="25" s="1"/>
  <c r="M185" i="25" l="1"/>
  <c r="L218" i="25"/>
  <c r="L215" i="25"/>
  <c r="M189" i="25"/>
  <c r="L93" i="25"/>
  <c r="M223" i="25"/>
  <c r="M222" i="25" s="1"/>
  <c r="M174" i="25"/>
  <c r="M178" i="25" s="1"/>
  <c r="L100" i="25"/>
  <c r="L102" i="25" s="1"/>
  <c r="M214" i="25" l="1"/>
  <c r="N222" i="25"/>
  <c r="N174" i="25"/>
  <c r="N178" i="25" s="1"/>
  <c r="M100" i="25"/>
  <c r="M102" i="25" s="1"/>
  <c r="L200" i="25"/>
  <c r="L96" i="25"/>
  <c r="L123" i="25"/>
  <c r="L126" i="25" s="1"/>
  <c r="L128" i="25" s="1"/>
  <c r="L81" i="25" s="1"/>
  <c r="L87" i="25" l="1"/>
  <c r="L104" i="25" s="1"/>
  <c r="M183" i="25"/>
  <c r="M186" i="25" s="1"/>
  <c r="M190" i="25" s="1"/>
  <c r="M192" i="25" s="1"/>
  <c r="M93" i="25" s="1"/>
  <c r="N214" i="25"/>
  <c r="M217" i="25"/>
  <c r="M215" i="25"/>
  <c r="O174" i="25"/>
  <c r="N100" i="25"/>
  <c r="N102" i="25" s="1"/>
  <c r="N189" i="25" l="1"/>
  <c r="N215" i="25"/>
  <c r="M123" i="25"/>
  <c r="M126" i="25" s="1"/>
  <c r="M128" i="25" s="1"/>
  <c r="M81" i="25" s="1"/>
  <c r="M200" i="25"/>
  <c r="M96" i="25"/>
  <c r="N217" i="25"/>
  <c r="M218" i="25"/>
  <c r="M87" i="25" l="1"/>
  <c r="M104" i="25" s="1"/>
  <c r="N183" i="25"/>
  <c r="N218" i="25"/>
  <c r="L119" i="8" l="1"/>
  <c r="L121" i="8" s="1"/>
  <c r="H205" i="22"/>
  <c r="H227" i="22"/>
  <c r="H249" i="22"/>
  <c r="H307" i="22"/>
  <c r="F10" i="16" l="1"/>
  <c r="G9" i="16" l="1"/>
  <c r="G8" i="16"/>
  <c r="H8" i="16" s="1"/>
  <c r="C18" i="16" l="1"/>
  <c r="C24" i="16" s="1"/>
  <c r="G10" i="16"/>
  <c r="H9" i="16"/>
  <c r="H10" i="16" l="1"/>
  <c r="C19" i="16"/>
  <c r="C20" i="16" l="1"/>
  <c r="C26" i="16"/>
  <c r="I37" i="16"/>
  <c r="I40" i="16" s="1"/>
  <c r="I41" i="16" l="1"/>
  <c r="C13" i="16" s="1"/>
  <c r="C15" i="16" s="1"/>
  <c r="C25" i="16" s="1"/>
  <c r="C27" i="16" s="1"/>
  <c r="J6" i="27" s="1"/>
  <c r="G82" i="27" l="1"/>
  <c r="H82" i="27"/>
  <c r="C49" i="22" l="1"/>
  <c r="D49" i="22"/>
  <c r="E343" i="22"/>
  <c r="F343" i="22" s="1"/>
  <c r="G343" i="22" s="1"/>
  <c r="H343" i="22" s="1"/>
  <c r="E347" i="22"/>
  <c r="E348" i="22" s="1"/>
  <c r="E349" i="22"/>
  <c r="E350" i="22" s="1"/>
  <c r="E351" i="22"/>
  <c r="N136" i="25" s="1"/>
  <c r="E353" i="22"/>
  <c r="E354" i="22" s="1"/>
  <c r="N156" i="25" l="1"/>
  <c r="N160" i="25" s="1"/>
  <c r="N137" i="25" s="1"/>
  <c r="O156" i="25"/>
  <c r="P156" i="25"/>
  <c r="Q156" i="25"/>
  <c r="N119" i="25"/>
  <c r="F342" i="22"/>
  <c r="E352" i="22"/>
  <c r="N140" i="25" l="1"/>
  <c r="N165" i="25"/>
  <c r="N41" i="25" s="1"/>
  <c r="G342" i="22"/>
  <c r="N120" i="25"/>
  <c r="I71" i="27"/>
  <c r="N138" i="25"/>
  <c r="H342" i="22" l="1"/>
  <c r="N85" i="25"/>
  <c r="O135" i="25"/>
  <c r="N73" i="25"/>
  <c r="N111" i="25"/>
  <c r="N117" i="25" s="1"/>
  <c r="N185" i="25" s="1"/>
  <c r="N186" i="25" s="1"/>
  <c r="N190" i="25" s="1"/>
  <c r="N192" i="25" s="1"/>
  <c r="I61" i="27"/>
  <c r="I69" i="27" s="1"/>
  <c r="N42" i="25"/>
  <c r="N61" i="25" l="1"/>
  <c r="I60" i="27"/>
  <c r="I62" i="27" s="1"/>
  <c r="N45" i="25"/>
  <c r="N62" i="25" s="1"/>
  <c r="N93" i="25"/>
  <c r="O189" i="25"/>
  <c r="J342" i="22"/>
  <c r="N200" i="25" l="1"/>
  <c r="N96" i="25"/>
  <c r="N123" i="25"/>
  <c r="N126" i="25" s="1"/>
  <c r="N128" i="25" s="1"/>
  <c r="N81" i="25" s="1"/>
  <c r="I66" i="27"/>
  <c r="I63" i="27"/>
  <c r="O183" i="25" l="1"/>
  <c r="N87" i="25"/>
  <c r="N104" i="25" s="1"/>
  <c r="I72" i="27"/>
  <c r="I81" i="27" s="1"/>
  <c r="I82" i="27" s="1"/>
  <c r="I67" i="27"/>
  <c r="F353" i="22"/>
  <c r="F354" i="22" s="1"/>
  <c r="F349" i="22"/>
  <c r="F350" i="22" s="1"/>
  <c r="F347" i="22" l="1"/>
  <c r="F348" i="22" s="1"/>
  <c r="F351" i="22"/>
  <c r="F352" i="22" s="1"/>
  <c r="O136" i="25" l="1"/>
  <c r="O119" i="25"/>
  <c r="O157" i="25"/>
  <c r="O160" i="25" s="1"/>
  <c r="O137" i="25" s="1"/>
  <c r="O138" i="25" s="1"/>
  <c r="P157" i="25"/>
  <c r="Q157" i="25"/>
  <c r="O140" i="25" l="1"/>
  <c r="P135" i="25"/>
  <c r="O85" i="25"/>
  <c r="O120" i="25"/>
  <c r="J71" i="27"/>
  <c r="G349" i="22" l="1"/>
  <c r="G350" i="22" s="1"/>
  <c r="G347" i="22"/>
  <c r="G353" i="22"/>
  <c r="G354" i="22" s="1"/>
  <c r="G351" i="22" l="1"/>
  <c r="G352" i="22" s="1"/>
  <c r="G348" i="22"/>
  <c r="P136" i="25"/>
  <c r="H347" i="22" l="1"/>
  <c r="H353" i="22"/>
  <c r="H349" i="22"/>
  <c r="H351" i="22"/>
  <c r="J330" i="22"/>
  <c r="P119" i="25"/>
  <c r="P158" i="25"/>
  <c r="P160" i="25" s="1"/>
  <c r="P137" i="25" s="1"/>
  <c r="P138" i="25" s="1"/>
  <c r="Q158" i="25"/>
  <c r="J351" i="22" l="1"/>
  <c r="Q136" i="25"/>
  <c r="H352" i="22"/>
  <c r="J353" i="22"/>
  <c r="H354" i="22"/>
  <c r="J349" i="22"/>
  <c r="H350" i="22"/>
  <c r="H348" i="22"/>
  <c r="J347" i="22"/>
  <c r="Q135" i="25"/>
  <c r="P85" i="25"/>
  <c r="P140" i="25"/>
  <c r="K71" i="27"/>
  <c r="P120" i="25"/>
  <c r="Q119" i="25" l="1"/>
  <c r="Q159" i="25"/>
  <c r="Q160" i="25" s="1"/>
  <c r="Q137" i="25" s="1"/>
  <c r="Q138" i="25" s="1"/>
  <c r="Q85" i="25" s="1"/>
  <c r="S85" i="25" s="1"/>
  <c r="Q140" i="25" l="1"/>
  <c r="L71" i="27"/>
  <c r="S119" i="25"/>
  <c r="Q120" i="25"/>
  <c r="S120" i="25" s="1"/>
  <c r="F70" i="22" l="1"/>
  <c r="F83" i="22"/>
  <c r="F84" i="22" s="1"/>
  <c r="F85" i="22"/>
  <c r="F86" i="22" s="1"/>
  <c r="F87" i="22"/>
  <c r="F88" i="22" s="1"/>
  <c r="F89" i="22"/>
  <c r="F90" i="22" s="1"/>
  <c r="G70" i="22" l="1"/>
  <c r="G83" i="22" s="1"/>
  <c r="G84" i="22" s="1"/>
  <c r="H70" i="22"/>
  <c r="H89" i="22" s="1"/>
  <c r="G85" i="22"/>
  <c r="G86" i="22" s="1"/>
  <c r="H85" i="22"/>
  <c r="H86" i="22" s="1"/>
  <c r="G89" i="22" l="1"/>
  <c r="G90" i="22" s="1"/>
  <c r="J85" i="22"/>
  <c r="J70" i="22"/>
  <c r="H87" i="22"/>
  <c r="G87" i="22"/>
  <c r="G88" i="22" s="1"/>
  <c r="H83" i="22"/>
  <c r="J83" i="22" l="1"/>
  <c r="H84" i="22"/>
  <c r="H90" i="22"/>
  <c r="J87" i="22"/>
  <c r="H88" i="22"/>
  <c r="J89" i="22"/>
  <c r="F96" i="22"/>
  <c r="F111" i="22" s="1"/>
  <c r="F112" i="22" s="1"/>
  <c r="F115" i="22" l="1"/>
  <c r="F116" i="22" s="1"/>
  <c r="F113" i="22"/>
  <c r="F114" i="22" s="1"/>
  <c r="F109" i="22"/>
  <c r="F110" i="22" s="1"/>
  <c r="G96" i="22" l="1"/>
  <c r="G109" i="22" s="1"/>
  <c r="G110" i="22" s="1"/>
  <c r="H96" i="22"/>
  <c r="H115" i="22" s="1"/>
  <c r="G111" i="22"/>
  <c r="G112" i="22" s="1"/>
  <c r="H111" i="22"/>
  <c r="H112" i="22" s="1"/>
  <c r="G115" i="22"/>
  <c r="G116" i="22" s="1"/>
  <c r="J115" i="22" l="1"/>
  <c r="H116" i="22"/>
  <c r="J111" i="22"/>
  <c r="J96" i="22"/>
  <c r="H113" i="22"/>
  <c r="G113" i="22"/>
  <c r="G114" i="22" s="1"/>
  <c r="H109" i="22"/>
  <c r="J113" i="22" l="1"/>
  <c r="H114" i="22"/>
  <c r="J109" i="22"/>
  <c r="H110" i="22"/>
  <c r="F122" i="22"/>
  <c r="G122" i="22" s="1"/>
  <c r="G133" i="22" s="1"/>
  <c r="F135" i="22"/>
  <c r="F136" i="22" s="1"/>
  <c r="F133" i="22" l="1"/>
  <c r="F134" i="22" s="1"/>
  <c r="F139" i="22"/>
  <c r="F140" i="22" s="1"/>
  <c r="F137" i="22"/>
  <c r="F138" i="22" s="1"/>
  <c r="H122" i="22"/>
  <c r="G139" i="22"/>
  <c r="G140" i="22" s="1"/>
  <c r="G137" i="22"/>
  <c r="G135" i="22"/>
  <c r="G136" i="22" s="1"/>
  <c r="I88" i="28" l="1"/>
  <c r="G134" i="22"/>
  <c r="J88" i="28"/>
  <c r="G138" i="22"/>
  <c r="I54" i="28"/>
  <c r="M16" i="28" s="1"/>
  <c r="I89" i="28"/>
  <c r="I87" i="28"/>
  <c r="H133" i="22"/>
  <c r="J122" i="22"/>
  <c r="H139" i="22"/>
  <c r="H137" i="22"/>
  <c r="H135" i="22"/>
  <c r="K88" i="28" l="1"/>
  <c r="H138" i="22"/>
  <c r="J137" i="22"/>
  <c r="J135" i="22"/>
  <c r="H136" i="22"/>
  <c r="O23" i="25"/>
  <c r="M25" i="28"/>
  <c r="O55" i="25" s="1"/>
  <c r="H140" i="22"/>
  <c r="J139" i="22"/>
  <c r="J133" i="22"/>
  <c r="H134" i="22"/>
  <c r="J54" i="28"/>
  <c r="N16" i="28" s="1"/>
  <c r="J89" i="28"/>
  <c r="J87" i="28"/>
  <c r="J56" i="27" l="1"/>
  <c r="P23" i="25"/>
  <c r="N25" i="28"/>
  <c r="P55" i="25" s="1"/>
  <c r="K54" i="28"/>
  <c r="O16" i="28" s="1"/>
  <c r="K89" i="28"/>
  <c r="K87" i="28"/>
  <c r="K56" i="27" l="1"/>
  <c r="P16" i="28"/>
  <c r="Q23" i="25"/>
  <c r="O25" i="28"/>
  <c r="Q55" i="25" s="1"/>
  <c r="L56" i="27" l="1"/>
  <c r="S23" i="25"/>
  <c r="F146" i="22"/>
  <c r="G146" i="22" s="1"/>
  <c r="G12" i="22" s="1"/>
  <c r="F161" i="22"/>
  <c r="I84" i="28" s="1"/>
  <c r="F159" i="22" l="1"/>
  <c r="F160" i="22" s="1"/>
  <c r="F162" i="22"/>
  <c r="F157" i="22"/>
  <c r="F158" i="22" s="1"/>
  <c r="F163" i="22"/>
  <c r="F164" i="22" s="1"/>
  <c r="I85" i="28"/>
  <c r="I83" i="28"/>
  <c r="I53" i="28"/>
  <c r="M15" i="28" s="1"/>
  <c r="G225" i="22"/>
  <c r="G203" i="22"/>
  <c r="G173" i="22"/>
  <c r="G37" i="22"/>
  <c r="G35" i="22"/>
  <c r="G33" i="22"/>
  <c r="G31" i="22"/>
  <c r="G305" i="22"/>
  <c r="H146" i="22"/>
  <c r="G163" i="22"/>
  <c r="G161" i="22"/>
  <c r="G159" i="22"/>
  <c r="G160" i="22" s="1"/>
  <c r="G157" i="22"/>
  <c r="G158" i="22" s="1"/>
  <c r="F12" i="22"/>
  <c r="G13" i="22" s="1"/>
  <c r="G164" i="22" l="1"/>
  <c r="G324" i="22"/>
  <c r="G270" i="22"/>
  <c r="G240" i="22"/>
  <c r="G218" i="22"/>
  <c r="G196" i="22"/>
  <c r="G247" i="22"/>
  <c r="G162" i="22"/>
  <c r="J84" i="28"/>
  <c r="O22" i="25"/>
  <c r="M24" i="28"/>
  <c r="O54" i="25" s="1"/>
  <c r="G192" i="22"/>
  <c r="J92" i="28" s="1"/>
  <c r="G320" i="22"/>
  <c r="G266" i="22"/>
  <c r="G236" i="22"/>
  <c r="G214" i="22"/>
  <c r="J96" i="28" s="1"/>
  <c r="H12" i="22"/>
  <c r="J146" i="22"/>
  <c r="H163" i="22"/>
  <c r="H161" i="22"/>
  <c r="H159" i="22"/>
  <c r="H157" i="22"/>
  <c r="G318" i="22"/>
  <c r="G264" i="22"/>
  <c r="G234" i="22"/>
  <c r="G212" i="22"/>
  <c r="G190" i="22"/>
  <c r="F203" i="22"/>
  <c r="F173" i="22"/>
  <c r="F13" i="22"/>
  <c r="F37" i="22"/>
  <c r="G38" i="22" s="1"/>
  <c r="F35" i="22"/>
  <c r="G36" i="22" s="1"/>
  <c r="F33" i="22"/>
  <c r="G34" i="22" s="1"/>
  <c r="F31" i="22"/>
  <c r="F305" i="22"/>
  <c r="F225" i="22"/>
  <c r="G268" i="22"/>
  <c r="P59" i="25" s="1"/>
  <c r="G238" i="22"/>
  <c r="J100" i="28" s="1"/>
  <c r="G216" i="22"/>
  <c r="G194" i="22"/>
  <c r="G322" i="22"/>
  <c r="H160" i="22" l="1"/>
  <c r="J159" i="22"/>
  <c r="J157" i="22"/>
  <c r="H158" i="22"/>
  <c r="H164" i="22"/>
  <c r="J163" i="22"/>
  <c r="J55" i="28"/>
  <c r="P58" i="25" s="1"/>
  <c r="J93" i="28"/>
  <c r="J91" i="28"/>
  <c r="F318" i="22"/>
  <c r="F32" i="22"/>
  <c r="F264" i="22"/>
  <c r="F234" i="22"/>
  <c r="F212" i="22"/>
  <c r="F190" i="22"/>
  <c r="J12" i="22"/>
  <c r="H225" i="22"/>
  <c r="H203" i="22"/>
  <c r="H173" i="22"/>
  <c r="H13" i="22"/>
  <c r="H305" i="22"/>
  <c r="H162" i="22"/>
  <c r="J161" i="22"/>
  <c r="K84" i="28"/>
  <c r="J57" i="28"/>
  <c r="P72" i="25" s="1"/>
  <c r="J101" i="28"/>
  <c r="J99" i="28"/>
  <c r="G32" i="22"/>
  <c r="J55" i="27"/>
  <c r="F34" i="22"/>
  <c r="F320" i="22"/>
  <c r="F266" i="22"/>
  <c r="F236" i="22"/>
  <c r="F214" i="22"/>
  <c r="I96" i="28" s="1"/>
  <c r="F192" i="22"/>
  <c r="I92" i="28" s="1"/>
  <c r="F238" i="22"/>
  <c r="I100" i="28" s="1"/>
  <c r="F216" i="22"/>
  <c r="F194" i="22"/>
  <c r="F322" i="22"/>
  <c r="F36" i="22"/>
  <c r="F268" i="22"/>
  <c r="O59" i="25" s="1"/>
  <c r="F324" i="22"/>
  <c r="F270" i="22"/>
  <c r="F240" i="22"/>
  <c r="F218" i="22"/>
  <c r="F196" i="22"/>
  <c r="F38" i="22"/>
  <c r="F247" i="22"/>
  <c r="J97" i="28"/>
  <c r="J56" i="28"/>
  <c r="P71" i="25" s="1"/>
  <c r="J95" i="28"/>
  <c r="J85" i="28"/>
  <c r="J83" i="28"/>
  <c r="J53" i="28"/>
  <c r="N15" i="28" s="1"/>
  <c r="I55" i="28" l="1"/>
  <c r="O58" i="25" s="1"/>
  <c r="I93" i="28"/>
  <c r="I91" i="28"/>
  <c r="I101" i="28"/>
  <c r="I99" i="28"/>
  <c r="I57" i="28"/>
  <c r="O72" i="25" s="1"/>
  <c r="K53" i="28"/>
  <c r="O15" i="28" s="1"/>
  <c r="K85" i="28"/>
  <c r="K83" i="28"/>
  <c r="I97" i="28"/>
  <c r="I56" i="28"/>
  <c r="O71" i="25" s="1"/>
  <c r="I95" i="28"/>
  <c r="P22" i="25"/>
  <c r="N24" i="28"/>
  <c r="P54" i="25" s="1"/>
  <c r="K55" i="27" l="1"/>
  <c r="P15" i="28"/>
  <c r="Q22" i="25"/>
  <c r="O24" i="28"/>
  <c r="Q54" i="25" s="1"/>
  <c r="S22" i="25" l="1"/>
  <c r="L55" i="27"/>
  <c r="H18" i="22" l="1"/>
  <c r="H37" i="22" s="1"/>
  <c r="H33" i="22"/>
  <c r="H320" i="22" s="1"/>
  <c r="H35" i="22"/>
  <c r="H322" i="22" s="1"/>
  <c r="H216" i="22"/>
  <c r="H268" i="22"/>
  <c r="Q59" i="25" s="1"/>
  <c r="H309" i="22"/>
  <c r="H247" i="22" l="1"/>
  <c r="J37" i="22"/>
  <c r="H38" i="22"/>
  <c r="H324" i="22"/>
  <c r="H218" i="22"/>
  <c r="H270" i="22"/>
  <c r="H196" i="22"/>
  <c r="H240" i="22"/>
  <c r="H36" i="22"/>
  <c r="H31" i="22"/>
  <c r="H238" i="22"/>
  <c r="K100" i="28" s="1"/>
  <c r="H194" i="22"/>
  <c r="J35" i="22"/>
  <c r="J18" i="22"/>
  <c r="H236" i="22"/>
  <c r="H192" i="22"/>
  <c r="K92" i="28" s="1"/>
  <c r="H34" i="22"/>
  <c r="H266" i="22"/>
  <c r="H179" i="22"/>
  <c r="J33" i="22"/>
  <c r="H253" i="22"/>
  <c r="H214" i="22"/>
  <c r="K96" i="28" s="1"/>
  <c r="K55" i="28" l="1"/>
  <c r="Q58" i="25" s="1"/>
  <c r="K91" i="28"/>
  <c r="K93" i="28"/>
  <c r="K99" i="28"/>
  <c r="K57" i="28"/>
  <c r="Q72" i="25" s="1"/>
  <c r="K101" i="28"/>
  <c r="K97" i="28"/>
  <c r="K56" i="28"/>
  <c r="Q71" i="25" s="1"/>
  <c r="K95" i="28"/>
  <c r="J31" i="22"/>
  <c r="H212" i="22"/>
  <c r="H32" i="22"/>
  <c r="H264" i="22"/>
  <c r="H190" i="22"/>
  <c r="H234" i="22"/>
  <c r="H318" i="22"/>
  <c r="F386" i="22"/>
  <c r="F401" i="22" l="1"/>
  <c r="F402" i="22" s="1"/>
  <c r="F397" i="22"/>
  <c r="F398" i="22" s="1"/>
  <c r="F395" i="22"/>
  <c r="F396" i="22" s="1"/>
  <c r="F399" i="22"/>
  <c r="F400" i="22" s="1"/>
  <c r="I60" i="28"/>
  <c r="I59" i="28" l="1"/>
  <c r="I47" i="28"/>
  <c r="M35" i="28" s="1"/>
  <c r="I61" i="28"/>
  <c r="M12" i="28" l="1"/>
  <c r="M39" i="28"/>
  <c r="O19" i="25" l="1"/>
  <c r="M21" i="28"/>
  <c r="O51" i="25" s="1"/>
  <c r="J52" i="27" l="1"/>
  <c r="G386" i="22" l="1"/>
  <c r="G401" i="22" l="1"/>
  <c r="G402" i="22" s="1"/>
  <c r="G395" i="22"/>
  <c r="G399" i="22"/>
  <c r="G397" i="22"/>
  <c r="G398" i="22" s="1"/>
  <c r="H386" i="22"/>
  <c r="G396" i="22"/>
  <c r="H395" i="22" l="1"/>
  <c r="H401" i="22"/>
  <c r="H399" i="22"/>
  <c r="H397" i="22"/>
  <c r="J60" i="28"/>
  <c r="G400" i="22"/>
  <c r="J386" i="22"/>
  <c r="J397" i="22" l="1"/>
  <c r="H398" i="22"/>
  <c r="K60" i="28"/>
  <c r="J399" i="22"/>
  <c r="H400" i="22"/>
  <c r="J401" i="22"/>
  <c r="H402" i="22"/>
  <c r="J395" i="22"/>
  <c r="H396" i="22"/>
  <c r="J59" i="28"/>
  <c r="J61" i="28"/>
  <c r="J47" i="28"/>
  <c r="N35" i="28" s="1"/>
  <c r="N12" i="28" l="1"/>
  <c r="N39" i="28"/>
  <c r="K59" i="28"/>
  <c r="K61" i="28"/>
  <c r="K47" i="28"/>
  <c r="O35" i="28" s="1"/>
  <c r="O12" i="28" l="1"/>
  <c r="O39" i="28"/>
  <c r="N21" i="28"/>
  <c r="P51" i="25" s="1"/>
  <c r="P19" i="25"/>
  <c r="K52" i="27" l="1"/>
  <c r="O21" i="28"/>
  <c r="Q51" i="25" s="1"/>
  <c r="P12" i="28"/>
  <c r="Q19" i="25"/>
  <c r="S19" i="25" l="1"/>
  <c r="L52" i="27"/>
  <c r="F410" i="22"/>
  <c r="F417" i="22" s="1"/>
  <c r="F418" i="22" s="1"/>
  <c r="F419" i="22"/>
  <c r="F420" i="22" s="1"/>
  <c r="F421" i="22"/>
  <c r="F422" i="22" s="1"/>
  <c r="F423" i="22"/>
  <c r="F424" i="22"/>
  <c r="I80" i="28" l="1"/>
  <c r="I52" i="28" l="1"/>
  <c r="M29" i="28" s="1"/>
  <c r="I81" i="28"/>
  <c r="I79" i="28"/>
  <c r="M33" i="28" l="1"/>
  <c r="G410" i="22" l="1"/>
  <c r="G423" i="22" s="1"/>
  <c r="G424" i="22" s="1"/>
  <c r="G419" i="22"/>
  <c r="G420" i="22" s="1"/>
  <c r="H410" i="22" l="1"/>
  <c r="G421" i="22"/>
  <c r="G422" i="22" s="1"/>
  <c r="J80" i="28"/>
  <c r="G417" i="22"/>
  <c r="G418" i="22" s="1"/>
  <c r="J79" i="28" l="1"/>
  <c r="J81" i="28"/>
  <c r="J52" i="28"/>
  <c r="N29" i="28" s="1"/>
  <c r="J410" i="22"/>
  <c r="H423" i="22"/>
  <c r="H417" i="22"/>
  <c r="H421" i="22"/>
  <c r="H419" i="22"/>
  <c r="J423" i="22" l="1"/>
  <c r="H424" i="22"/>
  <c r="J419" i="22"/>
  <c r="H420" i="22"/>
  <c r="K80" i="28"/>
  <c r="J417" i="22"/>
  <c r="H418" i="22"/>
  <c r="J421" i="22"/>
  <c r="H422" i="22"/>
  <c r="N33" i="28"/>
  <c r="K79" i="28" l="1"/>
  <c r="K81" i="28"/>
  <c r="K52" i="28"/>
  <c r="O29" i="28" s="1"/>
  <c r="O33" i="28" l="1"/>
  <c r="F362" i="22" l="1"/>
  <c r="F373" i="22" s="1"/>
  <c r="F374" i="22" s="1"/>
  <c r="F375" i="22"/>
  <c r="F376" i="22" s="1"/>
  <c r="F377" i="22"/>
  <c r="F378" i="22" s="1"/>
  <c r="F379" i="22"/>
  <c r="F380" i="22" s="1"/>
  <c r="G362" i="22"/>
  <c r="G379" i="22" s="1"/>
  <c r="G380" i="22" s="1"/>
  <c r="G375" i="22"/>
  <c r="G376" i="22" s="1"/>
  <c r="G377" i="22"/>
  <c r="G378" i="22"/>
  <c r="H362" i="22" l="1"/>
  <c r="G373" i="22"/>
  <c r="G374" i="22" s="1"/>
  <c r="J362" i="22" l="1"/>
  <c r="H379" i="22"/>
  <c r="H373" i="22"/>
  <c r="H377" i="22"/>
  <c r="H375" i="22"/>
  <c r="J375" i="22" l="1"/>
  <c r="H376" i="22"/>
  <c r="J373" i="22"/>
  <c r="H374" i="22"/>
  <c r="J379" i="22"/>
  <c r="H380" i="22"/>
  <c r="J377" i="22"/>
  <c r="H378" i="22"/>
  <c r="F432" i="22"/>
  <c r="F439" i="22" s="1"/>
  <c r="F440" i="22" s="1"/>
  <c r="F441" i="22"/>
  <c r="F443" i="22"/>
  <c r="F444" i="22" s="1"/>
  <c r="F445" i="22"/>
  <c r="F446" i="22" s="1"/>
  <c r="F442" i="22" l="1"/>
  <c r="I76" i="28"/>
  <c r="I75" i="28" l="1"/>
  <c r="I51" i="28"/>
  <c r="M37" i="28" s="1"/>
  <c r="I77" i="28"/>
  <c r="M14" i="28" l="1"/>
  <c r="M41" i="28"/>
  <c r="O21" i="25" l="1"/>
  <c r="M23" i="28"/>
  <c r="O53" i="25" s="1"/>
  <c r="J54" i="27" l="1"/>
  <c r="G432" i="22" l="1"/>
  <c r="H432" i="22"/>
  <c r="G441" i="22"/>
  <c r="G442" i="22" l="1"/>
  <c r="J76" i="28"/>
  <c r="J432" i="22"/>
  <c r="H445" i="22"/>
  <c r="H439" i="22"/>
  <c r="H443" i="22"/>
  <c r="H441" i="22"/>
  <c r="G445" i="22"/>
  <c r="G446" i="22" s="1"/>
  <c r="G439" i="22"/>
  <c r="G440" i="22" s="1"/>
  <c r="G443" i="22"/>
  <c r="G444" i="22" s="1"/>
  <c r="J441" i="22" l="1"/>
  <c r="H442" i="22"/>
  <c r="K76" i="28"/>
  <c r="J445" i="22"/>
  <c r="H446" i="22"/>
  <c r="J75" i="28"/>
  <c r="J77" i="28"/>
  <c r="J51" i="28"/>
  <c r="N37" i="28" s="1"/>
  <c r="J443" i="22"/>
  <c r="H444" i="22"/>
  <c r="J439" i="22"/>
  <c r="H440" i="22"/>
  <c r="N14" i="28" l="1"/>
  <c r="N41" i="28"/>
  <c r="K75" i="28"/>
  <c r="K77" i="28"/>
  <c r="K51" i="28"/>
  <c r="O37" i="28" s="1"/>
  <c r="O14" i="28" l="1"/>
  <c r="O41" i="28"/>
  <c r="N23" i="28"/>
  <c r="P53" i="25" s="1"/>
  <c r="P21" i="25"/>
  <c r="K54" i="27" l="1"/>
  <c r="O23" i="28"/>
  <c r="Q53" i="25" s="1"/>
  <c r="P14" i="28"/>
  <c r="Q21" i="25"/>
  <c r="S21" i="25" l="1"/>
  <c r="L54" i="27"/>
  <c r="F454" i="22"/>
  <c r="F461" i="22" s="1"/>
  <c r="F462" i="22" s="1"/>
  <c r="F463" i="22"/>
  <c r="F464" i="22" s="1"/>
  <c r="F465" i="22"/>
  <c r="F466" i="22" s="1"/>
  <c r="F467" i="22"/>
  <c r="F468" i="22" s="1"/>
  <c r="I72" i="28" l="1"/>
  <c r="I50" i="28" l="1"/>
  <c r="M28" i="28" s="1"/>
  <c r="I73" i="28"/>
  <c r="I71" i="28"/>
  <c r="M32" i="28" l="1"/>
  <c r="G454" i="22" l="1"/>
  <c r="G467" i="22" s="1"/>
  <c r="G468" i="22" s="1"/>
  <c r="G463" i="22"/>
  <c r="G464" i="22" s="1"/>
  <c r="H454" i="22" l="1"/>
  <c r="G465" i="22"/>
  <c r="G461" i="22"/>
  <c r="G462" i="22" s="1"/>
  <c r="J72" i="28" l="1"/>
  <c r="G466" i="22"/>
  <c r="J454" i="22"/>
  <c r="H467" i="22"/>
  <c r="H461" i="22"/>
  <c r="H465" i="22"/>
  <c r="H463" i="22"/>
  <c r="J463" i="22" l="1"/>
  <c r="H464" i="22"/>
  <c r="J461" i="22"/>
  <c r="H462" i="22"/>
  <c r="J467" i="22"/>
  <c r="H468" i="22"/>
  <c r="K72" i="28"/>
  <c r="J465" i="22"/>
  <c r="H466" i="22"/>
  <c r="J71" i="28"/>
  <c r="J73" i="28"/>
  <c r="J50" i="28"/>
  <c r="N28" i="28" s="1"/>
  <c r="K71" i="28" l="1"/>
  <c r="K73" i="28"/>
  <c r="K50" i="28"/>
  <c r="O28" i="28" s="1"/>
  <c r="N32" i="28"/>
  <c r="O32" i="28" l="1"/>
  <c r="F476" i="22"/>
  <c r="F483" i="22"/>
  <c r="F484" i="22" s="1"/>
  <c r="F485" i="22"/>
  <c r="F486" i="22" s="1"/>
  <c r="F487" i="22"/>
  <c r="F488" i="22" s="1"/>
  <c r="F489" i="22"/>
  <c r="F490" i="22" s="1"/>
  <c r="I68" i="28" l="1"/>
  <c r="I69" i="28" l="1"/>
  <c r="I67" i="28"/>
  <c r="I49" i="28"/>
  <c r="M36" i="28" s="1"/>
  <c r="M13" i="28" l="1"/>
  <c r="M40" i="28"/>
  <c r="O20" i="25" l="1"/>
  <c r="M22" i="28"/>
  <c r="O52" i="25" s="1"/>
  <c r="M17" i="28"/>
  <c r="M20" i="28" s="1"/>
  <c r="O50" i="25" s="1"/>
  <c r="O82" i="25" l="1"/>
  <c r="O84" i="25"/>
  <c r="O91" i="25"/>
  <c r="O44" i="25"/>
  <c r="O86" i="25"/>
  <c r="O92" i="25"/>
  <c r="O95" i="25"/>
  <c r="J53" i="27"/>
  <c r="J57" i="27" s="1"/>
  <c r="J58" i="27" s="1"/>
  <c r="O24" i="25"/>
  <c r="O116" i="25" l="1"/>
  <c r="O171" i="25"/>
  <c r="O74" i="25"/>
  <c r="O221" i="25"/>
  <c r="O112" i="25"/>
  <c r="O99" i="25"/>
  <c r="O29" i="25"/>
  <c r="O163" i="25"/>
  <c r="O27" i="25"/>
  <c r="O26" i="25" s="1"/>
  <c r="O30" i="25"/>
  <c r="O67" i="25" s="1"/>
  <c r="O66" i="25" l="1"/>
  <c r="O31" i="25"/>
  <c r="O83" i="25"/>
  <c r="O90" i="25"/>
  <c r="O65" i="25"/>
  <c r="P168" i="25"/>
  <c r="O169" i="25"/>
  <c r="O170" i="25" s="1"/>
  <c r="O115" i="25" s="1"/>
  <c r="O165" i="25"/>
  <c r="O41" i="25" s="1"/>
  <c r="O114" i="25" l="1"/>
  <c r="J74" i="27"/>
  <c r="J75" i="27" s="1"/>
  <c r="O113" i="25"/>
  <c r="O36" i="25"/>
  <c r="O42" i="25"/>
  <c r="J61" i="27"/>
  <c r="J69" i="27" s="1"/>
  <c r="O73" i="25"/>
  <c r="O111" i="25"/>
  <c r="J70" i="27" l="1"/>
  <c r="O38" i="25"/>
  <c r="J65" i="27" s="1"/>
  <c r="J60" i="27"/>
  <c r="J62" i="27" s="1"/>
  <c r="O45" i="25"/>
  <c r="O62" i="25" s="1"/>
  <c r="O61" i="25"/>
  <c r="J66" i="27" l="1"/>
  <c r="J63" i="27"/>
  <c r="O39" i="25"/>
  <c r="O213" i="25" l="1"/>
  <c r="O110" i="25"/>
  <c r="O117" i="25" s="1"/>
  <c r="O175" i="25"/>
  <c r="J67" i="27"/>
  <c r="J72" i="27"/>
  <c r="J81" i="27" s="1"/>
  <c r="J82" i="27" s="1"/>
  <c r="O176" i="25" l="1"/>
  <c r="O125" i="25" s="1"/>
  <c r="O185" i="25" s="1"/>
  <c r="O186" i="25" s="1"/>
  <c r="O190" i="25" s="1"/>
  <c r="O192" i="25" s="1"/>
  <c r="O223" i="25"/>
  <c r="O222" i="25" s="1"/>
  <c r="O214" i="25" l="1"/>
  <c r="O178" i="25"/>
  <c r="O93" i="25"/>
  <c r="P189" i="25"/>
  <c r="O123" i="25" l="1"/>
  <c r="O126" i="25" s="1"/>
  <c r="O128" i="25" s="1"/>
  <c r="O81" i="25" s="1"/>
  <c r="O200" i="25"/>
  <c r="O96" i="25"/>
  <c r="O217" i="25"/>
  <c r="O215" i="25"/>
  <c r="O100" i="25"/>
  <c r="O102" i="25" s="1"/>
  <c r="P174" i="25"/>
  <c r="O218" i="25" l="1"/>
  <c r="O87" i="25"/>
  <c r="O104" i="25" s="1"/>
  <c r="P183" i="25"/>
  <c r="G476" i="22"/>
  <c r="G489" i="22" s="1"/>
  <c r="G490" i="22" s="1"/>
  <c r="G485" i="22"/>
  <c r="G486" i="22" s="1"/>
  <c r="H476" i="22" l="1"/>
  <c r="G487" i="22"/>
  <c r="G483" i="22"/>
  <c r="G484" i="22" s="1"/>
  <c r="J68" i="28" l="1"/>
  <c r="G488" i="22"/>
  <c r="J476" i="22"/>
  <c r="H489" i="22"/>
  <c r="H483" i="22"/>
  <c r="H487" i="22"/>
  <c r="H485" i="22"/>
  <c r="J485" i="22" l="1"/>
  <c r="H486" i="22"/>
  <c r="J483" i="22"/>
  <c r="H484" i="22"/>
  <c r="J489" i="22"/>
  <c r="H490" i="22"/>
  <c r="K68" i="28"/>
  <c r="J487" i="22"/>
  <c r="H488" i="22"/>
  <c r="J67" i="28"/>
  <c r="J69" i="28"/>
  <c r="J49" i="28"/>
  <c r="N36" i="28" s="1"/>
  <c r="K67" i="28" l="1"/>
  <c r="K69" i="28"/>
  <c r="K49" i="28"/>
  <c r="O36" i="28" s="1"/>
  <c r="N13" i="28"/>
  <c r="N40" i="28"/>
  <c r="N22" i="28" l="1"/>
  <c r="P52" i="25" s="1"/>
  <c r="P20" i="25"/>
  <c r="N17" i="28"/>
  <c r="N20" i="28" s="1"/>
  <c r="P50" i="25" s="1"/>
  <c r="O13" i="28"/>
  <c r="O40" i="28"/>
  <c r="O22" i="28" l="1"/>
  <c r="Q52" i="25" s="1"/>
  <c r="P13" i="28"/>
  <c r="Q20" i="25"/>
  <c r="O17" i="28"/>
  <c r="P24" i="25"/>
  <c r="K53" i="27"/>
  <c r="K57" i="27" s="1"/>
  <c r="K58" i="27" s="1"/>
  <c r="P84" i="25"/>
  <c r="P82" i="25"/>
  <c r="P86" i="25"/>
  <c r="P91" i="25"/>
  <c r="P95" i="25"/>
  <c r="P44" i="25"/>
  <c r="P92" i="25"/>
  <c r="P221" i="25" l="1"/>
  <c r="P99" i="25"/>
  <c r="P112" i="25"/>
  <c r="P74" i="25"/>
  <c r="P30" i="25"/>
  <c r="P67" i="25" s="1"/>
  <c r="P163" i="25"/>
  <c r="P27" i="25"/>
  <c r="P26" i="25" s="1"/>
  <c r="P29" i="25"/>
  <c r="P17" i="28"/>
  <c r="O20" i="28"/>
  <c r="Q50" i="25" s="1"/>
  <c r="Q44" i="25" s="1"/>
  <c r="P116" i="25"/>
  <c r="S20" i="25"/>
  <c r="Q24" i="25"/>
  <c r="L53" i="27"/>
  <c r="L57" i="27" s="1"/>
  <c r="L58" i="27" s="1"/>
  <c r="P171" i="25"/>
  <c r="Q95" i="25" l="1"/>
  <c r="S95" i="25" s="1"/>
  <c r="Q86" i="25"/>
  <c r="Q171" i="25" s="1"/>
  <c r="Q91" i="25"/>
  <c r="S91" i="25" s="1"/>
  <c r="Q82" i="25"/>
  <c r="S82" i="25" s="1"/>
  <c r="S86" i="25"/>
  <c r="Q168" i="25"/>
  <c r="P31" i="25"/>
  <c r="P66" i="25"/>
  <c r="S24" i="25"/>
  <c r="Q29" i="25"/>
  <c r="Q30" i="25"/>
  <c r="Q163" i="25"/>
  <c r="Q27" i="25"/>
  <c r="P90" i="25"/>
  <c r="P65" i="25"/>
  <c r="P83" i="25"/>
  <c r="P165" i="25"/>
  <c r="P41" i="25" s="1"/>
  <c r="P169" i="25"/>
  <c r="P170" i="25" s="1"/>
  <c r="P115" i="25" s="1"/>
  <c r="Q92" i="25"/>
  <c r="S92" i="25" s="1"/>
  <c r="Q99" i="25"/>
  <c r="S44" i="25"/>
  <c r="Q221" i="25"/>
  <c r="Q112" i="25"/>
  <c r="S112" i="25" s="1"/>
  <c r="Q74" i="25"/>
  <c r="Q84" i="25"/>
  <c r="S84" i="25" s="1"/>
  <c r="Q116" i="25" l="1"/>
  <c r="S116" i="25" s="1"/>
  <c r="P114" i="25"/>
  <c r="P36" i="25"/>
  <c r="P42" i="25"/>
  <c r="Q26" i="25"/>
  <c r="S27" i="25"/>
  <c r="P111" i="25"/>
  <c r="P73" i="25"/>
  <c r="K61" i="27"/>
  <c r="K69" i="27" s="1"/>
  <c r="Q169" i="25"/>
  <c r="Q170" i="25" s="1"/>
  <c r="Q115" i="25" s="1"/>
  <c r="S115" i="25" s="1"/>
  <c r="Q165" i="25"/>
  <c r="Q41" i="25" s="1"/>
  <c r="P113" i="25"/>
  <c r="K74" i="27"/>
  <c r="K75" i="27" s="1"/>
  <c r="Q66" i="25"/>
  <c r="S29" i="25"/>
  <c r="Q31" i="25"/>
  <c r="S99" i="25"/>
  <c r="Q67" i="25"/>
  <c r="S30" i="25"/>
  <c r="K70" i="27" l="1"/>
  <c r="S26" i="25"/>
  <c r="Q65" i="25"/>
  <c r="Q36" i="25"/>
  <c r="Q42" i="25"/>
  <c r="S31" i="25"/>
  <c r="Q83" i="25"/>
  <c r="P38" i="25"/>
  <c r="K65" i="27" s="1"/>
  <c r="Q90" i="25"/>
  <c r="P61" i="25"/>
  <c r="P45" i="25"/>
  <c r="P62" i="25" s="1"/>
  <c r="K60" i="27"/>
  <c r="K62" i="27" s="1"/>
  <c r="Q111" i="25"/>
  <c r="S111" i="25" s="1"/>
  <c r="S41" i="25"/>
  <c r="Q73" i="25"/>
  <c r="L61" i="27"/>
  <c r="L69" i="27" s="1"/>
  <c r="P39" i="25" l="1"/>
  <c r="P213" i="25" s="1"/>
  <c r="K63" i="27"/>
  <c r="K66" i="27"/>
  <c r="S83" i="25"/>
  <c r="L74" i="27"/>
  <c r="L75" i="27" s="1"/>
  <c r="Q113" i="25"/>
  <c r="Q61" i="25"/>
  <c r="Q45" i="25"/>
  <c r="L60" i="27"/>
  <c r="S42" i="25"/>
  <c r="S36" i="25"/>
  <c r="Q38" i="25"/>
  <c r="Q39" i="25" s="1"/>
  <c r="S90" i="25"/>
  <c r="Q114" i="25"/>
  <c r="S114" i="25" s="1"/>
  <c r="P175" i="25" l="1"/>
  <c r="P176" i="25" s="1"/>
  <c r="P125" i="25" s="1"/>
  <c r="P110" i="25"/>
  <c r="P117" i="25" s="1"/>
  <c r="S39" i="25"/>
  <c r="Q213" i="25"/>
  <c r="Q110" i="25"/>
  <c r="Q175" i="25"/>
  <c r="Q176" i="25" s="1"/>
  <c r="Q125" i="25" s="1"/>
  <c r="K13" i="27"/>
  <c r="K15" i="27" s="1"/>
  <c r="K16" i="27" s="1"/>
  <c r="L62" i="27"/>
  <c r="S45" i="25"/>
  <c r="Q62" i="25"/>
  <c r="S113" i="25"/>
  <c r="L70" i="27"/>
  <c r="S38" i="25"/>
  <c r="L65" i="27"/>
  <c r="K67" i="27"/>
  <c r="K72" i="27"/>
  <c r="K81" i="27" s="1"/>
  <c r="K82" i="27" s="1"/>
  <c r="P223" i="25"/>
  <c r="P222" i="25" s="1"/>
  <c r="P185" i="25" l="1"/>
  <c r="P186" i="25" s="1"/>
  <c r="P190" i="25" s="1"/>
  <c r="P192" i="25" s="1"/>
  <c r="P93" i="25" s="1"/>
  <c r="P178" i="25"/>
  <c r="Q174" i="25" s="1"/>
  <c r="Q178" i="25" s="1"/>
  <c r="Q100" i="25" s="1"/>
  <c r="Q223" i="25"/>
  <c r="Q222" i="25" s="1"/>
  <c r="L63" i="27"/>
  <c r="L66" i="27"/>
  <c r="S125" i="25"/>
  <c r="P214" i="25"/>
  <c r="S110" i="25"/>
  <c r="Q117" i="25"/>
  <c r="S117" i="25" s="1"/>
  <c r="Q189" i="25" l="1"/>
  <c r="P100" i="25"/>
  <c r="P102" i="25" s="1"/>
  <c r="Q185" i="25"/>
  <c r="Q214" i="25"/>
  <c r="Q215" i="25" s="1"/>
  <c r="P217" i="25"/>
  <c r="P215" i="25"/>
  <c r="P123" i="25"/>
  <c r="P126" i="25" s="1"/>
  <c r="P128" i="25" s="1"/>
  <c r="P81" i="25" s="1"/>
  <c r="P200" i="25"/>
  <c r="P96" i="25"/>
  <c r="L67" i="27"/>
  <c r="L72" i="27"/>
  <c r="L81" i="27" s="1"/>
  <c r="Q102" i="25"/>
  <c r="S100" i="25" l="1"/>
  <c r="Q183" i="25"/>
  <c r="Q186" i="25" s="1"/>
  <c r="Q190" i="25" s="1"/>
  <c r="Q192" i="25" s="1"/>
  <c r="Q93" i="25" s="1"/>
  <c r="P87" i="25"/>
  <c r="P104" i="25" s="1"/>
  <c r="S102" i="25"/>
  <c r="Q217" i="25"/>
  <c r="Q218" i="25" s="1"/>
  <c r="P218" i="25"/>
  <c r="C14" i="27"/>
  <c r="C15" i="27" s="1"/>
  <c r="K21" i="27"/>
  <c r="L82" i="27"/>
  <c r="C17" i="27" s="1"/>
  <c r="K17" i="27" l="1"/>
  <c r="K18" i="27" s="1"/>
  <c r="S93" i="25"/>
  <c r="Q123" i="25"/>
  <c r="Q200" i="25"/>
  <c r="Q96" i="25"/>
  <c r="C16" i="27"/>
  <c r="C21" i="27"/>
  <c r="E40" i="27" l="1"/>
  <c r="E42" i="27" s="1"/>
  <c r="E44" i="27" s="1"/>
  <c r="K19" i="27"/>
  <c r="K20" i="27" s="1"/>
  <c r="S96" i="25"/>
  <c r="S123" i="25"/>
  <c r="Q126" i="25"/>
  <c r="C18" i="27"/>
  <c r="C40" i="27" s="1"/>
  <c r="C42" i="27" s="1"/>
  <c r="C44" i="27" s="1"/>
  <c r="Q128" i="25" l="1"/>
  <c r="S126" i="25"/>
  <c r="C19" i="27"/>
  <c r="C20" i="27" s="1"/>
  <c r="S128" i="25" l="1"/>
  <c r="Q81" i="25"/>
  <c r="S81" i="25" l="1"/>
  <c r="Q87" i="25"/>
  <c r="S87" i="25" l="1"/>
  <c r="Q104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Matan Feldman</author>
  </authors>
  <commentList>
    <comment ref="G81" authorId="0" shapeId="0" xr:uid="{39D9EB4D-B60A-43CC-AD62-2CD02E4A6784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Stub year adjusted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</authors>
  <commentList>
    <comment ref="H33" authorId="0" shapeId="0" xr:uid="{67F2F7F4-8B46-4F4E-B6EE-F13A05DF3E25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Last 9 month per latest 10Q footnotes</t>
        </r>
      </text>
    </comment>
    <comment ref="H35" authorId="0" shapeId="0" xr:uid="{4F7AC0B2-75BF-43E7-8498-2F3EF7D41B87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Non-GAAP tax rate from latest 10Q</t>
        </r>
      </text>
    </comment>
    <comment ref="H36" authorId="0" shapeId="0" xr:uid="{109CC5B6-23EA-4B23-A92A-6FE187AE0D49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Annualized tax rate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<sst xmlns="http://schemas.openxmlformats.org/spreadsheetml/2006/main" count="2228" uniqueCount="673">
  <si>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</si>
  <si>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</si>
  <si>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</si>
  <si>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</si>
  <si>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</si>
  <si>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</si>
  <si>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</si>
  <si>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</si>
  <si>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</si>
  <si>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</si>
  <si>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</si>
  <si>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</si>
  <si>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</si>
  <si>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</si>
  <si>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receivable</t>
  </si>
  <si>
    <t>Inventories</t>
  </si>
  <si>
    <t>Accounts payable</t>
  </si>
  <si>
    <t>Net income</t>
  </si>
  <si>
    <t>Changes in assets and liabilities:</t>
  </si>
  <si>
    <t>Cash-Flows Statement</t>
  </si>
  <si>
    <t>Other current assets</t>
  </si>
  <si>
    <t>Debt</t>
  </si>
  <si>
    <t>Total stockholders' equity</t>
  </si>
  <si>
    <t>Total Liabilities</t>
  </si>
  <si>
    <t>X</t>
  </si>
  <si>
    <t>Total Current Liabilities</t>
  </si>
  <si>
    <t>Common stock</t>
  </si>
  <si>
    <t xml:space="preserve">Beta </t>
  </si>
  <si>
    <t>Total Current Assets</t>
  </si>
  <si>
    <t>Total Assets</t>
  </si>
  <si>
    <t>Gross Profit</t>
  </si>
  <si>
    <t>EBIT</t>
  </si>
  <si>
    <t>Beta</t>
  </si>
  <si>
    <t>Total Debt</t>
  </si>
  <si>
    <t>Perpetuity</t>
  </si>
  <si>
    <t>Net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</si>
  <si>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</si>
  <si>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</si>
  <si>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</si>
  <si>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</si>
  <si>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</si>
  <si>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</si>
  <si>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</si>
  <si>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</si>
  <si>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</si>
  <si>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</si>
  <si>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</si>
  <si>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</si>
  <si>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</si>
  <si>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</si>
  <si>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</si>
  <si>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</si>
  <si>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</si>
  <si>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</si>
  <si>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</si>
  <si>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</si>
  <si>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</si>
  <si>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</si>
  <si>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</si>
  <si>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</si>
  <si>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</si>
  <si>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</si>
  <si>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</si>
  <si>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</si>
  <si>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</si>
  <si>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</si>
  <si>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</si>
  <si>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</si>
  <si>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</si>
  <si>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Summary Debt (BS):</t>
  </si>
  <si>
    <t>CPLTD</t>
  </si>
  <si>
    <t>LTD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</si>
  <si>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</si>
  <si>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</si>
  <si>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</si>
  <si>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</si>
  <si>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</si>
  <si>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</si>
  <si>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</si>
  <si>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</si>
  <si>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Profit From Operations</t>
  </si>
  <si>
    <t>Net loss before provision for income taxes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</si>
  <si>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</si>
  <si>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</si>
  <si>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</si>
  <si>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</si>
  <si>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</si>
  <si>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</si>
  <si>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</si>
  <si>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</si>
  <si>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</si>
  <si>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</si>
  <si>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</si>
  <si>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Common Stock</t>
  </si>
  <si>
    <t>Adjustments to reconcile net income:</t>
  </si>
  <si>
    <t>Other</t>
  </si>
  <si>
    <t>Balance Check</t>
  </si>
  <si>
    <t>Net Change in Cash</t>
  </si>
  <si>
    <t>Inventory</t>
  </si>
  <si>
    <t>Cash paid during the period for:</t>
  </si>
  <si>
    <t xml:space="preserve">Provision for taxes </t>
  </si>
  <si>
    <t>3Q25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</si>
  <si>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</si>
  <si>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</si>
  <si>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</si>
  <si>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</si>
  <si>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</si>
  <si>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</si>
  <si>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</si>
  <si>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>(-) Research and Development (R&amp;D)</t>
  </si>
  <si>
    <t xml:space="preserve">(+/-) Other </t>
  </si>
  <si>
    <t>(+/-) Issuance / (Repayment) of Debt</t>
  </si>
  <si>
    <t xml:space="preserve">(+/-) Dividends </t>
  </si>
  <si>
    <t>Credit Metrics</t>
  </si>
  <si>
    <t>Company name</t>
  </si>
  <si>
    <t>Base case</t>
  </si>
  <si>
    <t>Ticker</t>
  </si>
  <si>
    <t>AAPL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</si>
  <si>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</si>
  <si>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</si>
  <si>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</si>
  <si>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</si>
  <si>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</si>
  <si>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 xml:space="preserve">Fiscal year  </t>
  </si>
  <si>
    <t>Fiscal year end date</t>
  </si>
  <si>
    <t>Operating profit (EBIT)</t>
  </si>
  <si>
    <t>Reference from interest expense schedule</t>
  </si>
  <si>
    <t>Pretax profit</t>
  </si>
  <si>
    <t>Reference from D&amp;A schedule</t>
  </si>
  <si>
    <t>Stock based compensation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</si>
  <si>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</si>
  <si>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</si>
  <si>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</si>
  <si>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</si>
  <si>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</si>
  <si>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</si>
  <si>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Cash &amp; equivalents, ST and LT marketable securities</t>
  </si>
  <si>
    <t>Reference from 'net change in cash' line on the cash flow statement</t>
  </si>
  <si>
    <t>Grow in-line with revenue growth</t>
  </si>
  <si>
    <t>Grow in-line with cost of sales growth</t>
  </si>
  <si>
    <t>Property, plant &amp; equipment</t>
  </si>
  <si>
    <t>Reference from PP&amp;E schedule</t>
  </si>
  <si>
    <t>Other non current assets</t>
  </si>
  <si>
    <t>Other current liabilities</t>
  </si>
  <si>
    <t>Deferred revenue (current)</t>
  </si>
  <si>
    <t>Commercial paper / revolver</t>
  </si>
  <si>
    <t>Reference EOP balance from CP/revolver schedule</t>
  </si>
  <si>
    <t>Long term debt (includes current portion)</t>
  </si>
  <si>
    <t>WSP assumption: straight-line</t>
  </si>
  <si>
    <t>Other non current liabilities</t>
  </si>
  <si>
    <t>Increase by stock-based compensation forecasted in the I/S section</t>
  </si>
  <si>
    <t xml:space="preserve">Retained earnings </t>
  </si>
  <si>
    <t>Reference from Retained Earnings schedule</t>
  </si>
  <si>
    <t>Other comprehensive income</t>
  </si>
  <si>
    <t>Balance check</t>
  </si>
  <si>
    <t>Reference from the I/S</t>
  </si>
  <si>
    <t>Decreases / (Increases) in working capital assets</t>
  </si>
  <si>
    <t>Increases / (Decreases) in working capital liabilities</t>
  </si>
  <si>
    <t>Reference from schedule NOT the B/S: Only include 'Additions' (as outflow)</t>
  </si>
  <si>
    <t>Long term debt</t>
  </si>
  <si>
    <t>Commercial paper/ Revolver</t>
  </si>
  <si>
    <t>Reference from B/S</t>
  </si>
  <si>
    <t>Share repurchases</t>
  </si>
  <si>
    <t>Common dividends</t>
  </si>
  <si>
    <t>PROPERTY, PLANT &amp; EQUIPMENT</t>
  </si>
  <si>
    <t>Forecast</t>
  </si>
  <si>
    <t>Beginning of period</t>
  </si>
  <si>
    <t xml:space="preserve">BOP = Previous year EOP </t>
  </si>
  <si>
    <t>Plus: Capital expenditures</t>
  </si>
  <si>
    <t>Less: Depreciation</t>
  </si>
  <si>
    <t>End of period</t>
  </si>
  <si>
    <t>D&amp;A related to PP&amp;E as a % of capex</t>
  </si>
  <si>
    <t>Revenue x 'as % of revenue' assumption</t>
  </si>
  <si>
    <t>as % of revenue</t>
  </si>
  <si>
    <t>D&amp;A from PP&amp;E + D&amp;A not from PP&amp;E</t>
  </si>
  <si>
    <t>OTHER NON-CURRENT ASSETS</t>
  </si>
  <si>
    <t>Less: Amortization of intangible assets</t>
  </si>
  <si>
    <t xml:space="preserve">Assume all D&amp;A not from PP&amp;E is in non-current assets </t>
  </si>
  <si>
    <t xml:space="preserve">Plus: Additions </t>
  </si>
  <si>
    <t>Because we already know the EOP balance, this is a plug: EOP - D&amp;A not from PP&amp;E - BOP</t>
  </si>
  <si>
    <t>Referenced from balance sheet</t>
  </si>
  <si>
    <t>RETAINED EARNINGS</t>
  </si>
  <si>
    <t>Plus: Net income</t>
  </si>
  <si>
    <t>Reference from income statement</t>
  </si>
  <si>
    <t>Less: Dividends</t>
  </si>
  <si>
    <t>Less: Repurchases</t>
  </si>
  <si>
    <t>BOP + net income - dividends - repurchases</t>
  </si>
  <si>
    <t>REVOLVER (MODEL PLUG)</t>
  </si>
  <si>
    <t>Revolver needs analysis</t>
  </si>
  <si>
    <t>Cash at beginning of period (BOP)</t>
  </si>
  <si>
    <t>Reference prior period EOP from B/S</t>
  </si>
  <si>
    <t>Less: Minimum cash balance</t>
  </si>
  <si>
    <t>Plus: Free cash flows generated during period</t>
  </si>
  <si>
    <t>Equals: Cash available (needed) to pay down (draw from) revolver</t>
  </si>
  <si>
    <t>Commercial paper / Revolver</t>
  </si>
  <si>
    <t>Draw / (paydown)</t>
  </si>
  <si>
    <t>Discretionary borrowing / (paydown)</t>
  </si>
  <si>
    <t>INTEREST EXPENSE AND INTEREST INCOME</t>
  </si>
  <si>
    <t>Total interest expense (from I/S)</t>
  </si>
  <si>
    <t>Commercial Paper / Revolver</t>
  </si>
  <si>
    <t>Weighted average interest rate</t>
  </si>
  <si>
    <t>WSP assumption: Straight-line</t>
  </si>
  <si>
    <t>End of period balance (from B/S)</t>
  </si>
  <si>
    <t>Reference from revolver / CP schedule above</t>
  </si>
  <si>
    <t>Interest rate x average of BOP &amp; EOP revolver balances (circularity)</t>
  </si>
  <si>
    <t>Interest rate x average of BOP &amp; EOP LTD balances</t>
  </si>
  <si>
    <t>Interest rate on cash</t>
  </si>
  <si>
    <t>Weighted average interest rate on cash</t>
  </si>
  <si>
    <t>EARNINGS PER SHARE</t>
  </si>
  <si>
    <t xml:space="preserve">Basic shares </t>
  </si>
  <si>
    <t>Diluted Shares</t>
  </si>
  <si>
    <t>$ amount of shares repurchased</t>
  </si>
  <si>
    <t>$ amount of new shares issued</t>
  </si>
  <si>
    <t>Average share price</t>
  </si>
  <si>
    <t>Share price increase</t>
  </si>
  <si>
    <t>SCENARIO ANALYSIS</t>
  </si>
  <si>
    <t>Active case:</t>
  </si>
  <si>
    <t>base case</t>
  </si>
  <si>
    <t>Best case</t>
  </si>
  <si>
    <t>NM</t>
  </si>
  <si>
    <t>Weak case</t>
  </si>
  <si>
    <r>
      <t xml:space="preserve">D&amp;A </t>
    </r>
    <r>
      <rPr>
        <u/>
        <sz val="9"/>
        <color theme="1"/>
        <rFont val="Calibri"/>
        <family val="2"/>
      </rPr>
      <t>not</t>
    </r>
    <r>
      <rPr>
        <sz val="9"/>
        <color theme="1"/>
        <rFont val="Calibri"/>
        <family val="2"/>
      </rPr>
      <t xml:space="preserve"> related to PP&amp;E</t>
    </r>
  </si>
  <si>
    <t>High</t>
  </si>
  <si>
    <t>Apple Inc. (NASDAQ: AAPL)</t>
  </si>
  <si>
    <t>Cash/Equivalents</t>
  </si>
  <si>
    <t>Other Current Assets</t>
  </si>
  <si>
    <t>Other Assets</t>
  </si>
  <si>
    <t>Other Non-Current Liabilities</t>
  </si>
  <si>
    <t>Long-Term Debt</t>
  </si>
  <si>
    <t>Retained Earnings (Deficit)</t>
  </si>
  <si>
    <t xml:space="preserve">Accumulated Other comprehensive income </t>
  </si>
  <si>
    <t>Treasury Stock</t>
  </si>
  <si>
    <t>Depreciation and Amortization</t>
  </si>
  <si>
    <t>Stock Based Compensation</t>
  </si>
  <si>
    <t>Deferred Taxes</t>
  </si>
  <si>
    <t>Deferred Revenue</t>
  </si>
  <si>
    <t xml:space="preserve">Other Asset and Other Liabilities </t>
  </si>
  <si>
    <t>Capital Expenditures</t>
  </si>
  <si>
    <t>Proceeds of investments</t>
  </si>
  <si>
    <t>Purchase of Investments</t>
  </si>
  <si>
    <t>Acquisitions/intang assets</t>
  </si>
  <si>
    <t>Proceeds from the issuance of term debt, net</t>
  </si>
  <si>
    <t>Repayments of term debt</t>
  </si>
  <si>
    <t>Issuance of Common</t>
  </si>
  <si>
    <t>Change in commercial paper, net</t>
  </si>
  <si>
    <t>Preferred Stock</t>
  </si>
  <si>
    <t>Dividends</t>
  </si>
  <si>
    <t xml:space="preserve">Research &amp; Development </t>
  </si>
  <si>
    <t>Selling, General &amp; Administrative</t>
  </si>
  <si>
    <t>Other income/(expense), net</t>
  </si>
  <si>
    <t>Cash paid for income taxes, net</t>
  </si>
  <si>
    <t>Cash paid for interest</t>
  </si>
  <si>
    <t>Adjusted Cash Position BOP</t>
  </si>
  <si>
    <t>Adjusted Cash Position EOP</t>
  </si>
  <si>
    <t xml:space="preserve">EOP Restricted Cash Adjustments </t>
  </si>
  <si>
    <t xml:space="preserve">BOP Restricted Cash Adjustments </t>
  </si>
  <si>
    <t>Revenue by End Product</t>
  </si>
  <si>
    <t>Apple Watch</t>
  </si>
  <si>
    <t>iPhone Revenue</t>
  </si>
  <si>
    <t>Mac Revenue</t>
  </si>
  <si>
    <t>iPad Revenue</t>
  </si>
  <si>
    <t>Services Revenue</t>
  </si>
  <si>
    <t>Wearables, Home, and Accessories Revenue</t>
  </si>
  <si>
    <t>(-) Selling, General &amp; Administrative (SG&amp;A)</t>
  </si>
  <si>
    <t xml:space="preserve">(-) Cash Interest </t>
  </si>
  <si>
    <t>(+/-) Proceeds / (Purchases) of Investments</t>
  </si>
  <si>
    <t>(+/-) Proceeds / (Purchases) of Other/Strategic investments</t>
  </si>
  <si>
    <t>(+/-) Issuances / (Share Repurchases)</t>
  </si>
  <si>
    <t>(+/-) Change in commercial paper, net</t>
  </si>
  <si>
    <t>Commerical Paper</t>
  </si>
  <si>
    <t>Term Debt, Current Portion</t>
  </si>
  <si>
    <t>Commercial Paper Outstanding</t>
  </si>
  <si>
    <t>Aggregate Term Debt, Current Portion</t>
  </si>
  <si>
    <t>Aggregate Term Debt, Net of Current Portion</t>
  </si>
  <si>
    <t>Cost of debt</t>
  </si>
  <si>
    <t>Cost of debt (after tax)</t>
  </si>
  <si>
    <t xml:space="preserve">Risk free rate </t>
  </si>
  <si>
    <t>Cost of equity</t>
  </si>
  <si>
    <t>WACC sensitivity to MRP and Beta</t>
  </si>
  <si>
    <t>Market</t>
  </si>
  <si>
    <t>Risk</t>
  </si>
  <si>
    <t>Premium</t>
  </si>
  <si>
    <t>Select Beta for model</t>
  </si>
  <si>
    <t>Share price</t>
  </si>
  <si>
    <t>Dil. shares</t>
  </si>
  <si>
    <t>Market cap</t>
  </si>
  <si>
    <t>Alphabet (GOOG)</t>
  </si>
  <si>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</si>
  <si>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</si>
  <si>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</si>
  <si>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</si>
  <si>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</si>
  <si>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</si>
  <si>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Source: CIQ</t>
  </si>
  <si>
    <t>Most recent quarter end date</t>
  </si>
  <si>
    <t>Share price date</t>
  </si>
  <si>
    <t xml:space="preserve">Valuation date </t>
  </si>
  <si>
    <t>Midyear adjustment?</t>
  </si>
  <si>
    <t>Portion of First Year Cash Flows</t>
  </si>
  <si>
    <t>Case active:</t>
  </si>
  <si>
    <t>Unlevered Free Cash Flows</t>
  </si>
  <si>
    <t>Forecasts</t>
  </si>
  <si>
    <t>% growth</t>
  </si>
  <si>
    <t>Unlevered free cash flows (UFCF)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</si>
  <si>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</si>
  <si>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</si>
  <si>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</si>
  <si>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</si>
  <si>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</si>
  <si>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</si>
  <si>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</si>
  <si>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</si>
  <si>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</si>
  <si>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</si>
  <si>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</si>
  <si>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</si>
  <si>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</si>
  <si>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</si>
  <si>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</si>
  <si>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</si>
  <si>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</si>
  <si>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</si>
  <si>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</si>
  <si>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</si>
  <si>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</si>
  <si>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</si>
  <si>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</si>
  <si>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</si>
  <si>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</si>
  <si>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</si>
  <si>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Source date</t>
  </si>
  <si>
    <t>Date</t>
  </si>
  <si>
    <t>Shares</t>
  </si>
  <si>
    <t>Gross debt and equivalents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</si>
  <si>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</si>
  <si>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</si>
  <si>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</si>
  <si>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</si>
  <si>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</si>
  <si>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</si>
  <si>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</si>
  <si>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</si>
  <si>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</si>
  <si>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</si>
  <si>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</si>
  <si>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Enterprise value</t>
  </si>
  <si>
    <t xml:space="preserve">Equity value </t>
  </si>
  <si>
    <t>Equity value per share</t>
  </si>
  <si>
    <t>Low</t>
  </si>
  <si>
    <t>Marketable Securities, Current</t>
  </si>
  <si>
    <t>Marketable Securities, Net of Current Portion</t>
  </si>
  <si>
    <t>$ mm except per share</t>
  </si>
  <si>
    <t>Actuals</t>
  </si>
  <si>
    <t>Income Statement</t>
  </si>
  <si>
    <t xml:space="preserve">Balance Sheet </t>
  </si>
  <si>
    <t>Cash from Operating Activities</t>
  </si>
  <si>
    <t>Cash from Investing Activities</t>
  </si>
  <si>
    <t>Supporting Schedules</t>
  </si>
  <si>
    <t>3-Statement Model</t>
  </si>
  <si>
    <t>Historical Financials</t>
  </si>
  <si>
    <t>Fiscal Period</t>
  </si>
  <si>
    <t>Fiscal Period End Date</t>
  </si>
  <si>
    <t>TOTAL DEPRECIATION &amp; AMORTIZATION</t>
  </si>
  <si>
    <t xml:space="preserve">$ and shares in millions, except per share data </t>
  </si>
  <si>
    <t>BofA</t>
  </si>
  <si>
    <t>Wells Fargo</t>
  </si>
  <si>
    <t>Margin (%)</t>
  </si>
  <si>
    <t>R&amp;D</t>
  </si>
  <si>
    <t>SG&amp;A</t>
  </si>
  <si>
    <t>Average</t>
  </si>
  <si>
    <t>CAGR</t>
  </si>
  <si>
    <t xml:space="preserve">Cost of sales </t>
  </si>
  <si>
    <t>Depreciation &amp; Amortization</t>
  </si>
  <si>
    <t>JP Morgan</t>
  </si>
  <si>
    <t>Jefferies</t>
  </si>
  <si>
    <t>Morgan Stanley</t>
  </si>
  <si>
    <t>Revenue Drivers</t>
  </si>
  <si>
    <t>Operating Drivers</t>
  </si>
  <si>
    <t xml:space="preserve">Cost of Sales </t>
  </si>
  <si>
    <t xml:space="preserve">Taxes </t>
  </si>
  <si>
    <t>Interest Income</t>
  </si>
  <si>
    <t>Tax Rate</t>
  </si>
  <si>
    <t>Tax Rate (%)</t>
  </si>
  <si>
    <t>Barclays</t>
  </si>
  <si>
    <t>D&amp;A</t>
  </si>
  <si>
    <t>Cash-Flow Items</t>
  </si>
  <si>
    <t>Research &amp; Development (R&amp;D)</t>
  </si>
  <si>
    <t>D&amp;A related to PP&amp;E as a % of capex Step-Up</t>
  </si>
  <si>
    <t>Interest Expense</t>
  </si>
  <si>
    <t>Gross Margin</t>
  </si>
  <si>
    <t>iPhone</t>
  </si>
  <si>
    <t>iPad</t>
  </si>
  <si>
    <t>Mac</t>
  </si>
  <si>
    <t xml:space="preserve">Revenues By Region </t>
  </si>
  <si>
    <t>Americas</t>
  </si>
  <si>
    <t>Europe</t>
  </si>
  <si>
    <t>Japan</t>
  </si>
  <si>
    <t>Asia Pacific</t>
  </si>
  <si>
    <t>iPhone Units</t>
  </si>
  <si>
    <t>iPad Units</t>
  </si>
  <si>
    <t>Variance Check</t>
  </si>
  <si>
    <t>Segments as a % of Total Revenue</t>
  </si>
  <si>
    <t>Growth Rates</t>
  </si>
  <si>
    <t>Y/Y Growth Rates (%)</t>
  </si>
  <si>
    <t>Q/Q Growth Rates (%)</t>
  </si>
  <si>
    <t>Revenue by reportable segment</t>
  </si>
  <si>
    <t>Per Unit Data (k)</t>
  </si>
  <si>
    <t xml:space="preserve">Total Units Sold </t>
  </si>
  <si>
    <t>Total Units Sold per End Market</t>
  </si>
  <si>
    <t>ASP Per End Product</t>
  </si>
  <si>
    <t>Street Consensus</t>
  </si>
  <si>
    <t>Last Updated 1/3/25</t>
  </si>
  <si>
    <t>Median</t>
  </si>
  <si>
    <t xml:space="preserve">Wearables, Home, and Accessories </t>
  </si>
  <si>
    <t>Capex</t>
  </si>
  <si>
    <t xml:space="preserve">Company </t>
  </si>
  <si>
    <t xml:space="preserve">AAPL </t>
  </si>
  <si>
    <t xml:space="preserve">IBM </t>
  </si>
  <si>
    <t xml:space="preserve">Apple </t>
  </si>
  <si>
    <t xml:space="preserve">CSCO </t>
  </si>
  <si>
    <t xml:space="preserve">MSFT </t>
  </si>
  <si>
    <t xml:space="preserve">AMZN </t>
  </si>
  <si>
    <t xml:space="preserve">GOOGL </t>
  </si>
  <si>
    <t xml:space="preserve">ADBE </t>
  </si>
  <si>
    <t xml:space="preserve">NFLX </t>
  </si>
  <si>
    <t xml:space="preserve">NVDA </t>
  </si>
  <si>
    <t xml:space="preserve">Nvidia </t>
  </si>
  <si>
    <t xml:space="preserve">Netflix </t>
  </si>
  <si>
    <t xml:space="preserve">Adobe </t>
  </si>
  <si>
    <t xml:space="preserve">Alphabet </t>
  </si>
  <si>
    <t xml:space="preserve">Amazon </t>
  </si>
  <si>
    <t xml:space="preserve">Microsoft </t>
  </si>
  <si>
    <t xml:space="preserve">Cisco </t>
  </si>
  <si>
    <t>Price</t>
  </si>
  <si>
    <t>Background</t>
  </si>
  <si>
    <t>Peer Comparables</t>
  </si>
  <si>
    <t>Trading Comps</t>
  </si>
  <si>
    <t>Enterprise Value (M)</t>
  </si>
  <si>
    <t>Market Cap (M)</t>
  </si>
  <si>
    <t>Performance Comps</t>
  </si>
  <si>
    <t>Revenue 2025E (M)</t>
  </si>
  <si>
    <t>Revenue 2026E (M)</t>
  </si>
  <si>
    <t>Growth Rate</t>
  </si>
  <si>
    <t>6%</t>
  </si>
  <si>
    <t>4%</t>
  </si>
  <si>
    <t>5%</t>
  </si>
  <si>
    <t>16%</t>
  </si>
  <si>
    <t>10%</t>
  </si>
  <si>
    <t>13%</t>
  </si>
  <si>
    <t>9%</t>
  </si>
  <si>
    <t>60%</t>
  </si>
  <si>
    <t>EV/Revenue 2025E</t>
  </si>
  <si>
    <t>EV/Revenue 2026E</t>
  </si>
  <si>
    <t>Gross Margin 2025E</t>
  </si>
  <si>
    <t>Gross Margin 2026E</t>
  </si>
  <si>
    <t>47%</t>
  </si>
  <si>
    <t>68%</t>
  </si>
  <si>
    <t>69%</t>
  </si>
  <si>
    <t>50%</t>
  </si>
  <si>
    <t>62%</t>
  </si>
  <si>
    <t>61%</t>
  </si>
  <si>
    <t>90%</t>
  </si>
  <si>
    <t>49%</t>
  </si>
  <si>
    <t>51%</t>
  </si>
  <si>
    <t>75%</t>
  </si>
  <si>
    <t>71%</t>
  </si>
  <si>
    <t>Forward EPS</t>
  </si>
  <si>
    <t>EPS 2025E</t>
  </si>
  <si>
    <t>EPS 2026E</t>
  </si>
  <si>
    <t>P/E 2025E</t>
  </si>
  <si>
    <t>P/E 2026E</t>
  </si>
  <si>
    <t>Forward Estimates</t>
  </si>
  <si>
    <t>BNP Paribas</t>
  </si>
  <si>
    <t>UBS</t>
  </si>
  <si>
    <t>2026E</t>
  </si>
  <si>
    <t>2027E</t>
  </si>
  <si>
    <t>2028E</t>
  </si>
  <si>
    <t>2029E</t>
  </si>
  <si>
    <t>2030E</t>
  </si>
  <si>
    <t>HSBC</t>
  </si>
  <si>
    <t xml:space="preserve">Interest Income </t>
  </si>
  <si>
    <t>Reference from interest on cash schedule</t>
  </si>
  <si>
    <t>Other Income/Gains (Expenses/Losses)</t>
  </si>
  <si>
    <t>Consolidated Revenue growth</t>
  </si>
  <si>
    <t>Margins</t>
  </si>
  <si>
    <t>EBIT Margin</t>
  </si>
  <si>
    <t>Consensus Estimate</t>
  </si>
  <si>
    <t>EBITDA Margin</t>
  </si>
  <si>
    <t>Adj. EBITDA Margin</t>
  </si>
  <si>
    <t xml:space="preserve">% of Sales </t>
  </si>
  <si>
    <t>R&amp;D as a % of Sales</t>
  </si>
  <si>
    <t>D&amp;A as a % of Sales</t>
  </si>
  <si>
    <t>SBC as a % of Sales</t>
  </si>
  <si>
    <t>Stockholders' Equity</t>
  </si>
  <si>
    <t>Total Stockholders' Equity</t>
  </si>
  <si>
    <t>Net Change in Cash Position</t>
  </si>
  <si>
    <t>Beginning of period (BOP)</t>
  </si>
  <si>
    <t>Capex x 'D&amp;A related to PP&amp;E as a % of capex</t>
  </si>
  <si>
    <t>End of period (EOP)</t>
  </si>
  <si>
    <t>Existing PP&amp;E</t>
  </si>
  <si>
    <t>Gross PP&amp;E</t>
  </si>
  <si>
    <t>Non-depreciable PP&amp;E (i.e. land)</t>
  </si>
  <si>
    <t>Apple, Inc</t>
  </si>
  <si>
    <t>Selling, General and Administrative (SG&amp;A)</t>
  </si>
  <si>
    <t>SG&amp;A as a % of Sales</t>
  </si>
  <si>
    <t>straight-line</t>
  </si>
  <si>
    <t xml:space="preserve">Total Depreciation &amp; Amortization </t>
  </si>
  <si>
    <t>Dividend Payout Ratio</t>
  </si>
  <si>
    <t>CFO + CFI + CFF except revolver</t>
  </si>
  <si>
    <t>assumption</t>
  </si>
  <si>
    <t>Straight-line last historical year repurchases</t>
  </si>
  <si>
    <t>Hold last historical year's dividend payout ratio constant</t>
  </si>
  <si>
    <t>grow SBC in-line with revenue growth</t>
  </si>
  <si>
    <t xml:space="preserve"> Straight-line</t>
  </si>
  <si>
    <t>Net Working capital</t>
  </si>
  <si>
    <t>Changes in working capital</t>
  </si>
  <si>
    <t>Days Sales Outstanding (DSO)</t>
  </si>
  <si>
    <t>Days Inventory Outstanding (DIO)</t>
  </si>
  <si>
    <t>Days Payable Outstanding (DPO)</t>
  </si>
  <si>
    <t>Cash Conversion Cycle (CCC)</t>
  </si>
  <si>
    <t>Street Consensus: Last Updated 1/3/25</t>
  </si>
  <si>
    <t>($ in Millions)</t>
  </si>
  <si>
    <t xml:space="preserve">Deferred Revenue </t>
  </si>
  <si>
    <t xml:space="preserve">Other Current Liabilities </t>
  </si>
  <si>
    <t xml:space="preserve">Total Current Liabilities </t>
  </si>
  <si>
    <t>Inventory Turnover Rate</t>
  </si>
  <si>
    <t>Balance Sheet Drivers</t>
  </si>
  <si>
    <t>Working Capital</t>
  </si>
  <si>
    <t xml:space="preserve">Total Book Value per Basic Shares </t>
  </si>
  <si>
    <t>Basic Shares</t>
  </si>
  <si>
    <t>Shareholder Equity</t>
  </si>
  <si>
    <t xml:space="preserve">Book Value per Basic Share </t>
  </si>
  <si>
    <t>Book Value per Fully Diluted Shares</t>
  </si>
  <si>
    <t>Cash + MS</t>
  </si>
  <si>
    <t>Gross Cash &amp; Investments per Basic Shares</t>
  </si>
  <si>
    <t>Total Gross Cash &amp; MS per Basic Shares</t>
  </si>
  <si>
    <t>Gross Cash &amp; Investments per Fully Diluted Shares</t>
  </si>
  <si>
    <t>Total Gross Cash &amp; MS per Fully Diluted Shares</t>
  </si>
  <si>
    <t>Net Cash &amp; Investments per Basic Shares</t>
  </si>
  <si>
    <t>Net Cash &amp; Investments per Fully Diluted Shares</t>
  </si>
  <si>
    <t xml:space="preserve">Net Cash &amp; Investments </t>
  </si>
  <si>
    <t>Per Share Analysis</t>
  </si>
  <si>
    <t>(-) Depreciation &amp; Amortization</t>
  </si>
  <si>
    <t>EBIT Margin (%)</t>
  </si>
  <si>
    <t>(+) EBITDA</t>
  </si>
  <si>
    <t xml:space="preserve">NOPAT </t>
  </si>
  <si>
    <t>(+) Depreciation &amp; Amortization</t>
  </si>
  <si>
    <t>(+/-) Changes in net working capital</t>
  </si>
  <si>
    <t>(-) Capital expenditures</t>
  </si>
  <si>
    <t xml:space="preserve">Net working capital </t>
  </si>
  <si>
    <t>Year 6</t>
  </si>
  <si>
    <t>Jefferies Estimate</t>
  </si>
  <si>
    <t xml:space="preserve">EOP FX Adjustments </t>
  </si>
  <si>
    <t>Cash Position BOP</t>
  </si>
  <si>
    <t xml:space="preserve">Other current and non-current assets	</t>
  </si>
  <si>
    <t>Other investing activities</t>
  </si>
  <si>
    <t>4Q25</t>
  </si>
  <si>
    <t>2031E</t>
  </si>
  <si>
    <t>FY25 10K</t>
  </si>
  <si>
    <t xml:space="preserve">3-Year Average </t>
  </si>
  <si>
    <t>6-Year(A)</t>
  </si>
  <si>
    <t>6-Year(F)</t>
  </si>
  <si>
    <t>Accumulated depreciation</t>
  </si>
  <si>
    <t>Net PP&amp;E (excl. land)</t>
  </si>
  <si>
    <t>DEPRECIATION WATERFALL</t>
  </si>
  <si>
    <t>Average useful life</t>
  </si>
  <si>
    <t>Depreciation from existing PP&amp;E</t>
  </si>
  <si>
    <t>Override Switch</t>
  </si>
  <si>
    <t>Midyear adj.</t>
  </si>
  <si>
    <t>Depreciation from capex purchased in 2026</t>
  </si>
  <si>
    <t>Depreciation from capex purchased in 2027</t>
  </si>
  <si>
    <t>Depreciation from capex purchased in 2028</t>
  </si>
  <si>
    <t>Depreciation from capex purchased in 2029</t>
  </si>
  <si>
    <t>Depreciation from capex purchased in 2030</t>
  </si>
  <si>
    <t>Depreciation from capex purchased in 2031</t>
  </si>
  <si>
    <t>Total Depreciation</t>
  </si>
  <si>
    <t>5-Year Average</t>
  </si>
  <si>
    <t>Total revenue</t>
  </si>
  <si>
    <t>Revenue Build Projections</t>
  </si>
  <si>
    <t>Unit Economics</t>
  </si>
  <si>
    <t>Iphone ASP ($)</t>
  </si>
  <si>
    <t>Unit Economics: Iphone</t>
  </si>
  <si>
    <t>Unit Economics: Mac</t>
  </si>
  <si>
    <t>Mac Units</t>
  </si>
  <si>
    <t>Unit Economics: Mac ASP ($)</t>
  </si>
  <si>
    <t>Mac ASP ($)</t>
  </si>
  <si>
    <t>iPad ASP ($)</t>
  </si>
  <si>
    <t>Consensus Estimates</t>
  </si>
  <si>
    <t xml:space="preserve">Var. from </t>
  </si>
  <si>
    <t>iPhone ASP</t>
  </si>
  <si>
    <t>iPad ASP</t>
  </si>
  <si>
    <t>Mac ASP</t>
  </si>
  <si>
    <t>Operating Scenario:</t>
  </si>
  <si>
    <t>ASP</t>
  </si>
  <si>
    <t>Y/Y Revenue Growth Assumptions</t>
  </si>
  <si>
    <t>Y/Y Unit Economics Growth Assumptions</t>
  </si>
  <si>
    <t>Y/Y ASP Growth Assumptions</t>
  </si>
  <si>
    <t>Cost of Debt</t>
  </si>
  <si>
    <t>Cost of Equity</t>
  </si>
  <si>
    <t>MRP</t>
  </si>
  <si>
    <t>WACC</t>
  </si>
  <si>
    <t>CAPITAL STRUCTURE</t>
  </si>
  <si>
    <t>COST OF EQUITY</t>
  </si>
  <si>
    <t>COST OF DEBT</t>
  </si>
  <si>
    <t>Current ($)</t>
  </si>
  <si>
    <t>Market Capitalization</t>
  </si>
  <si>
    <t>Total Capitalization</t>
  </si>
  <si>
    <t>Target (Override)</t>
  </si>
  <si>
    <t>Weights (%)</t>
  </si>
  <si>
    <t>CAPITAL WEIGHTS</t>
  </si>
  <si>
    <t>Capital Weights</t>
  </si>
  <si>
    <t>Weighted Average Cost of Capital (WACC)</t>
  </si>
  <si>
    <t>Weight of Equity</t>
  </si>
  <si>
    <t>Weight of Debt</t>
  </si>
  <si>
    <t>Company</t>
  </si>
  <si>
    <t>Unleveraged Beta</t>
  </si>
  <si>
    <t>Meta Platforms Inc (META)</t>
  </si>
  <si>
    <t>Updated as of 1/4/26</t>
  </si>
  <si>
    <t>Amazon.com Inc (AMZN)</t>
  </si>
  <si>
    <t>Microsoft Corp. (MSFT)</t>
  </si>
  <si>
    <t>Apple Inc (AAPL)</t>
  </si>
  <si>
    <t>Industry average del. b</t>
  </si>
  <si>
    <t xml:space="preserve">3-Year </t>
  </si>
  <si>
    <t>Industry</t>
  </si>
  <si>
    <t>Observed β</t>
  </si>
  <si>
    <t>Delev. β</t>
  </si>
  <si>
    <t>Weighted Average Cost of Capital (WACC) Buildup</t>
  </si>
  <si>
    <t>Updated as of 10/31/25 Report (FY25 Updates)</t>
  </si>
  <si>
    <t>Updated as of 10/30/25 Report (FY25 Updates)</t>
  </si>
  <si>
    <t>As of 10/31/25</t>
  </si>
  <si>
    <t>Rating</t>
  </si>
  <si>
    <t xml:space="preserve">Hold </t>
  </si>
  <si>
    <t xml:space="preserve">Equity </t>
  </si>
  <si>
    <t>Value</t>
  </si>
  <si>
    <t>Enterprise</t>
  </si>
  <si>
    <t>Diluted</t>
  </si>
  <si>
    <t>EV</t>
  </si>
  <si>
    <t>Value (shares</t>
  </si>
  <si>
    <t>Buy</t>
  </si>
  <si>
    <t>Neutral</t>
  </si>
  <si>
    <t>Consensus Estimate Comps</t>
  </si>
  <si>
    <t xml:space="preserve">Broker </t>
  </si>
  <si>
    <r>
      <t xml:space="preserve">BofA </t>
    </r>
    <r>
      <rPr>
        <vertAlign val="superscript"/>
        <sz val="9"/>
        <color theme="1"/>
        <rFont val="Calibri"/>
        <family val="2"/>
      </rPr>
      <t>(1)</t>
    </r>
  </si>
  <si>
    <r>
      <t xml:space="preserve">JP Morgan </t>
    </r>
    <r>
      <rPr>
        <vertAlign val="superscript"/>
        <sz val="9"/>
        <color theme="1"/>
        <rFont val="Calibri"/>
        <family val="2"/>
      </rPr>
      <t>(1)</t>
    </r>
  </si>
  <si>
    <r>
      <t xml:space="preserve">BNP Paribas </t>
    </r>
    <r>
      <rPr>
        <vertAlign val="superscript"/>
        <sz val="9"/>
        <color theme="1"/>
        <rFont val="Calibri"/>
        <family val="2"/>
      </rPr>
      <t>(1)</t>
    </r>
  </si>
  <si>
    <t xml:space="preserve">UBS </t>
  </si>
  <si>
    <r>
      <t xml:space="preserve">HSBC </t>
    </r>
    <r>
      <rPr>
        <vertAlign val="superscript"/>
        <sz val="9"/>
        <color theme="1"/>
        <rFont val="Calibri"/>
        <family val="2"/>
      </rPr>
      <t>(1)</t>
    </r>
  </si>
  <si>
    <r>
      <t xml:space="preserve">TD Cowen </t>
    </r>
    <r>
      <rPr>
        <vertAlign val="superscript"/>
        <sz val="9"/>
        <color theme="1"/>
        <rFont val="Calibri"/>
        <family val="2"/>
      </rPr>
      <t>(1)</t>
    </r>
  </si>
  <si>
    <r>
      <t xml:space="preserve">Evercore ISI </t>
    </r>
    <r>
      <rPr>
        <vertAlign val="superscript"/>
        <sz val="9"/>
        <color theme="1"/>
        <rFont val="Calibri"/>
        <family val="2"/>
      </rPr>
      <t>(1)</t>
    </r>
  </si>
  <si>
    <t>1) Assumes a 5% haircut on TP</t>
  </si>
  <si>
    <t>Upside ∆</t>
  </si>
  <si>
    <t>Base ∆</t>
  </si>
  <si>
    <t>Bull Case</t>
  </si>
  <si>
    <t>Base Case</t>
  </si>
  <si>
    <t>Down ∆</t>
  </si>
  <si>
    <t>Bear Case</t>
  </si>
  <si>
    <t>Current Price</t>
  </si>
  <si>
    <t>Haircut Assumption</t>
  </si>
  <si>
    <t>Weighting</t>
  </si>
  <si>
    <t>Overweight</t>
  </si>
  <si>
    <t xml:space="preserve">Buy </t>
  </si>
  <si>
    <t>Hold</t>
  </si>
  <si>
    <t>Underweight</t>
  </si>
  <si>
    <t>Upside Assumption</t>
  </si>
  <si>
    <t>Price Targets</t>
  </si>
  <si>
    <t>75th Percentile</t>
  </si>
  <si>
    <t>25th Percentile</t>
  </si>
  <si>
    <t>Forward P/E Multiples</t>
  </si>
  <si>
    <t>Forward EV/EBITDA Multiples</t>
  </si>
  <si>
    <t>FY26E</t>
  </si>
  <si>
    <t>FY27E</t>
  </si>
  <si>
    <t>FY28E</t>
  </si>
  <si>
    <t>Variables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</si>
</sst>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0.0%"/>
    <numFmt numFmtId="167" formatCode="#,##0.0%;\(#,##0.0%\)"/>
    <numFmt numFmtId="168" formatCode="#,##0.0&quot;bps&quot;_);\(#,##0.0&quot;bps&quot;\)"/>
    <numFmt numFmtId="169" formatCode="#,##0.00&quot;bps&quot;_);\(#,##0.00&quot;bps&quot;\)"/>
    <numFmt numFmtId="170" formatCode="_(* #,##0.00&quot;x&quot;_);_(* \(#,##0.00&quot;x&quot;\);_(* &quot;-&quot;_);_(@_)"/>
    <numFmt numFmtId="171" formatCode="_(#,##0_)_%;\(#,##0\)_%;_(&quot;–&quot;_)_%;_(@_)_%"/>
    <numFmt numFmtId="172" formatCode="m/d/yy;@"/>
    <numFmt numFmtId="173" formatCode="#,##0.000_);\(#,##0.000\)"/>
    <numFmt numFmtId="175" formatCode="0\P_);\(0\P\)"/>
    <numFmt numFmtId="176" formatCode="0.0%_);\(0.0%\);@_)"/>
    <numFmt numFmtId="177" formatCode="_(#,##0.0%_);\(#,##0.0%\);_(&quot;–&quot;_)_%;_(@_)_%"/>
    <numFmt numFmtId="179" formatCode="_(#,##0.00%_);\(#,##0.00%\);_(&quot;–&quot;_)_%;_(@_)_%"/>
    <numFmt numFmtId="180" formatCode="0%_);\(0%\);@_)"/>
    <numFmt numFmtId="181" formatCode="_(* #,##0.0000_);_(* \(#,##0.0000\);_(* &quot;-&quot;??_);_(@_)"/>
    <numFmt numFmtId="182" formatCode="_(* #,##0.00000_);_(* \(#,##0.00000\);_(* &quot;-&quot;??_);_(@_)"/>
    <numFmt numFmtId="183" formatCode="_(* #,##0.0_);_(* \(#,##0.0\);_(* &quot;-&quot;??_);_(@_)"/>
    <numFmt numFmtId="185" formatCode="0.000"/>
    <numFmt numFmtId="190" formatCode="0000\P"/>
    <numFmt numFmtId="191" formatCode="#,##0_);\(#,##0\);@_)"/>
    <numFmt numFmtId="192" formatCode="0.0\x_);\(0.0\x\);@_)"/>
    <numFmt numFmtId="193" formatCode="0.000%_);\(0.000%\);@_)"/>
    <numFmt numFmtId="194" formatCode="#,##0.000_);\(#,##0.000\);@_)"/>
    <numFmt numFmtId="195" formatCode="#,##0.000"/>
    <numFmt numFmtId="196" formatCode="&quot;$&quot;#,##0.00_);\(&quot;$&quot;#,##0.00\);@_)"/>
    <numFmt numFmtId="201" formatCode="General&quot;F&quot;"/>
    <numFmt numFmtId="202" formatCode="General&quot;A&quot;"/>
    <numFmt numFmtId="205" formatCode="#,##0.0_);\(#,##0.0\)"/>
    <numFmt numFmtId="210" formatCode="&quot;$&quot;#,##0"/>
    <numFmt numFmtId="224" formatCode="&quot;$&quot;#,##0.0_);\(&quot;$&quot;#,##0.0\)"/>
    <numFmt numFmtId="250" formatCode="#,##0.00&quot;x&quot;"/>
    <numFmt numFmtId="260" formatCode="0.0\ &quot;Days&quot;"/>
    <numFmt numFmtId="261" formatCode="_(* #,##0.0\ &quot;Days&quot;_);_(* \(#,##0.0\ &quot;Days&quot;\);_(* &quot;-&quot;?_);_(@_)"/>
    <numFmt numFmtId="262" formatCode="0.0&quot;x&quot;"/>
    <numFmt numFmtId="263" formatCode="&quot;$&quot;#,##0.0"/>
    <numFmt numFmtId="264" formatCode="#,##0%;\(#,##0%\)"/>
  </numFmts>
  <fonts count="55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b/>
      <sz val="9"/>
      <color rgb="FF0000FF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b/>
      <sz val="9"/>
      <color indexed="81"/>
      <name val="Tahoma"/>
      <family val="2"/>
    </font>
    <font>
      <sz val="9"/>
      <color rgb="FF008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theme="1"/>
      <name val="Calibri"/>
      <family val="2"/>
    </font>
    <font>
      <b/>
      <u/>
      <sz val="9"/>
      <color theme="1"/>
      <name val="Calibri"/>
      <family val="2"/>
    </font>
    <font>
      <sz val="10"/>
      <name val="Arial Narrow MT"/>
      <family val="2"/>
    </font>
    <font>
      <sz val="10"/>
      <name val="Times New Roman"/>
      <family val="1"/>
    </font>
    <font>
      <u/>
      <sz val="11"/>
      <color theme="10"/>
      <name val="Tw Cen MT"/>
      <family val="2"/>
      <scheme val="minor"/>
    </font>
    <font>
      <u/>
      <sz val="9"/>
      <color theme="10"/>
      <name val="Calibri"/>
      <family val="2"/>
    </font>
    <font>
      <b/>
      <u/>
      <sz val="9"/>
      <color rgb="FF0070C0"/>
      <name val="Calibri"/>
      <family val="2"/>
    </font>
    <font>
      <b/>
      <u val="singleAccounting"/>
      <sz val="9"/>
      <color theme="1"/>
      <name val="Calibri"/>
      <family val="2"/>
    </font>
    <font>
      <sz val="9"/>
      <color theme="0"/>
      <name val="Calibri"/>
      <family val="2"/>
    </font>
    <font>
      <i/>
      <sz val="8"/>
      <color rgb="FFFF0000"/>
      <name val="Calibri"/>
      <family val="2"/>
    </font>
    <font>
      <sz val="9"/>
      <color rgb="FF00B03C"/>
      <name val="Calibri"/>
      <family val="2"/>
    </font>
    <font>
      <b/>
      <u val="singleAccounting"/>
      <sz val="9"/>
      <color rgb="FF000000"/>
      <name val="Calibri"/>
      <family val="2"/>
    </font>
    <font>
      <i/>
      <sz val="8"/>
      <color rgb="FF0000FF"/>
      <name val="Calibri"/>
      <family val="2"/>
    </font>
    <font>
      <b/>
      <sz val="11"/>
      <color theme="1"/>
      <name val="Tw Cen MT"/>
      <family val="2"/>
      <scheme val="minor"/>
    </font>
    <font>
      <sz val="10"/>
      <name val="GillSans"/>
      <family val="2"/>
    </font>
    <font>
      <u/>
      <sz val="10"/>
      <color indexed="12"/>
      <name val="Arial Narrow MT"/>
      <family val="2"/>
    </font>
    <font>
      <i/>
      <sz val="8"/>
      <color rgb="FF0000CC"/>
      <name val="Calibri"/>
      <family val="2"/>
    </font>
    <font>
      <i/>
      <sz val="8"/>
      <color rgb="FF00B03C"/>
      <name val="Calibri"/>
      <family val="2"/>
    </font>
    <font>
      <i/>
      <sz val="9"/>
      <color rgb="FF00B03C"/>
      <name val="Calibri"/>
      <family val="2"/>
    </font>
    <font>
      <i/>
      <sz val="9"/>
      <color rgb="FF0000CC"/>
      <name val="Calibri"/>
      <family val="2"/>
    </font>
    <font>
      <b/>
      <u val="singleAccounting"/>
      <sz val="9"/>
      <color theme="0"/>
      <name val="Calibri"/>
      <family val="2"/>
    </font>
    <font>
      <vertAlign val="superscript"/>
      <sz val="9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2F2F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E5672"/>
        <bgColor indexed="64"/>
      </patternFill>
    </fill>
    <fill>
      <patternFill patternType="solid">
        <fgColor rgb="FF487B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hair">
        <color rgb="FF000000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35" fillId="0" borderId="0" applyNumberFormat="0" applyFont="0" applyFill="0" applyBorder="0" applyAlignment="0" applyProtection="0"/>
    <xf numFmtId="37" fontId="36" fillId="0" borderId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9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5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0" fontId="48" fillId="0" borderId="0" applyNumberFormat="0" applyFill="0" applyBorder="0">
      <protection locked="0"/>
    </xf>
    <xf numFmtId="41" fontId="47" fillId="0" borderId="0" applyFont="0" applyFill="0" applyBorder="0" applyAlignment="0" applyProtection="0"/>
  </cellStyleXfs>
  <cellXfs count="613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3" borderId="0" xfId="0" applyFont="1" applyFill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167" fontId="7" fillId="3" borderId="0" xfId="1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167" fontId="9" fillId="3" borderId="0" xfId="1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 indent="1"/>
    </xf>
    <xf numFmtId="167" fontId="10" fillId="0" borderId="0" xfId="1" applyNumberFormat="1" applyFont="1" applyBorder="1" applyAlignment="1">
      <alignment horizontal="right" vertical="center" wrapText="1"/>
    </xf>
    <xf numFmtId="168" fontId="9" fillId="3" borderId="0" xfId="1" applyNumberFormat="1" applyFont="1" applyFill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4" fillId="0" borderId="0" xfId="0" quotePrefix="1" applyFont="1" applyAlignment="1">
      <alignment wrapText="1"/>
    </xf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7" fontId="7" fillId="0" borderId="0" xfId="1" applyNumberFormat="1" applyFont="1" applyBorder="1" applyAlignment="1">
      <alignment horizontal="right" vertical="center" wrapText="1"/>
    </xf>
    <xf numFmtId="37" fontId="15" fillId="0" borderId="0" xfId="0" applyNumberFormat="1" applyFont="1"/>
    <xf numFmtId="37" fontId="6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6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8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4" fillId="0" borderId="0" xfId="0" applyNumberFormat="1" applyFont="1"/>
    <xf numFmtId="37" fontId="19" fillId="0" borderId="0" xfId="2" applyNumberFormat="1" applyFont="1" applyFill="1" applyBorder="1" applyAlignment="1">
      <alignment wrapText="1"/>
    </xf>
    <xf numFmtId="37" fontId="12" fillId="0" borderId="0" xfId="2" applyNumberFormat="1" applyFont="1" applyFill="1" applyBorder="1" applyAlignment="1">
      <alignment wrapText="1"/>
    </xf>
    <xf numFmtId="37" fontId="12" fillId="0" borderId="0" xfId="2" applyNumberFormat="1" applyFont="1" applyBorder="1" applyAlignment="1">
      <alignment wrapText="1"/>
    </xf>
    <xf numFmtId="37" fontId="6" fillId="0" borderId="0" xfId="2" applyNumberFormat="1" applyFont="1" applyFill="1" applyBorder="1" applyAlignment="1">
      <alignment wrapText="1"/>
    </xf>
    <xf numFmtId="164" fontId="15" fillId="0" borderId="0" xfId="2" applyNumberFormat="1" applyFont="1" applyBorder="1" applyAlignment="1">
      <alignment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vertical="top" wrapText="1"/>
    </xf>
    <xf numFmtId="43" fontId="22" fillId="0" borderId="0" xfId="0" applyNumberFormat="1" applyFont="1" applyAlignment="1">
      <alignment wrapText="1"/>
    </xf>
    <xf numFmtId="0" fontId="23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17" fillId="0" borderId="6" xfId="0" applyFont="1" applyBorder="1"/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7" fontId="7" fillId="4" borderId="0" xfId="1" applyNumberFormat="1" applyFont="1" applyFill="1" applyBorder="1" applyAlignment="1">
      <alignment horizontal="right" vertical="center" wrapText="1"/>
    </xf>
    <xf numFmtId="167" fontId="9" fillId="4" borderId="0" xfId="1" applyNumberFormat="1" applyFont="1" applyFill="1" applyBorder="1" applyAlignment="1">
      <alignment horizontal="right" vertical="center" wrapText="1"/>
    </xf>
    <xf numFmtId="169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6" fillId="0" borderId="0" xfId="0" applyFont="1" applyAlignment="1">
      <alignment horizontal="right" vertical="center" wrapText="1"/>
    </xf>
    <xf numFmtId="41" fontId="26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170" fontId="4" fillId="0" borderId="0" xfId="0" applyNumberFormat="1" applyFont="1"/>
    <xf numFmtId="0" fontId="6" fillId="0" borderId="0" xfId="0" applyFont="1"/>
    <xf numFmtId="0" fontId="31" fillId="0" borderId="0" xfId="0" applyFont="1"/>
    <xf numFmtId="0" fontId="15" fillId="0" borderId="8" xfId="0" applyFont="1" applyBorder="1"/>
    <xf numFmtId="37" fontId="12" fillId="0" borderId="0" xfId="0" applyNumberFormat="1" applyFont="1"/>
    <xf numFmtId="0" fontId="4" fillId="0" borderId="0" xfId="0" applyFont="1" applyAlignment="1">
      <alignment horizontal="left"/>
    </xf>
    <xf numFmtId="0" fontId="33" fillId="0" borderId="0" xfId="0" applyFont="1"/>
    <xf numFmtId="176" fontId="12" fillId="0" borderId="0" xfId="0" applyNumberFormat="1" applyFont="1"/>
    <xf numFmtId="175" fontId="32" fillId="0" borderId="0" xfId="0" applyNumberFormat="1" applyFont="1"/>
    <xf numFmtId="172" fontId="30" fillId="0" borderId="8" xfId="0" applyNumberFormat="1" applyFont="1" applyBorder="1"/>
    <xf numFmtId="0" fontId="15" fillId="0" borderId="0" xfId="0" applyFont="1" applyAlignment="1">
      <alignment horizontal="left" indent="1"/>
    </xf>
    <xf numFmtId="176" fontId="4" fillId="0" borderId="0" xfId="0" applyNumberFormat="1" applyFont="1"/>
    <xf numFmtId="177" fontId="12" fillId="0" borderId="0" xfId="0" applyNumberFormat="1" applyFont="1"/>
    <xf numFmtId="177" fontId="4" fillId="0" borderId="0" xfId="0" applyNumberFormat="1" applyFont="1"/>
    <xf numFmtId="0" fontId="34" fillId="0" borderId="0" xfId="0" applyFont="1" applyAlignment="1">
      <alignment horizontal="left"/>
    </xf>
    <xf numFmtId="0" fontId="4" fillId="0" borderId="0" xfId="0" applyFont="1" applyAlignment="1">
      <alignment horizontal="left" indent="2"/>
    </xf>
    <xf numFmtId="10" fontId="12" fillId="0" borderId="0" xfId="0" applyNumberFormat="1" applyFont="1"/>
    <xf numFmtId="0" fontId="4" fillId="0" borderId="0" xfId="0" applyFont="1" applyAlignment="1">
      <alignment horizontal="right"/>
    </xf>
    <xf numFmtId="37" fontId="27" fillId="0" borderId="0" xfId="0" applyNumberFormat="1" applyFont="1"/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3" fontId="22" fillId="0" borderId="11" xfId="0" applyNumberFormat="1" applyFont="1" applyBorder="1" applyAlignment="1">
      <alignment wrapText="1"/>
    </xf>
    <xf numFmtId="182" fontId="22" fillId="0" borderId="11" xfId="0" applyNumberFormat="1" applyFont="1" applyBorder="1" applyAlignment="1">
      <alignment wrapText="1"/>
    </xf>
    <xf numFmtId="181" fontId="22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183" fontId="22" fillId="0" borderId="11" xfId="0" applyNumberFormat="1" applyFont="1" applyBorder="1" applyAlignment="1">
      <alignment wrapText="1"/>
    </xf>
    <xf numFmtId="0" fontId="4" fillId="0" borderId="11" xfId="0" applyFont="1" applyBorder="1" applyAlignment="1">
      <alignment wrapText="1"/>
    </xf>
    <xf numFmtId="41" fontId="8" fillId="0" borderId="13" xfId="0" applyNumberFormat="1" applyFont="1" applyBorder="1" applyAlignment="1">
      <alignment horizontal="right" vertical="top" wrapText="1"/>
    </xf>
    <xf numFmtId="0" fontId="8" fillId="5" borderId="13" xfId="0" applyFont="1" applyFill="1" applyBorder="1" applyAlignment="1">
      <alignment horizontal="right" vertical="center" wrapText="1"/>
    </xf>
    <xf numFmtId="0" fontId="4" fillId="0" borderId="13" xfId="0" applyFont="1" applyBorder="1"/>
    <xf numFmtId="0" fontId="22" fillId="0" borderId="12" xfId="0" applyFont="1" applyBorder="1" applyAlignment="1">
      <alignment horizontal="right" vertical="top" wrapText="1"/>
    </xf>
    <xf numFmtId="41" fontId="6" fillId="0" borderId="14" xfId="0" applyNumberFormat="1" applyFont="1" applyBorder="1" applyAlignment="1">
      <alignment horizontal="right" vertical="top" wrapText="1"/>
    </xf>
    <xf numFmtId="37" fontId="4" fillId="0" borderId="14" xfId="0" applyNumberFormat="1" applyFont="1" applyBorder="1" applyAlignment="1">
      <alignment wrapText="1"/>
    </xf>
    <xf numFmtId="183" fontId="22" fillId="0" borderId="16" xfId="0" applyNumberFormat="1" applyFont="1" applyBorder="1" applyAlignment="1">
      <alignment wrapText="1"/>
    </xf>
    <xf numFmtId="41" fontId="8" fillId="0" borderId="17" xfId="0" applyNumberFormat="1" applyFont="1" applyBorder="1" applyAlignment="1">
      <alignment horizontal="right" vertical="top" wrapText="1"/>
    </xf>
    <xf numFmtId="41" fontId="6" fillId="0" borderId="18" xfId="0" applyNumberFormat="1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27" fillId="0" borderId="0" xfId="0" applyNumberFormat="1" applyFont="1"/>
    <xf numFmtId="0" fontId="15" fillId="0" borderId="18" xfId="0" applyFont="1" applyBorder="1"/>
    <xf numFmtId="0" fontId="4" fillId="0" borderId="18" xfId="0" applyFont="1" applyBorder="1"/>
    <xf numFmtId="0" fontId="4" fillId="6" borderId="18" xfId="0" applyFont="1" applyFill="1" applyBorder="1"/>
    <xf numFmtId="37" fontId="15" fillId="0" borderId="18" xfId="0" applyNumberFormat="1" applyFont="1" applyBorder="1"/>
    <xf numFmtId="173" fontId="12" fillId="0" borderId="0" xfId="0" applyNumberFormat="1" applyFont="1"/>
    <xf numFmtId="173" fontId="31" fillId="0" borderId="0" xfId="0" applyNumberFormat="1" applyFont="1"/>
    <xf numFmtId="0" fontId="4" fillId="0" borderId="0" xfId="0" applyFont="1" applyAlignment="1">
      <alignment horizontal="centerContinuous"/>
    </xf>
    <xf numFmtId="0" fontId="4" fillId="0" borderId="9" xfId="0" applyFont="1" applyBorder="1" applyAlignment="1">
      <alignment horizontal="centerContinuous"/>
    </xf>
    <xf numFmtId="176" fontId="4" fillId="7" borderId="0" xfId="0" applyNumberFormat="1" applyFont="1" applyFill="1"/>
    <xf numFmtId="185" fontId="31" fillId="0" borderId="20" xfId="0" applyNumberFormat="1" applyFont="1" applyBorder="1"/>
    <xf numFmtId="173" fontId="12" fillId="0" borderId="21" xfId="0" applyNumberFormat="1" applyFont="1" applyBorder="1"/>
    <xf numFmtId="185" fontId="31" fillId="0" borderId="21" xfId="0" applyNumberFormat="1" applyFont="1" applyBorder="1"/>
    <xf numFmtId="10" fontId="31" fillId="0" borderId="22" xfId="0" applyNumberFormat="1" applyFont="1" applyBorder="1"/>
    <xf numFmtId="177" fontId="4" fillId="0" borderId="9" xfId="0" applyNumberFormat="1" applyFont="1" applyBorder="1"/>
    <xf numFmtId="10" fontId="12" fillId="0" borderId="22" xfId="0" applyNumberFormat="1" applyFont="1" applyBorder="1"/>
    <xf numFmtId="10" fontId="31" fillId="0" borderId="23" xfId="0" applyNumberFormat="1" applyFont="1" applyBorder="1"/>
    <xf numFmtId="0" fontId="12" fillId="8" borderId="7" xfId="0" applyFont="1" applyFill="1" applyBorder="1" applyAlignment="1">
      <alignment horizontal="right"/>
    </xf>
    <xf numFmtId="173" fontId="4" fillId="0" borderId="0" xfId="0" applyNumberFormat="1" applyFont="1"/>
    <xf numFmtId="0" fontId="12" fillId="0" borderId="0" xfId="0" applyFont="1"/>
    <xf numFmtId="37" fontId="29" fillId="0" borderId="0" xfId="0" applyNumberFormat="1" applyFont="1"/>
    <xf numFmtId="39" fontId="4" fillId="0" borderId="0" xfId="0" applyNumberFormat="1" applyFont="1"/>
    <xf numFmtId="7" fontId="4" fillId="0" borderId="0" xfId="0" applyNumberFormat="1" applyFont="1"/>
    <xf numFmtId="14" fontId="12" fillId="0" borderId="0" xfId="0" applyNumberFormat="1" applyFont="1" applyAlignment="1">
      <alignment horizontal="right"/>
    </xf>
    <xf numFmtId="0" fontId="38" fillId="0" borderId="0" xfId="6" applyFont="1" applyBorder="1"/>
    <xf numFmtId="7" fontId="29" fillId="0" borderId="0" xfId="0" applyNumberFormat="1" applyFont="1" applyAlignment="1">
      <alignment horizontal="right"/>
    </xf>
    <xf numFmtId="191" fontId="29" fillId="0" borderId="0" xfId="0" applyNumberFormat="1" applyFont="1"/>
    <xf numFmtId="191" fontId="31" fillId="0" borderId="0" xfId="0" applyNumberFormat="1" applyFont="1"/>
    <xf numFmtId="191" fontId="4" fillId="0" borderId="0" xfId="0" applyNumberFormat="1" applyFont="1"/>
    <xf numFmtId="14" fontId="4" fillId="0" borderId="0" xfId="0" applyNumberFormat="1" applyFont="1"/>
    <xf numFmtId="177" fontId="4" fillId="0" borderId="0" xfId="0" applyNumberFormat="1" applyFont="1" applyAlignment="1">
      <alignment horizontal="center"/>
    </xf>
    <xf numFmtId="190" fontId="4" fillId="0" borderId="0" xfId="0" applyNumberFormat="1" applyFont="1"/>
    <xf numFmtId="192" fontId="12" fillId="0" borderId="0" xfId="0" applyNumberFormat="1" applyFont="1"/>
    <xf numFmtId="0" fontId="16" fillId="0" borderId="0" xfId="0" applyFont="1" applyAlignment="1">
      <alignment horizontal="left"/>
    </xf>
    <xf numFmtId="177" fontId="16" fillId="0" borderId="0" xfId="0" applyNumberFormat="1" applyFont="1"/>
    <xf numFmtId="193" fontId="16" fillId="0" borderId="0" xfId="0" applyNumberFormat="1" applyFont="1"/>
    <xf numFmtId="192" fontId="16" fillId="0" borderId="0" xfId="0" applyNumberFormat="1" applyFont="1"/>
    <xf numFmtId="176" fontId="4" fillId="0" borderId="0" xfId="0" quotePrefix="1" applyNumberFormat="1" applyFont="1"/>
    <xf numFmtId="0" fontId="33" fillId="0" borderId="0" xfId="0" applyFont="1" applyAlignment="1">
      <alignment horizontal="left" vertical="center"/>
    </xf>
    <xf numFmtId="14" fontId="31" fillId="0" borderId="0" xfId="0" applyNumberFormat="1" applyFont="1"/>
    <xf numFmtId="194" fontId="12" fillId="0" borderId="0" xfId="0" applyNumberFormat="1" applyFont="1"/>
    <xf numFmtId="0" fontId="31" fillId="0" borderId="0" xfId="0" applyFont="1" applyAlignment="1">
      <alignment horizontal="left" indent="1"/>
    </xf>
    <xf numFmtId="0" fontId="4" fillId="0" borderId="0" xfId="0" applyFont="1" applyAlignment="1">
      <alignment horizontal="left" vertical="center" indent="1"/>
    </xf>
    <xf numFmtId="191" fontId="4" fillId="0" borderId="0" xfId="0" applyNumberFormat="1" applyFont="1" applyAlignment="1">
      <alignment horizontal="right"/>
    </xf>
    <xf numFmtId="37" fontId="16" fillId="0" borderId="10" xfId="0" applyNumberFormat="1" applyFont="1" applyBorder="1" applyAlignment="1">
      <alignment horizontal="right"/>
    </xf>
    <xf numFmtId="37" fontId="4" fillId="0" borderId="0" xfId="0" applyNumberFormat="1" applyFont="1" applyAlignment="1">
      <alignment horizontal="right"/>
    </xf>
    <xf numFmtId="37" fontId="11" fillId="0" borderId="0" xfId="0" applyNumberFormat="1" applyFont="1" applyAlignment="1">
      <alignment horizontal="right" vertical="top" wrapText="1"/>
    </xf>
    <xf numFmtId="0" fontId="12" fillId="0" borderId="0" xfId="0" applyFont="1" applyAlignment="1">
      <alignment horizontal="center"/>
    </xf>
    <xf numFmtId="8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172" fontId="12" fillId="0" borderId="0" xfId="0" applyNumberFormat="1" applyFont="1" applyAlignment="1">
      <alignment horizontal="center"/>
    </xf>
    <xf numFmtId="0" fontId="4" fillId="0" borderId="11" xfId="0" applyFont="1" applyBorder="1"/>
    <xf numFmtId="173" fontId="12" fillId="0" borderId="11" xfId="0" applyNumberFormat="1" applyFont="1" applyBorder="1" applyAlignment="1">
      <alignment horizontal="center"/>
    </xf>
    <xf numFmtId="0" fontId="4" fillId="0" borderId="12" xfId="0" applyFont="1" applyBorder="1"/>
    <xf numFmtId="0" fontId="4" fillId="0" borderId="14" xfId="0" applyFont="1" applyBorder="1"/>
    <xf numFmtId="0" fontId="4" fillId="0" borderId="16" xfId="0" applyFont="1" applyBorder="1"/>
    <xf numFmtId="0" fontId="12" fillId="0" borderId="18" xfId="0" applyFont="1" applyBorder="1" applyAlignment="1">
      <alignment horizontal="center"/>
    </xf>
    <xf numFmtId="0" fontId="4" fillId="0" borderId="19" xfId="0" applyFont="1" applyBorder="1"/>
    <xf numFmtId="0" fontId="32" fillId="0" borderId="17" xfId="0" applyFont="1" applyBorder="1"/>
    <xf numFmtId="0" fontId="32" fillId="0" borderId="13" xfId="0" applyFont="1" applyBorder="1"/>
    <xf numFmtId="0" fontId="15" fillId="0" borderId="13" xfId="0" applyFont="1" applyBorder="1"/>
    <xf numFmtId="0" fontId="15" fillId="0" borderId="12" xfId="0" applyFont="1" applyBorder="1"/>
    <xf numFmtId="0" fontId="4" fillId="0" borderId="0" xfId="0" applyFont="1" applyAlignment="1">
      <alignment horizontal="center"/>
    </xf>
    <xf numFmtId="171" fontId="12" fillId="5" borderId="7" xfId="0" applyNumberFormat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202" fontId="5" fillId="2" borderId="0" xfId="0" applyNumberFormat="1" applyFont="1" applyFill="1" applyAlignment="1">
      <alignment horizontal="center" vertical="center" wrapText="1"/>
    </xf>
    <xf numFmtId="0" fontId="2" fillId="2" borderId="17" xfId="0" applyFont="1" applyFill="1" applyBorder="1"/>
    <xf numFmtId="0" fontId="2" fillId="0" borderId="13" xfId="0" applyFont="1" applyBorder="1"/>
    <xf numFmtId="0" fontId="2" fillId="9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0" borderId="4" xfId="0" applyFont="1" applyFill="1" applyBorder="1" applyAlignment="1">
      <alignment horizontal="centerContinuous" vertical="center" wrapText="1"/>
    </xf>
    <xf numFmtId="0" fontId="3" fillId="10" borderId="0" xfId="0" applyFont="1" applyFill="1" applyAlignment="1">
      <alignment vertical="center" wrapText="1"/>
    </xf>
    <xf numFmtId="14" fontId="3" fillId="10" borderId="0" xfId="0" applyNumberFormat="1" applyFont="1" applyFill="1" applyAlignment="1">
      <alignment horizontal="center" vertical="center" wrapText="1"/>
    </xf>
    <xf numFmtId="167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9" borderId="4" xfId="0" applyFont="1" applyFill="1" applyBorder="1" applyAlignment="1">
      <alignment horizontal="centerContinuous" vertical="center" wrapText="1"/>
    </xf>
    <xf numFmtId="0" fontId="4" fillId="9" borderId="0" xfId="0" applyFont="1" applyFill="1" applyAlignment="1">
      <alignment wrapText="1"/>
    </xf>
    <xf numFmtId="0" fontId="5" fillId="9" borderId="0" xfId="0" applyFont="1" applyFill="1" applyAlignment="1">
      <alignment horizontal="center" vertical="center" wrapText="1"/>
    </xf>
    <xf numFmtId="14" fontId="3" fillId="9" borderId="0" xfId="0" applyNumberFormat="1" applyFont="1" applyFill="1" applyAlignment="1">
      <alignment horizontal="center" vertical="center" wrapText="1"/>
    </xf>
    <xf numFmtId="201" fontId="5" fillId="2" borderId="0" xfId="0" applyNumberFormat="1" applyFont="1" applyFill="1" applyAlignment="1">
      <alignment horizontal="center" vertical="center" wrapText="1"/>
    </xf>
    <xf numFmtId="0" fontId="2" fillId="11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202" fontId="5" fillId="11" borderId="0" xfId="0" applyNumberFormat="1" applyFont="1" applyFill="1" applyAlignment="1">
      <alignment horizontal="center" vertical="center" wrapText="1"/>
    </xf>
    <xf numFmtId="201" fontId="5" fillId="11" borderId="0" xfId="0" applyNumberFormat="1" applyFont="1" applyFill="1" applyAlignment="1">
      <alignment horizontal="center" vertical="center" wrapText="1"/>
    </xf>
    <xf numFmtId="14" fontId="3" fillId="11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vertical="center" wrapText="1"/>
    </xf>
    <xf numFmtId="0" fontId="2" fillId="12" borderId="4" xfId="0" applyFont="1" applyFill="1" applyBorder="1" applyAlignment="1">
      <alignment horizontal="centerContinuous" vertical="center" wrapText="1"/>
    </xf>
    <xf numFmtId="0" fontId="4" fillId="12" borderId="0" xfId="0" applyFont="1" applyFill="1" applyAlignment="1">
      <alignment wrapText="1"/>
    </xf>
    <xf numFmtId="0" fontId="5" fillId="1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14" fontId="3" fillId="12" borderId="0" xfId="0" applyNumberFormat="1" applyFont="1" applyFill="1" applyAlignment="1">
      <alignment horizontal="center" vertical="center" wrapText="1"/>
    </xf>
    <xf numFmtId="14" fontId="3" fillId="12" borderId="0" xfId="0" applyNumberFormat="1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/>
    </xf>
    <xf numFmtId="0" fontId="2" fillId="13" borderId="0" xfId="0" applyFont="1" applyFill="1" applyAlignment="1">
      <alignment vertical="center" wrapText="1"/>
    </xf>
    <xf numFmtId="0" fontId="2" fillId="13" borderId="4" xfId="0" applyFont="1" applyFill="1" applyBorder="1" applyAlignment="1">
      <alignment horizontal="centerContinuous" vertical="center" wrapText="1"/>
    </xf>
    <xf numFmtId="0" fontId="3" fillId="13" borderId="0" xfId="0" applyFont="1" applyFill="1" applyAlignment="1">
      <alignment vertical="center" wrapText="1"/>
    </xf>
    <xf numFmtId="202" fontId="5" fillId="13" borderId="0" xfId="0" applyNumberFormat="1" applyFont="1" applyFill="1" applyAlignment="1">
      <alignment horizontal="center" vertical="center" wrapText="1"/>
    </xf>
    <xf numFmtId="201" fontId="5" fillId="13" borderId="0" xfId="0" applyNumberFormat="1" applyFont="1" applyFill="1" applyAlignment="1">
      <alignment horizontal="center" vertical="center" wrapText="1"/>
    </xf>
    <xf numFmtId="14" fontId="3" fillId="13" borderId="0" xfId="0" applyNumberFormat="1" applyFont="1" applyFill="1" applyAlignment="1">
      <alignment horizontal="center" vertical="center" wrapText="1"/>
    </xf>
    <xf numFmtId="202" fontId="5" fillId="10" borderId="0" xfId="0" applyNumberFormat="1" applyFont="1" applyFill="1" applyAlignment="1">
      <alignment horizontal="center" vertical="center" wrapText="1"/>
    </xf>
    <xf numFmtId="201" fontId="5" fillId="10" borderId="0" xfId="0" applyNumberFormat="1" applyFont="1" applyFill="1" applyAlignment="1">
      <alignment horizontal="center" vertical="center" wrapText="1"/>
    </xf>
    <xf numFmtId="14" fontId="12" fillId="0" borderId="0" xfId="5" applyNumberFormat="1" applyFont="1" applyAlignment="1">
      <alignment horizontal="right"/>
    </xf>
    <xf numFmtId="14" fontId="31" fillId="0" borderId="0" xfId="5" applyNumberFormat="1" applyFont="1" applyAlignment="1">
      <alignment horizontal="right"/>
    </xf>
    <xf numFmtId="7" fontId="12" fillId="0" borderId="0" xfId="0" applyNumberFormat="1" applyFont="1"/>
    <xf numFmtId="0" fontId="39" fillId="0" borderId="0" xfId="0" applyFont="1" applyAlignment="1">
      <alignment horizontal="center"/>
    </xf>
    <xf numFmtId="177" fontId="31" fillId="0" borderId="11" xfId="0" applyNumberFormat="1" applyFont="1" applyBorder="1"/>
    <xf numFmtId="0" fontId="38" fillId="0" borderId="14" xfId="6" applyFont="1" applyBorder="1"/>
    <xf numFmtId="0" fontId="4" fillId="0" borderId="17" xfId="0" applyFont="1" applyBorder="1"/>
    <xf numFmtId="14" fontId="12" fillId="0" borderId="18" xfId="5" applyNumberFormat="1" applyFont="1" applyBorder="1" applyAlignment="1">
      <alignment horizontal="right"/>
    </xf>
    <xf numFmtId="176" fontId="29" fillId="0" borderId="18" xfId="0" applyNumberFormat="1" applyFont="1" applyBorder="1"/>
    <xf numFmtId="0" fontId="2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center" vertical="center"/>
    </xf>
    <xf numFmtId="41" fontId="11" fillId="0" borderId="0" xfId="0" applyNumberFormat="1" applyFont="1" applyAlignment="1">
      <alignment vertical="center"/>
    </xf>
    <xf numFmtId="41" fontId="6" fillId="0" borderId="0" xfId="0" applyNumberFormat="1" applyFont="1" applyAlignment="1">
      <alignment vertical="center"/>
    </xf>
    <xf numFmtId="201" fontId="5" fillId="2" borderId="0" xfId="0" applyNumberFormat="1" applyFont="1" applyFill="1" applyAlignment="1">
      <alignment horizontal="center" vertical="center"/>
    </xf>
    <xf numFmtId="166" fontId="4" fillId="0" borderId="0" xfId="1" applyNumberFormat="1" applyFont="1" applyAlignment="1">
      <alignment horizontal="center"/>
    </xf>
    <xf numFmtId="166" fontId="15" fillId="0" borderId="0" xfId="1" applyNumberFormat="1" applyFont="1" applyAlignment="1">
      <alignment horizontal="center"/>
    </xf>
    <xf numFmtId="37" fontId="11" fillId="0" borderId="0" xfId="0" applyNumberFormat="1" applyFont="1"/>
    <xf numFmtId="167" fontId="4" fillId="0" borderId="0" xfId="1" applyNumberFormat="1" applyFont="1" applyAlignment="1">
      <alignment horizontal="center"/>
    </xf>
    <xf numFmtId="167" fontId="15" fillId="0" borderId="0" xfId="1" applyNumberFormat="1" applyFont="1" applyAlignment="1">
      <alignment horizontal="center"/>
    </xf>
    <xf numFmtId="202" fontId="5" fillId="2" borderId="0" xfId="0" applyNumberFormat="1" applyFont="1" applyFill="1" applyAlignment="1">
      <alignment horizontal="center" vertical="center"/>
    </xf>
    <xf numFmtId="37" fontId="6" fillId="0" borderId="0" xfId="0" applyNumberFormat="1" applyFont="1"/>
    <xf numFmtId="0" fontId="16" fillId="0" borderId="13" xfId="0" applyFont="1" applyBorder="1" applyAlignment="1">
      <alignment horizontal="left" indent="2"/>
    </xf>
    <xf numFmtId="0" fontId="16" fillId="0" borderId="0" xfId="0" applyFont="1" applyAlignment="1">
      <alignment horizontal="left" vertical="center" indent="1"/>
    </xf>
    <xf numFmtId="0" fontId="33" fillId="0" borderId="13" xfId="0" applyFont="1" applyBorder="1" applyAlignment="1">
      <alignment horizontal="left" indent="1"/>
    </xf>
    <xf numFmtId="0" fontId="15" fillId="5" borderId="18" xfId="0" applyFont="1" applyFill="1" applyBorder="1"/>
    <xf numFmtId="173" fontId="29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40" fillId="0" borderId="0" xfId="0" applyFont="1" applyAlignment="1">
      <alignment horizontal="center"/>
    </xf>
    <xf numFmtId="173" fontId="1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5" fillId="6" borderId="18" xfId="0" applyFont="1" applyFill="1" applyBorder="1"/>
    <xf numFmtId="191" fontId="15" fillId="6" borderId="18" xfId="0" applyNumberFormat="1" applyFont="1" applyFill="1" applyBorder="1"/>
    <xf numFmtId="191" fontId="31" fillId="0" borderId="0" xfId="0" applyNumberFormat="1" applyFont="1" applyAlignment="1">
      <alignment vertical="center"/>
    </xf>
    <xf numFmtId="0" fontId="15" fillId="6" borderId="18" xfId="0" applyFont="1" applyFill="1" applyBorder="1" applyAlignment="1">
      <alignment vertical="center"/>
    </xf>
    <xf numFmtId="0" fontId="32" fillId="6" borderId="18" xfId="0" applyFont="1" applyFill="1" applyBorder="1" applyAlignment="1">
      <alignment vertical="center"/>
    </xf>
    <xf numFmtId="191" fontId="32" fillId="6" borderId="18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Continuous" vertical="center" wrapText="1"/>
    </xf>
    <xf numFmtId="191" fontId="44" fillId="0" borderId="10" xfId="0" applyNumberFormat="1" applyFont="1" applyBorder="1" applyAlignment="1">
      <alignment horizontal="center"/>
    </xf>
    <xf numFmtId="191" fontId="44" fillId="0" borderId="0" xfId="0" applyNumberFormat="1" applyFont="1" applyAlignment="1">
      <alignment horizontal="center"/>
    </xf>
    <xf numFmtId="14" fontId="43" fillId="0" borderId="0" xfId="0" applyNumberFormat="1" applyFont="1" applyAlignment="1">
      <alignment horizontal="center"/>
    </xf>
    <xf numFmtId="37" fontId="15" fillId="6" borderId="18" xfId="0" applyNumberFormat="1" applyFont="1" applyFill="1" applyBorder="1"/>
    <xf numFmtId="196" fontId="15" fillId="5" borderId="18" xfId="0" applyNumberFormat="1" applyFont="1" applyFill="1" applyBorder="1" applyAlignment="1">
      <alignment horizontal="right"/>
    </xf>
    <xf numFmtId="177" fontId="45" fillId="14" borderId="24" xfId="0" applyNumberFormat="1" applyFont="1" applyFill="1" applyBorder="1" applyAlignment="1">
      <alignment horizontal="center" vertical="center"/>
    </xf>
    <xf numFmtId="41" fontId="22" fillId="0" borderId="0" xfId="0" applyNumberFormat="1" applyFont="1" applyAlignment="1">
      <alignment horizontal="right" vertical="center" wrapText="1"/>
    </xf>
    <xf numFmtId="0" fontId="4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5" fontId="8" fillId="15" borderId="0" xfId="0" applyNumberFormat="1" applyFont="1" applyFill="1" applyAlignment="1">
      <alignment horizontal="right" vertical="top" wrapText="1"/>
    </xf>
    <xf numFmtId="9" fontId="10" fillId="0" borderId="2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9" fontId="10" fillId="0" borderId="6" xfId="1" applyFont="1" applyBorder="1" applyAlignment="1">
      <alignment horizontal="right"/>
    </xf>
    <xf numFmtId="0" fontId="24" fillId="6" borderId="29" xfId="0" applyFont="1" applyFill="1" applyBorder="1" applyAlignment="1">
      <alignment horizontal="left" indent="1"/>
    </xf>
    <xf numFmtId="0" fontId="24" fillId="6" borderId="31" xfId="0" applyFont="1" applyFill="1" applyBorder="1" applyAlignment="1">
      <alignment horizontal="left" indent="1"/>
    </xf>
    <xf numFmtId="166" fontId="10" fillId="0" borderId="0" xfId="1" applyNumberFormat="1" applyFont="1" applyBorder="1" applyAlignment="1">
      <alignment horizontal="right"/>
    </xf>
    <xf numFmtId="176" fontId="10" fillId="0" borderId="0" xfId="1" applyNumberFormat="1" applyFont="1" applyBorder="1" applyAlignment="1">
      <alignment horizontal="right"/>
    </xf>
    <xf numFmtId="176" fontId="10" fillId="0" borderId="6" xfId="1" applyNumberFormat="1" applyFont="1" applyBorder="1" applyAlignment="1">
      <alignment horizontal="right"/>
    </xf>
    <xf numFmtId="0" fontId="23" fillId="6" borderId="29" xfId="0" applyFont="1" applyFill="1" applyBorder="1"/>
    <xf numFmtId="9" fontId="10" fillId="0" borderId="33" xfId="1" applyFont="1" applyBorder="1" applyAlignment="1">
      <alignment horizontal="right"/>
    </xf>
    <xf numFmtId="0" fontId="23" fillId="6" borderId="30" xfId="0" applyFont="1" applyFill="1" applyBorder="1"/>
    <xf numFmtId="9" fontId="10" fillId="0" borderId="28" xfId="1" applyFont="1" applyBorder="1" applyAlignment="1">
      <alignment horizontal="right"/>
    </xf>
    <xf numFmtId="166" fontId="10" fillId="0" borderId="33" xfId="1" applyNumberFormat="1" applyFont="1" applyBorder="1" applyAlignment="1">
      <alignment horizontal="right"/>
    </xf>
    <xf numFmtId="176" fontId="10" fillId="0" borderId="33" xfId="1" applyNumberFormat="1" applyFont="1" applyBorder="1" applyAlignment="1">
      <alignment horizontal="right"/>
    </xf>
    <xf numFmtId="176" fontId="10" fillId="0" borderId="34" xfId="1" applyNumberFormat="1" applyFont="1" applyBorder="1" applyAlignment="1">
      <alignment horizontal="right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0" xfId="0" applyFont="1" applyAlignment="1">
      <alignment horizontal="left" indent="1"/>
    </xf>
    <xf numFmtId="0" fontId="15" fillId="0" borderId="0" xfId="0" applyFont="1" applyBorder="1" applyAlignment="1">
      <alignment vertical="center"/>
    </xf>
    <xf numFmtId="0" fontId="16" fillId="6" borderId="0" xfId="0" applyFont="1" applyFill="1" applyAlignment="1">
      <alignment horizontal="left" vertical="center" indent="1"/>
    </xf>
    <xf numFmtId="0" fontId="46" fillId="5" borderId="2" xfId="0" applyFont="1" applyFill="1" applyBorder="1"/>
    <xf numFmtId="0" fontId="15" fillId="5" borderId="29" xfId="0" applyFont="1" applyFill="1" applyBorder="1"/>
    <xf numFmtId="0" fontId="46" fillId="5" borderId="0" xfId="0" applyFont="1" applyFill="1" applyBorder="1"/>
    <xf numFmtId="0" fontId="46" fillId="5" borderId="6" xfId="0" applyFont="1" applyFill="1" applyBorder="1"/>
    <xf numFmtId="0" fontId="4" fillId="5" borderId="30" xfId="0" applyFont="1" applyFill="1" applyBorder="1"/>
    <xf numFmtId="167" fontId="4" fillId="6" borderId="0" xfId="1" applyNumberFormat="1" applyFont="1" applyFill="1" applyAlignment="1">
      <alignment horizontal="right" vertical="center"/>
    </xf>
    <xf numFmtId="41" fontId="6" fillId="5" borderId="2" xfId="0" applyNumberFormat="1" applyFont="1" applyFill="1" applyBorder="1" applyAlignment="1">
      <alignment vertical="center"/>
    </xf>
    <xf numFmtId="41" fontId="6" fillId="5" borderId="0" xfId="0" applyNumberFormat="1" applyFont="1" applyFill="1" applyBorder="1" applyAlignment="1">
      <alignment vertical="center"/>
    </xf>
    <xf numFmtId="167" fontId="15" fillId="5" borderId="33" xfId="1" applyNumberFormat="1" applyFont="1" applyFill="1" applyBorder="1" applyAlignment="1">
      <alignment horizontal="center" vertical="center"/>
    </xf>
    <xf numFmtId="167" fontId="15" fillId="5" borderId="34" xfId="1" applyNumberFormat="1" applyFont="1" applyFill="1" applyBorder="1" applyAlignment="1">
      <alignment horizontal="center" vertical="center"/>
    </xf>
    <xf numFmtId="167" fontId="15" fillId="5" borderId="28" xfId="1" applyNumberFormat="1" applyFont="1" applyFill="1" applyBorder="1" applyAlignment="1">
      <alignment horizontal="center" vertical="center"/>
    </xf>
    <xf numFmtId="0" fontId="4" fillId="0" borderId="0" xfId="0" applyFont="1" applyAlignment="1"/>
    <xf numFmtId="41" fontId="6" fillId="0" borderId="0" xfId="0" applyNumberFormat="1" applyFont="1" applyAlignment="1">
      <alignment horizontal="center" vertical="center"/>
    </xf>
    <xf numFmtId="224" fontId="6" fillId="0" borderId="0" xfId="0" applyNumberFormat="1" applyFont="1" applyAlignment="1">
      <alignment horizontal="right" vertical="center"/>
    </xf>
    <xf numFmtId="5" fontId="6" fillId="0" borderId="0" xfId="0" applyNumberFormat="1" applyFont="1" applyAlignment="1">
      <alignment horizontal="right" vertical="center"/>
    </xf>
    <xf numFmtId="250" fontId="6" fillId="0" borderId="0" xfId="0" applyNumberFormat="1" applyFont="1" applyAlignment="1">
      <alignment horizontal="right" vertical="center"/>
    </xf>
    <xf numFmtId="0" fontId="2" fillId="2" borderId="0" xfId="0" applyFont="1" applyFill="1" applyBorder="1" applyAlignment="1">
      <alignment horizontal="centerContinuous" vertical="center"/>
    </xf>
    <xf numFmtId="0" fontId="15" fillId="5" borderId="37" xfId="0" applyFont="1" applyFill="1" applyBorder="1" applyAlignment="1">
      <alignment vertical="center"/>
    </xf>
    <xf numFmtId="41" fontId="8" fillId="5" borderId="38" xfId="0" applyNumberFormat="1" applyFont="1" applyFill="1" applyBorder="1" applyAlignment="1">
      <alignment horizontal="center" vertical="center"/>
    </xf>
    <xf numFmtId="0" fontId="15" fillId="5" borderId="38" xfId="0" applyFont="1" applyFill="1" applyBorder="1" applyAlignment="1">
      <alignment vertical="center"/>
    </xf>
    <xf numFmtId="224" fontId="8" fillId="5" borderId="38" xfId="0" applyNumberFormat="1" applyFont="1" applyFill="1" applyBorder="1" applyAlignment="1">
      <alignment horizontal="right" vertical="center"/>
    </xf>
    <xf numFmtId="5" fontId="8" fillId="5" borderId="38" xfId="0" applyNumberFormat="1" applyFont="1" applyFill="1" applyBorder="1" applyAlignment="1">
      <alignment horizontal="right" vertical="center"/>
    </xf>
    <xf numFmtId="250" fontId="8" fillId="5" borderId="38" xfId="0" applyNumberFormat="1" applyFont="1" applyFill="1" applyBorder="1" applyAlignment="1">
      <alignment horizontal="right" vertical="center"/>
    </xf>
    <xf numFmtId="250" fontId="8" fillId="5" borderId="39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Continuous" vertical="center"/>
    </xf>
    <xf numFmtId="0" fontId="0" fillId="0" borderId="0" xfId="0" applyFill="1"/>
    <xf numFmtId="0" fontId="15" fillId="0" borderId="0" xfId="0" applyFont="1" applyFill="1" applyBorder="1" applyAlignment="1">
      <alignment vertical="center"/>
    </xf>
    <xf numFmtId="224" fontId="8" fillId="0" borderId="0" xfId="0" applyNumberFormat="1" applyFont="1" applyFill="1" applyBorder="1" applyAlignment="1">
      <alignment horizontal="right" vertical="center"/>
    </xf>
    <xf numFmtId="5" fontId="8" fillId="0" borderId="0" xfId="0" applyNumberFormat="1" applyFont="1" applyFill="1" applyBorder="1" applyAlignment="1">
      <alignment horizontal="right" vertical="center"/>
    </xf>
    <xf numFmtId="250" fontId="8" fillId="0" borderId="0" xfId="0" applyNumberFormat="1" applyFont="1" applyFill="1" applyBorder="1" applyAlignment="1">
      <alignment horizontal="right" vertical="center"/>
    </xf>
    <xf numFmtId="0" fontId="0" fillId="0" borderId="1" xfId="0" applyBorder="1"/>
    <xf numFmtId="167" fontId="6" fillId="6" borderId="0" xfId="1" applyNumberFormat="1" applyFont="1" applyFill="1" applyAlignment="1">
      <alignment horizontal="right" vertical="center"/>
    </xf>
    <xf numFmtId="37" fontId="6" fillId="5" borderId="0" xfId="0" applyNumberFormat="1" applyFont="1" applyFill="1"/>
    <xf numFmtId="0" fontId="2" fillId="2" borderId="0" xfId="0" applyFont="1" applyFill="1"/>
    <xf numFmtId="0" fontId="16" fillId="0" borderId="13" xfId="0" applyFont="1" applyBorder="1" applyAlignment="1">
      <alignment horizontal="left" indent="1"/>
    </xf>
    <xf numFmtId="167" fontId="10" fillId="0" borderId="0" xfId="1" applyNumberFormat="1" applyFont="1" applyFill="1" applyBorder="1" applyAlignment="1">
      <alignment horizontal="right" vertical="center"/>
    </xf>
    <xf numFmtId="167" fontId="50" fillId="0" borderId="0" xfId="1" applyNumberFormat="1" applyFont="1" applyFill="1" applyBorder="1" applyAlignment="1">
      <alignment horizontal="right" vertical="center"/>
    </xf>
    <xf numFmtId="0" fontId="16" fillId="0" borderId="12" xfId="0" applyFont="1" applyBorder="1" applyAlignment="1">
      <alignment horizontal="left" indent="2"/>
    </xf>
    <xf numFmtId="167" fontId="10" fillId="0" borderId="11" xfId="1" applyNumberFormat="1" applyFont="1" applyFill="1" applyBorder="1" applyAlignment="1">
      <alignment horizontal="right" vertical="center"/>
    </xf>
    <xf numFmtId="0" fontId="15" fillId="0" borderId="11" xfId="0" applyFont="1" applyBorder="1"/>
    <xf numFmtId="41" fontId="4" fillId="5" borderId="0" xfId="0" applyNumberFormat="1" applyFont="1" applyFill="1"/>
    <xf numFmtId="164" fontId="4" fillId="0" borderId="0" xfId="0" applyNumberFormat="1" applyFont="1"/>
    <xf numFmtId="0" fontId="4" fillId="5" borderId="0" xfId="0" applyFont="1" applyFill="1"/>
    <xf numFmtId="41" fontId="15" fillId="0" borderId="0" xfId="0" applyNumberFormat="1" applyFont="1"/>
    <xf numFmtId="0" fontId="4" fillId="0" borderId="6" xfId="0" applyFont="1" applyBorder="1"/>
    <xf numFmtId="41" fontId="6" fillId="0" borderId="0" xfId="0" applyNumberFormat="1" applyFont="1"/>
    <xf numFmtId="0" fontId="4" fillId="0" borderId="2" xfId="0" applyFont="1" applyBorder="1"/>
    <xf numFmtId="0" fontId="4" fillId="5" borderId="29" xfId="0" applyFont="1" applyFill="1" applyBorder="1"/>
    <xf numFmtId="0" fontId="16" fillId="5" borderId="29" xfId="0" applyFont="1" applyFill="1" applyBorder="1" applyAlignment="1">
      <alignment horizontal="left" vertical="center" indent="1"/>
    </xf>
    <xf numFmtId="0" fontId="16" fillId="5" borderId="31" xfId="0" applyFont="1" applyFill="1" applyBorder="1" applyAlignment="1">
      <alignment horizontal="left" vertical="center" indent="1"/>
    </xf>
    <xf numFmtId="167" fontId="7" fillId="5" borderId="0" xfId="1" applyNumberFormat="1" applyFont="1" applyFill="1" applyBorder="1" applyAlignment="1">
      <alignment vertical="center"/>
    </xf>
    <xf numFmtId="167" fontId="7" fillId="5" borderId="6" xfId="1" applyNumberFormat="1" applyFont="1" applyFill="1" applyBorder="1" applyAlignment="1">
      <alignment vertical="center"/>
    </xf>
    <xf numFmtId="167" fontId="43" fillId="6" borderId="0" xfId="1" applyNumberFormat="1" applyFont="1" applyFill="1" applyAlignment="1">
      <alignment horizontal="right" vertical="center"/>
    </xf>
    <xf numFmtId="167" fontId="15" fillId="14" borderId="35" xfId="1" applyNumberFormat="1" applyFont="1" applyFill="1" applyBorder="1" applyAlignment="1">
      <alignment horizontal="center" vertical="center"/>
    </xf>
    <xf numFmtId="0" fontId="0" fillId="14" borderId="35" xfId="0" applyFill="1" applyBorder="1"/>
    <xf numFmtId="0" fontId="0" fillId="14" borderId="32" xfId="0" applyFill="1" applyBorder="1"/>
    <xf numFmtId="167" fontId="15" fillId="14" borderId="40" xfId="1" applyNumberFormat="1" applyFont="1" applyFill="1" applyBorder="1" applyAlignment="1">
      <alignment horizontal="center" vertical="center"/>
    </xf>
    <xf numFmtId="167" fontId="51" fillId="5" borderId="0" xfId="1" applyNumberFormat="1" applyFont="1" applyFill="1" applyBorder="1" applyAlignment="1">
      <alignment vertical="center"/>
    </xf>
    <xf numFmtId="167" fontId="51" fillId="5" borderId="6" xfId="1" applyNumberFormat="1" applyFont="1" applyFill="1" applyBorder="1" applyAlignment="1">
      <alignment vertical="center"/>
    </xf>
    <xf numFmtId="5" fontId="6" fillId="5" borderId="2" xfId="0" applyNumberFormat="1" applyFont="1" applyFill="1" applyBorder="1" applyAlignment="1">
      <alignment vertical="center"/>
    </xf>
    <xf numFmtId="5" fontId="6" fillId="5" borderId="0" xfId="0" applyNumberFormat="1" applyFont="1" applyFill="1" applyBorder="1" applyAlignment="1">
      <alignment vertical="center"/>
    </xf>
    <xf numFmtId="5" fontId="8" fillId="5" borderId="0" xfId="0" applyNumberFormat="1" applyFont="1" applyFill="1" applyBorder="1" applyAlignment="1">
      <alignment vertical="center"/>
    </xf>
    <xf numFmtId="41" fontId="8" fillId="5" borderId="0" xfId="0" applyNumberFormat="1" applyFont="1" applyFill="1" applyBorder="1" applyAlignment="1">
      <alignment vertical="center"/>
    </xf>
    <xf numFmtId="167" fontId="51" fillId="6" borderId="0" xfId="1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 indent="1"/>
    </xf>
    <xf numFmtId="167" fontId="7" fillId="0" borderId="0" xfId="1" applyNumberFormat="1" applyFont="1" applyFill="1" applyBorder="1" applyAlignment="1">
      <alignment vertical="center"/>
    </xf>
    <xf numFmtId="0" fontId="46" fillId="0" borderId="0" xfId="0" applyFont="1" applyFill="1" applyBorder="1"/>
    <xf numFmtId="167" fontId="15" fillId="0" borderId="0" xfId="1" applyNumberFormat="1" applyFont="1" applyFill="1" applyBorder="1" applyAlignment="1">
      <alignment horizontal="center" vertical="center"/>
    </xf>
    <xf numFmtId="167" fontId="16" fillId="6" borderId="0" xfId="1" applyNumberFormat="1" applyFont="1" applyFill="1" applyAlignment="1">
      <alignment horizontal="right" vertical="center"/>
    </xf>
    <xf numFmtId="5" fontId="15" fillId="0" borderId="2" xfId="0" applyNumberFormat="1" applyFont="1" applyBorder="1"/>
    <xf numFmtId="0" fontId="4" fillId="0" borderId="0" xfId="0" applyFont="1" applyFill="1" applyBorder="1"/>
    <xf numFmtId="41" fontId="6" fillId="0" borderId="0" xfId="0" applyNumberFormat="1" applyFont="1" applyFill="1" applyBorder="1" applyAlignment="1">
      <alignment vertical="center"/>
    </xf>
    <xf numFmtId="0" fontId="0" fillId="0" borderId="0" xfId="0" applyBorder="1"/>
    <xf numFmtId="167" fontId="52" fillId="6" borderId="0" xfId="1" applyNumberFormat="1" applyFont="1" applyFill="1" applyAlignment="1">
      <alignment horizontal="right" vertical="center"/>
    </xf>
    <xf numFmtId="41" fontId="8" fillId="5" borderId="2" xfId="0" applyNumberFormat="1" applyFont="1" applyFill="1" applyBorder="1" applyAlignment="1">
      <alignment vertical="center"/>
    </xf>
    <xf numFmtId="167" fontId="4" fillId="5" borderId="0" xfId="1" applyNumberFormat="1" applyFont="1" applyFill="1" applyBorder="1" applyAlignment="1">
      <alignment horizontal="right" vertical="center"/>
    </xf>
    <xf numFmtId="167" fontId="4" fillId="5" borderId="6" xfId="1" applyNumberFormat="1" applyFont="1" applyFill="1" applyBorder="1" applyAlignment="1">
      <alignment horizontal="right" vertical="center"/>
    </xf>
    <xf numFmtId="167" fontId="4" fillId="5" borderId="34" xfId="1" applyNumberFormat="1" applyFont="1" applyFill="1" applyBorder="1" applyAlignment="1">
      <alignment horizontal="right" vertical="center"/>
    </xf>
    <xf numFmtId="167" fontId="16" fillId="5" borderId="0" xfId="1" applyNumberFormat="1" applyFont="1" applyFill="1" applyBorder="1" applyAlignment="1">
      <alignment horizontal="right" vertical="center"/>
    </xf>
    <xf numFmtId="167" fontId="16" fillId="5" borderId="6" xfId="1" applyNumberFormat="1" applyFont="1" applyFill="1" applyBorder="1" applyAlignment="1">
      <alignment horizontal="right" vertical="center"/>
    </xf>
    <xf numFmtId="0" fontId="46" fillId="14" borderId="35" xfId="0" applyFont="1" applyFill="1" applyBorder="1"/>
    <xf numFmtId="0" fontId="0" fillId="0" borderId="0" xfId="0" applyFill="1" applyBorder="1"/>
    <xf numFmtId="0" fontId="0" fillId="0" borderId="0" xfId="0" applyAlignment="1">
      <alignment horizontal="center"/>
    </xf>
    <xf numFmtId="5" fontId="15" fillId="0" borderId="0" xfId="0" applyNumberFormat="1" applyFont="1"/>
    <xf numFmtId="0" fontId="0" fillId="16" borderId="0" xfId="0" applyFill="1"/>
    <xf numFmtId="0" fontId="15" fillId="14" borderId="2" xfId="0" applyFont="1" applyFill="1" applyBorder="1" applyAlignment="1">
      <alignment horizontal="left"/>
    </xf>
    <xf numFmtId="0" fontId="4" fillId="14" borderId="2" xfId="0" applyFont="1" applyFill="1" applyBorder="1"/>
    <xf numFmtId="5" fontId="15" fillId="14" borderId="2" xfId="0" applyNumberFormat="1" applyFont="1" applyFill="1" applyBorder="1"/>
    <xf numFmtId="41" fontId="43" fillId="0" borderId="0" xfId="0" applyNumberFormat="1" applyFont="1"/>
    <xf numFmtId="167" fontId="4" fillId="0" borderId="0" xfId="1" applyNumberFormat="1" applyFont="1"/>
    <xf numFmtId="167" fontId="16" fillId="0" borderId="0" xfId="1" applyNumberFormat="1" applyFont="1"/>
    <xf numFmtId="5" fontId="4" fillId="5" borderId="0" xfId="0" applyNumberFormat="1" applyFont="1" applyFill="1"/>
    <xf numFmtId="10" fontId="11" fillId="0" borderId="0" xfId="1" applyNumberFormat="1" applyFont="1"/>
    <xf numFmtId="10" fontId="6" fillId="0" borderId="0" xfId="1" applyNumberFormat="1" applyFont="1"/>
    <xf numFmtId="41" fontId="6" fillId="5" borderId="0" xfId="0" applyNumberFormat="1" applyFont="1" applyFill="1"/>
    <xf numFmtId="0" fontId="15" fillId="6" borderId="25" xfId="0" applyFont="1" applyFill="1" applyBorder="1" applyAlignment="1">
      <alignment horizontal="left"/>
    </xf>
    <xf numFmtId="0" fontId="15" fillId="6" borderId="26" xfId="0" applyFont="1" applyFill="1" applyBorder="1"/>
    <xf numFmtId="5" fontId="15" fillId="6" borderId="26" xfId="0" applyNumberFormat="1" applyFont="1" applyFill="1" applyBorder="1"/>
    <xf numFmtId="5" fontId="15" fillId="6" borderId="27" xfId="0" applyNumberFormat="1" applyFont="1" applyFill="1" applyBorder="1"/>
    <xf numFmtId="10" fontId="4" fillId="0" borderId="0" xfId="0" applyNumberFormat="1" applyFont="1"/>
    <xf numFmtId="41" fontId="6" fillId="5" borderId="0" xfId="0" applyNumberFormat="1" applyFont="1" applyFill="1" applyAlignment="1">
      <alignment horizontal="right" vertical="center" wrapText="1"/>
    </xf>
    <xf numFmtId="0" fontId="15" fillId="0" borderId="8" xfId="0" applyFont="1" applyFill="1" applyBorder="1"/>
    <xf numFmtId="7" fontId="15" fillId="14" borderId="2" xfId="0" applyNumberFormat="1" applyFont="1" applyFill="1" applyBorder="1"/>
    <xf numFmtId="7" fontId="11" fillId="0" borderId="0" xfId="1" applyNumberFormat="1" applyFont="1"/>
    <xf numFmtId="7" fontId="43" fillId="0" borderId="0" xfId="1" applyNumberFormat="1" applyFont="1"/>
    <xf numFmtId="5" fontId="15" fillId="0" borderId="18" xfId="0" applyNumberFormat="1" applyFont="1" applyBorder="1"/>
    <xf numFmtId="0" fontId="4" fillId="0" borderId="0" xfId="0" applyFont="1" applyBorder="1"/>
    <xf numFmtId="41" fontId="6" fillId="0" borderId="0" xfId="0" applyNumberFormat="1" applyFont="1" applyFill="1" applyAlignment="1">
      <alignment horizontal="right" vertical="center" wrapText="1"/>
    </xf>
    <xf numFmtId="41" fontId="4" fillId="0" borderId="0" xfId="0" applyNumberFormat="1" applyFont="1" applyFill="1"/>
    <xf numFmtId="0" fontId="8" fillId="0" borderId="0" xfId="0" applyFont="1" applyFill="1" applyBorder="1" applyAlignment="1">
      <alignment vertical="top" wrapText="1"/>
    </xf>
    <xf numFmtId="5" fontId="8" fillId="0" borderId="0" xfId="0" applyNumberFormat="1" applyFont="1" applyFill="1" applyBorder="1" applyAlignment="1">
      <alignment horizontal="right" vertical="top" wrapText="1"/>
    </xf>
    <xf numFmtId="0" fontId="0" fillId="0" borderId="6" xfId="0" applyBorder="1"/>
    <xf numFmtId="0" fontId="0" fillId="0" borderId="2" xfId="0" applyBorder="1"/>
    <xf numFmtId="0" fontId="15" fillId="6" borderId="30" xfId="0" applyFont="1" applyFill="1" applyBorder="1"/>
    <xf numFmtId="37" fontId="8" fillId="6" borderId="2" xfId="0" applyNumberFormat="1" applyFont="1" applyFill="1" applyBorder="1" applyAlignment="1">
      <alignment vertical="center"/>
    </xf>
    <xf numFmtId="0" fontId="46" fillId="6" borderId="2" xfId="0" applyFont="1" applyFill="1" applyBorder="1"/>
    <xf numFmtId="0" fontId="15" fillId="6" borderId="31" xfId="0" applyFont="1" applyFill="1" applyBorder="1"/>
    <xf numFmtId="37" fontId="8" fillId="6" borderId="6" xfId="0" applyNumberFormat="1" applyFont="1" applyFill="1" applyBorder="1" applyAlignment="1">
      <alignment vertical="center"/>
    </xf>
    <xf numFmtId="0" fontId="46" fillId="6" borderId="6" xfId="0" applyFont="1" applyFill="1" applyBorder="1"/>
    <xf numFmtId="37" fontId="8" fillId="6" borderId="6" xfId="0" applyNumberFormat="1" applyFont="1" applyFill="1" applyBorder="1" applyAlignment="1">
      <alignment horizontal="right" vertical="center"/>
    </xf>
    <xf numFmtId="37" fontId="8" fillId="6" borderId="34" xfId="0" applyNumberFormat="1" applyFont="1" applyFill="1" applyBorder="1" applyAlignment="1">
      <alignment vertical="center"/>
    </xf>
    <xf numFmtId="37" fontId="8" fillId="6" borderId="28" xfId="0" applyNumberFormat="1" applyFont="1" applyFill="1" applyBorder="1" applyAlignment="1">
      <alignment vertical="center"/>
    </xf>
    <xf numFmtId="41" fontId="27" fillId="0" borderId="0" xfId="0" applyNumberFormat="1" applyFont="1" applyAlignment="1">
      <alignment vertical="center"/>
    </xf>
    <xf numFmtId="260" fontId="7" fillId="0" borderId="0" xfId="0" applyNumberFormat="1" applyFont="1" applyBorder="1" applyAlignment="1">
      <alignment horizontal="right" vertical="center"/>
    </xf>
    <xf numFmtId="260" fontId="6" fillId="0" borderId="0" xfId="0" applyNumberFormat="1" applyFont="1" applyBorder="1" applyAlignment="1">
      <alignment vertical="center"/>
    </xf>
    <xf numFmtId="262" fontId="6" fillId="0" borderId="0" xfId="0" applyNumberFormat="1" applyFont="1" applyBorder="1" applyAlignment="1">
      <alignment vertical="center"/>
    </xf>
    <xf numFmtId="261" fontId="6" fillId="0" borderId="0" xfId="0" applyNumberFormat="1" applyFont="1" applyBorder="1" applyAlignment="1">
      <alignment vertical="center"/>
    </xf>
    <xf numFmtId="260" fontId="7" fillId="0" borderId="6" xfId="0" applyNumberFormat="1" applyFont="1" applyBorder="1" applyAlignment="1">
      <alignment horizontal="right" vertical="center"/>
    </xf>
    <xf numFmtId="205" fontId="6" fillId="0" borderId="6" xfId="0" applyNumberFormat="1" applyFont="1" applyBorder="1" applyAlignment="1">
      <alignment horizontal="right" vertical="center"/>
    </xf>
    <xf numFmtId="0" fontId="0" fillId="0" borderId="33" xfId="0" applyBorder="1"/>
    <xf numFmtId="260" fontId="6" fillId="0" borderId="33" xfId="0" applyNumberFormat="1" applyFont="1" applyBorder="1" applyAlignment="1">
      <alignment vertical="center"/>
    </xf>
    <xf numFmtId="262" fontId="6" fillId="0" borderId="33" xfId="0" applyNumberFormat="1" applyFont="1" applyBorder="1" applyAlignment="1">
      <alignment vertical="center"/>
    </xf>
    <xf numFmtId="261" fontId="6" fillId="0" borderId="33" xfId="0" applyNumberFormat="1" applyFont="1" applyBorder="1" applyAlignment="1">
      <alignment vertical="center"/>
    </xf>
    <xf numFmtId="205" fontId="6" fillId="0" borderId="34" xfId="0" applyNumberFormat="1" applyFont="1" applyBorder="1" applyAlignment="1">
      <alignment horizontal="right" vertical="center"/>
    </xf>
    <xf numFmtId="0" fontId="0" fillId="0" borderId="28" xfId="0" applyBorder="1"/>
    <xf numFmtId="0" fontId="15" fillId="6" borderId="0" xfId="0" applyFont="1" applyFill="1" applyBorder="1"/>
    <xf numFmtId="0" fontId="4" fillId="0" borderId="0" xfId="0" applyFont="1" applyFill="1"/>
    <xf numFmtId="0" fontId="15" fillId="0" borderId="0" xfId="0" applyFont="1" applyFill="1" applyBorder="1"/>
    <xf numFmtId="7" fontId="29" fillId="0" borderId="0" xfId="0" applyNumberFormat="1" applyFont="1" applyFill="1" applyAlignment="1">
      <alignment horizontal="right"/>
    </xf>
    <xf numFmtId="5" fontId="15" fillId="0" borderId="0" xfId="0" applyNumberFormat="1" applyFont="1" applyBorder="1"/>
    <xf numFmtId="5" fontId="15" fillId="6" borderId="2" xfId="0" applyNumberFormat="1" applyFont="1" applyFill="1" applyBorder="1"/>
    <xf numFmtId="5" fontId="32" fillId="5" borderId="18" xfId="0" applyNumberFormat="1" applyFont="1" applyFill="1" applyBorder="1"/>
    <xf numFmtId="0" fontId="34" fillId="0" borderId="0" xfId="0" applyFont="1" applyAlignment="1">
      <alignment horizontal="center"/>
    </xf>
    <xf numFmtId="37" fontId="15" fillId="0" borderId="0" xfId="0" applyNumberFormat="1" applyFont="1" applyAlignment="1">
      <alignment horizontal="right"/>
    </xf>
    <xf numFmtId="194" fontId="43" fillId="0" borderId="0" xfId="0" applyNumberFormat="1" applyFont="1"/>
    <xf numFmtId="195" fontId="15" fillId="0" borderId="0" xfId="0" applyNumberFormat="1" applyFont="1" applyBorder="1"/>
    <xf numFmtId="0" fontId="7" fillId="0" borderId="13" xfId="0" applyFont="1" applyBorder="1" applyAlignment="1">
      <alignment horizontal="right" vertical="center" wrapText="1"/>
    </xf>
    <xf numFmtId="41" fontId="6" fillId="0" borderId="0" xfId="0" applyNumberFormat="1" applyFont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41" fontId="11" fillId="0" borderId="18" xfId="0" applyNumberFormat="1" applyFont="1" applyBorder="1" applyAlignment="1">
      <alignment horizontal="right" vertical="top" wrapText="1"/>
    </xf>
    <xf numFmtId="41" fontId="11" fillId="0" borderId="0" xfId="0" applyNumberFormat="1" applyFont="1" applyFill="1"/>
    <xf numFmtId="5" fontId="26" fillId="0" borderId="0" xfId="0" applyNumberFormat="1" applyFont="1" applyAlignment="1">
      <alignment horizontal="right" vertical="center" wrapText="1"/>
    </xf>
    <xf numFmtId="37" fontId="4" fillId="0" borderId="0" xfId="0" applyNumberFormat="1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5" fontId="8" fillId="5" borderId="15" xfId="0" applyNumberFormat="1" applyFont="1" applyFill="1" applyBorder="1" applyAlignment="1">
      <alignment horizontal="right" vertical="top" wrapText="1"/>
    </xf>
    <xf numFmtId="14" fontId="43" fillId="0" borderId="18" xfId="5" applyNumberFormat="1" applyFont="1" applyBorder="1" applyAlignment="1">
      <alignment horizontal="right"/>
    </xf>
    <xf numFmtId="14" fontId="43" fillId="0" borderId="0" xfId="5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4" fillId="0" borderId="0" xfId="0" applyFont="1" applyFill="1" applyAlignment="1">
      <alignment vertical="center"/>
    </xf>
    <xf numFmtId="41" fontId="11" fillId="0" borderId="0" xfId="0" applyNumberFormat="1" applyFont="1" applyFill="1" applyAlignment="1">
      <alignment vertical="center"/>
    </xf>
    <xf numFmtId="41" fontId="6" fillId="0" borderId="0" xfId="0" applyNumberFormat="1" applyFont="1" applyFill="1" applyAlignment="1">
      <alignment vertical="center"/>
    </xf>
    <xf numFmtId="37" fontId="11" fillId="0" borderId="0" xfId="0" applyNumberFormat="1" applyFont="1" applyFill="1"/>
    <xf numFmtId="201" fontId="3" fillId="13" borderId="0" xfId="0" applyNumberFormat="1" applyFont="1" applyFill="1" applyAlignment="1">
      <alignment horizontal="center" vertical="center" wrapText="1"/>
    </xf>
    <xf numFmtId="2" fontId="45" fillId="14" borderId="24" xfId="0" applyNumberFormat="1" applyFont="1" applyFill="1" applyBorder="1" applyAlignment="1">
      <alignment horizontal="center" vertical="center"/>
    </xf>
    <xf numFmtId="2" fontId="10" fillId="14" borderId="24" xfId="0" applyNumberFormat="1" applyFont="1" applyFill="1" applyBorder="1" applyAlignment="1">
      <alignment horizontal="center" vertical="center"/>
    </xf>
    <xf numFmtId="1" fontId="45" fillId="14" borderId="24" xfId="0" applyNumberFormat="1" applyFont="1" applyFill="1" applyBorder="1" applyAlignment="1">
      <alignment horizontal="center" vertical="center"/>
    </xf>
    <xf numFmtId="0" fontId="4" fillId="15" borderId="0" xfId="0" applyFont="1" applyFill="1"/>
    <xf numFmtId="41" fontId="4" fillId="15" borderId="0" xfId="0" applyNumberFormat="1" applyFont="1" applyFill="1"/>
    <xf numFmtId="37" fontId="8" fillId="3" borderId="2" xfId="0" applyNumberFormat="1" applyFont="1" applyFill="1" applyBorder="1" applyAlignment="1">
      <alignment horizontal="right" vertical="top" wrapText="1"/>
    </xf>
    <xf numFmtId="224" fontId="8" fillId="5" borderId="0" xfId="0" applyNumberFormat="1" applyFont="1" applyFill="1" applyBorder="1" applyAlignment="1">
      <alignment vertical="center"/>
    </xf>
    <xf numFmtId="224" fontId="6" fillId="5" borderId="0" xfId="0" applyNumberFormat="1" applyFont="1" applyFill="1" applyBorder="1" applyAlignment="1">
      <alignment vertical="center"/>
    </xf>
    <xf numFmtId="224" fontId="6" fillId="5" borderId="2" xfId="0" applyNumberFormat="1" applyFont="1" applyFill="1" applyBorder="1" applyAlignment="1">
      <alignment vertical="center"/>
    </xf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263" fontId="31" fillId="0" borderId="0" xfId="0" applyNumberFormat="1" applyFont="1" applyFill="1" applyAlignment="1">
      <alignment vertical="center"/>
    </xf>
    <xf numFmtId="37" fontId="31" fillId="0" borderId="0" xfId="0" applyNumberFormat="1" applyFont="1" applyFill="1" applyAlignment="1">
      <alignment vertical="center"/>
    </xf>
    <xf numFmtId="0" fontId="4" fillId="0" borderId="44" xfId="0" applyFont="1" applyFill="1" applyBorder="1"/>
    <xf numFmtId="0" fontId="4" fillId="0" borderId="44" xfId="0" applyFont="1" applyFill="1" applyBorder="1" applyAlignment="1">
      <alignment horizontal="center"/>
    </xf>
    <xf numFmtId="177" fontId="12" fillId="0" borderId="44" xfId="0" applyNumberFormat="1" applyFont="1" applyFill="1" applyBorder="1" applyAlignment="1">
      <alignment horizontal="center"/>
    </xf>
    <xf numFmtId="176" fontId="31" fillId="0" borderId="0" xfId="0" applyNumberFormat="1" applyFont="1" applyFill="1"/>
    <xf numFmtId="37" fontId="12" fillId="0" borderId="44" xfId="0" applyNumberFormat="1" applyFont="1" applyFill="1" applyBorder="1" applyAlignment="1">
      <alignment horizontal="center"/>
    </xf>
    <xf numFmtId="37" fontId="31" fillId="0" borderId="0" xfId="0" applyNumberFormat="1" applyFont="1" applyFill="1"/>
    <xf numFmtId="176" fontId="12" fillId="0" borderId="0" xfId="0" applyNumberFormat="1" applyFont="1" applyFill="1"/>
    <xf numFmtId="180" fontId="4" fillId="0" borderId="0" xfId="0" applyNumberFormat="1" applyFont="1" applyFill="1"/>
    <xf numFmtId="0" fontId="4" fillId="6" borderId="38" xfId="0" applyFont="1" applyFill="1" applyBorder="1"/>
    <xf numFmtId="0" fontId="4" fillId="6" borderId="38" xfId="0" applyFont="1" applyFill="1" applyBorder="1" applyAlignment="1">
      <alignment vertical="center"/>
    </xf>
    <xf numFmtId="0" fontId="4" fillId="6" borderId="48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left" vertical="center" indent="2"/>
    </xf>
    <xf numFmtId="37" fontId="4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left" vertical="center" indent="2"/>
    </xf>
    <xf numFmtId="37" fontId="43" fillId="6" borderId="38" xfId="0" applyNumberFormat="1" applyFont="1" applyFill="1" applyBorder="1" applyAlignment="1">
      <alignment vertical="center"/>
    </xf>
    <xf numFmtId="37" fontId="43" fillId="6" borderId="39" xfId="0" applyNumberFormat="1" applyFont="1" applyFill="1" applyBorder="1" applyAlignment="1">
      <alignment vertical="center"/>
    </xf>
    <xf numFmtId="263" fontId="43" fillId="6" borderId="38" xfId="0" applyNumberFormat="1" applyFont="1" applyFill="1" applyBorder="1" applyAlignment="1">
      <alignment vertical="center"/>
    </xf>
    <xf numFmtId="263" fontId="43" fillId="6" borderId="39" xfId="0" applyNumberFormat="1" applyFont="1" applyFill="1" applyBorder="1" applyAlignment="1">
      <alignment vertical="center"/>
    </xf>
    <xf numFmtId="176" fontId="31" fillId="0" borderId="0" xfId="0" applyNumberFormat="1" applyFont="1" applyFill="1" applyAlignment="1">
      <alignment vertical="center"/>
    </xf>
    <xf numFmtId="177" fontId="12" fillId="0" borderId="44" xfId="0" applyNumberFormat="1" applyFont="1" applyFill="1" applyBorder="1" applyAlignment="1">
      <alignment horizontal="center" vertical="center"/>
    </xf>
    <xf numFmtId="177" fontId="12" fillId="0" borderId="45" xfId="0" applyNumberFormat="1" applyFont="1" applyFill="1" applyBorder="1" applyAlignment="1">
      <alignment horizontal="center" vertical="center"/>
    </xf>
    <xf numFmtId="37" fontId="12" fillId="0" borderId="44" xfId="0" applyNumberFormat="1" applyFont="1" applyFill="1" applyBorder="1" applyAlignment="1">
      <alignment horizontal="center" vertical="center"/>
    </xf>
    <xf numFmtId="224" fontId="12" fillId="0" borderId="44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indent="1"/>
    </xf>
    <xf numFmtId="263" fontId="31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horizontal="left" indent="2"/>
    </xf>
    <xf numFmtId="37" fontId="4" fillId="5" borderId="44" xfId="0" applyNumberFormat="1" applyFont="1" applyFill="1" applyBorder="1" applyAlignment="1">
      <alignment horizontal="center"/>
    </xf>
    <xf numFmtId="37" fontId="31" fillId="5" borderId="0" xfId="0" applyNumberFormat="1" applyFont="1" applyFill="1" applyAlignment="1">
      <alignment vertical="center"/>
    </xf>
    <xf numFmtId="0" fontId="4" fillId="0" borderId="49" xfId="0" applyFont="1" applyBorder="1"/>
    <xf numFmtId="0" fontId="15" fillId="0" borderId="51" xfId="0" applyFont="1" applyBorder="1" applyAlignment="1">
      <alignment vertical="center"/>
    </xf>
    <xf numFmtId="263" fontId="0" fillId="0" borderId="0" xfId="0" applyNumberFormat="1"/>
    <xf numFmtId="171" fontId="12" fillId="5" borderId="50" xfId="0" applyNumberFormat="1" applyFont="1" applyFill="1" applyBorder="1" applyAlignment="1">
      <alignment horizontal="center" vertical="center"/>
    </xf>
    <xf numFmtId="9" fontId="12" fillId="0" borderId="44" xfId="1" applyFont="1" applyFill="1" applyBorder="1" applyAlignment="1">
      <alignment horizontal="center" vertical="center"/>
    </xf>
    <xf numFmtId="264" fontId="12" fillId="0" borderId="44" xfId="1" applyNumberFormat="1" applyFont="1" applyFill="1" applyBorder="1" applyAlignment="1">
      <alignment horizontal="center" vertical="center"/>
    </xf>
    <xf numFmtId="171" fontId="15" fillId="0" borderId="41" xfId="0" applyNumberFormat="1" applyFont="1" applyBorder="1" applyAlignment="1">
      <alignment horizontal="center" vertical="center"/>
    </xf>
    <xf numFmtId="224" fontId="6" fillId="5" borderId="44" xfId="0" applyNumberFormat="1" applyFont="1" applyFill="1" applyBorder="1" applyAlignment="1">
      <alignment horizontal="center"/>
    </xf>
    <xf numFmtId="167" fontId="10" fillId="0" borderId="0" xfId="1" applyNumberFormat="1" applyFont="1" applyBorder="1" applyAlignment="1">
      <alignment horizontal="right" vertical="center"/>
    </xf>
    <xf numFmtId="41" fontId="49" fillId="0" borderId="0" xfId="0" applyNumberFormat="1" applyFont="1" applyBorder="1" applyAlignment="1">
      <alignment vertical="center"/>
    </xf>
    <xf numFmtId="41" fontId="10" fillId="0" borderId="0" xfId="0" applyNumberFormat="1" applyFont="1" applyBorder="1" applyAlignment="1">
      <alignment vertical="center"/>
    </xf>
    <xf numFmtId="224" fontId="49" fillId="0" borderId="0" xfId="0" applyNumberFormat="1" applyFont="1" applyBorder="1" applyAlignment="1">
      <alignment vertical="center"/>
    </xf>
    <xf numFmtId="224" fontId="10" fillId="0" borderId="0" xfId="0" applyNumberFormat="1" applyFont="1" applyBorder="1" applyAlignment="1">
      <alignment vertical="center"/>
    </xf>
    <xf numFmtId="166" fontId="10" fillId="0" borderId="6" xfId="1" applyNumberFormat="1" applyFont="1" applyBorder="1" applyAlignment="1">
      <alignment horizontal="right"/>
    </xf>
    <xf numFmtId="167" fontId="10" fillId="0" borderId="6" xfId="1" applyNumberFormat="1" applyFont="1" applyBorder="1" applyAlignment="1">
      <alignment horizontal="right" vertical="center"/>
    </xf>
    <xf numFmtId="167" fontId="10" fillId="0" borderId="33" xfId="1" applyNumberFormat="1" applyFont="1" applyBorder="1" applyAlignment="1">
      <alignment horizontal="right" vertical="center"/>
    </xf>
    <xf numFmtId="41" fontId="10" fillId="0" borderId="33" xfId="0" applyNumberFormat="1" applyFont="1" applyBorder="1" applyAlignment="1">
      <alignment vertical="center"/>
    </xf>
    <xf numFmtId="224" fontId="10" fillId="0" borderId="33" xfId="0" applyNumberFormat="1" applyFont="1" applyBorder="1" applyAlignment="1">
      <alignment vertical="center"/>
    </xf>
    <xf numFmtId="167" fontId="10" fillId="0" borderId="34" xfId="1" applyNumberFormat="1" applyFont="1" applyBorder="1" applyAlignment="1">
      <alignment horizontal="right" vertical="center"/>
    </xf>
    <xf numFmtId="0" fontId="43" fillId="0" borderId="0" xfId="0" applyFont="1" applyAlignment="1">
      <alignment horizontal="center"/>
    </xf>
    <xf numFmtId="0" fontId="43" fillId="0" borderId="11" xfId="0" applyFont="1" applyBorder="1" applyAlignment="1">
      <alignment horizontal="center"/>
    </xf>
    <xf numFmtId="0" fontId="15" fillId="0" borderId="0" xfId="0" applyFont="1" applyFill="1" applyAlignment="1">
      <alignment horizontal="left" vertical="center"/>
    </xf>
    <xf numFmtId="176" fontId="43" fillId="6" borderId="38" xfId="0" applyNumberFormat="1" applyFont="1" applyFill="1" applyBorder="1" applyAlignment="1">
      <alignment vertical="center"/>
    </xf>
    <xf numFmtId="176" fontId="43" fillId="6" borderId="39" xfId="0" applyNumberFormat="1" applyFont="1" applyFill="1" applyBorder="1" applyAlignment="1">
      <alignment vertical="center"/>
    </xf>
    <xf numFmtId="176" fontId="4" fillId="5" borderId="0" xfId="0" applyNumberFormat="1" applyFont="1" applyFill="1"/>
    <xf numFmtId="176" fontId="4" fillId="5" borderId="44" xfId="0" applyNumberFormat="1" applyFont="1" applyFill="1" applyBorder="1" applyAlignment="1">
      <alignment horizontal="center"/>
    </xf>
    <xf numFmtId="166" fontId="4" fillId="5" borderId="44" xfId="1" applyNumberFormat="1" applyFont="1" applyFill="1" applyBorder="1" applyAlignment="1">
      <alignment horizontal="center"/>
    </xf>
    <xf numFmtId="0" fontId="15" fillId="6" borderId="0" xfId="0" applyFont="1" applyFill="1"/>
    <xf numFmtId="166" fontId="32" fillId="6" borderId="0" xfId="0" applyNumberFormat="1" applyFont="1" applyFill="1"/>
    <xf numFmtId="210" fontId="32" fillId="6" borderId="2" xfId="0" applyNumberFormat="1" applyFont="1" applyFill="1" applyBorder="1"/>
    <xf numFmtId="9" fontId="32" fillId="6" borderId="2" xfId="1" applyFont="1" applyFill="1" applyBorder="1"/>
    <xf numFmtId="9" fontId="32" fillId="6" borderId="0" xfId="1" applyFont="1" applyFill="1"/>
    <xf numFmtId="10" fontId="6" fillId="0" borderId="0" xfId="0" applyNumberFormat="1" applyFont="1"/>
    <xf numFmtId="10" fontId="12" fillId="0" borderId="0" xfId="0" applyNumberFormat="1" applyFont="1" applyAlignment="1">
      <alignment vertical="center"/>
    </xf>
    <xf numFmtId="166" fontId="44" fillId="0" borderId="0" xfId="0" applyNumberFormat="1" applyFont="1" applyAlignment="1">
      <alignment horizontal="center" vertical="center"/>
    </xf>
    <xf numFmtId="179" fontId="29" fillId="0" borderId="10" xfId="0" applyNumberFormat="1" applyFont="1" applyBorder="1" applyAlignment="1">
      <alignment vertical="center"/>
    </xf>
    <xf numFmtId="166" fontId="4" fillId="0" borderId="0" xfId="1" applyNumberFormat="1" applyFont="1" applyFill="1" applyAlignment="1">
      <alignment vertical="center"/>
    </xf>
    <xf numFmtId="166" fontId="12" fillId="7" borderId="0" xfId="0" applyNumberFormat="1" applyFont="1" applyFill="1" applyAlignment="1">
      <alignment vertical="center"/>
    </xf>
    <xf numFmtId="166" fontId="32" fillId="6" borderId="0" xfId="1" applyNumberFormat="1" applyFont="1" applyFill="1"/>
    <xf numFmtId="10" fontId="12" fillId="0" borderId="0" xfId="0" applyNumberFormat="1" applyFont="1" applyAlignment="1"/>
    <xf numFmtId="0" fontId="2" fillId="2" borderId="4" xfId="0" applyFont="1" applyFill="1" applyBorder="1" applyAlignment="1">
      <alignment horizontal="left" vertical="center" wrapText="1"/>
    </xf>
    <xf numFmtId="0" fontId="41" fillId="2" borderId="0" xfId="0" applyFont="1" applyFill="1" applyAlignment="1">
      <alignment horizontal="left" vertical="center"/>
    </xf>
    <xf numFmtId="7" fontId="29" fillId="0" borderId="0" xfId="0" applyNumberFormat="1" applyFont="1"/>
    <xf numFmtId="37" fontId="6" fillId="0" borderId="0" xfId="0" applyNumberFormat="1" applyFont="1" applyFill="1" applyAlignment="1">
      <alignment vertical="center"/>
    </xf>
    <xf numFmtId="176" fontId="31" fillId="0" borderId="0" xfId="0" applyNumberFormat="1" applyFont="1" applyBorder="1"/>
    <xf numFmtId="173" fontId="4" fillId="0" borderId="0" xfId="0" applyNumberFormat="1" applyFont="1" applyBorder="1"/>
    <xf numFmtId="173" fontId="4" fillId="0" borderId="1" xfId="0" applyNumberFormat="1" applyFont="1" applyBorder="1"/>
    <xf numFmtId="37" fontId="4" fillId="0" borderId="1" xfId="0" applyNumberFormat="1" applyFont="1" applyBorder="1"/>
    <xf numFmtId="176" fontId="4" fillId="0" borderId="1" xfId="0" applyNumberFormat="1" applyFont="1" applyBorder="1"/>
    <xf numFmtId="0" fontId="4" fillId="0" borderId="52" xfId="0" applyFont="1" applyBorder="1"/>
    <xf numFmtId="173" fontId="4" fillId="0" borderId="53" xfId="0" applyNumberFormat="1" applyFont="1" applyBorder="1"/>
    <xf numFmtId="0" fontId="15" fillId="0" borderId="54" xfId="0" applyFont="1" applyBorder="1"/>
    <xf numFmtId="173" fontId="15" fillId="0" borderId="55" xfId="0" applyNumberFormat="1" applyFont="1" applyBorder="1"/>
    <xf numFmtId="0" fontId="3" fillId="2" borderId="0" xfId="0" applyFont="1" applyFill="1" applyAlignment="1">
      <alignment horizontal="left" vertical="center"/>
    </xf>
    <xf numFmtId="173" fontId="6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0" fontId="32" fillId="6" borderId="0" xfId="0" applyNumberFormat="1" applyFont="1" applyFill="1"/>
    <xf numFmtId="2" fontId="6" fillId="0" borderId="0" xfId="0" applyNumberFormat="1" applyFont="1"/>
    <xf numFmtId="0" fontId="15" fillId="6" borderId="18" xfId="0" applyFont="1" applyFill="1" applyBorder="1" applyAlignment="1">
      <alignment horizontal="left"/>
    </xf>
    <xf numFmtId="3" fontId="15" fillId="6" borderId="18" xfId="0" applyNumberFormat="1" applyFont="1" applyFill="1" applyBorder="1"/>
    <xf numFmtId="5" fontId="4" fillId="0" borderId="0" xfId="0" applyNumberFormat="1" applyFont="1" applyAlignment="1">
      <alignment vertical="center"/>
    </xf>
    <xf numFmtId="7" fontId="4" fillId="0" borderId="0" xfId="0" applyNumberFormat="1" applyFont="1" applyAlignment="1">
      <alignment vertical="center"/>
    </xf>
    <xf numFmtId="0" fontId="0" fillId="0" borderId="1" xfId="0" applyBorder="1" applyAlignment="1"/>
    <xf numFmtId="41" fontId="6" fillId="0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53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3" xfId="0" applyBorder="1" applyAlignment="1"/>
    <xf numFmtId="167" fontId="4" fillId="6" borderId="46" xfId="1" applyNumberFormat="1" applyFont="1" applyFill="1" applyBorder="1" applyAlignment="1">
      <alignment horizontal="right" vertical="center"/>
    </xf>
    <xf numFmtId="7" fontId="11" fillId="5" borderId="36" xfId="0" applyNumberFormat="1" applyFont="1" applyFill="1" applyBorder="1" applyAlignment="1">
      <alignment horizontal="center" vertical="center"/>
    </xf>
    <xf numFmtId="167" fontId="4" fillId="6" borderId="56" xfId="1" applyNumberFormat="1" applyFont="1" applyFill="1" applyBorder="1" applyAlignment="1">
      <alignment horizontal="right" vertical="center"/>
    </xf>
    <xf numFmtId="167" fontId="4" fillId="6" borderId="47" xfId="1" applyNumberFormat="1" applyFont="1" applyFill="1" applyBorder="1" applyAlignment="1">
      <alignment horizontal="right" vertical="center"/>
    </xf>
    <xf numFmtId="167" fontId="11" fillId="5" borderId="36" xfId="1" applyNumberFormat="1" applyFont="1" applyFill="1" applyBorder="1" applyAlignment="1">
      <alignment horizontal="center" vertical="center"/>
    </xf>
    <xf numFmtId="0" fontId="53" fillId="2" borderId="0" xfId="0" applyFont="1" applyFill="1" applyBorder="1" applyAlignment="1">
      <alignment horizontal="centerContinuous" vertical="center"/>
    </xf>
    <xf numFmtId="224" fontId="11" fillId="0" borderId="0" xfId="0" applyNumberFormat="1" applyFont="1" applyAlignment="1">
      <alignment horizontal="right" vertical="center"/>
    </xf>
    <xf numFmtId="41" fontId="6" fillId="0" borderId="0" xfId="0" applyNumberFormat="1" applyFont="1" applyFill="1" applyAlignment="1">
      <alignment horizontal="center" vertical="center"/>
    </xf>
    <xf numFmtId="7" fontId="4" fillId="0" borderId="0" xfId="0" applyNumberFormat="1" applyFont="1" applyFill="1" applyAlignment="1">
      <alignment vertical="center"/>
    </xf>
    <xf numFmtId="224" fontId="6" fillId="0" borderId="0" xfId="0" applyNumberFormat="1" applyFont="1" applyFill="1" applyAlignment="1">
      <alignment horizontal="right" vertical="center"/>
    </xf>
    <xf numFmtId="167" fontId="4" fillId="0" borderId="0" xfId="1" applyNumberFormat="1" applyFont="1" applyFill="1" applyBorder="1" applyAlignment="1">
      <alignment horizontal="right" vertical="center"/>
    </xf>
    <xf numFmtId="224" fontId="11" fillId="0" borderId="0" xfId="0" applyNumberFormat="1" applyFont="1" applyFill="1" applyAlignment="1">
      <alignment horizontal="right" vertical="center"/>
    </xf>
    <xf numFmtId="250" fontId="6" fillId="0" borderId="0" xfId="0" applyNumberFormat="1" applyFont="1" applyFill="1" applyAlignment="1">
      <alignment horizontal="right" vertical="center"/>
    </xf>
    <xf numFmtId="5" fontId="4" fillId="0" borderId="0" xfId="0" applyNumberFormat="1" applyFont="1" applyFill="1" applyAlignment="1">
      <alignment vertical="center"/>
    </xf>
    <xf numFmtId="5" fontId="6" fillId="0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41" fontId="6" fillId="5" borderId="0" xfId="0" applyNumberFormat="1" applyFont="1" applyFill="1" applyAlignment="1">
      <alignment horizontal="center" vertical="center"/>
    </xf>
    <xf numFmtId="7" fontId="4" fillId="5" borderId="0" xfId="0" applyNumberFormat="1" applyFont="1" applyFill="1" applyAlignment="1">
      <alignment vertical="center"/>
    </xf>
    <xf numFmtId="224" fontId="6" fillId="5" borderId="0" xfId="0" applyNumberFormat="1" applyFont="1" applyFill="1" applyAlignment="1">
      <alignment horizontal="right" vertical="center"/>
    </xf>
    <xf numFmtId="250" fontId="6" fillId="5" borderId="0" xfId="0" applyNumberFormat="1" applyFont="1" applyFill="1" applyAlignment="1">
      <alignment horizontal="right" vertical="center"/>
    </xf>
    <xf numFmtId="5" fontId="4" fillId="5" borderId="0" xfId="0" applyNumberFormat="1" applyFont="1" applyFill="1" applyAlignment="1">
      <alignment vertical="center"/>
    </xf>
    <xf numFmtId="5" fontId="6" fillId="5" borderId="0" xfId="0" applyNumberFormat="1" applyFont="1" applyFill="1" applyAlignment="1">
      <alignment horizontal="right" vertical="center"/>
    </xf>
    <xf numFmtId="224" fontId="8" fillId="5" borderId="0" xfId="0" applyNumberFormat="1" applyFont="1" applyFill="1" applyAlignment="1">
      <alignment horizontal="right" vertical="center"/>
    </xf>
    <xf numFmtId="167" fontId="15" fillId="5" borderId="0" xfId="1" applyNumberFormat="1" applyFont="1" applyFill="1" applyBorder="1" applyAlignment="1">
      <alignment horizontal="right" vertical="center"/>
    </xf>
    <xf numFmtId="250" fontId="8" fillId="5" borderId="0" xfId="0" applyNumberFormat="1" applyFont="1" applyFill="1" applyAlignment="1">
      <alignment horizontal="right" vertical="center"/>
    </xf>
    <xf numFmtId="250" fontId="11" fillId="0" borderId="0" xfId="0" applyNumberFormat="1" applyFont="1" applyAlignment="1">
      <alignment horizontal="right" vertical="center"/>
    </xf>
    <xf numFmtId="7" fontId="11" fillId="0" borderId="0" xfId="0" applyNumberFormat="1" applyFont="1" applyAlignment="1">
      <alignment horizontal="right" vertical="center"/>
    </xf>
    <xf numFmtId="7" fontId="6" fillId="5" borderId="0" xfId="0" applyNumberFormat="1" applyFont="1" applyFill="1" applyAlignment="1">
      <alignment horizontal="right" vertical="center"/>
    </xf>
  </cellXfs>
  <cellStyles count="14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Comma [0] 2" xfId="13" xr:uid="{BDE7212B-D1B3-496E-BCDA-953C3506620C}"/>
    <cellStyle name="Comma 2" xfId="9" xr:uid="{DB5BEC9A-0B5E-4A8A-8948-B23EED3B8D63}"/>
    <cellStyle name="Currency [0] 2" xfId="11" xr:uid="{BBBE41B8-518A-4376-890F-5FC8D27CFA47}"/>
    <cellStyle name="Currency 2" xfId="10" xr:uid="{E5471D50-9525-4504-9CEB-CEF0D46054B5}"/>
    <cellStyle name="Hyperlink" xfId="6" builtinId="8"/>
    <cellStyle name="Hyperlink 2" xfId="12" xr:uid="{B5070B12-4E72-4158-BE36-0E42A92EC131}"/>
    <cellStyle name="Normal" xfId="0" builtinId="0"/>
    <cellStyle name="Normal 2" xfId="7" xr:uid="{6F008E06-22BA-4329-A7F8-95C63A5512E3}"/>
    <cellStyle name="Normal_DCF_Model" xfId="5" xr:uid="{82C2EF57-1428-4F27-93CB-A7C5310C2F37}"/>
    <cellStyle name="Percent" xfId="1" builtinId="5"/>
    <cellStyle name="Percent 2" xfId="8" xr:uid="{E0A4DE01-79E4-4846-AF37-608F68CA4E90}"/>
  </cellStyles>
  <dxfs count="2">
    <dxf>
      <font>
        <b/>
        <i val="0"/>
      </font>
      <fill>
        <patternFill patternType="solid">
          <bgColor theme="2"/>
        </patternFill>
      </fill>
      <border>
        <left/>
        <right/>
        <top/>
        <bottom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x\AppData\Local\Temp\4819e2e9-aa78-4b81-b055-71c9923ae613_DCF-Modeling-Course-DL-Kit%20(7).zip.613\DCF%20Model.xlsx" TargetMode="External"/><Relationship Id="rId1" Type="http://schemas.openxmlformats.org/officeDocument/2006/relationships/externalLinkPath" Target="/Users/Felix/AppData/Local/Temp/4819e2e9-aa78-4b81-b055-71c9923ae613_DCF-Modeling-Course-DL-Kit%20(7).zip.613/DCF%20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x\Downloads\APPL%20(2).xlsx" TargetMode="External"/><Relationship Id="rId1" Type="http://schemas.openxmlformats.org/officeDocument/2006/relationships/externalLinkPath" Target="APP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 "/>
      <sheetName val="Simple DCF Empty"/>
      <sheetName val="Simple DCF Done"/>
      <sheetName val="WACC Empty"/>
      <sheetName val="WACC Done"/>
      <sheetName val="Shares Empty"/>
      <sheetName val="Shares"/>
      <sheetName val="DCF 1-Pager"/>
      <sheetName val="2019 FSM Update Complete"/>
      <sheetName val="Integrated DCF Empty"/>
      <sheetName val="Integrated DCF"/>
    </sheetNames>
    <sheetDataSet>
      <sheetData sheetId="0"/>
      <sheetData sheetId="1" refreshError="1"/>
      <sheetData sheetId="2">
        <row r="5">
          <cell r="H5">
            <v>273.52</v>
          </cell>
        </row>
      </sheetData>
      <sheetData sheetId="3" refreshError="1"/>
      <sheetData sheetId="4"/>
      <sheetData sheetId="5" refreshError="1"/>
      <sheetData sheetId="6">
        <row r="25">
          <cell r="E25">
            <v>14543</v>
          </cell>
        </row>
      </sheetData>
      <sheetData sheetId="7" refreshError="1"/>
      <sheetData sheetId="8"/>
      <sheetData sheetId="9">
        <row r="128">
          <cell r="B128" t="str">
            <v>DCF Value at 11.0x-15.0x Exit EBITDA Range at 9.0% WACC</v>
          </cell>
          <cell r="C128">
            <v>20.680633001583054</v>
          </cell>
          <cell r="D128">
            <v>0</v>
          </cell>
          <cell r="E128">
            <v>20.680633001583054</v>
          </cell>
          <cell r="G128" t="str">
            <v>LTM EBITDA Purchase Multiple at 2.0%-4.0% Perpetuity Growth at 9.0% WACC</v>
          </cell>
          <cell r="O128" t="e">
            <v>#DIV/0!</v>
          </cell>
          <cell r="P128" t="e">
            <v>#DIV/0!</v>
          </cell>
          <cell r="Q128" t="e">
            <v>#DIV/0!</v>
          </cell>
        </row>
        <row r="129">
          <cell r="B129" t="str">
            <v>DCF Value at 2.0%-4.0% Perpetuity Range at 9.0% WACC</v>
          </cell>
          <cell r="C129">
            <v>20.680633001583054</v>
          </cell>
          <cell r="D129">
            <v>0</v>
          </cell>
          <cell r="E129">
            <v>20.680633001583054</v>
          </cell>
          <cell r="G129" t="e">
            <v>#DIV/0!</v>
          </cell>
          <cell r="O129" t="e">
            <v>#DIV/0!</v>
          </cell>
          <cell r="P129" t="e">
            <v>#DIV/0!</v>
          </cell>
          <cell r="Q129" t="e">
            <v>#DIV/0!</v>
          </cell>
        </row>
        <row r="130">
          <cell r="B130" t="str">
            <v>52 Week Market High/Low</v>
          </cell>
          <cell r="C130">
            <v>169.5</v>
          </cell>
          <cell r="D130">
            <v>158.35000000000002</v>
          </cell>
          <cell r="E130">
            <v>327.85</v>
          </cell>
          <cell r="G130" t="str">
            <v>LTM EBITDA Purchase Multiple at 7.0%-11.0% WACC at 13.0x Exit EBITDA</v>
          </cell>
          <cell r="O130" t="e">
            <v>#DIV/0!</v>
          </cell>
          <cell r="P130" t="e">
            <v>#DIV/0!</v>
          </cell>
          <cell r="Q130" t="e">
            <v>#DIV/0!</v>
          </cell>
        </row>
      </sheetData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Q ML_Model_Info"/>
      <sheetName val="Working Model"/>
      <sheetName val="Balance Sheet"/>
      <sheetName val="Cash Flow Statement"/>
      <sheetName val="iPhone ASP"/>
      <sheetName val="AAPL IB Qtrly"/>
      <sheetName val="AAPL Services Qtrly"/>
      <sheetName val="AAPL Services FX Qtrly"/>
      <sheetName val="Safari Payments Qtrly"/>
      <sheetName val="AppleCare+ Qt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R139"/>
  <sheetViews>
    <sheetView showGridLines="0" zoomScaleNormal="100" workbookViewId="0">
      <selection activeCell="K88" sqref="K88"/>
    </sheetView>
  </sheetViews>
  <sheetFormatPr defaultRowHeight="12" outlineLevelCol="3"/>
  <cols>
    <col min="1" max="1" width="1.625" style="5" bestFit="1" customWidth="1"/>
    <col min="2" max="2" width="43.25" style="5" bestFit="1" customWidth="1"/>
    <col min="3" max="5" width="8.625" style="5" hidden="1" customWidth="1" outlineLevel="3"/>
    <col min="6" max="6" width="8.625" style="5" hidden="1" customWidth="1" outlineLevel="2"/>
    <col min="7" max="8" width="8.625" style="5" hidden="1" customWidth="1" outlineLevel="1"/>
    <col min="9" max="9" width="8.75" style="5" bestFit="1" customWidth="1" collapsed="1"/>
    <col min="10" max="10" width="8.75" style="5" bestFit="1" customWidth="1"/>
    <col min="11" max="12" width="9.5" style="5" bestFit="1" customWidth="1"/>
    <col min="13" max="13" width="1.5" style="5" customWidth="1"/>
    <col min="14" max="14" width="8.625" style="5" customWidth="1" outlineLevel="1"/>
    <col min="15" max="16" width="7.875" style="5" customWidth="1" outlineLevel="1"/>
    <col min="17" max="18" width="8.625" style="5" customWidth="1" outlineLevel="1"/>
    <col min="19" max="19" width="8" style="5" customWidth="1" outlineLevel="1"/>
    <col min="20" max="20" width="8.25" style="5" customWidth="1" outlineLevel="1"/>
    <col min="21" max="23" width="8.625" style="5" customWidth="1" outlineLevel="1"/>
    <col min="24" max="24" width="8.75" style="5" bestFit="1" customWidth="1"/>
    <col min="25" max="29" width="9.5" style="5" bestFit="1" customWidth="1"/>
    <col min="30" max="30" width="1.5" style="5" customWidth="1"/>
    <col min="31" max="36" width="9" style="5" customWidth="1" outlineLevel="1"/>
    <col min="37" max="37" width="9" style="5" bestFit="1" customWidth="1"/>
    <col min="38" max="40" width="9" style="5" customWidth="1" outlineLevel="1"/>
    <col min="41" max="42" width="9" style="5" bestFit="1" customWidth="1"/>
    <col min="43" max="43" width="1.25" style="5" customWidth="1"/>
    <col min="44" max="44" width="8.125" style="5" bestFit="1" customWidth="1"/>
    <col min="45" max="45" width="1.375" style="5" customWidth="1"/>
    <col min="46" max="16384" width="9" style="5"/>
  </cols>
  <sheetData>
    <row r="2" spans="1:44" ht="12.75" customHeight="1">
      <c r="B2" s="1" t="s">
        <v>223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3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3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3"/>
      <c r="AR2" s="1"/>
    </row>
    <row r="3" spans="1:44" ht="12.75" customHeight="1">
      <c r="B3" s="6" t="s">
        <v>359</v>
      </c>
      <c r="C3" s="7"/>
      <c r="D3" s="7"/>
      <c r="E3" s="7"/>
      <c r="F3" s="7"/>
      <c r="G3" s="7"/>
      <c r="H3" s="7"/>
      <c r="I3" s="7"/>
      <c r="J3" s="7"/>
      <c r="K3" s="7"/>
      <c r="L3" s="7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3"/>
      <c r="AR3" s="1"/>
    </row>
    <row r="4" spans="1:44" ht="12.75" customHeight="1">
      <c r="B4" s="6" t="s">
        <v>351</v>
      </c>
      <c r="C4" s="3"/>
      <c r="D4" s="3"/>
      <c r="E4" s="3"/>
      <c r="F4" s="3"/>
      <c r="G4" s="3"/>
      <c r="H4" s="3"/>
      <c r="I4" s="3"/>
      <c r="J4" s="11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1"/>
    </row>
    <row r="6" spans="1:44" ht="12.75" customHeight="1">
      <c r="A6" s="5" t="s">
        <v>24</v>
      </c>
      <c r="B6" s="1" t="s">
        <v>353</v>
      </c>
      <c r="C6" s="2" t="s">
        <v>0</v>
      </c>
      <c r="D6" s="2"/>
      <c r="E6" s="2"/>
      <c r="F6" s="2" t="s">
        <v>0</v>
      </c>
      <c r="G6" s="2" t="s">
        <v>0</v>
      </c>
      <c r="H6" s="2"/>
      <c r="I6" s="2"/>
      <c r="J6" s="2"/>
      <c r="K6" s="2"/>
      <c r="L6" s="2"/>
      <c r="M6" s="3"/>
      <c r="N6" s="2" t="s">
        <v>1</v>
      </c>
      <c r="O6" s="2"/>
      <c r="P6" s="2"/>
      <c r="Q6" s="2"/>
      <c r="R6" s="2"/>
      <c r="S6" s="2"/>
      <c r="T6" s="2" t="s">
        <v>1</v>
      </c>
      <c r="U6" s="2"/>
      <c r="V6" s="2"/>
      <c r="W6" s="2" t="s">
        <v>1</v>
      </c>
      <c r="X6" s="2" t="s">
        <v>1</v>
      </c>
      <c r="Y6" s="2"/>
      <c r="Z6" s="2"/>
      <c r="AA6" s="2"/>
      <c r="AB6" s="2"/>
      <c r="AC6" s="2"/>
      <c r="AD6" s="3"/>
      <c r="AE6" s="2"/>
      <c r="AF6" s="2"/>
      <c r="AG6" s="2"/>
      <c r="AH6" s="2"/>
      <c r="AI6" s="2"/>
      <c r="AJ6" s="2"/>
      <c r="AK6" s="2" t="s">
        <v>10</v>
      </c>
      <c r="AL6" s="2"/>
      <c r="AM6" s="2"/>
      <c r="AN6" s="2"/>
      <c r="AO6" s="2"/>
      <c r="AP6" s="2"/>
      <c r="AQ6" s="41"/>
      <c r="AR6" s="284" t="s">
        <v>36</v>
      </c>
    </row>
    <row r="7" spans="1:44" ht="12.75" customHeight="1">
      <c r="B7" s="6" t="s">
        <v>360</v>
      </c>
      <c r="C7" s="7">
        <v>2016</v>
      </c>
      <c r="D7" s="7">
        <v>2017</v>
      </c>
      <c r="E7" s="7">
        <v>2018</v>
      </c>
      <c r="F7" s="7">
        <v>2019</v>
      </c>
      <c r="G7" s="7">
        <v>2020</v>
      </c>
      <c r="H7" s="7">
        <v>2021</v>
      </c>
      <c r="I7" s="7">
        <v>2022</v>
      </c>
      <c r="J7" s="7">
        <v>2023</v>
      </c>
      <c r="K7" s="7">
        <v>2024</v>
      </c>
      <c r="L7" s="7">
        <v>2025</v>
      </c>
      <c r="M7" s="3"/>
      <c r="N7" s="4" t="s">
        <v>38</v>
      </c>
      <c r="O7" s="4" t="s">
        <v>39</v>
      </c>
      <c r="P7" s="4" t="s">
        <v>40</v>
      </c>
      <c r="Q7" s="4" t="s">
        <v>41</v>
      </c>
      <c r="R7" s="4" t="s">
        <v>6</v>
      </c>
      <c r="S7" s="4" t="s">
        <v>7</v>
      </c>
      <c r="T7" s="4" t="s">
        <v>8</v>
      </c>
      <c r="U7" s="4" t="s">
        <v>9</v>
      </c>
      <c r="V7" s="4" t="s">
        <v>2</v>
      </c>
      <c r="W7" s="4" t="s">
        <v>3</v>
      </c>
      <c r="X7" s="4" t="s">
        <v>4</v>
      </c>
      <c r="Y7" s="4" t="s">
        <v>5</v>
      </c>
      <c r="Z7" s="4" t="s">
        <v>42</v>
      </c>
      <c r="AA7" s="4" t="s">
        <v>43</v>
      </c>
      <c r="AB7" s="4" t="s">
        <v>101</v>
      </c>
      <c r="AC7" s="4" t="s">
        <v>556</v>
      </c>
      <c r="AD7" s="3"/>
      <c r="AE7" s="4" t="str">
        <f t="shared" ref="AE7:AE8" si="0">R7</f>
        <v>1Q23</v>
      </c>
      <c r="AF7" s="4" t="str">
        <f t="shared" ref="AF7:AF8" si="1">S7</f>
        <v>2Q23</v>
      </c>
      <c r="AG7" s="4" t="str">
        <f t="shared" ref="AG7:AG8" si="2">T7</f>
        <v>3Q23</v>
      </c>
      <c r="AH7" s="4" t="str">
        <f t="shared" ref="AH7:AH8" si="3">U7</f>
        <v>4Q23</v>
      </c>
      <c r="AI7" s="4" t="str">
        <f t="shared" ref="AI7:AI8" si="4">V7</f>
        <v>1Q24</v>
      </c>
      <c r="AJ7" s="4" t="str">
        <f t="shared" ref="AJ7:AJ8" si="5">W7</f>
        <v>2Q24</v>
      </c>
      <c r="AK7" s="4" t="str">
        <f t="shared" ref="AK7:AK8" si="6">X7</f>
        <v>3Q24</v>
      </c>
      <c r="AL7" s="4" t="str">
        <f t="shared" ref="AL7:AL8" si="7">Y7</f>
        <v>4Q24</v>
      </c>
      <c r="AM7" s="4" t="str">
        <f t="shared" ref="AM7:AM8" si="8">Z7</f>
        <v>1Q25</v>
      </c>
      <c r="AN7" s="4" t="str">
        <f t="shared" ref="AN7:AN8" si="9">AA7</f>
        <v>2Q25</v>
      </c>
      <c r="AO7" s="4" t="str">
        <f>AB7</f>
        <v>3Q25</v>
      </c>
      <c r="AP7" s="4" t="str">
        <f>AC7</f>
        <v>4Q25</v>
      </c>
      <c r="AQ7" s="41"/>
      <c r="AR7" s="284"/>
    </row>
    <row r="8" spans="1:44" ht="12.75" customHeight="1">
      <c r="B8" s="6" t="s">
        <v>361</v>
      </c>
      <c r="C8" s="3">
        <v>42643</v>
      </c>
      <c r="D8" s="3">
        <v>43008</v>
      </c>
      <c r="E8" s="3">
        <v>43372</v>
      </c>
      <c r="F8" s="3">
        <v>43737</v>
      </c>
      <c r="G8" s="3">
        <v>44104</v>
      </c>
      <c r="H8" s="3">
        <v>44469</v>
      </c>
      <c r="I8" s="3">
        <v>44834</v>
      </c>
      <c r="J8" s="116">
        <v>45192</v>
      </c>
      <c r="K8" s="3">
        <v>45559</v>
      </c>
      <c r="L8" s="3">
        <v>45927</v>
      </c>
      <c r="M8" s="3"/>
      <c r="N8" s="3">
        <v>44560</v>
      </c>
      <c r="O8" s="3">
        <v>44650</v>
      </c>
      <c r="P8" s="3">
        <v>44742</v>
      </c>
      <c r="Q8" s="3">
        <f>I8</f>
        <v>44834</v>
      </c>
      <c r="R8" s="3">
        <v>44917</v>
      </c>
      <c r="S8" s="3">
        <v>45008</v>
      </c>
      <c r="T8" s="3">
        <v>45100</v>
      </c>
      <c r="U8" s="3">
        <f>J8</f>
        <v>45192</v>
      </c>
      <c r="V8" s="3">
        <v>45283</v>
      </c>
      <c r="W8" s="3">
        <v>45375</v>
      </c>
      <c r="X8" s="3">
        <v>45467</v>
      </c>
      <c r="Y8" s="3">
        <f>K8</f>
        <v>45559</v>
      </c>
      <c r="Z8" s="3">
        <v>45650</v>
      </c>
      <c r="AA8" s="3">
        <v>45741</v>
      </c>
      <c r="AB8" s="3">
        <v>45833</v>
      </c>
      <c r="AC8" s="3">
        <f>L8</f>
        <v>45927</v>
      </c>
      <c r="AD8" s="3"/>
      <c r="AE8" s="3">
        <f t="shared" si="0"/>
        <v>44917</v>
      </c>
      <c r="AF8" s="3">
        <f t="shared" si="1"/>
        <v>45008</v>
      </c>
      <c r="AG8" s="3">
        <f t="shared" si="2"/>
        <v>45100</v>
      </c>
      <c r="AH8" s="3">
        <f t="shared" si="3"/>
        <v>45192</v>
      </c>
      <c r="AI8" s="3">
        <f t="shared" si="4"/>
        <v>45283</v>
      </c>
      <c r="AJ8" s="3">
        <f t="shared" si="5"/>
        <v>45375</v>
      </c>
      <c r="AK8" s="3">
        <f t="shared" si="6"/>
        <v>45467</v>
      </c>
      <c r="AL8" s="3">
        <f t="shared" si="7"/>
        <v>45559</v>
      </c>
      <c r="AM8" s="3">
        <f t="shared" si="8"/>
        <v>45650</v>
      </c>
      <c r="AN8" s="3">
        <f t="shared" si="9"/>
        <v>45741</v>
      </c>
      <c r="AO8" s="3">
        <f>AB8</f>
        <v>45833</v>
      </c>
      <c r="AP8" s="3">
        <f>AC8</f>
        <v>45927</v>
      </c>
      <c r="AQ8" s="41"/>
      <c r="AR8" s="284"/>
    </row>
    <row r="9" spans="1:44" ht="5.0999999999999996" customHeight="1">
      <c r="AR9" s="209"/>
    </row>
    <row r="10" spans="1:44" ht="12.75" customHeight="1">
      <c r="B10" s="10" t="s">
        <v>92</v>
      </c>
      <c r="C10" s="180">
        <v>215639</v>
      </c>
      <c r="D10" s="180">
        <v>229234</v>
      </c>
      <c r="E10" s="180">
        <v>265595</v>
      </c>
      <c r="F10" s="180">
        <v>260174</v>
      </c>
      <c r="G10" s="180">
        <v>274515</v>
      </c>
      <c r="H10" s="180">
        <v>365817</v>
      </c>
      <c r="I10" s="180">
        <v>394328</v>
      </c>
      <c r="J10" s="180">
        <v>383285</v>
      </c>
      <c r="K10" s="180">
        <v>391035</v>
      </c>
      <c r="L10" s="180">
        <v>416161</v>
      </c>
      <c r="M10" s="12"/>
      <c r="N10" s="180">
        <v>123945</v>
      </c>
      <c r="O10" s="180">
        <v>97278</v>
      </c>
      <c r="P10" s="180">
        <v>82959</v>
      </c>
      <c r="Q10" s="34">
        <f t="shared" ref="Q10" si="10">SUM(I10-SUM(N10:P10))</f>
        <v>90146</v>
      </c>
      <c r="R10" s="180">
        <v>117154</v>
      </c>
      <c r="S10" s="180">
        <v>94836</v>
      </c>
      <c r="T10" s="180">
        <v>81797</v>
      </c>
      <c r="U10" s="34">
        <f t="shared" ref="U10" si="11">SUM(J10-SUM(R10:T10))</f>
        <v>89498</v>
      </c>
      <c r="V10" s="180">
        <v>119575</v>
      </c>
      <c r="W10" s="180">
        <v>90753</v>
      </c>
      <c r="X10" s="180">
        <v>85777</v>
      </c>
      <c r="Y10" s="34">
        <f t="shared" ref="Y10" si="12">SUM(K10-SUM(V10:X10))</f>
        <v>94930</v>
      </c>
      <c r="Z10" s="96">
        <v>124300</v>
      </c>
      <c r="AA10" s="96">
        <v>95359</v>
      </c>
      <c r="AB10" s="96">
        <v>94036</v>
      </c>
      <c r="AC10" s="34">
        <f>SUM(L10-SUM(Z10:AB10))</f>
        <v>102466</v>
      </c>
      <c r="AE10" s="34">
        <f>SUM(O10:R10)</f>
        <v>387537</v>
      </c>
      <c r="AF10" s="34">
        <f>SUM(P10:S10)</f>
        <v>385095</v>
      </c>
      <c r="AG10" s="34">
        <f>SUM(Q10:T10)</f>
        <v>383933</v>
      </c>
      <c r="AH10" s="34">
        <f>SUM(R10:U10)</f>
        <v>383285</v>
      </c>
      <c r="AI10" s="34">
        <f>SUM(S10:V10)</f>
        <v>385706</v>
      </c>
      <c r="AJ10" s="34">
        <f>SUM(T10:W10)</f>
        <v>381623</v>
      </c>
      <c r="AK10" s="34">
        <f>SUM(U10:X10)</f>
        <v>385603</v>
      </c>
      <c r="AL10" s="34">
        <f>SUM(V10:Y10)</f>
        <v>391035</v>
      </c>
      <c r="AM10" s="34">
        <f>SUM(W10:Z10)</f>
        <v>395760</v>
      </c>
      <c r="AN10" s="34">
        <f>SUM(X10:AA10)</f>
        <v>400366</v>
      </c>
      <c r="AO10" s="34">
        <f>SUM(Y10:AB10)</f>
        <v>408625</v>
      </c>
      <c r="AP10" s="34">
        <f>SUM(Z10:AC10)</f>
        <v>416161</v>
      </c>
      <c r="AQ10" s="43"/>
      <c r="AR10" s="87">
        <f>SUM(AP10/AL10)-1</f>
        <v>6.425511782832749E-2</v>
      </c>
    </row>
    <row r="11" spans="1:44" ht="12.75" customHeight="1">
      <c r="B11" s="14" t="s">
        <v>12</v>
      </c>
      <c r="C11" s="15">
        <f t="shared" ref="C11:F11" si="13">+SUM(C10:C10)</f>
        <v>215639</v>
      </c>
      <c r="D11" s="15">
        <f t="shared" si="13"/>
        <v>229234</v>
      </c>
      <c r="E11" s="15">
        <f t="shared" si="13"/>
        <v>265595</v>
      </c>
      <c r="F11" s="15">
        <f t="shared" si="13"/>
        <v>260174</v>
      </c>
      <c r="G11" s="15">
        <f>+SUM(G10:G10)</f>
        <v>274515</v>
      </c>
      <c r="H11" s="15">
        <f>+SUM(H10:H10)</f>
        <v>365817</v>
      </c>
      <c r="I11" s="15">
        <f>+SUM(I10:I10)</f>
        <v>394328</v>
      </c>
      <c r="J11" s="15">
        <f>+SUM(J10:J10)</f>
        <v>383285</v>
      </c>
      <c r="K11" s="15">
        <f>+SUM(K10:K10)</f>
        <v>391035</v>
      </c>
      <c r="L11" s="15">
        <f>+SUM(L10:L10)</f>
        <v>416161</v>
      </c>
      <c r="M11" s="12"/>
      <c r="N11" s="15">
        <f t="shared" ref="N11:AB11" si="14">+SUM(N10:N10)</f>
        <v>123945</v>
      </c>
      <c r="O11" s="15">
        <f t="shared" si="14"/>
        <v>97278</v>
      </c>
      <c r="P11" s="15">
        <f t="shared" si="14"/>
        <v>82959</v>
      </c>
      <c r="Q11" s="15">
        <f t="shared" si="14"/>
        <v>90146</v>
      </c>
      <c r="R11" s="15">
        <f t="shared" si="14"/>
        <v>117154</v>
      </c>
      <c r="S11" s="15">
        <f t="shared" si="14"/>
        <v>94836</v>
      </c>
      <c r="T11" s="15">
        <f t="shared" si="14"/>
        <v>81797</v>
      </c>
      <c r="U11" s="15">
        <f t="shared" si="14"/>
        <v>89498</v>
      </c>
      <c r="V11" s="15">
        <f t="shared" si="14"/>
        <v>119575</v>
      </c>
      <c r="W11" s="15">
        <f t="shared" si="14"/>
        <v>90753</v>
      </c>
      <c r="X11" s="15">
        <f t="shared" si="14"/>
        <v>85777</v>
      </c>
      <c r="Y11" s="15">
        <f t="shared" si="14"/>
        <v>94930</v>
      </c>
      <c r="Z11" s="15">
        <f t="shared" si="14"/>
        <v>124300</v>
      </c>
      <c r="AA11" s="15">
        <f t="shared" si="14"/>
        <v>95359</v>
      </c>
      <c r="AB11" s="15">
        <f t="shared" si="14"/>
        <v>94036</v>
      </c>
      <c r="AC11" s="15">
        <f t="shared" ref="AC11" si="15">+SUM(AC10:AC10)</f>
        <v>102466</v>
      </c>
      <c r="AE11" s="15">
        <f t="shared" ref="AE11:AF11" si="16">+SUM(AE10:AE10)</f>
        <v>387537</v>
      </c>
      <c r="AF11" s="15">
        <f t="shared" si="16"/>
        <v>385095</v>
      </c>
      <c r="AG11" s="15">
        <f t="shared" ref="AG11" si="17">+SUM(AG10:AG10)</f>
        <v>383933</v>
      </c>
      <c r="AH11" s="15">
        <f t="shared" ref="AH11" si="18">+SUM(AH10:AH10)</f>
        <v>383285</v>
      </c>
      <c r="AI11" s="15">
        <f t="shared" ref="AI11" si="19">+SUM(AI10:AI10)</f>
        <v>385706</v>
      </c>
      <c r="AJ11" s="15">
        <f t="shared" ref="AJ11" si="20">+SUM(AJ10:AJ10)</f>
        <v>381623</v>
      </c>
      <c r="AK11" s="15">
        <f t="shared" ref="AK11" si="21">+SUM(AK10:AK10)</f>
        <v>385603</v>
      </c>
      <c r="AL11" s="15">
        <f t="shared" ref="AL11:AN11" si="22">+SUM(AL10:AL10)</f>
        <v>391035</v>
      </c>
      <c r="AM11" s="15">
        <f t="shared" si="22"/>
        <v>395760</v>
      </c>
      <c r="AN11" s="15">
        <f t="shared" si="22"/>
        <v>400366</v>
      </c>
      <c r="AO11" s="15">
        <f>+SUM(AO10:AO10)</f>
        <v>408625</v>
      </c>
      <c r="AP11" s="15">
        <f>+SUM(AP10:AP10)</f>
        <v>416161</v>
      </c>
      <c r="AQ11" s="43"/>
      <c r="AR11" s="88">
        <f>SUM(AP11/AL11)-1</f>
        <v>6.425511782832749E-2</v>
      </c>
    </row>
    <row r="12" spans="1:44" s="22" customFormat="1" ht="5.0999999999999996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N12" s="23"/>
      <c r="O12" s="23"/>
      <c r="P12" s="23"/>
      <c r="Q12" s="24"/>
      <c r="R12" s="23"/>
      <c r="S12" s="23"/>
      <c r="T12" s="23"/>
      <c r="U12" s="24"/>
      <c r="V12" s="23"/>
      <c r="W12" s="23"/>
      <c r="X12" s="23"/>
      <c r="Y12" s="23"/>
      <c r="Z12" s="23"/>
      <c r="AA12" s="23"/>
      <c r="AB12" s="23"/>
      <c r="AC12" s="23"/>
      <c r="AR12" s="87"/>
    </row>
    <row r="13" spans="1:44" ht="12.75" customHeight="1">
      <c r="B13" s="10" t="s">
        <v>13</v>
      </c>
      <c r="C13" s="96">
        <v>-131376</v>
      </c>
      <c r="D13" s="96">
        <v>-141048</v>
      </c>
      <c r="E13" s="96">
        <v>-163756</v>
      </c>
      <c r="F13" s="96">
        <v>-161782</v>
      </c>
      <c r="G13" s="96">
        <v>-169559</v>
      </c>
      <c r="H13" s="96">
        <v>-212981</v>
      </c>
      <c r="I13" s="96">
        <v>-223546</v>
      </c>
      <c r="J13" s="96">
        <v>-214137</v>
      </c>
      <c r="K13" s="96">
        <v>-210352</v>
      </c>
      <c r="L13" s="96">
        <v>-220960</v>
      </c>
      <c r="M13" s="26"/>
      <c r="N13" s="96">
        <v>-69702</v>
      </c>
      <c r="O13" s="96">
        <v>-54719</v>
      </c>
      <c r="P13" s="96">
        <v>-47074</v>
      </c>
      <c r="Q13" s="34">
        <f t="shared" ref="Q13" si="23">SUM(I13-SUM(N13:P13))</f>
        <v>-52051</v>
      </c>
      <c r="R13" s="96">
        <v>-66822</v>
      </c>
      <c r="S13" s="96">
        <v>-52860</v>
      </c>
      <c r="T13" s="96">
        <v>-45384</v>
      </c>
      <c r="U13" s="34">
        <f t="shared" ref="U13" si="24">SUM(J13-SUM(R13:T13))</f>
        <v>-49071</v>
      </c>
      <c r="V13" s="180">
        <v>-64720</v>
      </c>
      <c r="W13" s="180">
        <v>-48482</v>
      </c>
      <c r="X13" s="180">
        <v>-46099</v>
      </c>
      <c r="Y13" s="34">
        <f t="shared" ref="Y13" si="25">SUM(K13-SUM(V13:X13))</f>
        <v>-51051</v>
      </c>
      <c r="Z13" s="96">
        <v>-66025</v>
      </c>
      <c r="AA13" s="96">
        <v>-50492</v>
      </c>
      <c r="AB13" s="96">
        <v>-50318</v>
      </c>
      <c r="AC13" s="34">
        <f>SUM(L13-SUM(Z13:AB13))</f>
        <v>-54125</v>
      </c>
      <c r="AE13" s="34">
        <f>SUM(O13:R13)</f>
        <v>-220666</v>
      </c>
      <c r="AF13" s="34">
        <f>SUM(P13:S13)</f>
        <v>-218807</v>
      </c>
      <c r="AG13" s="34">
        <f>SUM(Q13:T13)</f>
        <v>-217117</v>
      </c>
      <c r="AH13" s="34">
        <f>SUM(R13:U13)</f>
        <v>-214137</v>
      </c>
      <c r="AI13" s="34">
        <f>SUM(S13:V13)</f>
        <v>-212035</v>
      </c>
      <c r="AJ13" s="34">
        <f>SUM(T13:W13)</f>
        <v>-207657</v>
      </c>
      <c r="AK13" s="34">
        <f>SUM(U13:X13)</f>
        <v>-208372</v>
      </c>
      <c r="AL13" s="34">
        <f>SUM(V13:Y13)</f>
        <v>-210352</v>
      </c>
      <c r="AM13" s="34">
        <f>SUM(W13:Z13)</f>
        <v>-211657</v>
      </c>
      <c r="AN13" s="34">
        <f>SUM(X13:AA13)</f>
        <v>-213667</v>
      </c>
      <c r="AO13" s="34">
        <f>SUM(Y13:AB13)</f>
        <v>-217886</v>
      </c>
      <c r="AP13" s="34">
        <f>SUM(Z13:AC13)</f>
        <v>-220960</v>
      </c>
      <c r="AQ13" s="12"/>
      <c r="AR13" s="87">
        <f t="shared" ref="AR13:AR14" si="26">SUM(AP13/AL13)-1</f>
        <v>5.0429755837833712E-2</v>
      </c>
    </row>
    <row r="14" spans="1:44" ht="12.75" customHeight="1">
      <c r="B14" s="27" t="s">
        <v>30</v>
      </c>
      <c r="C14" s="28">
        <f t="shared" ref="C14:F14" si="27">+SUM(C11+SUM(C13:C13))</f>
        <v>84263</v>
      </c>
      <c r="D14" s="28">
        <f t="shared" si="27"/>
        <v>88186</v>
      </c>
      <c r="E14" s="28">
        <f t="shared" si="27"/>
        <v>101839</v>
      </c>
      <c r="F14" s="28">
        <f t="shared" si="27"/>
        <v>98392</v>
      </c>
      <c r="G14" s="28">
        <f>+SUM(G11+SUM(G13:G13))</f>
        <v>104956</v>
      </c>
      <c r="H14" s="28">
        <f>+SUM(H11+SUM(H13:H13))</f>
        <v>152836</v>
      </c>
      <c r="I14" s="28">
        <f>+SUM(I11+SUM(I13:I13))</f>
        <v>170782</v>
      </c>
      <c r="J14" s="28">
        <f>+SUM(J11+SUM(J13:J13))</f>
        <v>169148</v>
      </c>
      <c r="K14" s="28">
        <f>+SUM(K11+SUM(K13:K13))</f>
        <v>180683</v>
      </c>
      <c r="L14" s="28">
        <f>+SUM(L11+SUM(L13:L13))</f>
        <v>195201</v>
      </c>
      <c r="N14" s="28">
        <f t="shared" ref="N14:AB14" si="28">+SUM(N11+SUM(N13:N13))</f>
        <v>54243</v>
      </c>
      <c r="O14" s="28">
        <f t="shared" si="28"/>
        <v>42559</v>
      </c>
      <c r="P14" s="28">
        <f t="shared" si="28"/>
        <v>35885</v>
      </c>
      <c r="Q14" s="28">
        <f t="shared" si="28"/>
        <v>38095</v>
      </c>
      <c r="R14" s="28">
        <f t="shared" si="28"/>
        <v>50332</v>
      </c>
      <c r="S14" s="28">
        <f t="shared" si="28"/>
        <v>41976</v>
      </c>
      <c r="T14" s="28">
        <f t="shared" si="28"/>
        <v>36413</v>
      </c>
      <c r="U14" s="28">
        <f t="shared" si="28"/>
        <v>40427</v>
      </c>
      <c r="V14" s="28">
        <f t="shared" si="28"/>
        <v>54855</v>
      </c>
      <c r="W14" s="28">
        <f t="shared" si="28"/>
        <v>42271</v>
      </c>
      <c r="X14" s="28">
        <f t="shared" si="28"/>
        <v>39678</v>
      </c>
      <c r="Y14" s="28">
        <f t="shared" si="28"/>
        <v>43879</v>
      </c>
      <c r="Z14" s="28">
        <f t="shared" si="28"/>
        <v>58275</v>
      </c>
      <c r="AA14" s="28">
        <f t="shared" si="28"/>
        <v>44867</v>
      </c>
      <c r="AB14" s="28">
        <f t="shared" si="28"/>
        <v>43718</v>
      </c>
      <c r="AC14" s="28">
        <f t="shared" ref="AC14" si="29">+SUM(AC11+SUM(AC13:AC13))</f>
        <v>48341</v>
      </c>
      <c r="AE14" s="28">
        <f t="shared" ref="AE14:AF14" si="30">+SUM(AE11+SUM(AE13:AE13))</f>
        <v>166871</v>
      </c>
      <c r="AF14" s="28">
        <f t="shared" si="30"/>
        <v>166288</v>
      </c>
      <c r="AG14" s="28">
        <f t="shared" ref="AG14" si="31">+SUM(AG11+SUM(AG13:AG13))</f>
        <v>166816</v>
      </c>
      <c r="AH14" s="28">
        <f t="shared" ref="AH14" si="32">+SUM(AH11+SUM(AH13:AH13))</f>
        <v>169148</v>
      </c>
      <c r="AI14" s="28">
        <f t="shared" ref="AI14" si="33">+SUM(AI11+SUM(AI13:AI13))</f>
        <v>173671</v>
      </c>
      <c r="AJ14" s="28">
        <f t="shared" ref="AJ14" si="34">+SUM(AJ11+SUM(AJ13:AJ13))</f>
        <v>173966</v>
      </c>
      <c r="AK14" s="28">
        <f t="shared" ref="AK14" si="35">+SUM(AK11+SUM(AK13:AK13))</f>
        <v>177231</v>
      </c>
      <c r="AL14" s="28">
        <f t="shared" ref="AL14:AN14" si="36">+SUM(AL11+SUM(AL13:AL13))</f>
        <v>180683</v>
      </c>
      <c r="AM14" s="28">
        <f t="shared" si="36"/>
        <v>184103</v>
      </c>
      <c r="AN14" s="28">
        <f t="shared" si="36"/>
        <v>186699</v>
      </c>
      <c r="AO14" s="28">
        <f>+SUM(AO11+SUM(AO13:AO13))</f>
        <v>190739</v>
      </c>
      <c r="AP14" s="28">
        <f>+SUM(AP11+SUM(AP13:AP13))</f>
        <v>195201</v>
      </c>
      <c r="AQ14" s="45"/>
      <c r="AR14" s="88">
        <f t="shared" si="26"/>
        <v>8.0350669404426478E-2</v>
      </c>
    </row>
    <row r="15" spans="1:44" ht="12.75" customHeight="1">
      <c r="B15" s="17" t="s">
        <v>48</v>
      </c>
      <c r="C15" s="18">
        <f t="shared" ref="C15:F15" si="37">C14/C11</f>
        <v>0.39075955648097049</v>
      </c>
      <c r="D15" s="18">
        <f t="shared" si="37"/>
        <v>0.38469860491899105</v>
      </c>
      <c r="E15" s="18">
        <f t="shared" si="37"/>
        <v>0.38343718820007905</v>
      </c>
      <c r="F15" s="18">
        <f t="shared" si="37"/>
        <v>0.37817768109034722</v>
      </c>
      <c r="G15" s="18">
        <f>G14/G11</f>
        <v>0.38233247727810865</v>
      </c>
      <c r="H15" s="18">
        <f>H14/H11</f>
        <v>0.41779359625167778</v>
      </c>
      <c r="I15" s="18">
        <f>I14/I11</f>
        <v>0.43309630561360085</v>
      </c>
      <c r="J15" s="18">
        <f>J14/J11</f>
        <v>0.44131129577207562</v>
      </c>
      <c r="K15" s="18">
        <f>K14/K11</f>
        <v>0.46206349815233932</v>
      </c>
      <c r="L15" s="18">
        <f>L14/L11</f>
        <v>0.46905164107160452</v>
      </c>
      <c r="M15" s="29"/>
      <c r="N15" s="18">
        <f t="shared" ref="N15:AB15" si="38">N14/N11</f>
        <v>0.43763766186615033</v>
      </c>
      <c r="O15" s="18">
        <f t="shared" si="38"/>
        <v>0.43749871502292398</v>
      </c>
      <c r="P15" s="18">
        <f t="shared" si="38"/>
        <v>0.43256307332537758</v>
      </c>
      <c r="Q15" s="18">
        <f t="shared" si="38"/>
        <v>0.4225922392563175</v>
      </c>
      <c r="R15" s="18">
        <f t="shared" si="38"/>
        <v>0.42962254809908323</v>
      </c>
      <c r="S15" s="18">
        <f t="shared" si="38"/>
        <v>0.44261672782487665</v>
      </c>
      <c r="T15" s="18">
        <f t="shared" si="38"/>
        <v>0.44516302553883397</v>
      </c>
      <c r="U15" s="18">
        <f t="shared" si="38"/>
        <v>0.45170841806520817</v>
      </c>
      <c r="V15" s="18">
        <f t="shared" si="38"/>
        <v>0.45874973865774621</v>
      </c>
      <c r="W15" s="18">
        <f t="shared" si="38"/>
        <v>0.46578074554009236</v>
      </c>
      <c r="X15" s="18">
        <f t="shared" si="38"/>
        <v>0.46257155181458898</v>
      </c>
      <c r="Y15" s="18">
        <f t="shared" si="38"/>
        <v>0.4622247972190035</v>
      </c>
      <c r="Z15" s="18">
        <f t="shared" si="38"/>
        <v>0.46882542236524538</v>
      </c>
      <c r="AA15" s="18">
        <f t="shared" si="38"/>
        <v>0.47050619238876246</v>
      </c>
      <c r="AB15" s="18">
        <f t="shared" si="38"/>
        <v>0.46490705687183631</v>
      </c>
      <c r="AC15" s="18">
        <f t="shared" ref="AC15" si="39">AC14/AC11</f>
        <v>0.47177600374758455</v>
      </c>
      <c r="AD15" s="30"/>
      <c r="AE15" s="18">
        <f t="shared" ref="AE15:AF15" si="40">AE14/AE11</f>
        <v>0.43059372395409989</v>
      </c>
      <c r="AF15" s="18">
        <f t="shared" si="40"/>
        <v>0.43181033251535333</v>
      </c>
      <c r="AG15" s="18">
        <f t="shared" ref="AG15" si="41">AG14/AG11</f>
        <v>0.43449247655189838</v>
      </c>
      <c r="AH15" s="18">
        <f t="shared" ref="AH15" si="42">AH14/AH11</f>
        <v>0.44131129577207562</v>
      </c>
      <c r="AI15" s="18">
        <f t="shared" ref="AI15" si="43">AI14/AI11</f>
        <v>0.45026782056799741</v>
      </c>
      <c r="AJ15" s="18">
        <f t="shared" ref="AJ15" si="44">AJ14/AJ11</f>
        <v>0.4558582685005883</v>
      </c>
      <c r="AK15" s="18">
        <f t="shared" ref="AK15" si="45">AK14/AK11</f>
        <v>0.45962038677084982</v>
      </c>
      <c r="AL15" s="18">
        <f t="shared" ref="AL15:AN15" si="46">AL14/AL11</f>
        <v>0.46206349815233932</v>
      </c>
      <c r="AM15" s="18">
        <f t="shared" si="46"/>
        <v>0.46518849807964424</v>
      </c>
      <c r="AN15" s="18">
        <f t="shared" si="46"/>
        <v>0.46632081645294554</v>
      </c>
      <c r="AO15" s="18">
        <f>AO14/AO11</f>
        <v>0.46678250229427959</v>
      </c>
      <c r="AP15" s="18">
        <f>AP14/AP11</f>
        <v>0.46905164107160452</v>
      </c>
      <c r="AQ15" s="45"/>
      <c r="AR15" s="89">
        <f>SUM(AP15-AL15)*1000</f>
        <v>6.9881429192651945</v>
      </c>
    </row>
    <row r="16" spans="1:44" ht="5.0999999999999996" customHeight="1"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45"/>
      <c r="AR16" s="87"/>
    </row>
    <row r="17" spans="2:44" ht="12.75" customHeight="1">
      <c r="B17" s="10" t="s">
        <v>247</v>
      </c>
      <c r="C17" s="96">
        <v>-10045</v>
      </c>
      <c r="D17" s="96">
        <v>-11581</v>
      </c>
      <c r="E17" s="96">
        <v>-14236</v>
      </c>
      <c r="F17" s="96">
        <v>-16217</v>
      </c>
      <c r="G17" s="96">
        <v>-18752</v>
      </c>
      <c r="H17" s="96">
        <v>-21914</v>
      </c>
      <c r="I17" s="96">
        <v>-26251</v>
      </c>
      <c r="J17" s="96">
        <v>-29915</v>
      </c>
      <c r="K17" s="96">
        <v>-31370</v>
      </c>
      <c r="L17" s="96">
        <v>-34550</v>
      </c>
      <c r="M17" s="34"/>
      <c r="N17" s="96">
        <v>-6306</v>
      </c>
      <c r="O17" s="96">
        <v>-6387</v>
      </c>
      <c r="P17" s="96">
        <v>-6797</v>
      </c>
      <c r="Q17" s="34">
        <f t="shared" ref="Q17:Q18" si="47">SUM(I17-SUM(N17:P17))</f>
        <v>-6761</v>
      </c>
      <c r="R17" s="96">
        <v>-7709</v>
      </c>
      <c r="S17" s="96">
        <v>-7457</v>
      </c>
      <c r="T17" s="96">
        <v>-7442</v>
      </c>
      <c r="U17" s="34">
        <f t="shared" ref="U17:U18" si="48">SUM(J17-SUM(R17:T17))</f>
        <v>-7307</v>
      </c>
      <c r="V17" s="180">
        <v>-7696</v>
      </c>
      <c r="W17" s="180">
        <v>-7903</v>
      </c>
      <c r="X17" s="180">
        <v>-8006</v>
      </c>
      <c r="Y17" s="34">
        <f t="shared" ref="Y17:Y18" si="49">SUM(K17-SUM(V17:X17))</f>
        <v>-7765</v>
      </c>
      <c r="Z17" s="96">
        <v>-8268</v>
      </c>
      <c r="AA17" s="96">
        <v>-8550</v>
      </c>
      <c r="AB17" s="96">
        <v>-8866</v>
      </c>
      <c r="AC17" s="34">
        <f t="shared" ref="AC17:AC18" si="50">SUM(L17-SUM(Z17:AB17))</f>
        <v>-8866</v>
      </c>
      <c r="AE17" s="34">
        <f>SUM(O17:R17)</f>
        <v>-27654</v>
      </c>
      <c r="AF17" s="34">
        <f>SUM(P17:S17)</f>
        <v>-28724</v>
      </c>
      <c r="AG17" s="34">
        <f>SUM(Q17:T17)</f>
        <v>-29369</v>
      </c>
      <c r="AH17" s="34">
        <f>SUM(R17:U17)</f>
        <v>-29915</v>
      </c>
      <c r="AI17" s="34">
        <f>SUM(S17:V17)</f>
        <v>-29902</v>
      </c>
      <c r="AJ17" s="34">
        <f>SUM(T17:W17)</f>
        <v>-30348</v>
      </c>
      <c r="AK17" s="34">
        <f>SUM(U17:X17)</f>
        <v>-30912</v>
      </c>
      <c r="AL17" s="34">
        <f>SUM(V17:Y17)</f>
        <v>-31370</v>
      </c>
      <c r="AM17" s="34">
        <f>SUM(W17:Z17)</f>
        <v>-31942</v>
      </c>
      <c r="AN17" s="34">
        <f>SUM(X17:AA17)</f>
        <v>-32589</v>
      </c>
      <c r="AO17" s="34">
        <f>SUM(Y17:AB17)</f>
        <v>-33449</v>
      </c>
      <c r="AP17" s="34">
        <f>SUM(Z17:AC17)</f>
        <v>-34550</v>
      </c>
      <c r="AQ17" s="12"/>
      <c r="AR17" s="87">
        <f t="shared" ref="AR17:AR19" si="51">SUM(AP17/AL17)-1</f>
        <v>0.10137073637233018</v>
      </c>
    </row>
    <row r="18" spans="2:44" ht="12.75" customHeight="1">
      <c r="B18" s="10" t="s">
        <v>248</v>
      </c>
      <c r="C18" s="96">
        <v>-14194</v>
      </c>
      <c r="D18" s="96">
        <v>-15261</v>
      </c>
      <c r="E18" s="96">
        <v>-16705</v>
      </c>
      <c r="F18" s="96">
        <v>-18245</v>
      </c>
      <c r="G18" s="96">
        <v>-19916</v>
      </c>
      <c r="H18" s="96">
        <v>-21973</v>
      </c>
      <c r="I18" s="96">
        <v>-25094</v>
      </c>
      <c r="J18" s="96">
        <v>-24932</v>
      </c>
      <c r="K18" s="96">
        <v>-26097</v>
      </c>
      <c r="L18" s="96">
        <v>-27601</v>
      </c>
      <c r="M18" s="34"/>
      <c r="N18" s="96">
        <v>-6449</v>
      </c>
      <c r="O18" s="96">
        <v>-6193</v>
      </c>
      <c r="P18" s="96">
        <v>-6012</v>
      </c>
      <c r="Q18" s="34">
        <f t="shared" si="47"/>
        <v>-6440</v>
      </c>
      <c r="R18" s="96">
        <v>-6607</v>
      </c>
      <c r="S18" s="96">
        <v>-6201</v>
      </c>
      <c r="T18" s="96">
        <v>-5973</v>
      </c>
      <c r="U18" s="34">
        <f t="shared" si="48"/>
        <v>-6151</v>
      </c>
      <c r="V18" s="180">
        <v>-6786</v>
      </c>
      <c r="W18" s="180">
        <v>-6468</v>
      </c>
      <c r="X18" s="180">
        <v>-6320</v>
      </c>
      <c r="Y18" s="34">
        <f t="shared" si="49"/>
        <v>-6523</v>
      </c>
      <c r="Z18" s="96">
        <v>-7175</v>
      </c>
      <c r="AA18" s="96">
        <v>-6728</v>
      </c>
      <c r="AB18" s="96">
        <v>-6650</v>
      </c>
      <c r="AC18" s="34">
        <f t="shared" si="50"/>
        <v>-7048</v>
      </c>
      <c r="AE18" s="34">
        <f>SUM(O18:R18)</f>
        <v>-25252</v>
      </c>
      <c r="AF18" s="34">
        <f>SUM(P18:S18)</f>
        <v>-25260</v>
      </c>
      <c r="AG18" s="34">
        <f>SUM(Q18:T18)</f>
        <v>-25221</v>
      </c>
      <c r="AH18" s="34">
        <f>SUM(R18:U18)</f>
        <v>-24932</v>
      </c>
      <c r="AI18" s="34">
        <f>SUM(S18:V18)</f>
        <v>-25111</v>
      </c>
      <c r="AJ18" s="34">
        <f>SUM(T18:W18)</f>
        <v>-25378</v>
      </c>
      <c r="AK18" s="34">
        <f>SUM(U18:X18)</f>
        <v>-25725</v>
      </c>
      <c r="AL18" s="34">
        <f>SUM(V18:Y18)</f>
        <v>-26097</v>
      </c>
      <c r="AM18" s="34">
        <f>SUM(W18:Z18)</f>
        <v>-26486</v>
      </c>
      <c r="AN18" s="34">
        <f>SUM(X18:AA18)</f>
        <v>-26746</v>
      </c>
      <c r="AO18" s="34">
        <f>SUM(Y18:AB18)</f>
        <v>-27076</v>
      </c>
      <c r="AP18" s="34">
        <f>SUM(Z18:AC18)</f>
        <v>-27601</v>
      </c>
      <c r="AQ18" s="12"/>
      <c r="AR18" s="87">
        <f t="shared" si="51"/>
        <v>5.7631145342376566E-2</v>
      </c>
    </row>
    <row r="19" spans="2:44" ht="12.75" customHeight="1">
      <c r="B19" s="27" t="s">
        <v>80</v>
      </c>
      <c r="C19" s="28">
        <f t="shared" ref="C19:F19" si="52">SUM(C14+SUM(C17:C18))</f>
        <v>60024</v>
      </c>
      <c r="D19" s="28">
        <f t="shared" si="52"/>
        <v>61344</v>
      </c>
      <c r="E19" s="28">
        <f t="shared" si="52"/>
        <v>70898</v>
      </c>
      <c r="F19" s="28">
        <f t="shared" si="52"/>
        <v>63930</v>
      </c>
      <c r="G19" s="28">
        <f>SUM(G14+SUM(G17:G18))</f>
        <v>66288</v>
      </c>
      <c r="H19" s="28">
        <f>SUM(H14+SUM(H17:H18))</f>
        <v>108949</v>
      </c>
      <c r="I19" s="28">
        <f>SUM(I14+SUM(I17:I18))</f>
        <v>119437</v>
      </c>
      <c r="J19" s="28">
        <f>SUM(J14+SUM(J17:J18))</f>
        <v>114301</v>
      </c>
      <c r="K19" s="28">
        <f>SUM(K14+SUM(K17:K18))</f>
        <v>123216</v>
      </c>
      <c r="L19" s="28">
        <f>SUM(L14+SUM(L17:L18))</f>
        <v>133050</v>
      </c>
      <c r="N19" s="28">
        <f t="shared" ref="N19:AB19" si="53">SUM(N14+SUM(N17:N18))</f>
        <v>41488</v>
      </c>
      <c r="O19" s="28">
        <f t="shared" si="53"/>
        <v>29979</v>
      </c>
      <c r="P19" s="28">
        <f t="shared" si="53"/>
        <v>23076</v>
      </c>
      <c r="Q19" s="28">
        <f t="shared" si="53"/>
        <v>24894</v>
      </c>
      <c r="R19" s="28">
        <f t="shared" si="53"/>
        <v>36016</v>
      </c>
      <c r="S19" s="28">
        <f t="shared" si="53"/>
        <v>28318</v>
      </c>
      <c r="T19" s="28">
        <f t="shared" si="53"/>
        <v>22998</v>
      </c>
      <c r="U19" s="28">
        <f t="shared" si="53"/>
        <v>26969</v>
      </c>
      <c r="V19" s="28">
        <f t="shared" si="53"/>
        <v>40373</v>
      </c>
      <c r="W19" s="28">
        <f t="shared" si="53"/>
        <v>27900</v>
      </c>
      <c r="X19" s="28">
        <f t="shared" si="53"/>
        <v>25352</v>
      </c>
      <c r="Y19" s="28">
        <f t="shared" si="53"/>
        <v>29591</v>
      </c>
      <c r="Z19" s="28">
        <f t="shared" si="53"/>
        <v>42832</v>
      </c>
      <c r="AA19" s="28">
        <f t="shared" si="53"/>
        <v>29589</v>
      </c>
      <c r="AB19" s="28">
        <f t="shared" si="53"/>
        <v>28202</v>
      </c>
      <c r="AC19" s="28">
        <f t="shared" ref="AC19" si="54">SUM(AC14+SUM(AC17:AC18))</f>
        <v>32427</v>
      </c>
      <c r="AE19" s="28">
        <f t="shared" ref="AE19:AO19" si="55">SUM(AE14+SUM(AE17:AE18))</f>
        <v>113965</v>
      </c>
      <c r="AF19" s="28">
        <f t="shared" si="55"/>
        <v>112304</v>
      </c>
      <c r="AG19" s="28">
        <f t="shared" si="55"/>
        <v>112226</v>
      </c>
      <c r="AH19" s="28">
        <f t="shared" si="55"/>
        <v>114301</v>
      </c>
      <c r="AI19" s="28">
        <f t="shared" si="55"/>
        <v>118658</v>
      </c>
      <c r="AJ19" s="28">
        <f t="shared" si="55"/>
        <v>118240</v>
      </c>
      <c r="AK19" s="28">
        <f t="shared" si="55"/>
        <v>120594</v>
      </c>
      <c r="AL19" s="28">
        <f t="shared" si="55"/>
        <v>123216</v>
      </c>
      <c r="AM19" s="28">
        <f t="shared" si="55"/>
        <v>125675</v>
      </c>
      <c r="AN19" s="28">
        <f t="shared" si="55"/>
        <v>127364</v>
      </c>
      <c r="AO19" s="28">
        <f t="shared" si="55"/>
        <v>130214</v>
      </c>
      <c r="AP19" s="28">
        <f t="shared" ref="AP19" si="56">SUM(AP14+SUM(AP17:AP18))</f>
        <v>133050</v>
      </c>
      <c r="AQ19" s="45"/>
      <c r="AR19" s="88">
        <f t="shared" si="51"/>
        <v>7.9811063498246959E-2</v>
      </c>
    </row>
    <row r="20" spans="2:44" ht="12.75" customHeight="1">
      <c r="B20" s="17" t="s">
        <v>50</v>
      </c>
      <c r="C20" s="18">
        <f t="shared" ref="C20:F20" si="57">C19/C11</f>
        <v>0.27835410106706115</v>
      </c>
      <c r="D20" s="18">
        <f t="shared" si="57"/>
        <v>0.26760428208729942</v>
      </c>
      <c r="E20" s="18">
        <f t="shared" si="57"/>
        <v>0.26694026619477024</v>
      </c>
      <c r="F20" s="18">
        <f t="shared" si="57"/>
        <v>0.24572017188496928</v>
      </c>
      <c r="G20" s="18">
        <f>G19/G11</f>
        <v>0.24147314354406862</v>
      </c>
      <c r="H20" s="18">
        <f>H19/H11</f>
        <v>0.29782377527561593</v>
      </c>
      <c r="I20" s="18">
        <f>I19/I11</f>
        <v>0.30288744395528594</v>
      </c>
      <c r="J20" s="18">
        <f>J19/J11</f>
        <v>0.29821412265024722</v>
      </c>
      <c r="K20" s="18">
        <f>K19/K11</f>
        <v>0.31510222870075566</v>
      </c>
      <c r="L20" s="18">
        <f>L19/L11</f>
        <v>0.31970799762591884</v>
      </c>
      <c r="M20" s="29"/>
      <c r="N20" s="18">
        <f t="shared" ref="N20:AB20" si="58">N19/N11</f>
        <v>0.33472911371979508</v>
      </c>
      <c r="O20" s="18">
        <f t="shared" si="58"/>
        <v>0.30817862209338187</v>
      </c>
      <c r="P20" s="18">
        <f t="shared" si="58"/>
        <v>0.27816150146457891</v>
      </c>
      <c r="Q20" s="18">
        <f t="shared" si="58"/>
        <v>0.27615202005635303</v>
      </c>
      <c r="R20" s="18">
        <f t="shared" si="58"/>
        <v>0.30742441572630896</v>
      </c>
      <c r="S20" s="18">
        <f t="shared" si="58"/>
        <v>0.29859968788223878</v>
      </c>
      <c r="T20" s="18">
        <f t="shared" si="58"/>
        <v>0.28115945572576012</v>
      </c>
      <c r="U20" s="18">
        <f t="shared" si="58"/>
        <v>0.30133634271156895</v>
      </c>
      <c r="V20" s="18">
        <f t="shared" si="58"/>
        <v>0.33763746602550698</v>
      </c>
      <c r="W20" s="18">
        <f t="shared" si="58"/>
        <v>0.30742785362467356</v>
      </c>
      <c r="X20" s="18">
        <f t="shared" si="58"/>
        <v>0.29555708406682446</v>
      </c>
      <c r="Y20" s="18">
        <f t="shared" si="58"/>
        <v>0.31171389444854103</v>
      </c>
      <c r="Z20" s="18">
        <f t="shared" si="58"/>
        <v>0.34458567980691873</v>
      </c>
      <c r="AA20" s="18">
        <f t="shared" si="58"/>
        <v>0.31029058610094484</v>
      </c>
      <c r="AB20" s="18">
        <f t="shared" si="58"/>
        <v>0.29990641881832492</v>
      </c>
      <c r="AC20" s="18">
        <f t="shared" ref="AC20" si="59">AC19/AC11</f>
        <v>0.31646594968086977</v>
      </c>
      <c r="AD20" s="30"/>
      <c r="AE20" s="18">
        <f t="shared" ref="AE20:AO20" si="60">AE19/AE11</f>
        <v>0.29407514637312049</v>
      </c>
      <c r="AF20" s="18">
        <f t="shared" si="60"/>
        <v>0.29162674145340761</v>
      </c>
      <c r="AG20" s="18">
        <f t="shared" si="60"/>
        <v>0.29230620967720933</v>
      </c>
      <c r="AH20" s="18">
        <f t="shared" si="60"/>
        <v>0.29821412265024722</v>
      </c>
      <c r="AI20" s="18">
        <f t="shared" si="60"/>
        <v>0.30763846038174153</v>
      </c>
      <c r="AJ20" s="18">
        <f t="shared" si="60"/>
        <v>0.30983457496010458</v>
      </c>
      <c r="AK20" s="18">
        <f t="shared" si="60"/>
        <v>0.31274134278000948</v>
      </c>
      <c r="AL20" s="18">
        <f t="shared" si="60"/>
        <v>0.31510222870075566</v>
      </c>
      <c r="AM20" s="18">
        <f t="shared" si="60"/>
        <v>0.31755356781888011</v>
      </c>
      <c r="AN20" s="18">
        <f t="shared" si="60"/>
        <v>0.31811892118711377</v>
      </c>
      <c r="AO20" s="18">
        <f t="shared" si="60"/>
        <v>0.31866381156316914</v>
      </c>
      <c r="AP20" s="18">
        <f t="shared" ref="AP20" si="61">AP19/AP11</f>
        <v>0.31970799762591884</v>
      </c>
      <c r="AQ20" s="46"/>
      <c r="AR20" s="89">
        <f>SUM(AP20-AL20)*1000</f>
        <v>4.6057689251631784</v>
      </c>
    </row>
    <row r="21" spans="2:44" ht="5.0999999999999996" customHeight="1">
      <c r="B21" s="31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32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6"/>
      <c r="AR21" s="87"/>
    </row>
    <row r="22" spans="2:44" ht="12.75" customHeight="1">
      <c r="B22" s="10" t="s">
        <v>249</v>
      </c>
      <c r="C22" s="96">
        <v>1348</v>
      </c>
      <c r="D22" s="96">
        <v>2745</v>
      </c>
      <c r="E22" s="96">
        <v>2005</v>
      </c>
      <c r="F22" s="96">
        <v>1807</v>
      </c>
      <c r="G22" s="96">
        <v>803</v>
      </c>
      <c r="H22" s="96">
        <v>258</v>
      </c>
      <c r="I22" s="96">
        <v>-334</v>
      </c>
      <c r="J22" s="96">
        <v>-565</v>
      </c>
      <c r="K22" s="96">
        <v>269</v>
      </c>
      <c r="L22" s="96">
        <v>-321</v>
      </c>
      <c r="M22" s="26"/>
      <c r="N22" s="96">
        <v>-247</v>
      </c>
      <c r="O22" s="96">
        <v>160</v>
      </c>
      <c r="P22" s="96">
        <v>-10</v>
      </c>
      <c r="Q22" s="34">
        <f t="shared" ref="Q22" si="62">SUM(I22-SUM(N22:P22))</f>
        <v>-237</v>
      </c>
      <c r="R22" s="96">
        <v>-393</v>
      </c>
      <c r="S22" s="96">
        <v>64</v>
      </c>
      <c r="T22" s="96">
        <v>-265</v>
      </c>
      <c r="U22" s="34">
        <f t="shared" ref="U22" si="63">SUM(J22-SUM(R22:T22))</f>
        <v>29</v>
      </c>
      <c r="V22" s="180">
        <v>-50</v>
      </c>
      <c r="W22" s="180">
        <v>158</v>
      </c>
      <c r="X22" s="180">
        <v>142</v>
      </c>
      <c r="Y22" s="34">
        <f t="shared" ref="Y22" si="64">SUM(K22-SUM(V22:X22))</f>
        <v>19</v>
      </c>
      <c r="Z22" s="96">
        <v>-248</v>
      </c>
      <c r="AA22" s="96">
        <v>-279</v>
      </c>
      <c r="AB22" s="96">
        <v>-171</v>
      </c>
      <c r="AC22" s="34">
        <f>SUM(L22-SUM(Z22:AB22))</f>
        <v>377</v>
      </c>
      <c r="AD22" s="34"/>
      <c r="AE22" s="34">
        <f>SUM(O22:R22)</f>
        <v>-480</v>
      </c>
      <c r="AF22" s="34">
        <f>SUM(P22:S22)</f>
        <v>-576</v>
      </c>
      <c r="AG22" s="34">
        <f>SUM(Q22:T22)</f>
        <v>-831</v>
      </c>
      <c r="AH22" s="34">
        <f>SUM(R22:U22)</f>
        <v>-565</v>
      </c>
      <c r="AI22" s="34">
        <f>SUM(S22:V22)</f>
        <v>-222</v>
      </c>
      <c r="AJ22" s="34">
        <f>SUM(T22:W22)</f>
        <v>-128</v>
      </c>
      <c r="AK22" s="34">
        <f>SUM(U22:X22)</f>
        <v>279</v>
      </c>
      <c r="AL22" s="34">
        <f>SUM(V22:Y22)</f>
        <v>269</v>
      </c>
      <c r="AM22" s="34">
        <f>SUM(W22:Z22)</f>
        <v>71</v>
      </c>
      <c r="AN22" s="34">
        <f>SUM(X22:AA22)</f>
        <v>-366</v>
      </c>
      <c r="AO22" s="34">
        <f>SUM(Y22:AB22)</f>
        <v>-679</v>
      </c>
      <c r="AP22" s="34">
        <f>SUM(Z22:AC22)</f>
        <v>-321</v>
      </c>
      <c r="AQ22" s="46"/>
      <c r="AR22" s="87">
        <f t="shared" ref="AR22:AR26" si="65">SUM(AP22/AL22)-1</f>
        <v>-2.1933085501858738</v>
      </c>
    </row>
    <row r="23" spans="2:44" ht="12.75" customHeight="1">
      <c r="B23" s="27" t="s">
        <v>81</v>
      </c>
      <c r="C23" s="28">
        <f>SUM(C22:C22)+C19</f>
        <v>61372</v>
      </c>
      <c r="D23" s="28">
        <f>SUM(D22:D22)+D19</f>
        <v>64089</v>
      </c>
      <c r="E23" s="28">
        <f>SUM(E22:E22)+E19</f>
        <v>72903</v>
      </c>
      <c r="F23" s="28">
        <f>SUM(F22:F22)+F19</f>
        <v>65737</v>
      </c>
      <c r="G23" s="28">
        <f>SUM(G22:G22)+G19</f>
        <v>67091</v>
      </c>
      <c r="H23" s="28">
        <f>SUM(H22:H22)+H19</f>
        <v>109207</v>
      </c>
      <c r="I23" s="28">
        <f>SUM(I22:I22)+I19</f>
        <v>119103</v>
      </c>
      <c r="J23" s="28">
        <f>SUM(J22:J22)+J19</f>
        <v>113736</v>
      </c>
      <c r="K23" s="28">
        <f>SUM(K22:K22)+K19</f>
        <v>123485</v>
      </c>
      <c r="L23" s="28">
        <f>SUM(L22:L22)+L19</f>
        <v>132729</v>
      </c>
      <c r="N23" s="28">
        <f>SUM(N22:N22)+N19</f>
        <v>41241</v>
      </c>
      <c r="O23" s="28">
        <f>SUM(O22:O22)+O19</f>
        <v>30139</v>
      </c>
      <c r="P23" s="28">
        <f>SUM(P22:P22)+P19</f>
        <v>23066</v>
      </c>
      <c r="Q23" s="28">
        <f>SUM(Q22:Q22)+Q19</f>
        <v>24657</v>
      </c>
      <c r="R23" s="28">
        <f>SUM(R22:R22)+R19</f>
        <v>35623</v>
      </c>
      <c r="S23" s="28">
        <f>SUM(S22:S22)+S19</f>
        <v>28382</v>
      </c>
      <c r="T23" s="28">
        <f>SUM(T22:T22)+T19</f>
        <v>22733</v>
      </c>
      <c r="U23" s="28">
        <f>SUM(U22:U22)+U19</f>
        <v>26998</v>
      </c>
      <c r="V23" s="28">
        <f>SUM(V22:V22)+V19</f>
        <v>40323</v>
      </c>
      <c r="W23" s="28">
        <f>SUM(W22:W22)+W19</f>
        <v>28058</v>
      </c>
      <c r="X23" s="28">
        <f>SUM(X22:X22)+X19</f>
        <v>25494</v>
      </c>
      <c r="Y23" s="28">
        <f>SUM(Y22:Y22)+Y19</f>
        <v>29610</v>
      </c>
      <c r="Z23" s="28">
        <f>SUM(Z22:Z22)+Z19</f>
        <v>42584</v>
      </c>
      <c r="AA23" s="28">
        <f>SUM(AA22:AA22)+AA19</f>
        <v>29310</v>
      </c>
      <c r="AB23" s="28">
        <f>SUM(AB22:AB22)+AB19</f>
        <v>28031</v>
      </c>
      <c r="AC23" s="28">
        <f>SUM(AC22:AC22)+AC19</f>
        <v>32804</v>
      </c>
      <c r="AE23" s="28">
        <f>SUM(AE22:AE22)+AE19</f>
        <v>113485</v>
      </c>
      <c r="AF23" s="28">
        <f>SUM(AF22:AF22)+AF19</f>
        <v>111728</v>
      </c>
      <c r="AG23" s="28">
        <f>SUM(AG22:AG22)+AG19</f>
        <v>111395</v>
      </c>
      <c r="AH23" s="28">
        <f>SUM(AH22:AH22)+AH19</f>
        <v>113736</v>
      </c>
      <c r="AI23" s="28">
        <f>SUM(AI22:AI22)+AI19</f>
        <v>118436</v>
      </c>
      <c r="AJ23" s="28">
        <f>SUM(AJ22:AJ22)+AJ19</f>
        <v>118112</v>
      </c>
      <c r="AK23" s="28">
        <f>SUM(AK22:AK22)+AK19</f>
        <v>120873</v>
      </c>
      <c r="AL23" s="28">
        <f>SUM(AL22:AL22)+AL19</f>
        <v>123485</v>
      </c>
      <c r="AM23" s="28">
        <f>SUM(AM22:AM22)+AM19</f>
        <v>125746</v>
      </c>
      <c r="AN23" s="28">
        <f>SUM(AN22:AN22)+AN19</f>
        <v>126998</v>
      </c>
      <c r="AO23" s="28">
        <f>SUM(AO22:AO22)+AO19</f>
        <v>129535</v>
      </c>
      <c r="AP23" s="28">
        <f>SUM(AP22:AP22)+AP19</f>
        <v>132729</v>
      </c>
      <c r="AQ23" s="46"/>
      <c r="AR23" s="88">
        <f t="shared" si="65"/>
        <v>7.4859294651172137E-2</v>
      </c>
    </row>
    <row r="24" spans="2:44" ht="5.0999999999999996" customHeight="1">
      <c r="B24" s="27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6"/>
      <c r="AR24" s="87"/>
    </row>
    <row r="25" spans="2:44" ht="12.75" customHeight="1">
      <c r="B25" s="50" t="s">
        <v>100</v>
      </c>
      <c r="C25" s="96">
        <v>-15685</v>
      </c>
      <c r="D25" s="96">
        <v>-15738</v>
      </c>
      <c r="E25" s="96">
        <v>-13372</v>
      </c>
      <c r="F25" s="96">
        <v>-10481</v>
      </c>
      <c r="G25" s="96">
        <v>-9680</v>
      </c>
      <c r="H25" s="96">
        <v>-14527</v>
      </c>
      <c r="I25" s="96">
        <v>-19300</v>
      </c>
      <c r="J25" s="96">
        <v>-16741</v>
      </c>
      <c r="K25" s="96">
        <v>-29749</v>
      </c>
      <c r="L25" s="96">
        <v>-20719</v>
      </c>
      <c r="M25" s="34"/>
      <c r="N25" s="96">
        <v>-6611</v>
      </c>
      <c r="O25" s="96">
        <v>-5129</v>
      </c>
      <c r="P25" s="96">
        <v>-3624</v>
      </c>
      <c r="Q25" s="34">
        <f t="shared" ref="Q25" si="66">SUM(I25-SUM(N25:P25))</f>
        <v>-3936</v>
      </c>
      <c r="R25" s="96">
        <v>-5625</v>
      </c>
      <c r="S25" s="96">
        <v>-4222</v>
      </c>
      <c r="T25" s="96">
        <v>-2852</v>
      </c>
      <c r="U25" s="34">
        <f t="shared" ref="U25" si="67">SUM(J25-SUM(R25:T25))</f>
        <v>-4042</v>
      </c>
      <c r="V25" s="180">
        <v>-6407</v>
      </c>
      <c r="W25" s="180">
        <v>-4422</v>
      </c>
      <c r="X25" s="180">
        <v>-4046</v>
      </c>
      <c r="Y25" s="34">
        <f t="shared" ref="Y25" si="68">SUM(K25-SUM(V25:X25))</f>
        <v>-14874</v>
      </c>
      <c r="Z25" s="96">
        <v>-6254</v>
      </c>
      <c r="AA25" s="96">
        <v>-4530</v>
      </c>
      <c r="AB25" s="96">
        <v>-4597</v>
      </c>
      <c r="AC25" s="34">
        <f>SUM(L25-SUM(Z25:AB25))</f>
        <v>-5338</v>
      </c>
      <c r="AD25" s="34"/>
      <c r="AE25" s="34">
        <f>SUM(O25:R25)</f>
        <v>-18314</v>
      </c>
      <c r="AF25" s="34">
        <f>SUM(P25:S25)</f>
        <v>-17407</v>
      </c>
      <c r="AG25" s="34">
        <f>SUM(Q25:T25)</f>
        <v>-16635</v>
      </c>
      <c r="AH25" s="34">
        <f>SUM(R25:U25)</f>
        <v>-16741</v>
      </c>
      <c r="AI25" s="34">
        <f>SUM(S25:V25)</f>
        <v>-17523</v>
      </c>
      <c r="AJ25" s="34">
        <f>SUM(T25:W25)</f>
        <v>-17723</v>
      </c>
      <c r="AK25" s="34">
        <f>SUM(U25:X25)</f>
        <v>-18917</v>
      </c>
      <c r="AL25" s="34">
        <f>SUM(V25:Y25)</f>
        <v>-29749</v>
      </c>
      <c r="AM25" s="34">
        <f>SUM(W25:Z25)</f>
        <v>-29596</v>
      </c>
      <c r="AN25" s="34">
        <f>SUM(X25:AA25)</f>
        <v>-29704</v>
      </c>
      <c r="AO25" s="34">
        <f>SUM(Y25:AB25)</f>
        <v>-30255</v>
      </c>
      <c r="AP25" s="34">
        <f>SUM(Z25:AC25)</f>
        <v>-20719</v>
      </c>
      <c r="AQ25" s="46"/>
      <c r="AR25" s="87">
        <f t="shared" si="65"/>
        <v>-0.30353961477696734</v>
      </c>
    </row>
    <row r="26" spans="2:44" ht="12.75" customHeight="1">
      <c r="B26" s="14" t="s">
        <v>82</v>
      </c>
      <c r="C26" s="15">
        <f t="shared" ref="C26:F26" si="69">SUM(C23+C25)</f>
        <v>45687</v>
      </c>
      <c r="D26" s="15">
        <f t="shared" si="69"/>
        <v>48351</v>
      </c>
      <c r="E26" s="15">
        <f t="shared" si="69"/>
        <v>59531</v>
      </c>
      <c r="F26" s="15">
        <f t="shared" si="69"/>
        <v>55256</v>
      </c>
      <c r="G26" s="15">
        <f>SUM(G23+G25)</f>
        <v>57411</v>
      </c>
      <c r="H26" s="15">
        <f>SUM(H23+H25)</f>
        <v>94680</v>
      </c>
      <c r="I26" s="15">
        <f t="shared" ref="I26:K26" si="70">SUM(I23+I25)</f>
        <v>99803</v>
      </c>
      <c r="J26" s="15">
        <f t="shared" si="70"/>
        <v>96995</v>
      </c>
      <c r="K26" s="15">
        <f t="shared" si="70"/>
        <v>93736</v>
      </c>
      <c r="L26" s="15">
        <f t="shared" ref="L26" si="71">SUM(L23+L25)</f>
        <v>112010</v>
      </c>
      <c r="M26" s="12"/>
      <c r="N26" s="15">
        <f t="shared" ref="N26:AO26" si="72">SUM(N23+N25)</f>
        <v>34630</v>
      </c>
      <c r="O26" s="15">
        <f t="shared" si="72"/>
        <v>25010</v>
      </c>
      <c r="P26" s="15">
        <f t="shared" si="72"/>
        <v>19442</v>
      </c>
      <c r="Q26" s="15">
        <f t="shared" si="72"/>
        <v>20721</v>
      </c>
      <c r="R26" s="15">
        <f t="shared" si="72"/>
        <v>29998</v>
      </c>
      <c r="S26" s="15">
        <f t="shared" si="72"/>
        <v>24160</v>
      </c>
      <c r="T26" s="15">
        <f t="shared" si="72"/>
        <v>19881</v>
      </c>
      <c r="U26" s="15">
        <f t="shared" si="72"/>
        <v>22956</v>
      </c>
      <c r="V26" s="15">
        <f t="shared" si="72"/>
        <v>33916</v>
      </c>
      <c r="W26" s="15">
        <f t="shared" si="72"/>
        <v>23636</v>
      </c>
      <c r="X26" s="15">
        <f t="shared" si="72"/>
        <v>21448</v>
      </c>
      <c r="Y26" s="15">
        <f t="shared" si="72"/>
        <v>14736</v>
      </c>
      <c r="Z26" s="15">
        <f t="shared" si="72"/>
        <v>36330</v>
      </c>
      <c r="AA26" s="15">
        <f t="shared" si="72"/>
        <v>24780</v>
      </c>
      <c r="AB26" s="15">
        <f t="shared" ref="AB26:AC26" si="73">SUM(AB23+AB25)</f>
        <v>23434</v>
      </c>
      <c r="AC26" s="15">
        <f t="shared" si="73"/>
        <v>27466</v>
      </c>
      <c r="AE26" s="15">
        <f t="shared" ref="AE26" si="74">SUM(AE23+AE25)</f>
        <v>95171</v>
      </c>
      <c r="AF26" s="15">
        <f t="shared" ref="AF26:AK26" si="75">SUM(AF23+AF25)</f>
        <v>94321</v>
      </c>
      <c r="AG26" s="15">
        <f t="shared" si="75"/>
        <v>94760</v>
      </c>
      <c r="AH26" s="15">
        <f t="shared" si="75"/>
        <v>96995</v>
      </c>
      <c r="AI26" s="15">
        <f t="shared" si="75"/>
        <v>100913</v>
      </c>
      <c r="AJ26" s="15">
        <f t="shared" si="75"/>
        <v>100389</v>
      </c>
      <c r="AK26" s="15">
        <f t="shared" si="75"/>
        <v>101956</v>
      </c>
      <c r="AL26" s="15">
        <f t="shared" ref="AL26:AN26" si="76">SUM(AL23+AL25)</f>
        <v>93736</v>
      </c>
      <c r="AM26" s="15">
        <f t="shared" si="76"/>
        <v>96150</v>
      </c>
      <c r="AN26" s="15">
        <f t="shared" si="76"/>
        <v>97294</v>
      </c>
      <c r="AO26" s="15">
        <f t="shared" si="72"/>
        <v>99280</v>
      </c>
      <c r="AP26" s="15">
        <f t="shared" ref="AP26" si="77">SUM(AP23+AP25)</f>
        <v>112010</v>
      </c>
      <c r="AQ26" s="39"/>
      <c r="AR26" s="88">
        <f t="shared" si="65"/>
        <v>0.19495177946573361</v>
      </c>
    </row>
    <row r="27" spans="2:44" ht="12.75" customHeight="1">
      <c r="B27" s="17" t="s">
        <v>102</v>
      </c>
      <c r="C27" s="18">
        <f>C26/C11</f>
        <v>0.211867983064288</v>
      </c>
      <c r="D27" s="18">
        <f>D26/D11</f>
        <v>0.21092420845075338</v>
      </c>
      <c r="E27" s="18">
        <f>E26/E11</f>
        <v>0.22414202074587247</v>
      </c>
      <c r="F27" s="18">
        <f>F26/F11</f>
        <v>0.21238094505984456</v>
      </c>
      <c r="G27" s="18">
        <f>G26/G11</f>
        <v>0.20913611278072236</v>
      </c>
      <c r="H27" s="18">
        <f>H26/H11</f>
        <v>0.25881793355694238</v>
      </c>
      <c r="I27" s="18">
        <f>I26/I11</f>
        <v>0.25309640705199732</v>
      </c>
      <c r="J27" s="18">
        <f>J26/J11</f>
        <v>0.25306234264320282</v>
      </c>
      <c r="K27" s="18">
        <f>K26/K11</f>
        <v>0.23971255769943867</v>
      </c>
      <c r="L27" s="18">
        <f>L26/L11</f>
        <v>0.26915064121818238</v>
      </c>
      <c r="M27" s="29"/>
      <c r="N27" s="18">
        <f>N26/N11</f>
        <v>0.27939812013393039</v>
      </c>
      <c r="O27" s="18">
        <f>O26/O11</f>
        <v>0.25709821336787353</v>
      </c>
      <c r="P27" s="18">
        <f>P26/P11</f>
        <v>0.23435673043310551</v>
      </c>
      <c r="Q27" s="18">
        <f>Q26/Q11</f>
        <v>0.22986044860559537</v>
      </c>
      <c r="R27" s="18">
        <f>R26/R11</f>
        <v>0.2560561312460522</v>
      </c>
      <c r="S27" s="18">
        <f>S26/S11</f>
        <v>0.25475557805052934</v>
      </c>
      <c r="T27" s="18">
        <f>T26/T11</f>
        <v>0.24305292370135825</v>
      </c>
      <c r="U27" s="18">
        <f>U26/U11</f>
        <v>0.25649735189613176</v>
      </c>
      <c r="V27" s="18">
        <f>V26/V11</f>
        <v>0.28363788417311309</v>
      </c>
      <c r="W27" s="18">
        <f>W26/W11</f>
        <v>0.26044318094167684</v>
      </c>
      <c r="X27" s="18">
        <f>X26/X11</f>
        <v>0.25004371801298714</v>
      </c>
      <c r="Y27" s="18">
        <f>Y26/Y11</f>
        <v>0.15523016959865163</v>
      </c>
      <c r="Z27" s="18">
        <f>Z26/Z11</f>
        <v>0.29227674979887369</v>
      </c>
      <c r="AA27" s="18">
        <f>AA26/AA11</f>
        <v>0.25986010759341016</v>
      </c>
      <c r="AB27" s="18">
        <f>AB26/AB11</f>
        <v>0.24920243311072354</v>
      </c>
      <c r="AC27" s="18">
        <f>AC26/AC11</f>
        <v>0.26804988971951671</v>
      </c>
      <c r="AD27" s="30"/>
      <c r="AE27" s="18">
        <f>AE26/AE11</f>
        <v>0.24557913179902821</v>
      </c>
      <c r="AF27" s="18">
        <f>AF26/AF11</f>
        <v>0.24492917332086889</v>
      </c>
      <c r="AG27" s="18">
        <f>AG26/AG11</f>
        <v>0.2468138972164414</v>
      </c>
      <c r="AH27" s="18">
        <f>AH26/AH11</f>
        <v>0.25306234264320282</v>
      </c>
      <c r="AI27" s="18">
        <f>AI26/AI11</f>
        <v>0.26163191653746637</v>
      </c>
      <c r="AJ27" s="18">
        <f>AJ26/AJ11</f>
        <v>0.26305804419544943</v>
      </c>
      <c r="AK27" s="18">
        <f>AK26/AK11</f>
        <v>0.26440665658721535</v>
      </c>
      <c r="AL27" s="18">
        <f>AL26/AL11</f>
        <v>0.23971255769943867</v>
      </c>
      <c r="AM27" s="18">
        <f>AM26/AM11</f>
        <v>0.24295027289266222</v>
      </c>
      <c r="AN27" s="18">
        <f>AN26/AN11</f>
        <v>0.24301264343126039</v>
      </c>
      <c r="AO27" s="18">
        <f>AO26/AO11</f>
        <v>0.24296115019883757</v>
      </c>
      <c r="AP27" s="18">
        <f>AP26/AP11</f>
        <v>0.26915064121818238</v>
      </c>
      <c r="AQ27" s="46"/>
      <c r="AR27" s="89">
        <f>SUM(AP27-AL27)*1000</f>
        <v>29.438083518743717</v>
      </c>
    </row>
    <row r="28" spans="2:44" ht="5.0999999999999996" customHeight="1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30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46"/>
      <c r="AR28" s="89"/>
    </row>
    <row r="29" spans="2:44" ht="12.75" customHeight="1">
      <c r="B29" s="50" t="s">
        <v>103</v>
      </c>
      <c r="C29" s="96">
        <v>21883.281000000003</v>
      </c>
      <c r="D29" s="96">
        <v>20868.968000000001</v>
      </c>
      <c r="E29" s="96">
        <v>19821.510000000002</v>
      </c>
      <c r="F29" s="96">
        <v>18471.335999999999</v>
      </c>
      <c r="G29" s="96">
        <v>17352.118999999999</v>
      </c>
      <c r="H29" s="96">
        <v>16701.272000000001</v>
      </c>
      <c r="I29" s="96">
        <v>16215.963</v>
      </c>
      <c r="J29" s="96">
        <v>15744.231</v>
      </c>
      <c r="K29" s="96">
        <v>15343.782999999999</v>
      </c>
      <c r="L29" s="96">
        <v>14948.5</v>
      </c>
      <c r="M29" s="29"/>
      <c r="N29" s="96">
        <v>16391.723999999998</v>
      </c>
      <c r="O29" s="96">
        <v>16278.802</v>
      </c>
      <c r="P29" s="96">
        <v>16162.945</v>
      </c>
      <c r="Q29" s="34">
        <f>I29</f>
        <v>16215.963</v>
      </c>
      <c r="R29" s="96">
        <v>15892.723</v>
      </c>
      <c r="S29" s="96">
        <v>15787.154</v>
      </c>
      <c r="T29" s="96">
        <v>15697.614</v>
      </c>
      <c r="U29" s="34">
        <f>J29</f>
        <v>15744.231</v>
      </c>
      <c r="V29" s="180">
        <v>15509.763000000001</v>
      </c>
      <c r="W29" s="180">
        <v>15405.856</v>
      </c>
      <c r="X29" s="180">
        <v>15287.521000000001</v>
      </c>
      <c r="Y29" s="34">
        <f>K29</f>
        <v>15343.782999999999</v>
      </c>
      <c r="Z29" s="96">
        <v>15081.724</v>
      </c>
      <c r="AA29" s="96">
        <v>14994.082</v>
      </c>
      <c r="AB29" s="96">
        <v>14902.886</v>
      </c>
      <c r="AC29" s="34">
        <f>L29</f>
        <v>14948.5</v>
      </c>
      <c r="AD29" s="30"/>
      <c r="AE29" s="34">
        <f>R29</f>
        <v>15892.723</v>
      </c>
      <c r="AF29" s="34">
        <f>S29</f>
        <v>15787.154</v>
      </c>
      <c r="AG29" s="34">
        <f>T29</f>
        <v>15697.614</v>
      </c>
      <c r="AH29" s="34">
        <f>U29</f>
        <v>15744.231</v>
      </c>
      <c r="AI29" s="34">
        <f>V29</f>
        <v>15509.763000000001</v>
      </c>
      <c r="AJ29" s="34">
        <f>W29</f>
        <v>15405.856</v>
      </c>
      <c r="AK29" s="34">
        <f>X29</f>
        <v>15287.521000000001</v>
      </c>
      <c r="AL29" s="34">
        <f>Y29</f>
        <v>15343.782999999999</v>
      </c>
      <c r="AM29" s="34">
        <f>Z29</f>
        <v>15081.724</v>
      </c>
      <c r="AN29" s="34">
        <f>AA29</f>
        <v>14994.082</v>
      </c>
      <c r="AO29" s="34">
        <f>AB29</f>
        <v>14902.886</v>
      </c>
      <c r="AP29" s="34">
        <f>AC29</f>
        <v>14948.5</v>
      </c>
      <c r="AQ29" s="46"/>
      <c r="AR29" s="87">
        <f t="shared" ref="AR29" si="78">SUM(AP29/AL29)-1</f>
        <v>-2.5761769441082438E-2</v>
      </c>
    </row>
    <row r="30" spans="2:44" ht="12.75" customHeight="1">
      <c r="B30" s="14" t="s">
        <v>104</v>
      </c>
      <c r="C30" s="90">
        <f t="shared" ref="C30:F30" si="79">C26/C29</f>
        <v>2.0877582296731463</v>
      </c>
      <c r="D30" s="90">
        <f t="shared" si="79"/>
        <v>2.3168850515272243</v>
      </c>
      <c r="E30" s="90">
        <f t="shared" si="79"/>
        <v>3.0033534276651976</v>
      </c>
      <c r="F30" s="90">
        <f t="shared" si="79"/>
        <v>2.9914457730615696</v>
      </c>
      <c r="G30" s="90">
        <f>G26/G29</f>
        <v>3.3085872682177895</v>
      </c>
      <c r="H30" s="90">
        <f t="shared" ref="H30:K30" si="80">H26/H29</f>
        <v>5.6690292811230183</v>
      </c>
      <c r="I30" s="90">
        <f t="shared" si="80"/>
        <v>6.1546144376377772</v>
      </c>
      <c r="J30" s="90">
        <f t="shared" si="80"/>
        <v>6.1606692635543778</v>
      </c>
      <c r="K30" s="90">
        <f t="shared" si="80"/>
        <v>6.1090540709549925</v>
      </c>
      <c r="L30" s="90">
        <f t="shared" ref="L30" si="81">L26/L29</f>
        <v>7.4930595042980901</v>
      </c>
      <c r="M30" s="12"/>
      <c r="N30" s="90">
        <f t="shared" ref="N30" si="82">N26/N29</f>
        <v>2.1126514819307598</v>
      </c>
      <c r="O30" s="90">
        <f t="shared" ref="O30" si="83">O26/O29</f>
        <v>1.5363538422544853</v>
      </c>
      <c r="P30" s="90">
        <f t="shared" ref="P30" si="84">P26/P29</f>
        <v>1.2028748473746584</v>
      </c>
      <c r="Q30" s="90">
        <f t="shared" ref="Q30" si="85">Q26/Q29</f>
        <v>1.2778149530804923</v>
      </c>
      <c r="R30" s="90">
        <f t="shared" ref="R30" si="86">R26/R29</f>
        <v>1.8875305383476451</v>
      </c>
      <c r="S30" s="90">
        <f t="shared" ref="S30" si="87">S26/S29</f>
        <v>1.5303581633523053</v>
      </c>
      <c r="T30" s="90">
        <f t="shared" ref="T30" si="88">T26/T29</f>
        <v>1.2664982079442137</v>
      </c>
      <c r="U30" s="90">
        <f t="shared" ref="U30" si="89">U26/U29</f>
        <v>1.4580578752941316</v>
      </c>
      <c r="V30" s="90">
        <f t="shared" ref="V30" si="90">V26/V29</f>
        <v>2.1867516608732189</v>
      </c>
      <c r="W30" s="90">
        <f t="shared" ref="W30" si="91">W26/W29</f>
        <v>1.5342217920250585</v>
      </c>
      <c r="X30" s="90">
        <f t="shared" ref="X30" si="92">X26/X29</f>
        <v>1.4029743605912299</v>
      </c>
      <c r="Y30" s="90">
        <f t="shared" ref="Y30" si="93">Y26/Y29</f>
        <v>0.96038897317565042</v>
      </c>
      <c r="Z30" s="90">
        <f t="shared" ref="Z30" si="94">Z26/Z29</f>
        <v>2.408875802262394</v>
      </c>
      <c r="AA30" s="90">
        <f t="shared" ref="AA30" si="95">AA26/AA29</f>
        <v>1.6526520263127813</v>
      </c>
      <c r="AB30" s="90">
        <f t="shared" ref="AB30:AC30" si="96">AB26/AB29</f>
        <v>1.5724471085667568</v>
      </c>
      <c r="AC30" s="90">
        <f t="shared" si="96"/>
        <v>1.8373749874569354</v>
      </c>
      <c r="AD30" s="30"/>
      <c r="AE30" s="90">
        <f t="shared" ref="AE30:AF30" si="97">AE26/AE29</f>
        <v>5.9883381847151052</v>
      </c>
      <c r="AF30" s="90">
        <f t="shared" si="97"/>
        <v>5.9745410730775159</v>
      </c>
      <c r="AG30" s="90">
        <f t="shared" ref="AG30" si="98">AG26/AG29</f>
        <v>6.0365861971125039</v>
      </c>
      <c r="AH30" s="90">
        <f t="shared" ref="AH30" si="99">AH26/AH29</f>
        <v>6.1606692635543778</v>
      </c>
      <c r="AI30" s="90">
        <f t="shared" ref="AI30" si="100">AI26/AI29</f>
        <v>6.5064179252771304</v>
      </c>
      <c r="AJ30" s="90">
        <f t="shared" ref="AJ30" si="101">AJ26/AJ29</f>
        <v>6.5162883516501777</v>
      </c>
      <c r="AK30" s="90">
        <f t="shared" ref="AK30" si="102">AK26/AK29</f>
        <v>6.6692304134856135</v>
      </c>
      <c r="AL30" s="90">
        <f t="shared" ref="AL30" si="103">AL26/AL29</f>
        <v>6.1090540709549925</v>
      </c>
      <c r="AM30" s="90">
        <f t="shared" ref="AM30" si="104">AM26/AM29</f>
        <v>6.375265851569754</v>
      </c>
      <c r="AN30" s="90">
        <f t="shared" ref="AN30" si="105">AN26/AN29</f>
        <v>6.4888267251039444</v>
      </c>
      <c r="AO30" s="90">
        <f t="shared" ref="AO30:AP30" si="106">AO26/AO29</f>
        <v>6.6617969163825048</v>
      </c>
      <c r="AP30" s="90">
        <f t="shared" si="106"/>
        <v>7.4930595042980901</v>
      </c>
      <c r="AQ30" s="39"/>
      <c r="AR30" s="88">
        <f t="shared" ref="AR30:AR33" si="107">SUM(AP30/AL30)-1</f>
        <v>0.22654987454166431</v>
      </c>
    </row>
    <row r="31" spans="2:44" ht="5.0999999999999996" customHeight="1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9"/>
      <c r="N31" s="18"/>
      <c r="O31" s="18"/>
      <c r="P31" s="18"/>
      <c r="Q31" s="34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30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46"/>
      <c r="AR31" s="89"/>
    </row>
    <row r="32" spans="2:44" ht="12.75" customHeight="1">
      <c r="B32" s="50" t="s">
        <v>105</v>
      </c>
      <c r="C32" s="96">
        <v>22001.127</v>
      </c>
      <c r="D32" s="96">
        <v>21006.767</v>
      </c>
      <c r="E32" s="96">
        <v>20000.436000000002</v>
      </c>
      <c r="F32" s="96">
        <v>18595.651000000002</v>
      </c>
      <c r="G32" s="96">
        <v>17528.214</v>
      </c>
      <c r="H32" s="96">
        <v>16864.919000000002</v>
      </c>
      <c r="I32" s="96">
        <v>16325.819</v>
      </c>
      <c r="J32" s="96">
        <v>15812.547</v>
      </c>
      <c r="K32" s="96">
        <v>15408.094999999999</v>
      </c>
      <c r="L32" s="96">
        <v>15004.697</v>
      </c>
      <c r="M32" s="29"/>
      <c r="N32" s="96">
        <v>16519.291000000001</v>
      </c>
      <c r="O32" s="96">
        <v>16403.315999999999</v>
      </c>
      <c r="P32" s="96">
        <v>16262.203</v>
      </c>
      <c r="Q32" s="34">
        <f>I32</f>
        <v>16325.819</v>
      </c>
      <c r="R32" s="96">
        <v>15955.718000000001</v>
      </c>
      <c r="S32" s="96">
        <v>15847.05</v>
      </c>
      <c r="T32" s="96">
        <v>15775.021000000001</v>
      </c>
      <c r="U32" s="34">
        <f>J32</f>
        <v>15812.547</v>
      </c>
      <c r="V32" s="180">
        <v>15576.641</v>
      </c>
      <c r="W32" s="180">
        <v>15464.709000000001</v>
      </c>
      <c r="X32" s="180">
        <v>15348.174999999999</v>
      </c>
      <c r="Y32" s="34">
        <f>K32</f>
        <v>15408.094999999999</v>
      </c>
      <c r="Z32" s="96">
        <v>15150.865</v>
      </c>
      <c r="AA32" s="96">
        <v>15056.133</v>
      </c>
      <c r="AB32" s="96">
        <v>14948.179</v>
      </c>
      <c r="AC32" s="34">
        <f>L32</f>
        <v>15004.697</v>
      </c>
      <c r="AD32" s="34"/>
      <c r="AE32" s="34">
        <f>R32</f>
        <v>15955.718000000001</v>
      </c>
      <c r="AF32" s="34">
        <f>S32</f>
        <v>15847.05</v>
      </c>
      <c r="AG32" s="34">
        <f>T32</f>
        <v>15775.021000000001</v>
      </c>
      <c r="AH32" s="34">
        <f>U32</f>
        <v>15812.547</v>
      </c>
      <c r="AI32" s="34">
        <f>V32</f>
        <v>15576.641</v>
      </c>
      <c r="AJ32" s="34">
        <f>W32</f>
        <v>15464.709000000001</v>
      </c>
      <c r="AK32" s="34">
        <f>X32</f>
        <v>15348.174999999999</v>
      </c>
      <c r="AL32" s="34">
        <f>Y32</f>
        <v>15408.094999999999</v>
      </c>
      <c r="AM32" s="34">
        <f>Z32</f>
        <v>15150.865</v>
      </c>
      <c r="AN32" s="34">
        <f>AA32</f>
        <v>15056.133</v>
      </c>
      <c r="AO32" s="34">
        <f>AB32</f>
        <v>14948.179</v>
      </c>
      <c r="AP32" s="34">
        <f>AC32</f>
        <v>15004.697</v>
      </c>
      <c r="AQ32" s="46"/>
      <c r="AR32" s="87">
        <f t="shared" si="107"/>
        <v>-2.6180913344576284E-2</v>
      </c>
    </row>
    <row r="33" spans="1:44" ht="12.75" customHeight="1">
      <c r="B33" s="14" t="s">
        <v>106</v>
      </c>
      <c r="C33" s="90">
        <f t="shared" ref="C33:F33" si="108">C26/C32</f>
        <v>2.0765754408853692</v>
      </c>
      <c r="D33" s="90">
        <f t="shared" si="108"/>
        <v>2.301686880232451</v>
      </c>
      <c r="E33" s="90">
        <f t="shared" si="108"/>
        <v>2.9764851126245446</v>
      </c>
      <c r="F33" s="90">
        <f t="shared" si="108"/>
        <v>2.9714474637107351</v>
      </c>
      <c r="G33" s="90">
        <f>G26/G32</f>
        <v>3.2753479618630856</v>
      </c>
      <c r="H33" s="90">
        <f t="shared" ref="H33:K33" si="109">H26/H32</f>
        <v>5.6140204408927188</v>
      </c>
      <c r="I33" s="90">
        <f t="shared" si="109"/>
        <v>6.1132002014722815</v>
      </c>
      <c r="J33" s="90">
        <f t="shared" si="109"/>
        <v>6.1340529138031972</v>
      </c>
      <c r="K33" s="90">
        <f t="shared" si="109"/>
        <v>6.0835554297919376</v>
      </c>
      <c r="L33" s="90">
        <f t="shared" ref="L33" si="110">L26/L32</f>
        <v>7.4649957943169394</v>
      </c>
      <c r="M33" s="29"/>
      <c r="N33" s="90">
        <f t="shared" ref="N33" si="111">N26/N32</f>
        <v>2.0963369432743812</v>
      </c>
      <c r="O33" s="90">
        <f t="shared" ref="O33" si="112">O26/O32</f>
        <v>1.5246917147727936</v>
      </c>
      <c r="P33" s="90">
        <f t="shared" ref="P33" si="113">P26/P32</f>
        <v>1.1955329791418789</v>
      </c>
      <c r="Q33" s="90">
        <f t="shared" ref="Q33" si="114">Q26/Q32</f>
        <v>1.2692165703907412</v>
      </c>
      <c r="R33" s="90">
        <f t="shared" ref="R33" si="115">R26/R32</f>
        <v>1.8800783518485347</v>
      </c>
      <c r="S33" s="90">
        <f t="shared" ref="S33" si="116">S26/S32</f>
        <v>1.5245739743359175</v>
      </c>
      <c r="T33" s="90">
        <f t="shared" ref="T33" si="117">T26/T32</f>
        <v>1.2602835837746269</v>
      </c>
      <c r="U33" s="90">
        <f t="shared" ref="U33" si="118">U26/U32</f>
        <v>1.4517585307414422</v>
      </c>
      <c r="V33" s="90">
        <f t="shared" ref="V33" si="119">V26/V32</f>
        <v>2.1773628858750742</v>
      </c>
      <c r="W33" s="90">
        <f t="shared" ref="W33" si="120">W26/W32</f>
        <v>1.5283831076291186</v>
      </c>
      <c r="X33" s="90">
        <f t="shared" ref="X33" si="121">X26/X32</f>
        <v>1.3974299876043894</v>
      </c>
      <c r="Y33" s="90">
        <f t="shared" ref="Y33" si="122">Y26/Y32</f>
        <v>0.95638039614890746</v>
      </c>
      <c r="Z33" s="90">
        <f t="shared" ref="Z33" si="123">Z26/Z32</f>
        <v>2.3978828931549452</v>
      </c>
      <c r="AA33" s="90">
        <f t="shared" ref="AA33" si="124">AA26/AA32</f>
        <v>1.6458409340565736</v>
      </c>
      <c r="AB33" s="90">
        <f t="shared" ref="AB33:AC33" si="125">AB26/AB32</f>
        <v>1.5676825919732431</v>
      </c>
      <c r="AC33" s="90">
        <f t="shared" si="125"/>
        <v>1.8304934781422111</v>
      </c>
      <c r="AD33" s="34"/>
      <c r="AE33" s="90">
        <f t="shared" ref="AE33:AF33" si="126">AE26/AE32</f>
        <v>5.9646955404952626</v>
      </c>
      <c r="AF33" s="90">
        <f t="shared" si="126"/>
        <v>5.9519595129692915</v>
      </c>
      <c r="AG33" s="90">
        <f t="shared" ref="AG33" si="127">AG26/AG32</f>
        <v>6.0069650620433404</v>
      </c>
      <c r="AH33" s="90">
        <f t="shared" ref="AH33" si="128">AH26/AH32</f>
        <v>6.1340529138031972</v>
      </c>
      <c r="AI33" s="90">
        <f t="shared" ref="AI33" si="129">AI26/AI32</f>
        <v>6.4784827486234038</v>
      </c>
      <c r="AJ33" s="90">
        <f t="shared" ref="AJ33" si="130">AJ26/AJ32</f>
        <v>6.4914897525714839</v>
      </c>
      <c r="AK33" s="90">
        <f t="shared" ref="AK33" si="131">AK26/AK32</f>
        <v>6.6428744785617839</v>
      </c>
      <c r="AL33" s="90">
        <f t="shared" ref="AL33" si="132">AL26/AL32</f>
        <v>6.0835554297919376</v>
      </c>
      <c r="AM33" s="90">
        <f t="shared" ref="AM33" si="133">AM26/AM32</f>
        <v>6.3461723142540043</v>
      </c>
      <c r="AN33" s="90">
        <f t="shared" ref="AN33" si="134">AN26/AN32</f>
        <v>6.4620842549677269</v>
      </c>
      <c r="AO33" s="90">
        <f t="shared" ref="AO33:AP33" si="135">AO26/AO32</f>
        <v>6.6416116638688898</v>
      </c>
      <c r="AP33" s="90">
        <f t="shared" si="135"/>
        <v>7.4649957943169394</v>
      </c>
      <c r="AQ33" s="39"/>
      <c r="AR33" s="88">
        <f t="shared" si="107"/>
        <v>0.22707779693432473</v>
      </c>
    </row>
    <row r="34" spans="1:44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30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46"/>
    </row>
    <row r="35" spans="1:44" ht="12.75" customHeight="1">
      <c r="A35" s="5" t="s">
        <v>24</v>
      </c>
      <c r="B35" s="221" t="s">
        <v>354</v>
      </c>
      <c r="C35" s="222" t="s">
        <v>0</v>
      </c>
      <c r="D35" s="222"/>
      <c r="E35" s="222"/>
      <c r="F35" s="222"/>
      <c r="G35" s="222"/>
      <c r="H35" s="222"/>
      <c r="I35" s="222"/>
      <c r="J35" s="222"/>
      <c r="K35" s="222"/>
      <c r="L35" s="222"/>
      <c r="M35" s="223"/>
      <c r="N35" s="222" t="s">
        <v>1</v>
      </c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1"/>
      <c r="AE35" s="222"/>
      <c r="AF35" s="222"/>
      <c r="AG35" s="222"/>
      <c r="AH35" s="222"/>
      <c r="AI35" s="222"/>
      <c r="AJ35" s="222"/>
      <c r="AK35" s="222" t="s">
        <v>10</v>
      </c>
      <c r="AL35" s="222"/>
      <c r="AM35" s="222"/>
      <c r="AN35" s="222"/>
      <c r="AO35" s="222"/>
      <c r="AP35" s="222"/>
      <c r="AQ35" s="223"/>
      <c r="AR35" s="285" t="s">
        <v>36</v>
      </c>
    </row>
    <row r="36" spans="1:44" ht="12.75" customHeight="1">
      <c r="B36" s="225" t="str">
        <f>B7</f>
        <v>Fiscal Period</v>
      </c>
      <c r="C36" s="224">
        <f>C7</f>
        <v>2016</v>
      </c>
      <c r="D36" s="224">
        <f>D7</f>
        <v>2017</v>
      </c>
      <c r="E36" s="224">
        <f>E7</f>
        <v>2018</v>
      </c>
      <c r="F36" s="224">
        <f>F7</f>
        <v>2019</v>
      </c>
      <c r="G36" s="224">
        <f>G7</f>
        <v>2020</v>
      </c>
      <c r="H36" s="224">
        <f>H7</f>
        <v>2021</v>
      </c>
      <c r="I36" s="224">
        <f>I7</f>
        <v>2022</v>
      </c>
      <c r="J36" s="224">
        <f>J7</f>
        <v>2023</v>
      </c>
      <c r="K36" s="224">
        <f>K7</f>
        <v>2024</v>
      </c>
      <c r="L36" s="224">
        <f>L7</f>
        <v>2025</v>
      </c>
      <c r="M36" s="223"/>
      <c r="N36" s="224" t="str">
        <f>N7</f>
        <v>1Q22</v>
      </c>
      <c r="O36" s="224" t="str">
        <f>O7</f>
        <v>2Q22</v>
      </c>
      <c r="P36" s="224" t="str">
        <f>P7</f>
        <v>3Q22</v>
      </c>
      <c r="Q36" s="224" t="str">
        <f>Q7</f>
        <v>4Q22</v>
      </c>
      <c r="R36" s="224" t="str">
        <f>R7</f>
        <v>1Q23</v>
      </c>
      <c r="S36" s="224" t="str">
        <f>S7</f>
        <v>2Q23</v>
      </c>
      <c r="T36" s="224" t="str">
        <f>T7</f>
        <v>3Q23</v>
      </c>
      <c r="U36" s="224" t="str">
        <f>U7</f>
        <v>4Q23</v>
      </c>
      <c r="V36" s="224" t="str">
        <f>V7</f>
        <v>1Q24</v>
      </c>
      <c r="W36" s="224" t="str">
        <f>W7</f>
        <v>2Q24</v>
      </c>
      <c r="X36" s="224" t="str">
        <f>X7</f>
        <v>3Q24</v>
      </c>
      <c r="Y36" s="224" t="str">
        <f>Y7</f>
        <v>4Q24</v>
      </c>
      <c r="Z36" s="224" t="str">
        <f>Z7</f>
        <v>1Q25</v>
      </c>
      <c r="AA36" s="224" t="str">
        <f>AA7</f>
        <v>2Q25</v>
      </c>
      <c r="AB36" s="224" t="str">
        <f>AB7</f>
        <v>3Q25</v>
      </c>
      <c r="AC36" s="224" t="str">
        <f>AC7</f>
        <v>4Q25</v>
      </c>
      <c r="AD36" s="226"/>
      <c r="AE36" s="224" t="str">
        <f>AE7</f>
        <v>1Q23</v>
      </c>
      <c r="AF36" s="224" t="str">
        <f>AF7</f>
        <v>2Q23</v>
      </c>
      <c r="AG36" s="224" t="str">
        <f>AG7</f>
        <v>3Q23</v>
      </c>
      <c r="AH36" s="224" t="str">
        <f>AH7</f>
        <v>4Q23</v>
      </c>
      <c r="AI36" s="224" t="str">
        <f>AI7</f>
        <v>1Q24</v>
      </c>
      <c r="AJ36" s="224" t="str">
        <f>AJ7</f>
        <v>2Q24</v>
      </c>
      <c r="AK36" s="224" t="str">
        <f>AK7</f>
        <v>3Q24</v>
      </c>
      <c r="AL36" s="224" t="str">
        <f>AL7</f>
        <v>4Q24</v>
      </c>
      <c r="AM36" s="224" t="str">
        <f>AM7</f>
        <v>1Q25</v>
      </c>
      <c r="AN36" s="224" t="str">
        <f>AN7</f>
        <v>2Q25</v>
      </c>
      <c r="AO36" s="224" t="str">
        <f>AO7</f>
        <v>3Q25</v>
      </c>
      <c r="AP36" s="224" t="str">
        <f>AP7</f>
        <v>4Q25</v>
      </c>
      <c r="AQ36" s="223"/>
      <c r="AR36" s="285"/>
    </row>
    <row r="37" spans="1:44" ht="12.75" customHeight="1">
      <c r="B37" s="225" t="str">
        <f>B8</f>
        <v>Fiscal Period End Date</v>
      </c>
      <c r="C37" s="227">
        <f>C8</f>
        <v>42643</v>
      </c>
      <c r="D37" s="227">
        <f>D8</f>
        <v>43008</v>
      </c>
      <c r="E37" s="227">
        <f>E8</f>
        <v>43372</v>
      </c>
      <c r="F37" s="227">
        <f>F8</f>
        <v>43737</v>
      </c>
      <c r="G37" s="227">
        <f>G8</f>
        <v>44104</v>
      </c>
      <c r="H37" s="227">
        <f>H8</f>
        <v>44469</v>
      </c>
      <c r="I37" s="227">
        <f>I8</f>
        <v>44834</v>
      </c>
      <c r="J37" s="227">
        <f>J8</f>
        <v>45192</v>
      </c>
      <c r="K37" s="227">
        <f>K8</f>
        <v>45559</v>
      </c>
      <c r="L37" s="227">
        <f>L8</f>
        <v>45927</v>
      </c>
      <c r="M37" s="223"/>
      <c r="N37" s="227">
        <f>N8</f>
        <v>44560</v>
      </c>
      <c r="O37" s="227">
        <f>O8</f>
        <v>44650</v>
      </c>
      <c r="P37" s="227">
        <f>P8</f>
        <v>44742</v>
      </c>
      <c r="Q37" s="227">
        <f>Q8</f>
        <v>44834</v>
      </c>
      <c r="R37" s="227">
        <f>R8</f>
        <v>44917</v>
      </c>
      <c r="S37" s="227">
        <f>S8</f>
        <v>45008</v>
      </c>
      <c r="T37" s="227">
        <f>T8</f>
        <v>45100</v>
      </c>
      <c r="U37" s="227">
        <f>U8</f>
        <v>45192</v>
      </c>
      <c r="V37" s="227">
        <f>V8</f>
        <v>45283</v>
      </c>
      <c r="W37" s="227">
        <f>W8</f>
        <v>45375</v>
      </c>
      <c r="X37" s="227">
        <f>X8</f>
        <v>45467</v>
      </c>
      <c r="Y37" s="227">
        <f>Y8</f>
        <v>45559</v>
      </c>
      <c r="Z37" s="227">
        <f>Z8</f>
        <v>45650</v>
      </c>
      <c r="AA37" s="227">
        <f>AA8</f>
        <v>45741</v>
      </c>
      <c r="AB37" s="227">
        <f>AB8</f>
        <v>45833</v>
      </c>
      <c r="AC37" s="227">
        <f>AC8</f>
        <v>45927</v>
      </c>
      <c r="AD37" s="228"/>
      <c r="AE37" s="227">
        <f>AE8</f>
        <v>44917</v>
      </c>
      <c r="AF37" s="227">
        <f>AF8</f>
        <v>45008</v>
      </c>
      <c r="AG37" s="227">
        <f>AG8</f>
        <v>45100</v>
      </c>
      <c r="AH37" s="227">
        <f>AH8</f>
        <v>45192</v>
      </c>
      <c r="AI37" s="227">
        <f>AI8</f>
        <v>45283</v>
      </c>
      <c r="AJ37" s="227">
        <f>AJ8</f>
        <v>45375</v>
      </c>
      <c r="AK37" s="227">
        <f>AK8</f>
        <v>45467</v>
      </c>
      <c r="AL37" s="227">
        <f>AL8</f>
        <v>45559</v>
      </c>
      <c r="AM37" s="227">
        <f>AM8</f>
        <v>45650</v>
      </c>
      <c r="AN37" s="227">
        <f>AN8</f>
        <v>45741</v>
      </c>
      <c r="AO37" s="227">
        <f>AO8</f>
        <v>45833</v>
      </c>
      <c r="AP37" s="227">
        <f>AP8</f>
        <v>45927</v>
      </c>
      <c r="AQ37" s="223"/>
      <c r="AR37" s="285"/>
    </row>
    <row r="38" spans="1:44" ht="5.0999999999999996" customHeight="1">
      <c r="B38" s="52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44" ht="12.75" customHeight="1">
      <c r="B39" s="10" t="s">
        <v>224</v>
      </c>
      <c r="C39" s="96">
        <v>20484</v>
      </c>
      <c r="D39" s="96">
        <v>20289</v>
      </c>
      <c r="E39" s="96">
        <v>25913</v>
      </c>
      <c r="F39" s="96">
        <v>48844</v>
      </c>
      <c r="G39" s="96">
        <v>38016</v>
      </c>
      <c r="H39" s="96">
        <v>34940</v>
      </c>
      <c r="I39" s="96">
        <v>23646</v>
      </c>
      <c r="J39" s="96">
        <v>29965</v>
      </c>
      <c r="K39" s="96">
        <v>29943</v>
      </c>
      <c r="L39" s="96">
        <v>35934</v>
      </c>
      <c r="N39" s="96">
        <v>37119</v>
      </c>
      <c r="O39" s="96">
        <v>28098</v>
      </c>
      <c r="P39" s="96">
        <v>27502</v>
      </c>
      <c r="Q39" s="34">
        <f t="shared" ref="Q39:Q43" si="136">I39</f>
        <v>23646</v>
      </c>
      <c r="R39" s="96">
        <v>20535</v>
      </c>
      <c r="S39" s="96">
        <v>24687</v>
      </c>
      <c r="T39" s="96">
        <v>28408</v>
      </c>
      <c r="U39" s="34">
        <f t="shared" ref="U39:U43" si="137">J39</f>
        <v>29965</v>
      </c>
      <c r="V39" s="96">
        <v>40760</v>
      </c>
      <c r="W39" s="96">
        <v>32695</v>
      </c>
      <c r="X39" s="96">
        <v>25565</v>
      </c>
      <c r="Y39" s="34">
        <f t="shared" ref="Y39:Y43" si="138">K39</f>
        <v>29943</v>
      </c>
      <c r="Z39" s="96">
        <v>30299</v>
      </c>
      <c r="AA39" s="96">
        <v>28162</v>
      </c>
      <c r="AB39" s="96">
        <v>36269</v>
      </c>
      <c r="AC39" s="34">
        <f t="shared" ref="AC39:AC43" si="139">L39</f>
        <v>35934</v>
      </c>
      <c r="AE39" s="34">
        <f>R39</f>
        <v>20535</v>
      </c>
      <c r="AF39" s="34">
        <f>S39</f>
        <v>24687</v>
      </c>
      <c r="AG39" s="34">
        <f>T39</f>
        <v>28408</v>
      </c>
      <c r="AH39" s="34">
        <f>U39</f>
        <v>29965</v>
      </c>
      <c r="AI39" s="34">
        <f>V39</f>
        <v>40760</v>
      </c>
      <c r="AJ39" s="34">
        <f>W39</f>
        <v>32695</v>
      </c>
      <c r="AK39" s="34">
        <f>X39</f>
        <v>25565</v>
      </c>
      <c r="AL39" s="34">
        <f>Y39</f>
        <v>29943</v>
      </c>
      <c r="AM39" s="34">
        <f>Z39</f>
        <v>30299</v>
      </c>
      <c r="AN39" s="34">
        <f t="shared" ref="AN39:AN43" si="140">AA39</f>
        <v>28162</v>
      </c>
      <c r="AO39" s="34">
        <f>AB39</f>
        <v>36269</v>
      </c>
      <c r="AP39" s="34">
        <f>AC39</f>
        <v>35934</v>
      </c>
      <c r="AQ39" s="12"/>
      <c r="AR39" s="87">
        <f t="shared" ref="AR39:AR66" si="141">SUM(AP39/AL39)-1</f>
        <v>0.20008015228934983</v>
      </c>
    </row>
    <row r="40" spans="1:44" ht="12.75" customHeight="1">
      <c r="B40" s="10" t="s">
        <v>349</v>
      </c>
      <c r="C40" s="96">
        <v>46671</v>
      </c>
      <c r="D40" s="96">
        <v>53892</v>
      </c>
      <c r="E40" s="96">
        <v>40388</v>
      </c>
      <c r="F40" s="96">
        <v>51713</v>
      </c>
      <c r="G40" s="96">
        <v>52927</v>
      </c>
      <c r="H40" s="96">
        <v>27699</v>
      </c>
      <c r="I40" s="96">
        <v>24658</v>
      </c>
      <c r="J40" s="96">
        <v>31590</v>
      </c>
      <c r="K40" s="96">
        <v>35228</v>
      </c>
      <c r="L40" s="96">
        <v>18763</v>
      </c>
      <c r="N40" s="96">
        <v>26794</v>
      </c>
      <c r="O40" s="96">
        <v>23413</v>
      </c>
      <c r="P40" s="96">
        <v>20729</v>
      </c>
      <c r="Q40" s="34">
        <f t="shared" si="136"/>
        <v>24658</v>
      </c>
      <c r="R40" s="96">
        <v>30820</v>
      </c>
      <c r="S40" s="96">
        <v>31185</v>
      </c>
      <c r="T40" s="96">
        <v>34074</v>
      </c>
      <c r="U40" s="34">
        <f t="shared" si="137"/>
        <v>31590</v>
      </c>
      <c r="V40" s="96">
        <v>32340</v>
      </c>
      <c r="W40" s="96">
        <v>34455</v>
      </c>
      <c r="X40" s="96">
        <v>36236</v>
      </c>
      <c r="Y40" s="34">
        <f t="shared" si="138"/>
        <v>35228</v>
      </c>
      <c r="Z40" s="96">
        <v>23476</v>
      </c>
      <c r="AA40" s="96">
        <v>20336</v>
      </c>
      <c r="AB40" s="96">
        <v>19103</v>
      </c>
      <c r="AC40" s="34">
        <f t="shared" si="139"/>
        <v>18763</v>
      </c>
      <c r="AE40" s="34">
        <f>R40</f>
        <v>30820</v>
      </c>
      <c r="AF40" s="34">
        <f>S40</f>
        <v>31185</v>
      </c>
      <c r="AG40" s="34">
        <f>T40</f>
        <v>34074</v>
      </c>
      <c r="AH40" s="34">
        <f>U40</f>
        <v>31590</v>
      </c>
      <c r="AI40" s="34">
        <f>V40</f>
        <v>32340</v>
      </c>
      <c r="AJ40" s="34">
        <f>W40</f>
        <v>34455</v>
      </c>
      <c r="AK40" s="34">
        <f>X40</f>
        <v>36236</v>
      </c>
      <c r="AL40" s="34">
        <f>Y40</f>
        <v>35228</v>
      </c>
      <c r="AM40" s="34">
        <f>Z40</f>
        <v>23476</v>
      </c>
      <c r="AN40" s="34">
        <f t="shared" si="140"/>
        <v>20336</v>
      </c>
      <c r="AO40" s="34">
        <f t="shared" ref="AO40:AP43" si="142">AB40</f>
        <v>19103</v>
      </c>
      <c r="AP40" s="34">
        <f t="shared" si="142"/>
        <v>18763</v>
      </c>
      <c r="AQ40" s="12"/>
      <c r="AR40" s="87">
        <f t="shared" si="141"/>
        <v>-0.46738389917111389</v>
      </c>
    </row>
    <row r="41" spans="1:44" ht="12.75" customHeight="1">
      <c r="B41" s="10" t="s">
        <v>65</v>
      </c>
      <c r="C41" s="96">
        <v>15754</v>
      </c>
      <c r="D41" s="96">
        <v>17874</v>
      </c>
      <c r="E41" s="96">
        <v>23186</v>
      </c>
      <c r="F41" s="96">
        <v>22926</v>
      </c>
      <c r="G41" s="96">
        <v>16120</v>
      </c>
      <c r="H41" s="96">
        <v>26278</v>
      </c>
      <c r="I41" s="96">
        <v>28184</v>
      </c>
      <c r="J41" s="96">
        <v>29508</v>
      </c>
      <c r="K41" s="96">
        <v>66243</v>
      </c>
      <c r="L41" s="96">
        <v>39777</v>
      </c>
      <c r="N41" s="96">
        <v>30213</v>
      </c>
      <c r="O41" s="96">
        <v>20815</v>
      </c>
      <c r="P41" s="96">
        <v>21803</v>
      </c>
      <c r="Q41" s="34">
        <f t="shared" si="136"/>
        <v>28184</v>
      </c>
      <c r="R41" s="96">
        <v>23752</v>
      </c>
      <c r="S41" s="96">
        <v>17936</v>
      </c>
      <c r="T41" s="96">
        <v>19549</v>
      </c>
      <c r="U41" s="34">
        <f t="shared" si="137"/>
        <v>29508</v>
      </c>
      <c r="V41" s="96">
        <v>23194</v>
      </c>
      <c r="W41" s="96">
        <v>21837</v>
      </c>
      <c r="X41" s="96">
        <v>22795</v>
      </c>
      <c r="Y41" s="34">
        <f t="shared" si="138"/>
        <v>66243</v>
      </c>
      <c r="Z41" s="96">
        <v>29639</v>
      </c>
      <c r="AA41" s="96">
        <v>49798</v>
      </c>
      <c r="AB41" s="96">
        <v>46835</v>
      </c>
      <c r="AC41" s="34">
        <f t="shared" si="139"/>
        <v>39777</v>
      </c>
      <c r="AE41" s="34">
        <f>R41</f>
        <v>23752</v>
      </c>
      <c r="AF41" s="34">
        <f>S41</f>
        <v>17936</v>
      </c>
      <c r="AG41" s="34">
        <f>T41</f>
        <v>19549</v>
      </c>
      <c r="AH41" s="34">
        <f>U41</f>
        <v>29508</v>
      </c>
      <c r="AI41" s="34">
        <f>V41</f>
        <v>23194</v>
      </c>
      <c r="AJ41" s="34">
        <f>W41</f>
        <v>21837</v>
      </c>
      <c r="AK41" s="34">
        <f>X41</f>
        <v>22795</v>
      </c>
      <c r="AL41" s="34">
        <f>Y41</f>
        <v>66243</v>
      </c>
      <c r="AM41" s="34">
        <f>Z41</f>
        <v>29639</v>
      </c>
      <c r="AN41" s="34">
        <f t="shared" si="140"/>
        <v>49798</v>
      </c>
      <c r="AO41" s="34">
        <f t="shared" si="142"/>
        <v>46835</v>
      </c>
      <c r="AP41" s="34">
        <f t="shared" si="142"/>
        <v>39777</v>
      </c>
      <c r="AQ41" s="12"/>
      <c r="AR41" s="87">
        <f t="shared" si="141"/>
        <v>-0.39952900683845838</v>
      </c>
    </row>
    <row r="42" spans="1:44" ht="12.75" customHeight="1">
      <c r="B42" s="10" t="s">
        <v>98</v>
      </c>
      <c r="C42" s="96">
        <v>2132</v>
      </c>
      <c r="D42" s="96">
        <v>4855</v>
      </c>
      <c r="E42" s="96">
        <v>3956</v>
      </c>
      <c r="F42" s="96">
        <v>4106</v>
      </c>
      <c r="G42" s="96">
        <v>4061</v>
      </c>
      <c r="H42" s="96">
        <v>6580</v>
      </c>
      <c r="I42" s="96">
        <v>4946</v>
      </c>
      <c r="J42" s="96">
        <v>6331</v>
      </c>
      <c r="K42" s="96">
        <v>7286</v>
      </c>
      <c r="L42" s="96">
        <v>5718</v>
      </c>
      <c r="N42" s="96">
        <v>5876</v>
      </c>
      <c r="O42" s="96">
        <v>5460</v>
      </c>
      <c r="P42" s="96">
        <v>5433</v>
      </c>
      <c r="Q42" s="34">
        <f t="shared" si="136"/>
        <v>4946</v>
      </c>
      <c r="R42" s="96">
        <v>6820</v>
      </c>
      <c r="S42" s="96">
        <v>7482</v>
      </c>
      <c r="T42" s="96">
        <v>7351</v>
      </c>
      <c r="U42" s="34">
        <f t="shared" si="137"/>
        <v>6331</v>
      </c>
      <c r="V42" s="96">
        <v>6511</v>
      </c>
      <c r="W42" s="96">
        <v>6232</v>
      </c>
      <c r="X42" s="96">
        <v>6165</v>
      </c>
      <c r="Y42" s="34">
        <f t="shared" si="138"/>
        <v>7286</v>
      </c>
      <c r="Z42" s="96">
        <v>6911</v>
      </c>
      <c r="AA42" s="96">
        <v>6269</v>
      </c>
      <c r="AB42" s="96">
        <v>5925</v>
      </c>
      <c r="AC42" s="34">
        <f t="shared" si="139"/>
        <v>5718</v>
      </c>
      <c r="AE42" s="34">
        <f>R42</f>
        <v>6820</v>
      </c>
      <c r="AF42" s="34">
        <f>S42</f>
        <v>7482</v>
      </c>
      <c r="AG42" s="34">
        <f>T42</f>
        <v>7351</v>
      </c>
      <c r="AH42" s="34">
        <f>U42</f>
        <v>6331</v>
      </c>
      <c r="AI42" s="34">
        <f>V42</f>
        <v>6511</v>
      </c>
      <c r="AJ42" s="34">
        <f>W42</f>
        <v>6232</v>
      </c>
      <c r="AK42" s="34">
        <f>X42</f>
        <v>6165</v>
      </c>
      <c r="AL42" s="34">
        <f>Y42</f>
        <v>7286</v>
      </c>
      <c r="AM42" s="34">
        <f>Z42</f>
        <v>6911</v>
      </c>
      <c r="AN42" s="34">
        <f t="shared" si="140"/>
        <v>6269</v>
      </c>
      <c r="AO42" s="34">
        <f t="shared" si="142"/>
        <v>5925</v>
      </c>
      <c r="AP42" s="34">
        <f t="shared" si="142"/>
        <v>5718</v>
      </c>
      <c r="AQ42" s="12"/>
      <c r="AR42" s="87">
        <f t="shared" si="141"/>
        <v>-0.21520724677463632</v>
      </c>
    </row>
    <row r="43" spans="1:44" ht="12.75" customHeight="1">
      <c r="B43" s="10" t="s">
        <v>225</v>
      </c>
      <c r="C43" s="96">
        <v>21828</v>
      </c>
      <c r="D43" s="96">
        <f>13936+17799</f>
        <v>31735</v>
      </c>
      <c r="E43" s="96">
        <v>37896</v>
      </c>
      <c r="F43" s="96">
        <v>35230</v>
      </c>
      <c r="G43" s="96">
        <v>32589</v>
      </c>
      <c r="H43" s="96">
        <v>39339</v>
      </c>
      <c r="I43" s="96">
        <v>53971</v>
      </c>
      <c r="J43" s="96">
        <v>46172</v>
      </c>
      <c r="K43" s="96">
        <v>14287</v>
      </c>
      <c r="L43" s="96">
        <f>33180+14585</f>
        <v>47765</v>
      </c>
      <c r="N43" s="96">
        <v>53152</v>
      </c>
      <c r="O43" s="96">
        <v>40394</v>
      </c>
      <c r="P43" s="96">
        <v>36825</v>
      </c>
      <c r="Q43" s="34">
        <f t="shared" si="136"/>
        <v>53971</v>
      </c>
      <c r="R43" s="96">
        <v>46850</v>
      </c>
      <c r="S43" s="96">
        <v>31623</v>
      </c>
      <c r="T43" s="96">
        <v>33277</v>
      </c>
      <c r="U43" s="34">
        <f t="shared" si="137"/>
        <v>46172</v>
      </c>
      <c r="V43" s="96">
        <v>40887</v>
      </c>
      <c r="W43" s="96">
        <v>33197</v>
      </c>
      <c r="X43" s="96">
        <v>34674</v>
      </c>
      <c r="Y43" s="34">
        <f t="shared" si="138"/>
        <v>14287</v>
      </c>
      <c r="Z43" s="96">
        <v>42915</v>
      </c>
      <c r="AA43" s="96">
        <v>14109</v>
      </c>
      <c r="AB43" s="96">
        <v>14359</v>
      </c>
      <c r="AC43" s="34">
        <f t="shared" si="139"/>
        <v>47765</v>
      </c>
      <c r="AE43" s="34">
        <f>R43</f>
        <v>46850</v>
      </c>
      <c r="AF43" s="34">
        <f>S43</f>
        <v>31623</v>
      </c>
      <c r="AG43" s="34">
        <f>T43</f>
        <v>33277</v>
      </c>
      <c r="AH43" s="34">
        <f>U43</f>
        <v>46172</v>
      </c>
      <c r="AI43" s="34">
        <f>V43</f>
        <v>40887</v>
      </c>
      <c r="AJ43" s="34">
        <f>W43</f>
        <v>33197</v>
      </c>
      <c r="AK43" s="34">
        <f>X43</f>
        <v>34674</v>
      </c>
      <c r="AL43" s="34">
        <f>Y43</f>
        <v>14287</v>
      </c>
      <c r="AM43" s="34">
        <f>Z43</f>
        <v>42915</v>
      </c>
      <c r="AN43" s="34">
        <f t="shared" si="140"/>
        <v>14109</v>
      </c>
      <c r="AO43" s="34">
        <f t="shared" si="142"/>
        <v>14359</v>
      </c>
      <c r="AP43" s="34">
        <f t="shared" si="142"/>
        <v>47765</v>
      </c>
      <c r="AQ43" s="12"/>
      <c r="AR43" s="87">
        <f t="shared" si="141"/>
        <v>2.3432491075803177</v>
      </c>
    </row>
    <row r="44" spans="1:44" ht="12.75" customHeight="1">
      <c r="B44" s="27" t="s">
        <v>28</v>
      </c>
      <c r="C44" s="28">
        <f t="shared" ref="C44:K44" si="143">SUM(C39:C43)</f>
        <v>106869</v>
      </c>
      <c r="D44" s="28">
        <f t="shared" si="143"/>
        <v>128645</v>
      </c>
      <c r="E44" s="28">
        <f t="shared" si="143"/>
        <v>131339</v>
      </c>
      <c r="F44" s="28">
        <f t="shared" si="143"/>
        <v>162819</v>
      </c>
      <c r="G44" s="28">
        <f t="shared" si="143"/>
        <v>143713</v>
      </c>
      <c r="H44" s="28">
        <f t="shared" si="143"/>
        <v>134836</v>
      </c>
      <c r="I44" s="28">
        <f t="shared" si="143"/>
        <v>135405</v>
      </c>
      <c r="J44" s="28">
        <f t="shared" si="143"/>
        <v>143566</v>
      </c>
      <c r="K44" s="28">
        <f t="shared" si="143"/>
        <v>152987</v>
      </c>
      <c r="L44" s="28">
        <f t="shared" ref="L44" si="144">SUM(L39:L43)</f>
        <v>147957</v>
      </c>
      <c r="M44" s="54"/>
      <c r="N44" s="28">
        <f t="shared" ref="N44:AB44" si="145">SUM(N39:N43)</f>
        <v>153154</v>
      </c>
      <c r="O44" s="28">
        <f t="shared" si="145"/>
        <v>118180</v>
      </c>
      <c r="P44" s="28">
        <f t="shared" si="145"/>
        <v>112292</v>
      </c>
      <c r="Q44" s="28">
        <f t="shared" si="145"/>
        <v>135405</v>
      </c>
      <c r="R44" s="28">
        <f t="shared" si="145"/>
        <v>128777</v>
      </c>
      <c r="S44" s="28">
        <f t="shared" si="145"/>
        <v>112913</v>
      </c>
      <c r="T44" s="28">
        <f t="shared" si="145"/>
        <v>122659</v>
      </c>
      <c r="U44" s="28">
        <f t="shared" si="145"/>
        <v>143566</v>
      </c>
      <c r="V44" s="28">
        <f t="shared" si="145"/>
        <v>143692</v>
      </c>
      <c r="W44" s="28">
        <f t="shared" si="145"/>
        <v>128416</v>
      </c>
      <c r="X44" s="28">
        <f t="shared" si="145"/>
        <v>125435</v>
      </c>
      <c r="Y44" s="28">
        <f t="shared" si="145"/>
        <v>152987</v>
      </c>
      <c r="Z44" s="28">
        <f t="shared" si="145"/>
        <v>133240</v>
      </c>
      <c r="AA44" s="28">
        <f t="shared" si="145"/>
        <v>118674</v>
      </c>
      <c r="AB44" s="28">
        <f t="shared" si="145"/>
        <v>122491</v>
      </c>
      <c r="AC44" s="28">
        <f t="shared" ref="AC44" si="146">SUM(AC39:AC43)</f>
        <v>147957</v>
      </c>
      <c r="AD44" s="54"/>
      <c r="AE44" s="28">
        <f t="shared" ref="AE44:AO44" si="147">SUM(AE39:AE43)</f>
        <v>128777</v>
      </c>
      <c r="AF44" s="28">
        <f t="shared" si="147"/>
        <v>112913</v>
      </c>
      <c r="AG44" s="28">
        <f t="shared" si="147"/>
        <v>122659</v>
      </c>
      <c r="AH44" s="28">
        <f t="shared" si="147"/>
        <v>143566</v>
      </c>
      <c r="AI44" s="28">
        <f t="shared" si="147"/>
        <v>143692</v>
      </c>
      <c r="AJ44" s="28">
        <f t="shared" si="147"/>
        <v>128416</v>
      </c>
      <c r="AK44" s="28">
        <f t="shared" si="147"/>
        <v>125435</v>
      </c>
      <c r="AL44" s="28">
        <f t="shared" si="147"/>
        <v>152987</v>
      </c>
      <c r="AM44" s="28">
        <f t="shared" si="147"/>
        <v>133240</v>
      </c>
      <c r="AN44" s="28">
        <f t="shared" si="147"/>
        <v>118674</v>
      </c>
      <c r="AO44" s="28">
        <f t="shared" si="147"/>
        <v>122491</v>
      </c>
      <c r="AP44" s="28">
        <f t="shared" ref="AP44" si="148">SUM(AP39:AP43)</f>
        <v>147957</v>
      </c>
      <c r="AQ44" s="45"/>
      <c r="AR44" s="88">
        <f t="shared" si="141"/>
        <v>-3.2878610600900693E-2</v>
      </c>
    </row>
    <row r="45" spans="1:44" ht="5.0999999999999996" customHeight="1">
      <c r="B45" s="27"/>
      <c r="C45" s="55"/>
      <c r="D45" s="55"/>
      <c r="E45" s="55"/>
      <c r="F45" s="55"/>
      <c r="G45" s="55"/>
      <c r="H45" s="55"/>
      <c r="I45" s="55"/>
      <c r="J45" s="44"/>
      <c r="K45" s="44"/>
      <c r="L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2"/>
    </row>
    <row r="46" spans="1:44" ht="12.75" customHeight="1">
      <c r="B46" s="10" t="s">
        <v>140</v>
      </c>
      <c r="C46" s="96">
        <v>27010</v>
      </c>
      <c r="D46" s="96">
        <v>33783</v>
      </c>
      <c r="E46" s="96">
        <v>41304</v>
      </c>
      <c r="F46" s="96">
        <v>37378</v>
      </c>
      <c r="G46" s="96">
        <v>36766</v>
      </c>
      <c r="H46" s="96">
        <v>39440</v>
      </c>
      <c r="I46" s="96">
        <v>42117</v>
      </c>
      <c r="J46" s="96">
        <v>43715</v>
      </c>
      <c r="K46" s="96">
        <v>45680</v>
      </c>
      <c r="L46" s="96">
        <v>49834</v>
      </c>
      <c r="N46" s="96">
        <v>39245</v>
      </c>
      <c r="O46" s="96">
        <v>39304</v>
      </c>
      <c r="P46" s="96">
        <v>40335</v>
      </c>
      <c r="Q46" s="34">
        <f t="shared" ref="Q46:Q48" si="149">I46</f>
        <v>42117</v>
      </c>
      <c r="R46" s="96">
        <v>42951</v>
      </c>
      <c r="S46" s="96">
        <v>43398</v>
      </c>
      <c r="T46" s="96">
        <v>43550</v>
      </c>
      <c r="U46" s="34">
        <f t="shared" ref="U46:U48" si="150">J46</f>
        <v>43715</v>
      </c>
      <c r="V46" s="96">
        <v>43666</v>
      </c>
      <c r="W46" s="96">
        <v>43546</v>
      </c>
      <c r="X46" s="96">
        <v>44502</v>
      </c>
      <c r="Y46" s="34">
        <f t="shared" ref="Y46:Y48" si="151">K46</f>
        <v>45680</v>
      </c>
      <c r="Z46" s="96">
        <v>46069</v>
      </c>
      <c r="AA46" s="96">
        <v>46876</v>
      </c>
      <c r="AB46" s="96">
        <v>48508</v>
      </c>
      <c r="AC46" s="34">
        <f t="shared" ref="AC46:AC48" si="152">L46</f>
        <v>49834</v>
      </c>
      <c r="AE46" s="34">
        <f>R46</f>
        <v>42951</v>
      </c>
      <c r="AF46" s="34">
        <f>S46</f>
        <v>43398</v>
      </c>
      <c r="AG46" s="34">
        <f>T46</f>
        <v>43550</v>
      </c>
      <c r="AH46" s="34">
        <f>U46</f>
        <v>43715</v>
      </c>
      <c r="AI46" s="34">
        <f>V46</f>
        <v>43666</v>
      </c>
      <c r="AJ46" s="34">
        <f>W46</f>
        <v>43546</v>
      </c>
      <c r="AK46" s="34">
        <f>X46</f>
        <v>44502</v>
      </c>
      <c r="AL46" s="34">
        <f>Y46</f>
        <v>45680</v>
      </c>
      <c r="AM46" s="34">
        <f>Z46</f>
        <v>46069</v>
      </c>
      <c r="AN46" s="34">
        <f t="shared" ref="AN46:AN48" si="153">AA46</f>
        <v>46876</v>
      </c>
      <c r="AO46" s="34">
        <f t="shared" ref="AO46:AP48" si="154">AB46</f>
        <v>48508</v>
      </c>
      <c r="AP46" s="34">
        <f t="shared" si="154"/>
        <v>49834</v>
      </c>
      <c r="AQ46" s="12"/>
      <c r="AR46" s="87">
        <f t="shared" si="141"/>
        <v>9.0936952714535835E-2</v>
      </c>
    </row>
    <row r="47" spans="1:44" ht="12.75" customHeight="1">
      <c r="B47" s="10" t="s">
        <v>350</v>
      </c>
      <c r="C47" s="96">
        <v>170430</v>
      </c>
      <c r="D47" s="96">
        <v>194714</v>
      </c>
      <c r="E47" s="96">
        <v>170799</v>
      </c>
      <c r="F47" s="96">
        <v>105341</v>
      </c>
      <c r="G47" s="96">
        <v>100887</v>
      </c>
      <c r="H47" s="96">
        <v>127877</v>
      </c>
      <c r="I47" s="96">
        <v>120805</v>
      </c>
      <c r="J47" s="96">
        <v>100544</v>
      </c>
      <c r="K47" s="96">
        <v>91479</v>
      </c>
      <c r="L47" s="96">
        <v>77723</v>
      </c>
      <c r="N47" s="96">
        <v>138683</v>
      </c>
      <c r="O47" s="96">
        <v>141219</v>
      </c>
      <c r="P47" s="96">
        <v>131077</v>
      </c>
      <c r="Q47" s="34">
        <f t="shared" si="149"/>
        <v>120805</v>
      </c>
      <c r="R47" s="96">
        <v>114095</v>
      </c>
      <c r="S47" s="96">
        <v>110461</v>
      </c>
      <c r="T47" s="96">
        <v>104061</v>
      </c>
      <c r="U47" s="34">
        <f t="shared" si="150"/>
        <v>100544</v>
      </c>
      <c r="V47" s="96">
        <v>99475</v>
      </c>
      <c r="W47" s="96">
        <v>95187</v>
      </c>
      <c r="X47" s="96">
        <v>91240</v>
      </c>
      <c r="Y47" s="34">
        <f t="shared" si="151"/>
        <v>91479</v>
      </c>
      <c r="Z47" s="96">
        <v>87593</v>
      </c>
      <c r="AA47" s="96">
        <v>84424</v>
      </c>
      <c r="AB47" s="96">
        <v>77614</v>
      </c>
      <c r="AC47" s="34">
        <f t="shared" si="152"/>
        <v>77723</v>
      </c>
      <c r="AE47" s="34">
        <f>R47</f>
        <v>114095</v>
      </c>
      <c r="AF47" s="34">
        <f>S47</f>
        <v>110461</v>
      </c>
      <c r="AG47" s="34">
        <f>T47</f>
        <v>104061</v>
      </c>
      <c r="AH47" s="34">
        <f>U47</f>
        <v>100544</v>
      </c>
      <c r="AI47" s="34">
        <f>V47</f>
        <v>99475</v>
      </c>
      <c r="AJ47" s="34">
        <f>W47</f>
        <v>95187</v>
      </c>
      <c r="AK47" s="34">
        <f>X47</f>
        <v>91240</v>
      </c>
      <c r="AL47" s="34">
        <f>Y47</f>
        <v>91479</v>
      </c>
      <c r="AM47" s="34">
        <f>Z47</f>
        <v>87593</v>
      </c>
      <c r="AN47" s="34">
        <f t="shared" si="153"/>
        <v>84424</v>
      </c>
      <c r="AO47" s="34">
        <f t="shared" si="154"/>
        <v>77614</v>
      </c>
      <c r="AP47" s="34">
        <f t="shared" si="154"/>
        <v>77723</v>
      </c>
      <c r="AQ47" s="12"/>
      <c r="AR47" s="87">
        <f t="shared" si="141"/>
        <v>-0.15037330972135676</v>
      </c>
    </row>
    <row r="48" spans="1:44" ht="12.75" customHeight="1">
      <c r="B48" s="10" t="s">
        <v>226</v>
      </c>
      <c r="C48" s="96">
        <f>5414+3206+8757</f>
        <v>17377</v>
      </c>
      <c r="D48" s="96">
        <v>18177</v>
      </c>
      <c r="E48" s="96">
        <v>22283</v>
      </c>
      <c r="F48" s="96">
        <v>32978</v>
      </c>
      <c r="G48" s="96">
        <v>42522</v>
      </c>
      <c r="H48" s="96">
        <v>48849</v>
      </c>
      <c r="I48" s="96">
        <v>54428</v>
      </c>
      <c r="J48" s="96">
        <v>64758</v>
      </c>
      <c r="K48" s="96">
        <v>74834</v>
      </c>
      <c r="L48" s="96">
        <v>83727</v>
      </c>
      <c r="N48" s="96">
        <v>42071</v>
      </c>
      <c r="O48" s="96">
        <v>43921</v>
      </c>
      <c r="P48" s="96">
        <v>44567</v>
      </c>
      <c r="Q48" s="34">
        <f t="shared" si="149"/>
        <v>54428</v>
      </c>
      <c r="R48" s="96">
        <v>52886</v>
      </c>
      <c r="S48" s="96">
        <v>57350</v>
      </c>
      <c r="T48" s="96">
        <v>56730</v>
      </c>
      <c r="U48" s="34">
        <f t="shared" si="150"/>
        <v>64758</v>
      </c>
      <c r="V48" s="96">
        <v>58643</v>
      </c>
      <c r="W48" s="96">
        <v>62224</v>
      </c>
      <c r="X48" s="96">
        <v>62397</v>
      </c>
      <c r="Y48" s="34">
        <f t="shared" si="151"/>
        <v>74834</v>
      </c>
      <c r="Z48" s="96">
        <v>77183</v>
      </c>
      <c r="AA48" s="96">
        <v>81259</v>
      </c>
      <c r="AB48" s="96">
        <v>82882</v>
      </c>
      <c r="AC48" s="34">
        <f t="shared" si="152"/>
        <v>83727</v>
      </c>
      <c r="AE48" s="34">
        <f>R48</f>
        <v>52886</v>
      </c>
      <c r="AF48" s="34">
        <f>S48</f>
        <v>57350</v>
      </c>
      <c r="AG48" s="34">
        <f>T48</f>
        <v>56730</v>
      </c>
      <c r="AH48" s="34">
        <f>U48</f>
        <v>64758</v>
      </c>
      <c r="AI48" s="34">
        <f>V48</f>
        <v>58643</v>
      </c>
      <c r="AJ48" s="34">
        <f>W48</f>
        <v>62224</v>
      </c>
      <c r="AK48" s="34">
        <f>X48</f>
        <v>62397</v>
      </c>
      <c r="AL48" s="34">
        <f>Y48</f>
        <v>74834</v>
      </c>
      <c r="AM48" s="34">
        <f>Z48</f>
        <v>77183</v>
      </c>
      <c r="AN48" s="34">
        <f t="shared" si="153"/>
        <v>81259</v>
      </c>
      <c r="AO48" s="34">
        <f t="shared" si="154"/>
        <v>82882</v>
      </c>
      <c r="AP48" s="34">
        <f t="shared" si="154"/>
        <v>83727</v>
      </c>
      <c r="AQ48" s="12"/>
      <c r="AR48" s="87">
        <f t="shared" si="141"/>
        <v>0.11883635780527557</v>
      </c>
    </row>
    <row r="49" spans="2:44" ht="12.75" customHeight="1">
      <c r="B49" s="14" t="s">
        <v>29</v>
      </c>
      <c r="C49" s="15">
        <f t="shared" ref="C49:F49" si="155">SUM(C46:C48)+C44</f>
        <v>321686</v>
      </c>
      <c r="D49" s="15">
        <f t="shared" si="155"/>
        <v>375319</v>
      </c>
      <c r="E49" s="15">
        <f t="shared" si="155"/>
        <v>365725</v>
      </c>
      <c r="F49" s="15">
        <f t="shared" si="155"/>
        <v>338516</v>
      </c>
      <c r="G49" s="15">
        <f>SUM(G46:G48)+G44</f>
        <v>323888</v>
      </c>
      <c r="H49" s="36">
        <f>SUM(H46:H48)+H44</f>
        <v>351002</v>
      </c>
      <c r="I49" s="15">
        <f>SUM(I46:I48)+I44</f>
        <v>352755</v>
      </c>
      <c r="J49" s="15">
        <f>SUM(J46:J48)+J44</f>
        <v>352583</v>
      </c>
      <c r="K49" s="15">
        <f>SUM(K46:K48)+K44</f>
        <v>364980</v>
      </c>
      <c r="L49" s="15">
        <f>SUM(L46:L48)+L44</f>
        <v>359241</v>
      </c>
      <c r="N49" s="15">
        <f t="shared" ref="N49:AB49" si="156">SUM(N46:N48)+N44</f>
        <v>373153</v>
      </c>
      <c r="O49" s="15">
        <f t="shared" si="156"/>
        <v>342624</v>
      </c>
      <c r="P49" s="15">
        <f t="shared" si="156"/>
        <v>328271</v>
      </c>
      <c r="Q49" s="15">
        <f t="shared" si="156"/>
        <v>352755</v>
      </c>
      <c r="R49" s="15">
        <f t="shared" si="156"/>
        <v>338709</v>
      </c>
      <c r="S49" s="15">
        <f t="shared" si="156"/>
        <v>324122</v>
      </c>
      <c r="T49" s="15">
        <f t="shared" si="156"/>
        <v>327000</v>
      </c>
      <c r="U49" s="15">
        <f t="shared" si="156"/>
        <v>352583</v>
      </c>
      <c r="V49" s="15">
        <f t="shared" si="156"/>
        <v>345476</v>
      </c>
      <c r="W49" s="15">
        <f t="shared" si="156"/>
        <v>329373</v>
      </c>
      <c r="X49" s="15">
        <f t="shared" si="156"/>
        <v>323574</v>
      </c>
      <c r="Y49" s="15">
        <f t="shared" si="156"/>
        <v>364980</v>
      </c>
      <c r="Z49" s="15">
        <f t="shared" si="156"/>
        <v>344085</v>
      </c>
      <c r="AA49" s="15">
        <f t="shared" si="156"/>
        <v>331233</v>
      </c>
      <c r="AB49" s="15">
        <f t="shared" si="156"/>
        <v>331495</v>
      </c>
      <c r="AC49" s="15">
        <f t="shared" ref="AC49" si="157">SUM(AC46:AC48)+AC44</f>
        <v>359241</v>
      </c>
      <c r="AE49" s="15">
        <f t="shared" ref="AE49:AO49" si="158">SUM(AE46:AE48)+AE44</f>
        <v>338709</v>
      </c>
      <c r="AF49" s="15">
        <f t="shared" si="158"/>
        <v>324122</v>
      </c>
      <c r="AG49" s="15">
        <f t="shared" si="158"/>
        <v>327000</v>
      </c>
      <c r="AH49" s="15">
        <f t="shared" si="158"/>
        <v>352583</v>
      </c>
      <c r="AI49" s="15">
        <f t="shared" si="158"/>
        <v>345476</v>
      </c>
      <c r="AJ49" s="15">
        <f t="shared" si="158"/>
        <v>329373</v>
      </c>
      <c r="AK49" s="15">
        <f t="shared" si="158"/>
        <v>323574</v>
      </c>
      <c r="AL49" s="15">
        <f t="shared" si="158"/>
        <v>364980</v>
      </c>
      <c r="AM49" s="15">
        <f t="shared" si="158"/>
        <v>344085</v>
      </c>
      <c r="AN49" s="15">
        <f t="shared" si="158"/>
        <v>331233</v>
      </c>
      <c r="AO49" s="15">
        <f t="shared" si="158"/>
        <v>331495</v>
      </c>
      <c r="AP49" s="15">
        <f t="shared" ref="AP49" si="159">SUM(AP46:AP48)+AP44</f>
        <v>359241</v>
      </c>
      <c r="AQ49" s="45"/>
      <c r="AR49" s="88">
        <f t="shared" si="141"/>
        <v>-1.5724149268453114E-2</v>
      </c>
    </row>
    <row r="50" spans="2:44" ht="12.75" customHeight="1">
      <c r="B50" s="27"/>
      <c r="C50" s="56"/>
      <c r="D50" s="56"/>
      <c r="E50" s="56"/>
      <c r="F50" s="56"/>
      <c r="G50" s="56"/>
      <c r="H50" s="56"/>
      <c r="I50" s="56"/>
      <c r="J50" s="44"/>
      <c r="K50" s="44"/>
      <c r="L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2"/>
    </row>
    <row r="51" spans="2:44" ht="12.75" customHeight="1">
      <c r="B51" s="10" t="s">
        <v>66</v>
      </c>
      <c r="C51" s="96">
        <v>37294</v>
      </c>
      <c r="D51" s="96">
        <v>44242</v>
      </c>
      <c r="E51" s="96">
        <v>55888</v>
      </c>
      <c r="F51" s="96">
        <v>46236</v>
      </c>
      <c r="G51" s="96">
        <v>42296</v>
      </c>
      <c r="H51" s="96">
        <v>54763</v>
      </c>
      <c r="I51" s="96">
        <v>64115</v>
      </c>
      <c r="J51" s="96">
        <v>62611</v>
      </c>
      <c r="K51" s="96">
        <v>68960</v>
      </c>
      <c r="L51" s="96">
        <v>69860</v>
      </c>
      <c r="N51" s="96">
        <v>74362</v>
      </c>
      <c r="O51" s="96">
        <v>52682</v>
      </c>
      <c r="P51" s="96">
        <v>48343</v>
      </c>
      <c r="Q51" s="34">
        <f t="shared" ref="Q51:Q53" si="160">I51</f>
        <v>64115</v>
      </c>
      <c r="R51" s="96">
        <v>57918</v>
      </c>
      <c r="S51" s="96">
        <v>42945</v>
      </c>
      <c r="T51" s="96">
        <v>46699</v>
      </c>
      <c r="U51" s="34">
        <f t="shared" ref="U51:U53" si="161">J51</f>
        <v>62611</v>
      </c>
      <c r="V51" s="96">
        <v>58146</v>
      </c>
      <c r="W51" s="96">
        <v>45753</v>
      </c>
      <c r="X51" s="96">
        <v>47574</v>
      </c>
      <c r="Y51" s="34">
        <f t="shared" ref="Y51:Y53" si="162">K51</f>
        <v>68960</v>
      </c>
      <c r="Z51" s="96">
        <v>61910</v>
      </c>
      <c r="AA51" s="96">
        <v>54126</v>
      </c>
      <c r="AB51" s="96">
        <v>50374</v>
      </c>
      <c r="AC51" s="34">
        <f t="shared" ref="AC51:AC55" si="163">L51</f>
        <v>69860</v>
      </c>
      <c r="AE51" s="34">
        <f>R51</f>
        <v>57918</v>
      </c>
      <c r="AF51" s="34">
        <f>S51</f>
        <v>42945</v>
      </c>
      <c r="AG51" s="34">
        <f>T51</f>
        <v>46699</v>
      </c>
      <c r="AH51" s="34">
        <f>U51</f>
        <v>62611</v>
      </c>
      <c r="AI51" s="34">
        <f>V51</f>
        <v>58146</v>
      </c>
      <c r="AJ51" s="34">
        <f>W51</f>
        <v>45753</v>
      </c>
      <c r="AK51" s="34">
        <f>X51</f>
        <v>47574</v>
      </c>
      <c r="AL51" s="34">
        <f>Y51</f>
        <v>68960</v>
      </c>
      <c r="AM51" s="34">
        <f>Z51</f>
        <v>61910</v>
      </c>
      <c r="AN51" s="34">
        <f t="shared" ref="AN51:AN55" si="164">AA51</f>
        <v>54126</v>
      </c>
      <c r="AO51" s="34">
        <f t="shared" ref="AO51:AP55" si="165">AB51</f>
        <v>50374</v>
      </c>
      <c r="AP51" s="34">
        <f t="shared" si="165"/>
        <v>69860</v>
      </c>
      <c r="AQ51" s="12"/>
      <c r="AR51" s="87">
        <f t="shared" si="141"/>
        <v>1.3051044083526753E-2</v>
      </c>
    </row>
    <row r="52" spans="2:44" ht="12.75" customHeight="1">
      <c r="B52" s="10" t="s">
        <v>522</v>
      </c>
      <c r="C52" s="96">
        <v>8080</v>
      </c>
      <c r="D52" s="96">
        <v>7548</v>
      </c>
      <c r="E52" s="96">
        <v>7543</v>
      </c>
      <c r="F52" s="96">
        <v>5522</v>
      </c>
      <c r="G52" s="96">
        <v>6643</v>
      </c>
      <c r="H52" s="96">
        <v>7612</v>
      </c>
      <c r="I52" s="96">
        <v>7912</v>
      </c>
      <c r="J52" s="96">
        <v>8061</v>
      </c>
      <c r="K52" s="96">
        <v>8249</v>
      </c>
      <c r="L52" s="96">
        <v>9055</v>
      </c>
      <c r="N52" s="96">
        <v>7876</v>
      </c>
      <c r="O52" s="96">
        <v>7920</v>
      </c>
      <c r="P52" s="96">
        <v>7728</v>
      </c>
      <c r="Q52" s="34">
        <f t="shared" si="160"/>
        <v>7912</v>
      </c>
      <c r="R52" s="96">
        <v>7992</v>
      </c>
      <c r="S52" s="96">
        <v>8131</v>
      </c>
      <c r="T52" s="96">
        <v>8158</v>
      </c>
      <c r="U52" s="34">
        <f t="shared" si="161"/>
        <v>8061</v>
      </c>
      <c r="V52" s="96">
        <v>8264</v>
      </c>
      <c r="W52" s="96">
        <v>8012</v>
      </c>
      <c r="X52" s="96">
        <v>8053</v>
      </c>
      <c r="Y52" s="34">
        <f t="shared" si="162"/>
        <v>8249</v>
      </c>
      <c r="Z52" s="96">
        <v>8461</v>
      </c>
      <c r="AA52" s="96">
        <v>8976</v>
      </c>
      <c r="AB52" s="96">
        <v>8979</v>
      </c>
      <c r="AC52" s="34">
        <f t="shared" si="163"/>
        <v>9055</v>
      </c>
      <c r="AE52" s="34">
        <f>R52</f>
        <v>7992</v>
      </c>
      <c r="AF52" s="34">
        <f>S52</f>
        <v>8131</v>
      </c>
      <c r="AG52" s="34">
        <f>T52</f>
        <v>8158</v>
      </c>
      <c r="AH52" s="34">
        <f>U52</f>
        <v>8061</v>
      </c>
      <c r="AI52" s="34">
        <f>V52</f>
        <v>8264</v>
      </c>
      <c r="AJ52" s="34">
        <f>W52</f>
        <v>8012</v>
      </c>
      <c r="AK52" s="34">
        <f>X52</f>
        <v>8053</v>
      </c>
      <c r="AL52" s="34">
        <f>Y52</f>
        <v>8249</v>
      </c>
      <c r="AM52" s="34">
        <f>Z52</f>
        <v>8461</v>
      </c>
      <c r="AN52" s="34">
        <f t="shared" si="164"/>
        <v>8976</v>
      </c>
      <c r="AO52" s="34">
        <f t="shared" si="165"/>
        <v>8979</v>
      </c>
      <c r="AP52" s="34">
        <f t="shared" si="165"/>
        <v>9055</v>
      </c>
      <c r="AQ52" s="12"/>
      <c r="AR52" s="87">
        <f t="shared" si="141"/>
        <v>9.7708813189477439E-2</v>
      </c>
    </row>
    <row r="53" spans="2:44" ht="12.75" customHeight="1">
      <c r="B53" s="10" t="s">
        <v>523</v>
      </c>
      <c r="C53" s="96">
        <v>22027</v>
      </c>
      <c r="D53" s="96">
        <v>30551</v>
      </c>
      <c r="E53" s="96">
        <v>32687</v>
      </c>
      <c r="F53" s="96">
        <v>37720</v>
      </c>
      <c r="G53" s="96">
        <v>42684</v>
      </c>
      <c r="H53" s="96">
        <v>47493</v>
      </c>
      <c r="I53" s="96">
        <v>60845</v>
      </c>
      <c r="J53" s="96">
        <v>58829</v>
      </c>
      <c r="K53" s="96">
        <v>78304</v>
      </c>
      <c r="L53" s="96">
        <v>66387</v>
      </c>
      <c r="N53" s="96">
        <v>49167</v>
      </c>
      <c r="O53" s="96">
        <v>50248</v>
      </c>
      <c r="P53" s="96">
        <v>48811</v>
      </c>
      <c r="Q53" s="34">
        <f t="shared" si="160"/>
        <v>60845</v>
      </c>
      <c r="R53" s="96">
        <v>59893</v>
      </c>
      <c r="S53" s="96">
        <v>56425</v>
      </c>
      <c r="T53" s="96">
        <v>58897</v>
      </c>
      <c r="U53" s="34">
        <f t="shared" si="161"/>
        <v>58829</v>
      </c>
      <c r="V53" s="96">
        <v>54611</v>
      </c>
      <c r="W53" s="96">
        <v>57298</v>
      </c>
      <c r="X53" s="96">
        <v>60889</v>
      </c>
      <c r="Y53" s="34">
        <f t="shared" si="162"/>
        <v>78304</v>
      </c>
      <c r="Z53" s="96">
        <v>61151</v>
      </c>
      <c r="AA53" s="96">
        <v>61849</v>
      </c>
      <c r="AB53" s="96">
        <v>62499</v>
      </c>
      <c r="AC53" s="34">
        <f t="shared" si="163"/>
        <v>66387</v>
      </c>
      <c r="AE53" s="34">
        <f>R53</f>
        <v>59893</v>
      </c>
      <c r="AF53" s="34">
        <f>S53</f>
        <v>56425</v>
      </c>
      <c r="AG53" s="34">
        <f>T53</f>
        <v>58897</v>
      </c>
      <c r="AH53" s="34">
        <f>U53</f>
        <v>58829</v>
      </c>
      <c r="AI53" s="34">
        <f>V53</f>
        <v>54611</v>
      </c>
      <c r="AJ53" s="34">
        <f>W53</f>
        <v>57298</v>
      </c>
      <c r="AK53" s="34">
        <f>X53</f>
        <v>60889</v>
      </c>
      <c r="AL53" s="34">
        <f>Y53</f>
        <v>78304</v>
      </c>
      <c r="AM53" s="34">
        <f>Z53</f>
        <v>61151</v>
      </c>
      <c r="AN53" s="34">
        <f t="shared" si="164"/>
        <v>61849</v>
      </c>
      <c r="AO53" s="34">
        <f t="shared" si="165"/>
        <v>62499</v>
      </c>
      <c r="AP53" s="34">
        <f t="shared" si="165"/>
        <v>66387</v>
      </c>
      <c r="AQ53" s="12"/>
      <c r="AR53" s="87">
        <f t="shared" si="141"/>
        <v>-0.15218890478136493</v>
      </c>
    </row>
    <row r="54" spans="2:44" ht="12.75" customHeight="1">
      <c r="B54" s="10" t="s">
        <v>269</v>
      </c>
      <c r="C54" s="96">
        <v>8105</v>
      </c>
      <c r="D54" s="96">
        <v>11977</v>
      </c>
      <c r="E54" s="96">
        <v>11964</v>
      </c>
      <c r="F54" s="96">
        <v>5980</v>
      </c>
      <c r="G54" s="96">
        <v>4996</v>
      </c>
      <c r="H54" s="96">
        <v>6000</v>
      </c>
      <c r="I54" s="96">
        <v>9982</v>
      </c>
      <c r="J54" s="96">
        <v>5985</v>
      </c>
      <c r="K54" s="96">
        <v>9967</v>
      </c>
      <c r="L54" s="96">
        <v>7979</v>
      </c>
      <c r="N54" s="96">
        <v>5000</v>
      </c>
      <c r="O54" s="96">
        <v>6999</v>
      </c>
      <c r="P54" s="96">
        <v>10982</v>
      </c>
      <c r="Q54" s="34">
        <v>9982</v>
      </c>
      <c r="R54" s="96">
        <v>1743</v>
      </c>
      <c r="S54" s="96">
        <v>1996</v>
      </c>
      <c r="T54" s="96">
        <v>3993</v>
      </c>
      <c r="U54" s="34">
        <v>5985</v>
      </c>
      <c r="V54" s="96">
        <v>1998</v>
      </c>
      <c r="W54" s="96">
        <v>1997</v>
      </c>
      <c r="X54" s="96">
        <v>2994</v>
      </c>
      <c r="Y54" s="34">
        <v>9967</v>
      </c>
      <c r="Z54" s="96">
        <v>1995</v>
      </c>
      <c r="AA54" s="96">
        <v>5982</v>
      </c>
      <c r="AB54" s="96">
        <v>9923</v>
      </c>
      <c r="AC54" s="34">
        <f t="shared" si="163"/>
        <v>7979</v>
      </c>
      <c r="AE54" s="34">
        <f t="shared" ref="AE54:AM54" si="166">R54</f>
        <v>1743</v>
      </c>
      <c r="AF54" s="34">
        <f t="shared" si="166"/>
        <v>1996</v>
      </c>
      <c r="AG54" s="34">
        <f t="shared" si="166"/>
        <v>3993</v>
      </c>
      <c r="AH54" s="34">
        <f t="shared" si="166"/>
        <v>5985</v>
      </c>
      <c r="AI54" s="34">
        <f t="shared" si="166"/>
        <v>1998</v>
      </c>
      <c r="AJ54" s="34">
        <f t="shared" si="166"/>
        <v>1997</v>
      </c>
      <c r="AK54" s="34">
        <f t="shared" si="166"/>
        <v>2994</v>
      </c>
      <c r="AL54" s="34">
        <f t="shared" si="166"/>
        <v>9967</v>
      </c>
      <c r="AM54" s="34">
        <f t="shared" si="166"/>
        <v>1995</v>
      </c>
      <c r="AN54" s="34">
        <f t="shared" ref="AN54" si="167">AA54</f>
        <v>5982</v>
      </c>
      <c r="AO54" s="34">
        <f t="shared" ref="AO54:AP54" si="168">AB54</f>
        <v>9923</v>
      </c>
      <c r="AP54" s="34">
        <f t="shared" si="168"/>
        <v>7979</v>
      </c>
      <c r="AQ54" s="12"/>
      <c r="AR54" s="87">
        <f t="shared" si="141"/>
        <v>-0.19945821209992975</v>
      </c>
    </row>
    <row r="55" spans="2:44" ht="12.75" customHeight="1">
      <c r="B55" s="10" t="s">
        <v>270</v>
      </c>
      <c r="C55" s="96">
        <v>3500</v>
      </c>
      <c r="D55" s="96">
        <v>6496</v>
      </c>
      <c r="E55" s="96">
        <v>8784</v>
      </c>
      <c r="F55" s="96">
        <v>10260</v>
      </c>
      <c r="G55" s="96">
        <v>8773</v>
      </c>
      <c r="H55" s="96">
        <v>9613</v>
      </c>
      <c r="I55" s="96">
        <v>11128</v>
      </c>
      <c r="J55" s="96">
        <v>9822</v>
      </c>
      <c r="K55" s="96">
        <v>10912</v>
      </c>
      <c r="L55" s="96">
        <v>12350</v>
      </c>
      <c r="N55" s="96">
        <v>11169</v>
      </c>
      <c r="O55" s="96">
        <v>9659</v>
      </c>
      <c r="P55" s="96">
        <v>14009</v>
      </c>
      <c r="Q55" s="34">
        <v>11128</v>
      </c>
      <c r="R55" s="96">
        <v>9740</v>
      </c>
      <c r="S55" s="96">
        <v>10578</v>
      </c>
      <c r="T55" s="96">
        <v>7216</v>
      </c>
      <c r="U55" s="34">
        <v>9822</v>
      </c>
      <c r="V55" s="96">
        <v>10954</v>
      </c>
      <c r="W55" s="96">
        <v>10762</v>
      </c>
      <c r="X55" s="96">
        <v>12114</v>
      </c>
      <c r="Y55" s="34">
        <v>10912</v>
      </c>
      <c r="Z55" s="96">
        <v>10848</v>
      </c>
      <c r="AA55" s="96">
        <v>13638</v>
      </c>
      <c r="AB55" s="96">
        <v>9345</v>
      </c>
      <c r="AC55" s="34">
        <f t="shared" si="163"/>
        <v>12350</v>
      </c>
      <c r="AE55" s="34">
        <f>R55</f>
        <v>9740</v>
      </c>
      <c r="AF55" s="34">
        <f>S55</f>
        <v>10578</v>
      </c>
      <c r="AG55" s="34">
        <f>T55</f>
        <v>7216</v>
      </c>
      <c r="AH55" s="34">
        <f>U55</f>
        <v>9822</v>
      </c>
      <c r="AI55" s="34">
        <f>V55</f>
        <v>10954</v>
      </c>
      <c r="AJ55" s="34">
        <f>W55</f>
        <v>10762</v>
      </c>
      <c r="AK55" s="34">
        <f>X55</f>
        <v>12114</v>
      </c>
      <c r="AL55" s="34">
        <f>Y55</f>
        <v>10912</v>
      </c>
      <c r="AM55" s="34">
        <f>Z55</f>
        <v>10848</v>
      </c>
      <c r="AN55" s="34">
        <f t="shared" si="164"/>
        <v>13638</v>
      </c>
      <c r="AO55" s="34">
        <f t="shared" si="165"/>
        <v>9345</v>
      </c>
      <c r="AP55" s="34">
        <f t="shared" si="165"/>
        <v>12350</v>
      </c>
      <c r="AQ55" s="12"/>
      <c r="AR55" s="87">
        <f t="shared" si="141"/>
        <v>0.13178152492668627</v>
      </c>
    </row>
    <row r="56" spans="2:44" ht="12.75" customHeight="1">
      <c r="B56" s="27" t="s">
        <v>25</v>
      </c>
      <c r="C56" s="28">
        <f t="shared" ref="C56:F56" si="169">SUM(C51:C55)</f>
        <v>79006</v>
      </c>
      <c r="D56" s="28">
        <f t="shared" si="169"/>
        <v>100814</v>
      </c>
      <c r="E56" s="28">
        <f t="shared" si="169"/>
        <v>116866</v>
      </c>
      <c r="F56" s="28">
        <f t="shared" si="169"/>
        <v>105718</v>
      </c>
      <c r="G56" s="28">
        <f>SUM(G51:G55)</f>
        <v>105392</v>
      </c>
      <c r="H56" s="28">
        <f>SUM(H51:H55)</f>
        <v>125481</v>
      </c>
      <c r="I56" s="28">
        <f>SUM(I51:I55)</f>
        <v>153982</v>
      </c>
      <c r="J56" s="28">
        <f>SUM(J51:J55)</f>
        <v>145308</v>
      </c>
      <c r="K56" s="28">
        <f>SUM(K51:K55)</f>
        <v>176392</v>
      </c>
      <c r="L56" s="28">
        <f>SUM(L51:L55)</f>
        <v>165631</v>
      </c>
      <c r="N56" s="28">
        <f t="shared" ref="N56:AB56" si="170">SUM(N51:N55)</f>
        <v>147574</v>
      </c>
      <c r="O56" s="28">
        <f t="shared" si="170"/>
        <v>127508</v>
      </c>
      <c r="P56" s="28">
        <f t="shared" si="170"/>
        <v>129873</v>
      </c>
      <c r="Q56" s="28">
        <f t="shared" si="170"/>
        <v>153982</v>
      </c>
      <c r="R56" s="28">
        <f t="shared" si="170"/>
        <v>137286</v>
      </c>
      <c r="S56" s="28">
        <f t="shared" si="170"/>
        <v>120075</v>
      </c>
      <c r="T56" s="28">
        <f t="shared" si="170"/>
        <v>124963</v>
      </c>
      <c r="U56" s="28">
        <f t="shared" si="170"/>
        <v>145308</v>
      </c>
      <c r="V56" s="28">
        <f t="shared" si="170"/>
        <v>133973</v>
      </c>
      <c r="W56" s="28">
        <f t="shared" si="170"/>
        <v>123822</v>
      </c>
      <c r="X56" s="28">
        <f t="shared" si="170"/>
        <v>131624</v>
      </c>
      <c r="Y56" s="28">
        <f t="shared" si="170"/>
        <v>176392</v>
      </c>
      <c r="Z56" s="28">
        <f t="shared" si="170"/>
        <v>144365</v>
      </c>
      <c r="AA56" s="28">
        <f t="shared" si="170"/>
        <v>144571</v>
      </c>
      <c r="AB56" s="28">
        <f t="shared" si="170"/>
        <v>141120</v>
      </c>
      <c r="AC56" s="28">
        <f t="shared" ref="AC56" si="171">SUM(AC51:AC55)</f>
        <v>165631</v>
      </c>
      <c r="AD56" s="54"/>
      <c r="AE56" s="28">
        <f t="shared" ref="AE56:AO56" si="172">SUM(AE51:AE55)</f>
        <v>137286</v>
      </c>
      <c r="AF56" s="28">
        <f t="shared" si="172"/>
        <v>120075</v>
      </c>
      <c r="AG56" s="28">
        <f t="shared" si="172"/>
        <v>124963</v>
      </c>
      <c r="AH56" s="28">
        <f t="shared" si="172"/>
        <v>145308</v>
      </c>
      <c r="AI56" s="28">
        <f t="shared" si="172"/>
        <v>133973</v>
      </c>
      <c r="AJ56" s="28">
        <f t="shared" si="172"/>
        <v>123822</v>
      </c>
      <c r="AK56" s="28">
        <f t="shared" si="172"/>
        <v>131624</v>
      </c>
      <c r="AL56" s="28">
        <f t="shared" si="172"/>
        <v>176392</v>
      </c>
      <c r="AM56" s="28">
        <f t="shared" si="172"/>
        <v>144365</v>
      </c>
      <c r="AN56" s="28">
        <f t="shared" si="172"/>
        <v>144571</v>
      </c>
      <c r="AO56" s="28">
        <f t="shared" si="172"/>
        <v>141120</v>
      </c>
      <c r="AP56" s="28">
        <f t="shared" ref="AP56" si="173">SUM(AP51:AP55)</f>
        <v>165631</v>
      </c>
      <c r="AQ56" s="45"/>
      <c r="AR56" s="88">
        <f t="shared" si="141"/>
        <v>-6.1006168080184997E-2</v>
      </c>
    </row>
    <row r="57" spans="2:44" ht="5.0999999999999996" customHeight="1">
      <c r="B57" s="27"/>
      <c r="C57" s="56"/>
      <c r="D57" s="56"/>
      <c r="E57" s="56"/>
      <c r="F57" s="56"/>
      <c r="G57" s="56"/>
      <c r="H57" s="56"/>
      <c r="I57" s="56"/>
      <c r="J57" s="44"/>
      <c r="K57" s="44"/>
      <c r="L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2"/>
    </row>
    <row r="58" spans="2:44" ht="12.75" customHeight="1">
      <c r="B58" s="10" t="s">
        <v>228</v>
      </c>
      <c r="C58" s="96">
        <v>75427</v>
      </c>
      <c r="D58" s="96">
        <v>97207</v>
      </c>
      <c r="E58" s="96">
        <v>93735</v>
      </c>
      <c r="F58" s="96">
        <v>91807</v>
      </c>
      <c r="G58" s="96">
        <v>98667</v>
      </c>
      <c r="H58" s="96">
        <v>109106</v>
      </c>
      <c r="I58" s="96">
        <v>98959</v>
      </c>
      <c r="J58" s="96">
        <v>95281</v>
      </c>
      <c r="K58" s="96">
        <v>85750</v>
      </c>
      <c r="L58" s="96">
        <v>78328</v>
      </c>
      <c r="M58" s="57"/>
      <c r="N58" s="96">
        <v>106629</v>
      </c>
      <c r="O58" s="96">
        <v>103323</v>
      </c>
      <c r="P58" s="96">
        <v>94700</v>
      </c>
      <c r="Q58" s="34">
        <f t="shared" ref="Q58:Q59" si="174">I58</f>
        <v>98959</v>
      </c>
      <c r="R58" s="96">
        <v>99627</v>
      </c>
      <c r="S58" s="96">
        <v>97041</v>
      </c>
      <c r="T58" s="96">
        <v>98071</v>
      </c>
      <c r="U58" s="34">
        <f t="shared" ref="U58:U59" si="175">J58</f>
        <v>95281</v>
      </c>
      <c r="V58" s="96">
        <v>95088</v>
      </c>
      <c r="W58" s="96">
        <v>91831</v>
      </c>
      <c r="X58" s="96">
        <v>86196</v>
      </c>
      <c r="Y58" s="34">
        <f t="shared" ref="Y58:Y59" si="176">K58</f>
        <v>85750</v>
      </c>
      <c r="Z58" s="96">
        <v>83956</v>
      </c>
      <c r="AA58" s="96">
        <v>78566</v>
      </c>
      <c r="AB58" s="96">
        <v>82430</v>
      </c>
      <c r="AC58" s="34">
        <f t="shared" ref="AC58:AC59" si="177">L58</f>
        <v>78328</v>
      </c>
      <c r="AE58" s="34">
        <f>R58</f>
        <v>99627</v>
      </c>
      <c r="AF58" s="34">
        <f>S58</f>
        <v>97041</v>
      </c>
      <c r="AG58" s="34">
        <f>T58</f>
        <v>98071</v>
      </c>
      <c r="AH58" s="34">
        <f>U58</f>
        <v>95281</v>
      </c>
      <c r="AI58" s="34">
        <f>V58</f>
        <v>95088</v>
      </c>
      <c r="AJ58" s="34">
        <f>W58</f>
        <v>91831</v>
      </c>
      <c r="AK58" s="34">
        <f>X58</f>
        <v>86196</v>
      </c>
      <c r="AL58" s="34">
        <f>Y58</f>
        <v>85750</v>
      </c>
      <c r="AM58" s="34">
        <f>Z58</f>
        <v>83956</v>
      </c>
      <c r="AN58" s="34">
        <f t="shared" ref="AN58:AN59" si="178">AA58</f>
        <v>78566</v>
      </c>
      <c r="AO58" s="34">
        <f t="shared" ref="AO58:AP59" si="179">AB58</f>
        <v>82430</v>
      </c>
      <c r="AP58" s="34">
        <f t="shared" si="179"/>
        <v>78328</v>
      </c>
      <c r="AQ58" s="45"/>
      <c r="AR58" s="87">
        <f t="shared" si="141"/>
        <v>-8.6553935860058329E-2</v>
      </c>
    </row>
    <row r="59" spans="2:44" ht="12.75" customHeight="1">
      <c r="B59" s="10" t="s">
        <v>227</v>
      </c>
      <c r="C59" s="96">
        <f>36074+2930</f>
        <v>39004</v>
      </c>
      <c r="D59" s="96">
        <f>40415+2836</f>
        <v>43251</v>
      </c>
      <c r="E59" s="96">
        <f>45180+2797</f>
        <v>47977</v>
      </c>
      <c r="F59" s="96">
        <v>50503</v>
      </c>
      <c r="G59" s="96">
        <v>54490</v>
      </c>
      <c r="H59" s="96">
        <v>53325</v>
      </c>
      <c r="I59" s="96">
        <v>49142</v>
      </c>
      <c r="J59" s="96">
        <v>49848</v>
      </c>
      <c r="K59" s="96">
        <v>45888</v>
      </c>
      <c r="L59" s="96">
        <v>41549</v>
      </c>
      <c r="M59" s="57"/>
      <c r="N59" s="96">
        <v>55056</v>
      </c>
      <c r="O59" s="96">
        <v>52432</v>
      </c>
      <c r="P59" s="96">
        <v>53629</v>
      </c>
      <c r="Q59" s="34">
        <f t="shared" si="174"/>
        <v>49142</v>
      </c>
      <c r="R59" s="96">
        <v>53107</v>
      </c>
      <c r="S59" s="96">
        <v>52886</v>
      </c>
      <c r="T59" s="96">
        <v>51730</v>
      </c>
      <c r="U59" s="34">
        <f t="shared" si="175"/>
        <v>49848</v>
      </c>
      <c r="V59" s="96">
        <v>50353</v>
      </c>
      <c r="W59" s="96">
        <v>47564</v>
      </c>
      <c r="X59" s="96">
        <v>47084</v>
      </c>
      <c r="Y59" s="34">
        <f t="shared" si="176"/>
        <v>45888</v>
      </c>
      <c r="Z59" s="96">
        <v>49006</v>
      </c>
      <c r="AA59" s="96">
        <v>41300</v>
      </c>
      <c r="AB59" s="96">
        <v>42115</v>
      </c>
      <c r="AC59" s="34">
        <f t="shared" si="177"/>
        <v>41549</v>
      </c>
      <c r="AE59" s="34">
        <f>R59</f>
        <v>53107</v>
      </c>
      <c r="AF59" s="34">
        <f>S59</f>
        <v>52886</v>
      </c>
      <c r="AG59" s="34">
        <f>T59</f>
        <v>51730</v>
      </c>
      <c r="AH59" s="34">
        <f>U59</f>
        <v>49848</v>
      </c>
      <c r="AI59" s="34">
        <f>V59</f>
        <v>50353</v>
      </c>
      <c r="AJ59" s="34">
        <f>W59</f>
        <v>47564</v>
      </c>
      <c r="AK59" s="34">
        <f>X59</f>
        <v>47084</v>
      </c>
      <c r="AL59" s="34">
        <f>Y59</f>
        <v>45888</v>
      </c>
      <c r="AM59" s="34">
        <f>Z59</f>
        <v>49006</v>
      </c>
      <c r="AN59" s="34">
        <f t="shared" si="178"/>
        <v>41300</v>
      </c>
      <c r="AO59" s="34">
        <f t="shared" si="179"/>
        <v>42115</v>
      </c>
      <c r="AP59" s="34">
        <f t="shared" si="179"/>
        <v>41549</v>
      </c>
      <c r="AQ59" s="12"/>
      <c r="AR59" s="87">
        <f t="shared" si="141"/>
        <v>-9.4556311018131112E-2</v>
      </c>
    </row>
    <row r="60" spans="2:44" ht="12.75" customHeight="1">
      <c r="B60" s="14" t="s">
        <v>23</v>
      </c>
      <c r="C60" s="15">
        <f>SUM(C58:C59)+C56</f>
        <v>193437</v>
      </c>
      <c r="D60" s="15">
        <f>SUM(D58:D59)+D56</f>
        <v>241272</v>
      </c>
      <c r="E60" s="15">
        <f>SUM(E58:E59)+E56</f>
        <v>258578</v>
      </c>
      <c r="F60" s="15">
        <f>SUM(F58:F59)+F56</f>
        <v>248028</v>
      </c>
      <c r="G60" s="15">
        <f>SUM(G58:G59)+G56</f>
        <v>258549</v>
      </c>
      <c r="H60" s="15">
        <f>SUM(H58:H59)+H56</f>
        <v>287912</v>
      </c>
      <c r="I60" s="15">
        <f>SUM(I58:I59)+I56</f>
        <v>302083</v>
      </c>
      <c r="J60" s="15">
        <f>SUM(J58:J59)+J56</f>
        <v>290437</v>
      </c>
      <c r="K60" s="15">
        <f>SUM(K58:K59)+K56</f>
        <v>308030</v>
      </c>
      <c r="L60" s="15">
        <f>SUM(L58:L59)+L56</f>
        <v>285508</v>
      </c>
      <c r="N60" s="15">
        <f>SUM(N58:N59)+N56</f>
        <v>309259</v>
      </c>
      <c r="O60" s="15">
        <f>SUM(O58:O59)+O56</f>
        <v>283263</v>
      </c>
      <c r="P60" s="15">
        <f>SUM(P58:P59)+P56</f>
        <v>278202</v>
      </c>
      <c r="Q60" s="15">
        <f>SUM(Q58:Q59)+Q56</f>
        <v>302083</v>
      </c>
      <c r="R60" s="15">
        <f>SUM(R58:R59)+R56</f>
        <v>290020</v>
      </c>
      <c r="S60" s="15">
        <f>SUM(S58:S59)+S56</f>
        <v>270002</v>
      </c>
      <c r="T60" s="15">
        <f>SUM(T58:T59)+T56</f>
        <v>274764</v>
      </c>
      <c r="U60" s="15">
        <f>SUM(U58:U59)+U56</f>
        <v>290437</v>
      </c>
      <c r="V60" s="15">
        <f>SUM(V58:V59)+V56</f>
        <v>279414</v>
      </c>
      <c r="W60" s="15">
        <f>SUM(W58:W59)+W56</f>
        <v>263217</v>
      </c>
      <c r="X60" s="15">
        <f>SUM(X58:X59)+X56</f>
        <v>264904</v>
      </c>
      <c r="Y60" s="15">
        <f>SUM(Y58:Y59)+Y56</f>
        <v>308030</v>
      </c>
      <c r="Z60" s="15">
        <f>SUM(Z58:Z59)+Z56</f>
        <v>277327</v>
      </c>
      <c r="AA60" s="15">
        <f>SUM(AA58:AA59)+AA56</f>
        <v>264437</v>
      </c>
      <c r="AB60" s="15">
        <f>SUM(AB58:AB59)+AB56</f>
        <v>265665</v>
      </c>
      <c r="AC60" s="15">
        <f>SUM(AC58:AC59)+AC56</f>
        <v>285508</v>
      </c>
      <c r="AE60" s="15">
        <f>SUM(AE58:AE59)+AE56</f>
        <v>290020</v>
      </c>
      <c r="AF60" s="15">
        <f>SUM(AF58:AF59)+AF56</f>
        <v>270002</v>
      </c>
      <c r="AG60" s="15">
        <f>SUM(AG58:AG59)+AG56</f>
        <v>274764</v>
      </c>
      <c r="AH60" s="15">
        <f>SUM(AH58:AH59)+AH56</f>
        <v>290437</v>
      </c>
      <c r="AI60" s="15">
        <f>SUM(AI58:AI59)+AI56</f>
        <v>279414</v>
      </c>
      <c r="AJ60" s="15">
        <f>SUM(AJ58:AJ59)+AJ56</f>
        <v>263217</v>
      </c>
      <c r="AK60" s="15">
        <f>SUM(AK58:AK59)+AK56</f>
        <v>264904</v>
      </c>
      <c r="AL60" s="15">
        <f>SUM(AL58:AL59)+AL56</f>
        <v>308030</v>
      </c>
      <c r="AM60" s="15">
        <f>SUM(AM58:AM59)+AM56</f>
        <v>277327</v>
      </c>
      <c r="AN60" s="15">
        <f>SUM(AN58:AN59)+AN56</f>
        <v>264437</v>
      </c>
      <c r="AO60" s="15">
        <f>SUM(AO58:AO59)+AO56</f>
        <v>265665</v>
      </c>
      <c r="AP60" s="15">
        <f>SUM(AP58:AP59)+AP56</f>
        <v>285508</v>
      </c>
      <c r="AQ60" s="45"/>
      <c r="AR60" s="88">
        <f t="shared" si="141"/>
        <v>-7.3116254910235989E-2</v>
      </c>
    </row>
    <row r="61" spans="2:44" ht="5.0999999999999996" customHeight="1">
      <c r="B61" s="27"/>
      <c r="C61" s="55"/>
      <c r="D61" s="55"/>
      <c r="E61" s="55"/>
      <c r="F61" s="55"/>
      <c r="G61" s="55"/>
      <c r="H61" s="55"/>
      <c r="I61" s="55"/>
      <c r="J61" s="44"/>
      <c r="K61" s="44"/>
      <c r="L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2"/>
    </row>
    <row r="62" spans="2:44" ht="12.75" customHeight="1">
      <c r="B62" s="10" t="s">
        <v>93</v>
      </c>
      <c r="C62" s="96">
        <v>31251</v>
      </c>
      <c r="D62" s="96">
        <v>35867</v>
      </c>
      <c r="E62" s="96">
        <v>40201</v>
      </c>
      <c r="F62" s="96">
        <v>45174</v>
      </c>
      <c r="G62" s="96">
        <v>50779</v>
      </c>
      <c r="H62" s="96">
        <v>57365</v>
      </c>
      <c r="I62" s="96">
        <v>64849</v>
      </c>
      <c r="J62" s="96">
        <v>73812</v>
      </c>
      <c r="K62" s="96">
        <v>83276</v>
      </c>
      <c r="L62" s="96">
        <v>93568</v>
      </c>
      <c r="M62" s="34"/>
      <c r="N62" s="96">
        <v>58424</v>
      </c>
      <c r="O62" s="96">
        <v>61181</v>
      </c>
      <c r="P62" s="96">
        <v>62115</v>
      </c>
      <c r="Q62" s="34">
        <f t="shared" ref="Q62:Q64" si="180">I62</f>
        <v>64849</v>
      </c>
      <c r="R62" s="96">
        <v>66399</v>
      </c>
      <c r="S62" s="96">
        <v>69568</v>
      </c>
      <c r="T62" s="96">
        <v>70667</v>
      </c>
      <c r="U62" s="34">
        <f t="shared" ref="U62:U64" si="181">J62</f>
        <v>73812</v>
      </c>
      <c r="V62" s="96">
        <v>75236</v>
      </c>
      <c r="W62" s="96">
        <v>75236</v>
      </c>
      <c r="X62" s="96">
        <v>79850</v>
      </c>
      <c r="Y62" s="34">
        <f t="shared" ref="Y62:Y64" si="182">K62</f>
        <v>83276</v>
      </c>
      <c r="Z62" s="96">
        <v>84768</v>
      </c>
      <c r="AA62" s="96">
        <v>88711</v>
      </c>
      <c r="AB62" s="96">
        <v>89806</v>
      </c>
      <c r="AC62" s="34">
        <f t="shared" ref="AC62:AC64" si="183">L62</f>
        <v>93568</v>
      </c>
      <c r="AE62" s="34">
        <f>R62</f>
        <v>66399</v>
      </c>
      <c r="AF62" s="34">
        <f>S62</f>
        <v>69568</v>
      </c>
      <c r="AG62" s="34">
        <f>T62</f>
        <v>70667</v>
      </c>
      <c r="AH62" s="34">
        <f>U62</f>
        <v>73812</v>
      </c>
      <c r="AI62" s="34">
        <f>V62</f>
        <v>75236</v>
      </c>
      <c r="AJ62" s="34">
        <f>W62</f>
        <v>75236</v>
      </c>
      <c r="AK62" s="34">
        <f>X62</f>
        <v>79850</v>
      </c>
      <c r="AL62" s="34">
        <f>Y62</f>
        <v>83276</v>
      </c>
      <c r="AM62" s="34">
        <f>Z62</f>
        <v>84768</v>
      </c>
      <c r="AN62" s="34">
        <f t="shared" ref="AN62:AN64" si="184">AA62</f>
        <v>88711</v>
      </c>
      <c r="AO62" s="34">
        <f t="shared" ref="AO62:AP64" si="185">AB62</f>
        <v>89806</v>
      </c>
      <c r="AP62" s="34">
        <f t="shared" si="185"/>
        <v>93568</v>
      </c>
      <c r="AQ62" s="12"/>
      <c r="AR62" s="87">
        <f t="shared" si="141"/>
        <v>0.12358902925212556</v>
      </c>
    </row>
    <row r="63" spans="2:44" ht="12.75" customHeight="1">
      <c r="B63" s="10" t="s">
        <v>229</v>
      </c>
      <c r="C63" s="96">
        <v>96364</v>
      </c>
      <c r="D63" s="96">
        <v>98330</v>
      </c>
      <c r="E63" s="96">
        <v>70400</v>
      </c>
      <c r="F63" s="96">
        <v>45898</v>
      </c>
      <c r="G63" s="96">
        <v>14966</v>
      </c>
      <c r="H63" s="96">
        <v>5562</v>
      </c>
      <c r="I63" s="96">
        <v>-3068</v>
      </c>
      <c r="J63" s="96">
        <v>-214</v>
      </c>
      <c r="K63" s="96">
        <v>-19154</v>
      </c>
      <c r="L63" s="96">
        <v>-14264</v>
      </c>
      <c r="M63" s="34"/>
      <c r="N63" s="96">
        <v>6397</v>
      </c>
      <c r="O63" s="96">
        <v>4674</v>
      </c>
      <c r="P63" s="96">
        <v>-2749</v>
      </c>
      <c r="Q63" s="34">
        <f t="shared" si="180"/>
        <v>-3068</v>
      </c>
      <c r="R63" s="96">
        <v>-4798</v>
      </c>
      <c r="S63" s="96">
        <v>-3702</v>
      </c>
      <c r="T63" s="96">
        <v>-6630</v>
      </c>
      <c r="U63" s="34">
        <f t="shared" si="181"/>
        <v>-214</v>
      </c>
      <c r="V63" s="96">
        <v>204</v>
      </c>
      <c r="W63" s="96">
        <v>-120</v>
      </c>
      <c r="X63" s="96">
        <v>-12764</v>
      </c>
      <c r="Y63" s="34">
        <f t="shared" si="182"/>
        <v>-19154</v>
      </c>
      <c r="Z63" s="96">
        <v>-11221</v>
      </c>
      <c r="AA63" s="96">
        <v>-15552</v>
      </c>
      <c r="AB63" s="96">
        <v>-17613</v>
      </c>
      <c r="AC63" s="34">
        <f t="shared" si="183"/>
        <v>-14264</v>
      </c>
      <c r="AE63" s="34">
        <f>R63</f>
        <v>-4798</v>
      </c>
      <c r="AF63" s="34">
        <f>S63</f>
        <v>-3702</v>
      </c>
      <c r="AG63" s="34">
        <f>T63</f>
        <v>-6630</v>
      </c>
      <c r="AH63" s="34">
        <f>U63</f>
        <v>-214</v>
      </c>
      <c r="AI63" s="34">
        <f>V63</f>
        <v>204</v>
      </c>
      <c r="AJ63" s="34">
        <f>W63</f>
        <v>-120</v>
      </c>
      <c r="AK63" s="34">
        <f>X63</f>
        <v>-12764</v>
      </c>
      <c r="AL63" s="34">
        <f>Y63</f>
        <v>-19154</v>
      </c>
      <c r="AM63" s="34">
        <f>Z63</f>
        <v>-11221</v>
      </c>
      <c r="AN63" s="34">
        <f t="shared" si="184"/>
        <v>-15552</v>
      </c>
      <c r="AO63" s="34">
        <f t="shared" si="185"/>
        <v>-17613</v>
      </c>
      <c r="AP63" s="34">
        <f t="shared" si="185"/>
        <v>-14264</v>
      </c>
      <c r="AQ63" s="12"/>
      <c r="AR63" s="87">
        <f t="shared" si="141"/>
        <v>-0.2552991542236609</v>
      </c>
    </row>
    <row r="64" spans="2:44" ht="12.75" customHeight="1">
      <c r="B64" s="10" t="s">
        <v>230</v>
      </c>
      <c r="C64" s="96">
        <v>634</v>
      </c>
      <c r="D64" s="96">
        <v>-150</v>
      </c>
      <c r="E64" s="96">
        <v>-3454</v>
      </c>
      <c r="F64" s="96">
        <v>-584</v>
      </c>
      <c r="G64" s="96">
        <v>-406</v>
      </c>
      <c r="H64" s="96">
        <v>163</v>
      </c>
      <c r="I64" s="96">
        <v>-11109</v>
      </c>
      <c r="J64" s="96">
        <v>-11452</v>
      </c>
      <c r="K64" s="96">
        <v>-7172</v>
      </c>
      <c r="L64" s="96">
        <v>-5571</v>
      </c>
      <c r="M64" s="34"/>
      <c r="N64" s="96">
        <v>-927</v>
      </c>
      <c r="O64" s="96">
        <v>-6494</v>
      </c>
      <c r="P64" s="96">
        <v>-9297</v>
      </c>
      <c r="Q64" s="34">
        <f t="shared" si="180"/>
        <v>-11109</v>
      </c>
      <c r="R64" s="96">
        <v>-12912</v>
      </c>
      <c r="S64" s="96">
        <v>-11746</v>
      </c>
      <c r="T64" s="96">
        <v>-11801</v>
      </c>
      <c r="U64" s="34">
        <f t="shared" si="181"/>
        <v>-11452</v>
      </c>
      <c r="V64" s="96">
        <v>-9378</v>
      </c>
      <c r="W64" s="96">
        <v>-8960</v>
      </c>
      <c r="X64" s="96">
        <v>-8416</v>
      </c>
      <c r="Y64" s="34">
        <f t="shared" si="182"/>
        <v>-7172</v>
      </c>
      <c r="Z64" s="96">
        <v>-6789</v>
      </c>
      <c r="AA64" s="96">
        <v>-6363</v>
      </c>
      <c r="AB64" s="96">
        <v>-6363</v>
      </c>
      <c r="AC64" s="34">
        <f t="shared" si="183"/>
        <v>-5571</v>
      </c>
      <c r="AE64" s="34">
        <f>R64</f>
        <v>-12912</v>
      </c>
      <c r="AF64" s="34">
        <f>S64</f>
        <v>-11746</v>
      </c>
      <c r="AG64" s="34">
        <f>T64</f>
        <v>-11801</v>
      </c>
      <c r="AH64" s="34">
        <f>U64</f>
        <v>-11452</v>
      </c>
      <c r="AI64" s="34">
        <f>V64</f>
        <v>-9378</v>
      </c>
      <c r="AJ64" s="34">
        <f>W64</f>
        <v>-8960</v>
      </c>
      <c r="AK64" s="34">
        <f>X64</f>
        <v>-8416</v>
      </c>
      <c r="AL64" s="34">
        <f>Y64</f>
        <v>-7172</v>
      </c>
      <c r="AM64" s="34">
        <f>Z64</f>
        <v>-6789</v>
      </c>
      <c r="AN64" s="34">
        <f t="shared" si="184"/>
        <v>-6363</v>
      </c>
      <c r="AO64" s="34">
        <f t="shared" si="185"/>
        <v>-6363</v>
      </c>
      <c r="AP64" s="34">
        <f t="shared" si="185"/>
        <v>-5571</v>
      </c>
      <c r="AQ64" s="12"/>
      <c r="AR64" s="87">
        <f t="shared" si="141"/>
        <v>-0.22322922476296714</v>
      </c>
    </row>
    <row r="65" spans="1:44" ht="12.75" customHeight="1">
      <c r="B65" s="14" t="s">
        <v>22</v>
      </c>
      <c r="C65" s="15">
        <f t="shared" ref="C65:K65" si="186">SUM(C62:C64)</f>
        <v>128249</v>
      </c>
      <c r="D65" s="15">
        <f t="shared" si="186"/>
        <v>134047</v>
      </c>
      <c r="E65" s="15">
        <f t="shared" si="186"/>
        <v>107147</v>
      </c>
      <c r="F65" s="15">
        <f t="shared" si="186"/>
        <v>90488</v>
      </c>
      <c r="G65" s="15">
        <f t="shared" si="186"/>
        <v>65339</v>
      </c>
      <c r="H65" s="15">
        <f t="shared" si="186"/>
        <v>63090</v>
      </c>
      <c r="I65" s="15">
        <f t="shared" si="186"/>
        <v>50672</v>
      </c>
      <c r="J65" s="15">
        <f t="shared" si="186"/>
        <v>62146</v>
      </c>
      <c r="K65" s="15">
        <f t="shared" si="186"/>
        <v>56950</v>
      </c>
      <c r="L65" s="15">
        <f t="shared" ref="L65" si="187">SUM(L62:L64)</f>
        <v>73733</v>
      </c>
      <c r="M65" s="58"/>
      <c r="N65" s="15">
        <f t="shared" ref="N65:AB65" si="188">SUM(N62:N64)</f>
        <v>63894</v>
      </c>
      <c r="O65" s="15">
        <f t="shared" si="188"/>
        <v>59361</v>
      </c>
      <c r="P65" s="15">
        <f t="shared" si="188"/>
        <v>50069</v>
      </c>
      <c r="Q65" s="15">
        <f t="shared" si="188"/>
        <v>50672</v>
      </c>
      <c r="R65" s="15">
        <f t="shared" si="188"/>
        <v>48689</v>
      </c>
      <c r="S65" s="15">
        <f t="shared" si="188"/>
        <v>54120</v>
      </c>
      <c r="T65" s="15">
        <f t="shared" si="188"/>
        <v>52236</v>
      </c>
      <c r="U65" s="15">
        <f t="shared" si="188"/>
        <v>62146</v>
      </c>
      <c r="V65" s="15">
        <f t="shared" si="188"/>
        <v>66062</v>
      </c>
      <c r="W65" s="15">
        <f t="shared" si="188"/>
        <v>66156</v>
      </c>
      <c r="X65" s="15">
        <f t="shared" si="188"/>
        <v>58670</v>
      </c>
      <c r="Y65" s="15">
        <f t="shared" si="188"/>
        <v>56950</v>
      </c>
      <c r="Z65" s="36">
        <f t="shared" si="188"/>
        <v>66758</v>
      </c>
      <c r="AA65" s="36">
        <f t="shared" si="188"/>
        <v>66796</v>
      </c>
      <c r="AB65" s="36">
        <f t="shared" si="188"/>
        <v>65830</v>
      </c>
      <c r="AC65" s="36">
        <f t="shared" ref="AC65" si="189">SUM(AC62:AC64)</f>
        <v>73733</v>
      </c>
      <c r="AE65" s="15">
        <f t="shared" ref="AE65:AO65" si="190">SUM(AE62:AE64)</f>
        <v>48689</v>
      </c>
      <c r="AF65" s="15">
        <f t="shared" si="190"/>
        <v>54120</v>
      </c>
      <c r="AG65" s="15">
        <f t="shared" si="190"/>
        <v>52236</v>
      </c>
      <c r="AH65" s="15">
        <f t="shared" si="190"/>
        <v>62146</v>
      </c>
      <c r="AI65" s="15">
        <f t="shared" si="190"/>
        <v>66062</v>
      </c>
      <c r="AJ65" s="15">
        <f t="shared" si="190"/>
        <v>66156</v>
      </c>
      <c r="AK65" s="15">
        <f t="shared" si="190"/>
        <v>58670</v>
      </c>
      <c r="AL65" s="15">
        <f t="shared" si="190"/>
        <v>56950</v>
      </c>
      <c r="AM65" s="15">
        <f t="shared" si="190"/>
        <v>66758</v>
      </c>
      <c r="AN65" s="15">
        <f t="shared" si="190"/>
        <v>66796</v>
      </c>
      <c r="AO65" s="15">
        <f t="shared" si="190"/>
        <v>65830</v>
      </c>
      <c r="AP65" s="15">
        <f t="shared" ref="AP65" si="191">SUM(AP62:AP64)</f>
        <v>73733</v>
      </c>
      <c r="AQ65" s="45"/>
      <c r="AR65" s="88">
        <f t="shared" si="141"/>
        <v>0.29469710272168559</v>
      </c>
    </row>
    <row r="66" spans="1:44" ht="12.75" customHeight="1">
      <c r="B66" s="27" t="s">
        <v>83</v>
      </c>
      <c r="C66" s="34">
        <f t="shared" ref="C66:K66" si="192">SUM(C65+C60)</f>
        <v>321686</v>
      </c>
      <c r="D66" s="34">
        <f t="shared" si="192"/>
        <v>375319</v>
      </c>
      <c r="E66" s="34">
        <f t="shared" si="192"/>
        <v>365725</v>
      </c>
      <c r="F66" s="34">
        <f t="shared" si="192"/>
        <v>338516</v>
      </c>
      <c r="G66" s="34">
        <f t="shared" si="192"/>
        <v>323888</v>
      </c>
      <c r="H66" s="34">
        <f t="shared" si="192"/>
        <v>351002</v>
      </c>
      <c r="I66" s="34">
        <f t="shared" si="192"/>
        <v>352755</v>
      </c>
      <c r="J66" s="34">
        <f t="shared" si="192"/>
        <v>352583</v>
      </c>
      <c r="K66" s="34">
        <f t="shared" si="192"/>
        <v>364980</v>
      </c>
      <c r="L66" s="34">
        <f t="shared" ref="L66" si="193">SUM(L65+L60)</f>
        <v>359241</v>
      </c>
      <c r="M66" s="34"/>
      <c r="N66" s="34">
        <f t="shared" ref="N66:AB66" si="194">SUM(N65+N60)</f>
        <v>373153</v>
      </c>
      <c r="O66" s="34">
        <f t="shared" si="194"/>
        <v>342624</v>
      </c>
      <c r="P66" s="34">
        <f t="shared" si="194"/>
        <v>328271</v>
      </c>
      <c r="Q66" s="34">
        <f t="shared" si="194"/>
        <v>352755</v>
      </c>
      <c r="R66" s="34">
        <f t="shared" si="194"/>
        <v>338709</v>
      </c>
      <c r="S66" s="34">
        <f t="shared" si="194"/>
        <v>324122</v>
      </c>
      <c r="T66" s="34">
        <f t="shared" si="194"/>
        <v>327000</v>
      </c>
      <c r="U66" s="34">
        <f t="shared" si="194"/>
        <v>352583</v>
      </c>
      <c r="V66" s="34">
        <f t="shared" si="194"/>
        <v>345476</v>
      </c>
      <c r="W66" s="34">
        <f t="shared" si="194"/>
        <v>329373</v>
      </c>
      <c r="X66" s="34">
        <f t="shared" si="194"/>
        <v>323574</v>
      </c>
      <c r="Y66" s="34">
        <f t="shared" si="194"/>
        <v>364980</v>
      </c>
      <c r="Z66" s="34">
        <f t="shared" si="194"/>
        <v>344085</v>
      </c>
      <c r="AA66" s="34">
        <f t="shared" si="194"/>
        <v>331233</v>
      </c>
      <c r="AB66" s="34">
        <f t="shared" si="194"/>
        <v>331495</v>
      </c>
      <c r="AC66" s="34">
        <f t="shared" ref="AC66" si="195">SUM(AC65+AC60)</f>
        <v>359241</v>
      </c>
      <c r="AD66" s="34"/>
      <c r="AE66" s="34">
        <f t="shared" ref="AE66:AO66" si="196">SUM(AE65+AE60)</f>
        <v>338709</v>
      </c>
      <c r="AF66" s="34">
        <f t="shared" si="196"/>
        <v>324122</v>
      </c>
      <c r="AG66" s="34">
        <f t="shared" si="196"/>
        <v>327000</v>
      </c>
      <c r="AH66" s="34">
        <f t="shared" si="196"/>
        <v>352583</v>
      </c>
      <c r="AI66" s="34">
        <f t="shared" si="196"/>
        <v>345476</v>
      </c>
      <c r="AJ66" s="34">
        <f t="shared" si="196"/>
        <v>329373</v>
      </c>
      <c r="AK66" s="34">
        <f t="shared" si="196"/>
        <v>323574</v>
      </c>
      <c r="AL66" s="34">
        <f t="shared" si="196"/>
        <v>364980</v>
      </c>
      <c r="AM66" s="34">
        <f t="shared" si="196"/>
        <v>344085</v>
      </c>
      <c r="AN66" s="34">
        <f t="shared" si="196"/>
        <v>331233</v>
      </c>
      <c r="AO66" s="34">
        <f t="shared" si="196"/>
        <v>331495</v>
      </c>
      <c r="AP66" s="34">
        <f t="shared" ref="AP66" si="197">SUM(AP65+AP60)</f>
        <v>359241</v>
      </c>
      <c r="AQ66" s="12"/>
      <c r="AR66" s="88">
        <f t="shared" si="141"/>
        <v>-1.5724149268453114E-2</v>
      </c>
    </row>
    <row r="67" spans="1:44" ht="5.0999999999999996" customHeight="1"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12"/>
    </row>
    <row r="68" spans="1:44" ht="12.75" customHeight="1">
      <c r="B68" s="80" t="s">
        <v>96</v>
      </c>
      <c r="C68" s="81">
        <f>C66-C49</f>
        <v>0</v>
      </c>
      <c r="D68" s="81">
        <f>D66-D49</f>
        <v>0</v>
      </c>
      <c r="E68" s="81">
        <f>E66-E49</f>
        <v>0</v>
      </c>
      <c r="F68" s="81">
        <f>F66-F49</f>
        <v>0</v>
      </c>
      <c r="G68" s="81">
        <f>G66-G49</f>
        <v>0</v>
      </c>
      <c r="H68" s="81">
        <f>H66-H49</f>
        <v>0</v>
      </c>
      <c r="I68" s="81">
        <f>I66-I49</f>
        <v>0</v>
      </c>
      <c r="J68" s="81">
        <f>J66-J49</f>
        <v>0</v>
      </c>
      <c r="K68" s="81">
        <f>K66-K49</f>
        <v>0</v>
      </c>
      <c r="L68" s="81">
        <f>L66-L49</f>
        <v>0</v>
      </c>
      <c r="M68" s="82"/>
      <c r="N68" s="81">
        <f>N66-N49</f>
        <v>0</v>
      </c>
      <c r="O68" s="81">
        <f>O66-O49</f>
        <v>0</v>
      </c>
      <c r="P68" s="81">
        <f>P66-P49</f>
        <v>0</v>
      </c>
      <c r="Q68" s="81">
        <f>Q66-Q49</f>
        <v>0</v>
      </c>
      <c r="R68" s="81">
        <f>R66-R49</f>
        <v>0</v>
      </c>
      <c r="S68" s="81">
        <f>S66-S49</f>
        <v>0</v>
      </c>
      <c r="T68" s="81">
        <f>T66-T49</f>
        <v>0</v>
      </c>
      <c r="U68" s="81">
        <f>U66-U49</f>
        <v>0</v>
      </c>
      <c r="V68" s="81">
        <f>V66-V49</f>
        <v>0</v>
      </c>
      <c r="W68" s="81">
        <f>W66-W49</f>
        <v>0</v>
      </c>
      <c r="X68" s="81">
        <f>X66-X49</f>
        <v>0</v>
      </c>
      <c r="Y68" s="81">
        <f>Y66-Y49</f>
        <v>0</v>
      </c>
      <c r="Z68" s="81">
        <f>Z66-Z49</f>
        <v>0</v>
      </c>
      <c r="AA68" s="81">
        <f>AA66-AA49</f>
        <v>0</v>
      </c>
      <c r="AB68" s="81">
        <f>AB66-AB49</f>
        <v>0</v>
      </c>
      <c r="AC68" s="81">
        <f>AC66-AC49</f>
        <v>0</v>
      </c>
      <c r="AD68" s="30"/>
      <c r="AE68" s="81">
        <f>AE66-AE49</f>
        <v>0</v>
      </c>
      <c r="AF68" s="81">
        <f>AF66-AF49</f>
        <v>0</v>
      </c>
      <c r="AG68" s="81">
        <f>AG66-AG49</f>
        <v>0</v>
      </c>
      <c r="AH68" s="81">
        <f>AH66-AH49</f>
        <v>0</v>
      </c>
      <c r="AI68" s="81">
        <f>AI66-AI49</f>
        <v>0</v>
      </c>
      <c r="AJ68" s="81">
        <f>AJ66-AJ49</f>
        <v>0</v>
      </c>
      <c r="AK68" s="81">
        <f>AK66-AK49</f>
        <v>0</v>
      </c>
      <c r="AL68" s="81">
        <f>AL66-AL49</f>
        <v>0</v>
      </c>
      <c r="AM68" s="81">
        <f>AM66-AM49</f>
        <v>0</v>
      </c>
      <c r="AN68" s="81">
        <f>AN66-AN49</f>
        <v>0</v>
      </c>
      <c r="AO68" s="81">
        <f>AO66-AO49</f>
        <v>0</v>
      </c>
      <c r="AP68" s="81">
        <f>AP66-AP49</f>
        <v>0</v>
      </c>
    </row>
    <row r="69" spans="1:44">
      <c r="B69" s="78"/>
      <c r="C69" s="79"/>
      <c r="D69" s="79"/>
      <c r="E69" s="79"/>
      <c r="F69" s="79"/>
      <c r="G69" s="79"/>
      <c r="H69" s="59"/>
      <c r="I69" s="26"/>
      <c r="J69" s="26"/>
      <c r="K69" s="26"/>
      <c r="L69" s="26"/>
      <c r="M69" s="59"/>
    </row>
    <row r="70" spans="1:44" ht="12.75" customHeight="1">
      <c r="A70" s="5" t="s">
        <v>24</v>
      </c>
      <c r="B70" s="203" t="s">
        <v>19</v>
      </c>
      <c r="C70" s="211" t="s">
        <v>0</v>
      </c>
      <c r="D70" s="211"/>
      <c r="E70" s="211"/>
      <c r="F70" s="211"/>
      <c r="G70" s="211"/>
      <c r="H70" s="211"/>
      <c r="I70" s="211"/>
      <c r="J70" s="211"/>
      <c r="K70" s="211"/>
      <c r="L70" s="211"/>
      <c r="M70" s="212"/>
      <c r="N70" s="211" t="s">
        <v>1</v>
      </c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03"/>
      <c r="AE70" s="211"/>
      <c r="AF70" s="211"/>
      <c r="AG70" s="211"/>
      <c r="AH70" s="211"/>
      <c r="AI70" s="211"/>
      <c r="AJ70" s="211"/>
      <c r="AK70" s="211" t="s">
        <v>10</v>
      </c>
      <c r="AL70" s="211"/>
      <c r="AM70" s="211"/>
      <c r="AN70" s="211"/>
      <c r="AO70" s="211"/>
      <c r="AP70" s="211"/>
      <c r="AQ70" s="212"/>
      <c r="AR70" s="286" t="s">
        <v>36</v>
      </c>
    </row>
    <row r="71" spans="1:44" ht="12.75" customHeight="1">
      <c r="B71" s="204" t="str">
        <f>B7</f>
        <v>Fiscal Period</v>
      </c>
      <c r="C71" s="213">
        <f>C7</f>
        <v>2016</v>
      </c>
      <c r="D71" s="213">
        <f>D7</f>
        <v>2017</v>
      </c>
      <c r="E71" s="213">
        <f>E7</f>
        <v>2018</v>
      </c>
      <c r="F71" s="213">
        <f>F7</f>
        <v>2019</v>
      </c>
      <c r="G71" s="213">
        <f>G7</f>
        <v>2020</v>
      </c>
      <c r="H71" s="213">
        <f>H7</f>
        <v>2021</v>
      </c>
      <c r="I71" s="213">
        <f>I7</f>
        <v>2022</v>
      </c>
      <c r="J71" s="213">
        <f>J7</f>
        <v>2023</v>
      </c>
      <c r="K71" s="213">
        <f>K7</f>
        <v>2024</v>
      </c>
      <c r="L71" s="213">
        <f>L7</f>
        <v>2025</v>
      </c>
      <c r="M71" s="212"/>
      <c r="N71" s="213" t="str">
        <f>N7</f>
        <v>1Q22</v>
      </c>
      <c r="O71" s="213" t="str">
        <f>O7</f>
        <v>2Q22</v>
      </c>
      <c r="P71" s="213" t="str">
        <f>P7</f>
        <v>3Q22</v>
      </c>
      <c r="Q71" s="213" t="str">
        <f>Q7</f>
        <v>4Q22</v>
      </c>
      <c r="R71" s="213" t="str">
        <f>R7</f>
        <v>1Q23</v>
      </c>
      <c r="S71" s="213" t="str">
        <f>S7</f>
        <v>2Q23</v>
      </c>
      <c r="T71" s="213" t="str">
        <f>T7</f>
        <v>3Q23</v>
      </c>
      <c r="U71" s="213" t="str">
        <f>U7</f>
        <v>4Q23</v>
      </c>
      <c r="V71" s="213" t="str">
        <f>V7</f>
        <v>1Q24</v>
      </c>
      <c r="W71" s="213" t="str">
        <f>W7</f>
        <v>2Q24</v>
      </c>
      <c r="X71" s="213" t="str">
        <f>X7</f>
        <v>3Q24</v>
      </c>
      <c r="Y71" s="213" t="str">
        <f>Y7</f>
        <v>4Q24</v>
      </c>
      <c r="Z71" s="213" t="str">
        <f>Z7</f>
        <v>1Q25</v>
      </c>
      <c r="AA71" s="213" t="str">
        <f>AA7</f>
        <v>2Q25</v>
      </c>
      <c r="AB71" s="213" t="str">
        <f>AB7</f>
        <v>3Q25</v>
      </c>
      <c r="AC71" s="213" t="str">
        <f>AC7</f>
        <v>4Q25</v>
      </c>
      <c r="AD71" s="213"/>
      <c r="AE71" s="213" t="str">
        <f>AE7</f>
        <v>1Q23</v>
      </c>
      <c r="AF71" s="213" t="str">
        <f>AF7</f>
        <v>2Q23</v>
      </c>
      <c r="AG71" s="213" t="str">
        <f>AG7</f>
        <v>3Q23</v>
      </c>
      <c r="AH71" s="213" t="str">
        <f>AH7</f>
        <v>4Q23</v>
      </c>
      <c r="AI71" s="213" t="str">
        <f>AI7</f>
        <v>1Q24</v>
      </c>
      <c r="AJ71" s="213" t="str">
        <f>AJ7</f>
        <v>2Q24</v>
      </c>
      <c r="AK71" s="213" t="str">
        <f>AK7</f>
        <v>3Q24</v>
      </c>
      <c r="AL71" s="213" t="str">
        <f>AL7</f>
        <v>4Q24</v>
      </c>
      <c r="AM71" s="213" t="str">
        <f>AM7</f>
        <v>1Q25</v>
      </c>
      <c r="AN71" s="213" t="str">
        <f>AN7</f>
        <v>2Q25</v>
      </c>
      <c r="AO71" s="213" t="str">
        <f>AO7</f>
        <v>3Q25</v>
      </c>
      <c r="AP71" s="213" t="str">
        <f>AP7</f>
        <v>4Q25</v>
      </c>
      <c r="AQ71" s="212"/>
      <c r="AR71" s="286"/>
    </row>
    <row r="72" spans="1:44" ht="12.75" customHeight="1">
      <c r="B72" s="204" t="str">
        <f>B8</f>
        <v>Fiscal Period End Date</v>
      </c>
      <c r="C72" s="214">
        <f>C8</f>
        <v>42643</v>
      </c>
      <c r="D72" s="214">
        <f>D8</f>
        <v>43008</v>
      </c>
      <c r="E72" s="214">
        <f>E8</f>
        <v>43372</v>
      </c>
      <c r="F72" s="214">
        <f>F8</f>
        <v>43737</v>
      </c>
      <c r="G72" s="214">
        <f>G8</f>
        <v>44104</v>
      </c>
      <c r="H72" s="214">
        <f>H8</f>
        <v>44469</v>
      </c>
      <c r="I72" s="214">
        <f>I8</f>
        <v>44834</v>
      </c>
      <c r="J72" s="214">
        <f>J8</f>
        <v>45192</v>
      </c>
      <c r="K72" s="214">
        <f>K8</f>
        <v>45559</v>
      </c>
      <c r="L72" s="214">
        <f>L8</f>
        <v>45927</v>
      </c>
      <c r="M72" s="212"/>
      <c r="N72" s="214">
        <f>N8</f>
        <v>44560</v>
      </c>
      <c r="O72" s="214">
        <f>O8</f>
        <v>44650</v>
      </c>
      <c r="P72" s="214">
        <f>P8</f>
        <v>44742</v>
      </c>
      <c r="Q72" s="214">
        <f>Q8</f>
        <v>44834</v>
      </c>
      <c r="R72" s="214">
        <f>R8</f>
        <v>44917</v>
      </c>
      <c r="S72" s="214">
        <f>S8</f>
        <v>45008</v>
      </c>
      <c r="T72" s="214">
        <f>T8</f>
        <v>45100</v>
      </c>
      <c r="U72" s="214">
        <f>U8</f>
        <v>45192</v>
      </c>
      <c r="V72" s="214">
        <f>V8</f>
        <v>45283</v>
      </c>
      <c r="W72" s="214">
        <f>W8</f>
        <v>45375</v>
      </c>
      <c r="X72" s="214">
        <f>X8</f>
        <v>45467</v>
      </c>
      <c r="Y72" s="214">
        <f>Y8</f>
        <v>45559</v>
      </c>
      <c r="Z72" s="214">
        <f>Z8</f>
        <v>45650</v>
      </c>
      <c r="AA72" s="214">
        <f>AA8</f>
        <v>45741</v>
      </c>
      <c r="AB72" s="214">
        <f>AB8</f>
        <v>45833</v>
      </c>
      <c r="AC72" s="214">
        <f>AC8</f>
        <v>45927</v>
      </c>
      <c r="AD72" s="214"/>
      <c r="AE72" s="214">
        <f>AE8</f>
        <v>44917</v>
      </c>
      <c r="AF72" s="214">
        <f>AF8</f>
        <v>45008</v>
      </c>
      <c r="AG72" s="214">
        <f>AG8</f>
        <v>45100</v>
      </c>
      <c r="AH72" s="214">
        <f>AH8</f>
        <v>45192</v>
      </c>
      <c r="AI72" s="214">
        <f>AI8</f>
        <v>45283</v>
      </c>
      <c r="AJ72" s="214">
        <f>AJ8</f>
        <v>45375</v>
      </c>
      <c r="AK72" s="214">
        <f>AK8</f>
        <v>45467</v>
      </c>
      <c r="AL72" s="214">
        <f>AL8</f>
        <v>45559</v>
      </c>
      <c r="AM72" s="214">
        <f>AM8</f>
        <v>45650</v>
      </c>
      <c r="AN72" s="214">
        <f>AN8</f>
        <v>45741</v>
      </c>
      <c r="AO72" s="214">
        <f>AO8</f>
        <v>45833</v>
      </c>
      <c r="AP72" s="214">
        <f>AP8</f>
        <v>45927</v>
      </c>
      <c r="AQ72" s="212"/>
      <c r="AR72" s="286"/>
    </row>
    <row r="73" spans="1:44" ht="5.0999999999999996" customHeight="1">
      <c r="B73" s="60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spans="1:44" ht="12.75" customHeight="1">
      <c r="B74" s="61" t="s">
        <v>84</v>
      </c>
      <c r="C74" s="62"/>
      <c r="D74" s="62"/>
      <c r="E74" s="62"/>
      <c r="F74" s="62"/>
      <c r="G74" s="62"/>
      <c r="H74" s="62"/>
      <c r="I74" s="62"/>
      <c r="J74" s="62"/>
      <c r="K74" s="62"/>
      <c r="L74" s="62"/>
    </row>
    <row r="75" spans="1:44" ht="12.75" customHeight="1">
      <c r="B75" s="63" t="s">
        <v>85</v>
      </c>
      <c r="C75" s="96">
        <f>C26</f>
        <v>45687</v>
      </c>
      <c r="D75" s="34">
        <f>D26</f>
        <v>48351</v>
      </c>
      <c r="E75" s="34">
        <f>E26</f>
        <v>59531</v>
      </c>
      <c r="F75" s="34">
        <f>F26</f>
        <v>55256</v>
      </c>
      <c r="G75" s="34">
        <f>G26</f>
        <v>57411</v>
      </c>
      <c r="H75" s="34">
        <f>H26</f>
        <v>94680</v>
      </c>
      <c r="I75" s="34">
        <f>I26</f>
        <v>99803</v>
      </c>
      <c r="J75" s="34">
        <f>J26</f>
        <v>96995</v>
      </c>
      <c r="K75" s="34">
        <f>K26</f>
        <v>93736</v>
      </c>
      <c r="L75" s="34">
        <f>L26</f>
        <v>112010</v>
      </c>
      <c r="M75" s="34"/>
      <c r="N75" s="34">
        <f>N26</f>
        <v>34630</v>
      </c>
      <c r="O75" s="34">
        <f>O26</f>
        <v>25010</v>
      </c>
      <c r="P75" s="34">
        <f>P26</f>
        <v>19442</v>
      </c>
      <c r="Q75" s="34">
        <f>Q26</f>
        <v>20721</v>
      </c>
      <c r="R75" s="34">
        <f>R26</f>
        <v>29998</v>
      </c>
      <c r="S75" s="34">
        <f>S26</f>
        <v>24160</v>
      </c>
      <c r="T75" s="34">
        <f>T26</f>
        <v>19881</v>
      </c>
      <c r="U75" s="34">
        <f>U26</f>
        <v>22956</v>
      </c>
      <c r="V75" s="34">
        <f>V26</f>
        <v>33916</v>
      </c>
      <c r="W75" s="34">
        <f>W26</f>
        <v>23636</v>
      </c>
      <c r="X75" s="34">
        <f>X26</f>
        <v>21448</v>
      </c>
      <c r="Y75" s="34">
        <f>Y26</f>
        <v>14736</v>
      </c>
      <c r="Z75" s="34">
        <f>Z26</f>
        <v>36330</v>
      </c>
      <c r="AA75" s="34">
        <f>AA26</f>
        <v>24780</v>
      </c>
      <c r="AB75" s="34">
        <f>AB26</f>
        <v>23434</v>
      </c>
      <c r="AC75" s="34">
        <f>AC26</f>
        <v>27466</v>
      </c>
      <c r="AE75" s="34">
        <f>SUM(O75:R75)</f>
        <v>95171</v>
      </c>
      <c r="AF75" s="34">
        <f>SUM(P75:S75)</f>
        <v>94321</v>
      </c>
      <c r="AG75" s="34">
        <f>SUM(Q75:T75)</f>
        <v>94760</v>
      </c>
      <c r="AH75" s="34">
        <f>SUM(R75:U75)</f>
        <v>96995</v>
      </c>
      <c r="AI75" s="34">
        <f>SUM(S75:V75)</f>
        <v>100913</v>
      </c>
      <c r="AJ75" s="34">
        <f>SUM(T75:W75)</f>
        <v>100389</v>
      </c>
      <c r="AK75" s="34">
        <f>SUM(U75:X75)</f>
        <v>101956</v>
      </c>
      <c r="AL75" s="34">
        <f>SUM(V75:Y75)</f>
        <v>93736</v>
      </c>
      <c r="AM75" s="34">
        <f>SUM(W75:Z75)</f>
        <v>96150</v>
      </c>
      <c r="AN75" s="34">
        <f>SUM(X75:AA75)</f>
        <v>97294</v>
      </c>
      <c r="AO75" s="34">
        <f>SUM(Y75:AB75)</f>
        <v>99280</v>
      </c>
      <c r="AP75" s="34">
        <f>SUM(Z75:AC75)</f>
        <v>112010</v>
      </c>
      <c r="AQ75" s="12"/>
      <c r="AR75" s="87">
        <f t="shared" ref="AR75" si="198">SUM(AP75/AL75)-1</f>
        <v>0.19495177946573361</v>
      </c>
    </row>
    <row r="76" spans="1:44" ht="5.0999999999999996" customHeight="1">
      <c r="C76" s="96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12"/>
      <c r="AR76" s="87"/>
    </row>
    <row r="77" spans="1:44" ht="12.75" customHeight="1">
      <c r="B77" s="39" t="s">
        <v>94</v>
      </c>
      <c r="C77" s="96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65"/>
      <c r="AR77" s="87"/>
    </row>
    <row r="78" spans="1:44" ht="12.75" customHeight="1">
      <c r="B78" s="66" t="s">
        <v>232</v>
      </c>
      <c r="C78" s="96">
        <v>10505</v>
      </c>
      <c r="D78" s="96">
        <v>10157</v>
      </c>
      <c r="E78" s="96">
        <v>10903</v>
      </c>
      <c r="F78" s="96">
        <v>12547</v>
      </c>
      <c r="G78" s="96">
        <v>11056</v>
      </c>
      <c r="H78" s="96">
        <v>11284</v>
      </c>
      <c r="I78" s="96">
        <v>11104</v>
      </c>
      <c r="J78" s="96">
        <v>11519</v>
      </c>
      <c r="K78" s="96">
        <v>11445</v>
      </c>
      <c r="L78" s="96">
        <v>11698</v>
      </c>
      <c r="M78" s="34"/>
      <c r="N78" s="96">
        <v>2697</v>
      </c>
      <c r="O78" s="96">
        <f>5434-N78</f>
        <v>2737</v>
      </c>
      <c r="P78" s="96">
        <f>8239-SUM(N78:O78)</f>
        <v>2805</v>
      </c>
      <c r="Q78" s="34">
        <f t="shared" ref="Q78:Q81" si="199">SUM(I78-SUM(N78:P78))</f>
        <v>2865</v>
      </c>
      <c r="R78" s="96">
        <v>2916</v>
      </c>
      <c r="S78" s="96">
        <f>5814-R78</f>
        <v>2898</v>
      </c>
      <c r="T78" s="96">
        <v>3052</v>
      </c>
      <c r="U78" s="34">
        <f t="shared" ref="U78:U81" si="200">SUM(J78-SUM(R78:T78))</f>
        <v>2653</v>
      </c>
      <c r="V78" s="96">
        <v>2848</v>
      </c>
      <c r="W78" s="96">
        <f>5684-V78</f>
        <v>2836</v>
      </c>
      <c r="X78" s="96">
        <f>8534-W78-V78</f>
        <v>2850</v>
      </c>
      <c r="Y78" s="34">
        <f t="shared" ref="Y78:Y81" si="201">SUM(K78-SUM(V78:X78))</f>
        <v>2911</v>
      </c>
      <c r="Z78" s="96">
        <v>3080</v>
      </c>
      <c r="AA78" s="96">
        <f>5741-Z78</f>
        <v>2661</v>
      </c>
      <c r="AB78" s="96">
        <f>8571-AA78-Z78</f>
        <v>2830</v>
      </c>
      <c r="AC78" s="34">
        <f t="shared" ref="AC78:AC81" si="202">SUM(L78-SUM(Z78:AB78))</f>
        <v>3127</v>
      </c>
      <c r="AE78" s="34">
        <f>SUM(O78:R78)</f>
        <v>11323</v>
      </c>
      <c r="AF78" s="34">
        <f>SUM(P78:S78)</f>
        <v>11484</v>
      </c>
      <c r="AG78" s="34">
        <f>SUM(Q78:T78)</f>
        <v>11731</v>
      </c>
      <c r="AH78" s="34">
        <f>SUM(R78:U78)</f>
        <v>11519</v>
      </c>
      <c r="AI78" s="34">
        <f>SUM(S78:V78)</f>
        <v>11451</v>
      </c>
      <c r="AJ78" s="34">
        <f>SUM(T78:W78)</f>
        <v>11389</v>
      </c>
      <c r="AK78" s="34">
        <f>SUM(U78:X78)</f>
        <v>11187</v>
      </c>
      <c r="AL78" s="34">
        <f>SUM(V78:Y78)</f>
        <v>11445</v>
      </c>
      <c r="AM78" s="34">
        <f>SUM(W78:Z78)</f>
        <v>11677</v>
      </c>
      <c r="AN78" s="34">
        <f>SUM(X78:AA78)</f>
        <v>11502</v>
      </c>
      <c r="AO78" s="34">
        <f>SUM(Y78:AB78)</f>
        <v>11482</v>
      </c>
      <c r="AP78" s="34">
        <f>SUM(Z78:AC78)</f>
        <v>11698</v>
      </c>
      <c r="AQ78" s="12"/>
      <c r="AR78" s="87">
        <f t="shared" ref="AR78:AR81" si="203">SUM(AP78/AL78)-1</f>
        <v>2.2105723023154278E-2</v>
      </c>
    </row>
    <row r="79" spans="1:44" ht="12.75" customHeight="1">
      <c r="B79" s="66" t="s">
        <v>233</v>
      </c>
      <c r="C79" s="96">
        <v>4210</v>
      </c>
      <c r="D79" s="96">
        <v>4840</v>
      </c>
      <c r="E79" s="96">
        <v>5340</v>
      </c>
      <c r="F79" s="96">
        <v>6068</v>
      </c>
      <c r="G79" s="96">
        <v>6829</v>
      </c>
      <c r="H79" s="96">
        <v>7906</v>
      </c>
      <c r="I79" s="96">
        <v>9038</v>
      </c>
      <c r="J79" s="96">
        <v>10833</v>
      </c>
      <c r="K79" s="96">
        <v>11688</v>
      </c>
      <c r="L79" s="96">
        <v>12863</v>
      </c>
      <c r="M79" s="34"/>
      <c r="N79" s="96">
        <v>2265</v>
      </c>
      <c r="O79" s="96">
        <f>4517-N79</f>
        <v>2252</v>
      </c>
      <c r="P79" s="96">
        <f>6760-SUM(N79:O79)</f>
        <v>2243</v>
      </c>
      <c r="Q79" s="34">
        <f t="shared" si="199"/>
        <v>2278</v>
      </c>
      <c r="R79" s="96">
        <v>2905</v>
      </c>
      <c r="S79" s="96">
        <f>5591-R79</f>
        <v>2686</v>
      </c>
      <c r="T79" s="96">
        <v>2617</v>
      </c>
      <c r="U79" s="34">
        <f t="shared" si="200"/>
        <v>2625</v>
      </c>
      <c r="V79" s="96">
        <v>2997</v>
      </c>
      <c r="W79" s="96">
        <f>5961-V79+3</f>
        <v>2967</v>
      </c>
      <c r="X79" s="96">
        <f>8830-W79-V79</f>
        <v>2866</v>
      </c>
      <c r="Y79" s="34">
        <f t="shared" si="201"/>
        <v>2858</v>
      </c>
      <c r="Z79" s="96">
        <v>3286</v>
      </c>
      <c r="AA79" s="96">
        <f>6512-Z79</f>
        <v>3226</v>
      </c>
      <c r="AB79" s="96">
        <f>9680-AA79-Z79</f>
        <v>3168</v>
      </c>
      <c r="AC79" s="34">
        <f t="shared" si="202"/>
        <v>3183</v>
      </c>
      <c r="AE79" s="34">
        <f>SUM(O79:R79)</f>
        <v>9678</v>
      </c>
      <c r="AF79" s="34">
        <f>SUM(P79:S79)</f>
        <v>10112</v>
      </c>
      <c r="AG79" s="34">
        <f>SUM(Q79:T79)</f>
        <v>10486</v>
      </c>
      <c r="AH79" s="34">
        <f>SUM(R79:U79)</f>
        <v>10833</v>
      </c>
      <c r="AI79" s="34">
        <f>SUM(S79:V79)</f>
        <v>10925</v>
      </c>
      <c r="AJ79" s="34">
        <f>SUM(T79:W79)</f>
        <v>11206</v>
      </c>
      <c r="AK79" s="34">
        <f>SUM(U79:X79)</f>
        <v>11455</v>
      </c>
      <c r="AL79" s="34">
        <f>SUM(V79:Y79)</f>
        <v>11688</v>
      </c>
      <c r="AM79" s="34">
        <f>SUM(W79:Z79)</f>
        <v>11977</v>
      </c>
      <c r="AN79" s="34">
        <f>SUM(X79:AA79)</f>
        <v>12236</v>
      </c>
      <c r="AO79" s="34">
        <f>SUM(Y79:AB79)</f>
        <v>12538</v>
      </c>
      <c r="AP79" s="34">
        <f>SUM(Z79:AC79)</f>
        <v>12863</v>
      </c>
      <c r="AQ79" s="12"/>
      <c r="AR79" s="87">
        <f t="shared" si="203"/>
        <v>0.10053045859000687</v>
      </c>
    </row>
    <row r="80" spans="1:44" ht="12.75" customHeight="1">
      <c r="B80" s="66" t="s">
        <v>234</v>
      </c>
      <c r="C80" s="96">
        <v>4938</v>
      </c>
      <c r="D80" s="96">
        <v>5966</v>
      </c>
      <c r="E80" s="96">
        <v>-32590</v>
      </c>
      <c r="F80" s="96">
        <v>-340</v>
      </c>
      <c r="G80" s="96">
        <v>-215</v>
      </c>
      <c r="H80" s="96">
        <v>-4774</v>
      </c>
      <c r="I80" s="96">
        <v>895</v>
      </c>
      <c r="J80" s="96">
        <v>0</v>
      </c>
      <c r="K80" s="96">
        <v>0</v>
      </c>
      <c r="L80" s="96">
        <v>0</v>
      </c>
      <c r="M80" s="34"/>
      <c r="N80" s="96">
        <v>682</v>
      </c>
      <c r="O80" s="96">
        <f>1088-N80</f>
        <v>406</v>
      </c>
      <c r="P80" s="96">
        <f>2756-SUM(N80:O80)</f>
        <v>1668</v>
      </c>
      <c r="Q80" s="34">
        <f t="shared" si="199"/>
        <v>-1861</v>
      </c>
      <c r="R80" s="96">
        <v>0</v>
      </c>
      <c r="S80" s="96">
        <f t="shared" ref="S80" si="204">R80</f>
        <v>0</v>
      </c>
      <c r="T80" s="96">
        <v>0</v>
      </c>
      <c r="U80" s="34">
        <f t="shared" si="200"/>
        <v>0</v>
      </c>
      <c r="V80" s="96">
        <f t="shared" ref="V80" si="205">U80</f>
        <v>0</v>
      </c>
      <c r="W80" s="96">
        <v>0</v>
      </c>
      <c r="X80" s="96">
        <v>0</v>
      </c>
      <c r="Y80" s="34">
        <f t="shared" si="201"/>
        <v>0</v>
      </c>
      <c r="Z80" s="96">
        <f t="shared" ref="Z80:AA80" si="206">Y80</f>
        <v>0</v>
      </c>
      <c r="AA80" s="96">
        <f t="shared" si="206"/>
        <v>0</v>
      </c>
      <c r="AB80" s="96">
        <v>0</v>
      </c>
      <c r="AC80" s="34">
        <f t="shared" si="202"/>
        <v>0</v>
      </c>
      <c r="AE80" s="34">
        <f>SUM(O80:R80)</f>
        <v>213</v>
      </c>
      <c r="AF80" s="34">
        <f>SUM(P80:S80)</f>
        <v>-193</v>
      </c>
      <c r="AG80" s="34">
        <f>SUM(Q80:T80)</f>
        <v>-1861</v>
      </c>
      <c r="AH80" s="34">
        <f>SUM(R80:U80)</f>
        <v>0</v>
      </c>
      <c r="AI80" s="34">
        <f>SUM(S80:V80)</f>
        <v>0</v>
      </c>
      <c r="AJ80" s="34">
        <f>SUM(T80:W80)</f>
        <v>0</v>
      </c>
      <c r="AK80" s="34">
        <f>SUM(U80:X80)</f>
        <v>0</v>
      </c>
      <c r="AL80" s="34">
        <f>SUM(V80:Y80)</f>
        <v>0</v>
      </c>
      <c r="AM80" s="34">
        <f>SUM(W80:Z80)</f>
        <v>0</v>
      </c>
      <c r="AN80" s="34">
        <f>SUM(X80:AA80)</f>
        <v>0</v>
      </c>
      <c r="AO80" s="34">
        <f>SUM(Y80:AB80)</f>
        <v>0</v>
      </c>
      <c r="AP80" s="34">
        <f>SUM(Z80:AC80)</f>
        <v>0</v>
      </c>
      <c r="AQ80" s="12"/>
      <c r="AR80" s="87" t="e">
        <f t="shared" si="203"/>
        <v>#DIV/0!</v>
      </c>
    </row>
    <row r="81" spans="2:44" ht="12.75" customHeight="1">
      <c r="B81" s="66" t="s">
        <v>95</v>
      </c>
      <c r="C81" s="96">
        <v>0</v>
      </c>
      <c r="D81" s="96">
        <v>-166</v>
      </c>
      <c r="E81" s="96">
        <v>-444</v>
      </c>
      <c r="F81" s="96">
        <v>-652</v>
      </c>
      <c r="G81" s="96">
        <v>-97</v>
      </c>
      <c r="H81" s="96">
        <v>-147</v>
      </c>
      <c r="I81" s="96">
        <v>111</v>
      </c>
      <c r="J81" s="96">
        <v>-2227</v>
      </c>
      <c r="K81" s="96">
        <v>-2266</v>
      </c>
      <c r="L81" s="96">
        <v>-89</v>
      </c>
      <c r="M81" s="34"/>
      <c r="N81" s="96">
        <v>167</v>
      </c>
      <c r="O81" s="96">
        <f>-20-N81</f>
        <v>-187</v>
      </c>
      <c r="P81" s="96">
        <f>-61-SUM(N81:O81)</f>
        <v>-41</v>
      </c>
      <c r="Q81" s="34">
        <f t="shared" si="199"/>
        <v>172</v>
      </c>
      <c r="R81" s="96">
        <v>-317</v>
      </c>
      <c r="S81" s="96">
        <f>-1732-R81</f>
        <v>-1415</v>
      </c>
      <c r="T81" s="96">
        <v>81</v>
      </c>
      <c r="U81" s="34">
        <f t="shared" si="200"/>
        <v>-576</v>
      </c>
      <c r="V81" s="96">
        <v>-989</v>
      </c>
      <c r="W81" s="96">
        <f>-1971-V81</f>
        <v>-982</v>
      </c>
      <c r="X81" s="96">
        <f>-1964-W81-V81</f>
        <v>7</v>
      </c>
      <c r="Y81" s="34">
        <f t="shared" si="201"/>
        <v>-302</v>
      </c>
      <c r="Z81" s="96">
        <v>-2009</v>
      </c>
      <c r="AA81" s="96">
        <f>-2217-Z81</f>
        <v>-208</v>
      </c>
      <c r="AB81" s="96">
        <f>-1748-AA81-Z81</f>
        <v>469</v>
      </c>
      <c r="AC81" s="34">
        <f t="shared" si="202"/>
        <v>1659</v>
      </c>
      <c r="AE81" s="34">
        <f>SUM(O81:R81)</f>
        <v>-373</v>
      </c>
      <c r="AF81" s="34">
        <f>SUM(P81:S81)</f>
        <v>-1601</v>
      </c>
      <c r="AG81" s="34">
        <f>SUM(Q81:T81)</f>
        <v>-1479</v>
      </c>
      <c r="AH81" s="34">
        <f>SUM(R81:U81)</f>
        <v>-2227</v>
      </c>
      <c r="AI81" s="34">
        <f>SUM(S81:V81)</f>
        <v>-2899</v>
      </c>
      <c r="AJ81" s="34">
        <f>SUM(T81:W81)</f>
        <v>-2466</v>
      </c>
      <c r="AK81" s="34">
        <f>SUM(U81:X81)</f>
        <v>-2540</v>
      </c>
      <c r="AL81" s="34">
        <f>SUM(V81:Y81)</f>
        <v>-2266</v>
      </c>
      <c r="AM81" s="34">
        <f>SUM(W81:Z81)</f>
        <v>-3286</v>
      </c>
      <c r="AN81" s="34">
        <f>SUM(X81:AA81)</f>
        <v>-2512</v>
      </c>
      <c r="AO81" s="34">
        <f>SUM(Y81:AB81)</f>
        <v>-2050</v>
      </c>
      <c r="AP81" s="34">
        <f>SUM(Z81:AC81)</f>
        <v>-89</v>
      </c>
      <c r="AQ81" s="12"/>
      <c r="AR81" s="87">
        <f t="shared" si="203"/>
        <v>-0.9607237422771403</v>
      </c>
    </row>
    <row r="82" spans="2:44" ht="5.0999999999999996" customHeight="1">
      <c r="B82" s="8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34"/>
      <c r="N82" s="96"/>
      <c r="O82" s="34"/>
      <c r="P82" s="34"/>
      <c r="Q82" s="34"/>
      <c r="R82" s="96"/>
      <c r="S82" s="34"/>
      <c r="T82" s="34"/>
      <c r="U82" s="34"/>
      <c r="V82" s="96"/>
      <c r="W82" s="34"/>
      <c r="X82" s="34"/>
      <c r="Y82" s="34"/>
      <c r="Z82" s="96"/>
      <c r="AA82" s="34"/>
      <c r="AB82" s="34"/>
      <c r="AC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12"/>
      <c r="AR82" s="87"/>
    </row>
    <row r="83" spans="2:44" ht="12.75" customHeight="1">
      <c r="B83" s="39" t="s">
        <v>18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34"/>
      <c r="N83" s="96"/>
      <c r="O83" s="34"/>
      <c r="P83" s="34"/>
      <c r="Q83" s="34"/>
      <c r="R83" s="96"/>
      <c r="S83" s="34"/>
      <c r="T83" s="34"/>
      <c r="U83" s="34"/>
      <c r="V83" s="96"/>
      <c r="W83" s="34"/>
      <c r="X83" s="34"/>
      <c r="Y83" s="34"/>
      <c r="Z83" s="96"/>
      <c r="AA83" s="34"/>
      <c r="AB83" s="34"/>
      <c r="AC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65"/>
      <c r="AR83" s="87"/>
    </row>
    <row r="84" spans="2:44" ht="12.75" customHeight="1">
      <c r="B84" s="66" t="s">
        <v>65</v>
      </c>
      <c r="C84" s="96">
        <v>1095</v>
      </c>
      <c r="D84" s="96">
        <v>-2093</v>
      </c>
      <c r="E84" s="96">
        <v>-5322</v>
      </c>
      <c r="F84" s="96">
        <v>245</v>
      </c>
      <c r="G84" s="96">
        <v>6917</v>
      </c>
      <c r="H84" s="96">
        <v>-10125</v>
      </c>
      <c r="I84" s="96">
        <v>-1823</v>
      </c>
      <c r="J84" s="96">
        <v>-1688</v>
      </c>
      <c r="K84" s="96">
        <v>-3788</v>
      </c>
      <c r="L84" s="96">
        <v>-6682</v>
      </c>
      <c r="M84" s="34"/>
      <c r="N84" s="96">
        <v>-3934</v>
      </c>
      <c r="O84" s="96">
        <f>5542-N84</f>
        <v>9476</v>
      </c>
      <c r="P84" s="96">
        <f>4561-SUM(N84:O84)</f>
        <v>-981</v>
      </c>
      <c r="Q84" s="34">
        <f t="shared" ref="Q84:Q89" si="207">SUM(I84-SUM(N84:P84))</f>
        <v>-6384</v>
      </c>
      <c r="R84" s="96">
        <v>4275</v>
      </c>
      <c r="S84" s="96">
        <f>9596-R84</f>
        <v>5321</v>
      </c>
      <c r="T84" s="96">
        <v>-1987</v>
      </c>
      <c r="U84" s="34">
        <f t="shared" ref="U84:U89" si="208">SUM(J84-SUM(R84:T84))</f>
        <v>-9297</v>
      </c>
      <c r="V84" s="96">
        <v>6555</v>
      </c>
      <c r="W84" s="96">
        <f>7727-V84</f>
        <v>1172</v>
      </c>
      <c r="X84" s="96">
        <f>6697-W84-V84</f>
        <v>-1030</v>
      </c>
      <c r="Y84" s="34">
        <f t="shared" ref="Y84:Y89" si="209">SUM(K84-SUM(V84:X84))</f>
        <v>-10485</v>
      </c>
      <c r="Z84" s="96">
        <v>3597</v>
      </c>
      <c r="AA84" s="96">
        <f>7266-Z84</f>
        <v>3669</v>
      </c>
      <c r="AB84" s="96">
        <f>5685-AA84-Z84</f>
        <v>-1581</v>
      </c>
      <c r="AC84" s="34">
        <f t="shared" ref="AC84:AC89" si="210">SUM(L84-SUM(Z84:AB84))</f>
        <v>-12367</v>
      </c>
      <c r="AE84" s="34">
        <f>SUM(O84:R84)</f>
        <v>6386</v>
      </c>
      <c r="AF84" s="34">
        <f>SUM(P84:S84)</f>
        <v>2231</v>
      </c>
      <c r="AG84" s="34">
        <f>SUM(Q84:T84)</f>
        <v>1225</v>
      </c>
      <c r="AH84" s="34">
        <f>SUM(R84:U84)</f>
        <v>-1688</v>
      </c>
      <c r="AI84" s="34">
        <f>SUM(S84:V84)</f>
        <v>592</v>
      </c>
      <c r="AJ84" s="34">
        <f>SUM(T84:W84)</f>
        <v>-3557</v>
      </c>
      <c r="AK84" s="34">
        <f>SUM(U84:X84)</f>
        <v>-2600</v>
      </c>
      <c r="AL84" s="34">
        <f>SUM(V84:Y84)</f>
        <v>-3788</v>
      </c>
      <c r="AM84" s="34">
        <f>SUM(W84:Z84)</f>
        <v>-6746</v>
      </c>
      <c r="AN84" s="34">
        <f>SUM(X84:AA84)</f>
        <v>-4249</v>
      </c>
      <c r="AO84" s="34">
        <f>SUM(Y84:AB84)</f>
        <v>-4800</v>
      </c>
      <c r="AP84" s="34">
        <f>SUM(Z84:AC84)</f>
        <v>-6682</v>
      </c>
      <c r="AQ84" s="65"/>
      <c r="AR84" s="87">
        <f t="shared" ref="AR84:AR90" si="211">SUM(AP84/AL84)-1</f>
        <v>0.76399155227032733</v>
      </c>
    </row>
    <row r="85" spans="2:44" ht="12.75" customHeight="1">
      <c r="B85" s="66" t="s">
        <v>98</v>
      </c>
      <c r="C85" s="96">
        <v>217</v>
      </c>
      <c r="D85" s="96">
        <v>-2723</v>
      </c>
      <c r="E85" s="96">
        <v>828</v>
      </c>
      <c r="F85" s="96">
        <v>-289</v>
      </c>
      <c r="G85" s="96">
        <v>-127</v>
      </c>
      <c r="H85" s="96">
        <v>-2642</v>
      </c>
      <c r="I85" s="96">
        <v>1484</v>
      </c>
      <c r="J85" s="96">
        <v>-1618</v>
      </c>
      <c r="K85" s="96">
        <v>-1046</v>
      </c>
      <c r="L85" s="96">
        <v>-9197</v>
      </c>
      <c r="M85" s="34"/>
      <c r="N85" s="96">
        <v>681</v>
      </c>
      <c r="O85" s="96">
        <f>1065-N85</f>
        <v>384</v>
      </c>
      <c r="P85" s="96">
        <f>1049-SUM(N85:O85)</f>
        <v>-16</v>
      </c>
      <c r="Q85" s="34">
        <f t="shared" si="207"/>
        <v>435</v>
      </c>
      <c r="R85" s="96">
        <v>-1807</v>
      </c>
      <c r="S85" s="96">
        <f>-2548-R85</f>
        <v>-741</v>
      </c>
      <c r="T85" s="96">
        <v>-22</v>
      </c>
      <c r="U85" s="34">
        <f t="shared" si="208"/>
        <v>952</v>
      </c>
      <c r="V85" s="96">
        <v>-137</v>
      </c>
      <c r="W85" s="96">
        <f>53-V85</f>
        <v>190</v>
      </c>
      <c r="X85" s="96">
        <f>41-W85-V85</f>
        <v>-12</v>
      </c>
      <c r="Y85" s="34">
        <f t="shared" si="209"/>
        <v>-1087</v>
      </c>
      <c r="Z85" s="96">
        <v>215</v>
      </c>
      <c r="AA85" s="96">
        <f>858-Z85</f>
        <v>643</v>
      </c>
      <c r="AB85" s="96">
        <f>1223-AA85-Z85</f>
        <v>365</v>
      </c>
      <c r="AC85" s="34">
        <f t="shared" si="210"/>
        <v>-10420</v>
      </c>
      <c r="AE85" s="34">
        <f>SUM(O85:R85)</f>
        <v>-1004</v>
      </c>
      <c r="AF85" s="34">
        <f>SUM(P85:S85)</f>
        <v>-2129</v>
      </c>
      <c r="AG85" s="34">
        <f>SUM(Q85:T85)</f>
        <v>-2135</v>
      </c>
      <c r="AH85" s="34">
        <f>SUM(R85:U85)</f>
        <v>-1618</v>
      </c>
      <c r="AI85" s="34">
        <f>SUM(S85:V85)</f>
        <v>52</v>
      </c>
      <c r="AJ85" s="34">
        <f>SUM(T85:W85)</f>
        <v>983</v>
      </c>
      <c r="AK85" s="34">
        <f>SUM(U85:X85)</f>
        <v>993</v>
      </c>
      <c r="AL85" s="34">
        <f>SUM(V85:Y85)</f>
        <v>-1046</v>
      </c>
      <c r="AM85" s="34">
        <f>SUM(W85:Z85)</f>
        <v>-694</v>
      </c>
      <c r="AN85" s="34">
        <f>SUM(X85:AA85)</f>
        <v>-241</v>
      </c>
      <c r="AO85" s="34">
        <f>SUM(Y85:AB85)</f>
        <v>136</v>
      </c>
      <c r="AP85" s="34">
        <f>SUM(Z85:AC85)</f>
        <v>-9197</v>
      </c>
      <c r="AQ85" s="65"/>
      <c r="AR85" s="87">
        <f t="shared" si="211"/>
        <v>7.792543021032504</v>
      </c>
    </row>
    <row r="86" spans="2:44" ht="12.75" customHeight="1">
      <c r="B86" s="66" t="s">
        <v>554</v>
      </c>
      <c r="C86" s="96">
        <v>1039</v>
      </c>
      <c r="D86" s="96">
        <v>-9572</v>
      </c>
      <c r="E86" s="96">
        <v>-8433</v>
      </c>
      <c r="F86" s="96">
        <v>3804</v>
      </c>
      <c r="G86" s="96">
        <v>-8035</v>
      </c>
      <c r="H86" s="96">
        <v>-11945</v>
      </c>
      <c r="I86" s="96">
        <v>-14019</v>
      </c>
      <c r="J86" s="96">
        <v>-4413</v>
      </c>
      <c r="K86" s="96">
        <v>-13087</v>
      </c>
      <c r="L86" s="96">
        <v>1400</v>
      </c>
      <c r="M86" s="34"/>
      <c r="N86" s="96">
        <f>-9812-4921</f>
        <v>-14733</v>
      </c>
      <c r="O86" s="96">
        <f>643-3542-N86</f>
        <v>11834</v>
      </c>
      <c r="P86" s="96">
        <f>4789-3289-SUM(N86:O86)</f>
        <v>4399</v>
      </c>
      <c r="Q86" s="34">
        <f t="shared" si="207"/>
        <v>-15519</v>
      </c>
      <c r="R86" s="96">
        <f>-4099+2320</f>
        <v>-1779</v>
      </c>
      <c r="S86" s="96">
        <f>14785-4092-R86</f>
        <v>12472</v>
      </c>
      <c r="T86" s="96">
        <v>-2445</v>
      </c>
      <c r="U86" s="34">
        <f t="shared" si="208"/>
        <v>-12661</v>
      </c>
      <c r="V86" s="96">
        <f>4569-1457</f>
        <v>3112</v>
      </c>
      <c r="W86" s="96">
        <f>12161-4438-V86</f>
        <v>4611</v>
      </c>
      <c r="X86" s="96">
        <f>11100-5626-W86-V86</f>
        <v>-2249</v>
      </c>
      <c r="Y86" s="34">
        <f t="shared" si="209"/>
        <v>-18561</v>
      </c>
      <c r="Z86" s="96">
        <v>4105</v>
      </c>
      <c r="AA86" s="96">
        <f>9171+-4371-Z86</f>
        <v>695</v>
      </c>
      <c r="AB86" s="96">
        <f>13555+-6116-AA86-Z86</f>
        <v>2639</v>
      </c>
      <c r="AC86" s="34">
        <f t="shared" si="210"/>
        <v>-6039</v>
      </c>
      <c r="AE86" s="34">
        <f>SUM(O86:R86)</f>
        <v>-1065</v>
      </c>
      <c r="AF86" s="34">
        <f>SUM(P86:S86)</f>
        <v>-427</v>
      </c>
      <c r="AG86" s="34">
        <f>SUM(Q86:T86)</f>
        <v>-7271</v>
      </c>
      <c r="AH86" s="34">
        <f>SUM(R86:U86)</f>
        <v>-4413</v>
      </c>
      <c r="AI86" s="34">
        <f>SUM(S86:V86)</f>
        <v>478</v>
      </c>
      <c r="AJ86" s="34">
        <f>SUM(T86:W86)</f>
        <v>-7383</v>
      </c>
      <c r="AK86" s="34">
        <f>SUM(U86:X86)</f>
        <v>-7187</v>
      </c>
      <c r="AL86" s="34">
        <f>SUM(V86:Y86)</f>
        <v>-13087</v>
      </c>
      <c r="AM86" s="34">
        <f>SUM(W86:Z86)</f>
        <v>-12094</v>
      </c>
      <c r="AN86" s="34">
        <f>SUM(X86:AA86)</f>
        <v>-16010</v>
      </c>
      <c r="AO86" s="34">
        <f>SUM(Y86:AB86)</f>
        <v>-11122</v>
      </c>
      <c r="AP86" s="34">
        <f>SUM(Z86:AC86)</f>
        <v>1400</v>
      </c>
      <c r="AQ86" s="65"/>
      <c r="AR86" s="87">
        <f t="shared" si="211"/>
        <v>-1.1069763887827615</v>
      </c>
    </row>
    <row r="87" spans="2:44" ht="12.75" customHeight="1">
      <c r="B87" s="66" t="s">
        <v>66</v>
      </c>
      <c r="C87" s="96">
        <v>1791</v>
      </c>
      <c r="D87" s="96">
        <v>9618</v>
      </c>
      <c r="E87" s="96">
        <v>9175</v>
      </c>
      <c r="F87" s="96">
        <v>-1923</v>
      </c>
      <c r="G87" s="96">
        <v>-4062</v>
      </c>
      <c r="H87" s="96">
        <v>12326</v>
      </c>
      <c r="I87" s="96">
        <v>9448</v>
      </c>
      <c r="J87" s="96">
        <v>-1889</v>
      </c>
      <c r="K87" s="96">
        <v>6020</v>
      </c>
      <c r="L87" s="96">
        <v>902</v>
      </c>
      <c r="M87" s="34"/>
      <c r="N87" s="96">
        <v>19813</v>
      </c>
      <c r="O87" s="96">
        <f>-1750-N87</f>
        <v>-21563</v>
      </c>
      <c r="P87" s="96">
        <f>-6108-SUM(N87:O87)</f>
        <v>-4358</v>
      </c>
      <c r="Q87" s="34">
        <f t="shared" si="207"/>
        <v>15556</v>
      </c>
      <c r="R87" s="96">
        <v>-6075</v>
      </c>
      <c r="S87" s="96">
        <f>-20764-R87</f>
        <v>-14689</v>
      </c>
      <c r="T87" s="96">
        <v>3974</v>
      </c>
      <c r="U87" s="34">
        <f t="shared" si="208"/>
        <v>14901</v>
      </c>
      <c r="V87" s="96">
        <v>-4542</v>
      </c>
      <c r="W87" s="96">
        <f>-16710-V87</f>
        <v>-12168</v>
      </c>
      <c r="X87" s="96">
        <f>-15171-W87-V87</f>
        <v>1539</v>
      </c>
      <c r="Y87" s="34">
        <f t="shared" si="209"/>
        <v>21191</v>
      </c>
      <c r="Z87" s="96">
        <v>-6671</v>
      </c>
      <c r="AA87" s="96">
        <f>-14604-Z87</f>
        <v>-7933</v>
      </c>
      <c r="AB87" s="96">
        <f>-18479-AA87-Z87</f>
        <v>-3875</v>
      </c>
      <c r="AC87" s="34">
        <f t="shared" si="210"/>
        <v>19381</v>
      </c>
      <c r="AE87" s="34">
        <f>SUM(O87:R87)</f>
        <v>-16440</v>
      </c>
      <c r="AF87" s="34">
        <f>SUM(P87:S87)</f>
        <v>-9566</v>
      </c>
      <c r="AG87" s="34">
        <f>SUM(Q87:T87)</f>
        <v>-1234</v>
      </c>
      <c r="AH87" s="34">
        <f>SUM(R87:U87)</f>
        <v>-1889</v>
      </c>
      <c r="AI87" s="34">
        <f>SUM(S87:V87)</f>
        <v>-356</v>
      </c>
      <c r="AJ87" s="34">
        <f>SUM(T87:W87)</f>
        <v>2165</v>
      </c>
      <c r="AK87" s="34">
        <f>SUM(U87:X87)</f>
        <v>-270</v>
      </c>
      <c r="AL87" s="34">
        <f>SUM(V87:Y87)</f>
        <v>6020</v>
      </c>
      <c r="AM87" s="34">
        <f>SUM(W87:Z87)</f>
        <v>3891</v>
      </c>
      <c r="AN87" s="34">
        <f>SUM(X87:AA87)</f>
        <v>8126</v>
      </c>
      <c r="AO87" s="34">
        <f>SUM(Y87:AB87)</f>
        <v>2712</v>
      </c>
      <c r="AP87" s="34">
        <f>SUM(Z87:AC87)</f>
        <v>902</v>
      </c>
      <c r="AQ87" s="65"/>
      <c r="AR87" s="87">
        <f t="shared" si="211"/>
        <v>-0.85016611295681066</v>
      </c>
    </row>
    <row r="88" spans="2:44" ht="12.75" customHeight="1">
      <c r="B88" s="66" t="s">
        <v>235</v>
      </c>
      <c r="C88" s="96">
        <v>-1554</v>
      </c>
      <c r="D88" s="96">
        <v>-626</v>
      </c>
      <c r="E88" s="96">
        <v>-44</v>
      </c>
      <c r="F88" s="96">
        <v>-625</v>
      </c>
      <c r="G88" s="96">
        <v>2081</v>
      </c>
      <c r="H88" s="96">
        <v>1676</v>
      </c>
      <c r="I88" s="96">
        <v>478</v>
      </c>
      <c r="J88" s="96">
        <v>0</v>
      </c>
      <c r="K88" s="96">
        <v>0</v>
      </c>
      <c r="L88" s="96">
        <v>0</v>
      </c>
      <c r="M88" s="34"/>
      <c r="N88" s="96">
        <v>462</v>
      </c>
      <c r="O88" s="96">
        <f>627-N88</f>
        <v>165</v>
      </c>
      <c r="P88" s="96">
        <f>260-SUM(N88:O88)</f>
        <v>-367</v>
      </c>
      <c r="Q88" s="34">
        <f t="shared" si="207"/>
        <v>218</v>
      </c>
      <c r="R88" s="96">
        <v>131</v>
      </c>
      <c r="S88" s="96">
        <f>0-R88</f>
        <v>-131</v>
      </c>
      <c r="T88" s="96">
        <v>0</v>
      </c>
      <c r="U88" s="34">
        <f t="shared" si="208"/>
        <v>0</v>
      </c>
      <c r="V88" s="96">
        <v>0</v>
      </c>
      <c r="W88" s="96">
        <v>0</v>
      </c>
      <c r="X88" s="96">
        <v>0</v>
      </c>
      <c r="Y88" s="34">
        <f t="shared" si="209"/>
        <v>0</v>
      </c>
      <c r="Z88" s="96">
        <v>0</v>
      </c>
      <c r="AA88" s="96">
        <v>0</v>
      </c>
      <c r="AB88" s="96">
        <v>0</v>
      </c>
      <c r="AC88" s="34">
        <f t="shared" si="210"/>
        <v>0</v>
      </c>
      <c r="AE88" s="34">
        <f>SUM(O88:R88)</f>
        <v>147</v>
      </c>
      <c r="AF88" s="34">
        <f>SUM(P88:S88)</f>
        <v>-149</v>
      </c>
      <c r="AG88" s="34">
        <f>SUM(Q88:T88)</f>
        <v>218</v>
      </c>
      <c r="AH88" s="34">
        <f>SUM(R88:U88)</f>
        <v>0</v>
      </c>
      <c r="AI88" s="34">
        <f>SUM(S88:V88)</f>
        <v>-131</v>
      </c>
      <c r="AJ88" s="34">
        <f>SUM(T88:W88)</f>
        <v>0</v>
      </c>
      <c r="AK88" s="34">
        <f>SUM(U88:X88)</f>
        <v>0</v>
      </c>
      <c r="AL88" s="34">
        <f>SUM(V88:Y88)</f>
        <v>0</v>
      </c>
      <c r="AM88" s="34">
        <f>SUM(W88:Z88)</f>
        <v>0</v>
      </c>
      <c r="AN88" s="34">
        <f>SUM(X88:AA88)</f>
        <v>0</v>
      </c>
      <c r="AO88" s="34">
        <f>SUM(Y88:AB88)</f>
        <v>0</v>
      </c>
      <c r="AP88" s="34">
        <f>SUM(Z88:AC88)</f>
        <v>0</v>
      </c>
      <c r="AQ88" s="65"/>
      <c r="AR88" s="87" t="e">
        <f t="shared" si="211"/>
        <v>#DIV/0!</v>
      </c>
    </row>
    <row r="89" spans="2:44" ht="12.75" customHeight="1">
      <c r="B89" s="66" t="s">
        <v>236</v>
      </c>
      <c r="C89" s="96">
        <v>-2104</v>
      </c>
      <c r="D89" s="96">
        <v>-154</v>
      </c>
      <c r="E89" s="96">
        <v>38490</v>
      </c>
      <c r="F89" s="96">
        <v>-4700</v>
      </c>
      <c r="G89" s="96">
        <v>8916</v>
      </c>
      <c r="H89" s="96">
        <v>5799</v>
      </c>
      <c r="I89" s="96">
        <v>5632</v>
      </c>
      <c r="J89" s="96">
        <v>3031</v>
      </c>
      <c r="K89" s="96">
        <v>15552</v>
      </c>
      <c r="L89" s="96">
        <f>-347-11076</f>
        <v>-11423</v>
      </c>
      <c r="M89" s="34"/>
      <c r="N89" s="96">
        <v>4236</v>
      </c>
      <c r="O89" s="96">
        <f>1888-N89</f>
        <v>-2348</v>
      </c>
      <c r="P89" s="96">
        <f>-14-SUM(N89:O89)</f>
        <v>-1902</v>
      </c>
      <c r="Q89" s="34">
        <f t="shared" si="207"/>
        <v>5646</v>
      </c>
      <c r="R89" s="96">
        <v>3758</v>
      </c>
      <c r="S89" s="96">
        <f>1757-R89</f>
        <v>-2001</v>
      </c>
      <c r="T89" s="96">
        <v>1229</v>
      </c>
      <c r="U89" s="34">
        <f t="shared" si="208"/>
        <v>45</v>
      </c>
      <c r="V89" s="96">
        <v>-3865</v>
      </c>
      <c r="W89" s="96">
        <f>-3437-V89</f>
        <v>428</v>
      </c>
      <c r="X89" s="96">
        <f>2-W89-V89</f>
        <v>3439</v>
      </c>
      <c r="Y89" s="34">
        <f t="shared" si="209"/>
        <v>15550</v>
      </c>
      <c r="Z89" s="96">
        <v>-11998</v>
      </c>
      <c r="AA89" s="96">
        <f>-15579-Z89</f>
        <v>-3581</v>
      </c>
      <c r="AB89" s="96">
        <f>-15161-AA89-Z89</f>
        <v>418</v>
      </c>
      <c r="AC89" s="34">
        <f t="shared" si="210"/>
        <v>3738</v>
      </c>
      <c r="AE89" s="34">
        <f>SUM(O89:R89)</f>
        <v>5154</v>
      </c>
      <c r="AF89" s="34">
        <f>SUM(P89:S89)</f>
        <v>5501</v>
      </c>
      <c r="AG89" s="34">
        <f>SUM(Q89:T89)</f>
        <v>8632</v>
      </c>
      <c r="AH89" s="34">
        <f>SUM(R89:U89)</f>
        <v>3031</v>
      </c>
      <c r="AI89" s="34">
        <f>SUM(S89:V89)</f>
        <v>-4592</v>
      </c>
      <c r="AJ89" s="34">
        <f>SUM(T89:W89)</f>
        <v>-2163</v>
      </c>
      <c r="AK89" s="34">
        <f>SUM(U89:X89)</f>
        <v>47</v>
      </c>
      <c r="AL89" s="34">
        <f>SUM(V89:Y89)</f>
        <v>15552</v>
      </c>
      <c r="AM89" s="34">
        <f>SUM(W89:Z89)</f>
        <v>7419</v>
      </c>
      <c r="AN89" s="34">
        <f>SUM(X89:AA89)</f>
        <v>3410</v>
      </c>
      <c r="AO89" s="34">
        <f>SUM(Y89:AB89)</f>
        <v>389</v>
      </c>
      <c r="AP89" s="34">
        <f>SUM(Z89:AC89)</f>
        <v>-11423</v>
      </c>
      <c r="AQ89" s="65"/>
      <c r="AR89" s="87">
        <f t="shared" si="211"/>
        <v>-1.7345036008230452</v>
      </c>
    </row>
    <row r="90" spans="2:44" ht="12.75" customHeight="1">
      <c r="B90" s="14" t="s">
        <v>87</v>
      </c>
      <c r="C90" s="15">
        <f t="shared" ref="C90:L90" si="212">SUM(C75:C89)</f>
        <v>65824</v>
      </c>
      <c r="D90" s="15">
        <f t="shared" si="212"/>
        <v>63598</v>
      </c>
      <c r="E90" s="15">
        <f t="shared" si="212"/>
        <v>77434</v>
      </c>
      <c r="F90" s="15">
        <f t="shared" si="212"/>
        <v>69391</v>
      </c>
      <c r="G90" s="15">
        <f t="shared" si="212"/>
        <v>80674</v>
      </c>
      <c r="H90" s="15">
        <f t="shared" si="212"/>
        <v>104038</v>
      </c>
      <c r="I90" s="15">
        <f t="shared" si="212"/>
        <v>122151</v>
      </c>
      <c r="J90" s="15">
        <f t="shared" si="212"/>
        <v>110543</v>
      </c>
      <c r="K90" s="15">
        <f t="shared" si="212"/>
        <v>118254</v>
      </c>
      <c r="L90" s="15">
        <f t="shared" ref="L90" si="213">SUM(L75:L89)</f>
        <v>111482</v>
      </c>
      <c r="N90" s="15">
        <f t="shared" ref="N90:AC90" si="214">SUM(N75:N89)</f>
        <v>46966</v>
      </c>
      <c r="O90" s="15">
        <f t="shared" si="214"/>
        <v>28166</v>
      </c>
      <c r="P90" s="15">
        <f t="shared" si="214"/>
        <v>22892</v>
      </c>
      <c r="Q90" s="15">
        <f t="shared" si="214"/>
        <v>24127</v>
      </c>
      <c r="R90" s="15">
        <f t="shared" si="214"/>
        <v>34005</v>
      </c>
      <c r="S90" s="15">
        <f t="shared" si="214"/>
        <v>28560</v>
      </c>
      <c r="T90" s="15">
        <f t="shared" si="214"/>
        <v>26380</v>
      </c>
      <c r="U90" s="15">
        <f t="shared" si="214"/>
        <v>21598</v>
      </c>
      <c r="V90" s="15">
        <f t="shared" si="214"/>
        <v>39895</v>
      </c>
      <c r="W90" s="15">
        <f t="shared" si="214"/>
        <v>22690</v>
      </c>
      <c r="X90" s="15">
        <f t="shared" si="214"/>
        <v>28858</v>
      </c>
      <c r="Y90" s="15">
        <f t="shared" si="214"/>
        <v>26811</v>
      </c>
      <c r="Z90" s="15">
        <f t="shared" si="214"/>
        <v>29935</v>
      </c>
      <c r="AA90" s="15">
        <f t="shared" si="214"/>
        <v>23952</v>
      </c>
      <c r="AB90" s="15">
        <f t="shared" si="214"/>
        <v>27867</v>
      </c>
      <c r="AC90" s="15">
        <f t="shared" si="214"/>
        <v>29728</v>
      </c>
      <c r="AE90" s="15">
        <f t="shared" ref="AE90:AO90" si="215">SUM(AE75:AE89)</f>
        <v>109190</v>
      </c>
      <c r="AF90" s="15">
        <f t="shared" si="215"/>
        <v>109584</v>
      </c>
      <c r="AG90" s="15">
        <f t="shared" si="215"/>
        <v>113072</v>
      </c>
      <c r="AH90" s="15">
        <f t="shared" si="215"/>
        <v>110543</v>
      </c>
      <c r="AI90" s="15">
        <f t="shared" si="215"/>
        <v>116433</v>
      </c>
      <c r="AJ90" s="15">
        <f t="shared" si="215"/>
        <v>110563</v>
      </c>
      <c r="AK90" s="15">
        <f t="shared" si="215"/>
        <v>113041</v>
      </c>
      <c r="AL90" s="15">
        <f t="shared" si="215"/>
        <v>118254</v>
      </c>
      <c r="AM90" s="15">
        <f t="shared" si="215"/>
        <v>108294</v>
      </c>
      <c r="AN90" s="15">
        <f t="shared" si="215"/>
        <v>109556</v>
      </c>
      <c r="AO90" s="15">
        <f t="shared" si="215"/>
        <v>108565</v>
      </c>
      <c r="AP90" s="15">
        <f t="shared" ref="AP90" si="216">SUM(AP75:AP89)</f>
        <v>111482</v>
      </c>
      <c r="AQ90" s="45"/>
      <c r="AR90" s="88">
        <f t="shared" si="211"/>
        <v>-5.7266561807634453E-2</v>
      </c>
    </row>
    <row r="91" spans="2:44" ht="12.75" customHeight="1">
      <c r="B91" s="59"/>
      <c r="C91" s="67"/>
      <c r="D91" s="67"/>
      <c r="E91" s="67"/>
      <c r="F91" s="67"/>
      <c r="G91" s="67"/>
      <c r="H91" s="67"/>
      <c r="I91" s="67"/>
      <c r="J91" s="67"/>
      <c r="K91" s="67"/>
      <c r="L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2"/>
    </row>
    <row r="92" spans="2:44" ht="12.75" customHeight="1">
      <c r="B92" s="59" t="s">
        <v>88</v>
      </c>
      <c r="C92" s="64"/>
      <c r="D92" s="64"/>
      <c r="E92" s="64"/>
      <c r="F92" s="64"/>
      <c r="G92" s="64"/>
      <c r="H92" s="64"/>
      <c r="I92" s="64"/>
      <c r="J92" s="64"/>
      <c r="K92" s="64"/>
      <c r="L92" s="64"/>
      <c r="N92" s="64"/>
      <c r="O92" s="64"/>
      <c r="P92" s="68"/>
      <c r="Q92" s="64"/>
      <c r="R92" s="64"/>
      <c r="S92" s="64"/>
      <c r="T92" s="68"/>
      <c r="U92" s="64"/>
      <c r="V92" s="64"/>
      <c r="W92" s="64"/>
      <c r="X92" s="64"/>
      <c r="Y92" s="64"/>
      <c r="Z92" s="64"/>
      <c r="AA92" s="64"/>
      <c r="AB92" s="64"/>
      <c r="AC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5"/>
      <c r="AR92" s="42"/>
    </row>
    <row r="93" spans="2:44" ht="12.75" customHeight="1">
      <c r="B93" s="66" t="s">
        <v>237</v>
      </c>
      <c r="C93" s="96">
        <v>-12734</v>
      </c>
      <c r="D93" s="96">
        <v>-12451</v>
      </c>
      <c r="E93" s="96">
        <v>-13313</v>
      </c>
      <c r="F93" s="96">
        <v>-10495</v>
      </c>
      <c r="G93" s="96">
        <v>-7309</v>
      </c>
      <c r="H93" s="96">
        <v>-11085</v>
      </c>
      <c r="I93" s="96">
        <v>-10708</v>
      </c>
      <c r="J93" s="96">
        <v>-10959</v>
      </c>
      <c r="K93" s="96">
        <v>-9447</v>
      </c>
      <c r="L93" s="96">
        <v>-12715</v>
      </c>
      <c r="M93" s="34"/>
      <c r="N93" s="96">
        <v>-2803</v>
      </c>
      <c r="O93" s="96">
        <f>-5317-N93</f>
        <v>-2514</v>
      </c>
      <c r="P93" s="96">
        <f>-7419-SUM(N93:O93)</f>
        <v>-2102</v>
      </c>
      <c r="Q93" s="34">
        <f t="shared" ref="Q93:Q97" si="217">SUM(I93-SUM(N93:P93))</f>
        <v>-3289</v>
      </c>
      <c r="R93" s="96">
        <v>-3787</v>
      </c>
      <c r="S93" s="96">
        <f>-6703-R93</f>
        <v>-2916</v>
      </c>
      <c r="T93" s="96">
        <v>-2093</v>
      </c>
      <c r="U93" s="34">
        <f t="shared" ref="U93:U97" si="218">SUM(J93-SUM(R93:T93))</f>
        <v>-2163</v>
      </c>
      <c r="V93" s="96">
        <v>-2392</v>
      </c>
      <c r="W93" s="96">
        <f>-4388-V93</f>
        <v>-1996</v>
      </c>
      <c r="X93" s="96">
        <f>-6539-W93-V93</f>
        <v>-2151</v>
      </c>
      <c r="Y93" s="34">
        <f t="shared" ref="Y93:Y97" si="219">SUM(K93-SUM(V93:X93))</f>
        <v>-2908</v>
      </c>
      <c r="Z93" s="96">
        <v>-2940</v>
      </c>
      <c r="AA93" s="96">
        <f>-6011-Z93</f>
        <v>-3071</v>
      </c>
      <c r="AB93" s="96">
        <f>-9473-AA93-Z93</f>
        <v>-3462</v>
      </c>
      <c r="AC93" s="34">
        <f t="shared" ref="AC93:AC97" si="220">SUM(L93-SUM(Z93:AB93))</f>
        <v>-3242</v>
      </c>
      <c r="AD93" s="34"/>
      <c r="AE93" s="34">
        <f>SUM(O93:R93)</f>
        <v>-11692</v>
      </c>
      <c r="AF93" s="34">
        <f>SUM(P93:S93)</f>
        <v>-12094</v>
      </c>
      <c r="AG93" s="34">
        <f>SUM(Q93:T93)</f>
        <v>-12085</v>
      </c>
      <c r="AH93" s="34">
        <f>SUM(R93:U93)</f>
        <v>-10959</v>
      </c>
      <c r="AI93" s="34">
        <f>SUM(S93:V93)</f>
        <v>-9564</v>
      </c>
      <c r="AJ93" s="34">
        <f>SUM(T93:W93)</f>
        <v>-8644</v>
      </c>
      <c r="AK93" s="34">
        <f>SUM(U93:X93)</f>
        <v>-8702</v>
      </c>
      <c r="AL93" s="34">
        <f>SUM(V93:Y93)</f>
        <v>-9447</v>
      </c>
      <c r="AM93" s="34">
        <f>SUM(W93:Z93)</f>
        <v>-9995</v>
      </c>
      <c r="AN93" s="34">
        <f>SUM(X93:AA93)</f>
        <v>-11070</v>
      </c>
      <c r="AO93" s="34">
        <f>SUM(Y93:AB93)</f>
        <v>-12381</v>
      </c>
      <c r="AP93" s="34">
        <f>SUM(Z93:AC93)</f>
        <v>-12715</v>
      </c>
      <c r="AQ93" s="65"/>
      <c r="AR93" s="87">
        <f t="shared" ref="AR93:AR98" si="221">SUM(AP93/AL93)-1</f>
        <v>0.34592992484386587</v>
      </c>
    </row>
    <row r="94" spans="2:44" ht="12.75" customHeight="1">
      <c r="B94" s="66" t="s">
        <v>238</v>
      </c>
      <c r="C94" s="96">
        <v>111794</v>
      </c>
      <c r="D94" s="96">
        <v>126339</v>
      </c>
      <c r="E94" s="96">
        <v>103719</v>
      </c>
      <c r="F94" s="96">
        <v>97090</v>
      </c>
      <c r="G94" s="96">
        <v>120391</v>
      </c>
      <c r="H94" s="96">
        <v>106483</v>
      </c>
      <c r="I94" s="96">
        <v>67363</v>
      </c>
      <c r="J94" s="96">
        <v>45514</v>
      </c>
      <c r="K94" s="96">
        <v>62346</v>
      </c>
      <c r="L94" s="96">
        <f>40907+12890</f>
        <v>53797</v>
      </c>
      <c r="M94" s="34"/>
      <c r="N94" s="96">
        <f>11309+10675</f>
        <v>21984</v>
      </c>
      <c r="O94" s="96">
        <f>18000+24668-N94</f>
        <v>20684</v>
      </c>
      <c r="P94" s="96">
        <f>24203+33609-SUM(N94:O94)</f>
        <v>15144</v>
      </c>
      <c r="Q94" s="34">
        <f t="shared" si="217"/>
        <v>9551</v>
      </c>
      <c r="R94" s="96">
        <f>7127+509</f>
        <v>7636</v>
      </c>
      <c r="S94" s="96">
        <f>17124+1897-R94</f>
        <v>11385</v>
      </c>
      <c r="T94" s="96">
        <v>12795</v>
      </c>
      <c r="U94" s="34">
        <f t="shared" si="218"/>
        <v>13698</v>
      </c>
      <c r="V94" s="96">
        <f>13046+1337</f>
        <v>14383</v>
      </c>
      <c r="W94" s="96">
        <f>27462+4314-V94</f>
        <v>17393</v>
      </c>
      <c r="X94" s="96">
        <f>39838+7382-W94-V94</f>
        <v>15444</v>
      </c>
      <c r="Y94" s="34">
        <f t="shared" si="219"/>
        <v>15126</v>
      </c>
      <c r="Z94" s="96">
        <v>19459</v>
      </c>
      <c r="AA94" s="96">
        <f>26587+5210-Z94</f>
        <v>12338</v>
      </c>
      <c r="AB94" s="96">
        <f>35036+10785-AA94-Z94</f>
        <v>14024</v>
      </c>
      <c r="AC94" s="34">
        <f t="shared" si="220"/>
        <v>7976</v>
      </c>
      <c r="AD94" s="34"/>
      <c r="AE94" s="34">
        <f>SUM(O94:R94)</f>
        <v>53015</v>
      </c>
      <c r="AF94" s="34">
        <f>SUM(P94:S94)</f>
        <v>43716</v>
      </c>
      <c r="AG94" s="34">
        <f>SUM(Q94:T94)</f>
        <v>41367</v>
      </c>
      <c r="AH94" s="34">
        <f>SUM(R94:U94)</f>
        <v>45514</v>
      </c>
      <c r="AI94" s="34">
        <f>SUM(S94:V94)</f>
        <v>52261</v>
      </c>
      <c r="AJ94" s="34">
        <f>SUM(T94:W94)</f>
        <v>58269</v>
      </c>
      <c r="AK94" s="34">
        <f>SUM(U94:X94)</f>
        <v>60918</v>
      </c>
      <c r="AL94" s="34">
        <f>SUM(V94:Y94)</f>
        <v>62346</v>
      </c>
      <c r="AM94" s="34">
        <f>SUM(W94:Z94)</f>
        <v>67422</v>
      </c>
      <c r="AN94" s="34">
        <f>SUM(X94:AA94)</f>
        <v>62367</v>
      </c>
      <c r="AO94" s="34">
        <f>SUM(Y94:AB94)</f>
        <v>60947</v>
      </c>
      <c r="AP94" s="34">
        <f>SUM(Z94:AC94)</f>
        <v>53797</v>
      </c>
      <c r="AQ94" s="65"/>
      <c r="AR94" s="87">
        <f t="shared" si="221"/>
        <v>-0.13712186828345041</v>
      </c>
    </row>
    <row r="95" spans="2:44" ht="12.75" customHeight="1">
      <c r="B95" s="66" t="s">
        <v>239</v>
      </c>
      <c r="C95" s="96">
        <v>-142428</v>
      </c>
      <c r="D95" s="96">
        <v>-159486</v>
      </c>
      <c r="E95" s="96">
        <v>-71356</v>
      </c>
      <c r="F95" s="96">
        <v>-39630</v>
      </c>
      <c r="G95" s="96">
        <v>-114938</v>
      </c>
      <c r="H95" s="96">
        <v>-109558</v>
      </c>
      <c r="I95" s="96">
        <v>-76923</v>
      </c>
      <c r="J95" s="96">
        <v>-29513</v>
      </c>
      <c r="K95" s="96">
        <v>-48656</v>
      </c>
      <c r="L95" s="96">
        <v>-24407</v>
      </c>
      <c r="M95" s="34"/>
      <c r="N95" s="96">
        <v>-34913</v>
      </c>
      <c r="O95" s="96">
        <f>-61987-N95</f>
        <v>-27074</v>
      </c>
      <c r="P95" s="96">
        <f>-70178-SUM(N95:O95)</f>
        <v>-8191</v>
      </c>
      <c r="Q95" s="34">
        <f t="shared" si="217"/>
        <v>-6745</v>
      </c>
      <c r="R95" s="96">
        <v>-5153</v>
      </c>
      <c r="S95" s="96">
        <f>-11197-R95</f>
        <v>-6044</v>
      </c>
      <c r="T95" s="96">
        <v>-9759</v>
      </c>
      <c r="U95" s="34">
        <f t="shared" si="218"/>
        <v>-8557</v>
      </c>
      <c r="V95" s="96">
        <v>-9780</v>
      </c>
      <c r="W95" s="96">
        <f>-25042-V95</f>
        <v>-15262</v>
      </c>
      <c r="X95" s="96">
        <f>-38074-W95-V95</f>
        <v>-13032</v>
      </c>
      <c r="Y95" s="34">
        <f t="shared" si="219"/>
        <v>-10582</v>
      </c>
      <c r="Z95" s="96">
        <v>-6124</v>
      </c>
      <c r="AA95" s="96">
        <f>-12442-Z95</f>
        <v>-6318</v>
      </c>
      <c r="AB95" s="96">
        <f>-17591-AA95-Z95</f>
        <v>-5149</v>
      </c>
      <c r="AC95" s="34">
        <f t="shared" si="220"/>
        <v>-6816</v>
      </c>
      <c r="AD95" s="34"/>
      <c r="AE95" s="34">
        <f>SUM(O95:R95)</f>
        <v>-47163</v>
      </c>
      <c r="AF95" s="34">
        <f>SUM(P95:S95)</f>
        <v>-26133</v>
      </c>
      <c r="AG95" s="34">
        <f>SUM(Q95:T95)</f>
        <v>-27701</v>
      </c>
      <c r="AH95" s="34">
        <f>SUM(R95:U95)</f>
        <v>-29513</v>
      </c>
      <c r="AI95" s="34">
        <f>SUM(S95:V95)</f>
        <v>-34140</v>
      </c>
      <c r="AJ95" s="34">
        <f>SUM(T95:W95)</f>
        <v>-43358</v>
      </c>
      <c r="AK95" s="34">
        <f>SUM(U95:X95)</f>
        <v>-46631</v>
      </c>
      <c r="AL95" s="34">
        <f>SUM(V95:Y95)</f>
        <v>-48656</v>
      </c>
      <c r="AM95" s="34">
        <f>SUM(W95:Z95)</f>
        <v>-45000</v>
      </c>
      <c r="AN95" s="34">
        <f>SUM(X95:AA95)</f>
        <v>-36056</v>
      </c>
      <c r="AO95" s="34">
        <f>SUM(Y95:AB95)</f>
        <v>-28173</v>
      </c>
      <c r="AP95" s="34">
        <f>SUM(Z95:AC95)</f>
        <v>-24407</v>
      </c>
      <c r="AQ95" s="65"/>
      <c r="AR95" s="87">
        <f t="shared" si="221"/>
        <v>-0.49837635646169021</v>
      </c>
    </row>
    <row r="96" spans="2:44" ht="12.75" customHeight="1">
      <c r="B96" s="66" t="s">
        <v>240</v>
      </c>
      <c r="C96" s="96">
        <v>-1111</v>
      </c>
      <c r="D96" s="96">
        <v>-673</v>
      </c>
      <c r="E96" s="96">
        <v>-721</v>
      </c>
      <c r="F96" s="96">
        <v>-624</v>
      </c>
      <c r="G96" s="96">
        <v>-1524</v>
      </c>
      <c r="H96" s="96">
        <v>-33</v>
      </c>
      <c r="I96" s="96">
        <v>-306</v>
      </c>
      <c r="J96" s="96">
        <v>0</v>
      </c>
      <c r="K96" s="96">
        <v>0</v>
      </c>
      <c r="L96" s="96">
        <v>0</v>
      </c>
      <c r="M96" s="34"/>
      <c r="N96" s="96">
        <v>0</v>
      </c>
      <c r="O96" s="96">
        <v>-167</v>
      </c>
      <c r="P96" s="96">
        <f>-169-SUM(N96:O96)</f>
        <v>-2</v>
      </c>
      <c r="Q96" s="34">
        <f t="shared" si="217"/>
        <v>-137</v>
      </c>
      <c r="R96" s="96">
        <v>0</v>
      </c>
      <c r="S96" s="96">
        <v>0</v>
      </c>
      <c r="T96" s="96">
        <v>0</v>
      </c>
      <c r="U96" s="34">
        <f t="shared" si="218"/>
        <v>0</v>
      </c>
      <c r="V96" s="96">
        <v>0</v>
      </c>
      <c r="W96" s="96">
        <v>0</v>
      </c>
      <c r="X96" s="96">
        <v>0</v>
      </c>
      <c r="Y96" s="34">
        <f t="shared" si="219"/>
        <v>0</v>
      </c>
      <c r="Z96" s="96">
        <v>0</v>
      </c>
      <c r="AA96" s="96">
        <v>0</v>
      </c>
      <c r="AB96" s="96">
        <v>0</v>
      </c>
      <c r="AC96" s="34">
        <f t="shared" si="220"/>
        <v>0</v>
      </c>
      <c r="AD96" s="34"/>
      <c r="AE96" s="34">
        <f>SUM(O96:R96)</f>
        <v>-306</v>
      </c>
      <c r="AF96" s="34">
        <f>SUM(P96:S96)</f>
        <v>-139</v>
      </c>
      <c r="AG96" s="34">
        <f>SUM(Q96:T96)</f>
        <v>-137</v>
      </c>
      <c r="AH96" s="34">
        <f>SUM(R96:U96)</f>
        <v>0</v>
      </c>
      <c r="AI96" s="34">
        <f>SUM(S96:V96)</f>
        <v>0</v>
      </c>
      <c r="AJ96" s="34">
        <f>SUM(T96:W96)</f>
        <v>0</v>
      </c>
      <c r="AK96" s="34">
        <f>SUM(U96:X96)</f>
        <v>0</v>
      </c>
      <c r="AL96" s="34">
        <f>SUM(V96:Y96)</f>
        <v>0</v>
      </c>
      <c r="AM96" s="34">
        <f>SUM(W96:Z96)</f>
        <v>0</v>
      </c>
      <c r="AN96" s="34">
        <f>SUM(X96:AA96)</f>
        <v>0</v>
      </c>
      <c r="AO96" s="34">
        <f>SUM(Y96:AB96)</f>
        <v>0</v>
      </c>
      <c r="AP96" s="34">
        <f>SUM(Z96:AC96)</f>
        <v>0</v>
      </c>
      <c r="AQ96" s="65"/>
      <c r="AR96" s="87" t="e">
        <f t="shared" si="221"/>
        <v>#DIV/0!</v>
      </c>
    </row>
    <row r="97" spans="2:44" ht="12.75" customHeight="1">
      <c r="B97" s="66" t="s">
        <v>555</v>
      </c>
      <c r="C97" s="96">
        <v>-1498</v>
      </c>
      <c r="D97" s="96">
        <v>-175</v>
      </c>
      <c r="E97" s="96">
        <v>-2263</v>
      </c>
      <c r="F97" s="96">
        <v>-445</v>
      </c>
      <c r="G97" s="96">
        <v>-909</v>
      </c>
      <c r="H97" s="96">
        <v>-352</v>
      </c>
      <c r="I97" s="96">
        <v>-1780</v>
      </c>
      <c r="J97" s="96">
        <v>-1337</v>
      </c>
      <c r="K97" s="96">
        <v>-1308</v>
      </c>
      <c r="L97" s="96">
        <v>-1480</v>
      </c>
      <c r="M97" s="34"/>
      <c r="N97" s="96">
        <v>-374</v>
      </c>
      <c r="O97" s="96">
        <f>-568-N97</f>
        <v>-194</v>
      </c>
      <c r="P97" s="96">
        <f>-1183-SUM(N97:O97)</f>
        <v>-615</v>
      </c>
      <c r="Q97" s="34">
        <f t="shared" si="217"/>
        <v>-597</v>
      </c>
      <c r="R97" s="96">
        <v>-141</v>
      </c>
      <c r="S97" s="96">
        <f>-247-R97</f>
        <v>-106</v>
      </c>
      <c r="T97" s="96">
        <v>-506</v>
      </c>
      <c r="U97" s="34">
        <f t="shared" si="218"/>
        <v>-584</v>
      </c>
      <c r="V97" s="96">
        <v>-284</v>
      </c>
      <c r="W97" s="96">
        <f>-729-V97</f>
        <v>-445</v>
      </c>
      <c r="X97" s="96">
        <f>-1117-W97-V97</f>
        <v>-388</v>
      </c>
      <c r="Y97" s="34">
        <f t="shared" si="219"/>
        <v>-191</v>
      </c>
      <c r="Z97" s="96">
        <v>-603</v>
      </c>
      <c r="AA97" s="96">
        <f>-635-Z97</f>
        <v>-32</v>
      </c>
      <c r="AB97" s="96">
        <f>-975-AA97-Z97</f>
        <v>-340</v>
      </c>
      <c r="AC97" s="34">
        <f t="shared" si="220"/>
        <v>-505</v>
      </c>
      <c r="AD97" s="34"/>
      <c r="AE97" s="34">
        <f>SUM(O97:R97)</f>
        <v>-1547</v>
      </c>
      <c r="AF97" s="34">
        <f>SUM(P97:S97)</f>
        <v>-1459</v>
      </c>
      <c r="AG97" s="34">
        <f>SUM(Q97:T97)</f>
        <v>-1350</v>
      </c>
      <c r="AH97" s="34">
        <f>SUM(R97:U97)</f>
        <v>-1337</v>
      </c>
      <c r="AI97" s="34">
        <f>SUM(S97:V97)</f>
        <v>-1480</v>
      </c>
      <c r="AJ97" s="34">
        <f>SUM(T97:W97)</f>
        <v>-1819</v>
      </c>
      <c r="AK97" s="34">
        <f>SUM(U97:X97)</f>
        <v>-1701</v>
      </c>
      <c r="AL97" s="34">
        <f>SUM(V97:Y97)</f>
        <v>-1308</v>
      </c>
      <c r="AM97" s="34">
        <f>SUM(W97:Z97)</f>
        <v>-1627</v>
      </c>
      <c r="AN97" s="34">
        <f>SUM(X97:AA97)</f>
        <v>-1214</v>
      </c>
      <c r="AO97" s="34">
        <f>SUM(Y97:AB97)</f>
        <v>-1166</v>
      </c>
      <c r="AP97" s="34">
        <f>SUM(Z97:AC97)</f>
        <v>-1480</v>
      </c>
      <c r="AQ97" s="65"/>
      <c r="AR97" s="87">
        <f t="shared" si="221"/>
        <v>0.13149847094801226</v>
      </c>
    </row>
    <row r="98" spans="2:44" ht="12.75" customHeight="1">
      <c r="B98" s="14" t="s">
        <v>89</v>
      </c>
      <c r="C98" s="15">
        <f t="shared" ref="C98:K98" si="222">SUM(C93:C97)</f>
        <v>-45977</v>
      </c>
      <c r="D98" s="15">
        <f t="shared" si="222"/>
        <v>-46446</v>
      </c>
      <c r="E98" s="15">
        <f t="shared" si="222"/>
        <v>16066</v>
      </c>
      <c r="F98" s="15">
        <f t="shared" si="222"/>
        <v>45896</v>
      </c>
      <c r="G98" s="15">
        <f t="shared" si="222"/>
        <v>-4289</v>
      </c>
      <c r="H98" s="15">
        <f t="shared" si="222"/>
        <v>-14545</v>
      </c>
      <c r="I98" s="15">
        <f t="shared" si="222"/>
        <v>-22354</v>
      </c>
      <c r="J98" s="15">
        <f t="shared" si="222"/>
        <v>3705</v>
      </c>
      <c r="K98" s="15">
        <f t="shared" si="222"/>
        <v>2935</v>
      </c>
      <c r="L98" s="15">
        <f t="shared" ref="L98" si="223">SUM(L93:L97)</f>
        <v>15195</v>
      </c>
      <c r="N98" s="15">
        <f t="shared" ref="N98:AB98" si="224">SUM(N93:N97)</f>
        <v>-16106</v>
      </c>
      <c r="O98" s="15">
        <f t="shared" si="224"/>
        <v>-9265</v>
      </c>
      <c r="P98" s="15">
        <f t="shared" si="224"/>
        <v>4234</v>
      </c>
      <c r="Q98" s="15">
        <f t="shared" si="224"/>
        <v>-1217</v>
      </c>
      <c r="R98" s="15">
        <f t="shared" si="224"/>
        <v>-1445</v>
      </c>
      <c r="S98" s="15">
        <f t="shared" si="224"/>
        <v>2319</v>
      </c>
      <c r="T98" s="15">
        <f t="shared" si="224"/>
        <v>437</v>
      </c>
      <c r="U98" s="15">
        <f t="shared" si="224"/>
        <v>2394</v>
      </c>
      <c r="V98" s="15">
        <f t="shared" si="224"/>
        <v>1927</v>
      </c>
      <c r="W98" s="15">
        <f t="shared" si="224"/>
        <v>-310</v>
      </c>
      <c r="X98" s="15">
        <f t="shared" si="224"/>
        <v>-127</v>
      </c>
      <c r="Y98" s="15">
        <f t="shared" si="224"/>
        <v>1445</v>
      </c>
      <c r="Z98" s="15">
        <f t="shared" si="224"/>
        <v>9792</v>
      </c>
      <c r="AA98" s="15">
        <f t="shared" si="224"/>
        <v>2917</v>
      </c>
      <c r="AB98" s="15">
        <f t="shared" si="224"/>
        <v>5073</v>
      </c>
      <c r="AC98" s="15">
        <f t="shared" ref="AC98" si="225">SUM(AC93:AC97)</f>
        <v>-2587</v>
      </c>
      <c r="AE98" s="15">
        <f t="shared" ref="AE98:AO98" si="226">SUM(AE93:AE97)</f>
        <v>-7693</v>
      </c>
      <c r="AF98" s="15">
        <f t="shared" si="226"/>
        <v>3891</v>
      </c>
      <c r="AG98" s="15">
        <f t="shared" si="226"/>
        <v>94</v>
      </c>
      <c r="AH98" s="15">
        <f t="shared" si="226"/>
        <v>3705</v>
      </c>
      <c r="AI98" s="15">
        <f t="shared" si="226"/>
        <v>7077</v>
      </c>
      <c r="AJ98" s="15">
        <f t="shared" si="226"/>
        <v>4448</v>
      </c>
      <c r="AK98" s="15">
        <f t="shared" si="226"/>
        <v>3884</v>
      </c>
      <c r="AL98" s="15">
        <f t="shared" si="226"/>
        <v>2935</v>
      </c>
      <c r="AM98" s="15">
        <f t="shared" si="226"/>
        <v>10800</v>
      </c>
      <c r="AN98" s="15">
        <f t="shared" si="226"/>
        <v>14027</v>
      </c>
      <c r="AO98" s="15">
        <f t="shared" si="226"/>
        <v>19227</v>
      </c>
      <c r="AP98" s="15">
        <f t="shared" ref="AP98" si="227">SUM(AP93:AP97)</f>
        <v>15195</v>
      </c>
      <c r="AQ98" s="45"/>
      <c r="AR98" s="88">
        <f t="shared" si="221"/>
        <v>4.1771720613287906</v>
      </c>
    </row>
    <row r="99" spans="2:44" ht="12.75" customHeight="1">
      <c r="B99" s="58"/>
      <c r="C99" s="67"/>
      <c r="D99" s="67"/>
      <c r="E99" s="67"/>
      <c r="F99" s="67"/>
      <c r="G99" s="67"/>
      <c r="H99" s="67"/>
      <c r="I99" s="67"/>
      <c r="J99" s="67"/>
      <c r="K99" s="67"/>
      <c r="L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2"/>
    </row>
    <row r="100" spans="2:44" ht="12.75" customHeight="1">
      <c r="B100" s="59" t="s">
        <v>90</v>
      </c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N100" s="69"/>
      <c r="O100" s="69"/>
      <c r="P100" s="69"/>
      <c r="Q100" s="69"/>
      <c r="R100" s="69"/>
      <c r="S100" s="69"/>
      <c r="T100" s="69"/>
      <c r="U100" s="70"/>
      <c r="V100" s="69"/>
      <c r="W100" s="69"/>
      <c r="X100" s="69"/>
      <c r="Y100" s="69"/>
      <c r="Z100" s="69"/>
      <c r="AA100" s="69"/>
      <c r="AB100" s="69"/>
      <c r="AC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71"/>
      <c r="AR100" s="42"/>
    </row>
    <row r="101" spans="2:44" ht="12.75" customHeight="1">
      <c r="B101" s="66" t="s">
        <v>241</v>
      </c>
      <c r="C101" s="96">
        <v>22454</v>
      </c>
      <c r="D101" s="96">
        <v>28662</v>
      </c>
      <c r="E101" s="96">
        <v>6969</v>
      </c>
      <c r="F101" s="96">
        <v>6963</v>
      </c>
      <c r="G101" s="96">
        <v>16091</v>
      </c>
      <c r="H101" s="96">
        <v>20393</v>
      </c>
      <c r="I101" s="96">
        <v>5465</v>
      </c>
      <c r="J101" s="96">
        <v>5228</v>
      </c>
      <c r="K101" s="96">
        <v>0</v>
      </c>
      <c r="L101" s="96">
        <v>4481</v>
      </c>
      <c r="M101" s="72"/>
      <c r="N101" s="96">
        <v>0</v>
      </c>
      <c r="O101" s="96">
        <v>0</v>
      </c>
      <c r="P101" s="96">
        <v>0</v>
      </c>
      <c r="Q101" s="34">
        <f t="shared" ref="Q101:Q108" si="228">SUM(I101-SUM(N101:P101))</f>
        <v>5465</v>
      </c>
      <c r="R101" s="96">
        <v>0</v>
      </c>
      <c r="S101" s="96">
        <v>0</v>
      </c>
      <c r="T101" s="96">
        <v>5228</v>
      </c>
      <c r="U101" s="34">
        <f t="shared" ref="U101:U108" si="229">SUM(J101-SUM(R101:T101))</f>
        <v>0</v>
      </c>
      <c r="V101" s="96">
        <v>0</v>
      </c>
      <c r="W101" s="96">
        <v>0</v>
      </c>
      <c r="X101" s="96">
        <v>0</v>
      </c>
      <c r="Y101" s="34">
        <f t="shared" ref="Y101:Y108" si="230">SUM(K101-SUM(V101:X101))</f>
        <v>0</v>
      </c>
      <c r="Z101" s="96">
        <v>0</v>
      </c>
      <c r="AA101" s="96">
        <v>0</v>
      </c>
      <c r="AB101" s="96">
        <f>4481-AA101-Z101</f>
        <v>4481</v>
      </c>
      <c r="AC101" s="34">
        <f t="shared" ref="AC101:AC108" si="231">SUM(L101-SUM(Z101:AB101))</f>
        <v>0</v>
      </c>
      <c r="AE101" s="34">
        <f>SUM(O101:R101)</f>
        <v>5465</v>
      </c>
      <c r="AF101" s="34">
        <f>SUM(P101:S101)</f>
        <v>5465</v>
      </c>
      <c r="AG101" s="34">
        <f>SUM(Q101:T101)</f>
        <v>10693</v>
      </c>
      <c r="AH101" s="34">
        <f>SUM(R101:U101)</f>
        <v>5228</v>
      </c>
      <c r="AI101" s="34">
        <f>SUM(S101:V101)</f>
        <v>5228</v>
      </c>
      <c r="AJ101" s="34">
        <f>SUM(T101:W101)</f>
        <v>5228</v>
      </c>
      <c r="AK101" s="34">
        <f>SUM(U101:X101)</f>
        <v>0</v>
      </c>
      <c r="AL101" s="34">
        <f>SUM(V101:Y101)</f>
        <v>0</v>
      </c>
      <c r="AM101" s="34">
        <f>SUM(W101:Z101)</f>
        <v>0</v>
      </c>
      <c r="AN101" s="34">
        <f>SUM(X101:AA101)</f>
        <v>0</v>
      </c>
      <c r="AO101" s="34">
        <f>SUM(Y101:AB101)</f>
        <v>4481</v>
      </c>
      <c r="AP101" s="34">
        <f>SUM(Z101:AC101)</f>
        <v>4481</v>
      </c>
      <c r="AQ101" s="12"/>
      <c r="AR101" s="87" t="e">
        <f t="shared" ref="AR101:AR109" si="232">SUM(AP101/AL101)-1</f>
        <v>#DIV/0!</v>
      </c>
    </row>
    <row r="102" spans="2:44" ht="12.75" customHeight="1">
      <c r="B102" s="66" t="s">
        <v>242</v>
      </c>
      <c r="C102" s="96">
        <v>0</v>
      </c>
      <c r="D102" s="96">
        <v>-3500</v>
      </c>
      <c r="E102" s="96">
        <v>-6500</v>
      </c>
      <c r="F102" s="96">
        <v>-8805</v>
      </c>
      <c r="G102" s="96">
        <v>-12629</v>
      </c>
      <c r="H102" s="96">
        <v>-8750</v>
      </c>
      <c r="I102" s="96">
        <v>-9543</v>
      </c>
      <c r="J102" s="96">
        <v>-11151.108</v>
      </c>
      <c r="K102" s="96">
        <v>-9958</v>
      </c>
      <c r="L102" s="96">
        <v>-10932</v>
      </c>
      <c r="M102" s="72"/>
      <c r="N102" s="96">
        <v>0</v>
      </c>
      <c r="O102" s="96">
        <v>-3750</v>
      </c>
      <c r="P102" s="96">
        <v>-3000</v>
      </c>
      <c r="Q102" s="34">
        <f t="shared" si="228"/>
        <v>-2793</v>
      </c>
      <c r="R102" s="96">
        <v>-1401</v>
      </c>
      <c r="S102" s="96">
        <v>-2250</v>
      </c>
      <c r="T102" s="96">
        <v>-7500</v>
      </c>
      <c r="U102" s="34">
        <f t="shared" si="229"/>
        <v>-0.10800000000017462</v>
      </c>
      <c r="V102" s="96">
        <v>0</v>
      </c>
      <c r="W102" s="96">
        <v>-3150</v>
      </c>
      <c r="X102" s="96">
        <v>-4250</v>
      </c>
      <c r="Y102" s="34">
        <f t="shared" si="230"/>
        <v>-2558</v>
      </c>
      <c r="Z102" s="96">
        <v>-1009</v>
      </c>
      <c r="AA102" s="96">
        <f>-4009-Z102</f>
        <v>-3000</v>
      </c>
      <c r="AB102" s="96">
        <f>-9682-AA102-Z102</f>
        <v>-5673</v>
      </c>
      <c r="AC102" s="34">
        <f t="shared" si="231"/>
        <v>-1250</v>
      </c>
      <c r="AE102" s="34">
        <f>SUM(O102:R102)</f>
        <v>-10944</v>
      </c>
      <c r="AF102" s="34">
        <f>SUM(P102:S102)</f>
        <v>-9444</v>
      </c>
      <c r="AG102" s="34">
        <f>SUM(Q102:T102)</f>
        <v>-13944</v>
      </c>
      <c r="AH102" s="34">
        <f>SUM(R102:U102)</f>
        <v>-11151.108</v>
      </c>
      <c r="AI102" s="34">
        <f>SUM(S102:V102)</f>
        <v>-9750.1080000000002</v>
      </c>
      <c r="AJ102" s="34">
        <f>SUM(T102:W102)</f>
        <v>-10650.108</v>
      </c>
      <c r="AK102" s="34">
        <f>SUM(U102:X102)</f>
        <v>-7400.1080000000002</v>
      </c>
      <c r="AL102" s="34">
        <f>SUM(V102:Y102)</f>
        <v>-9958</v>
      </c>
      <c r="AM102" s="34">
        <f>SUM(W102:Z102)</f>
        <v>-10967</v>
      </c>
      <c r="AN102" s="34">
        <f>SUM(X102:AA102)</f>
        <v>-10817</v>
      </c>
      <c r="AO102" s="34">
        <f>SUM(Y102:AB102)</f>
        <v>-12240</v>
      </c>
      <c r="AP102" s="34">
        <f>SUM(Z102:AC102)</f>
        <v>-10932</v>
      </c>
      <c r="AQ102" s="12"/>
      <c r="AR102" s="87">
        <f t="shared" si="232"/>
        <v>9.7810805382607002E-2</v>
      </c>
    </row>
    <row r="103" spans="2:44" ht="12.75" customHeight="1">
      <c r="B103" s="66" t="s">
        <v>243</v>
      </c>
      <c r="C103" s="96">
        <v>495</v>
      </c>
      <c r="D103" s="96">
        <v>555</v>
      </c>
      <c r="E103" s="96">
        <v>669</v>
      </c>
      <c r="F103" s="96">
        <v>781</v>
      </c>
      <c r="G103" s="96">
        <v>880</v>
      </c>
      <c r="H103" s="96">
        <v>1105</v>
      </c>
      <c r="I103" s="96">
        <v>0</v>
      </c>
      <c r="J103" s="96">
        <v>0</v>
      </c>
      <c r="K103" s="96">
        <v>0</v>
      </c>
      <c r="L103" s="96">
        <v>0</v>
      </c>
      <c r="M103" s="72"/>
      <c r="N103" s="96">
        <v>0</v>
      </c>
      <c r="O103" s="96">
        <v>0</v>
      </c>
      <c r="P103" s="96">
        <v>0</v>
      </c>
      <c r="Q103" s="34">
        <f t="shared" si="228"/>
        <v>0</v>
      </c>
      <c r="R103" s="96">
        <v>0</v>
      </c>
      <c r="S103" s="96">
        <v>0</v>
      </c>
      <c r="T103" s="96">
        <v>0</v>
      </c>
      <c r="U103" s="34">
        <f t="shared" si="229"/>
        <v>0</v>
      </c>
      <c r="V103" s="96">
        <v>0</v>
      </c>
      <c r="W103" s="96">
        <v>0</v>
      </c>
      <c r="X103" s="96">
        <v>0</v>
      </c>
      <c r="Y103" s="34">
        <f t="shared" si="230"/>
        <v>0</v>
      </c>
      <c r="Z103" s="96">
        <v>0</v>
      </c>
      <c r="AA103" s="96">
        <v>0</v>
      </c>
      <c r="AB103" s="96">
        <v>0</v>
      </c>
      <c r="AC103" s="34">
        <f t="shared" si="231"/>
        <v>0</v>
      </c>
      <c r="AE103" s="34">
        <f>SUM(O103:R103)</f>
        <v>0</v>
      </c>
      <c r="AF103" s="34">
        <f>SUM(P103:S103)</f>
        <v>0</v>
      </c>
      <c r="AG103" s="34">
        <f>SUM(Q103:T103)</f>
        <v>0</v>
      </c>
      <c r="AH103" s="34">
        <f>SUM(R103:U103)</f>
        <v>0</v>
      </c>
      <c r="AI103" s="34">
        <f>SUM(S103:V103)</f>
        <v>0</v>
      </c>
      <c r="AJ103" s="34">
        <f>SUM(T103:W103)</f>
        <v>0</v>
      </c>
      <c r="AK103" s="34">
        <f>SUM(U103:X103)</f>
        <v>0</v>
      </c>
      <c r="AL103" s="34">
        <f>SUM(V103:Y103)</f>
        <v>0</v>
      </c>
      <c r="AM103" s="34">
        <f>SUM(W103:Z103)</f>
        <v>0</v>
      </c>
      <c r="AN103" s="34">
        <f>SUM(X103:AA103)</f>
        <v>0</v>
      </c>
      <c r="AO103" s="34">
        <f>SUM(Y103:AB103)</f>
        <v>0</v>
      </c>
      <c r="AP103" s="34">
        <f>SUM(Z103:AC103)</f>
        <v>0</v>
      </c>
      <c r="AQ103" s="12"/>
      <c r="AR103" s="87" t="e">
        <f t="shared" si="232"/>
        <v>#DIV/0!</v>
      </c>
    </row>
    <row r="104" spans="2:44" ht="12.75" customHeight="1">
      <c r="B104" s="66" t="s">
        <v>231</v>
      </c>
      <c r="C104" s="96">
        <v>-29722</v>
      </c>
      <c r="D104" s="96">
        <v>-32900</v>
      </c>
      <c r="E104" s="96">
        <v>-72738</v>
      </c>
      <c r="F104" s="96">
        <v>-66897</v>
      </c>
      <c r="G104" s="96">
        <v>-72358</v>
      </c>
      <c r="H104" s="96">
        <v>-85971</v>
      </c>
      <c r="I104" s="96">
        <v>-89402</v>
      </c>
      <c r="J104" s="96">
        <v>-77550</v>
      </c>
      <c r="K104" s="96">
        <v>-94949</v>
      </c>
      <c r="L104" s="96">
        <v>-90711</v>
      </c>
      <c r="M104" s="72"/>
      <c r="N104" s="96">
        <v>-20478</v>
      </c>
      <c r="O104" s="96">
        <f>-43109-N104</f>
        <v>-22631</v>
      </c>
      <c r="P104" s="96">
        <f>-64974-SUM(N104:O104)</f>
        <v>-21865</v>
      </c>
      <c r="Q104" s="34">
        <f t="shared" si="228"/>
        <v>-24428</v>
      </c>
      <c r="R104" s="96">
        <v>-19475</v>
      </c>
      <c r="S104" s="96">
        <f>-39069-R104</f>
        <v>-19594</v>
      </c>
      <c r="T104" s="96">
        <v>-17478</v>
      </c>
      <c r="U104" s="34">
        <f t="shared" si="229"/>
        <v>-21003</v>
      </c>
      <c r="V104" s="96">
        <v>-20139</v>
      </c>
      <c r="W104" s="96">
        <f>-43344-V104</f>
        <v>-23205</v>
      </c>
      <c r="X104" s="96">
        <f>-69866-W104-V104</f>
        <v>-26522</v>
      </c>
      <c r="Y104" s="34">
        <f t="shared" si="230"/>
        <v>-25083</v>
      </c>
      <c r="Z104" s="96">
        <v>-23606</v>
      </c>
      <c r="AA104" s="96">
        <f>-49504-Z104</f>
        <v>-25898</v>
      </c>
      <c r="AB104" s="96">
        <f>-70579-AA104-Z104</f>
        <v>-21075</v>
      </c>
      <c r="AC104" s="34">
        <f t="shared" si="231"/>
        <v>-20132</v>
      </c>
      <c r="AE104" s="34">
        <f>SUM(O104:R104)</f>
        <v>-88399</v>
      </c>
      <c r="AF104" s="34">
        <f>SUM(P104:S104)</f>
        <v>-85362</v>
      </c>
      <c r="AG104" s="34">
        <f>SUM(Q104:T104)</f>
        <v>-80975</v>
      </c>
      <c r="AH104" s="34">
        <f>SUM(R104:U104)</f>
        <v>-77550</v>
      </c>
      <c r="AI104" s="34">
        <f>SUM(S104:V104)</f>
        <v>-78214</v>
      </c>
      <c r="AJ104" s="34">
        <f>SUM(T104:W104)</f>
        <v>-81825</v>
      </c>
      <c r="AK104" s="34">
        <f>SUM(U104:X104)</f>
        <v>-90869</v>
      </c>
      <c r="AL104" s="34">
        <f>SUM(V104:Y104)</f>
        <v>-94949</v>
      </c>
      <c r="AM104" s="34">
        <f>SUM(W104:Z104)</f>
        <v>-98416</v>
      </c>
      <c r="AN104" s="34">
        <f>SUM(X104:AA104)</f>
        <v>-101109</v>
      </c>
      <c r="AO104" s="34">
        <f>SUM(Y104:AB104)</f>
        <v>-95662</v>
      </c>
      <c r="AP104" s="34">
        <f>SUM(Z104:AC104)</f>
        <v>-90711</v>
      </c>
      <c r="AQ104" s="12"/>
      <c r="AR104" s="87">
        <f t="shared" si="232"/>
        <v>-4.4634487988288396E-2</v>
      </c>
    </row>
    <row r="105" spans="2:44" ht="12.75" customHeight="1">
      <c r="B105" s="66" t="s">
        <v>244</v>
      </c>
      <c r="C105" s="96">
        <v>-397</v>
      </c>
      <c r="D105" s="96">
        <v>3852</v>
      </c>
      <c r="E105" s="96">
        <v>-37</v>
      </c>
      <c r="F105" s="96">
        <v>-5977</v>
      </c>
      <c r="G105" s="96">
        <v>-963</v>
      </c>
      <c r="H105" s="96">
        <v>1022</v>
      </c>
      <c r="I105" s="96">
        <v>3955</v>
      </c>
      <c r="J105" s="96">
        <v>-3978</v>
      </c>
      <c r="K105" s="96">
        <v>3960</v>
      </c>
      <c r="L105" s="96">
        <v>-2032</v>
      </c>
      <c r="M105" s="72"/>
      <c r="N105" s="96">
        <v>-1000</v>
      </c>
      <c r="O105" s="96">
        <f>999-N105</f>
        <v>1999</v>
      </c>
      <c r="P105" s="96">
        <f>4970-SUM(N105:O105)</f>
        <v>3971</v>
      </c>
      <c r="Q105" s="34">
        <f t="shared" si="228"/>
        <v>-1015</v>
      </c>
      <c r="R105" s="96">
        <v>-8214</v>
      </c>
      <c r="S105" s="96">
        <f>-7960-R105</f>
        <v>254</v>
      </c>
      <c r="T105" s="96">
        <v>1989</v>
      </c>
      <c r="U105" s="34">
        <f t="shared" si="229"/>
        <v>1993</v>
      </c>
      <c r="V105" s="96">
        <v>-3984</v>
      </c>
      <c r="W105" s="96">
        <f>-3982-V105</f>
        <v>2</v>
      </c>
      <c r="X105" s="96">
        <f>-2985-W105-V105</f>
        <v>997</v>
      </c>
      <c r="Y105" s="34">
        <f t="shared" si="230"/>
        <v>6945</v>
      </c>
      <c r="Z105" s="96">
        <v>-7944</v>
      </c>
      <c r="AA105" s="96">
        <f>-3968-Z105</f>
        <v>3976</v>
      </c>
      <c r="AB105" s="96">
        <f>-65-AA105-Z105</f>
        <v>3903</v>
      </c>
      <c r="AC105" s="34">
        <f t="shared" si="231"/>
        <v>-1967</v>
      </c>
      <c r="AE105" s="34">
        <f>SUM(O105:R105)</f>
        <v>-3259</v>
      </c>
      <c r="AF105" s="34">
        <f>SUM(P105:S105)</f>
        <v>-5004</v>
      </c>
      <c r="AG105" s="34">
        <f>SUM(Q105:T105)</f>
        <v>-6986</v>
      </c>
      <c r="AH105" s="34">
        <f>SUM(R105:U105)</f>
        <v>-3978</v>
      </c>
      <c r="AI105" s="34">
        <f>SUM(S105:V105)</f>
        <v>252</v>
      </c>
      <c r="AJ105" s="34">
        <f>SUM(T105:W105)</f>
        <v>0</v>
      </c>
      <c r="AK105" s="34">
        <f>SUM(U105:X105)</f>
        <v>-992</v>
      </c>
      <c r="AL105" s="34">
        <f>SUM(V105:Y105)</f>
        <v>3960</v>
      </c>
      <c r="AM105" s="34">
        <f>SUM(W105:Z105)</f>
        <v>0</v>
      </c>
      <c r="AN105" s="34">
        <f>SUM(X105:AA105)</f>
        <v>3974</v>
      </c>
      <c r="AO105" s="34">
        <f>SUM(Y105:AB105)</f>
        <v>6880</v>
      </c>
      <c r="AP105" s="34">
        <f>SUM(Z105:AC105)</f>
        <v>-2032</v>
      </c>
      <c r="AQ105" s="12"/>
      <c r="AR105" s="87">
        <f t="shared" si="232"/>
        <v>-1.5131313131313131</v>
      </c>
    </row>
    <row r="106" spans="2:44" ht="12.75" customHeight="1">
      <c r="B106" s="66" t="s">
        <v>245</v>
      </c>
      <c r="C106" s="96">
        <v>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34"/>
      <c r="N106" s="96">
        <v>0</v>
      </c>
      <c r="O106" s="96">
        <v>0</v>
      </c>
      <c r="P106" s="96">
        <v>0</v>
      </c>
      <c r="Q106" s="34">
        <f t="shared" si="228"/>
        <v>0</v>
      </c>
      <c r="R106" s="96">
        <v>0</v>
      </c>
      <c r="S106" s="96">
        <v>0</v>
      </c>
      <c r="T106" s="96">
        <v>0</v>
      </c>
      <c r="U106" s="34">
        <f t="shared" si="229"/>
        <v>0</v>
      </c>
      <c r="V106" s="96">
        <v>0</v>
      </c>
      <c r="W106" s="96">
        <v>0</v>
      </c>
      <c r="X106" s="96">
        <v>0</v>
      </c>
      <c r="Y106" s="34">
        <f t="shared" si="230"/>
        <v>0</v>
      </c>
      <c r="Z106" s="96">
        <v>0</v>
      </c>
      <c r="AA106" s="96">
        <v>0</v>
      </c>
      <c r="AB106" s="96">
        <v>0</v>
      </c>
      <c r="AC106" s="34">
        <f t="shared" si="231"/>
        <v>0</v>
      </c>
      <c r="AE106" s="34">
        <f>SUM(O106:R106)</f>
        <v>0</v>
      </c>
      <c r="AF106" s="34">
        <f>SUM(P106:S106)</f>
        <v>0</v>
      </c>
      <c r="AG106" s="34">
        <f>SUM(Q106:T106)</f>
        <v>0</v>
      </c>
      <c r="AH106" s="34">
        <f>SUM(R106:U106)</f>
        <v>0</v>
      </c>
      <c r="AI106" s="34">
        <f>SUM(S106:V106)</f>
        <v>0</v>
      </c>
      <c r="AJ106" s="34">
        <f>SUM(T106:W106)</f>
        <v>0</v>
      </c>
      <c r="AK106" s="34">
        <f>SUM(U106:X106)</f>
        <v>0</v>
      </c>
      <c r="AL106" s="34">
        <f>SUM(V106:Y106)</f>
        <v>0</v>
      </c>
      <c r="AM106" s="34">
        <f>SUM(W106:Z106)</f>
        <v>0</v>
      </c>
      <c r="AN106" s="34">
        <f>SUM(X106:AA106)</f>
        <v>0</v>
      </c>
      <c r="AO106" s="34">
        <f>SUM(Y106:AB106)</f>
        <v>0</v>
      </c>
      <c r="AP106" s="34">
        <f>SUM(Z106:AC106)</f>
        <v>0</v>
      </c>
      <c r="AQ106" s="12"/>
      <c r="AR106" s="87" t="e">
        <f t="shared" si="232"/>
        <v>#DIV/0!</v>
      </c>
    </row>
    <row r="107" spans="2:44" ht="12.75" customHeight="1">
      <c r="B107" s="66" t="s">
        <v>95</v>
      </c>
      <c r="C107" s="96">
        <v>-1163</v>
      </c>
      <c r="D107" s="96">
        <v>-1247</v>
      </c>
      <c r="E107" s="96">
        <v>-2527</v>
      </c>
      <c r="F107" s="96">
        <v>-2922</v>
      </c>
      <c r="G107" s="96">
        <v>-3760</v>
      </c>
      <c r="H107" s="96">
        <v>-6685</v>
      </c>
      <c r="I107" s="96">
        <v>-6383</v>
      </c>
      <c r="J107" s="96">
        <v>-6012</v>
      </c>
      <c r="K107" s="96">
        <v>-5802</v>
      </c>
      <c r="L107" s="96">
        <f>-5960-111</f>
        <v>-6071</v>
      </c>
      <c r="M107" s="72"/>
      <c r="N107" s="96">
        <f>-2888-61</f>
        <v>-2949</v>
      </c>
      <c r="O107" s="96">
        <f>-3218-105-N107</f>
        <v>-374</v>
      </c>
      <c r="P107" s="96">
        <f>-148-5915-SUM(N107:O107)</f>
        <v>-2740</v>
      </c>
      <c r="Q107" s="34">
        <f t="shared" si="228"/>
        <v>-320</v>
      </c>
      <c r="R107" s="96">
        <f>-2316-389</f>
        <v>-2705</v>
      </c>
      <c r="S107" s="96">
        <f>-2734-455-R107</f>
        <v>-484</v>
      </c>
      <c r="T107" s="96">
        <v>-2438</v>
      </c>
      <c r="U107" s="34">
        <f t="shared" si="229"/>
        <v>-385</v>
      </c>
      <c r="V107" s="96">
        <f>-2591-46</f>
        <v>-2637</v>
      </c>
      <c r="W107" s="96">
        <f>-2875-V107-132</f>
        <v>-370</v>
      </c>
      <c r="X107" s="96">
        <f>-5163-191-W107-V107</f>
        <v>-2347</v>
      </c>
      <c r="Y107" s="34">
        <f t="shared" si="230"/>
        <v>-448</v>
      </c>
      <c r="Z107" s="96">
        <f>-2921-35</f>
        <v>-2956</v>
      </c>
      <c r="AA107" s="96">
        <f>-3205+-77-Z107</f>
        <v>-326</v>
      </c>
      <c r="AB107" s="96">
        <f>-5719+-87-AA107-Z107</f>
        <v>-2524</v>
      </c>
      <c r="AC107" s="34">
        <f t="shared" si="231"/>
        <v>-265</v>
      </c>
      <c r="AE107" s="34">
        <f>SUM(O107:R107)</f>
        <v>-6139</v>
      </c>
      <c r="AF107" s="34">
        <f>SUM(P107:S107)</f>
        <v>-6249</v>
      </c>
      <c r="AG107" s="34">
        <f>SUM(Q107:T107)</f>
        <v>-5947</v>
      </c>
      <c r="AH107" s="34">
        <f>SUM(R107:U107)</f>
        <v>-6012</v>
      </c>
      <c r="AI107" s="34">
        <f>SUM(S107:V107)</f>
        <v>-5944</v>
      </c>
      <c r="AJ107" s="34">
        <f>SUM(T107:W107)</f>
        <v>-5830</v>
      </c>
      <c r="AK107" s="34">
        <f>SUM(U107:X107)</f>
        <v>-5739</v>
      </c>
      <c r="AL107" s="34">
        <f>SUM(V107:Y107)</f>
        <v>-5802</v>
      </c>
      <c r="AM107" s="34">
        <f>SUM(W107:Z107)</f>
        <v>-6121</v>
      </c>
      <c r="AN107" s="34">
        <f>SUM(X107:AA107)</f>
        <v>-6077</v>
      </c>
      <c r="AO107" s="34">
        <f>SUM(Y107:AB107)</f>
        <v>-6254</v>
      </c>
      <c r="AP107" s="34">
        <f>SUM(Z107:AC107)</f>
        <v>-6071</v>
      </c>
      <c r="AQ107" s="12"/>
      <c r="AR107" s="87">
        <f t="shared" si="232"/>
        <v>4.6363322992071687E-2</v>
      </c>
    </row>
    <row r="108" spans="2:44" ht="12.75" customHeight="1">
      <c r="B108" s="66" t="s">
        <v>246</v>
      </c>
      <c r="C108" s="96">
        <v>-12150</v>
      </c>
      <c r="D108" s="96">
        <v>-12769</v>
      </c>
      <c r="E108" s="96">
        <v>-13712</v>
      </c>
      <c r="F108" s="96">
        <v>-14119</v>
      </c>
      <c r="G108" s="96">
        <v>-14081</v>
      </c>
      <c r="H108" s="96">
        <v>-14467</v>
      </c>
      <c r="I108" s="96">
        <v>-14841</v>
      </c>
      <c r="J108" s="96">
        <v>-14875</v>
      </c>
      <c r="K108" s="96">
        <v>-15234</v>
      </c>
      <c r="L108" s="96">
        <v>-15421</v>
      </c>
      <c r="M108" s="72"/>
      <c r="N108" s="96">
        <v>-3732</v>
      </c>
      <c r="O108" s="96">
        <f>-7327-N108</f>
        <v>-3595</v>
      </c>
      <c r="P108" s="96">
        <f>-11138-SUM(N108:O108)</f>
        <v>-3811</v>
      </c>
      <c r="Q108" s="34">
        <f t="shared" si="228"/>
        <v>-3703</v>
      </c>
      <c r="R108" s="96">
        <v>-3768</v>
      </c>
      <c r="S108" s="96">
        <f>-7418-R108</f>
        <v>-3650</v>
      </c>
      <c r="T108" s="96">
        <v>-3849</v>
      </c>
      <c r="U108" s="34">
        <f t="shared" si="229"/>
        <v>-3608</v>
      </c>
      <c r="V108" s="96">
        <v>-3825</v>
      </c>
      <c r="W108" s="96">
        <f>-7535-V108</f>
        <v>-3710</v>
      </c>
      <c r="X108" s="96">
        <f>-11430-W108-V108</f>
        <v>-3895</v>
      </c>
      <c r="Y108" s="34">
        <f t="shared" si="230"/>
        <v>-3804</v>
      </c>
      <c r="Z108" s="96">
        <v>-3856</v>
      </c>
      <c r="AA108" s="96">
        <f>-7614-Z108</f>
        <v>-3758</v>
      </c>
      <c r="AB108" s="96">
        <f>-11559-AA108-Z108</f>
        <v>-3945</v>
      </c>
      <c r="AC108" s="34">
        <f t="shared" si="231"/>
        <v>-3862</v>
      </c>
      <c r="AE108" s="34">
        <f>SUM(O108:R108)</f>
        <v>-14877</v>
      </c>
      <c r="AF108" s="34">
        <f>SUM(P108:S108)</f>
        <v>-14932</v>
      </c>
      <c r="AG108" s="34">
        <f>SUM(Q108:T108)</f>
        <v>-14970</v>
      </c>
      <c r="AH108" s="34">
        <f>SUM(R108:U108)</f>
        <v>-14875</v>
      </c>
      <c r="AI108" s="34">
        <f>SUM(S108:V108)</f>
        <v>-14932</v>
      </c>
      <c r="AJ108" s="34">
        <f>SUM(T108:W108)</f>
        <v>-14992</v>
      </c>
      <c r="AK108" s="34">
        <f>SUM(U108:X108)</f>
        <v>-15038</v>
      </c>
      <c r="AL108" s="34">
        <f>SUM(V108:Y108)</f>
        <v>-15234</v>
      </c>
      <c r="AM108" s="34">
        <f>SUM(W108:Z108)</f>
        <v>-15265</v>
      </c>
      <c r="AN108" s="34">
        <f>SUM(X108:AA108)</f>
        <v>-15313</v>
      </c>
      <c r="AO108" s="34">
        <f>SUM(Y108:AB108)</f>
        <v>-15363</v>
      </c>
      <c r="AP108" s="34">
        <f>SUM(Z108:AC108)</f>
        <v>-15421</v>
      </c>
      <c r="AQ108" s="12"/>
      <c r="AR108" s="87">
        <f t="shared" si="232"/>
        <v>1.2275173952999818E-2</v>
      </c>
    </row>
    <row r="109" spans="2:44" ht="12.75" customHeight="1">
      <c r="B109" s="14" t="s">
        <v>91</v>
      </c>
      <c r="C109" s="15">
        <f t="shared" ref="C109:K109" si="233">SUM(C101:C108)</f>
        <v>-20483</v>
      </c>
      <c r="D109" s="15">
        <f t="shared" si="233"/>
        <v>-17347</v>
      </c>
      <c r="E109" s="15">
        <f t="shared" si="233"/>
        <v>-87876</v>
      </c>
      <c r="F109" s="15">
        <f t="shared" si="233"/>
        <v>-90976</v>
      </c>
      <c r="G109" s="15">
        <f t="shared" si="233"/>
        <v>-86820</v>
      </c>
      <c r="H109" s="15">
        <f t="shared" si="233"/>
        <v>-93353</v>
      </c>
      <c r="I109" s="15">
        <f t="shared" si="233"/>
        <v>-110749</v>
      </c>
      <c r="J109" s="15">
        <f t="shared" si="233"/>
        <v>-108338.10800000001</v>
      </c>
      <c r="K109" s="15">
        <f t="shared" si="233"/>
        <v>-121983</v>
      </c>
      <c r="L109" s="15">
        <f t="shared" ref="L109" si="234">SUM(L101:L108)</f>
        <v>-120686</v>
      </c>
      <c r="M109" s="34"/>
      <c r="N109" s="15">
        <f t="shared" ref="N109:AB109" si="235">SUM(N101:N108)</f>
        <v>-28159</v>
      </c>
      <c r="O109" s="15">
        <f t="shared" si="235"/>
        <v>-28351</v>
      </c>
      <c r="P109" s="15">
        <f t="shared" si="235"/>
        <v>-27445</v>
      </c>
      <c r="Q109" s="15">
        <f t="shared" si="235"/>
        <v>-26794</v>
      </c>
      <c r="R109" s="15">
        <f t="shared" si="235"/>
        <v>-35563</v>
      </c>
      <c r="S109" s="15">
        <f t="shared" si="235"/>
        <v>-25724</v>
      </c>
      <c r="T109" s="15">
        <f t="shared" si="235"/>
        <v>-24048</v>
      </c>
      <c r="U109" s="15">
        <f t="shared" si="235"/>
        <v>-23003.108</v>
      </c>
      <c r="V109" s="15">
        <f t="shared" si="235"/>
        <v>-30585</v>
      </c>
      <c r="W109" s="15">
        <f t="shared" si="235"/>
        <v>-30433</v>
      </c>
      <c r="X109" s="15">
        <f t="shared" si="235"/>
        <v>-36017</v>
      </c>
      <c r="Y109" s="15">
        <f t="shared" si="235"/>
        <v>-24948</v>
      </c>
      <c r="Z109" s="15">
        <f t="shared" si="235"/>
        <v>-39371</v>
      </c>
      <c r="AA109" s="36">
        <f t="shared" si="235"/>
        <v>-29006</v>
      </c>
      <c r="AB109" s="36">
        <f t="shared" si="235"/>
        <v>-24833</v>
      </c>
      <c r="AC109" s="36">
        <f t="shared" ref="AC109" si="236">SUM(AC101:AC108)</f>
        <v>-27476</v>
      </c>
      <c r="AE109" s="36">
        <f t="shared" ref="AE109:AO109" si="237">SUM(AE101:AE108)</f>
        <v>-118153</v>
      </c>
      <c r="AF109" s="36">
        <f t="shared" si="237"/>
        <v>-115526</v>
      </c>
      <c r="AG109" s="15">
        <f t="shared" si="237"/>
        <v>-112129</v>
      </c>
      <c r="AH109" s="15">
        <f t="shared" si="237"/>
        <v>-108338.10800000001</v>
      </c>
      <c r="AI109" s="15">
        <f t="shared" si="237"/>
        <v>-103360.10800000001</v>
      </c>
      <c r="AJ109" s="15">
        <f t="shared" si="237"/>
        <v>-108069.10800000001</v>
      </c>
      <c r="AK109" s="15">
        <f t="shared" si="237"/>
        <v>-120038.10800000001</v>
      </c>
      <c r="AL109" s="15">
        <f t="shared" si="237"/>
        <v>-121983</v>
      </c>
      <c r="AM109" s="15">
        <f t="shared" si="237"/>
        <v>-130769</v>
      </c>
      <c r="AN109" s="15">
        <f t="shared" si="237"/>
        <v>-129342</v>
      </c>
      <c r="AO109" s="15">
        <f t="shared" si="237"/>
        <v>-118158</v>
      </c>
      <c r="AP109" s="15">
        <f t="shared" ref="AP109" si="238">SUM(AP101:AP108)</f>
        <v>-120686</v>
      </c>
      <c r="AQ109" s="45"/>
      <c r="AR109" s="88">
        <f t="shared" si="232"/>
        <v>-1.0632629136846927E-2</v>
      </c>
    </row>
    <row r="110" spans="2:44" ht="5.0999999999999996" customHeight="1">
      <c r="B110" s="8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34"/>
      <c r="N110" s="73"/>
      <c r="O110" s="73"/>
      <c r="P110" s="73"/>
      <c r="Q110" s="73"/>
      <c r="R110" s="73"/>
      <c r="S110" s="73"/>
      <c r="T110" s="73"/>
      <c r="U110" s="73"/>
      <c r="V110" s="74"/>
      <c r="W110" s="73"/>
      <c r="X110" s="73"/>
      <c r="Y110" s="73"/>
      <c r="Z110" s="73"/>
      <c r="AA110" s="73"/>
      <c r="AB110" s="73"/>
      <c r="AC110" s="73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51"/>
    </row>
    <row r="111" spans="2:44" ht="5.0999999999999996" customHeight="1">
      <c r="B111" s="83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12"/>
      <c r="AR111" s="51"/>
    </row>
    <row r="112" spans="2:44">
      <c r="B112" s="131" t="s">
        <v>553</v>
      </c>
      <c r="C112" s="458">
        <v>21120</v>
      </c>
      <c r="D112" s="132">
        <f t="shared" ref="D112:H112" si="239">C119</f>
        <v>20484</v>
      </c>
      <c r="E112" s="132">
        <f t="shared" si="239"/>
        <v>20289</v>
      </c>
      <c r="F112" s="132">
        <f t="shared" si="239"/>
        <v>25913</v>
      </c>
      <c r="G112" s="132">
        <f t="shared" si="239"/>
        <v>48844</v>
      </c>
      <c r="H112" s="132">
        <f>G119</f>
        <v>38016</v>
      </c>
      <c r="I112" s="132">
        <f t="shared" ref="I112:L112" si="240">H119</f>
        <v>34940</v>
      </c>
      <c r="J112" s="132">
        <f t="shared" si="240"/>
        <v>23646</v>
      </c>
      <c r="K112" s="132">
        <f t="shared" si="240"/>
        <v>29964.999999999993</v>
      </c>
      <c r="L112" s="132">
        <f t="shared" si="240"/>
        <v>29943</v>
      </c>
      <c r="M112" s="132"/>
      <c r="N112" s="132">
        <f>I112</f>
        <v>34940</v>
      </c>
      <c r="O112" s="132">
        <f t="shared" ref="O112:AC112" si="241">N119</f>
        <v>37119</v>
      </c>
      <c r="P112" s="132">
        <f t="shared" si="241"/>
        <v>28098</v>
      </c>
      <c r="Q112" s="132">
        <f t="shared" si="241"/>
        <v>27502</v>
      </c>
      <c r="R112" s="132">
        <f t="shared" si="241"/>
        <v>23646</v>
      </c>
      <c r="S112" s="132">
        <f t="shared" si="241"/>
        <v>20535</v>
      </c>
      <c r="T112" s="132">
        <f t="shared" si="241"/>
        <v>24687</v>
      </c>
      <c r="U112" s="132">
        <f t="shared" si="241"/>
        <v>28408</v>
      </c>
      <c r="V112" s="132">
        <f t="shared" si="241"/>
        <v>29965</v>
      </c>
      <c r="W112" s="132">
        <f t="shared" si="241"/>
        <v>40760</v>
      </c>
      <c r="X112" s="132">
        <f t="shared" si="241"/>
        <v>32695</v>
      </c>
      <c r="Y112" s="132">
        <f t="shared" si="241"/>
        <v>25565</v>
      </c>
      <c r="Z112" s="132">
        <f t="shared" si="241"/>
        <v>29943</v>
      </c>
      <c r="AA112" s="132">
        <f t="shared" si="241"/>
        <v>30299</v>
      </c>
      <c r="AB112" s="132">
        <f t="shared" si="241"/>
        <v>28162</v>
      </c>
      <c r="AC112" s="132">
        <f t="shared" si="241"/>
        <v>36269</v>
      </c>
      <c r="AD112" s="132"/>
      <c r="AE112" s="132">
        <f>N119</f>
        <v>37119</v>
      </c>
      <c r="AF112" s="132">
        <f>O119</f>
        <v>28098</v>
      </c>
      <c r="AG112" s="132">
        <f>P119</f>
        <v>27502</v>
      </c>
      <c r="AH112" s="132">
        <f>Q119</f>
        <v>23646</v>
      </c>
      <c r="AI112" s="132">
        <f>R119</f>
        <v>20535</v>
      </c>
      <c r="AJ112" s="132">
        <f>S119</f>
        <v>24687</v>
      </c>
      <c r="AK112" s="132">
        <f>T119</f>
        <v>28408</v>
      </c>
      <c r="AL112" s="132">
        <f>U119</f>
        <v>29965</v>
      </c>
      <c r="AM112" s="132">
        <f>V119</f>
        <v>40760</v>
      </c>
      <c r="AN112" s="132">
        <f>W119</f>
        <v>32695</v>
      </c>
      <c r="AO112" s="132">
        <f>X119</f>
        <v>25565</v>
      </c>
      <c r="AP112" s="133">
        <f>Y119</f>
        <v>29943</v>
      </c>
      <c r="AQ112" s="12"/>
      <c r="AR112" s="51"/>
    </row>
    <row r="113" spans="2:44">
      <c r="B113" s="455" t="s">
        <v>255</v>
      </c>
      <c r="C113" s="457">
        <v>0</v>
      </c>
      <c r="D113" s="34">
        <f t="shared" ref="D113:G113" si="242">-C117</f>
        <v>0</v>
      </c>
      <c r="E113" s="34">
        <f t="shared" si="242"/>
        <v>0</v>
      </c>
      <c r="F113" s="34">
        <f t="shared" si="242"/>
        <v>0</v>
      </c>
      <c r="G113" s="34">
        <f>-F117</f>
        <v>1380</v>
      </c>
      <c r="H113" s="34">
        <f>-G117</f>
        <v>1773</v>
      </c>
      <c r="I113" s="34">
        <f>-H117</f>
        <v>989</v>
      </c>
      <c r="J113" s="34">
        <f t="shared" ref="J113:L113" si="243">-I117</f>
        <v>1331</v>
      </c>
      <c r="K113" s="34">
        <f t="shared" si="243"/>
        <v>921.89200000000005</v>
      </c>
      <c r="L113" s="34">
        <f t="shared" si="243"/>
        <v>149.891999999993</v>
      </c>
      <c r="M113" s="34"/>
      <c r="N113" s="34">
        <f>I113</f>
        <v>989</v>
      </c>
      <c r="O113" s="34">
        <f>-N117</f>
        <v>1511</v>
      </c>
      <c r="P113" s="34">
        <f t="shared" ref="P113:AC113" si="244">-O117</f>
        <v>1082</v>
      </c>
      <c r="Q113" s="34">
        <f t="shared" si="244"/>
        <v>1359</v>
      </c>
      <c r="R113" s="34">
        <f t="shared" si="244"/>
        <v>1331</v>
      </c>
      <c r="S113" s="34">
        <f t="shared" si="244"/>
        <v>1439</v>
      </c>
      <c r="T113" s="34">
        <f t="shared" si="244"/>
        <v>2442</v>
      </c>
      <c r="U113" s="34">
        <f t="shared" si="244"/>
        <v>1490</v>
      </c>
      <c r="V113" s="34">
        <f t="shared" si="244"/>
        <v>921.89199999999983</v>
      </c>
      <c r="W113" s="34">
        <f t="shared" si="244"/>
        <v>1363.8919999999998</v>
      </c>
      <c r="X113" s="34">
        <f t="shared" si="244"/>
        <v>1375.8919999999998</v>
      </c>
      <c r="Y113" s="34">
        <f t="shared" si="244"/>
        <v>1219.8919999999998</v>
      </c>
      <c r="Z113" s="34">
        <f t="shared" si="244"/>
        <v>149.89199999999983</v>
      </c>
      <c r="AA113" s="34">
        <f t="shared" si="244"/>
        <v>149.89199999999983</v>
      </c>
      <c r="AB113" s="34">
        <f t="shared" si="244"/>
        <v>149.89199999999983</v>
      </c>
      <c r="AC113" s="34">
        <f t="shared" si="244"/>
        <v>149.89199999999983</v>
      </c>
      <c r="AD113" s="34"/>
      <c r="AE113" s="34">
        <f>-N117</f>
        <v>1511</v>
      </c>
      <c r="AF113" s="34">
        <f>-O117</f>
        <v>1082</v>
      </c>
      <c r="AG113" s="34">
        <f>-P117</f>
        <v>1359</v>
      </c>
      <c r="AH113" s="34">
        <f>-Q117</f>
        <v>1331</v>
      </c>
      <c r="AI113" s="34">
        <f>-R117</f>
        <v>1439</v>
      </c>
      <c r="AJ113" s="34">
        <f>-S117</f>
        <v>2442</v>
      </c>
      <c r="AK113" s="34">
        <f>-T117</f>
        <v>1490</v>
      </c>
      <c r="AL113" s="34">
        <f>-U117</f>
        <v>921.89199999999983</v>
      </c>
      <c r="AM113" s="34">
        <f>-V117</f>
        <v>1363.8919999999998</v>
      </c>
      <c r="AN113" s="34">
        <f>-W117</f>
        <v>1375.8919999999998</v>
      </c>
      <c r="AO113" s="456">
        <f>-X117</f>
        <v>1219.8919999999998</v>
      </c>
      <c r="AP113" s="128">
        <f>-Y117</f>
        <v>149.89199999999983</v>
      </c>
      <c r="AQ113" s="12"/>
      <c r="AR113" s="51"/>
    </row>
    <row r="114" spans="2:44">
      <c r="B114" s="125" t="s">
        <v>252</v>
      </c>
      <c r="C114" s="462">
        <f>SUM(C112:C113)</f>
        <v>21120</v>
      </c>
      <c r="D114" s="462">
        <f>SUM(D112:D113)</f>
        <v>20484</v>
      </c>
      <c r="E114" s="462">
        <f>SUM(E112:E113)</f>
        <v>20289</v>
      </c>
      <c r="F114" s="462">
        <f>SUM(F112:F113)</f>
        <v>25913</v>
      </c>
      <c r="G114" s="462">
        <f>SUM(G112:G113)</f>
        <v>50224</v>
      </c>
      <c r="H114" s="462">
        <f>SUM(H112:H113)</f>
        <v>39789</v>
      </c>
      <c r="I114" s="462">
        <f>SUM(I112:I113)</f>
        <v>35929</v>
      </c>
      <c r="J114" s="462">
        <f>SUM(J112:J113)</f>
        <v>24977</v>
      </c>
      <c r="K114" s="462">
        <f>SUM(K112:K113)</f>
        <v>30886.891999999993</v>
      </c>
      <c r="L114" s="462">
        <f>SUM(L112:L113)</f>
        <v>30092.891999999993</v>
      </c>
      <c r="M114" s="34"/>
      <c r="N114" s="462">
        <f>SUM(N112:N113)</f>
        <v>35929</v>
      </c>
      <c r="O114" s="462">
        <f>SUM(O112:O113)</f>
        <v>38630</v>
      </c>
      <c r="P114" s="462">
        <f>SUM(P112:P113)</f>
        <v>29180</v>
      </c>
      <c r="Q114" s="462">
        <f>SUM(Q112:Q113)</f>
        <v>28861</v>
      </c>
      <c r="R114" s="462">
        <f>SUM(R112:R113)</f>
        <v>24977</v>
      </c>
      <c r="S114" s="462">
        <f>SUM(S112:S113)</f>
        <v>21974</v>
      </c>
      <c r="T114" s="462">
        <f>SUM(T112:T113)</f>
        <v>27129</v>
      </c>
      <c r="U114" s="462">
        <f>SUM(U112:U113)</f>
        <v>29898</v>
      </c>
      <c r="V114" s="462">
        <f>SUM(V112:V113)</f>
        <v>30886.892</v>
      </c>
      <c r="W114" s="462">
        <f>SUM(W112:W113)</f>
        <v>42123.892</v>
      </c>
      <c r="X114" s="462">
        <f>SUM(X112:X113)</f>
        <v>34070.892</v>
      </c>
      <c r="Y114" s="462">
        <f>SUM(Y112:Y113)</f>
        <v>26784.892</v>
      </c>
      <c r="Z114" s="462">
        <f>SUM(Z112:Z113)</f>
        <v>30092.892</v>
      </c>
      <c r="AA114" s="462">
        <f>SUM(AA112:AA113)</f>
        <v>30448.892</v>
      </c>
      <c r="AB114" s="462">
        <f>SUM(AB112:AB113)</f>
        <v>28311.892</v>
      </c>
      <c r="AC114" s="462">
        <f>SUM(AC112:AC113)</f>
        <v>36418.892</v>
      </c>
      <c r="AD114" s="34"/>
      <c r="AE114" s="462">
        <f>SUM(AE112:AE113)</f>
        <v>38630</v>
      </c>
      <c r="AF114" s="462">
        <f>SUM(AF112:AF113)</f>
        <v>29180</v>
      </c>
      <c r="AG114" s="462">
        <f>SUM(AG112:AG113)</f>
        <v>28861</v>
      </c>
      <c r="AH114" s="462">
        <f>SUM(AH112:AH113)</f>
        <v>24977</v>
      </c>
      <c r="AI114" s="462">
        <f>SUM(AI112:AI113)</f>
        <v>21974</v>
      </c>
      <c r="AJ114" s="462">
        <f>SUM(AJ112:AJ113)</f>
        <v>27129</v>
      </c>
      <c r="AK114" s="462">
        <f>SUM(AK112:AK113)</f>
        <v>29898</v>
      </c>
      <c r="AL114" s="462">
        <f>SUM(AL112:AL113)</f>
        <v>30886.892</v>
      </c>
      <c r="AM114" s="462">
        <f>SUM(AM112:AM113)</f>
        <v>42123.892</v>
      </c>
      <c r="AN114" s="462">
        <f>SUM(AN112:AN113)</f>
        <v>34070.892</v>
      </c>
      <c r="AO114" s="462">
        <f>SUM(AO112:AO113)</f>
        <v>26784.892</v>
      </c>
      <c r="AP114" s="463">
        <f>SUM(AP112:AP113)</f>
        <v>30092.892</v>
      </c>
      <c r="AQ114" s="12"/>
      <c r="AR114" s="51"/>
    </row>
    <row r="115" spans="2:44" ht="5.0999999999999996" customHeight="1">
      <c r="B115" s="12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456"/>
      <c r="AP115" s="128"/>
      <c r="AQ115" s="12"/>
      <c r="AR115" s="51"/>
    </row>
    <row r="116" spans="2:44">
      <c r="B116" s="455" t="s">
        <v>552</v>
      </c>
      <c r="C116" s="457">
        <v>0</v>
      </c>
      <c r="D116" s="457">
        <v>0</v>
      </c>
      <c r="E116" s="457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34"/>
      <c r="N116" s="96">
        <v>0</v>
      </c>
      <c r="O116" s="96">
        <v>0</v>
      </c>
      <c r="P116" s="96">
        <v>0</v>
      </c>
      <c r="Q116" s="34">
        <f t="shared" ref="Q116" si="245">SUM(I116-SUM(N116:P116))</f>
        <v>0</v>
      </c>
      <c r="R116" s="96">
        <v>0</v>
      </c>
      <c r="S116" s="96">
        <v>0</v>
      </c>
      <c r="T116" s="96">
        <v>0</v>
      </c>
      <c r="U116" s="34">
        <f t="shared" ref="U116" si="246">SUM(J116-SUM(R116:T116))</f>
        <v>0</v>
      </c>
      <c r="V116" s="96">
        <v>0</v>
      </c>
      <c r="W116" s="96">
        <v>0</v>
      </c>
      <c r="X116" s="96">
        <v>0</v>
      </c>
      <c r="Y116" s="34">
        <f t="shared" ref="Y116" si="247">SUM(K116-SUM(V116:X116))</f>
        <v>0</v>
      </c>
      <c r="Z116" s="96">
        <v>0</v>
      </c>
      <c r="AA116" s="96">
        <v>0</v>
      </c>
      <c r="AB116" s="96">
        <v>0</v>
      </c>
      <c r="AC116" s="34">
        <f t="shared" ref="AC116" si="248">SUM(L116-SUM(Z116:AB116))</f>
        <v>0</v>
      </c>
      <c r="AD116" s="34"/>
      <c r="AE116" s="34">
        <f t="shared" ref="AE116" si="249">R116</f>
        <v>0</v>
      </c>
      <c r="AF116" s="34">
        <f t="shared" ref="AF116" si="250">S116</f>
        <v>0</v>
      </c>
      <c r="AG116" s="34">
        <f t="shared" ref="AG116" si="251">T116</f>
        <v>0</v>
      </c>
      <c r="AH116" s="34">
        <f t="shared" ref="AH116" si="252">U116</f>
        <v>0</v>
      </c>
      <c r="AI116" s="34">
        <f t="shared" ref="AI116" si="253">V116</f>
        <v>0</v>
      </c>
      <c r="AJ116" s="34">
        <f t="shared" ref="AJ116" si="254">W116</f>
        <v>0</v>
      </c>
      <c r="AK116" s="34">
        <f t="shared" ref="AK116" si="255">X116</f>
        <v>0</v>
      </c>
      <c r="AL116" s="34">
        <f t="shared" ref="AL116" si="256">Y116</f>
        <v>0</v>
      </c>
      <c r="AM116" s="34">
        <f t="shared" ref="AM116" si="257">Z116</f>
        <v>0</v>
      </c>
      <c r="AN116" s="34">
        <f t="shared" ref="AN116" si="258">AA116</f>
        <v>0</v>
      </c>
      <c r="AO116" s="456">
        <f>AB116</f>
        <v>0</v>
      </c>
      <c r="AP116" s="128">
        <f>AC116</f>
        <v>0</v>
      </c>
      <c r="AQ116" s="12"/>
      <c r="AR116" s="51"/>
    </row>
    <row r="117" spans="2:44">
      <c r="B117" s="455" t="s">
        <v>254</v>
      </c>
      <c r="C117" s="457">
        <v>0</v>
      </c>
      <c r="D117" s="457">
        <v>0</v>
      </c>
      <c r="E117" s="457">
        <v>0</v>
      </c>
      <c r="F117" s="96">
        <f>-23-1357</f>
        <v>-1380</v>
      </c>
      <c r="G117" s="96">
        <f>-(1737+36)</f>
        <v>-1773</v>
      </c>
      <c r="H117" s="96">
        <v>-989</v>
      </c>
      <c r="I117" s="96">
        <v>-1331</v>
      </c>
      <c r="J117" s="96">
        <v>-921.89200000000005</v>
      </c>
      <c r="K117" s="96">
        <v>-149.891999999993</v>
      </c>
      <c r="L117" s="96">
        <v>-149.891999999993</v>
      </c>
      <c r="M117" s="34"/>
      <c r="N117" s="96">
        <v>-1511</v>
      </c>
      <c r="O117" s="96">
        <v>-1082</v>
      </c>
      <c r="P117" s="96">
        <v>-1359</v>
      </c>
      <c r="Q117" s="96">
        <v>-1331</v>
      </c>
      <c r="R117" s="96">
        <v>-1439</v>
      </c>
      <c r="S117" s="96">
        <v>-2442</v>
      </c>
      <c r="T117" s="96">
        <v>-1490</v>
      </c>
      <c r="U117" s="96">
        <v>-921.89199999999983</v>
      </c>
      <c r="V117" s="96">
        <v>-1363.8919999999998</v>
      </c>
      <c r="W117" s="96">
        <v>-1375.8919999999998</v>
      </c>
      <c r="X117" s="96">
        <v>-1219.8919999999998</v>
      </c>
      <c r="Y117" s="96">
        <v>-149.89199999999983</v>
      </c>
      <c r="Z117" s="96">
        <v>-149.89199999999983</v>
      </c>
      <c r="AA117" s="96">
        <v>-149.89199999999983</v>
      </c>
      <c r="AB117" s="96">
        <v>-149.89199999999983</v>
      </c>
      <c r="AC117" s="34">
        <f>L117</f>
        <v>-149.891999999993</v>
      </c>
      <c r="AD117" s="34"/>
      <c r="AE117" s="34">
        <f>R117</f>
        <v>-1439</v>
      </c>
      <c r="AF117" s="34">
        <f>S117</f>
        <v>-2442</v>
      </c>
      <c r="AG117" s="34">
        <f>T117</f>
        <v>-1490</v>
      </c>
      <c r="AH117" s="34">
        <f>U117</f>
        <v>-921.89199999999983</v>
      </c>
      <c r="AI117" s="34">
        <f>V117</f>
        <v>-1363.8919999999998</v>
      </c>
      <c r="AJ117" s="34">
        <f>W117</f>
        <v>-1375.8919999999998</v>
      </c>
      <c r="AK117" s="34">
        <f>X117</f>
        <v>-1219.8919999999998</v>
      </c>
      <c r="AL117" s="34">
        <f>Y117</f>
        <v>-149.89199999999983</v>
      </c>
      <c r="AM117" s="34">
        <f>Z117</f>
        <v>-149.89199999999983</v>
      </c>
      <c r="AN117" s="34">
        <f>AA117</f>
        <v>-149.89199999999983</v>
      </c>
      <c r="AO117" s="456">
        <f>AB117</f>
        <v>-149.89199999999983</v>
      </c>
      <c r="AP117" s="128">
        <f>AC117</f>
        <v>-149.891999999993</v>
      </c>
      <c r="AQ117" s="12"/>
      <c r="AR117" s="51"/>
    </row>
    <row r="118" spans="2:44">
      <c r="B118" s="124" t="s">
        <v>97</v>
      </c>
      <c r="C118" s="34">
        <f>+C109+C98+C90</f>
        <v>-636</v>
      </c>
      <c r="D118" s="34">
        <f>+D109+D98+D90</f>
        <v>-195</v>
      </c>
      <c r="E118" s="34">
        <f>+E109+E98+E90</f>
        <v>5624</v>
      </c>
      <c r="F118" s="34">
        <f>+F109+F98+F90</f>
        <v>24311</v>
      </c>
      <c r="G118" s="34">
        <f>+G109+G98+G90</f>
        <v>-10435</v>
      </c>
      <c r="H118" s="34">
        <f>+H109+H98+H90</f>
        <v>-3860</v>
      </c>
      <c r="I118" s="34">
        <f>+I109+I98+I90</f>
        <v>-10952</v>
      </c>
      <c r="J118" s="34">
        <f>+J109+J98+J90</f>
        <v>5909.8919999999925</v>
      </c>
      <c r="K118" s="34">
        <f>+K109+K98+K90</f>
        <v>-794</v>
      </c>
      <c r="L118" s="34">
        <f>+L109+L98+L90</f>
        <v>5991</v>
      </c>
      <c r="M118" s="34"/>
      <c r="N118" s="34">
        <f>+N109+N98+N90</f>
        <v>2701</v>
      </c>
      <c r="O118" s="34">
        <f>+O109+O98+O90</f>
        <v>-9450</v>
      </c>
      <c r="P118" s="34">
        <f>+P109+P98+P90</f>
        <v>-319</v>
      </c>
      <c r="Q118" s="34">
        <f>+Q109+Q98+Q90</f>
        <v>-3884</v>
      </c>
      <c r="R118" s="34">
        <f>+R109+R98+R90</f>
        <v>-3003</v>
      </c>
      <c r="S118" s="34">
        <f>+S109+S98+S90</f>
        <v>5155</v>
      </c>
      <c r="T118" s="34">
        <f>+T109+T98+T90</f>
        <v>2769</v>
      </c>
      <c r="U118" s="34">
        <f>+U109+U98+U90</f>
        <v>988.89199999999983</v>
      </c>
      <c r="V118" s="34">
        <f>+V109+V98+V90</f>
        <v>11237</v>
      </c>
      <c r="W118" s="34">
        <f>+W109+W98+W90</f>
        <v>-8053</v>
      </c>
      <c r="X118" s="34">
        <f>+X109+X98+X90</f>
        <v>-7286</v>
      </c>
      <c r="Y118" s="34">
        <f>+Y109+Y98+Y90</f>
        <v>3308</v>
      </c>
      <c r="Z118" s="34">
        <f>+Z109+Z98+Z90</f>
        <v>356</v>
      </c>
      <c r="AA118" s="34">
        <f>+AA109+AA98+AA90</f>
        <v>-2137</v>
      </c>
      <c r="AB118" s="34">
        <f>+AB109+AB98+AB90</f>
        <v>8107</v>
      </c>
      <c r="AC118" s="34">
        <f>+AC109+AC98+AC90</f>
        <v>-335</v>
      </c>
      <c r="AD118" s="34"/>
      <c r="AE118" s="34">
        <f>+AE109+AE98+AE90</f>
        <v>-16656</v>
      </c>
      <c r="AF118" s="34">
        <f>+AF109+AF98+AF90</f>
        <v>-2051</v>
      </c>
      <c r="AG118" s="34">
        <f>+AG109+AG98+AG90</f>
        <v>1037</v>
      </c>
      <c r="AH118" s="34">
        <f>+AH109+AH98+AH90</f>
        <v>5909.8919999999925</v>
      </c>
      <c r="AI118" s="34">
        <f>+AI109+AI98+AI90</f>
        <v>20149.891999999993</v>
      </c>
      <c r="AJ118" s="34">
        <f>+AJ109+AJ98+AJ90</f>
        <v>6941.8919999999925</v>
      </c>
      <c r="AK118" s="34">
        <f>+AK109+AK98+AK90</f>
        <v>-3113.1080000000075</v>
      </c>
      <c r="AL118" s="34">
        <f>+AL109+AL98+AL90</f>
        <v>-794</v>
      </c>
      <c r="AM118" s="34">
        <f>+AM109+AM98+AM90</f>
        <v>-11675</v>
      </c>
      <c r="AN118" s="34">
        <f>+AN109+AN98+AN90</f>
        <v>-5759</v>
      </c>
      <c r="AO118" s="456">
        <f>+AO109+AO98+AO90</f>
        <v>9634</v>
      </c>
      <c r="AP118" s="128">
        <f>+AP109+AP98+AP90</f>
        <v>5991</v>
      </c>
      <c r="AQ118" s="12"/>
      <c r="AR118" s="51"/>
    </row>
    <row r="119" spans="2:44">
      <c r="B119" s="125" t="s">
        <v>253</v>
      </c>
      <c r="C119" s="462">
        <f t="shared" ref="C119:F119" si="259">SUM(C114:C118)</f>
        <v>20484</v>
      </c>
      <c r="D119" s="462">
        <f t="shared" si="259"/>
        <v>20289</v>
      </c>
      <c r="E119" s="462">
        <f t="shared" si="259"/>
        <v>25913</v>
      </c>
      <c r="F119" s="462">
        <f t="shared" si="259"/>
        <v>48844</v>
      </c>
      <c r="G119" s="462">
        <f>SUM(G114:G118)</f>
        <v>38016</v>
      </c>
      <c r="H119" s="462">
        <f t="shared" ref="H119:K119" si="260">SUM(H114:H118)</f>
        <v>34940</v>
      </c>
      <c r="I119" s="462">
        <f t="shared" si="260"/>
        <v>23646</v>
      </c>
      <c r="J119" s="462">
        <f t="shared" si="260"/>
        <v>29964.999999999993</v>
      </c>
      <c r="K119" s="462">
        <f t="shared" si="260"/>
        <v>29943</v>
      </c>
      <c r="L119" s="462">
        <f t="shared" ref="L119" si="261">SUM(L114:L118)</f>
        <v>35934</v>
      </c>
      <c r="M119" s="34"/>
      <c r="N119" s="462">
        <f t="shared" ref="N119" si="262">SUM(N114:N118)</f>
        <v>37119</v>
      </c>
      <c r="O119" s="462">
        <f t="shared" ref="O119" si="263">SUM(O114:O118)</f>
        <v>28098</v>
      </c>
      <c r="P119" s="462">
        <f t="shared" ref="P119" si="264">SUM(P114:P118)</f>
        <v>27502</v>
      </c>
      <c r="Q119" s="462">
        <f t="shared" ref="Q119" si="265">SUM(Q114:Q118)</f>
        <v>23646</v>
      </c>
      <c r="R119" s="462">
        <f t="shared" ref="R119" si="266">SUM(R114:R118)</f>
        <v>20535</v>
      </c>
      <c r="S119" s="462">
        <f t="shared" ref="S119" si="267">SUM(S114:S118)</f>
        <v>24687</v>
      </c>
      <c r="T119" s="462">
        <f t="shared" ref="T119" si="268">SUM(T114:T118)</f>
        <v>28408</v>
      </c>
      <c r="U119" s="462">
        <f t="shared" ref="U119" si="269">SUM(U114:U118)</f>
        <v>29965</v>
      </c>
      <c r="V119" s="462">
        <f t="shared" ref="V119" si="270">SUM(V114:V118)</f>
        <v>40760</v>
      </c>
      <c r="W119" s="462">
        <f t="shared" ref="W119" si="271">SUM(W114:W118)</f>
        <v>32695</v>
      </c>
      <c r="X119" s="462">
        <f t="shared" ref="X119" si="272">SUM(X114:X118)</f>
        <v>25565</v>
      </c>
      <c r="Y119" s="462">
        <f t="shared" ref="Y119" si="273">SUM(Y114:Y118)</f>
        <v>29943</v>
      </c>
      <c r="Z119" s="462">
        <f t="shared" ref="Z119" si="274">SUM(Z114:Z118)</f>
        <v>30299</v>
      </c>
      <c r="AA119" s="462">
        <f t="shared" ref="AA119" si="275">SUM(AA114:AA118)</f>
        <v>28162</v>
      </c>
      <c r="AB119" s="462">
        <f t="shared" ref="AB119:AC119" si="276">SUM(AB114:AB118)</f>
        <v>36269</v>
      </c>
      <c r="AC119" s="462">
        <f t="shared" si="276"/>
        <v>35934.000000000007</v>
      </c>
      <c r="AD119" s="34"/>
      <c r="AE119" s="462">
        <f t="shared" ref="AE119" si="277">SUM(AE114:AE118)</f>
        <v>20535</v>
      </c>
      <c r="AF119" s="462">
        <f t="shared" ref="AF119" si="278">SUM(AF114:AF118)</f>
        <v>24687</v>
      </c>
      <c r="AG119" s="462">
        <f t="shared" ref="AG119" si="279">SUM(AG114:AG118)</f>
        <v>28408</v>
      </c>
      <c r="AH119" s="462">
        <f t="shared" ref="AH119" si="280">SUM(AH114:AH118)</f>
        <v>29964.999999999993</v>
      </c>
      <c r="AI119" s="462">
        <f t="shared" ref="AI119" si="281">SUM(AI114:AI118)</f>
        <v>40759.999999999993</v>
      </c>
      <c r="AJ119" s="462">
        <f t="shared" ref="AJ119" si="282">SUM(AJ114:AJ118)</f>
        <v>32694.999999999993</v>
      </c>
      <c r="AK119" s="462">
        <f t="shared" ref="AK119" si="283">SUM(AK114:AK118)</f>
        <v>25564.999999999993</v>
      </c>
      <c r="AL119" s="462">
        <f t="shared" ref="AL119" si="284">SUM(AL114:AL118)</f>
        <v>29943</v>
      </c>
      <c r="AM119" s="462">
        <f t="shared" ref="AM119" si="285">SUM(AM114:AM118)</f>
        <v>30299</v>
      </c>
      <c r="AN119" s="462">
        <f t="shared" ref="AN119" si="286">SUM(AN114:AN118)</f>
        <v>28162</v>
      </c>
      <c r="AO119" s="462">
        <f t="shared" ref="AO119:AP119" si="287">SUM(AO114:AO118)</f>
        <v>36269</v>
      </c>
      <c r="AP119" s="463">
        <f t="shared" si="287"/>
        <v>35934.000000000007</v>
      </c>
      <c r="AQ119" s="12"/>
      <c r="AR119" s="51"/>
    </row>
    <row r="120" spans="2:44" ht="5.0999999999999996" customHeight="1">
      <c r="B120" s="126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34"/>
      <c r="N120" s="73"/>
      <c r="O120" s="73"/>
      <c r="P120" s="73"/>
      <c r="Q120" s="73"/>
      <c r="R120" s="73"/>
      <c r="S120" s="73"/>
      <c r="T120" s="73"/>
      <c r="U120" s="73"/>
      <c r="V120" s="74"/>
      <c r="W120" s="73"/>
      <c r="X120" s="73"/>
      <c r="Y120" s="73"/>
      <c r="Z120" s="73"/>
      <c r="AA120" s="73"/>
      <c r="AB120" s="73"/>
      <c r="AC120" s="73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461"/>
      <c r="AP120" s="129"/>
      <c r="AQ120" s="12"/>
      <c r="AR120" s="51"/>
    </row>
    <row r="121" spans="2:44">
      <c r="B121" s="127" t="s">
        <v>96</v>
      </c>
      <c r="C121" s="118">
        <f>C119-C39</f>
        <v>0</v>
      </c>
      <c r="D121" s="118">
        <f>D119-D39</f>
        <v>0</v>
      </c>
      <c r="E121" s="118">
        <f>E119-E39</f>
        <v>0</v>
      </c>
      <c r="F121" s="118">
        <f>F119-F39</f>
        <v>0</v>
      </c>
      <c r="G121" s="118">
        <f>G119-G39</f>
        <v>0</v>
      </c>
      <c r="H121" s="118">
        <f>H119-H39</f>
        <v>0</v>
      </c>
      <c r="I121" s="118">
        <f>I119-I39</f>
        <v>0</v>
      </c>
      <c r="J121" s="119">
        <f>J119-J39</f>
        <v>0</v>
      </c>
      <c r="K121" s="120">
        <f>K119-K39</f>
        <v>0</v>
      </c>
      <c r="L121" s="120">
        <f>L119-L39</f>
        <v>0</v>
      </c>
      <c r="M121" s="121"/>
      <c r="N121" s="122">
        <f>N119-N39</f>
        <v>0</v>
      </c>
      <c r="O121" s="122">
        <f>O119-O39</f>
        <v>0</v>
      </c>
      <c r="P121" s="122">
        <f>P119-P39</f>
        <v>0</v>
      </c>
      <c r="Q121" s="122">
        <f>Q119-Q39</f>
        <v>0</v>
      </c>
      <c r="R121" s="122">
        <f>R119-R39</f>
        <v>0</v>
      </c>
      <c r="S121" s="122">
        <f>S119-S39</f>
        <v>0</v>
      </c>
      <c r="T121" s="122">
        <f>T119-T39</f>
        <v>0</v>
      </c>
      <c r="U121" s="122">
        <f>U119-U39</f>
        <v>0</v>
      </c>
      <c r="V121" s="122">
        <f>V119-V39</f>
        <v>0</v>
      </c>
      <c r="W121" s="122">
        <f>W119-W39</f>
        <v>0</v>
      </c>
      <c r="X121" s="122">
        <f>X119-X39</f>
        <v>0</v>
      </c>
      <c r="Y121" s="122">
        <f>Y119-Y39</f>
        <v>0</v>
      </c>
      <c r="Z121" s="122">
        <f>Z119-Z39</f>
        <v>0</v>
      </c>
      <c r="AA121" s="122">
        <f>AA119-AA39</f>
        <v>0</v>
      </c>
      <c r="AB121" s="122">
        <f>AB119-AB39</f>
        <v>0</v>
      </c>
      <c r="AC121" s="122">
        <f>AC119-AC39</f>
        <v>0</v>
      </c>
      <c r="AD121" s="123"/>
      <c r="AE121" s="122">
        <f>AE119-AE39</f>
        <v>0</v>
      </c>
      <c r="AF121" s="122">
        <f>AF119-AF39</f>
        <v>0</v>
      </c>
      <c r="AG121" s="122">
        <f>AG119-AG39</f>
        <v>0</v>
      </c>
      <c r="AH121" s="122">
        <f>AH119-AH39</f>
        <v>0</v>
      </c>
      <c r="AI121" s="122">
        <f>AI119-AI39</f>
        <v>0</v>
      </c>
      <c r="AJ121" s="122">
        <f>AJ119-AJ39</f>
        <v>0</v>
      </c>
      <c r="AK121" s="122">
        <f>AK119-AK39</f>
        <v>0</v>
      </c>
      <c r="AL121" s="122">
        <f>AL119-AL39</f>
        <v>0</v>
      </c>
      <c r="AM121" s="122">
        <f>AM119-AM39</f>
        <v>0</v>
      </c>
      <c r="AN121" s="122">
        <f>AN119-AN39</f>
        <v>0</v>
      </c>
      <c r="AO121" s="122">
        <f>AO119-AO39</f>
        <v>0</v>
      </c>
      <c r="AP121" s="130">
        <f>AP119-AP39</f>
        <v>0</v>
      </c>
      <c r="AQ121" s="12"/>
      <c r="AR121" s="51"/>
    </row>
    <row r="122" spans="2:44" ht="5.0999999999999996" customHeight="1">
      <c r="B122" s="8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34"/>
      <c r="N122" s="73"/>
      <c r="O122" s="73"/>
      <c r="P122" s="73"/>
      <c r="Q122" s="73"/>
      <c r="R122" s="73"/>
      <c r="S122" s="73"/>
      <c r="T122" s="73"/>
      <c r="U122" s="73"/>
      <c r="V122" s="74"/>
      <c r="W122" s="73"/>
      <c r="X122" s="73"/>
      <c r="Y122" s="73"/>
      <c r="Z122" s="73"/>
      <c r="AA122" s="73"/>
      <c r="AB122" s="73"/>
      <c r="AC122" s="73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51"/>
    </row>
    <row r="123" spans="2:44" ht="12.75" customHeight="1">
      <c r="B123" s="84" t="s">
        <v>99</v>
      </c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12"/>
      <c r="N123" s="68"/>
      <c r="O123" s="68"/>
      <c r="P123" s="68"/>
      <c r="Q123" s="96"/>
      <c r="R123" s="68"/>
      <c r="S123" s="68"/>
      <c r="T123" s="68"/>
      <c r="U123" s="68"/>
      <c r="V123" s="75"/>
      <c r="W123" s="68"/>
      <c r="X123" s="68"/>
      <c r="Y123" s="68"/>
      <c r="Z123" s="68"/>
      <c r="AA123" s="68"/>
      <c r="AB123" s="68"/>
      <c r="AC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76"/>
      <c r="AR123" s="51"/>
    </row>
    <row r="124" spans="2:44" ht="12.75" customHeight="1">
      <c r="B124" s="8" t="s">
        <v>250</v>
      </c>
      <c r="C124" s="96">
        <v>10444</v>
      </c>
      <c r="D124" s="96">
        <v>11591</v>
      </c>
      <c r="E124" s="96">
        <v>10417</v>
      </c>
      <c r="F124" s="96">
        <v>15263</v>
      </c>
      <c r="G124" s="96">
        <v>9501</v>
      </c>
      <c r="H124" s="96">
        <v>25385</v>
      </c>
      <c r="I124" s="96">
        <v>19573</v>
      </c>
      <c r="J124" s="96">
        <v>18679</v>
      </c>
      <c r="K124" s="96">
        <v>26102</v>
      </c>
      <c r="L124" s="96">
        <v>43369</v>
      </c>
      <c r="M124" s="34"/>
      <c r="N124" s="96">
        <v>5235</v>
      </c>
      <c r="O124" s="96">
        <f>9301-N124</f>
        <v>4066</v>
      </c>
      <c r="P124" s="96">
        <f>12251-O124-N124</f>
        <v>2950</v>
      </c>
      <c r="Q124" s="34">
        <f t="shared" ref="Q124:Q125" si="288">SUM(I124-SUM(N124:P124))</f>
        <v>7322</v>
      </c>
      <c r="R124" s="96">
        <v>828</v>
      </c>
      <c r="S124" s="96">
        <f>4894-R124</f>
        <v>4066</v>
      </c>
      <c r="T124" s="96">
        <f>7020-S124-R124</f>
        <v>2126</v>
      </c>
      <c r="U124" s="34">
        <f t="shared" ref="U124:U125" si="289">SUM(J124-SUM(R124:T124))</f>
        <v>11659</v>
      </c>
      <c r="V124" s="96">
        <v>7255</v>
      </c>
      <c r="W124" s="96">
        <f>14531-V124</f>
        <v>7276</v>
      </c>
      <c r="X124" s="96">
        <f>19230-W124-V124</f>
        <v>4699</v>
      </c>
      <c r="Y124" s="34">
        <f t="shared" ref="Y124:Y125" si="290">SUM(K124-SUM(V124:X124))</f>
        <v>6872</v>
      </c>
      <c r="Z124" s="96">
        <v>18651</v>
      </c>
      <c r="AA124" s="96">
        <f>31683-Z124</f>
        <v>13032</v>
      </c>
      <c r="AB124" s="96">
        <f>37332-AA124-Z124</f>
        <v>5649</v>
      </c>
      <c r="AC124" s="34">
        <f t="shared" ref="AC124:AC125" si="291">SUM(L124-SUM(Z124:AB124))</f>
        <v>6037</v>
      </c>
      <c r="AD124" s="34"/>
      <c r="AE124" s="34">
        <f t="shared" ref="AE124:AP125" si="292">SUM(O124:R124)</f>
        <v>15166</v>
      </c>
      <c r="AF124" s="34">
        <f t="shared" si="292"/>
        <v>15166</v>
      </c>
      <c r="AG124" s="34">
        <f t="shared" si="292"/>
        <v>14342</v>
      </c>
      <c r="AH124" s="34">
        <f t="shared" si="292"/>
        <v>18679</v>
      </c>
      <c r="AI124" s="34">
        <f t="shared" si="292"/>
        <v>25106</v>
      </c>
      <c r="AJ124" s="34">
        <f t="shared" si="292"/>
        <v>28316</v>
      </c>
      <c r="AK124" s="34">
        <f t="shared" si="292"/>
        <v>30889</v>
      </c>
      <c r="AL124" s="34">
        <f t="shared" si="292"/>
        <v>26102</v>
      </c>
      <c r="AM124" s="34">
        <f t="shared" si="292"/>
        <v>37498</v>
      </c>
      <c r="AN124" s="34">
        <f t="shared" si="292"/>
        <v>43254</v>
      </c>
      <c r="AO124" s="34">
        <f t="shared" si="292"/>
        <v>44204</v>
      </c>
      <c r="AP124" s="34">
        <f t="shared" si="292"/>
        <v>43369</v>
      </c>
      <c r="AQ124" s="12"/>
      <c r="AR124" s="51"/>
    </row>
    <row r="125" spans="2:44" ht="12.75" customHeight="1">
      <c r="B125" s="5" t="s">
        <v>251</v>
      </c>
      <c r="C125" s="96">
        <v>1316</v>
      </c>
      <c r="D125" s="96">
        <v>2092</v>
      </c>
      <c r="E125" s="96">
        <v>3022</v>
      </c>
      <c r="F125" s="96">
        <v>3423</v>
      </c>
      <c r="G125" s="96">
        <v>3002</v>
      </c>
      <c r="H125" s="96">
        <v>2687</v>
      </c>
      <c r="I125" s="96">
        <v>2865</v>
      </c>
      <c r="J125" s="96">
        <v>3803</v>
      </c>
      <c r="K125" s="96">
        <v>0</v>
      </c>
      <c r="L125" s="96">
        <v>0</v>
      </c>
      <c r="M125" s="34"/>
      <c r="N125" s="96">
        <v>531</v>
      </c>
      <c r="O125" s="96">
        <f>1406-N125</f>
        <v>875</v>
      </c>
      <c r="P125" s="96">
        <f>1910-O125-N125</f>
        <v>504</v>
      </c>
      <c r="Q125" s="34">
        <f t="shared" si="288"/>
        <v>955</v>
      </c>
      <c r="R125" s="96">
        <v>703</v>
      </c>
      <c r="S125" s="96">
        <f>1873-R125</f>
        <v>1170</v>
      </c>
      <c r="T125" s="96">
        <f>2590-S125-R125</f>
        <v>717</v>
      </c>
      <c r="U125" s="34">
        <f t="shared" si="289"/>
        <v>1213</v>
      </c>
      <c r="V125" s="96">
        <v>0</v>
      </c>
      <c r="W125" s="96">
        <v>0</v>
      </c>
      <c r="X125" s="96">
        <v>0</v>
      </c>
      <c r="Y125" s="34">
        <f t="shared" si="290"/>
        <v>0</v>
      </c>
      <c r="Z125" s="96">
        <v>0</v>
      </c>
      <c r="AA125" s="96">
        <v>0</v>
      </c>
      <c r="AB125" s="96">
        <v>0</v>
      </c>
      <c r="AC125" s="34">
        <f t="shared" si="291"/>
        <v>0</v>
      </c>
      <c r="AD125" s="34"/>
      <c r="AE125" s="34">
        <f t="shared" si="292"/>
        <v>3037</v>
      </c>
      <c r="AF125" s="34">
        <f t="shared" si="292"/>
        <v>3332</v>
      </c>
      <c r="AG125" s="34">
        <f t="shared" si="292"/>
        <v>3545</v>
      </c>
      <c r="AH125" s="34">
        <f t="shared" si="292"/>
        <v>3803</v>
      </c>
      <c r="AI125" s="34">
        <f t="shared" si="292"/>
        <v>3100</v>
      </c>
      <c r="AJ125" s="34">
        <f t="shared" si="292"/>
        <v>1930</v>
      </c>
      <c r="AK125" s="34">
        <f t="shared" si="292"/>
        <v>1213</v>
      </c>
      <c r="AL125" s="34">
        <f t="shared" si="292"/>
        <v>0</v>
      </c>
      <c r="AM125" s="34">
        <f t="shared" si="292"/>
        <v>0</v>
      </c>
      <c r="AN125" s="34">
        <f t="shared" si="292"/>
        <v>0</v>
      </c>
      <c r="AO125" s="34">
        <f t="shared" si="292"/>
        <v>0</v>
      </c>
      <c r="AP125" s="34">
        <f t="shared" si="292"/>
        <v>0</v>
      </c>
      <c r="AR125" s="51"/>
    </row>
    <row r="126" spans="2:44" ht="5.0999999999999996" customHeight="1" thickBot="1">
      <c r="B126" s="85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R126" s="51"/>
    </row>
    <row r="127" spans="2:44" ht="12.75" customHeight="1">
      <c r="B127" s="59"/>
      <c r="C127" s="77"/>
      <c r="D127" s="77"/>
      <c r="E127" s="77"/>
      <c r="F127" s="77"/>
      <c r="G127" s="77"/>
      <c r="H127" s="77"/>
      <c r="I127" s="77"/>
      <c r="J127" s="77"/>
      <c r="K127" s="77"/>
      <c r="L127" s="77"/>
    </row>
    <row r="128" spans="2:44" ht="12.75" customHeight="1">
      <c r="C128" s="62"/>
      <c r="D128" s="62"/>
      <c r="E128" s="62"/>
      <c r="F128" s="62"/>
      <c r="G128" s="62"/>
      <c r="H128" s="62"/>
      <c r="I128" s="62"/>
      <c r="J128" s="62"/>
      <c r="K128" s="62"/>
      <c r="L128" s="62"/>
    </row>
    <row r="129" spans="3:14" ht="12.75" customHeight="1">
      <c r="C129" s="62"/>
      <c r="D129" s="62"/>
      <c r="E129" s="62"/>
      <c r="F129" s="62"/>
      <c r="G129" s="62"/>
      <c r="H129" s="62"/>
      <c r="I129" s="62"/>
      <c r="J129" s="62"/>
      <c r="K129" s="62"/>
      <c r="L129" s="62"/>
    </row>
    <row r="130" spans="3:14" ht="12.75" customHeight="1">
      <c r="C130" s="62"/>
      <c r="D130" s="62"/>
      <c r="E130" s="62"/>
      <c r="F130" s="62"/>
      <c r="G130" s="62"/>
      <c r="H130" s="62"/>
      <c r="I130" s="62"/>
      <c r="J130" s="62"/>
      <c r="K130" s="62"/>
      <c r="L130" s="62"/>
    </row>
    <row r="131" spans="3:14" ht="12.75" customHeight="1">
      <c r="C131" s="62"/>
      <c r="D131" s="62"/>
      <c r="E131" s="62"/>
      <c r="F131" s="62"/>
      <c r="G131" s="62"/>
      <c r="H131" s="62"/>
      <c r="I131" s="62"/>
      <c r="J131" s="62"/>
      <c r="K131" s="62"/>
      <c r="L131" s="62"/>
    </row>
    <row r="132" spans="3:14" ht="12.75" customHeight="1"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N132" s="117"/>
    </row>
    <row r="133" spans="3:14" ht="12.75" customHeight="1">
      <c r="C133" s="62"/>
      <c r="D133" s="62"/>
      <c r="E133" s="62"/>
      <c r="F133" s="62"/>
      <c r="G133" s="62"/>
      <c r="H133" s="62"/>
      <c r="I133" s="62"/>
      <c r="J133" s="62"/>
      <c r="K133" s="62"/>
      <c r="L133" s="62"/>
    </row>
    <row r="134" spans="3:14" ht="12.75" customHeight="1"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N134" s="117"/>
    </row>
    <row r="135" spans="3:14">
      <c r="N135" s="117"/>
    </row>
    <row r="136" spans="3:14">
      <c r="N136" s="117"/>
    </row>
    <row r="138" spans="3:14">
      <c r="N138" s="117"/>
    </row>
    <row r="139" spans="3:14">
      <c r="N139" s="117"/>
    </row>
  </sheetData>
  <mergeCells count="3">
    <mergeCell ref="AR6:AR8"/>
    <mergeCell ref="AR35:AR37"/>
    <mergeCell ref="AR70:AR72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O14:AO16 AO26:AO27 M44" formulaRange="1"/>
    <ignoredError sqref="AR10:AR10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R102"/>
  <sheetViews>
    <sheetView showGridLines="0" zoomScaleNormal="100" workbookViewId="0"/>
  </sheetViews>
  <sheetFormatPr defaultRowHeight="12" outlineLevelRow="1" outlineLevelCol="1"/>
  <cols>
    <col min="1" max="1" width="1.5" style="8" customWidth="1"/>
    <col min="2" max="2" width="46.5" style="8" bestFit="1" customWidth="1"/>
    <col min="3" max="12" width="7.875" style="8" bestFit="1" customWidth="1"/>
    <col min="13" max="13" width="1.5" style="8" customWidth="1"/>
    <col min="14" max="14" width="8.625" style="8" bestFit="1" customWidth="1" outlineLevel="1"/>
    <col min="15" max="16" width="7.875" style="8" customWidth="1" outlineLevel="1"/>
    <col min="17" max="17" width="8.75" style="8" customWidth="1" outlineLevel="1"/>
    <col min="18" max="18" width="8.625" style="8" bestFit="1" customWidth="1" outlineLevel="1"/>
    <col min="19" max="20" width="8" style="8" customWidth="1" outlineLevel="1"/>
    <col min="21" max="21" width="8.75" style="8" customWidth="1" outlineLevel="1"/>
    <col min="22" max="22" width="8.5" style="8" customWidth="1" outlineLevel="1"/>
    <col min="23" max="23" width="8.25" style="8" bestFit="1" customWidth="1"/>
    <col min="24" max="24" width="8.5" style="8" bestFit="1" customWidth="1"/>
    <col min="25" max="29" width="9.125" style="8" bestFit="1" customWidth="1"/>
    <col min="30" max="30" width="1.5" style="8" customWidth="1"/>
    <col min="31" max="36" width="8.75" style="8" customWidth="1" outlineLevel="1"/>
    <col min="37" max="37" width="8.75" style="8" bestFit="1" customWidth="1"/>
    <col min="38" max="40" width="8.75" style="8" customWidth="1" outlineLevel="1"/>
    <col min="41" max="42" width="8.75" style="8" bestFit="1" customWidth="1"/>
    <col min="43" max="43" width="1.5" style="8" customWidth="1"/>
    <col min="44" max="44" width="9.875" style="8" bestFit="1" customWidth="1"/>
    <col min="45" max="16384" width="9" style="8"/>
  </cols>
  <sheetData>
    <row r="2" spans="1:44" s="5" customFormat="1" ht="12.75" customHeight="1">
      <c r="B2" s="1" t="s">
        <v>223</v>
      </c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  <c r="N2" s="2" t="s">
        <v>1</v>
      </c>
      <c r="O2" s="2"/>
      <c r="P2" s="2"/>
      <c r="Q2" s="2"/>
      <c r="R2" s="2"/>
      <c r="S2" s="2"/>
      <c r="T2" s="2"/>
      <c r="U2" s="2"/>
      <c r="V2" s="2" t="s">
        <v>1</v>
      </c>
      <c r="W2" s="2" t="s">
        <v>1</v>
      </c>
      <c r="X2" s="2"/>
      <c r="Y2" s="2"/>
      <c r="Z2" s="2"/>
      <c r="AA2" s="2"/>
      <c r="AB2" s="2"/>
      <c r="AC2" s="2"/>
      <c r="AD2" s="3"/>
      <c r="AE2" s="2" t="s">
        <v>10</v>
      </c>
      <c r="AF2" s="2"/>
      <c r="AG2" s="2"/>
      <c r="AH2" s="2"/>
      <c r="AI2" s="2" t="s">
        <v>10</v>
      </c>
      <c r="AJ2" s="2"/>
      <c r="AK2" s="2"/>
      <c r="AL2" s="2"/>
      <c r="AM2" s="2"/>
      <c r="AN2" s="2"/>
      <c r="AO2" s="2"/>
      <c r="AP2" s="2"/>
      <c r="AQ2" s="3"/>
      <c r="AR2" s="284" t="s">
        <v>36</v>
      </c>
    </row>
    <row r="3" spans="1:44" s="5" customFormat="1" ht="12.75" customHeight="1">
      <c r="B3" s="6" t="s">
        <v>107</v>
      </c>
      <c r="C3" s="7">
        <f>'Historical Financials'!C7</f>
        <v>2016</v>
      </c>
      <c r="D3" s="7">
        <f>'Historical Financials'!D7</f>
        <v>2017</v>
      </c>
      <c r="E3" s="7">
        <f>'Historical Financials'!E7</f>
        <v>2018</v>
      </c>
      <c r="F3" s="7">
        <f>'Historical Financials'!F7</f>
        <v>2019</v>
      </c>
      <c r="G3" s="7">
        <f>'Historical Financials'!G7</f>
        <v>2020</v>
      </c>
      <c r="H3" s="7">
        <f>'Historical Financials'!H7</f>
        <v>2021</v>
      </c>
      <c r="I3" s="7">
        <f>'Historical Financials'!I7</f>
        <v>2022</v>
      </c>
      <c r="J3" s="7">
        <f>'Historical Financials'!J7</f>
        <v>2023</v>
      </c>
      <c r="K3" s="7">
        <f>'Historical Financials'!K7</f>
        <v>2024</v>
      </c>
      <c r="L3" s="7">
        <f>'Historical Financials'!L7</f>
        <v>2025</v>
      </c>
      <c r="M3" s="3"/>
      <c r="N3" s="7" t="str">
        <f>'Historical Financials'!N7</f>
        <v>1Q22</v>
      </c>
      <c r="O3" s="7" t="str">
        <f>'Historical Financials'!O7</f>
        <v>2Q22</v>
      </c>
      <c r="P3" s="7" t="str">
        <f>'Historical Financials'!P7</f>
        <v>3Q22</v>
      </c>
      <c r="Q3" s="7" t="str">
        <f>'Historical Financials'!Q7</f>
        <v>4Q22</v>
      </c>
      <c r="R3" s="7" t="str">
        <f>'Historical Financials'!R7</f>
        <v>1Q23</v>
      </c>
      <c r="S3" s="7" t="str">
        <f>'Historical Financials'!S7</f>
        <v>2Q23</v>
      </c>
      <c r="T3" s="7" t="str">
        <f>'Historical Financials'!T7</f>
        <v>3Q23</v>
      </c>
      <c r="U3" s="7" t="str">
        <f>'Historical Financials'!U7</f>
        <v>4Q23</v>
      </c>
      <c r="V3" s="7" t="str">
        <f>'Historical Financials'!V7</f>
        <v>1Q24</v>
      </c>
      <c r="W3" s="7" t="str">
        <f>'Historical Financials'!W7</f>
        <v>2Q24</v>
      </c>
      <c r="X3" s="7" t="str">
        <f>'Historical Financials'!X7</f>
        <v>3Q24</v>
      </c>
      <c r="Y3" s="7" t="str">
        <f>'Historical Financials'!Y7</f>
        <v>4Q24</v>
      </c>
      <c r="Z3" s="7" t="str">
        <f>'Historical Financials'!Z7</f>
        <v>1Q25</v>
      </c>
      <c r="AA3" s="7" t="str">
        <f>'Historical Financials'!AA7</f>
        <v>2Q25</v>
      </c>
      <c r="AB3" s="7" t="str">
        <f>'Historical Financials'!AB7</f>
        <v>3Q25</v>
      </c>
      <c r="AC3" s="7" t="str">
        <f>'Historical Financials'!AC7</f>
        <v>4Q25</v>
      </c>
      <c r="AD3" s="3"/>
      <c r="AE3" s="4" t="str">
        <f t="shared" ref="AE3:AO4" si="0">R3</f>
        <v>1Q23</v>
      </c>
      <c r="AF3" s="4" t="str">
        <f t="shared" si="0"/>
        <v>2Q23</v>
      </c>
      <c r="AG3" s="4" t="str">
        <f t="shared" si="0"/>
        <v>3Q23</v>
      </c>
      <c r="AH3" s="4" t="str">
        <f t="shared" si="0"/>
        <v>4Q23</v>
      </c>
      <c r="AI3" s="4" t="str">
        <f t="shared" si="0"/>
        <v>1Q24</v>
      </c>
      <c r="AJ3" s="4" t="str">
        <f t="shared" si="0"/>
        <v>2Q24</v>
      </c>
      <c r="AK3" s="4" t="str">
        <f t="shared" si="0"/>
        <v>3Q24</v>
      </c>
      <c r="AL3" s="4" t="str">
        <f t="shared" si="0"/>
        <v>4Q24</v>
      </c>
      <c r="AM3" s="4" t="str">
        <f t="shared" si="0"/>
        <v>1Q25</v>
      </c>
      <c r="AN3" s="4" t="str">
        <f t="shared" si="0"/>
        <v>2Q25</v>
      </c>
      <c r="AO3" s="4" t="str">
        <f t="shared" si="0"/>
        <v>3Q25</v>
      </c>
      <c r="AP3" s="4" t="str">
        <f>AC3</f>
        <v>4Q25</v>
      </c>
      <c r="AQ3" s="3"/>
      <c r="AR3" s="284"/>
    </row>
    <row r="4" spans="1:44" s="5" customFormat="1" ht="12.75" customHeight="1">
      <c r="B4" s="6" t="s">
        <v>351</v>
      </c>
      <c r="C4" s="3">
        <f>'Historical Financials'!C8</f>
        <v>42643</v>
      </c>
      <c r="D4" s="3">
        <f>'Historical Financials'!D8</f>
        <v>43008</v>
      </c>
      <c r="E4" s="3">
        <f>'Historical Financials'!E8</f>
        <v>43372</v>
      </c>
      <c r="F4" s="3">
        <f>'Historical Financials'!F8</f>
        <v>43737</v>
      </c>
      <c r="G4" s="3">
        <f>'Historical Financials'!G8</f>
        <v>44104</v>
      </c>
      <c r="H4" s="3">
        <f>'Historical Financials'!H8</f>
        <v>44469</v>
      </c>
      <c r="I4" s="3">
        <f>'Historical Financials'!I8</f>
        <v>44834</v>
      </c>
      <c r="J4" s="3">
        <f>'Historical Financials'!J8</f>
        <v>45192</v>
      </c>
      <c r="K4" s="3">
        <f>'Historical Financials'!K8</f>
        <v>45559</v>
      </c>
      <c r="L4" s="3">
        <f>'Historical Financials'!L8</f>
        <v>45927</v>
      </c>
      <c r="M4" s="3"/>
      <c r="N4" s="3">
        <f>'Historical Financials'!N8</f>
        <v>44560</v>
      </c>
      <c r="O4" s="3">
        <f>'Historical Financials'!O8</f>
        <v>44650</v>
      </c>
      <c r="P4" s="3">
        <f>'Historical Financials'!P8</f>
        <v>44742</v>
      </c>
      <c r="Q4" s="3">
        <f>'Historical Financials'!Q8</f>
        <v>44834</v>
      </c>
      <c r="R4" s="3">
        <f>'Historical Financials'!R8</f>
        <v>44917</v>
      </c>
      <c r="S4" s="3">
        <f>'Historical Financials'!S8</f>
        <v>45008</v>
      </c>
      <c r="T4" s="3">
        <f>'Historical Financials'!T8</f>
        <v>45100</v>
      </c>
      <c r="U4" s="3">
        <f>'Historical Financials'!U8</f>
        <v>45192</v>
      </c>
      <c r="V4" s="3">
        <f>'Historical Financials'!V8</f>
        <v>45283</v>
      </c>
      <c r="W4" s="3">
        <f>'Historical Financials'!W8</f>
        <v>45375</v>
      </c>
      <c r="X4" s="3">
        <f>'Historical Financials'!X8</f>
        <v>45467</v>
      </c>
      <c r="Y4" s="3">
        <f>'Historical Financials'!Y8</f>
        <v>45559</v>
      </c>
      <c r="Z4" s="3">
        <f>'Historical Financials'!Z8</f>
        <v>45650</v>
      </c>
      <c r="AA4" s="3">
        <f>'Historical Financials'!AA8</f>
        <v>45741</v>
      </c>
      <c r="AB4" s="3">
        <f>'Historical Financials'!AB8</f>
        <v>45833</v>
      </c>
      <c r="AC4" s="3">
        <f>'Historical Financials'!AC8</f>
        <v>45927</v>
      </c>
      <c r="AD4" s="3"/>
      <c r="AE4" s="3">
        <f t="shared" si="0"/>
        <v>44917</v>
      </c>
      <c r="AF4" s="3">
        <f t="shared" si="0"/>
        <v>45008</v>
      </c>
      <c r="AG4" s="3">
        <f t="shared" si="0"/>
        <v>45100</v>
      </c>
      <c r="AH4" s="3">
        <f t="shared" si="0"/>
        <v>45192</v>
      </c>
      <c r="AI4" s="3">
        <f t="shared" si="0"/>
        <v>45283</v>
      </c>
      <c r="AJ4" s="3">
        <f t="shared" si="0"/>
        <v>45375</v>
      </c>
      <c r="AK4" s="3">
        <f t="shared" si="0"/>
        <v>45467</v>
      </c>
      <c r="AL4" s="3">
        <f t="shared" si="0"/>
        <v>45559</v>
      </c>
      <c r="AM4" s="3">
        <f t="shared" si="0"/>
        <v>45650</v>
      </c>
      <c r="AN4" s="3">
        <f t="shared" si="0"/>
        <v>45741</v>
      </c>
      <c r="AO4" s="3">
        <f t="shared" si="0"/>
        <v>45833</v>
      </c>
      <c r="AP4" s="3">
        <f>AC4</f>
        <v>45927</v>
      </c>
      <c r="AQ4" s="3"/>
      <c r="AR4" s="284"/>
    </row>
    <row r="5" spans="1:44" ht="5.0999999999999996" customHeight="1"/>
    <row r="6" spans="1:44">
      <c r="A6" s="39" t="s">
        <v>24</v>
      </c>
      <c r="B6" s="1" t="s">
        <v>405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5.0999999999999996" customHeight="1">
      <c r="AR7" s="9"/>
    </row>
    <row r="8" spans="1:44">
      <c r="A8" s="94" t="s">
        <v>24</v>
      </c>
      <c r="B8" s="91" t="s">
        <v>256</v>
      </c>
      <c r="C8" s="27"/>
      <c r="D8" s="27"/>
      <c r="E8" s="27"/>
      <c r="F8" s="27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5"/>
      <c r="AE8" s="12"/>
      <c r="AF8" s="12"/>
      <c r="AG8" s="12"/>
      <c r="AH8" s="12"/>
      <c r="AI8" s="12"/>
      <c r="AJ8" s="12"/>
      <c r="AK8" s="12"/>
      <c r="AL8" s="12"/>
      <c r="AM8" s="12"/>
      <c r="AN8" s="12"/>
      <c r="AR8" s="13"/>
    </row>
    <row r="9" spans="1:44" ht="12.75" customHeight="1">
      <c r="B9" s="10" t="s">
        <v>258</v>
      </c>
      <c r="C9" s="95">
        <v>136700</v>
      </c>
      <c r="D9" s="95">
        <v>141319</v>
      </c>
      <c r="E9" s="95">
        <v>164888</v>
      </c>
      <c r="F9" s="95">
        <v>142381</v>
      </c>
      <c r="G9" s="95">
        <v>137781</v>
      </c>
      <c r="H9" s="95">
        <v>191973</v>
      </c>
      <c r="I9" s="95">
        <v>205489</v>
      </c>
      <c r="J9" s="95">
        <v>200583</v>
      </c>
      <c r="K9" s="95">
        <v>201183</v>
      </c>
      <c r="L9" s="95">
        <v>209586</v>
      </c>
      <c r="M9" s="95"/>
      <c r="N9" s="95">
        <v>71628</v>
      </c>
      <c r="O9" s="95">
        <v>50570</v>
      </c>
      <c r="P9" s="95">
        <v>40665</v>
      </c>
      <c r="Q9" s="34">
        <f t="shared" ref="Q9:Q13" si="1">SUM(I9-SUM(N9:P9))</f>
        <v>42626</v>
      </c>
      <c r="R9" s="95">
        <v>65775</v>
      </c>
      <c r="S9" s="95">
        <v>51334</v>
      </c>
      <c r="T9" s="95">
        <v>39669</v>
      </c>
      <c r="U9" s="34">
        <f t="shared" ref="U9:U13" si="2">SUM(J9-SUM(R9:T9))</f>
        <v>43805</v>
      </c>
      <c r="V9" s="95">
        <v>69702</v>
      </c>
      <c r="W9" s="95">
        <v>45963</v>
      </c>
      <c r="X9" s="95">
        <v>39296</v>
      </c>
      <c r="Y9" s="34">
        <f t="shared" ref="Y9:Y13" si="3">SUM(K9-SUM(V9:X9))</f>
        <v>46222</v>
      </c>
      <c r="Z9" s="95">
        <v>69138</v>
      </c>
      <c r="AA9" s="95">
        <v>46841</v>
      </c>
      <c r="AB9" s="95">
        <v>44582</v>
      </c>
      <c r="AC9" s="34">
        <f>SUM(L9-SUM(Z9:AB9))</f>
        <v>49025</v>
      </c>
      <c r="AD9" s="5"/>
      <c r="AE9" s="12">
        <f t="shared" ref="AE9:AO13" si="4">SUM(O9:R9)</f>
        <v>199636</v>
      </c>
      <c r="AF9" s="12">
        <f t="shared" si="4"/>
        <v>200400</v>
      </c>
      <c r="AG9" s="12">
        <f t="shared" si="4"/>
        <v>199404</v>
      </c>
      <c r="AH9" s="12">
        <f t="shared" si="4"/>
        <v>200583</v>
      </c>
      <c r="AI9" s="12">
        <f t="shared" si="4"/>
        <v>204510</v>
      </c>
      <c r="AJ9" s="12">
        <f t="shared" si="4"/>
        <v>199139</v>
      </c>
      <c r="AK9" s="12">
        <f t="shared" si="4"/>
        <v>198766</v>
      </c>
      <c r="AL9" s="12">
        <f t="shared" si="4"/>
        <v>201183</v>
      </c>
      <c r="AM9" s="12">
        <f t="shared" si="4"/>
        <v>200619</v>
      </c>
      <c r="AN9" s="12">
        <f t="shared" si="4"/>
        <v>201497</v>
      </c>
      <c r="AO9" s="12">
        <f t="shared" si="4"/>
        <v>206783</v>
      </c>
      <c r="AP9" s="12">
        <f>SUM(Z9:AC9)</f>
        <v>209586</v>
      </c>
      <c r="AR9" s="13">
        <f t="shared" ref="AR9:AR13" si="5">SUM(AO9/AK9)-1</f>
        <v>4.0333859915679726E-2</v>
      </c>
    </row>
    <row r="10" spans="1:44" ht="12.75" customHeight="1">
      <c r="B10" s="10" t="s">
        <v>259</v>
      </c>
      <c r="C10" s="95">
        <v>22831</v>
      </c>
      <c r="D10" s="95">
        <v>25850</v>
      </c>
      <c r="E10" s="95">
        <v>25198</v>
      </c>
      <c r="F10" s="95">
        <v>25740</v>
      </c>
      <c r="G10" s="95">
        <v>28622</v>
      </c>
      <c r="H10" s="95">
        <v>35190</v>
      </c>
      <c r="I10" s="95">
        <v>40177</v>
      </c>
      <c r="J10" s="95">
        <v>29357</v>
      </c>
      <c r="K10" s="95">
        <v>29984</v>
      </c>
      <c r="L10" s="95">
        <v>33708</v>
      </c>
      <c r="M10" s="95"/>
      <c r="N10" s="95">
        <v>10852</v>
      </c>
      <c r="O10" s="95">
        <v>10435</v>
      </c>
      <c r="P10" s="95">
        <v>7382</v>
      </c>
      <c r="Q10" s="34">
        <f t="shared" si="1"/>
        <v>11508</v>
      </c>
      <c r="R10" s="95">
        <v>7735</v>
      </c>
      <c r="S10" s="95">
        <v>7168</v>
      </c>
      <c r="T10" s="95">
        <v>6840</v>
      </c>
      <c r="U10" s="34">
        <f t="shared" si="2"/>
        <v>7614</v>
      </c>
      <c r="V10" s="95">
        <v>7780</v>
      </c>
      <c r="W10" s="95">
        <v>7451</v>
      </c>
      <c r="X10" s="95">
        <v>7009</v>
      </c>
      <c r="Y10" s="34">
        <f t="shared" si="3"/>
        <v>7744</v>
      </c>
      <c r="Z10" s="95">
        <v>8987</v>
      </c>
      <c r="AA10" s="95">
        <v>7949</v>
      </c>
      <c r="AB10" s="95">
        <v>8046</v>
      </c>
      <c r="AC10" s="34">
        <f t="shared" ref="AC10:AC13" si="6">SUM(L10-SUM(Z10:AB10))</f>
        <v>8726</v>
      </c>
      <c r="AD10" s="5"/>
      <c r="AE10" s="12">
        <f t="shared" si="4"/>
        <v>37060</v>
      </c>
      <c r="AF10" s="12">
        <f t="shared" si="4"/>
        <v>33793</v>
      </c>
      <c r="AG10" s="12">
        <f t="shared" si="4"/>
        <v>33251</v>
      </c>
      <c r="AH10" s="12">
        <f t="shared" si="4"/>
        <v>29357</v>
      </c>
      <c r="AI10" s="12">
        <f t="shared" si="4"/>
        <v>29402</v>
      </c>
      <c r="AJ10" s="12">
        <f t="shared" si="4"/>
        <v>29685</v>
      </c>
      <c r="AK10" s="12">
        <f t="shared" si="4"/>
        <v>29854</v>
      </c>
      <c r="AL10" s="12">
        <f t="shared" si="4"/>
        <v>29984</v>
      </c>
      <c r="AM10" s="12">
        <f t="shared" si="4"/>
        <v>31191</v>
      </c>
      <c r="AN10" s="12">
        <f t="shared" si="4"/>
        <v>31689</v>
      </c>
      <c r="AO10" s="12">
        <f t="shared" si="4"/>
        <v>32726</v>
      </c>
      <c r="AP10" s="12">
        <f t="shared" ref="AP10:AP13" si="7">SUM(Z10:AC10)</f>
        <v>33708</v>
      </c>
      <c r="AR10" s="13">
        <f t="shared" si="5"/>
        <v>9.6201514034970126E-2</v>
      </c>
    </row>
    <row r="11" spans="1:44" ht="12.75" customHeight="1">
      <c r="B11" s="10" t="s">
        <v>260</v>
      </c>
      <c r="C11" s="95">
        <v>20628</v>
      </c>
      <c r="D11" s="95">
        <v>19222</v>
      </c>
      <c r="E11" s="95">
        <v>18380</v>
      </c>
      <c r="F11" s="95">
        <v>21280</v>
      </c>
      <c r="G11" s="95">
        <v>23724</v>
      </c>
      <c r="H11" s="95">
        <v>31862</v>
      </c>
      <c r="I11" s="95">
        <v>29292</v>
      </c>
      <c r="J11" s="95">
        <v>28300</v>
      </c>
      <c r="K11" s="95">
        <v>26694</v>
      </c>
      <c r="L11" s="95">
        <v>28023</v>
      </c>
      <c r="M11" s="95"/>
      <c r="N11" s="95">
        <v>7248</v>
      </c>
      <c r="O11" s="95">
        <v>7646</v>
      </c>
      <c r="P11" s="95">
        <v>7224</v>
      </c>
      <c r="Q11" s="34">
        <f t="shared" si="1"/>
        <v>7174</v>
      </c>
      <c r="R11" s="95">
        <v>9396</v>
      </c>
      <c r="S11" s="95">
        <v>6670</v>
      </c>
      <c r="T11" s="95">
        <v>5791</v>
      </c>
      <c r="U11" s="34">
        <f t="shared" si="2"/>
        <v>6443</v>
      </c>
      <c r="V11" s="95">
        <v>7023</v>
      </c>
      <c r="W11" s="95">
        <v>5559</v>
      </c>
      <c r="X11" s="95">
        <v>7162</v>
      </c>
      <c r="Y11" s="34">
        <f t="shared" si="3"/>
        <v>6950</v>
      </c>
      <c r="Z11" s="95">
        <v>8088</v>
      </c>
      <c r="AA11" s="95">
        <v>6402</v>
      </c>
      <c r="AB11" s="95">
        <v>6581</v>
      </c>
      <c r="AC11" s="34">
        <f t="shared" si="6"/>
        <v>6952</v>
      </c>
      <c r="AD11" s="5"/>
      <c r="AE11" s="12">
        <f t="shared" si="4"/>
        <v>31440</v>
      </c>
      <c r="AF11" s="12">
        <f t="shared" si="4"/>
        <v>30464</v>
      </c>
      <c r="AG11" s="12">
        <f t="shared" si="4"/>
        <v>29031</v>
      </c>
      <c r="AH11" s="12">
        <f t="shared" si="4"/>
        <v>28300</v>
      </c>
      <c r="AI11" s="12">
        <f t="shared" si="4"/>
        <v>25927</v>
      </c>
      <c r="AJ11" s="12">
        <f t="shared" si="4"/>
        <v>24816</v>
      </c>
      <c r="AK11" s="12">
        <f t="shared" si="4"/>
        <v>26187</v>
      </c>
      <c r="AL11" s="12">
        <f t="shared" si="4"/>
        <v>26694</v>
      </c>
      <c r="AM11" s="12">
        <f t="shared" si="4"/>
        <v>27759</v>
      </c>
      <c r="AN11" s="12">
        <f t="shared" si="4"/>
        <v>28602</v>
      </c>
      <c r="AO11" s="12">
        <f t="shared" si="4"/>
        <v>28021</v>
      </c>
      <c r="AP11" s="12">
        <f t="shared" si="7"/>
        <v>28023</v>
      </c>
      <c r="AR11" s="13">
        <f t="shared" si="5"/>
        <v>7.0034750066827023E-2</v>
      </c>
    </row>
    <row r="12" spans="1:44" ht="12.75" customHeight="1">
      <c r="B12" s="10" t="s">
        <v>261</v>
      </c>
      <c r="C12" s="95">
        <v>24348</v>
      </c>
      <c r="D12" s="95">
        <v>29980</v>
      </c>
      <c r="E12" s="95">
        <v>39748</v>
      </c>
      <c r="F12" s="95">
        <v>46291</v>
      </c>
      <c r="G12" s="95">
        <v>53768</v>
      </c>
      <c r="H12" s="95">
        <v>68425</v>
      </c>
      <c r="I12" s="95">
        <v>78129</v>
      </c>
      <c r="J12" s="95">
        <v>85200</v>
      </c>
      <c r="K12" s="95">
        <v>96169</v>
      </c>
      <c r="L12" s="95">
        <v>109158</v>
      </c>
      <c r="M12" s="95"/>
      <c r="N12" s="95">
        <v>19516</v>
      </c>
      <c r="O12" s="95">
        <v>19821</v>
      </c>
      <c r="P12" s="95">
        <v>19604</v>
      </c>
      <c r="Q12" s="34">
        <f t="shared" si="1"/>
        <v>19188</v>
      </c>
      <c r="R12" s="95">
        <v>20766</v>
      </c>
      <c r="S12" s="95">
        <v>20907</v>
      </c>
      <c r="T12" s="95">
        <v>21213</v>
      </c>
      <c r="U12" s="34">
        <f t="shared" si="2"/>
        <v>22314</v>
      </c>
      <c r="V12" s="95">
        <v>23117</v>
      </c>
      <c r="W12" s="95">
        <v>23867</v>
      </c>
      <c r="X12" s="95">
        <v>24213</v>
      </c>
      <c r="Y12" s="34">
        <f t="shared" si="3"/>
        <v>24972</v>
      </c>
      <c r="Z12" s="95">
        <v>26340</v>
      </c>
      <c r="AA12" s="95">
        <v>26645</v>
      </c>
      <c r="AB12" s="95">
        <v>27423</v>
      </c>
      <c r="AC12" s="34">
        <f t="shared" si="6"/>
        <v>28750</v>
      </c>
      <c r="AD12" s="5"/>
      <c r="AE12" s="12">
        <f t="shared" si="4"/>
        <v>79379</v>
      </c>
      <c r="AF12" s="12">
        <f t="shared" si="4"/>
        <v>80465</v>
      </c>
      <c r="AG12" s="12">
        <f t="shared" si="4"/>
        <v>82074</v>
      </c>
      <c r="AH12" s="12">
        <f t="shared" si="4"/>
        <v>85200</v>
      </c>
      <c r="AI12" s="12">
        <f t="shared" si="4"/>
        <v>87551</v>
      </c>
      <c r="AJ12" s="12">
        <f t="shared" si="4"/>
        <v>90511</v>
      </c>
      <c r="AK12" s="12">
        <f t="shared" si="4"/>
        <v>93511</v>
      </c>
      <c r="AL12" s="12">
        <f t="shared" si="4"/>
        <v>96169</v>
      </c>
      <c r="AM12" s="12">
        <f t="shared" si="4"/>
        <v>99392</v>
      </c>
      <c r="AN12" s="12">
        <f t="shared" si="4"/>
        <v>102170</v>
      </c>
      <c r="AO12" s="12">
        <f t="shared" si="4"/>
        <v>105380</v>
      </c>
      <c r="AP12" s="12">
        <f t="shared" si="7"/>
        <v>109158</v>
      </c>
      <c r="AR12" s="13">
        <f t="shared" si="5"/>
        <v>0.12692624397129748</v>
      </c>
    </row>
    <row r="13" spans="1:44" ht="12.75" customHeight="1">
      <c r="B13" s="10" t="s">
        <v>262</v>
      </c>
      <c r="C13" s="95">
        <v>11132</v>
      </c>
      <c r="D13" s="95">
        <v>12863</v>
      </c>
      <c r="E13" s="95">
        <v>17381</v>
      </c>
      <c r="F13" s="95">
        <v>24482</v>
      </c>
      <c r="G13" s="95">
        <v>30620</v>
      </c>
      <c r="H13" s="95">
        <v>38367</v>
      </c>
      <c r="I13" s="95">
        <v>41241</v>
      </c>
      <c r="J13" s="95">
        <v>39845</v>
      </c>
      <c r="K13" s="95">
        <v>37005</v>
      </c>
      <c r="L13" s="95">
        <v>35686</v>
      </c>
      <c r="M13" s="95"/>
      <c r="N13" s="95">
        <v>14701</v>
      </c>
      <c r="O13" s="95">
        <v>8806</v>
      </c>
      <c r="P13" s="95">
        <v>8084</v>
      </c>
      <c r="Q13" s="34">
        <f t="shared" si="1"/>
        <v>9650</v>
      </c>
      <c r="R13" s="95">
        <v>13482</v>
      </c>
      <c r="S13" s="95">
        <v>8757</v>
      </c>
      <c r="T13" s="95">
        <v>8284</v>
      </c>
      <c r="U13" s="34">
        <f t="shared" si="2"/>
        <v>9322</v>
      </c>
      <c r="V13" s="95">
        <v>11953</v>
      </c>
      <c r="W13" s="95">
        <v>7913</v>
      </c>
      <c r="X13" s="95">
        <v>8097</v>
      </c>
      <c r="Y13" s="34">
        <f t="shared" si="3"/>
        <v>9042</v>
      </c>
      <c r="Z13" s="95">
        <v>11747</v>
      </c>
      <c r="AA13" s="95">
        <v>7522</v>
      </c>
      <c r="AB13" s="95">
        <v>7404</v>
      </c>
      <c r="AC13" s="34">
        <f t="shared" si="6"/>
        <v>9013</v>
      </c>
      <c r="AD13" s="5"/>
      <c r="AE13" s="12">
        <f>SUM(O13:R13)</f>
        <v>40022</v>
      </c>
      <c r="AF13" s="12">
        <f t="shared" si="4"/>
        <v>39973</v>
      </c>
      <c r="AG13" s="12">
        <f t="shared" si="4"/>
        <v>40173</v>
      </c>
      <c r="AH13" s="12">
        <f t="shared" si="4"/>
        <v>39845</v>
      </c>
      <c r="AI13" s="12">
        <f t="shared" si="4"/>
        <v>38316</v>
      </c>
      <c r="AJ13" s="12">
        <f t="shared" si="4"/>
        <v>37472</v>
      </c>
      <c r="AK13" s="12">
        <f t="shared" si="4"/>
        <v>37285</v>
      </c>
      <c r="AL13" s="12">
        <f t="shared" si="4"/>
        <v>37005</v>
      </c>
      <c r="AM13" s="12">
        <f t="shared" si="4"/>
        <v>36799</v>
      </c>
      <c r="AN13" s="12">
        <f t="shared" si="4"/>
        <v>36408</v>
      </c>
      <c r="AO13" s="12">
        <f t="shared" si="4"/>
        <v>35715</v>
      </c>
      <c r="AP13" s="12">
        <f t="shared" si="7"/>
        <v>35686</v>
      </c>
      <c r="AR13" s="13">
        <f t="shared" si="5"/>
        <v>-4.2108086361807739E-2</v>
      </c>
    </row>
    <row r="14" spans="1:44" ht="12.75" customHeight="1">
      <c r="B14" s="14" t="s">
        <v>108</v>
      </c>
      <c r="C14" s="15">
        <f t="shared" ref="C14:AO14" si="8">SUM(C9:C13)</f>
        <v>215639</v>
      </c>
      <c r="D14" s="15">
        <f t="shared" si="8"/>
        <v>229234</v>
      </c>
      <c r="E14" s="15">
        <f t="shared" si="8"/>
        <v>265595</v>
      </c>
      <c r="F14" s="15">
        <f t="shared" si="8"/>
        <v>260174</v>
      </c>
      <c r="G14" s="15">
        <f t="shared" si="8"/>
        <v>274515</v>
      </c>
      <c r="H14" s="15">
        <f t="shared" si="8"/>
        <v>365817</v>
      </c>
      <c r="I14" s="15">
        <f t="shared" si="8"/>
        <v>394328</v>
      </c>
      <c r="J14" s="15">
        <f t="shared" si="8"/>
        <v>383285</v>
      </c>
      <c r="K14" s="15">
        <f t="shared" si="8"/>
        <v>391035</v>
      </c>
      <c r="L14" s="15">
        <f t="shared" si="8"/>
        <v>416161</v>
      </c>
      <c r="M14" s="12"/>
      <c r="N14" s="15">
        <f t="shared" si="8"/>
        <v>123945</v>
      </c>
      <c r="O14" s="15">
        <f t="shared" si="8"/>
        <v>97278</v>
      </c>
      <c r="P14" s="15">
        <f t="shared" si="8"/>
        <v>82959</v>
      </c>
      <c r="Q14" s="15">
        <f t="shared" si="8"/>
        <v>90146</v>
      </c>
      <c r="R14" s="15">
        <f t="shared" si="8"/>
        <v>117154</v>
      </c>
      <c r="S14" s="15">
        <f t="shared" si="8"/>
        <v>94836</v>
      </c>
      <c r="T14" s="15">
        <f t="shared" si="8"/>
        <v>81797</v>
      </c>
      <c r="U14" s="15">
        <f t="shared" si="8"/>
        <v>89498</v>
      </c>
      <c r="V14" s="15">
        <f t="shared" si="8"/>
        <v>119575</v>
      </c>
      <c r="W14" s="15">
        <f t="shared" si="8"/>
        <v>90753</v>
      </c>
      <c r="X14" s="15">
        <f t="shared" si="8"/>
        <v>85777</v>
      </c>
      <c r="Y14" s="15">
        <f t="shared" si="8"/>
        <v>94930</v>
      </c>
      <c r="Z14" s="15">
        <f t="shared" si="8"/>
        <v>124300</v>
      </c>
      <c r="AA14" s="15">
        <f t="shared" si="8"/>
        <v>95359</v>
      </c>
      <c r="AB14" s="15">
        <f t="shared" si="8"/>
        <v>94036</v>
      </c>
      <c r="AC14" s="15">
        <f t="shared" ref="AC14" si="9">SUM(AC9:AC13)</f>
        <v>102466</v>
      </c>
      <c r="AD14" s="5"/>
      <c r="AE14" s="15">
        <f t="shared" si="8"/>
        <v>387537</v>
      </c>
      <c r="AF14" s="15">
        <f t="shared" si="8"/>
        <v>385095</v>
      </c>
      <c r="AG14" s="15">
        <f t="shared" si="8"/>
        <v>383933</v>
      </c>
      <c r="AH14" s="15">
        <f t="shared" si="8"/>
        <v>383285</v>
      </c>
      <c r="AI14" s="15">
        <f t="shared" si="8"/>
        <v>385706</v>
      </c>
      <c r="AJ14" s="15">
        <f t="shared" si="8"/>
        <v>381623</v>
      </c>
      <c r="AK14" s="15">
        <f t="shared" si="8"/>
        <v>385603</v>
      </c>
      <c r="AL14" s="15">
        <f t="shared" si="8"/>
        <v>391035</v>
      </c>
      <c r="AM14" s="15">
        <f t="shared" si="8"/>
        <v>395760</v>
      </c>
      <c r="AN14" s="15">
        <f t="shared" si="8"/>
        <v>400366</v>
      </c>
      <c r="AO14" s="15">
        <f t="shared" si="8"/>
        <v>408625</v>
      </c>
      <c r="AP14" s="15">
        <f t="shared" ref="AP14" si="10">SUM(AP9:AP13)</f>
        <v>416161</v>
      </c>
      <c r="AR14" s="16">
        <f t="shared" ref="AR14" si="11">SUM(AO14/AK14)-1</f>
        <v>5.9703892345235987E-2</v>
      </c>
    </row>
    <row r="15" spans="1:44" hidden="1" outlineLevel="1">
      <c r="B15" s="92" t="s">
        <v>400</v>
      </c>
      <c r="C15" s="93">
        <f>C14-'Historical Financials'!C11</f>
        <v>0</v>
      </c>
      <c r="D15" s="93">
        <f>D14-'Historical Financials'!D11</f>
        <v>0</v>
      </c>
      <c r="E15" s="93">
        <f>E14-'Historical Financials'!E11</f>
        <v>0</v>
      </c>
      <c r="F15" s="93">
        <f>F14-'Historical Financials'!F11</f>
        <v>0</v>
      </c>
      <c r="G15" s="93">
        <f>G14-'Historical Financials'!G11</f>
        <v>0</v>
      </c>
      <c r="H15" s="93">
        <f>H14-'Historical Financials'!H11</f>
        <v>0</v>
      </c>
      <c r="I15" s="93">
        <f>I14-'Historical Financials'!I11</f>
        <v>0</v>
      </c>
      <c r="J15" s="93">
        <f>J14-'Historical Financials'!J11</f>
        <v>0</v>
      </c>
      <c r="K15" s="93">
        <f>K14-'Historical Financials'!K11</f>
        <v>0</v>
      </c>
      <c r="L15" s="93">
        <f>L14-'Historical Financials'!L11</f>
        <v>0</v>
      </c>
      <c r="M15" s="12"/>
      <c r="N15" s="93">
        <f>N14-'Historical Financials'!N11</f>
        <v>0</v>
      </c>
      <c r="O15" s="93">
        <f>O14-'Historical Financials'!O11</f>
        <v>0</v>
      </c>
      <c r="P15" s="93">
        <f>P14-'Historical Financials'!P11</f>
        <v>0</v>
      </c>
      <c r="Q15" s="93">
        <f>Q14-'Historical Financials'!Q11</f>
        <v>0</v>
      </c>
      <c r="R15" s="93">
        <f>R14-'Historical Financials'!R11</f>
        <v>0</v>
      </c>
      <c r="S15" s="93">
        <f>S14-'Historical Financials'!S11</f>
        <v>0</v>
      </c>
      <c r="T15" s="93">
        <f>T14-'Historical Financials'!T11</f>
        <v>0</v>
      </c>
      <c r="U15" s="93">
        <f>U14-'Historical Financials'!U11</f>
        <v>0</v>
      </c>
      <c r="V15" s="93">
        <f>V14-'Historical Financials'!V11</f>
        <v>0</v>
      </c>
      <c r="W15" s="93">
        <f>W14-'Historical Financials'!W11</f>
        <v>0</v>
      </c>
      <c r="X15" s="93">
        <f>X14-'Historical Financials'!X11</f>
        <v>0</v>
      </c>
      <c r="Y15" s="93">
        <f>Y14-'Historical Financials'!Y11</f>
        <v>0</v>
      </c>
      <c r="Z15" s="93">
        <f>Z14-'Historical Financials'!Z11</f>
        <v>0</v>
      </c>
      <c r="AA15" s="93">
        <f>AA14-'Historical Financials'!AA11</f>
        <v>0</v>
      </c>
      <c r="AB15" s="93">
        <f>AB14-'Historical Financials'!AB11</f>
        <v>0</v>
      </c>
      <c r="AC15" s="93">
        <f>AC14-'Historical Financials'!AC11</f>
        <v>0</v>
      </c>
      <c r="AD15" s="93"/>
      <c r="AE15" s="93">
        <f>AE14-'Historical Financials'!AE11</f>
        <v>0</v>
      </c>
      <c r="AF15" s="93">
        <f>AF14-'Historical Financials'!AF11</f>
        <v>0</v>
      </c>
      <c r="AG15" s="93">
        <f>AG14-'Historical Financials'!AG11</f>
        <v>0</v>
      </c>
      <c r="AH15" s="93">
        <f>AH14-'Historical Financials'!AH11</f>
        <v>0</v>
      </c>
      <c r="AI15" s="93">
        <f>AI14-'Historical Financials'!AI11</f>
        <v>0</v>
      </c>
      <c r="AJ15" s="93">
        <f>AJ14-'Historical Financials'!AJ11</f>
        <v>0</v>
      </c>
      <c r="AK15" s="93">
        <f>AK14-'Historical Financials'!AK11</f>
        <v>0</v>
      </c>
      <c r="AL15" s="93">
        <f>AL14-'Historical Financials'!AL11</f>
        <v>0</v>
      </c>
      <c r="AM15" s="93">
        <f>AM14-'Historical Financials'!AM11</f>
        <v>0</v>
      </c>
      <c r="AN15" s="93">
        <f>AN14-'Historical Financials'!AN11</f>
        <v>0</v>
      </c>
      <c r="AO15" s="93">
        <f>AO14-'Historical Financials'!AO11</f>
        <v>0</v>
      </c>
      <c r="AP15" s="93">
        <f>AP14-'Historical Financials'!AQ11</f>
        <v>416161</v>
      </c>
      <c r="AR15" s="9"/>
    </row>
    <row r="16" spans="1:44" ht="5.0999999999999996" customHeight="1" collapsed="1"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2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R16" s="9"/>
    </row>
    <row r="17" spans="2:44">
      <c r="B17" s="298" t="s">
        <v>401</v>
      </c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99"/>
      <c r="AR17" s="9"/>
    </row>
    <row r="18" spans="2:44">
      <c r="B18" s="291" t="str">
        <f>B9&amp;"(%)"</f>
        <v>iPhone Revenue(%)</v>
      </c>
      <c r="C18" s="293">
        <f>SUM(C9/C$14)</f>
        <v>0.63392985498912535</v>
      </c>
      <c r="D18" s="293">
        <f>SUM(D9/D$14)</f>
        <v>0.61648359318425716</v>
      </c>
      <c r="E18" s="293">
        <f>SUM(E9/E$14)</f>
        <v>0.62082494022854351</v>
      </c>
      <c r="F18" s="293">
        <f>SUM(F9/F$14)</f>
        <v>0.54725299222827795</v>
      </c>
      <c r="G18" s="293">
        <f>SUM(G9/G$14)</f>
        <v>0.50190699961750729</v>
      </c>
      <c r="H18" s="293">
        <f>SUM(H9/H$14)</f>
        <v>0.52477878283404</v>
      </c>
      <c r="I18" s="293">
        <f>SUM(I9/I$14)</f>
        <v>0.52111186626361805</v>
      </c>
      <c r="J18" s="293">
        <f>SUM(J9/J$14)</f>
        <v>0.52332598458066448</v>
      </c>
      <c r="K18" s="293">
        <f>SUM(K9/K$14)</f>
        <v>0.51448847289884536</v>
      </c>
      <c r="L18" s="293">
        <f>SUM(L9/L$14)</f>
        <v>0.50361759030759734</v>
      </c>
      <c r="M18" s="289"/>
      <c r="N18" s="293">
        <f>SUM(N9/N$14)</f>
        <v>0.57790148856347578</v>
      </c>
      <c r="O18" s="293">
        <f>SUM(O9/O$14)</f>
        <v>0.51985032587018642</v>
      </c>
      <c r="P18" s="293">
        <f>SUM(P9/P$14)</f>
        <v>0.49018189708169096</v>
      </c>
      <c r="Q18" s="293">
        <f>SUM(Q9/Q$14)</f>
        <v>0.47285514609633261</v>
      </c>
      <c r="R18" s="293">
        <f>SUM(R9/R$14)</f>
        <v>0.56144049712344435</v>
      </c>
      <c r="S18" s="293">
        <f>SUM(S9/S$14)</f>
        <v>0.54129233624362061</v>
      </c>
      <c r="T18" s="293">
        <f>SUM(T9/T$14)</f>
        <v>0.48496888638947638</v>
      </c>
      <c r="U18" s="293">
        <f>SUM(U9/U$14)</f>
        <v>0.48945227826320142</v>
      </c>
      <c r="V18" s="293">
        <f>SUM(V9/V$14)</f>
        <v>0.58291448881455155</v>
      </c>
      <c r="W18" s="293">
        <f>SUM(W9/W$14)</f>
        <v>0.50646259627780899</v>
      </c>
      <c r="X18" s="293">
        <f>SUM(X9/X$14)</f>
        <v>0.4581181435582965</v>
      </c>
      <c r="Y18" s="293">
        <f>SUM(Y9/Y$14)</f>
        <v>0.4869061413673233</v>
      </c>
      <c r="Z18" s="293">
        <f>SUM(Z9/Z$14)</f>
        <v>0.55621882542236523</v>
      </c>
      <c r="AA18" s="293">
        <f>SUM(AA9/AA$14)</f>
        <v>0.49120691282416973</v>
      </c>
      <c r="AB18" s="293">
        <f>SUM(AB9/AB$14)</f>
        <v>0.474095027436301</v>
      </c>
      <c r="AC18" s="293">
        <f>SUM(AC9/AC$14)</f>
        <v>0.47845138875334259</v>
      </c>
      <c r="AD18" s="289"/>
      <c r="AE18" s="293">
        <f>SUM(AE9/AE$14)</f>
        <v>0.51514048981129545</v>
      </c>
      <c r="AF18" s="293">
        <f>SUM(AF9/AF$14)</f>
        <v>0.52039107233280102</v>
      </c>
      <c r="AG18" s="293">
        <f>SUM(AG9/AG$14)</f>
        <v>0.51937186957099291</v>
      </c>
      <c r="AH18" s="293">
        <f>SUM(AH9/AH$14)</f>
        <v>0.52332598458066448</v>
      </c>
      <c r="AI18" s="293">
        <f>SUM(AI9/AI$14)</f>
        <v>0.53022250107594904</v>
      </c>
      <c r="AJ18" s="293">
        <f>SUM(AJ9/AJ$14)</f>
        <v>0.52182127387500232</v>
      </c>
      <c r="AK18" s="293">
        <f>SUM(AK9/AK$14)</f>
        <v>0.51546798131757277</v>
      </c>
      <c r="AL18" s="293">
        <f>SUM(AL9/AL$14)</f>
        <v>0.51448847289884536</v>
      </c>
      <c r="AM18" s="293">
        <f>SUM(AM9/AM$14)</f>
        <v>0.50692086112795631</v>
      </c>
      <c r="AN18" s="293">
        <f>SUM(AN9/AN$14)</f>
        <v>0.50328199697276987</v>
      </c>
      <c r="AO18" s="293">
        <f>SUM(AO9/AO$14)</f>
        <v>0.50604588559192409</v>
      </c>
      <c r="AP18" s="300">
        <f>SUM(AP9/AP$14)</f>
        <v>0.50361759030759734</v>
      </c>
      <c r="AR18" s="9"/>
    </row>
    <row r="19" spans="2:44">
      <c r="B19" s="291" t="str">
        <f t="shared" ref="B19:B22" si="12">B10&amp;"(%)"</f>
        <v>Mac Revenue(%)</v>
      </c>
      <c r="C19" s="293">
        <f t="shared" ref="C19:K19" si="13">SUM(C10/C$14)</f>
        <v>0.10587602428132202</v>
      </c>
      <c r="D19" s="293">
        <f t="shared" si="13"/>
        <v>0.11276686704415576</v>
      </c>
      <c r="E19" s="293">
        <f t="shared" si="13"/>
        <v>9.487377397917883E-2</v>
      </c>
      <c r="F19" s="293">
        <f t="shared" si="13"/>
        <v>9.8933790463305332E-2</v>
      </c>
      <c r="G19" s="293">
        <f t="shared" si="13"/>
        <v>0.10426388357648944</v>
      </c>
      <c r="H19" s="293">
        <f t="shared" si="13"/>
        <v>9.6195638803008063E-2</v>
      </c>
      <c r="I19" s="293">
        <f t="shared" si="13"/>
        <v>0.10188726136617232</v>
      </c>
      <c r="J19" s="293">
        <f t="shared" si="13"/>
        <v>7.659313565623492E-2</v>
      </c>
      <c r="K19" s="293">
        <f t="shared" si="13"/>
        <v>7.6678558185328677E-2</v>
      </c>
      <c r="L19" s="293">
        <f t="shared" ref="L19" si="14">SUM(L10/L$14)</f>
        <v>8.0997498564257586E-2</v>
      </c>
      <c r="M19" s="289"/>
      <c r="N19" s="293">
        <f t="shared" ref="N19:AB19" si="15">SUM(N10/N$14)</f>
        <v>8.7554963895276131E-2</v>
      </c>
      <c r="O19" s="293">
        <f t="shared" si="15"/>
        <v>0.10726988630522831</v>
      </c>
      <c r="P19" s="293">
        <f t="shared" si="15"/>
        <v>8.8983714847093137E-2</v>
      </c>
      <c r="Q19" s="293">
        <f t="shared" si="15"/>
        <v>0.1276595744680851</v>
      </c>
      <c r="R19" s="293">
        <f t="shared" si="15"/>
        <v>6.6024207453437359E-2</v>
      </c>
      <c r="S19" s="293">
        <f t="shared" si="15"/>
        <v>7.5583111898435196E-2</v>
      </c>
      <c r="T19" s="293">
        <f t="shared" si="15"/>
        <v>8.3621648715723071E-2</v>
      </c>
      <c r="U19" s="293">
        <f t="shared" si="15"/>
        <v>8.5074526805068273E-2</v>
      </c>
      <c r="V19" s="293">
        <f t="shared" si="15"/>
        <v>6.5063767509931009E-2</v>
      </c>
      <c r="W19" s="293">
        <f t="shared" si="15"/>
        <v>8.2101969080911927E-2</v>
      </c>
      <c r="X19" s="293">
        <f t="shared" si="15"/>
        <v>8.1711880807209397E-2</v>
      </c>
      <c r="Y19" s="293">
        <f t="shared" si="15"/>
        <v>8.1575898030127464E-2</v>
      </c>
      <c r="Z19" s="293">
        <f t="shared" si="15"/>
        <v>7.2300884955752209E-2</v>
      </c>
      <c r="AA19" s="293">
        <f t="shared" si="15"/>
        <v>8.3358676160614098E-2</v>
      </c>
      <c r="AB19" s="293">
        <f t="shared" si="15"/>
        <v>8.5562975881577269E-2</v>
      </c>
      <c r="AC19" s="293">
        <f t="shared" ref="AC19" si="16">SUM(AC10/AC$14)</f>
        <v>8.5159955497433298E-2</v>
      </c>
      <c r="AD19" s="289"/>
      <c r="AE19" s="293">
        <f t="shared" ref="AE19:AO19" si="17">SUM(AE10/AE$14)</f>
        <v>9.5629578595076078E-2</v>
      </c>
      <c r="AF19" s="293">
        <f t="shared" si="17"/>
        <v>8.7752372791129463E-2</v>
      </c>
      <c r="AG19" s="293">
        <f t="shared" si="17"/>
        <v>8.660625682085156E-2</v>
      </c>
      <c r="AH19" s="293">
        <f t="shared" si="17"/>
        <v>7.659313565623492E-2</v>
      </c>
      <c r="AI19" s="293">
        <f t="shared" si="17"/>
        <v>7.6229044920224212E-2</v>
      </c>
      <c r="AJ19" s="293">
        <f t="shared" si="17"/>
        <v>7.7786192132025589E-2</v>
      </c>
      <c r="AK19" s="293">
        <f t="shared" si="17"/>
        <v>7.7421596823676164E-2</v>
      </c>
      <c r="AL19" s="293">
        <f t="shared" si="17"/>
        <v>7.6678558185328677E-2</v>
      </c>
      <c r="AM19" s="293">
        <f t="shared" si="17"/>
        <v>7.8812916919345055E-2</v>
      </c>
      <c r="AN19" s="293">
        <f t="shared" si="17"/>
        <v>7.9150077678923791E-2</v>
      </c>
      <c r="AO19" s="293">
        <f t="shared" si="17"/>
        <v>8.0088100336494342E-2</v>
      </c>
      <c r="AP19" s="300">
        <f t="shared" ref="AP19" si="18">SUM(AP10/AP$14)</f>
        <v>8.0997498564257586E-2</v>
      </c>
      <c r="AR19" s="9"/>
    </row>
    <row r="20" spans="2:44">
      <c r="B20" s="291" t="str">
        <f t="shared" si="12"/>
        <v>iPad Revenue(%)</v>
      </c>
      <c r="C20" s="293">
        <f t="shared" ref="C20:K20" si="19">SUM(C11/C$14)</f>
        <v>9.5659875996457047E-2</v>
      </c>
      <c r="D20" s="293">
        <f t="shared" si="19"/>
        <v>8.3853180592756746E-2</v>
      </c>
      <c r="E20" s="293">
        <f t="shared" si="19"/>
        <v>6.9203109998305687E-2</v>
      </c>
      <c r="F20" s="293">
        <f t="shared" si="19"/>
        <v>8.1791416513564003E-2</v>
      </c>
      <c r="G20" s="293">
        <f t="shared" si="19"/>
        <v>8.6421507021474234E-2</v>
      </c>
      <c r="H20" s="293">
        <f t="shared" si="19"/>
        <v>8.7098193905696022E-2</v>
      </c>
      <c r="I20" s="293">
        <f t="shared" si="19"/>
        <v>7.4283337728997187E-2</v>
      </c>
      <c r="J20" s="293">
        <f t="shared" si="19"/>
        <v>7.3835396636967268E-2</v>
      </c>
      <c r="K20" s="293">
        <f t="shared" si="19"/>
        <v>6.8264989067474774E-2</v>
      </c>
      <c r="L20" s="293">
        <f t="shared" ref="L20" si="20">SUM(L11/L$14)</f>
        <v>6.7336920086216626E-2</v>
      </c>
      <c r="M20" s="289"/>
      <c r="N20" s="293">
        <f t="shared" ref="N20:AB20" si="21">SUM(N11/N$14)</f>
        <v>5.8477550526443184E-2</v>
      </c>
      <c r="O20" s="293">
        <f t="shared" si="21"/>
        <v>7.8599477785316313E-2</v>
      </c>
      <c r="P20" s="293">
        <f t="shared" si="21"/>
        <v>8.7079159584855167E-2</v>
      </c>
      <c r="Q20" s="293">
        <f t="shared" si="21"/>
        <v>7.9582011403722855E-2</v>
      </c>
      <c r="R20" s="293">
        <f t="shared" si="21"/>
        <v>8.020212711473787E-2</v>
      </c>
      <c r="S20" s="293">
        <f t="shared" si="21"/>
        <v>7.0331941456830735E-2</v>
      </c>
      <c r="T20" s="293">
        <f t="shared" si="21"/>
        <v>7.0797217501864365E-2</v>
      </c>
      <c r="U20" s="293">
        <f t="shared" si="21"/>
        <v>7.1990435540459002E-2</v>
      </c>
      <c r="V20" s="293">
        <f t="shared" si="21"/>
        <v>5.8733012753501984E-2</v>
      </c>
      <c r="W20" s="293">
        <f t="shared" si="21"/>
        <v>6.1254173415754849E-2</v>
      </c>
      <c r="X20" s="293">
        <f t="shared" si="21"/>
        <v>8.34955757370857E-2</v>
      </c>
      <c r="Y20" s="293">
        <f t="shared" si="21"/>
        <v>7.3211840303381445E-2</v>
      </c>
      <c r="Z20" s="293">
        <f t="shared" si="21"/>
        <v>6.5068382944489134E-2</v>
      </c>
      <c r="AA20" s="293">
        <f t="shared" si="21"/>
        <v>6.7135771138539621E-2</v>
      </c>
      <c r="AB20" s="293">
        <f t="shared" si="21"/>
        <v>6.9983835977710671E-2</v>
      </c>
      <c r="AC20" s="293">
        <f t="shared" ref="AC20" si="22">SUM(AC11/AC$14)</f>
        <v>6.7846895555598932E-2</v>
      </c>
      <c r="AD20" s="289"/>
      <c r="AE20" s="293">
        <f t="shared" ref="AE20:AO20" si="23">SUM(AE11/AE$14)</f>
        <v>8.1127737480550244E-2</v>
      </c>
      <c r="AF20" s="293">
        <f t="shared" si="23"/>
        <v>7.9107752632467318E-2</v>
      </c>
      <c r="AG20" s="293">
        <f t="shared" si="23"/>
        <v>7.5614755699562164E-2</v>
      </c>
      <c r="AH20" s="293">
        <f t="shared" si="23"/>
        <v>7.3835396636967268E-2</v>
      </c>
      <c r="AI20" s="293">
        <f t="shared" si="23"/>
        <v>6.721959212457157E-2</v>
      </c>
      <c r="AJ20" s="293">
        <f t="shared" si="23"/>
        <v>6.5027527166863636E-2</v>
      </c>
      <c r="AK20" s="293">
        <f t="shared" si="23"/>
        <v>6.7911816038775635E-2</v>
      </c>
      <c r="AL20" s="293">
        <f t="shared" si="23"/>
        <v>6.8264989067474774E-2</v>
      </c>
      <c r="AM20" s="293">
        <f t="shared" si="23"/>
        <v>7.0140994542146756E-2</v>
      </c>
      <c r="AN20" s="293">
        <f t="shared" si="23"/>
        <v>7.1439632736046518E-2</v>
      </c>
      <c r="AO20" s="293">
        <f t="shared" si="23"/>
        <v>6.8573875802997855E-2</v>
      </c>
      <c r="AP20" s="300">
        <f t="shared" ref="AP20" si="24">SUM(AP11/AP$14)</f>
        <v>6.7336920086216626E-2</v>
      </c>
      <c r="AR20" s="9"/>
    </row>
    <row r="21" spans="2:44">
      <c r="B21" s="291" t="str">
        <f t="shared" si="12"/>
        <v>Services Revenue(%)</v>
      </c>
      <c r="C21" s="293">
        <f t="shared" ref="C21:K21" si="25">SUM(C12/C$14)</f>
        <v>0.11291092984107698</v>
      </c>
      <c r="D21" s="293">
        <f t="shared" si="25"/>
        <v>0.13078339164347347</v>
      </c>
      <c r="E21" s="293">
        <f t="shared" si="25"/>
        <v>0.14965643178523691</v>
      </c>
      <c r="F21" s="293">
        <f t="shared" si="25"/>
        <v>0.17792323598822327</v>
      </c>
      <c r="G21" s="293">
        <f t="shared" si="25"/>
        <v>0.19586543540425841</v>
      </c>
      <c r="H21" s="293">
        <f t="shared" si="25"/>
        <v>0.18704707545029345</v>
      </c>
      <c r="I21" s="293">
        <f t="shared" si="25"/>
        <v>0.19813201192915542</v>
      </c>
      <c r="J21" s="293">
        <f t="shared" si="25"/>
        <v>0.222288897295746</v>
      </c>
      <c r="K21" s="293">
        <f t="shared" si="25"/>
        <v>0.24593450714130449</v>
      </c>
      <c r="L21" s="293">
        <f t="shared" ref="L21" si="26">SUM(L12/L$14)</f>
        <v>0.26229752427546071</v>
      </c>
      <c r="M21" s="289"/>
      <c r="N21" s="293">
        <f t="shared" ref="N21:AB21" si="27">SUM(N12/N$14)</f>
        <v>0.15745693654443504</v>
      </c>
      <c r="O21" s="293">
        <f t="shared" si="27"/>
        <v>0.20375624498858941</v>
      </c>
      <c r="P21" s="293">
        <f t="shared" si="27"/>
        <v>0.2363095022842609</v>
      </c>
      <c r="Q21" s="293">
        <f t="shared" si="27"/>
        <v>0.21285470237170812</v>
      </c>
      <c r="R21" s="293">
        <f t="shared" si="27"/>
        <v>0.17725387097324888</v>
      </c>
      <c r="S21" s="293">
        <f t="shared" si="27"/>
        <v>0.22045425787675565</v>
      </c>
      <c r="T21" s="293">
        <f t="shared" si="27"/>
        <v>0.25933713950389381</v>
      </c>
      <c r="U21" s="293">
        <f t="shared" si="27"/>
        <v>0.24932400724038525</v>
      </c>
      <c r="V21" s="293">
        <f t="shared" si="27"/>
        <v>0.1933263642065649</v>
      </c>
      <c r="W21" s="293">
        <f t="shared" si="27"/>
        <v>0.26298855134265536</v>
      </c>
      <c r="X21" s="293">
        <f t="shared" si="27"/>
        <v>0.28227846625552305</v>
      </c>
      <c r="Y21" s="293">
        <f t="shared" si="27"/>
        <v>0.26305698936058147</v>
      </c>
      <c r="Z21" s="293">
        <f t="shared" si="27"/>
        <v>0.21190667739340305</v>
      </c>
      <c r="AA21" s="293">
        <f t="shared" si="27"/>
        <v>0.27941777912939525</v>
      </c>
      <c r="AB21" s="293">
        <f t="shared" si="27"/>
        <v>0.29162235739504022</v>
      </c>
      <c r="AC21" s="293">
        <f t="shared" ref="AC21" si="28">SUM(AC12/AC$14)</f>
        <v>0.2805808756075186</v>
      </c>
      <c r="AD21" s="289"/>
      <c r="AE21" s="293">
        <f t="shared" ref="AE21:AO21" si="29">SUM(AE12/AE$14)</f>
        <v>0.20482947434696558</v>
      </c>
      <c r="AF21" s="293">
        <f t="shared" si="29"/>
        <v>0.20894844129370674</v>
      </c>
      <c r="AG21" s="293">
        <f t="shared" si="29"/>
        <v>0.21377167370348471</v>
      </c>
      <c r="AH21" s="293">
        <f t="shared" si="29"/>
        <v>0.222288897295746</v>
      </c>
      <c r="AI21" s="293">
        <f t="shared" si="29"/>
        <v>0.22698895013300285</v>
      </c>
      <c r="AJ21" s="293">
        <f t="shared" si="29"/>
        <v>0.23717386006608615</v>
      </c>
      <c r="AK21" s="293">
        <f t="shared" si="29"/>
        <v>0.2425058933670122</v>
      </c>
      <c r="AL21" s="293">
        <f t="shared" si="29"/>
        <v>0.24593450714130449</v>
      </c>
      <c r="AM21" s="293">
        <f t="shared" si="29"/>
        <v>0.25114210632706691</v>
      </c>
      <c r="AN21" s="293">
        <f t="shared" si="29"/>
        <v>0.25519149977770339</v>
      </c>
      <c r="AO21" s="293">
        <f t="shared" si="29"/>
        <v>0.25788926277148977</v>
      </c>
      <c r="AP21" s="300">
        <f t="shared" ref="AP21" si="30">SUM(AP12/AP$14)</f>
        <v>0.26229752427546071</v>
      </c>
      <c r="AR21" s="9"/>
    </row>
    <row r="22" spans="2:44">
      <c r="B22" s="291" t="str">
        <f t="shared" si="12"/>
        <v>Wearables, Home, and Accessories Revenue(%)</v>
      </c>
      <c r="C22" s="293">
        <f t="shared" ref="C22:K22" si="31">SUM(C13/C$14)</f>
        <v>5.1623314892018608E-2</v>
      </c>
      <c r="D22" s="293">
        <f t="shared" si="31"/>
        <v>5.6112967535356884E-2</v>
      </c>
      <c r="E22" s="293">
        <f t="shared" si="31"/>
        <v>6.5441744008735106E-2</v>
      </c>
      <c r="F22" s="293">
        <f t="shared" si="31"/>
        <v>9.4098564806629412E-2</v>
      </c>
      <c r="G22" s="293">
        <f t="shared" si="31"/>
        <v>0.11154217438027066</v>
      </c>
      <c r="H22" s="293">
        <f t="shared" si="31"/>
        <v>0.10488030900696249</v>
      </c>
      <c r="I22" s="293">
        <f t="shared" si="31"/>
        <v>0.10458552271205697</v>
      </c>
      <c r="J22" s="293">
        <f t="shared" si="31"/>
        <v>0.1039565858303873</v>
      </c>
      <c r="K22" s="293">
        <f t="shared" si="31"/>
        <v>9.4633472707046681E-2</v>
      </c>
      <c r="L22" s="293">
        <f t="shared" ref="L22" si="32">SUM(L13/L$14)</f>
        <v>8.5750466766467789E-2</v>
      </c>
      <c r="M22" s="289"/>
      <c r="N22" s="293">
        <f t="shared" ref="N22:AB22" si="33">SUM(N13/N$14)</f>
        <v>0.11860906047036993</v>
      </c>
      <c r="O22" s="293">
        <f t="shared" si="33"/>
        <v>9.0524065050679489E-2</v>
      </c>
      <c r="P22" s="293">
        <f t="shared" si="33"/>
        <v>9.7445726202099833E-2</v>
      </c>
      <c r="Q22" s="293">
        <f t="shared" si="33"/>
        <v>0.10704856566015131</v>
      </c>
      <c r="R22" s="293">
        <f t="shared" si="33"/>
        <v>0.11507929733513153</v>
      </c>
      <c r="S22" s="293">
        <f t="shared" si="33"/>
        <v>9.2338352524357833E-2</v>
      </c>
      <c r="T22" s="293">
        <f t="shared" si="33"/>
        <v>0.10127510788904238</v>
      </c>
      <c r="U22" s="293">
        <f t="shared" si="33"/>
        <v>0.10415875215088605</v>
      </c>
      <c r="V22" s="293">
        <f t="shared" si="33"/>
        <v>9.9962366715450557E-2</v>
      </c>
      <c r="W22" s="293">
        <f t="shared" si="33"/>
        <v>8.7192709882868882E-2</v>
      </c>
      <c r="X22" s="293">
        <f t="shared" si="33"/>
        <v>9.4395933641885352E-2</v>
      </c>
      <c r="Y22" s="293">
        <f t="shared" si="33"/>
        <v>9.5249130938586321E-2</v>
      </c>
      <c r="Z22" s="293">
        <f t="shared" si="33"/>
        <v>9.4505229283990341E-2</v>
      </c>
      <c r="AA22" s="293">
        <f t="shared" si="33"/>
        <v>7.8880860747281331E-2</v>
      </c>
      <c r="AB22" s="293">
        <f t="shared" si="33"/>
        <v>7.8735803309370883E-2</v>
      </c>
      <c r="AC22" s="293">
        <f t="shared" ref="AC22" si="34">SUM(AC13/AC$14)</f>
        <v>8.7960884586106611E-2</v>
      </c>
      <c r="AD22" s="289"/>
      <c r="AE22" s="293">
        <f t="shared" ref="AE22:AO22" si="35">SUM(AE13/AE$14)</f>
        <v>0.10327271976611266</v>
      </c>
      <c r="AF22" s="293">
        <f t="shared" si="35"/>
        <v>0.10380036094989548</v>
      </c>
      <c r="AG22" s="293">
        <f t="shared" si="35"/>
        <v>0.1046354442051087</v>
      </c>
      <c r="AH22" s="293">
        <f t="shared" si="35"/>
        <v>0.1039565858303873</v>
      </c>
      <c r="AI22" s="293">
        <f t="shared" si="35"/>
        <v>9.9339911746252327E-2</v>
      </c>
      <c r="AJ22" s="293">
        <f t="shared" si="35"/>
        <v>9.819114676002233E-2</v>
      </c>
      <c r="AK22" s="293">
        <f t="shared" si="35"/>
        <v>9.6692712452963278E-2</v>
      </c>
      <c r="AL22" s="293">
        <f t="shared" si="35"/>
        <v>9.4633472707046681E-2</v>
      </c>
      <c r="AM22" s="293">
        <f t="shared" si="35"/>
        <v>9.2983121083484943E-2</v>
      </c>
      <c r="AN22" s="293">
        <f t="shared" si="35"/>
        <v>9.0936792834556385E-2</v>
      </c>
      <c r="AO22" s="293">
        <f t="shared" si="35"/>
        <v>8.7402875497093913E-2</v>
      </c>
      <c r="AP22" s="300">
        <f t="shared" ref="AP22" si="36">SUM(AP13/AP$14)</f>
        <v>8.5750466766467789E-2</v>
      </c>
      <c r="AR22" s="9"/>
    </row>
    <row r="23" spans="2:44">
      <c r="B23" s="296" t="s">
        <v>403</v>
      </c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89"/>
      <c r="AK23" s="289"/>
      <c r="AL23" s="289"/>
      <c r="AM23" s="289"/>
      <c r="AN23" s="289"/>
      <c r="AO23" s="289"/>
      <c r="AP23" s="297"/>
      <c r="AR23" s="9"/>
    </row>
    <row r="24" spans="2:44">
      <c r="B24" s="291" t="str">
        <f>B9&amp;"(%)"</f>
        <v>iPhone Revenue(%)</v>
      </c>
      <c r="C24" s="289" t="s">
        <v>46</v>
      </c>
      <c r="D24" s="294">
        <f>SUM(D9/C9)-1</f>
        <v>3.3789319678127372E-2</v>
      </c>
      <c r="E24" s="294">
        <f t="shared" ref="E24:K24" si="37">SUM(E9/D9)-1</f>
        <v>0.16677870633106662</v>
      </c>
      <c r="F24" s="294">
        <f t="shared" si="37"/>
        <v>-0.13649871427878313</v>
      </c>
      <c r="G24" s="294">
        <f t="shared" si="37"/>
        <v>-3.2307681502447672E-2</v>
      </c>
      <c r="H24" s="294">
        <f t="shared" si="37"/>
        <v>0.39331983364905176</v>
      </c>
      <c r="I24" s="294">
        <f t="shared" si="37"/>
        <v>7.0405734139696641E-2</v>
      </c>
      <c r="J24" s="294">
        <f t="shared" si="37"/>
        <v>-2.3874757286278081E-2</v>
      </c>
      <c r="K24" s="294">
        <f t="shared" si="37"/>
        <v>2.9912804175826757E-3</v>
      </c>
      <c r="L24" s="294">
        <f t="shared" ref="L24" si="38">SUM(L9/K9)-1</f>
        <v>4.1767942619406195E-2</v>
      </c>
      <c r="M24" s="289"/>
      <c r="N24" s="294" t="s">
        <v>46</v>
      </c>
      <c r="O24" s="294" t="s">
        <v>46</v>
      </c>
      <c r="P24" s="294" t="s">
        <v>46</v>
      </c>
      <c r="Q24" s="294" t="s">
        <v>46</v>
      </c>
      <c r="R24" s="294">
        <f>SUM(R9/N9)-1</f>
        <v>-8.1713854917071505E-2</v>
      </c>
      <c r="S24" s="294">
        <f t="shared" ref="S24:AB24" si="39">SUM(S9/R9)-1</f>
        <v>-0.21955150133029266</v>
      </c>
      <c r="T24" s="294">
        <f t="shared" si="39"/>
        <v>-0.22723730860638169</v>
      </c>
      <c r="U24" s="294">
        <f t="shared" si="39"/>
        <v>0.10426277445864529</v>
      </c>
      <c r="V24" s="294">
        <f t="shared" si="39"/>
        <v>0.59118822052277142</v>
      </c>
      <c r="W24" s="294">
        <f t="shared" si="39"/>
        <v>-0.3405784625979168</v>
      </c>
      <c r="X24" s="294">
        <f t="shared" si="39"/>
        <v>-0.14505145443073775</v>
      </c>
      <c r="Y24" s="294">
        <f t="shared" si="39"/>
        <v>0.17625203583061899</v>
      </c>
      <c r="Z24" s="294">
        <f t="shared" si="39"/>
        <v>0.49578122971745064</v>
      </c>
      <c r="AA24" s="294">
        <f t="shared" si="39"/>
        <v>-0.3224999276808701</v>
      </c>
      <c r="AB24" s="294">
        <f t="shared" si="39"/>
        <v>-4.8226980636621786E-2</v>
      </c>
      <c r="AC24" s="294">
        <f t="shared" ref="AC24" si="40">SUM(AC9/AB9)-1</f>
        <v>9.9659055224081472E-2</v>
      </c>
      <c r="AD24" s="289"/>
      <c r="AE24" s="294" t="s">
        <v>46</v>
      </c>
      <c r="AF24" s="294" t="s">
        <v>46</v>
      </c>
      <c r="AG24" s="294" t="s">
        <v>46</v>
      </c>
      <c r="AH24" s="294" t="s">
        <v>46</v>
      </c>
      <c r="AI24" s="294">
        <f t="shared" ref="AI24:AN27" si="41">SUM(AI9/AE9)-1</f>
        <v>2.4414434270372043E-2</v>
      </c>
      <c r="AJ24" s="294">
        <f t="shared" si="41"/>
        <v>-6.2924151696607256E-3</v>
      </c>
      <c r="AK24" s="294">
        <f t="shared" si="41"/>
        <v>-3.199534613147148E-3</v>
      </c>
      <c r="AL24" s="294">
        <f t="shared" si="41"/>
        <v>2.9912804175826757E-3</v>
      </c>
      <c r="AM24" s="294">
        <f t="shared" si="41"/>
        <v>-1.9025964500513415E-2</v>
      </c>
      <c r="AN24" s="294">
        <f t="shared" si="41"/>
        <v>1.1840975399093123E-2</v>
      </c>
      <c r="AO24" s="294">
        <f>SUM(AO9/AK9)-1</f>
        <v>4.0333859915679726E-2</v>
      </c>
      <c r="AP24" s="301">
        <f>SUM(AP9/AL9)-1</f>
        <v>4.1767942619406195E-2</v>
      </c>
      <c r="AR24" s="9"/>
    </row>
    <row r="25" spans="2:44">
      <c r="B25" s="291" t="str">
        <f t="shared" ref="B25:B28" si="42">B10&amp;"(%)"</f>
        <v>Mac Revenue(%)</v>
      </c>
      <c r="C25" s="289" t="s">
        <v>46</v>
      </c>
      <c r="D25" s="294">
        <f t="shared" ref="D25:K25" si="43">SUM(D10/C10)-1</f>
        <v>0.13223249091148004</v>
      </c>
      <c r="E25" s="294">
        <f t="shared" si="43"/>
        <v>-2.5222437137330744E-2</v>
      </c>
      <c r="F25" s="294">
        <f t="shared" si="43"/>
        <v>2.1509643622509733E-2</v>
      </c>
      <c r="G25" s="294">
        <f t="shared" si="43"/>
        <v>0.11196581196581201</v>
      </c>
      <c r="H25" s="294">
        <f t="shared" si="43"/>
        <v>0.22947383131856625</v>
      </c>
      <c r="I25" s="294">
        <f t="shared" si="43"/>
        <v>0.14171639670360903</v>
      </c>
      <c r="J25" s="294">
        <f t="shared" si="43"/>
        <v>-0.26930831072504169</v>
      </c>
      <c r="K25" s="294">
        <f t="shared" si="43"/>
        <v>2.1357768164322E-2</v>
      </c>
      <c r="L25" s="294">
        <f t="shared" ref="L25" si="44">SUM(L10/K10)-1</f>
        <v>0.12419957310565644</v>
      </c>
      <c r="M25" s="289"/>
      <c r="N25" s="294" t="s">
        <v>46</v>
      </c>
      <c r="O25" s="294" t="s">
        <v>46</v>
      </c>
      <c r="P25" s="294" t="s">
        <v>46</v>
      </c>
      <c r="Q25" s="294" t="s">
        <v>46</v>
      </c>
      <c r="R25" s="294">
        <f t="shared" ref="R25:R28" si="45">SUM(R10/N10)-1</f>
        <v>-0.28722816070770363</v>
      </c>
      <c r="S25" s="294">
        <f t="shared" ref="S25:AB25" si="46">SUM(S10/R10)-1</f>
        <v>-7.3303167420814441E-2</v>
      </c>
      <c r="T25" s="294">
        <f t="shared" si="46"/>
        <v>-4.5758928571428603E-2</v>
      </c>
      <c r="U25" s="294">
        <f t="shared" si="46"/>
        <v>0.11315789473684212</v>
      </c>
      <c r="V25" s="294">
        <f t="shared" si="46"/>
        <v>2.1801943787759459E-2</v>
      </c>
      <c r="W25" s="294">
        <f t="shared" si="46"/>
        <v>-4.2287917737789171E-2</v>
      </c>
      <c r="X25" s="294">
        <f t="shared" si="46"/>
        <v>-5.9320896523956557E-2</v>
      </c>
      <c r="Y25" s="294">
        <f t="shared" si="46"/>
        <v>0.10486517334855194</v>
      </c>
      <c r="Z25" s="294">
        <f t="shared" si="46"/>
        <v>0.16051136363636354</v>
      </c>
      <c r="AA25" s="294">
        <f t="shared" si="46"/>
        <v>-0.11550016690775566</v>
      </c>
      <c r="AB25" s="294">
        <f t="shared" si="46"/>
        <v>1.2202792804126394E-2</v>
      </c>
      <c r="AC25" s="294">
        <f t="shared" ref="AC25" si="47">SUM(AC10/AB10)-1</f>
        <v>8.4514044245587838E-2</v>
      </c>
      <c r="AD25" s="289"/>
      <c r="AE25" s="294" t="s">
        <v>46</v>
      </c>
      <c r="AF25" s="294" t="s">
        <v>46</v>
      </c>
      <c r="AG25" s="294" t="s">
        <v>46</v>
      </c>
      <c r="AH25" s="294" t="s">
        <v>46</v>
      </c>
      <c r="AI25" s="294">
        <f t="shared" si="41"/>
        <v>-0.20663788451160281</v>
      </c>
      <c r="AJ25" s="294">
        <f t="shared" si="41"/>
        <v>-0.12156363743970644</v>
      </c>
      <c r="AK25" s="294">
        <f t="shared" si="41"/>
        <v>-0.1021623409822261</v>
      </c>
      <c r="AL25" s="294">
        <f t="shared" si="41"/>
        <v>2.1357768164322E-2</v>
      </c>
      <c r="AM25" s="294">
        <f t="shared" si="41"/>
        <v>6.0846200938711625E-2</v>
      </c>
      <c r="AN25" s="294">
        <f t="shared" si="41"/>
        <v>6.75088428499242E-2</v>
      </c>
      <c r="AO25" s="294">
        <f t="shared" ref="AO25:AP27" si="48">SUM(AO10/AK10)-1</f>
        <v>9.6201514034970126E-2</v>
      </c>
      <c r="AP25" s="301">
        <f t="shared" si="48"/>
        <v>0.12419957310565644</v>
      </c>
      <c r="AR25" s="9"/>
    </row>
    <row r="26" spans="2:44">
      <c r="B26" s="291" t="str">
        <f t="shared" si="42"/>
        <v>iPad Revenue(%)</v>
      </c>
      <c r="C26" s="289" t="s">
        <v>46</v>
      </c>
      <c r="D26" s="294">
        <f t="shared" ref="D26:K26" si="49">SUM(D11/C11)-1</f>
        <v>-6.8159782819468662E-2</v>
      </c>
      <c r="E26" s="294">
        <f t="shared" si="49"/>
        <v>-4.3803974612423247E-2</v>
      </c>
      <c r="F26" s="294">
        <f t="shared" si="49"/>
        <v>0.15778019586507064</v>
      </c>
      <c r="G26" s="294">
        <f t="shared" si="49"/>
        <v>0.11484962406015042</v>
      </c>
      <c r="H26" s="294">
        <f t="shared" si="49"/>
        <v>0.34302815714044854</v>
      </c>
      <c r="I26" s="294">
        <f t="shared" si="49"/>
        <v>-8.0660347749670458E-2</v>
      </c>
      <c r="J26" s="294">
        <f t="shared" si="49"/>
        <v>-3.3865901952751631E-2</v>
      </c>
      <c r="K26" s="294">
        <f t="shared" si="49"/>
        <v>-5.674911660777382E-2</v>
      </c>
      <c r="L26" s="294">
        <f t="shared" ref="L26" si="50">SUM(L11/K11)-1</f>
        <v>4.9786468869408962E-2</v>
      </c>
      <c r="M26" s="289"/>
      <c r="N26" s="294" t="s">
        <v>46</v>
      </c>
      <c r="O26" s="294" t="s">
        <v>46</v>
      </c>
      <c r="P26" s="294" t="s">
        <v>46</v>
      </c>
      <c r="Q26" s="294" t="s">
        <v>46</v>
      </c>
      <c r="R26" s="294">
        <f t="shared" si="45"/>
        <v>0.29635761589403975</v>
      </c>
      <c r="S26" s="294">
        <f t="shared" ref="S26:AB26" si="51">SUM(S11/R11)-1</f>
        <v>-0.29012345679012341</v>
      </c>
      <c r="T26" s="294">
        <f t="shared" si="51"/>
        <v>-0.13178410794602702</v>
      </c>
      <c r="U26" s="294">
        <f t="shared" si="51"/>
        <v>0.11258849939561388</v>
      </c>
      <c r="V26" s="294">
        <f t="shared" si="51"/>
        <v>9.0020176936209895E-2</v>
      </c>
      <c r="W26" s="294">
        <f t="shared" si="51"/>
        <v>-0.20845792396411789</v>
      </c>
      <c r="X26" s="294">
        <f t="shared" si="51"/>
        <v>0.28836121604605136</v>
      </c>
      <c r="Y26" s="294">
        <f t="shared" si="51"/>
        <v>-2.9600670203853707E-2</v>
      </c>
      <c r="Z26" s="294">
        <f t="shared" si="51"/>
        <v>0.16374100719424467</v>
      </c>
      <c r="AA26" s="294">
        <f t="shared" si="51"/>
        <v>-0.20845697329376855</v>
      </c>
      <c r="AB26" s="294">
        <f t="shared" si="51"/>
        <v>2.7960012496095032E-2</v>
      </c>
      <c r="AC26" s="294">
        <f t="shared" ref="AC26" si="52">SUM(AC11/AB11)-1</f>
        <v>5.6374411183710782E-2</v>
      </c>
      <c r="AD26" s="289"/>
      <c r="AE26" s="294" t="s">
        <v>46</v>
      </c>
      <c r="AF26" s="294" t="s">
        <v>46</v>
      </c>
      <c r="AG26" s="294" t="s">
        <v>46</v>
      </c>
      <c r="AH26" s="294" t="s">
        <v>46</v>
      </c>
      <c r="AI26" s="294">
        <f t="shared" si="41"/>
        <v>-0.17534987277353686</v>
      </c>
      <c r="AJ26" s="294">
        <f t="shared" si="41"/>
        <v>-0.18539915966386555</v>
      </c>
      <c r="AK26" s="294">
        <f t="shared" si="41"/>
        <v>-9.7964245117288407E-2</v>
      </c>
      <c r="AL26" s="294">
        <f t="shared" si="41"/>
        <v>-5.674911660777382E-2</v>
      </c>
      <c r="AM26" s="294">
        <f t="shared" si="41"/>
        <v>7.065992980290825E-2</v>
      </c>
      <c r="AN26" s="294">
        <f t="shared" si="41"/>
        <v>0.15256286266924568</v>
      </c>
      <c r="AO26" s="294">
        <f t="shared" si="48"/>
        <v>7.0034750066827023E-2</v>
      </c>
      <c r="AP26" s="301">
        <f t="shared" si="48"/>
        <v>4.9786468869408962E-2</v>
      </c>
      <c r="AR26" s="9"/>
    </row>
    <row r="27" spans="2:44">
      <c r="B27" s="291" t="str">
        <f t="shared" si="42"/>
        <v>Services Revenue(%)</v>
      </c>
      <c r="C27" s="289" t="s">
        <v>46</v>
      </c>
      <c r="D27" s="294">
        <f t="shared" ref="D27:K27" si="53">SUM(D12/C12)-1</f>
        <v>0.23131263348118947</v>
      </c>
      <c r="E27" s="294">
        <f t="shared" si="53"/>
        <v>0.3258172114743163</v>
      </c>
      <c r="F27" s="294">
        <f t="shared" si="53"/>
        <v>0.16461205595250084</v>
      </c>
      <c r="G27" s="294">
        <f t="shared" si="53"/>
        <v>0.16152167807997242</v>
      </c>
      <c r="H27" s="294">
        <f t="shared" si="53"/>
        <v>0.27259708376729663</v>
      </c>
      <c r="I27" s="294">
        <f t="shared" si="53"/>
        <v>0.14181951041286078</v>
      </c>
      <c r="J27" s="294">
        <f t="shared" si="53"/>
        <v>9.0504166186691215E-2</v>
      </c>
      <c r="K27" s="294">
        <f t="shared" si="53"/>
        <v>0.12874413145539898</v>
      </c>
      <c r="L27" s="294">
        <f t="shared" ref="L27" si="54">SUM(L12/K12)-1</f>
        <v>0.13506431386413498</v>
      </c>
      <c r="M27" s="289"/>
      <c r="N27" s="294" t="s">
        <v>46</v>
      </c>
      <c r="O27" s="294" t="s">
        <v>46</v>
      </c>
      <c r="P27" s="294" t="s">
        <v>46</v>
      </c>
      <c r="Q27" s="294" t="s">
        <v>46</v>
      </c>
      <c r="R27" s="294">
        <f t="shared" si="45"/>
        <v>6.4050010248001721E-2</v>
      </c>
      <c r="S27" s="294">
        <f t="shared" ref="S27:AB27" si="55">SUM(S12/R12)-1</f>
        <v>6.7899451025714708E-3</v>
      </c>
      <c r="T27" s="294">
        <f t="shared" si="55"/>
        <v>1.4636246233318939E-2</v>
      </c>
      <c r="U27" s="294">
        <f t="shared" si="55"/>
        <v>5.1902135482958522E-2</v>
      </c>
      <c r="V27" s="294">
        <f t="shared" si="55"/>
        <v>3.5986376266021303E-2</v>
      </c>
      <c r="W27" s="294">
        <f t="shared" si="55"/>
        <v>3.2443656183760883E-2</v>
      </c>
      <c r="X27" s="294">
        <f t="shared" si="55"/>
        <v>1.4497004231784461E-2</v>
      </c>
      <c r="Y27" s="294">
        <f t="shared" si="55"/>
        <v>3.1346797175071162E-2</v>
      </c>
      <c r="Z27" s="294">
        <f t="shared" si="55"/>
        <v>5.4781355117731856E-2</v>
      </c>
      <c r="AA27" s="294">
        <f t="shared" si="55"/>
        <v>1.1579347000759244E-2</v>
      </c>
      <c r="AB27" s="294">
        <f t="shared" si="55"/>
        <v>2.9198723963220097E-2</v>
      </c>
      <c r="AC27" s="294">
        <f t="shared" ref="AC27" si="56">SUM(AC12/AB12)-1</f>
        <v>4.8390037559712606E-2</v>
      </c>
      <c r="AD27" s="289"/>
      <c r="AE27" s="294" t="s">
        <v>46</v>
      </c>
      <c r="AF27" s="294" t="s">
        <v>46</v>
      </c>
      <c r="AG27" s="294" t="s">
        <v>46</v>
      </c>
      <c r="AH27" s="294" t="s">
        <v>46</v>
      </c>
      <c r="AI27" s="294">
        <f t="shared" si="41"/>
        <v>0.10294914272036682</v>
      </c>
      <c r="AJ27" s="294">
        <f t="shared" si="41"/>
        <v>0.12484931336605976</v>
      </c>
      <c r="AK27" s="294">
        <f t="shared" si="41"/>
        <v>0.13934985500889452</v>
      </c>
      <c r="AL27" s="294">
        <f t="shared" si="41"/>
        <v>0.12874413145539898</v>
      </c>
      <c r="AM27" s="294">
        <f t="shared" si="41"/>
        <v>0.13524688467293355</v>
      </c>
      <c r="AN27" s="294">
        <f t="shared" si="41"/>
        <v>0.12881307244423335</v>
      </c>
      <c r="AO27" s="294">
        <f t="shared" si="48"/>
        <v>0.12692624397129748</v>
      </c>
      <c r="AP27" s="301">
        <f t="shared" si="48"/>
        <v>0.13506431386413498</v>
      </c>
      <c r="AR27" s="9"/>
    </row>
    <row r="28" spans="2:44">
      <c r="B28" s="291" t="str">
        <f t="shared" si="42"/>
        <v>Wearables, Home, and Accessories Revenue(%)</v>
      </c>
      <c r="C28" s="289" t="s">
        <v>46</v>
      </c>
      <c r="D28" s="294">
        <f t="shared" ref="D28:K28" si="57">SUM(D13/C13)-1</f>
        <v>0.15549766439094492</v>
      </c>
      <c r="E28" s="294">
        <f t="shared" si="57"/>
        <v>0.35123999067091649</v>
      </c>
      <c r="F28" s="294">
        <f t="shared" si="57"/>
        <v>0.40854956561762834</v>
      </c>
      <c r="G28" s="294">
        <f t="shared" si="57"/>
        <v>0.25071481088146386</v>
      </c>
      <c r="H28" s="294">
        <f t="shared" si="57"/>
        <v>0.2530045721750489</v>
      </c>
      <c r="I28" s="294">
        <f t="shared" si="57"/>
        <v>7.4908124169208001E-2</v>
      </c>
      <c r="J28" s="294">
        <f t="shared" si="57"/>
        <v>-3.3849809655439933E-2</v>
      </c>
      <c r="K28" s="294">
        <f t="shared" si="57"/>
        <v>-7.1276195256619435E-2</v>
      </c>
      <c r="L28" s="294">
        <f t="shared" ref="L28" si="58">SUM(L13/K13)-1</f>
        <v>-3.5643831914606183E-2</v>
      </c>
      <c r="M28" s="289"/>
      <c r="N28" s="294" t="s">
        <v>46</v>
      </c>
      <c r="O28" s="294" t="s">
        <v>46</v>
      </c>
      <c r="P28" s="294" t="s">
        <v>46</v>
      </c>
      <c r="Q28" s="294" t="s">
        <v>46</v>
      </c>
      <c r="R28" s="294">
        <f t="shared" si="45"/>
        <v>-8.2919529283722149E-2</v>
      </c>
      <c r="S28" s="294">
        <f t="shared" ref="S28:AB28" si="59">SUM(S13/R13)-1</f>
        <v>-0.35046728971962615</v>
      </c>
      <c r="T28" s="294">
        <f t="shared" si="59"/>
        <v>-5.4013931711773489E-2</v>
      </c>
      <c r="U28" s="294">
        <f t="shared" si="59"/>
        <v>0.12530178657653313</v>
      </c>
      <c r="V28" s="294">
        <f t="shared" si="59"/>
        <v>0.28223557176571545</v>
      </c>
      <c r="W28" s="294">
        <f t="shared" si="59"/>
        <v>-0.33799046264536103</v>
      </c>
      <c r="X28" s="294">
        <f t="shared" si="59"/>
        <v>2.3252875015796759E-2</v>
      </c>
      <c r="Y28" s="294">
        <f t="shared" si="59"/>
        <v>0.1167098925527974</v>
      </c>
      <c r="Z28" s="294">
        <f t="shared" si="59"/>
        <v>0.2991594779915947</v>
      </c>
      <c r="AA28" s="294">
        <f t="shared" si="59"/>
        <v>-0.35966629777815617</v>
      </c>
      <c r="AB28" s="294">
        <f t="shared" si="59"/>
        <v>-1.5687317202871531E-2</v>
      </c>
      <c r="AC28" s="294">
        <f t="shared" ref="AC28" si="60">SUM(AC13/AB13)-1</f>
        <v>0.21731496488384661</v>
      </c>
      <c r="AD28" s="289"/>
      <c r="AE28" s="294" t="s">
        <v>46</v>
      </c>
      <c r="AF28" s="294" t="s">
        <v>46</v>
      </c>
      <c r="AG28" s="294" t="s">
        <v>46</v>
      </c>
      <c r="AH28" s="294" t="s">
        <v>46</v>
      </c>
      <c r="AI28" s="294">
        <f t="shared" ref="AI28" si="61">SUM(AI13/AE13)-1</f>
        <v>-4.2626555394532972E-2</v>
      </c>
      <c r="AJ28" s="294">
        <f t="shared" ref="AJ28" si="62">SUM(AJ13/AF13)-1</f>
        <v>-6.2567232882195456E-2</v>
      </c>
      <c r="AK28" s="294">
        <f t="shared" ref="AK28" si="63">SUM(AK13/AG13)-1</f>
        <v>-7.1889079730167005E-2</v>
      </c>
      <c r="AL28" s="294">
        <f t="shared" ref="AL28" si="64">SUM(AL13/AH13)-1</f>
        <v>-7.1276195256619435E-2</v>
      </c>
      <c r="AM28" s="294">
        <f t="shared" ref="AM28" si="65">SUM(AM13/AI13)-1</f>
        <v>-3.9591815429585564E-2</v>
      </c>
      <c r="AN28" s="294">
        <f t="shared" ref="AN28" si="66">SUM(AN13/AJ13)-1</f>
        <v>-2.8394534585824083E-2</v>
      </c>
      <c r="AO28" s="294">
        <f t="shared" ref="AO28:AP28" si="67">SUM(AO13/AK13)-1</f>
        <v>-4.2108086361807739E-2</v>
      </c>
      <c r="AP28" s="301">
        <f t="shared" si="67"/>
        <v>-3.5643831914606183E-2</v>
      </c>
      <c r="AR28" s="9"/>
    </row>
    <row r="29" spans="2:44">
      <c r="B29" s="296" t="s">
        <v>404</v>
      </c>
      <c r="C29" s="289"/>
      <c r="D29" s="294"/>
      <c r="E29" s="294"/>
      <c r="F29" s="294"/>
      <c r="G29" s="294"/>
      <c r="H29" s="294"/>
      <c r="I29" s="294"/>
      <c r="J29" s="294"/>
      <c r="K29" s="294"/>
      <c r="L29" s="294"/>
      <c r="M29" s="289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89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301"/>
      <c r="AR29" s="9"/>
    </row>
    <row r="30" spans="2:44">
      <c r="B30" s="291" t="str">
        <f>B9&amp;"(%)"</f>
        <v>iPhone Revenue(%)</v>
      </c>
      <c r="C30" s="289" t="s">
        <v>46</v>
      </c>
      <c r="D30" s="289" t="s">
        <v>46</v>
      </c>
      <c r="E30" s="289" t="s">
        <v>46</v>
      </c>
      <c r="F30" s="289" t="s">
        <v>46</v>
      </c>
      <c r="G30" s="289" t="s">
        <v>46</v>
      </c>
      <c r="H30" s="289" t="s">
        <v>46</v>
      </c>
      <c r="I30" s="289" t="s">
        <v>46</v>
      </c>
      <c r="J30" s="289" t="s">
        <v>46</v>
      </c>
      <c r="K30" s="289" t="s">
        <v>46</v>
      </c>
      <c r="L30" s="289" t="s">
        <v>46</v>
      </c>
      <c r="M30" s="289"/>
      <c r="N30" s="294" t="s">
        <v>46</v>
      </c>
      <c r="O30" s="294">
        <f t="shared" ref="O30:AB30" si="68">SUM(O9/N9)-1</f>
        <v>-0.29399117663483554</v>
      </c>
      <c r="P30" s="294">
        <f t="shared" si="68"/>
        <v>-0.1958671148902511</v>
      </c>
      <c r="Q30" s="294">
        <f t="shared" si="68"/>
        <v>4.8223287839665563E-2</v>
      </c>
      <c r="R30" s="294">
        <f t="shared" si="68"/>
        <v>0.5430723032890723</v>
      </c>
      <c r="S30" s="294">
        <f t="shared" si="68"/>
        <v>-0.21955150133029266</v>
      </c>
      <c r="T30" s="294">
        <f t="shared" si="68"/>
        <v>-0.22723730860638169</v>
      </c>
      <c r="U30" s="294">
        <f t="shared" si="68"/>
        <v>0.10426277445864529</v>
      </c>
      <c r="V30" s="294">
        <f t="shared" si="68"/>
        <v>0.59118822052277142</v>
      </c>
      <c r="W30" s="294">
        <f t="shared" si="68"/>
        <v>-0.3405784625979168</v>
      </c>
      <c r="X30" s="294">
        <f t="shared" si="68"/>
        <v>-0.14505145443073775</v>
      </c>
      <c r="Y30" s="294">
        <f t="shared" si="68"/>
        <v>0.17625203583061899</v>
      </c>
      <c r="Z30" s="294">
        <f t="shared" si="68"/>
        <v>0.49578122971745064</v>
      </c>
      <c r="AA30" s="294">
        <f t="shared" si="68"/>
        <v>-0.3224999276808701</v>
      </c>
      <c r="AB30" s="294">
        <f t="shared" si="68"/>
        <v>-4.8226980636621786E-2</v>
      </c>
      <c r="AC30" s="294">
        <f t="shared" ref="AC30" si="69">SUM(AC9/AB9)-1</f>
        <v>9.9659055224081472E-2</v>
      </c>
      <c r="AD30" s="289"/>
      <c r="AE30" s="294" t="s">
        <v>46</v>
      </c>
      <c r="AF30" s="294" t="s">
        <v>46</v>
      </c>
      <c r="AG30" s="294" t="s">
        <v>46</v>
      </c>
      <c r="AH30" s="294" t="s">
        <v>46</v>
      </c>
      <c r="AI30" s="294" t="s">
        <v>46</v>
      </c>
      <c r="AJ30" s="294" t="s">
        <v>46</v>
      </c>
      <c r="AK30" s="294" t="s">
        <v>46</v>
      </c>
      <c r="AL30" s="294" t="s">
        <v>46</v>
      </c>
      <c r="AM30" s="294" t="s">
        <v>46</v>
      </c>
      <c r="AN30" s="294" t="s">
        <v>46</v>
      </c>
      <c r="AO30" s="294" t="s">
        <v>46</v>
      </c>
      <c r="AP30" s="301" t="s">
        <v>46</v>
      </c>
      <c r="AR30" s="9"/>
    </row>
    <row r="31" spans="2:44">
      <c r="B31" s="291" t="str">
        <f t="shared" ref="B31:B34" si="70">B10&amp;"(%)"</f>
        <v>Mac Revenue(%)</v>
      </c>
      <c r="C31" s="289" t="s">
        <v>46</v>
      </c>
      <c r="D31" s="289" t="s">
        <v>46</v>
      </c>
      <c r="E31" s="289" t="s">
        <v>46</v>
      </c>
      <c r="F31" s="289" t="s">
        <v>46</v>
      </c>
      <c r="G31" s="289" t="s">
        <v>46</v>
      </c>
      <c r="H31" s="289" t="s">
        <v>46</v>
      </c>
      <c r="I31" s="289" t="s">
        <v>46</v>
      </c>
      <c r="J31" s="289" t="s">
        <v>46</v>
      </c>
      <c r="K31" s="289" t="s">
        <v>46</v>
      </c>
      <c r="L31" s="289" t="s">
        <v>46</v>
      </c>
      <c r="M31" s="289"/>
      <c r="N31" s="294" t="s">
        <v>46</v>
      </c>
      <c r="O31" s="294">
        <f t="shared" ref="O31:AB31" si="71">SUM(O10/N10)-1</f>
        <v>-3.842609657206042E-2</v>
      </c>
      <c r="P31" s="294">
        <f t="shared" si="71"/>
        <v>-0.29257307139434596</v>
      </c>
      <c r="Q31" s="294">
        <f t="shared" si="71"/>
        <v>0.55892712002167433</v>
      </c>
      <c r="R31" s="294">
        <f t="shared" si="71"/>
        <v>-0.32785888077858882</v>
      </c>
      <c r="S31" s="294">
        <f t="shared" si="71"/>
        <v>-7.3303167420814441E-2</v>
      </c>
      <c r="T31" s="294">
        <f t="shared" si="71"/>
        <v>-4.5758928571428603E-2</v>
      </c>
      <c r="U31" s="294">
        <f t="shared" si="71"/>
        <v>0.11315789473684212</v>
      </c>
      <c r="V31" s="294">
        <f t="shared" si="71"/>
        <v>2.1801943787759459E-2</v>
      </c>
      <c r="W31" s="294">
        <f t="shared" si="71"/>
        <v>-4.2287917737789171E-2</v>
      </c>
      <c r="X31" s="294">
        <f t="shared" si="71"/>
        <v>-5.9320896523956557E-2</v>
      </c>
      <c r="Y31" s="294">
        <f t="shared" si="71"/>
        <v>0.10486517334855194</v>
      </c>
      <c r="Z31" s="294">
        <f t="shared" si="71"/>
        <v>0.16051136363636354</v>
      </c>
      <c r="AA31" s="294">
        <f t="shared" si="71"/>
        <v>-0.11550016690775566</v>
      </c>
      <c r="AB31" s="294">
        <f t="shared" si="71"/>
        <v>1.2202792804126394E-2</v>
      </c>
      <c r="AC31" s="294">
        <f t="shared" ref="AC31" si="72">SUM(AC10/AB10)-1</f>
        <v>8.4514044245587838E-2</v>
      </c>
      <c r="AD31" s="289"/>
      <c r="AE31" s="294" t="s">
        <v>46</v>
      </c>
      <c r="AF31" s="294" t="s">
        <v>46</v>
      </c>
      <c r="AG31" s="294" t="s">
        <v>46</v>
      </c>
      <c r="AH31" s="294" t="s">
        <v>46</v>
      </c>
      <c r="AI31" s="294" t="s">
        <v>46</v>
      </c>
      <c r="AJ31" s="294" t="s">
        <v>46</v>
      </c>
      <c r="AK31" s="294" t="s">
        <v>46</v>
      </c>
      <c r="AL31" s="294" t="s">
        <v>46</v>
      </c>
      <c r="AM31" s="294" t="s">
        <v>46</v>
      </c>
      <c r="AN31" s="294" t="s">
        <v>46</v>
      </c>
      <c r="AO31" s="294" t="s">
        <v>46</v>
      </c>
      <c r="AP31" s="301" t="s">
        <v>46</v>
      </c>
      <c r="AR31" s="9"/>
    </row>
    <row r="32" spans="2:44">
      <c r="B32" s="291" t="str">
        <f t="shared" si="70"/>
        <v>iPad Revenue(%)</v>
      </c>
      <c r="C32" s="289" t="s">
        <v>46</v>
      </c>
      <c r="D32" s="289" t="s">
        <v>46</v>
      </c>
      <c r="E32" s="289" t="s">
        <v>46</v>
      </c>
      <c r="F32" s="289" t="s">
        <v>46</v>
      </c>
      <c r="G32" s="289" t="s">
        <v>46</v>
      </c>
      <c r="H32" s="289" t="s">
        <v>46</v>
      </c>
      <c r="I32" s="289" t="s">
        <v>46</v>
      </c>
      <c r="J32" s="289" t="s">
        <v>46</v>
      </c>
      <c r="K32" s="289" t="s">
        <v>46</v>
      </c>
      <c r="L32" s="289" t="s">
        <v>46</v>
      </c>
      <c r="M32" s="289"/>
      <c r="N32" s="294" t="s">
        <v>46</v>
      </c>
      <c r="O32" s="294">
        <f t="shared" ref="O32:AB32" si="73">SUM(O11/N11)-1</f>
        <v>5.4911699779249368E-2</v>
      </c>
      <c r="P32" s="294">
        <f t="shared" si="73"/>
        <v>-5.5192257389484745E-2</v>
      </c>
      <c r="Q32" s="294">
        <f t="shared" si="73"/>
        <v>-6.9213732004429485E-3</v>
      </c>
      <c r="R32" s="294">
        <f t="shared" si="73"/>
        <v>0.30972957903540554</v>
      </c>
      <c r="S32" s="294">
        <f t="shared" si="73"/>
        <v>-0.29012345679012341</v>
      </c>
      <c r="T32" s="294">
        <f t="shared" si="73"/>
        <v>-0.13178410794602702</v>
      </c>
      <c r="U32" s="294">
        <f t="shared" si="73"/>
        <v>0.11258849939561388</v>
      </c>
      <c r="V32" s="294">
        <f t="shared" si="73"/>
        <v>9.0020176936209895E-2</v>
      </c>
      <c r="W32" s="294">
        <f t="shared" si="73"/>
        <v>-0.20845792396411789</v>
      </c>
      <c r="X32" s="294">
        <f t="shared" si="73"/>
        <v>0.28836121604605136</v>
      </c>
      <c r="Y32" s="294">
        <f t="shared" si="73"/>
        <v>-2.9600670203853707E-2</v>
      </c>
      <c r="Z32" s="294">
        <f t="shared" si="73"/>
        <v>0.16374100719424467</v>
      </c>
      <c r="AA32" s="294">
        <f t="shared" si="73"/>
        <v>-0.20845697329376855</v>
      </c>
      <c r="AB32" s="294">
        <f t="shared" si="73"/>
        <v>2.7960012496095032E-2</v>
      </c>
      <c r="AC32" s="294">
        <f t="shared" ref="AC32" si="74">SUM(AC11/AB11)-1</f>
        <v>5.6374411183710782E-2</v>
      </c>
      <c r="AD32" s="289"/>
      <c r="AE32" s="294" t="s">
        <v>46</v>
      </c>
      <c r="AF32" s="294" t="s">
        <v>46</v>
      </c>
      <c r="AG32" s="294" t="s">
        <v>46</v>
      </c>
      <c r="AH32" s="294" t="s">
        <v>46</v>
      </c>
      <c r="AI32" s="294" t="s">
        <v>46</v>
      </c>
      <c r="AJ32" s="294" t="s">
        <v>46</v>
      </c>
      <c r="AK32" s="294" t="s">
        <v>46</v>
      </c>
      <c r="AL32" s="294" t="s">
        <v>46</v>
      </c>
      <c r="AM32" s="294" t="s">
        <v>46</v>
      </c>
      <c r="AN32" s="294" t="s">
        <v>46</v>
      </c>
      <c r="AO32" s="294" t="s">
        <v>46</v>
      </c>
      <c r="AP32" s="301" t="s">
        <v>46</v>
      </c>
      <c r="AR32" s="9"/>
    </row>
    <row r="33" spans="1:44">
      <c r="B33" s="291" t="str">
        <f t="shared" si="70"/>
        <v>Services Revenue(%)</v>
      </c>
      <c r="C33" s="289" t="s">
        <v>46</v>
      </c>
      <c r="D33" s="289" t="s">
        <v>46</v>
      </c>
      <c r="E33" s="289" t="s">
        <v>46</v>
      </c>
      <c r="F33" s="289" t="s">
        <v>46</v>
      </c>
      <c r="G33" s="289" t="s">
        <v>46</v>
      </c>
      <c r="H33" s="289" t="s">
        <v>46</v>
      </c>
      <c r="I33" s="289" t="s">
        <v>46</v>
      </c>
      <c r="J33" s="289" t="s">
        <v>46</v>
      </c>
      <c r="K33" s="289" t="s">
        <v>46</v>
      </c>
      <c r="L33" s="289" t="s">
        <v>46</v>
      </c>
      <c r="M33" s="289"/>
      <c r="N33" s="294" t="s">
        <v>46</v>
      </c>
      <c r="O33" s="294">
        <f t="shared" ref="O33:AB33" si="75">SUM(O12/N12)-1</f>
        <v>1.5628202500512334E-2</v>
      </c>
      <c r="P33" s="294">
        <f t="shared" si="75"/>
        <v>-1.0947984460925264E-2</v>
      </c>
      <c r="Q33" s="294">
        <f t="shared" si="75"/>
        <v>-2.1220159151193685E-2</v>
      </c>
      <c r="R33" s="294">
        <f t="shared" si="75"/>
        <v>8.2238899312069957E-2</v>
      </c>
      <c r="S33" s="294">
        <f t="shared" si="75"/>
        <v>6.7899451025714708E-3</v>
      </c>
      <c r="T33" s="294">
        <f t="shared" si="75"/>
        <v>1.4636246233318939E-2</v>
      </c>
      <c r="U33" s="294">
        <f t="shared" si="75"/>
        <v>5.1902135482958522E-2</v>
      </c>
      <c r="V33" s="294">
        <f t="shared" si="75"/>
        <v>3.5986376266021303E-2</v>
      </c>
      <c r="W33" s="294">
        <f t="shared" si="75"/>
        <v>3.2443656183760883E-2</v>
      </c>
      <c r="X33" s="294">
        <f t="shared" si="75"/>
        <v>1.4497004231784461E-2</v>
      </c>
      <c r="Y33" s="294">
        <f t="shared" si="75"/>
        <v>3.1346797175071162E-2</v>
      </c>
      <c r="Z33" s="294">
        <f t="shared" si="75"/>
        <v>5.4781355117731856E-2</v>
      </c>
      <c r="AA33" s="294">
        <f t="shared" si="75"/>
        <v>1.1579347000759244E-2</v>
      </c>
      <c r="AB33" s="294">
        <f t="shared" si="75"/>
        <v>2.9198723963220097E-2</v>
      </c>
      <c r="AC33" s="294">
        <f t="shared" ref="AC33" si="76">SUM(AC12/AB12)-1</f>
        <v>4.8390037559712606E-2</v>
      </c>
      <c r="AD33" s="289"/>
      <c r="AE33" s="294" t="s">
        <v>46</v>
      </c>
      <c r="AF33" s="294" t="s">
        <v>46</v>
      </c>
      <c r="AG33" s="294" t="s">
        <v>46</v>
      </c>
      <c r="AH33" s="294" t="s">
        <v>46</v>
      </c>
      <c r="AI33" s="294" t="s">
        <v>46</v>
      </c>
      <c r="AJ33" s="294" t="s">
        <v>46</v>
      </c>
      <c r="AK33" s="294" t="s">
        <v>46</v>
      </c>
      <c r="AL33" s="294" t="s">
        <v>46</v>
      </c>
      <c r="AM33" s="294" t="s">
        <v>46</v>
      </c>
      <c r="AN33" s="294" t="s">
        <v>46</v>
      </c>
      <c r="AO33" s="294" t="s">
        <v>46</v>
      </c>
      <c r="AP33" s="301" t="s">
        <v>46</v>
      </c>
      <c r="AR33" s="9"/>
    </row>
    <row r="34" spans="1:44">
      <c r="B34" s="292" t="str">
        <f t="shared" si="70"/>
        <v>Wearables, Home, and Accessories Revenue(%)</v>
      </c>
      <c r="C34" s="290" t="s">
        <v>46</v>
      </c>
      <c r="D34" s="290" t="s">
        <v>46</v>
      </c>
      <c r="E34" s="290" t="s">
        <v>46</v>
      </c>
      <c r="F34" s="290" t="s">
        <v>46</v>
      </c>
      <c r="G34" s="290" t="s">
        <v>46</v>
      </c>
      <c r="H34" s="290" t="s">
        <v>46</v>
      </c>
      <c r="I34" s="290" t="s">
        <v>46</v>
      </c>
      <c r="J34" s="290" t="s">
        <v>46</v>
      </c>
      <c r="K34" s="290" t="s">
        <v>46</v>
      </c>
      <c r="L34" s="290" t="s">
        <v>46</v>
      </c>
      <c r="M34" s="290"/>
      <c r="N34" s="295" t="s">
        <v>46</v>
      </c>
      <c r="O34" s="295">
        <f t="shared" ref="O34:AB34" si="77">SUM(O13/N13)-1</f>
        <v>-0.40099312971906675</v>
      </c>
      <c r="P34" s="295">
        <f t="shared" si="77"/>
        <v>-8.1989552577787839E-2</v>
      </c>
      <c r="Q34" s="295">
        <f t="shared" si="77"/>
        <v>0.19371598218703623</v>
      </c>
      <c r="R34" s="295">
        <f t="shared" si="77"/>
        <v>0.39709844559585483</v>
      </c>
      <c r="S34" s="295">
        <f t="shared" si="77"/>
        <v>-0.35046728971962615</v>
      </c>
      <c r="T34" s="295">
        <f t="shared" si="77"/>
        <v>-5.4013931711773489E-2</v>
      </c>
      <c r="U34" s="295">
        <f t="shared" si="77"/>
        <v>0.12530178657653313</v>
      </c>
      <c r="V34" s="295">
        <f t="shared" si="77"/>
        <v>0.28223557176571545</v>
      </c>
      <c r="W34" s="295">
        <f t="shared" si="77"/>
        <v>-0.33799046264536103</v>
      </c>
      <c r="X34" s="295">
        <f t="shared" si="77"/>
        <v>2.3252875015796759E-2</v>
      </c>
      <c r="Y34" s="295">
        <f t="shared" si="77"/>
        <v>0.1167098925527974</v>
      </c>
      <c r="Z34" s="295">
        <f t="shared" si="77"/>
        <v>0.2991594779915947</v>
      </c>
      <c r="AA34" s="295">
        <f t="shared" si="77"/>
        <v>-0.35966629777815617</v>
      </c>
      <c r="AB34" s="295">
        <f t="shared" si="77"/>
        <v>-1.5687317202871531E-2</v>
      </c>
      <c r="AC34" s="295">
        <f t="shared" ref="AC34" si="78">SUM(AC13/AB13)-1</f>
        <v>0.21731496488384661</v>
      </c>
      <c r="AD34" s="290"/>
      <c r="AE34" s="295" t="s">
        <v>46</v>
      </c>
      <c r="AF34" s="295" t="s">
        <v>46</v>
      </c>
      <c r="AG34" s="295" t="s">
        <v>46</v>
      </c>
      <c r="AH34" s="295" t="s">
        <v>46</v>
      </c>
      <c r="AI34" s="295" t="s">
        <v>46</v>
      </c>
      <c r="AJ34" s="295" t="s">
        <v>46</v>
      </c>
      <c r="AK34" s="295" t="s">
        <v>46</v>
      </c>
      <c r="AL34" s="295" t="s">
        <v>46</v>
      </c>
      <c r="AM34" s="295" t="s">
        <v>46</v>
      </c>
      <c r="AN34" s="295" t="s">
        <v>46</v>
      </c>
      <c r="AO34" s="295" t="s">
        <v>46</v>
      </c>
      <c r="AP34" s="302" t="s">
        <v>46</v>
      </c>
      <c r="AR34" s="9"/>
    </row>
    <row r="35" spans="1:44">
      <c r="B35" s="20"/>
      <c r="C35" s="20"/>
      <c r="D35" s="20"/>
      <c r="E35" s="20"/>
      <c r="F35" s="20"/>
      <c r="G35" s="21"/>
      <c r="H35" s="21"/>
      <c r="I35" s="21"/>
      <c r="J35" s="21"/>
      <c r="K35" s="21"/>
      <c r="L35" s="21"/>
      <c r="M35" s="22"/>
      <c r="N35" s="23"/>
      <c r="O35" s="23"/>
      <c r="P35" s="23"/>
      <c r="Q35" s="24"/>
      <c r="R35" s="23"/>
      <c r="S35" s="23"/>
      <c r="T35" s="23"/>
      <c r="U35" s="24"/>
      <c r="V35" s="23"/>
      <c r="W35" s="23"/>
      <c r="X35" s="23"/>
      <c r="Y35" s="23"/>
      <c r="Z35" s="23"/>
      <c r="AA35" s="23"/>
      <c r="AB35" s="23"/>
      <c r="AC35" s="23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9"/>
    </row>
    <row r="36" spans="1:44">
      <c r="A36" s="39" t="s">
        <v>24</v>
      </c>
      <c r="B36" s="1" t="s">
        <v>406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ht="5.0999999999999996" customHeight="1"/>
    <row r="38" spans="1:44">
      <c r="A38" s="94" t="s">
        <v>24</v>
      </c>
      <c r="B38" s="91" t="s">
        <v>408</v>
      </c>
      <c r="C38" s="27"/>
      <c r="D38" s="27"/>
      <c r="E38" s="27"/>
      <c r="F38" s="27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5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R38" s="13"/>
    </row>
    <row r="39" spans="1:44" ht="12.75" customHeight="1">
      <c r="B39" s="10" t="s">
        <v>390</v>
      </c>
      <c r="C39" s="459">
        <v>211884</v>
      </c>
      <c r="D39" s="459">
        <v>216756</v>
      </c>
      <c r="E39" s="459">
        <v>217722</v>
      </c>
      <c r="F39" s="459">
        <v>186000</v>
      </c>
      <c r="G39" s="459">
        <v>186860</v>
      </c>
      <c r="H39" s="459">
        <v>235000</v>
      </c>
      <c r="I39" s="459">
        <v>245000</v>
      </c>
      <c r="J39" s="459">
        <v>218000</v>
      </c>
      <c r="K39" s="459">
        <v>224000</v>
      </c>
      <c r="L39" s="95">
        <v>231000</v>
      </c>
      <c r="M39" s="95"/>
      <c r="N39" s="95">
        <v>82000</v>
      </c>
      <c r="O39" s="95">
        <v>60000</v>
      </c>
      <c r="P39" s="95">
        <v>50000</v>
      </c>
      <c r="Q39" s="34">
        <f t="shared" ref="Q39:Q42" si="79">SUM(I39-SUM(N39:P39))</f>
        <v>53000</v>
      </c>
      <c r="R39" s="95">
        <v>70000</v>
      </c>
      <c r="S39" s="95">
        <v>55000</v>
      </c>
      <c r="T39" s="95">
        <v>42000</v>
      </c>
      <c r="U39" s="34">
        <f t="shared" ref="U39:U42" si="80">SUM(J39-SUM(R39:T39))</f>
        <v>51000</v>
      </c>
      <c r="V39" s="95">
        <v>77000</v>
      </c>
      <c r="W39" s="95">
        <v>52000</v>
      </c>
      <c r="X39" s="95">
        <v>43000</v>
      </c>
      <c r="Y39" s="34">
        <f t="shared" ref="Y39:Y42" si="81">SUM(K39-SUM(V39:X39))</f>
        <v>52000</v>
      </c>
      <c r="Z39" s="95">
        <v>75000</v>
      </c>
      <c r="AA39" s="95">
        <v>53000</v>
      </c>
      <c r="AB39" s="95">
        <v>49000</v>
      </c>
      <c r="AC39" s="34">
        <f t="shared" ref="AC39:AC42" si="82">SUM(L39-SUM(Z39:AB39))</f>
        <v>54000</v>
      </c>
      <c r="AD39" s="5"/>
      <c r="AE39" s="12">
        <f t="shared" ref="AE39" si="83">SUM(O39:R39)</f>
        <v>233000</v>
      </c>
      <c r="AF39" s="12">
        <f t="shared" ref="AF39" si="84">SUM(P39:S39)</f>
        <v>228000</v>
      </c>
      <c r="AG39" s="12">
        <f t="shared" ref="AG39" si="85">SUM(Q39:T39)</f>
        <v>220000</v>
      </c>
      <c r="AH39" s="12">
        <f t="shared" ref="AH39" si="86">SUM(R39:U39)</f>
        <v>218000</v>
      </c>
      <c r="AI39" s="12">
        <f t="shared" ref="AI39" si="87">SUM(S39:V39)</f>
        <v>225000</v>
      </c>
      <c r="AJ39" s="12">
        <f t="shared" ref="AJ39" si="88">SUM(T39:W39)</f>
        <v>222000</v>
      </c>
      <c r="AK39" s="12">
        <f t="shared" ref="AK39" si="89">SUM(U39:X39)</f>
        <v>223000</v>
      </c>
      <c r="AL39" s="12">
        <f t="shared" ref="AL39" si="90">SUM(V39:Y39)</f>
        <v>224000</v>
      </c>
      <c r="AM39" s="12">
        <f t="shared" ref="AM39" si="91">SUM(W39:Z39)</f>
        <v>222000</v>
      </c>
      <c r="AN39" s="12">
        <f t="shared" ref="AN39" si="92">SUM(X39:AA39)</f>
        <v>223000</v>
      </c>
      <c r="AO39" s="12">
        <f t="shared" ref="AO39" si="93">SUM(Y39:AB39)</f>
        <v>229000</v>
      </c>
      <c r="AP39" s="12">
        <f>SUM(Z39:AC39)</f>
        <v>231000</v>
      </c>
      <c r="AR39" s="13">
        <f t="shared" ref="AR39:AR41" si="94">SUM(AO39/AK39)-1</f>
        <v>2.6905829596412634E-2</v>
      </c>
    </row>
    <row r="40" spans="1:44" ht="12.75" customHeight="1">
      <c r="B40" s="10" t="s">
        <v>391</v>
      </c>
      <c r="C40" s="459">
        <v>45590</v>
      </c>
      <c r="D40" s="459">
        <v>43753</v>
      </c>
      <c r="E40" s="459">
        <v>43535</v>
      </c>
      <c r="F40" s="459">
        <v>45307.857150009942</v>
      </c>
      <c r="G40" s="459">
        <v>52625.999999999956</v>
      </c>
      <c r="H40" s="459">
        <v>68510.999999999927</v>
      </c>
      <c r="I40" s="459">
        <v>59348.239999999991</v>
      </c>
      <c r="J40" s="459">
        <v>52508.535999999993</v>
      </c>
      <c r="K40" s="459">
        <v>50349.696340000002</v>
      </c>
      <c r="L40" s="95">
        <v>50850</v>
      </c>
      <c r="M40" s="95"/>
      <c r="N40" s="95">
        <v>15647.999999999989</v>
      </c>
      <c r="O40" s="95">
        <v>15806</v>
      </c>
      <c r="P40" s="95">
        <v>14810</v>
      </c>
      <c r="Q40" s="34">
        <f t="shared" si="79"/>
        <v>13084.240000000005</v>
      </c>
      <c r="R40" s="95">
        <v>14709.119999999988</v>
      </c>
      <c r="S40" s="95">
        <v>13435.1</v>
      </c>
      <c r="T40" s="95">
        <v>12588.5</v>
      </c>
      <c r="U40" s="34">
        <f t="shared" si="80"/>
        <v>11775.816000000006</v>
      </c>
      <c r="V40" s="95">
        <v>11767.295999999991</v>
      </c>
      <c r="W40" s="95">
        <v>12991.7417</v>
      </c>
      <c r="X40" s="95">
        <v>13343.810000000001</v>
      </c>
      <c r="Y40" s="34">
        <f t="shared" si="81"/>
        <v>12246.848640000004</v>
      </c>
      <c r="Z40" s="95">
        <v>12237.98784</v>
      </c>
      <c r="AA40" s="95">
        <v>13251.576534000002</v>
      </c>
      <c r="AB40" s="95">
        <v>13610.686200000002</v>
      </c>
      <c r="AC40" s="34">
        <f t="shared" si="82"/>
        <v>11749.749425999995</v>
      </c>
      <c r="AD40" s="5"/>
      <c r="AE40" s="12">
        <f t="shared" ref="AE40:AE42" si="95">SUM(O40:R40)</f>
        <v>58409.359999999993</v>
      </c>
      <c r="AF40" s="12">
        <f t="shared" ref="AF40:AF42" si="96">SUM(P40:S40)</f>
        <v>56038.459999999992</v>
      </c>
      <c r="AG40" s="12">
        <f t="shared" ref="AG40:AG42" si="97">SUM(Q40:T40)</f>
        <v>53816.959999999992</v>
      </c>
      <c r="AH40" s="12">
        <f t="shared" ref="AH40:AH42" si="98">SUM(R40:U40)</f>
        <v>52508.535999999993</v>
      </c>
      <c r="AI40" s="12">
        <f t="shared" ref="AI40:AI42" si="99">SUM(S40:V40)</f>
        <v>49566.712</v>
      </c>
      <c r="AJ40" s="12">
        <f t="shared" ref="AJ40:AJ42" si="100">SUM(T40:W40)</f>
        <v>49123.353699999992</v>
      </c>
      <c r="AK40" s="12">
        <f t="shared" ref="AK40:AK42" si="101">SUM(U40:X40)</f>
        <v>49878.663700000005</v>
      </c>
      <c r="AL40" s="12">
        <f t="shared" ref="AL40:AL42" si="102">SUM(V40:Y40)</f>
        <v>50349.696340000002</v>
      </c>
      <c r="AM40" s="12">
        <f t="shared" ref="AM40:AM42" si="103">SUM(W40:Z40)</f>
        <v>50820.388180000009</v>
      </c>
      <c r="AN40" s="12">
        <f t="shared" ref="AN40:AN42" si="104">SUM(X40:AA40)</f>
        <v>51080.223014000003</v>
      </c>
      <c r="AO40" s="12">
        <f t="shared" ref="AO40:AO42" si="105">SUM(Y40:AB40)</f>
        <v>51347.099214000009</v>
      </c>
      <c r="AP40" s="12">
        <f t="shared" ref="AP40:AP42" si="106">SUM(Z40:AC40)</f>
        <v>50850</v>
      </c>
      <c r="AR40" s="13">
        <f t="shared" si="94"/>
        <v>2.9440153465859709E-2</v>
      </c>
    </row>
    <row r="41" spans="1:44" ht="12.75" customHeight="1">
      <c r="B41" s="10" t="s">
        <v>392</v>
      </c>
      <c r="C41" s="459">
        <v>18484</v>
      </c>
      <c r="D41" s="459">
        <v>19251</v>
      </c>
      <c r="E41" s="459">
        <v>18209</v>
      </c>
      <c r="F41" s="459">
        <v>18433.59</v>
      </c>
      <c r="G41" s="459">
        <v>20907.113499999999</v>
      </c>
      <c r="H41" s="459">
        <v>27537.025875000003</v>
      </c>
      <c r="I41" s="459">
        <v>28368.573</v>
      </c>
      <c r="J41" s="459">
        <v>24996.715700000001</v>
      </c>
      <c r="K41" s="459">
        <v>24935.375601</v>
      </c>
      <c r="L41" s="95">
        <v>26947</v>
      </c>
      <c r="M41" s="95"/>
      <c r="N41" s="95">
        <v>7608.5730000000003</v>
      </c>
      <c r="O41" s="95">
        <v>7160.0000000000009</v>
      </c>
      <c r="P41" s="95">
        <v>5500</v>
      </c>
      <c r="Q41" s="34">
        <f t="shared" si="79"/>
        <v>8100</v>
      </c>
      <c r="R41" s="95">
        <v>6847.7157000000007</v>
      </c>
      <c r="S41" s="95">
        <v>6444.0000000000009</v>
      </c>
      <c r="T41" s="95">
        <v>5225</v>
      </c>
      <c r="U41" s="34">
        <f t="shared" si="80"/>
        <v>6480</v>
      </c>
      <c r="V41" s="95">
        <v>6368.3756009999997</v>
      </c>
      <c r="W41" s="95">
        <v>6444.0000000000009</v>
      </c>
      <c r="X41" s="95">
        <v>5643</v>
      </c>
      <c r="Y41" s="34">
        <f t="shared" si="81"/>
        <v>6480</v>
      </c>
      <c r="Z41" s="95">
        <v>7005.2131611000004</v>
      </c>
      <c r="AA41" s="95">
        <v>6766.2000000000016</v>
      </c>
      <c r="AB41" s="95">
        <v>6545.8799999999992</v>
      </c>
      <c r="AC41" s="34">
        <f t="shared" si="82"/>
        <v>6629.7068388999978</v>
      </c>
      <c r="AD41" s="5"/>
      <c r="AE41" s="12">
        <f t="shared" si="95"/>
        <v>27607.715700000001</v>
      </c>
      <c r="AF41" s="12">
        <f t="shared" si="96"/>
        <v>26891.715700000001</v>
      </c>
      <c r="AG41" s="12">
        <f t="shared" si="97"/>
        <v>26616.715700000001</v>
      </c>
      <c r="AH41" s="12">
        <f t="shared" si="98"/>
        <v>24996.715700000001</v>
      </c>
      <c r="AI41" s="12">
        <f t="shared" si="99"/>
        <v>24517.375601</v>
      </c>
      <c r="AJ41" s="12">
        <f t="shared" si="100"/>
        <v>24517.375601</v>
      </c>
      <c r="AK41" s="12">
        <f t="shared" si="101"/>
        <v>24935.375601</v>
      </c>
      <c r="AL41" s="12">
        <f t="shared" si="102"/>
        <v>24935.375601</v>
      </c>
      <c r="AM41" s="12">
        <f t="shared" si="103"/>
        <v>25572.2131611</v>
      </c>
      <c r="AN41" s="12">
        <f t="shared" si="104"/>
        <v>25894.413161100001</v>
      </c>
      <c r="AO41" s="12">
        <f t="shared" si="105"/>
        <v>26797.293161100002</v>
      </c>
      <c r="AP41" s="12">
        <f t="shared" si="106"/>
        <v>26947</v>
      </c>
      <c r="AR41" s="13">
        <f>SUM(AO41/AK41)-1</f>
        <v>7.4669721839896175E-2</v>
      </c>
    </row>
    <row r="42" spans="1:44" ht="12.75" customHeight="1">
      <c r="B42" s="10" t="s">
        <v>257</v>
      </c>
      <c r="C42" s="459">
        <v>10500</v>
      </c>
      <c r="D42" s="459">
        <v>14000</v>
      </c>
      <c r="E42" s="459">
        <v>20700</v>
      </c>
      <c r="F42" s="459">
        <v>30350</v>
      </c>
      <c r="G42" s="459">
        <v>41627.5</v>
      </c>
      <c r="H42" s="459">
        <v>49942.75</v>
      </c>
      <c r="I42" s="459">
        <v>54498.707499999997</v>
      </c>
      <c r="J42" s="459">
        <v>47633.540874999999</v>
      </c>
      <c r="K42" s="459">
        <v>43243.039787499998</v>
      </c>
      <c r="L42" s="95">
        <v>43916</v>
      </c>
      <c r="M42" s="95"/>
      <c r="N42" s="95">
        <v>25582.899999999994</v>
      </c>
      <c r="O42" s="95">
        <v>7688.5200000000013</v>
      </c>
      <c r="P42" s="95">
        <v>10411.5375</v>
      </c>
      <c r="Q42" s="34">
        <f t="shared" si="79"/>
        <v>10815.75</v>
      </c>
      <c r="R42" s="95">
        <v>21745.464999999997</v>
      </c>
      <c r="S42" s="95">
        <v>7304.094000000001</v>
      </c>
      <c r="T42" s="95">
        <v>8849.8068749999984</v>
      </c>
      <c r="U42" s="34">
        <f t="shared" si="80"/>
        <v>9734.1750000000029</v>
      </c>
      <c r="V42" s="95">
        <v>18483.645249999994</v>
      </c>
      <c r="W42" s="95">
        <v>6573.6846000000005</v>
      </c>
      <c r="X42" s="95">
        <v>7964.8261874999989</v>
      </c>
      <c r="Y42" s="34">
        <f t="shared" si="81"/>
        <v>10220.883750000001</v>
      </c>
      <c r="Z42" s="95">
        <v>18668.481702499997</v>
      </c>
      <c r="AA42" s="95">
        <v>6902.3688300000013</v>
      </c>
      <c r="AB42" s="95">
        <v>8124.1227112499992</v>
      </c>
      <c r="AC42" s="34">
        <f t="shared" si="82"/>
        <v>10221.026756250001</v>
      </c>
      <c r="AD42" s="5"/>
      <c r="AE42" s="12">
        <f t="shared" si="95"/>
        <v>50661.272499999999</v>
      </c>
      <c r="AF42" s="12">
        <f t="shared" si="96"/>
        <v>50276.8465</v>
      </c>
      <c r="AG42" s="12">
        <f t="shared" si="97"/>
        <v>48715.115874999989</v>
      </c>
      <c r="AH42" s="12">
        <f t="shared" si="98"/>
        <v>47633.540874999999</v>
      </c>
      <c r="AI42" s="12">
        <f t="shared" si="99"/>
        <v>44371.721124999996</v>
      </c>
      <c r="AJ42" s="12">
        <f t="shared" si="100"/>
        <v>43641.311725</v>
      </c>
      <c r="AK42" s="12">
        <f t="shared" si="101"/>
        <v>42756.3310375</v>
      </c>
      <c r="AL42" s="12">
        <f t="shared" si="102"/>
        <v>43243.039787499998</v>
      </c>
      <c r="AM42" s="12">
        <f t="shared" si="103"/>
        <v>43427.876239999998</v>
      </c>
      <c r="AN42" s="12">
        <f t="shared" si="104"/>
        <v>43756.560469999997</v>
      </c>
      <c r="AO42" s="12">
        <f t="shared" si="105"/>
        <v>43915.85699375</v>
      </c>
      <c r="AP42" s="12">
        <f t="shared" si="106"/>
        <v>43916</v>
      </c>
      <c r="AR42" s="13">
        <f>SUM(AO42/AK42)-1</f>
        <v>2.7119397949113555E-2</v>
      </c>
    </row>
    <row r="43" spans="1:44" ht="12.75" customHeight="1">
      <c r="B43" s="14" t="s">
        <v>407</v>
      </c>
      <c r="C43" s="477">
        <f>SUM(C39:C42)</f>
        <v>286458</v>
      </c>
      <c r="D43" s="477">
        <f>SUM(D39:D42)</f>
        <v>293760</v>
      </c>
      <c r="E43" s="477">
        <f>SUM(E39:E42)</f>
        <v>300166</v>
      </c>
      <c r="F43" s="477">
        <f>SUM(F39:F42)</f>
        <v>280091.44715000992</v>
      </c>
      <c r="G43" s="477">
        <f>SUM(G39:G42)</f>
        <v>302020.61349999998</v>
      </c>
      <c r="H43" s="477">
        <f>SUM(H39:H42)</f>
        <v>380990.77587499993</v>
      </c>
      <c r="I43" s="477">
        <f>SUM(I39:I42)</f>
        <v>387215.52049999998</v>
      </c>
      <c r="J43" s="477">
        <f>SUM(J39:J42)</f>
        <v>343138.79257499997</v>
      </c>
      <c r="K43" s="477">
        <f>SUM(K39:K42)</f>
        <v>342528.11172849999</v>
      </c>
      <c r="L43" s="477">
        <f>SUM(L39:L42)</f>
        <v>352713</v>
      </c>
      <c r="M43" s="12"/>
      <c r="N43" s="477">
        <f>SUM(N39:N42)</f>
        <v>130839.47299999998</v>
      </c>
      <c r="O43" s="477">
        <f>SUM(O39:O42)</f>
        <v>90654.52</v>
      </c>
      <c r="P43" s="477">
        <f>SUM(P39:P42)</f>
        <v>80721.537500000006</v>
      </c>
      <c r="Q43" s="477">
        <f>SUM(Q39:Q42)</f>
        <v>84999.99</v>
      </c>
      <c r="R43" s="477">
        <f>SUM(R39:R42)</f>
        <v>113302.30069999999</v>
      </c>
      <c r="S43" s="477">
        <f>SUM(S39:S42)</f>
        <v>82183.194000000003</v>
      </c>
      <c r="T43" s="477">
        <f>SUM(T39:T42)</f>
        <v>68663.306874999995</v>
      </c>
      <c r="U43" s="477">
        <f>SUM(U39:U42)</f>
        <v>78989.991000000009</v>
      </c>
      <c r="V43" s="477">
        <f>SUM(V39:V42)</f>
        <v>113619.31685099998</v>
      </c>
      <c r="W43" s="477">
        <f>SUM(W39:W42)</f>
        <v>78009.426299999992</v>
      </c>
      <c r="X43" s="477">
        <f>SUM(X39:X42)</f>
        <v>69951.6361875</v>
      </c>
      <c r="Y43" s="477">
        <f>SUM(Y39:Y42)</f>
        <v>80947.732390000019</v>
      </c>
      <c r="Z43" s="477">
        <f>SUM(Z39:Z42)</f>
        <v>112911.6827036</v>
      </c>
      <c r="AA43" s="477">
        <f>SUM(AA39:AA42)</f>
        <v>79920.145364000011</v>
      </c>
      <c r="AB43" s="477">
        <f>SUM(AB39:AB42)</f>
        <v>77280.688911250007</v>
      </c>
      <c r="AC43" s="477">
        <f>SUM(AC39:AC42)</f>
        <v>82600.483021149994</v>
      </c>
      <c r="AD43" s="5"/>
      <c r="AE43" s="477">
        <f>SUM(AE39:AE41)</f>
        <v>319017.07569999999</v>
      </c>
      <c r="AF43" s="477">
        <f>SUM(AF39:AF41)</f>
        <v>310930.17569999996</v>
      </c>
      <c r="AG43" s="477">
        <f>SUM(AG39:AG41)</f>
        <v>300433.67569999996</v>
      </c>
      <c r="AH43" s="477">
        <f>SUM(AH39:AH41)</f>
        <v>295505.25169999996</v>
      </c>
      <c r="AI43" s="477">
        <f>SUM(AI39:AI41)</f>
        <v>299084.08760099998</v>
      </c>
      <c r="AJ43" s="477">
        <f>SUM(AJ39:AJ41)</f>
        <v>295640.72930099996</v>
      </c>
      <c r="AK43" s="477">
        <f>SUM(AK39:AK42)</f>
        <v>340570.37033850001</v>
      </c>
      <c r="AL43" s="477">
        <f>SUM(AL39:AL42)</f>
        <v>342528.11172849999</v>
      </c>
      <c r="AM43" s="477">
        <f>SUM(AM39:AM42)</f>
        <v>341820.47758110001</v>
      </c>
      <c r="AN43" s="477">
        <f>SUM(AN39:AN42)</f>
        <v>343731.19664510002</v>
      </c>
      <c r="AO43" s="477">
        <f>SUM(AO39:AO42)</f>
        <v>351060.24936885003</v>
      </c>
      <c r="AP43" s="477">
        <f>SUM(AP39:AP42)</f>
        <v>352713</v>
      </c>
      <c r="AR43" s="16">
        <f t="shared" ref="AR43" si="107">SUM(AO43/AK43)-1</f>
        <v>3.0800915005976259E-2</v>
      </c>
    </row>
    <row r="45" spans="1:44">
      <c r="B45" s="298" t="s">
        <v>401</v>
      </c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99"/>
      <c r="AR45" s="9"/>
    </row>
    <row r="46" spans="1:44">
      <c r="B46" s="291" t="str">
        <f>B39&amp;"(%)"</f>
        <v>iPhone(%)</v>
      </c>
      <c r="C46" s="293">
        <f>SUM(C39/C$43)</f>
        <v>0.73966864252351128</v>
      </c>
      <c r="D46" s="293">
        <f t="shared" ref="D46:K46" si="108">SUM(D39/D$43)</f>
        <v>0.73786764705882357</v>
      </c>
      <c r="E46" s="293">
        <f t="shared" si="108"/>
        <v>0.72533864594924147</v>
      </c>
      <c r="F46" s="293">
        <f t="shared" si="108"/>
        <v>0.66406883142127182</v>
      </c>
      <c r="G46" s="293">
        <f t="shared" si="108"/>
        <v>0.61869949151666104</v>
      </c>
      <c r="H46" s="293">
        <f t="shared" si="108"/>
        <v>0.61681283348734317</v>
      </c>
      <c r="I46" s="293">
        <f t="shared" si="108"/>
        <v>0.6327225718732522</v>
      </c>
      <c r="J46" s="293">
        <f t="shared" si="108"/>
        <v>0.63531143874486784</v>
      </c>
      <c r="K46" s="293">
        <f t="shared" si="108"/>
        <v>0.65396092270975525</v>
      </c>
      <c r="L46" s="293">
        <f t="shared" ref="L46" si="109">SUM(L39/L$43)</f>
        <v>0.65492340798326121</v>
      </c>
      <c r="M46" s="289"/>
      <c r="N46" s="293">
        <f t="shared" ref="N46:AB46" si="110">SUM(N39/N$43)</f>
        <v>0.62672218192135343</v>
      </c>
      <c r="O46" s="293">
        <f t="shared" si="110"/>
        <v>0.66185337476829609</v>
      </c>
      <c r="P46" s="293">
        <f t="shared" si="110"/>
        <v>0.61941337527174822</v>
      </c>
      <c r="Q46" s="293">
        <f t="shared" si="110"/>
        <v>0.62352948512111583</v>
      </c>
      <c r="R46" s="293">
        <f t="shared" si="110"/>
        <v>0.61781622762758259</v>
      </c>
      <c r="S46" s="293">
        <f t="shared" si="110"/>
        <v>0.66923658382028806</v>
      </c>
      <c r="T46" s="293">
        <f t="shared" si="110"/>
        <v>0.61168041435085629</v>
      </c>
      <c r="U46" s="293">
        <f t="shared" si="110"/>
        <v>0.64565142183647029</v>
      </c>
      <c r="V46" s="293">
        <f t="shared" si="110"/>
        <v>0.67770166318617775</v>
      </c>
      <c r="W46" s="293">
        <f t="shared" si="110"/>
        <v>0.66658610973530519</v>
      </c>
      <c r="X46" s="293">
        <f t="shared" si="110"/>
        <v>0.61471042485327709</v>
      </c>
      <c r="Y46" s="293">
        <f t="shared" si="110"/>
        <v>0.64238982939593603</v>
      </c>
      <c r="Z46" s="293">
        <f t="shared" si="110"/>
        <v>0.66423596039109201</v>
      </c>
      <c r="AA46" s="293">
        <f t="shared" si="110"/>
        <v>0.66316195695852453</v>
      </c>
      <c r="AB46" s="293">
        <f t="shared" si="110"/>
        <v>0.63405231876584511</v>
      </c>
      <c r="AC46" s="293">
        <f t="shared" ref="AC46" si="111">SUM(AC39/AC$43)</f>
        <v>0.65374920369622058</v>
      </c>
      <c r="AD46" s="289"/>
      <c r="AE46" s="293">
        <f t="shared" ref="AE46:AO46" si="112">SUM(AE39/AE$43)</f>
        <v>0.73036842773617094</v>
      </c>
      <c r="AF46" s="293">
        <f t="shared" si="112"/>
        <v>0.73328360454787478</v>
      </c>
      <c r="AG46" s="293">
        <f t="shared" si="112"/>
        <v>0.73227476742548148</v>
      </c>
      <c r="AH46" s="293">
        <f t="shared" si="112"/>
        <v>0.73771954557787656</v>
      </c>
      <c r="AI46" s="293">
        <f t="shared" si="112"/>
        <v>0.75229679320207243</v>
      </c>
      <c r="AJ46" s="293">
        <f t="shared" si="112"/>
        <v>0.75091142050991122</v>
      </c>
      <c r="AK46" s="293">
        <f t="shared" si="112"/>
        <v>0.65478391375725264</v>
      </c>
      <c r="AL46" s="293">
        <f t="shared" si="112"/>
        <v>0.65396092270975525</v>
      </c>
      <c r="AM46" s="293">
        <f t="shared" si="112"/>
        <v>0.6494637230951984</v>
      </c>
      <c r="AN46" s="293">
        <f t="shared" si="112"/>
        <v>0.6487627604841637</v>
      </c>
      <c r="AO46" s="293">
        <f t="shared" si="112"/>
        <v>0.65230968305783765</v>
      </c>
      <c r="AP46" s="300">
        <f t="shared" ref="AP46" si="113">SUM(AP39/AP$43)</f>
        <v>0.65492340798326121</v>
      </c>
      <c r="AR46" s="9"/>
    </row>
    <row r="47" spans="1:44">
      <c r="B47" s="291" t="str">
        <f t="shared" ref="B47:B49" si="114">B40&amp;"(%)"</f>
        <v>iPad(%)</v>
      </c>
      <c r="C47" s="293">
        <f t="shared" ref="C47:K49" si="115">SUM(C40/C$43)</f>
        <v>0.15915073064812293</v>
      </c>
      <c r="D47" s="293">
        <f t="shared" si="115"/>
        <v>0.14894131263616558</v>
      </c>
      <c r="E47" s="293">
        <f t="shared" si="115"/>
        <v>0.14503641318470448</v>
      </c>
      <c r="F47" s="293">
        <f t="shared" si="115"/>
        <v>0.16176094490219903</v>
      </c>
      <c r="G47" s="293">
        <f t="shared" si="115"/>
        <v>0.17424638467599152</v>
      </c>
      <c r="H47" s="293">
        <f t="shared" si="115"/>
        <v>0.17982325121298434</v>
      </c>
      <c r="I47" s="293">
        <f t="shared" si="115"/>
        <v>0.15326926958755516</v>
      </c>
      <c r="J47" s="293">
        <f t="shared" si="115"/>
        <v>0.15302419060801231</v>
      </c>
      <c r="K47" s="293">
        <f t="shared" si="115"/>
        <v>0.14699434766367139</v>
      </c>
      <c r="L47" s="293">
        <f t="shared" ref="L47" si="116">SUM(L40/L$43)</f>
        <v>0.14416820474436723</v>
      </c>
      <c r="M47" s="289"/>
      <c r="N47" s="293">
        <f t="shared" ref="N47:AB47" si="117">SUM(N40/N$43)</f>
        <v>0.11959693539884551</v>
      </c>
      <c r="O47" s="293">
        <f t="shared" si="117"/>
        <v>0.17435424069312813</v>
      </c>
      <c r="P47" s="293">
        <f t="shared" si="117"/>
        <v>0.18347024175549181</v>
      </c>
      <c r="Q47" s="293">
        <f t="shared" si="117"/>
        <v>0.15393225340379457</v>
      </c>
      <c r="R47" s="293">
        <f t="shared" si="117"/>
        <v>0.129821900430306</v>
      </c>
      <c r="S47" s="293">
        <f t="shared" si="117"/>
        <v>0.1634774623142537</v>
      </c>
      <c r="T47" s="293">
        <f t="shared" si="117"/>
        <v>0.1833366403822799</v>
      </c>
      <c r="U47" s="293">
        <f t="shared" si="117"/>
        <v>0.14907984987616982</v>
      </c>
      <c r="V47" s="293">
        <f t="shared" si="117"/>
        <v>0.10356774117407858</v>
      </c>
      <c r="W47" s="293">
        <f t="shared" si="117"/>
        <v>0.1665406645863258</v>
      </c>
      <c r="X47" s="293">
        <f t="shared" si="117"/>
        <v>0.19075765382003276</v>
      </c>
      <c r="Y47" s="293">
        <f t="shared" si="117"/>
        <v>0.15129328862475874</v>
      </c>
      <c r="Z47" s="293">
        <f t="shared" si="117"/>
        <v>0.10838548808209207</v>
      </c>
      <c r="AA47" s="293">
        <f t="shared" si="117"/>
        <v>0.16581021560515288</v>
      </c>
      <c r="AB47" s="293">
        <f t="shared" si="117"/>
        <v>0.17612014581845489</v>
      </c>
      <c r="AC47" s="293">
        <f t="shared" ref="AC47" si="118">SUM(AC40/AC$43)</f>
        <v>0.14224795057180781</v>
      </c>
      <c r="AD47" s="289"/>
      <c r="AE47" s="293">
        <f t="shared" ref="AE47:AO47" si="119">SUM(AE40/AE$43)</f>
        <v>0.1830916413230729</v>
      </c>
      <c r="AF47" s="293">
        <f t="shared" si="119"/>
        <v>0.18022843834259603</v>
      </c>
      <c r="AG47" s="293">
        <f t="shared" si="119"/>
        <v>0.17913091757975652</v>
      </c>
      <c r="AH47" s="293">
        <f t="shared" si="119"/>
        <v>0.17769070328843836</v>
      </c>
      <c r="AI47" s="293">
        <f t="shared" si="119"/>
        <v>0.16572834883186971</v>
      </c>
      <c r="AJ47" s="293">
        <f t="shared" si="119"/>
        <v>0.16615895183368376</v>
      </c>
      <c r="AK47" s="293">
        <f t="shared" si="119"/>
        <v>0.14645626291689604</v>
      </c>
      <c r="AL47" s="293">
        <f t="shared" si="119"/>
        <v>0.14699434766367139</v>
      </c>
      <c r="AM47" s="293">
        <f t="shared" si="119"/>
        <v>0.14867566899336043</v>
      </c>
      <c r="AN47" s="293">
        <f t="shared" si="119"/>
        <v>0.14860514120497467</v>
      </c>
      <c r="AO47" s="293">
        <f t="shared" si="119"/>
        <v>0.14626292582630432</v>
      </c>
      <c r="AP47" s="300">
        <f t="shared" ref="AP47" si="120">SUM(AP40/AP$43)</f>
        <v>0.14416820474436723</v>
      </c>
      <c r="AR47" s="9"/>
    </row>
    <row r="48" spans="1:44">
      <c r="B48" s="291" t="str">
        <f t="shared" si="114"/>
        <v>Mac(%)</v>
      </c>
      <c r="C48" s="293">
        <f t="shared" si="115"/>
        <v>6.4526038721208698E-2</v>
      </c>
      <c r="D48" s="293">
        <f t="shared" si="115"/>
        <v>6.5533088235294121E-2</v>
      </c>
      <c r="E48" s="293">
        <f t="shared" si="115"/>
        <v>6.0663099751470856E-2</v>
      </c>
      <c r="F48" s="293">
        <f t="shared" si="115"/>
        <v>6.581275575375721E-2</v>
      </c>
      <c r="G48" s="293">
        <f t="shared" si="115"/>
        <v>6.9224127643857006E-2</v>
      </c>
      <c r="H48" s="293">
        <f t="shared" si="115"/>
        <v>7.2277408322438452E-2</v>
      </c>
      <c r="I48" s="293">
        <f t="shared" si="115"/>
        <v>7.3263005995649402E-2</v>
      </c>
      <c r="J48" s="293">
        <f t="shared" si="115"/>
        <v>7.2847245024144164E-2</v>
      </c>
      <c r="K48" s="293">
        <f t="shared" si="115"/>
        <v>7.279804123278695E-2</v>
      </c>
      <c r="L48" s="293">
        <f t="shared" ref="L48" si="121">SUM(L41/L$43)</f>
        <v>7.639922543257549E-2</v>
      </c>
      <c r="M48" s="289"/>
      <c r="N48" s="293">
        <f t="shared" ref="N48:AB48" si="122">SUM(N41/N$43)</f>
        <v>5.8151969169120708E-2</v>
      </c>
      <c r="O48" s="293">
        <f t="shared" si="122"/>
        <v>7.8981169389016684E-2</v>
      </c>
      <c r="P48" s="293">
        <f t="shared" si="122"/>
        <v>6.8135471279892307E-2</v>
      </c>
      <c r="Q48" s="293">
        <f t="shared" si="122"/>
        <v>9.5294128858132807E-2</v>
      </c>
      <c r="R48" s="293">
        <f t="shared" si="122"/>
        <v>6.0437569737716731E-2</v>
      </c>
      <c r="S48" s="293">
        <f t="shared" si="122"/>
        <v>7.8410191747962488E-2</v>
      </c>
      <c r="T48" s="293">
        <f t="shared" si="122"/>
        <v>7.6095956309124385E-2</v>
      </c>
      <c r="U48" s="293">
        <f t="shared" si="122"/>
        <v>8.2035710068633874E-2</v>
      </c>
      <c r="V48" s="293">
        <f t="shared" si="122"/>
        <v>5.6050113462233431E-2</v>
      </c>
      <c r="W48" s="293">
        <f t="shared" si="122"/>
        <v>8.2605401752582838E-2</v>
      </c>
      <c r="X48" s="293">
        <f t="shared" si="122"/>
        <v>8.067002156853588E-2</v>
      </c>
      <c r="Y48" s="293">
        <f t="shared" si="122"/>
        <v>8.0051655663185881E-2</v>
      </c>
      <c r="Z48" s="293">
        <f t="shared" si="122"/>
        <v>6.2041526557434348E-2</v>
      </c>
      <c r="AA48" s="293">
        <f t="shared" si="122"/>
        <v>8.4662008173071124E-2</v>
      </c>
      <c r="AB48" s="293">
        <f t="shared" si="122"/>
        <v>8.4702661068632029E-2</v>
      </c>
      <c r="AC48" s="293">
        <f t="shared" ref="AC48" si="123">SUM(AC41/AC$43)</f>
        <v>8.0262325308708554E-2</v>
      </c>
      <c r="AD48" s="289"/>
      <c r="AE48" s="293">
        <f t="shared" ref="AE48:AO48" si="124">SUM(AE41/AE$43)</f>
        <v>8.6539930940756224E-2</v>
      </c>
      <c r="AF48" s="293">
        <f t="shared" si="124"/>
        <v>8.6487957109529279E-2</v>
      </c>
      <c r="AG48" s="293">
        <f t="shared" si="124"/>
        <v>8.8594314994762099E-2</v>
      </c>
      <c r="AH48" s="293">
        <f t="shared" si="124"/>
        <v>8.4589751133685193E-2</v>
      </c>
      <c r="AI48" s="293">
        <f t="shared" si="124"/>
        <v>8.1974857966057926E-2</v>
      </c>
      <c r="AJ48" s="293">
        <f t="shared" si="124"/>
        <v>8.2929627656405172E-2</v>
      </c>
      <c r="AK48" s="293">
        <f t="shared" si="124"/>
        <v>7.3216514919416525E-2</v>
      </c>
      <c r="AL48" s="293">
        <f t="shared" si="124"/>
        <v>7.279804123278695E-2</v>
      </c>
      <c r="AM48" s="293">
        <f t="shared" si="124"/>
        <v>7.4811823276540707E-2</v>
      </c>
      <c r="AN48" s="293">
        <f t="shared" si="124"/>
        <v>7.5333322706334957E-2</v>
      </c>
      <c r="AO48" s="293">
        <f t="shared" si="124"/>
        <v>7.6332462046834512E-2</v>
      </c>
      <c r="AP48" s="300">
        <f t="shared" ref="AP48" si="125">SUM(AP41/AP$43)</f>
        <v>7.639922543257549E-2</v>
      </c>
      <c r="AR48" s="9"/>
    </row>
    <row r="49" spans="1:44">
      <c r="B49" s="291" t="str">
        <f t="shared" si="114"/>
        <v>Apple Watch(%)</v>
      </c>
      <c r="C49" s="293">
        <f t="shared" si="115"/>
        <v>3.665458810715707E-2</v>
      </c>
      <c r="D49" s="293">
        <f t="shared" si="115"/>
        <v>4.7657952069716777E-2</v>
      </c>
      <c r="E49" s="293">
        <f t="shared" si="115"/>
        <v>6.8961841114583269E-2</v>
      </c>
      <c r="F49" s="293">
        <f t="shared" si="115"/>
        <v>0.10835746792277204</v>
      </c>
      <c r="G49" s="293">
        <f t="shared" si="115"/>
        <v>0.13782999616349034</v>
      </c>
      <c r="H49" s="293">
        <f t="shared" si="115"/>
        <v>0.13108650697723406</v>
      </c>
      <c r="I49" s="293">
        <f t="shared" si="115"/>
        <v>0.14074515254354325</v>
      </c>
      <c r="J49" s="293">
        <f t="shared" si="115"/>
        <v>0.13881712562297577</v>
      </c>
      <c r="K49" s="293">
        <f t="shared" si="115"/>
        <v>0.12624668839378642</v>
      </c>
      <c r="L49" s="293">
        <f t="shared" ref="L49" si="126">SUM(L42/L$43)</f>
        <v>0.1245091618397961</v>
      </c>
      <c r="M49" s="289"/>
      <c r="N49" s="293">
        <f t="shared" ref="N49:AB49" si="127">SUM(N42/N$43)</f>
        <v>0.19552891351068036</v>
      </c>
      <c r="O49" s="293">
        <f t="shared" si="127"/>
        <v>8.4811215149559013E-2</v>
      </c>
      <c r="P49" s="293">
        <f t="shared" si="127"/>
        <v>0.1289809116928676</v>
      </c>
      <c r="Q49" s="293">
        <f t="shared" si="127"/>
        <v>0.12724413261695677</v>
      </c>
      <c r="R49" s="293">
        <f t="shared" si="127"/>
        <v>0.19192430220439466</v>
      </c>
      <c r="S49" s="293">
        <f t="shared" si="127"/>
        <v>8.8875762117495705E-2</v>
      </c>
      <c r="T49" s="293">
        <f t="shared" si="127"/>
        <v>0.12888698895773942</v>
      </c>
      <c r="U49" s="293">
        <f t="shared" si="127"/>
        <v>0.12323301821872598</v>
      </c>
      <c r="V49" s="293">
        <f t="shared" si="127"/>
        <v>0.16268048217751027</v>
      </c>
      <c r="W49" s="293">
        <f t="shared" si="127"/>
        <v>8.4267823925786273E-2</v>
      </c>
      <c r="X49" s="293">
        <f t="shared" si="127"/>
        <v>0.11386189975815424</v>
      </c>
      <c r="Y49" s="293">
        <f t="shared" si="127"/>
        <v>0.12626522631611914</v>
      </c>
      <c r="Z49" s="293">
        <f t="shared" si="127"/>
        <v>0.16533702496938152</v>
      </c>
      <c r="AA49" s="293">
        <f t="shared" si="127"/>
        <v>8.6365819263251362E-2</v>
      </c>
      <c r="AB49" s="293">
        <f t="shared" si="127"/>
        <v>0.10512487434706788</v>
      </c>
      <c r="AC49" s="293">
        <f t="shared" ref="AC49" si="128">SUM(AC42/AC$43)</f>
        <v>0.12374052042326301</v>
      </c>
      <c r="AD49" s="289"/>
      <c r="AE49" s="293">
        <f t="shared" ref="AE49:AO49" si="129">SUM(AE42/AE$43)</f>
        <v>0.15880426584952237</v>
      </c>
      <c r="AF49" s="293">
        <f t="shared" si="129"/>
        <v>0.16169818959131668</v>
      </c>
      <c r="AG49" s="293">
        <f t="shared" si="129"/>
        <v>0.1621493188521409</v>
      </c>
      <c r="AH49" s="293">
        <f t="shared" si="129"/>
        <v>0.16119355104848718</v>
      </c>
      <c r="AI49" s="293">
        <f t="shared" si="129"/>
        <v>0.14835868227197402</v>
      </c>
      <c r="AJ49" s="293">
        <f t="shared" si="129"/>
        <v>0.14761603324475492</v>
      </c>
      <c r="AK49" s="293">
        <f t="shared" si="129"/>
        <v>0.12554330840643474</v>
      </c>
      <c r="AL49" s="293">
        <f t="shared" si="129"/>
        <v>0.12624668839378642</v>
      </c>
      <c r="AM49" s="293">
        <f t="shared" si="129"/>
        <v>0.12704878463490046</v>
      </c>
      <c r="AN49" s="293">
        <f t="shared" si="129"/>
        <v>0.1272987756045266</v>
      </c>
      <c r="AO49" s="293">
        <f t="shared" si="129"/>
        <v>0.1250949290690235</v>
      </c>
      <c r="AP49" s="300">
        <f t="shared" ref="AP49" si="130">SUM(AP42/AP$43)</f>
        <v>0.1245091618397961</v>
      </c>
      <c r="AR49" s="9"/>
    </row>
    <row r="50" spans="1:44">
      <c r="B50" s="296" t="s">
        <v>403</v>
      </c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  <c r="AO50" s="289"/>
      <c r="AP50" s="297"/>
      <c r="AR50" s="9"/>
    </row>
    <row r="51" spans="1:44">
      <c r="B51" s="291" t="str">
        <f>B39&amp;"(%)"</f>
        <v>iPhone(%)</v>
      </c>
      <c r="C51" s="289" t="s">
        <v>46</v>
      </c>
      <c r="D51" s="294">
        <f>SUM(D39/C39)-1</f>
        <v>2.2993713541371585E-2</v>
      </c>
      <c r="E51" s="294">
        <f t="shared" ref="E51:K51" si="131">SUM(E39/D39)-1</f>
        <v>4.4566240380889965E-3</v>
      </c>
      <c r="F51" s="294">
        <f t="shared" si="131"/>
        <v>-0.14569956182654942</v>
      </c>
      <c r="G51" s="294">
        <f t="shared" si="131"/>
        <v>4.6236559139785083E-3</v>
      </c>
      <c r="H51" s="294">
        <f t="shared" si="131"/>
        <v>0.25762603018302466</v>
      </c>
      <c r="I51" s="294">
        <f t="shared" si="131"/>
        <v>4.2553191489361764E-2</v>
      </c>
      <c r="J51" s="294">
        <f t="shared" si="131"/>
        <v>-0.11020408163265305</v>
      </c>
      <c r="K51" s="294">
        <f t="shared" si="131"/>
        <v>2.7522935779816571E-2</v>
      </c>
      <c r="L51" s="294">
        <f t="shared" ref="L51" si="132">SUM(L39/K39)-1</f>
        <v>3.125E-2</v>
      </c>
      <c r="M51" s="289"/>
      <c r="N51" s="294" t="s">
        <v>46</v>
      </c>
      <c r="O51" s="294" t="s">
        <v>46</v>
      </c>
      <c r="P51" s="294" t="s">
        <v>46</v>
      </c>
      <c r="Q51" s="294" t="s">
        <v>46</v>
      </c>
      <c r="R51" s="294">
        <f t="shared" ref="R51:AB51" si="133">SUM(R39/Q39)-1</f>
        <v>0.320754716981132</v>
      </c>
      <c r="S51" s="294">
        <f t="shared" si="133"/>
        <v>-0.2142857142857143</v>
      </c>
      <c r="T51" s="294">
        <f t="shared" si="133"/>
        <v>-0.23636363636363633</v>
      </c>
      <c r="U51" s="294">
        <f t="shared" si="133"/>
        <v>0.21428571428571419</v>
      </c>
      <c r="V51" s="294">
        <f t="shared" si="133"/>
        <v>0.50980392156862742</v>
      </c>
      <c r="W51" s="294">
        <f t="shared" si="133"/>
        <v>-0.32467532467532467</v>
      </c>
      <c r="X51" s="294">
        <f t="shared" si="133"/>
        <v>-0.17307692307692313</v>
      </c>
      <c r="Y51" s="294">
        <f t="shared" si="133"/>
        <v>0.20930232558139528</v>
      </c>
      <c r="Z51" s="294">
        <f t="shared" si="133"/>
        <v>0.44230769230769229</v>
      </c>
      <c r="AA51" s="294">
        <f t="shared" si="133"/>
        <v>-0.29333333333333333</v>
      </c>
      <c r="AB51" s="294">
        <f t="shared" si="133"/>
        <v>-7.547169811320753E-2</v>
      </c>
      <c r="AC51" s="294">
        <f t="shared" ref="AC51" si="134">SUM(AC39/AB39)-1</f>
        <v>0.1020408163265305</v>
      </c>
      <c r="AD51" s="289"/>
      <c r="AE51" s="294" t="s">
        <v>46</v>
      </c>
      <c r="AF51" s="294" t="s">
        <v>46</v>
      </c>
      <c r="AG51" s="294" t="s">
        <v>46</v>
      </c>
      <c r="AH51" s="294" t="s">
        <v>46</v>
      </c>
      <c r="AI51" s="294">
        <f t="shared" ref="AI51:AI54" si="135">SUM(AI39/AE39)-1</f>
        <v>-3.4334763948497882E-2</v>
      </c>
      <c r="AJ51" s="294">
        <f t="shared" ref="AJ51:AJ54" si="136">SUM(AJ39/AF39)-1</f>
        <v>-2.6315789473684181E-2</v>
      </c>
      <c r="AK51" s="294">
        <f t="shared" ref="AK51:AK54" si="137">SUM(AK39/AG39)-1</f>
        <v>1.3636363636363669E-2</v>
      </c>
      <c r="AL51" s="294">
        <f t="shared" ref="AL51:AL54" si="138">SUM(AL39/AH39)-1</f>
        <v>2.7522935779816571E-2</v>
      </c>
      <c r="AM51" s="294">
        <f t="shared" ref="AM51:AM54" si="139">SUM(AM39/AI39)-1</f>
        <v>-1.3333333333333308E-2</v>
      </c>
      <c r="AN51" s="294">
        <f t="shared" ref="AN51:AN54" si="140">SUM(AN39/AJ39)-1</f>
        <v>4.5045045045044585E-3</v>
      </c>
      <c r="AO51" s="294">
        <f t="shared" ref="AO51:AP54" si="141">SUM(AO39/AK39)-1</f>
        <v>2.6905829596412634E-2</v>
      </c>
      <c r="AP51" s="301">
        <f t="shared" si="141"/>
        <v>3.125E-2</v>
      </c>
      <c r="AR51" s="9"/>
    </row>
    <row r="52" spans="1:44">
      <c r="B52" s="291" t="str">
        <f t="shared" ref="B52:B54" si="142">B40&amp;"(%)"</f>
        <v>iPad(%)</v>
      </c>
      <c r="C52" s="289" t="s">
        <v>46</v>
      </c>
      <c r="D52" s="294">
        <f t="shared" ref="D52:K54" si="143">SUM(D40/C40)-1</f>
        <v>-4.0293924106163614E-2</v>
      </c>
      <c r="E52" s="294">
        <f t="shared" si="143"/>
        <v>-4.98251548465245E-3</v>
      </c>
      <c r="F52" s="294">
        <f t="shared" si="143"/>
        <v>4.0722571494428372E-2</v>
      </c>
      <c r="G52" s="294">
        <f t="shared" si="143"/>
        <v>0.16152039205386282</v>
      </c>
      <c r="H52" s="294">
        <f t="shared" si="143"/>
        <v>0.30184699578155261</v>
      </c>
      <c r="I52" s="294">
        <f t="shared" si="143"/>
        <v>-0.1337414429799586</v>
      </c>
      <c r="J52" s="294">
        <f t="shared" si="143"/>
        <v>-0.11524695593331835</v>
      </c>
      <c r="K52" s="294">
        <f t="shared" si="143"/>
        <v>-4.1114070672242486E-2</v>
      </c>
      <c r="L52" s="294">
        <f t="shared" ref="L52" si="144">SUM(L40/K40)-1</f>
        <v>9.9365775042923321E-3</v>
      </c>
      <c r="M52" s="289"/>
      <c r="N52" s="294" t="s">
        <v>46</v>
      </c>
      <c r="O52" s="294" t="s">
        <v>46</v>
      </c>
      <c r="P52" s="294" t="s">
        <v>46</v>
      </c>
      <c r="Q52" s="294" t="s">
        <v>46</v>
      </c>
      <c r="R52" s="294">
        <f t="shared" ref="R52:AB52" si="145">SUM(R40/Q40)-1</f>
        <v>0.12418604366780062</v>
      </c>
      <c r="S52" s="294">
        <f t="shared" si="145"/>
        <v>-8.6614290997693133E-2</v>
      </c>
      <c r="T52" s="294">
        <f t="shared" si="145"/>
        <v>-6.3014045299253474E-2</v>
      </c>
      <c r="U52" s="294">
        <f t="shared" si="145"/>
        <v>-6.4557651825078E-2</v>
      </c>
      <c r="V52" s="294">
        <f t="shared" si="145"/>
        <v>-7.2351673973292119E-4</v>
      </c>
      <c r="W52" s="294">
        <f t="shared" si="145"/>
        <v>0.10405497575653833</v>
      </c>
      <c r="X52" s="294">
        <f t="shared" si="145"/>
        <v>2.7099391916020066E-2</v>
      </c>
      <c r="Y52" s="294">
        <f t="shared" si="145"/>
        <v>-8.2207507451020123E-2</v>
      </c>
      <c r="Z52" s="294">
        <f t="shared" si="145"/>
        <v>-7.2351673973203301E-4</v>
      </c>
      <c r="AA52" s="294">
        <f t="shared" si="145"/>
        <v>8.2823149299681154E-2</v>
      </c>
      <c r="AB52" s="294">
        <f t="shared" si="145"/>
        <v>2.7099391916020066E-2</v>
      </c>
      <c r="AC52" s="294">
        <f t="shared" ref="AC52" si="146">SUM(AC40/AB40)-1</f>
        <v>-0.13672615374822228</v>
      </c>
      <c r="AD52" s="289"/>
      <c r="AE52" s="294" t="s">
        <v>46</v>
      </c>
      <c r="AF52" s="294" t="s">
        <v>46</v>
      </c>
      <c r="AG52" s="294" t="s">
        <v>46</v>
      </c>
      <c r="AH52" s="294" t="s">
        <v>46</v>
      </c>
      <c r="AI52" s="294">
        <f t="shared" si="135"/>
        <v>-0.15139094145184939</v>
      </c>
      <c r="AJ52" s="294">
        <f t="shared" si="136"/>
        <v>-0.12339929220039236</v>
      </c>
      <c r="AK52" s="294">
        <f t="shared" si="137"/>
        <v>-7.3179464243242065E-2</v>
      </c>
      <c r="AL52" s="294">
        <f t="shared" si="138"/>
        <v>-4.1114070672242486E-2</v>
      </c>
      <c r="AM52" s="294">
        <f t="shared" si="139"/>
        <v>2.5292704103512254E-2</v>
      </c>
      <c r="AN52" s="294">
        <f t="shared" si="140"/>
        <v>3.9835824849230761E-2</v>
      </c>
      <c r="AO52" s="294">
        <f t="shared" si="141"/>
        <v>2.9440153465859709E-2</v>
      </c>
      <c r="AP52" s="301">
        <f t="shared" si="141"/>
        <v>9.9365775042923321E-3</v>
      </c>
      <c r="AR52" s="9"/>
    </row>
    <row r="53" spans="1:44">
      <c r="B53" s="291" t="str">
        <f t="shared" si="142"/>
        <v>Mac(%)</v>
      </c>
      <c r="C53" s="289" t="s">
        <v>46</v>
      </c>
      <c r="D53" s="294">
        <f t="shared" si="143"/>
        <v>4.1495347327418219E-2</v>
      </c>
      <c r="E53" s="294">
        <f t="shared" si="143"/>
        <v>-5.4127058334631939E-2</v>
      </c>
      <c r="F53" s="294">
        <f t="shared" si="143"/>
        <v>1.2334010654072136E-2</v>
      </c>
      <c r="G53" s="294">
        <f t="shared" si="143"/>
        <v>0.13418566323760039</v>
      </c>
      <c r="H53" s="294">
        <f t="shared" si="143"/>
        <v>0.31711275566567343</v>
      </c>
      <c r="I53" s="294">
        <f t="shared" si="143"/>
        <v>3.0197419604232945E-2</v>
      </c>
      <c r="J53" s="294">
        <f t="shared" si="143"/>
        <v>-0.11885889713240072</v>
      </c>
      <c r="K53" s="294">
        <f t="shared" si="143"/>
        <v>-2.4539263372107545E-3</v>
      </c>
      <c r="L53" s="294">
        <f t="shared" ref="L53" si="147">SUM(L41/K41)-1</f>
        <v>8.0673515057031242E-2</v>
      </c>
      <c r="M53" s="289"/>
      <c r="N53" s="294" t="s">
        <v>46</v>
      </c>
      <c r="O53" s="294" t="s">
        <v>46</v>
      </c>
      <c r="P53" s="294" t="s">
        <v>46</v>
      </c>
      <c r="Q53" s="294" t="s">
        <v>46</v>
      </c>
      <c r="R53" s="294">
        <f t="shared" ref="R53:AB53" si="148">SUM(R41/Q41)-1</f>
        <v>-0.15460299999999993</v>
      </c>
      <c r="S53" s="294">
        <f t="shared" si="148"/>
        <v>-5.8956258946322726E-2</v>
      </c>
      <c r="T53" s="294">
        <f t="shared" si="148"/>
        <v>-0.1891682184978275</v>
      </c>
      <c r="U53" s="294">
        <f t="shared" si="148"/>
        <v>0.24019138755980851</v>
      </c>
      <c r="V53" s="294">
        <f t="shared" si="148"/>
        <v>-1.722598750000004E-2</v>
      </c>
      <c r="W53" s="294">
        <f t="shared" si="148"/>
        <v>1.1874990380298156E-2</v>
      </c>
      <c r="X53" s="294">
        <f t="shared" si="148"/>
        <v>-0.12430167597765374</v>
      </c>
      <c r="Y53" s="294">
        <f t="shared" si="148"/>
        <v>0.14832535885167464</v>
      </c>
      <c r="Z53" s="294">
        <f t="shared" si="148"/>
        <v>8.1051413750000023E-2</v>
      </c>
      <c r="AA53" s="294">
        <f t="shared" si="148"/>
        <v>-3.411932736426071E-2</v>
      </c>
      <c r="AB53" s="294">
        <f t="shared" si="148"/>
        <v>-3.2561851556265342E-2</v>
      </c>
      <c r="AC53" s="294">
        <f t="shared" ref="AC53" si="149">SUM(AC41/AB41)-1</f>
        <v>1.2806045772302266E-2</v>
      </c>
      <c r="AD53" s="289"/>
      <c r="AE53" s="294" t="s">
        <v>46</v>
      </c>
      <c r="AF53" s="294" t="s">
        <v>46</v>
      </c>
      <c r="AG53" s="294" t="s">
        <v>46</v>
      </c>
      <c r="AH53" s="294" t="s">
        <v>46</v>
      </c>
      <c r="AI53" s="294">
        <f t="shared" si="135"/>
        <v>-0.11193755153744944</v>
      </c>
      <c r="AJ53" s="294">
        <f t="shared" si="136"/>
        <v>-8.829262236325075E-2</v>
      </c>
      <c r="AK53" s="294">
        <f t="shared" si="137"/>
        <v>-6.3168578646237705E-2</v>
      </c>
      <c r="AL53" s="294">
        <f t="shared" si="138"/>
        <v>-2.4539263372107545E-3</v>
      </c>
      <c r="AM53" s="294">
        <f t="shared" si="139"/>
        <v>4.3024081258394409E-2</v>
      </c>
      <c r="AN53" s="294">
        <f t="shared" si="140"/>
        <v>5.6165781464955655E-2</v>
      </c>
      <c r="AO53" s="294">
        <f t="shared" si="141"/>
        <v>7.4669721839896175E-2</v>
      </c>
      <c r="AP53" s="301">
        <f t="shared" si="141"/>
        <v>8.0673515057031242E-2</v>
      </c>
      <c r="AR53" s="9"/>
    </row>
    <row r="54" spans="1:44">
      <c r="B54" s="291" t="str">
        <f t="shared" si="142"/>
        <v>Apple Watch(%)</v>
      </c>
      <c r="C54" s="289" t="s">
        <v>46</v>
      </c>
      <c r="D54" s="294">
        <f t="shared" si="143"/>
        <v>0.33333333333333326</v>
      </c>
      <c r="E54" s="294">
        <f t="shared" si="143"/>
        <v>0.47857142857142865</v>
      </c>
      <c r="F54" s="294">
        <f t="shared" si="143"/>
        <v>0.46618357487922713</v>
      </c>
      <c r="G54" s="294">
        <f t="shared" si="143"/>
        <v>0.37158154859967052</v>
      </c>
      <c r="H54" s="294">
        <f t="shared" si="143"/>
        <v>0.19975376854242999</v>
      </c>
      <c r="I54" s="294">
        <f t="shared" si="143"/>
        <v>9.1223601023171508E-2</v>
      </c>
      <c r="J54" s="294">
        <f t="shared" si="143"/>
        <v>-0.12596934752993905</v>
      </c>
      <c r="K54" s="294">
        <f t="shared" si="143"/>
        <v>-9.2172469374501409E-2</v>
      </c>
      <c r="L54" s="294">
        <f t="shared" ref="L54" si="150">SUM(L42/K42)-1</f>
        <v>1.5562278133243845E-2</v>
      </c>
      <c r="M54" s="289"/>
      <c r="N54" s="294" t="s">
        <v>46</v>
      </c>
      <c r="O54" s="294" t="s">
        <v>46</v>
      </c>
      <c r="P54" s="294" t="s">
        <v>46</v>
      </c>
      <c r="Q54" s="294" t="s">
        <v>46</v>
      </c>
      <c r="R54" s="294">
        <f t="shared" ref="R54:AB54" si="151">SUM(R42/Q42)-1</f>
        <v>1.0105369484316848</v>
      </c>
      <c r="S54" s="294">
        <f t="shared" si="151"/>
        <v>-0.6641095511178996</v>
      </c>
      <c r="T54" s="294">
        <f t="shared" si="151"/>
        <v>0.21162280701754344</v>
      </c>
      <c r="U54" s="294">
        <f t="shared" si="151"/>
        <v>9.9930782387836592E-2</v>
      </c>
      <c r="V54" s="294">
        <f t="shared" si="151"/>
        <v>0.8988404512965904</v>
      </c>
      <c r="W54" s="294">
        <f t="shared" si="151"/>
        <v>-0.64435128941895248</v>
      </c>
      <c r="X54" s="294">
        <f t="shared" si="151"/>
        <v>0.21162280701754366</v>
      </c>
      <c r="Y54" s="294">
        <f t="shared" si="151"/>
        <v>0.28325257945247562</v>
      </c>
      <c r="Z54" s="294">
        <f t="shared" si="151"/>
        <v>0.82650367219957821</v>
      </c>
      <c r="AA54" s="294">
        <f t="shared" si="151"/>
        <v>-0.63026619197019818</v>
      </c>
      <c r="AB54" s="294">
        <f t="shared" si="151"/>
        <v>0.17700501253132805</v>
      </c>
      <c r="AC54" s="294">
        <f t="shared" ref="AC54" si="152">SUM(AC42/AB42)-1</f>
        <v>0.25810836683895522</v>
      </c>
      <c r="AD54" s="289"/>
      <c r="AE54" s="294" t="s">
        <v>46</v>
      </c>
      <c r="AF54" s="294" t="s">
        <v>46</v>
      </c>
      <c r="AG54" s="294" t="s">
        <v>46</v>
      </c>
      <c r="AH54" s="294" t="s">
        <v>46</v>
      </c>
      <c r="AI54" s="294">
        <f t="shared" si="135"/>
        <v>-0.1241490997882061</v>
      </c>
      <c r="AJ54" s="294">
        <f t="shared" si="136"/>
        <v>-0.13197993185590906</v>
      </c>
      <c r="AK54" s="294">
        <f t="shared" si="137"/>
        <v>-0.12231901188103234</v>
      </c>
      <c r="AL54" s="294">
        <f t="shared" si="138"/>
        <v>-9.2172469374501409E-2</v>
      </c>
      <c r="AM54" s="294">
        <f t="shared" si="139"/>
        <v>-2.1271315627831577E-2</v>
      </c>
      <c r="AN54" s="294">
        <f t="shared" si="140"/>
        <v>2.6408176208410072E-3</v>
      </c>
      <c r="AO54" s="294">
        <f t="shared" si="141"/>
        <v>2.7119397949113555E-2</v>
      </c>
      <c r="AP54" s="301">
        <f t="shared" si="141"/>
        <v>1.5562278133243845E-2</v>
      </c>
      <c r="AR54" s="9"/>
    </row>
    <row r="55" spans="1:44">
      <c r="B55" s="296" t="s">
        <v>404</v>
      </c>
      <c r="C55" s="289"/>
      <c r="D55" s="294"/>
      <c r="E55" s="294"/>
      <c r="F55" s="294"/>
      <c r="G55" s="294"/>
      <c r="H55" s="294"/>
      <c r="I55" s="294"/>
      <c r="J55" s="294"/>
      <c r="K55" s="294"/>
      <c r="L55" s="294"/>
      <c r="M55" s="289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89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301"/>
      <c r="AR55" s="9"/>
    </row>
    <row r="56" spans="1:44">
      <c r="B56" s="291" t="str">
        <f>B39&amp;"(%)"</f>
        <v>iPhone(%)</v>
      </c>
      <c r="C56" s="289" t="s">
        <v>46</v>
      </c>
      <c r="D56" s="289" t="s">
        <v>46</v>
      </c>
      <c r="E56" s="289" t="s">
        <v>46</v>
      </c>
      <c r="F56" s="289" t="s">
        <v>46</v>
      </c>
      <c r="G56" s="289" t="s">
        <v>46</v>
      </c>
      <c r="H56" s="289" t="s">
        <v>46</v>
      </c>
      <c r="I56" s="289" t="s">
        <v>46</v>
      </c>
      <c r="J56" s="289" t="s">
        <v>46</v>
      </c>
      <c r="K56" s="289" t="s">
        <v>46</v>
      </c>
      <c r="L56" s="289" t="s">
        <v>46</v>
      </c>
      <c r="M56" s="289"/>
      <c r="N56" s="294" t="s">
        <v>46</v>
      </c>
      <c r="O56" s="294">
        <f>SUM(O39/N39)-1</f>
        <v>-0.26829268292682928</v>
      </c>
      <c r="P56" s="294">
        <f t="shared" ref="P56:AB56" si="153">SUM(P39/O39)-1</f>
        <v>-0.16666666666666663</v>
      </c>
      <c r="Q56" s="294">
        <f t="shared" si="153"/>
        <v>6.0000000000000053E-2</v>
      </c>
      <c r="R56" s="294">
        <f t="shared" si="153"/>
        <v>0.320754716981132</v>
      </c>
      <c r="S56" s="294">
        <f t="shared" si="153"/>
        <v>-0.2142857142857143</v>
      </c>
      <c r="T56" s="294">
        <f t="shared" si="153"/>
        <v>-0.23636363636363633</v>
      </c>
      <c r="U56" s="294">
        <f t="shared" si="153"/>
        <v>0.21428571428571419</v>
      </c>
      <c r="V56" s="294">
        <f t="shared" si="153"/>
        <v>0.50980392156862742</v>
      </c>
      <c r="W56" s="294">
        <f t="shared" si="153"/>
        <v>-0.32467532467532467</v>
      </c>
      <c r="X56" s="294">
        <f t="shared" si="153"/>
        <v>-0.17307692307692313</v>
      </c>
      <c r="Y56" s="294">
        <f t="shared" si="153"/>
        <v>0.20930232558139528</v>
      </c>
      <c r="Z56" s="294">
        <f t="shared" si="153"/>
        <v>0.44230769230769229</v>
      </c>
      <c r="AA56" s="294">
        <f t="shared" si="153"/>
        <v>-0.29333333333333333</v>
      </c>
      <c r="AB56" s="294">
        <f t="shared" si="153"/>
        <v>-7.547169811320753E-2</v>
      </c>
      <c r="AC56" s="294">
        <f t="shared" ref="AC56" si="154">SUM(AC39/AB39)-1</f>
        <v>0.1020408163265305</v>
      </c>
      <c r="AD56" s="289"/>
      <c r="AE56" s="294" t="s">
        <v>46</v>
      </c>
      <c r="AF56" s="294" t="s">
        <v>46</v>
      </c>
      <c r="AG56" s="294" t="s">
        <v>46</v>
      </c>
      <c r="AH56" s="294" t="s">
        <v>46</v>
      </c>
      <c r="AI56" s="294" t="s">
        <v>46</v>
      </c>
      <c r="AJ56" s="294" t="s">
        <v>46</v>
      </c>
      <c r="AK56" s="294" t="s">
        <v>46</v>
      </c>
      <c r="AL56" s="294" t="s">
        <v>46</v>
      </c>
      <c r="AM56" s="294" t="s">
        <v>46</v>
      </c>
      <c r="AN56" s="294" t="s">
        <v>46</v>
      </c>
      <c r="AO56" s="294" t="s">
        <v>46</v>
      </c>
      <c r="AP56" s="301" t="s">
        <v>46</v>
      </c>
      <c r="AR56" s="9"/>
    </row>
    <row r="57" spans="1:44">
      <c r="B57" s="291" t="str">
        <f t="shared" ref="B57:B59" si="155">B40&amp;"(%)"</f>
        <v>iPad(%)</v>
      </c>
      <c r="C57" s="289" t="s">
        <v>46</v>
      </c>
      <c r="D57" s="289" t="s">
        <v>46</v>
      </c>
      <c r="E57" s="289" t="s">
        <v>46</v>
      </c>
      <c r="F57" s="289" t="s">
        <v>46</v>
      </c>
      <c r="G57" s="289" t="s">
        <v>46</v>
      </c>
      <c r="H57" s="289" t="s">
        <v>46</v>
      </c>
      <c r="I57" s="289" t="s">
        <v>46</v>
      </c>
      <c r="J57" s="289" t="s">
        <v>46</v>
      </c>
      <c r="K57" s="289" t="s">
        <v>46</v>
      </c>
      <c r="L57" s="289" t="s">
        <v>46</v>
      </c>
      <c r="M57" s="289"/>
      <c r="N57" s="294" t="s">
        <v>46</v>
      </c>
      <c r="O57" s="294">
        <f t="shared" ref="O57:AB59" si="156">SUM(O40/N40)-1</f>
        <v>1.0097137014315694E-2</v>
      </c>
      <c r="P57" s="294">
        <f t="shared" si="156"/>
        <v>-6.3014045299253474E-2</v>
      </c>
      <c r="Q57" s="294">
        <f t="shared" si="156"/>
        <v>-0.11652667116812931</v>
      </c>
      <c r="R57" s="294">
        <f t="shared" si="156"/>
        <v>0.12418604366780062</v>
      </c>
      <c r="S57" s="294">
        <f t="shared" si="156"/>
        <v>-8.6614290997693133E-2</v>
      </c>
      <c r="T57" s="294">
        <f t="shared" si="156"/>
        <v>-6.3014045299253474E-2</v>
      </c>
      <c r="U57" s="294">
        <f t="shared" si="156"/>
        <v>-6.4557651825078E-2</v>
      </c>
      <c r="V57" s="294">
        <f t="shared" si="156"/>
        <v>-7.2351673973292119E-4</v>
      </c>
      <c r="W57" s="294">
        <f t="shared" si="156"/>
        <v>0.10405497575653833</v>
      </c>
      <c r="X57" s="294">
        <f t="shared" si="156"/>
        <v>2.7099391916020066E-2</v>
      </c>
      <c r="Y57" s="294">
        <f t="shared" si="156"/>
        <v>-8.2207507451020123E-2</v>
      </c>
      <c r="Z57" s="294">
        <f t="shared" si="156"/>
        <v>-7.2351673973203301E-4</v>
      </c>
      <c r="AA57" s="294">
        <f t="shared" si="156"/>
        <v>8.2823149299681154E-2</v>
      </c>
      <c r="AB57" s="294">
        <f t="shared" si="156"/>
        <v>2.7099391916020066E-2</v>
      </c>
      <c r="AC57" s="294">
        <f t="shared" ref="AC57" si="157">SUM(AC40/AB40)-1</f>
        <v>-0.13672615374822228</v>
      </c>
      <c r="AD57" s="289"/>
      <c r="AE57" s="294" t="s">
        <v>46</v>
      </c>
      <c r="AF57" s="294" t="s">
        <v>46</v>
      </c>
      <c r="AG57" s="294" t="s">
        <v>46</v>
      </c>
      <c r="AH57" s="294" t="s">
        <v>46</v>
      </c>
      <c r="AI57" s="294" t="s">
        <v>46</v>
      </c>
      <c r="AJ57" s="294" t="s">
        <v>46</v>
      </c>
      <c r="AK57" s="294" t="s">
        <v>46</v>
      </c>
      <c r="AL57" s="294" t="s">
        <v>46</v>
      </c>
      <c r="AM57" s="294" t="s">
        <v>46</v>
      </c>
      <c r="AN57" s="294" t="s">
        <v>46</v>
      </c>
      <c r="AO57" s="294" t="s">
        <v>46</v>
      </c>
      <c r="AP57" s="301" t="s">
        <v>46</v>
      </c>
      <c r="AR57" s="9"/>
    </row>
    <row r="58" spans="1:44">
      <c r="B58" s="291" t="str">
        <f t="shared" si="155"/>
        <v>Mac(%)</v>
      </c>
      <c r="C58" s="289" t="s">
        <v>46</v>
      </c>
      <c r="D58" s="289" t="s">
        <v>46</v>
      </c>
      <c r="E58" s="289" t="s">
        <v>46</v>
      </c>
      <c r="F58" s="289" t="s">
        <v>46</v>
      </c>
      <c r="G58" s="289" t="s">
        <v>46</v>
      </c>
      <c r="H58" s="289" t="s">
        <v>46</v>
      </c>
      <c r="I58" s="289" t="s">
        <v>46</v>
      </c>
      <c r="J58" s="289" t="s">
        <v>46</v>
      </c>
      <c r="K58" s="289" t="s">
        <v>46</v>
      </c>
      <c r="L58" s="289" t="s">
        <v>46</v>
      </c>
      <c r="M58" s="289"/>
      <c r="N58" s="294" t="s">
        <v>46</v>
      </c>
      <c r="O58" s="294">
        <f t="shared" si="156"/>
        <v>-5.8956258946322726E-2</v>
      </c>
      <c r="P58" s="294">
        <f t="shared" si="156"/>
        <v>-0.23184357541899447</v>
      </c>
      <c r="Q58" s="294">
        <f t="shared" si="156"/>
        <v>0.47272727272727266</v>
      </c>
      <c r="R58" s="294">
        <f t="shared" si="156"/>
        <v>-0.15460299999999993</v>
      </c>
      <c r="S58" s="294">
        <f t="shared" si="156"/>
        <v>-5.8956258946322726E-2</v>
      </c>
      <c r="T58" s="294">
        <f t="shared" si="156"/>
        <v>-0.1891682184978275</v>
      </c>
      <c r="U58" s="294">
        <f t="shared" si="156"/>
        <v>0.24019138755980851</v>
      </c>
      <c r="V58" s="294">
        <f t="shared" si="156"/>
        <v>-1.722598750000004E-2</v>
      </c>
      <c r="W58" s="294">
        <f t="shared" si="156"/>
        <v>1.1874990380298156E-2</v>
      </c>
      <c r="X58" s="294">
        <f t="shared" si="156"/>
        <v>-0.12430167597765374</v>
      </c>
      <c r="Y58" s="294">
        <f t="shared" si="156"/>
        <v>0.14832535885167464</v>
      </c>
      <c r="Z58" s="294">
        <f t="shared" si="156"/>
        <v>8.1051413750000023E-2</v>
      </c>
      <c r="AA58" s="294">
        <f t="shared" si="156"/>
        <v>-3.411932736426071E-2</v>
      </c>
      <c r="AB58" s="294">
        <f t="shared" si="156"/>
        <v>-3.2561851556265342E-2</v>
      </c>
      <c r="AC58" s="294">
        <f t="shared" ref="AC58" si="158">SUM(AC41/AB41)-1</f>
        <v>1.2806045772302266E-2</v>
      </c>
      <c r="AD58" s="289"/>
      <c r="AE58" s="294" t="s">
        <v>46</v>
      </c>
      <c r="AF58" s="294" t="s">
        <v>46</v>
      </c>
      <c r="AG58" s="294" t="s">
        <v>46</v>
      </c>
      <c r="AH58" s="294" t="s">
        <v>46</v>
      </c>
      <c r="AI58" s="294" t="s">
        <v>46</v>
      </c>
      <c r="AJ58" s="294" t="s">
        <v>46</v>
      </c>
      <c r="AK58" s="294" t="s">
        <v>46</v>
      </c>
      <c r="AL58" s="294" t="s">
        <v>46</v>
      </c>
      <c r="AM58" s="294" t="s">
        <v>46</v>
      </c>
      <c r="AN58" s="294" t="s">
        <v>46</v>
      </c>
      <c r="AO58" s="294" t="s">
        <v>46</v>
      </c>
      <c r="AP58" s="301" t="s">
        <v>46</v>
      </c>
      <c r="AR58" s="9"/>
    </row>
    <row r="59" spans="1:44">
      <c r="B59" s="292" t="str">
        <f t="shared" si="155"/>
        <v>Apple Watch(%)</v>
      </c>
      <c r="C59" s="290" t="s">
        <v>46</v>
      </c>
      <c r="D59" s="290" t="s">
        <v>46</v>
      </c>
      <c r="E59" s="290" t="s">
        <v>46</v>
      </c>
      <c r="F59" s="290" t="s">
        <v>46</v>
      </c>
      <c r="G59" s="290" t="s">
        <v>46</v>
      </c>
      <c r="H59" s="290" t="s">
        <v>46</v>
      </c>
      <c r="I59" s="290" t="s">
        <v>46</v>
      </c>
      <c r="J59" s="290" t="s">
        <v>46</v>
      </c>
      <c r="K59" s="290" t="s">
        <v>46</v>
      </c>
      <c r="L59" s="290" t="s">
        <v>46</v>
      </c>
      <c r="M59" s="290"/>
      <c r="N59" s="295" t="s">
        <v>46</v>
      </c>
      <c r="O59" s="295">
        <f t="shared" si="156"/>
        <v>-0.69946644047391016</v>
      </c>
      <c r="P59" s="295">
        <f t="shared" si="156"/>
        <v>0.35416666666666652</v>
      </c>
      <c r="Q59" s="295">
        <f t="shared" si="156"/>
        <v>3.8823516699622918E-2</v>
      </c>
      <c r="R59" s="295">
        <f t="shared" si="156"/>
        <v>1.0105369484316848</v>
      </c>
      <c r="S59" s="295">
        <f t="shared" si="156"/>
        <v>-0.6641095511178996</v>
      </c>
      <c r="T59" s="295">
        <f t="shared" si="156"/>
        <v>0.21162280701754344</v>
      </c>
      <c r="U59" s="295">
        <f t="shared" si="156"/>
        <v>9.9930782387836592E-2</v>
      </c>
      <c r="V59" s="295">
        <f t="shared" si="156"/>
        <v>0.8988404512965904</v>
      </c>
      <c r="W59" s="295">
        <f t="shared" si="156"/>
        <v>-0.64435128941895248</v>
      </c>
      <c r="X59" s="295">
        <f t="shared" si="156"/>
        <v>0.21162280701754366</v>
      </c>
      <c r="Y59" s="295">
        <f t="shared" si="156"/>
        <v>0.28325257945247562</v>
      </c>
      <c r="Z59" s="295">
        <f t="shared" si="156"/>
        <v>0.82650367219957821</v>
      </c>
      <c r="AA59" s="295">
        <f t="shared" si="156"/>
        <v>-0.63026619197019818</v>
      </c>
      <c r="AB59" s="295">
        <f t="shared" si="156"/>
        <v>0.17700501253132805</v>
      </c>
      <c r="AC59" s="295">
        <f t="shared" ref="AC59" si="159">SUM(AC42/AB42)-1</f>
        <v>0.25810836683895522</v>
      </c>
      <c r="AD59" s="290"/>
      <c r="AE59" s="295" t="s">
        <v>46</v>
      </c>
      <c r="AF59" s="295" t="s">
        <v>46</v>
      </c>
      <c r="AG59" s="295" t="s">
        <v>46</v>
      </c>
      <c r="AH59" s="295" t="s">
        <v>46</v>
      </c>
      <c r="AI59" s="295" t="s">
        <v>46</v>
      </c>
      <c r="AJ59" s="295" t="s">
        <v>46</v>
      </c>
      <c r="AK59" s="295" t="s">
        <v>46</v>
      </c>
      <c r="AL59" s="295" t="s">
        <v>46</v>
      </c>
      <c r="AM59" s="295" t="s">
        <v>46</v>
      </c>
      <c r="AN59" s="295" t="s">
        <v>46</v>
      </c>
      <c r="AO59" s="295" t="s">
        <v>46</v>
      </c>
      <c r="AP59" s="302" t="s">
        <v>46</v>
      </c>
      <c r="AR59" s="9"/>
    </row>
    <row r="61" spans="1:44">
      <c r="A61" s="94" t="s">
        <v>24</v>
      </c>
      <c r="B61" s="91" t="s">
        <v>409</v>
      </c>
      <c r="C61" s="27"/>
      <c r="D61" s="27"/>
      <c r="E61" s="27"/>
      <c r="F61" s="27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5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R61" s="13"/>
    </row>
    <row r="62" spans="1:44" ht="12.75" customHeight="1">
      <c r="B62" s="10" t="s">
        <v>390</v>
      </c>
      <c r="C62" s="95">
        <v>618.72432052380634</v>
      </c>
      <c r="D62" s="95">
        <v>617.99173040255369</v>
      </c>
      <c r="E62" s="95">
        <v>783.87255006504722</v>
      </c>
      <c r="F62" s="95">
        <v>775.8604651162791</v>
      </c>
      <c r="G62" s="95">
        <v>695.89473684210532</v>
      </c>
      <c r="H62" s="95">
        <v>793.22448979591832</v>
      </c>
      <c r="I62" s="95">
        <v>804.2641509433962</v>
      </c>
      <c r="J62" s="95">
        <v>858.92156862745094</v>
      </c>
      <c r="K62" s="95">
        <v>888.88461538461536</v>
      </c>
      <c r="L62" s="95">
        <v>907</v>
      </c>
      <c r="M62" s="95"/>
      <c r="N62" s="95">
        <v>873.51219512195121</v>
      </c>
      <c r="O62" s="95">
        <v>842.83333333333337</v>
      </c>
      <c r="P62" s="95">
        <v>813.3</v>
      </c>
      <c r="Q62" s="34">
        <f t="shared" ref="Q62:Q65" si="160">I62</f>
        <v>804.2641509433962</v>
      </c>
      <c r="R62" s="95">
        <v>939.64285714285711</v>
      </c>
      <c r="S62" s="95">
        <v>933.34545454545457</v>
      </c>
      <c r="T62" s="95">
        <v>944.5</v>
      </c>
      <c r="U62" s="34">
        <f t="shared" ref="U62:U65" si="161">J62</f>
        <v>858.92156862745094</v>
      </c>
      <c r="V62" s="95">
        <v>905.22077922077926</v>
      </c>
      <c r="W62" s="95">
        <v>883.90384615384619</v>
      </c>
      <c r="X62" s="95">
        <v>913.8604651162791</v>
      </c>
      <c r="Y62" s="34">
        <f>K62</f>
        <v>888.88461538461536</v>
      </c>
      <c r="Z62" s="95">
        <v>921.84</v>
      </c>
      <c r="AA62" s="95">
        <v>883.79245283018872</v>
      </c>
      <c r="AB62" s="95">
        <v>909.83673469387759</v>
      </c>
      <c r="AC62" s="34">
        <f>L62</f>
        <v>907</v>
      </c>
      <c r="AD62" s="5"/>
      <c r="AE62" s="12">
        <f t="shared" ref="AE62:AE65" si="162">SUM(O62:R62)</f>
        <v>3400.0403414195862</v>
      </c>
      <c r="AF62" s="12">
        <f t="shared" ref="AF62:AF65" si="163">SUM(P62:S62)</f>
        <v>3490.5524626317078</v>
      </c>
      <c r="AG62" s="12">
        <f t="shared" ref="AG62:AG65" si="164">SUM(Q62:T62)</f>
        <v>3621.7524626317081</v>
      </c>
      <c r="AH62" s="12">
        <f t="shared" ref="AH62:AH65" si="165">SUM(R62:U62)</f>
        <v>3676.4098803157626</v>
      </c>
      <c r="AI62" s="12">
        <f t="shared" ref="AI62:AI65" si="166">SUM(S62:V62)</f>
        <v>3641.9878023936849</v>
      </c>
      <c r="AJ62" s="12">
        <f t="shared" ref="AJ62:AJ65" si="167">SUM(T62:W62)</f>
        <v>3592.5461940020764</v>
      </c>
      <c r="AK62" s="12">
        <f t="shared" ref="AK62:AK65" si="168">SUM(U62:X62)</f>
        <v>3561.9066591183555</v>
      </c>
      <c r="AL62" s="12">
        <f t="shared" ref="AL62:AL65" si="169">SUM(V62:Y62)</f>
        <v>3591.8697058755197</v>
      </c>
      <c r="AM62" s="12">
        <f t="shared" ref="AM62:AM65" si="170">SUM(W62:Z62)</f>
        <v>3608.4889266547407</v>
      </c>
      <c r="AN62" s="12">
        <f t="shared" ref="AN62:AN65" si="171">SUM(X62:AA62)</f>
        <v>3608.3775333310832</v>
      </c>
      <c r="AO62" s="12">
        <f>SUM(Y62:AB62)</f>
        <v>3604.3538029086817</v>
      </c>
      <c r="AP62" s="12">
        <f>SUM(Z62:AC62)</f>
        <v>3622.4691875240665</v>
      </c>
      <c r="AR62" s="13">
        <f t="shared" ref="AR62:AR64" si="172">SUM(AO62/AK62)-1</f>
        <v>1.1916972524157243E-2</v>
      </c>
    </row>
    <row r="63" spans="1:44" ht="12.75" customHeight="1">
      <c r="B63" s="10" t="s">
        <v>391</v>
      </c>
      <c r="C63" s="95">
        <v>459.15614546239345</v>
      </c>
      <c r="D63" s="95">
        <v>467.84815030021304</v>
      </c>
      <c r="E63" s="95">
        <v>410.66089287555417</v>
      </c>
      <c r="F63" s="95">
        <v>459.23500286035687</v>
      </c>
      <c r="G63" s="95">
        <v>451.02853351028568</v>
      </c>
      <c r="H63" s="95">
        <v>477.60157425628017</v>
      </c>
      <c r="I63" s="95">
        <v>548.29321382059618</v>
      </c>
      <c r="J63" s="95">
        <v>547.13830447078976</v>
      </c>
      <c r="K63" s="95">
        <v>567.4929285318575</v>
      </c>
      <c r="L63" s="95">
        <v>551</v>
      </c>
      <c r="M63" s="95"/>
      <c r="N63" s="95">
        <v>463.19018404908007</v>
      </c>
      <c r="O63" s="95">
        <v>483.74035176515247</v>
      </c>
      <c r="P63" s="95">
        <v>487.77852802160703</v>
      </c>
      <c r="Q63" s="34">
        <f t="shared" si="160"/>
        <v>548.29321382059618</v>
      </c>
      <c r="R63" s="95">
        <v>638.78736457381592</v>
      </c>
      <c r="S63" s="95">
        <v>496.46076322468758</v>
      </c>
      <c r="T63" s="95">
        <v>460.0230368987568</v>
      </c>
      <c r="U63" s="34">
        <f t="shared" si="161"/>
        <v>547.13830447078976</v>
      </c>
      <c r="V63" s="95">
        <v>596.82360331549455</v>
      </c>
      <c r="W63" s="95">
        <v>427.88720160592476</v>
      </c>
      <c r="X63" s="95">
        <v>536.72826576517491</v>
      </c>
      <c r="Y63" s="34">
        <f t="shared" ref="Y63:Y65" si="173">K63</f>
        <v>567.4929285318575</v>
      </c>
      <c r="Z63" s="95">
        <v>634.23350520464317</v>
      </c>
      <c r="AA63" s="95">
        <v>458.53701709296558</v>
      </c>
      <c r="AB63" s="95">
        <v>459.3461474800219</v>
      </c>
      <c r="AC63" s="34">
        <f t="shared" ref="AC63:AC65" si="174">L63</f>
        <v>551</v>
      </c>
      <c r="AD63" s="5"/>
      <c r="AE63" s="12">
        <f t="shared" si="162"/>
        <v>2158.5994581811715</v>
      </c>
      <c r="AF63" s="12">
        <f t="shared" si="163"/>
        <v>2171.3198696407067</v>
      </c>
      <c r="AG63" s="12">
        <f t="shared" si="164"/>
        <v>2143.5643785178563</v>
      </c>
      <c r="AH63" s="12">
        <f t="shared" si="165"/>
        <v>2142.4094691680502</v>
      </c>
      <c r="AI63" s="12">
        <f t="shared" si="166"/>
        <v>2100.4457079097288</v>
      </c>
      <c r="AJ63" s="12">
        <f t="shared" si="167"/>
        <v>2031.8721462909659</v>
      </c>
      <c r="AK63" s="12">
        <f t="shared" si="168"/>
        <v>2108.5773751573843</v>
      </c>
      <c r="AL63" s="12">
        <f t="shared" si="169"/>
        <v>2128.9319992184519</v>
      </c>
      <c r="AM63" s="12">
        <f t="shared" si="170"/>
        <v>2166.3419011076003</v>
      </c>
      <c r="AN63" s="12">
        <f t="shared" si="171"/>
        <v>2196.9917165946413</v>
      </c>
      <c r="AO63" s="12">
        <f t="shared" ref="AO63:AP65" si="175">SUM(Y63:AB63)</f>
        <v>2119.6095983094883</v>
      </c>
      <c r="AP63" s="12">
        <f t="shared" si="175"/>
        <v>2103.1166697776307</v>
      </c>
      <c r="AR63" s="13">
        <f t="shared" si="172"/>
        <v>5.2320693952625508E-3</v>
      </c>
    </row>
    <row r="64" spans="1:44" ht="12.75" customHeight="1">
      <c r="B64" s="10" t="s">
        <v>392</v>
      </c>
      <c r="C64" s="95">
        <v>1153.6661379451493</v>
      </c>
      <c r="D64" s="95">
        <v>1311.5134608243595</v>
      </c>
      <c r="E64" s="95">
        <v>1365.3085251934326</v>
      </c>
      <c r="F64" s="95">
        <v>1368.4271736971227</v>
      </c>
      <c r="G64" s="95">
        <v>1313.4846558179534</v>
      </c>
      <c r="H64" s="95">
        <v>1269.8014348893382</v>
      </c>
      <c r="I64" s="95">
        <v>1404.5723869425155</v>
      </c>
      <c r="J64" s="95">
        <v>1153.3969191970486</v>
      </c>
      <c r="K64" s="95">
        <v>1172.6038851864198</v>
      </c>
      <c r="L64" s="95">
        <v>1251</v>
      </c>
      <c r="M64" s="95"/>
      <c r="N64" s="95">
        <v>1410.458039797262</v>
      </c>
      <c r="O64" s="95">
        <v>1439.9909510103876</v>
      </c>
      <c r="P64" s="95">
        <v>1319.0704925880682</v>
      </c>
      <c r="Q64" s="34">
        <f t="shared" si="160"/>
        <v>1404.5723869425155</v>
      </c>
      <c r="R64" s="95">
        <v>1110.1514005826607</v>
      </c>
      <c r="S64" s="95">
        <v>1091.2346590078948</v>
      </c>
      <c r="T64" s="95">
        <v>1282.6794674922251</v>
      </c>
      <c r="U64" s="34">
        <f t="shared" si="161"/>
        <v>1153.3969191970486</v>
      </c>
      <c r="V64" s="95">
        <v>1199.3479033721178</v>
      </c>
      <c r="W64" s="95">
        <v>1133.6491846206545</v>
      </c>
      <c r="X64" s="95">
        <v>1216.2039200240122</v>
      </c>
      <c r="Y64" s="34">
        <f t="shared" si="173"/>
        <v>1172.6038851864198</v>
      </c>
      <c r="Z64" s="95">
        <v>1219.3200690733481</v>
      </c>
      <c r="AA64" s="95">
        <v>1152.5273010526332</v>
      </c>
      <c r="AB64" s="95">
        <v>1228.3659592242523</v>
      </c>
      <c r="AC64" s="34">
        <f t="shared" si="174"/>
        <v>1251</v>
      </c>
      <c r="AD64" s="5"/>
      <c r="AE64" s="12">
        <f t="shared" si="162"/>
        <v>5273.7852311236329</v>
      </c>
      <c r="AF64" s="12">
        <f t="shared" si="163"/>
        <v>4925.028939121139</v>
      </c>
      <c r="AG64" s="12">
        <f t="shared" si="164"/>
        <v>4888.6379140252957</v>
      </c>
      <c r="AH64" s="12">
        <f t="shared" si="165"/>
        <v>4637.4624462798292</v>
      </c>
      <c r="AI64" s="12">
        <f t="shared" si="166"/>
        <v>4726.6589490692859</v>
      </c>
      <c r="AJ64" s="12">
        <f t="shared" si="167"/>
        <v>4769.0734746820463</v>
      </c>
      <c r="AK64" s="12">
        <f t="shared" si="168"/>
        <v>4702.5979272138329</v>
      </c>
      <c r="AL64" s="12">
        <f t="shared" si="169"/>
        <v>4721.8048932032043</v>
      </c>
      <c r="AM64" s="12">
        <f t="shared" si="170"/>
        <v>4741.7770589044349</v>
      </c>
      <c r="AN64" s="12">
        <f t="shared" si="171"/>
        <v>4760.6551753364138</v>
      </c>
      <c r="AO64" s="12">
        <f t="shared" si="175"/>
        <v>4772.8172145366534</v>
      </c>
      <c r="AP64" s="12">
        <f t="shared" si="175"/>
        <v>4851.2133293502338</v>
      </c>
      <c r="AR64" s="13">
        <f t="shared" si="172"/>
        <v>1.493202021726403E-2</v>
      </c>
    </row>
    <row r="65" spans="1:44" ht="12.75" customHeight="1">
      <c r="B65" s="10" t="s">
        <v>257</v>
      </c>
      <c r="C65" s="95">
        <v>452.12599999999998</v>
      </c>
      <c r="D65" s="95">
        <v>432.12599999999998</v>
      </c>
      <c r="E65" s="95">
        <v>400.726</v>
      </c>
      <c r="F65" s="95">
        <v>400</v>
      </c>
      <c r="G65" s="95">
        <v>375</v>
      </c>
      <c r="H65" s="95">
        <v>350</v>
      </c>
      <c r="I65" s="95">
        <v>412.476</v>
      </c>
      <c r="J65" s="95">
        <v>412.476</v>
      </c>
      <c r="K65" s="95">
        <v>412.476</v>
      </c>
      <c r="L65" s="95">
        <v>416</v>
      </c>
      <c r="M65" s="95"/>
      <c r="N65" s="95">
        <v>350</v>
      </c>
      <c r="O65" s="95">
        <v>350</v>
      </c>
      <c r="P65" s="95">
        <v>350</v>
      </c>
      <c r="Q65" s="34">
        <f>I65</f>
        <v>412.476</v>
      </c>
      <c r="R65" s="95">
        <v>421.25600000000003</v>
      </c>
      <c r="S65" s="95">
        <v>412.476</v>
      </c>
      <c r="T65" s="95">
        <v>412.476</v>
      </c>
      <c r="U65" s="34">
        <f>J65</f>
        <v>412.476</v>
      </c>
      <c r="V65" s="95">
        <v>421.25600000000003</v>
      </c>
      <c r="W65" s="95">
        <v>412.476</v>
      </c>
      <c r="X65" s="95">
        <v>412.476</v>
      </c>
      <c r="Y65" s="34">
        <f t="shared" si="173"/>
        <v>412.476</v>
      </c>
      <c r="Z65" s="95">
        <v>421.25600000000003</v>
      </c>
      <c r="AA65" s="95">
        <v>412.476</v>
      </c>
      <c r="AB65" s="95">
        <v>412.476</v>
      </c>
      <c r="AC65" s="34">
        <f t="shared" si="174"/>
        <v>416</v>
      </c>
      <c r="AD65" s="5"/>
      <c r="AE65" s="12">
        <f t="shared" si="162"/>
        <v>1533.7320000000002</v>
      </c>
      <c r="AF65" s="12">
        <f t="shared" si="163"/>
        <v>1596.2080000000001</v>
      </c>
      <c r="AG65" s="12">
        <f t="shared" si="164"/>
        <v>1658.6840000000002</v>
      </c>
      <c r="AH65" s="12">
        <f t="shared" si="165"/>
        <v>1658.6840000000002</v>
      </c>
      <c r="AI65" s="12">
        <f t="shared" si="166"/>
        <v>1658.684</v>
      </c>
      <c r="AJ65" s="12">
        <f t="shared" si="167"/>
        <v>1658.6840000000002</v>
      </c>
      <c r="AK65" s="12">
        <f t="shared" si="168"/>
        <v>1658.6840000000002</v>
      </c>
      <c r="AL65" s="12">
        <f t="shared" si="169"/>
        <v>1658.6840000000002</v>
      </c>
      <c r="AM65" s="12">
        <f t="shared" si="170"/>
        <v>1658.684</v>
      </c>
      <c r="AN65" s="12">
        <f t="shared" si="171"/>
        <v>1658.6840000000002</v>
      </c>
      <c r="AO65" s="12">
        <f t="shared" si="175"/>
        <v>1658.6840000000002</v>
      </c>
      <c r="AP65" s="12">
        <f t="shared" si="175"/>
        <v>1662.2080000000001</v>
      </c>
      <c r="AR65" s="13"/>
    </row>
    <row r="67" spans="1:44">
      <c r="B67" s="298" t="s">
        <v>403</v>
      </c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288"/>
      <c r="AO67" s="288"/>
      <c r="AP67" s="299"/>
      <c r="AR67" s="9"/>
    </row>
    <row r="68" spans="1:44">
      <c r="B68" s="291" t="str">
        <f>B62&amp;"(%)"</f>
        <v>iPhone(%)</v>
      </c>
      <c r="C68" s="289" t="s">
        <v>46</v>
      </c>
      <c r="D68" s="294">
        <f>SUM(D62/C62)-1</f>
        <v>-1.1840331743100396E-3</v>
      </c>
      <c r="E68" s="294">
        <f t="shared" ref="E68:K68" si="176">SUM(E62/D62)-1</f>
        <v>0.26841915757422896</v>
      </c>
      <c r="F68" s="294">
        <f t="shared" si="176"/>
        <v>-1.0221157697259953E-2</v>
      </c>
      <c r="G68" s="294">
        <f t="shared" si="176"/>
        <v>-0.10306715172320224</v>
      </c>
      <c r="H68" s="294">
        <f t="shared" si="176"/>
        <v>0.13986275193786479</v>
      </c>
      <c r="I68" s="294">
        <f t="shared" si="176"/>
        <v>1.3917448703983037E-2</v>
      </c>
      <c r="J68" s="294">
        <f t="shared" si="176"/>
        <v>6.7959534961171686E-2</v>
      </c>
      <c r="K68" s="294">
        <f t="shared" si="176"/>
        <v>3.4884496852308766E-2</v>
      </c>
      <c r="L68" s="294">
        <f t="shared" ref="L68" si="177">SUM(L62/K62)-1</f>
        <v>2.0379905672623488E-2</v>
      </c>
      <c r="M68" s="289"/>
      <c r="N68" s="294" t="s">
        <v>46</v>
      </c>
      <c r="O68" s="294" t="s">
        <v>46</v>
      </c>
      <c r="P68" s="294" t="s">
        <v>46</v>
      </c>
      <c r="Q68" s="294" t="s">
        <v>46</v>
      </c>
      <c r="R68" s="294">
        <f t="shared" ref="R68:AB68" si="178">SUM(R62/Q62)-1</f>
        <v>0.16832617249029758</v>
      </c>
      <c r="S68" s="294">
        <f t="shared" si="178"/>
        <v>-6.7019107840088354E-3</v>
      </c>
      <c r="T68" s="294">
        <f t="shared" si="178"/>
        <v>1.1951143491642835E-2</v>
      </c>
      <c r="U68" s="294">
        <f t="shared" si="178"/>
        <v>-9.0607126916409819E-2</v>
      </c>
      <c r="V68" s="294">
        <f t="shared" si="178"/>
        <v>5.3903886320277206E-2</v>
      </c>
      <c r="W68" s="294">
        <f t="shared" si="178"/>
        <v>-2.3548877308453786E-2</v>
      </c>
      <c r="X68" s="294">
        <f t="shared" si="178"/>
        <v>3.3891264409340316E-2</v>
      </c>
      <c r="Y68" s="294">
        <f t="shared" si="178"/>
        <v>-2.7330047293911308E-2</v>
      </c>
      <c r="Z68" s="294">
        <f t="shared" si="178"/>
        <v>3.7074985937432414E-2</v>
      </c>
      <c r="AA68" s="294">
        <f t="shared" si="178"/>
        <v>-4.1273482567269038E-2</v>
      </c>
      <c r="AB68" s="294">
        <f t="shared" si="178"/>
        <v>2.9468776046102985E-2</v>
      </c>
      <c r="AC68" s="294">
        <f t="shared" ref="AC68" si="179">SUM(AC62/AB62)-1</f>
        <v>-3.1178502534655594E-3</v>
      </c>
      <c r="AD68" s="289"/>
      <c r="AE68" s="294" t="s">
        <v>46</v>
      </c>
      <c r="AF68" s="294" t="s">
        <v>46</v>
      </c>
      <c r="AG68" s="294" t="s">
        <v>46</v>
      </c>
      <c r="AH68" s="294" t="s">
        <v>46</v>
      </c>
      <c r="AI68" s="294">
        <f t="shared" ref="AI68:AI71" si="180">SUM(AI62/AE62)-1</f>
        <v>7.1160173609316812E-2</v>
      </c>
      <c r="AJ68" s="294">
        <f t="shared" ref="AJ68:AJ71" si="181">SUM(AJ62/AF62)-1</f>
        <v>2.9219939382738813E-2</v>
      </c>
      <c r="AK68" s="294">
        <f t="shared" ref="AK68:AK71" si="182">SUM(AK62/AG62)-1</f>
        <v>-1.6523990562807955E-2</v>
      </c>
      <c r="AL68" s="294">
        <f t="shared" ref="AL68:AL71" si="183">SUM(AL62/AH62)-1</f>
        <v>-2.2995307158999889E-2</v>
      </c>
      <c r="AM68" s="294">
        <f t="shared" ref="AM68:AM71" si="184">SUM(AM62/AI62)-1</f>
        <v>-9.1979648358314625E-3</v>
      </c>
      <c r="AN68" s="294">
        <f t="shared" ref="AN68:AN71" si="185">SUM(AN62/AJ62)-1</f>
        <v>4.4067183757965367E-3</v>
      </c>
      <c r="AO68" s="294">
        <f t="shared" ref="AO68:AP71" si="186">SUM(AO62/AK62)-1</f>
        <v>1.1916972524157243E-2</v>
      </c>
      <c r="AP68" s="301">
        <f t="shared" si="186"/>
        <v>8.5190956672209772E-3</v>
      </c>
      <c r="AR68" s="9"/>
    </row>
    <row r="69" spans="1:44">
      <c r="B69" s="291" t="str">
        <f t="shared" ref="B69:B71" si="187">B63&amp;"(%)"</f>
        <v>iPad(%)</v>
      </c>
      <c r="C69" s="289" t="s">
        <v>46</v>
      </c>
      <c r="D69" s="294">
        <f t="shared" ref="D69:K69" si="188">SUM(D63/C63)-1</f>
        <v>1.8930389854776575E-2</v>
      </c>
      <c r="E69" s="294">
        <f t="shared" si="188"/>
        <v>-0.1222346553854331</v>
      </c>
      <c r="F69" s="294">
        <f t="shared" si="188"/>
        <v>0.1182827749793125</v>
      </c>
      <c r="G69" s="294">
        <f t="shared" si="188"/>
        <v>-1.7869869019035978E-2</v>
      </c>
      <c r="H69" s="294">
        <f t="shared" si="188"/>
        <v>5.8916540244539739E-2</v>
      </c>
      <c r="I69" s="294">
        <f t="shared" si="188"/>
        <v>0.14801383281534797</v>
      </c>
      <c r="J69" s="294">
        <f t="shared" si="188"/>
        <v>-2.1063717746182542E-3</v>
      </c>
      <c r="K69" s="294">
        <f t="shared" si="188"/>
        <v>3.7201972325361821E-2</v>
      </c>
      <c r="L69" s="294">
        <f t="shared" ref="L69" si="189">SUM(L63/K63)-1</f>
        <v>-2.9062791274819588E-2</v>
      </c>
      <c r="M69" s="289"/>
      <c r="N69" s="294" t="s">
        <v>46</v>
      </c>
      <c r="O69" s="294" t="s">
        <v>46</v>
      </c>
      <c r="P69" s="294" t="s">
        <v>46</v>
      </c>
      <c r="Q69" s="294" t="s">
        <v>46</v>
      </c>
      <c r="R69" s="294">
        <f t="shared" ref="R69:AB69" si="190">SUM(R63/Q63)-1</f>
        <v>0.16504700126168226</v>
      </c>
      <c r="S69" s="294">
        <f t="shared" si="190"/>
        <v>-0.22280747748366214</v>
      </c>
      <c r="T69" s="294">
        <f t="shared" si="190"/>
        <v>-7.3394977055699084E-2</v>
      </c>
      <c r="U69" s="294">
        <f t="shared" si="190"/>
        <v>0.18937153269392804</v>
      </c>
      <c r="V69" s="294">
        <f t="shared" si="190"/>
        <v>9.0809395793924663E-2</v>
      </c>
      <c r="W69" s="294">
        <f t="shared" si="190"/>
        <v>-0.28305918326803536</v>
      </c>
      <c r="X69" s="294">
        <f t="shared" si="190"/>
        <v>0.25436859001800793</v>
      </c>
      <c r="Y69" s="294">
        <f t="shared" si="190"/>
        <v>5.7318879457230798E-2</v>
      </c>
      <c r="Z69" s="294">
        <f t="shared" si="190"/>
        <v>0.11760600585006054</v>
      </c>
      <c r="AA69" s="294">
        <f t="shared" si="190"/>
        <v>-0.27702176985270899</v>
      </c>
      <c r="AB69" s="294">
        <f t="shared" si="190"/>
        <v>1.7645912039687683E-3</v>
      </c>
      <c r="AC69" s="294">
        <f t="shared" ref="AC69" si="191">SUM(AC63/AB63)-1</f>
        <v>0.1995311227116896</v>
      </c>
      <c r="AD69" s="289"/>
      <c r="AE69" s="294" t="s">
        <v>46</v>
      </c>
      <c r="AF69" s="294" t="s">
        <v>46</v>
      </c>
      <c r="AG69" s="294" t="s">
        <v>46</v>
      </c>
      <c r="AH69" s="294" t="s">
        <v>46</v>
      </c>
      <c r="AI69" s="294">
        <f t="shared" si="180"/>
        <v>-2.6940500726541861E-2</v>
      </c>
      <c r="AJ69" s="294">
        <f t="shared" si="181"/>
        <v>-6.4222561263078903E-2</v>
      </c>
      <c r="AK69" s="294">
        <f t="shared" si="182"/>
        <v>-1.6321881307182151E-2</v>
      </c>
      <c r="AL69" s="294">
        <f t="shared" si="183"/>
        <v>-6.2908002151577103E-3</v>
      </c>
      <c r="AM69" s="294">
        <f t="shared" si="184"/>
        <v>3.1372481064244395E-2</v>
      </c>
      <c r="AN69" s="294">
        <f t="shared" si="185"/>
        <v>8.1264744243425557E-2</v>
      </c>
      <c r="AO69" s="294">
        <f t="shared" si="186"/>
        <v>5.2320693952625508E-3</v>
      </c>
      <c r="AP69" s="301">
        <f t="shared" si="186"/>
        <v>-1.2125953036686066E-2</v>
      </c>
      <c r="AR69" s="9"/>
    </row>
    <row r="70" spans="1:44">
      <c r="B70" s="291" t="str">
        <f t="shared" si="187"/>
        <v>Mac(%)</v>
      </c>
      <c r="C70" s="289" t="s">
        <v>46</v>
      </c>
      <c r="D70" s="294">
        <f t="shared" ref="D70:K70" si="192">SUM(D64/C64)-1</f>
        <v>0.13682235933556974</v>
      </c>
      <c r="E70" s="294">
        <f t="shared" si="192"/>
        <v>4.1017546503304469E-2</v>
      </c>
      <c r="F70" s="294">
        <f t="shared" si="192"/>
        <v>2.2842078886515793E-3</v>
      </c>
      <c r="G70" s="294">
        <f t="shared" si="192"/>
        <v>-4.015012193212264E-2</v>
      </c>
      <c r="H70" s="294">
        <f t="shared" si="192"/>
        <v>-3.325750379734127E-2</v>
      </c>
      <c r="I70" s="294">
        <f t="shared" si="192"/>
        <v>0.10613545421369164</v>
      </c>
      <c r="J70" s="294">
        <f t="shared" si="192"/>
        <v>-0.17882700107199723</v>
      </c>
      <c r="K70" s="294">
        <f t="shared" si="192"/>
        <v>1.6652520628148038E-2</v>
      </c>
      <c r="L70" s="294">
        <f t="shared" ref="L70" si="193">SUM(L64/K64)-1</f>
        <v>6.6856434473707038E-2</v>
      </c>
      <c r="M70" s="289"/>
      <c r="N70" s="294" t="s">
        <v>46</v>
      </c>
      <c r="O70" s="294" t="s">
        <v>46</v>
      </c>
      <c r="P70" s="294" t="s">
        <v>46</v>
      </c>
      <c r="Q70" s="294" t="s">
        <v>46</v>
      </c>
      <c r="R70" s="294">
        <f t="shared" ref="R70:AB70" si="194">SUM(R64/Q64)-1</f>
        <v>-0.20961610031416955</v>
      </c>
      <c r="S70" s="294">
        <f t="shared" si="194"/>
        <v>-1.7039785352554127E-2</v>
      </c>
      <c r="T70" s="294">
        <f t="shared" si="194"/>
        <v>0.17543871696522539</v>
      </c>
      <c r="U70" s="294">
        <f t="shared" si="194"/>
        <v>-0.10079100162719334</v>
      </c>
      <c r="V70" s="294">
        <f t="shared" si="194"/>
        <v>3.9839697341188085E-2</v>
      </c>
      <c r="W70" s="294">
        <f t="shared" si="194"/>
        <v>-5.4778699797400798E-2</v>
      </c>
      <c r="X70" s="294">
        <f t="shared" si="194"/>
        <v>7.2822118626568288E-2</v>
      </c>
      <c r="Y70" s="294">
        <f t="shared" si="194"/>
        <v>-3.5849279976610804E-2</v>
      </c>
      <c r="Z70" s="294">
        <f t="shared" si="194"/>
        <v>3.9839697341188085E-2</v>
      </c>
      <c r="AA70" s="294">
        <f t="shared" si="194"/>
        <v>-5.4778699797400798E-2</v>
      </c>
      <c r="AB70" s="294">
        <f t="shared" si="194"/>
        <v>6.5802049202959179E-2</v>
      </c>
      <c r="AC70" s="294">
        <f t="shared" ref="AC70" si="195">SUM(AC64/AB64)-1</f>
        <v>1.8426138078624144E-2</v>
      </c>
      <c r="AD70" s="289"/>
      <c r="AE70" s="294" t="s">
        <v>46</v>
      </c>
      <c r="AF70" s="294" t="s">
        <v>46</v>
      </c>
      <c r="AG70" s="294" t="s">
        <v>46</v>
      </c>
      <c r="AH70" s="294" t="s">
        <v>46</v>
      </c>
      <c r="AI70" s="294">
        <f t="shared" si="180"/>
        <v>-0.10374451330051149</v>
      </c>
      <c r="AJ70" s="294">
        <f t="shared" si="181"/>
        <v>-3.1665898082402499E-2</v>
      </c>
      <c r="AK70" s="294">
        <f t="shared" si="182"/>
        <v>-3.8055587278763681E-2</v>
      </c>
      <c r="AL70" s="294">
        <f t="shared" si="183"/>
        <v>1.8187197826482482E-2</v>
      </c>
      <c r="AM70" s="294">
        <f t="shared" si="184"/>
        <v>3.1984769787813949E-3</v>
      </c>
      <c r="AN70" s="294">
        <f t="shared" si="185"/>
        <v>-1.7651854999347627E-3</v>
      </c>
      <c r="AO70" s="294">
        <f t="shared" si="186"/>
        <v>1.493202021726403E-2</v>
      </c>
      <c r="AP70" s="301">
        <f t="shared" si="186"/>
        <v>2.7406561489507153E-2</v>
      </c>
      <c r="AR70" s="9"/>
    </row>
    <row r="71" spans="1:44">
      <c r="B71" s="291" t="str">
        <f t="shared" si="187"/>
        <v>Apple Watch(%)</v>
      </c>
      <c r="C71" s="289" t="s">
        <v>46</v>
      </c>
      <c r="D71" s="294">
        <f t="shared" ref="D71:K71" si="196">SUM(D65/C65)-1</f>
        <v>-4.4235456487793257E-2</v>
      </c>
      <c r="E71" s="294">
        <f t="shared" si="196"/>
        <v>-7.2663991520991567E-2</v>
      </c>
      <c r="F71" s="294">
        <f t="shared" si="196"/>
        <v>-1.8117117431860619E-3</v>
      </c>
      <c r="G71" s="294">
        <f t="shared" si="196"/>
        <v>-6.25E-2</v>
      </c>
      <c r="H71" s="294">
        <f t="shared" si="196"/>
        <v>-6.6666666666666652E-2</v>
      </c>
      <c r="I71" s="294">
        <f t="shared" si="196"/>
        <v>0.17850285714285707</v>
      </c>
      <c r="J71" s="294">
        <f t="shared" si="196"/>
        <v>0</v>
      </c>
      <c r="K71" s="294">
        <f t="shared" si="196"/>
        <v>0</v>
      </c>
      <c r="L71" s="294">
        <f t="shared" ref="L71" si="197">SUM(L65/K65)-1</f>
        <v>8.5435273809870704E-3</v>
      </c>
      <c r="M71" s="289"/>
      <c r="N71" s="294" t="s">
        <v>46</v>
      </c>
      <c r="O71" s="294" t="s">
        <v>46</v>
      </c>
      <c r="P71" s="294" t="s">
        <v>46</v>
      </c>
      <c r="Q71" s="294" t="s">
        <v>46</v>
      </c>
      <c r="R71" s="294">
        <f t="shared" ref="R71:AB71" si="198">SUM(R65/Q65)-1</f>
        <v>2.1286086948089089E-2</v>
      </c>
      <c r="S71" s="294">
        <f t="shared" si="198"/>
        <v>-2.0842433104810487E-2</v>
      </c>
      <c r="T71" s="294">
        <f t="shared" si="198"/>
        <v>0</v>
      </c>
      <c r="U71" s="294">
        <f t="shared" si="198"/>
        <v>0</v>
      </c>
      <c r="V71" s="294">
        <f t="shared" si="198"/>
        <v>2.1286086948089089E-2</v>
      </c>
      <c r="W71" s="294">
        <f t="shared" si="198"/>
        <v>-2.0842433104810487E-2</v>
      </c>
      <c r="X71" s="294">
        <f t="shared" si="198"/>
        <v>0</v>
      </c>
      <c r="Y71" s="294">
        <f t="shared" si="198"/>
        <v>0</v>
      </c>
      <c r="Z71" s="294">
        <f t="shared" si="198"/>
        <v>2.1286086948089089E-2</v>
      </c>
      <c r="AA71" s="294">
        <f t="shared" si="198"/>
        <v>-2.0842433104810487E-2</v>
      </c>
      <c r="AB71" s="294">
        <f t="shared" si="198"/>
        <v>0</v>
      </c>
      <c r="AC71" s="294">
        <f t="shared" ref="AC71" si="199">SUM(AC65/AB65)-1</f>
        <v>8.5435273809870704E-3</v>
      </c>
      <c r="AD71" s="289"/>
      <c r="AE71" s="294" t="s">
        <v>46</v>
      </c>
      <c r="AF71" s="294" t="s">
        <v>46</v>
      </c>
      <c r="AG71" s="294" t="s">
        <v>46</v>
      </c>
      <c r="AH71" s="294" t="s">
        <v>46</v>
      </c>
      <c r="AI71" s="294">
        <f t="shared" si="180"/>
        <v>8.1469252776886547E-2</v>
      </c>
      <c r="AJ71" s="294">
        <f t="shared" si="181"/>
        <v>3.9140262421940131E-2</v>
      </c>
      <c r="AK71" s="294">
        <f t="shared" si="182"/>
        <v>0</v>
      </c>
      <c r="AL71" s="294">
        <f t="shared" si="183"/>
        <v>0</v>
      </c>
      <c r="AM71" s="294">
        <f t="shared" si="184"/>
        <v>0</v>
      </c>
      <c r="AN71" s="294">
        <f t="shared" si="185"/>
        <v>0</v>
      </c>
      <c r="AO71" s="294">
        <f t="shared" si="186"/>
        <v>0</v>
      </c>
      <c r="AP71" s="301">
        <f t="shared" si="186"/>
        <v>2.1245758685801697E-3</v>
      </c>
      <c r="AR71" s="9"/>
    </row>
    <row r="72" spans="1:44">
      <c r="B72" s="296" t="s">
        <v>404</v>
      </c>
      <c r="C72" s="289"/>
      <c r="D72" s="294"/>
      <c r="E72" s="294"/>
      <c r="F72" s="294"/>
      <c r="G72" s="294"/>
      <c r="H72" s="294"/>
      <c r="I72" s="294"/>
      <c r="J72" s="294"/>
      <c r="K72" s="294"/>
      <c r="L72" s="294"/>
      <c r="M72" s="289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89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  <c r="AO72" s="294"/>
      <c r="AP72" s="301"/>
      <c r="AR72" s="9"/>
    </row>
    <row r="73" spans="1:44">
      <c r="B73" s="291" t="str">
        <f>B62&amp;"(%)"</f>
        <v>iPhone(%)</v>
      </c>
      <c r="C73" s="289" t="s">
        <v>46</v>
      </c>
      <c r="D73" s="289" t="s">
        <v>46</v>
      </c>
      <c r="E73" s="289" t="s">
        <v>46</v>
      </c>
      <c r="F73" s="289" t="s">
        <v>46</v>
      </c>
      <c r="G73" s="289" t="s">
        <v>46</v>
      </c>
      <c r="H73" s="289" t="s">
        <v>46</v>
      </c>
      <c r="I73" s="289" t="s">
        <v>46</v>
      </c>
      <c r="J73" s="289" t="s">
        <v>46</v>
      </c>
      <c r="K73" s="289" t="s">
        <v>46</v>
      </c>
      <c r="L73" s="289" t="s">
        <v>46</v>
      </c>
      <c r="M73" s="289"/>
      <c r="N73" s="294" t="s">
        <v>46</v>
      </c>
      <c r="O73" s="294">
        <f>SUM(O62/N62)-1</f>
        <v>-3.5121274734275176E-2</v>
      </c>
      <c r="P73" s="294">
        <f t="shared" ref="P73:AB73" si="200">SUM(P62/O62)-1</f>
        <v>-3.5040537868301413E-2</v>
      </c>
      <c r="Q73" s="294">
        <f t="shared" si="200"/>
        <v>-1.1110105811636184E-2</v>
      </c>
      <c r="R73" s="294">
        <f t="shared" si="200"/>
        <v>0.16832617249029758</v>
      </c>
      <c r="S73" s="294">
        <f t="shared" si="200"/>
        <v>-6.7019107840088354E-3</v>
      </c>
      <c r="T73" s="294">
        <f t="shared" si="200"/>
        <v>1.1951143491642835E-2</v>
      </c>
      <c r="U73" s="294">
        <f t="shared" si="200"/>
        <v>-9.0607126916409819E-2</v>
      </c>
      <c r="V73" s="294">
        <f t="shared" si="200"/>
        <v>5.3903886320277206E-2</v>
      </c>
      <c r="W73" s="294">
        <f t="shared" si="200"/>
        <v>-2.3548877308453786E-2</v>
      </c>
      <c r="X73" s="294">
        <f t="shared" si="200"/>
        <v>3.3891264409340316E-2</v>
      </c>
      <c r="Y73" s="294">
        <f t="shared" si="200"/>
        <v>-2.7330047293911308E-2</v>
      </c>
      <c r="Z73" s="294">
        <f t="shared" si="200"/>
        <v>3.7074985937432414E-2</v>
      </c>
      <c r="AA73" s="294">
        <f t="shared" si="200"/>
        <v>-4.1273482567269038E-2</v>
      </c>
      <c r="AB73" s="294">
        <f t="shared" si="200"/>
        <v>2.9468776046102985E-2</v>
      </c>
      <c r="AC73" s="294">
        <f t="shared" ref="AC73" si="201">SUM(AC62/AB62)-1</f>
        <v>-3.1178502534655594E-3</v>
      </c>
      <c r="AD73" s="289"/>
      <c r="AE73" s="294" t="s">
        <v>46</v>
      </c>
      <c r="AF73" s="294" t="s">
        <v>46</v>
      </c>
      <c r="AG73" s="294" t="s">
        <v>46</v>
      </c>
      <c r="AH73" s="294" t="s">
        <v>46</v>
      </c>
      <c r="AI73" s="294" t="s">
        <v>46</v>
      </c>
      <c r="AJ73" s="294" t="s">
        <v>46</v>
      </c>
      <c r="AK73" s="294" t="s">
        <v>46</v>
      </c>
      <c r="AL73" s="294" t="s">
        <v>46</v>
      </c>
      <c r="AM73" s="294" t="s">
        <v>46</v>
      </c>
      <c r="AN73" s="294" t="s">
        <v>46</v>
      </c>
      <c r="AO73" s="294" t="s">
        <v>46</v>
      </c>
      <c r="AP73" s="301" t="s">
        <v>46</v>
      </c>
      <c r="AR73" s="9"/>
    </row>
    <row r="74" spans="1:44">
      <c r="B74" s="291" t="str">
        <f t="shared" ref="B74:B76" si="202">B63&amp;"(%)"</f>
        <v>iPad(%)</v>
      </c>
      <c r="C74" s="289" t="s">
        <v>46</v>
      </c>
      <c r="D74" s="289" t="s">
        <v>46</v>
      </c>
      <c r="E74" s="289" t="s">
        <v>46</v>
      </c>
      <c r="F74" s="289" t="s">
        <v>46</v>
      </c>
      <c r="G74" s="289" t="s">
        <v>46</v>
      </c>
      <c r="H74" s="289" t="s">
        <v>46</v>
      </c>
      <c r="I74" s="289" t="s">
        <v>46</v>
      </c>
      <c r="J74" s="289" t="s">
        <v>46</v>
      </c>
      <c r="K74" s="289" t="s">
        <v>46</v>
      </c>
      <c r="L74" s="289" t="s">
        <v>46</v>
      </c>
      <c r="M74" s="289"/>
      <c r="N74" s="294" t="s">
        <v>46</v>
      </c>
      <c r="O74" s="294">
        <f t="shared" ref="O74:AB74" si="203">SUM(O63/N63)-1</f>
        <v>4.436658725456688E-2</v>
      </c>
      <c r="P74" s="294">
        <f t="shared" si="203"/>
        <v>8.3478176706148766E-3</v>
      </c>
      <c r="Q74" s="294">
        <f t="shared" si="203"/>
        <v>0.12406180740352002</v>
      </c>
      <c r="R74" s="294">
        <f t="shared" si="203"/>
        <v>0.16504700126168226</v>
      </c>
      <c r="S74" s="294">
        <f t="shared" si="203"/>
        <v>-0.22280747748366214</v>
      </c>
      <c r="T74" s="294">
        <f t="shared" si="203"/>
        <v>-7.3394977055699084E-2</v>
      </c>
      <c r="U74" s="294">
        <f t="shared" si="203"/>
        <v>0.18937153269392804</v>
      </c>
      <c r="V74" s="294">
        <f t="shared" si="203"/>
        <v>9.0809395793924663E-2</v>
      </c>
      <c r="W74" s="294">
        <f t="shared" si="203"/>
        <v>-0.28305918326803536</v>
      </c>
      <c r="X74" s="294">
        <f t="shared" si="203"/>
        <v>0.25436859001800793</v>
      </c>
      <c r="Y74" s="294">
        <f t="shared" si="203"/>
        <v>5.7318879457230798E-2</v>
      </c>
      <c r="Z74" s="294">
        <f t="shared" si="203"/>
        <v>0.11760600585006054</v>
      </c>
      <c r="AA74" s="294">
        <f t="shared" si="203"/>
        <v>-0.27702176985270899</v>
      </c>
      <c r="AB74" s="294">
        <f t="shared" si="203"/>
        <v>1.7645912039687683E-3</v>
      </c>
      <c r="AC74" s="294">
        <f t="shared" ref="AC74" si="204">SUM(AC63/AB63)-1</f>
        <v>0.1995311227116896</v>
      </c>
      <c r="AD74" s="289"/>
      <c r="AE74" s="294" t="s">
        <v>46</v>
      </c>
      <c r="AF74" s="294" t="s">
        <v>46</v>
      </c>
      <c r="AG74" s="294" t="s">
        <v>46</v>
      </c>
      <c r="AH74" s="294" t="s">
        <v>46</v>
      </c>
      <c r="AI74" s="294" t="s">
        <v>46</v>
      </c>
      <c r="AJ74" s="294" t="s">
        <v>46</v>
      </c>
      <c r="AK74" s="294" t="s">
        <v>46</v>
      </c>
      <c r="AL74" s="294" t="s">
        <v>46</v>
      </c>
      <c r="AM74" s="294" t="s">
        <v>46</v>
      </c>
      <c r="AN74" s="294" t="s">
        <v>46</v>
      </c>
      <c r="AO74" s="294" t="s">
        <v>46</v>
      </c>
      <c r="AP74" s="301" t="s">
        <v>46</v>
      </c>
      <c r="AR74" s="9"/>
    </row>
    <row r="75" spans="1:44">
      <c r="B75" s="291" t="str">
        <f t="shared" si="202"/>
        <v>Mac(%)</v>
      </c>
      <c r="C75" s="289" t="s">
        <v>46</v>
      </c>
      <c r="D75" s="289" t="s">
        <v>46</v>
      </c>
      <c r="E75" s="289" t="s">
        <v>46</v>
      </c>
      <c r="F75" s="289" t="s">
        <v>46</v>
      </c>
      <c r="G75" s="289" t="s">
        <v>46</v>
      </c>
      <c r="H75" s="289" t="s">
        <v>46</v>
      </c>
      <c r="I75" s="289" t="s">
        <v>46</v>
      </c>
      <c r="J75" s="289" t="s">
        <v>46</v>
      </c>
      <c r="K75" s="289" t="s">
        <v>46</v>
      </c>
      <c r="L75" s="289" t="s">
        <v>46</v>
      </c>
      <c r="M75" s="289"/>
      <c r="N75" s="294" t="s">
        <v>46</v>
      </c>
      <c r="O75" s="294">
        <f t="shared" ref="O75:AB75" si="205">SUM(O64/N64)-1</f>
        <v>2.0938525202331082E-2</v>
      </c>
      <c r="P75" s="294">
        <f t="shared" si="205"/>
        <v>-8.3973068259542871E-2</v>
      </c>
      <c r="Q75" s="294">
        <f t="shared" si="205"/>
        <v>6.4819806700921134E-2</v>
      </c>
      <c r="R75" s="294">
        <f t="shared" si="205"/>
        <v>-0.20961610031416955</v>
      </c>
      <c r="S75" s="294">
        <f t="shared" si="205"/>
        <v>-1.7039785352554127E-2</v>
      </c>
      <c r="T75" s="294">
        <f t="shared" si="205"/>
        <v>0.17543871696522539</v>
      </c>
      <c r="U75" s="294">
        <f t="shared" si="205"/>
        <v>-0.10079100162719334</v>
      </c>
      <c r="V75" s="294">
        <f t="shared" si="205"/>
        <v>3.9839697341188085E-2</v>
      </c>
      <c r="W75" s="294">
        <f t="shared" si="205"/>
        <v>-5.4778699797400798E-2</v>
      </c>
      <c r="X75" s="294">
        <f t="shared" si="205"/>
        <v>7.2822118626568288E-2</v>
      </c>
      <c r="Y75" s="294">
        <f t="shared" si="205"/>
        <v>-3.5849279976610804E-2</v>
      </c>
      <c r="Z75" s="294">
        <f t="shared" si="205"/>
        <v>3.9839697341188085E-2</v>
      </c>
      <c r="AA75" s="294">
        <f t="shared" si="205"/>
        <v>-5.4778699797400798E-2</v>
      </c>
      <c r="AB75" s="294">
        <f t="shared" si="205"/>
        <v>6.5802049202959179E-2</v>
      </c>
      <c r="AC75" s="294">
        <f t="shared" ref="AC75" si="206">SUM(AC64/AB64)-1</f>
        <v>1.8426138078624144E-2</v>
      </c>
      <c r="AD75" s="289"/>
      <c r="AE75" s="294" t="s">
        <v>46</v>
      </c>
      <c r="AF75" s="294" t="s">
        <v>46</v>
      </c>
      <c r="AG75" s="294" t="s">
        <v>46</v>
      </c>
      <c r="AH75" s="294" t="s">
        <v>46</v>
      </c>
      <c r="AI75" s="294" t="s">
        <v>46</v>
      </c>
      <c r="AJ75" s="294" t="s">
        <v>46</v>
      </c>
      <c r="AK75" s="294" t="s">
        <v>46</v>
      </c>
      <c r="AL75" s="294" t="s">
        <v>46</v>
      </c>
      <c r="AM75" s="294" t="s">
        <v>46</v>
      </c>
      <c r="AN75" s="294" t="s">
        <v>46</v>
      </c>
      <c r="AO75" s="294" t="s">
        <v>46</v>
      </c>
      <c r="AP75" s="301" t="s">
        <v>46</v>
      </c>
      <c r="AR75" s="9"/>
    </row>
    <row r="76" spans="1:44">
      <c r="B76" s="292" t="str">
        <f t="shared" si="202"/>
        <v>Apple Watch(%)</v>
      </c>
      <c r="C76" s="290" t="s">
        <v>46</v>
      </c>
      <c r="D76" s="290" t="s">
        <v>46</v>
      </c>
      <c r="E76" s="290" t="s">
        <v>46</v>
      </c>
      <c r="F76" s="290" t="s">
        <v>46</v>
      </c>
      <c r="G76" s="290" t="s">
        <v>46</v>
      </c>
      <c r="H76" s="290" t="s">
        <v>46</v>
      </c>
      <c r="I76" s="290" t="s">
        <v>46</v>
      </c>
      <c r="J76" s="290" t="s">
        <v>46</v>
      </c>
      <c r="K76" s="290" t="s">
        <v>46</v>
      </c>
      <c r="L76" s="290" t="s">
        <v>46</v>
      </c>
      <c r="M76" s="290"/>
      <c r="N76" s="295" t="s">
        <v>46</v>
      </c>
      <c r="O76" s="295">
        <f t="shared" ref="O76:AB76" si="207">SUM(O65/N65)-1</f>
        <v>0</v>
      </c>
      <c r="P76" s="295">
        <f t="shared" si="207"/>
        <v>0</v>
      </c>
      <c r="Q76" s="295">
        <f t="shared" si="207"/>
        <v>0.17850285714285707</v>
      </c>
      <c r="R76" s="295">
        <f t="shared" si="207"/>
        <v>2.1286086948089089E-2</v>
      </c>
      <c r="S76" s="295">
        <f t="shared" si="207"/>
        <v>-2.0842433104810487E-2</v>
      </c>
      <c r="T76" s="295">
        <f t="shared" si="207"/>
        <v>0</v>
      </c>
      <c r="U76" s="295">
        <f t="shared" si="207"/>
        <v>0</v>
      </c>
      <c r="V76" s="295">
        <f t="shared" si="207"/>
        <v>2.1286086948089089E-2</v>
      </c>
      <c r="W76" s="295">
        <f t="shared" si="207"/>
        <v>-2.0842433104810487E-2</v>
      </c>
      <c r="X76" s="295">
        <f t="shared" si="207"/>
        <v>0</v>
      </c>
      <c r="Y76" s="295">
        <f t="shared" si="207"/>
        <v>0</v>
      </c>
      <c r="Z76" s="295">
        <f t="shared" si="207"/>
        <v>2.1286086948089089E-2</v>
      </c>
      <c r="AA76" s="295">
        <f t="shared" si="207"/>
        <v>-2.0842433104810487E-2</v>
      </c>
      <c r="AB76" s="295">
        <f t="shared" si="207"/>
        <v>0</v>
      </c>
      <c r="AC76" s="295">
        <f t="shared" ref="AC76" si="208">SUM(AC65/AB65)-1</f>
        <v>8.5435273809870704E-3</v>
      </c>
      <c r="AD76" s="290"/>
      <c r="AE76" s="295" t="s">
        <v>46</v>
      </c>
      <c r="AF76" s="295" t="s">
        <v>46</v>
      </c>
      <c r="AG76" s="295" t="s">
        <v>46</v>
      </c>
      <c r="AH76" s="295" t="s">
        <v>46</v>
      </c>
      <c r="AI76" s="295" t="s">
        <v>46</v>
      </c>
      <c r="AJ76" s="295" t="s">
        <v>46</v>
      </c>
      <c r="AK76" s="295" t="s">
        <v>46</v>
      </c>
      <c r="AL76" s="295" t="s">
        <v>46</v>
      </c>
      <c r="AM76" s="295" t="s">
        <v>46</v>
      </c>
      <c r="AN76" s="295" t="s">
        <v>46</v>
      </c>
      <c r="AO76" s="295" t="s">
        <v>46</v>
      </c>
      <c r="AP76" s="302" t="s">
        <v>46</v>
      </c>
      <c r="AR76" s="9"/>
    </row>
    <row r="78" spans="1:44">
      <c r="A78" s="39">
        <v>0</v>
      </c>
      <c r="B78" s="1" t="s">
        <v>393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5.0999999999999996" customHeight="1"/>
    <row r="80" spans="1:44">
      <c r="A80" s="94" t="s">
        <v>24</v>
      </c>
      <c r="B80" s="91" t="s">
        <v>256</v>
      </c>
      <c r="C80" s="27"/>
      <c r="D80" s="27"/>
      <c r="E80" s="27"/>
      <c r="F80" s="27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5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R80" s="13"/>
    </row>
    <row r="81" spans="2:44" ht="12.75" customHeight="1">
      <c r="B81" s="10" t="s">
        <v>394</v>
      </c>
      <c r="C81" s="95">
        <v>86613</v>
      </c>
      <c r="D81" s="95">
        <v>96600</v>
      </c>
      <c r="E81" s="95">
        <v>112093</v>
      </c>
      <c r="F81" s="95">
        <v>116914</v>
      </c>
      <c r="G81" s="95">
        <v>124556</v>
      </c>
      <c r="H81" s="95">
        <v>153306</v>
      </c>
      <c r="I81" s="95">
        <v>169658</v>
      </c>
      <c r="J81" s="95">
        <v>162560</v>
      </c>
      <c r="K81" s="95">
        <v>167045</v>
      </c>
      <c r="L81" s="95">
        <v>178353</v>
      </c>
      <c r="M81" s="95"/>
      <c r="N81" s="95">
        <v>51496</v>
      </c>
      <c r="O81" s="95">
        <v>40882</v>
      </c>
      <c r="P81" s="95">
        <v>37472</v>
      </c>
      <c r="Q81" s="34">
        <f>SUM(I81-SUM(N81:P81))</f>
        <v>39808</v>
      </c>
      <c r="R81" s="95">
        <v>49278</v>
      </c>
      <c r="S81" s="95">
        <v>37784</v>
      </c>
      <c r="T81" s="95">
        <v>35383</v>
      </c>
      <c r="U81" s="34">
        <f>SUM(J81-SUM(R81:T81))</f>
        <v>40115</v>
      </c>
      <c r="V81" s="95">
        <v>50430</v>
      </c>
      <c r="W81" s="95">
        <v>37273</v>
      </c>
      <c r="X81" s="95">
        <v>37678</v>
      </c>
      <c r="Y81" s="34">
        <f>SUM(K81-SUM(V81:X81))</f>
        <v>41664</v>
      </c>
      <c r="Z81" s="95">
        <v>52648</v>
      </c>
      <c r="AA81" s="95">
        <v>40315</v>
      </c>
      <c r="AB81" s="95">
        <v>41198</v>
      </c>
      <c r="AC81" s="34">
        <f t="shared" ref="AC81:AC84" si="209">SUM(L81-SUM(Z81:AB81))</f>
        <v>44192</v>
      </c>
      <c r="AD81" s="5"/>
      <c r="AE81" s="12">
        <f t="shared" ref="AE81:AE84" si="210">SUM(O81:R81)</f>
        <v>167440</v>
      </c>
      <c r="AF81" s="12">
        <f t="shared" ref="AF81:AF84" si="211">SUM(P81:S81)</f>
        <v>164342</v>
      </c>
      <c r="AG81" s="12">
        <f t="shared" ref="AG81:AG84" si="212">SUM(Q81:T81)</f>
        <v>162253</v>
      </c>
      <c r="AH81" s="12">
        <f t="shared" ref="AH81:AH84" si="213">SUM(R81:U81)</f>
        <v>162560</v>
      </c>
      <c r="AI81" s="12">
        <f t="shared" ref="AI81:AI84" si="214">SUM(S81:V81)</f>
        <v>163712</v>
      </c>
      <c r="AJ81" s="12">
        <f t="shared" ref="AJ81:AJ84" si="215">SUM(T81:W81)</f>
        <v>163201</v>
      </c>
      <c r="AK81" s="12">
        <f t="shared" ref="AK81:AK84" si="216">SUM(U81:X81)</f>
        <v>165496</v>
      </c>
      <c r="AL81" s="12">
        <f t="shared" ref="AL81:AL84" si="217">SUM(V81:Y81)</f>
        <v>167045</v>
      </c>
      <c r="AM81" s="12">
        <f t="shared" ref="AM81:AM84" si="218">SUM(W81:Z81)</f>
        <v>169263</v>
      </c>
      <c r="AN81" s="12">
        <f t="shared" ref="AN81:AN84" si="219">SUM(X81:AA81)</f>
        <v>172305</v>
      </c>
      <c r="AO81" s="12">
        <f t="shared" ref="AO81:AO84" si="220">SUM(Y81:AB81)</f>
        <v>175825</v>
      </c>
      <c r="AP81" s="12">
        <f t="shared" ref="AP81:AP84" si="221">SUM(Z81:AC81)</f>
        <v>178353</v>
      </c>
      <c r="AR81" s="13">
        <f t="shared" ref="AR81:AR84" si="222">SUM(AO81/AK81)-1</f>
        <v>6.2412384589355607E-2</v>
      </c>
    </row>
    <row r="82" spans="2:44" ht="12.75" customHeight="1">
      <c r="B82" s="10" t="s">
        <v>395</v>
      </c>
      <c r="C82" s="95">
        <v>49952</v>
      </c>
      <c r="D82" s="95">
        <v>54938</v>
      </c>
      <c r="E82" s="95">
        <v>62420</v>
      </c>
      <c r="F82" s="95">
        <v>60288</v>
      </c>
      <c r="G82" s="95">
        <v>68640</v>
      </c>
      <c r="H82" s="95">
        <v>89307</v>
      </c>
      <c r="I82" s="95">
        <v>95118</v>
      </c>
      <c r="J82" s="95">
        <v>94294</v>
      </c>
      <c r="K82" s="95">
        <v>101328</v>
      </c>
      <c r="L82" s="95">
        <v>111032</v>
      </c>
      <c r="M82" s="95"/>
      <c r="N82" s="95">
        <v>29749</v>
      </c>
      <c r="O82" s="95">
        <v>23287</v>
      </c>
      <c r="P82" s="95">
        <v>19287</v>
      </c>
      <c r="Q82" s="34">
        <f t="shared" ref="Q82:Q84" si="223">SUM(I82-SUM(N82:P82))</f>
        <v>22795</v>
      </c>
      <c r="R82" s="95">
        <v>27681</v>
      </c>
      <c r="S82" s="95">
        <v>23945</v>
      </c>
      <c r="T82" s="95">
        <v>20205</v>
      </c>
      <c r="U82" s="34">
        <f t="shared" ref="U82:U84" si="224">SUM(J82-SUM(R82:T82))</f>
        <v>22463</v>
      </c>
      <c r="V82" s="95">
        <v>30397</v>
      </c>
      <c r="W82" s="95">
        <v>24123</v>
      </c>
      <c r="X82" s="95">
        <v>21884</v>
      </c>
      <c r="Y82" s="34">
        <f t="shared" ref="Y82:Y84" si="225">SUM(K82-SUM(V82:X82))</f>
        <v>24924</v>
      </c>
      <c r="Z82" s="95">
        <v>33861</v>
      </c>
      <c r="AA82" s="95">
        <v>24454</v>
      </c>
      <c r="AB82" s="95">
        <v>24014</v>
      </c>
      <c r="AC82" s="34">
        <f t="shared" si="209"/>
        <v>28703</v>
      </c>
      <c r="AD82" s="5"/>
      <c r="AE82" s="12">
        <f t="shared" si="210"/>
        <v>93050</v>
      </c>
      <c r="AF82" s="12">
        <f t="shared" si="211"/>
        <v>93708</v>
      </c>
      <c r="AG82" s="12">
        <f t="shared" si="212"/>
        <v>94626</v>
      </c>
      <c r="AH82" s="12">
        <f t="shared" si="213"/>
        <v>94294</v>
      </c>
      <c r="AI82" s="12">
        <f t="shared" si="214"/>
        <v>97010</v>
      </c>
      <c r="AJ82" s="12">
        <f t="shared" si="215"/>
        <v>97188</v>
      </c>
      <c r="AK82" s="12">
        <f t="shared" si="216"/>
        <v>98867</v>
      </c>
      <c r="AL82" s="12">
        <f t="shared" si="217"/>
        <v>101328</v>
      </c>
      <c r="AM82" s="12">
        <f t="shared" si="218"/>
        <v>104792</v>
      </c>
      <c r="AN82" s="12">
        <f t="shared" si="219"/>
        <v>105123</v>
      </c>
      <c r="AO82" s="12">
        <f t="shared" si="220"/>
        <v>107253</v>
      </c>
      <c r="AP82" s="12">
        <f t="shared" si="221"/>
        <v>111032</v>
      </c>
      <c r="AR82" s="13">
        <f t="shared" si="222"/>
        <v>8.4821022181314376E-2</v>
      </c>
    </row>
    <row r="83" spans="2:44" ht="12.75" customHeight="1">
      <c r="B83" s="10" t="s">
        <v>396</v>
      </c>
      <c r="C83" s="95">
        <v>16928</v>
      </c>
      <c r="D83" s="95">
        <v>17733</v>
      </c>
      <c r="E83" s="95">
        <v>21733</v>
      </c>
      <c r="F83" s="95">
        <v>21506</v>
      </c>
      <c r="G83" s="95">
        <v>21418</v>
      </c>
      <c r="H83" s="95">
        <v>28482</v>
      </c>
      <c r="I83" s="95">
        <v>25977</v>
      </c>
      <c r="J83" s="95">
        <v>24257</v>
      </c>
      <c r="K83" s="95">
        <v>25052</v>
      </c>
      <c r="L83" s="95">
        <v>28703</v>
      </c>
      <c r="M83" s="95"/>
      <c r="N83" s="95">
        <v>7107</v>
      </c>
      <c r="O83" s="95">
        <v>7724</v>
      </c>
      <c r="P83" s="95">
        <v>5446</v>
      </c>
      <c r="Q83" s="34">
        <f t="shared" si="223"/>
        <v>5700</v>
      </c>
      <c r="R83" s="95">
        <v>6755</v>
      </c>
      <c r="S83" s="95">
        <v>7176</v>
      </c>
      <c r="T83" s="95">
        <v>4821</v>
      </c>
      <c r="U83" s="34">
        <f t="shared" si="224"/>
        <v>5505</v>
      </c>
      <c r="V83" s="95">
        <v>7767</v>
      </c>
      <c r="W83" s="95">
        <v>6262</v>
      </c>
      <c r="X83" s="95">
        <v>5097</v>
      </c>
      <c r="Y83" s="34">
        <f t="shared" si="225"/>
        <v>5926</v>
      </c>
      <c r="Z83" s="95">
        <v>8987</v>
      </c>
      <c r="AA83" s="95">
        <v>7298</v>
      </c>
      <c r="AB83" s="95">
        <v>5782</v>
      </c>
      <c r="AC83" s="34">
        <f t="shared" si="209"/>
        <v>6636</v>
      </c>
      <c r="AD83" s="5"/>
      <c r="AE83" s="12">
        <f t="shared" si="210"/>
        <v>25625</v>
      </c>
      <c r="AF83" s="12">
        <f t="shared" si="211"/>
        <v>25077</v>
      </c>
      <c r="AG83" s="12">
        <f t="shared" si="212"/>
        <v>24452</v>
      </c>
      <c r="AH83" s="12">
        <f t="shared" si="213"/>
        <v>24257</v>
      </c>
      <c r="AI83" s="12">
        <f t="shared" si="214"/>
        <v>25269</v>
      </c>
      <c r="AJ83" s="12">
        <f t="shared" si="215"/>
        <v>24355</v>
      </c>
      <c r="AK83" s="12">
        <f t="shared" si="216"/>
        <v>24631</v>
      </c>
      <c r="AL83" s="12">
        <f t="shared" si="217"/>
        <v>25052</v>
      </c>
      <c r="AM83" s="12">
        <f t="shared" si="218"/>
        <v>26272</v>
      </c>
      <c r="AN83" s="12">
        <f t="shared" si="219"/>
        <v>27308</v>
      </c>
      <c r="AO83" s="12">
        <f t="shared" si="220"/>
        <v>27993</v>
      </c>
      <c r="AP83" s="12">
        <f t="shared" si="221"/>
        <v>28703</v>
      </c>
      <c r="AR83" s="13">
        <f t="shared" si="222"/>
        <v>0.13649466119930165</v>
      </c>
    </row>
    <row r="84" spans="2:44" ht="12.75" customHeight="1">
      <c r="B84" s="10" t="s">
        <v>397</v>
      </c>
      <c r="C84" s="95">
        <v>62146</v>
      </c>
      <c r="D84" s="95">
        <v>59963</v>
      </c>
      <c r="E84" s="95">
        <v>69349</v>
      </c>
      <c r="F84" s="95">
        <v>61466</v>
      </c>
      <c r="G84" s="95">
        <v>59901</v>
      </c>
      <c r="H84" s="95">
        <v>94722</v>
      </c>
      <c r="I84" s="95">
        <v>103575</v>
      </c>
      <c r="J84" s="95">
        <v>102174</v>
      </c>
      <c r="K84" s="95">
        <v>97610</v>
      </c>
      <c r="L84" s="95">
        <f>64377+33696</f>
        <v>98073</v>
      </c>
      <c r="M84" s="95"/>
      <c r="N84" s="95">
        <v>35593</v>
      </c>
      <c r="O84" s="95">
        <v>25385</v>
      </c>
      <c r="P84" s="95">
        <v>20754</v>
      </c>
      <c r="Q84" s="34">
        <f t="shared" si="223"/>
        <v>21843</v>
      </c>
      <c r="R84" s="95">
        <v>33440</v>
      </c>
      <c r="S84" s="95">
        <v>25931</v>
      </c>
      <c r="T84" s="95">
        <v>21388</v>
      </c>
      <c r="U84" s="34">
        <f t="shared" si="224"/>
        <v>21415</v>
      </c>
      <c r="V84" s="95">
        <v>30981</v>
      </c>
      <c r="W84" s="95">
        <v>23095</v>
      </c>
      <c r="X84" s="95">
        <v>21118</v>
      </c>
      <c r="Y84" s="34">
        <f t="shared" si="225"/>
        <v>22416</v>
      </c>
      <c r="Z84" s="95">
        <v>28804</v>
      </c>
      <c r="AA84" s="95">
        <v>23292</v>
      </c>
      <c r="AB84" s="95">
        <v>23042</v>
      </c>
      <c r="AC84" s="34">
        <f t="shared" si="209"/>
        <v>22935</v>
      </c>
      <c r="AD84" s="5"/>
      <c r="AE84" s="12">
        <f t="shared" si="210"/>
        <v>101422</v>
      </c>
      <c r="AF84" s="12">
        <f t="shared" si="211"/>
        <v>101968</v>
      </c>
      <c r="AG84" s="12">
        <f t="shared" si="212"/>
        <v>102602</v>
      </c>
      <c r="AH84" s="12">
        <f t="shared" si="213"/>
        <v>102174</v>
      </c>
      <c r="AI84" s="12">
        <f t="shared" si="214"/>
        <v>99715</v>
      </c>
      <c r="AJ84" s="12">
        <f t="shared" si="215"/>
        <v>96879</v>
      </c>
      <c r="AK84" s="12">
        <f t="shared" si="216"/>
        <v>96609</v>
      </c>
      <c r="AL84" s="12">
        <f t="shared" si="217"/>
        <v>97610</v>
      </c>
      <c r="AM84" s="12">
        <f t="shared" si="218"/>
        <v>95433</v>
      </c>
      <c r="AN84" s="12">
        <f t="shared" si="219"/>
        <v>95630</v>
      </c>
      <c r="AO84" s="12">
        <f t="shared" si="220"/>
        <v>97554</v>
      </c>
      <c r="AP84" s="12">
        <f t="shared" si="221"/>
        <v>98073</v>
      </c>
      <c r="AR84" s="13">
        <f t="shared" si="222"/>
        <v>9.7816973573889854E-3</v>
      </c>
    </row>
    <row r="85" spans="2:44" ht="12.75" customHeight="1">
      <c r="B85" s="14" t="s">
        <v>108</v>
      </c>
      <c r="C85" s="15">
        <f>SUM(C81:C84)</f>
        <v>215639</v>
      </c>
      <c r="D85" s="15">
        <f>SUM(D81:D84)</f>
        <v>229234</v>
      </c>
      <c r="E85" s="15">
        <f>SUM(E81:E84)</f>
        <v>265595</v>
      </c>
      <c r="F85" s="15">
        <f>SUM(F81:F84)</f>
        <v>260174</v>
      </c>
      <c r="G85" s="15">
        <f>SUM(G81:G84)</f>
        <v>274515</v>
      </c>
      <c r="H85" s="15">
        <f>SUM(H81:H84)</f>
        <v>365817</v>
      </c>
      <c r="I85" s="15">
        <f>SUM(I81:I84)</f>
        <v>394328</v>
      </c>
      <c r="J85" s="15">
        <f>SUM(J81:J84)</f>
        <v>383285</v>
      </c>
      <c r="K85" s="15">
        <f>SUM(K81:K84)</f>
        <v>391035</v>
      </c>
      <c r="L85" s="15">
        <f>SUM(L81:L84)</f>
        <v>416161</v>
      </c>
      <c r="M85" s="12"/>
      <c r="N85" s="15">
        <f>SUM(N81:N84)</f>
        <v>123945</v>
      </c>
      <c r="O85" s="15">
        <f>SUM(O81:O84)</f>
        <v>97278</v>
      </c>
      <c r="P85" s="15">
        <f>SUM(P81:P84)</f>
        <v>82959</v>
      </c>
      <c r="Q85" s="15">
        <f>SUM(Q81:Q84)</f>
        <v>90146</v>
      </c>
      <c r="R85" s="15">
        <f>SUM(R81:R84)</f>
        <v>117154</v>
      </c>
      <c r="S85" s="15">
        <f>SUM(S81:S84)</f>
        <v>94836</v>
      </c>
      <c r="T85" s="15">
        <f>SUM(T81:T84)</f>
        <v>81797</v>
      </c>
      <c r="U85" s="15">
        <f>SUM(U81:U84)</f>
        <v>89498</v>
      </c>
      <c r="V85" s="15">
        <f>SUM(V81:V84)</f>
        <v>119575</v>
      </c>
      <c r="W85" s="15">
        <f>SUM(W81:W84)</f>
        <v>90753</v>
      </c>
      <c r="X85" s="15">
        <f>SUM(X81:X84)</f>
        <v>85777</v>
      </c>
      <c r="Y85" s="15">
        <f>SUM(Y81:Y84)</f>
        <v>94930</v>
      </c>
      <c r="Z85" s="15">
        <f>SUM(Z81:Z84)</f>
        <v>124300</v>
      </c>
      <c r="AA85" s="15">
        <f>SUM(AA81:AA84)</f>
        <v>95359</v>
      </c>
      <c r="AB85" s="15">
        <f>SUM(AB81:AB84)</f>
        <v>94036</v>
      </c>
      <c r="AC85" s="15">
        <f>SUM(AC81:AC84)</f>
        <v>102466</v>
      </c>
      <c r="AD85" s="5"/>
      <c r="AE85" s="15">
        <f>SUM(AE81:AE83)</f>
        <v>286115</v>
      </c>
      <c r="AF85" s="15">
        <f>SUM(AF81:AF83)</f>
        <v>283127</v>
      </c>
      <c r="AG85" s="15">
        <f>SUM(AG81:AG83)</f>
        <v>281331</v>
      </c>
      <c r="AH85" s="15">
        <f>SUM(AH81:AH83)</f>
        <v>281111</v>
      </c>
      <c r="AI85" s="15">
        <f>SUM(AI81:AI83)</f>
        <v>285991</v>
      </c>
      <c r="AJ85" s="15">
        <f>SUM(AJ81:AJ83)</f>
        <v>284744</v>
      </c>
      <c r="AK85" s="15">
        <f>SUM(AK81:AK84)</f>
        <v>385603</v>
      </c>
      <c r="AL85" s="15">
        <f>SUM(AL81:AL84)</f>
        <v>391035</v>
      </c>
      <c r="AM85" s="15">
        <f>SUM(AM81:AM84)</f>
        <v>395760</v>
      </c>
      <c r="AN85" s="15">
        <f>SUM(AN81:AN84)</f>
        <v>400366</v>
      </c>
      <c r="AO85" s="15">
        <f>SUM(AO81:AO84)</f>
        <v>408625</v>
      </c>
      <c r="AP85" s="15">
        <f>SUM(AP81:AP84)</f>
        <v>416161</v>
      </c>
      <c r="AR85" s="16">
        <f t="shared" ref="AR85" si="226">SUM(AO85/AK85)-1</f>
        <v>5.9703892345235987E-2</v>
      </c>
    </row>
    <row r="86" spans="2:44" outlineLevel="1">
      <c r="B86" s="92" t="s">
        <v>400</v>
      </c>
      <c r="C86" s="93">
        <f>C85-C14</f>
        <v>0</v>
      </c>
      <c r="D86" s="93">
        <f t="shared" ref="D86:L86" si="227">D85-D14</f>
        <v>0</v>
      </c>
      <c r="E86" s="93">
        <f t="shared" si="227"/>
        <v>0</v>
      </c>
      <c r="F86" s="93">
        <f t="shared" si="227"/>
        <v>0</v>
      </c>
      <c r="G86" s="93">
        <f t="shared" si="227"/>
        <v>0</v>
      </c>
      <c r="H86" s="93">
        <f t="shared" si="227"/>
        <v>0</v>
      </c>
      <c r="I86" s="93">
        <f t="shared" si="227"/>
        <v>0</v>
      </c>
      <c r="J86" s="93">
        <f t="shared" si="227"/>
        <v>0</v>
      </c>
      <c r="K86" s="93">
        <f t="shared" si="227"/>
        <v>0</v>
      </c>
      <c r="L86" s="93">
        <f t="shared" si="227"/>
        <v>0</v>
      </c>
      <c r="M86" s="12"/>
      <c r="N86" s="93">
        <f t="shared" ref="N86" si="228">N85-N14</f>
        <v>0</v>
      </c>
      <c r="O86" s="93">
        <f t="shared" ref="O86" si="229">O85-O14</f>
        <v>0</v>
      </c>
      <c r="P86" s="93">
        <f t="shared" ref="P86" si="230">P85-P14</f>
        <v>0</v>
      </c>
      <c r="Q86" s="93">
        <f t="shared" ref="Q86" si="231">Q85-Q14</f>
        <v>0</v>
      </c>
      <c r="R86" s="93">
        <f t="shared" ref="R86" si="232">R85-R14</f>
        <v>0</v>
      </c>
      <c r="S86" s="93">
        <f t="shared" ref="S86" si="233">S85-S14</f>
        <v>0</v>
      </c>
      <c r="T86" s="93">
        <f t="shared" ref="T86" si="234">T85-T14</f>
        <v>0</v>
      </c>
      <c r="U86" s="93">
        <f t="shared" ref="U86" si="235">U85-U14</f>
        <v>0</v>
      </c>
      <c r="V86" s="93">
        <f t="shared" ref="V86" si="236">V85-V14</f>
        <v>0</v>
      </c>
      <c r="W86" s="93">
        <f t="shared" ref="W86" si="237">W85-W14</f>
        <v>0</v>
      </c>
      <c r="X86" s="93">
        <f t="shared" ref="X86" si="238">X85-X14</f>
        <v>0</v>
      </c>
      <c r="Y86" s="93">
        <f t="shared" ref="Y86" si="239">Y85-Y14</f>
        <v>0</v>
      </c>
      <c r="Z86" s="93">
        <f t="shared" ref="Z86" si="240">Z85-Z14</f>
        <v>0</v>
      </c>
      <c r="AA86" s="93">
        <f t="shared" ref="AA86" si="241">AA85-AA14</f>
        <v>0</v>
      </c>
      <c r="AB86" s="93">
        <f t="shared" ref="AB86" si="242">AB85-AB14</f>
        <v>0</v>
      </c>
      <c r="AC86" s="93">
        <f t="shared" ref="AC86" si="243">AC85-AC14</f>
        <v>0</v>
      </c>
      <c r="AD86" s="93"/>
      <c r="AE86" s="460">
        <f>AE85-AE14</f>
        <v>-101422</v>
      </c>
      <c r="AF86" s="93">
        <f t="shared" ref="AF86" si="244">AF85-AF14</f>
        <v>-101968</v>
      </c>
      <c r="AG86" s="93">
        <f t="shared" ref="AG86" si="245">AG85-AG14</f>
        <v>-102602</v>
      </c>
      <c r="AH86" s="93">
        <f t="shared" ref="AH86" si="246">AH85-AH14</f>
        <v>-102174</v>
      </c>
      <c r="AI86" s="93">
        <f t="shared" ref="AI86" si="247">AI85-AI14</f>
        <v>-99715</v>
      </c>
      <c r="AJ86" s="93">
        <f t="shared" ref="AJ86" si="248">AJ85-AJ14</f>
        <v>-96879</v>
      </c>
      <c r="AK86" s="93">
        <f t="shared" ref="AK86" si="249">AK85-AK14</f>
        <v>0</v>
      </c>
      <c r="AL86" s="93">
        <f t="shared" ref="AL86" si="250">AL85-AL14</f>
        <v>0</v>
      </c>
      <c r="AM86" s="93">
        <f t="shared" ref="AM86" si="251">AM85-AM14</f>
        <v>0</v>
      </c>
      <c r="AN86" s="93">
        <f t="shared" ref="AN86" si="252">AN85-AN14</f>
        <v>0</v>
      </c>
      <c r="AO86" s="93">
        <f t="shared" ref="AO86" si="253">AO85-AO14</f>
        <v>0</v>
      </c>
      <c r="AP86" s="93">
        <f t="shared" ref="AP86" si="254">AP85-AP14</f>
        <v>0</v>
      </c>
      <c r="AR86" s="9"/>
    </row>
    <row r="87" spans="2:44" ht="5.0999999999999996" customHeight="1">
      <c r="B87" s="92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12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R87" s="9"/>
    </row>
    <row r="88" spans="2:44">
      <c r="B88" s="298" t="s">
        <v>401</v>
      </c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  <c r="AA88" s="288"/>
      <c r="AB88" s="288"/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88"/>
      <c r="AP88" s="299"/>
      <c r="AR88" s="9"/>
    </row>
    <row r="89" spans="2:44">
      <c r="B89" s="291" t="str">
        <f>B81&amp;"(%)"</f>
        <v>Americas(%)</v>
      </c>
      <c r="C89" s="293">
        <f>SUM(C81/C$85)</f>
        <v>0.4016573996355019</v>
      </c>
      <c r="D89" s="293">
        <f t="shared" ref="D89:K89" si="255">SUM(D81/D$85)</f>
        <v>0.4214034567298045</v>
      </c>
      <c r="E89" s="293">
        <f t="shared" si="255"/>
        <v>0.42204484271164744</v>
      </c>
      <c r="F89" s="293">
        <f t="shared" si="255"/>
        <v>0.44936849954261376</v>
      </c>
      <c r="G89" s="293">
        <f t="shared" si="255"/>
        <v>0.45373112580369013</v>
      </c>
      <c r="H89" s="293">
        <f t="shared" si="255"/>
        <v>0.41907839165484384</v>
      </c>
      <c r="I89" s="293">
        <f t="shared" si="255"/>
        <v>0.43024588667302349</v>
      </c>
      <c r="J89" s="293">
        <f t="shared" si="255"/>
        <v>0.42412304160089748</v>
      </c>
      <c r="K89" s="293">
        <f t="shared" si="255"/>
        <v>0.42718682470878566</v>
      </c>
      <c r="L89" s="293">
        <f t="shared" ref="L89" si="256">SUM(L81/L$85)</f>
        <v>0.42856730928655018</v>
      </c>
      <c r="M89" s="289"/>
      <c r="N89" s="293">
        <f t="shared" ref="N89:AB89" si="257">SUM(N81/N$85)</f>
        <v>0.41547460567187061</v>
      </c>
      <c r="O89" s="293">
        <f t="shared" si="257"/>
        <v>0.42025946257118774</v>
      </c>
      <c r="P89" s="293">
        <f t="shared" si="257"/>
        <v>0.45169300497836279</v>
      </c>
      <c r="Q89" s="293">
        <f t="shared" si="257"/>
        <v>0.44159474630044593</v>
      </c>
      <c r="R89" s="293">
        <f t="shared" si="257"/>
        <v>0.42062584290762584</v>
      </c>
      <c r="S89" s="293">
        <f t="shared" si="257"/>
        <v>0.39841410434855962</v>
      </c>
      <c r="T89" s="293">
        <f t="shared" si="257"/>
        <v>0.43257087668251892</v>
      </c>
      <c r="U89" s="293">
        <f t="shared" si="257"/>
        <v>0.44822230664372387</v>
      </c>
      <c r="V89" s="293">
        <f t="shared" si="257"/>
        <v>0.42174367551745767</v>
      </c>
      <c r="W89" s="293">
        <f t="shared" si="257"/>
        <v>0.41070818595528524</v>
      </c>
      <c r="X89" s="293">
        <f t="shared" si="257"/>
        <v>0.43925527822143468</v>
      </c>
      <c r="Y89" s="293">
        <f t="shared" si="257"/>
        <v>0.43889181502159486</v>
      </c>
      <c r="Z89" s="293">
        <f t="shared" si="257"/>
        <v>0.42355591311343521</v>
      </c>
      <c r="AA89" s="293">
        <f t="shared" si="257"/>
        <v>0.422770792478948</v>
      </c>
      <c r="AB89" s="293">
        <f t="shared" si="257"/>
        <v>0.43810880939214769</v>
      </c>
      <c r="AC89" s="293">
        <f t="shared" ref="AC89" si="258">SUM(AC81/AC$85)</f>
        <v>0.43128452364686826</v>
      </c>
      <c r="AD89" s="289"/>
      <c r="AE89" s="293">
        <f t="shared" ref="AE89:AO89" si="259">SUM(AE81/AE$85)</f>
        <v>0.58521923002988308</v>
      </c>
      <c r="AF89" s="293">
        <f t="shared" si="259"/>
        <v>0.58045329481116248</v>
      </c>
      <c r="AG89" s="293">
        <f t="shared" si="259"/>
        <v>0.5767334563201354</v>
      </c>
      <c r="AH89" s="293">
        <f t="shared" si="259"/>
        <v>0.57827690840984525</v>
      </c>
      <c r="AI89" s="293">
        <f t="shared" si="259"/>
        <v>0.57243759419002693</v>
      </c>
      <c r="AJ89" s="293">
        <f t="shared" si="259"/>
        <v>0.57314991711853458</v>
      </c>
      <c r="AK89" s="293">
        <f t="shared" si="259"/>
        <v>0.42918753225467643</v>
      </c>
      <c r="AL89" s="293">
        <f t="shared" si="259"/>
        <v>0.42718682470878566</v>
      </c>
      <c r="AM89" s="293">
        <f t="shared" si="259"/>
        <v>0.42769102486355365</v>
      </c>
      <c r="AN89" s="293">
        <f t="shared" si="259"/>
        <v>0.4303687126279454</v>
      </c>
      <c r="AO89" s="293">
        <f t="shared" si="259"/>
        <v>0.43028449066992963</v>
      </c>
      <c r="AP89" s="300">
        <f t="shared" ref="AP89" si="260">SUM(AP81/AP$85)</f>
        <v>0.42856730928655018</v>
      </c>
      <c r="AR89" s="9"/>
    </row>
    <row r="90" spans="2:44">
      <c r="B90" s="291" t="str">
        <f>B82&amp;"(%)"</f>
        <v>Europe(%)</v>
      </c>
      <c r="C90" s="293">
        <f t="shared" ref="C90:K92" si="261">SUM(C82/C$85)</f>
        <v>0.23164640904474609</v>
      </c>
      <c r="D90" s="293">
        <f t="shared" si="261"/>
        <v>0.23965903836254657</v>
      </c>
      <c r="E90" s="293">
        <f t="shared" si="261"/>
        <v>0.23501948455354957</v>
      </c>
      <c r="F90" s="293">
        <f t="shared" si="261"/>
        <v>0.23172184768654824</v>
      </c>
      <c r="G90" s="293">
        <f t="shared" si="261"/>
        <v>0.25004098136713843</v>
      </c>
      <c r="H90" s="293">
        <f t="shared" si="261"/>
        <v>0.2441302618522376</v>
      </c>
      <c r="I90" s="293">
        <f t="shared" si="261"/>
        <v>0.24121543486640562</v>
      </c>
      <c r="J90" s="293">
        <f t="shared" si="261"/>
        <v>0.24601536715498912</v>
      </c>
      <c r="K90" s="293">
        <f t="shared" si="261"/>
        <v>0.25912769956653497</v>
      </c>
      <c r="L90" s="293">
        <f t="shared" ref="L90" si="262">SUM(L82/L$85)</f>
        <v>0.26680058919504712</v>
      </c>
      <c r="M90" s="289"/>
      <c r="N90" s="293">
        <f t="shared" ref="N90:AB90" si="263">SUM(N82/N$85)</f>
        <v>0.24001774980838275</v>
      </c>
      <c r="O90" s="293">
        <f t="shared" si="263"/>
        <v>0.23938608935216596</v>
      </c>
      <c r="P90" s="293">
        <f t="shared" si="263"/>
        <v>0.23248833761255561</v>
      </c>
      <c r="Q90" s="293">
        <f t="shared" si="263"/>
        <v>0.25286757038581859</v>
      </c>
      <c r="R90" s="293">
        <f t="shared" si="263"/>
        <v>0.2362787442170135</v>
      </c>
      <c r="S90" s="293">
        <f t="shared" si="263"/>
        <v>0.25248850647433463</v>
      </c>
      <c r="T90" s="293">
        <f t="shared" si="263"/>
        <v>0.24701394916683986</v>
      </c>
      <c r="U90" s="293">
        <f t="shared" si="263"/>
        <v>0.25098884891282486</v>
      </c>
      <c r="V90" s="293">
        <f t="shared" si="263"/>
        <v>0.25420865565544637</v>
      </c>
      <c r="W90" s="293">
        <f t="shared" si="263"/>
        <v>0.26580939473075271</v>
      </c>
      <c r="X90" s="293">
        <f t="shared" si="263"/>
        <v>0.25512666565629483</v>
      </c>
      <c r="Y90" s="293">
        <f t="shared" si="263"/>
        <v>0.26255135362898979</v>
      </c>
      <c r="Z90" s="293">
        <f t="shared" si="263"/>
        <v>0.27241351568785199</v>
      </c>
      <c r="AA90" s="293">
        <f t="shared" si="263"/>
        <v>0.25644144758229426</v>
      </c>
      <c r="AB90" s="293">
        <f t="shared" si="263"/>
        <v>0.25537028372112808</v>
      </c>
      <c r="AC90" s="293">
        <f t="shared" ref="AC90" si="264">SUM(AC82/AC$85)</f>
        <v>0.28012218687174284</v>
      </c>
      <c r="AD90" s="289"/>
      <c r="AE90" s="293">
        <f t="shared" ref="AE90:AO90" si="265">SUM(AE82/AE$85)</f>
        <v>0.32521888052007059</v>
      </c>
      <c r="AF90" s="293">
        <f t="shared" si="265"/>
        <v>0.33097514542943623</v>
      </c>
      <c r="AG90" s="293">
        <f t="shared" si="265"/>
        <v>0.33635113087430818</v>
      </c>
      <c r="AH90" s="293">
        <f t="shared" si="265"/>
        <v>0.33543333416337318</v>
      </c>
      <c r="AI90" s="293">
        <f t="shared" si="265"/>
        <v>0.33920647852554803</v>
      </c>
      <c r="AJ90" s="293">
        <f t="shared" si="265"/>
        <v>0.34131711291546091</v>
      </c>
      <c r="AK90" s="293">
        <f t="shared" si="265"/>
        <v>0.25639582679595335</v>
      </c>
      <c r="AL90" s="293">
        <f t="shared" si="265"/>
        <v>0.25912769956653497</v>
      </c>
      <c r="AM90" s="293">
        <f t="shared" si="265"/>
        <v>0.26478673943804326</v>
      </c>
      <c r="AN90" s="293">
        <f t="shared" si="265"/>
        <v>0.26256725096536671</v>
      </c>
      <c r="AO90" s="293">
        <f t="shared" si="265"/>
        <v>0.26247292750076479</v>
      </c>
      <c r="AP90" s="300">
        <f t="shared" ref="AP90" si="266">SUM(AP82/AP$85)</f>
        <v>0.26680058919504712</v>
      </c>
      <c r="AR90" s="9"/>
    </row>
    <row r="91" spans="2:44">
      <c r="B91" s="291" t="str">
        <f>B83&amp;"(%)"</f>
        <v>Japan(%)</v>
      </c>
      <c r="C91" s="293">
        <f t="shared" si="261"/>
        <v>7.8501569753152256E-2</v>
      </c>
      <c r="D91" s="293">
        <f t="shared" si="261"/>
        <v>7.7357634556828397E-2</v>
      </c>
      <c r="E91" s="293">
        <f t="shared" si="261"/>
        <v>8.1827594645983548E-2</v>
      </c>
      <c r="F91" s="293">
        <f t="shared" si="261"/>
        <v>8.2660065955860312E-2</v>
      </c>
      <c r="G91" s="293">
        <f t="shared" si="261"/>
        <v>7.8021237455148176E-2</v>
      </c>
      <c r="H91" s="293">
        <f t="shared" si="261"/>
        <v>7.7858601431863475E-2</v>
      </c>
      <c r="I91" s="293">
        <f t="shared" si="261"/>
        <v>6.5876630622223126E-2</v>
      </c>
      <c r="J91" s="293">
        <f t="shared" si="261"/>
        <v>6.3287110113883924E-2</v>
      </c>
      <c r="K91" s="293">
        <f t="shared" si="261"/>
        <v>6.4065876456071702E-2</v>
      </c>
      <c r="L91" s="293">
        <f t="shared" ref="L91" si="267">SUM(L83/L$85)</f>
        <v>6.8970903087987576E-2</v>
      </c>
      <c r="M91" s="289"/>
      <c r="N91" s="293">
        <f t="shared" ref="N91:AB91" si="268">SUM(N83/N$85)</f>
        <v>5.7339949171003268E-2</v>
      </c>
      <c r="O91" s="293">
        <f t="shared" si="268"/>
        <v>7.9401303480745908E-2</v>
      </c>
      <c r="P91" s="293">
        <f t="shared" si="268"/>
        <v>6.5646885811063302E-2</v>
      </c>
      <c r="Q91" s="293">
        <f t="shared" si="268"/>
        <v>6.3230758990970207E-2</v>
      </c>
      <c r="R91" s="293">
        <f t="shared" si="268"/>
        <v>5.7659149495535793E-2</v>
      </c>
      <c r="S91" s="293">
        <f t="shared" si="268"/>
        <v>7.5667468050107559E-2</v>
      </c>
      <c r="T91" s="293">
        <f t="shared" si="268"/>
        <v>5.8938591879897799E-2</v>
      </c>
      <c r="U91" s="293">
        <f t="shared" si="268"/>
        <v>6.1509754407919733E-2</v>
      </c>
      <c r="V91" s="293">
        <f t="shared" si="268"/>
        <v>6.495504913234372E-2</v>
      </c>
      <c r="W91" s="293">
        <f t="shared" si="268"/>
        <v>6.9000473813537841E-2</v>
      </c>
      <c r="X91" s="293">
        <f t="shared" si="268"/>
        <v>5.9421523252153843E-2</v>
      </c>
      <c r="Y91" s="293">
        <f t="shared" si="268"/>
        <v>6.2424944696091854E-2</v>
      </c>
      <c r="Z91" s="293">
        <f t="shared" si="268"/>
        <v>7.2300884955752209E-2</v>
      </c>
      <c r="AA91" s="293">
        <f t="shared" si="268"/>
        <v>7.6531842825532992E-2</v>
      </c>
      <c r="AB91" s="293">
        <f t="shared" si="268"/>
        <v>6.1487090050618913E-2</v>
      </c>
      <c r="AC91" s="293">
        <f t="shared" ref="AC91" si="269">SUM(AC83/AC$85)</f>
        <v>6.4762945757617166E-2</v>
      </c>
      <c r="AD91" s="289"/>
      <c r="AE91" s="293">
        <f t="shared" ref="AE91:AO91" si="270">SUM(AE83/AE$85)</f>
        <v>8.9561889450046311E-2</v>
      </c>
      <c r="AF91" s="293">
        <f t="shared" si="270"/>
        <v>8.8571559759401258E-2</v>
      </c>
      <c r="AG91" s="293">
        <f t="shared" si="270"/>
        <v>8.6915412805556438E-2</v>
      </c>
      <c r="AH91" s="293">
        <f t="shared" si="270"/>
        <v>8.6289757426781591E-2</v>
      </c>
      <c r="AI91" s="293">
        <f t="shared" si="270"/>
        <v>8.835592728442504E-2</v>
      </c>
      <c r="AJ91" s="293">
        <f t="shared" si="270"/>
        <v>8.5532969966004554E-2</v>
      </c>
      <c r="AK91" s="293">
        <f t="shared" si="270"/>
        <v>6.3876577723721031E-2</v>
      </c>
      <c r="AL91" s="293">
        <f t="shared" si="270"/>
        <v>6.4065876456071702E-2</v>
      </c>
      <c r="AM91" s="293">
        <f t="shared" si="270"/>
        <v>6.638366686880938E-2</v>
      </c>
      <c r="AN91" s="293">
        <f t="shared" si="270"/>
        <v>6.820759005509959E-2</v>
      </c>
      <c r="AO91" s="293">
        <f t="shared" si="270"/>
        <v>6.8505353319057813E-2</v>
      </c>
      <c r="AP91" s="300">
        <f t="shared" ref="AP91" si="271">SUM(AP83/AP$85)</f>
        <v>6.8970903087987576E-2</v>
      </c>
      <c r="AR91" s="9"/>
    </row>
    <row r="92" spans="2:44">
      <c r="B92" s="291" t="str">
        <f>B84&amp;"(%)"</f>
        <v>Asia Pacific(%)</v>
      </c>
      <c r="C92" s="293">
        <f t="shared" si="261"/>
        <v>0.28819462156659975</v>
      </c>
      <c r="D92" s="293">
        <f t="shared" si="261"/>
        <v>0.26157987035082053</v>
      </c>
      <c r="E92" s="293">
        <f t="shared" si="261"/>
        <v>0.26110807808881942</v>
      </c>
      <c r="F92" s="293">
        <f t="shared" si="261"/>
        <v>0.23624958681497768</v>
      </c>
      <c r="G92" s="293">
        <f t="shared" si="261"/>
        <v>0.21820665537402328</v>
      </c>
      <c r="H92" s="293">
        <f t="shared" si="261"/>
        <v>0.25893274506105513</v>
      </c>
      <c r="I92" s="293">
        <f t="shared" si="261"/>
        <v>0.26266204783834779</v>
      </c>
      <c r="J92" s="293">
        <f t="shared" si="261"/>
        <v>0.26657448113022947</v>
      </c>
      <c r="K92" s="293">
        <f t="shared" si="261"/>
        <v>0.24961959926860766</v>
      </c>
      <c r="L92" s="293">
        <f t="shared" ref="L92" si="272">SUM(L84/L$85)</f>
        <v>0.23566119843041516</v>
      </c>
      <c r="M92" s="289"/>
      <c r="N92" s="293">
        <f t="shared" ref="N92:AB92" si="273">SUM(N84/N$85)</f>
        <v>0.28716769534874337</v>
      </c>
      <c r="O92" s="293">
        <f t="shared" si="273"/>
        <v>0.26095314459590041</v>
      </c>
      <c r="P92" s="293">
        <f t="shared" si="273"/>
        <v>0.25017177159801829</v>
      </c>
      <c r="Q92" s="293">
        <f t="shared" si="273"/>
        <v>0.24230692432276529</v>
      </c>
      <c r="R92" s="293">
        <f t="shared" si="273"/>
        <v>0.28543626337982486</v>
      </c>
      <c r="S92" s="293">
        <f t="shared" si="273"/>
        <v>0.27342992112699821</v>
      </c>
      <c r="T92" s="293">
        <f t="shared" si="273"/>
        <v>0.26147658227074344</v>
      </c>
      <c r="U92" s="293">
        <f t="shared" si="273"/>
        <v>0.23927909003553152</v>
      </c>
      <c r="V92" s="293">
        <f t="shared" si="273"/>
        <v>0.25909261969475222</v>
      </c>
      <c r="W92" s="293">
        <f t="shared" si="273"/>
        <v>0.25448194550042424</v>
      </c>
      <c r="X92" s="293">
        <f t="shared" si="273"/>
        <v>0.2461965328701167</v>
      </c>
      <c r="Y92" s="293">
        <f t="shared" si="273"/>
        <v>0.23613188665332349</v>
      </c>
      <c r="Z92" s="293">
        <f t="shared" si="273"/>
        <v>0.23172968624296059</v>
      </c>
      <c r="AA92" s="293">
        <f t="shared" si="273"/>
        <v>0.24425591711322475</v>
      </c>
      <c r="AB92" s="293">
        <f t="shared" si="273"/>
        <v>0.24503381683610531</v>
      </c>
      <c r="AC92" s="293">
        <f t="shared" ref="AC92" si="274">SUM(AC84/AC$85)</f>
        <v>0.22383034372377178</v>
      </c>
      <c r="AD92" s="289"/>
      <c r="AE92" s="293">
        <f t="shared" ref="AE92:AO92" si="275">SUM(AE84/AE$85)</f>
        <v>0.35447984202156474</v>
      </c>
      <c r="AF92" s="293">
        <f t="shared" si="275"/>
        <v>0.36014933227844748</v>
      </c>
      <c r="AG92" s="293">
        <f t="shared" si="275"/>
        <v>0.36470207691296019</v>
      </c>
      <c r="AH92" s="293">
        <f t="shared" si="275"/>
        <v>0.36346496579642917</v>
      </c>
      <c r="AI92" s="293">
        <f t="shared" si="275"/>
        <v>0.34866481812364725</v>
      </c>
      <c r="AJ92" s="293">
        <f t="shared" si="275"/>
        <v>0.34023192762621862</v>
      </c>
      <c r="AK92" s="293">
        <f t="shared" si="275"/>
        <v>0.2505400632256492</v>
      </c>
      <c r="AL92" s="293">
        <f t="shared" si="275"/>
        <v>0.24961959926860766</v>
      </c>
      <c r="AM92" s="293">
        <f t="shared" si="275"/>
        <v>0.2411385688295937</v>
      </c>
      <c r="AN92" s="293">
        <f t="shared" si="275"/>
        <v>0.23885644635158829</v>
      </c>
      <c r="AO92" s="293">
        <f t="shared" si="275"/>
        <v>0.23873722851024778</v>
      </c>
      <c r="AP92" s="300">
        <f t="shared" ref="AP92" si="276">SUM(AP84/AP$85)</f>
        <v>0.23566119843041516</v>
      </c>
      <c r="AR92" s="9"/>
    </row>
    <row r="93" spans="2:44">
      <c r="B93" s="296" t="s">
        <v>403</v>
      </c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97"/>
      <c r="AR93" s="9"/>
    </row>
    <row r="94" spans="2:44">
      <c r="B94" s="291" t="str">
        <f>B81&amp;"(%)"</f>
        <v>Americas(%)</v>
      </c>
      <c r="C94" s="289" t="s">
        <v>46</v>
      </c>
      <c r="D94" s="294">
        <f>SUM(D81/C81)-1</f>
        <v>0.11530601641785876</v>
      </c>
      <c r="E94" s="294">
        <f>SUM(E81/D81)-1</f>
        <v>0.16038302277432703</v>
      </c>
      <c r="F94" s="294">
        <f>SUM(F81/E81)-1</f>
        <v>4.3008930084840191E-2</v>
      </c>
      <c r="G94" s="294">
        <f>SUM(G81/F81)-1</f>
        <v>6.5364284858956179E-2</v>
      </c>
      <c r="H94" s="294">
        <f>SUM(H81/G81)-1</f>
        <v>0.23081987218600464</v>
      </c>
      <c r="I94" s="294">
        <f>SUM(I81/H81)-1</f>
        <v>0.10666249200944522</v>
      </c>
      <c r="J94" s="294">
        <f>SUM(J81/I81)-1</f>
        <v>-4.1837107592922251E-2</v>
      </c>
      <c r="K94" s="294">
        <f>SUM(K81/J81)-1</f>
        <v>2.7589812992125928E-2</v>
      </c>
      <c r="L94" s="294">
        <f>SUM(L81/K81)-1</f>
        <v>6.7694333862132972E-2</v>
      </c>
      <c r="M94" s="289"/>
      <c r="N94" s="294" t="s">
        <v>46</v>
      </c>
      <c r="O94" s="294" t="s">
        <v>46</v>
      </c>
      <c r="P94" s="294" t="s">
        <v>46</v>
      </c>
      <c r="Q94" s="294" t="s">
        <v>46</v>
      </c>
      <c r="R94" s="294">
        <f>SUM(R81/N81)-1</f>
        <v>-4.3071306509243401E-2</v>
      </c>
      <c r="S94" s="294">
        <f>SUM(S81/R81)-1</f>
        <v>-0.23324810260156659</v>
      </c>
      <c r="T94" s="294">
        <f>SUM(T81/S81)-1</f>
        <v>-6.3545416049121339E-2</v>
      </c>
      <c r="U94" s="294">
        <f>SUM(U81/T81)-1</f>
        <v>0.13373654014639791</v>
      </c>
      <c r="V94" s="294">
        <f>SUM(V81/U81)-1</f>
        <v>0.25713573476255758</v>
      </c>
      <c r="W94" s="294">
        <f>SUM(W81/V81)-1</f>
        <v>-0.26089629188974817</v>
      </c>
      <c r="X94" s="294">
        <f>SUM(X81/W81)-1</f>
        <v>1.0865774152872154E-2</v>
      </c>
      <c r="Y94" s="294">
        <f>SUM(Y81/X81)-1</f>
        <v>0.10579117787568348</v>
      </c>
      <c r="Z94" s="294">
        <f>SUM(Z81/Y81)-1</f>
        <v>0.26363287250384015</v>
      </c>
      <c r="AA94" s="294">
        <f>SUM(AA81/Z81)-1</f>
        <v>-0.23425391277921292</v>
      </c>
      <c r="AB94" s="294">
        <f>SUM(AB81/AA81)-1</f>
        <v>2.1902517673322519E-2</v>
      </c>
      <c r="AC94" s="294">
        <f>SUM(AC81/AB81)-1</f>
        <v>7.2673430749065515E-2</v>
      </c>
      <c r="AD94" s="289"/>
      <c r="AE94" s="294" t="s">
        <v>46</v>
      </c>
      <c r="AF94" s="294" t="s">
        <v>46</v>
      </c>
      <c r="AG94" s="294" t="s">
        <v>46</v>
      </c>
      <c r="AH94" s="294" t="s">
        <v>46</v>
      </c>
      <c r="AI94" s="294">
        <f>SUM(AI81/AE81)-1</f>
        <v>-2.22646918299092E-2</v>
      </c>
      <c r="AJ94" s="294">
        <f>SUM(AJ81/AF81)-1</f>
        <v>-6.9428387143882775E-3</v>
      </c>
      <c r="AK94" s="294">
        <f>SUM(AK81/AG81)-1</f>
        <v>1.9987303778666643E-2</v>
      </c>
      <c r="AL94" s="294">
        <f>SUM(AL81/AH81)-1</f>
        <v>2.7589812992125928E-2</v>
      </c>
      <c r="AM94" s="294">
        <f>SUM(AM81/AI81)-1</f>
        <v>3.3907105160281503E-2</v>
      </c>
      <c r="AN94" s="294">
        <f>SUM(AN81/AJ81)-1</f>
        <v>5.5783971911936847E-2</v>
      </c>
      <c r="AO94" s="294">
        <f>SUM(AO81/AK81)-1</f>
        <v>6.2412384589355607E-2</v>
      </c>
      <c r="AP94" s="301">
        <f>SUM(AP81/AL81)-1</f>
        <v>6.7694333862132972E-2</v>
      </c>
      <c r="AR94" s="9"/>
    </row>
    <row r="95" spans="2:44">
      <c r="B95" s="291" t="str">
        <f>B82&amp;"(%)"</f>
        <v>Europe(%)</v>
      </c>
      <c r="C95" s="289" t="s">
        <v>46</v>
      </c>
      <c r="D95" s="294">
        <f>SUM(D82/C82)-1</f>
        <v>9.9815823190262609E-2</v>
      </c>
      <c r="E95" s="294">
        <f>SUM(E82/D82)-1</f>
        <v>0.13618988678146282</v>
      </c>
      <c r="F95" s="294">
        <f>SUM(F82/E82)-1</f>
        <v>-3.4155719320730582E-2</v>
      </c>
      <c r="G95" s="294">
        <f>SUM(G82/F82)-1</f>
        <v>0.13853503184713367</v>
      </c>
      <c r="H95" s="294">
        <f>SUM(H82/G82)-1</f>
        <v>0.30109265734265733</v>
      </c>
      <c r="I95" s="294">
        <f>SUM(I82/H82)-1</f>
        <v>6.5067687863213486E-2</v>
      </c>
      <c r="J95" s="294">
        <f>SUM(J82/I82)-1</f>
        <v>-8.662923947097334E-3</v>
      </c>
      <c r="K95" s="294">
        <f>SUM(K82/J82)-1</f>
        <v>7.4596474855239903E-2</v>
      </c>
      <c r="L95" s="294">
        <f>SUM(L82/K82)-1</f>
        <v>9.5768198326227738E-2</v>
      </c>
      <c r="M95" s="289"/>
      <c r="N95" s="294" t="s">
        <v>46</v>
      </c>
      <c r="O95" s="294" t="s">
        <v>46</v>
      </c>
      <c r="P95" s="294" t="s">
        <v>46</v>
      </c>
      <c r="Q95" s="294" t="s">
        <v>46</v>
      </c>
      <c r="R95" s="294">
        <f>SUM(R82/N82)-1</f>
        <v>-6.9514941678711861E-2</v>
      </c>
      <c r="S95" s="294">
        <f>SUM(S82/R82)-1</f>
        <v>-0.13496622231855782</v>
      </c>
      <c r="T95" s="294">
        <f>SUM(T82/S82)-1</f>
        <v>-0.15619127166423052</v>
      </c>
      <c r="U95" s="294">
        <f>SUM(U82/T82)-1</f>
        <v>0.11175451620885912</v>
      </c>
      <c r="V95" s="294">
        <f>SUM(V82/U82)-1</f>
        <v>0.35320304500734534</v>
      </c>
      <c r="W95" s="294">
        <f>SUM(W82/V82)-1</f>
        <v>-0.20640194756061458</v>
      </c>
      <c r="X95" s="294">
        <f>SUM(X82/W82)-1</f>
        <v>-9.2815984744849311E-2</v>
      </c>
      <c r="Y95" s="294">
        <f>SUM(Y82/X82)-1</f>
        <v>0.13891427526960332</v>
      </c>
      <c r="Z95" s="294">
        <f>SUM(Z82/Y82)-1</f>
        <v>0.35857005296100142</v>
      </c>
      <c r="AA95" s="294">
        <f>SUM(AA82/Z82)-1</f>
        <v>-0.27781223236171404</v>
      </c>
      <c r="AB95" s="294">
        <f>SUM(AB82/AA82)-1</f>
        <v>-1.7992966385867337E-2</v>
      </c>
      <c r="AC95" s="294">
        <f>SUM(AC82/AB82)-1</f>
        <v>0.19526109769301248</v>
      </c>
      <c r="AD95" s="289"/>
      <c r="AE95" s="294" t="s">
        <v>46</v>
      </c>
      <c r="AF95" s="294" t="s">
        <v>46</v>
      </c>
      <c r="AG95" s="294" t="s">
        <v>46</v>
      </c>
      <c r="AH95" s="294" t="s">
        <v>46</v>
      </c>
      <c r="AI95" s="294">
        <f>SUM(AI82/AE82)-1</f>
        <v>4.2557764642665141E-2</v>
      </c>
      <c r="AJ95" s="294">
        <f>SUM(AJ82/AF82)-1</f>
        <v>3.7136637213471602E-2</v>
      </c>
      <c r="AK95" s="294">
        <f>SUM(AK82/AG82)-1</f>
        <v>4.4818548813222669E-2</v>
      </c>
      <c r="AL95" s="294">
        <f>SUM(AL82/AH82)-1</f>
        <v>7.4596474855239903E-2</v>
      </c>
      <c r="AM95" s="294">
        <f>SUM(AM82/AI82)-1</f>
        <v>8.0218534171734968E-2</v>
      </c>
      <c r="AN95" s="294">
        <f>SUM(AN82/AJ82)-1</f>
        <v>8.1645882207679987E-2</v>
      </c>
      <c r="AO95" s="294">
        <f>SUM(AO82/AK82)-1</f>
        <v>8.4821022181314376E-2</v>
      </c>
      <c r="AP95" s="301">
        <f>SUM(AP82/AL82)-1</f>
        <v>9.5768198326227738E-2</v>
      </c>
      <c r="AR95" s="9"/>
    </row>
    <row r="96" spans="2:44">
      <c r="B96" s="291" t="str">
        <f>B83&amp;"(%)"</f>
        <v>Japan(%)</v>
      </c>
      <c r="C96" s="289" t="s">
        <v>46</v>
      </c>
      <c r="D96" s="294">
        <f>SUM(D83/C83)-1</f>
        <v>4.7554347826086918E-2</v>
      </c>
      <c r="E96" s="294">
        <f>SUM(E83/D83)-1</f>
        <v>0.22556814977725148</v>
      </c>
      <c r="F96" s="294">
        <f>SUM(F83/E83)-1</f>
        <v>-1.0444945474623824E-2</v>
      </c>
      <c r="G96" s="294">
        <f>SUM(G83/F83)-1</f>
        <v>-4.0918813354412498E-3</v>
      </c>
      <c r="H96" s="294">
        <f>SUM(H83/G83)-1</f>
        <v>0.32981604258100661</v>
      </c>
      <c r="I96" s="294">
        <f>SUM(I83/H83)-1</f>
        <v>-8.7950284390141187E-2</v>
      </c>
      <c r="J96" s="294">
        <f>SUM(J83/I83)-1</f>
        <v>-6.621241867806138E-2</v>
      </c>
      <c r="K96" s="294">
        <f>SUM(K83/J83)-1</f>
        <v>3.2774044605680785E-2</v>
      </c>
      <c r="L96" s="294">
        <f>SUM(L83/K83)-1</f>
        <v>0.14573686731598268</v>
      </c>
      <c r="M96" s="289"/>
      <c r="N96" s="294" t="s">
        <v>46</v>
      </c>
      <c r="O96" s="294" t="s">
        <v>46</v>
      </c>
      <c r="P96" s="294" t="s">
        <v>46</v>
      </c>
      <c r="Q96" s="294" t="s">
        <v>46</v>
      </c>
      <c r="R96" s="294">
        <f>SUM(R83/N83)-1</f>
        <v>-4.9528633741381722E-2</v>
      </c>
      <c r="S96" s="294">
        <f>SUM(S83/R83)-1</f>
        <v>6.2324204293116248E-2</v>
      </c>
      <c r="T96" s="294">
        <f>SUM(T83/S83)-1</f>
        <v>-0.32817725752508364</v>
      </c>
      <c r="U96" s="294">
        <f>SUM(U83/T83)-1</f>
        <v>0.14187927815805845</v>
      </c>
      <c r="V96" s="294">
        <f>SUM(V83/U83)-1</f>
        <v>0.41089918256130797</v>
      </c>
      <c r="W96" s="294">
        <f>SUM(W83/V83)-1</f>
        <v>-0.19376850778936527</v>
      </c>
      <c r="X96" s="294">
        <f>SUM(X83/W83)-1</f>
        <v>-0.1860427978281699</v>
      </c>
      <c r="Y96" s="294">
        <f>SUM(Y83/X83)-1</f>
        <v>0.16264469295664119</v>
      </c>
      <c r="Z96" s="294">
        <f>SUM(Z83/Y83)-1</f>
        <v>0.51653729328383391</v>
      </c>
      <c r="AA96" s="294">
        <f>SUM(AA83/Z83)-1</f>
        <v>-0.18793813285857353</v>
      </c>
      <c r="AB96" s="294">
        <f>SUM(AB83/AA83)-1</f>
        <v>-0.20772814469717726</v>
      </c>
      <c r="AC96" s="294">
        <f>SUM(AC83/AB83)-1</f>
        <v>0.14769975786924938</v>
      </c>
      <c r="AD96" s="289"/>
      <c r="AE96" s="294" t="s">
        <v>46</v>
      </c>
      <c r="AF96" s="294" t="s">
        <v>46</v>
      </c>
      <c r="AG96" s="294" t="s">
        <v>46</v>
      </c>
      <c r="AH96" s="294" t="s">
        <v>46</v>
      </c>
      <c r="AI96" s="294">
        <f>SUM(AI83/AE83)-1</f>
        <v>-1.3892682926829214E-2</v>
      </c>
      <c r="AJ96" s="294">
        <f>SUM(AJ83/AF83)-1</f>
        <v>-2.8791322726003932E-2</v>
      </c>
      <c r="AK96" s="294">
        <f>SUM(AK83/AG83)-1</f>
        <v>7.3204645836741911E-3</v>
      </c>
      <c r="AL96" s="294">
        <f>SUM(AL83/AH83)-1</f>
        <v>3.2774044605680785E-2</v>
      </c>
      <c r="AM96" s="294">
        <f>SUM(AM83/AI83)-1</f>
        <v>3.9692904349202474E-2</v>
      </c>
      <c r="AN96" s="294">
        <f>SUM(AN83/AJ83)-1</f>
        <v>0.12124820365428035</v>
      </c>
      <c r="AO96" s="294">
        <f>SUM(AO83/AK83)-1</f>
        <v>0.13649466119930165</v>
      </c>
      <c r="AP96" s="301">
        <f>SUM(AP83/AL83)-1</f>
        <v>0.14573686731598268</v>
      </c>
      <c r="AR96" s="9"/>
    </row>
    <row r="97" spans="2:44">
      <c r="B97" s="291" t="str">
        <f>B84&amp;"(%)"</f>
        <v>Asia Pacific(%)</v>
      </c>
      <c r="C97" s="289" t="s">
        <v>46</v>
      </c>
      <c r="D97" s="294">
        <f>SUM(D84/C84)-1</f>
        <v>-3.5126959096321575E-2</v>
      </c>
      <c r="E97" s="294">
        <f>SUM(E84/D84)-1</f>
        <v>0.15652986008038283</v>
      </c>
      <c r="F97" s="294">
        <f>SUM(F84/E84)-1</f>
        <v>-0.1136714300134104</v>
      </c>
      <c r="G97" s="294">
        <f>SUM(G84/F84)-1</f>
        <v>-2.5461230599030382E-2</v>
      </c>
      <c r="H97" s="294">
        <f>SUM(H84/G84)-1</f>
        <v>0.58130916011418843</v>
      </c>
      <c r="I97" s="294">
        <f>SUM(I84/H84)-1</f>
        <v>9.34629758662191E-2</v>
      </c>
      <c r="J97" s="294">
        <f>SUM(J84/I84)-1</f>
        <v>-1.3526430123099176E-2</v>
      </c>
      <c r="K97" s="294">
        <f>SUM(K84/J84)-1</f>
        <v>-4.4668898154129222E-2</v>
      </c>
      <c r="L97" s="294">
        <f>SUM(L84/K84)-1</f>
        <v>4.7433664583547142E-3</v>
      </c>
      <c r="M97" s="289"/>
      <c r="N97" s="294" t="s">
        <v>46</v>
      </c>
      <c r="O97" s="294" t="s">
        <v>46</v>
      </c>
      <c r="P97" s="294" t="s">
        <v>46</v>
      </c>
      <c r="Q97" s="294" t="s">
        <v>46</v>
      </c>
      <c r="R97" s="294">
        <f>SUM(R84/N84)-1</f>
        <v>-6.0489422077374733E-2</v>
      </c>
      <c r="S97" s="294">
        <f>SUM(S84/R84)-1</f>
        <v>-0.22455143540669853</v>
      </c>
      <c r="T97" s="294">
        <f>SUM(T84/S84)-1</f>
        <v>-0.17519571169642512</v>
      </c>
      <c r="U97" s="294">
        <f>SUM(U84/T84)-1</f>
        <v>1.262390125303936E-3</v>
      </c>
      <c r="V97" s="294">
        <f>SUM(V84/U84)-1</f>
        <v>0.44669624095260341</v>
      </c>
      <c r="W97" s="294">
        <f>SUM(W84/V84)-1</f>
        <v>-0.25454310706562089</v>
      </c>
      <c r="X97" s="294">
        <f>SUM(X84/W84)-1</f>
        <v>-8.5602944360251176E-2</v>
      </c>
      <c r="Y97" s="294">
        <f>SUM(Y84/X84)-1</f>
        <v>6.1464153802443411E-2</v>
      </c>
      <c r="Z97" s="294">
        <f>SUM(Z84/Y84)-1</f>
        <v>0.28497501784439683</v>
      </c>
      <c r="AA97" s="294">
        <f>SUM(AA84/Z84)-1</f>
        <v>-0.19136231079016808</v>
      </c>
      <c r="AB97" s="294">
        <f>SUM(AB84/AA84)-1</f>
        <v>-1.0733298986776552E-2</v>
      </c>
      <c r="AC97" s="294">
        <f>SUM(AC84/AB84)-1</f>
        <v>-4.6436941237739671E-3</v>
      </c>
      <c r="AD97" s="289"/>
      <c r="AE97" s="294" t="s">
        <v>46</v>
      </c>
      <c r="AF97" s="294" t="s">
        <v>46</v>
      </c>
      <c r="AG97" s="294" t="s">
        <v>46</v>
      </c>
      <c r="AH97" s="294" t="s">
        <v>46</v>
      </c>
      <c r="AI97" s="294">
        <f>SUM(AI84/AE84)-1</f>
        <v>-1.6830667902427487E-2</v>
      </c>
      <c r="AJ97" s="294">
        <f>SUM(AJ84/AF84)-1</f>
        <v>-4.99078142162247E-2</v>
      </c>
      <c r="AK97" s="294">
        <f>SUM(AK84/AG84)-1</f>
        <v>-5.8410167443129768E-2</v>
      </c>
      <c r="AL97" s="294">
        <f>SUM(AL84/AH84)-1</f>
        <v>-4.4668898154129222E-2</v>
      </c>
      <c r="AM97" s="294">
        <f>SUM(AM84/AI84)-1</f>
        <v>-4.2942385799528693E-2</v>
      </c>
      <c r="AN97" s="294">
        <f>SUM(AN84/AJ84)-1</f>
        <v>-1.2892370895653316E-2</v>
      </c>
      <c r="AO97" s="294">
        <f>SUM(AO84/AK84)-1</f>
        <v>9.7816973573889854E-3</v>
      </c>
      <c r="AP97" s="301">
        <f>SUM(AP84/AL84)-1</f>
        <v>4.7433664583547142E-3</v>
      </c>
      <c r="AR97" s="9"/>
    </row>
    <row r="98" spans="2:44">
      <c r="B98" s="296" t="s">
        <v>404</v>
      </c>
      <c r="C98" s="289"/>
      <c r="D98" s="294"/>
      <c r="E98" s="294"/>
      <c r="F98" s="294"/>
      <c r="G98" s="294"/>
      <c r="H98" s="294"/>
      <c r="I98" s="294"/>
      <c r="J98" s="294"/>
      <c r="K98" s="294"/>
      <c r="L98" s="294"/>
      <c r="M98" s="289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  <c r="AC98" s="294"/>
      <c r="AD98" s="289"/>
      <c r="AE98" s="294"/>
      <c r="AF98" s="294"/>
      <c r="AG98" s="294"/>
      <c r="AH98" s="294"/>
      <c r="AI98" s="294"/>
      <c r="AJ98" s="294"/>
      <c r="AK98" s="294"/>
      <c r="AL98" s="294"/>
      <c r="AM98" s="294"/>
      <c r="AN98" s="294"/>
      <c r="AO98" s="294"/>
      <c r="AP98" s="301"/>
      <c r="AR98" s="9"/>
    </row>
    <row r="99" spans="2:44">
      <c r="B99" s="291" t="str">
        <f>B81&amp;"(%)"</f>
        <v>Americas(%)</v>
      </c>
      <c r="C99" s="289" t="s">
        <v>46</v>
      </c>
      <c r="D99" s="289" t="s">
        <v>46</v>
      </c>
      <c r="E99" s="289" t="s">
        <v>46</v>
      </c>
      <c r="F99" s="289" t="s">
        <v>46</v>
      </c>
      <c r="G99" s="289" t="s">
        <v>46</v>
      </c>
      <c r="H99" s="289" t="s">
        <v>46</v>
      </c>
      <c r="I99" s="289" t="s">
        <v>46</v>
      </c>
      <c r="J99" s="289" t="s">
        <v>46</v>
      </c>
      <c r="K99" s="289" t="s">
        <v>46</v>
      </c>
      <c r="L99" s="289" t="s">
        <v>46</v>
      </c>
      <c r="M99" s="289"/>
      <c r="N99" s="294" t="s">
        <v>46</v>
      </c>
      <c r="O99" s="294">
        <f>SUM(O81/N81)-1</f>
        <v>-0.20611309616280871</v>
      </c>
      <c r="P99" s="294">
        <f>SUM(P81/O81)-1</f>
        <v>-8.3410792035614745E-2</v>
      </c>
      <c r="Q99" s="294">
        <f>SUM(Q81/P81)-1</f>
        <v>6.233988044406491E-2</v>
      </c>
      <c r="R99" s="294">
        <f>SUM(R81/Q81)-1</f>
        <v>0.23789188102893899</v>
      </c>
      <c r="S99" s="294">
        <f>SUM(S81/R81)-1</f>
        <v>-0.23324810260156659</v>
      </c>
      <c r="T99" s="294">
        <f>SUM(T81/S81)-1</f>
        <v>-6.3545416049121339E-2</v>
      </c>
      <c r="U99" s="294">
        <f>SUM(U81/T81)-1</f>
        <v>0.13373654014639791</v>
      </c>
      <c r="V99" s="294">
        <f>SUM(V81/U81)-1</f>
        <v>0.25713573476255758</v>
      </c>
      <c r="W99" s="294">
        <f>SUM(W81/V81)-1</f>
        <v>-0.26089629188974817</v>
      </c>
      <c r="X99" s="294">
        <f>SUM(X81/W81)-1</f>
        <v>1.0865774152872154E-2</v>
      </c>
      <c r="Y99" s="294">
        <f>SUM(Y81/X81)-1</f>
        <v>0.10579117787568348</v>
      </c>
      <c r="Z99" s="294">
        <f>SUM(Z81/Y81)-1</f>
        <v>0.26363287250384015</v>
      </c>
      <c r="AA99" s="294">
        <f>SUM(AA81/Z81)-1</f>
        <v>-0.23425391277921292</v>
      </c>
      <c r="AB99" s="294">
        <f>SUM(AB81/AA81)-1</f>
        <v>2.1902517673322519E-2</v>
      </c>
      <c r="AC99" s="294">
        <f>SUM(AC81/AB81)-1</f>
        <v>7.2673430749065515E-2</v>
      </c>
      <c r="AD99" s="289"/>
      <c r="AE99" s="294" t="s">
        <v>46</v>
      </c>
      <c r="AF99" s="294" t="s">
        <v>46</v>
      </c>
      <c r="AG99" s="294" t="s">
        <v>46</v>
      </c>
      <c r="AH99" s="294" t="s">
        <v>46</v>
      </c>
      <c r="AI99" s="294" t="s">
        <v>46</v>
      </c>
      <c r="AJ99" s="294" t="s">
        <v>46</v>
      </c>
      <c r="AK99" s="294" t="s">
        <v>46</v>
      </c>
      <c r="AL99" s="294" t="s">
        <v>46</v>
      </c>
      <c r="AM99" s="294" t="s">
        <v>46</v>
      </c>
      <c r="AN99" s="294" t="s">
        <v>46</v>
      </c>
      <c r="AO99" s="294" t="s">
        <v>46</v>
      </c>
      <c r="AP99" s="301" t="s">
        <v>46</v>
      </c>
      <c r="AR99" s="9"/>
    </row>
    <row r="100" spans="2:44">
      <c r="B100" s="291" t="str">
        <f>B82&amp;"(%)"</f>
        <v>Europe(%)</v>
      </c>
      <c r="C100" s="289" t="s">
        <v>46</v>
      </c>
      <c r="D100" s="289" t="s">
        <v>46</v>
      </c>
      <c r="E100" s="289" t="s">
        <v>46</v>
      </c>
      <c r="F100" s="289" t="s">
        <v>46</v>
      </c>
      <c r="G100" s="289" t="s">
        <v>46</v>
      </c>
      <c r="H100" s="289" t="s">
        <v>46</v>
      </c>
      <c r="I100" s="289" t="s">
        <v>46</v>
      </c>
      <c r="J100" s="289" t="s">
        <v>46</v>
      </c>
      <c r="K100" s="289" t="s">
        <v>46</v>
      </c>
      <c r="L100" s="289" t="s">
        <v>46</v>
      </c>
      <c r="M100" s="289"/>
      <c r="N100" s="294" t="s">
        <v>46</v>
      </c>
      <c r="O100" s="294">
        <f>SUM(O82/N82)-1</f>
        <v>-0.21721738545833469</v>
      </c>
      <c r="P100" s="294">
        <f>SUM(P82/O82)-1</f>
        <v>-0.17176965689011037</v>
      </c>
      <c r="Q100" s="294">
        <f>SUM(Q82/P82)-1</f>
        <v>0.18188417068491725</v>
      </c>
      <c r="R100" s="294">
        <f>SUM(R82/Q82)-1</f>
        <v>0.21434525115156822</v>
      </c>
      <c r="S100" s="294">
        <f>SUM(S82/R82)-1</f>
        <v>-0.13496622231855782</v>
      </c>
      <c r="T100" s="294">
        <f>SUM(T82/S82)-1</f>
        <v>-0.15619127166423052</v>
      </c>
      <c r="U100" s="294">
        <f>SUM(U82/T82)-1</f>
        <v>0.11175451620885912</v>
      </c>
      <c r="V100" s="294">
        <f>SUM(V82/U82)-1</f>
        <v>0.35320304500734534</v>
      </c>
      <c r="W100" s="294">
        <f>SUM(W82/V82)-1</f>
        <v>-0.20640194756061458</v>
      </c>
      <c r="X100" s="294">
        <f>SUM(X82/W82)-1</f>
        <v>-9.2815984744849311E-2</v>
      </c>
      <c r="Y100" s="294">
        <f>SUM(Y82/X82)-1</f>
        <v>0.13891427526960332</v>
      </c>
      <c r="Z100" s="294">
        <f>SUM(Z82/Y82)-1</f>
        <v>0.35857005296100142</v>
      </c>
      <c r="AA100" s="294">
        <f>SUM(AA82/Z82)-1</f>
        <v>-0.27781223236171404</v>
      </c>
      <c r="AB100" s="294">
        <f>SUM(AB82/AA82)-1</f>
        <v>-1.7992966385867337E-2</v>
      </c>
      <c r="AC100" s="294">
        <f>SUM(AC82/AB82)-1</f>
        <v>0.19526109769301248</v>
      </c>
      <c r="AD100" s="289"/>
      <c r="AE100" s="294" t="s">
        <v>46</v>
      </c>
      <c r="AF100" s="294" t="s">
        <v>46</v>
      </c>
      <c r="AG100" s="294" t="s">
        <v>46</v>
      </c>
      <c r="AH100" s="294" t="s">
        <v>46</v>
      </c>
      <c r="AI100" s="294" t="s">
        <v>46</v>
      </c>
      <c r="AJ100" s="294" t="s">
        <v>46</v>
      </c>
      <c r="AK100" s="294" t="s">
        <v>46</v>
      </c>
      <c r="AL100" s="294" t="s">
        <v>46</v>
      </c>
      <c r="AM100" s="294" t="s">
        <v>46</v>
      </c>
      <c r="AN100" s="294" t="s">
        <v>46</v>
      </c>
      <c r="AO100" s="294" t="s">
        <v>46</v>
      </c>
      <c r="AP100" s="301" t="s">
        <v>46</v>
      </c>
      <c r="AR100" s="9"/>
    </row>
    <row r="101" spans="2:44">
      <c r="B101" s="291" t="str">
        <f>B83&amp;"(%)"</f>
        <v>Japan(%)</v>
      </c>
      <c r="C101" s="289" t="s">
        <v>46</v>
      </c>
      <c r="D101" s="289" t="s">
        <v>46</v>
      </c>
      <c r="E101" s="289" t="s">
        <v>46</v>
      </c>
      <c r="F101" s="289" t="s">
        <v>46</v>
      </c>
      <c r="G101" s="289" t="s">
        <v>46</v>
      </c>
      <c r="H101" s="289" t="s">
        <v>46</v>
      </c>
      <c r="I101" s="289" t="s">
        <v>46</v>
      </c>
      <c r="J101" s="289" t="s">
        <v>46</v>
      </c>
      <c r="K101" s="289" t="s">
        <v>46</v>
      </c>
      <c r="L101" s="289" t="s">
        <v>46</v>
      </c>
      <c r="M101" s="289"/>
      <c r="N101" s="294" t="s">
        <v>46</v>
      </c>
      <c r="O101" s="294">
        <f>SUM(O83/N83)-1</f>
        <v>8.681581539327432E-2</v>
      </c>
      <c r="P101" s="294">
        <f>SUM(P83/O83)-1</f>
        <v>-0.29492490937338167</v>
      </c>
      <c r="Q101" s="294">
        <f>SUM(Q83/P83)-1</f>
        <v>4.6639735585751074E-2</v>
      </c>
      <c r="R101" s="294">
        <f>SUM(R83/Q83)-1</f>
        <v>0.18508771929824563</v>
      </c>
      <c r="S101" s="294">
        <f>SUM(S83/R83)-1</f>
        <v>6.2324204293116248E-2</v>
      </c>
      <c r="T101" s="294">
        <f>SUM(T83/S83)-1</f>
        <v>-0.32817725752508364</v>
      </c>
      <c r="U101" s="294">
        <f>SUM(U83/T83)-1</f>
        <v>0.14187927815805845</v>
      </c>
      <c r="V101" s="294">
        <f>SUM(V83/U83)-1</f>
        <v>0.41089918256130797</v>
      </c>
      <c r="W101" s="294">
        <f>SUM(W83/V83)-1</f>
        <v>-0.19376850778936527</v>
      </c>
      <c r="X101" s="294">
        <f>SUM(X83/W83)-1</f>
        <v>-0.1860427978281699</v>
      </c>
      <c r="Y101" s="294">
        <f>SUM(Y83/X83)-1</f>
        <v>0.16264469295664119</v>
      </c>
      <c r="Z101" s="294">
        <f>SUM(Z83/Y83)-1</f>
        <v>0.51653729328383391</v>
      </c>
      <c r="AA101" s="294">
        <f>SUM(AA83/Z83)-1</f>
        <v>-0.18793813285857353</v>
      </c>
      <c r="AB101" s="294">
        <f>SUM(AB83/AA83)-1</f>
        <v>-0.20772814469717726</v>
      </c>
      <c r="AC101" s="294">
        <f>SUM(AC83/AB83)-1</f>
        <v>0.14769975786924938</v>
      </c>
      <c r="AD101" s="289"/>
      <c r="AE101" s="294" t="s">
        <v>46</v>
      </c>
      <c r="AF101" s="294" t="s">
        <v>46</v>
      </c>
      <c r="AG101" s="294" t="s">
        <v>46</v>
      </c>
      <c r="AH101" s="294" t="s">
        <v>46</v>
      </c>
      <c r="AI101" s="294" t="s">
        <v>46</v>
      </c>
      <c r="AJ101" s="294" t="s">
        <v>46</v>
      </c>
      <c r="AK101" s="294" t="s">
        <v>46</v>
      </c>
      <c r="AL101" s="294" t="s">
        <v>46</v>
      </c>
      <c r="AM101" s="294" t="s">
        <v>46</v>
      </c>
      <c r="AN101" s="294" t="s">
        <v>46</v>
      </c>
      <c r="AO101" s="294" t="s">
        <v>46</v>
      </c>
      <c r="AP101" s="301" t="s">
        <v>46</v>
      </c>
      <c r="AR101" s="9"/>
    </row>
    <row r="102" spans="2:44">
      <c r="B102" s="292" t="str">
        <f>B84&amp;"(%)"</f>
        <v>Asia Pacific(%)</v>
      </c>
      <c r="C102" s="290" t="s">
        <v>46</v>
      </c>
      <c r="D102" s="290" t="s">
        <v>46</v>
      </c>
      <c r="E102" s="290" t="s">
        <v>46</v>
      </c>
      <c r="F102" s="290" t="s">
        <v>46</v>
      </c>
      <c r="G102" s="290" t="s">
        <v>46</v>
      </c>
      <c r="H102" s="290" t="s">
        <v>46</v>
      </c>
      <c r="I102" s="290" t="s">
        <v>46</v>
      </c>
      <c r="J102" s="290" t="s">
        <v>46</v>
      </c>
      <c r="K102" s="290" t="s">
        <v>46</v>
      </c>
      <c r="L102" s="290" t="s">
        <v>46</v>
      </c>
      <c r="M102" s="290"/>
      <c r="N102" s="295" t="s">
        <v>46</v>
      </c>
      <c r="O102" s="295">
        <f>SUM(O84/N84)-1</f>
        <v>-0.28679796589216977</v>
      </c>
      <c r="P102" s="295">
        <f>SUM(P84/O84)-1</f>
        <v>-0.18243056923379952</v>
      </c>
      <c r="Q102" s="295">
        <f>SUM(Q84/P84)-1</f>
        <v>5.2471812662619355E-2</v>
      </c>
      <c r="R102" s="295">
        <f>SUM(R84/Q84)-1</f>
        <v>0.53092523920706869</v>
      </c>
      <c r="S102" s="295">
        <f>SUM(S84/R84)-1</f>
        <v>-0.22455143540669853</v>
      </c>
      <c r="T102" s="295">
        <f>SUM(T84/S84)-1</f>
        <v>-0.17519571169642512</v>
      </c>
      <c r="U102" s="295">
        <f>SUM(U84/T84)-1</f>
        <v>1.262390125303936E-3</v>
      </c>
      <c r="V102" s="295">
        <f>SUM(V84/U84)-1</f>
        <v>0.44669624095260341</v>
      </c>
      <c r="W102" s="295">
        <f>SUM(W84/V84)-1</f>
        <v>-0.25454310706562089</v>
      </c>
      <c r="X102" s="295">
        <f>SUM(X84/W84)-1</f>
        <v>-8.5602944360251176E-2</v>
      </c>
      <c r="Y102" s="295">
        <f>SUM(Y84/X84)-1</f>
        <v>6.1464153802443411E-2</v>
      </c>
      <c r="Z102" s="295">
        <f>SUM(Z84/Y84)-1</f>
        <v>0.28497501784439683</v>
      </c>
      <c r="AA102" s="295">
        <f>SUM(AA84/Z84)-1</f>
        <v>-0.19136231079016808</v>
      </c>
      <c r="AB102" s="295">
        <f>SUM(AB84/AA84)-1</f>
        <v>-1.0733298986776552E-2</v>
      </c>
      <c r="AC102" s="295">
        <f>SUM(AC84/AB84)-1</f>
        <v>-4.6436941237739671E-3</v>
      </c>
      <c r="AD102" s="290"/>
      <c r="AE102" s="295" t="s">
        <v>46</v>
      </c>
      <c r="AF102" s="295" t="s">
        <v>46</v>
      </c>
      <c r="AG102" s="295" t="s">
        <v>46</v>
      </c>
      <c r="AH102" s="295" t="s">
        <v>46</v>
      </c>
      <c r="AI102" s="295" t="s">
        <v>46</v>
      </c>
      <c r="AJ102" s="295" t="s">
        <v>46</v>
      </c>
      <c r="AK102" s="295" t="s">
        <v>46</v>
      </c>
      <c r="AL102" s="295" t="s">
        <v>46</v>
      </c>
      <c r="AM102" s="295" t="s">
        <v>46</v>
      </c>
      <c r="AN102" s="295" t="s">
        <v>46</v>
      </c>
      <c r="AO102" s="295" t="s">
        <v>46</v>
      </c>
      <c r="AP102" s="302" t="s">
        <v>46</v>
      </c>
      <c r="AR102" s="9"/>
    </row>
  </sheetData>
  <mergeCells count="1">
    <mergeCell ref="AR2:AR4"/>
  </mergeCells>
  <dataValidations disablePrompts="1"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C81:AC85 U8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0AD9-97DF-4BD6-B94D-59FD98150685}">
  <sheetPr>
    <tabColor theme="6" tint="-0.249977111117893"/>
  </sheetPr>
  <dimension ref="A2:AQ66"/>
  <sheetViews>
    <sheetView showGridLines="0" zoomScaleNormal="100" workbookViewId="0"/>
  </sheetViews>
  <sheetFormatPr defaultRowHeight="14.25" outlineLevelCol="1"/>
  <cols>
    <col min="1" max="1" width="1.625" customWidth="1"/>
    <col min="2" max="2" width="33.75" bestFit="1" customWidth="1"/>
    <col min="3" max="3" width="9" outlineLevel="1"/>
    <col min="4" max="6" width="9.375" bestFit="1" customWidth="1" outlineLevel="1"/>
    <col min="7" max="7" width="8.625" bestFit="1" customWidth="1" outlineLevel="1"/>
    <col min="8" max="9" width="8.625" bestFit="1" customWidth="1"/>
    <col min="10" max="12" width="9.375" bestFit="1" customWidth="1"/>
    <col min="13" max="13" width="1.625" customWidth="1"/>
    <col min="14" max="23" width="9" outlineLevel="1"/>
    <col min="30" max="30" width="1.625" customWidth="1"/>
  </cols>
  <sheetData>
    <row r="2" spans="1:43">
      <c r="B2" s="247" t="s">
        <v>223</v>
      </c>
      <c r="C2" s="2" t="s">
        <v>0</v>
      </c>
      <c r="D2" s="2"/>
      <c r="E2" s="2"/>
      <c r="F2" s="2" t="s">
        <v>0</v>
      </c>
      <c r="G2" s="2"/>
      <c r="H2" s="2"/>
      <c r="I2" s="2"/>
      <c r="J2" s="2"/>
      <c r="K2" s="2"/>
      <c r="L2" s="2"/>
      <c r="M2" s="3"/>
      <c r="N2" s="2" t="s">
        <v>1</v>
      </c>
      <c r="O2" s="2"/>
      <c r="P2" s="2"/>
      <c r="Q2" s="2"/>
      <c r="R2" s="2"/>
      <c r="S2" s="2"/>
      <c r="T2" s="2" t="s">
        <v>1</v>
      </c>
      <c r="U2" s="2"/>
      <c r="V2" s="2"/>
      <c r="W2" s="2" t="s">
        <v>1</v>
      </c>
      <c r="X2" s="2" t="s">
        <v>1</v>
      </c>
      <c r="Y2" s="2"/>
      <c r="Z2" s="2"/>
      <c r="AA2" s="2"/>
      <c r="AB2" s="2"/>
      <c r="AC2" s="2"/>
      <c r="AD2" s="3"/>
      <c r="AE2" s="2"/>
      <c r="AF2" s="2"/>
      <c r="AG2" s="2"/>
      <c r="AH2" s="2"/>
      <c r="AI2" s="2"/>
      <c r="AJ2" s="2"/>
      <c r="AK2" s="2" t="s">
        <v>10</v>
      </c>
      <c r="AL2" s="2"/>
      <c r="AM2" s="2"/>
      <c r="AN2" s="2"/>
      <c r="AO2" s="2"/>
      <c r="AP2" s="2"/>
      <c r="AQ2" s="284" t="s">
        <v>36</v>
      </c>
    </row>
    <row r="3" spans="1:43">
      <c r="B3" s="303" t="s">
        <v>526</v>
      </c>
      <c r="C3" s="7">
        <f>'Historical Financials'!C7</f>
        <v>2016</v>
      </c>
      <c r="D3" s="7">
        <f>'Historical Financials'!D7</f>
        <v>2017</v>
      </c>
      <c r="E3" s="7">
        <f>'Historical Financials'!E7</f>
        <v>2018</v>
      </c>
      <c r="F3" s="7">
        <f>'Historical Financials'!F7</f>
        <v>2019</v>
      </c>
      <c r="G3" s="7">
        <f>'Historical Financials'!G7</f>
        <v>2020</v>
      </c>
      <c r="H3" s="7">
        <f>'Historical Financials'!H7</f>
        <v>2021</v>
      </c>
      <c r="I3" s="7">
        <f>'Historical Financials'!I7</f>
        <v>2022</v>
      </c>
      <c r="J3" s="7">
        <f>'Historical Financials'!J7</f>
        <v>2023</v>
      </c>
      <c r="K3" s="7">
        <f>'Historical Financials'!K7</f>
        <v>2024</v>
      </c>
      <c r="L3" s="7">
        <f>'Historical Financials'!L7</f>
        <v>2025</v>
      </c>
      <c r="M3" s="3"/>
      <c r="N3" s="7" t="str">
        <f>'Historical Financials'!N7</f>
        <v>1Q22</v>
      </c>
      <c r="O3" s="7" t="str">
        <f>'Historical Financials'!O7</f>
        <v>2Q22</v>
      </c>
      <c r="P3" s="7" t="str">
        <f>'Historical Financials'!P7</f>
        <v>3Q22</v>
      </c>
      <c r="Q3" s="7" t="str">
        <f>'Historical Financials'!Q7</f>
        <v>4Q22</v>
      </c>
      <c r="R3" s="7" t="str">
        <f>'Historical Financials'!R7</f>
        <v>1Q23</v>
      </c>
      <c r="S3" s="7" t="str">
        <f>'Historical Financials'!S7</f>
        <v>2Q23</v>
      </c>
      <c r="T3" s="7" t="str">
        <f>'Historical Financials'!T7</f>
        <v>3Q23</v>
      </c>
      <c r="U3" s="7" t="str">
        <f>'Historical Financials'!U7</f>
        <v>4Q23</v>
      </c>
      <c r="V3" s="7" t="str">
        <f>'Historical Financials'!V7</f>
        <v>1Q24</v>
      </c>
      <c r="W3" s="7" t="str">
        <f>'Historical Financials'!W7</f>
        <v>2Q24</v>
      </c>
      <c r="X3" s="7" t="str">
        <f>'Historical Financials'!X7</f>
        <v>3Q24</v>
      </c>
      <c r="Y3" s="7" t="str">
        <f>'Historical Financials'!Y7</f>
        <v>4Q24</v>
      </c>
      <c r="Z3" s="7" t="str">
        <f>'Historical Financials'!Z7</f>
        <v>1Q25</v>
      </c>
      <c r="AA3" s="7" t="str">
        <f>'Historical Financials'!AA7</f>
        <v>2Q25</v>
      </c>
      <c r="AB3" s="7" t="str">
        <f>'Historical Financials'!AB7</f>
        <v>3Q25</v>
      </c>
      <c r="AC3" s="7" t="str">
        <f>'Historical Financials'!AC7</f>
        <v>4Q25</v>
      </c>
      <c r="AD3" s="3"/>
      <c r="AE3" s="4" t="str">
        <f>R3</f>
        <v>1Q23</v>
      </c>
      <c r="AF3" s="4" t="str">
        <f>S3</f>
        <v>2Q23</v>
      </c>
      <c r="AG3" s="4" t="str">
        <f>T3</f>
        <v>3Q23</v>
      </c>
      <c r="AH3" s="4" t="str">
        <f>U3</f>
        <v>4Q23</v>
      </c>
      <c r="AI3" s="4" t="str">
        <f>V3</f>
        <v>1Q24</v>
      </c>
      <c r="AJ3" s="4" t="str">
        <f>W3</f>
        <v>2Q24</v>
      </c>
      <c r="AK3" s="4" t="str">
        <f>X3</f>
        <v>3Q24</v>
      </c>
      <c r="AL3" s="4" t="str">
        <f>Y3</f>
        <v>4Q24</v>
      </c>
      <c r="AM3" s="4" t="str">
        <f>Z3</f>
        <v>1Q25</v>
      </c>
      <c r="AN3" s="4" t="str">
        <f>AA3</f>
        <v>2Q25</v>
      </c>
      <c r="AO3" s="4" t="str">
        <f>AB3</f>
        <v>3Q25</v>
      </c>
      <c r="AP3" s="4" t="str">
        <f>AC3</f>
        <v>4Q25</v>
      </c>
      <c r="AQ3" s="284"/>
    </row>
    <row r="4" spans="1:43">
      <c r="B4" s="303" t="s">
        <v>521</v>
      </c>
      <c r="C4" s="116">
        <f>'Historical Financials'!C8</f>
        <v>42643</v>
      </c>
      <c r="D4" s="116">
        <f>'Historical Financials'!D8</f>
        <v>43008</v>
      </c>
      <c r="E4" s="116">
        <f>'Historical Financials'!E8</f>
        <v>43372</v>
      </c>
      <c r="F4" s="116">
        <f>'Historical Financials'!F8</f>
        <v>43737</v>
      </c>
      <c r="G4" s="116">
        <f>'Historical Financials'!G8</f>
        <v>44104</v>
      </c>
      <c r="H4" s="116">
        <f>'Historical Financials'!H8</f>
        <v>44469</v>
      </c>
      <c r="I4" s="116">
        <f>'Historical Financials'!I8</f>
        <v>44834</v>
      </c>
      <c r="J4" s="116">
        <f>'Historical Financials'!J8</f>
        <v>45192</v>
      </c>
      <c r="K4" s="116">
        <f>'Historical Financials'!K8</f>
        <v>45559</v>
      </c>
      <c r="L4" s="116">
        <f>'Historical Financials'!L8</f>
        <v>45927</v>
      </c>
      <c r="M4" s="3"/>
      <c r="N4" s="116">
        <f>'Historical Financials'!N8</f>
        <v>44560</v>
      </c>
      <c r="O4" s="116">
        <f>'Historical Financials'!O8</f>
        <v>44650</v>
      </c>
      <c r="P4" s="116">
        <f>'Historical Financials'!P8</f>
        <v>44742</v>
      </c>
      <c r="Q4" s="116">
        <f>'Historical Financials'!Q8</f>
        <v>44834</v>
      </c>
      <c r="R4" s="116">
        <f>'Historical Financials'!R8</f>
        <v>44917</v>
      </c>
      <c r="S4" s="116">
        <f>'Historical Financials'!S8</f>
        <v>45008</v>
      </c>
      <c r="T4" s="116">
        <f>'Historical Financials'!T8</f>
        <v>45100</v>
      </c>
      <c r="U4" s="116">
        <f>'Historical Financials'!U8</f>
        <v>45192</v>
      </c>
      <c r="V4" s="116">
        <f>'Historical Financials'!V8</f>
        <v>45283</v>
      </c>
      <c r="W4" s="116">
        <f>'Historical Financials'!W8</f>
        <v>45375</v>
      </c>
      <c r="X4" s="116">
        <f>'Historical Financials'!X8</f>
        <v>45467</v>
      </c>
      <c r="Y4" s="116">
        <f>'Historical Financials'!Y8</f>
        <v>45559</v>
      </c>
      <c r="Z4" s="116">
        <f>'Historical Financials'!Z8</f>
        <v>45650</v>
      </c>
      <c r="AA4" s="116">
        <f>'Historical Financials'!AA8</f>
        <v>45741</v>
      </c>
      <c r="AB4" s="116">
        <f>'Historical Financials'!AB8</f>
        <v>45833</v>
      </c>
      <c r="AC4" s="116">
        <f>'Historical Financials'!AC8</f>
        <v>45927</v>
      </c>
      <c r="AD4" s="3"/>
      <c r="AE4" s="3">
        <f>R4</f>
        <v>44917</v>
      </c>
      <c r="AF4" s="3">
        <f>S4</f>
        <v>45008</v>
      </c>
      <c r="AG4" s="3">
        <f>T4</f>
        <v>45100</v>
      </c>
      <c r="AH4" s="3">
        <f>U4</f>
        <v>45192</v>
      </c>
      <c r="AI4" s="3">
        <f>V4</f>
        <v>45283</v>
      </c>
      <c r="AJ4" s="3">
        <f>W4</f>
        <v>45375</v>
      </c>
      <c r="AK4" s="3">
        <f>X4</f>
        <v>45467</v>
      </c>
      <c r="AL4" s="3">
        <f>Y4</f>
        <v>45559</v>
      </c>
      <c r="AM4" s="3">
        <f>Z4</f>
        <v>45650</v>
      </c>
      <c r="AN4" s="3">
        <f>AA4</f>
        <v>45741</v>
      </c>
      <c r="AO4" s="3">
        <f>AB4</f>
        <v>45833</v>
      </c>
      <c r="AP4" s="3">
        <f>AC4</f>
        <v>45927</v>
      </c>
      <c r="AQ4" s="284"/>
    </row>
    <row r="5" spans="1:43" ht="5.0999999999999996" customHeight="1"/>
    <row r="6" spans="1:43" s="8" customFormat="1" ht="12">
      <c r="A6" s="39" t="s">
        <v>24</v>
      </c>
      <c r="B6" s="1" t="s">
        <v>527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5.0999999999999996" customHeight="1"/>
    <row r="8" spans="1:43">
      <c r="B8" s="198" t="s">
        <v>65</v>
      </c>
      <c r="C8" s="431">
        <f>'Historical Financials'!C41</f>
        <v>15754</v>
      </c>
      <c r="D8" s="431">
        <f>'Historical Financials'!D41</f>
        <v>17874</v>
      </c>
      <c r="E8" s="431">
        <f>'Historical Financials'!E41</f>
        <v>23186</v>
      </c>
      <c r="F8" s="431">
        <f>'Historical Financials'!F41</f>
        <v>22926</v>
      </c>
      <c r="G8" s="431">
        <f>'Historical Financials'!G41</f>
        <v>16120</v>
      </c>
      <c r="H8" s="431">
        <f>'Historical Financials'!H41</f>
        <v>26278</v>
      </c>
      <c r="I8" s="431">
        <f>'Historical Financials'!I41</f>
        <v>28184</v>
      </c>
      <c r="J8" s="431">
        <f>'Historical Financials'!J41</f>
        <v>29508</v>
      </c>
      <c r="K8" s="431">
        <f>'Historical Financials'!K41</f>
        <v>66243</v>
      </c>
      <c r="L8" s="431">
        <f>'Historical Financials'!L41</f>
        <v>39777</v>
      </c>
      <c r="N8" s="431">
        <f>'Historical Financials'!N41</f>
        <v>30213</v>
      </c>
      <c r="O8" s="431">
        <f>'Historical Financials'!O41</f>
        <v>20815</v>
      </c>
      <c r="P8" s="431">
        <f>'Historical Financials'!P41</f>
        <v>21803</v>
      </c>
      <c r="Q8" s="431">
        <f>'Historical Financials'!Q41</f>
        <v>28184</v>
      </c>
      <c r="R8" s="431">
        <f>'Historical Financials'!R41</f>
        <v>23752</v>
      </c>
      <c r="S8" s="431">
        <f>'Historical Financials'!S41</f>
        <v>17936</v>
      </c>
      <c r="T8" s="431">
        <f>'Historical Financials'!T41</f>
        <v>19549</v>
      </c>
      <c r="U8" s="431">
        <f>'Historical Financials'!U41</f>
        <v>29508</v>
      </c>
      <c r="V8" s="431">
        <f>'Historical Financials'!V41</f>
        <v>23194</v>
      </c>
      <c r="W8" s="431">
        <f>'Historical Financials'!W41</f>
        <v>21837</v>
      </c>
      <c r="X8" s="431">
        <f>'Historical Financials'!X41</f>
        <v>22795</v>
      </c>
      <c r="Y8" s="431">
        <f>'Historical Financials'!Y41</f>
        <v>66243</v>
      </c>
      <c r="Z8" s="431">
        <f>'Historical Financials'!Z41</f>
        <v>29639</v>
      </c>
      <c r="AA8" s="431">
        <f>'Historical Financials'!AA41</f>
        <v>49798</v>
      </c>
      <c r="AB8" s="431">
        <f>'Historical Financials'!AB41</f>
        <v>46835</v>
      </c>
      <c r="AC8" s="431">
        <f>'Historical Financials'!AC41</f>
        <v>39777</v>
      </c>
      <c r="AE8" s="431">
        <f>'Historical Financials'!AE41</f>
        <v>23752</v>
      </c>
      <c r="AF8" s="431">
        <f>'Historical Financials'!AF41</f>
        <v>17936</v>
      </c>
      <c r="AG8" s="431">
        <f>'Historical Financials'!AG41</f>
        <v>19549</v>
      </c>
      <c r="AH8" s="431">
        <f>'Historical Financials'!AH41</f>
        <v>29508</v>
      </c>
      <c r="AI8" s="431">
        <f>'Historical Financials'!AI41</f>
        <v>23194</v>
      </c>
      <c r="AJ8" s="431">
        <f>'Historical Financials'!AJ41</f>
        <v>21837</v>
      </c>
      <c r="AK8" s="431">
        <f>'Historical Financials'!AK41</f>
        <v>22795</v>
      </c>
      <c r="AL8" s="431">
        <f>'Historical Financials'!AL41</f>
        <v>66243</v>
      </c>
      <c r="AM8" s="431">
        <f>'Historical Financials'!AM41</f>
        <v>29639</v>
      </c>
      <c r="AN8" s="431">
        <f>'Historical Financials'!AN41</f>
        <v>49798</v>
      </c>
      <c r="AO8" s="431">
        <f>'Historical Financials'!AO41</f>
        <v>46835</v>
      </c>
      <c r="AP8" s="431">
        <f>'Historical Financials'!AP41</f>
        <v>39777</v>
      </c>
    </row>
    <row r="9" spans="1:43">
      <c r="B9" s="198" t="s">
        <v>98</v>
      </c>
      <c r="C9" s="431">
        <f>'Historical Financials'!C42</f>
        <v>2132</v>
      </c>
      <c r="D9" s="431">
        <f>'Historical Financials'!D42</f>
        <v>4855</v>
      </c>
      <c r="E9" s="431">
        <f>'Historical Financials'!E42</f>
        <v>3956</v>
      </c>
      <c r="F9" s="431">
        <f>'Historical Financials'!F42</f>
        <v>4106</v>
      </c>
      <c r="G9" s="431">
        <f>'Historical Financials'!G42</f>
        <v>4061</v>
      </c>
      <c r="H9" s="431">
        <f>'Historical Financials'!H42</f>
        <v>6580</v>
      </c>
      <c r="I9" s="431">
        <f>'Historical Financials'!I42</f>
        <v>4946</v>
      </c>
      <c r="J9" s="431">
        <f>'Historical Financials'!J42</f>
        <v>6331</v>
      </c>
      <c r="K9" s="431">
        <f>'Historical Financials'!K42</f>
        <v>7286</v>
      </c>
      <c r="L9" s="431">
        <f>'Historical Financials'!L42</f>
        <v>5718</v>
      </c>
      <c r="N9" s="431">
        <f>'Historical Financials'!N42</f>
        <v>5876</v>
      </c>
      <c r="O9" s="431">
        <f>'Historical Financials'!O42</f>
        <v>5460</v>
      </c>
      <c r="P9" s="431">
        <f>'Historical Financials'!P42</f>
        <v>5433</v>
      </c>
      <c r="Q9" s="431">
        <f>'Historical Financials'!Q42</f>
        <v>4946</v>
      </c>
      <c r="R9" s="431">
        <f>'Historical Financials'!R42</f>
        <v>6820</v>
      </c>
      <c r="S9" s="431">
        <f>'Historical Financials'!S42</f>
        <v>7482</v>
      </c>
      <c r="T9" s="431">
        <f>'Historical Financials'!T42</f>
        <v>7351</v>
      </c>
      <c r="U9" s="431">
        <f>'Historical Financials'!U42</f>
        <v>6331</v>
      </c>
      <c r="V9" s="431">
        <f>'Historical Financials'!V42</f>
        <v>6511</v>
      </c>
      <c r="W9" s="431">
        <f>'Historical Financials'!W42</f>
        <v>6232</v>
      </c>
      <c r="X9" s="431">
        <f>'Historical Financials'!X42</f>
        <v>6165</v>
      </c>
      <c r="Y9" s="431">
        <f>'Historical Financials'!Y42</f>
        <v>7286</v>
      </c>
      <c r="Z9" s="431">
        <f>'Historical Financials'!Z42</f>
        <v>6911</v>
      </c>
      <c r="AA9" s="431">
        <f>'Historical Financials'!AA42</f>
        <v>6269</v>
      </c>
      <c r="AB9" s="431">
        <f>'Historical Financials'!AB42</f>
        <v>5925</v>
      </c>
      <c r="AC9" s="431">
        <f>'Historical Financials'!AC42</f>
        <v>5718</v>
      </c>
      <c r="AE9" s="431">
        <f>'Historical Financials'!AE42</f>
        <v>6820</v>
      </c>
      <c r="AF9" s="431">
        <f>'Historical Financials'!AF42</f>
        <v>7482</v>
      </c>
      <c r="AG9" s="431">
        <f>'Historical Financials'!AG42</f>
        <v>7351</v>
      </c>
      <c r="AH9" s="431">
        <f>'Historical Financials'!AH42</f>
        <v>6331</v>
      </c>
      <c r="AI9" s="431">
        <f>'Historical Financials'!AI42</f>
        <v>6511</v>
      </c>
      <c r="AJ9" s="431">
        <f>'Historical Financials'!AJ42</f>
        <v>6232</v>
      </c>
      <c r="AK9" s="431">
        <f>'Historical Financials'!AK42</f>
        <v>6165</v>
      </c>
      <c r="AL9" s="431">
        <f>'Historical Financials'!AL42</f>
        <v>7286</v>
      </c>
      <c r="AM9" s="431">
        <f>'Historical Financials'!AM42</f>
        <v>6911</v>
      </c>
      <c r="AN9" s="431">
        <f>'Historical Financials'!AN42</f>
        <v>6269</v>
      </c>
      <c r="AO9" s="431">
        <f>'Historical Financials'!AO42</f>
        <v>5925</v>
      </c>
      <c r="AP9" s="431">
        <f>'Historical Financials'!AP42</f>
        <v>5718</v>
      </c>
    </row>
    <row r="10" spans="1:43">
      <c r="B10" s="198" t="s">
        <v>225</v>
      </c>
      <c r="C10" s="431">
        <f>'Historical Financials'!C43</f>
        <v>21828</v>
      </c>
      <c r="D10" s="431">
        <f>'Historical Financials'!D43</f>
        <v>31735</v>
      </c>
      <c r="E10" s="431">
        <f>'Historical Financials'!E43</f>
        <v>37896</v>
      </c>
      <c r="F10" s="431">
        <f>'Historical Financials'!F43</f>
        <v>35230</v>
      </c>
      <c r="G10" s="431">
        <f>'Historical Financials'!G43</f>
        <v>32589</v>
      </c>
      <c r="H10" s="431">
        <f>'Historical Financials'!H43</f>
        <v>39339</v>
      </c>
      <c r="I10" s="431">
        <f>'Historical Financials'!I43</f>
        <v>53971</v>
      </c>
      <c r="J10" s="431">
        <f>'Historical Financials'!J43</f>
        <v>46172</v>
      </c>
      <c r="K10" s="431">
        <f>'Historical Financials'!K43</f>
        <v>14287</v>
      </c>
      <c r="L10" s="431">
        <f>'Historical Financials'!L43</f>
        <v>47765</v>
      </c>
      <c r="N10" s="431">
        <f>'Historical Financials'!N43</f>
        <v>53152</v>
      </c>
      <c r="O10" s="431">
        <f>'Historical Financials'!O43</f>
        <v>40394</v>
      </c>
      <c r="P10" s="431">
        <f>'Historical Financials'!P43</f>
        <v>36825</v>
      </c>
      <c r="Q10" s="431">
        <f>'Historical Financials'!Q43</f>
        <v>53971</v>
      </c>
      <c r="R10" s="431">
        <f>'Historical Financials'!R43</f>
        <v>46850</v>
      </c>
      <c r="S10" s="431">
        <f>'Historical Financials'!S43</f>
        <v>31623</v>
      </c>
      <c r="T10" s="431">
        <f>'Historical Financials'!T43</f>
        <v>33277</v>
      </c>
      <c r="U10" s="431">
        <f>'Historical Financials'!U43</f>
        <v>46172</v>
      </c>
      <c r="V10" s="431">
        <f>'Historical Financials'!V43</f>
        <v>40887</v>
      </c>
      <c r="W10" s="431">
        <f>'Historical Financials'!W43</f>
        <v>33197</v>
      </c>
      <c r="X10" s="431">
        <f>'Historical Financials'!X43</f>
        <v>34674</v>
      </c>
      <c r="Y10" s="431">
        <f>'Historical Financials'!Y43</f>
        <v>14287</v>
      </c>
      <c r="Z10" s="431">
        <f>'Historical Financials'!Z43</f>
        <v>42915</v>
      </c>
      <c r="AA10" s="431">
        <f>'Historical Financials'!AA43</f>
        <v>14109</v>
      </c>
      <c r="AB10" s="431">
        <f>'Historical Financials'!AB43</f>
        <v>14359</v>
      </c>
      <c r="AC10" s="431">
        <f>'Historical Financials'!AC43</f>
        <v>47765</v>
      </c>
      <c r="AE10" s="431">
        <f>'Historical Financials'!AE43</f>
        <v>46850</v>
      </c>
      <c r="AF10" s="431">
        <f>'Historical Financials'!AF43</f>
        <v>31623</v>
      </c>
      <c r="AG10" s="431">
        <f>'Historical Financials'!AG43</f>
        <v>33277</v>
      </c>
      <c r="AH10" s="431">
        <f>'Historical Financials'!AH43</f>
        <v>46172</v>
      </c>
      <c r="AI10" s="431">
        <f>'Historical Financials'!AI43</f>
        <v>40887</v>
      </c>
      <c r="AJ10" s="431">
        <f>'Historical Financials'!AJ43</f>
        <v>33197</v>
      </c>
      <c r="AK10" s="431">
        <f>'Historical Financials'!AK43</f>
        <v>34674</v>
      </c>
      <c r="AL10" s="431">
        <f>'Historical Financials'!AL43</f>
        <v>14287</v>
      </c>
      <c r="AM10" s="431">
        <f>'Historical Financials'!AM43</f>
        <v>42915</v>
      </c>
      <c r="AN10" s="431">
        <f>'Historical Financials'!AN43</f>
        <v>14109</v>
      </c>
      <c r="AO10" s="431">
        <f>'Historical Financials'!AO43</f>
        <v>14359</v>
      </c>
      <c r="AP10" s="431">
        <f>'Historical Financials'!AP43</f>
        <v>47765</v>
      </c>
    </row>
    <row r="11" spans="1:43">
      <c r="B11" s="14" t="s">
        <v>28</v>
      </c>
      <c r="C11" s="15">
        <f>SUM(C8:C10)</f>
        <v>39714</v>
      </c>
      <c r="D11" s="15">
        <f>SUM(D8:D10)</f>
        <v>54464</v>
      </c>
      <c r="E11" s="15">
        <f>SUM(E8:E10)</f>
        <v>65038</v>
      </c>
      <c r="F11" s="15">
        <f>SUM(F8:F10)</f>
        <v>62262</v>
      </c>
      <c r="G11" s="15">
        <f>SUM(G8:G10)</f>
        <v>52770</v>
      </c>
      <c r="H11" s="15">
        <f>SUM(H8:H10)</f>
        <v>72197</v>
      </c>
      <c r="I11" s="15">
        <f>SUM(I8:I10)</f>
        <v>87101</v>
      </c>
      <c r="J11" s="15">
        <f>SUM(J8:J10)</f>
        <v>82011</v>
      </c>
      <c r="K11" s="15">
        <f>SUM(K8:K10)</f>
        <v>87816</v>
      </c>
      <c r="L11" s="15">
        <f>SUM(L8:L10)</f>
        <v>93260</v>
      </c>
      <c r="N11" s="15">
        <f>SUM(N8:N10)</f>
        <v>89241</v>
      </c>
      <c r="O11" s="15">
        <f t="shared" ref="O11:AE11" si="0">SUM(O8:O10)</f>
        <v>66669</v>
      </c>
      <c r="P11" s="15">
        <f t="shared" si="0"/>
        <v>64061</v>
      </c>
      <c r="Q11" s="15">
        <f t="shared" si="0"/>
        <v>87101</v>
      </c>
      <c r="R11" s="15">
        <f t="shared" si="0"/>
        <v>77422</v>
      </c>
      <c r="S11" s="15">
        <f t="shared" si="0"/>
        <v>57041</v>
      </c>
      <c r="T11" s="15">
        <f t="shared" si="0"/>
        <v>60177</v>
      </c>
      <c r="U11" s="15">
        <f t="shared" si="0"/>
        <v>82011</v>
      </c>
      <c r="V11" s="15">
        <f t="shared" si="0"/>
        <v>70592</v>
      </c>
      <c r="W11" s="15">
        <f t="shared" si="0"/>
        <v>61266</v>
      </c>
      <c r="X11" s="15">
        <f t="shared" si="0"/>
        <v>63634</v>
      </c>
      <c r="Y11" s="15">
        <f t="shared" si="0"/>
        <v>87816</v>
      </c>
      <c r="Z11" s="15">
        <f t="shared" si="0"/>
        <v>79465</v>
      </c>
      <c r="AA11" s="15">
        <f t="shared" si="0"/>
        <v>70176</v>
      </c>
      <c r="AB11" s="15">
        <f t="shared" si="0"/>
        <v>67119</v>
      </c>
      <c r="AC11" s="15">
        <f t="shared" si="0"/>
        <v>93260</v>
      </c>
      <c r="AE11" s="15">
        <f t="shared" si="0"/>
        <v>77422</v>
      </c>
      <c r="AF11" s="15">
        <f t="shared" ref="AF11" si="1">SUM(AF8:AF10)</f>
        <v>57041</v>
      </c>
      <c r="AG11" s="15">
        <f t="shared" ref="AG11" si="2">SUM(AG8:AG10)</f>
        <v>60177</v>
      </c>
      <c r="AH11" s="15">
        <f t="shared" ref="AH11" si="3">SUM(AH8:AH10)</f>
        <v>82011</v>
      </c>
      <c r="AI11" s="15">
        <f t="shared" ref="AI11" si="4">SUM(AI8:AI10)</f>
        <v>70592</v>
      </c>
      <c r="AJ11" s="15">
        <f t="shared" ref="AJ11" si="5">SUM(AJ8:AJ10)</f>
        <v>61266</v>
      </c>
      <c r="AK11" s="15">
        <f t="shared" ref="AK11" si="6">SUM(AK8:AK10)</f>
        <v>63634</v>
      </c>
      <c r="AL11" s="15">
        <f t="shared" ref="AL11" si="7">SUM(AL8:AL10)</f>
        <v>87816</v>
      </c>
      <c r="AM11" s="15">
        <f t="shared" ref="AM11" si="8">SUM(AM8:AM10)</f>
        <v>79465</v>
      </c>
      <c r="AN11" s="15">
        <f t="shared" ref="AN11" si="9">SUM(AN8:AN10)</f>
        <v>70176</v>
      </c>
      <c r="AO11" s="15">
        <f t="shared" ref="AO11:AP11" si="10">SUM(AO8:AO10)</f>
        <v>67119</v>
      </c>
      <c r="AP11" s="15">
        <f t="shared" si="10"/>
        <v>93260</v>
      </c>
    </row>
    <row r="12" spans="1:43" ht="5.0999999999999996" customHeight="1">
      <c r="B12" s="8"/>
    </row>
    <row r="13" spans="1:43">
      <c r="B13" s="198" t="s">
        <v>66</v>
      </c>
      <c r="C13" s="431">
        <f>'Historical Financials'!C51</f>
        <v>37294</v>
      </c>
      <c r="D13" s="431">
        <f>'Historical Financials'!D51</f>
        <v>44242</v>
      </c>
      <c r="E13" s="431">
        <f>'Historical Financials'!E51</f>
        <v>55888</v>
      </c>
      <c r="F13" s="431">
        <f>'Historical Financials'!F51</f>
        <v>46236</v>
      </c>
      <c r="G13" s="431">
        <f>'Historical Financials'!G51</f>
        <v>42296</v>
      </c>
      <c r="H13" s="431">
        <f>'Historical Financials'!H51</f>
        <v>54763</v>
      </c>
      <c r="I13" s="431">
        <f>'Historical Financials'!I51</f>
        <v>64115</v>
      </c>
      <c r="J13" s="431">
        <f>'Historical Financials'!J51</f>
        <v>62611</v>
      </c>
      <c r="K13" s="431">
        <f>'Historical Financials'!K51</f>
        <v>68960</v>
      </c>
      <c r="L13" s="431">
        <f>'Historical Financials'!L51</f>
        <v>69860</v>
      </c>
      <c r="N13" s="431">
        <f>'Historical Financials'!N51</f>
        <v>74362</v>
      </c>
      <c r="O13" s="431">
        <f>'Historical Financials'!O51</f>
        <v>52682</v>
      </c>
      <c r="P13" s="431">
        <f>'Historical Financials'!P51</f>
        <v>48343</v>
      </c>
      <c r="Q13" s="431">
        <f>'Historical Financials'!Q51</f>
        <v>64115</v>
      </c>
      <c r="R13" s="431">
        <f>'Historical Financials'!R51</f>
        <v>57918</v>
      </c>
      <c r="S13" s="431">
        <f>'Historical Financials'!S51</f>
        <v>42945</v>
      </c>
      <c r="T13" s="431">
        <f>'Historical Financials'!T51</f>
        <v>46699</v>
      </c>
      <c r="U13" s="431">
        <f>'Historical Financials'!U51</f>
        <v>62611</v>
      </c>
      <c r="V13" s="431">
        <f>'Historical Financials'!V51</f>
        <v>58146</v>
      </c>
      <c r="W13" s="431">
        <f>'Historical Financials'!W51</f>
        <v>45753</v>
      </c>
      <c r="X13" s="431">
        <f>'Historical Financials'!X51</f>
        <v>47574</v>
      </c>
      <c r="Y13" s="431">
        <f>'Historical Financials'!Y51</f>
        <v>68960</v>
      </c>
      <c r="Z13" s="431">
        <f>'Historical Financials'!Z51</f>
        <v>61910</v>
      </c>
      <c r="AA13" s="431">
        <f>'Historical Financials'!AA51</f>
        <v>54126</v>
      </c>
      <c r="AB13" s="431">
        <f>'Historical Financials'!AB51</f>
        <v>50374</v>
      </c>
      <c r="AC13" s="431">
        <f>'Historical Financials'!AC51</f>
        <v>69860</v>
      </c>
      <c r="AE13" s="431">
        <f>'Historical Financials'!AE51</f>
        <v>57918</v>
      </c>
      <c r="AF13" s="431">
        <f>'Historical Financials'!AF51</f>
        <v>42945</v>
      </c>
      <c r="AG13" s="431">
        <f>'Historical Financials'!AG51</f>
        <v>46699</v>
      </c>
      <c r="AH13" s="431">
        <f>'Historical Financials'!AH51</f>
        <v>62611</v>
      </c>
      <c r="AI13" s="431">
        <f>'Historical Financials'!AI51</f>
        <v>58146</v>
      </c>
      <c r="AJ13" s="431">
        <f>'Historical Financials'!AJ51</f>
        <v>45753</v>
      </c>
      <c r="AK13" s="431">
        <f>'Historical Financials'!AK51</f>
        <v>47574</v>
      </c>
      <c r="AL13" s="431">
        <f>'Historical Financials'!AL51</f>
        <v>68960</v>
      </c>
      <c r="AM13" s="431">
        <f>'Historical Financials'!AM51</f>
        <v>61910</v>
      </c>
      <c r="AN13" s="431">
        <f>'Historical Financials'!AN51</f>
        <v>54126</v>
      </c>
      <c r="AO13" s="431">
        <f>'Historical Financials'!AO51</f>
        <v>50374</v>
      </c>
      <c r="AP13" s="431">
        <f>'Historical Financials'!AP51</f>
        <v>69860</v>
      </c>
    </row>
    <row r="14" spans="1:43">
      <c r="B14" s="198" t="s">
        <v>522</v>
      </c>
      <c r="C14" s="431">
        <f>'Historical Financials'!C52</f>
        <v>8080</v>
      </c>
      <c r="D14" s="431">
        <f>'Historical Financials'!D52</f>
        <v>7548</v>
      </c>
      <c r="E14" s="431">
        <f>'Historical Financials'!E52</f>
        <v>7543</v>
      </c>
      <c r="F14" s="431">
        <f>'Historical Financials'!F52</f>
        <v>5522</v>
      </c>
      <c r="G14" s="431">
        <f>'Historical Financials'!G52</f>
        <v>6643</v>
      </c>
      <c r="H14" s="431">
        <f>'Historical Financials'!H52</f>
        <v>7612</v>
      </c>
      <c r="I14" s="431">
        <f>'Historical Financials'!I52</f>
        <v>7912</v>
      </c>
      <c r="J14" s="431">
        <f>'Historical Financials'!J52</f>
        <v>8061</v>
      </c>
      <c r="K14" s="431">
        <f>'Historical Financials'!K52</f>
        <v>8249</v>
      </c>
      <c r="L14" s="431">
        <f>'Historical Financials'!L52</f>
        <v>9055</v>
      </c>
      <c r="N14" s="431">
        <f>'Historical Financials'!N52</f>
        <v>7876</v>
      </c>
      <c r="O14" s="431">
        <f>'Historical Financials'!O52</f>
        <v>7920</v>
      </c>
      <c r="P14" s="431">
        <f>'Historical Financials'!P52</f>
        <v>7728</v>
      </c>
      <c r="Q14" s="431">
        <f>'Historical Financials'!Q52</f>
        <v>7912</v>
      </c>
      <c r="R14" s="431">
        <f>'Historical Financials'!R52</f>
        <v>7992</v>
      </c>
      <c r="S14" s="431">
        <f>'Historical Financials'!S52</f>
        <v>8131</v>
      </c>
      <c r="T14" s="431">
        <f>'Historical Financials'!T52</f>
        <v>8158</v>
      </c>
      <c r="U14" s="431">
        <f>'Historical Financials'!U52</f>
        <v>8061</v>
      </c>
      <c r="V14" s="431">
        <f>'Historical Financials'!V52</f>
        <v>8264</v>
      </c>
      <c r="W14" s="431">
        <f>'Historical Financials'!W52</f>
        <v>8012</v>
      </c>
      <c r="X14" s="431">
        <f>'Historical Financials'!X52</f>
        <v>8053</v>
      </c>
      <c r="Y14" s="431">
        <f>'Historical Financials'!Y52</f>
        <v>8249</v>
      </c>
      <c r="Z14" s="431">
        <f>'Historical Financials'!Z52</f>
        <v>8461</v>
      </c>
      <c r="AA14" s="431">
        <f>'Historical Financials'!AA52</f>
        <v>8976</v>
      </c>
      <c r="AB14" s="431">
        <f>'Historical Financials'!AB52</f>
        <v>8979</v>
      </c>
      <c r="AC14" s="431">
        <f>'Historical Financials'!AC52</f>
        <v>9055</v>
      </c>
      <c r="AE14" s="431">
        <f>'Historical Financials'!AE52</f>
        <v>7992</v>
      </c>
      <c r="AF14" s="431">
        <f>'Historical Financials'!AF52</f>
        <v>8131</v>
      </c>
      <c r="AG14" s="431">
        <f>'Historical Financials'!AG52</f>
        <v>8158</v>
      </c>
      <c r="AH14" s="431">
        <f>'Historical Financials'!AH52</f>
        <v>8061</v>
      </c>
      <c r="AI14" s="431">
        <f>'Historical Financials'!AI52</f>
        <v>8264</v>
      </c>
      <c r="AJ14" s="431">
        <f>'Historical Financials'!AJ52</f>
        <v>8012</v>
      </c>
      <c r="AK14" s="431">
        <f>'Historical Financials'!AK52</f>
        <v>8053</v>
      </c>
      <c r="AL14" s="431">
        <f>'Historical Financials'!AL52</f>
        <v>8249</v>
      </c>
      <c r="AM14" s="431">
        <f>'Historical Financials'!AM52</f>
        <v>8461</v>
      </c>
      <c r="AN14" s="431">
        <f>'Historical Financials'!AN52</f>
        <v>8976</v>
      </c>
      <c r="AO14" s="431">
        <f>'Historical Financials'!AO52</f>
        <v>8979</v>
      </c>
      <c r="AP14" s="431">
        <f>'Historical Financials'!AP52</f>
        <v>9055</v>
      </c>
    </row>
    <row r="15" spans="1:43">
      <c r="B15" s="198" t="s">
        <v>523</v>
      </c>
      <c r="C15" s="431">
        <f>'Historical Financials'!C53</f>
        <v>22027</v>
      </c>
      <c r="D15" s="431">
        <f>'Historical Financials'!D53</f>
        <v>30551</v>
      </c>
      <c r="E15" s="431">
        <f>'Historical Financials'!E53</f>
        <v>32687</v>
      </c>
      <c r="F15" s="431">
        <f>'Historical Financials'!F53</f>
        <v>37720</v>
      </c>
      <c r="G15" s="431">
        <f>'Historical Financials'!G53</f>
        <v>42684</v>
      </c>
      <c r="H15" s="431">
        <f>'Historical Financials'!H53</f>
        <v>47493</v>
      </c>
      <c r="I15" s="431">
        <f>'Historical Financials'!I53</f>
        <v>60845</v>
      </c>
      <c r="J15" s="431">
        <f>'Historical Financials'!J53</f>
        <v>58829</v>
      </c>
      <c r="K15" s="431">
        <f>'Historical Financials'!K53</f>
        <v>78304</v>
      </c>
      <c r="L15" s="431">
        <f>'Historical Financials'!L53</f>
        <v>66387</v>
      </c>
      <c r="N15" s="431">
        <f>'Historical Financials'!N53</f>
        <v>49167</v>
      </c>
      <c r="O15" s="431">
        <f>'Historical Financials'!O53</f>
        <v>50248</v>
      </c>
      <c r="P15" s="431">
        <f>'Historical Financials'!P53</f>
        <v>48811</v>
      </c>
      <c r="Q15" s="431">
        <f>'Historical Financials'!Q53</f>
        <v>60845</v>
      </c>
      <c r="R15" s="431">
        <f>'Historical Financials'!R53</f>
        <v>59893</v>
      </c>
      <c r="S15" s="431">
        <f>'Historical Financials'!S53</f>
        <v>56425</v>
      </c>
      <c r="T15" s="431">
        <f>'Historical Financials'!T53</f>
        <v>58897</v>
      </c>
      <c r="U15" s="431">
        <f>'Historical Financials'!U53</f>
        <v>58829</v>
      </c>
      <c r="V15" s="431">
        <f>'Historical Financials'!V53</f>
        <v>54611</v>
      </c>
      <c r="W15" s="431">
        <f>'Historical Financials'!W53</f>
        <v>57298</v>
      </c>
      <c r="X15" s="431">
        <f>'Historical Financials'!X53</f>
        <v>60889</v>
      </c>
      <c r="Y15" s="431">
        <f>'Historical Financials'!Y53</f>
        <v>78304</v>
      </c>
      <c r="Z15" s="431">
        <f>'Historical Financials'!Z53</f>
        <v>61151</v>
      </c>
      <c r="AA15" s="431">
        <f>'Historical Financials'!AA53</f>
        <v>61849</v>
      </c>
      <c r="AB15" s="431">
        <f>'Historical Financials'!AB53</f>
        <v>62499</v>
      </c>
      <c r="AC15" s="431">
        <f>'Historical Financials'!AC53</f>
        <v>66387</v>
      </c>
      <c r="AE15" s="431">
        <f>'Historical Financials'!AE53</f>
        <v>59893</v>
      </c>
      <c r="AF15" s="431">
        <f>'Historical Financials'!AF53</f>
        <v>56425</v>
      </c>
      <c r="AG15" s="431">
        <f>'Historical Financials'!AG53</f>
        <v>58897</v>
      </c>
      <c r="AH15" s="431">
        <f>'Historical Financials'!AH53</f>
        <v>58829</v>
      </c>
      <c r="AI15" s="431">
        <f>'Historical Financials'!AI53</f>
        <v>54611</v>
      </c>
      <c r="AJ15" s="431">
        <f>'Historical Financials'!AJ53</f>
        <v>57298</v>
      </c>
      <c r="AK15" s="431">
        <f>'Historical Financials'!AK53</f>
        <v>60889</v>
      </c>
      <c r="AL15" s="431">
        <f>'Historical Financials'!AL53</f>
        <v>78304</v>
      </c>
      <c r="AM15" s="431">
        <f>'Historical Financials'!AM53</f>
        <v>61151</v>
      </c>
      <c r="AN15" s="431">
        <f>'Historical Financials'!AN53</f>
        <v>61849</v>
      </c>
      <c r="AO15" s="431">
        <f>'Historical Financials'!AO53</f>
        <v>62499</v>
      </c>
      <c r="AP15" s="431">
        <f>'Historical Financials'!AP53</f>
        <v>66387</v>
      </c>
    </row>
    <row r="16" spans="1:43">
      <c r="B16" s="14" t="s">
        <v>524</v>
      </c>
      <c r="C16" s="15">
        <f>SUM(C13:C15)</f>
        <v>67401</v>
      </c>
      <c r="D16" s="15">
        <f>SUM(D13:D15)</f>
        <v>82341</v>
      </c>
      <c r="E16" s="15">
        <f>SUM(E13:E15)</f>
        <v>96118</v>
      </c>
      <c r="F16" s="15">
        <f>SUM(F13:F15)</f>
        <v>89478</v>
      </c>
      <c r="G16" s="15">
        <f>SUM(G13:G15)</f>
        <v>91623</v>
      </c>
      <c r="H16" s="15">
        <f>SUM(H13:H15)</f>
        <v>109868</v>
      </c>
      <c r="I16" s="15">
        <f>SUM(I13:I15)</f>
        <v>132872</v>
      </c>
      <c r="J16" s="15">
        <f>SUM(J13:J15)</f>
        <v>129501</v>
      </c>
      <c r="K16" s="15">
        <f>SUM(K13:K15)</f>
        <v>155513</v>
      </c>
      <c r="L16" s="15">
        <f>SUM(L13:L15)</f>
        <v>145302</v>
      </c>
      <c r="N16" s="15">
        <f>SUM(N13:N15)</f>
        <v>131405</v>
      </c>
      <c r="O16" s="15">
        <f t="shared" ref="O16:AE16" si="11">SUM(O13:O15)</f>
        <v>110850</v>
      </c>
      <c r="P16" s="15">
        <f t="shared" si="11"/>
        <v>104882</v>
      </c>
      <c r="Q16" s="15">
        <f t="shared" si="11"/>
        <v>132872</v>
      </c>
      <c r="R16" s="15">
        <f t="shared" si="11"/>
        <v>125803</v>
      </c>
      <c r="S16" s="15">
        <f t="shared" si="11"/>
        <v>107501</v>
      </c>
      <c r="T16" s="15">
        <f t="shared" si="11"/>
        <v>113754</v>
      </c>
      <c r="U16" s="15">
        <f t="shared" si="11"/>
        <v>129501</v>
      </c>
      <c r="V16" s="15">
        <f t="shared" si="11"/>
        <v>121021</v>
      </c>
      <c r="W16" s="15">
        <f t="shared" si="11"/>
        <v>111063</v>
      </c>
      <c r="X16" s="15">
        <f t="shared" si="11"/>
        <v>116516</v>
      </c>
      <c r="Y16" s="15">
        <f t="shared" si="11"/>
        <v>155513</v>
      </c>
      <c r="Z16" s="15">
        <f t="shared" si="11"/>
        <v>131522</v>
      </c>
      <c r="AA16" s="15">
        <f t="shared" si="11"/>
        <v>124951</v>
      </c>
      <c r="AB16" s="15">
        <f t="shared" si="11"/>
        <v>121852</v>
      </c>
      <c r="AC16" s="15">
        <f t="shared" si="11"/>
        <v>145302</v>
      </c>
      <c r="AE16" s="15">
        <f t="shared" si="11"/>
        <v>125803</v>
      </c>
      <c r="AF16" s="15">
        <f t="shared" ref="AF16" si="12">SUM(AF13:AF15)</f>
        <v>107501</v>
      </c>
      <c r="AG16" s="15">
        <f t="shared" ref="AG16" si="13">SUM(AG13:AG15)</f>
        <v>113754</v>
      </c>
      <c r="AH16" s="15">
        <f t="shared" ref="AH16" si="14">SUM(AH13:AH15)</f>
        <v>129501</v>
      </c>
      <c r="AI16" s="15">
        <f t="shared" ref="AI16" si="15">SUM(AI13:AI15)</f>
        <v>121021</v>
      </c>
      <c r="AJ16" s="15">
        <f t="shared" ref="AJ16" si="16">SUM(AJ13:AJ15)</f>
        <v>111063</v>
      </c>
      <c r="AK16" s="15">
        <f t="shared" ref="AK16" si="17">SUM(AK13:AK15)</f>
        <v>116516</v>
      </c>
      <c r="AL16" s="15">
        <f t="shared" ref="AL16" si="18">SUM(AL13:AL15)</f>
        <v>155513</v>
      </c>
      <c r="AM16" s="15">
        <f t="shared" ref="AM16" si="19">SUM(AM13:AM15)</f>
        <v>131522</v>
      </c>
      <c r="AN16" s="15">
        <f t="shared" ref="AN16" si="20">SUM(AN13:AN15)</f>
        <v>124951</v>
      </c>
      <c r="AO16" s="15">
        <f t="shared" ref="AO16:AP16" si="21">SUM(AO13:AO15)</f>
        <v>121852</v>
      </c>
      <c r="AP16" s="15">
        <f t="shared" si="21"/>
        <v>145302</v>
      </c>
    </row>
    <row r="17" spans="1:43" s="334" customFormat="1" ht="5.0999999999999996" customHeight="1">
      <c r="B17" s="418"/>
      <c r="C17" s="419"/>
      <c r="D17" s="419"/>
      <c r="E17" s="419"/>
      <c r="F17" s="419"/>
      <c r="G17" s="419"/>
      <c r="H17" s="419"/>
      <c r="I17" s="419"/>
      <c r="J17" s="419"/>
      <c r="K17" s="419"/>
      <c r="L17" s="419"/>
    </row>
    <row r="18" spans="1:43">
      <c r="B18" s="422" t="s">
        <v>514</v>
      </c>
      <c r="C18" s="423">
        <f>C11-C16</f>
        <v>-27687</v>
      </c>
      <c r="D18" s="423">
        <f t="shared" ref="D18:K18" si="22">D11-D16</f>
        <v>-27877</v>
      </c>
      <c r="E18" s="423">
        <f t="shared" si="22"/>
        <v>-31080</v>
      </c>
      <c r="F18" s="423">
        <f t="shared" si="22"/>
        <v>-27216</v>
      </c>
      <c r="G18" s="423">
        <f t="shared" si="22"/>
        <v>-38853</v>
      </c>
      <c r="H18" s="423">
        <f t="shared" si="22"/>
        <v>-37671</v>
      </c>
      <c r="I18" s="423">
        <f t="shared" si="22"/>
        <v>-45771</v>
      </c>
      <c r="J18" s="423">
        <f t="shared" si="22"/>
        <v>-47490</v>
      </c>
      <c r="K18" s="423">
        <f t="shared" si="22"/>
        <v>-67697</v>
      </c>
      <c r="L18" s="423">
        <f t="shared" ref="L18" si="23">L11-L16</f>
        <v>-52042</v>
      </c>
      <c r="M18" s="424"/>
      <c r="N18" s="423">
        <f t="shared" ref="N18:O18" si="24">N11-N16</f>
        <v>-42164</v>
      </c>
      <c r="O18" s="423">
        <f t="shared" si="24"/>
        <v>-44181</v>
      </c>
      <c r="P18" s="423">
        <f t="shared" ref="P18:AE18" si="25">P11-P16</f>
        <v>-40821</v>
      </c>
      <c r="Q18" s="423">
        <f t="shared" si="25"/>
        <v>-45771</v>
      </c>
      <c r="R18" s="423">
        <f t="shared" si="25"/>
        <v>-48381</v>
      </c>
      <c r="S18" s="423">
        <f t="shared" si="25"/>
        <v>-50460</v>
      </c>
      <c r="T18" s="423">
        <f t="shared" si="25"/>
        <v>-53577</v>
      </c>
      <c r="U18" s="423">
        <f t="shared" si="25"/>
        <v>-47490</v>
      </c>
      <c r="V18" s="423">
        <f t="shared" si="25"/>
        <v>-50429</v>
      </c>
      <c r="W18" s="423">
        <f t="shared" si="25"/>
        <v>-49797</v>
      </c>
      <c r="X18" s="423">
        <f t="shared" si="25"/>
        <v>-52882</v>
      </c>
      <c r="Y18" s="423">
        <f t="shared" si="25"/>
        <v>-67697</v>
      </c>
      <c r="Z18" s="423">
        <f t="shared" si="25"/>
        <v>-52057</v>
      </c>
      <c r="AA18" s="423">
        <f t="shared" si="25"/>
        <v>-54775</v>
      </c>
      <c r="AB18" s="423">
        <f t="shared" si="25"/>
        <v>-54733</v>
      </c>
      <c r="AC18" s="423">
        <f t="shared" ref="AC18" si="26">AC11-AC16</f>
        <v>-52042</v>
      </c>
      <c r="AD18" s="424"/>
      <c r="AE18" s="423">
        <f t="shared" si="25"/>
        <v>-48381</v>
      </c>
      <c r="AF18" s="423">
        <f t="shared" ref="AF18:AO18" si="27">AF11-AF16</f>
        <v>-50460</v>
      </c>
      <c r="AG18" s="423">
        <f t="shared" si="27"/>
        <v>-53577</v>
      </c>
      <c r="AH18" s="423">
        <f t="shared" si="27"/>
        <v>-47490</v>
      </c>
      <c r="AI18" s="423">
        <f t="shared" si="27"/>
        <v>-50429</v>
      </c>
      <c r="AJ18" s="423">
        <f t="shared" si="27"/>
        <v>-49797</v>
      </c>
      <c r="AK18" s="423">
        <f t="shared" si="27"/>
        <v>-52882</v>
      </c>
      <c r="AL18" s="423">
        <f t="shared" si="27"/>
        <v>-67697</v>
      </c>
      <c r="AM18" s="423">
        <f t="shared" si="27"/>
        <v>-52057</v>
      </c>
      <c r="AN18" s="423">
        <f t="shared" si="27"/>
        <v>-54775</v>
      </c>
      <c r="AO18" s="423">
        <f t="shared" si="27"/>
        <v>-54733</v>
      </c>
      <c r="AP18" s="430">
        <f t="shared" ref="AP18" si="28">AP11-AP16</f>
        <v>-52042</v>
      </c>
    </row>
    <row r="19" spans="1:43">
      <c r="B19" s="425" t="s">
        <v>515</v>
      </c>
      <c r="C19" s="428" t="s">
        <v>46</v>
      </c>
      <c r="D19" s="426">
        <f>SUM(D18-C18)</f>
        <v>-190</v>
      </c>
      <c r="E19" s="426">
        <f t="shared" ref="E19:L19" si="29">SUM(E18-D18)</f>
        <v>-3203</v>
      </c>
      <c r="F19" s="426">
        <f t="shared" si="29"/>
        <v>3864</v>
      </c>
      <c r="G19" s="426">
        <f t="shared" si="29"/>
        <v>-11637</v>
      </c>
      <c r="H19" s="426">
        <f t="shared" si="29"/>
        <v>1182</v>
      </c>
      <c r="I19" s="426">
        <f t="shared" si="29"/>
        <v>-8100</v>
      </c>
      <c r="J19" s="426">
        <f t="shared" si="29"/>
        <v>-1719</v>
      </c>
      <c r="K19" s="426">
        <f t="shared" si="29"/>
        <v>-20207</v>
      </c>
      <c r="L19" s="426">
        <f t="shared" si="29"/>
        <v>15655</v>
      </c>
      <c r="M19" s="427"/>
      <c r="N19" s="428" t="s">
        <v>46</v>
      </c>
      <c r="O19" s="426">
        <f t="shared" ref="O19" si="30">SUM(O18-N18)</f>
        <v>-2017</v>
      </c>
      <c r="P19" s="426">
        <f t="shared" ref="P19" si="31">SUM(P18-O18)</f>
        <v>3360</v>
      </c>
      <c r="Q19" s="426">
        <f t="shared" ref="Q19" si="32">SUM(Q18-P18)</f>
        <v>-4950</v>
      </c>
      <c r="R19" s="426">
        <f t="shared" ref="R19" si="33">SUM(R18-Q18)</f>
        <v>-2610</v>
      </c>
      <c r="S19" s="426">
        <f t="shared" ref="S19" si="34">SUM(S18-R18)</f>
        <v>-2079</v>
      </c>
      <c r="T19" s="426">
        <f t="shared" ref="T19" si="35">SUM(T18-S18)</f>
        <v>-3117</v>
      </c>
      <c r="U19" s="426">
        <f t="shared" ref="U19" si="36">SUM(U18-T18)</f>
        <v>6087</v>
      </c>
      <c r="V19" s="426">
        <f t="shared" ref="V19" si="37">SUM(V18-U18)</f>
        <v>-2939</v>
      </c>
      <c r="W19" s="426">
        <f t="shared" ref="W19" si="38">SUM(W18-V18)</f>
        <v>632</v>
      </c>
      <c r="X19" s="426">
        <f t="shared" ref="X19" si="39">SUM(X18-W18)</f>
        <v>-3085</v>
      </c>
      <c r="Y19" s="426">
        <f t="shared" ref="Y19" si="40">SUM(Y18-X18)</f>
        <v>-14815</v>
      </c>
      <c r="Z19" s="426">
        <f t="shared" ref="Z19" si="41">SUM(Z18-Y18)</f>
        <v>15640</v>
      </c>
      <c r="AA19" s="426">
        <f t="shared" ref="AA19" si="42">SUM(AA18-Z18)</f>
        <v>-2718</v>
      </c>
      <c r="AB19" s="426">
        <f t="shared" ref="AB19:AC19" si="43">SUM(AB18-AA18)</f>
        <v>42</v>
      </c>
      <c r="AC19" s="426">
        <f t="shared" si="43"/>
        <v>2691</v>
      </c>
      <c r="AD19" s="427"/>
      <c r="AE19" s="428" t="s">
        <v>46</v>
      </c>
      <c r="AF19" s="426">
        <f t="shared" ref="AF19" si="44">SUM(AF18-AE18)</f>
        <v>-2079</v>
      </c>
      <c r="AG19" s="426">
        <f t="shared" ref="AG19" si="45">SUM(AG18-AF18)</f>
        <v>-3117</v>
      </c>
      <c r="AH19" s="426">
        <f t="shared" ref="AH19" si="46">SUM(AH18-AG18)</f>
        <v>6087</v>
      </c>
      <c r="AI19" s="426">
        <f t="shared" ref="AI19" si="47">SUM(AI18-AH18)</f>
        <v>-2939</v>
      </c>
      <c r="AJ19" s="426">
        <f t="shared" ref="AJ19" si="48">SUM(AJ18-AI18)</f>
        <v>632</v>
      </c>
      <c r="AK19" s="426">
        <f t="shared" ref="AK19" si="49">SUM(AK18-AJ18)</f>
        <v>-3085</v>
      </c>
      <c r="AL19" s="426">
        <f t="shared" ref="AL19" si="50">SUM(AL18-AK18)</f>
        <v>-14815</v>
      </c>
      <c r="AM19" s="426">
        <f>SUM(AM18-AL18)</f>
        <v>15640</v>
      </c>
      <c r="AN19" s="426">
        <f t="shared" ref="AN19" si="51">SUM(AN18-AM18)</f>
        <v>-2718</v>
      </c>
      <c r="AO19" s="426">
        <f t="shared" ref="AO19:AP19" si="52">SUM(AO18-AN18)</f>
        <v>42</v>
      </c>
      <c r="AP19" s="429">
        <f t="shared" si="52"/>
        <v>2691</v>
      </c>
    </row>
    <row r="20" spans="1:43" ht="5.0999999999999996" customHeight="1">
      <c r="B20" s="8"/>
    </row>
    <row r="21" spans="1:43">
      <c r="B21" s="298" t="s">
        <v>519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43"/>
    </row>
    <row r="22" spans="1:43">
      <c r="B22" s="291" t="s">
        <v>516</v>
      </c>
      <c r="C22" s="432" t="s">
        <v>46</v>
      </c>
      <c r="D22" s="433" cm="1">
        <f t="array" ref="D22">AVERAGE(C8:D8/'Historical Financials'!D10)*360</f>
        <v>26.405507036478006</v>
      </c>
      <c r="E22" s="433" cm="1">
        <f t="array" ref="E22">AVERAGE(D8:E8/'Historical Financials'!E10)*360</f>
        <v>27.827331086805099</v>
      </c>
      <c r="F22" s="433" cm="1">
        <f t="array" ref="F22">AVERAGE(E8:F8/'Historical Financials'!F10)*360</f>
        <v>31.902342278628918</v>
      </c>
      <c r="G22" s="433" cm="1">
        <f t="array" ref="G22">AVERAGE(F8:G8/'Historical Financials'!G10)*360</f>
        <v>25.602535380580296</v>
      </c>
      <c r="H22" s="433" cm="1">
        <f t="array" ref="H22">AVERAGE(G8:H8/'Historical Financials'!H10)*360</f>
        <v>20.861906363017575</v>
      </c>
      <c r="I22" s="433" cm="1">
        <f t="array" ref="I22">AVERAGE(H8:I8/'Historical Financials'!I10)*360</f>
        <v>24.860420766468522</v>
      </c>
      <c r="J22" s="433" cm="1">
        <f t="array" ref="J22">AVERAGE(I8:J8/'Historical Financials'!J10)*360</f>
        <v>27.093572667858119</v>
      </c>
      <c r="K22" s="433" cm="1">
        <f t="array" ref="K22">AVERAGE(J8:K8/'Historical Financials'!K10)*360</f>
        <v>44.075798841535928</v>
      </c>
      <c r="L22" s="433" cm="1">
        <f t="array" ref="L22">AVERAGE(K8:L8/'Historical Financials'!L10)*360</f>
        <v>45.856291194994249</v>
      </c>
      <c r="M22" s="381"/>
      <c r="N22" s="432" t="s">
        <v>46</v>
      </c>
      <c r="O22" s="433" cm="1">
        <f t="array" ref="O22">AVERAGE(N8:O8/('Historical Financials'!O10*4)*360)</f>
        <v>23.605131684450747</v>
      </c>
      <c r="P22" s="433" cm="1">
        <f t="array" ref="P22">AVERAGE(O8:P8/('Historical Financials'!P10*4)*360)</f>
        <v>23.11756409792789</v>
      </c>
      <c r="Q22" s="433" cm="1">
        <f t="array" ref="Q22">AVERAGE(P8:Q8/('Historical Financials'!Q10*4)*360)</f>
        <v>24.95302065538127</v>
      </c>
      <c r="R22" s="433" cm="1">
        <f t="array" ref="R22">AVERAGE(Q8:R8/('Historical Financials'!R10*4)*360)</f>
        <v>19.949126790378479</v>
      </c>
      <c r="S22" s="433" cm="1">
        <f t="array" ref="S22">AVERAGE(R8:S8/('Historical Financials'!S10*4)*360)</f>
        <v>19.781095786410226</v>
      </c>
      <c r="T22" s="433" cm="1">
        <f t="array" ref="T22">AVERAGE(S8:T8/('Historical Financials'!T10*4)*360)</f>
        <v>20.622088829663682</v>
      </c>
      <c r="U22" s="433" cm="1">
        <f t="array" ref="U22">AVERAGE(T8:U8/('Historical Financials'!U10*4)*360)</f>
        <v>24.666081923618407</v>
      </c>
      <c r="V22" s="433" cm="1">
        <f t="array" ref="V22">AVERAGE(U8:V8/('Historical Financials'!V10*4)*360)</f>
        <v>19.833493623249009</v>
      </c>
      <c r="W22" s="433" cm="1">
        <f t="array" ref="W22">AVERAGE(V8:W8/('Historical Financials'!W10*4)*360)</f>
        <v>22.328683349310765</v>
      </c>
      <c r="X22" s="433" cm="1">
        <f t="array" ref="X22">AVERAGE(W8:X8/('Historical Financials'!X10*4)*360)</f>
        <v>23.414668267717452</v>
      </c>
      <c r="Y22" s="433" cm="1">
        <f t="array" ref="Y22">AVERAGE(X8:Y8/('Historical Financials'!Y10*4)*360)</f>
        <v>42.206994627620354</v>
      </c>
      <c r="Z22" s="433" cm="1">
        <f t="array" ref="Z22">AVERAGE(Y8:Z8/('Historical Financials'!Z10*4)*360)</f>
        <v>34.711906677393401</v>
      </c>
      <c r="AA22" s="433" cm="1">
        <f t="array" ref="AA22">AVERAGE(Z8:AA8/('Historical Financials'!AA10*4)*360)</f>
        <v>37.486393523422016</v>
      </c>
      <c r="AB22" s="433" cm="1">
        <f t="array" ref="AB22">AVERAGE(AA8:AB8/('Historical Financials'!AB10*4)*360)</f>
        <v>46.242768726870558</v>
      </c>
      <c r="AC22" s="433" cm="1">
        <f t="array" ref="AC22">AVERAGE(AB8:AC8/('Historical Financials'!AC10*4)*360)</f>
        <v>38.037397770967928</v>
      </c>
      <c r="AD22" s="381"/>
      <c r="AE22" s="432" t="s">
        <v>46</v>
      </c>
      <c r="AF22" s="433" cm="1">
        <f t="array" ref="AF22">AVERAGE(AE8:AF8/'Historical Financials'!AF10)*360</f>
        <v>19.48568535036809</v>
      </c>
      <c r="AG22" s="433" cm="1">
        <f t="array" ref="AG22">AVERAGE(AF8:AG8/'Historical Financials'!AG10)*360</f>
        <v>17.57416007480472</v>
      </c>
      <c r="AH22" s="433" cm="1">
        <f t="array" ref="AH22">AVERAGE(AG8:AH8/'Historical Financials'!AH10)*360</f>
        <v>23.038365706980446</v>
      </c>
      <c r="AI22" s="433" cm="1">
        <f t="array" ref="AI22">AVERAGE(AH8:AI8/'Historical Financials'!AI10)*360</f>
        <v>24.594794999299985</v>
      </c>
      <c r="AJ22" s="433" cm="1">
        <f t="array" ref="AJ22">AVERAGE(AI8:AJ8/'Historical Financials'!AJ10)*360</f>
        <v>21.239757561782177</v>
      </c>
      <c r="AK22" s="433" cm="1">
        <f t="array" ref="AK22">AVERAGE(AJ8:AK8/'Historical Financials'!AK10)*360</f>
        <v>20.834277741615082</v>
      </c>
      <c r="AL22" s="433" cm="1">
        <f t="array" ref="AL22">AVERAGE(AK8:AL8/'Historical Financials'!AL10)*360</f>
        <v>40.985691817867966</v>
      </c>
      <c r="AM22" s="433" cm="1">
        <f t="array" ref="AM22">AVERAGE(AL8:AM8/'Historical Financials'!AM10)*360</f>
        <v>43.609157064887803</v>
      </c>
      <c r="AN22" s="433" cm="1">
        <f t="array" ref="AN22">AVERAGE(AM8:AN8/'Historical Financials'!AN10)*360</f>
        <v>35.713971715879971</v>
      </c>
      <c r="AO22" s="433" cm="1">
        <f t="array" ref="AO22">AVERAGE(AN8:AO8/'Historical Financials'!AO10)*360</f>
        <v>42.566999082288163</v>
      </c>
      <c r="AP22" s="439" cm="1">
        <f t="array" ref="AP22">AVERAGE(AO8:AP8/'Historical Financials'!AP10)*360</f>
        <v>37.461847698366739</v>
      </c>
    </row>
    <row r="23" spans="1:43">
      <c r="B23" s="291" t="s">
        <v>525</v>
      </c>
      <c r="C23" s="432" t="s">
        <v>46</v>
      </c>
      <c r="D23" s="434">
        <f>('Historical Financials'!D10)/AVERAGE(C9:D9)</f>
        <v>65.617289251467014</v>
      </c>
      <c r="E23" s="434">
        <f>('Historical Financials'!E10)/AVERAGE(D9:E9)</f>
        <v>60.287141073657928</v>
      </c>
      <c r="F23" s="434">
        <f>('Historical Financials'!F10)/AVERAGE(E9:F9)</f>
        <v>64.543289506325976</v>
      </c>
      <c r="G23" s="434">
        <f>('Historical Financials'!G10)/AVERAGE(F9:G9)</f>
        <v>67.225419370637937</v>
      </c>
      <c r="H23" s="434">
        <f>('Historical Financials'!H10)/AVERAGE(G9:H9)</f>
        <v>68.756131942486604</v>
      </c>
      <c r="I23" s="434">
        <f>('Historical Financials'!I10)/AVERAGE(H9:I9)</f>
        <v>68.42408467811903</v>
      </c>
      <c r="J23" s="434">
        <f>('Historical Financials'!J10)/AVERAGE(I9:J9)</f>
        <v>67.976412166356297</v>
      </c>
      <c r="K23" s="434">
        <f>('Historical Financials'!K10)/AVERAGE(J9:K9)</f>
        <v>57.433355364617761</v>
      </c>
      <c r="L23" s="434">
        <f>('Historical Financials'!L10)/AVERAGE(K9:L9)</f>
        <v>64.005075361427259</v>
      </c>
      <c r="M23" s="381"/>
      <c r="N23" s="432" t="s">
        <v>46</v>
      </c>
      <c r="O23" s="434">
        <f>('Historical Financials'!O10*4)/AVERAGE(N9:O9)</f>
        <v>68.65067043048694</v>
      </c>
      <c r="P23" s="434">
        <f>('Historical Financials'!P10*4)/AVERAGE(O9:P9)</f>
        <v>60.926466538143764</v>
      </c>
      <c r="Q23" s="434">
        <f>('Historical Financials'!Q10*4)/AVERAGE(P9:Q9)</f>
        <v>69.483379901724632</v>
      </c>
      <c r="R23" s="434">
        <f>('Historical Financials'!R10*4)/AVERAGE(Q9:R9)</f>
        <v>79.655957844637086</v>
      </c>
      <c r="S23" s="434">
        <f>('Historical Financials'!S10*4)/AVERAGE(R9:S9)</f>
        <v>53.047685638372258</v>
      </c>
      <c r="T23" s="434">
        <f>('Historical Financials'!T10*4)/AVERAGE(S9:T9)</f>
        <v>44.116227330951254</v>
      </c>
      <c r="U23" s="434">
        <f>('Historical Financials'!U10*4)/AVERAGE(T9:U9)</f>
        <v>52.330361058324804</v>
      </c>
      <c r="V23" s="434">
        <f>('Historical Financials'!V10*4)/AVERAGE(U9:V9)</f>
        <v>74.489954835695372</v>
      </c>
      <c r="W23" s="434">
        <f>('Historical Financials'!W10*4)/AVERAGE(V9:W9)</f>
        <v>56.974338852703447</v>
      </c>
      <c r="X23" s="434">
        <f>('Historical Financials'!X10*4)/AVERAGE(W9:X9)</f>
        <v>55.353391949665244</v>
      </c>
      <c r="Y23" s="434">
        <f>('Historical Financials'!Y10*4)/AVERAGE(X9:Y9)</f>
        <v>56.45974277005427</v>
      </c>
      <c r="Z23" s="434">
        <f>('Historical Financials'!Z10*4)/AVERAGE(Y9:Z9)</f>
        <v>70.042966823976897</v>
      </c>
      <c r="AA23" s="434">
        <f>('Historical Financials'!AA10*4)/AVERAGE(Z9:AA9)</f>
        <v>57.88103186646434</v>
      </c>
      <c r="AB23" s="434">
        <f>('Historical Financials'!AB10*4)/AVERAGE(AA9:AB9)</f>
        <v>61.693291782844021</v>
      </c>
      <c r="AC23" s="434">
        <f>('Historical Financials'!AC10*4)/AVERAGE(AB9:AC9)</f>
        <v>70.405222021815689</v>
      </c>
      <c r="AD23" s="381"/>
      <c r="AE23" s="432" t="s">
        <v>46</v>
      </c>
      <c r="AF23" s="434">
        <f>('Historical Financials'!AF10)/AVERAGE(AE9:AF9)</f>
        <v>53.851908823940711</v>
      </c>
      <c r="AG23" s="434">
        <f>('Historical Financials'!AG10)/AVERAGE(AF9:AG9)</f>
        <v>51.767410503606826</v>
      </c>
      <c r="AH23" s="434">
        <f>('Historical Financials'!AH10)/AVERAGE(AG9:AH9)</f>
        <v>56.027627539833361</v>
      </c>
      <c r="AI23" s="434">
        <f>('Historical Financials'!AI10)/AVERAGE(AH9:AI9)</f>
        <v>60.069459585734307</v>
      </c>
      <c r="AJ23" s="434">
        <f>('Historical Financials'!AJ10)/AVERAGE(AI9:AJ9)</f>
        <v>59.895315074943106</v>
      </c>
      <c r="AK23" s="434">
        <f>('Historical Financials'!AK10)/AVERAGE(AJ9:AK9)</f>
        <v>62.209082842623218</v>
      </c>
      <c r="AL23" s="434">
        <f>('Historical Financials'!AL10)/AVERAGE(AK9:AL9)</f>
        <v>58.142145565385476</v>
      </c>
      <c r="AM23" s="434">
        <f>('Historical Financials'!AM10)/AVERAGE(AL9:AM9)</f>
        <v>55.752623793759248</v>
      </c>
      <c r="AN23" s="434">
        <f>('Historical Financials'!AN10)/AVERAGE(AM9:AN9)</f>
        <v>60.753566009104702</v>
      </c>
      <c r="AO23" s="434">
        <f>('Historical Financials'!AO10)/AVERAGE(AN9:AO9)</f>
        <v>67.020665901262916</v>
      </c>
      <c r="AP23" s="440">
        <f>('Historical Financials'!AP10)/AVERAGE(AO9:AP9)</f>
        <v>71.486902001202438</v>
      </c>
    </row>
    <row r="24" spans="1:43">
      <c r="B24" s="291" t="s">
        <v>517</v>
      </c>
      <c r="C24" s="432" t="s">
        <v>46</v>
      </c>
      <c r="D24" s="435" cm="1">
        <f t="array" ref="D24">-AVERAGE(C9:D9/'Historical Financials'!D13)*360</f>
        <v>8.9165390505359881</v>
      </c>
      <c r="E24" s="435" cm="1">
        <f t="array" ref="E24">-AVERAGE(D9:E9/'Historical Financials'!E13)*360</f>
        <v>9.6850191748699288</v>
      </c>
      <c r="F24" s="435" cm="1">
        <f t="array" ref="F24">-AVERAGE(E9:F9/'Historical Financials'!F13)*360</f>
        <v>8.9698483143983871</v>
      </c>
      <c r="G24" s="435" cm="1">
        <f t="array" ref="G24">-AVERAGE(F9:G9/'Historical Financials'!G13)*360</f>
        <v>8.669902511810049</v>
      </c>
      <c r="H24" s="435" cm="1">
        <f t="array" ref="H24">-AVERAGE(G9:H9/'Historical Financials'!H13)*360</f>
        <v>8.9931965762204129</v>
      </c>
      <c r="I24" s="435" cm="1">
        <f t="array" ref="I24">-AVERAGE(H9:I9/'Historical Financials'!I13)*360</f>
        <v>9.2807744267399102</v>
      </c>
      <c r="J24" s="435" cm="1">
        <f t="array" ref="J24">-AVERAGE(I9:J9/'Historical Financials'!J13)*360</f>
        <v>9.4792586054721983</v>
      </c>
      <c r="K24" s="435" cm="1">
        <f t="array" ref="K24">-AVERAGE(J9:K9/'Historical Financials'!K13)*360</f>
        <v>11.652183007530235</v>
      </c>
      <c r="L24" s="435" cm="1">
        <f t="array" ref="L24">-AVERAGE(K9:L9/'Historical Financials'!L13)*360</f>
        <v>10.593410572049239</v>
      </c>
      <c r="M24" s="381"/>
      <c r="N24" s="432" t="s">
        <v>46</v>
      </c>
      <c r="O24" s="435" cm="1">
        <f t="array" ref="O24">-AVERAGE(N9:O9/('Historical Financials'!O13*4)*360)</f>
        <v>9.3225387890860567</v>
      </c>
      <c r="P24" s="435" cm="1">
        <f t="array" ref="P24">-AVERAGE(O9:P9/('Historical Financials'!P13*4)*360)</f>
        <v>10.413073033946553</v>
      </c>
      <c r="Q24" s="435" cm="1">
        <f t="array" ref="Q24">-AVERAGE(P9:Q9/('Historical Financials'!Q13*4)*360)</f>
        <v>8.9730264548231542</v>
      </c>
      <c r="R24" s="435" cm="1">
        <f t="array" ref="R24">-AVERAGE(Q9:R9/('Historical Financials'!R13*4)*360)</f>
        <v>7.9235880398671092</v>
      </c>
      <c r="S24" s="435" cm="1">
        <f t="array" ref="S24">-AVERAGE(R9:S9/('Historical Financials'!S13*4)*360)</f>
        <v>12.175368898978434</v>
      </c>
      <c r="T24" s="435" cm="1">
        <f t="array" ref="T24">-AVERAGE(S9:T9/('Historical Financials'!T13*4)*360)</f>
        <v>14.707496033844526</v>
      </c>
      <c r="U24" s="435" cm="1">
        <f t="array" ref="U24">-AVERAGE(T9:U9/('Historical Financials'!U13*4)*360)</f>
        <v>12.546921807177355</v>
      </c>
      <c r="V24" s="435" cm="1">
        <f t="array" ref="V24">-AVERAGE(U9:V9/('Historical Financials'!V13*4)*360)</f>
        <v>8.9290791100123599</v>
      </c>
      <c r="W24" s="435" cm="1">
        <f t="array" ref="W24">-AVERAGE(V9:W9/('Historical Financials'!W13*4)*360)</f>
        <v>11.827791757765768</v>
      </c>
      <c r="X24" s="435" cm="1">
        <f t="array" ref="X24">-AVERAGE(W9:X9/('Historical Financials'!X13*4)*360)</f>
        <v>12.101455563027399</v>
      </c>
      <c r="Y24" s="435" cm="1">
        <f t="array" ref="Y24">-AVERAGE(X9:Y9/('Historical Financials'!Y13*4)*360)</f>
        <v>11.856672739025679</v>
      </c>
      <c r="Z24" s="435" cm="1">
        <f t="array" ref="Z24">-AVERAGE(Y9:Z9/('Historical Financials'!Z13*4)*360)</f>
        <v>9.6761075350246131</v>
      </c>
      <c r="AA24" s="435" cm="1">
        <f t="array" ref="AA24">-AVERAGE(Z9:AA9/('Historical Financials'!AA13*4)*360)</f>
        <v>11.746415273706727</v>
      </c>
      <c r="AB24" s="435" cm="1">
        <f t="array" ref="AB24">-AVERAGE(AA9:AB9/('Historical Financials'!AB13*4)*360)</f>
        <v>10.905242656703367</v>
      </c>
      <c r="AC24" s="435" cm="1">
        <f t="array" ref="AC24">-AVERAGE(AB9:AC9/('Historical Financials'!AC13*4)*360)</f>
        <v>9.680092378752887</v>
      </c>
      <c r="AD24" s="381"/>
      <c r="AE24" s="432" t="s">
        <v>46</v>
      </c>
      <c r="AF24" s="435" cm="1">
        <f t="array" ref="AF24">-AVERAGE(AE9:AF9/'Historical Financials'!AF13)*360</f>
        <v>11.765437120384631</v>
      </c>
      <c r="AG24" s="435" cm="1">
        <f t="array" ref="AG24">-AVERAGE(AF9:AG9/'Historical Financials'!AG13)*360</f>
        <v>12.297240658262595</v>
      </c>
      <c r="AH24" s="435" cm="1">
        <f t="array" ref="AH24">-AVERAGE(AG9:AH9/'Historical Financials'!AH13)*360</f>
        <v>11.500861597948976</v>
      </c>
      <c r="AI24" s="435" cm="1">
        <f t="array" ref="AI24">-AVERAGE(AH9:AI9/'Historical Financials'!AI13)*360</f>
        <v>10.901785082651449</v>
      </c>
      <c r="AJ24" s="435" cm="1">
        <f t="array" ref="AJ24">-AVERAGE(AI9:AJ9/'Historical Financials'!AJ13)*360</f>
        <v>11.04581112122394</v>
      </c>
      <c r="AK24" s="435" cm="1">
        <f t="array" ref="AK24">-AVERAGE(AJ9:AK9/'Historical Financials'!AK13)*360</f>
        <v>10.709020405812682</v>
      </c>
      <c r="AL24" s="435" cm="1">
        <f t="array" ref="AL24">-AVERAGE(AK9:AL9/'Historical Financials'!AL13)*360</f>
        <v>11.510135392104662</v>
      </c>
      <c r="AM24" s="435" cm="1">
        <f t="array" ref="AM24">-AVERAGE(AL9:AM9/'Historical Financials'!AM13)*360</f>
        <v>12.073590762412771</v>
      </c>
      <c r="AN24" s="435" cm="1">
        <f t="array" ref="AN24">-AVERAGE(AM9:AN9/'Historical Financials'!AN13)*360</f>
        <v>11.103258809268629</v>
      </c>
      <c r="AO24" s="435" cm="1">
        <f t="array" ref="AO24">-AVERAGE(AN9:AO9/'Historical Financials'!AO13)*360</f>
        <v>10.073708269462013</v>
      </c>
      <c r="AP24" s="441" cm="1">
        <f t="array" ref="AP24">-AVERAGE(AO9:AP9/'Historical Financials'!AP13)*360</f>
        <v>9.484703113685736</v>
      </c>
    </row>
    <row r="25" spans="1:43">
      <c r="B25" s="291" t="s">
        <v>518</v>
      </c>
      <c r="C25" s="432" t="s">
        <v>46</v>
      </c>
      <c r="D25" s="435" cm="1">
        <f t="array" ref="D25">-AVERAGE(C13:D13/'Historical Financials'!D13)*360</f>
        <v>104.05308831036244</v>
      </c>
      <c r="E25" s="435" cm="1">
        <f t="array" ref="E25">-AVERAGE(D13:E13/'Historical Financials'!E13)*360</f>
        <v>110.062532059894</v>
      </c>
      <c r="F25" s="435" cm="1">
        <f t="array" ref="F25">-AVERAGE(E13:F13/'Historical Financials'!F13)*360</f>
        <v>113.62401256011177</v>
      </c>
      <c r="G25" s="435" cm="1">
        <f t="array" ref="G25">-AVERAGE(F13:G13/'Historical Financials'!G13)*360</f>
        <v>93.983569141124917</v>
      </c>
      <c r="H25" s="435" cm="1">
        <f t="array" ref="H25">-AVERAGE(G13:H13/'Historical Financials'!H13)*360</f>
        <v>82.029007282339734</v>
      </c>
      <c r="I25" s="435" cm="1">
        <f t="array" ref="I25">-AVERAGE(H13:I13/'Historical Financials'!I13)*360</f>
        <v>95.720970180633969</v>
      </c>
      <c r="J25" s="435" cm="1">
        <f t="array" ref="J25">-AVERAGE(I13:J13/'Historical Financials'!J13)*360</f>
        <v>106.52376749464129</v>
      </c>
      <c r="K25" s="435" cm="1">
        <f t="array" ref="K25">-AVERAGE(J13:K13/'Historical Financials'!K13)*360</f>
        <v>112.58642656119265</v>
      </c>
      <c r="L25" s="435" cm="1">
        <f t="array" ref="L25">-AVERAGE(K13:L13/'Historical Financials'!L13)*360</f>
        <v>113.08653149891384</v>
      </c>
      <c r="M25" s="381"/>
      <c r="N25" s="432" t="s">
        <v>46</v>
      </c>
      <c r="O25" s="435" cm="1">
        <f t="array" ref="O25">-AVERAGE(N13:O13/('Historical Financials'!O13*4)*360)</f>
        <v>104.47888302052303</v>
      </c>
      <c r="P25" s="435" cm="1">
        <f t="array" ref="P25">-AVERAGE(O13:P13/('Historical Financials'!P13*4)*360)</f>
        <v>96.574011131410117</v>
      </c>
      <c r="Q25" s="435" cm="1">
        <f t="array" ref="Q25">-AVERAGE(P13:Q13/('Historical Financials'!Q13*4)*360)</f>
        <v>97.224068701850115</v>
      </c>
      <c r="R25" s="435" cm="1">
        <f t="array" ref="R25">-AVERAGE(Q13:R13/('Historical Financials'!R13*4)*360)</f>
        <v>82.180793750561193</v>
      </c>
      <c r="S25" s="435" cm="1">
        <f t="array" ref="S25">-AVERAGE(R13:S13/('Historical Financials'!S13*4)*360)</f>
        <v>85.865209988649255</v>
      </c>
      <c r="T25" s="435" cm="1">
        <f t="array" ref="T25">-AVERAGE(S13:T13/('Historical Financials'!T13*4)*360)</f>
        <v>88.885510312004243</v>
      </c>
      <c r="U25" s="435" cm="1">
        <f t="array" ref="U25">-AVERAGE(T13:U13/('Historical Financials'!U13*4)*360)</f>
        <v>100.24148682521245</v>
      </c>
      <c r="V25" s="435" cm="1">
        <f t="array" ref="V25">-AVERAGE(U13:V13/('Historical Financials'!V13*4)*360)</f>
        <v>83.962685414091467</v>
      </c>
      <c r="W25" s="435" cm="1">
        <f t="array" ref="W25">-AVERAGE(V13:W13/('Historical Financials'!W13*4)*360)</f>
        <v>96.436925044346367</v>
      </c>
      <c r="X25" s="435" cm="1">
        <f t="array" ref="X25">-AVERAGE(W13:X13/('Historical Financials'!X13*4)*360)</f>
        <v>91.102084643918516</v>
      </c>
      <c r="Y25" s="435" cm="1">
        <f t="array" ref="Y25">-AVERAGE(X13:Y13/('Historical Financials'!Y13*4)*360)</f>
        <v>102.72139625080803</v>
      </c>
      <c r="Z25" s="435" cm="1">
        <f t="array" ref="Z25">-AVERAGE(Y13:Z13/('Historical Financials'!Z13*4)*360)</f>
        <v>89.195759182127972</v>
      </c>
      <c r="AA25" s="435" cm="1">
        <f t="array" ref="AA25">-AVERAGE(Z13:AA13/('Historical Financials'!AA13*4)*360)</f>
        <v>103.41479838390239</v>
      </c>
      <c r="AB25" s="435" cm="1">
        <f t="array" ref="AB25">-AVERAGE(AA13:AB13/('Historical Financials'!AB13*4)*360)</f>
        <v>93.455622242537459</v>
      </c>
      <c r="AC25" s="435" cm="1">
        <f t="array" ref="AC25">-AVERAGE(AB13:AC13/('Historical Financials'!AC13*4)*360)</f>
        <v>99.963602771362588</v>
      </c>
      <c r="AD25" s="381"/>
      <c r="AE25" s="432" t="s">
        <v>46</v>
      </c>
      <c r="AF25" s="435" cm="1">
        <f t="array" ref="AF25">-AVERAGE(AE13:AF13/'Historical Financials'!AF13)*360</f>
        <v>82.974219289145225</v>
      </c>
      <c r="AG25" s="435" cm="1">
        <f t="array" ref="AG25">-AVERAGE(AF13:AG13/'Historical Financials'!AG13)*360</f>
        <v>74.319007723946072</v>
      </c>
      <c r="AH25" s="435" cm="1">
        <f t="array" ref="AH25">-AVERAGE(AG13:AH13/'Historical Financials'!AH13)*360</f>
        <v>91.884167612322955</v>
      </c>
      <c r="AI25" s="435" cm="1">
        <f t="array" ref="AI25">-AVERAGE(AH13:AI13/'Historical Financials'!AI13)*360</f>
        <v>102.51260405121796</v>
      </c>
      <c r="AJ25" s="435" cm="1">
        <f t="array" ref="AJ25">-AVERAGE(AI13:AJ13/'Historical Financials'!AJ13)*360</f>
        <v>90.061110388766082</v>
      </c>
      <c r="AK25" s="435" cm="1">
        <f t="array" ref="AK25">-AVERAGE(AJ13:AK13/'Historical Financials'!AK13)*360</f>
        <v>80.619565008734384</v>
      </c>
      <c r="AL25" s="435" cm="1">
        <f t="array" ref="AL25">-AVERAGE(AK13:AL13/'Historical Financials'!AL13)*360</f>
        <v>99.719137445805117</v>
      </c>
      <c r="AM25" s="435" cm="1">
        <f t="array" ref="AM25">-AVERAGE(AL13:AM13/'Historical Financials'!AM13)*360</f>
        <v>111.29610643635694</v>
      </c>
      <c r="AN25" s="435" cm="1">
        <f t="array" ref="AN25">-AVERAGE(AM13:AN13/'Historical Financials'!AN13)*360</f>
        <v>97.752484005485158</v>
      </c>
      <c r="AO25" s="435" cm="1">
        <f t="array" ref="AO25">-AVERAGE(AN13:AO13/'Historical Financials'!AO13)*360</f>
        <v>86.329548479480096</v>
      </c>
      <c r="AP25" s="441" cm="1">
        <f t="array" ref="AP25">-AVERAGE(AO13:AP13/'Historical Financials'!AP13)*360</f>
        <v>97.945872556118772</v>
      </c>
    </row>
    <row r="26" spans="1:43">
      <c r="B26" s="292" t="s">
        <v>519</v>
      </c>
      <c r="C26" s="436" t="s">
        <v>46</v>
      </c>
      <c r="D26" s="437">
        <f>D22+D24-D25</f>
        <v>-68.731042223348453</v>
      </c>
      <c r="E26" s="437">
        <f t="shared" ref="E26:L26" si="53">E22+E24-E25</f>
        <v>-72.550181798218972</v>
      </c>
      <c r="F26" s="437">
        <f t="shared" si="53"/>
        <v>-72.751821967084453</v>
      </c>
      <c r="G26" s="437">
        <f t="shared" si="53"/>
        <v>-59.711131248734574</v>
      </c>
      <c r="H26" s="437">
        <f t="shared" si="53"/>
        <v>-52.173904343101746</v>
      </c>
      <c r="I26" s="437">
        <f t="shared" si="53"/>
        <v>-61.579774987425537</v>
      </c>
      <c r="J26" s="437">
        <f t="shared" si="53"/>
        <v>-69.950936221310968</v>
      </c>
      <c r="K26" s="437">
        <f t="shared" si="53"/>
        <v>-56.858444712126492</v>
      </c>
      <c r="L26" s="437">
        <f t="shared" si="53"/>
        <v>-56.636829731870357</v>
      </c>
      <c r="M26" s="420"/>
      <c r="N26" s="436" t="s">
        <v>46</v>
      </c>
      <c r="O26" s="437">
        <f t="shared" ref="O26" si="54">O22+O24-O25</f>
        <v>-71.551212546986221</v>
      </c>
      <c r="P26" s="437">
        <f t="shared" ref="P26" si="55">P22+P24-P25</f>
        <v>-63.043373999535675</v>
      </c>
      <c r="Q26" s="437">
        <f t="shared" ref="Q26" si="56">Q22+Q24-Q25</f>
        <v>-63.298021591645693</v>
      </c>
      <c r="R26" s="437">
        <f t="shared" ref="R26" si="57">R22+R24-R25</f>
        <v>-54.308078920315609</v>
      </c>
      <c r="S26" s="437">
        <f t="shared" ref="S26" si="58">S22+S24-S25</f>
        <v>-53.908745303260595</v>
      </c>
      <c r="T26" s="437">
        <f t="shared" ref="T26" si="59">T22+T24-T25</f>
        <v>-53.555925448496033</v>
      </c>
      <c r="U26" s="437">
        <f t="shared" ref="U26" si="60">U22+U24-U25</f>
        <v>-63.028483094416686</v>
      </c>
      <c r="V26" s="437">
        <f t="shared" ref="V26" si="61">V22+V24-V25</f>
        <v>-55.200112680830102</v>
      </c>
      <c r="W26" s="437">
        <f t="shared" ref="W26" si="62">W22+W24-W25</f>
        <v>-62.280449937269836</v>
      </c>
      <c r="X26" s="437">
        <f t="shared" ref="X26" si="63">X22+X24-X25</f>
        <v>-55.585960813173664</v>
      </c>
      <c r="Y26" s="437">
        <f t="shared" ref="Y26" si="64">Y22+Y24-Y25</f>
        <v>-48.657728884161997</v>
      </c>
      <c r="Z26" s="437">
        <f t="shared" ref="Z26" si="65">Z22+Z24-Z25</f>
        <v>-44.807744969709958</v>
      </c>
      <c r="AA26" s="437">
        <f t="shared" ref="AA26" si="66">AA22+AA24-AA25</f>
        <v>-54.181989586773653</v>
      </c>
      <c r="AB26" s="437">
        <f t="shared" ref="AB26:AC26" si="67">AB22+AB24-AB25</f>
        <v>-36.307610858963535</v>
      </c>
      <c r="AC26" s="437">
        <f t="shared" si="67"/>
        <v>-52.246112621641771</v>
      </c>
      <c r="AD26" s="420"/>
      <c r="AE26" s="436" t="s">
        <v>46</v>
      </c>
      <c r="AF26" s="437">
        <f t="shared" ref="AF26" si="68">AF22+AF24-AF25</f>
        <v>-51.723096818392506</v>
      </c>
      <c r="AG26" s="437">
        <f t="shared" ref="AG26" si="69">AG22+AG24-AG25</f>
        <v>-44.447606990878754</v>
      </c>
      <c r="AH26" s="437">
        <f t="shared" ref="AH26" si="70">AH22+AH24-AH25</f>
        <v>-57.344940307393529</v>
      </c>
      <c r="AI26" s="437">
        <f t="shared" ref="AI26" si="71">AI22+AI24-AI25</f>
        <v>-67.016023969266527</v>
      </c>
      <c r="AJ26" s="437">
        <f t="shared" ref="AJ26" si="72">AJ22+AJ24-AJ25</f>
        <v>-57.775541705759963</v>
      </c>
      <c r="AK26" s="437">
        <f t="shared" ref="AK26" si="73">AK22+AK24-AK25</f>
        <v>-49.076266861306621</v>
      </c>
      <c r="AL26" s="437">
        <f t="shared" ref="AL26" si="74">AL22+AL24-AL25</f>
        <v>-47.223310235832486</v>
      </c>
      <c r="AM26" s="437">
        <f t="shared" ref="AM26" si="75">AM22+AM24-AM25</f>
        <v>-55.613358609056363</v>
      </c>
      <c r="AN26" s="437">
        <f t="shared" ref="AN26" si="76">AN22+AN24-AN25</f>
        <v>-50.935253480336556</v>
      </c>
      <c r="AO26" s="437">
        <f t="shared" ref="AO26:AP26" si="77">AO22+AO24-AO25</f>
        <v>-33.688841127729916</v>
      </c>
      <c r="AP26" s="442">
        <f t="shared" si="77"/>
        <v>-50.999321744066293</v>
      </c>
    </row>
    <row r="28" spans="1:43" s="8" customFormat="1" ht="12">
      <c r="A28" s="39" t="s">
        <v>24</v>
      </c>
      <c r="B28" s="1" t="s">
        <v>541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5.0999999999999996" customHeight="1"/>
    <row r="30" spans="1:43" ht="15" thickBot="1">
      <c r="B30" s="305" t="s">
        <v>531</v>
      </c>
    </row>
    <row r="31" spans="1:43">
      <c r="B31" s="198" t="s">
        <v>529</v>
      </c>
      <c r="C31" s="431">
        <f>'Historical Financials'!C29</f>
        <v>21883.281000000003</v>
      </c>
      <c r="D31" s="431">
        <f>'Historical Financials'!D29</f>
        <v>20868.968000000001</v>
      </c>
      <c r="E31" s="431">
        <f>'Historical Financials'!E29</f>
        <v>19821.510000000002</v>
      </c>
      <c r="F31" s="431">
        <f>'Historical Financials'!F29</f>
        <v>18471.335999999999</v>
      </c>
      <c r="G31" s="431">
        <f>'Historical Financials'!G29</f>
        <v>17352.118999999999</v>
      </c>
      <c r="H31" s="431">
        <f>'Historical Financials'!H29</f>
        <v>16701.272000000001</v>
      </c>
      <c r="I31" s="431">
        <f>'Historical Financials'!I29</f>
        <v>16215.963</v>
      </c>
      <c r="J31" s="431">
        <f>'Historical Financials'!J29</f>
        <v>15744.231</v>
      </c>
      <c r="K31" s="431">
        <f>'Historical Financials'!K29</f>
        <v>15343.782999999999</v>
      </c>
      <c r="L31" s="431">
        <f>'Historical Financials'!L29</f>
        <v>14948.5</v>
      </c>
      <c r="N31" s="431">
        <f>'Historical Financials'!N29</f>
        <v>16391.723999999998</v>
      </c>
      <c r="O31" s="431">
        <f>'Historical Financials'!O29</f>
        <v>16278.802</v>
      </c>
      <c r="P31" s="431">
        <f>'Historical Financials'!P29</f>
        <v>16162.945</v>
      </c>
      <c r="Q31" s="431">
        <f>'Historical Financials'!Q29</f>
        <v>16215.963</v>
      </c>
      <c r="R31" s="431">
        <f>'Historical Financials'!R29</f>
        <v>15892.723</v>
      </c>
      <c r="S31" s="431">
        <f>'Historical Financials'!S29</f>
        <v>15787.154</v>
      </c>
      <c r="T31" s="431">
        <f>'Historical Financials'!T29</f>
        <v>15697.614</v>
      </c>
      <c r="U31" s="431">
        <f>'Historical Financials'!U29</f>
        <v>15744.231</v>
      </c>
      <c r="V31" s="431">
        <f>'Historical Financials'!V29</f>
        <v>15509.763000000001</v>
      </c>
      <c r="W31" s="431">
        <f>'Historical Financials'!W29</f>
        <v>15405.856</v>
      </c>
      <c r="X31" s="431">
        <f>'Historical Financials'!X29</f>
        <v>15287.521000000001</v>
      </c>
      <c r="Y31" s="431">
        <f>'Historical Financials'!Y29</f>
        <v>15343.782999999999</v>
      </c>
      <c r="Z31" s="431">
        <f>'Historical Financials'!Z29</f>
        <v>15081.724</v>
      </c>
      <c r="AA31" s="431">
        <f>'Historical Financials'!AA29</f>
        <v>14994.082</v>
      </c>
      <c r="AB31" s="431">
        <f>'Historical Financials'!AB29</f>
        <v>14902.886</v>
      </c>
      <c r="AC31" s="431">
        <f>'Historical Financials'!AC29</f>
        <v>14948.5</v>
      </c>
      <c r="AE31" s="431">
        <f>'Historical Financials'!AE29</f>
        <v>15892.723</v>
      </c>
      <c r="AF31" s="431">
        <f>'Historical Financials'!AF29</f>
        <v>15787.154</v>
      </c>
      <c r="AG31" s="431">
        <f>'Historical Financials'!AG29</f>
        <v>15697.614</v>
      </c>
      <c r="AH31" s="431">
        <f>'Historical Financials'!AH29</f>
        <v>15744.231</v>
      </c>
      <c r="AI31" s="431">
        <f>'Historical Financials'!AI29</f>
        <v>15509.763000000001</v>
      </c>
      <c r="AJ31" s="431">
        <f>'Historical Financials'!AJ29</f>
        <v>15405.856</v>
      </c>
      <c r="AK31" s="431">
        <f>'Historical Financials'!AK29</f>
        <v>15287.521000000001</v>
      </c>
      <c r="AL31" s="431">
        <f>'Historical Financials'!AL29</f>
        <v>15343.782999999999</v>
      </c>
      <c r="AM31" s="431">
        <f>'Historical Financials'!AM29</f>
        <v>15081.724</v>
      </c>
      <c r="AN31" s="431">
        <f>'Historical Financials'!AN29</f>
        <v>14994.082</v>
      </c>
      <c r="AO31" s="431">
        <f>'Historical Financials'!AO29</f>
        <v>14902.886</v>
      </c>
      <c r="AP31" s="431">
        <f>'Historical Financials'!AP29</f>
        <v>14948.5</v>
      </c>
    </row>
    <row r="32" spans="1:43">
      <c r="B32" s="198" t="s">
        <v>530</v>
      </c>
      <c r="C32" s="431">
        <f>'Historical Financials'!C65</f>
        <v>128249</v>
      </c>
      <c r="D32" s="431">
        <f>'Historical Financials'!D65</f>
        <v>134047</v>
      </c>
      <c r="E32" s="431">
        <f>'Historical Financials'!E65</f>
        <v>107147</v>
      </c>
      <c r="F32" s="431">
        <f>'Historical Financials'!F65</f>
        <v>90488</v>
      </c>
      <c r="G32" s="431">
        <f>'Historical Financials'!G65</f>
        <v>65339</v>
      </c>
      <c r="H32" s="431">
        <f>'Historical Financials'!H65</f>
        <v>63090</v>
      </c>
      <c r="I32" s="431">
        <f>'Historical Financials'!I65</f>
        <v>50672</v>
      </c>
      <c r="J32" s="431">
        <f>'Historical Financials'!J65</f>
        <v>62146</v>
      </c>
      <c r="K32" s="431">
        <f>'Historical Financials'!K65</f>
        <v>56950</v>
      </c>
      <c r="L32" s="431">
        <f>'Historical Financials'!L65</f>
        <v>73733</v>
      </c>
      <c r="N32" s="431">
        <f>'Historical Financials'!N65</f>
        <v>63894</v>
      </c>
      <c r="O32" s="431">
        <f>'Historical Financials'!O65</f>
        <v>59361</v>
      </c>
      <c r="P32" s="431">
        <f>'Historical Financials'!P65</f>
        <v>50069</v>
      </c>
      <c r="Q32" s="431">
        <f>'Historical Financials'!Q65</f>
        <v>50672</v>
      </c>
      <c r="R32" s="431">
        <f>'Historical Financials'!R65</f>
        <v>48689</v>
      </c>
      <c r="S32" s="431">
        <f>'Historical Financials'!S65</f>
        <v>54120</v>
      </c>
      <c r="T32" s="431">
        <f>'Historical Financials'!T65</f>
        <v>52236</v>
      </c>
      <c r="U32" s="431">
        <f>'Historical Financials'!U65</f>
        <v>62146</v>
      </c>
      <c r="V32" s="431">
        <f>'Historical Financials'!V65</f>
        <v>66062</v>
      </c>
      <c r="W32" s="431">
        <f>'Historical Financials'!W65</f>
        <v>66156</v>
      </c>
      <c r="X32" s="431">
        <f>'Historical Financials'!X65</f>
        <v>58670</v>
      </c>
      <c r="Y32" s="431">
        <f>'Historical Financials'!Y65</f>
        <v>56950</v>
      </c>
      <c r="Z32" s="431">
        <f>'Historical Financials'!Z65</f>
        <v>66758</v>
      </c>
      <c r="AA32" s="431">
        <f>'Historical Financials'!AA65</f>
        <v>66796</v>
      </c>
      <c r="AB32" s="431">
        <f>'Historical Financials'!AB65</f>
        <v>65830</v>
      </c>
      <c r="AC32" s="431">
        <f>'Historical Financials'!AC65</f>
        <v>73733</v>
      </c>
      <c r="AE32" s="431">
        <f>'Historical Financials'!AE65</f>
        <v>48689</v>
      </c>
      <c r="AF32" s="431">
        <f>'Historical Financials'!AF65</f>
        <v>54120</v>
      </c>
      <c r="AG32" s="431">
        <f>'Historical Financials'!AG65</f>
        <v>52236</v>
      </c>
      <c r="AH32" s="431">
        <f>'Historical Financials'!AH65</f>
        <v>62146</v>
      </c>
      <c r="AI32" s="431">
        <f>'Historical Financials'!AI65</f>
        <v>66062</v>
      </c>
      <c r="AJ32" s="431">
        <f>'Historical Financials'!AJ65</f>
        <v>66156</v>
      </c>
      <c r="AK32" s="431">
        <f>'Historical Financials'!AK65</f>
        <v>58670</v>
      </c>
      <c r="AL32" s="431">
        <f>'Historical Financials'!AL65</f>
        <v>56950</v>
      </c>
      <c r="AM32" s="431">
        <f>'Historical Financials'!AM65</f>
        <v>66758</v>
      </c>
      <c r="AN32" s="431">
        <f>'Historical Financials'!AN65</f>
        <v>66796</v>
      </c>
      <c r="AO32" s="431">
        <f>'Historical Financials'!AO65</f>
        <v>65830</v>
      </c>
      <c r="AP32" s="431">
        <f>'Historical Financials'!AP65</f>
        <v>73733</v>
      </c>
    </row>
    <row r="33" spans="2:42">
      <c r="B33" s="14" t="s">
        <v>528</v>
      </c>
      <c r="C33" s="90">
        <f>C32/C31</f>
        <v>5.8605928425449543</v>
      </c>
      <c r="D33" s="90">
        <f t="shared" ref="D33:N33" si="78">D32/D31</f>
        <v>6.4232692292211091</v>
      </c>
      <c r="E33" s="90">
        <f t="shared" si="78"/>
        <v>5.4055922076572367</v>
      </c>
      <c r="F33" s="90">
        <f t="shared" si="78"/>
        <v>4.8988335223830051</v>
      </c>
      <c r="G33" s="90">
        <f t="shared" si="78"/>
        <v>3.7654767120949324</v>
      </c>
      <c r="H33" s="90">
        <f t="shared" si="78"/>
        <v>3.7775565837141025</v>
      </c>
      <c r="I33" s="90">
        <f t="shared" si="78"/>
        <v>3.1248221274308534</v>
      </c>
      <c r="J33" s="90">
        <f t="shared" si="78"/>
        <v>3.947223589389663</v>
      </c>
      <c r="K33" s="90">
        <f t="shared" si="78"/>
        <v>3.7116009787156141</v>
      </c>
      <c r="L33" s="90">
        <f t="shared" si="78"/>
        <v>4.9324681406161153</v>
      </c>
      <c r="N33" s="90">
        <f t="shared" si="78"/>
        <v>3.8979426447151018</v>
      </c>
      <c r="O33" s="90">
        <f t="shared" ref="O33" si="79">O32/O31</f>
        <v>3.6465214086392845</v>
      </c>
      <c r="P33" s="90">
        <f t="shared" ref="P33" si="80">P32/P31</f>
        <v>3.0977646709804434</v>
      </c>
      <c r="Q33" s="90">
        <f t="shared" ref="Q33" si="81">Q32/Q31</f>
        <v>3.1248221274308534</v>
      </c>
      <c r="R33" s="90">
        <f t="shared" ref="R33" si="82">R32/R31</f>
        <v>3.0636033862793681</v>
      </c>
      <c r="S33" s="90">
        <f t="shared" ref="S33" si="83">S32/S31</f>
        <v>3.4281036341319022</v>
      </c>
      <c r="T33" s="90">
        <f t="shared" ref="T33" si="84">T32/T31</f>
        <v>3.3276394743812658</v>
      </c>
      <c r="U33" s="90">
        <f t="shared" ref="U33" si="85">U32/U31</f>
        <v>3.947223589389663</v>
      </c>
      <c r="V33" s="90">
        <f t="shared" ref="V33" si="86">V32/V31</f>
        <v>4.2593816552838364</v>
      </c>
      <c r="W33" s="90">
        <f t="shared" ref="W33" si="87">W32/W31</f>
        <v>4.2942112401933397</v>
      </c>
      <c r="X33" s="90">
        <f t="shared" ref="X33" si="88">X32/X31</f>
        <v>3.8377706889167968</v>
      </c>
      <c r="Y33" s="90">
        <f t="shared" ref="Y33" si="89">Y32/Y31</f>
        <v>3.7116009787156141</v>
      </c>
      <c r="Z33" s="90">
        <f t="shared" ref="Z33" si="90">Z32/Z31</f>
        <v>4.4264170329598924</v>
      </c>
      <c r="AA33" s="90">
        <f t="shared" ref="AA33" si="91">AA32/AA31</f>
        <v>4.4548242433247998</v>
      </c>
      <c r="AB33" s="90">
        <f t="shared" ref="AB33:AE33" si="92">AB32/AB31</f>
        <v>4.4172652196359818</v>
      </c>
      <c r="AC33" s="90">
        <f t="shared" si="92"/>
        <v>4.9324681406161153</v>
      </c>
      <c r="AE33" s="90">
        <f t="shared" si="92"/>
        <v>3.0636033862793681</v>
      </c>
      <c r="AF33" s="90">
        <f t="shared" ref="AF33" si="93">AF32/AF31</f>
        <v>3.4281036341319022</v>
      </c>
      <c r="AG33" s="90">
        <f t="shared" ref="AG33" si="94">AG32/AG31</f>
        <v>3.3276394743812658</v>
      </c>
      <c r="AH33" s="90">
        <f t="shared" ref="AH33" si="95">AH32/AH31</f>
        <v>3.947223589389663</v>
      </c>
      <c r="AI33" s="90">
        <f t="shared" ref="AI33" si="96">AI32/AI31</f>
        <v>4.2593816552838364</v>
      </c>
      <c r="AJ33" s="90">
        <f t="shared" ref="AJ33" si="97">AJ32/AJ31</f>
        <v>4.2942112401933397</v>
      </c>
      <c r="AK33" s="90">
        <f t="shared" ref="AK33" si="98">AK32/AK31</f>
        <v>3.8377706889167968</v>
      </c>
      <c r="AL33" s="90">
        <f t="shared" ref="AL33" si="99">AL32/AL31</f>
        <v>3.7116009787156141</v>
      </c>
      <c r="AM33" s="90">
        <f t="shared" ref="AM33" si="100">AM32/AM31</f>
        <v>4.4264170329598924</v>
      </c>
      <c r="AN33" s="90">
        <f t="shared" ref="AN33" si="101">AN32/AN31</f>
        <v>4.4548242433247998</v>
      </c>
      <c r="AO33" s="90">
        <f t="shared" ref="AO33:AP33" si="102">AO32/AO31</f>
        <v>4.4172652196359818</v>
      </c>
      <c r="AP33" s="90">
        <f t="shared" si="102"/>
        <v>4.9324681406161153</v>
      </c>
    </row>
    <row r="35" spans="2:42" ht="15" thickBot="1">
      <c r="B35" s="305" t="s">
        <v>532</v>
      </c>
    </row>
    <row r="36" spans="2:42">
      <c r="B36" s="198" t="s">
        <v>105</v>
      </c>
      <c r="C36" s="431">
        <f>'Historical Financials'!C32</f>
        <v>22001.127</v>
      </c>
      <c r="D36" s="431">
        <f>'Historical Financials'!D32</f>
        <v>21006.767</v>
      </c>
      <c r="E36" s="431">
        <f>'Historical Financials'!E32</f>
        <v>20000.436000000002</v>
      </c>
      <c r="F36" s="431">
        <f>'Historical Financials'!F32</f>
        <v>18595.651000000002</v>
      </c>
      <c r="G36" s="431">
        <f>'Historical Financials'!G32</f>
        <v>17528.214</v>
      </c>
      <c r="H36" s="431">
        <f>'Historical Financials'!H32</f>
        <v>16864.919000000002</v>
      </c>
      <c r="I36" s="431">
        <f>'Historical Financials'!I32</f>
        <v>16325.819</v>
      </c>
      <c r="J36" s="431">
        <f>'Historical Financials'!J32</f>
        <v>15812.547</v>
      </c>
      <c r="K36" s="431">
        <f>'Historical Financials'!K32</f>
        <v>15408.094999999999</v>
      </c>
      <c r="L36" s="431">
        <f>'Historical Financials'!L32</f>
        <v>15004.697</v>
      </c>
      <c r="N36" s="431">
        <f>'Historical Financials'!N32</f>
        <v>16519.291000000001</v>
      </c>
      <c r="O36" s="431">
        <f>'Historical Financials'!O32</f>
        <v>16403.315999999999</v>
      </c>
      <c r="P36" s="431">
        <f>'Historical Financials'!P32</f>
        <v>16262.203</v>
      </c>
      <c r="Q36" s="431">
        <f>'Historical Financials'!Q32</f>
        <v>16325.819</v>
      </c>
      <c r="R36" s="431">
        <f>'Historical Financials'!R32</f>
        <v>15955.718000000001</v>
      </c>
      <c r="S36" s="431">
        <f>'Historical Financials'!S32</f>
        <v>15847.05</v>
      </c>
      <c r="T36" s="431">
        <f>'Historical Financials'!T32</f>
        <v>15775.021000000001</v>
      </c>
      <c r="U36" s="431">
        <f>'Historical Financials'!U32</f>
        <v>15812.547</v>
      </c>
      <c r="V36" s="431">
        <f>'Historical Financials'!V32</f>
        <v>15576.641</v>
      </c>
      <c r="W36" s="431">
        <f>'Historical Financials'!W32</f>
        <v>15464.709000000001</v>
      </c>
      <c r="X36" s="431">
        <f>'Historical Financials'!X32</f>
        <v>15348.174999999999</v>
      </c>
      <c r="Y36" s="431">
        <f>'Historical Financials'!Y32</f>
        <v>15408.094999999999</v>
      </c>
      <c r="Z36" s="431">
        <f>'Historical Financials'!Z32</f>
        <v>15150.865</v>
      </c>
      <c r="AA36" s="431">
        <f>'Historical Financials'!AA32</f>
        <v>15056.133</v>
      </c>
      <c r="AB36" s="431">
        <f>'Historical Financials'!AB32</f>
        <v>14948.179</v>
      </c>
      <c r="AC36" s="431">
        <f>'Historical Financials'!AC32</f>
        <v>15004.697</v>
      </c>
      <c r="AE36" s="431">
        <f>'Historical Financials'!AE32</f>
        <v>15955.718000000001</v>
      </c>
      <c r="AF36" s="431">
        <f>'Historical Financials'!AF32</f>
        <v>15847.05</v>
      </c>
      <c r="AG36" s="431">
        <f>'Historical Financials'!AG32</f>
        <v>15775.021000000001</v>
      </c>
      <c r="AH36" s="431">
        <f>'Historical Financials'!AH32</f>
        <v>15812.547</v>
      </c>
      <c r="AI36" s="431">
        <f>'Historical Financials'!AI32</f>
        <v>15576.641</v>
      </c>
      <c r="AJ36" s="431">
        <f>'Historical Financials'!AJ32</f>
        <v>15464.709000000001</v>
      </c>
      <c r="AK36" s="431">
        <f>'Historical Financials'!AK32</f>
        <v>15348.174999999999</v>
      </c>
      <c r="AL36" s="431">
        <f>'Historical Financials'!AL32</f>
        <v>15408.094999999999</v>
      </c>
      <c r="AM36" s="431">
        <f>'Historical Financials'!AM32</f>
        <v>15150.865</v>
      </c>
      <c r="AN36" s="431">
        <f>'Historical Financials'!AN32</f>
        <v>15056.133</v>
      </c>
      <c r="AO36" s="431">
        <f>'Historical Financials'!AO32</f>
        <v>14948.179</v>
      </c>
      <c r="AP36" s="431">
        <f>'Historical Financials'!AP32</f>
        <v>15004.697</v>
      </c>
    </row>
    <row r="37" spans="2:42">
      <c r="B37" s="198" t="s">
        <v>530</v>
      </c>
      <c r="C37" s="250">
        <f>C32</f>
        <v>128249</v>
      </c>
      <c r="D37" s="250">
        <f t="shared" ref="D37:AO37" si="103">D32</f>
        <v>134047</v>
      </c>
      <c r="E37" s="250">
        <f t="shared" si="103"/>
        <v>107147</v>
      </c>
      <c r="F37" s="250">
        <f t="shared" si="103"/>
        <v>90488</v>
      </c>
      <c r="G37" s="250">
        <f t="shared" si="103"/>
        <v>65339</v>
      </c>
      <c r="H37" s="250">
        <f t="shared" si="103"/>
        <v>63090</v>
      </c>
      <c r="I37" s="250">
        <f t="shared" si="103"/>
        <v>50672</v>
      </c>
      <c r="J37" s="250">
        <f t="shared" si="103"/>
        <v>62146</v>
      </c>
      <c r="K37" s="250">
        <f t="shared" si="103"/>
        <v>56950</v>
      </c>
      <c r="L37" s="250">
        <f t="shared" ref="L37" si="104">L32</f>
        <v>73733</v>
      </c>
      <c r="N37" s="250">
        <f t="shared" si="103"/>
        <v>63894</v>
      </c>
      <c r="O37" s="250">
        <f t="shared" si="103"/>
        <v>59361</v>
      </c>
      <c r="P37" s="250">
        <f t="shared" si="103"/>
        <v>50069</v>
      </c>
      <c r="Q37" s="250">
        <f t="shared" si="103"/>
        <v>50672</v>
      </c>
      <c r="R37" s="250">
        <f t="shared" si="103"/>
        <v>48689</v>
      </c>
      <c r="S37" s="250">
        <f t="shared" si="103"/>
        <v>54120</v>
      </c>
      <c r="T37" s="250">
        <f t="shared" si="103"/>
        <v>52236</v>
      </c>
      <c r="U37" s="250">
        <f t="shared" si="103"/>
        <v>62146</v>
      </c>
      <c r="V37" s="250">
        <f t="shared" si="103"/>
        <v>66062</v>
      </c>
      <c r="W37" s="250">
        <f t="shared" si="103"/>
        <v>66156</v>
      </c>
      <c r="X37" s="250">
        <f t="shared" si="103"/>
        <v>58670</v>
      </c>
      <c r="Y37" s="250">
        <f t="shared" si="103"/>
        <v>56950</v>
      </c>
      <c r="Z37" s="250">
        <f t="shared" si="103"/>
        <v>66758</v>
      </c>
      <c r="AA37" s="250">
        <f t="shared" si="103"/>
        <v>66796</v>
      </c>
      <c r="AB37" s="250">
        <f t="shared" si="103"/>
        <v>65830</v>
      </c>
      <c r="AC37" s="250">
        <f t="shared" ref="AC37" si="105">AC32</f>
        <v>73733</v>
      </c>
      <c r="AE37" s="250">
        <f t="shared" si="103"/>
        <v>48689</v>
      </c>
      <c r="AF37" s="250">
        <f t="shared" si="103"/>
        <v>54120</v>
      </c>
      <c r="AG37" s="250">
        <f t="shared" si="103"/>
        <v>52236</v>
      </c>
      <c r="AH37" s="250">
        <f t="shared" si="103"/>
        <v>62146</v>
      </c>
      <c r="AI37" s="250">
        <f t="shared" si="103"/>
        <v>66062</v>
      </c>
      <c r="AJ37" s="250">
        <f t="shared" si="103"/>
        <v>66156</v>
      </c>
      <c r="AK37" s="250">
        <f t="shared" si="103"/>
        <v>58670</v>
      </c>
      <c r="AL37" s="250">
        <f t="shared" si="103"/>
        <v>56950</v>
      </c>
      <c r="AM37" s="250">
        <f t="shared" si="103"/>
        <v>66758</v>
      </c>
      <c r="AN37" s="250">
        <f t="shared" si="103"/>
        <v>66796</v>
      </c>
      <c r="AO37" s="250">
        <f t="shared" si="103"/>
        <v>65830</v>
      </c>
      <c r="AP37" s="250">
        <f t="shared" ref="AP37" si="106">AP32</f>
        <v>73733</v>
      </c>
    </row>
    <row r="38" spans="2:42">
      <c r="B38" s="14" t="s">
        <v>528</v>
      </c>
      <c r="C38" s="90">
        <f>C37/C36</f>
        <v>5.8292013859108218</v>
      </c>
      <c r="D38" s="90">
        <f t="shared" ref="D38" si="107">D37/D36</f>
        <v>6.3811342316502104</v>
      </c>
      <c r="E38" s="90">
        <f t="shared" ref="E38" si="108">E37/E36</f>
        <v>5.3572332123159709</v>
      </c>
      <c r="F38" s="90">
        <f t="shared" ref="F38" si="109">F37/F36</f>
        <v>4.8660840107184198</v>
      </c>
      <c r="G38" s="90">
        <f t="shared" ref="G38" si="110">G37/G36</f>
        <v>3.7276473233382479</v>
      </c>
      <c r="H38" s="90">
        <f t="shared" ref="H38" si="111">H37/H36</f>
        <v>3.740901453484597</v>
      </c>
      <c r="I38" s="90">
        <f t="shared" ref="I38" si="112">I37/I36</f>
        <v>3.1037952827971451</v>
      </c>
      <c r="J38" s="90">
        <f t="shared" ref="J38" si="113">J37/J36</f>
        <v>3.9301701364112942</v>
      </c>
      <c r="K38" s="90">
        <f t="shared" ref="K38:N38" si="114">K37/K36</f>
        <v>3.6961090907084881</v>
      </c>
      <c r="L38" s="90">
        <f t="shared" si="114"/>
        <v>4.9139945978249342</v>
      </c>
      <c r="N38" s="90">
        <f t="shared" si="114"/>
        <v>3.8678415435626139</v>
      </c>
      <c r="O38" s="90">
        <f t="shared" ref="O38" si="115">O37/O36</f>
        <v>3.6188414586416555</v>
      </c>
      <c r="P38" s="90">
        <f t="shared" ref="P38" si="116">P37/P36</f>
        <v>3.0788571511498168</v>
      </c>
      <c r="Q38" s="90">
        <f t="shared" ref="Q38" si="117">Q37/Q36</f>
        <v>3.1037952827971451</v>
      </c>
      <c r="R38" s="90">
        <f t="shared" ref="R38" si="118">R37/R36</f>
        <v>3.0515079296337526</v>
      </c>
      <c r="S38" s="90">
        <f t="shared" ref="S38" si="119">S37/S36</f>
        <v>3.4151466676763182</v>
      </c>
      <c r="T38" s="90">
        <f t="shared" ref="T38" si="120">T37/T36</f>
        <v>3.3113109643403962</v>
      </c>
      <c r="U38" s="90">
        <f t="shared" ref="U38" si="121">U37/U36</f>
        <v>3.9301701364112942</v>
      </c>
      <c r="V38" s="90">
        <f t="shared" ref="V38" si="122">V37/V36</f>
        <v>4.2410940844049758</v>
      </c>
      <c r="W38" s="90">
        <f t="shared" ref="W38" si="123">W37/W36</f>
        <v>4.2778690501062773</v>
      </c>
      <c r="X38" s="90">
        <f t="shared" ref="X38" si="124">X37/X36</f>
        <v>3.822604316148337</v>
      </c>
      <c r="Y38" s="90">
        <f t="shared" ref="Y38" si="125">Y37/Y36</f>
        <v>3.6961090907084881</v>
      </c>
      <c r="Z38" s="90">
        <f t="shared" ref="Z38" si="126">Z37/Z36</f>
        <v>4.406217070774507</v>
      </c>
      <c r="AA38" s="90">
        <f t="shared" ref="AA38" si="127">AA37/AA36</f>
        <v>4.4364645291058471</v>
      </c>
      <c r="AB38" s="90">
        <f t="shared" ref="AB38:AE38" si="128">AB37/AB36</f>
        <v>4.4038809008107274</v>
      </c>
      <c r="AC38" s="90">
        <f t="shared" si="128"/>
        <v>4.9139945978249342</v>
      </c>
      <c r="AE38" s="90">
        <f t="shared" si="128"/>
        <v>3.0515079296337526</v>
      </c>
      <c r="AF38" s="90">
        <f t="shared" ref="AF38" si="129">AF37/AF36</f>
        <v>3.4151466676763182</v>
      </c>
      <c r="AG38" s="90">
        <f t="shared" ref="AG38" si="130">AG37/AG36</f>
        <v>3.3113109643403962</v>
      </c>
      <c r="AH38" s="90">
        <f t="shared" ref="AH38" si="131">AH37/AH36</f>
        <v>3.9301701364112942</v>
      </c>
      <c r="AI38" s="90">
        <f t="shared" ref="AI38" si="132">AI37/AI36</f>
        <v>4.2410940844049758</v>
      </c>
      <c r="AJ38" s="90">
        <f t="shared" ref="AJ38" si="133">AJ37/AJ36</f>
        <v>4.2778690501062773</v>
      </c>
      <c r="AK38" s="90">
        <f t="shared" ref="AK38" si="134">AK37/AK36</f>
        <v>3.822604316148337</v>
      </c>
      <c r="AL38" s="90">
        <f t="shared" ref="AL38" si="135">AL37/AL36</f>
        <v>3.6961090907084881</v>
      </c>
      <c r="AM38" s="90">
        <f t="shared" ref="AM38" si="136">AM37/AM36</f>
        <v>4.406217070774507</v>
      </c>
      <c r="AN38" s="90">
        <f t="shared" ref="AN38" si="137">AN37/AN36</f>
        <v>4.4364645291058471</v>
      </c>
      <c r="AO38" s="90">
        <f t="shared" ref="AO38:AP38" si="138">AO37/AO36</f>
        <v>4.4038809008107274</v>
      </c>
      <c r="AP38" s="90">
        <f t="shared" si="138"/>
        <v>4.9139945978249342</v>
      </c>
    </row>
    <row r="40" spans="2:42" ht="15" thickBot="1">
      <c r="B40" s="305" t="s">
        <v>534</v>
      </c>
    </row>
    <row r="41" spans="2:42">
      <c r="B41" s="198" t="s">
        <v>533</v>
      </c>
      <c r="C41" s="431">
        <f>SUM('Historical Financials'!C39+'Historical Financials'!C40+'Historical Financials'!C47)</f>
        <v>237585</v>
      </c>
      <c r="D41" s="431">
        <f>SUM('Historical Financials'!D39+'Historical Financials'!D40+'Historical Financials'!D47)</f>
        <v>268895</v>
      </c>
      <c r="E41" s="431">
        <f>SUM('Historical Financials'!E39+'Historical Financials'!E40+'Historical Financials'!E47)</f>
        <v>237100</v>
      </c>
      <c r="F41" s="431">
        <f>SUM('Historical Financials'!F39+'Historical Financials'!F40+'Historical Financials'!F47)</f>
        <v>205898</v>
      </c>
      <c r="G41" s="431">
        <f>SUM('Historical Financials'!G39+'Historical Financials'!G40+'Historical Financials'!G47)</f>
        <v>191830</v>
      </c>
      <c r="H41" s="431">
        <f>SUM('Historical Financials'!H39+'Historical Financials'!H40+'Historical Financials'!H47)</f>
        <v>190516</v>
      </c>
      <c r="I41" s="431">
        <f>SUM('Historical Financials'!I39+'Historical Financials'!I40+'Historical Financials'!I47)</f>
        <v>169109</v>
      </c>
      <c r="J41" s="431">
        <f>SUM('Historical Financials'!J39+'Historical Financials'!J40+'Historical Financials'!J47)</f>
        <v>162099</v>
      </c>
      <c r="K41" s="431">
        <f>SUM('Historical Financials'!K39+'Historical Financials'!K40+'Historical Financials'!K47)</f>
        <v>156650</v>
      </c>
      <c r="L41" s="431">
        <f>SUM('Historical Financials'!L39+'Historical Financials'!L40+'Historical Financials'!L47)</f>
        <v>132420</v>
      </c>
      <c r="N41" s="431">
        <f>SUM('Historical Financials'!N39+'Historical Financials'!N40+'Historical Financials'!N47)</f>
        <v>202596</v>
      </c>
      <c r="O41" s="431">
        <f>SUM('Historical Financials'!O39+'Historical Financials'!O40+'Historical Financials'!O47)</f>
        <v>192730</v>
      </c>
      <c r="P41" s="431">
        <f>SUM('Historical Financials'!P39+'Historical Financials'!P40+'Historical Financials'!P47)</f>
        <v>179308</v>
      </c>
      <c r="Q41" s="431">
        <f>SUM('Historical Financials'!Q39+'Historical Financials'!Q40+'Historical Financials'!Q47)</f>
        <v>169109</v>
      </c>
      <c r="R41" s="431">
        <f>SUM('Historical Financials'!R39+'Historical Financials'!R40+'Historical Financials'!R47)</f>
        <v>165450</v>
      </c>
      <c r="S41" s="431">
        <f>SUM('Historical Financials'!S39+'Historical Financials'!S40+'Historical Financials'!S47)</f>
        <v>166333</v>
      </c>
      <c r="T41" s="431">
        <f>SUM('Historical Financials'!T39+'Historical Financials'!T40+'Historical Financials'!T47)</f>
        <v>166543</v>
      </c>
      <c r="U41" s="431">
        <f>SUM('Historical Financials'!U39+'Historical Financials'!U40+'Historical Financials'!U47)</f>
        <v>162099</v>
      </c>
      <c r="V41" s="431">
        <f>SUM('Historical Financials'!V39+'Historical Financials'!V40+'Historical Financials'!V47)</f>
        <v>172575</v>
      </c>
      <c r="W41" s="431">
        <f>SUM('Historical Financials'!W39+'Historical Financials'!W40+'Historical Financials'!W47)</f>
        <v>162337</v>
      </c>
      <c r="X41" s="431">
        <f>SUM('Historical Financials'!X39+'Historical Financials'!X40+'Historical Financials'!X47)</f>
        <v>153041</v>
      </c>
      <c r="Y41" s="431">
        <f>SUM('Historical Financials'!Y39+'Historical Financials'!Y40+'Historical Financials'!Y47)</f>
        <v>156650</v>
      </c>
      <c r="Z41" s="431">
        <f>SUM('Historical Financials'!Z39+'Historical Financials'!Z40+'Historical Financials'!Z47)</f>
        <v>141368</v>
      </c>
      <c r="AA41" s="431">
        <f>SUM('Historical Financials'!AA39+'Historical Financials'!AA40+'Historical Financials'!AA47)</f>
        <v>132922</v>
      </c>
      <c r="AB41" s="431">
        <f>SUM('Historical Financials'!AB39+'Historical Financials'!AB40+'Historical Financials'!AB47)</f>
        <v>132986</v>
      </c>
      <c r="AC41" s="431">
        <f>SUM('Historical Financials'!AC39+'Historical Financials'!AC40+'Historical Financials'!AC47)</f>
        <v>132420</v>
      </c>
      <c r="AE41" s="431">
        <f>SUM('Historical Financials'!AE39+'Historical Financials'!AE40+'Historical Financials'!AE47)</f>
        <v>165450</v>
      </c>
      <c r="AF41" s="431">
        <f>SUM('Historical Financials'!AF39+'Historical Financials'!AF40+'Historical Financials'!AF47)</f>
        <v>166333</v>
      </c>
      <c r="AG41" s="431">
        <f>SUM('Historical Financials'!AG39+'Historical Financials'!AG40+'Historical Financials'!AG47)</f>
        <v>166543</v>
      </c>
      <c r="AH41" s="431">
        <f>SUM('Historical Financials'!AH39+'Historical Financials'!AH40+'Historical Financials'!AH47)</f>
        <v>162099</v>
      </c>
      <c r="AI41" s="431">
        <f>SUM('Historical Financials'!AI39+'Historical Financials'!AI40+'Historical Financials'!AI47)</f>
        <v>172575</v>
      </c>
      <c r="AJ41" s="431">
        <f>SUM('Historical Financials'!AJ39+'Historical Financials'!AJ40+'Historical Financials'!AJ47)</f>
        <v>162337</v>
      </c>
      <c r="AK41" s="431">
        <f>SUM('Historical Financials'!AK39+'Historical Financials'!AK40+'Historical Financials'!AK47)</f>
        <v>153041</v>
      </c>
      <c r="AL41" s="431">
        <f>SUM('Historical Financials'!AL39+'Historical Financials'!AL40+'Historical Financials'!AL47)</f>
        <v>156650</v>
      </c>
      <c r="AM41" s="431">
        <f>SUM('Historical Financials'!AM39+'Historical Financials'!AM40+'Historical Financials'!AM47)</f>
        <v>141368</v>
      </c>
      <c r="AN41" s="431">
        <f>SUM('Historical Financials'!AN39+'Historical Financials'!AN40+'Historical Financials'!AN47)</f>
        <v>132922</v>
      </c>
      <c r="AO41" s="431">
        <f>SUM('Historical Financials'!AO39+'Historical Financials'!AO40+'Historical Financials'!AO47)</f>
        <v>132986</v>
      </c>
      <c r="AP41" s="431">
        <f>SUM('Historical Financials'!AP39+'Historical Financials'!AP40+'Historical Financials'!AP47)</f>
        <v>132420</v>
      </c>
    </row>
    <row r="42" spans="2:42">
      <c r="B42" s="198" t="s">
        <v>529</v>
      </c>
      <c r="C42" s="250">
        <f>C31</f>
        <v>21883.281000000003</v>
      </c>
      <c r="D42" s="250">
        <f t="shared" ref="D42:AO42" si="139">D31</f>
        <v>20868.968000000001</v>
      </c>
      <c r="E42" s="250">
        <f t="shared" si="139"/>
        <v>19821.510000000002</v>
      </c>
      <c r="F42" s="250">
        <f t="shared" si="139"/>
        <v>18471.335999999999</v>
      </c>
      <c r="G42" s="250">
        <f t="shared" si="139"/>
        <v>17352.118999999999</v>
      </c>
      <c r="H42" s="250">
        <f t="shared" si="139"/>
        <v>16701.272000000001</v>
      </c>
      <c r="I42" s="250">
        <f t="shared" si="139"/>
        <v>16215.963</v>
      </c>
      <c r="J42" s="250">
        <f t="shared" si="139"/>
        <v>15744.231</v>
      </c>
      <c r="K42" s="250">
        <f t="shared" si="139"/>
        <v>15343.782999999999</v>
      </c>
      <c r="L42" s="250">
        <f t="shared" ref="L42" si="140">L31</f>
        <v>14948.5</v>
      </c>
      <c r="N42" s="250">
        <f t="shared" si="139"/>
        <v>16391.723999999998</v>
      </c>
      <c r="O42" s="250">
        <f t="shared" si="139"/>
        <v>16278.802</v>
      </c>
      <c r="P42" s="250">
        <f t="shared" si="139"/>
        <v>16162.945</v>
      </c>
      <c r="Q42" s="250">
        <f t="shared" si="139"/>
        <v>16215.963</v>
      </c>
      <c r="R42" s="250">
        <f t="shared" si="139"/>
        <v>15892.723</v>
      </c>
      <c r="S42" s="250">
        <f t="shared" si="139"/>
        <v>15787.154</v>
      </c>
      <c r="T42" s="250">
        <f t="shared" si="139"/>
        <v>15697.614</v>
      </c>
      <c r="U42" s="250">
        <f t="shared" si="139"/>
        <v>15744.231</v>
      </c>
      <c r="V42" s="250">
        <f t="shared" si="139"/>
        <v>15509.763000000001</v>
      </c>
      <c r="W42" s="250">
        <f t="shared" si="139"/>
        <v>15405.856</v>
      </c>
      <c r="X42" s="250">
        <f t="shared" si="139"/>
        <v>15287.521000000001</v>
      </c>
      <c r="Y42" s="250">
        <f t="shared" si="139"/>
        <v>15343.782999999999</v>
      </c>
      <c r="Z42" s="250">
        <f t="shared" si="139"/>
        <v>15081.724</v>
      </c>
      <c r="AA42" s="250">
        <f t="shared" si="139"/>
        <v>14994.082</v>
      </c>
      <c r="AB42" s="250">
        <f t="shared" si="139"/>
        <v>14902.886</v>
      </c>
      <c r="AC42" s="250">
        <f t="shared" ref="AC42" si="141">AC31</f>
        <v>14948.5</v>
      </c>
      <c r="AE42" s="250">
        <f t="shared" si="139"/>
        <v>15892.723</v>
      </c>
      <c r="AF42" s="250">
        <f t="shared" si="139"/>
        <v>15787.154</v>
      </c>
      <c r="AG42" s="250">
        <f t="shared" si="139"/>
        <v>15697.614</v>
      </c>
      <c r="AH42" s="250">
        <f t="shared" si="139"/>
        <v>15744.231</v>
      </c>
      <c r="AI42" s="250">
        <f t="shared" si="139"/>
        <v>15509.763000000001</v>
      </c>
      <c r="AJ42" s="250">
        <f t="shared" si="139"/>
        <v>15405.856</v>
      </c>
      <c r="AK42" s="250">
        <f t="shared" si="139"/>
        <v>15287.521000000001</v>
      </c>
      <c r="AL42" s="250">
        <f t="shared" si="139"/>
        <v>15343.782999999999</v>
      </c>
      <c r="AM42" s="250">
        <f t="shared" si="139"/>
        <v>15081.724</v>
      </c>
      <c r="AN42" s="250">
        <f t="shared" si="139"/>
        <v>14994.082</v>
      </c>
      <c r="AO42" s="250">
        <f t="shared" si="139"/>
        <v>14902.886</v>
      </c>
      <c r="AP42" s="250">
        <f t="shared" ref="AP42" si="142">AP31</f>
        <v>14948.5</v>
      </c>
    </row>
    <row r="43" spans="2:42">
      <c r="B43" s="14" t="s">
        <v>535</v>
      </c>
      <c r="C43" s="90">
        <f>C41/C42</f>
        <v>10.856918576332314</v>
      </c>
      <c r="D43" s="90">
        <f t="shared" ref="D43:L43" si="143">D41/D42</f>
        <v>12.884920806817087</v>
      </c>
      <c r="E43" s="90">
        <f t="shared" si="143"/>
        <v>11.961752661628704</v>
      </c>
      <c r="F43" s="90">
        <f t="shared" si="143"/>
        <v>11.146892677389443</v>
      </c>
      <c r="G43" s="90">
        <f t="shared" si="143"/>
        <v>11.055133957990952</v>
      </c>
      <c r="H43" s="90">
        <f t="shared" si="143"/>
        <v>11.407274847089491</v>
      </c>
      <c r="I43" s="90">
        <f t="shared" si="143"/>
        <v>10.428551175159933</v>
      </c>
      <c r="J43" s="90">
        <f t="shared" si="143"/>
        <v>10.295771193905882</v>
      </c>
      <c r="K43" s="90">
        <f t="shared" si="143"/>
        <v>10.209346678064986</v>
      </c>
      <c r="L43" s="90">
        <f t="shared" si="143"/>
        <v>8.8584138876810385</v>
      </c>
      <c r="N43" s="90">
        <f t="shared" ref="N43" si="144">N41/N42</f>
        <v>12.359651736449443</v>
      </c>
      <c r="O43" s="90">
        <f t="shared" ref="O43" si="145">O41/O42</f>
        <v>11.839323311383724</v>
      </c>
      <c r="P43" s="90">
        <f t="shared" ref="P43" si="146">P41/P42</f>
        <v>11.093770349401053</v>
      </c>
      <c r="Q43" s="90">
        <f t="shared" ref="Q43" si="147">Q41/Q42</f>
        <v>10.428551175159933</v>
      </c>
      <c r="R43" s="90">
        <f t="shared" ref="R43" si="148">R41/R42</f>
        <v>10.410424947317084</v>
      </c>
      <c r="S43" s="90">
        <f t="shared" ref="S43" si="149">S41/S42</f>
        <v>10.535971207983401</v>
      </c>
      <c r="T43" s="90">
        <f t="shared" ref="T43" si="150">T41/T42</f>
        <v>10.60944676050768</v>
      </c>
      <c r="U43" s="90">
        <f t="shared" ref="U43" si="151">U41/U42</f>
        <v>10.295771193905882</v>
      </c>
      <c r="V43" s="90">
        <f t="shared" ref="V43" si="152">V41/V42</f>
        <v>11.126862480103661</v>
      </c>
      <c r="W43" s="90">
        <f t="shared" ref="W43" si="153">W41/W42</f>
        <v>10.537356703840411</v>
      </c>
      <c r="X43" s="90">
        <f t="shared" ref="X43" si="154">X41/X42</f>
        <v>10.010844792952369</v>
      </c>
      <c r="Y43" s="90">
        <f t="shared" ref="Y43" si="155">Y41/Y42</f>
        <v>10.209346678064986</v>
      </c>
      <c r="Z43" s="90">
        <f t="shared" ref="Z43" si="156">Z41/Z42</f>
        <v>9.3734642007770468</v>
      </c>
      <c r="AA43" s="90">
        <f t="shared" ref="AA43" si="157">AA41/AA42</f>
        <v>8.8649641905386396</v>
      </c>
      <c r="AB43" s="90">
        <f t="shared" ref="AB43:AC43" si="158">AB41/AB42</f>
        <v>8.9235064939770723</v>
      </c>
      <c r="AC43" s="90">
        <f t="shared" si="158"/>
        <v>8.8584138876810385</v>
      </c>
      <c r="AE43" s="90">
        <f t="shared" ref="AE43" si="159">AE41/AE42</f>
        <v>10.410424947317084</v>
      </c>
      <c r="AF43" s="90">
        <f t="shared" ref="AF43" si="160">AF41/AF42</f>
        <v>10.535971207983401</v>
      </c>
      <c r="AG43" s="90">
        <f t="shared" ref="AG43" si="161">AG41/AG42</f>
        <v>10.60944676050768</v>
      </c>
      <c r="AH43" s="90">
        <f t="shared" ref="AH43" si="162">AH41/AH42</f>
        <v>10.295771193905882</v>
      </c>
      <c r="AI43" s="90">
        <f t="shared" ref="AI43" si="163">AI41/AI42</f>
        <v>11.126862480103661</v>
      </c>
      <c r="AJ43" s="90">
        <f t="shared" ref="AJ43" si="164">AJ41/AJ42</f>
        <v>10.537356703840411</v>
      </c>
      <c r="AK43" s="90">
        <f t="shared" ref="AK43" si="165">AK41/AK42</f>
        <v>10.010844792952369</v>
      </c>
      <c r="AL43" s="90">
        <f t="shared" ref="AL43" si="166">AL41/AL42</f>
        <v>10.209346678064986</v>
      </c>
      <c r="AM43" s="90">
        <f t="shared" ref="AM43" si="167">AM41/AM42</f>
        <v>9.3734642007770468</v>
      </c>
      <c r="AN43" s="90">
        <f t="shared" ref="AN43" si="168">AN41/AN42</f>
        <v>8.8649641905386396</v>
      </c>
      <c r="AO43" s="90">
        <f t="shared" ref="AO43:AP43" si="169">AO41/AO42</f>
        <v>8.9235064939770723</v>
      </c>
      <c r="AP43" s="90">
        <f t="shared" si="169"/>
        <v>8.8584138876810385</v>
      </c>
    </row>
    <row r="45" spans="2:42" ht="15" thickBot="1">
      <c r="B45" s="305" t="s">
        <v>536</v>
      </c>
    </row>
    <row r="46" spans="2:42">
      <c r="B46" s="198" t="s">
        <v>533</v>
      </c>
      <c r="C46" s="250">
        <f>C41</f>
        <v>237585</v>
      </c>
      <c r="D46" s="250">
        <f t="shared" ref="D46:AO46" si="170">D41</f>
        <v>268895</v>
      </c>
      <c r="E46" s="250">
        <f t="shared" si="170"/>
        <v>237100</v>
      </c>
      <c r="F46" s="250">
        <f t="shared" si="170"/>
        <v>205898</v>
      </c>
      <c r="G46" s="250">
        <f t="shared" si="170"/>
        <v>191830</v>
      </c>
      <c r="H46" s="250">
        <f t="shared" si="170"/>
        <v>190516</v>
      </c>
      <c r="I46" s="250">
        <f t="shared" si="170"/>
        <v>169109</v>
      </c>
      <c r="J46" s="250">
        <f t="shared" si="170"/>
        <v>162099</v>
      </c>
      <c r="K46" s="250">
        <f t="shared" si="170"/>
        <v>156650</v>
      </c>
      <c r="L46" s="250">
        <f t="shared" ref="L46" si="171">L41</f>
        <v>132420</v>
      </c>
      <c r="N46" s="250">
        <f t="shared" si="170"/>
        <v>202596</v>
      </c>
      <c r="O46" s="250">
        <f t="shared" si="170"/>
        <v>192730</v>
      </c>
      <c r="P46" s="250">
        <f t="shared" si="170"/>
        <v>179308</v>
      </c>
      <c r="Q46" s="250">
        <f t="shared" si="170"/>
        <v>169109</v>
      </c>
      <c r="R46" s="250">
        <f t="shared" si="170"/>
        <v>165450</v>
      </c>
      <c r="S46" s="250">
        <f t="shared" si="170"/>
        <v>166333</v>
      </c>
      <c r="T46" s="250">
        <f t="shared" si="170"/>
        <v>166543</v>
      </c>
      <c r="U46" s="250">
        <f t="shared" si="170"/>
        <v>162099</v>
      </c>
      <c r="V46" s="250">
        <f t="shared" si="170"/>
        <v>172575</v>
      </c>
      <c r="W46" s="250">
        <f t="shared" si="170"/>
        <v>162337</v>
      </c>
      <c r="X46" s="250">
        <f t="shared" si="170"/>
        <v>153041</v>
      </c>
      <c r="Y46" s="250">
        <f t="shared" si="170"/>
        <v>156650</v>
      </c>
      <c r="Z46" s="250">
        <f t="shared" si="170"/>
        <v>141368</v>
      </c>
      <c r="AA46" s="250">
        <f t="shared" si="170"/>
        <v>132922</v>
      </c>
      <c r="AB46" s="250">
        <f t="shared" si="170"/>
        <v>132986</v>
      </c>
      <c r="AC46" s="250">
        <f t="shared" ref="AC46" si="172">AC41</f>
        <v>132420</v>
      </c>
      <c r="AE46" s="250">
        <f t="shared" si="170"/>
        <v>165450</v>
      </c>
      <c r="AF46" s="250">
        <f t="shared" si="170"/>
        <v>166333</v>
      </c>
      <c r="AG46" s="250">
        <f t="shared" si="170"/>
        <v>166543</v>
      </c>
      <c r="AH46" s="250">
        <f t="shared" si="170"/>
        <v>162099</v>
      </c>
      <c r="AI46" s="250">
        <f t="shared" si="170"/>
        <v>172575</v>
      </c>
      <c r="AJ46" s="250">
        <f t="shared" si="170"/>
        <v>162337</v>
      </c>
      <c r="AK46" s="250">
        <f t="shared" si="170"/>
        <v>153041</v>
      </c>
      <c r="AL46" s="250">
        <f t="shared" si="170"/>
        <v>156650</v>
      </c>
      <c r="AM46" s="250">
        <f t="shared" si="170"/>
        <v>141368</v>
      </c>
      <c r="AN46" s="250">
        <f t="shared" si="170"/>
        <v>132922</v>
      </c>
      <c r="AO46" s="250">
        <f t="shared" si="170"/>
        <v>132986</v>
      </c>
      <c r="AP46" s="250">
        <f t="shared" ref="AP46" si="173">AP41</f>
        <v>132420</v>
      </c>
    </row>
    <row r="47" spans="2:42">
      <c r="B47" s="198" t="s">
        <v>105</v>
      </c>
      <c r="C47" s="250">
        <f>C36</f>
        <v>22001.127</v>
      </c>
      <c r="D47" s="250">
        <f t="shared" ref="D47:AO47" si="174">D36</f>
        <v>21006.767</v>
      </c>
      <c r="E47" s="250">
        <f t="shared" si="174"/>
        <v>20000.436000000002</v>
      </c>
      <c r="F47" s="250">
        <f t="shared" si="174"/>
        <v>18595.651000000002</v>
      </c>
      <c r="G47" s="250">
        <f t="shared" si="174"/>
        <v>17528.214</v>
      </c>
      <c r="H47" s="250">
        <f t="shared" si="174"/>
        <v>16864.919000000002</v>
      </c>
      <c r="I47" s="250">
        <f t="shared" si="174"/>
        <v>16325.819</v>
      </c>
      <c r="J47" s="250">
        <f t="shared" si="174"/>
        <v>15812.547</v>
      </c>
      <c r="K47" s="250">
        <f t="shared" si="174"/>
        <v>15408.094999999999</v>
      </c>
      <c r="L47" s="250">
        <f t="shared" ref="L47" si="175">L36</f>
        <v>15004.697</v>
      </c>
      <c r="N47" s="250">
        <f t="shared" si="174"/>
        <v>16519.291000000001</v>
      </c>
      <c r="O47" s="250">
        <f t="shared" si="174"/>
        <v>16403.315999999999</v>
      </c>
      <c r="P47" s="250">
        <f t="shared" si="174"/>
        <v>16262.203</v>
      </c>
      <c r="Q47" s="250">
        <f t="shared" si="174"/>
        <v>16325.819</v>
      </c>
      <c r="R47" s="250">
        <f t="shared" si="174"/>
        <v>15955.718000000001</v>
      </c>
      <c r="S47" s="250">
        <f t="shared" si="174"/>
        <v>15847.05</v>
      </c>
      <c r="T47" s="250">
        <f t="shared" si="174"/>
        <v>15775.021000000001</v>
      </c>
      <c r="U47" s="250">
        <f t="shared" si="174"/>
        <v>15812.547</v>
      </c>
      <c r="V47" s="250">
        <f t="shared" si="174"/>
        <v>15576.641</v>
      </c>
      <c r="W47" s="250">
        <f t="shared" si="174"/>
        <v>15464.709000000001</v>
      </c>
      <c r="X47" s="250">
        <f t="shared" si="174"/>
        <v>15348.174999999999</v>
      </c>
      <c r="Y47" s="250">
        <f t="shared" si="174"/>
        <v>15408.094999999999</v>
      </c>
      <c r="Z47" s="250">
        <f t="shared" si="174"/>
        <v>15150.865</v>
      </c>
      <c r="AA47" s="250">
        <f t="shared" si="174"/>
        <v>15056.133</v>
      </c>
      <c r="AB47" s="250">
        <f t="shared" si="174"/>
        <v>14948.179</v>
      </c>
      <c r="AC47" s="250">
        <f t="shared" ref="AC47" si="176">AC36</f>
        <v>15004.697</v>
      </c>
      <c r="AE47" s="250">
        <f t="shared" si="174"/>
        <v>15955.718000000001</v>
      </c>
      <c r="AF47" s="250">
        <f t="shared" si="174"/>
        <v>15847.05</v>
      </c>
      <c r="AG47" s="250">
        <f t="shared" si="174"/>
        <v>15775.021000000001</v>
      </c>
      <c r="AH47" s="250">
        <f t="shared" si="174"/>
        <v>15812.547</v>
      </c>
      <c r="AI47" s="250">
        <f t="shared" si="174"/>
        <v>15576.641</v>
      </c>
      <c r="AJ47" s="250">
        <f t="shared" si="174"/>
        <v>15464.709000000001</v>
      </c>
      <c r="AK47" s="250">
        <f t="shared" si="174"/>
        <v>15348.174999999999</v>
      </c>
      <c r="AL47" s="250">
        <f t="shared" si="174"/>
        <v>15408.094999999999</v>
      </c>
      <c r="AM47" s="250">
        <f t="shared" si="174"/>
        <v>15150.865</v>
      </c>
      <c r="AN47" s="250">
        <f t="shared" si="174"/>
        <v>15056.133</v>
      </c>
      <c r="AO47" s="250">
        <f t="shared" si="174"/>
        <v>14948.179</v>
      </c>
      <c r="AP47" s="250">
        <f t="shared" ref="AP47" si="177">AP36</f>
        <v>15004.697</v>
      </c>
    </row>
    <row r="48" spans="2:42">
      <c r="B48" s="14" t="s">
        <v>537</v>
      </c>
      <c r="C48" s="90">
        <f>C46/C47</f>
        <v>10.798764990538894</v>
      </c>
      <c r="D48" s="90">
        <f t="shared" ref="D48" si="178">D46/D47</f>
        <v>12.800399033321025</v>
      </c>
      <c r="E48" s="90">
        <f t="shared" ref="E48" si="179">E46/E47</f>
        <v>11.854741566633846</v>
      </c>
      <c r="F48" s="90">
        <f t="shared" ref="F48" si="180">F46/F47</f>
        <v>11.072373857736951</v>
      </c>
      <c r="G48" s="90">
        <f t="shared" ref="G48" si="181">G46/G47</f>
        <v>10.94406994346372</v>
      </c>
      <c r="H48" s="90">
        <f t="shared" ref="H48" si="182">H46/H47</f>
        <v>11.296585533556371</v>
      </c>
      <c r="I48" s="90">
        <f t="shared" ref="I48" si="183">I46/I47</f>
        <v>10.358377732841458</v>
      </c>
      <c r="J48" s="90">
        <f t="shared" ref="J48" si="184">J46/J47</f>
        <v>10.251289687866224</v>
      </c>
      <c r="K48" s="90">
        <f t="shared" ref="K48:L48" si="185">K46/K47</f>
        <v>10.166733785065578</v>
      </c>
      <c r="L48" s="90">
        <f t="shared" si="185"/>
        <v>8.8252365242697</v>
      </c>
      <c r="N48" s="90">
        <f t="shared" ref="N48" si="186">N46/N47</f>
        <v>12.264206738654824</v>
      </c>
      <c r="O48" s="90">
        <f t="shared" ref="O48" si="187">O46/O47</f>
        <v>11.749453586091983</v>
      </c>
      <c r="P48" s="90">
        <f t="shared" ref="P48" si="188">P46/P47</f>
        <v>11.026058400574634</v>
      </c>
      <c r="Q48" s="90">
        <f t="shared" ref="Q48" si="189">Q46/Q47</f>
        <v>10.358377732841458</v>
      </c>
      <c r="R48" s="90">
        <f t="shared" ref="R48" si="190">R46/R47</f>
        <v>10.369323398671247</v>
      </c>
      <c r="S48" s="90">
        <f t="shared" ref="S48" si="191">S46/S47</f>
        <v>10.496149125547026</v>
      </c>
      <c r="T48" s="90">
        <f t="shared" ref="T48" si="192">T46/T47</f>
        <v>10.557386896664037</v>
      </c>
      <c r="U48" s="90">
        <f t="shared" ref="U48" si="193">U46/U47</f>
        <v>10.251289687866224</v>
      </c>
      <c r="V48" s="90">
        <f t="shared" ref="V48" si="194">V46/V47</f>
        <v>11.079089516154349</v>
      </c>
      <c r="W48" s="90">
        <f t="shared" ref="W48" si="195">W46/W47</f>
        <v>10.49725539614098</v>
      </c>
      <c r="X48" s="90">
        <f t="shared" ref="X48" si="196">X46/X47</f>
        <v>9.9712832307424168</v>
      </c>
      <c r="Y48" s="90">
        <f t="shared" ref="Y48" si="197">Y46/Y47</f>
        <v>10.166733785065578</v>
      </c>
      <c r="Z48" s="90">
        <f t="shared" ref="Z48" si="198">Z46/Z47</f>
        <v>9.3306883798383797</v>
      </c>
      <c r="AA48" s="90">
        <f t="shared" ref="AA48" si="199">AA46/AA47</f>
        <v>8.8284289199623842</v>
      </c>
      <c r="AB48" s="90">
        <f t="shared" ref="AB48:AC48" si="200">AB46/AB47</f>
        <v>8.8964682587758688</v>
      </c>
      <c r="AC48" s="90">
        <f t="shared" si="200"/>
        <v>8.8252365242697</v>
      </c>
      <c r="AE48" s="90">
        <f t="shared" ref="AE48" si="201">AE46/AE47</f>
        <v>10.369323398671247</v>
      </c>
      <c r="AF48" s="90">
        <f t="shared" ref="AF48" si="202">AF46/AF47</f>
        <v>10.496149125547026</v>
      </c>
      <c r="AG48" s="90">
        <f t="shared" ref="AG48" si="203">AG46/AG47</f>
        <v>10.557386896664037</v>
      </c>
      <c r="AH48" s="90">
        <f t="shared" ref="AH48" si="204">AH46/AH47</f>
        <v>10.251289687866224</v>
      </c>
      <c r="AI48" s="90">
        <f t="shared" ref="AI48" si="205">AI46/AI47</f>
        <v>11.079089516154349</v>
      </c>
      <c r="AJ48" s="90">
        <f t="shared" ref="AJ48" si="206">AJ46/AJ47</f>
        <v>10.49725539614098</v>
      </c>
      <c r="AK48" s="90">
        <f t="shared" ref="AK48" si="207">AK46/AK47</f>
        <v>9.9712832307424168</v>
      </c>
      <c r="AL48" s="90">
        <f t="shared" ref="AL48" si="208">AL46/AL47</f>
        <v>10.166733785065578</v>
      </c>
      <c r="AM48" s="90">
        <f t="shared" ref="AM48" si="209">AM46/AM47</f>
        <v>9.3306883798383797</v>
      </c>
      <c r="AN48" s="90">
        <f t="shared" ref="AN48" si="210">AN46/AN47</f>
        <v>8.8284289199623842</v>
      </c>
      <c r="AO48" s="90">
        <f t="shared" ref="AO48:AP48" si="211">AO46/AO47</f>
        <v>8.8964682587758688</v>
      </c>
      <c r="AP48" s="90">
        <f t="shared" si="211"/>
        <v>8.8252365242697</v>
      </c>
    </row>
    <row r="50" spans="2:42" ht="15" thickBot="1">
      <c r="B50" s="305" t="s">
        <v>538</v>
      </c>
    </row>
    <row r="51" spans="2:42">
      <c r="B51" s="198" t="s">
        <v>33</v>
      </c>
      <c r="C51" s="431">
        <f>-SUM('Historical Financials'!C58+'Historical Financials'!C55+'Historical Financials'!C54)</f>
        <v>-87032</v>
      </c>
      <c r="D51" s="431">
        <f>-SUM('Historical Financials'!D58+'Historical Financials'!D55+'Historical Financials'!D54)</f>
        <v>-115680</v>
      </c>
      <c r="E51" s="431">
        <f>-SUM('Historical Financials'!E58+'Historical Financials'!E55+'Historical Financials'!E54)</f>
        <v>-114483</v>
      </c>
      <c r="F51" s="431">
        <f>-SUM('Historical Financials'!F58+'Historical Financials'!F55+'Historical Financials'!F54)</f>
        <v>-108047</v>
      </c>
      <c r="G51" s="431">
        <f>-SUM('Historical Financials'!G58+'Historical Financials'!G55+'Historical Financials'!G54)</f>
        <v>-112436</v>
      </c>
      <c r="H51" s="431">
        <f>-SUM('Historical Financials'!H58+'Historical Financials'!H55+'Historical Financials'!H54)</f>
        <v>-124719</v>
      </c>
      <c r="I51" s="431">
        <f>-SUM('Historical Financials'!I58+'Historical Financials'!I55+'Historical Financials'!I54)</f>
        <v>-120069</v>
      </c>
      <c r="J51" s="431">
        <f>-SUM('Historical Financials'!J58+'Historical Financials'!J55+'Historical Financials'!J54)</f>
        <v>-111088</v>
      </c>
      <c r="K51" s="431">
        <f>-SUM('Historical Financials'!K58+'Historical Financials'!K55+'Historical Financials'!K54)</f>
        <v>-106629</v>
      </c>
      <c r="L51" s="431">
        <f>-SUM('Historical Financials'!L58+'Historical Financials'!L55+'Historical Financials'!L54)</f>
        <v>-98657</v>
      </c>
      <c r="N51" s="431">
        <f>-SUM('Historical Financials'!N58+'Historical Financials'!N55+'Historical Financials'!N54)</f>
        <v>-122798</v>
      </c>
      <c r="O51" s="431">
        <f>-SUM('Historical Financials'!O58+'Historical Financials'!O55+'Historical Financials'!O54)</f>
        <v>-119981</v>
      </c>
      <c r="P51" s="431">
        <f>-SUM('Historical Financials'!P58+'Historical Financials'!P55+'Historical Financials'!P54)</f>
        <v>-119691</v>
      </c>
      <c r="Q51" s="431">
        <f>-SUM('Historical Financials'!Q58+'Historical Financials'!Q55+'Historical Financials'!Q54)</f>
        <v>-120069</v>
      </c>
      <c r="R51" s="431">
        <f>-SUM('Historical Financials'!R58+'Historical Financials'!R55+'Historical Financials'!R54)</f>
        <v>-111110</v>
      </c>
      <c r="S51" s="431">
        <f>-SUM('Historical Financials'!S58+'Historical Financials'!S55+'Historical Financials'!S54)</f>
        <v>-109615</v>
      </c>
      <c r="T51" s="431">
        <f>-SUM('Historical Financials'!T58+'Historical Financials'!T55+'Historical Financials'!T54)</f>
        <v>-109280</v>
      </c>
      <c r="U51" s="431">
        <f>-SUM('Historical Financials'!U58+'Historical Financials'!U55+'Historical Financials'!U54)</f>
        <v>-111088</v>
      </c>
      <c r="V51" s="431">
        <f>-SUM('Historical Financials'!V58+'Historical Financials'!V55+'Historical Financials'!V54)</f>
        <v>-108040</v>
      </c>
      <c r="W51" s="431">
        <f>-SUM('Historical Financials'!W58+'Historical Financials'!W55+'Historical Financials'!W54)</f>
        <v>-104590</v>
      </c>
      <c r="X51" s="431">
        <f>-SUM('Historical Financials'!X58+'Historical Financials'!X55+'Historical Financials'!X54)</f>
        <v>-101304</v>
      </c>
      <c r="Y51" s="431">
        <f>-SUM('Historical Financials'!Y58+'Historical Financials'!Y55+'Historical Financials'!Y54)</f>
        <v>-106629</v>
      </c>
      <c r="Z51" s="431">
        <f>-SUM('Historical Financials'!Z58+'Historical Financials'!Z55+'Historical Financials'!Z54)</f>
        <v>-96799</v>
      </c>
      <c r="AA51" s="431">
        <f>-SUM('Historical Financials'!AA58+'Historical Financials'!AA55+'Historical Financials'!AA54)</f>
        <v>-98186</v>
      </c>
      <c r="AB51" s="431">
        <f>-SUM('Historical Financials'!AB58+'Historical Financials'!AB55+'Historical Financials'!AB54)</f>
        <v>-101698</v>
      </c>
      <c r="AC51" s="431">
        <f>-SUM('Historical Financials'!AC58+'Historical Financials'!AC55+'Historical Financials'!AC54)</f>
        <v>-98657</v>
      </c>
      <c r="AE51" s="431">
        <f>-SUM('Historical Financials'!AE58+'Historical Financials'!AE55+'Historical Financials'!AE54)</f>
        <v>-111110</v>
      </c>
      <c r="AF51" s="431">
        <f>-SUM('Historical Financials'!AF58+'Historical Financials'!AF55+'Historical Financials'!AF54)</f>
        <v>-109615</v>
      </c>
      <c r="AG51" s="431">
        <f>-SUM('Historical Financials'!AG58+'Historical Financials'!AG55+'Historical Financials'!AG54)</f>
        <v>-109280</v>
      </c>
      <c r="AH51" s="431">
        <f>-SUM('Historical Financials'!AH58+'Historical Financials'!AH55+'Historical Financials'!AH54)</f>
        <v>-111088</v>
      </c>
      <c r="AI51" s="431">
        <f>-SUM('Historical Financials'!AI58+'Historical Financials'!AI55+'Historical Financials'!AI54)</f>
        <v>-108040</v>
      </c>
      <c r="AJ51" s="431">
        <f>-SUM('Historical Financials'!AJ58+'Historical Financials'!AJ55+'Historical Financials'!AJ54)</f>
        <v>-104590</v>
      </c>
      <c r="AK51" s="431">
        <f>-SUM('Historical Financials'!AK58+'Historical Financials'!AK55+'Historical Financials'!AK54)</f>
        <v>-101304</v>
      </c>
      <c r="AL51" s="431">
        <f>-SUM('Historical Financials'!AL58+'Historical Financials'!AL55+'Historical Financials'!AL54)</f>
        <v>-106629</v>
      </c>
      <c r="AM51" s="431">
        <f>-SUM('Historical Financials'!AM58+'Historical Financials'!AM55+'Historical Financials'!AM54)</f>
        <v>-96799</v>
      </c>
      <c r="AN51" s="431">
        <f>-SUM('Historical Financials'!AN58+'Historical Financials'!AN55+'Historical Financials'!AN54)</f>
        <v>-98186</v>
      </c>
      <c r="AO51" s="431">
        <f>-SUM('Historical Financials'!AO58+'Historical Financials'!AO55+'Historical Financials'!AO54)</f>
        <v>-101698</v>
      </c>
      <c r="AP51" s="431">
        <f>-SUM('Historical Financials'!AP58+'Historical Financials'!AP55+'Historical Financials'!AP54)</f>
        <v>-98657</v>
      </c>
    </row>
    <row r="52" spans="2:42">
      <c r="B52" s="198" t="s">
        <v>540</v>
      </c>
      <c r="C52" s="250">
        <f>C41+C51</f>
        <v>150553</v>
      </c>
      <c r="D52" s="250">
        <f t="shared" ref="D52:L52" si="212">D41+D51</f>
        <v>153215</v>
      </c>
      <c r="E52" s="250">
        <f t="shared" si="212"/>
        <v>122617</v>
      </c>
      <c r="F52" s="250">
        <f t="shared" si="212"/>
        <v>97851</v>
      </c>
      <c r="G52" s="250">
        <f t="shared" si="212"/>
        <v>79394</v>
      </c>
      <c r="H52" s="250">
        <f t="shared" si="212"/>
        <v>65797</v>
      </c>
      <c r="I52" s="250">
        <f t="shared" si="212"/>
        <v>49040</v>
      </c>
      <c r="J52" s="250">
        <f t="shared" si="212"/>
        <v>51011</v>
      </c>
      <c r="K52" s="250">
        <f t="shared" si="212"/>
        <v>50021</v>
      </c>
      <c r="L52" s="250">
        <f t="shared" si="212"/>
        <v>33763</v>
      </c>
      <c r="N52" s="250">
        <f t="shared" ref="N52" si="213">N41+N51</f>
        <v>79798</v>
      </c>
      <c r="O52" s="250">
        <f t="shared" ref="O52" si="214">O41+O51</f>
        <v>72749</v>
      </c>
      <c r="P52" s="250">
        <f t="shared" ref="P52" si="215">P41+P51</f>
        <v>59617</v>
      </c>
      <c r="Q52" s="250">
        <f t="shared" ref="Q52" si="216">Q41+Q51</f>
        <v>49040</v>
      </c>
      <c r="R52" s="250">
        <f t="shared" ref="R52" si="217">R41+R51</f>
        <v>54340</v>
      </c>
      <c r="S52" s="250">
        <f t="shared" ref="S52" si="218">S41+S51</f>
        <v>56718</v>
      </c>
      <c r="T52" s="250">
        <f t="shared" ref="T52" si="219">T41+T51</f>
        <v>57263</v>
      </c>
      <c r="U52" s="250">
        <f t="shared" ref="U52" si="220">U41+U51</f>
        <v>51011</v>
      </c>
      <c r="V52" s="250">
        <f t="shared" ref="V52" si="221">V41+V51</f>
        <v>64535</v>
      </c>
      <c r="W52" s="250">
        <f t="shared" ref="W52" si="222">W41+W51</f>
        <v>57747</v>
      </c>
      <c r="X52" s="250">
        <f t="shared" ref="X52" si="223">X41+X51</f>
        <v>51737</v>
      </c>
      <c r="Y52" s="250">
        <f t="shared" ref="Y52" si="224">Y41+Y51</f>
        <v>50021</v>
      </c>
      <c r="Z52" s="250">
        <f t="shared" ref="Z52" si="225">Z41+Z51</f>
        <v>44569</v>
      </c>
      <c r="AA52" s="250">
        <f t="shared" ref="AA52" si="226">AA41+AA51</f>
        <v>34736</v>
      </c>
      <c r="AB52" s="250">
        <f t="shared" ref="AB52:AC52" si="227">AB41+AB51</f>
        <v>31288</v>
      </c>
      <c r="AC52" s="250">
        <f t="shared" si="227"/>
        <v>33763</v>
      </c>
      <c r="AE52" s="250">
        <f t="shared" ref="AE52" si="228">AE41+AE51</f>
        <v>54340</v>
      </c>
      <c r="AF52" s="250">
        <f t="shared" ref="AF52" si="229">AF41+AF51</f>
        <v>56718</v>
      </c>
      <c r="AG52" s="250">
        <f t="shared" ref="AG52" si="230">AG41+AG51</f>
        <v>57263</v>
      </c>
      <c r="AH52" s="250">
        <f t="shared" ref="AH52" si="231">AH41+AH51</f>
        <v>51011</v>
      </c>
      <c r="AI52" s="250">
        <f t="shared" ref="AI52" si="232">AI41+AI51</f>
        <v>64535</v>
      </c>
      <c r="AJ52" s="250">
        <f t="shared" ref="AJ52" si="233">AJ41+AJ51</f>
        <v>57747</v>
      </c>
      <c r="AK52" s="250">
        <f t="shared" ref="AK52" si="234">AK41+AK51</f>
        <v>51737</v>
      </c>
      <c r="AL52" s="250">
        <f t="shared" ref="AL52" si="235">AL41+AL51</f>
        <v>50021</v>
      </c>
      <c r="AM52" s="250">
        <f t="shared" ref="AM52" si="236">AM41+AM51</f>
        <v>44569</v>
      </c>
      <c r="AN52" s="250">
        <f t="shared" ref="AN52" si="237">AN41+AN51</f>
        <v>34736</v>
      </c>
      <c r="AO52" s="250">
        <f t="shared" ref="AO52:AP52" si="238">AO41+AO51</f>
        <v>31288</v>
      </c>
      <c r="AP52" s="250">
        <f t="shared" si="238"/>
        <v>33763</v>
      </c>
    </row>
    <row r="53" spans="2:42">
      <c r="B53" s="198" t="s">
        <v>529</v>
      </c>
      <c r="C53" s="250">
        <f>C31</f>
        <v>21883.281000000003</v>
      </c>
      <c r="D53" s="250">
        <f t="shared" ref="D53:AO53" si="239">D31</f>
        <v>20868.968000000001</v>
      </c>
      <c r="E53" s="250">
        <f t="shared" si="239"/>
        <v>19821.510000000002</v>
      </c>
      <c r="F53" s="250">
        <f t="shared" si="239"/>
        <v>18471.335999999999</v>
      </c>
      <c r="G53" s="250">
        <f t="shared" si="239"/>
        <v>17352.118999999999</v>
      </c>
      <c r="H53" s="250">
        <f t="shared" si="239"/>
        <v>16701.272000000001</v>
      </c>
      <c r="I53" s="250">
        <f t="shared" si="239"/>
        <v>16215.963</v>
      </c>
      <c r="J53" s="250">
        <f t="shared" si="239"/>
        <v>15744.231</v>
      </c>
      <c r="K53" s="250">
        <f t="shared" si="239"/>
        <v>15343.782999999999</v>
      </c>
      <c r="L53" s="250">
        <f t="shared" ref="L53" si="240">L31</f>
        <v>14948.5</v>
      </c>
      <c r="N53" s="250">
        <f t="shared" si="239"/>
        <v>16391.723999999998</v>
      </c>
      <c r="O53" s="250">
        <f t="shared" si="239"/>
        <v>16278.802</v>
      </c>
      <c r="P53" s="250">
        <f t="shared" si="239"/>
        <v>16162.945</v>
      </c>
      <c r="Q53" s="250">
        <f t="shared" si="239"/>
        <v>16215.963</v>
      </c>
      <c r="R53" s="250">
        <f t="shared" si="239"/>
        <v>15892.723</v>
      </c>
      <c r="S53" s="250">
        <f t="shared" si="239"/>
        <v>15787.154</v>
      </c>
      <c r="T53" s="250">
        <f t="shared" si="239"/>
        <v>15697.614</v>
      </c>
      <c r="U53" s="250">
        <f t="shared" si="239"/>
        <v>15744.231</v>
      </c>
      <c r="V53" s="250">
        <f t="shared" si="239"/>
        <v>15509.763000000001</v>
      </c>
      <c r="W53" s="250">
        <f t="shared" si="239"/>
        <v>15405.856</v>
      </c>
      <c r="X53" s="250">
        <f t="shared" si="239"/>
        <v>15287.521000000001</v>
      </c>
      <c r="Y53" s="250">
        <f t="shared" si="239"/>
        <v>15343.782999999999</v>
      </c>
      <c r="Z53" s="250">
        <f t="shared" si="239"/>
        <v>15081.724</v>
      </c>
      <c r="AA53" s="250">
        <f t="shared" si="239"/>
        <v>14994.082</v>
      </c>
      <c r="AB53" s="250">
        <f t="shared" si="239"/>
        <v>14902.886</v>
      </c>
      <c r="AC53" s="250">
        <f t="shared" ref="AC53" si="241">AC31</f>
        <v>14948.5</v>
      </c>
      <c r="AE53" s="250">
        <f t="shared" si="239"/>
        <v>15892.723</v>
      </c>
      <c r="AF53" s="250">
        <f t="shared" si="239"/>
        <v>15787.154</v>
      </c>
      <c r="AG53" s="250">
        <f t="shared" si="239"/>
        <v>15697.614</v>
      </c>
      <c r="AH53" s="250">
        <f t="shared" si="239"/>
        <v>15744.231</v>
      </c>
      <c r="AI53" s="250">
        <f t="shared" si="239"/>
        <v>15509.763000000001</v>
      </c>
      <c r="AJ53" s="250">
        <f t="shared" si="239"/>
        <v>15405.856</v>
      </c>
      <c r="AK53" s="250">
        <f t="shared" si="239"/>
        <v>15287.521000000001</v>
      </c>
      <c r="AL53" s="250">
        <f t="shared" si="239"/>
        <v>15343.782999999999</v>
      </c>
      <c r="AM53" s="250">
        <f t="shared" si="239"/>
        <v>15081.724</v>
      </c>
      <c r="AN53" s="250">
        <f t="shared" si="239"/>
        <v>14994.082</v>
      </c>
      <c r="AO53" s="250">
        <f t="shared" si="239"/>
        <v>14902.886</v>
      </c>
      <c r="AP53" s="250">
        <f t="shared" ref="AP53" si="242">AP31</f>
        <v>14948.5</v>
      </c>
    </row>
    <row r="54" spans="2:42">
      <c r="B54" s="14" t="s">
        <v>535</v>
      </c>
      <c r="C54" s="90">
        <f>C52/C53</f>
        <v>6.8798184330768306</v>
      </c>
      <c r="D54" s="90">
        <f t="shared" ref="D54:L54" si="243">D52/D53</f>
        <v>7.3417621800943866</v>
      </c>
      <c r="E54" s="90">
        <f t="shared" si="243"/>
        <v>6.1860574698900326</v>
      </c>
      <c r="F54" s="90">
        <f t="shared" si="243"/>
        <v>5.2974511426785806</v>
      </c>
      <c r="G54" s="90">
        <f t="shared" si="243"/>
        <v>4.57546424157188</v>
      </c>
      <c r="H54" s="90">
        <f t="shared" si="243"/>
        <v>3.939640046578488</v>
      </c>
      <c r="I54" s="90">
        <f t="shared" si="243"/>
        <v>3.024180555912714</v>
      </c>
      <c r="J54" s="90">
        <f t="shared" si="243"/>
        <v>3.2399804093321549</v>
      </c>
      <c r="K54" s="90">
        <f t="shared" si="243"/>
        <v>3.2600174285572208</v>
      </c>
      <c r="L54" s="90">
        <f t="shared" si="243"/>
        <v>2.2586212663477943</v>
      </c>
      <c r="N54" s="90">
        <f t="shared" ref="N54" si="244">N52/N53</f>
        <v>4.8681883613950561</v>
      </c>
      <c r="O54" s="90">
        <f t="shared" ref="O54" si="245">O52/O53</f>
        <v>4.4689406505466431</v>
      </c>
      <c r="P54" s="90">
        <f t="shared" ref="P54" si="246">P52/P53</f>
        <v>3.6884985997291952</v>
      </c>
      <c r="Q54" s="90">
        <f t="shared" ref="Q54" si="247">Q52/Q53</f>
        <v>3.024180555912714</v>
      </c>
      <c r="R54" s="90">
        <f t="shared" ref="R54" si="248">R52/R53</f>
        <v>3.4191749267888203</v>
      </c>
      <c r="S54" s="90">
        <f t="shared" ref="S54" si="249">S52/S53</f>
        <v>3.5926678108036443</v>
      </c>
      <c r="T54" s="90">
        <f t="shared" ref="T54" si="250">T52/T53</f>
        <v>3.6478792254670043</v>
      </c>
      <c r="U54" s="90">
        <f t="shared" ref="U54" si="251">U52/U53</f>
        <v>3.2399804093321549</v>
      </c>
      <c r="V54" s="90">
        <f t="shared" ref="V54" si="252">V52/V53</f>
        <v>4.1609275396406762</v>
      </c>
      <c r="W54" s="90">
        <f t="shared" ref="W54" si="253">W52/W53</f>
        <v>3.7483798368620347</v>
      </c>
      <c r="X54" s="90">
        <f t="shared" ref="X54" si="254">X52/X53</f>
        <v>3.3842635441024087</v>
      </c>
      <c r="Y54" s="90">
        <f t="shared" ref="Y54" si="255">Y52/Y53</f>
        <v>3.2600174285572208</v>
      </c>
      <c r="Z54" s="90">
        <f t="shared" ref="Z54" si="256">Z52/Z53</f>
        <v>2.9551661335269097</v>
      </c>
      <c r="AA54" s="90">
        <f t="shared" ref="AA54" si="257">AA52/AA53</f>
        <v>2.3166473279257778</v>
      </c>
      <c r="AB54" s="90">
        <f t="shared" ref="AB54:AC54" si="258">AB52/AB53</f>
        <v>2.0994591248970167</v>
      </c>
      <c r="AC54" s="90">
        <f t="shared" si="258"/>
        <v>2.2586212663477943</v>
      </c>
      <c r="AE54" s="90">
        <f t="shared" ref="AE54" si="259">AE52/AE53</f>
        <v>3.4191749267888203</v>
      </c>
      <c r="AF54" s="90">
        <f t="shared" ref="AF54" si="260">AF52/AF53</f>
        <v>3.5926678108036443</v>
      </c>
      <c r="AG54" s="90">
        <f t="shared" ref="AG54" si="261">AG52/AG53</f>
        <v>3.6478792254670043</v>
      </c>
      <c r="AH54" s="90">
        <f t="shared" ref="AH54" si="262">AH52/AH53</f>
        <v>3.2399804093321549</v>
      </c>
      <c r="AI54" s="90">
        <f t="shared" ref="AI54" si="263">AI52/AI53</f>
        <v>4.1609275396406762</v>
      </c>
      <c r="AJ54" s="90">
        <f t="shared" ref="AJ54" si="264">AJ52/AJ53</f>
        <v>3.7483798368620347</v>
      </c>
      <c r="AK54" s="90">
        <f t="shared" ref="AK54" si="265">AK52/AK53</f>
        <v>3.3842635441024087</v>
      </c>
      <c r="AL54" s="90">
        <f t="shared" ref="AL54" si="266">AL52/AL53</f>
        <v>3.2600174285572208</v>
      </c>
      <c r="AM54" s="90">
        <f t="shared" ref="AM54" si="267">AM52/AM53</f>
        <v>2.9551661335269097</v>
      </c>
      <c r="AN54" s="90">
        <f t="shared" ref="AN54" si="268">AN52/AN53</f>
        <v>2.3166473279257778</v>
      </c>
      <c r="AO54" s="90">
        <f t="shared" ref="AO54:AP54" si="269">AO52/AO53</f>
        <v>2.0994591248970167</v>
      </c>
      <c r="AP54" s="90">
        <f t="shared" si="269"/>
        <v>2.2586212663477943</v>
      </c>
    </row>
    <row r="56" spans="2:42" ht="15" thickBot="1">
      <c r="B56" s="305" t="s">
        <v>539</v>
      </c>
    </row>
    <row r="57" spans="2:42">
      <c r="B57" s="198" t="s">
        <v>33</v>
      </c>
      <c r="C57" s="250">
        <f>C51</f>
        <v>-87032</v>
      </c>
      <c r="D57" s="250">
        <f t="shared" ref="D57:AO57" si="270">D51</f>
        <v>-115680</v>
      </c>
      <c r="E57" s="250">
        <f t="shared" si="270"/>
        <v>-114483</v>
      </c>
      <c r="F57" s="250">
        <f t="shared" si="270"/>
        <v>-108047</v>
      </c>
      <c r="G57" s="250">
        <f t="shared" si="270"/>
        <v>-112436</v>
      </c>
      <c r="H57" s="250">
        <f t="shared" si="270"/>
        <v>-124719</v>
      </c>
      <c r="I57" s="250">
        <f t="shared" si="270"/>
        <v>-120069</v>
      </c>
      <c r="J57" s="250">
        <f t="shared" si="270"/>
        <v>-111088</v>
      </c>
      <c r="K57" s="250">
        <f t="shared" si="270"/>
        <v>-106629</v>
      </c>
      <c r="L57" s="250">
        <f t="shared" ref="L57" si="271">L51</f>
        <v>-98657</v>
      </c>
      <c r="N57" s="250">
        <f t="shared" ref="N57:AX57" si="272">N51</f>
        <v>-122798</v>
      </c>
      <c r="O57" s="250">
        <f t="shared" si="272"/>
        <v>-119981</v>
      </c>
      <c r="P57" s="250">
        <f t="shared" si="272"/>
        <v>-119691</v>
      </c>
      <c r="Q57" s="250">
        <f t="shared" si="272"/>
        <v>-120069</v>
      </c>
      <c r="R57" s="250">
        <f t="shared" si="272"/>
        <v>-111110</v>
      </c>
      <c r="S57" s="250">
        <f t="shared" si="272"/>
        <v>-109615</v>
      </c>
      <c r="T57" s="250">
        <f t="shared" si="272"/>
        <v>-109280</v>
      </c>
      <c r="U57" s="250">
        <f t="shared" si="272"/>
        <v>-111088</v>
      </c>
      <c r="V57" s="250">
        <f t="shared" si="272"/>
        <v>-108040</v>
      </c>
      <c r="W57" s="250">
        <f t="shared" si="272"/>
        <v>-104590</v>
      </c>
      <c r="X57" s="250">
        <f t="shared" si="272"/>
        <v>-101304</v>
      </c>
      <c r="Y57" s="250">
        <f t="shared" si="272"/>
        <v>-106629</v>
      </c>
      <c r="Z57" s="250">
        <f t="shared" si="272"/>
        <v>-96799</v>
      </c>
      <c r="AA57" s="250">
        <f t="shared" si="272"/>
        <v>-98186</v>
      </c>
      <c r="AB57" s="250">
        <f t="shared" si="272"/>
        <v>-101698</v>
      </c>
      <c r="AC57" s="250">
        <f t="shared" ref="AC57" si="273">AC51</f>
        <v>-98657</v>
      </c>
      <c r="AE57" s="250">
        <f t="shared" ref="AE57:BN57" si="274">AE51</f>
        <v>-111110</v>
      </c>
      <c r="AF57" s="250">
        <f t="shared" si="274"/>
        <v>-109615</v>
      </c>
      <c r="AG57" s="250">
        <f t="shared" si="274"/>
        <v>-109280</v>
      </c>
      <c r="AH57" s="250">
        <f t="shared" si="274"/>
        <v>-111088</v>
      </c>
      <c r="AI57" s="250">
        <f t="shared" si="274"/>
        <v>-108040</v>
      </c>
      <c r="AJ57" s="250">
        <f t="shared" si="274"/>
        <v>-104590</v>
      </c>
      <c r="AK57" s="250">
        <f t="shared" si="274"/>
        <v>-101304</v>
      </c>
      <c r="AL57" s="250">
        <f t="shared" si="274"/>
        <v>-106629</v>
      </c>
      <c r="AM57" s="250">
        <f t="shared" si="274"/>
        <v>-96799</v>
      </c>
      <c r="AN57" s="250">
        <f t="shared" si="274"/>
        <v>-98186</v>
      </c>
      <c r="AO57" s="250">
        <f t="shared" si="274"/>
        <v>-101698</v>
      </c>
      <c r="AP57" s="250">
        <f t="shared" ref="AP57" si="275">AP51</f>
        <v>-98657</v>
      </c>
    </row>
    <row r="58" spans="2:42">
      <c r="B58" s="198" t="s">
        <v>540</v>
      </c>
      <c r="C58" s="250">
        <f>C41+C57</f>
        <v>150553</v>
      </c>
      <c r="D58" s="250">
        <f t="shared" ref="D58:L58" si="276">D41+D57</f>
        <v>153215</v>
      </c>
      <c r="E58" s="250">
        <f t="shared" si="276"/>
        <v>122617</v>
      </c>
      <c r="F58" s="250">
        <f t="shared" si="276"/>
        <v>97851</v>
      </c>
      <c r="G58" s="250">
        <f t="shared" si="276"/>
        <v>79394</v>
      </c>
      <c r="H58" s="250">
        <f t="shared" si="276"/>
        <v>65797</v>
      </c>
      <c r="I58" s="250">
        <f t="shared" si="276"/>
        <v>49040</v>
      </c>
      <c r="J58" s="250">
        <f t="shared" si="276"/>
        <v>51011</v>
      </c>
      <c r="K58" s="250">
        <f t="shared" si="276"/>
        <v>50021</v>
      </c>
      <c r="L58" s="250">
        <f t="shared" si="276"/>
        <v>33763</v>
      </c>
      <c r="N58" s="250">
        <f t="shared" ref="N58" si="277">N41+N57</f>
        <v>79798</v>
      </c>
      <c r="O58" s="250">
        <f t="shared" ref="O58" si="278">O41+O57</f>
        <v>72749</v>
      </c>
      <c r="P58" s="250">
        <f t="shared" ref="P58" si="279">P41+P57</f>
        <v>59617</v>
      </c>
      <c r="Q58" s="250">
        <f t="shared" ref="Q58" si="280">Q41+Q57</f>
        <v>49040</v>
      </c>
      <c r="R58" s="250">
        <f t="shared" ref="R58" si="281">R41+R57</f>
        <v>54340</v>
      </c>
      <c r="S58" s="250">
        <f t="shared" ref="S58" si="282">S41+S57</f>
        <v>56718</v>
      </c>
      <c r="T58" s="250">
        <f t="shared" ref="T58" si="283">T41+T57</f>
        <v>57263</v>
      </c>
      <c r="U58" s="250">
        <f t="shared" ref="U58" si="284">U41+U57</f>
        <v>51011</v>
      </c>
      <c r="V58" s="250">
        <f t="shared" ref="V58" si="285">V41+V57</f>
        <v>64535</v>
      </c>
      <c r="W58" s="250">
        <f t="shared" ref="W58" si="286">W41+W57</f>
        <v>57747</v>
      </c>
      <c r="X58" s="250">
        <f t="shared" ref="X58" si="287">X41+X57</f>
        <v>51737</v>
      </c>
      <c r="Y58" s="250">
        <f t="shared" ref="Y58" si="288">Y41+Y57</f>
        <v>50021</v>
      </c>
      <c r="Z58" s="250">
        <f t="shared" ref="Z58" si="289">Z41+Z57</f>
        <v>44569</v>
      </c>
      <c r="AA58" s="250">
        <f t="shared" ref="AA58" si="290">AA41+AA57</f>
        <v>34736</v>
      </c>
      <c r="AB58" s="250">
        <f t="shared" ref="AB58:AC58" si="291">AB41+AB57</f>
        <v>31288</v>
      </c>
      <c r="AC58" s="250">
        <f t="shared" si="291"/>
        <v>33763</v>
      </c>
      <c r="AE58" s="250">
        <f t="shared" ref="AE58" si="292">AE41+AE57</f>
        <v>54340</v>
      </c>
      <c r="AF58" s="250">
        <f t="shared" ref="AF58" si="293">AF41+AF57</f>
        <v>56718</v>
      </c>
      <c r="AG58" s="250">
        <f t="shared" ref="AG58" si="294">AG41+AG57</f>
        <v>57263</v>
      </c>
      <c r="AH58" s="250">
        <f t="shared" ref="AH58" si="295">AH41+AH57</f>
        <v>51011</v>
      </c>
      <c r="AI58" s="250">
        <f t="shared" ref="AI58" si="296">AI41+AI57</f>
        <v>64535</v>
      </c>
      <c r="AJ58" s="250">
        <f t="shared" ref="AJ58" si="297">AJ41+AJ57</f>
        <v>57747</v>
      </c>
      <c r="AK58" s="250">
        <f t="shared" ref="AK58" si="298">AK41+AK57</f>
        <v>51737</v>
      </c>
      <c r="AL58" s="250">
        <f t="shared" ref="AL58" si="299">AL41+AL57</f>
        <v>50021</v>
      </c>
      <c r="AM58" s="250">
        <f t="shared" ref="AM58" si="300">AM41+AM57</f>
        <v>44569</v>
      </c>
      <c r="AN58" s="250">
        <f t="shared" ref="AN58" si="301">AN41+AN57</f>
        <v>34736</v>
      </c>
      <c r="AO58" s="250">
        <f t="shared" ref="AO58:AP58" si="302">AO41+AO57</f>
        <v>31288</v>
      </c>
      <c r="AP58" s="250">
        <f t="shared" si="302"/>
        <v>33763</v>
      </c>
    </row>
    <row r="59" spans="2:42">
      <c r="B59" s="198" t="s">
        <v>105</v>
      </c>
      <c r="C59" s="250">
        <f>C36</f>
        <v>22001.127</v>
      </c>
      <c r="D59" s="250">
        <f t="shared" ref="D59:AO59" si="303">D36</f>
        <v>21006.767</v>
      </c>
      <c r="E59" s="250">
        <f t="shared" si="303"/>
        <v>20000.436000000002</v>
      </c>
      <c r="F59" s="250">
        <f t="shared" si="303"/>
        <v>18595.651000000002</v>
      </c>
      <c r="G59" s="250">
        <f t="shared" si="303"/>
        <v>17528.214</v>
      </c>
      <c r="H59" s="250">
        <f t="shared" si="303"/>
        <v>16864.919000000002</v>
      </c>
      <c r="I59" s="250">
        <f t="shared" si="303"/>
        <v>16325.819</v>
      </c>
      <c r="J59" s="250">
        <f t="shared" si="303"/>
        <v>15812.547</v>
      </c>
      <c r="K59" s="250">
        <f t="shared" si="303"/>
        <v>15408.094999999999</v>
      </c>
      <c r="L59" s="250">
        <f t="shared" ref="L59" si="304">L36</f>
        <v>15004.697</v>
      </c>
      <c r="N59" s="250">
        <f t="shared" si="303"/>
        <v>16519.291000000001</v>
      </c>
      <c r="O59" s="250">
        <f t="shared" si="303"/>
        <v>16403.315999999999</v>
      </c>
      <c r="P59" s="250">
        <f t="shared" si="303"/>
        <v>16262.203</v>
      </c>
      <c r="Q59" s="250">
        <f t="shared" si="303"/>
        <v>16325.819</v>
      </c>
      <c r="R59" s="250">
        <f t="shared" si="303"/>
        <v>15955.718000000001</v>
      </c>
      <c r="S59" s="250">
        <f t="shared" si="303"/>
        <v>15847.05</v>
      </c>
      <c r="T59" s="250">
        <f t="shared" si="303"/>
        <v>15775.021000000001</v>
      </c>
      <c r="U59" s="250">
        <f t="shared" si="303"/>
        <v>15812.547</v>
      </c>
      <c r="V59" s="250">
        <f t="shared" si="303"/>
        <v>15576.641</v>
      </c>
      <c r="W59" s="250">
        <f t="shared" si="303"/>
        <v>15464.709000000001</v>
      </c>
      <c r="X59" s="250">
        <f t="shared" si="303"/>
        <v>15348.174999999999</v>
      </c>
      <c r="Y59" s="250">
        <f t="shared" si="303"/>
        <v>15408.094999999999</v>
      </c>
      <c r="Z59" s="250">
        <f t="shared" si="303"/>
        <v>15150.865</v>
      </c>
      <c r="AA59" s="250">
        <f t="shared" si="303"/>
        <v>15056.133</v>
      </c>
      <c r="AB59" s="250">
        <f t="shared" si="303"/>
        <v>14948.179</v>
      </c>
      <c r="AC59" s="250">
        <f t="shared" ref="AC59" si="305">AC36</f>
        <v>15004.697</v>
      </c>
      <c r="AE59" s="250">
        <f t="shared" si="303"/>
        <v>15955.718000000001</v>
      </c>
      <c r="AF59" s="250">
        <f t="shared" si="303"/>
        <v>15847.05</v>
      </c>
      <c r="AG59" s="250">
        <f t="shared" si="303"/>
        <v>15775.021000000001</v>
      </c>
      <c r="AH59" s="250">
        <f t="shared" si="303"/>
        <v>15812.547</v>
      </c>
      <c r="AI59" s="250">
        <f t="shared" si="303"/>
        <v>15576.641</v>
      </c>
      <c r="AJ59" s="250">
        <f t="shared" si="303"/>
        <v>15464.709000000001</v>
      </c>
      <c r="AK59" s="250">
        <f t="shared" si="303"/>
        <v>15348.174999999999</v>
      </c>
      <c r="AL59" s="250">
        <f t="shared" si="303"/>
        <v>15408.094999999999</v>
      </c>
      <c r="AM59" s="250">
        <f t="shared" si="303"/>
        <v>15150.865</v>
      </c>
      <c r="AN59" s="250">
        <f t="shared" si="303"/>
        <v>15056.133</v>
      </c>
      <c r="AO59" s="250">
        <f t="shared" si="303"/>
        <v>14948.179</v>
      </c>
      <c r="AP59" s="250">
        <f t="shared" ref="AP59" si="306">AP36</f>
        <v>15004.697</v>
      </c>
    </row>
    <row r="60" spans="2:42">
      <c r="B60" s="14" t="s">
        <v>537</v>
      </c>
      <c r="C60" s="90">
        <f>C58/C59</f>
        <v>6.8429676352488666</v>
      </c>
      <c r="D60" s="90">
        <f t="shared" ref="D60" si="307">D58/D59</f>
        <v>7.2936021045028019</v>
      </c>
      <c r="E60" s="90">
        <f t="shared" ref="E60" si="308">E58/E59</f>
        <v>6.1307163503835609</v>
      </c>
      <c r="F60" s="90">
        <f t="shared" ref="F60" si="309">F58/F59</f>
        <v>5.2620368063478926</v>
      </c>
      <c r="G60" s="90">
        <f t="shared" ref="G60" si="310">G58/G59</f>
        <v>4.5294974148535614</v>
      </c>
      <c r="H60" s="90">
        <f t="shared" ref="H60" si="311">H58/H59</f>
        <v>3.9014121562042483</v>
      </c>
      <c r="I60" s="90">
        <f t="shared" ref="I60" si="312">I58/I59</f>
        <v>3.0038309257256866</v>
      </c>
      <c r="J60" s="90">
        <f t="shared" ref="J60" si="313">J58/J59</f>
        <v>3.2259825061705745</v>
      </c>
      <c r="K60" s="90">
        <f t="shared" ref="K60:L60" si="314">K58/K59</f>
        <v>3.2464104095931394</v>
      </c>
      <c r="L60" s="90">
        <f t="shared" si="314"/>
        <v>2.2501620659184254</v>
      </c>
      <c r="N60" s="90">
        <f t="shared" ref="N60" si="315">N58/N59</f>
        <v>4.8305947270981546</v>
      </c>
      <c r="O60" s="90">
        <f t="shared" ref="O60" si="316">O58/O59</f>
        <v>4.4350178951621739</v>
      </c>
      <c r="P60" s="90">
        <f t="shared" ref="P60" si="317">P58/P59</f>
        <v>3.6659854756455816</v>
      </c>
      <c r="Q60" s="90">
        <f t="shared" ref="Q60" si="318">Q58/Q59</f>
        <v>3.0038309257256866</v>
      </c>
      <c r="R60" s="90">
        <f t="shared" ref="R60" si="319">R58/R59</f>
        <v>3.4056756330238476</v>
      </c>
      <c r="S60" s="90">
        <f t="shared" ref="S60" si="320">S58/S59</f>
        <v>3.5790888524993614</v>
      </c>
      <c r="T60" s="90">
        <f t="shared" ref="T60" si="321">T58/T59</f>
        <v>3.6299793198373553</v>
      </c>
      <c r="U60" s="90">
        <f t="shared" ref="U60" si="322">U58/U59</f>
        <v>3.2259825061705745</v>
      </c>
      <c r="V60" s="90">
        <f t="shared" ref="V60" si="323">V58/V59</f>
        <v>4.1430626795597334</v>
      </c>
      <c r="W60" s="90">
        <f t="shared" ref="W60" si="324">W58/W59</f>
        <v>3.7341148805321844</v>
      </c>
      <c r="X60" s="90">
        <f t="shared" ref="X60" si="325">X58/X59</f>
        <v>3.370889372840745</v>
      </c>
      <c r="Y60" s="90">
        <f t="shared" ref="Y60" si="326">Y58/Y59</f>
        <v>3.2464104095931394</v>
      </c>
      <c r="Z60" s="90">
        <f t="shared" ref="Z60" si="327">Z58/Z59</f>
        <v>2.9416802274985621</v>
      </c>
      <c r="AA60" s="90">
        <f t="shared" ref="AA60" si="328">AA58/AA59</f>
        <v>2.3070997048179636</v>
      </c>
      <c r="AB60" s="90">
        <f t="shared" ref="AB60:AC60" si="329">AB58/AB59</f>
        <v>2.0930977612724599</v>
      </c>
      <c r="AC60" s="90">
        <f t="shared" si="329"/>
        <v>2.2501620659184254</v>
      </c>
      <c r="AE60" s="90">
        <f t="shared" ref="AE60" si="330">AE58/AE59</f>
        <v>3.4056756330238476</v>
      </c>
      <c r="AF60" s="90">
        <f t="shared" ref="AF60" si="331">AF58/AF59</f>
        <v>3.5790888524993614</v>
      </c>
      <c r="AG60" s="90">
        <f t="shared" ref="AG60" si="332">AG58/AG59</f>
        <v>3.6299793198373553</v>
      </c>
      <c r="AH60" s="90">
        <f t="shared" ref="AH60" si="333">AH58/AH59</f>
        <v>3.2259825061705745</v>
      </c>
      <c r="AI60" s="90">
        <f t="shared" ref="AI60" si="334">AI58/AI59</f>
        <v>4.1430626795597334</v>
      </c>
      <c r="AJ60" s="90">
        <f t="shared" ref="AJ60" si="335">AJ58/AJ59</f>
        <v>3.7341148805321844</v>
      </c>
      <c r="AK60" s="90">
        <f t="shared" ref="AK60" si="336">AK58/AK59</f>
        <v>3.370889372840745</v>
      </c>
      <c r="AL60" s="90">
        <f t="shared" ref="AL60" si="337">AL58/AL59</f>
        <v>3.2464104095931394</v>
      </c>
      <c r="AM60" s="90">
        <f t="shared" ref="AM60" si="338">AM58/AM59</f>
        <v>2.9416802274985621</v>
      </c>
      <c r="AN60" s="90">
        <f t="shared" ref="AN60" si="339">AN58/AN59</f>
        <v>2.3070997048179636</v>
      </c>
      <c r="AO60" s="90">
        <f t="shared" ref="AO60:AP60" si="340">AO58/AO59</f>
        <v>2.0930977612724599</v>
      </c>
      <c r="AP60" s="90">
        <f t="shared" si="340"/>
        <v>2.2501620659184254</v>
      </c>
    </row>
    <row r="62" spans="2:42">
      <c r="B62" s="198"/>
    </row>
    <row r="63" spans="2:42">
      <c r="B63" s="198"/>
    </row>
    <row r="64" spans="2:42">
      <c r="B64" s="198"/>
    </row>
    <row r="65" spans="2:2">
      <c r="B65" s="198"/>
    </row>
    <row r="66" spans="2:2">
      <c r="B66" s="198"/>
    </row>
  </sheetData>
  <mergeCells count="1">
    <mergeCell ref="AQ2:A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S82"/>
  <sheetViews>
    <sheetView showGridLines="0" zoomScaleNormal="100" workbookViewId="0"/>
  </sheetViews>
  <sheetFormatPr defaultRowHeight="12" outlineLevelCol="1"/>
  <cols>
    <col min="1" max="1" width="1.5" style="8" customWidth="1"/>
    <col min="2" max="2" width="46.5" style="8" bestFit="1" customWidth="1"/>
    <col min="3" max="8" width="8.25" style="8" hidden="1" customWidth="1" outlineLevel="1"/>
    <col min="9" max="9" width="8.625" style="8" bestFit="1" customWidth="1" collapsed="1"/>
    <col min="10" max="10" width="8.25" style="8" bestFit="1" customWidth="1"/>
    <col min="11" max="12" width="9" style="8"/>
    <col min="13" max="13" width="1.5" style="8" customWidth="1"/>
    <col min="14" max="14" width="8.625" style="8" hidden="1" customWidth="1" outlineLevel="1"/>
    <col min="15" max="16" width="7.875" style="8" hidden="1" customWidth="1" outlineLevel="1"/>
    <col min="17" max="17" width="8.75" style="8" hidden="1" customWidth="1" outlineLevel="1"/>
    <col min="18" max="18" width="8.625" style="8" hidden="1" customWidth="1" outlineLevel="1"/>
    <col min="19" max="20" width="8" style="8" hidden="1" customWidth="1" outlineLevel="1"/>
    <col min="21" max="21" width="8.75" style="8" hidden="1" customWidth="1" outlineLevel="1"/>
    <col min="22" max="22" width="8.5" style="8" hidden="1" customWidth="1" outlineLevel="1"/>
    <col min="23" max="23" width="8.25" style="8" hidden="1" customWidth="1" outlineLevel="1"/>
    <col min="24" max="24" width="8.5" style="8" bestFit="1" customWidth="1" collapsed="1"/>
    <col min="25" max="29" width="9.125" style="8" bestFit="1" customWidth="1"/>
    <col min="30" max="30" width="1.5" style="8" customWidth="1"/>
    <col min="31" max="38" width="8.75" style="8" hidden="1" customWidth="1" outlineLevel="1"/>
    <col min="39" max="39" width="8.75" style="8" customWidth="1" collapsed="1"/>
    <col min="40" max="42" width="8.75" style="8" hidden="1" customWidth="1" outlineLevel="1"/>
    <col min="43" max="43" width="8.75" style="8" bestFit="1" customWidth="1" collapsed="1"/>
    <col min="44" max="44" width="1.5" style="8" customWidth="1"/>
    <col min="45" max="45" width="9.875" style="8" bestFit="1" customWidth="1"/>
    <col min="46" max="16384" width="9" style="8"/>
  </cols>
  <sheetData>
    <row r="2" spans="2:45" s="5" customFormat="1" ht="12.75" customHeight="1">
      <c r="B2" s="1" t="s">
        <v>223</v>
      </c>
      <c r="C2" s="2" t="s">
        <v>0</v>
      </c>
      <c r="D2" s="2"/>
      <c r="E2" s="2"/>
      <c r="F2" s="2"/>
      <c r="G2" s="2"/>
      <c r="H2" s="2"/>
      <c r="I2" s="2" t="s">
        <v>0</v>
      </c>
      <c r="J2" s="2"/>
      <c r="K2" s="2"/>
      <c r="L2" s="2"/>
      <c r="M2" s="3"/>
      <c r="N2" s="2" t="s">
        <v>1</v>
      </c>
      <c r="O2" s="2"/>
      <c r="P2" s="2"/>
      <c r="Q2" s="2"/>
      <c r="R2" s="2"/>
      <c r="S2" s="2"/>
      <c r="T2" s="2"/>
      <c r="U2" s="2"/>
      <c r="V2" s="2" t="s">
        <v>1</v>
      </c>
      <c r="W2" s="2"/>
      <c r="X2" s="2" t="s">
        <v>1</v>
      </c>
      <c r="Y2" s="2"/>
      <c r="Z2" s="2"/>
      <c r="AA2" s="2"/>
      <c r="AB2" s="2"/>
      <c r="AC2" s="2"/>
      <c r="AD2" s="3"/>
      <c r="AE2" s="2" t="s">
        <v>10</v>
      </c>
      <c r="AF2" s="2"/>
      <c r="AG2" s="2"/>
      <c r="AH2" s="2"/>
      <c r="AI2" s="2" t="s">
        <v>10</v>
      </c>
      <c r="AJ2" s="2"/>
      <c r="AK2" s="2"/>
      <c r="AL2" s="2" t="s">
        <v>10</v>
      </c>
      <c r="AM2" s="2" t="s">
        <v>10</v>
      </c>
      <c r="AN2" s="2"/>
      <c r="AO2" s="2"/>
      <c r="AP2" s="2"/>
      <c r="AQ2" s="2"/>
      <c r="AR2" s="3"/>
      <c r="AS2" s="284" t="s">
        <v>36</v>
      </c>
    </row>
    <row r="3" spans="2:45" s="5" customFormat="1" ht="12.75" customHeight="1">
      <c r="B3" s="6" t="s">
        <v>37</v>
      </c>
      <c r="C3" s="7">
        <f>'Historical Financials'!C7</f>
        <v>2016</v>
      </c>
      <c r="D3" s="7">
        <f>'Historical Financials'!D7</f>
        <v>2017</v>
      </c>
      <c r="E3" s="7">
        <f>'Historical Financials'!E7</f>
        <v>2018</v>
      </c>
      <c r="F3" s="7">
        <f>'Historical Financials'!F7</f>
        <v>2019</v>
      </c>
      <c r="G3" s="7">
        <f>'Historical Financials'!G7</f>
        <v>2020</v>
      </c>
      <c r="H3" s="7">
        <f>'Historical Financials'!H7</f>
        <v>2021</v>
      </c>
      <c r="I3" s="7">
        <f>'Historical Financials'!I7</f>
        <v>2022</v>
      </c>
      <c r="J3" s="7">
        <f>'Historical Financials'!J7</f>
        <v>2023</v>
      </c>
      <c r="K3" s="7">
        <f>'Historical Financials'!K7</f>
        <v>2024</v>
      </c>
      <c r="L3" s="7">
        <f>'Historical Financials'!L7</f>
        <v>2025</v>
      </c>
      <c r="M3" s="3"/>
      <c r="N3" s="7" t="str">
        <f>'Historical Financials'!N7</f>
        <v>1Q22</v>
      </c>
      <c r="O3" s="7" t="str">
        <f>'Historical Financials'!O7</f>
        <v>2Q22</v>
      </c>
      <c r="P3" s="7" t="str">
        <f>'Historical Financials'!P7</f>
        <v>3Q22</v>
      </c>
      <c r="Q3" s="7" t="str">
        <f>'Historical Financials'!Q7</f>
        <v>4Q22</v>
      </c>
      <c r="R3" s="7" t="str">
        <f>'Historical Financials'!R7</f>
        <v>1Q23</v>
      </c>
      <c r="S3" s="7" t="str">
        <f>'Historical Financials'!S7</f>
        <v>2Q23</v>
      </c>
      <c r="T3" s="7" t="str">
        <f>'Historical Financials'!T7</f>
        <v>3Q23</v>
      </c>
      <c r="U3" s="7" t="str">
        <f>'Historical Financials'!U7</f>
        <v>4Q23</v>
      </c>
      <c r="V3" s="7" t="str">
        <f>'Historical Financials'!V7</f>
        <v>1Q24</v>
      </c>
      <c r="W3" s="7" t="str">
        <f>'Historical Financials'!W7</f>
        <v>2Q24</v>
      </c>
      <c r="X3" s="7" t="str">
        <f>'Historical Financials'!X7</f>
        <v>3Q24</v>
      </c>
      <c r="Y3" s="7" t="str">
        <f>'Historical Financials'!Y7</f>
        <v>4Q24</v>
      </c>
      <c r="Z3" s="7" t="str">
        <f>'Historical Financials'!Z7</f>
        <v>1Q25</v>
      </c>
      <c r="AA3" s="7" t="str">
        <f>'Historical Financials'!AA7</f>
        <v>2Q25</v>
      </c>
      <c r="AB3" s="7" t="str">
        <f>'Historical Financials'!AB7</f>
        <v>3Q25</v>
      </c>
      <c r="AC3" s="7" t="str">
        <f>'Historical Financials'!AC7</f>
        <v>4Q25</v>
      </c>
      <c r="AD3" s="4"/>
      <c r="AE3" s="4" t="str">
        <f t="shared" ref="AD3:AO4" si="0">Q3</f>
        <v>4Q22</v>
      </c>
      <c r="AF3" s="4" t="str">
        <f t="shared" si="0"/>
        <v>1Q23</v>
      </c>
      <c r="AG3" s="4" t="str">
        <f t="shared" si="0"/>
        <v>2Q23</v>
      </c>
      <c r="AH3" s="4" t="str">
        <f t="shared" si="0"/>
        <v>3Q23</v>
      </c>
      <c r="AI3" s="4" t="str">
        <f t="shared" si="0"/>
        <v>4Q23</v>
      </c>
      <c r="AJ3" s="4" t="str">
        <f t="shared" si="0"/>
        <v>1Q24</v>
      </c>
      <c r="AK3" s="4" t="str">
        <f t="shared" si="0"/>
        <v>2Q24</v>
      </c>
      <c r="AL3" s="4" t="str">
        <f t="shared" si="0"/>
        <v>3Q24</v>
      </c>
      <c r="AM3" s="4" t="str">
        <f t="shared" si="0"/>
        <v>4Q24</v>
      </c>
      <c r="AN3" s="4" t="str">
        <f t="shared" si="0"/>
        <v>1Q25</v>
      </c>
      <c r="AO3" s="4" t="str">
        <f t="shared" si="0"/>
        <v>2Q25</v>
      </c>
      <c r="AP3" s="4" t="str">
        <f>AB3</f>
        <v>3Q25</v>
      </c>
      <c r="AQ3" s="4" t="str">
        <f>AC3</f>
        <v>4Q25</v>
      </c>
      <c r="AR3" s="3"/>
      <c r="AS3" s="284"/>
    </row>
    <row r="4" spans="2:45" s="5" customFormat="1" ht="12.75" customHeight="1">
      <c r="B4" s="303" t="s">
        <v>521</v>
      </c>
      <c r="C4" s="3">
        <f>'Historical Financials'!C8</f>
        <v>42643</v>
      </c>
      <c r="D4" s="3">
        <f>'Historical Financials'!D8</f>
        <v>43008</v>
      </c>
      <c r="E4" s="3">
        <f>'Historical Financials'!E8</f>
        <v>43372</v>
      </c>
      <c r="F4" s="3">
        <f>'Historical Financials'!F8</f>
        <v>43737</v>
      </c>
      <c r="G4" s="3">
        <f>'Historical Financials'!G8</f>
        <v>44104</v>
      </c>
      <c r="H4" s="3">
        <f>'Historical Financials'!H8</f>
        <v>44469</v>
      </c>
      <c r="I4" s="3">
        <f>'Historical Financials'!I8</f>
        <v>44834</v>
      </c>
      <c r="J4" s="3">
        <f>'Historical Financials'!J8</f>
        <v>45192</v>
      </c>
      <c r="K4" s="3">
        <f>'Historical Financials'!K8</f>
        <v>45559</v>
      </c>
      <c r="L4" s="3">
        <f>'Historical Financials'!L8</f>
        <v>45927</v>
      </c>
      <c r="M4" s="3"/>
      <c r="N4" s="3">
        <f>'Historical Financials'!N8</f>
        <v>44560</v>
      </c>
      <c r="O4" s="3">
        <f>'Historical Financials'!O8</f>
        <v>44650</v>
      </c>
      <c r="P4" s="3">
        <f>'Historical Financials'!P8</f>
        <v>44742</v>
      </c>
      <c r="Q4" s="3">
        <f>'Historical Financials'!Q8</f>
        <v>44834</v>
      </c>
      <c r="R4" s="3">
        <f>'Historical Financials'!R8</f>
        <v>44917</v>
      </c>
      <c r="S4" s="3">
        <f>'Historical Financials'!S8</f>
        <v>45008</v>
      </c>
      <c r="T4" s="3">
        <f>'Historical Financials'!T8</f>
        <v>45100</v>
      </c>
      <c r="U4" s="3">
        <f>'Historical Financials'!U8</f>
        <v>45192</v>
      </c>
      <c r="V4" s="3">
        <f>'Historical Financials'!V8</f>
        <v>45283</v>
      </c>
      <c r="W4" s="3">
        <f>'Historical Financials'!W8</f>
        <v>45375</v>
      </c>
      <c r="X4" s="3">
        <f>'Historical Financials'!X8</f>
        <v>45467</v>
      </c>
      <c r="Y4" s="3">
        <f>'Historical Financials'!Y8</f>
        <v>45559</v>
      </c>
      <c r="Z4" s="3">
        <f>'Historical Financials'!Z8</f>
        <v>45650</v>
      </c>
      <c r="AA4" s="3">
        <f>'Historical Financials'!AA8</f>
        <v>45741</v>
      </c>
      <c r="AB4" s="3">
        <f>'Historical Financials'!AB8</f>
        <v>45833</v>
      </c>
      <c r="AC4" s="3">
        <f>'Historical Financials'!AC8</f>
        <v>45927</v>
      </c>
      <c r="AD4" s="3"/>
      <c r="AE4" s="3">
        <f t="shared" si="0"/>
        <v>44834</v>
      </c>
      <c r="AF4" s="3">
        <f t="shared" si="0"/>
        <v>44917</v>
      </c>
      <c r="AG4" s="3">
        <f t="shared" si="0"/>
        <v>45008</v>
      </c>
      <c r="AH4" s="3">
        <f t="shared" si="0"/>
        <v>45100</v>
      </c>
      <c r="AI4" s="3">
        <f t="shared" si="0"/>
        <v>45192</v>
      </c>
      <c r="AJ4" s="3">
        <f t="shared" si="0"/>
        <v>45283</v>
      </c>
      <c r="AK4" s="3">
        <f t="shared" si="0"/>
        <v>45375</v>
      </c>
      <c r="AL4" s="3">
        <f t="shared" si="0"/>
        <v>45467</v>
      </c>
      <c r="AM4" s="3">
        <f t="shared" si="0"/>
        <v>45559</v>
      </c>
      <c r="AN4" s="3">
        <f t="shared" si="0"/>
        <v>45650</v>
      </c>
      <c r="AO4" s="3">
        <f t="shared" si="0"/>
        <v>45741</v>
      </c>
      <c r="AP4" s="3">
        <f>AB4</f>
        <v>45833</v>
      </c>
      <c r="AQ4" s="3">
        <f>AC4</f>
        <v>45927</v>
      </c>
      <c r="AR4" s="3"/>
      <c r="AS4" s="284"/>
    </row>
    <row r="5" spans="2:45" ht="5.0999999999999996" customHeight="1">
      <c r="AS5" s="9"/>
    </row>
    <row r="6" spans="2:45" ht="12.75" customHeight="1">
      <c r="B6" s="10" t="str">
        <f>'Revenue Drivers'!B9</f>
        <v>iPhone Revenue</v>
      </c>
      <c r="C6" s="134">
        <f>'Revenue Drivers'!C9</f>
        <v>136700</v>
      </c>
      <c r="D6" s="134">
        <f>'Revenue Drivers'!D9</f>
        <v>141319</v>
      </c>
      <c r="E6" s="134">
        <f>'Revenue Drivers'!E9</f>
        <v>164888</v>
      </c>
      <c r="F6" s="134">
        <f>'Revenue Drivers'!F9</f>
        <v>142381</v>
      </c>
      <c r="G6" s="134">
        <f>'Revenue Drivers'!G9</f>
        <v>137781</v>
      </c>
      <c r="H6" s="134">
        <f>'Revenue Drivers'!H9</f>
        <v>191973</v>
      </c>
      <c r="I6" s="134">
        <f>'Revenue Drivers'!I9</f>
        <v>205489</v>
      </c>
      <c r="J6" s="134">
        <f>'Revenue Drivers'!J9</f>
        <v>200583</v>
      </c>
      <c r="K6" s="134">
        <f>'Revenue Drivers'!K9</f>
        <v>201183</v>
      </c>
      <c r="L6" s="134">
        <f>'Revenue Drivers'!L9</f>
        <v>209586</v>
      </c>
      <c r="M6" s="11"/>
      <c r="N6" s="134">
        <f>'Revenue Drivers'!N9</f>
        <v>71628</v>
      </c>
      <c r="O6" s="134">
        <f>'Revenue Drivers'!O9</f>
        <v>50570</v>
      </c>
      <c r="P6" s="134">
        <f>'Revenue Drivers'!P9</f>
        <v>40665</v>
      </c>
      <c r="Q6" s="134">
        <f>'Revenue Drivers'!Q9</f>
        <v>42626</v>
      </c>
      <c r="R6" s="134">
        <f>'Revenue Drivers'!R9</f>
        <v>65775</v>
      </c>
      <c r="S6" s="134">
        <f>'Revenue Drivers'!S9</f>
        <v>51334</v>
      </c>
      <c r="T6" s="134">
        <f>'Revenue Drivers'!T9</f>
        <v>39669</v>
      </c>
      <c r="U6" s="134">
        <f>'Revenue Drivers'!U9</f>
        <v>43805</v>
      </c>
      <c r="V6" s="134">
        <f>'Revenue Drivers'!V9</f>
        <v>69702</v>
      </c>
      <c r="W6" s="134">
        <f>'Revenue Drivers'!W9</f>
        <v>45963</v>
      </c>
      <c r="X6" s="134">
        <f>'Revenue Drivers'!X9</f>
        <v>39296</v>
      </c>
      <c r="Y6" s="134">
        <f>'Revenue Drivers'!Y9</f>
        <v>46222</v>
      </c>
      <c r="Z6" s="134">
        <f>'Revenue Drivers'!Z9</f>
        <v>69138</v>
      </c>
      <c r="AA6" s="134">
        <f>'Revenue Drivers'!AA9</f>
        <v>46841</v>
      </c>
      <c r="AB6" s="134">
        <f>'Revenue Drivers'!AB9</f>
        <v>44582</v>
      </c>
      <c r="AC6" s="134">
        <f>'Revenue Drivers'!AC9</f>
        <v>49025</v>
      </c>
      <c r="AD6" s="5"/>
      <c r="AE6" s="11">
        <f t="shared" ref="AE6:AE10" si="1">SUM(N6:Q6)</f>
        <v>205489</v>
      </c>
      <c r="AF6" s="11">
        <f t="shared" ref="AF6:AF10" si="2">SUM(O6:R6)</f>
        <v>199636</v>
      </c>
      <c r="AG6" s="11">
        <f t="shared" ref="AG6:AG10" si="3">SUM(P6:S6)</f>
        <v>200400</v>
      </c>
      <c r="AH6" s="11">
        <f t="shared" ref="AH6:AH10" si="4">SUM(Q6:T6)</f>
        <v>199404</v>
      </c>
      <c r="AI6" s="11">
        <f t="shared" ref="AI6:AI10" si="5">SUM(R6:U6)</f>
        <v>200583</v>
      </c>
      <c r="AJ6" s="11">
        <f t="shared" ref="AJ6:AJ10" si="6">SUM(S6:V6)</f>
        <v>204510</v>
      </c>
      <c r="AK6" s="11">
        <f t="shared" ref="AK6:AK10" si="7">SUM(T6:W6)</f>
        <v>199139</v>
      </c>
      <c r="AL6" s="11">
        <f t="shared" ref="AL6:AL10" si="8">SUM(U6:X6)</f>
        <v>198766</v>
      </c>
      <c r="AM6" s="11">
        <f t="shared" ref="AM6:AM10" si="9">SUM(V6:Y6)</f>
        <v>201183</v>
      </c>
      <c r="AN6" s="11">
        <f t="shared" ref="AN6:AN10" si="10">SUM(W6:Z6)</f>
        <v>200619</v>
      </c>
      <c r="AO6" s="11">
        <f t="shared" ref="AO6:AO10" si="11">SUM(X6:AA6)</f>
        <v>201497</v>
      </c>
      <c r="AP6" s="11">
        <f>SUM(Y6:AB6)</f>
        <v>206783</v>
      </c>
      <c r="AQ6" s="11">
        <f>SUM(Z6:AC6)</f>
        <v>209586</v>
      </c>
      <c r="AS6" s="13">
        <f>SUM(AQ6/AM6)-1</f>
        <v>4.1767942619406195E-2</v>
      </c>
    </row>
    <row r="7" spans="2:45" ht="12.75" customHeight="1">
      <c r="B7" s="10" t="str">
        <f>'Revenue Drivers'!B10</f>
        <v>Mac Revenue</v>
      </c>
      <c r="C7" s="134">
        <f>'Revenue Drivers'!C10</f>
        <v>22831</v>
      </c>
      <c r="D7" s="134">
        <f>'Revenue Drivers'!D10</f>
        <v>25850</v>
      </c>
      <c r="E7" s="134">
        <f>'Revenue Drivers'!E10</f>
        <v>25198</v>
      </c>
      <c r="F7" s="134">
        <f>'Revenue Drivers'!F10</f>
        <v>25740</v>
      </c>
      <c r="G7" s="134">
        <f>'Revenue Drivers'!G10</f>
        <v>28622</v>
      </c>
      <c r="H7" s="134">
        <f>'Revenue Drivers'!H10</f>
        <v>35190</v>
      </c>
      <c r="I7" s="134">
        <f>'Revenue Drivers'!I10</f>
        <v>40177</v>
      </c>
      <c r="J7" s="134">
        <f>'Revenue Drivers'!J10</f>
        <v>29357</v>
      </c>
      <c r="K7" s="134">
        <f>'Revenue Drivers'!K10</f>
        <v>29984</v>
      </c>
      <c r="L7" s="134">
        <f>'Revenue Drivers'!L10</f>
        <v>33708</v>
      </c>
      <c r="M7" s="11"/>
      <c r="N7" s="134">
        <f>'Revenue Drivers'!N10</f>
        <v>10852</v>
      </c>
      <c r="O7" s="134">
        <f>'Revenue Drivers'!O10</f>
        <v>10435</v>
      </c>
      <c r="P7" s="134">
        <f>'Revenue Drivers'!P10</f>
        <v>7382</v>
      </c>
      <c r="Q7" s="134">
        <f>'Revenue Drivers'!Q10</f>
        <v>11508</v>
      </c>
      <c r="R7" s="134">
        <f>'Revenue Drivers'!R10</f>
        <v>7735</v>
      </c>
      <c r="S7" s="134">
        <f>'Revenue Drivers'!S10</f>
        <v>7168</v>
      </c>
      <c r="T7" s="134">
        <f>'Revenue Drivers'!T10</f>
        <v>6840</v>
      </c>
      <c r="U7" s="134">
        <f>'Revenue Drivers'!U10</f>
        <v>7614</v>
      </c>
      <c r="V7" s="134">
        <f>'Revenue Drivers'!V10</f>
        <v>7780</v>
      </c>
      <c r="W7" s="134">
        <f>'Revenue Drivers'!W10</f>
        <v>7451</v>
      </c>
      <c r="X7" s="134">
        <f>'Revenue Drivers'!X10</f>
        <v>7009</v>
      </c>
      <c r="Y7" s="134">
        <f>'Revenue Drivers'!Y10</f>
        <v>7744</v>
      </c>
      <c r="Z7" s="134">
        <f>'Revenue Drivers'!Z10</f>
        <v>8987</v>
      </c>
      <c r="AA7" s="134">
        <f>'Revenue Drivers'!AA10</f>
        <v>7949</v>
      </c>
      <c r="AB7" s="134">
        <f>'Revenue Drivers'!AB10</f>
        <v>8046</v>
      </c>
      <c r="AC7" s="134">
        <f>'Revenue Drivers'!AC10</f>
        <v>8726</v>
      </c>
      <c r="AD7" s="5"/>
      <c r="AE7" s="11">
        <f t="shared" si="1"/>
        <v>40177</v>
      </c>
      <c r="AF7" s="11">
        <f t="shared" si="2"/>
        <v>37060</v>
      </c>
      <c r="AG7" s="11">
        <f t="shared" si="3"/>
        <v>33793</v>
      </c>
      <c r="AH7" s="11">
        <f t="shared" si="4"/>
        <v>33251</v>
      </c>
      <c r="AI7" s="11">
        <f t="shared" si="5"/>
        <v>29357</v>
      </c>
      <c r="AJ7" s="11">
        <f t="shared" si="6"/>
        <v>29402</v>
      </c>
      <c r="AK7" s="11">
        <f t="shared" si="7"/>
        <v>29685</v>
      </c>
      <c r="AL7" s="11">
        <f t="shared" si="8"/>
        <v>29854</v>
      </c>
      <c r="AM7" s="11">
        <f t="shared" si="9"/>
        <v>29984</v>
      </c>
      <c r="AN7" s="11">
        <f t="shared" si="10"/>
        <v>31191</v>
      </c>
      <c r="AO7" s="11">
        <f t="shared" si="11"/>
        <v>31689</v>
      </c>
      <c r="AP7" s="11">
        <f t="shared" ref="AP7:AQ10" si="12">SUM(Y7:AB7)</f>
        <v>32726</v>
      </c>
      <c r="AQ7" s="11">
        <f t="shared" si="12"/>
        <v>33708</v>
      </c>
      <c r="AS7" s="13">
        <f t="shared" ref="AS7:AS11" si="13">SUM(AQ7/AM7)-1</f>
        <v>0.12419957310565644</v>
      </c>
    </row>
    <row r="8" spans="2:45" ht="12.75" customHeight="1">
      <c r="B8" s="10" t="str">
        <f>'Revenue Drivers'!B11</f>
        <v>iPad Revenue</v>
      </c>
      <c r="C8" s="134">
        <f>'Revenue Drivers'!C11</f>
        <v>20628</v>
      </c>
      <c r="D8" s="134">
        <f>'Revenue Drivers'!D11</f>
        <v>19222</v>
      </c>
      <c r="E8" s="134">
        <f>'Revenue Drivers'!E11</f>
        <v>18380</v>
      </c>
      <c r="F8" s="134">
        <f>'Revenue Drivers'!F11</f>
        <v>21280</v>
      </c>
      <c r="G8" s="134">
        <f>'Revenue Drivers'!G11</f>
        <v>23724</v>
      </c>
      <c r="H8" s="134">
        <f>'Revenue Drivers'!H11</f>
        <v>31862</v>
      </c>
      <c r="I8" s="134">
        <f>'Revenue Drivers'!I11</f>
        <v>29292</v>
      </c>
      <c r="J8" s="134">
        <f>'Revenue Drivers'!J11</f>
        <v>28300</v>
      </c>
      <c r="K8" s="134">
        <f>'Revenue Drivers'!K11</f>
        <v>26694</v>
      </c>
      <c r="L8" s="134">
        <f>'Revenue Drivers'!L11</f>
        <v>28023</v>
      </c>
      <c r="M8" s="11"/>
      <c r="N8" s="134">
        <f>'Revenue Drivers'!N11</f>
        <v>7248</v>
      </c>
      <c r="O8" s="134">
        <f>'Revenue Drivers'!O11</f>
        <v>7646</v>
      </c>
      <c r="P8" s="134">
        <f>'Revenue Drivers'!P11</f>
        <v>7224</v>
      </c>
      <c r="Q8" s="134">
        <f>'Revenue Drivers'!Q11</f>
        <v>7174</v>
      </c>
      <c r="R8" s="134">
        <f>'Revenue Drivers'!R11</f>
        <v>9396</v>
      </c>
      <c r="S8" s="134">
        <f>'Revenue Drivers'!S11</f>
        <v>6670</v>
      </c>
      <c r="T8" s="134">
        <f>'Revenue Drivers'!T11</f>
        <v>5791</v>
      </c>
      <c r="U8" s="134">
        <f>'Revenue Drivers'!U11</f>
        <v>6443</v>
      </c>
      <c r="V8" s="134">
        <f>'Revenue Drivers'!V11</f>
        <v>7023</v>
      </c>
      <c r="W8" s="134">
        <f>'Revenue Drivers'!W11</f>
        <v>5559</v>
      </c>
      <c r="X8" s="134">
        <f>'Revenue Drivers'!X11</f>
        <v>7162</v>
      </c>
      <c r="Y8" s="134">
        <f>'Revenue Drivers'!Y11</f>
        <v>6950</v>
      </c>
      <c r="Z8" s="134">
        <f>'Revenue Drivers'!Z11</f>
        <v>8088</v>
      </c>
      <c r="AA8" s="134">
        <f>'Revenue Drivers'!AA11</f>
        <v>6402</v>
      </c>
      <c r="AB8" s="134">
        <f>'Revenue Drivers'!AB11</f>
        <v>6581</v>
      </c>
      <c r="AC8" s="134">
        <f>'Revenue Drivers'!AC11</f>
        <v>6952</v>
      </c>
      <c r="AD8" s="5"/>
      <c r="AE8" s="11">
        <f t="shared" si="1"/>
        <v>29292</v>
      </c>
      <c r="AF8" s="11">
        <f t="shared" si="2"/>
        <v>31440</v>
      </c>
      <c r="AG8" s="11">
        <f t="shared" si="3"/>
        <v>30464</v>
      </c>
      <c r="AH8" s="11">
        <f t="shared" si="4"/>
        <v>29031</v>
      </c>
      <c r="AI8" s="11">
        <f t="shared" si="5"/>
        <v>28300</v>
      </c>
      <c r="AJ8" s="11">
        <f t="shared" si="6"/>
        <v>25927</v>
      </c>
      <c r="AK8" s="11">
        <f t="shared" si="7"/>
        <v>24816</v>
      </c>
      <c r="AL8" s="11">
        <f t="shared" si="8"/>
        <v>26187</v>
      </c>
      <c r="AM8" s="11">
        <f t="shared" si="9"/>
        <v>26694</v>
      </c>
      <c r="AN8" s="11">
        <f t="shared" si="10"/>
        <v>27759</v>
      </c>
      <c r="AO8" s="11">
        <f t="shared" si="11"/>
        <v>28602</v>
      </c>
      <c r="AP8" s="11">
        <f t="shared" si="12"/>
        <v>28021</v>
      </c>
      <c r="AQ8" s="11">
        <f t="shared" si="12"/>
        <v>28023</v>
      </c>
      <c r="AS8" s="13">
        <f t="shared" si="13"/>
        <v>4.9786468869408962E-2</v>
      </c>
    </row>
    <row r="9" spans="2:45" ht="12.75" customHeight="1">
      <c r="B9" s="10" t="str">
        <f>'Revenue Drivers'!B12</f>
        <v>Services Revenue</v>
      </c>
      <c r="C9" s="134">
        <f>'Revenue Drivers'!C12</f>
        <v>24348</v>
      </c>
      <c r="D9" s="134">
        <f>'Revenue Drivers'!D12</f>
        <v>29980</v>
      </c>
      <c r="E9" s="134">
        <f>'Revenue Drivers'!E12</f>
        <v>39748</v>
      </c>
      <c r="F9" s="134">
        <f>'Revenue Drivers'!F12</f>
        <v>46291</v>
      </c>
      <c r="G9" s="134">
        <f>'Revenue Drivers'!G12</f>
        <v>53768</v>
      </c>
      <c r="H9" s="134">
        <f>'Revenue Drivers'!H12</f>
        <v>68425</v>
      </c>
      <c r="I9" s="134">
        <f>'Revenue Drivers'!I12</f>
        <v>78129</v>
      </c>
      <c r="J9" s="134">
        <f>'Revenue Drivers'!J12</f>
        <v>85200</v>
      </c>
      <c r="K9" s="134">
        <f>'Revenue Drivers'!K12</f>
        <v>96169</v>
      </c>
      <c r="L9" s="134">
        <f>'Revenue Drivers'!L12</f>
        <v>109158</v>
      </c>
      <c r="M9" s="11"/>
      <c r="N9" s="134">
        <f>'Revenue Drivers'!N12</f>
        <v>19516</v>
      </c>
      <c r="O9" s="134">
        <f>'Revenue Drivers'!O12</f>
        <v>19821</v>
      </c>
      <c r="P9" s="134">
        <f>'Revenue Drivers'!P12</f>
        <v>19604</v>
      </c>
      <c r="Q9" s="134">
        <f>'Revenue Drivers'!Q12</f>
        <v>19188</v>
      </c>
      <c r="R9" s="134">
        <f>'Revenue Drivers'!R12</f>
        <v>20766</v>
      </c>
      <c r="S9" s="134">
        <f>'Revenue Drivers'!S12</f>
        <v>20907</v>
      </c>
      <c r="T9" s="134">
        <f>'Revenue Drivers'!T12</f>
        <v>21213</v>
      </c>
      <c r="U9" s="134">
        <f>'Revenue Drivers'!U12</f>
        <v>22314</v>
      </c>
      <c r="V9" s="134">
        <f>'Revenue Drivers'!V12</f>
        <v>23117</v>
      </c>
      <c r="W9" s="134">
        <f>'Revenue Drivers'!W12</f>
        <v>23867</v>
      </c>
      <c r="X9" s="134">
        <f>'Revenue Drivers'!X12</f>
        <v>24213</v>
      </c>
      <c r="Y9" s="134">
        <f>'Revenue Drivers'!Y12</f>
        <v>24972</v>
      </c>
      <c r="Z9" s="134">
        <f>'Revenue Drivers'!Z12</f>
        <v>26340</v>
      </c>
      <c r="AA9" s="134">
        <f>'Revenue Drivers'!AA12</f>
        <v>26645</v>
      </c>
      <c r="AB9" s="134">
        <f>'Revenue Drivers'!AB12</f>
        <v>27423</v>
      </c>
      <c r="AC9" s="134">
        <f>'Revenue Drivers'!AC12</f>
        <v>28750</v>
      </c>
      <c r="AD9" s="5"/>
      <c r="AE9" s="11">
        <f t="shared" si="1"/>
        <v>78129</v>
      </c>
      <c r="AF9" s="11">
        <f t="shared" si="2"/>
        <v>79379</v>
      </c>
      <c r="AG9" s="11">
        <f t="shared" si="3"/>
        <v>80465</v>
      </c>
      <c r="AH9" s="11">
        <f t="shared" si="4"/>
        <v>82074</v>
      </c>
      <c r="AI9" s="11">
        <f t="shared" si="5"/>
        <v>85200</v>
      </c>
      <c r="AJ9" s="11">
        <f t="shared" si="6"/>
        <v>87551</v>
      </c>
      <c r="AK9" s="11">
        <f t="shared" si="7"/>
        <v>90511</v>
      </c>
      <c r="AL9" s="11">
        <f t="shared" si="8"/>
        <v>93511</v>
      </c>
      <c r="AM9" s="11">
        <f t="shared" si="9"/>
        <v>96169</v>
      </c>
      <c r="AN9" s="11">
        <f t="shared" si="10"/>
        <v>99392</v>
      </c>
      <c r="AO9" s="11">
        <f t="shared" si="11"/>
        <v>102170</v>
      </c>
      <c r="AP9" s="11">
        <f t="shared" si="12"/>
        <v>105380</v>
      </c>
      <c r="AQ9" s="11">
        <f t="shared" si="12"/>
        <v>109158</v>
      </c>
      <c r="AS9" s="13">
        <f t="shared" si="13"/>
        <v>0.13506431386413498</v>
      </c>
    </row>
    <row r="10" spans="2:45" ht="12.75" customHeight="1">
      <c r="B10" s="10" t="str">
        <f>'Revenue Drivers'!B13</f>
        <v>Wearables, Home, and Accessories Revenue</v>
      </c>
      <c r="C10" s="134">
        <f>'Revenue Drivers'!C13</f>
        <v>11132</v>
      </c>
      <c r="D10" s="134">
        <f>'Revenue Drivers'!D13</f>
        <v>12863</v>
      </c>
      <c r="E10" s="134">
        <f>'Revenue Drivers'!E13</f>
        <v>17381</v>
      </c>
      <c r="F10" s="134">
        <f>'Revenue Drivers'!F13</f>
        <v>24482</v>
      </c>
      <c r="G10" s="134">
        <f>'Revenue Drivers'!G13</f>
        <v>30620</v>
      </c>
      <c r="H10" s="134">
        <f>'Revenue Drivers'!H13</f>
        <v>38367</v>
      </c>
      <c r="I10" s="134">
        <f>'Revenue Drivers'!I13</f>
        <v>41241</v>
      </c>
      <c r="J10" s="134">
        <f>'Revenue Drivers'!J13</f>
        <v>39845</v>
      </c>
      <c r="K10" s="134">
        <f>'Revenue Drivers'!K13</f>
        <v>37005</v>
      </c>
      <c r="L10" s="134">
        <f>'Revenue Drivers'!L13</f>
        <v>35686</v>
      </c>
      <c r="M10" s="11"/>
      <c r="N10" s="134">
        <f>'Revenue Drivers'!N13</f>
        <v>14701</v>
      </c>
      <c r="O10" s="134">
        <f>'Revenue Drivers'!O13</f>
        <v>8806</v>
      </c>
      <c r="P10" s="134">
        <f>'Revenue Drivers'!P13</f>
        <v>8084</v>
      </c>
      <c r="Q10" s="134">
        <f>'Revenue Drivers'!Q13</f>
        <v>9650</v>
      </c>
      <c r="R10" s="134">
        <f>'Revenue Drivers'!R13</f>
        <v>13482</v>
      </c>
      <c r="S10" s="134">
        <f>'Revenue Drivers'!S13</f>
        <v>8757</v>
      </c>
      <c r="T10" s="134">
        <f>'Revenue Drivers'!T13</f>
        <v>8284</v>
      </c>
      <c r="U10" s="134">
        <f>'Revenue Drivers'!U13</f>
        <v>9322</v>
      </c>
      <c r="V10" s="134">
        <f>'Revenue Drivers'!V13</f>
        <v>11953</v>
      </c>
      <c r="W10" s="134">
        <f>'Revenue Drivers'!W13</f>
        <v>7913</v>
      </c>
      <c r="X10" s="134">
        <f>'Revenue Drivers'!X13</f>
        <v>8097</v>
      </c>
      <c r="Y10" s="134">
        <f>'Revenue Drivers'!Y13</f>
        <v>9042</v>
      </c>
      <c r="Z10" s="134">
        <f>'Revenue Drivers'!Z13</f>
        <v>11747</v>
      </c>
      <c r="AA10" s="134">
        <f>'Revenue Drivers'!AA13</f>
        <v>7522</v>
      </c>
      <c r="AB10" s="134">
        <f>'Revenue Drivers'!AB13</f>
        <v>7404</v>
      </c>
      <c r="AC10" s="134">
        <f>'Revenue Drivers'!AC13</f>
        <v>9013</v>
      </c>
      <c r="AD10" s="5"/>
      <c r="AE10" s="11">
        <f t="shared" si="1"/>
        <v>41241</v>
      </c>
      <c r="AF10" s="11">
        <f t="shared" si="2"/>
        <v>40022</v>
      </c>
      <c r="AG10" s="11">
        <f t="shared" si="3"/>
        <v>39973</v>
      </c>
      <c r="AH10" s="11">
        <f t="shared" si="4"/>
        <v>40173</v>
      </c>
      <c r="AI10" s="11">
        <f t="shared" si="5"/>
        <v>39845</v>
      </c>
      <c r="AJ10" s="11">
        <f t="shared" si="6"/>
        <v>38316</v>
      </c>
      <c r="AK10" s="11">
        <f t="shared" si="7"/>
        <v>37472</v>
      </c>
      <c r="AL10" s="11">
        <f t="shared" si="8"/>
        <v>37285</v>
      </c>
      <c r="AM10" s="11">
        <f t="shared" si="9"/>
        <v>37005</v>
      </c>
      <c r="AN10" s="11">
        <f t="shared" si="10"/>
        <v>36799</v>
      </c>
      <c r="AO10" s="11">
        <f t="shared" si="11"/>
        <v>36408</v>
      </c>
      <c r="AP10" s="11">
        <f t="shared" si="12"/>
        <v>35715</v>
      </c>
      <c r="AQ10" s="11">
        <f t="shared" si="12"/>
        <v>35686</v>
      </c>
      <c r="AS10" s="13">
        <f t="shared" si="13"/>
        <v>-3.5643831914606183E-2</v>
      </c>
    </row>
    <row r="11" spans="2:45" ht="12.75" customHeight="1">
      <c r="B11" s="14" t="s">
        <v>12</v>
      </c>
      <c r="C11" s="15">
        <f t="shared" ref="C11:F11" si="14">SUM(C6:C10)</f>
        <v>215639</v>
      </c>
      <c r="D11" s="15">
        <f t="shared" si="14"/>
        <v>229234</v>
      </c>
      <c r="E11" s="15">
        <f t="shared" si="14"/>
        <v>265595</v>
      </c>
      <c r="F11" s="15">
        <f t="shared" si="14"/>
        <v>260174</v>
      </c>
      <c r="G11" s="15">
        <f>SUM(G6:G10)</f>
        <v>274515</v>
      </c>
      <c r="H11" s="15">
        <f t="shared" ref="H11:K11" si="15">SUM(H6:H10)</f>
        <v>365817</v>
      </c>
      <c r="I11" s="15">
        <f t="shared" si="15"/>
        <v>394328</v>
      </c>
      <c r="J11" s="15">
        <f t="shared" si="15"/>
        <v>383285</v>
      </c>
      <c r="K11" s="15">
        <f t="shared" si="15"/>
        <v>391035</v>
      </c>
      <c r="L11" s="15">
        <f t="shared" ref="L11" si="16">SUM(L6:L10)</f>
        <v>416161</v>
      </c>
      <c r="M11" s="11"/>
      <c r="N11" s="15">
        <f t="shared" ref="N11" si="17">SUM(N6:N10)</f>
        <v>123945</v>
      </c>
      <c r="O11" s="15">
        <f t="shared" ref="O11" si="18">SUM(O6:O10)</f>
        <v>97278</v>
      </c>
      <c r="P11" s="15">
        <f t="shared" ref="P11" si="19">SUM(P6:P10)</f>
        <v>82959</v>
      </c>
      <c r="Q11" s="15">
        <f t="shared" ref="Q11" si="20">SUM(Q6:Q10)</f>
        <v>90146</v>
      </c>
      <c r="R11" s="15">
        <f t="shared" ref="R11" si="21">SUM(R6:R10)</f>
        <v>117154</v>
      </c>
      <c r="S11" s="15">
        <f t="shared" ref="S11" si="22">SUM(S6:S10)</f>
        <v>94836</v>
      </c>
      <c r="T11" s="15">
        <f t="shared" ref="T11" si="23">SUM(T6:T10)</f>
        <v>81797</v>
      </c>
      <c r="U11" s="15">
        <f t="shared" ref="U11" si="24">SUM(U6:U10)</f>
        <v>89498</v>
      </c>
      <c r="V11" s="15">
        <f t="shared" ref="V11" si="25">SUM(V6:V10)</f>
        <v>119575</v>
      </c>
      <c r="W11" s="15">
        <f t="shared" ref="W11" si="26">SUM(W6:W10)</f>
        <v>90753</v>
      </c>
      <c r="X11" s="15">
        <f t="shared" ref="X11" si="27">SUM(X6:X10)</f>
        <v>85777</v>
      </c>
      <c r="Y11" s="15">
        <f t="shared" ref="Y11" si="28">SUM(Y6:Y10)</f>
        <v>94930</v>
      </c>
      <c r="Z11" s="15">
        <f t="shared" ref="Z11" si="29">SUM(Z6:Z10)</f>
        <v>124300</v>
      </c>
      <c r="AA11" s="15">
        <f t="shared" ref="AA11" si="30">SUM(AA6:AA10)</f>
        <v>95359</v>
      </c>
      <c r="AB11" s="15">
        <f t="shared" ref="AB11" si="31">SUM(AB6:AB10)</f>
        <v>94036</v>
      </c>
      <c r="AC11" s="15">
        <f t="shared" ref="AC11" si="32">SUM(AC6:AC10)</f>
        <v>102466</v>
      </c>
      <c r="AD11" s="5"/>
      <c r="AE11" s="15">
        <f t="shared" ref="AE11" si="33">SUM(AE6:AE10)</f>
        <v>394328</v>
      </c>
      <c r="AF11" s="15">
        <f t="shared" ref="AF11" si="34">SUM(AF6:AF10)</f>
        <v>387537</v>
      </c>
      <c r="AG11" s="15">
        <f t="shared" ref="AG11" si="35">SUM(AG6:AG10)</f>
        <v>385095</v>
      </c>
      <c r="AH11" s="15">
        <f t="shared" ref="AH11" si="36">SUM(AH6:AH10)</f>
        <v>383933</v>
      </c>
      <c r="AI11" s="15">
        <f t="shared" ref="AI11" si="37">SUM(AI6:AI10)</f>
        <v>383285</v>
      </c>
      <c r="AJ11" s="15">
        <f t="shared" ref="AJ11" si="38">SUM(AJ6:AJ10)</f>
        <v>385706</v>
      </c>
      <c r="AK11" s="15">
        <f t="shared" ref="AK11" si="39">SUM(AK6:AK10)</f>
        <v>381623</v>
      </c>
      <c r="AL11" s="15">
        <f t="shared" ref="AL11" si="40">SUM(AL6:AL10)</f>
        <v>385603</v>
      </c>
      <c r="AM11" s="15">
        <f t="shared" ref="AM11" si="41">SUM(AM6:AM10)</f>
        <v>391035</v>
      </c>
      <c r="AN11" s="15">
        <f t="shared" ref="AN11" si="42">SUM(AN6:AN10)</f>
        <v>395760</v>
      </c>
      <c r="AO11" s="15">
        <f t="shared" ref="AO11" si="43">SUM(AO6:AO10)</f>
        <v>400366</v>
      </c>
      <c r="AP11" s="15">
        <f t="shared" ref="AP11:AQ11" si="44">SUM(AP6:AP10)</f>
        <v>408625</v>
      </c>
      <c r="AQ11" s="15">
        <f t="shared" si="44"/>
        <v>416161</v>
      </c>
      <c r="AS11" s="13">
        <f t="shared" si="13"/>
        <v>6.425511782832749E-2</v>
      </c>
    </row>
    <row r="12" spans="2:45" ht="12.75" customHeight="1">
      <c r="B12" s="17" t="s">
        <v>44</v>
      </c>
      <c r="C12" s="287"/>
      <c r="D12" s="18">
        <f t="shared" ref="D12:G12" si="45">SUM(D11/C11)-1</f>
        <v>6.304518199398057E-2</v>
      </c>
      <c r="E12" s="18">
        <f t="shared" si="45"/>
        <v>0.15861957650261305</v>
      </c>
      <c r="F12" s="18">
        <f t="shared" si="45"/>
        <v>-2.04107758052674E-2</v>
      </c>
      <c r="G12" s="18">
        <f t="shared" si="45"/>
        <v>5.5120803769784787E-2</v>
      </c>
      <c r="H12" s="18">
        <f>SUM(H11/G11)-1</f>
        <v>0.33259384733074704</v>
      </c>
      <c r="I12" s="18">
        <f>SUM(I11/H11)-1</f>
        <v>7.7937876041846099E-2</v>
      </c>
      <c r="J12" s="18">
        <f t="shared" ref="J12:L12" si="46">SUM(J11/I11)-1</f>
        <v>-2.800460530319937E-2</v>
      </c>
      <c r="K12" s="18">
        <f t="shared" si="46"/>
        <v>2.021994077514111E-2</v>
      </c>
      <c r="L12" s="18">
        <f t="shared" si="46"/>
        <v>6.425511782832749E-2</v>
      </c>
      <c r="M12" s="12"/>
      <c r="N12" s="287"/>
      <c r="O12" s="287"/>
      <c r="P12" s="287"/>
      <c r="Q12" s="287"/>
      <c r="R12" s="18">
        <f>SUM(R11/N11)-1</f>
        <v>-5.4790431239662762E-2</v>
      </c>
      <c r="S12" s="18">
        <f t="shared" ref="S12:AC12" si="47">SUM(S11/O11)-1</f>
        <v>-2.5103312156911084E-2</v>
      </c>
      <c r="T12" s="18">
        <f t="shared" si="47"/>
        <v>-1.4006919080509661E-2</v>
      </c>
      <c r="U12" s="18">
        <f t="shared" si="47"/>
        <v>-7.1883389168682088E-3</v>
      </c>
      <c r="V12" s="18">
        <f t="shared" si="47"/>
        <v>2.0665107465387411E-2</v>
      </c>
      <c r="W12" s="18">
        <f t="shared" si="47"/>
        <v>-4.3053270909781061E-2</v>
      </c>
      <c r="X12" s="18">
        <f t="shared" si="47"/>
        <v>4.8657041211780383E-2</v>
      </c>
      <c r="Y12" s="18">
        <f t="shared" si="47"/>
        <v>6.0694093722764686E-2</v>
      </c>
      <c r="Z12" s="18">
        <f t="shared" si="47"/>
        <v>3.9514948776918191E-2</v>
      </c>
      <c r="AA12" s="18">
        <f t="shared" si="47"/>
        <v>5.075314314678292E-2</v>
      </c>
      <c r="AB12" s="18">
        <f t="shared" si="47"/>
        <v>9.628455180293094E-2</v>
      </c>
      <c r="AC12" s="18">
        <f t="shared" si="47"/>
        <v>7.9384809859896821E-2</v>
      </c>
      <c r="AD12" s="5"/>
      <c r="AE12" s="287"/>
      <c r="AF12" s="287"/>
      <c r="AG12" s="287"/>
      <c r="AH12" s="287"/>
      <c r="AI12" s="18">
        <f t="shared" ref="AI12:AL12" si="48">SUM(AI11/AE11)-1</f>
        <v>-2.800460530319937E-2</v>
      </c>
      <c r="AJ12" s="18">
        <f t="shared" si="48"/>
        <v>-4.7247101567076122E-3</v>
      </c>
      <c r="AK12" s="18">
        <f t="shared" si="48"/>
        <v>-9.0159571014943873E-3</v>
      </c>
      <c r="AL12" s="18">
        <f t="shared" si="48"/>
        <v>4.3497172683775176E-3</v>
      </c>
      <c r="AM12" s="18">
        <f>SUM(AM11/AI11)-1</f>
        <v>2.021994077514111E-2</v>
      </c>
      <c r="AN12" s="18">
        <f t="shared" ref="AN12:AQ12" si="49">SUM(AN11/AJ11)-1</f>
        <v>2.6066485872659584E-2</v>
      </c>
      <c r="AO12" s="18">
        <f t="shared" si="49"/>
        <v>4.9113916089963183E-2</v>
      </c>
      <c r="AP12" s="18">
        <f t="shared" si="49"/>
        <v>5.9703892345235987E-2</v>
      </c>
      <c r="AQ12" s="18">
        <f t="shared" si="49"/>
        <v>6.425511782832749E-2</v>
      </c>
      <c r="AS12" s="19">
        <f>SUM(AQ12-AM12)*10000</f>
        <v>440.35177053186379</v>
      </c>
    </row>
    <row r="13" spans="2:45" ht="12.75" customHeight="1">
      <c r="B13" s="17" t="s">
        <v>45</v>
      </c>
      <c r="C13" s="18" t="s">
        <v>46</v>
      </c>
      <c r="D13" s="18" t="s">
        <v>46</v>
      </c>
      <c r="E13" s="18" t="s">
        <v>46</v>
      </c>
      <c r="F13" s="18" t="s">
        <v>46</v>
      </c>
      <c r="G13" s="18" t="s">
        <v>46</v>
      </c>
      <c r="H13" s="18" t="s">
        <v>46</v>
      </c>
      <c r="I13" s="18" t="s">
        <v>46</v>
      </c>
      <c r="J13" s="18" t="s">
        <v>46</v>
      </c>
      <c r="K13" s="18" t="s">
        <v>46</v>
      </c>
      <c r="L13" s="18" t="s">
        <v>46</v>
      </c>
      <c r="M13" s="12"/>
      <c r="N13" s="287"/>
      <c r="O13" s="18">
        <f>SUM(O11/N11)-1</f>
        <v>-0.21515188188309331</v>
      </c>
      <c r="P13" s="18">
        <f t="shared" ref="P13:AC13" si="50">SUM(P11/O11)-1</f>
        <v>-0.14719669401097879</v>
      </c>
      <c r="Q13" s="18">
        <f t="shared" si="50"/>
        <v>8.6633156137368994E-2</v>
      </c>
      <c r="R13" s="18">
        <f t="shared" si="50"/>
        <v>0.29960286646107415</v>
      </c>
      <c r="S13" s="18">
        <f t="shared" si="50"/>
        <v>-0.19050139133106847</v>
      </c>
      <c r="T13" s="18">
        <f t="shared" si="50"/>
        <v>-0.13748998270698887</v>
      </c>
      <c r="U13" s="18">
        <f t="shared" si="50"/>
        <v>9.4147707128623193E-2</v>
      </c>
      <c r="V13" s="18">
        <f t="shared" si="50"/>
        <v>0.33606337571789324</v>
      </c>
      <c r="W13" s="18">
        <f t="shared" si="50"/>
        <v>-0.24103700606314027</v>
      </c>
      <c r="X13" s="18">
        <f t="shared" si="50"/>
        <v>-5.4830143356142447E-2</v>
      </c>
      <c r="Y13" s="18">
        <f t="shared" si="50"/>
        <v>0.10670692609907095</v>
      </c>
      <c r="Z13" s="18">
        <f t="shared" si="50"/>
        <v>0.30938586326767092</v>
      </c>
      <c r="AA13" s="18">
        <f t="shared" si="50"/>
        <v>-0.23283185840707965</v>
      </c>
      <c r="AB13" s="18">
        <f t="shared" si="50"/>
        <v>-1.387388710032611E-2</v>
      </c>
      <c r="AC13" s="18">
        <f t="shared" si="50"/>
        <v>8.9646518354672633E-2</v>
      </c>
      <c r="AD13" s="5"/>
      <c r="AE13" s="18" t="s">
        <v>46</v>
      </c>
      <c r="AF13" s="18" t="s">
        <v>46</v>
      </c>
      <c r="AG13" s="18" t="s">
        <v>46</v>
      </c>
      <c r="AH13" s="18" t="s">
        <v>46</v>
      </c>
      <c r="AI13" s="18" t="s">
        <v>46</v>
      </c>
      <c r="AJ13" s="18" t="s">
        <v>46</v>
      </c>
      <c r="AK13" s="18" t="s">
        <v>46</v>
      </c>
      <c r="AL13" s="18" t="s">
        <v>46</v>
      </c>
      <c r="AM13" s="18" t="s">
        <v>46</v>
      </c>
      <c r="AN13" s="18" t="s">
        <v>46</v>
      </c>
      <c r="AO13" s="18" t="s">
        <v>46</v>
      </c>
      <c r="AP13" s="18" t="s">
        <v>46</v>
      </c>
      <c r="AQ13" s="18" t="s">
        <v>46</v>
      </c>
      <c r="AS13" s="9"/>
    </row>
    <row r="14" spans="2:45" ht="5.0999999999999996" customHeight="1">
      <c r="B14" s="20"/>
      <c r="C14" s="134"/>
      <c r="D14" s="134"/>
      <c r="E14" s="134"/>
      <c r="F14" s="134"/>
      <c r="G14" s="134"/>
      <c r="H14" s="21"/>
      <c r="I14" s="21"/>
      <c r="J14" s="21"/>
      <c r="K14" s="21"/>
      <c r="L14" s="21"/>
      <c r="M14" s="22"/>
      <c r="N14" s="23"/>
      <c r="O14" s="23"/>
      <c r="P14" s="23"/>
      <c r="Q14" s="24"/>
      <c r="R14" s="23"/>
      <c r="S14" s="23"/>
      <c r="T14" s="23"/>
      <c r="U14" s="24"/>
      <c r="V14" s="23"/>
      <c r="W14" s="23"/>
      <c r="X14" s="23"/>
      <c r="Y14" s="23"/>
      <c r="Z14" s="23"/>
      <c r="AA14" s="23"/>
      <c r="AB14" s="23"/>
      <c r="AC14" s="23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S14" s="9"/>
    </row>
    <row r="15" spans="2:45" ht="12.75" customHeight="1">
      <c r="B15" s="25" t="s">
        <v>47</v>
      </c>
      <c r="C15" s="134">
        <f>'Historical Financials'!C13</f>
        <v>-131376</v>
      </c>
      <c r="D15" s="134">
        <f>'Historical Financials'!D13</f>
        <v>-141048</v>
      </c>
      <c r="E15" s="134">
        <f>'Historical Financials'!E13</f>
        <v>-163756</v>
      </c>
      <c r="F15" s="134">
        <f>'Historical Financials'!F13</f>
        <v>-161782</v>
      </c>
      <c r="G15" s="134">
        <f>'Historical Financials'!G13</f>
        <v>-169559</v>
      </c>
      <c r="H15" s="134">
        <f>'Historical Financials'!H13</f>
        <v>-212981</v>
      </c>
      <c r="I15" s="134">
        <f>'Historical Financials'!I13</f>
        <v>-223546</v>
      </c>
      <c r="J15" s="134">
        <f>'Historical Financials'!J13</f>
        <v>-214137</v>
      </c>
      <c r="K15" s="134">
        <f>'Historical Financials'!K13</f>
        <v>-210352</v>
      </c>
      <c r="L15" s="134">
        <f>'Historical Financials'!L13</f>
        <v>-220960</v>
      </c>
      <c r="M15" s="11"/>
      <c r="N15" s="134">
        <f>'Historical Financials'!N13</f>
        <v>-69702</v>
      </c>
      <c r="O15" s="134">
        <f>'Historical Financials'!O13</f>
        <v>-54719</v>
      </c>
      <c r="P15" s="134">
        <f>'Historical Financials'!P13</f>
        <v>-47074</v>
      </c>
      <c r="Q15" s="134">
        <f>'Historical Financials'!Q13</f>
        <v>-52051</v>
      </c>
      <c r="R15" s="134">
        <f>'Historical Financials'!R13</f>
        <v>-66822</v>
      </c>
      <c r="S15" s="134">
        <f>'Historical Financials'!S13</f>
        <v>-52860</v>
      </c>
      <c r="T15" s="134">
        <f>'Historical Financials'!T13</f>
        <v>-45384</v>
      </c>
      <c r="U15" s="134">
        <f>'Historical Financials'!U13</f>
        <v>-49071</v>
      </c>
      <c r="V15" s="134">
        <f>'Historical Financials'!V13</f>
        <v>-64720</v>
      </c>
      <c r="W15" s="134">
        <f>'Historical Financials'!W13</f>
        <v>-48482</v>
      </c>
      <c r="X15" s="134">
        <f>'Historical Financials'!X13</f>
        <v>-46099</v>
      </c>
      <c r="Y15" s="134">
        <f>'Historical Financials'!Y13</f>
        <v>-51051</v>
      </c>
      <c r="Z15" s="134">
        <f>'Historical Financials'!Z13</f>
        <v>-66025</v>
      </c>
      <c r="AA15" s="134">
        <f>'Historical Financials'!AA13</f>
        <v>-50492</v>
      </c>
      <c r="AB15" s="134">
        <f>'Historical Financials'!AB13</f>
        <v>-50318</v>
      </c>
      <c r="AC15" s="134">
        <f>'Historical Financials'!AC13</f>
        <v>-54125</v>
      </c>
      <c r="AD15" s="5"/>
      <c r="AE15" s="12">
        <f t="shared" ref="AE15" si="51">SUM(N15:Q15)</f>
        <v>-223546</v>
      </c>
      <c r="AF15" s="12">
        <f>SUM(O15:R15)</f>
        <v>-220666</v>
      </c>
      <c r="AG15" s="12">
        <f>SUM(P15:S15)</f>
        <v>-218807</v>
      </c>
      <c r="AH15" s="12">
        <f>SUM(Q15:T15)</f>
        <v>-217117</v>
      </c>
      <c r="AI15" s="12">
        <f>SUM(R15:U15)</f>
        <v>-214137</v>
      </c>
      <c r="AJ15" s="12">
        <f>SUM(S15:V15)</f>
        <v>-212035</v>
      </c>
      <c r="AK15" s="11">
        <f>SUM(T15:W15)</f>
        <v>-207657</v>
      </c>
      <c r="AL15" s="11">
        <f>SUM(U15:X15)</f>
        <v>-208372</v>
      </c>
      <c r="AM15" s="11">
        <f>SUM(V15:Y15)</f>
        <v>-210352</v>
      </c>
      <c r="AN15" s="11">
        <f>SUM(W15:Z15)</f>
        <v>-211657</v>
      </c>
      <c r="AO15" s="11">
        <f>SUM(X15:AA15)</f>
        <v>-213667</v>
      </c>
      <c r="AP15" s="11">
        <f>SUM(Y15:AB15)</f>
        <v>-217886</v>
      </c>
      <c r="AQ15" s="11">
        <f>SUM(Z15:AC15)</f>
        <v>-220960</v>
      </c>
      <c r="AS15" s="13">
        <f t="shared" ref="AS15:AS16" si="52">SUM(AQ15/AM15)-1</f>
        <v>5.0429755837833712E-2</v>
      </c>
    </row>
    <row r="16" spans="2:45" ht="12.75" customHeight="1">
      <c r="B16" s="27" t="s">
        <v>30</v>
      </c>
      <c r="C16" s="28">
        <f t="shared" ref="C16:F16" si="53">+C11+C15</f>
        <v>84263</v>
      </c>
      <c r="D16" s="28">
        <f t="shared" si="53"/>
        <v>88186</v>
      </c>
      <c r="E16" s="28">
        <f t="shared" si="53"/>
        <v>101839</v>
      </c>
      <c r="F16" s="28">
        <f t="shared" si="53"/>
        <v>98392</v>
      </c>
      <c r="G16" s="28">
        <f>+G11+G15</f>
        <v>104956</v>
      </c>
      <c r="H16" s="28">
        <f>+H11+H15</f>
        <v>152836</v>
      </c>
      <c r="I16" s="28">
        <f>+I11+I15</f>
        <v>170782</v>
      </c>
      <c r="J16" s="28">
        <f>+J11+J15</f>
        <v>169148</v>
      </c>
      <c r="K16" s="28">
        <f>+K11+K15</f>
        <v>180683</v>
      </c>
      <c r="L16" s="28">
        <f>+L11+L15</f>
        <v>195201</v>
      </c>
      <c r="M16" s="5"/>
      <c r="N16" s="28">
        <f t="shared" ref="N16:AB16" si="54">+N11+N15</f>
        <v>54243</v>
      </c>
      <c r="O16" s="28">
        <f t="shared" si="54"/>
        <v>42559</v>
      </c>
      <c r="P16" s="28">
        <f t="shared" si="54"/>
        <v>35885</v>
      </c>
      <c r="Q16" s="28">
        <f t="shared" si="54"/>
        <v>38095</v>
      </c>
      <c r="R16" s="28">
        <f t="shared" si="54"/>
        <v>50332</v>
      </c>
      <c r="S16" s="28">
        <f t="shared" si="54"/>
        <v>41976</v>
      </c>
      <c r="T16" s="28">
        <f t="shared" si="54"/>
        <v>36413</v>
      </c>
      <c r="U16" s="28">
        <f t="shared" si="54"/>
        <v>40427</v>
      </c>
      <c r="V16" s="28">
        <f t="shared" si="54"/>
        <v>54855</v>
      </c>
      <c r="W16" s="28">
        <f t="shared" si="54"/>
        <v>42271</v>
      </c>
      <c r="X16" s="28">
        <f t="shared" si="54"/>
        <v>39678</v>
      </c>
      <c r="Y16" s="28">
        <f t="shared" si="54"/>
        <v>43879</v>
      </c>
      <c r="Z16" s="28">
        <f t="shared" si="54"/>
        <v>58275</v>
      </c>
      <c r="AA16" s="28">
        <f t="shared" si="54"/>
        <v>44867</v>
      </c>
      <c r="AB16" s="28">
        <f t="shared" si="54"/>
        <v>43718</v>
      </c>
      <c r="AC16" s="28">
        <f t="shared" ref="AC16" si="55">+AC11+AC15</f>
        <v>48341</v>
      </c>
      <c r="AD16" s="5"/>
      <c r="AE16" s="28">
        <f t="shared" ref="AE16:AP16" si="56">+AE11+AE15</f>
        <v>170782</v>
      </c>
      <c r="AF16" s="28">
        <f t="shared" si="56"/>
        <v>166871</v>
      </c>
      <c r="AG16" s="28">
        <f t="shared" si="56"/>
        <v>166288</v>
      </c>
      <c r="AH16" s="28">
        <f t="shared" si="56"/>
        <v>166816</v>
      </c>
      <c r="AI16" s="28">
        <f t="shared" si="56"/>
        <v>169148</v>
      </c>
      <c r="AJ16" s="28">
        <f t="shared" si="56"/>
        <v>173671</v>
      </c>
      <c r="AK16" s="28">
        <f t="shared" si="56"/>
        <v>173966</v>
      </c>
      <c r="AL16" s="28">
        <f t="shared" si="56"/>
        <v>177231</v>
      </c>
      <c r="AM16" s="28">
        <f t="shared" si="56"/>
        <v>180683</v>
      </c>
      <c r="AN16" s="28">
        <f t="shared" si="56"/>
        <v>184103</v>
      </c>
      <c r="AO16" s="28">
        <f t="shared" si="56"/>
        <v>186699</v>
      </c>
      <c r="AP16" s="28">
        <f t="shared" si="56"/>
        <v>190739</v>
      </c>
      <c r="AQ16" s="28">
        <f t="shared" ref="AQ16" si="57">+AQ11+AQ15</f>
        <v>195201</v>
      </c>
      <c r="AS16" s="16">
        <f t="shared" si="52"/>
        <v>8.0350669404426478E-2</v>
      </c>
    </row>
    <row r="17" spans="2:45" ht="12.75" customHeight="1">
      <c r="B17" s="17" t="s">
        <v>48</v>
      </c>
      <c r="C17" s="18">
        <f t="shared" ref="C17:F17" si="58">C16/C11</f>
        <v>0.39075955648097049</v>
      </c>
      <c r="D17" s="18">
        <f t="shared" si="58"/>
        <v>0.38469860491899105</v>
      </c>
      <c r="E17" s="18">
        <f t="shared" si="58"/>
        <v>0.38343718820007905</v>
      </c>
      <c r="F17" s="18">
        <f t="shared" si="58"/>
        <v>0.37817768109034722</v>
      </c>
      <c r="G17" s="18">
        <f>G16/G11</f>
        <v>0.38233247727810865</v>
      </c>
      <c r="H17" s="18">
        <f>H16/H11</f>
        <v>0.41779359625167778</v>
      </c>
      <c r="I17" s="18">
        <f>I16/I11</f>
        <v>0.43309630561360085</v>
      </c>
      <c r="J17" s="18">
        <f>J16/J11</f>
        <v>0.44131129577207562</v>
      </c>
      <c r="K17" s="18">
        <f>K16/K11</f>
        <v>0.46206349815233932</v>
      </c>
      <c r="L17" s="18">
        <f>L16/L11</f>
        <v>0.46905164107160452</v>
      </c>
      <c r="M17" s="29"/>
      <c r="N17" s="18">
        <f t="shared" ref="N17:AB17" si="59">N16/N11</f>
        <v>0.43763766186615033</v>
      </c>
      <c r="O17" s="18">
        <f t="shared" si="59"/>
        <v>0.43749871502292398</v>
      </c>
      <c r="P17" s="18">
        <f t="shared" si="59"/>
        <v>0.43256307332537758</v>
      </c>
      <c r="Q17" s="18">
        <f t="shared" si="59"/>
        <v>0.4225922392563175</v>
      </c>
      <c r="R17" s="18">
        <f t="shared" si="59"/>
        <v>0.42962254809908323</v>
      </c>
      <c r="S17" s="18">
        <f t="shared" si="59"/>
        <v>0.44261672782487665</v>
      </c>
      <c r="T17" s="18">
        <f t="shared" si="59"/>
        <v>0.44516302553883397</v>
      </c>
      <c r="U17" s="18">
        <f t="shared" si="59"/>
        <v>0.45170841806520817</v>
      </c>
      <c r="V17" s="18">
        <f t="shared" si="59"/>
        <v>0.45874973865774621</v>
      </c>
      <c r="W17" s="18">
        <f t="shared" si="59"/>
        <v>0.46578074554009236</v>
      </c>
      <c r="X17" s="18">
        <f t="shared" si="59"/>
        <v>0.46257155181458898</v>
      </c>
      <c r="Y17" s="18">
        <f t="shared" si="59"/>
        <v>0.4622247972190035</v>
      </c>
      <c r="Z17" s="18">
        <f t="shared" si="59"/>
        <v>0.46882542236524538</v>
      </c>
      <c r="AA17" s="18">
        <f t="shared" si="59"/>
        <v>0.47050619238876246</v>
      </c>
      <c r="AB17" s="18">
        <f t="shared" si="59"/>
        <v>0.46490705687183631</v>
      </c>
      <c r="AC17" s="18">
        <f t="shared" ref="AC17" si="60">AC16/AC11</f>
        <v>0.47177600374758455</v>
      </c>
      <c r="AD17" s="30"/>
      <c r="AE17" s="18">
        <f t="shared" ref="AE17:AP17" si="61">AE16/AE11</f>
        <v>0.43309630561360085</v>
      </c>
      <c r="AF17" s="18">
        <f t="shared" si="61"/>
        <v>0.43059372395409989</v>
      </c>
      <c r="AG17" s="18">
        <f t="shared" si="61"/>
        <v>0.43181033251535333</v>
      </c>
      <c r="AH17" s="18">
        <f t="shared" si="61"/>
        <v>0.43449247655189838</v>
      </c>
      <c r="AI17" s="18">
        <f t="shared" si="61"/>
        <v>0.44131129577207562</v>
      </c>
      <c r="AJ17" s="18">
        <f t="shared" si="61"/>
        <v>0.45026782056799741</v>
      </c>
      <c r="AK17" s="18">
        <f t="shared" si="61"/>
        <v>0.4558582685005883</v>
      </c>
      <c r="AL17" s="18">
        <f t="shared" si="61"/>
        <v>0.45962038677084982</v>
      </c>
      <c r="AM17" s="18">
        <f t="shared" si="61"/>
        <v>0.46206349815233932</v>
      </c>
      <c r="AN17" s="18">
        <f t="shared" si="61"/>
        <v>0.46518849807964424</v>
      </c>
      <c r="AO17" s="18">
        <f t="shared" si="61"/>
        <v>0.46632081645294554</v>
      </c>
      <c r="AP17" s="18">
        <f t="shared" si="61"/>
        <v>0.46678250229427959</v>
      </c>
      <c r="AQ17" s="18">
        <f t="shared" ref="AQ17" si="62">AQ16/AQ11</f>
        <v>0.46905164107160452</v>
      </c>
      <c r="AS17" s="19">
        <f>SUM(AQ17-AM17)*10000</f>
        <v>69.88142919265195</v>
      </c>
    </row>
    <row r="18" spans="2:45" ht="5.0999999999999996" customHeight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5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S18" s="9"/>
    </row>
    <row r="19" spans="2:45" ht="12.75" customHeight="1">
      <c r="B19" s="25" t="s">
        <v>109</v>
      </c>
      <c r="C19" s="134">
        <f>'Historical Financials'!C17</f>
        <v>-10045</v>
      </c>
      <c r="D19" s="134">
        <f>'Historical Financials'!D17</f>
        <v>-11581</v>
      </c>
      <c r="E19" s="134">
        <f>'Historical Financials'!E17</f>
        <v>-14236</v>
      </c>
      <c r="F19" s="134">
        <f>'Historical Financials'!F17</f>
        <v>-16217</v>
      </c>
      <c r="G19" s="134">
        <f>'Historical Financials'!G17</f>
        <v>-18752</v>
      </c>
      <c r="H19" s="134">
        <f>'Historical Financials'!H17</f>
        <v>-21914</v>
      </c>
      <c r="I19" s="134">
        <f>'Historical Financials'!I17</f>
        <v>-26251</v>
      </c>
      <c r="J19" s="134">
        <f>'Historical Financials'!J17</f>
        <v>-29915</v>
      </c>
      <c r="K19" s="134">
        <f>'Historical Financials'!K17</f>
        <v>-31370</v>
      </c>
      <c r="L19" s="134">
        <f>'Historical Financials'!L17</f>
        <v>-34550</v>
      </c>
      <c r="M19" s="134"/>
      <c r="N19" s="134">
        <f>'Historical Financials'!N17</f>
        <v>-6306</v>
      </c>
      <c r="O19" s="134">
        <f>'Historical Financials'!O17</f>
        <v>-6387</v>
      </c>
      <c r="P19" s="134">
        <f>'Historical Financials'!P17</f>
        <v>-6797</v>
      </c>
      <c r="Q19" s="134">
        <f>'Historical Financials'!Q17</f>
        <v>-6761</v>
      </c>
      <c r="R19" s="134">
        <f>'Historical Financials'!R17</f>
        <v>-7709</v>
      </c>
      <c r="S19" s="134">
        <f>'Historical Financials'!S17</f>
        <v>-7457</v>
      </c>
      <c r="T19" s="134">
        <f>'Historical Financials'!T17</f>
        <v>-7442</v>
      </c>
      <c r="U19" s="134">
        <f>'Historical Financials'!U17</f>
        <v>-7307</v>
      </c>
      <c r="V19" s="134">
        <f>'Historical Financials'!V17</f>
        <v>-7696</v>
      </c>
      <c r="W19" s="134">
        <f>'Historical Financials'!W17</f>
        <v>-7903</v>
      </c>
      <c r="X19" s="134">
        <f>'Historical Financials'!X17</f>
        <v>-8006</v>
      </c>
      <c r="Y19" s="134">
        <f>'Historical Financials'!Y17</f>
        <v>-7765</v>
      </c>
      <c r="Z19" s="134">
        <f>'Historical Financials'!Z17</f>
        <v>-8268</v>
      </c>
      <c r="AA19" s="134">
        <f>'Historical Financials'!AA17</f>
        <v>-8550</v>
      </c>
      <c r="AB19" s="134">
        <f>'Historical Financials'!AB17</f>
        <v>-8866</v>
      </c>
      <c r="AC19" s="134">
        <f>'Historical Financials'!AC17</f>
        <v>-8866</v>
      </c>
      <c r="AD19" s="5"/>
      <c r="AE19" s="12">
        <f t="shared" ref="AE19:AE20" si="63">SUM(N19:Q19)</f>
        <v>-26251</v>
      </c>
      <c r="AF19" s="12">
        <f>SUM(O19:R19)</f>
        <v>-27654</v>
      </c>
      <c r="AG19" s="12">
        <f>SUM(P19:S19)</f>
        <v>-28724</v>
      </c>
      <c r="AH19" s="12">
        <f>SUM(Q19:T19)</f>
        <v>-29369</v>
      </c>
      <c r="AI19" s="12">
        <f>SUM(R19:U19)</f>
        <v>-29915</v>
      </c>
      <c r="AJ19" s="12">
        <f>SUM(S19:V19)</f>
        <v>-29902</v>
      </c>
      <c r="AK19" s="11">
        <f>SUM(T19:W19)</f>
        <v>-30348</v>
      </c>
      <c r="AL19" s="11">
        <f>SUM(U19:X19)</f>
        <v>-30912</v>
      </c>
      <c r="AM19" s="11">
        <f>SUM(V19:Y19)</f>
        <v>-31370</v>
      </c>
      <c r="AN19" s="11">
        <f>SUM(W19:Z19)</f>
        <v>-31942</v>
      </c>
      <c r="AO19" s="11">
        <f>SUM(X19:AA19)</f>
        <v>-32589</v>
      </c>
      <c r="AP19" s="11">
        <f>SUM(Y19:AB19)</f>
        <v>-33449</v>
      </c>
      <c r="AQ19" s="11">
        <f>SUM(Z19:AC19)</f>
        <v>-34550</v>
      </c>
      <c r="AS19" s="13">
        <f t="shared" ref="AS19:AS21" si="64">SUM(AQ19/AM19)-1</f>
        <v>0.10137073637233018</v>
      </c>
    </row>
    <row r="20" spans="2:45" ht="12.75" customHeight="1">
      <c r="B20" s="25" t="s">
        <v>263</v>
      </c>
      <c r="C20" s="134">
        <f>'Historical Financials'!C18</f>
        <v>-14194</v>
      </c>
      <c r="D20" s="134">
        <f>'Historical Financials'!D18</f>
        <v>-15261</v>
      </c>
      <c r="E20" s="134">
        <f>'Historical Financials'!E18</f>
        <v>-16705</v>
      </c>
      <c r="F20" s="134">
        <f>'Historical Financials'!F18</f>
        <v>-18245</v>
      </c>
      <c r="G20" s="134">
        <f>'Historical Financials'!G18</f>
        <v>-19916</v>
      </c>
      <c r="H20" s="134">
        <f>'Historical Financials'!H18</f>
        <v>-21973</v>
      </c>
      <c r="I20" s="134">
        <f>'Historical Financials'!I18</f>
        <v>-25094</v>
      </c>
      <c r="J20" s="134">
        <f>'Historical Financials'!J18</f>
        <v>-24932</v>
      </c>
      <c r="K20" s="134">
        <f>'Historical Financials'!K18</f>
        <v>-26097</v>
      </c>
      <c r="L20" s="134">
        <f>'Historical Financials'!L18</f>
        <v>-27601</v>
      </c>
      <c r="M20" s="134"/>
      <c r="N20" s="134">
        <f>'Historical Financials'!N18</f>
        <v>-6449</v>
      </c>
      <c r="O20" s="134">
        <f>'Historical Financials'!O18</f>
        <v>-6193</v>
      </c>
      <c r="P20" s="134">
        <f>'Historical Financials'!P18</f>
        <v>-6012</v>
      </c>
      <c r="Q20" s="134">
        <f>'Historical Financials'!Q18</f>
        <v>-6440</v>
      </c>
      <c r="R20" s="134">
        <f>'Historical Financials'!R18</f>
        <v>-6607</v>
      </c>
      <c r="S20" s="134">
        <f>'Historical Financials'!S18</f>
        <v>-6201</v>
      </c>
      <c r="T20" s="134">
        <f>'Historical Financials'!T18</f>
        <v>-5973</v>
      </c>
      <c r="U20" s="134">
        <f>'Historical Financials'!U18</f>
        <v>-6151</v>
      </c>
      <c r="V20" s="134">
        <f>'Historical Financials'!V18</f>
        <v>-6786</v>
      </c>
      <c r="W20" s="134">
        <f>'Historical Financials'!W18</f>
        <v>-6468</v>
      </c>
      <c r="X20" s="134">
        <f>'Historical Financials'!X18</f>
        <v>-6320</v>
      </c>
      <c r="Y20" s="134">
        <f>'Historical Financials'!Y18</f>
        <v>-6523</v>
      </c>
      <c r="Z20" s="134">
        <f>'Historical Financials'!Z18</f>
        <v>-7175</v>
      </c>
      <c r="AA20" s="134">
        <f>'Historical Financials'!AA18</f>
        <v>-6728</v>
      </c>
      <c r="AB20" s="134">
        <f>'Historical Financials'!AB18</f>
        <v>-6650</v>
      </c>
      <c r="AC20" s="134">
        <f>'Historical Financials'!AC18</f>
        <v>-7048</v>
      </c>
      <c r="AD20" s="5"/>
      <c r="AE20" s="12">
        <f t="shared" si="63"/>
        <v>-25094</v>
      </c>
      <c r="AF20" s="12">
        <f>SUM(O20:R20)</f>
        <v>-25252</v>
      </c>
      <c r="AG20" s="12">
        <f>SUM(P20:S20)</f>
        <v>-25260</v>
      </c>
      <c r="AH20" s="12">
        <f>SUM(Q20:T20)</f>
        <v>-25221</v>
      </c>
      <c r="AI20" s="12">
        <f>SUM(R20:U20)</f>
        <v>-24932</v>
      </c>
      <c r="AJ20" s="12">
        <f>SUM(S20:V20)</f>
        <v>-25111</v>
      </c>
      <c r="AK20" s="11">
        <f>SUM(T20:W20)</f>
        <v>-25378</v>
      </c>
      <c r="AL20" s="11">
        <f>SUM(U20:X20)</f>
        <v>-25725</v>
      </c>
      <c r="AM20" s="11">
        <f>SUM(V20:Y20)</f>
        <v>-26097</v>
      </c>
      <c r="AN20" s="11">
        <f>SUM(W20:Z20)</f>
        <v>-26486</v>
      </c>
      <c r="AO20" s="11">
        <f>SUM(X20:AA20)</f>
        <v>-26746</v>
      </c>
      <c r="AP20" s="11">
        <f>SUM(Y20:AB20)</f>
        <v>-27076</v>
      </c>
      <c r="AQ20" s="11">
        <f>SUM(Z20:AC20)</f>
        <v>-27601</v>
      </c>
      <c r="AS20" s="13">
        <f t="shared" si="64"/>
        <v>5.7631145342376566E-2</v>
      </c>
    </row>
    <row r="21" spans="2:45" ht="12.75" customHeight="1">
      <c r="B21" s="14" t="s">
        <v>49</v>
      </c>
      <c r="C21" s="15">
        <f t="shared" ref="C21:F21" si="65">SUM(C16+SUM(C19:C20))</f>
        <v>60024</v>
      </c>
      <c r="D21" s="15">
        <f t="shared" si="65"/>
        <v>61344</v>
      </c>
      <c r="E21" s="15">
        <f t="shared" si="65"/>
        <v>70898</v>
      </c>
      <c r="F21" s="15">
        <f t="shared" si="65"/>
        <v>63930</v>
      </c>
      <c r="G21" s="15">
        <f>SUM(G16+SUM(G19:G20))</f>
        <v>66288</v>
      </c>
      <c r="H21" s="15">
        <f>SUM(H16+SUM(H19:H20))</f>
        <v>108949</v>
      </c>
      <c r="I21" s="15">
        <f>SUM(I16+SUM(I19:I20))</f>
        <v>119437</v>
      </c>
      <c r="J21" s="15">
        <f>SUM(J16+SUM(J19:J20))</f>
        <v>114301</v>
      </c>
      <c r="K21" s="15">
        <f>SUM(K16+SUM(K19:K20))</f>
        <v>123216</v>
      </c>
      <c r="L21" s="15">
        <f>SUM(L16+SUM(L19:L20))</f>
        <v>133050</v>
      </c>
      <c r="M21" s="12"/>
      <c r="N21" s="15">
        <f t="shared" ref="N21:AB21" si="66">SUM(N16+SUM(N19:N20))</f>
        <v>41488</v>
      </c>
      <c r="O21" s="15">
        <f t="shared" si="66"/>
        <v>29979</v>
      </c>
      <c r="P21" s="15">
        <f t="shared" si="66"/>
        <v>23076</v>
      </c>
      <c r="Q21" s="15">
        <f t="shared" si="66"/>
        <v>24894</v>
      </c>
      <c r="R21" s="15">
        <f t="shared" si="66"/>
        <v>36016</v>
      </c>
      <c r="S21" s="15">
        <f t="shared" si="66"/>
        <v>28318</v>
      </c>
      <c r="T21" s="15">
        <f t="shared" si="66"/>
        <v>22998</v>
      </c>
      <c r="U21" s="15">
        <f t="shared" si="66"/>
        <v>26969</v>
      </c>
      <c r="V21" s="15">
        <f t="shared" si="66"/>
        <v>40373</v>
      </c>
      <c r="W21" s="15">
        <f t="shared" si="66"/>
        <v>27900</v>
      </c>
      <c r="X21" s="15">
        <f t="shared" si="66"/>
        <v>25352</v>
      </c>
      <c r="Y21" s="15">
        <f t="shared" si="66"/>
        <v>29591</v>
      </c>
      <c r="Z21" s="15">
        <f t="shared" si="66"/>
        <v>42832</v>
      </c>
      <c r="AA21" s="15">
        <f t="shared" si="66"/>
        <v>29589</v>
      </c>
      <c r="AB21" s="15">
        <f t="shared" si="66"/>
        <v>28202</v>
      </c>
      <c r="AC21" s="15">
        <f t="shared" ref="AC21" si="67">SUM(AC16+SUM(AC19:AC20))</f>
        <v>32427</v>
      </c>
      <c r="AD21" s="5"/>
      <c r="AE21" s="15">
        <f t="shared" ref="AE21:AP21" si="68">SUM(AE16+SUM(AE19:AE20))</f>
        <v>119437</v>
      </c>
      <c r="AF21" s="15">
        <f t="shared" si="68"/>
        <v>113965</v>
      </c>
      <c r="AG21" s="15">
        <f t="shared" si="68"/>
        <v>112304</v>
      </c>
      <c r="AH21" s="15">
        <f t="shared" si="68"/>
        <v>112226</v>
      </c>
      <c r="AI21" s="15">
        <f t="shared" si="68"/>
        <v>114301</v>
      </c>
      <c r="AJ21" s="15">
        <f t="shared" si="68"/>
        <v>118658</v>
      </c>
      <c r="AK21" s="15">
        <f t="shared" si="68"/>
        <v>118240</v>
      </c>
      <c r="AL21" s="15">
        <f t="shared" si="68"/>
        <v>120594</v>
      </c>
      <c r="AM21" s="15">
        <f t="shared" si="68"/>
        <v>123216</v>
      </c>
      <c r="AN21" s="15">
        <f t="shared" si="68"/>
        <v>125675</v>
      </c>
      <c r="AO21" s="15">
        <f t="shared" si="68"/>
        <v>127364</v>
      </c>
      <c r="AP21" s="15">
        <f t="shared" si="68"/>
        <v>130214</v>
      </c>
      <c r="AQ21" s="15">
        <f t="shared" ref="AQ21" si="69">SUM(AQ16+SUM(AQ19:AQ20))</f>
        <v>133050</v>
      </c>
      <c r="AS21" s="16">
        <f t="shared" si="64"/>
        <v>7.9811063498246959E-2</v>
      </c>
    </row>
    <row r="22" spans="2:45" ht="12.75" customHeight="1">
      <c r="B22" s="17" t="s">
        <v>50</v>
      </c>
      <c r="C22" s="18">
        <f t="shared" ref="C22:F22" si="70">C21/C11</f>
        <v>0.27835410106706115</v>
      </c>
      <c r="D22" s="18">
        <f t="shared" si="70"/>
        <v>0.26760428208729942</v>
      </c>
      <c r="E22" s="18">
        <f t="shared" si="70"/>
        <v>0.26694026619477024</v>
      </c>
      <c r="F22" s="18">
        <f t="shared" si="70"/>
        <v>0.24572017188496928</v>
      </c>
      <c r="G22" s="18">
        <f>G21/G11</f>
        <v>0.24147314354406862</v>
      </c>
      <c r="H22" s="18">
        <f>H21/H11</f>
        <v>0.29782377527561593</v>
      </c>
      <c r="I22" s="18">
        <f>I21/I11</f>
        <v>0.30288744395528594</v>
      </c>
      <c r="J22" s="18">
        <f>J21/J11</f>
        <v>0.29821412265024722</v>
      </c>
      <c r="K22" s="18">
        <f>K21/K11</f>
        <v>0.31510222870075566</v>
      </c>
      <c r="L22" s="18">
        <f>L21/L11</f>
        <v>0.31970799762591884</v>
      </c>
      <c r="M22" s="29"/>
      <c r="N22" s="18">
        <f t="shared" ref="N22:AB22" si="71">N21/N11</f>
        <v>0.33472911371979508</v>
      </c>
      <c r="O22" s="18">
        <f t="shared" si="71"/>
        <v>0.30817862209338187</v>
      </c>
      <c r="P22" s="18">
        <f t="shared" si="71"/>
        <v>0.27816150146457891</v>
      </c>
      <c r="Q22" s="18">
        <f t="shared" si="71"/>
        <v>0.27615202005635303</v>
      </c>
      <c r="R22" s="18">
        <f t="shared" si="71"/>
        <v>0.30742441572630896</v>
      </c>
      <c r="S22" s="18">
        <f t="shared" si="71"/>
        <v>0.29859968788223878</v>
      </c>
      <c r="T22" s="18">
        <f t="shared" si="71"/>
        <v>0.28115945572576012</v>
      </c>
      <c r="U22" s="18">
        <f t="shared" si="71"/>
        <v>0.30133634271156895</v>
      </c>
      <c r="V22" s="18">
        <f t="shared" si="71"/>
        <v>0.33763746602550698</v>
      </c>
      <c r="W22" s="18">
        <f t="shared" si="71"/>
        <v>0.30742785362467356</v>
      </c>
      <c r="X22" s="18">
        <f t="shared" si="71"/>
        <v>0.29555708406682446</v>
      </c>
      <c r="Y22" s="18">
        <f t="shared" si="71"/>
        <v>0.31171389444854103</v>
      </c>
      <c r="Z22" s="18">
        <f t="shared" si="71"/>
        <v>0.34458567980691873</v>
      </c>
      <c r="AA22" s="18">
        <f t="shared" si="71"/>
        <v>0.31029058610094484</v>
      </c>
      <c r="AB22" s="18">
        <f t="shared" si="71"/>
        <v>0.29990641881832492</v>
      </c>
      <c r="AC22" s="18">
        <f t="shared" ref="AC22" si="72">AC21/AC11</f>
        <v>0.31646594968086977</v>
      </c>
      <c r="AD22" s="30"/>
      <c r="AE22" s="18">
        <f t="shared" ref="AE22:AP22" si="73">AE21/AE11</f>
        <v>0.30288744395528594</v>
      </c>
      <c r="AF22" s="18">
        <f t="shared" si="73"/>
        <v>0.29407514637312049</v>
      </c>
      <c r="AG22" s="18">
        <f t="shared" si="73"/>
        <v>0.29162674145340761</v>
      </c>
      <c r="AH22" s="18">
        <f t="shared" si="73"/>
        <v>0.29230620967720933</v>
      </c>
      <c r="AI22" s="18">
        <f t="shared" si="73"/>
        <v>0.29821412265024722</v>
      </c>
      <c r="AJ22" s="18">
        <f t="shared" si="73"/>
        <v>0.30763846038174153</v>
      </c>
      <c r="AK22" s="18">
        <f t="shared" si="73"/>
        <v>0.30983457496010458</v>
      </c>
      <c r="AL22" s="18">
        <f t="shared" si="73"/>
        <v>0.31274134278000948</v>
      </c>
      <c r="AM22" s="18">
        <f t="shared" si="73"/>
        <v>0.31510222870075566</v>
      </c>
      <c r="AN22" s="18">
        <f t="shared" si="73"/>
        <v>0.31755356781888011</v>
      </c>
      <c r="AO22" s="18">
        <f t="shared" si="73"/>
        <v>0.31811892118711377</v>
      </c>
      <c r="AP22" s="18">
        <f t="shared" si="73"/>
        <v>0.31866381156316914</v>
      </c>
      <c r="AQ22" s="18">
        <f t="shared" ref="AQ22" si="74">AQ21/AQ11</f>
        <v>0.31970799762591884</v>
      </c>
      <c r="AS22" s="19">
        <f>SUM(AQ22-AM22)*10000</f>
        <v>46.057689251631786</v>
      </c>
    </row>
    <row r="23" spans="2:45" ht="5.0999999999999996" customHeight="1">
      <c r="AS23" s="9"/>
    </row>
    <row r="24" spans="2:45" ht="12.75" customHeight="1">
      <c r="B24" s="33" t="s">
        <v>51</v>
      </c>
      <c r="C24" s="134">
        <f>'Historical Financials'!C78</f>
        <v>10505</v>
      </c>
      <c r="D24" s="134">
        <f>'Historical Financials'!D78</f>
        <v>10157</v>
      </c>
      <c r="E24" s="134">
        <f>'Historical Financials'!E78</f>
        <v>10903</v>
      </c>
      <c r="F24" s="134">
        <f>'Historical Financials'!F78</f>
        <v>12547</v>
      </c>
      <c r="G24" s="134">
        <f>'Historical Financials'!G78</f>
        <v>11056</v>
      </c>
      <c r="H24" s="134">
        <f>'Historical Financials'!H78</f>
        <v>11284</v>
      </c>
      <c r="I24" s="134">
        <f>'Historical Financials'!I78</f>
        <v>11104</v>
      </c>
      <c r="J24" s="134">
        <f>'Historical Financials'!J78</f>
        <v>11519</v>
      </c>
      <c r="K24" s="134">
        <f>'Historical Financials'!K78</f>
        <v>11445</v>
      </c>
      <c r="L24" s="134">
        <f>'Historical Financials'!L78</f>
        <v>11698</v>
      </c>
      <c r="N24" s="134">
        <f>'Historical Financials'!N78</f>
        <v>2697</v>
      </c>
      <c r="O24" s="134">
        <f>'Historical Financials'!O78</f>
        <v>2737</v>
      </c>
      <c r="P24" s="134">
        <f>'Historical Financials'!P78</f>
        <v>2805</v>
      </c>
      <c r="Q24" s="134">
        <f>'Historical Financials'!Q78</f>
        <v>2865</v>
      </c>
      <c r="R24" s="134">
        <f>'Historical Financials'!R78</f>
        <v>2916</v>
      </c>
      <c r="S24" s="134">
        <f>'Historical Financials'!S78</f>
        <v>2898</v>
      </c>
      <c r="T24" s="134">
        <f>'Historical Financials'!T78</f>
        <v>3052</v>
      </c>
      <c r="U24" s="134">
        <f>'Historical Financials'!U78</f>
        <v>2653</v>
      </c>
      <c r="V24" s="134">
        <f>'Historical Financials'!V78</f>
        <v>2848</v>
      </c>
      <c r="W24" s="134">
        <f>'Historical Financials'!W78</f>
        <v>2836</v>
      </c>
      <c r="X24" s="134">
        <f>'Historical Financials'!X78</f>
        <v>2850</v>
      </c>
      <c r="Y24" s="134">
        <f>'Historical Financials'!Y78</f>
        <v>2911</v>
      </c>
      <c r="Z24" s="134">
        <f>'Historical Financials'!Z78</f>
        <v>3080</v>
      </c>
      <c r="AA24" s="134">
        <f>'Historical Financials'!AA78</f>
        <v>2661</v>
      </c>
      <c r="AB24" s="134">
        <f>'Historical Financials'!AB78</f>
        <v>2830</v>
      </c>
      <c r="AC24" s="134">
        <f>'Historical Financials'!AC78</f>
        <v>3127</v>
      </c>
      <c r="AE24" s="12">
        <f>SUM(N24:Q24)</f>
        <v>11104</v>
      </c>
      <c r="AF24" s="12">
        <f>SUM(O24:R24)</f>
        <v>11323</v>
      </c>
      <c r="AG24" s="12">
        <f>SUM(P24:S24)</f>
        <v>11484</v>
      </c>
      <c r="AH24" s="12">
        <f>SUM(Q24:T24)</f>
        <v>11731</v>
      </c>
      <c r="AI24" s="12">
        <f>SUM(R24:U24)</f>
        <v>11519</v>
      </c>
      <c r="AJ24" s="12">
        <f>SUM(S24:V24)</f>
        <v>11451</v>
      </c>
      <c r="AK24" s="11">
        <f>SUM(T24:W24)</f>
        <v>11389</v>
      </c>
      <c r="AL24" s="11">
        <f>SUM(U24:X24)</f>
        <v>11187</v>
      </c>
      <c r="AM24" s="11">
        <f>SUM(V24:Y24)</f>
        <v>11445</v>
      </c>
      <c r="AN24" s="11">
        <f>SUM(W24:Z24)</f>
        <v>11677</v>
      </c>
      <c r="AO24" s="11">
        <f>SUM(X24:AA24)</f>
        <v>11502</v>
      </c>
      <c r="AP24" s="11">
        <f>SUM(Y24:AB24)</f>
        <v>11482</v>
      </c>
      <c r="AQ24" s="11">
        <f>SUM(Z24:AC24)</f>
        <v>11698</v>
      </c>
      <c r="AS24" s="13">
        <f t="shared" ref="AS24:AS25" si="75">SUM(AQ24/AM24)-1</f>
        <v>2.2105723023154278E-2</v>
      </c>
    </row>
    <row r="25" spans="2:45" ht="12.75" customHeight="1">
      <c r="B25" s="27" t="s">
        <v>11</v>
      </c>
      <c r="C25" s="28">
        <f t="shared" ref="C25" si="76">SUM(C21+C24)</f>
        <v>70529</v>
      </c>
      <c r="D25" s="28">
        <f t="shared" ref="D25:F25" si="77">SUM(D21+D24)</f>
        <v>71501</v>
      </c>
      <c r="E25" s="28">
        <f t="shared" si="77"/>
        <v>81801</v>
      </c>
      <c r="F25" s="28">
        <f t="shared" si="77"/>
        <v>76477</v>
      </c>
      <c r="G25" s="28">
        <f t="shared" ref="G25" si="78">SUM(G21+G24)</f>
        <v>77344</v>
      </c>
      <c r="H25" s="28">
        <f t="shared" ref="H25:I25" si="79">SUM(H21+H24)</f>
        <v>120233</v>
      </c>
      <c r="I25" s="28">
        <f t="shared" si="79"/>
        <v>130541</v>
      </c>
      <c r="J25" s="28">
        <f>SUM(J21+J24)</f>
        <v>125820</v>
      </c>
      <c r="K25" s="28">
        <f>SUM(K21+K24)</f>
        <v>134661</v>
      </c>
      <c r="L25" s="28">
        <f>SUM(L21+L24)</f>
        <v>144748</v>
      </c>
      <c r="N25" s="28">
        <f t="shared" ref="N25:AO25" si="80">SUM(N21+N24)</f>
        <v>44185</v>
      </c>
      <c r="O25" s="28">
        <f t="shared" si="80"/>
        <v>32716</v>
      </c>
      <c r="P25" s="28">
        <f t="shared" si="80"/>
        <v>25881</v>
      </c>
      <c r="Q25" s="28">
        <f t="shared" si="80"/>
        <v>27759</v>
      </c>
      <c r="R25" s="28">
        <f t="shared" si="80"/>
        <v>38932</v>
      </c>
      <c r="S25" s="28">
        <f t="shared" si="80"/>
        <v>31216</v>
      </c>
      <c r="T25" s="28">
        <f t="shared" si="80"/>
        <v>26050</v>
      </c>
      <c r="U25" s="28">
        <f t="shared" si="80"/>
        <v>29622</v>
      </c>
      <c r="V25" s="28">
        <f t="shared" si="80"/>
        <v>43221</v>
      </c>
      <c r="W25" s="28">
        <f t="shared" si="80"/>
        <v>30736</v>
      </c>
      <c r="X25" s="28">
        <f>SUM(X21+X24)</f>
        <v>28202</v>
      </c>
      <c r="Y25" s="28">
        <f>SUM(Y21+Y24)</f>
        <v>32502</v>
      </c>
      <c r="Z25" s="28">
        <f t="shared" ref="Z25:AA25" si="81">SUM(Z21+Z24)</f>
        <v>45912</v>
      </c>
      <c r="AA25" s="28">
        <f t="shared" si="81"/>
        <v>32250</v>
      </c>
      <c r="AB25" s="28">
        <f t="shared" ref="AB25" si="82">SUM(AB21+AB24)</f>
        <v>31032</v>
      </c>
      <c r="AC25" s="28">
        <f t="shared" ref="AC25" si="83">SUM(AC21+AC24)</f>
        <v>35554</v>
      </c>
      <c r="AE25" s="28">
        <f t="shared" ref="AE25:AL25" si="84">SUM(AE21+AE24)</f>
        <v>130541</v>
      </c>
      <c r="AF25" s="28">
        <f t="shared" si="84"/>
        <v>125288</v>
      </c>
      <c r="AG25" s="28">
        <f t="shared" si="84"/>
        <v>123788</v>
      </c>
      <c r="AH25" s="28">
        <f t="shared" si="84"/>
        <v>123957</v>
      </c>
      <c r="AI25" s="28">
        <f t="shared" si="84"/>
        <v>125820</v>
      </c>
      <c r="AJ25" s="28">
        <f t="shared" si="84"/>
        <v>130109</v>
      </c>
      <c r="AK25" s="28">
        <f t="shared" si="84"/>
        <v>129629</v>
      </c>
      <c r="AL25" s="28">
        <f t="shared" si="84"/>
        <v>131781</v>
      </c>
      <c r="AM25" s="28">
        <f t="shared" si="80"/>
        <v>134661</v>
      </c>
      <c r="AN25" s="28">
        <f t="shared" si="80"/>
        <v>137352</v>
      </c>
      <c r="AO25" s="28">
        <f t="shared" si="80"/>
        <v>138866</v>
      </c>
      <c r="AP25" s="28">
        <f t="shared" ref="AP25:AQ25" si="85">SUM(AP21+AP24)</f>
        <v>141696</v>
      </c>
      <c r="AQ25" s="28">
        <f t="shared" si="85"/>
        <v>144748</v>
      </c>
      <c r="AS25" s="16">
        <f t="shared" si="75"/>
        <v>7.4906617357661132E-2</v>
      </c>
    </row>
    <row r="26" spans="2:45" ht="12.75" customHeight="1">
      <c r="B26" s="17" t="s">
        <v>52</v>
      </c>
      <c r="C26" s="18">
        <f t="shared" ref="C26:F26" si="86">C25/C11</f>
        <v>0.32706977865784947</v>
      </c>
      <c r="D26" s="18">
        <f t="shared" si="86"/>
        <v>0.31191271800867237</v>
      </c>
      <c r="E26" s="18">
        <f t="shared" si="86"/>
        <v>0.30799149080366722</v>
      </c>
      <c r="F26" s="18">
        <f t="shared" si="86"/>
        <v>0.29394559025882677</v>
      </c>
      <c r="G26" s="18">
        <f>G25/G11</f>
        <v>0.2817478097736007</v>
      </c>
      <c r="H26" s="18">
        <f>H25/H11</f>
        <v>0.32866979938056462</v>
      </c>
      <c r="I26" s="18">
        <f>I25/I11</f>
        <v>0.3310467428130896</v>
      </c>
      <c r="J26" s="18">
        <f>J25/J11</f>
        <v>0.32826747720364741</v>
      </c>
      <c r="K26" s="18">
        <f>K25/K11</f>
        <v>0.34437070850435381</v>
      </c>
      <c r="L26" s="18">
        <f>L25/L11</f>
        <v>0.34781731108873731</v>
      </c>
      <c r="N26" s="18">
        <f t="shared" ref="N26:AB26" si="87">N25/N11</f>
        <v>0.35648876517810318</v>
      </c>
      <c r="O26" s="18">
        <f t="shared" si="87"/>
        <v>0.33631448014967413</v>
      </c>
      <c r="P26" s="18">
        <f t="shared" si="87"/>
        <v>0.31197338444291761</v>
      </c>
      <c r="Q26" s="18">
        <f t="shared" si="87"/>
        <v>0.30793379628602491</v>
      </c>
      <c r="R26" s="18">
        <f t="shared" si="87"/>
        <v>0.33231473103777931</v>
      </c>
      <c r="S26" s="18">
        <f t="shared" si="87"/>
        <v>0.32915770382555148</v>
      </c>
      <c r="T26" s="18">
        <f t="shared" si="87"/>
        <v>0.31847133757961782</v>
      </c>
      <c r="U26" s="18">
        <f t="shared" si="87"/>
        <v>0.33097946322822858</v>
      </c>
      <c r="V26" s="18">
        <f t="shared" si="87"/>
        <v>0.36145515366924524</v>
      </c>
      <c r="W26" s="18">
        <f t="shared" si="87"/>
        <v>0.33867750928343965</v>
      </c>
      <c r="X26" s="18">
        <f t="shared" si="87"/>
        <v>0.32878277393706939</v>
      </c>
      <c r="Y26" s="18">
        <f t="shared" si="87"/>
        <v>0.34237859475402926</v>
      </c>
      <c r="Z26" s="18">
        <f t="shared" si="87"/>
        <v>0.36936444086886566</v>
      </c>
      <c r="AA26" s="18">
        <f t="shared" si="87"/>
        <v>0.33819566060885703</v>
      </c>
      <c r="AB26" s="18">
        <f t="shared" si="87"/>
        <v>0.33000127610702285</v>
      </c>
      <c r="AC26" s="18">
        <f t="shared" ref="AC26" si="88">AC25/AC11</f>
        <v>0.34698338961216402</v>
      </c>
      <c r="AE26" s="18">
        <f t="shared" ref="AE26:AP26" si="89">AE25/AE11</f>
        <v>0.3310467428130896</v>
      </c>
      <c r="AF26" s="18">
        <f t="shared" si="89"/>
        <v>0.32329300170048281</v>
      </c>
      <c r="AG26" s="18">
        <f t="shared" si="89"/>
        <v>0.3214479544008621</v>
      </c>
      <c r="AH26" s="18">
        <f t="shared" si="89"/>
        <v>0.32286102002172257</v>
      </c>
      <c r="AI26" s="18">
        <f t="shared" si="89"/>
        <v>0.32826747720364741</v>
      </c>
      <c r="AJ26" s="18">
        <f t="shared" si="89"/>
        <v>0.33732687591066773</v>
      </c>
      <c r="AK26" s="18">
        <f t="shared" si="89"/>
        <v>0.33967816405195705</v>
      </c>
      <c r="AL26" s="18">
        <f t="shared" si="89"/>
        <v>0.34175304652712762</v>
      </c>
      <c r="AM26" s="18">
        <f t="shared" si="89"/>
        <v>0.34437070850435381</v>
      </c>
      <c r="AN26" s="18">
        <f t="shared" si="89"/>
        <v>0.34705882352941175</v>
      </c>
      <c r="AO26" s="18">
        <f t="shared" si="89"/>
        <v>0.34684763441451072</v>
      </c>
      <c r="AP26" s="18">
        <f t="shared" si="89"/>
        <v>0.3467629244417253</v>
      </c>
      <c r="AQ26" s="18">
        <f t="shared" ref="AQ26" si="90">AQ25/AQ11</f>
        <v>0.34781731108873731</v>
      </c>
      <c r="AS26" s="19">
        <f>SUM(AQ26-AM26)*10000</f>
        <v>34.46602584383507</v>
      </c>
    </row>
    <row r="27" spans="2:45" ht="5.0999999999999996" customHeight="1">
      <c r="AS27" s="9"/>
    </row>
    <row r="28" spans="2:45" ht="12.75" customHeight="1">
      <c r="B28" s="33" t="s">
        <v>53</v>
      </c>
      <c r="C28" s="134">
        <f>'Historical Financials'!C79</f>
        <v>4210</v>
      </c>
      <c r="D28" s="134">
        <f>'Historical Financials'!D79</f>
        <v>4840</v>
      </c>
      <c r="E28" s="134">
        <f>'Historical Financials'!E79</f>
        <v>5340</v>
      </c>
      <c r="F28" s="134">
        <f>'Historical Financials'!F79</f>
        <v>6068</v>
      </c>
      <c r="G28" s="134">
        <f>'Historical Financials'!G79</f>
        <v>6829</v>
      </c>
      <c r="H28" s="134">
        <f>'Historical Financials'!H79</f>
        <v>7906</v>
      </c>
      <c r="I28" s="134">
        <f>'Historical Financials'!I79</f>
        <v>9038</v>
      </c>
      <c r="J28" s="134">
        <f>'Historical Financials'!J79</f>
        <v>10833</v>
      </c>
      <c r="K28" s="134">
        <f>'Historical Financials'!K79</f>
        <v>11688</v>
      </c>
      <c r="L28" s="134">
        <f>'Historical Financials'!L79</f>
        <v>12863</v>
      </c>
      <c r="N28" s="134">
        <f>'Historical Financials'!N79</f>
        <v>2265</v>
      </c>
      <c r="O28" s="134">
        <f>'Historical Financials'!O79</f>
        <v>2252</v>
      </c>
      <c r="P28" s="134">
        <f>'Historical Financials'!P79</f>
        <v>2243</v>
      </c>
      <c r="Q28" s="134">
        <f>'Historical Financials'!Q79</f>
        <v>2278</v>
      </c>
      <c r="R28" s="134">
        <f>'Historical Financials'!R79</f>
        <v>2905</v>
      </c>
      <c r="S28" s="134">
        <f>'Historical Financials'!S79</f>
        <v>2686</v>
      </c>
      <c r="T28" s="134">
        <f>'Historical Financials'!T79</f>
        <v>2617</v>
      </c>
      <c r="U28" s="134">
        <f>'Historical Financials'!U79</f>
        <v>2625</v>
      </c>
      <c r="V28" s="134">
        <f>'Historical Financials'!V79</f>
        <v>2997</v>
      </c>
      <c r="W28" s="134">
        <f>'Historical Financials'!W79</f>
        <v>2967</v>
      </c>
      <c r="X28" s="134">
        <f>'Historical Financials'!X79</f>
        <v>2866</v>
      </c>
      <c r="Y28" s="134">
        <f>'Historical Financials'!Y79</f>
        <v>2858</v>
      </c>
      <c r="Z28" s="134">
        <f>'Historical Financials'!Z79</f>
        <v>3286</v>
      </c>
      <c r="AA28" s="134">
        <f>'Historical Financials'!AA79</f>
        <v>3226</v>
      </c>
      <c r="AB28" s="134">
        <f>'Historical Financials'!AB79</f>
        <v>3168</v>
      </c>
      <c r="AC28" s="134">
        <f>'Historical Financials'!AC79</f>
        <v>3183</v>
      </c>
      <c r="AE28" s="34">
        <f t="shared" ref="AE28" si="91">SUM(N28:Q28)</f>
        <v>9038</v>
      </c>
      <c r="AF28" s="34">
        <f>SUM(O28:R28)</f>
        <v>9678</v>
      </c>
      <c r="AG28" s="34">
        <f>SUM(P28:S28)</f>
        <v>10112</v>
      </c>
      <c r="AH28" s="34">
        <f>SUM(Q28:T28)</f>
        <v>10486</v>
      </c>
      <c r="AI28" s="34">
        <f>SUM(R28:U28)</f>
        <v>10833</v>
      </c>
      <c r="AJ28" s="34">
        <f>SUM(S28:V28)</f>
        <v>10925</v>
      </c>
      <c r="AK28" s="34">
        <f>SUM(T28:W28)</f>
        <v>11206</v>
      </c>
      <c r="AL28" s="34">
        <f>SUM(U28:X28)</f>
        <v>11455</v>
      </c>
      <c r="AM28" s="34">
        <f>SUM(V28:Y28)</f>
        <v>11688</v>
      </c>
      <c r="AN28" s="34">
        <f>SUM(W28:Z28)</f>
        <v>11977</v>
      </c>
      <c r="AO28" s="34">
        <f>SUM(X28:AA28)</f>
        <v>12236</v>
      </c>
      <c r="AP28" s="34">
        <f>SUM(Y28:AB28)</f>
        <v>12538</v>
      </c>
      <c r="AQ28" s="34">
        <f>SUM(Z28:AC28)</f>
        <v>12863</v>
      </c>
      <c r="AS28" s="13">
        <f t="shared" ref="AS28:AS29" si="92">SUM(AQ28/AM28)-1</f>
        <v>0.10053045859000687</v>
      </c>
    </row>
    <row r="29" spans="2:45" ht="12.75" customHeight="1">
      <c r="B29" s="14" t="s">
        <v>54</v>
      </c>
      <c r="C29" s="15">
        <f t="shared" ref="C29:F29" si="93">+SUM(C25+SUM(C28:C28))</f>
        <v>74739</v>
      </c>
      <c r="D29" s="15">
        <f t="shared" si="93"/>
        <v>76341</v>
      </c>
      <c r="E29" s="15">
        <f t="shared" si="93"/>
        <v>87141</v>
      </c>
      <c r="F29" s="15">
        <f t="shared" si="93"/>
        <v>82545</v>
      </c>
      <c r="G29" s="15">
        <f>+SUM(G25+SUM(G28:G28))</f>
        <v>84173</v>
      </c>
      <c r="H29" s="15">
        <f>+SUM(H25+SUM(H28:H28))</f>
        <v>128139</v>
      </c>
      <c r="I29" s="15">
        <f>+SUM(I25+SUM(I28:I28))</f>
        <v>139579</v>
      </c>
      <c r="J29" s="15">
        <f>+SUM(J25+SUM(J28:J28))</f>
        <v>136653</v>
      </c>
      <c r="K29" s="15">
        <f>+SUM(K25+SUM(K28:K28))</f>
        <v>146349</v>
      </c>
      <c r="L29" s="15">
        <f>+SUM(L25+SUM(L28:L28))</f>
        <v>157611</v>
      </c>
      <c r="M29" s="12"/>
      <c r="N29" s="15">
        <f t="shared" ref="N29:AB29" si="94">+SUM(N25+SUM(N28:N28))</f>
        <v>46450</v>
      </c>
      <c r="O29" s="15">
        <f t="shared" si="94"/>
        <v>34968</v>
      </c>
      <c r="P29" s="15">
        <f t="shared" si="94"/>
        <v>28124</v>
      </c>
      <c r="Q29" s="15">
        <f t="shared" si="94"/>
        <v>30037</v>
      </c>
      <c r="R29" s="15">
        <f t="shared" si="94"/>
        <v>41837</v>
      </c>
      <c r="S29" s="15">
        <f t="shared" si="94"/>
        <v>33902</v>
      </c>
      <c r="T29" s="15">
        <f t="shared" si="94"/>
        <v>28667</v>
      </c>
      <c r="U29" s="15">
        <f t="shared" si="94"/>
        <v>32247</v>
      </c>
      <c r="V29" s="15">
        <f t="shared" si="94"/>
        <v>46218</v>
      </c>
      <c r="W29" s="15">
        <f t="shared" si="94"/>
        <v>33703</v>
      </c>
      <c r="X29" s="15">
        <f t="shared" si="94"/>
        <v>31068</v>
      </c>
      <c r="Y29" s="15">
        <f t="shared" si="94"/>
        <v>35360</v>
      </c>
      <c r="Z29" s="15">
        <f t="shared" si="94"/>
        <v>49198</v>
      </c>
      <c r="AA29" s="15">
        <f t="shared" si="94"/>
        <v>35476</v>
      </c>
      <c r="AB29" s="15">
        <f t="shared" si="94"/>
        <v>34200</v>
      </c>
      <c r="AC29" s="15">
        <f t="shared" ref="AC29" si="95">+SUM(AC25+SUM(AC28:AC28))</f>
        <v>38737</v>
      </c>
      <c r="AD29" s="5"/>
      <c r="AE29" s="15">
        <f t="shared" ref="AE29:AP29" si="96">+SUM(AE25+SUM(AE28:AE28))</f>
        <v>139579</v>
      </c>
      <c r="AF29" s="15">
        <f t="shared" si="96"/>
        <v>134966</v>
      </c>
      <c r="AG29" s="15">
        <f t="shared" si="96"/>
        <v>133900</v>
      </c>
      <c r="AH29" s="15">
        <f t="shared" si="96"/>
        <v>134443</v>
      </c>
      <c r="AI29" s="15">
        <f t="shared" si="96"/>
        <v>136653</v>
      </c>
      <c r="AJ29" s="15">
        <f t="shared" si="96"/>
        <v>141034</v>
      </c>
      <c r="AK29" s="15">
        <f t="shared" si="96"/>
        <v>140835</v>
      </c>
      <c r="AL29" s="15">
        <f t="shared" si="96"/>
        <v>143236</v>
      </c>
      <c r="AM29" s="15">
        <f t="shared" si="96"/>
        <v>146349</v>
      </c>
      <c r="AN29" s="15">
        <f t="shared" si="96"/>
        <v>149329</v>
      </c>
      <c r="AO29" s="15">
        <f t="shared" si="96"/>
        <v>151102</v>
      </c>
      <c r="AP29" s="15">
        <f t="shared" si="96"/>
        <v>154234</v>
      </c>
      <c r="AQ29" s="15">
        <f t="shared" ref="AQ29" si="97">+SUM(AQ25+SUM(AQ28:AQ28))</f>
        <v>157611</v>
      </c>
      <c r="AS29" s="16">
        <f t="shared" si="92"/>
        <v>7.6953036918598672E-2</v>
      </c>
    </row>
    <row r="30" spans="2:45" ht="12.75" customHeight="1">
      <c r="B30" s="17" t="s">
        <v>55</v>
      </c>
      <c r="C30" s="18">
        <f t="shared" ref="C30:F30" si="98">C29/C11</f>
        <v>0.34659314873469083</v>
      </c>
      <c r="D30" s="18">
        <f t="shared" si="98"/>
        <v>0.3330265143914079</v>
      </c>
      <c r="E30" s="18">
        <f t="shared" si="98"/>
        <v>0.32809729098815865</v>
      </c>
      <c r="F30" s="18">
        <f t="shared" si="98"/>
        <v>0.31726844342632238</v>
      </c>
      <c r="G30" s="18">
        <f>G29/G11</f>
        <v>0.30662441032366172</v>
      </c>
      <c r="H30" s="18">
        <f>H29/H11</f>
        <v>0.35028169822616229</v>
      </c>
      <c r="I30" s="18">
        <f>I29/I11</f>
        <v>0.35396674849363979</v>
      </c>
      <c r="J30" s="18">
        <f>J29/J11</f>
        <v>0.35653104087037063</v>
      </c>
      <c r="K30" s="18">
        <f>K29/K11</f>
        <v>0.37426061605738614</v>
      </c>
      <c r="L30" s="18">
        <f>L29/L11</f>
        <v>0.37872602190017807</v>
      </c>
      <c r="N30" s="18">
        <f t="shared" ref="N30:AB30" si="99">N29/N11</f>
        <v>0.37476299971761667</v>
      </c>
      <c r="O30" s="18">
        <f t="shared" si="99"/>
        <v>0.35946462715105165</v>
      </c>
      <c r="P30" s="18">
        <f t="shared" si="99"/>
        <v>0.33901083667835918</v>
      </c>
      <c r="Q30" s="18">
        <f t="shared" si="99"/>
        <v>0.33320391365118807</v>
      </c>
      <c r="R30" s="18">
        <f t="shared" si="99"/>
        <v>0.35711115284155898</v>
      </c>
      <c r="S30" s="18">
        <f t="shared" si="99"/>
        <v>0.3574802817495466</v>
      </c>
      <c r="T30" s="18">
        <f t="shared" si="99"/>
        <v>0.35046517598444932</v>
      </c>
      <c r="U30" s="18">
        <f t="shared" si="99"/>
        <v>0.36030972759167801</v>
      </c>
      <c r="V30" s="18">
        <f t="shared" si="99"/>
        <v>0.38651892117917624</v>
      </c>
      <c r="W30" s="18">
        <f t="shared" si="99"/>
        <v>0.37137064339470871</v>
      </c>
      <c r="X30" s="18">
        <f t="shared" si="99"/>
        <v>0.36219499399605953</v>
      </c>
      <c r="Y30" s="18">
        <f t="shared" si="99"/>
        <v>0.37248498893921839</v>
      </c>
      <c r="Z30" s="18">
        <f t="shared" si="99"/>
        <v>0.39580048270313756</v>
      </c>
      <c r="AA30" s="18">
        <f t="shared" si="99"/>
        <v>0.37202571335689344</v>
      </c>
      <c r="AB30" s="18">
        <f t="shared" si="99"/>
        <v>0.36369050151005999</v>
      </c>
      <c r="AC30" s="18">
        <f t="shared" ref="AC30" si="100">AC29/AC11</f>
        <v>0.37804735229246772</v>
      </c>
      <c r="AE30" s="18">
        <f t="shared" ref="AE30:AP30" si="101">AE29/AE11</f>
        <v>0.35396674849363979</v>
      </c>
      <c r="AF30" s="18">
        <f t="shared" si="101"/>
        <v>0.34826610104325523</v>
      </c>
      <c r="AG30" s="18">
        <f t="shared" si="101"/>
        <v>0.34770641010659709</v>
      </c>
      <c r="AH30" s="18">
        <f t="shared" si="101"/>
        <v>0.35017307707334355</v>
      </c>
      <c r="AI30" s="18">
        <f t="shared" si="101"/>
        <v>0.35653104087037063</v>
      </c>
      <c r="AJ30" s="18">
        <f t="shared" si="101"/>
        <v>0.36565155844088504</v>
      </c>
      <c r="AK30" s="18">
        <f t="shared" si="101"/>
        <v>0.36904222229792227</v>
      </c>
      <c r="AL30" s="18">
        <f t="shared" si="101"/>
        <v>0.37145976561385674</v>
      </c>
      <c r="AM30" s="18">
        <f t="shared" si="101"/>
        <v>0.37426061605738614</v>
      </c>
      <c r="AN30" s="18">
        <f t="shared" si="101"/>
        <v>0.37732211441277541</v>
      </c>
      <c r="AO30" s="18">
        <f t="shared" si="101"/>
        <v>0.37740967015181109</v>
      </c>
      <c r="AP30" s="18">
        <f t="shared" si="101"/>
        <v>0.37744631385744876</v>
      </c>
      <c r="AQ30" s="18">
        <f t="shared" ref="AQ30" si="102">AQ29/AQ11</f>
        <v>0.37872602190017807</v>
      </c>
      <c r="AS30" s="19">
        <f>SUM(AQ30-AM30)*10000</f>
        <v>44.654058427919253</v>
      </c>
    </row>
    <row r="31" spans="2:45" ht="5.0999999999999996" customHeight="1">
      <c r="AS31" s="9"/>
    </row>
    <row r="32" spans="2:45" ht="12.75" customHeight="1">
      <c r="B32" s="25" t="s">
        <v>56</v>
      </c>
      <c r="C32" s="134">
        <f>'Historical Financials'!C93</f>
        <v>-12734</v>
      </c>
      <c r="D32" s="134">
        <f>'Historical Financials'!D93</f>
        <v>-12451</v>
      </c>
      <c r="E32" s="134">
        <f>'Historical Financials'!E93</f>
        <v>-13313</v>
      </c>
      <c r="F32" s="134">
        <f>'Historical Financials'!F93</f>
        <v>-10495</v>
      </c>
      <c r="G32" s="134">
        <f>'Historical Financials'!G93</f>
        <v>-7309</v>
      </c>
      <c r="H32" s="134">
        <f>'Historical Financials'!H93</f>
        <v>-11085</v>
      </c>
      <c r="I32" s="134">
        <f>'Historical Financials'!I93</f>
        <v>-10708</v>
      </c>
      <c r="J32" s="134">
        <f>'Historical Financials'!J93</f>
        <v>-10959</v>
      </c>
      <c r="K32" s="134">
        <f>'Historical Financials'!K93</f>
        <v>-9447</v>
      </c>
      <c r="L32" s="134">
        <f>'Historical Financials'!L93</f>
        <v>-12715</v>
      </c>
      <c r="N32" s="134">
        <f>'Historical Financials'!N93</f>
        <v>-2803</v>
      </c>
      <c r="O32" s="134">
        <f>'Historical Financials'!O93</f>
        <v>-2514</v>
      </c>
      <c r="P32" s="134">
        <f>'Historical Financials'!P93</f>
        <v>-2102</v>
      </c>
      <c r="Q32" s="134">
        <f>'Historical Financials'!Q93</f>
        <v>-3289</v>
      </c>
      <c r="R32" s="134">
        <f>'Historical Financials'!R93</f>
        <v>-3787</v>
      </c>
      <c r="S32" s="134">
        <f>'Historical Financials'!S93</f>
        <v>-2916</v>
      </c>
      <c r="T32" s="134">
        <f>'Historical Financials'!T93</f>
        <v>-2093</v>
      </c>
      <c r="U32" s="134">
        <f>'Historical Financials'!U93</f>
        <v>-2163</v>
      </c>
      <c r="V32" s="134">
        <f>'Historical Financials'!V93</f>
        <v>-2392</v>
      </c>
      <c r="W32" s="134">
        <f>'Historical Financials'!W93</f>
        <v>-1996</v>
      </c>
      <c r="X32" s="134">
        <f>'Historical Financials'!X93</f>
        <v>-2151</v>
      </c>
      <c r="Y32" s="134">
        <f>'Historical Financials'!Y93</f>
        <v>-2908</v>
      </c>
      <c r="Z32" s="134">
        <f>'Historical Financials'!Z93</f>
        <v>-2940</v>
      </c>
      <c r="AA32" s="134">
        <f>'Historical Financials'!AA93</f>
        <v>-3071</v>
      </c>
      <c r="AB32" s="134">
        <f>'Historical Financials'!AB93</f>
        <v>-3462</v>
      </c>
      <c r="AC32" s="134">
        <f>'Historical Financials'!AC93</f>
        <v>-3242</v>
      </c>
      <c r="AE32" s="34">
        <f t="shared" ref="AE32:AE35" si="103">SUM(N32:Q32)</f>
        <v>-10708</v>
      </c>
      <c r="AF32" s="34">
        <f>SUM(O32:R32)</f>
        <v>-11692</v>
      </c>
      <c r="AG32" s="34">
        <f>SUM(P32:S32)</f>
        <v>-12094</v>
      </c>
      <c r="AH32" s="34">
        <f>SUM(Q32:T32)</f>
        <v>-12085</v>
      </c>
      <c r="AI32" s="34">
        <f>SUM(R32:U32)</f>
        <v>-10959</v>
      </c>
      <c r="AJ32" s="34">
        <f>SUM(S32:V32)</f>
        <v>-9564</v>
      </c>
      <c r="AK32" s="34">
        <f>SUM(T32:W32)</f>
        <v>-8644</v>
      </c>
      <c r="AL32" s="34">
        <f>SUM(U32:X32)</f>
        <v>-8702</v>
      </c>
      <c r="AM32" s="34">
        <f>SUM(V32:Y32)</f>
        <v>-9447</v>
      </c>
      <c r="AN32" s="34">
        <f>SUM(W32:Z32)</f>
        <v>-9995</v>
      </c>
      <c r="AO32" s="34">
        <f>SUM(X32:AA32)</f>
        <v>-11070</v>
      </c>
      <c r="AP32" s="34">
        <f>SUM(Y32:AB32)</f>
        <v>-12381</v>
      </c>
      <c r="AQ32" s="34">
        <f>SUM(Z32:AC32)</f>
        <v>-12715</v>
      </c>
      <c r="AS32" s="13">
        <f t="shared" ref="AS32:AS36" si="104">SUM(AQ32/AM32)-1</f>
        <v>0.34592992484386587</v>
      </c>
    </row>
    <row r="33" spans="1:45" ht="12.75" customHeight="1">
      <c r="B33" s="25" t="s">
        <v>57</v>
      </c>
      <c r="C33" s="134">
        <f>-'Historical Financials'!C124</f>
        <v>-10444</v>
      </c>
      <c r="D33" s="134">
        <f>-'Historical Financials'!D124</f>
        <v>-11591</v>
      </c>
      <c r="E33" s="134">
        <f>-'Historical Financials'!E124</f>
        <v>-10417</v>
      </c>
      <c r="F33" s="134">
        <f>-'Historical Financials'!F124</f>
        <v>-15263</v>
      </c>
      <c r="G33" s="134">
        <f>-'Historical Financials'!G124</f>
        <v>-9501</v>
      </c>
      <c r="H33" s="134">
        <f>-'Historical Financials'!H124</f>
        <v>-25385</v>
      </c>
      <c r="I33" s="134">
        <f>-'Historical Financials'!I124</f>
        <v>-19573</v>
      </c>
      <c r="J33" s="134">
        <f>-'Historical Financials'!J124</f>
        <v>-18679</v>
      </c>
      <c r="K33" s="134">
        <f>-'Historical Financials'!K124</f>
        <v>-26102</v>
      </c>
      <c r="L33" s="134">
        <f>-'Historical Financials'!L124</f>
        <v>-43369</v>
      </c>
      <c r="N33" s="134">
        <f>-'Historical Financials'!N124</f>
        <v>-5235</v>
      </c>
      <c r="O33" s="134">
        <f>-'Historical Financials'!O124</f>
        <v>-4066</v>
      </c>
      <c r="P33" s="134">
        <f>-'Historical Financials'!P124</f>
        <v>-2950</v>
      </c>
      <c r="Q33" s="134">
        <f>-'Historical Financials'!Q124</f>
        <v>-7322</v>
      </c>
      <c r="R33" s="134">
        <f>-'Historical Financials'!R124</f>
        <v>-828</v>
      </c>
      <c r="S33" s="134">
        <f>-'Historical Financials'!S124</f>
        <v>-4066</v>
      </c>
      <c r="T33" s="134">
        <f>-'Historical Financials'!T124</f>
        <v>-2126</v>
      </c>
      <c r="U33" s="134">
        <f>-'Historical Financials'!U124</f>
        <v>-11659</v>
      </c>
      <c r="V33" s="134">
        <f>-'Historical Financials'!V124</f>
        <v>-7255</v>
      </c>
      <c r="W33" s="134">
        <f>-'Historical Financials'!W124</f>
        <v>-7276</v>
      </c>
      <c r="X33" s="134">
        <f>-'Historical Financials'!X124</f>
        <v>-4699</v>
      </c>
      <c r="Y33" s="134">
        <f>-'Historical Financials'!Y124</f>
        <v>-6872</v>
      </c>
      <c r="Z33" s="134">
        <f>-'Historical Financials'!Z124</f>
        <v>-18651</v>
      </c>
      <c r="AA33" s="134">
        <f>-'Historical Financials'!AA124</f>
        <v>-13032</v>
      </c>
      <c r="AB33" s="134">
        <f>-'Historical Financials'!AB124</f>
        <v>-5649</v>
      </c>
      <c r="AC33" s="134">
        <f>-'Historical Financials'!AC124</f>
        <v>-6037</v>
      </c>
      <c r="AE33" s="34">
        <f t="shared" si="103"/>
        <v>-19573</v>
      </c>
      <c r="AF33" s="34">
        <f>SUM(O33:R33)</f>
        <v>-15166</v>
      </c>
      <c r="AG33" s="34">
        <f>SUM(P33:S33)</f>
        <v>-15166</v>
      </c>
      <c r="AH33" s="34">
        <f>SUM(Q33:T33)</f>
        <v>-14342</v>
      </c>
      <c r="AI33" s="34">
        <f>SUM(R33:U33)</f>
        <v>-18679</v>
      </c>
      <c r="AJ33" s="34">
        <f>SUM(S33:V33)</f>
        <v>-25106</v>
      </c>
      <c r="AK33" s="34">
        <f>SUM(T33:W33)</f>
        <v>-28316</v>
      </c>
      <c r="AL33" s="34">
        <f>SUM(U33:X33)</f>
        <v>-30889</v>
      </c>
      <c r="AM33" s="34">
        <f>SUM(V33:Y33)</f>
        <v>-26102</v>
      </c>
      <c r="AN33" s="34">
        <f>SUM(W33:Z33)</f>
        <v>-37498</v>
      </c>
      <c r="AO33" s="34">
        <f>SUM(X33:AA33)</f>
        <v>-43254</v>
      </c>
      <c r="AP33" s="34">
        <f>SUM(Y33:AB33)</f>
        <v>-44204</v>
      </c>
      <c r="AQ33" s="34">
        <f>SUM(Z33:AC33)</f>
        <v>-43369</v>
      </c>
      <c r="AS33" s="13">
        <f t="shared" si="104"/>
        <v>0.66152019002375306</v>
      </c>
    </row>
    <row r="34" spans="1:45" ht="12.75" customHeight="1">
      <c r="B34" s="25" t="s">
        <v>264</v>
      </c>
      <c r="C34" s="134">
        <f>-'Historical Financials'!C125</f>
        <v>-1316</v>
      </c>
      <c r="D34" s="134">
        <f>-'Historical Financials'!D125</f>
        <v>-2092</v>
      </c>
      <c r="E34" s="134">
        <f>-'Historical Financials'!E125</f>
        <v>-3022</v>
      </c>
      <c r="F34" s="134">
        <f>-'Historical Financials'!F125</f>
        <v>-3423</v>
      </c>
      <c r="G34" s="134">
        <f>-'Historical Financials'!G125</f>
        <v>-3002</v>
      </c>
      <c r="H34" s="134">
        <f>-'Historical Financials'!H125</f>
        <v>-2687</v>
      </c>
      <c r="I34" s="134">
        <f>-'Historical Financials'!I125</f>
        <v>-2865</v>
      </c>
      <c r="J34" s="134">
        <f>-'Historical Financials'!J125</f>
        <v>-3803</v>
      </c>
      <c r="K34" s="134">
        <f>-'Historical Financials'!K125</f>
        <v>0</v>
      </c>
      <c r="L34" s="134">
        <f>-'Historical Financials'!L125</f>
        <v>0</v>
      </c>
      <c r="N34" s="134">
        <f>-'Historical Financials'!N125</f>
        <v>-531</v>
      </c>
      <c r="O34" s="134">
        <f>-'Historical Financials'!O125</f>
        <v>-875</v>
      </c>
      <c r="P34" s="134">
        <f>-'Historical Financials'!P125</f>
        <v>-504</v>
      </c>
      <c r="Q34" s="134">
        <f>-'Historical Financials'!Q125</f>
        <v>-955</v>
      </c>
      <c r="R34" s="134">
        <f>-'Historical Financials'!R125</f>
        <v>-703</v>
      </c>
      <c r="S34" s="134">
        <f>-'Historical Financials'!S125</f>
        <v>-1170</v>
      </c>
      <c r="T34" s="134">
        <f>-'Historical Financials'!T125</f>
        <v>-717</v>
      </c>
      <c r="U34" s="134">
        <f>-'Historical Financials'!U125</f>
        <v>-1213</v>
      </c>
      <c r="V34" s="134">
        <f>-'Historical Financials'!V125</f>
        <v>0</v>
      </c>
      <c r="W34" s="134">
        <f>-'Historical Financials'!W125</f>
        <v>0</v>
      </c>
      <c r="X34" s="134">
        <f>-'Historical Financials'!X125</f>
        <v>0</v>
      </c>
      <c r="Y34" s="134">
        <f>-'Historical Financials'!Y125</f>
        <v>0</v>
      </c>
      <c r="Z34" s="134">
        <f>-'Historical Financials'!Z125</f>
        <v>0</v>
      </c>
      <c r="AA34" s="134">
        <f>-'Historical Financials'!AA125</f>
        <v>0</v>
      </c>
      <c r="AB34" s="134">
        <f>-'Historical Financials'!AB125</f>
        <v>0</v>
      </c>
      <c r="AC34" s="134">
        <f>-'Historical Financials'!AC125</f>
        <v>0</v>
      </c>
      <c r="AE34" s="34">
        <f t="shared" si="103"/>
        <v>-2865</v>
      </c>
      <c r="AF34" s="34">
        <f>SUM(O34:R34)</f>
        <v>-3037</v>
      </c>
      <c r="AG34" s="34">
        <f>SUM(P34:S34)</f>
        <v>-3332</v>
      </c>
      <c r="AH34" s="34">
        <f>SUM(Q34:T34)</f>
        <v>-3545</v>
      </c>
      <c r="AI34" s="34">
        <f>SUM(R34:U34)</f>
        <v>-3803</v>
      </c>
      <c r="AJ34" s="34">
        <f>SUM(S34:V34)</f>
        <v>-3100</v>
      </c>
      <c r="AK34" s="34">
        <f>SUM(T34:W34)</f>
        <v>-1930</v>
      </c>
      <c r="AL34" s="34">
        <f>SUM(U34:X34)</f>
        <v>-1213</v>
      </c>
      <c r="AM34" s="34">
        <f>SUM(V34:Y34)</f>
        <v>0</v>
      </c>
      <c r="AN34" s="34">
        <f>SUM(W34:Z34)</f>
        <v>0</v>
      </c>
      <c r="AO34" s="34">
        <f>SUM(X34:AA34)</f>
        <v>0</v>
      </c>
      <c r="AP34" s="34">
        <f>SUM(Y34:AB34)</f>
        <v>0</v>
      </c>
      <c r="AQ34" s="34">
        <f>SUM(Z34:AC34)</f>
        <v>0</v>
      </c>
      <c r="AS34" s="13" t="e">
        <f t="shared" si="104"/>
        <v>#DIV/0!</v>
      </c>
    </row>
    <row r="35" spans="1:45" ht="12.75" customHeight="1">
      <c r="B35" s="25" t="s">
        <v>58</v>
      </c>
      <c r="C35" s="134">
        <f>SUM('Historical Financials'!C84:C89)</f>
        <v>484</v>
      </c>
      <c r="D35" s="134">
        <f>SUM('Historical Financials'!D84:D89)</f>
        <v>-5550</v>
      </c>
      <c r="E35" s="134">
        <f>SUM('Historical Financials'!E84:E89)</f>
        <v>34694</v>
      </c>
      <c r="F35" s="134">
        <f>SUM('Historical Financials'!F84:F89)</f>
        <v>-3488</v>
      </c>
      <c r="G35" s="134">
        <f>SUM('Historical Financials'!G84:G89)</f>
        <v>5690</v>
      </c>
      <c r="H35" s="134">
        <f>SUM('Historical Financials'!H84:H89)</f>
        <v>-4911</v>
      </c>
      <c r="I35" s="134">
        <f>SUM('Historical Financials'!I84:I89)</f>
        <v>1200</v>
      </c>
      <c r="J35" s="134">
        <f>SUM('Historical Financials'!J84:J89)</f>
        <v>-6577</v>
      </c>
      <c r="K35" s="134">
        <f>SUM('Historical Financials'!K84:K89)</f>
        <v>3651</v>
      </c>
      <c r="L35" s="134">
        <f>SUM('Historical Financials'!L84:L89)</f>
        <v>-25000</v>
      </c>
      <c r="N35" s="134">
        <f>SUM('Historical Financials'!N84:N89)</f>
        <v>6525</v>
      </c>
      <c r="O35" s="134">
        <f>SUM('Historical Financials'!O84:O89)</f>
        <v>-2052</v>
      </c>
      <c r="P35" s="134">
        <f>SUM('Historical Financials'!P84:P89)</f>
        <v>-3225</v>
      </c>
      <c r="Q35" s="134">
        <f>SUM('Historical Financials'!Q84:Q89)</f>
        <v>-48</v>
      </c>
      <c r="R35" s="134">
        <f>SUM('Historical Financials'!R84:R89)</f>
        <v>-1497</v>
      </c>
      <c r="S35" s="134">
        <f>SUM('Historical Financials'!S84:S89)</f>
        <v>231</v>
      </c>
      <c r="T35" s="134">
        <f>SUM('Historical Financials'!T84:T89)</f>
        <v>749</v>
      </c>
      <c r="U35" s="134">
        <f>SUM('Historical Financials'!U84:U89)</f>
        <v>-6060</v>
      </c>
      <c r="V35" s="134">
        <f>SUM('Historical Financials'!V84:V89)</f>
        <v>1123</v>
      </c>
      <c r="W35" s="134">
        <f>SUM('Historical Financials'!W84:W89)</f>
        <v>-5767</v>
      </c>
      <c r="X35" s="134">
        <f>SUM('Historical Financials'!X84:X89)</f>
        <v>1687</v>
      </c>
      <c r="Y35" s="134">
        <f>SUM('Historical Financials'!Y84:Y89)</f>
        <v>6608</v>
      </c>
      <c r="Z35" s="134">
        <f>SUM('Historical Financials'!Z84:Z89)</f>
        <v>-10752</v>
      </c>
      <c r="AA35" s="134">
        <f>SUM('Historical Financials'!AA84:AA89)</f>
        <v>-6507</v>
      </c>
      <c r="AB35" s="134">
        <f>SUM('Historical Financials'!AB84:AB89)</f>
        <v>-2034</v>
      </c>
      <c r="AC35" s="134">
        <f>SUM('Historical Financials'!AC84:AC89)</f>
        <v>-5707</v>
      </c>
      <c r="AE35" s="34">
        <f t="shared" si="103"/>
        <v>1200</v>
      </c>
      <c r="AF35" s="34">
        <f>SUM(O35:R35)</f>
        <v>-6822</v>
      </c>
      <c r="AG35" s="34">
        <f>SUM(P35:S35)</f>
        <v>-4539</v>
      </c>
      <c r="AH35" s="34">
        <f>SUM(Q35:T35)</f>
        <v>-565</v>
      </c>
      <c r="AI35" s="34">
        <f>SUM(R35:U35)</f>
        <v>-6577</v>
      </c>
      <c r="AJ35" s="34">
        <f>SUM(S35:V35)</f>
        <v>-3957</v>
      </c>
      <c r="AK35" s="34">
        <f>SUM(T35:W35)</f>
        <v>-9955</v>
      </c>
      <c r="AL35" s="34">
        <f>SUM(U35:X35)</f>
        <v>-9017</v>
      </c>
      <c r="AM35" s="34">
        <f>SUM(V35:Y35)</f>
        <v>3651</v>
      </c>
      <c r="AN35" s="34">
        <f>SUM(W35:Z35)</f>
        <v>-8224</v>
      </c>
      <c r="AO35" s="34">
        <f>SUM(X35:AA35)</f>
        <v>-8964</v>
      </c>
      <c r="AP35" s="34">
        <f>SUM(Y35:AB35)</f>
        <v>-12685</v>
      </c>
      <c r="AQ35" s="34">
        <f>SUM(Z35:AC35)</f>
        <v>-25000</v>
      </c>
      <c r="AS35" s="13">
        <f t="shared" si="104"/>
        <v>-7.8474390577923856</v>
      </c>
    </row>
    <row r="36" spans="1:45" ht="12.75" customHeight="1">
      <c r="B36" s="14" t="s">
        <v>59</v>
      </c>
      <c r="C36" s="15">
        <f t="shared" ref="C36:F36" si="105">SUM(C29+SUM(C32:C35))</f>
        <v>50729</v>
      </c>
      <c r="D36" s="15">
        <f t="shared" si="105"/>
        <v>44657</v>
      </c>
      <c r="E36" s="15">
        <f t="shared" si="105"/>
        <v>95083</v>
      </c>
      <c r="F36" s="15">
        <f t="shared" si="105"/>
        <v>49876</v>
      </c>
      <c r="G36" s="15">
        <f>SUM(G29+SUM(G32:G35))</f>
        <v>70051</v>
      </c>
      <c r="H36" s="15">
        <f>SUM(H29+SUM(H32:H35))</f>
        <v>84071</v>
      </c>
      <c r="I36" s="15">
        <f>SUM(I29+SUM(I32:I35))</f>
        <v>107633</v>
      </c>
      <c r="J36" s="15">
        <f>SUM(J29+SUM(J32:J35))</f>
        <v>96635</v>
      </c>
      <c r="K36" s="15">
        <f>SUM(K29+SUM(K32:K35))</f>
        <v>114451</v>
      </c>
      <c r="L36" s="15">
        <f>SUM(L29+SUM(L32:L35))</f>
        <v>76527</v>
      </c>
      <c r="N36" s="15">
        <f t="shared" ref="N36:AB36" si="106">SUM(N29+SUM(N32:N35))</f>
        <v>44406</v>
      </c>
      <c r="O36" s="15">
        <f t="shared" si="106"/>
        <v>25461</v>
      </c>
      <c r="P36" s="15">
        <f t="shared" si="106"/>
        <v>19343</v>
      </c>
      <c r="Q36" s="15">
        <f t="shared" si="106"/>
        <v>18423</v>
      </c>
      <c r="R36" s="15">
        <f t="shared" si="106"/>
        <v>35022</v>
      </c>
      <c r="S36" s="15">
        <f t="shared" si="106"/>
        <v>25981</v>
      </c>
      <c r="T36" s="15">
        <f t="shared" si="106"/>
        <v>24480</v>
      </c>
      <c r="U36" s="15">
        <f t="shared" si="106"/>
        <v>11152</v>
      </c>
      <c r="V36" s="15">
        <f t="shared" si="106"/>
        <v>37694</v>
      </c>
      <c r="W36" s="15">
        <f t="shared" si="106"/>
        <v>18664</v>
      </c>
      <c r="X36" s="15">
        <f t="shared" si="106"/>
        <v>25905</v>
      </c>
      <c r="Y36" s="15">
        <f t="shared" si="106"/>
        <v>32188</v>
      </c>
      <c r="Z36" s="15">
        <f t="shared" si="106"/>
        <v>16855</v>
      </c>
      <c r="AA36" s="15">
        <f t="shared" si="106"/>
        <v>12866</v>
      </c>
      <c r="AB36" s="15">
        <f t="shared" si="106"/>
        <v>23055</v>
      </c>
      <c r="AC36" s="15">
        <f t="shared" ref="AC36" si="107">SUM(AC29+SUM(AC32:AC35))</f>
        <v>23751</v>
      </c>
      <c r="AE36" s="15">
        <f t="shared" ref="AE36:AP36" si="108">SUM(AE29+SUM(AE32:AE35))</f>
        <v>107633</v>
      </c>
      <c r="AF36" s="15">
        <f t="shared" si="108"/>
        <v>98249</v>
      </c>
      <c r="AG36" s="15">
        <f t="shared" si="108"/>
        <v>98769</v>
      </c>
      <c r="AH36" s="15">
        <f t="shared" si="108"/>
        <v>103906</v>
      </c>
      <c r="AI36" s="15">
        <f t="shared" si="108"/>
        <v>96635</v>
      </c>
      <c r="AJ36" s="15">
        <f t="shared" si="108"/>
        <v>99307</v>
      </c>
      <c r="AK36" s="15">
        <f t="shared" si="108"/>
        <v>91990</v>
      </c>
      <c r="AL36" s="15">
        <f t="shared" si="108"/>
        <v>93415</v>
      </c>
      <c r="AM36" s="15">
        <f t="shared" si="108"/>
        <v>114451</v>
      </c>
      <c r="AN36" s="15">
        <f t="shared" si="108"/>
        <v>93612</v>
      </c>
      <c r="AO36" s="15">
        <f t="shared" si="108"/>
        <v>87814</v>
      </c>
      <c r="AP36" s="15">
        <f t="shared" si="108"/>
        <v>84964</v>
      </c>
      <c r="AQ36" s="15">
        <f t="shared" ref="AQ36" si="109">SUM(AQ29+SUM(AQ32:AQ35))</f>
        <v>76527</v>
      </c>
      <c r="AS36" s="16">
        <f t="shared" si="104"/>
        <v>-0.33135577670793614</v>
      </c>
    </row>
    <row r="37" spans="1:45" ht="5.0999999999999996" customHeight="1"/>
    <row r="38" spans="1:45" ht="12.75" customHeight="1">
      <c r="B38" s="33" t="s">
        <v>265</v>
      </c>
      <c r="C38" s="134">
        <f>SUM('Historical Financials'!C94:C95)</f>
        <v>-30634</v>
      </c>
      <c r="D38" s="134">
        <f>SUM('Historical Financials'!D94:D95)</f>
        <v>-33147</v>
      </c>
      <c r="E38" s="134">
        <f>SUM('Historical Financials'!E94:E95)</f>
        <v>32363</v>
      </c>
      <c r="F38" s="134">
        <f>SUM('Historical Financials'!F94:F95)</f>
        <v>57460</v>
      </c>
      <c r="G38" s="134">
        <f>SUM('Historical Financials'!G94:G95)</f>
        <v>5453</v>
      </c>
      <c r="H38" s="134">
        <f>SUM('Historical Financials'!H94:H95)</f>
        <v>-3075</v>
      </c>
      <c r="I38" s="134">
        <f>SUM('Historical Financials'!I94:I95)</f>
        <v>-9560</v>
      </c>
      <c r="J38" s="134">
        <f>SUM('Historical Financials'!J94:J95)</f>
        <v>16001</v>
      </c>
      <c r="K38" s="134">
        <f>SUM('Historical Financials'!K94:K95)</f>
        <v>13690</v>
      </c>
      <c r="L38" s="134">
        <f>SUM('Historical Financials'!L94:L95)</f>
        <v>29390</v>
      </c>
      <c r="M38" s="34"/>
      <c r="N38" s="134">
        <f>SUM('Historical Financials'!N94:N95)</f>
        <v>-12929</v>
      </c>
      <c r="O38" s="134">
        <f>SUM('Historical Financials'!O94:O95)</f>
        <v>-6390</v>
      </c>
      <c r="P38" s="134">
        <f>SUM('Historical Financials'!P94:P95)</f>
        <v>6953</v>
      </c>
      <c r="Q38" s="134">
        <f>SUM('Historical Financials'!Q94:Q95)</f>
        <v>2806</v>
      </c>
      <c r="R38" s="134">
        <f>SUM('Historical Financials'!R94:R95)</f>
        <v>2483</v>
      </c>
      <c r="S38" s="134">
        <f>SUM('Historical Financials'!S94:S95)</f>
        <v>5341</v>
      </c>
      <c r="T38" s="134">
        <f>SUM('Historical Financials'!T94:T95)</f>
        <v>3036</v>
      </c>
      <c r="U38" s="134">
        <f>SUM('Historical Financials'!U94:U95)</f>
        <v>5141</v>
      </c>
      <c r="V38" s="134">
        <f>SUM('Historical Financials'!V94:V95)</f>
        <v>4603</v>
      </c>
      <c r="W38" s="134">
        <f>SUM('Historical Financials'!W94:W95)</f>
        <v>2131</v>
      </c>
      <c r="X38" s="134">
        <f>SUM('Historical Financials'!X94:X95)</f>
        <v>2412</v>
      </c>
      <c r="Y38" s="134">
        <f>SUM('Historical Financials'!Y94:Y95)</f>
        <v>4544</v>
      </c>
      <c r="Z38" s="134">
        <f>SUM('Historical Financials'!Z94:Z95)</f>
        <v>13335</v>
      </c>
      <c r="AA38" s="134">
        <f>SUM('Historical Financials'!AA94:AA95)</f>
        <v>6020</v>
      </c>
      <c r="AB38" s="134">
        <f>SUM('Historical Financials'!AB94:AB95)</f>
        <v>8875</v>
      </c>
      <c r="AC38" s="134">
        <f>SUM('Historical Financials'!AC94:AC95)</f>
        <v>1160</v>
      </c>
      <c r="AE38" s="34">
        <f t="shared" ref="AE38:AE42" si="110">SUM(N38:Q38)</f>
        <v>-9560</v>
      </c>
      <c r="AF38" s="34">
        <f>SUM(O38:R38)</f>
        <v>5852</v>
      </c>
      <c r="AG38" s="34">
        <f>SUM(P38:S38)</f>
        <v>17583</v>
      </c>
      <c r="AH38" s="34">
        <f>SUM(Q38:T38)</f>
        <v>13666</v>
      </c>
      <c r="AI38" s="34">
        <f>SUM(R38:U38)</f>
        <v>16001</v>
      </c>
      <c r="AJ38" s="34">
        <f>SUM(S38:V38)</f>
        <v>18121</v>
      </c>
      <c r="AK38" s="34">
        <f>SUM(T38:W38)</f>
        <v>14911</v>
      </c>
      <c r="AL38" s="34">
        <f>SUM(U38:X38)</f>
        <v>14287</v>
      </c>
      <c r="AM38" s="34">
        <f>SUM(V38:Y38)</f>
        <v>13690</v>
      </c>
      <c r="AN38" s="34">
        <f>SUM(W38:Z38)</f>
        <v>22422</v>
      </c>
      <c r="AO38" s="34">
        <f>SUM(X38:AA38)</f>
        <v>26311</v>
      </c>
      <c r="AP38" s="34">
        <f>SUM(Y38:AB38)</f>
        <v>32774</v>
      </c>
      <c r="AQ38" s="34">
        <f>SUM(Z38:AC38)</f>
        <v>29390</v>
      </c>
    </row>
    <row r="39" spans="1:45" ht="12.75" customHeight="1">
      <c r="B39" s="33" t="s">
        <v>266</v>
      </c>
      <c r="C39" s="134">
        <f>'Historical Financials'!C97</f>
        <v>-1498</v>
      </c>
      <c r="D39" s="134">
        <f>'Historical Financials'!D97</f>
        <v>-175</v>
      </c>
      <c r="E39" s="134">
        <f>'Historical Financials'!E97</f>
        <v>-2263</v>
      </c>
      <c r="F39" s="134">
        <f>'Historical Financials'!F97</f>
        <v>-445</v>
      </c>
      <c r="G39" s="134">
        <f>'Historical Financials'!G97</f>
        <v>-909</v>
      </c>
      <c r="H39" s="134">
        <f>'Historical Financials'!H97</f>
        <v>-352</v>
      </c>
      <c r="I39" s="134">
        <f>'Historical Financials'!I97</f>
        <v>-1780</v>
      </c>
      <c r="J39" s="134">
        <f>'Historical Financials'!J97</f>
        <v>-1337</v>
      </c>
      <c r="K39" s="134">
        <f>'Historical Financials'!K97</f>
        <v>-1308</v>
      </c>
      <c r="L39" s="134">
        <f>'Historical Financials'!L97</f>
        <v>-1480</v>
      </c>
      <c r="M39" s="34"/>
      <c r="N39" s="134">
        <f>'Historical Financials'!N97</f>
        <v>-374</v>
      </c>
      <c r="O39" s="134">
        <f>'Historical Financials'!O97</f>
        <v>-194</v>
      </c>
      <c r="P39" s="134">
        <f>'Historical Financials'!P97</f>
        <v>-615</v>
      </c>
      <c r="Q39" s="134">
        <f>'Historical Financials'!Q97</f>
        <v>-597</v>
      </c>
      <c r="R39" s="134">
        <f>'Historical Financials'!R97</f>
        <v>-141</v>
      </c>
      <c r="S39" s="134">
        <f>'Historical Financials'!S97</f>
        <v>-106</v>
      </c>
      <c r="T39" s="134">
        <f>'Historical Financials'!T97</f>
        <v>-506</v>
      </c>
      <c r="U39" s="134">
        <f>'Historical Financials'!U97</f>
        <v>-584</v>
      </c>
      <c r="V39" s="134">
        <f>'Historical Financials'!V97</f>
        <v>-284</v>
      </c>
      <c r="W39" s="134">
        <f>'Historical Financials'!W97</f>
        <v>-445</v>
      </c>
      <c r="X39" s="134">
        <f>'Historical Financials'!X97</f>
        <v>-388</v>
      </c>
      <c r="Y39" s="134">
        <f>'Historical Financials'!Y97</f>
        <v>-191</v>
      </c>
      <c r="Z39" s="134">
        <f>'Historical Financials'!Z97</f>
        <v>-603</v>
      </c>
      <c r="AA39" s="134">
        <f>'Historical Financials'!AA97</f>
        <v>-32</v>
      </c>
      <c r="AB39" s="134">
        <f>'Historical Financials'!AB97</f>
        <v>-340</v>
      </c>
      <c r="AC39" s="134">
        <f>'Historical Financials'!AC97</f>
        <v>-505</v>
      </c>
      <c r="AE39" s="34">
        <f t="shared" si="110"/>
        <v>-1780</v>
      </c>
      <c r="AF39" s="34">
        <f>SUM(O39:R39)</f>
        <v>-1547</v>
      </c>
      <c r="AG39" s="34">
        <f>SUM(P39:S39)</f>
        <v>-1459</v>
      </c>
      <c r="AH39" s="34">
        <f>SUM(Q39:T39)</f>
        <v>-1350</v>
      </c>
      <c r="AI39" s="34">
        <f>SUM(R39:U39)</f>
        <v>-1337</v>
      </c>
      <c r="AJ39" s="34">
        <f>SUM(S39:V39)</f>
        <v>-1480</v>
      </c>
      <c r="AK39" s="34">
        <f>SUM(T39:W39)</f>
        <v>-1819</v>
      </c>
      <c r="AL39" s="34">
        <f>SUM(U39:X39)</f>
        <v>-1701</v>
      </c>
      <c r="AM39" s="34">
        <f>SUM(V39:Y39)</f>
        <v>-1308</v>
      </c>
      <c r="AN39" s="34">
        <f>SUM(W39:Z39)</f>
        <v>-1627</v>
      </c>
      <c r="AO39" s="34">
        <f>SUM(X39:AA39)</f>
        <v>-1214</v>
      </c>
      <c r="AP39" s="34">
        <f>SUM(Y39:AB39)</f>
        <v>-1166</v>
      </c>
      <c r="AQ39" s="34">
        <f>SUM(Z39:AC39)</f>
        <v>-1480</v>
      </c>
    </row>
    <row r="40" spans="1:45" ht="12.75" customHeight="1">
      <c r="B40" s="33" t="s">
        <v>111</v>
      </c>
      <c r="C40" s="134">
        <f>SUM('Historical Financials'!C101:C102)</f>
        <v>22454</v>
      </c>
      <c r="D40" s="134">
        <f>SUM('Historical Financials'!D101:D102)</f>
        <v>25162</v>
      </c>
      <c r="E40" s="134">
        <f>SUM('Historical Financials'!E101:E102)</f>
        <v>469</v>
      </c>
      <c r="F40" s="134">
        <f>SUM('Historical Financials'!F101:F102)</f>
        <v>-1842</v>
      </c>
      <c r="G40" s="134">
        <f>SUM('Historical Financials'!G101:G102)</f>
        <v>3462</v>
      </c>
      <c r="H40" s="134">
        <f>SUM('Historical Financials'!H101:H102)</f>
        <v>11643</v>
      </c>
      <c r="I40" s="134">
        <f>SUM('Historical Financials'!I101:I102)</f>
        <v>-4078</v>
      </c>
      <c r="J40" s="134">
        <f>SUM('Historical Financials'!J101:J102)</f>
        <v>-5923.1080000000002</v>
      </c>
      <c r="K40" s="134">
        <f>SUM('Historical Financials'!K101:K102)</f>
        <v>-9958</v>
      </c>
      <c r="L40" s="134">
        <f>SUM('Historical Financials'!L101:L102)</f>
        <v>-6451</v>
      </c>
      <c r="M40" s="34"/>
      <c r="N40" s="134">
        <f>SUM('Historical Financials'!N101:N102)</f>
        <v>0</v>
      </c>
      <c r="O40" s="134">
        <f>SUM('Historical Financials'!O101:O102)</f>
        <v>-3750</v>
      </c>
      <c r="P40" s="134">
        <f>SUM('Historical Financials'!P101:P102)</f>
        <v>-3000</v>
      </c>
      <c r="Q40" s="134">
        <f>SUM('Historical Financials'!Q101:Q102)</f>
        <v>2672</v>
      </c>
      <c r="R40" s="134">
        <f>SUM('Historical Financials'!R101:R102)</f>
        <v>-1401</v>
      </c>
      <c r="S40" s="134">
        <f>SUM('Historical Financials'!S101:S102)</f>
        <v>-2250</v>
      </c>
      <c r="T40" s="134">
        <f>SUM('Historical Financials'!T101:T102)</f>
        <v>-2272</v>
      </c>
      <c r="U40" s="134">
        <f>SUM('Historical Financials'!U101:U102)</f>
        <v>-0.10800000000017462</v>
      </c>
      <c r="V40" s="134">
        <f>SUM('Historical Financials'!V101:V102)</f>
        <v>0</v>
      </c>
      <c r="W40" s="134">
        <f>SUM('Historical Financials'!W101:W102)</f>
        <v>-3150</v>
      </c>
      <c r="X40" s="134">
        <f>SUM('Historical Financials'!X101:X102)</f>
        <v>-4250</v>
      </c>
      <c r="Y40" s="134">
        <f>SUM('Historical Financials'!Y101:Y102)</f>
        <v>-2558</v>
      </c>
      <c r="Z40" s="134">
        <f>SUM('Historical Financials'!Z101:Z102)</f>
        <v>-1009</v>
      </c>
      <c r="AA40" s="134">
        <f>SUM('Historical Financials'!AA101:AA102)</f>
        <v>-3000</v>
      </c>
      <c r="AB40" s="134">
        <f>SUM('Historical Financials'!AB101:AB102)</f>
        <v>-1192</v>
      </c>
      <c r="AC40" s="134">
        <f>SUM('Historical Financials'!AC101:AC102)</f>
        <v>-1250</v>
      </c>
      <c r="AE40" s="34">
        <f t="shared" si="110"/>
        <v>-4078</v>
      </c>
      <c r="AF40" s="34">
        <f>SUM(O40:R40)</f>
        <v>-5479</v>
      </c>
      <c r="AG40" s="34">
        <f>SUM(P40:S40)</f>
        <v>-3979</v>
      </c>
      <c r="AH40" s="34">
        <f>SUM(Q40:T40)</f>
        <v>-3251</v>
      </c>
      <c r="AI40" s="34">
        <f>SUM(R40:U40)</f>
        <v>-5923.1080000000002</v>
      </c>
      <c r="AJ40" s="34">
        <f>SUM(S40:V40)</f>
        <v>-4522.1080000000002</v>
      </c>
      <c r="AK40" s="34">
        <f>SUM(T40:W40)</f>
        <v>-5422.1080000000002</v>
      </c>
      <c r="AL40" s="34">
        <f>SUM(U40:X40)</f>
        <v>-7400.1080000000002</v>
      </c>
      <c r="AM40" s="34">
        <f>SUM(V40:Y40)</f>
        <v>-9958</v>
      </c>
      <c r="AN40" s="34">
        <f>SUM(W40:Z40)</f>
        <v>-10967</v>
      </c>
      <c r="AO40" s="34">
        <f>SUM(X40:AA40)</f>
        <v>-10817</v>
      </c>
      <c r="AP40" s="34">
        <f>SUM(Y40:AB40)</f>
        <v>-7759</v>
      </c>
      <c r="AQ40" s="34">
        <f>SUM(Z40:AC40)</f>
        <v>-6451</v>
      </c>
    </row>
    <row r="41" spans="1:45" ht="12.75" customHeight="1">
      <c r="B41" s="33" t="s">
        <v>267</v>
      </c>
      <c r="C41" s="134">
        <f>SUM('Historical Financials'!C103:C104)</f>
        <v>-29227</v>
      </c>
      <c r="D41" s="134">
        <f>SUM('Historical Financials'!D103:D104)</f>
        <v>-32345</v>
      </c>
      <c r="E41" s="134">
        <f>SUM('Historical Financials'!E103:E104)</f>
        <v>-72069</v>
      </c>
      <c r="F41" s="134">
        <f>SUM('Historical Financials'!F103:F104)</f>
        <v>-66116</v>
      </c>
      <c r="G41" s="134">
        <f>SUM('Historical Financials'!G103:G104)</f>
        <v>-71478</v>
      </c>
      <c r="H41" s="134">
        <f>SUM('Historical Financials'!H103:H104)</f>
        <v>-84866</v>
      </c>
      <c r="I41" s="134">
        <f>SUM('Historical Financials'!I103:I104)</f>
        <v>-89402</v>
      </c>
      <c r="J41" s="134">
        <f>SUM('Historical Financials'!J103:J104)</f>
        <v>-77550</v>
      </c>
      <c r="K41" s="134">
        <f>SUM('Historical Financials'!K103:K104)</f>
        <v>-94949</v>
      </c>
      <c r="L41" s="134">
        <f>SUM('Historical Financials'!L103:L104)</f>
        <v>-90711</v>
      </c>
      <c r="M41" s="34"/>
      <c r="N41" s="134">
        <f>SUM('Historical Financials'!N103:N104)</f>
        <v>-20478</v>
      </c>
      <c r="O41" s="134">
        <f>SUM('Historical Financials'!O103:O104)</f>
        <v>-22631</v>
      </c>
      <c r="P41" s="134">
        <f>SUM('Historical Financials'!P103:P104)</f>
        <v>-21865</v>
      </c>
      <c r="Q41" s="134">
        <f>SUM('Historical Financials'!Q103:Q104)</f>
        <v>-24428</v>
      </c>
      <c r="R41" s="134">
        <f>SUM('Historical Financials'!R103:R104)</f>
        <v>-19475</v>
      </c>
      <c r="S41" s="134">
        <f>SUM('Historical Financials'!S103:S104)</f>
        <v>-19594</v>
      </c>
      <c r="T41" s="134">
        <f>SUM('Historical Financials'!T103:T104)</f>
        <v>-17478</v>
      </c>
      <c r="U41" s="134">
        <f>SUM('Historical Financials'!U103:U104)</f>
        <v>-21003</v>
      </c>
      <c r="V41" s="134">
        <f>SUM('Historical Financials'!V103:V104)</f>
        <v>-20139</v>
      </c>
      <c r="W41" s="134">
        <f>SUM('Historical Financials'!W103:W104)</f>
        <v>-23205</v>
      </c>
      <c r="X41" s="134">
        <f>SUM('Historical Financials'!X103:X104)</f>
        <v>-26522</v>
      </c>
      <c r="Y41" s="134">
        <f>SUM('Historical Financials'!Y103:Y104)</f>
        <v>-25083</v>
      </c>
      <c r="Z41" s="134">
        <f>SUM('Historical Financials'!Z103:Z104)</f>
        <v>-23606</v>
      </c>
      <c r="AA41" s="134">
        <f>SUM('Historical Financials'!AA103:AA104)</f>
        <v>-25898</v>
      </c>
      <c r="AB41" s="134">
        <f>SUM('Historical Financials'!AB103:AB104)</f>
        <v>-21075</v>
      </c>
      <c r="AC41" s="134">
        <f>SUM('Historical Financials'!AC103:AC104)</f>
        <v>-20132</v>
      </c>
      <c r="AE41" s="34">
        <f t="shared" si="110"/>
        <v>-89402</v>
      </c>
      <c r="AF41" s="34">
        <f>SUM(O41:R41)</f>
        <v>-88399</v>
      </c>
      <c r="AG41" s="34">
        <f>SUM(P41:S41)</f>
        <v>-85362</v>
      </c>
      <c r="AH41" s="34">
        <f>SUM(Q41:T41)</f>
        <v>-80975</v>
      </c>
      <c r="AI41" s="34">
        <f>SUM(R41:U41)</f>
        <v>-77550</v>
      </c>
      <c r="AJ41" s="34">
        <f>SUM(S41:V41)</f>
        <v>-78214</v>
      </c>
      <c r="AK41" s="34">
        <f>SUM(T41:W41)</f>
        <v>-81825</v>
      </c>
      <c r="AL41" s="34">
        <f>SUM(U41:X41)</f>
        <v>-90869</v>
      </c>
      <c r="AM41" s="34">
        <f>SUM(V41:Y41)</f>
        <v>-94949</v>
      </c>
      <c r="AN41" s="34">
        <f>SUM(W41:Z41)</f>
        <v>-98416</v>
      </c>
      <c r="AO41" s="34">
        <f>SUM(X41:AA41)</f>
        <v>-101109</v>
      </c>
      <c r="AP41" s="34">
        <f>SUM(Y41:AB41)</f>
        <v>-95662</v>
      </c>
      <c r="AQ41" s="34">
        <f>SUM(Z41:AC41)</f>
        <v>-90711</v>
      </c>
    </row>
    <row r="42" spans="1:45" ht="12.75" customHeight="1">
      <c r="B42" s="33" t="s">
        <v>268</v>
      </c>
      <c r="C42" s="134">
        <f>'Historical Financials'!C105</f>
        <v>-397</v>
      </c>
      <c r="D42" s="134">
        <f>'Historical Financials'!D105</f>
        <v>3852</v>
      </c>
      <c r="E42" s="134">
        <f>'Historical Financials'!E105</f>
        <v>-37</v>
      </c>
      <c r="F42" s="134">
        <f>'Historical Financials'!F105</f>
        <v>-5977</v>
      </c>
      <c r="G42" s="134">
        <f>'Historical Financials'!G105</f>
        <v>-963</v>
      </c>
      <c r="H42" s="134">
        <f>'Historical Financials'!H105</f>
        <v>1022</v>
      </c>
      <c r="I42" s="134">
        <f>'Historical Financials'!I105</f>
        <v>3955</v>
      </c>
      <c r="J42" s="134">
        <f>'Historical Financials'!J105</f>
        <v>-3978</v>
      </c>
      <c r="K42" s="134">
        <f>'Historical Financials'!K105</f>
        <v>3960</v>
      </c>
      <c r="L42" s="134">
        <f>'Historical Financials'!L105</f>
        <v>-2032</v>
      </c>
      <c r="M42" s="34"/>
      <c r="N42" s="134">
        <f>'Historical Financials'!N105</f>
        <v>-1000</v>
      </c>
      <c r="O42" s="134">
        <f>'Historical Financials'!O105</f>
        <v>1999</v>
      </c>
      <c r="P42" s="134">
        <f>'Historical Financials'!P105</f>
        <v>3971</v>
      </c>
      <c r="Q42" s="134">
        <f>'Historical Financials'!Q105</f>
        <v>-1015</v>
      </c>
      <c r="R42" s="134">
        <f>'Historical Financials'!R105</f>
        <v>-8214</v>
      </c>
      <c r="S42" s="134">
        <f>'Historical Financials'!S105</f>
        <v>254</v>
      </c>
      <c r="T42" s="134">
        <f>'Historical Financials'!T105</f>
        <v>1989</v>
      </c>
      <c r="U42" s="134">
        <f>'Historical Financials'!U105</f>
        <v>1993</v>
      </c>
      <c r="V42" s="134">
        <f>'Historical Financials'!V105</f>
        <v>-3984</v>
      </c>
      <c r="W42" s="134">
        <f>'Historical Financials'!W105</f>
        <v>2</v>
      </c>
      <c r="X42" s="134">
        <f>'Historical Financials'!X105</f>
        <v>997</v>
      </c>
      <c r="Y42" s="134">
        <f>'Historical Financials'!Y105</f>
        <v>6945</v>
      </c>
      <c r="Z42" s="134">
        <f>'Historical Financials'!Z105</f>
        <v>-7944</v>
      </c>
      <c r="AA42" s="134">
        <f>'Historical Financials'!AA105</f>
        <v>3976</v>
      </c>
      <c r="AB42" s="134">
        <f>'Historical Financials'!AB105</f>
        <v>3903</v>
      </c>
      <c r="AC42" s="134">
        <f>'Historical Financials'!AC105</f>
        <v>-1967</v>
      </c>
      <c r="AE42" s="34">
        <f t="shared" si="110"/>
        <v>3955</v>
      </c>
      <c r="AF42" s="34">
        <f>SUM(O42:R42)</f>
        <v>-3259</v>
      </c>
      <c r="AG42" s="34">
        <f>SUM(P42:S42)</f>
        <v>-5004</v>
      </c>
      <c r="AH42" s="34">
        <f>SUM(Q42:T42)</f>
        <v>-6986</v>
      </c>
      <c r="AI42" s="34">
        <f>SUM(R42:U42)</f>
        <v>-3978</v>
      </c>
      <c r="AJ42" s="34">
        <f>SUM(S42:V42)</f>
        <v>252</v>
      </c>
      <c r="AK42" s="34">
        <f>SUM(T42:W42)</f>
        <v>0</v>
      </c>
      <c r="AL42" s="34">
        <f>SUM(U42:X42)</f>
        <v>-992</v>
      </c>
      <c r="AM42" s="34">
        <f>SUM(V42:Y42)</f>
        <v>3960</v>
      </c>
      <c r="AN42" s="34">
        <f>SUM(W42:Z42)</f>
        <v>0</v>
      </c>
      <c r="AO42" s="34">
        <f>SUM(X42:AA42)</f>
        <v>3974</v>
      </c>
      <c r="AP42" s="34">
        <f>SUM(Y42:AB42)</f>
        <v>6880</v>
      </c>
      <c r="AQ42" s="34">
        <f>SUM(Z42:AC42)</f>
        <v>-2032</v>
      </c>
    </row>
    <row r="43" spans="1:45" ht="12.75" customHeight="1">
      <c r="B43" s="33" t="s">
        <v>112</v>
      </c>
      <c r="C43" s="134">
        <f>'Historical Financials'!C108</f>
        <v>-12150</v>
      </c>
      <c r="D43" s="134">
        <f>'Historical Financials'!D108</f>
        <v>-12769</v>
      </c>
      <c r="E43" s="134">
        <f>'Historical Financials'!E108</f>
        <v>-13712</v>
      </c>
      <c r="F43" s="134">
        <f>'Historical Financials'!F108</f>
        <v>-14119</v>
      </c>
      <c r="G43" s="134">
        <f>'Historical Financials'!G108</f>
        <v>-14081</v>
      </c>
      <c r="H43" s="134">
        <f>'Historical Financials'!H108</f>
        <v>-14467</v>
      </c>
      <c r="I43" s="134">
        <f>'Historical Financials'!I108</f>
        <v>-14841</v>
      </c>
      <c r="J43" s="134">
        <f>'Historical Financials'!J108</f>
        <v>-14875</v>
      </c>
      <c r="K43" s="134">
        <f>'Historical Financials'!K108</f>
        <v>-15234</v>
      </c>
      <c r="L43" s="134">
        <f>'Historical Financials'!L108</f>
        <v>-15421</v>
      </c>
      <c r="M43" s="34"/>
      <c r="N43" s="134">
        <f>'Historical Financials'!N108</f>
        <v>-3732</v>
      </c>
      <c r="O43" s="134">
        <f>'Historical Financials'!O108</f>
        <v>-3595</v>
      </c>
      <c r="P43" s="134">
        <f>'Historical Financials'!P108</f>
        <v>-3811</v>
      </c>
      <c r="Q43" s="134">
        <f>'Historical Financials'!Q108</f>
        <v>-3703</v>
      </c>
      <c r="R43" s="134">
        <f>'Historical Financials'!R108</f>
        <v>-3768</v>
      </c>
      <c r="S43" s="134">
        <f>'Historical Financials'!S108</f>
        <v>-3650</v>
      </c>
      <c r="T43" s="134">
        <f>'Historical Financials'!T108</f>
        <v>-3849</v>
      </c>
      <c r="U43" s="134">
        <f>'Historical Financials'!U108</f>
        <v>-3608</v>
      </c>
      <c r="V43" s="134">
        <f>'Historical Financials'!V108</f>
        <v>-3825</v>
      </c>
      <c r="W43" s="134">
        <f>'Historical Financials'!W108</f>
        <v>-3710</v>
      </c>
      <c r="X43" s="134">
        <f>'Historical Financials'!X108</f>
        <v>-3895</v>
      </c>
      <c r="Y43" s="134">
        <f>'Historical Financials'!Y108</f>
        <v>-3804</v>
      </c>
      <c r="Z43" s="134">
        <f>'Historical Financials'!Z108</f>
        <v>-3856</v>
      </c>
      <c r="AA43" s="134">
        <f>'Historical Financials'!AA108</f>
        <v>-3758</v>
      </c>
      <c r="AB43" s="134">
        <f>'Historical Financials'!AB108</f>
        <v>-3945</v>
      </c>
      <c r="AC43" s="134">
        <f>'Historical Financials'!AC108</f>
        <v>-3862</v>
      </c>
      <c r="AE43" s="34"/>
      <c r="AF43" s="34"/>
      <c r="AG43" s="34"/>
      <c r="AH43" s="34"/>
      <c r="AI43" s="34"/>
      <c r="AJ43" s="34"/>
      <c r="AK43" s="34">
        <f t="shared" ref="AK43" si="111">SUM(T43:W43)</f>
        <v>-14992</v>
      </c>
      <c r="AL43" s="34">
        <f t="shared" ref="AL43" si="112">SUM(U43:X43)</f>
        <v>-15038</v>
      </c>
      <c r="AM43" s="34">
        <f t="shared" ref="AM43" si="113">SUM(V43:Y43)</f>
        <v>-15234</v>
      </c>
      <c r="AN43" s="34">
        <f t="shared" ref="AN43" si="114">SUM(W43:Z43)</f>
        <v>-15265</v>
      </c>
      <c r="AO43" s="34">
        <f>SUM(X43:AA43)</f>
        <v>-15313</v>
      </c>
      <c r="AP43" s="34">
        <f>SUM(Y43:AB43)</f>
        <v>-15363</v>
      </c>
      <c r="AQ43" s="34">
        <f>SUM(Z43:AC43)</f>
        <v>-15421</v>
      </c>
    </row>
    <row r="44" spans="1:45" ht="12.75" customHeight="1">
      <c r="B44" s="33" t="s">
        <v>110</v>
      </c>
      <c r="C44" s="34"/>
      <c r="D44" s="34"/>
      <c r="E44" s="34"/>
      <c r="F44" s="34"/>
      <c r="G44" s="34"/>
      <c r="H44" s="34">
        <f>SUM(H49-G49)-SUM(H36:H43)</f>
        <v>2948</v>
      </c>
      <c r="I44" s="34">
        <f>SUM(I49-H49)-SUM(I36:I43)</f>
        <v>-3221</v>
      </c>
      <c r="J44" s="34">
        <f>SUM(J49-I49)-SUM(J36:J43)</f>
        <v>-2653.8919999999925</v>
      </c>
      <c r="K44" s="34">
        <f>SUM(K49-J49)-SUM(K36:K43)</f>
        <v>-10674</v>
      </c>
      <c r="L44" s="34">
        <f>SUM(L49-K49)-SUM(L36:L43)</f>
        <v>16169</v>
      </c>
      <c r="M44" s="34"/>
      <c r="N44" s="34">
        <f>SUM(N49-H49)-SUM(N36:N43)</f>
        <v>-3714</v>
      </c>
      <c r="O44" s="34">
        <f t="shared" ref="O44:AC44" si="115">SUM(O49-N49)-SUM(O36:O43)</f>
        <v>79</v>
      </c>
      <c r="P44" s="34">
        <f t="shared" si="115"/>
        <v>-1572</v>
      </c>
      <c r="Q44" s="34">
        <f t="shared" si="115"/>
        <v>1986</v>
      </c>
      <c r="R44" s="34">
        <f t="shared" si="115"/>
        <v>-7617</v>
      </c>
      <c r="S44" s="34">
        <f t="shared" si="115"/>
        <v>-1824</v>
      </c>
      <c r="T44" s="34">
        <f t="shared" si="115"/>
        <v>-1679</v>
      </c>
      <c r="U44" s="34">
        <f t="shared" si="115"/>
        <v>8466.1080000000002</v>
      </c>
      <c r="V44" s="34">
        <f t="shared" si="115"/>
        <v>-3270</v>
      </c>
      <c r="W44" s="34">
        <f t="shared" si="115"/>
        <v>1648</v>
      </c>
      <c r="X44" s="34">
        <f t="shared" si="115"/>
        <v>-1389</v>
      </c>
      <c r="Y44" s="34">
        <f t="shared" si="115"/>
        <v>-7663</v>
      </c>
      <c r="Z44" s="34">
        <f t="shared" si="115"/>
        <v>7184</v>
      </c>
      <c r="AA44" s="34">
        <f t="shared" si="115"/>
        <v>7689</v>
      </c>
      <c r="AB44" s="34">
        <f t="shared" si="115"/>
        <v>-1174</v>
      </c>
      <c r="AC44" s="34">
        <f t="shared" si="115"/>
        <v>2470</v>
      </c>
      <c r="AE44" s="34">
        <f t="shared" ref="AE44" si="116">SUM(N44:Q44)</f>
        <v>-3221</v>
      </c>
      <c r="AF44" s="34">
        <f>SUM(O44:R44)</f>
        <v>-7124</v>
      </c>
      <c r="AG44" s="34">
        <f>SUM(P44:S44)</f>
        <v>-9027</v>
      </c>
      <c r="AH44" s="34">
        <f>SUM(Q44:T44)</f>
        <v>-9134</v>
      </c>
      <c r="AI44" s="34">
        <f>SUM(R44:U44)</f>
        <v>-2653.8919999999998</v>
      </c>
      <c r="AJ44" s="34">
        <f>SUM(S44:V44)</f>
        <v>1693.1080000000002</v>
      </c>
      <c r="AK44" s="34">
        <f>SUM(T44:W44)</f>
        <v>5165.1080000000002</v>
      </c>
      <c r="AL44" s="34">
        <f>SUM(U44:X44)</f>
        <v>5455.1080000000002</v>
      </c>
      <c r="AM44" s="34">
        <f>SUM(V44:Y44)</f>
        <v>-10674</v>
      </c>
      <c r="AN44" s="34">
        <f>SUM(W44:Z44)</f>
        <v>-220</v>
      </c>
      <c r="AO44" s="34">
        <f>SUM(X44:AA44)</f>
        <v>5821</v>
      </c>
      <c r="AP44" s="34">
        <f>SUM(Y44:AB44)</f>
        <v>6036</v>
      </c>
      <c r="AQ44" s="34">
        <f>SUM(Z44:AC44)</f>
        <v>16169</v>
      </c>
    </row>
    <row r="45" spans="1:45" ht="12.75" customHeight="1">
      <c r="B45" s="14" t="s">
        <v>60</v>
      </c>
      <c r="C45" s="15">
        <f t="shared" ref="C45:F45" si="117">SUM(C36+SUM(C38:C44))</f>
        <v>-723</v>
      </c>
      <c r="D45" s="15">
        <f t="shared" si="117"/>
        <v>-4765</v>
      </c>
      <c r="E45" s="15">
        <f t="shared" si="117"/>
        <v>39834</v>
      </c>
      <c r="F45" s="15">
        <f t="shared" si="117"/>
        <v>18837</v>
      </c>
      <c r="G45" s="15">
        <f>SUM(G36+SUM(G38:G44))</f>
        <v>-8465</v>
      </c>
      <c r="H45" s="15">
        <f>SUM(H36+SUM(H38:H44))</f>
        <v>-3076</v>
      </c>
      <c r="I45" s="15">
        <f>SUM(I36+SUM(I38:I44))</f>
        <v>-11294</v>
      </c>
      <c r="J45" s="15">
        <f>SUM(J36+SUM(J38:J44))</f>
        <v>6319</v>
      </c>
      <c r="K45" s="15">
        <f>SUM(K36+SUM(K38:K44))</f>
        <v>-22</v>
      </c>
      <c r="L45" s="15">
        <f>SUM(L36+SUM(L38:L44))</f>
        <v>5991</v>
      </c>
      <c r="N45" s="15">
        <f t="shared" ref="N45:AB45" si="118">SUM(N36+SUM(N38:N44))</f>
        <v>2179</v>
      </c>
      <c r="O45" s="15">
        <f t="shared" si="118"/>
        <v>-9021</v>
      </c>
      <c r="P45" s="15">
        <f t="shared" si="118"/>
        <v>-596</v>
      </c>
      <c r="Q45" s="15">
        <f t="shared" si="118"/>
        <v>-3856</v>
      </c>
      <c r="R45" s="15">
        <f t="shared" si="118"/>
        <v>-3111</v>
      </c>
      <c r="S45" s="15">
        <f t="shared" si="118"/>
        <v>4152</v>
      </c>
      <c r="T45" s="15">
        <f t="shared" si="118"/>
        <v>3721</v>
      </c>
      <c r="U45" s="15">
        <f t="shared" si="118"/>
        <v>1557</v>
      </c>
      <c r="V45" s="15">
        <f t="shared" si="118"/>
        <v>10795</v>
      </c>
      <c r="W45" s="15">
        <f t="shared" si="118"/>
        <v>-8065</v>
      </c>
      <c r="X45" s="15">
        <f t="shared" si="118"/>
        <v>-7130</v>
      </c>
      <c r="Y45" s="15">
        <f t="shared" si="118"/>
        <v>4378</v>
      </c>
      <c r="Z45" s="15">
        <f t="shared" si="118"/>
        <v>356</v>
      </c>
      <c r="AA45" s="15">
        <f t="shared" si="118"/>
        <v>-2137</v>
      </c>
      <c r="AB45" s="15">
        <f t="shared" si="118"/>
        <v>8107</v>
      </c>
      <c r="AC45" s="15">
        <f t="shared" ref="AC45" si="119">SUM(AC36+SUM(AC38:AC44))</f>
        <v>-335</v>
      </c>
      <c r="AE45" s="15">
        <f t="shared" ref="AE45:AP45" si="120">SUM(AE36+SUM(AE38:AE44))</f>
        <v>3547</v>
      </c>
      <c r="AF45" s="15">
        <f t="shared" si="120"/>
        <v>-1707</v>
      </c>
      <c r="AG45" s="15">
        <f t="shared" si="120"/>
        <v>11521</v>
      </c>
      <c r="AH45" s="15">
        <f t="shared" si="120"/>
        <v>15876</v>
      </c>
      <c r="AI45" s="15">
        <f t="shared" si="120"/>
        <v>21194</v>
      </c>
      <c r="AJ45" s="15">
        <f t="shared" si="120"/>
        <v>35156.999999999993</v>
      </c>
      <c r="AK45" s="15">
        <f t="shared" si="120"/>
        <v>8008</v>
      </c>
      <c r="AL45" s="15">
        <f t="shared" si="120"/>
        <v>-2843</v>
      </c>
      <c r="AM45" s="15">
        <f t="shared" si="120"/>
        <v>-22</v>
      </c>
      <c r="AN45" s="15">
        <f t="shared" si="120"/>
        <v>-10461</v>
      </c>
      <c r="AO45" s="15">
        <f t="shared" si="120"/>
        <v>-4533</v>
      </c>
      <c r="AP45" s="15">
        <f t="shared" si="120"/>
        <v>10704</v>
      </c>
      <c r="AQ45" s="15">
        <f t="shared" ref="AQ45" si="121">SUM(AQ36+SUM(AQ38:AQ44))</f>
        <v>5991</v>
      </c>
    </row>
    <row r="46" spans="1:45" ht="5.0999999999999996" customHeight="1"/>
    <row r="47" spans="1:45" ht="12.75" customHeight="1">
      <c r="A47" s="5"/>
      <c r="B47" s="35" t="s">
        <v>61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</row>
    <row r="48" spans="1:45" ht="5.0999999999999996" customHeight="1"/>
    <row r="49" spans="2:43" ht="12.75" customHeight="1">
      <c r="B49" s="8" t="s">
        <v>62</v>
      </c>
      <c r="C49" s="134">
        <f>'Historical Financials'!C39</f>
        <v>20484</v>
      </c>
      <c r="D49" s="134">
        <f>'Historical Financials'!D39</f>
        <v>20289</v>
      </c>
      <c r="E49" s="134">
        <f>'Historical Financials'!E39</f>
        <v>25913</v>
      </c>
      <c r="F49" s="134">
        <f>'Historical Financials'!F39</f>
        <v>48844</v>
      </c>
      <c r="G49" s="134">
        <f>'Historical Financials'!G39</f>
        <v>38016</v>
      </c>
      <c r="H49" s="134">
        <f>'Historical Financials'!H39</f>
        <v>34940</v>
      </c>
      <c r="I49" s="134">
        <f>'Historical Financials'!I39</f>
        <v>23646</v>
      </c>
      <c r="J49" s="134">
        <f>'Historical Financials'!J39</f>
        <v>29965</v>
      </c>
      <c r="K49" s="134">
        <f>'Historical Financials'!K39</f>
        <v>29943</v>
      </c>
      <c r="L49" s="134">
        <f>'Historical Financials'!L39</f>
        <v>35934</v>
      </c>
      <c r="M49" s="34"/>
      <c r="N49" s="134">
        <f>'Historical Financials'!N39</f>
        <v>37119</v>
      </c>
      <c r="O49" s="134">
        <f>'Historical Financials'!O39</f>
        <v>28098</v>
      </c>
      <c r="P49" s="134">
        <f>'Historical Financials'!P39</f>
        <v>27502</v>
      </c>
      <c r="Q49" s="134">
        <f>'Historical Financials'!Q39</f>
        <v>23646</v>
      </c>
      <c r="R49" s="134">
        <f>'Historical Financials'!R39</f>
        <v>20535</v>
      </c>
      <c r="S49" s="134">
        <f>'Historical Financials'!S39</f>
        <v>24687</v>
      </c>
      <c r="T49" s="134">
        <f>'Historical Financials'!T39</f>
        <v>28408</v>
      </c>
      <c r="U49" s="134">
        <f>'Historical Financials'!U39</f>
        <v>29965</v>
      </c>
      <c r="V49" s="134">
        <f>'Historical Financials'!V39</f>
        <v>40760</v>
      </c>
      <c r="W49" s="134">
        <f>'Historical Financials'!W39</f>
        <v>32695</v>
      </c>
      <c r="X49" s="134">
        <f>'Historical Financials'!X39</f>
        <v>25565</v>
      </c>
      <c r="Y49" s="134">
        <f>'Historical Financials'!Y39</f>
        <v>29943</v>
      </c>
      <c r="Z49" s="134">
        <f>'Historical Financials'!Z39</f>
        <v>30299</v>
      </c>
      <c r="AA49" s="134">
        <f>'Historical Financials'!AA39</f>
        <v>28162</v>
      </c>
      <c r="AB49" s="134">
        <f>'Historical Financials'!AB39</f>
        <v>36269</v>
      </c>
      <c r="AC49" s="134">
        <f>'Historical Financials'!AC39</f>
        <v>35934</v>
      </c>
      <c r="AE49" s="11">
        <f>Q49</f>
        <v>23646</v>
      </c>
      <c r="AF49" s="11">
        <f>R49</f>
        <v>20535</v>
      </c>
      <c r="AG49" s="11">
        <f>S49</f>
        <v>24687</v>
      </c>
      <c r="AH49" s="11">
        <f>T49</f>
        <v>28408</v>
      </c>
      <c r="AI49" s="11">
        <f>U49</f>
        <v>29965</v>
      </c>
      <c r="AJ49" s="11">
        <f>V49</f>
        <v>40760</v>
      </c>
      <c r="AK49" s="11">
        <f>W49</f>
        <v>32695</v>
      </c>
      <c r="AL49" s="11">
        <f>X49</f>
        <v>25565</v>
      </c>
      <c r="AM49" s="11">
        <f>Y49</f>
        <v>29943</v>
      </c>
      <c r="AN49" s="11">
        <f>Z49</f>
        <v>30299</v>
      </c>
      <c r="AO49" s="11">
        <f>AA49</f>
        <v>28162</v>
      </c>
      <c r="AP49" s="11">
        <f>AB49</f>
        <v>36269</v>
      </c>
      <c r="AQ49" s="11">
        <f>AC49</f>
        <v>35934</v>
      </c>
    </row>
    <row r="50" spans="2:43" ht="12.75" customHeight="1">
      <c r="B50" s="8" t="s">
        <v>349</v>
      </c>
      <c r="C50" s="134">
        <f>'Historical Financials'!C40</f>
        <v>46671</v>
      </c>
      <c r="D50" s="134">
        <f>'Historical Financials'!D40</f>
        <v>53892</v>
      </c>
      <c r="E50" s="134">
        <f>'Historical Financials'!E40</f>
        <v>40388</v>
      </c>
      <c r="F50" s="134">
        <f>'Historical Financials'!F40</f>
        <v>51713</v>
      </c>
      <c r="G50" s="134">
        <f>'Historical Financials'!G40</f>
        <v>52927</v>
      </c>
      <c r="H50" s="134">
        <f>'Historical Financials'!H40</f>
        <v>27699</v>
      </c>
      <c r="I50" s="134">
        <f>'Historical Financials'!I40</f>
        <v>24658</v>
      </c>
      <c r="J50" s="134">
        <f>'Historical Financials'!J40</f>
        <v>31590</v>
      </c>
      <c r="K50" s="134">
        <f>'Historical Financials'!K40</f>
        <v>35228</v>
      </c>
      <c r="L50" s="134">
        <f>'Historical Financials'!L40</f>
        <v>18763</v>
      </c>
      <c r="M50" s="34"/>
      <c r="N50" s="134">
        <f>'Historical Financials'!N40</f>
        <v>26794</v>
      </c>
      <c r="O50" s="134">
        <f>'Historical Financials'!O40</f>
        <v>23413</v>
      </c>
      <c r="P50" s="134">
        <f>'Historical Financials'!P40</f>
        <v>20729</v>
      </c>
      <c r="Q50" s="134">
        <f>'Historical Financials'!Q40</f>
        <v>24658</v>
      </c>
      <c r="R50" s="134">
        <f>'Historical Financials'!R40</f>
        <v>30820</v>
      </c>
      <c r="S50" s="134">
        <f>'Historical Financials'!S40</f>
        <v>31185</v>
      </c>
      <c r="T50" s="134">
        <f>'Historical Financials'!T40</f>
        <v>34074</v>
      </c>
      <c r="U50" s="134">
        <f>'Historical Financials'!U40</f>
        <v>31590</v>
      </c>
      <c r="V50" s="134">
        <f>'Historical Financials'!V40</f>
        <v>32340</v>
      </c>
      <c r="W50" s="134">
        <f>'Historical Financials'!W40</f>
        <v>34455</v>
      </c>
      <c r="X50" s="134">
        <f>'Historical Financials'!X40</f>
        <v>36236</v>
      </c>
      <c r="Y50" s="134">
        <f>'Historical Financials'!Y40</f>
        <v>35228</v>
      </c>
      <c r="Z50" s="134">
        <f>'Historical Financials'!Z40</f>
        <v>23476</v>
      </c>
      <c r="AA50" s="134">
        <f>'Historical Financials'!AA40</f>
        <v>20336</v>
      </c>
      <c r="AB50" s="134">
        <f>'Historical Financials'!AB40</f>
        <v>19103</v>
      </c>
      <c r="AC50" s="134">
        <f>'Historical Financials'!AC40</f>
        <v>18763</v>
      </c>
      <c r="AE50" s="11">
        <f>Q50</f>
        <v>24658</v>
      </c>
      <c r="AF50" s="11">
        <f>R50</f>
        <v>30820</v>
      </c>
      <c r="AG50" s="11">
        <f>S50</f>
        <v>31185</v>
      </c>
      <c r="AH50" s="11">
        <f>T50</f>
        <v>34074</v>
      </c>
      <c r="AI50" s="11">
        <f>U50</f>
        <v>31590</v>
      </c>
      <c r="AJ50" s="11">
        <f>V50</f>
        <v>32340</v>
      </c>
      <c r="AK50" s="11">
        <f>W50</f>
        <v>34455</v>
      </c>
      <c r="AL50" s="11">
        <f>X50</f>
        <v>36236</v>
      </c>
      <c r="AM50" s="11">
        <f>Y50</f>
        <v>35228</v>
      </c>
      <c r="AN50" s="11">
        <f>Z50</f>
        <v>23476</v>
      </c>
      <c r="AO50" s="11">
        <f>AA50</f>
        <v>20336</v>
      </c>
      <c r="AP50" s="11">
        <f>AB50</f>
        <v>19103</v>
      </c>
      <c r="AQ50" s="11">
        <f>AC50</f>
        <v>18763</v>
      </c>
    </row>
    <row r="51" spans="2:43" ht="12.75" customHeight="1">
      <c r="B51" s="8" t="s">
        <v>350</v>
      </c>
      <c r="C51" s="134">
        <f>'Historical Financials'!C47</f>
        <v>170430</v>
      </c>
      <c r="D51" s="134">
        <f>'Historical Financials'!D47</f>
        <v>194714</v>
      </c>
      <c r="E51" s="134">
        <f>'Historical Financials'!E47</f>
        <v>170799</v>
      </c>
      <c r="F51" s="134">
        <f>'Historical Financials'!F47</f>
        <v>105341</v>
      </c>
      <c r="G51" s="134">
        <f>'Historical Financials'!G47</f>
        <v>100887</v>
      </c>
      <c r="H51" s="134">
        <f>'Historical Financials'!H47</f>
        <v>127877</v>
      </c>
      <c r="I51" s="134">
        <f>'Historical Financials'!I47</f>
        <v>120805</v>
      </c>
      <c r="J51" s="134">
        <f>'Historical Financials'!J47</f>
        <v>100544</v>
      </c>
      <c r="K51" s="134">
        <f>'Historical Financials'!K47</f>
        <v>91479</v>
      </c>
      <c r="L51" s="134">
        <f>'Historical Financials'!L47</f>
        <v>77723</v>
      </c>
      <c r="M51" s="134"/>
      <c r="N51" s="134">
        <f>'Historical Financials'!N47</f>
        <v>138683</v>
      </c>
      <c r="O51" s="134">
        <f>'Historical Financials'!O47</f>
        <v>141219</v>
      </c>
      <c r="P51" s="134">
        <f>'Historical Financials'!P47</f>
        <v>131077</v>
      </c>
      <c r="Q51" s="134">
        <f>'Historical Financials'!Q47</f>
        <v>120805</v>
      </c>
      <c r="R51" s="134">
        <f>'Historical Financials'!R47</f>
        <v>114095</v>
      </c>
      <c r="S51" s="134">
        <f>'Historical Financials'!S47</f>
        <v>110461</v>
      </c>
      <c r="T51" s="134">
        <f>'Historical Financials'!T47</f>
        <v>104061</v>
      </c>
      <c r="U51" s="134">
        <f>'Historical Financials'!U47</f>
        <v>100544</v>
      </c>
      <c r="V51" s="134">
        <f>'Historical Financials'!V47</f>
        <v>99475</v>
      </c>
      <c r="W51" s="134">
        <f>'Historical Financials'!W47</f>
        <v>95187</v>
      </c>
      <c r="X51" s="134">
        <f>'Historical Financials'!X47</f>
        <v>91240</v>
      </c>
      <c r="Y51" s="134">
        <f>'Historical Financials'!Y47</f>
        <v>91479</v>
      </c>
      <c r="Z51" s="134">
        <f>'Historical Financials'!Z47</f>
        <v>87593</v>
      </c>
      <c r="AA51" s="134">
        <f>'Historical Financials'!AA47</f>
        <v>84424</v>
      </c>
      <c r="AB51" s="134">
        <f>'Historical Financials'!AB47</f>
        <v>77614</v>
      </c>
      <c r="AC51" s="134">
        <f>'Historical Financials'!AC47</f>
        <v>77723</v>
      </c>
      <c r="AE51" s="11">
        <f>Q51</f>
        <v>120805</v>
      </c>
      <c r="AF51" s="11">
        <f>R51</f>
        <v>114095</v>
      </c>
      <c r="AG51" s="11">
        <f>S51</f>
        <v>110461</v>
      </c>
      <c r="AH51" s="11">
        <f>T51</f>
        <v>104061</v>
      </c>
      <c r="AI51" s="11">
        <f>U51</f>
        <v>100544</v>
      </c>
      <c r="AJ51" s="11">
        <f>V51</f>
        <v>99475</v>
      </c>
      <c r="AK51" s="11">
        <f>W51</f>
        <v>95187</v>
      </c>
      <c r="AL51" s="11">
        <f>X51</f>
        <v>91240</v>
      </c>
      <c r="AM51" s="11">
        <f>Y51</f>
        <v>91479</v>
      </c>
      <c r="AN51" s="11">
        <f>Z51</f>
        <v>87593</v>
      </c>
      <c r="AO51" s="11">
        <f>AA51</f>
        <v>84424</v>
      </c>
      <c r="AP51" s="11">
        <f>AB51</f>
        <v>77614</v>
      </c>
      <c r="AQ51" s="11">
        <f>AC51</f>
        <v>77723</v>
      </c>
    </row>
    <row r="52" spans="2:43" ht="12.75" customHeight="1">
      <c r="B52" s="14" t="s">
        <v>63</v>
      </c>
      <c r="C52" s="15">
        <f t="shared" ref="C52:F52" si="122">SUM(C49:C51)</f>
        <v>237585</v>
      </c>
      <c r="D52" s="15">
        <f t="shared" si="122"/>
        <v>268895</v>
      </c>
      <c r="E52" s="15">
        <f t="shared" si="122"/>
        <v>237100</v>
      </c>
      <c r="F52" s="15">
        <f t="shared" si="122"/>
        <v>205898</v>
      </c>
      <c r="G52" s="15">
        <f>SUM(G49:G51)</f>
        <v>191830</v>
      </c>
      <c r="H52" s="15">
        <f t="shared" ref="H52:K52" si="123">SUM(H49:H51)</f>
        <v>190516</v>
      </c>
      <c r="I52" s="15">
        <f t="shared" si="123"/>
        <v>169109</v>
      </c>
      <c r="J52" s="15">
        <f t="shared" si="123"/>
        <v>162099</v>
      </c>
      <c r="K52" s="15">
        <f t="shared" si="123"/>
        <v>156650</v>
      </c>
      <c r="L52" s="15">
        <f t="shared" ref="L52" si="124">SUM(L49:L51)</f>
        <v>132420</v>
      </c>
      <c r="M52" s="34"/>
      <c r="N52" s="15">
        <f t="shared" ref="N52" si="125">SUM(N49:N51)</f>
        <v>202596</v>
      </c>
      <c r="O52" s="15">
        <f t="shared" ref="O52" si="126">SUM(O49:O51)</f>
        <v>192730</v>
      </c>
      <c r="P52" s="15">
        <f t="shared" ref="P52" si="127">SUM(P49:P51)</f>
        <v>179308</v>
      </c>
      <c r="Q52" s="15">
        <f t="shared" ref="Q52" si="128">SUM(Q49:Q51)</f>
        <v>169109</v>
      </c>
      <c r="R52" s="15">
        <f t="shared" ref="R52" si="129">SUM(R49:R51)</f>
        <v>165450</v>
      </c>
      <c r="S52" s="15">
        <f t="shared" ref="S52" si="130">SUM(S49:S51)</f>
        <v>166333</v>
      </c>
      <c r="T52" s="15">
        <f t="shared" ref="T52" si="131">SUM(T49:T51)</f>
        <v>166543</v>
      </c>
      <c r="U52" s="15">
        <f t="shared" ref="U52" si="132">SUM(U49:U51)</f>
        <v>162099</v>
      </c>
      <c r="V52" s="15">
        <f t="shared" ref="V52" si="133">SUM(V49:V51)</f>
        <v>172575</v>
      </c>
      <c r="W52" s="15">
        <f t="shared" ref="W52" si="134">SUM(W49:W51)</f>
        <v>162337</v>
      </c>
      <c r="X52" s="15">
        <f t="shared" ref="X52" si="135">SUM(X49:X51)</f>
        <v>153041</v>
      </c>
      <c r="Y52" s="15">
        <f t="shared" ref="Y52" si="136">SUM(Y49:Y51)</f>
        <v>156650</v>
      </c>
      <c r="Z52" s="15">
        <f t="shared" ref="Z52" si="137">SUM(Z49:Z51)</f>
        <v>141368</v>
      </c>
      <c r="AA52" s="15">
        <f t="shared" ref="AA52" si="138">SUM(AA49:AA51)</f>
        <v>132922</v>
      </c>
      <c r="AB52" s="15">
        <f t="shared" ref="AB52" si="139">SUM(AB49:AB51)</f>
        <v>132986</v>
      </c>
      <c r="AC52" s="15">
        <f t="shared" ref="AC52" si="140">SUM(AC49:AC51)</f>
        <v>132420</v>
      </c>
      <c r="AE52" s="15">
        <f t="shared" ref="AE52" si="141">SUM(AE49:AE51)</f>
        <v>169109</v>
      </c>
      <c r="AF52" s="15">
        <f t="shared" ref="AF52" si="142">SUM(AF49:AF51)</f>
        <v>165450</v>
      </c>
      <c r="AG52" s="15">
        <f t="shared" ref="AG52" si="143">SUM(AG49:AG51)</f>
        <v>166333</v>
      </c>
      <c r="AH52" s="15">
        <f t="shared" ref="AH52" si="144">SUM(AH49:AH51)</f>
        <v>166543</v>
      </c>
      <c r="AI52" s="15">
        <f t="shared" ref="AI52" si="145">SUM(AI49:AI51)</f>
        <v>162099</v>
      </c>
      <c r="AJ52" s="15">
        <f t="shared" ref="AJ52" si="146">SUM(AJ49:AJ51)</f>
        <v>172575</v>
      </c>
      <c r="AK52" s="15">
        <f t="shared" ref="AK52" si="147">SUM(AK49:AK51)</f>
        <v>162337</v>
      </c>
      <c r="AL52" s="15">
        <f t="shared" ref="AL52" si="148">SUM(AL49:AL51)</f>
        <v>153041</v>
      </c>
      <c r="AM52" s="15">
        <f t="shared" ref="AM52" si="149">SUM(AM49:AM51)</f>
        <v>156650</v>
      </c>
      <c r="AN52" s="15">
        <f t="shared" ref="AN52" si="150">SUM(AN49:AN51)</f>
        <v>141368</v>
      </c>
      <c r="AO52" s="15">
        <f t="shared" ref="AO52" si="151">SUM(AO49:AO51)</f>
        <v>132922</v>
      </c>
      <c r="AP52" s="15">
        <f t="shared" ref="AP52:AQ52" si="152">SUM(AP49:AP51)</f>
        <v>132986</v>
      </c>
      <c r="AQ52" s="15">
        <f t="shared" si="152"/>
        <v>132420</v>
      </c>
    </row>
    <row r="53" spans="2:43" ht="5.0999999999999996" customHeight="1"/>
    <row r="54" spans="2:43" ht="12.75" customHeight="1">
      <c r="B54" s="37" t="s">
        <v>64</v>
      </c>
    </row>
    <row r="55" spans="2:43" ht="12.75" customHeight="1">
      <c r="B55" s="8" t="s">
        <v>65</v>
      </c>
      <c r="C55" s="134">
        <f>'Historical Financials'!C41</f>
        <v>15754</v>
      </c>
      <c r="D55" s="134">
        <f>'Historical Financials'!D41</f>
        <v>17874</v>
      </c>
      <c r="E55" s="134">
        <f>'Historical Financials'!E41</f>
        <v>23186</v>
      </c>
      <c r="F55" s="134">
        <f>'Historical Financials'!F41</f>
        <v>22926</v>
      </c>
      <c r="G55" s="134">
        <f>'Historical Financials'!G41</f>
        <v>16120</v>
      </c>
      <c r="H55" s="134">
        <f>'Historical Financials'!H41</f>
        <v>26278</v>
      </c>
      <c r="I55" s="134">
        <f>'Historical Financials'!I41</f>
        <v>28184</v>
      </c>
      <c r="J55" s="134">
        <f>'Historical Financials'!J41</f>
        <v>29508</v>
      </c>
      <c r="K55" s="134">
        <f>'Historical Financials'!K41</f>
        <v>66243</v>
      </c>
      <c r="L55" s="134">
        <f>'Historical Financials'!L41</f>
        <v>39777</v>
      </c>
      <c r="N55" s="134">
        <f>'Historical Financials'!N41</f>
        <v>30213</v>
      </c>
      <c r="O55" s="134">
        <f>'Historical Financials'!O41</f>
        <v>20815</v>
      </c>
      <c r="P55" s="134">
        <f>'Historical Financials'!P41</f>
        <v>21803</v>
      </c>
      <c r="Q55" s="134">
        <f>'Historical Financials'!Q41</f>
        <v>28184</v>
      </c>
      <c r="R55" s="134">
        <f>'Historical Financials'!R41</f>
        <v>23752</v>
      </c>
      <c r="S55" s="134">
        <f>'Historical Financials'!S41</f>
        <v>17936</v>
      </c>
      <c r="T55" s="134">
        <f>'Historical Financials'!T41</f>
        <v>19549</v>
      </c>
      <c r="U55" s="134">
        <f>'Historical Financials'!U41</f>
        <v>29508</v>
      </c>
      <c r="V55" s="134">
        <f>'Historical Financials'!V41</f>
        <v>23194</v>
      </c>
      <c r="W55" s="134">
        <f>'Historical Financials'!W41</f>
        <v>21837</v>
      </c>
      <c r="X55" s="134">
        <f>'Historical Financials'!X41</f>
        <v>22795</v>
      </c>
      <c r="Y55" s="134">
        <f>'Historical Financials'!Y41</f>
        <v>66243</v>
      </c>
      <c r="Z55" s="134">
        <f>'Historical Financials'!Z41</f>
        <v>29639</v>
      </c>
      <c r="AA55" s="134">
        <f>'Historical Financials'!AA41</f>
        <v>49798</v>
      </c>
      <c r="AB55" s="134">
        <f>'Historical Financials'!AB41</f>
        <v>46835</v>
      </c>
      <c r="AC55" s="134">
        <f>'Historical Financials'!AC41</f>
        <v>39777</v>
      </c>
      <c r="AD55" s="11"/>
      <c r="AE55" s="11">
        <f>Q55</f>
        <v>28184</v>
      </c>
      <c r="AF55" s="11">
        <f>R55</f>
        <v>23752</v>
      </c>
      <c r="AG55" s="11">
        <f>S55</f>
        <v>17936</v>
      </c>
      <c r="AH55" s="11">
        <f>T55</f>
        <v>19549</v>
      </c>
      <c r="AI55" s="11">
        <f>U55</f>
        <v>29508</v>
      </c>
      <c r="AJ55" s="11">
        <f>V55</f>
        <v>23194</v>
      </c>
      <c r="AK55" s="11">
        <f>W55</f>
        <v>21837</v>
      </c>
      <c r="AL55" s="11">
        <f>X55</f>
        <v>22795</v>
      </c>
      <c r="AM55" s="11">
        <f>Y55</f>
        <v>66243</v>
      </c>
      <c r="AN55" s="11">
        <f>Z55</f>
        <v>29639</v>
      </c>
      <c r="AO55" s="11">
        <f>AA55</f>
        <v>49798</v>
      </c>
      <c r="AP55" s="11">
        <f>AB55</f>
        <v>46835</v>
      </c>
      <c r="AQ55" s="11">
        <f>AC55</f>
        <v>39777</v>
      </c>
    </row>
    <row r="56" spans="2:43" ht="12.75" customHeight="1">
      <c r="B56" s="8" t="s">
        <v>66</v>
      </c>
      <c r="C56" s="134">
        <f>'Historical Financials'!C51</f>
        <v>37294</v>
      </c>
      <c r="D56" s="134">
        <f>'Historical Financials'!D51</f>
        <v>44242</v>
      </c>
      <c r="E56" s="134">
        <f>'Historical Financials'!E51</f>
        <v>55888</v>
      </c>
      <c r="F56" s="134">
        <f>'Historical Financials'!F51</f>
        <v>46236</v>
      </c>
      <c r="G56" s="134">
        <f>'Historical Financials'!G51</f>
        <v>42296</v>
      </c>
      <c r="H56" s="134">
        <f>'Historical Financials'!H51</f>
        <v>54763</v>
      </c>
      <c r="I56" s="134">
        <f>'Historical Financials'!I51</f>
        <v>64115</v>
      </c>
      <c r="J56" s="134">
        <f>'Historical Financials'!J51</f>
        <v>62611</v>
      </c>
      <c r="K56" s="134">
        <f>'Historical Financials'!K51</f>
        <v>68960</v>
      </c>
      <c r="L56" s="134">
        <f>'Historical Financials'!L51</f>
        <v>69860</v>
      </c>
      <c r="M56" s="134"/>
      <c r="N56" s="134">
        <f>'Historical Financials'!N51</f>
        <v>74362</v>
      </c>
      <c r="O56" s="134">
        <f>'Historical Financials'!O51</f>
        <v>52682</v>
      </c>
      <c r="P56" s="134">
        <f>'Historical Financials'!P51</f>
        <v>48343</v>
      </c>
      <c r="Q56" s="134">
        <f>'Historical Financials'!Q51</f>
        <v>64115</v>
      </c>
      <c r="R56" s="134">
        <f>'Historical Financials'!R51</f>
        <v>57918</v>
      </c>
      <c r="S56" s="134">
        <f>'Historical Financials'!S51</f>
        <v>42945</v>
      </c>
      <c r="T56" s="134">
        <f>'Historical Financials'!T51</f>
        <v>46699</v>
      </c>
      <c r="U56" s="134">
        <f>'Historical Financials'!U51</f>
        <v>62611</v>
      </c>
      <c r="V56" s="134">
        <f>'Historical Financials'!V51</f>
        <v>58146</v>
      </c>
      <c r="W56" s="134">
        <f>'Historical Financials'!W51</f>
        <v>45753</v>
      </c>
      <c r="X56" s="134">
        <f>'Historical Financials'!X51</f>
        <v>47574</v>
      </c>
      <c r="Y56" s="134">
        <f>'Historical Financials'!Y51</f>
        <v>68960</v>
      </c>
      <c r="Z56" s="134">
        <f>'Historical Financials'!Z51</f>
        <v>61910</v>
      </c>
      <c r="AA56" s="134">
        <f>'Historical Financials'!AA51</f>
        <v>54126</v>
      </c>
      <c r="AB56" s="134">
        <f>'Historical Financials'!AB51</f>
        <v>50374</v>
      </c>
      <c r="AC56" s="134">
        <f>'Historical Financials'!AC51</f>
        <v>69860</v>
      </c>
      <c r="AE56" s="11">
        <f>Q56</f>
        <v>64115</v>
      </c>
      <c r="AF56" s="11">
        <f>R56</f>
        <v>57918</v>
      </c>
      <c r="AG56" s="11">
        <f>S56</f>
        <v>42945</v>
      </c>
      <c r="AH56" s="11">
        <f>T56</f>
        <v>46699</v>
      </c>
      <c r="AI56" s="11">
        <f>U56</f>
        <v>62611</v>
      </c>
      <c r="AJ56" s="11">
        <f>V56</f>
        <v>58146</v>
      </c>
      <c r="AK56" s="11">
        <f>W56</f>
        <v>45753</v>
      </c>
      <c r="AL56" s="11">
        <f>X56</f>
        <v>47574</v>
      </c>
      <c r="AM56" s="11">
        <f>Y56</f>
        <v>68960</v>
      </c>
      <c r="AN56" s="11">
        <f>Z56</f>
        <v>61910</v>
      </c>
      <c r="AO56" s="11">
        <f>AA56</f>
        <v>54126</v>
      </c>
      <c r="AP56" s="11">
        <f>AB56</f>
        <v>50374</v>
      </c>
      <c r="AQ56" s="11">
        <f>AC56</f>
        <v>69860</v>
      </c>
    </row>
    <row r="57" spans="2:43" ht="12.75" customHeight="1">
      <c r="B57" s="8" t="s">
        <v>15</v>
      </c>
      <c r="C57" s="134">
        <f>'Historical Financials'!C42</f>
        <v>2132</v>
      </c>
      <c r="D57" s="134">
        <f>'Historical Financials'!D42</f>
        <v>4855</v>
      </c>
      <c r="E57" s="134">
        <f>'Historical Financials'!E42</f>
        <v>3956</v>
      </c>
      <c r="F57" s="134">
        <f>'Historical Financials'!F42</f>
        <v>4106</v>
      </c>
      <c r="G57" s="134">
        <f>'Historical Financials'!G42</f>
        <v>4061</v>
      </c>
      <c r="H57" s="134">
        <f>'Historical Financials'!H42</f>
        <v>6580</v>
      </c>
      <c r="I57" s="134">
        <f>'Historical Financials'!I42</f>
        <v>4946</v>
      </c>
      <c r="J57" s="134">
        <f>'Historical Financials'!J42</f>
        <v>6331</v>
      </c>
      <c r="K57" s="134">
        <f>'Historical Financials'!K42</f>
        <v>7286</v>
      </c>
      <c r="L57" s="134">
        <f>'Historical Financials'!L42</f>
        <v>5718</v>
      </c>
      <c r="M57" s="134"/>
      <c r="N57" s="134">
        <f>'Historical Financials'!N42</f>
        <v>5876</v>
      </c>
      <c r="O57" s="134">
        <f>'Historical Financials'!O42</f>
        <v>5460</v>
      </c>
      <c r="P57" s="134">
        <f>'Historical Financials'!P42</f>
        <v>5433</v>
      </c>
      <c r="Q57" s="134">
        <f>'Historical Financials'!Q42</f>
        <v>4946</v>
      </c>
      <c r="R57" s="134">
        <f>'Historical Financials'!R42</f>
        <v>6820</v>
      </c>
      <c r="S57" s="134">
        <f>'Historical Financials'!S42</f>
        <v>7482</v>
      </c>
      <c r="T57" s="134">
        <f>'Historical Financials'!T42</f>
        <v>7351</v>
      </c>
      <c r="U57" s="134">
        <f>'Historical Financials'!U42</f>
        <v>6331</v>
      </c>
      <c r="V57" s="134">
        <f>'Historical Financials'!V42</f>
        <v>6511</v>
      </c>
      <c r="W57" s="134">
        <f>'Historical Financials'!W42</f>
        <v>6232</v>
      </c>
      <c r="X57" s="134">
        <f>'Historical Financials'!X42</f>
        <v>6165</v>
      </c>
      <c r="Y57" s="134">
        <f>'Historical Financials'!Y42</f>
        <v>7286</v>
      </c>
      <c r="Z57" s="134">
        <f>'Historical Financials'!Z42</f>
        <v>6911</v>
      </c>
      <c r="AA57" s="134">
        <f>'Historical Financials'!AA42</f>
        <v>6269</v>
      </c>
      <c r="AB57" s="134">
        <f>'Historical Financials'!AB42</f>
        <v>5925</v>
      </c>
      <c r="AC57" s="134">
        <f>'Historical Financials'!AC42</f>
        <v>5718</v>
      </c>
      <c r="AE57" s="11"/>
      <c r="AF57" s="11"/>
      <c r="AG57" s="11"/>
      <c r="AH57" s="11"/>
      <c r="AI57" s="11"/>
      <c r="AJ57" s="11"/>
      <c r="AK57" s="11">
        <f>W57</f>
        <v>6232</v>
      </c>
      <c r="AL57" s="11">
        <f>X57</f>
        <v>6165</v>
      </c>
      <c r="AM57" s="11">
        <f>Y57</f>
        <v>7286</v>
      </c>
      <c r="AN57" s="11">
        <f>Z57</f>
        <v>6911</v>
      </c>
      <c r="AO57" s="11">
        <f>AA57</f>
        <v>6269</v>
      </c>
      <c r="AP57" s="11">
        <f>AB57</f>
        <v>5925</v>
      </c>
      <c r="AQ57" s="11">
        <f>AC57</f>
        <v>5718</v>
      </c>
    </row>
    <row r="58" spans="2:43" ht="12.75" customHeight="1">
      <c r="B58" s="8" t="s">
        <v>67</v>
      </c>
      <c r="C58" s="134">
        <f>'Historical Financials'!C46</f>
        <v>27010</v>
      </c>
      <c r="D58" s="134">
        <f>'Historical Financials'!D46</f>
        <v>33783</v>
      </c>
      <c r="E58" s="134">
        <f>'Historical Financials'!E46</f>
        <v>41304</v>
      </c>
      <c r="F58" s="134">
        <f>'Historical Financials'!F46</f>
        <v>37378</v>
      </c>
      <c r="G58" s="134">
        <f>'Historical Financials'!G46</f>
        <v>36766</v>
      </c>
      <c r="H58" s="134">
        <f>'Historical Financials'!H46</f>
        <v>39440</v>
      </c>
      <c r="I58" s="134">
        <f>'Historical Financials'!I46</f>
        <v>42117</v>
      </c>
      <c r="J58" s="134">
        <f>'Historical Financials'!J46</f>
        <v>43715</v>
      </c>
      <c r="K58" s="134">
        <f>'Historical Financials'!K46</f>
        <v>45680</v>
      </c>
      <c r="L58" s="134">
        <f>'Historical Financials'!L46</f>
        <v>49834</v>
      </c>
      <c r="M58" s="134"/>
      <c r="N58" s="134">
        <f>'Historical Financials'!N46</f>
        <v>39245</v>
      </c>
      <c r="O58" s="134">
        <f>'Historical Financials'!O46</f>
        <v>39304</v>
      </c>
      <c r="P58" s="134">
        <f>'Historical Financials'!P46</f>
        <v>40335</v>
      </c>
      <c r="Q58" s="134">
        <f>'Historical Financials'!Q46</f>
        <v>42117</v>
      </c>
      <c r="R58" s="134">
        <f>'Historical Financials'!R46</f>
        <v>42951</v>
      </c>
      <c r="S58" s="134">
        <f>'Historical Financials'!S46</f>
        <v>43398</v>
      </c>
      <c r="T58" s="134">
        <f>'Historical Financials'!T46</f>
        <v>43550</v>
      </c>
      <c r="U58" s="134">
        <f>'Historical Financials'!U46</f>
        <v>43715</v>
      </c>
      <c r="V58" s="134">
        <f>'Historical Financials'!V46</f>
        <v>43666</v>
      </c>
      <c r="W58" s="134">
        <f>'Historical Financials'!W46</f>
        <v>43546</v>
      </c>
      <c r="X58" s="134">
        <f>'Historical Financials'!X46</f>
        <v>44502</v>
      </c>
      <c r="Y58" s="134">
        <f>'Historical Financials'!Y46</f>
        <v>45680</v>
      </c>
      <c r="Z58" s="134">
        <f>'Historical Financials'!Z46</f>
        <v>46069</v>
      </c>
      <c r="AA58" s="134">
        <f>'Historical Financials'!AA46</f>
        <v>46876</v>
      </c>
      <c r="AB58" s="134">
        <f>'Historical Financials'!AB46</f>
        <v>48508</v>
      </c>
      <c r="AC58" s="134">
        <f>'Historical Financials'!AC46</f>
        <v>49834</v>
      </c>
      <c r="AE58" s="11">
        <f>Q58</f>
        <v>42117</v>
      </c>
      <c r="AF58" s="11">
        <f>R58</f>
        <v>42951</v>
      </c>
      <c r="AG58" s="11">
        <f>S58</f>
        <v>43398</v>
      </c>
      <c r="AH58" s="11">
        <f>T58</f>
        <v>43550</v>
      </c>
      <c r="AI58" s="11">
        <f>U58</f>
        <v>43715</v>
      </c>
      <c r="AJ58" s="11">
        <f>V58</f>
        <v>43666</v>
      </c>
      <c r="AK58" s="11">
        <f>W58</f>
        <v>43546</v>
      </c>
      <c r="AL58" s="11">
        <f>X58</f>
        <v>44502</v>
      </c>
      <c r="AM58" s="11">
        <f>Y58</f>
        <v>45680</v>
      </c>
      <c r="AN58" s="11">
        <f>Z58</f>
        <v>46069</v>
      </c>
      <c r="AO58" s="11">
        <f>AA58</f>
        <v>46876</v>
      </c>
      <c r="AP58" s="11">
        <f>AB58</f>
        <v>48508</v>
      </c>
      <c r="AQ58" s="11">
        <f>AC58</f>
        <v>49834</v>
      </c>
    </row>
    <row r="59" spans="2:43" ht="12.75" customHeight="1">
      <c r="B59" s="8" t="s">
        <v>68</v>
      </c>
      <c r="C59" s="134">
        <f>'Historical Financials'!C60</f>
        <v>193437</v>
      </c>
      <c r="D59" s="134">
        <f>'Historical Financials'!D60</f>
        <v>241272</v>
      </c>
      <c r="E59" s="134">
        <f>'Historical Financials'!E60</f>
        <v>258578</v>
      </c>
      <c r="F59" s="134">
        <f>'Historical Financials'!F60</f>
        <v>248028</v>
      </c>
      <c r="G59" s="134">
        <f>'Historical Financials'!G60</f>
        <v>258549</v>
      </c>
      <c r="H59" s="134">
        <f>'Historical Financials'!H60</f>
        <v>287912</v>
      </c>
      <c r="I59" s="134">
        <f>'Historical Financials'!I60</f>
        <v>302083</v>
      </c>
      <c r="J59" s="134">
        <f>'Historical Financials'!J60</f>
        <v>290437</v>
      </c>
      <c r="K59" s="134">
        <f>'Historical Financials'!K60</f>
        <v>308030</v>
      </c>
      <c r="L59" s="134">
        <f>'Historical Financials'!L60</f>
        <v>285508</v>
      </c>
      <c r="M59" s="134"/>
      <c r="N59" s="134">
        <f>'Historical Financials'!N60</f>
        <v>309259</v>
      </c>
      <c r="O59" s="134">
        <f>'Historical Financials'!O60</f>
        <v>283263</v>
      </c>
      <c r="P59" s="134">
        <f>'Historical Financials'!P60</f>
        <v>278202</v>
      </c>
      <c r="Q59" s="134">
        <f>'Historical Financials'!Q60</f>
        <v>302083</v>
      </c>
      <c r="R59" s="134">
        <f>'Historical Financials'!R60</f>
        <v>290020</v>
      </c>
      <c r="S59" s="134">
        <f>'Historical Financials'!S60</f>
        <v>270002</v>
      </c>
      <c r="T59" s="134">
        <f>'Historical Financials'!T60</f>
        <v>274764</v>
      </c>
      <c r="U59" s="134">
        <f>'Historical Financials'!U60</f>
        <v>290437</v>
      </c>
      <c r="V59" s="134">
        <f>'Historical Financials'!V60</f>
        <v>279414</v>
      </c>
      <c r="W59" s="134">
        <f>'Historical Financials'!W60</f>
        <v>263217</v>
      </c>
      <c r="X59" s="134">
        <f>'Historical Financials'!X60</f>
        <v>264904</v>
      </c>
      <c r="Y59" s="134">
        <f>'Historical Financials'!Y60</f>
        <v>308030</v>
      </c>
      <c r="Z59" s="134">
        <f>'Historical Financials'!Z60</f>
        <v>277327</v>
      </c>
      <c r="AA59" s="134">
        <f>'Historical Financials'!AA60</f>
        <v>264437</v>
      </c>
      <c r="AB59" s="134">
        <f>'Historical Financials'!AB60</f>
        <v>265665</v>
      </c>
      <c r="AC59" s="134">
        <f>'Historical Financials'!AC60</f>
        <v>285508</v>
      </c>
      <c r="AE59" s="11">
        <f>Q59</f>
        <v>302083</v>
      </c>
      <c r="AF59" s="11">
        <f>R59</f>
        <v>290020</v>
      </c>
      <c r="AG59" s="11">
        <f>S59</f>
        <v>270002</v>
      </c>
      <c r="AH59" s="11">
        <f>T59</f>
        <v>274764</v>
      </c>
      <c r="AI59" s="11">
        <f>U59</f>
        <v>290437</v>
      </c>
      <c r="AJ59" s="11">
        <f>V59</f>
        <v>279414</v>
      </c>
      <c r="AK59" s="11">
        <f>W59</f>
        <v>263217</v>
      </c>
      <c r="AL59" s="11">
        <f>X59</f>
        <v>264904</v>
      </c>
      <c r="AM59" s="11">
        <f>Y59</f>
        <v>308030</v>
      </c>
      <c r="AN59" s="11">
        <f>Z59</f>
        <v>277327</v>
      </c>
      <c r="AO59" s="11">
        <f>AA59</f>
        <v>264437</v>
      </c>
      <c r="AP59" s="11">
        <f>AB59</f>
        <v>265665</v>
      </c>
      <c r="AQ59" s="11">
        <f>AC59</f>
        <v>285508</v>
      </c>
    </row>
    <row r="60" spans="2:43" ht="12.75" customHeight="1">
      <c r="B60" s="8" t="s">
        <v>23</v>
      </c>
      <c r="C60" s="134">
        <f>'Historical Financials'!C60</f>
        <v>193437</v>
      </c>
      <c r="D60" s="134">
        <f>'Historical Financials'!D60</f>
        <v>241272</v>
      </c>
      <c r="E60" s="134">
        <f>'Historical Financials'!E60</f>
        <v>258578</v>
      </c>
      <c r="F60" s="134">
        <f>'Historical Financials'!F60</f>
        <v>248028</v>
      </c>
      <c r="G60" s="134">
        <f>'Historical Financials'!G60</f>
        <v>258549</v>
      </c>
      <c r="H60" s="134">
        <f>'Historical Financials'!H60</f>
        <v>287912</v>
      </c>
      <c r="I60" s="134">
        <f>'Historical Financials'!I60</f>
        <v>302083</v>
      </c>
      <c r="J60" s="134">
        <f>'Historical Financials'!J60</f>
        <v>290437</v>
      </c>
      <c r="K60" s="134">
        <f>'Historical Financials'!K60</f>
        <v>308030</v>
      </c>
      <c r="L60" s="134">
        <f>'Historical Financials'!L60</f>
        <v>285508</v>
      </c>
      <c r="M60" s="134"/>
      <c r="N60" s="134">
        <f>'Historical Financials'!N60</f>
        <v>309259</v>
      </c>
      <c r="O60" s="134">
        <f>'Historical Financials'!O60</f>
        <v>283263</v>
      </c>
      <c r="P60" s="134">
        <f>'Historical Financials'!P60</f>
        <v>278202</v>
      </c>
      <c r="Q60" s="134">
        <f>'Historical Financials'!Q60</f>
        <v>302083</v>
      </c>
      <c r="R60" s="134">
        <f>'Historical Financials'!R60</f>
        <v>290020</v>
      </c>
      <c r="S60" s="134">
        <f>'Historical Financials'!S60</f>
        <v>270002</v>
      </c>
      <c r="T60" s="134">
        <f>'Historical Financials'!T60</f>
        <v>274764</v>
      </c>
      <c r="U60" s="134">
        <f>'Historical Financials'!U60</f>
        <v>290437</v>
      </c>
      <c r="V60" s="134">
        <f>'Historical Financials'!V60</f>
        <v>279414</v>
      </c>
      <c r="W60" s="134">
        <f>'Historical Financials'!W60</f>
        <v>263217</v>
      </c>
      <c r="X60" s="134">
        <f>'Historical Financials'!X60</f>
        <v>264904</v>
      </c>
      <c r="Y60" s="134">
        <f>'Historical Financials'!Y60</f>
        <v>308030</v>
      </c>
      <c r="Z60" s="134">
        <f>'Historical Financials'!Z60</f>
        <v>277327</v>
      </c>
      <c r="AA60" s="134">
        <f>'Historical Financials'!AA60</f>
        <v>264437</v>
      </c>
      <c r="AB60" s="134">
        <f>'Historical Financials'!AB60</f>
        <v>265665</v>
      </c>
      <c r="AC60" s="134">
        <f>'Historical Financials'!AC60</f>
        <v>285508</v>
      </c>
      <c r="AE60" s="11">
        <f>Q60</f>
        <v>302083</v>
      </c>
      <c r="AF60" s="11">
        <f>R60</f>
        <v>290020</v>
      </c>
      <c r="AG60" s="11">
        <f>S60</f>
        <v>270002</v>
      </c>
      <c r="AH60" s="11">
        <f>T60</f>
        <v>274764</v>
      </c>
      <c r="AI60" s="11">
        <f>U60</f>
        <v>290437</v>
      </c>
      <c r="AJ60" s="11">
        <f>V60</f>
        <v>279414</v>
      </c>
      <c r="AK60" s="11">
        <f>W60</f>
        <v>263217</v>
      </c>
      <c r="AL60" s="11">
        <f>X60</f>
        <v>264904</v>
      </c>
      <c r="AM60" s="11">
        <f>Y60</f>
        <v>308030</v>
      </c>
      <c r="AN60" s="11">
        <f>Z60</f>
        <v>277327</v>
      </c>
      <c r="AO60" s="11">
        <f>AA60</f>
        <v>264437</v>
      </c>
      <c r="AP60" s="11">
        <f>AB60</f>
        <v>265665</v>
      </c>
      <c r="AQ60" s="11">
        <f>AC60</f>
        <v>285508</v>
      </c>
    </row>
    <row r="61" spans="2:43" ht="5.0999999999999996" customHeight="1"/>
    <row r="62" spans="2:43" ht="12.75" customHeight="1">
      <c r="B62" s="37" t="s">
        <v>69</v>
      </c>
    </row>
    <row r="63" spans="2:43" ht="12.75" customHeight="1">
      <c r="B63" s="8" t="s">
        <v>70</v>
      </c>
      <c r="C63" s="134">
        <f>+'Historical Financials'!C54+'Historical Financials'!C55</f>
        <v>11605</v>
      </c>
      <c r="D63" s="134">
        <f>+'Historical Financials'!D54+'Historical Financials'!D55</f>
        <v>18473</v>
      </c>
      <c r="E63" s="134">
        <f>+'Historical Financials'!E54+'Historical Financials'!E55</f>
        <v>20748</v>
      </c>
      <c r="F63" s="134">
        <f>+'Historical Financials'!F54+'Historical Financials'!F55</f>
        <v>16240</v>
      </c>
      <c r="G63" s="134">
        <f>+'Historical Financials'!G54+'Historical Financials'!G55</f>
        <v>13769</v>
      </c>
      <c r="H63" s="134">
        <f>+'Historical Financials'!H54+'Historical Financials'!H55</f>
        <v>15613</v>
      </c>
      <c r="I63" s="134">
        <f>+'Historical Financials'!I54+'Historical Financials'!I55</f>
        <v>21110</v>
      </c>
      <c r="J63" s="134">
        <f>+'Historical Financials'!J54+'Historical Financials'!J55</f>
        <v>15807</v>
      </c>
      <c r="K63" s="134">
        <f>+'Historical Financials'!K54+'Historical Financials'!K55</f>
        <v>20879</v>
      </c>
      <c r="L63" s="134">
        <f>+'Historical Financials'!L54+'Historical Financials'!L55</f>
        <v>20329</v>
      </c>
      <c r="N63" s="134">
        <f>+'Historical Financials'!N54+'Historical Financials'!N55</f>
        <v>16169</v>
      </c>
      <c r="O63" s="134">
        <f>+'Historical Financials'!O54+'Historical Financials'!O55</f>
        <v>16658</v>
      </c>
      <c r="P63" s="134">
        <f>+'Historical Financials'!P54+'Historical Financials'!P55</f>
        <v>24991</v>
      </c>
      <c r="Q63" s="134">
        <f>+'Historical Financials'!Q54+'Historical Financials'!Q55</f>
        <v>21110</v>
      </c>
      <c r="R63" s="134">
        <f>+'Historical Financials'!R54+'Historical Financials'!R55</f>
        <v>11483</v>
      </c>
      <c r="S63" s="134">
        <f>+'Historical Financials'!S54+'Historical Financials'!S55</f>
        <v>12574</v>
      </c>
      <c r="T63" s="134">
        <f>+'Historical Financials'!T54+'Historical Financials'!T55</f>
        <v>11209</v>
      </c>
      <c r="U63" s="134">
        <f>+'Historical Financials'!U54+'Historical Financials'!U55</f>
        <v>15807</v>
      </c>
      <c r="V63" s="134">
        <f>+'Historical Financials'!V54+'Historical Financials'!V55</f>
        <v>12952</v>
      </c>
      <c r="W63" s="134">
        <f>+'Historical Financials'!W54+'Historical Financials'!W55</f>
        <v>12759</v>
      </c>
      <c r="X63" s="134">
        <f>+'Historical Financials'!X54+'Historical Financials'!X55</f>
        <v>15108</v>
      </c>
      <c r="Y63" s="134">
        <f>+'Historical Financials'!Y54+'Historical Financials'!Y55</f>
        <v>20879</v>
      </c>
      <c r="Z63" s="134">
        <f>+'Historical Financials'!Z54+'Historical Financials'!Z55</f>
        <v>12843</v>
      </c>
      <c r="AA63" s="134">
        <f>+'Historical Financials'!AA54+'Historical Financials'!AA55</f>
        <v>19620</v>
      </c>
      <c r="AB63" s="134">
        <f>+'Historical Financials'!AB54+'Historical Financials'!AB55</f>
        <v>19268</v>
      </c>
      <c r="AC63" s="134">
        <f>+'Historical Financials'!AC54+'Historical Financials'!AC55</f>
        <v>20329</v>
      </c>
      <c r="AE63" s="11">
        <f>Q63</f>
        <v>21110</v>
      </c>
      <c r="AF63" s="11">
        <f>R63</f>
        <v>11483</v>
      </c>
      <c r="AG63" s="11">
        <f>S63</f>
        <v>12574</v>
      </c>
      <c r="AH63" s="11">
        <f>T63</f>
        <v>11209</v>
      </c>
      <c r="AI63" s="11">
        <f>U63</f>
        <v>15807</v>
      </c>
      <c r="AJ63" s="11">
        <f>V63</f>
        <v>12952</v>
      </c>
      <c r="AK63" s="11">
        <f>W63</f>
        <v>12759</v>
      </c>
      <c r="AL63" s="11">
        <f>X63</f>
        <v>15108</v>
      </c>
      <c r="AM63" s="11">
        <f>Y63</f>
        <v>20879</v>
      </c>
      <c r="AN63" s="11">
        <f>Z63</f>
        <v>12843</v>
      </c>
      <c r="AO63" s="11">
        <f>AA63</f>
        <v>19620</v>
      </c>
      <c r="AP63" s="11">
        <f>AB63</f>
        <v>19268</v>
      </c>
      <c r="AQ63" s="11">
        <f>AC63</f>
        <v>20329</v>
      </c>
    </row>
    <row r="64" spans="2:43" ht="12.75" customHeight="1">
      <c r="B64" s="8" t="s">
        <v>71</v>
      </c>
      <c r="C64" s="134">
        <f>'Historical Financials'!C58</f>
        <v>75427</v>
      </c>
      <c r="D64" s="134">
        <f>'Historical Financials'!D58</f>
        <v>97207</v>
      </c>
      <c r="E64" s="134">
        <f>'Historical Financials'!E58</f>
        <v>93735</v>
      </c>
      <c r="F64" s="134">
        <f>'Historical Financials'!F58</f>
        <v>91807</v>
      </c>
      <c r="G64" s="134">
        <f>'Historical Financials'!G58</f>
        <v>98667</v>
      </c>
      <c r="H64" s="134">
        <f>'Historical Financials'!H58</f>
        <v>109106</v>
      </c>
      <c r="I64" s="134">
        <f>'Historical Financials'!I58</f>
        <v>98959</v>
      </c>
      <c r="J64" s="134">
        <f>'Historical Financials'!J58</f>
        <v>95281</v>
      </c>
      <c r="K64" s="134">
        <f>'Historical Financials'!K58</f>
        <v>85750</v>
      </c>
      <c r="L64" s="134">
        <f>'Historical Financials'!L58</f>
        <v>78328</v>
      </c>
      <c r="N64" s="134">
        <f>'Historical Financials'!N58</f>
        <v>106629</v>
      </c>
      <c r="O64" s="134">
        <f>'Historical Financials'!O58</f>
        <v>103323</v>
      </c>
      <c r="P64" s="134">
        <f>'Historical Financials'!P58</f>
        <v>94700</v>
      </c>
      <c r="Q64" s="134">
        <f>'Historical Financials'!Q58</f>
        <v>98959</v>
      </c>
      <c r="R64" s="134">
        <f>'Historical Financials'!R58</f>
        <v>99627</v>
      </c>
      <c r="S64" s="134">
        <f>'Historical Financials'!S58</f>
        <v>97041</v>
      </c>
      <c r="T64" s="134">
        <f>'Historical Financials'!T58</f>
        <v>98071</v>
      </c>
      <c r="U64" s="134">
        <f>'Historical Financials'!U58</f>
        <v>95281</v>
      </c>
      <c r="V64" s="134">
        <f>'Historical Financials'!V58</f>
        <v>95088</v>
      </c>
      <c r="W64" s="134">
        <f>'Historical Financials'!W58</f>
        <v>91831</v>
      </c>
      <c r="X64" s="134">
        <f>'Historical Financials'!X58</f>
        <v>86196</v>
      </c>
      <c r="Y64" s="134">
        <f>'Historical Financials'!Y58</f>
        <v>85750</v>
      </c>
      <c r="Z64" s="134">
        <f>'Historical Financials'!Z58</f>
        <v>83956</v>
      </c>
      <c r="AA64" s="134">
        <f>'Historical Financials'!AA58</f>
        <v>78566</v>
      </c>
      <c r="AB64" s="134">
        <f>'Historical Financials'!AB58</f>
        <v>82430</v>
      </c>
      <c r="AC64" s="134">
        <f>'Historical Financials'!AC58</f>
        <v>78328</v>
      </c>
      <c r="AE64" s="11">
        <f>Q64</f>
        <v>98959</v>
      </c>
      <c r="AF64" s="11">
        <f>R64</f>
        <v>99627</v>
      </c>
      <c r="AG64" s="11">
        <f>S64</f>
        <v>97041</v>
      </c>
      <c r="AH64" s="11">
        <f>T64</f>
        <v>98071</v>
      </c>
      <c r="AI64" s="11">
        <f>U64</f>
        <v>95281</v>
      </c>
      <c r="AJ64" s="11">
        <f>V64</f>
        <v>95088</v>
      </c>
      <c r="AK64" s="11">
        <f>W64</f>
        <v>91831</v>
      </c>
      <c r="AL64" s="11">
        <f>X64</f>
        <v>86196</v>
      </c>
      <c r="AM64" s="11">
        <f>Y64</f>
        <v>85750</v>
      </c>
      <c r="AN64" s="11">
        <f>Z64</f>
        <v>83956</v>
      </c>
      <c r="AO64" s="11">
        <f>AA64</f>
        <v>78566</v>
      </c>
      <c r="AP64" s="11">
        <f>AB64</f>
        <v>82430</v>
      </c>
      <c r="AQ64" s="11">
        <f>AC64</f>
        <v>78328</v>
      </c>
    </row>
    <row r="65" spans="1:43">
      <c r="K65" s="11"/>
      <c r="L65" s="11"/>
    </row>
    <row r="66" spans="1:43" ht="12.75" customHeight="1">
      <c r="B66" s="38" t="s">
        <v>271</v>
      </c>
      <c r="C66" s="134">
        <f>'Historical Financials'!C54</f>
        <v>8105</v>
      </c>
      <c r="D66" s="134">
        <f>'Historical Financials'!D54</f>
        <v>11977</v>
      </c>
      <c r="E66" s="134">
        <f>'Historical Financials'!E54</f>
        <v>11964</v>
      </c>
      <c r="F66" s="134">
        <f>'Historical Financials'!F54</f>
        <v>5980</v>
      </c>
      <c r="G66" s="134">
        <f>'Historical Financials'!G54</f>
        <v>4996</v>
      </c>
      <c r="H66" s="134">
        <f>'Historical Financials'!H54</f>
        <v>6000</v>
      </c>
      <c r="I66" s="134">
        <f>'Historical Financials'!I54</f>
        <v>9982</v>
      </c>
      <c r="J66" s="134">
        <f>'Historical Financials'!J54</f>
        <v>5985</v>
      </c>
      <c r="K66" s="134">
        <f>'Historical Financials'!K54</f>
        <v>9967</v>
      </c>
      <c r="L66" s="134">
        <f>'Historical Financials'!L54</f>
        <v>7979</v>
      </c>
      <c r="N66" s="134">
        <f>'Historical Financials'!N54</f>
        <v>5000</v>
      </c>
      <c r="O66" s="134">
        <f>'Historical Financials'!O54</f>
        <v>6999</v>
      </c>
      <c r="P66" s="134">
        <f>'Historical Financials'!P54</f>
        <v>10982</v>
      </c>
      <c r="Q66" s="134">
        <f>'Historical Financials'!Q54</f>
        <v>9982</v>
      </c>
      <c r="R66" s="134">
        <f>'Historical Financials'!R54</f>
        <v>1743</v>
      </c>
      <c r="S66" s="134">
        <f>'Historical Financials'!S54</f>
        <v>1996</v>
      </c>
      <c r="T66" s="134">
        <f>'Historical Financials'!T54</f>
        <v>3993</v>
      </c>
      <c r="U66" s="134">
        <f>'Historical Financials'!U54</f>
        <v>5985</v>
      </c>
      <c r="V66" s="134">
        <f>'Historical Financials'!V54</f>
        <v>1998</v>
      </c>
      <c r="W66" s="134">
        <f>'Historical Financials'!W54</f>
        <v>1997</v>
      </c>
      <c r="X66" s="134">
        <f>'Historical Financials'!X54</f>
        <v>2994</v>
      </c>
      <c r="Y66" s="134">
        <f>'Historical Financials'!Y54</f>
        <v>9967</v>
      </c>
      <c r="Z66" s="134">
        <f>'Historical Financials'!Z54</f>
        <v>1995</v>
      </c>
      <c r="AA66" s="134">
        <f>'Historical Financials'!AA54</f>
        <v>5982</v>
      </c>
      <c r="AB66" s="134">
        <f>'Historical Financials'!AB54</f>
        <v>9923</v>
      </c>
      <c r="AC66" s="134">
        <f>'Historical Financials'!AC54</f>
        <v>7979</v>
      </c>
      <c r="AE66" s="11">
        <f>Q66</f>
        <v>9982</v>
      </c>
      <c r="AF66" s="11">
        <f>R66</f>
        <v>1743</v>
      </c>
      <c r="AG66" s="11">
        <f>S66</f>
        <v>1996</v>
      </c>
      <c r="AH66" s="11">
        <f>T66</f>
        <v>3993</v>
      </c>
      <c r="AI66" s="11">
        <f>U66</f>
        <v>5985</v>
      </c>
      <c r="AJ66" s="11">
        <f>V66</f>
        <v>1998</v>
      </c>
      <c r="AK66" s="11">
        <f>W66</f>
        <v>1997</v>
      </c>
      <c r="AL66" s="11">
        <f>X66</f>
        <v>2994</v>
      </c>
      <c r="AM66" s="11">
        <f>Y66</f>
        <v>9967</v>
      </c>
      <c r="AN66" s="11">
        <f>Z66</f>
        <v>1995</v>
      </c>
      <c r="AO66" s="11">
        <f>AA66</f>
        <v>5982</v>
      </c>
      <c r="AP66" s="11">
        <f>AB66</f>
        <v>9923</v>
      </c>
      <c r="AQ66" s="11">
        <f>AC66</f>
        <v>7979</v>
      </c>
    </row>
    <row r="67" spans="1:43" ht="12.75" customHeight="1">
      <c r="B67" s="33" t="s">
        <v>272</v>
      </c>
      <c r="C67" s="134">
        <f>'Historical Financials'!C55</f>
        <v>3500</v>
      </c>
      <c r="D67" s="134">
        <f>'Historical Financials'!D55</f>
        <v>6496</v>
      </c>
      <c r="E67" s="134">
        <f>'Historical Financials'!E55</f>
        <v>8784</v>
      </c>
      <c r="F67" s="134">
        <f>'Historical Financials'!F55</f>
        <v>10260</v>
      </c>
      <c r="G67" s="134">
        <f>'Historical Financials'!G55</f>
        <v>8773</v>
      </c>
      <c r="H67" s="134">
        <f>'Historical Financials'!H55</f>
        <v>9613</v>
      </c>
      <c r="I67" s="134">
        <f>'Historical Financials'!I55</f>
        <v>11128</v>
      </c>
      <c r="J67" s="134">
        <f>'Historical Financials'!J55</f>
        <v>9822</v>
      </c>
      <c r="K67" s="134">
        <f>'Historical Financials'!K55</f>
        <v>10912</v>
      </c>
      <c r="L67" s="134">
        <f>'Historical Financials'!L55</f>
        <v>12350</v>
      </c>
      <c r="N67" s="134">
        <f>'Historical Financials'!N55</f>
        <v>11169</v>
      </c>
      <c r="O67" s="134">
        <f>'Historical Financials'!O55</f>
        <v>9659</v>
      </c>
      <c r="P67" s="134">
        <f>'Historical Financials'!P55</f>
        <v>14009</v>
      </c>
      <c r="Q67" s="134">
        <f>'Historical Financials'!Q55</f>
        <v>11128</v>
      </c>
      <c r="R67" s="134">
        <f>'Historical Financials'!R55</f>
        <v>9740</v>
      </c>
      <c r="S67" s="134">
        <f>'Historical Financials'!S55</f>
        <v>10578</v>
      </c>
      <c r="T67" s="134">
        <f>'Historical Financials'!T55</f>
        <v>7216</v>
      </c>
      <c r="U67" s="134">
        <f>'Historical Financials'!U55</f>
        <v>9822</v>
      </c>
      <c r="V67" s="134">
        <f>'Historical Financials'!V55</f>
        <v>10954</v>
      </c>
      <c r="W67" s="134">
        <f>'Historical Financials'!W55</f>
        <v>10762</v>
      </c>
      <c r="X67" s="134">
        <f>'Historical Financials'!X55</f>
        <v>12114</v>
      </c>
      <c r="Y67" s="134">
        <f>'Historical Financials'!Y55</f>
        <v>10912</v>
      </c>
      <c r="Z67" s="134">
        <f>'Historical Financials'!Z55</f>
        <v>10848</v>
      </c>
      <c r="AA67" s="134">
        <f>'Historical Financials'!AA55</f>
        <v>13638</v>
      </c>
      <c r="AB67" s="134">
        <f>'Historical Financials'!AB55</f>
        <v>9345</v>
      </c>
      <c r="AC67" s="134">
        <f>'Historical Financials'!AC55</f>
        <v>12350</v>
      </c>
      <c r="AE67" s="11"/>
      <c r="AF67" s="11"/>
      <c r="AG67" s="11"/>
      <c r="AH67" s="11"/>
      <c r="AI67" s="11"/>
      <c r="AJ67" s="11"/>
      <c r="AK67" s="11"/>
      <c r="AL67" s="11">
        <f>X67</f>
        <v>12114</v>
      </c>
      <c r="AM67" s="11">
        <f>Y67</f>
        <v>10912</v>
      </c>
      <c r="AN67" s="11">
        <f>Z67</f>
        <v>10848</v>
      </c>
      <c r="AO67" s="11">
        <f>AA67</f>
        <v>13638</v>
      </c>
      <c r="AP67" s="11">
        <f>AB67</f>
        <v>9345</v>
      </c>
      <c r="AQ67" s="11">
        <f>AC67</f>
        <v>12350</v>
      </c>
    </row>
    <row r="68" spans="1:43" ht="12.75" customHeight="1">
      <c r="B68" s="33" t="s">
        <v>273</v>
      </c>
      <c r="C68" s="134">
        <f>'Historical Financials'!C58</f>
        <v>75427</v>
      </c>
      <c r="D68" s="134">
        <f>'Historical Financials'!D58</f>
        <v>97207</v>
      </c>
      <c r="E68" s="134">
        <f>'Historical Financials'!E58</f>
        <v>93735</v>
      </c>
      <c r="F68" s="134">
        <f>'Historical Financials'!F58</f>
        <v>91807</v>
      </c>
      <c r="G68" s="134">
        <f>'Historical Financials'!G58</f>
        <v>98667</v>
      </c>
      <c r="H68" s="134">
        <f>'Historical Financials'!H58</f>
        <v>109106</v>
      </c>
      <c r="I68" s="134">
        <f>'Historical Financials'!I58</f>
        <v>98959</v>
      </c>
      <c r="J68" s="134">
        <f>'Historical Financials'!J58</f>
        <v>95281</v>
      </c>
      <c r="K68" s="134">
        <f>'Historical Financials'!K58</f>
        <v>85750</v>
      </c>
      <c r="L68" s="134">
        <f>'Historical Financials'!L58</f>
        <v>78328</v>
      </c>
      <c r="M68" s="98"/>
      <c r="N68" s="134">
        <f>'Historical Financials'!N58</f>
        <v>106629</v>
      </c>
      <c r="O68" s="134">
        <f>'Historical Financials'!O58</f>
        <v>103323</v>
      </c>
      <c r="P68" s="134">
        <f>'Historical Financials'!P58</f>
        <v>94700</v>
      </c>
      <c r="Q68" s="134">
        <f>'Historical Financials'!Q58</f>
        <v>98959</v>
      </c>
      <c r="R68" s="134">
        <f>'Historical Financials'!R58</f>
        <v>99627</v>
      </c>
      <c r="S68" s="134">
        <f>'Historical Financials'!S58</f>
        <v>97041</v>
      </c>
      <c r="T68" s="134">
        <f>'Historical Financials'!T58</f>
        <v>98071</v>
      </c>
      <c r="U68" s="134">
        <f>'Historical Financials'!U58</f>
        <v>95281</v>
      </c>
      <c r="V68" s="134">
        <f>'Historical Financials'!V58</f>
        <v>95088</v>
      </c>
      <c r="W68" s="134">
        <f>'Historical Financials'!W58</f>
        <v>91831</v>
      </c>
      <c r="X68" s="134">
        <f>'Historical Financials'!X58</f>
        <v>86196</v>
      </c>
      <c r="Y68" s="134">
        <f>'Historical Financials'!Y58</f>
        <v>85750</v>
      </c>
      <c r="Z68" s="134">
        <f>'Historical Financials'!Z58</f>
        <v>83956</v>
      </c>
      <c r="AA68" s="134">
        <f>'Historical Financials'!AA58</f>
        <v>78566</v>
      </c>
      <c r="AB68" s="134">
        <f>'Historical Financials'!AB58</f>
        <v>82430</v>
      </c>
      <c r="AC68" s="134">
        <f>'Historical Financials'!AC58</f>
        <v>78328</v>
      </c>
      <c r="AE68" s="11">
        <f t="shared" ref="AE68" si="153">Q68</f>
        <v>98959</v>
      </c>
      <c r="AF68" s="11">
        <f t="shared" ref="AF68" si="154">R68</f>
        <v>99627</v>
      </c>
      <c r="AG68" s="11">
        <f t="shared" ref="AG68" si="155">S68</f>
        <v>97041</v>
      </c>
      <c r="AH68" s="11">
        <f t="shared" ref="AH68" si="156">T68</f>
        <v>98071</v>
      </c>
      <c r="AI68" s="11">
        <f t="shared" ref="AI68" si="157">U68</f>
        <v>95281</v>
      </c>
      <c r="AJ68" s="11">
        <f t="shared" ref="AJ68" si="158">V68</f>
        <v>95088</v>
      </c>
      <c r="AK68" s="11">
        <f t="shared" ref="AK68" si="159">W68</f>
        <v>91831</v>
      </c>
      <c r="AL68" s="11">
        <f t="shared" ref="AL68" si="160">X68</f>
        <v>86196</v>
      </c>
      <c r="AM68" s="11">
        <f t="shared" ref="AM68" si="161">Y68</f>
        <v>85750</v>
      </c>
      <c r="AN68" s="11">
        <f t="shared" ref="AN68" si="162">Z68</f>
        <v>83956</v>
      </c>
      <c r="AO68" s="11">
        <f>AA68</f>
        <v>78566</v>
      </c>
      <c r="AP68" s="11">
        <f>AB68</f>
        <v>82430</v>
      </c>
      <c r="AQ68" s="11">
        <f>AC68</f>
        <v>78328</v>
      </c>
    </row>
    <row r="69" spans="1:43" ht="12.75" customHeight="1">
      <c r="B69" s="14" t="s">
        <v>33</v>
      </c>
      <c r="C69" s="15">
        <f t="shared" ref="C69:F69" si="163">SUM(C66:C68)</f>
        <v>87032</v>
      </c>
      <c r="D69" s="15">
        <f t="shared" si="163"/>
        <v>115680</v>
      </c>
      <c r="E69" s="15">
        <f t="shared" si="163"/>
        <v>114483</v>
      </c>
      <c r="F69" s="15">
        <f t="shared" si="163"/>
        <v>108047</v>
      </c>
      <c r="G69" s="15">
        <f>SUM(G66:G68)</f>
        <v>112436</v>
      </c>
      <c r="H69" s="15">
        <f>SUM(H66:H68)</f>
        <v>124719</v>
      </c>
      <c r="I69" s="15">
        <f>SUM(I66:I68)</f>
        <v>120069</v>
      </c>
      <c r="J69" s="15">
        <f>SUM(J66:J68)</f>
        <v>111088</v>
      </c>
      <c r="K69" s="15">
        <f>SUM(K66:K68)</f>
        <v>106629</v>
      </c>
      <c r="L69" s="15">
        <f>SUM(L66:L68)</f>
        <v>98657</v>
      </c>
      <c r="N69" s="15">
        <f t="shared" ref="N69:AB69" si="164">SUM(N66:N68)</f>
        <v>122798</v>
      </c>
      <c r="O69" s="15">
        <f t="shared" si="164"/>
        <v>119981</v>
      </c>
      <c r="P69" s="15">
        <f t="shared" si="164"/>
        <v>119691</v>
      </c>
      <c r="Q69" s="15">
        <f t="shared" si="164"/>
        <v>120069</v>
      </c>
      <c r="R69" s="15">
        <f t="shared" si="164"/>
        <v>111110</v>
      </c>
      <c r="S69" s="15">
        <f t="shared" si="164"/>
        <v>109615</v>
      </c>
      <c r="T69" s="15">
        <f t="shared" si="164"/>
        <v>109280</v>
      </c>
      <c r="U69" s="15">
        <f t="shared" si="164"/>
        <v>111088</v>
      </c>
      <c r="V69" s="15">
        <f t="shared" si="164"/>
        <v>108040</v>
      </c>
      <c r="W69" s="15">
        <f t="shared" si="164"/>
        <v>104590</v>
      </c>
      <c r="X69" s="15">
        <f t="shared" si="164"/>
        <v>101304</v>
      </c>
      <c r="Y69" s="15">
        <f t="shared" si="164"/>
        <v>106629</v>
      </c>
      <c r="Z69" s="15">
        <f t="shared" si="164"/>
        <v>96799</v>
      </c>
      <c r="AA69" s="15">
        <f t="shared" si="164"/>
        <v>98186</v>
      </c>
      <c r="AB69" s="15">
        <f t="shared" si="164"/>
        <v>101698</v>
      </c>
      <c r="AC69" s="15">
        <f t="shared" ref="AC69" si="165">SUM(AC66:AC68)</f>
        <v>98657</v>
      </c>
      <c r="AE69" s="15">
        <f t="shared" ref="AE69:AP69" si="166">SUM(AE66:AE68)</f>
        <v>108941</v>
      </c>
      <c r="AF69" s="15">
        <f t="shared" si="166"/>
        <v>101370</v>
      </c>
      <c r="AG69" s="15">
        <f t="shared" si="166"/>
        <v>99037</v>
      </c>
      <c r="AH69" s="15">
        <f t="shared" si="166"/>
        <v>102064</v>
      </c>
      <c r="AI69" s="15">
        <f t="shared" si="166"/>
        <v>101266</v>
      </c>
      <c r="AJ69" s="15">
        <f t="shared" si="166"/>
        <v>97086</v>
      </c>
      <c r="AK69" s="15">
        <f t="shared" si="166"/>
        <v>93828</v>
      </c>
      <c r="AL69" s="15">
        <f t="shared" si="166"/>
        <v>101304</v>
      </c>
      <c r="AM69" s="15">
        <f t="shared" si="166"/>
        <v>106629</v>
      </c>
      <c r="AN69" s="15">
        <f t="shared" si="166"/>
        <v>96799</v>
      </c>
      <c r="AO69" s="15">
        <f t="shared" si="166"/>
        <v>98186</v>
      </c>
      <c r="AP69" s="15">
        <f t="shared" si="166"/>
        <v>101698</v>
      </c>
      <c r="AQ69" s="15">
        <f t="shared" ref="AQ69" si="167">SUM(AQ66:AQ68)</f>
        <v>98657</v>
      </c>
    </row>
    <row r="70" spans="1:43" ht="5.0999999999999996" customHeight="1"/>
    <row r="71" spans="1:43" ht="12.75" customHeight="1">
      <c r="B71" s="8" t="s">
        <v>72</v>
      </c>
      <c r="C71" s="134">
        <f>'Historical Financials'!C65</f>
        <v>128249</v>
      </c>
      <c r="D71" s="134">
        <f>'Historical Financials'!D65</f>
        <v>134047</v>
      </c>
      <c r="E71" s="134">
        <f>'Historical Financials'!E65</f>
        <v>107147</v>
      </c>
      <c r="F71" s="134">
        <f>'Historical Financials'!F65</f>
        <v>90488</v>
      </c>
      <c r="G71" s="134">
        <f>'Historical Financials'!G65</f>
        <v>65339</v>
      </c>
      <c r="H71" s="134">
        <f>'Historical Financials'!H65</f>
        <v>63090</v>
      </c>
      <c r="I71" s="134">
        <f>'Historical Financials'!I65</f>
        <v>50672</v>
      </c>
      <c r="J71" s="134">
        <f>'Historical Financials'!J65</f>
        <v>62146</v>
      </c>
      <c r="K71" s="134">
        <f>'Historical Financials'!K65</f>
        <v>56950</v>
      </c>
      <c r="L71" s="134">
        <f>'Historical Financials'!L65</f>
        <v>73733</v>
      </c>
      <c r="N71" s="134">
        <f>'Historical Financials'!N65</f>
        <v>63894</v>
      </c>
      <c r="O71" s="134">
        <f>'Historical Financials'!O65</f>
        <v>59361</v>
      </c>
      <c r="P71" s="134">
        <f>'Historical Financials'!P65</f>
        <v>50069</v>
      </c>
      <c r="Q71" s="134">
        <f>'Historical Financials'!Q65</f>
        <v>50672</v>
      </c>
      <c r="R71" s="134">
        <f>'Historical Financials'!R65</f>
        <v>48689</v>
      </c>
      <c r="S71" s="134">
        <f>'Historical Financials'!S65</f>
        <v>54120</v>
      </c>
      <c r="T71" s="134">
        <f>'Historical Financials'!T65</f>
        <v>52236</v>
      </c>
      <c r="U71" s="134">
        <f>'Historical Financials'!U65</f>
        <v>62146</v>
      </c>
      <c r="V71" s="134">
        <f>'Historical Financials'!V65</f>
        <v>66062</v>
      </c>
      <c r="W71" s="134">
        <f>'Historical Financials'!W65</f>
        <v>66156</v>
      </c>
      <c r="X71" s="134">
        <f>'Historical Financials'!X65</f>
        <v>58670</v>
      </c>
      <c r="Y71" s="134">
        <f>'Historical Financials'!Y65</f>
        <v>56950</v>
      </c>
      <c r="Z71" s="134">
        <f>'Historical Financials'!Z65</f>
        <v>66758</v>
      </c>
      <c r="AA71" s="134">
        <f>'Historical Financials'!AA65</f>
        <v>66796</v>
      </c>
      <c r="AB71" s="134">
        <f>'Historical Financials'!AB65</f>
        <v>65830</v>
      </c>
      <c r="AC71" s="134">
        <f>'Historical Financials'!AC65</f>
        <v>73733</v>
      </c>
      <c r="AE71" s="11">
        <f>Q71</f>
        <v>50672</v>
      </c>
      <c r="AF71" s="11">
        <f>R71</f>
        <v>48689</v>
      </c>
      <c r="AG71" s="11">
        <f>S71</f>
        <v>54120</v>
      </c>
      <c r="AH71" s="11">
        <f>T71</f>
        <v>52236</v>
      </c>
      <c r="AI71" s="11">
        <f>U71</f>
        <v>62146</v>
      </c>
      <c r="AJ71" s="11">
        <f>V71</f>
        <v>66062</v>
      </c>
      <c r="AK71" s="11">
        <f>W71</f>
        <v>66156</v>
      </c>
      <c r="AL71" s="11">
        <f>X71</f>
        <v>58670</v>
      </c>
      <c r="AM71" s="11">
        <f>Y71</f>
        <v>56950</v>
      </c>
      <c r="AN71" s="11">
        <f>Z71</f>
        <v>66758</v>
      </c>
      <c r="AO71" s="11">
        <f>AA71</f>
        <v>66796</v>
      </c>
      <c r="AP71" s="11">
        <f>AB71</f>
        <v>65830</v>
      </c>
      <c r="AQ71" s="11">
        <f>AC71</f>
        <v>73733</v>
      </c>
    </row>
    <row r="72" spans="1:43" ht="12.75" customHeight="1">
      <c r="B72" s="14" t="s">
        <v>73</v>
      </c>
      <c r="C72" s="15">
        <f t="shared" ref="C72:F72" si="168">SUM(C69:C71)</f>
        <v>215281</v>
      </c>
      <c r="D72" s="15">
        <f t="shared" si="168"/>
        <v>249727</v>
      </c>
      <c r="E72" s="15">
        <f t="shared" si="168"/>
        <v>221630</v>
      </c>
      <c r="F72" s="15">
        <f t="shared" si="168"/>
        <v>198535</v>
      </c>
      <c r="G72" s="15">
        <f>SUM(G69:G71)</f>
        <v>177775</v>
      </c>
      <c r="H72" s="15">
        <f>SUM(H69:H71)</f>
        <v>187809</v>
      </c>
      <c r="I72" s="15">
        <f t="shared" ref="I72:K72" si="169">SUM(I69:I71)</f>
        <v>170741</v>
      </c>
      <c r="J72" s="15">
        <f t="shared" si="169"/>
        <v>173234</v>
      </c>
      <c r="K72" s="15">
        <f t="shared" si="169"/>
        <v>163579</v>
      </c>
      <c r="L72" s="15">
        <f t="shared" ref="L72" si="170">SUM(L69:L71)</f>
        <v>172390</v>
      </c>
      <c r="N72" s="15">
        <f t="shared" ref="N72:W72" si="171">SUM(N69:N71)</f>
        <v>186692</v>
      </c>
      <c r="O72" s="15">
        <f t="shared" si="171"/>
        <v>179342</v>
      </c>
      <c r="P72" s="15">
        <f t="shared" si="171"/>
        <v>169760</v>
      </c>
      <c r="Q72" s="15">
        <f t="shared" si="171"/>
        <v>170741</v>
      </c>
      <c r="R72" s="15">
        <f t="shared" si="171"/>
        <v>159799</v>
      </c>
      <c r="S72" s="15">
        <f t="shared" si="171"/>
        <v>163735</v>
      </c>
      <c r="T72" s="15">
        <f t="shared" si="171"/>
        <v>161516</v>
      </c>
      <c r="U72" s="15">
        <f t="shared" si="171"/>
        <v>173234</v>
      </c>
      <c r="V72" s="15">
        <f t="shared" si="171"/>
        <v>174102</v>
      </c>
      <c r="W72" s="15">
        <f t="shared" si="171"/>
        <v>170746</v>
      </c>
      <c r="X72" s="15">
        <f>SUM(X69:X71)</f>
        <v>159974</v>
      </c>
      <c r="Y72" s="15">
        <f>SUM(Y69:Y71)</f>
        <v>163579</v>
      </c>
      <c r="Z72" s="15">
        <f t="shared" ref="Z72:AA72" si="172">SUM(Z69:Z71)</f>
        <v>163557</v>
      </c>
      <c r="AA72" s="15">
        <f t="shared" si="172"/>
        <v>164982</v>
      </c>
      <c r="AB72" s="15">
        <f t="shared" ref="AB72" si="173">SUM(AB69:AB71)</f>
        <v>167528</v>
      </c>
      <c r="AC72" s="15">
        <f t="shared" ref="AC72" si="174">SUM(AC69:AC71)</f>
        <v>172390</v>
      </c>
      <c r="AE72" s="15">
        <f t="shared" ref="AE72:AL72" si="175">SUM(AE69:AE71)</f>
        <v>159613</v>
      </c>
      <c r="AF72" s="15">
        <f t="shared" si="175"/>
        <v>150059</v>
      </c>
      <c r="AG72" s="15">
        <f t="shared" si="175"/>
        <v>153157</v>
      </c>
      <c r="AH72" s="15">
        <f t="shared" si="175"/>
        <v>154300</v>
      </c>
      <c r="AI72" s="15">
        <f t="shared" si="175"/>
        <v>163412</v>
      </c>
      <c r="AJ72" s="15">
        <f t="shared" si="175"/>
        <v>163148</v>
      </c>
      <c r="AK72" s="15">
        <f t="shared" si="175"/>
        <v>159984</v>
      </c>
      <c r="AL72" s="15">
        <f t="shared" si="175"/>
        <v>159974</v>
      </c>
      <c r="AM72" s="15">
        <f>SUM(AM69:AM71)</f>
        <v>163579</v>
      </c>
      <c r="AN72" s="15">
        <f t="shared" ref="AN72:AO72" si="176">SUM(AN69:AN71)</f>
        <v>163557</v>
      </c>
      <c r="AO72" s="15">
        <f t="shared" si="176"/>
        <v>164982</v>
      </c>
      <c r="AP72" s="15">
        <f t="shared" ref="AP72:AQ72" si="177">SUM(AP69:AP71)</f>
        <v>167528</v>
      </c>
      <c r="AQ72" s="15">
        <f t="shared" si="177"/>
        <v>172390</v>
      </c>
    </row>
    <row r="73" spans="1:43" ht="5.0999999999999996" customHeight="1"/>
    <row r="74" spans="1:43" ht="12.75" customHeight="1">
      <c r="A74" s="5"/>
      <c r="B74" s="35" t="s">
        <v>113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</row>
    <row r="75" spans="1:43" ht="5.0999999999999996" customHeight="1"/>
    <row r="76" spans="1:43" ht="12.75" customHeight="1">
      <c r="B76" s="8" t="s">
        <v>74</v>
      </c>
      <c r="C76" s="97">
        <f t="shared" ref="C76" si="178">C69/C29</f>
        <v>1.1644790537737995</v>
      </c>
      <c r="D76" s="97">
        <f t="shared" ref="D76:F76" si="179">D69/D29</f>
        <v>1.5153063229457304</v>
      </c>
      <c r="E76" s="97">
        <f t="shared" si="179"/>
        <v>1.3137673425827108</v>
      </c>
      <c r="F76" s="97">
        <f t="shared" si="179"/>
        <v>1.3089466351686958</v>
      </c>
      <c r="G76" s="97">
        <f>G69/G29</f>
        <v>1.3357727537333823</v>
      </c>
      <c r="H76" s="97">
        <f>H69/H29</f>
        <v>0.97331023341839717</v>
      </c>
      <c r="I76" s="97">
        <f>I69/I29</f>
        <v>0.86022252631126461</v>
      </c>
      <c r="J76" s="97">
        <f>J69/J29</f>
        <v>0.81292031642188611</v>
      </c>
      <c r="K76" s="97">
        <f>K69/K29</f>
        <v>0.72859397741016341</v>
      </c>
      <c r="L76" s="97">
        <f>L69/L29</f>
        <v>0.62595250331512398</v>
      </c>
      <c r="N76" s="287"/>
      <c r="O76" s="287"/>
      <c r="P76" s="287"/>
      <c r="Q76" s="97">
        <f t="shared" ref="Q76:AC76" si="180">SUM(Q69/SUM(N29:Q29))</f>
        <v>0.86022252631126461</v>
      </c>
      <c r="R76" s="97">
        <f t="shared" si="180"/>
        <v>0.82324437265681727</v>
      </c>
      <c r="S76" s="97">
        <f t="shared" si="180"/>
        <v>0.81863330843913373</v>
      </c>
      <c r="T76" s="97">
        <f t="shared" si="180"/>
        <v>0.81283517922093373</v>
      </c>
      <c r="U76" s="97">
        <f t="shared" si="180"/>
        <v>0.81292031642188611</v>
      </c>
      <c r="V76" s="97">
        <f t="shared" si="180"/>
        <v>0.76605641192903839</v>
      </c>
      <c r="W76" s="97">
        <f t="shared" si="180"/>
        <v>0.74264209891007205</v>
      </c>
      <c r="X76" s="97">
        <f t="shared" si="180"/>
        <v>0.70725236672344938</v>
      </c>
      <c r="Y76" s="97">
        <f t="shared" si="180"/>
        <v>0.72859397741016341</v>
      </c>
      <c r="Z76" s="97">
        <f t="shared" si="180"/>
        <v>0.64822639942676907</v>
      </c>
      <c r="AA76" s="97">
        <f t="shared" si="180"/>
        <v>0.64979947320353137</v>
      </c>
      <c r="AB76" s="97">
        <f t="shared" si="180"/>
        <v>0.65937471634010658</v>
      </c>
      <c r="AC76" s="97">
        <f t="shared" si="180"/>
        <v>0.62595250331512398</v>
      </c>
      <c r="AE76" s="97">
        <f t="shared" ref="AE76:AP76" si="181">AE69/AE29</f>
        <v>0.78049706617757686</v>
      </c>
      <c r="AF76" s="97">
        <f t="shared" si="181"/>
        <v>0.75107804928648692</v>
      </c>
      <c r="AG76" s="97">
        <f t="shared" si="181"/>
        <v>0.73963405526512327</v>
      </c>
      <c r="AH76" s="97">
        <f t="shared" si="181"/>
        <v>0.75916187529287504</v>
      </c>
      <c r="AI76" s="97">
        <f t="shared" si="181"/>
        <v>0.7410448361909362</v>
      </c>
      <c r="AJ76" s="97">
        <f t="shared" si="181"/>
        <v>0.68838719741338972</v>
      </c>
      <c r="AK76" s="97">
        <f t="shared" si="181"/>
        <v>0.66622643519011604</v>
      </c>
      <c r="AL76" s="97">
        <f t="shared" si="181"/>
        <v>0.70725236672344938</v>
      </c>
      <c r="AM76" s="97">
        <f t="shared" si="181"/>
        <v>0.72859397741016341</v>
      </c>
      <c r="AN76" s="97">
        <f t="shared" si="181"/>
        <v>0.64822639942676907</v>
      </c>
      <c r="AO76" s="97">
        <f t="shared" si="181"/>
        <v>0.64979947320353137</v>
      </c>
      <c r="AP76" s="97">
        <f t="shared" si="181"/>
        <v>0.65937471634010658</v>
      </c>
      <c r="AQ76" s="97">
        <f t="shared" ref="AQ76" si="182">AQ69/AQ29</f>
        <v>0.62595250331512398</v>
      </c>
    </row>
    <row r="77" spans="1:43" ht="12.75" customHeight="1">
      <c r="B77" s="8" t="s">
        <v>75</v>
      </c>
      <c r="C77" s="97">
        <f t="shared" ref="C77" si="183">SUM(C69-C49)/C29</f>
        <v>0.89040527703073358</v>
      </c>
      <c r="D77" s="97">
        <f t="shared" ref="D77:F77" si="184">SUM(D69-D49)/D29</f>
        <v>1.2495382559830235</v>
      </c>
      <c r="E77" s="97">
        <f t="shared" si="184"/>
        <v>1.0163987101364456</v>
      </c>
      <c r="F77" s="97">
        <f t="shared" si="184"/>
        <v>0.71722090980677211</v>
      </c>
      <c r="G77" s="97">
        <f>SUM(G69-G49)/G29</f>
        <v>0.88413149109571953</v>
      </c>
      <c r="H77" s="97">
        <f>SUM(H69-H49)/H29</f>
        <v>0.70063758886833827</v>
      </c>
      <c r="I77" s="97">
        <f>SUM(I69-I49)/I29</f>
        <v>0.69081308792869989</v>
      </c>
      <c r="J77" s="97">
        <f>SUM(J69-J49)/J29</f>
        <v>0.59364229105837418</v>
      </c>
      <c r="K77" s="97">
        <f>SUM(K69-K49)/K29</f>
        <v>0.52399401430826309</v>
      </c>
      <c r="L77" s="97">
        <f>SUM(L69-L49)/L29</f>
        <v>0.39796080222827085</v>
      </c>
      <c r="N77" s="287"/>
      <c r="O77" s="287"/>
      <c r="P77" s="287"/>
      <c r="Q77" s="97">
        <f t="shared" ref="Q77:AC77" si="185">SUM(Q69-Q49)/SUM(N29:Q29)</f>
        <v>0.69081308792869989</v>
      </c>
      <c r="R77" s="97">
        <f t="shared" si="185"/>
        <v>0.67109494242994527</v>
      </c>
      <c r="S77" s="97">
        <f t="shared" si="185"/>
        <v>0.63426437640029876</v>
      </c>
      <c r="T77" s="97">
        <f t="shared" si="185"/>
        <v>0.60153373548641431</v>
      </c>
      <c r="U77" s="97">
        <f t="shared" si="185"/>
        <v>0.59364229105837418</v>
      </c>
      <c r="V77" s="97">
        <f t="shared" si="185"/>
        <v>0.47704808769516571</v>
      </c>
      <c r="W77" s="97">
        <f t="shared" si="185"/>
        <v>0.51049100010650761</v>
      </c>
      <c r="X77" s="97">
        <f t="shared" si="185"/>
        <v>0.52877070010332594</v>
      </c>
      <c r="Y77" s="97">
        <f t="shared" si="185"/>
        <v>0.52399401430826309</v>
      </c>
      <c r="Z77" s="97">
        <f t="shared" si="185"/>
        <v>0.44532542238948897</v>
      </c>
      <c r="AA77" s="97">
        <f t="shared" si="185"/>
        <v>0.46342205927122077</v>
      </c>
      <c r="AB77" s="97">
        <f t="shared" si="185"/>
        <v>0.42421904379060388</v>
      </c>
      <c r="AC77" s="97">
        <f t="shared" si="185"/>
        <v>0.39796080222827085</v>
      </c>
      <c r="AE77" s="97">
        <f t="shared" ref="AE77:AP77" si="186">SUM(AE69-AE49)/AE29</f>
        <v>0.61108762779501213</v>
      </c>
      <c r="AF77" s="97">
        <f t="shared" si="186"/>
        <v>0.59892861905961503</v>
      </c>
      <c r="AG77" s="97">
        <f t="shared" si="186"/>
        <v>0.55526512322628829</v>
      </c>
      <c r="AH77" s="97">
        <f t="shared" si="186"/>
        <v>0.54786043155835562</v>
      </c>
      <c r="AI77" s="97">
        <f t="shared" si="186"/>
        <v>0.52176681082742415</v>
      </c>
      <c r="AJ77" s="97">
        <f t="shared" si="186"/>
        <v>0.39937887317951698</v>
      </c>
      <c r="AK77" s="97">
        <f t="shared" si="186"/>
        <v>0.43407533638655166</v>
      </c>
      <c r="AL77" s="97">
        <f t="shared" si="186"/>
        <v>0.52877070010332594</v>
      </c>
      <c r="AM77" s="97">
        <f t="shared" si="186"/>
        <v>0.52399401430826309</v>
      </c>
      <c r="AN77" s="97">
        <f t="shared" si="186"/>
        <v>0.44532542238948897</v>
      </c>
      <c r="AO77" s="97">
        <f t="shared" si="186"/>
        <v>0.46342205927122077</v>
      </c>
      <c r="AP77" s="97">
        <f t="shared" si="186"/>
        <v>0.42421904379060388</v>
      </c>
      <c r="AQ77" s="97">
        <f t="shared" ref="AQ77" si="187">SUM(AQ69-AQ49)/AQ29</f>
        <v>0.39796080222827085</v>
      </c>
    </row>
    <row r="78" spans="1:43" ht="12.75" customHeight="1">
      <c r="B78" s="8" t="s">
        <v>76</v>
      </c>
      <c r="C78" s="97">
        <f t="shared" ref="C78" si="188">C29/-C33</f>
        <v>7.1561662198391423</v>
      </c>
      <c r="D78" s="97">
        <f t="shared" ref="D78:F78" si="189">D29/-D33</f>
        <v>6.5862306962298334</v>
      </c>
      <c r="E78" s="97">
        <f t="shared" si="189"/>
        <v>8.3652683114140345</v>
      </c>
      <c r="F78" s="97">
        <f t="shared" si="189"/>
        <v>5.4081766363100305</v>
      </c>
      <c r="G78" s="97">
        <f>G29/-G33</f>
        <v>8.85938322281865</v>
      </c>
      <c r="H78" s="97">
        <f>H29/-H33</f>
        <v>5.0478235178254875</v>
      </c>
      <c r="I78" s="97">
        <f>I29/-I33</f>
        <v>7.1312011444336587</v>
      </c>
      <c r="J78" s="97">
        <f>J29/-J33</f>
        <v>7.3158627335510467</v>
      </c>
      <c r="K78" s="97">
        <f>K29/-K33</f>
        <v>5.6068117385640948</v>
      </c>
      <c r="L78" s="97">
        <f>L29/-L33</f>
        <v>3.6341857086859277</v>
      </c>
      <c r="N78" s="287"/>
      <c r="O78" s="287"/>
      <c r="P78" s="287"/>
      <c r="Q78" s="97" cm="1">
        <f t="array" ref="Q78">SUM(N29:Q29)/SUM(-N33:Q33)</f>
        <v>7.1312011444336587</v>
      </c>
      <c r="R78" s="97" cm="1">
        <f t="array" ref="R78">SUM(O29:R29)/SUM(-O33:R33)</f>
        <v>8.8992483186074107</v>
      </c>
      <c r="S78" s="97" cm="1">
        <f t="array" ref="S78">SUM(P29:S29)/SUM(-P33:S33)</f>
        <v>8.8289595147039428</v>
      </c>
      <c r="T78" s="97" cm="1">
        <f t="array" ref="T78">SUM(Q29:T29)/SUM(-Q33:T33)</f>
        <v>9.3740761400083663</v>
      </c>
      <c r="U78" s="97" cm="1">
        <f t="array" ref="U78">SUM(R29:U29)/SUM(-R33:U33)</f>
        <v>7.3158627335510467</v>
      </c>
      <c r="V78" s="97" cm="1">
        <f t="array" ref="V78">SUM(S29:V29)/SUM(-S33:V33)</f>
        <v>5.6175416235162912</v>
      </c>
      <c r="W78" s="97" cm="1">
        <f t="array" ref="W78">SUM(T29:W29)/SUM(-T33:W33)</f>
        <v>4.9736897866930354</v>
      </c>
      <c r="X78" s="97" cm="1">
        <f t="array" ref="X78">SUM(U29:X29)/SUM(-U33:X33)</f>
        <v>4.6371200103596752</v>
      </c>
      <c r="Y78" s="97" cm="1">
        <f t="array" ref="Y78">SUM(V29:Y29)/SUM(-V33:Y33)</f>
        <v>5.6068117385640948</v>
      </c>
      <c r="Z78" s="97" cm="1">
        <f t="array" ref="Z78">SUM(W29:Z29)/SUM(-W33:Z33)</f>
        <v>3.9823190570163742</v>
      </c>
      <c r="AA78" s="97" cm="1">
        <f t="array" ref="AA78">SUM(X29:AA29)/SUM(-X33:AA33)</f>
        <v>3.4933647755120916</v>
      </c>
      <c r="AB78" s="97" cm="1">
        <f t="array" ref="AB78">SUM(Y29:AB29)/SUM(-Y33:AB33)</f>
        <v>3.4891412541851414</v>
      </c>
      <c r="AC78" s="97" cm="1">
        <f t="array" ref="AC78">SUM(Z29:AC29)/SUM(-Z33:AC33)</f>
        <v>3.6341857086859277</v>
      </c>
      <c r="AE78" s="97">
        <f t="shared" ref="AE78:AP78" si="190">AE29/-AE33</f>
        <v>7.1312011444336587</v>
      </c>
      <c r="AF78" s="97">
        <f t="shared" si="190"/>
        <v>8.8992483186074107</v>
      </c>
      <c r="AG78" s="97">
        <f t="shared" si="190"/>
        <v>8.8289595147039428</v>
      </c>
      <c r="AH78" s="97">
        <f t="shared" si="190"/>
        <v>9.3740761400083663</v>
      </c>
      <c r="AI78" s="97">
        <f t="shared" si="190"/>
        <v>7.3158627335510467</v>
      </c>
      <c r="AJ78" s="97">
        <f t="shared" si="190"/>
        <v>5.6175416235162912</v>
      </c>
      <c r="AK78" s="97">
        <f t="shared" si="190"/>
        <v>4.9736897866930354</v>
      </c>
      <c r="AL78" s="97">
        <f t="shared" si="190"/>
        <v>4.6371200103596752</v>
      </c>
      <c r="AM78" s="97">
        <f t="shared" si="190"/>
        <v>5.6068117385640948</v>
      </c>
      <c r="AN78" s="97">
        <f t="shared" si="190"/>
        <v>3.9823190570163742</v>
      </c>
      <c r="AO78" s="97">
        <f t="shared" si="190"/>
        <v>3.4933647755120916</v>
      </c>
      <c r="AP78" s="97">
        <f t="shared" si="190"/>
        <v>3.4891412541851414</v>
      </c>
      <c r="AQ78" s="97">
        <f t="shared" ref="AQ78" si="191">AQ29/-AQ33</f>
        <v>3.6341857086859277</v>
      </c>
    </row>
    <row r="79" spans="1:43" ht="12.75" customHeight="1">
      <c r="B79" s="8" t="s">
        <v>77</v>
      </c>
      <c r="C79" s="97" cm="1">
        <f t="array" ref="C79">SUM(C29+C32)/SUM(-C33:C34)</f>
        <v>5.2725340136054424</v>
      </c>
      <c r="D79" s="97" cm="1">
        <f t="array" ref="D79">SUM(D29+D32)/SUM(-D33:D34)</f>
        <v>4.6692976686399179</v>
      </c>
      <c r="E79" s="97" cm="1">
        <f t="array" ref="E79">SUM(E29+E32)/SUM(-E33:E34)</f>
        <v>5.4935635091896717</v>
      </c>
      <c r="F79" s="97" cm="1">
        <f t="array" ref="F79">SUM(F29+F32)/SUM(-F33:F34)</f>
        <v>3.8558278925398692</v>
      </c>
      <c r="G79" s="97" cm="1">
        <f t="array" ref="G79">SUM(G29+G32)/SUM(-G33:G34)</f>
        <v>6.1476445653043266</v>
      </c>
      <c r="H79" s="97" cm="1">
        <f t="array" ref="H79">SUM(H29+H32)/SUM(-H33:H34)</f>
        <v>4.1697777144485606</v>
      </c>
      <c r="I79" s="97" cm="1">
        <f t="array" ref="I79">SUM(I29+I32)/SUM(-I33:I34)</f>
        <v>5.743426330332472</v>
      </c>
      <c r="J79" s="97" cm="1">
        <f t="array" ref="J79">SUM(J29+J32)/SUM(-J33:J34)</f>
        <v>5.5908726981585266</v>
      </c>
      <c r="K79" s="97" cm="1">
        <f t="array" ref="K79">SUM(K29+K32)/SUM(-K33:K34)</f>
        <v>5.2448854493908517</v>
      </c>
      <c r="L79" s="97" cm="1">
        <f t="array" ref="L79">SUM(L29+L32)/SUM(-L33:L34)</f>
        <v>3.3410039429085292</v>
      </c>
      <c r="N79" s="287"/>
      <c r="O79" s="287"/>
      <c r="P79" s="287"/>
      <c r="Q79" s="97" cm="1">
        <f t="array" ref="Q79">SUM(N29:Q29+N32:Q32)/SUM(-N33:Q34)</f>
        <v>5.743426330332472</v>
      </c>
      <c r="R79" s="97" cm="1">
        <f t="array" ref="R79">SUM(O29:R29+O32:R32)/SUM(-O33:R34)</f>
        <v>6.7721804098225569</v>
      </c>
      <c r="S79" s="97" cm="1">
        <f t="array" ref="S79">SUM(P29:S29+P32:S32)/SUM(-P33:S34)</f>
        <v>6.5848199805384366</v>
      </c>
      <c r="T79" s="97" cm="1">
        <f t="array" ref="T79">SUM(Q29:T29+Q32:T32)/SUM(-Q33:T34)</f>
        <v>6.8406104992452619</v>
      </c>
      <c r="U79" s="97" cm="1">
        <f t="array" ref="U79">SUM(R29:U29+R32:U32)/SUM(-R33:U34)</f>
        <v>5.5908726981585266</v>
      </c>
      <c r="V79" s="97" cm="1">
        <f t="array" ref="V79">SUM(S29:V29+S32:V32)/SUM(-S33:V34)</f>
        <v>4.6610650216266043</v>
      </c>
      <c r="W79" s="97" cm="1">
        <f t="array" ref="W79">SUM(T29:W29+T32:W32)/SUM(-T33:W34)</f>
        <v>4.3705283343251997</v>
      </c>
      <c r="X79" s="97" cm="1">
        <f t="array" ref="X79">SUM(U29:X29+U32:X32)/SUM(-U33:X34)</f>
        <v>4.190829231823562</v>
      </c>
      <c r="Y79" s="97" cm="1">
        <f t="array" ref="Y79">SUM(V29:Y29+V32:Y32)/SUM(-V33:Y34)</f>
        <v>5.2448854493908517</v>
      </c>
      <c r="Z79" s="97" cm="1">
        <f t="array" ref="Z79">SUM(W29:Z29+W32:Z32)/SUM(-W33:Z34)</f>
        <v>3.7157715078137499</v>
      </c>
      <c r="AA79" s="97" cm="1">
        <f t="array" ref="AA79">SUM(X29:AA29+X32:AA32)/SUM(-X33:AA34)</f>
        <v>3.2374346881213296</v>
      </c>
      <c r="AB79" s="97" cm="1">
        <f t="array" ref="AB79">SUM(Y29:AB29+Y32:AB32)/SUM(-Y33:AB34)</f>
        <v>3.209053479323138</v>
      </c>
      <c r="AC79" s="97" cm="1">
        <f t="array" ref="AC79">SUM(Z29:AC29+Z32:AC32)/SUM(-Z33:AC34)</f>
        <v>3.3410039429085292</v>
      </c>
      <c r="AE79" s="97" cm="1">
        <f t="array" ref="AE79">SUM(AE29+AE32)/SUM(-AE33:AE34)</f>
        <v>5.743426330332472</v>
      </c>
      <c r="AF79" s="97" cm="1">
        <f t="array" ref="AF79">SUM(AF29+AF32)/SUM(-AF33:AF34)</f>
        <v>6.7721804098225569</v>
      </c>
      <c r="AG79" s="97" cm="1">
        <f t="array" ref="AG79">SUM(AG29+AG32)/SUM(-AG33:AG34)</f>
        <v>6.5848199805384366</v>
      </c>
      <c r="AH79" s="97" cm="1">
        <f t="array" ref="AH79">SUM(AH29+AH32)/SUM(-AH33:AH34)</f>
        <v>6.8406104992452619</v>
      </c>
      <c r="AI79" s="97" cm="1">
        <f t="array" ref="AI79">SUM(AI29+AI32)/SUM(-AI33:AI34)</f>
        <v>5.5908726981585266</v>
      </c>
      <c r="AJ79" s="97" cm="1">
        <f t="array" ref="AJ79">SUM(AJ29+AJ32)/SUM(-AJ33:AJ34)</f>
        <v>4.6610650216266043</v>
      </c>
      <c r="AK79" s="97" cm="1">
        <f t="array" ref="AK79">SUM(AK29+AK32)/SUM(-AK33:AK34)</f>
        <v>4.3705283343251997</v>
      </c>
      <c r="AL79" s="97" cm="1">
        <f t="array" ref="AL79">SUM(AL29+AL32)/SUM(-AL33:AL34)</f>
        <v>4.190829231823562</v>
      </c>
      <c r="AM79" s="97" cm="1">
        <f t="array" ref="AM79">SUM(AM29+AM32)/SUM(-AM33:AM34)</f>
        <v>5.2448854493908517</v>
      </c>
      <c r="AN79" s="97" cm="1">
        <f t="array" ref="AN79">SUM(AN29+AN32)/SUM(-AN33:AN34)</f>
        <v>3.7157715078137499</v>
      </c>
      <c r="AO79" s="97" cm="1">
        <f t="array" ref="AO79">SUM(AO29+AO32)/SUM(-AO33:AO34)</f>
        <v>3.2374346881213296</v>
      </c>
      <c r="AP79" s="97" cm="1">
        <f t="array" ref="AP79">SUM(AP29+AP32)/SUM(-AP33:AP34)</f>
        <v>3.209053479323138</v>
      </c>
      <c r="AQ79" s="97" cm="1">
        <f t="array" ref="AQ79">SUM(AQ29+AQ32)/SUM(-AQ33:AQ34)</f>
        <v>3.3410039429085292</v>
      </c>
    </row>
    <row r="80" spans="1:43" ht="12.75" customHeight="1">
      <c r="B80" s="8" t="s">
        <v>78</v>
      </c>
      <c r="C80" s="97" cm="1">
        <f t="array" ref="C80">SUM(C29)/SUM(-C32:C34)</f>
        <v>3.0513186902915002</v>
      </c>
      <c r="D80" s="97" cm="1">
        <f t="array" ref="D80">SUM(D29)/SUM(-D32:D34)</f>
        <v>2.9211372158873496</v>
      </c>
      <c r="E80" s="97" cm="1">
        <f t="array" ref="E80">SUM(E29)/SUM(-E32:E34)</f>
        <v>3.2573639354066986</v>
      </c>
      <c r="F80" s="97" cm="1">
        <f t="array" ref="F80">SUM(F29)/SUM(-F32:F34)</f>
        <v>2.8287241698365375</v>
      </c>
      <c r="G80" s="97" cm="1">
        <f t="array" ref="G80">SUM(G29)/SUM(-G32:G34)</f>
        <v>4.2485867151221486</v>
      </c>
      <c r="H80" s="97" cm="1">
        <f t="array" ref="H80">SUM(H29)/SUM(-H32:H34)</f>
        <v>3.2724417090175448</v>
      </c>
      <c r="I80" s="97" cm="1">
        <f t="array" ref="I80">SUM(I29)/SUM(-I32:I34)</f>
        <v>4.2110360224461472</v>
      </c>
      <c r="J80" s="97" cm="1">
        <f t="array" ref="J80">SUM(J29)/SUM(-J32:J34)</f>
        <v>4.0863909572082173</v>
      </c>
      <c r="K80" s="97" cm="1">
        <f t="array" ref="K80">SUM(K29)/SUM(-K32:K34)</f>
        <v>4.1168246645475257</v>
      </c>
      <c r="L80" s="97" cm="1">
        <f t="array" ref="L80">SUM(L29)/SUM(-L32:L34)</f>
        <v>2.8102667427430283</v>
      </c>
      <c r="N80" s="287"/>
      <c r="O80" s="287"/>
      <c r="P80" s="287"/>
      <c r="Q80" s="97" cm="1">
        <f t="array" ref="Q80">SUM(N29:Q29)/SUM(-N32:Q34)</f>
        <v>4.2110360224461472</v>
      </c>
      <c r="R80" s="97" cm="1">
        <f t="array" ref="R80">SUM(O29:R29)/SUM(-O32:R34)</f>
        <v>4.514668004683057</v>
      </c>
      <c r="S80" s="97" cm="1">
        <f t="array" ref="S80">SUM(P29:S29)/SUM(-P32:S34)</f>
        <v>4.37696129707113</v>
      </c>
      <c r="T80" s="97" cm="1">
        <f t="array" ref="T80">SUM(Q29:T29)/SUM(-Q32:T34)</f>
        <v>4.48561991191779</v>
      </c>
      <c r="U80" s="97" cm="1">
        <f t="array" ref="U80">SUM(R29:U29)/SUM(-R32:U34)</f>
        <v>4.0863909572082173</v>
      </c>
      <c r="V80" s="97" cm="1">
        <f t="array" ref="V80">SUM(S29:V29)/SUM(-S32:V34)</f>
        <v>3.7340217103521312</v>
      </c>
      <c r="W80" s="97" cm="1">
        <f t="array" ref="W80">SUM(T29:W29)/SUM(-T32:W34)</f>
        <v>3.6213679609154026</v>
      </c>
      <c r="X80" s="97" cm="1">
        <f t="array" ref="X80">SUM(U29:X29)/SUM(-U32:X34)</f>
        <v>3.5103421233212431</v>
      </c>
      <c r="Y80" s="97" cm="1">
        <f t="array" ref="Y80">SUM(V29:Y29)/SUM(-V32:Y34)</f>
        <v>4.1168246645475257</v>
      </c>
      <c r="Z80" s="97" cm="1">
        <f t="array" ref="Z80">SUM(W29:Z29)/SUM(-W32:Z34)</f>
        <v>3.1442317815256984</v>
      </c>
      <c r="AA80" s="97" cm="1">
        <f t="array" ref="AA80">SUM(X29:AA29)/SUM(-X32:AA34)</f>
        <v>2.7814962079375598</v>
      </c>
      <c r="AB80" s="97" cm="1">
        <f t="array" ref="AB80">SUM(Y29:AB29)/SUM(-Y32:AB34)</f>
        <v>2.7257046920561985</v>
      </c>
      <c r="AC80" s="97" cm="1">
        <f t="array" ref="AC80">SUM(Z29:AC29)/SUM(-Z32:AC34)</f>
        <v>2.8102667427430283</v>
      </c>
      <c r="AE80" s="97" cm="1">
        <f t="array" ref="AE80">SUM(AE29)/SUM(-AE32:AE34)</f>
        <v>4.2110360224461472</v>
      </c>
      <c r="AF80" s="97" cm="1">
        <f t="array" ref="AF80">SUM(AF29)/SUM(-AF32:AF34)</f>
        <v>4.514668004683057</v>
      </c>
      <c r="AG80" s="97" cm="1">
        <f t="array" ref="AG80">SUM(AG29)/SUM(-AG32:AG34)</f>
        <v>4.37696129707113</v>
      </c>
      <c r="AH80" s="97" cm="1">
        <f t="array" ref="AH80">SUM(AH29)/SUM(-AH32:AH34)</f>
        <v>4.48561991191779</v>
      </c>
      <c r="AI80" s="97" cm="1">
        <f t="array" ref="AI80">SUM(AI29)/SUM(-AI32:AI34)</f>
        <v>4.0863909572082173</v>
      </c>
      <c r="AJ80" s="97" cm="1">
        <f t="array" ref="AJ80">SUM(AJ29)/SUM(-AJ32:AJ34)</f>
        <v>3.7340217103521312</v>
      </c>
      <c r="AK80" s="97" cm="1">
        <f t="array" ref="AK80">SUM(AK29)/SUM(-AK32:AK34)</f>
        <v>3.6213679609154026</v>
      </c>
      <c r="AL80" s="97" cm="1">
        <f t="array" ref="AL80">SUM(AL29)/SUM(-AL32:AL34)</f>
        <v>3.5103421233212431</v>
      </c>
      <c r="AM80" s="97" cm="1">
        <f t="array" ref="AM80">SUM(AM29)/SUM(-AM32:AM34)</f>
        <v>4.1168246645475257</v>
      </c>
      <c r="AN80" s="97" cm="1">
        <f t="array" ref="AN80">SUM(AN29)/SUM(-AN32:AN34)</f>
        <v>3.1442317815256984</v>
      </c>
      <c r="AO80" s="97" cm="1">
        <f t="array" ref="AO80">SUM(AO29)/SUM(-AO32:AO34)</f>
        <v>2.7814962079375598</v>
      </c>
      <c r="AP80" s="97" cm="1">
        <f t="array" ref="AP80">SUM(AP29)/SUM(-AP32:AP34)</f>
        <v>2.7257046920561985</v>
      </c>
      <c r="AQ80" s="97" cm="1">
        <f t="array" ref="AQ80">SUM(AQ29)/SUM(-AQ32:AQ34)</f>
        <v>2.8102667427430283</v>
      </c>
    </row>
    <row r="81" spans="2:43" ht="12.75" customHeight="1">
      <c r="B81" s="8" t="s">
        <v>79</v>
      </c>
      <c r="C81" s="97">
        <f t="shared" ref="C81" si="192">C72/C69</f>
        <v>2.4735844287158746</v>
      </c>
      <c r="D81" s="97">
        <f t="shared" ref="D81:F81" si="193">D72/D69</f>
        <v>2.1587742047026279</v>
      </c>
      <c r="E81" s="97">
        <f t="shared" si="193"/>
        <v>1.9359206170348435</v>
      </c>
      <c r="F81" s="97">
        <f t="shared" si="193"/>
        <v>1.8374873897470545</v>
      </c>
      <c r="G81" s="97">
        <f>G72/G69</f>
        <v>1.5811217047920594</v>
      </c>
      <c r="H81" s="97">
        <f>H72/H69</f>
        <v>1.5058571669112164</v>
      </c>
      <c r="I81" s="97">
        <f t="shared" ref="I81:K81" si="194">I72/I69</f>
        <v>1.4220240028650193</v>
      </c>
      <c r="J81" s="97">
        <f t="shared" si="194"/>
        <v>1.5594303615151952</v>
      </c>
      <c r="K81" s="97">
        <f t="shared" si="194"/>
        <v>1.5340948522446989</v>
      </c>
      <c r="L81" s="97">
        <f t="shared" ref="L81" si="195">L72/L69</f>
        <v>1.7473671406995956</v>
      </c>
      <c r="N81" s="287"/>
      <c r="O81" s="287"/>
      <c r="P81" s="287"/>
      <c r="Q81" s="97">
        <f t="shared" ref="Q81:AA81" si="196">Q72/Q69</f>
        <v>1.4220240028650193</v>
      </c>
      <c r="R81" s="97">
        <f t="shared" si="196"/>
        <v>1.4382053820538205</v>
      </c>
      <c r="S81" s="97">
        <f t="shared" si="196"/>
        <v>1.4937280481685902</v>
      </c>
      <c r="T81" s="97">
        <f t="shared" si="196"/>
        <v>1.4780014641288433</v>
      </c>
      <c r="U81" s="97">
        <f t="shared" si="196"/>
        <v>1.5594303615151952</v>
      </c>
      <c r="V81" s="97">
        <f t="shared" si="196"/>
        <v>1.6114587189929657</v>
      </c>
      <c r="W81" s="97">
        <f t="shared" si="196"/>
        <v>1.6325270102304235</v>
      </c>
      <c r="X81" s="97">
        <f t="shared" si="196"/>
        <v>1.5791479112374636</v>
      </c>
      <c r="Y81" s="97">
        <f t="shared" si="196"/>
        <v>1.5340948522446989</v>
      </c>
      <c r="Z81" s="97">
        <f t="shared" si="196"/>
        <v>1.6896558848748437</v>
      </c>
      <c r="AA81" s="97">
        <f t="shared" si="196"/>
        <v>1.6803006538610392</v>
      </c>
      <c r="AB81" s="97">
        <f t="shared" ref="AB81" si="197">AB72/AB69</f>
        <v>1.6473086983028182</v>
      </c>
      <c r="AC81" s="97">
        <f t="shared" ref="AC81" si="198">AC72/AC69</f>
        <v>1.7473671406995956</v>
      </c>
      <c r="AE81" s="97">
        <f t="shared" ref="AE81:AO81" si="199">AE72/AE69</f>
        <v>1.4651325029144215</v>
      </c>
      <c r="AF81" s="97">
        <f t="shared" si="199"/>
        <v>1.4803097563381671</v>
      </c>
      <c r="AG81" s="97">
        <f t="shared" si="199"/>
        <v>1.5464624332320245</v>
      </c>
      <c r="AH81" s="97">
        <f t="shared" si="199"/>
        <v>1.5117965198306944</v>
      </c>
      <c r="AI81" s="97">
        <f t="shared" si="199"/>
        <v>1.613690676041317</v>
      </c>
      <c r="AJ81" s="97">
        <f t="shared" si="199"/>
        <v>1.6804482623653256</v>
      </c>
      <c r="AK81" s="97">
        <f t="shared" si="199"/>
        <v>1.7050773756234812</v>
      </c>
      <c r="AL81" s="97">
        <f t="shared" si="199"/>
        <v>1.5791479112374636</v>
      </c>
      <c r="AM81" s="97">
        <f t="shared" si="199"/>
        <v>1.5340948522446989</v>
      </c>
      <c r="AN81" s="97">
        <f t="shared" si="199"/>
        <v>1.6896558848748437</v>
      </c>
      <c r="AO81" s="97">
        <f t="shared" si="199"/>
        <v>1.6803006538610392</v>
      </c>
      <c r="AP81" s="97">
        <f t="shared" ref="AP81:AQ81" si="200">AP72/AP69</f>
        <v>1.6473086983028182</v>
      </c>
      <c r="AQ81" s="97">
        <f t="shared" si="200"/>
        <v>1.7473671406995956</v>
      </c>
    </row>
    <row r="82" spans="2:43" ht="5.0999999999999996" customHeight="1" thickBot="1"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</row>
  </sheetData>
  <mergeCells count="1">
    <mergeCell ref="AS2:AS4"/>
  </mergeCells>
  <pageMargins left="0.7" right="0.7" top="0.75" bottom="0.75" header="0.3" footer="0.3"/>
  <ignoredErrors>
    <ignoredError sqref="M42:M43 M36:AB37 M38:Z41 AR37:AS42 AR35:AR36 M32:M35 AE32:AO42 C38:K43 G36:K37 L40:L4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0984-DA97-47D2-B984-783ADE65B252}">
  <sheetPr>
    <tabColor theme="4" tint="-0.499984740745262"/>
  </sheetPr>
  <dimension ref="B2:P101"/>
  <sheetViews>
    <sheetView showGridLines="0" zoomScale="115" zoomScaleNormal="115" workbookViewId="0">
      <selection activeCell="F60" sqref="F60"/>
    </sheetView>
  </sheetViews>
  <sheetFormatPr defaultRowHeight="14.25"/>
  <cols>
    <col min="1" max="1" width="1.625" customWidth="1"/>
    <col min="2" max="2" width="31.75" bestFit="1" customWidth="1"/>
    <col min="3" max="3" width="9.125" bestFit="1" customWidth="1"/>
    <col min="4" max="4" width="10.375" bestFit="1" customWidth="1"/>
    <col min="5" max="5" width="8.25" bestFit="1" customWidth="1"/>
    <col min="6" max="9" width="7.875" bestFit="1" customWidth="1"/>
    <col min="10" max="10" width="9.625" bestFit="1" customWidth="1"/>
    <col min="11" max="16" width="7.875" bestFit="1" customWidth="1"/>
    <col min="17" max="17" width="15.5" bestFit="1" customWidth="1"/>
  </cols>
  <sheetData>
    <row r="2" spans="2:16">
      <c r="B2" s="247" t="s">
        <v>223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</row>
    <row r="3" spans="2:16">
      <c r="B3" s="303" t="s">
        <v>578</v>
      </c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</row>
    <row r="4" spans="2:16">
      <c r="B4" s="303" t="s">
        <v>521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</row>
    <row r="5" spans="2:16" ht="5.0999999999999996" customHeight="1"/>
    <row r="6" spans="2:16">
      <c r="B6" s="514" t="s">
        <v>592</v>
      </c>
      <c r="C6" s="513"/>
      <c r="D6" s="516" t="s">
        <v>115</v>
      </c>
    </row>
    <row r="7" spans="2:16" ht="5.0999999999999996" customHeight="1"/>
    <row r="8" spans="2:16">
      <c r="B8" s="247" t="s">
        <v>223</v>
      </c>
      <c r="C8" s="229" t="s">
        <v>352</v>
      </c>
      <c r="D8" s="229"/>
      <c r="E8" s="229"/>
      <c r="F8" s="229"/>
      <c r="G8" s="229"/>
      <c r="H8" s="229"/>
      <c r="I8" s="229" t="s">
        <v>370</v>
      </c>
      <c r="J8" s="229" t="s">
        <v>165</v>
      </c>
      <c r="K8" s="229"/>
      <c r="L8" s="229"/>
      <c r="M8" s="229"/>
      <c r="N8" s="229"/>
      <c r="O8" s="229"/>
      <c r="P8" s="229" t="s">
        <v>370</v>
      </c>
    </row>
    <row r="9" spans="2:16">
      <c r="B9" s="303" t="s">
        <v>578</v>
      </c>
      <c r="C9" s="257">
        <f>'3 Statement Model'!C16</f>
        <v>2020</v>
      </c>
      <c r="D9" s="257">
        <f>'3 Statement Model'!D16</f>
        <v>2021</v>
      </c>
      <c r="E9" s="257">
        <f>'3 Statement Model'!E16</f>
        <v>2022</v>
      </c>
      <c r="F9" s="257">
        <f>'3 Statement Model'!F16</f>
        <v>2023</v>
      </c>
      <c r="G9" s="257">
        <f>'3 Statement Model'!G16</f>
        <v>2024</v>
      </c>
      <c r="H9" s="257">
        <f>'3 Statement Model'!H16</f>
        <v>2025</v>
      </c>
      <c r="I9" s="257" t="s">
        <v>560</v>
      </c>
      <c r="J9" s="251">
        <f>'3 Statement Model'!L16</f>
        <v>2026</v>
      </c>
      <c r="K9" s="251">
        <f>'3 Statement Model'!M16</f>
        <v>2027</v>
      </c>
      <c r="L9" s="251">
        <f>'3 Statement Model'!N16</f>
        <v>2028</v>
      </c>
      <c r="M9" s="251">
        <f>'3 Statement Model'!O16</f>
        <v>2029</v>
      </c>
      <c r="N9" s="251">
        <f>'3 Statement Model'!P16</f>
        <v>2030</v>
      </c>
      <c r="O9" s="251">
        <f>'3 Statement Model'!Q16</f>
        <v>2031</v>
      </c>
      <c r="P9" s="257" t="s">
        <v>561</v>
      </c>
    </row>
    <row r="10" spans="2:16">
      <c r="B10" s="303" t="s">
        <v>521</v>
      </c>
      <c r="C10" s="248">
        <f>'3 Statement Model'!C17</f>
        <v>44104</v>
      </c>
      <c r="D10" s="248">
        <f>'3 Statement Model'!D17</f>
        <v>44469</v>
      </c>
      <c r="E10" s="248">
        <f>'3 Statement Model'!E17</f>
        <v>44834</v>
      </c>
      <c r="F10" s="248">
        <f>'3 Statement Model'!F17</f>
        <v>45192</v>
      </c>
      <c r="G10" s="248">
        <f>'3 Statement Model'!G17</f>
        <v>45559</v>
      </c>
      <c r="H10" s="248">
        <f>'3 Statement Model'!H17</f>
        <v>45927</v>
      </c>
      <c r="I10" s="248">
        <f>H10</f>
        <v>45927</v>
      </c>
      <c r="J10" s="248">
        <f>'3 Statement Model'!L17</f>
        <v>46295</v>
      </c>
      <c r="K10" s="248">
        <f>'3 Statement Model'!M17</f>
        <v>46660</v>
      </c>
      <c r="L10" s="248">
        <f>'3 Statement Model'!N17</f>
        <v>47026</v>
      </c>
      <c r="M10" s="248">
        <f>'3 Statement Model'!O17</f>
        <v>47391</v>
      </c>
      <c r="N10" s="248">
        <f>'3 Statement Model'!P17</f>
        <v>47756</v>
      </c>
      <c r="O10" s="248">
        <f>'3 Statement Model'!Q17</f>
        <v>48121</v>
      </c>
      <c r="P10" s="248">
        <f>O10</f>
        <v>48121</v>
      </c>
    </row>
    <row r="11" spans="2:16" ht="5.0999999999999996" customHeight="1"/>
    <row r="12" spans="2:16">
      <c r="B12" s="8" t="s">
        <v>258</v>
      </c>
      <c r="C12" s="431">
        <f>'Revenue Drivers'!G9</f>
        <v>137781</v>
      </c>
      <c r="D12" s="431">
        <f>'Revenue Drivers'!H9</f>
        <v>191973</v>
      </c>
      <c r="E12" s="431">
        <f>'Revenue Drivers'!I9</f>
        <v>205489</v>
      </c>
      <c r="F12" s="431">
        <f>'Revenue Drivers'!J9</f>
        <v>200583</v>
      </c>
      <c r="G12" s="431">
        <f>'Revenue Drivers'!K9</f>
        <v>201183</v>
      </c>
      <c r="H12" s="431">
        <f>'Revenue Drivers'!L9</f>
        <v>209586</v>
      </c>
      <c r="I12" s="255">
        <f>((H12/C12)^(1/COUNT(D12:H12))-1)</f>
        <v>8.7513325944132303E-2</v>
      </c>
      <c r="J12" s="250">
        <f ca="1">(J27*J35)/1000</f>
        <v>225702.885625</v>
      </c>
      <c r="K12" s="250">
        <f ca="1">(K27*K35)/1000</f>
        <v>226652.19274193546</v>
      </c>
      <c r="L12" s="250">
        <f ca="1">(L27*L35)/1000</f>
        <v>247385.38721962055</v>
      </c>
      <c r="M12" s="250">
        <f ca="1">(M27*M35)/1000</f>
        <v>259807.05234793181</v>
      </c>
      <c r="N12" s="250">
        <f ca="1">(N27*N35)/1000</f>
        <v>264250.22132447507</v>
      </c>
      <c r="O12" s="250">
        <f ca="1">(O27*O35)/1000</f>
        <v>273871.83123328304</v>
      </c>
      <c r="P12" s="255">
        <f t="shared" ref="P12:P17" ca="1" si="0">((O12/J12)^(1/COUNT(K12:O12))-1)</f>
        <v>3.9446283600331089E-2</v>
      </c>
    </row>
    <row r="13" spans="2:16">
      <c r="B13" s="8" t="s">
        <v>259</v>
      </c>
      <c r="C13" s="431">
        <f>'Revenue Drivers'!G10</f>
        <v>28622</v>
      </c>
      <c r="D13" s="431">
        <f>'Revenue Drivers'!H10</f>
        <v>35190</v>
      </c>
      <c r="E13" s="431">
        <f>'Revenue Drivers'!I10</f>
        <v>40177</v>
      </c>
      <c r="F13" s="431">
        <f>'Revenue Drivers'!J10</f>
        <v>29357</v>
      </c>
      <c r="G13" s="431">
        <f>'Revenue Drivers'!K10</f>
        <v>29984</v>
      </c>
      <c r="H13" s="431">
        <f>'Revenue Drivers'!L10</f>
        <v>33708</v>
      </c>
      <c r="I13" s="255">
        <f>((H13/C13)^(1/COUNT(D13:H13))-1)</f>
        <v>3.3252825523713003E-2</v>
      </c>
      <c r="J13" s="250">
        <f ca="1">(J28*J36)/1000</f>
        <v>28219.816751415772</v>
      </c>
      <c r="K13" s="250">
        <f ca="1">(K28*K36)/1000</f>
        <v>30012.553403407528</v>
      </c>
      <c r="L13" s="250">
        <f ca="1">(L28*L36)/1000</f>
        <v>32045.659073977586</v>
      </c>
      <c r="M13" s="250">
        <f ca="1">(M28*M36)/1000</f>
        <v>32305.384824853045</v>
      </c>
      <c r="N13" s="250">
        <f ca="1">(N28*N36)/1000</f>
        <v>32545.933176598497</v>
      </c>
      <c r="O13" s="250">
        <f ca="1">(O28*O36)/1000</f>
        <v>33153.126023241835</v>
      </c>
      <c r="P13" s="255">
        <f t="shared" ca="1" si="0"/>
        <v>3.2747278133896218E-2</v>
      </c>
    </row>
    <row r="14" spans="2:16">
      <c r="B14" s="8" t="s">
        <v>260</v>
      </c>
      <c r="C14" s="431">
        <f>'Revenue Drivers'!G11</f>
        <v>23724</v>
      </c>
      <c r="D14" s="431">
        <f>'Revenue Drivers'!H11</f>
        <v>31862</v>
      </c>
      <c r="E14" s="431">
        <f>'Revenue Drivers'!I11</f>
        <v>29292</v>
      </c>
      <c r="F14" s="431">
        <f>'Revenue Drivers'!J11</f>
        <v>28300</v>
      </c>
      <c r="G14" s="431">
        <f>'Revenue Drivers'!K11</f>
        <v>26694</v>
      </c>
      <c r="H14" s="431">
        <f>'Revenue Drivers'!L11</f>
        <v>28023</v>
      </c>
      <c r="I14" s="255">
        <f>((H14/C14)^(1/COUNT(D14:H14))-1)</f>
        <v>3.3868592565621247E-2</v>
      </c>
      <c r="J14" s="250">
        <f ca="1">(J29*J37)/1000</f>
        <v>34564.86</v>
      </c>
      <c r="K14" s="250">
        <f ca="1">(K29*K37)/1000</f>
        <v>35639.129999999997</v>
      </c>
      <c r="L14" s="250">
        <f ca="1">(L29*L37)/1000</f>
        <v>36801</v>
      </c>
      <c r="M14" s="250">
        <f ca="1">(M29*M37)/1000</f>
        <v>38925.599999999999</v>
      </c>
      <c r="N14" s="250">
        <f ca="1">(N29*N37)/1000</f>
        <v>41149.919999999998</v>
      </c>
      <c r="O14" s="250">
        <f ca="1">(O29*O37)/1000</f>
        <v>41834.205059265827</v>
      </c>
      <c r="P14" s="255">
        <f t="shared" ca="1" si="0"/>
        <v>3.8913390101842804E-2</v>
      </c>
    </row>
    <row r="15" spans="2:16">
      <c r="B15" s="8" t="s">
        <v>261</v>
      </c>
      <c r="C15" s="431">
        <f>'Revenue Drivers'!G12</f>
        <v>53768</v>
      </c>
      <c r="D15" s="431">
        <f>'Revenue Drivers'!H12</f>
        <v>68425</v>
      </c>
      <c r="E15" s="431">
        <f>'Revenue Drivers'!I12</f>
        <v>78129</v>
      </c>
      <c r="F15" s="431">
        <f>'Revenue Drivers'!J12</f>
        <v>85200</v>
      </c>
      <c r="G15" s="431">
        <f>'Revenue Drivers'!K12</f>
        <v>96169</v>
      </c>
      <c r="H15" s="431">
        <f>'Revenue Drivers'!L12</f>
        <v>109158</v>
      </c>
      <c r="I15" s="255">
        <f>((H15/C15)^(1/COUNT(D15:H15))-1)</f>
        <v>0.15214287250455372</v>
      </c>
      <c r="J15" s="250">
        <f ca="1">F53</f>
        <v>123670.6</v>
      </c>
      <c r="K15" s="250">
        <f t="shared" ref="K15:O15" ca="1" si="1">G53</f>
        <v>138067.4</v>
      </c>
      <c r="L15" s="250">
        <f t="shared" ca="1" si="1"/>
        <v>153462.00994406868</v>
      </c>
      <c r="M15" s="250">
        <f t="shared" ca="1" si="1"/>
        <v>170605.9718025575</v>
      </c>
      <c r="N15" s="250">
        <f t="shared" ca="1" si="1"/>
        <v>189701.64645632805</v>
      </c>
      <c r="O15" s="250">
        <f t="shared" ca="1" si="1"/>
        <v>210975.18962013428</v>
      </c>
      <c r="P15" s="255">
        <f t="shared" ca="1" si="0"/>
        <v>0.11273816438462192</v>
      </c>
    </row>
    <row r="16" spans="2:16">
      <c r="B16" s="8" t="s">
        <v>262</v>
      </c>
      <c r="C16" s="431">
        <f>'Revenue Drivers'!G13</f>
        <v>30620</v>
      </c>
      <c r="D16" s="431">
        <f>'Revenue Drivers'!H13</f>
        <v>38367</v>
      </c>
      <c r="E16" s="431">
        <f>'Revenue Drivers'!I13</f>
        <v>41241</v>
      </c>
      <c r="F16" s="431">
        <f>'Revenue Drivers'!J13</f>
        <v>39845</v>
      </c>
      <c r="G16" s="431">
        <f>'Revenue Drivers'!K13</f>
        <v>37005</v>
      </c>
      <c r="H16" s="431">
        <f>'Revenue Drivers'!L13</f>
        <v>35686</v>
      </c>
      <c r="I16" s="255">
        <f>((H16/C16)^(1/COUNT(D16:H16))-1)</f>
        <v>3.1094658311796586E-2</v>
      </c>
      <c r="J16" s="250">
        <f ca="1">F54</f>
        <v>39064.199999999997</v>
      </c>
      <c r="K16" s="250">
        <f t="shared" ref="K16:O16" ca="1" si="2">G54</f>
        <v>40643.4</v>
      </c>
      <c r="L16" s="250">
        <f t="shared" ca="1" si="2"/>
        <v>42803.972155062482</v>
      </c>
      <c r="M16" s="250">
        <f t="shared" ca="1" si="2"/>
        <v>45085.605156887257</v>
      </c>
      <c r="N16" s="250">
        <f t="shared" ca="1" si="2"/>
        <v>47495.461812039161</v>
      </c>
      <c r="O16" s="250">
        <f t="shared" ca="1" si="2"/>
        <v>50041.151150414153</v>
      </c>
      <c r="P16" s="255">
        <f t="shared" ca="1" si="0"/>
        <v>5.077485449773933E-2</v>
      </c>
    </row>
    <row r="17" spans="2:16">
      <c r="B17" s="14" t="s">
        <v>577</v>
      </c>
      <c r="C17" s="15">
        <f>SUM(C12:C16)</f>
        <v>274515</v>
      </c>
      <c r="D17" s="15">
        <f t="shared" ref="D17:H17" si="3">SUM(D12:D16)</f>
        <v>365817</v>
      </c>
      <c r="E17" s="15">
        <f t="shared" si="3"/>
        <v>394328</v>
      </c>
      <c r="F17" s="15">
        <f t="shared" si="3"/>
        <v>383285</v>
      </c>
      <c r="G17" s="15">
        <f t="shared" si="3"/>
        <v>391035</v>
      </c>
      <c r="H17" s="15">
        <f t="shared" si="3"/>
        <v>416161</v>
      </c>
      <c r="I17" s="256">
        <f>((H17/C17)^(1/COUNT(D17:H17))-1)</f>
        <v>8.6773549240907411E-2</v>
      </c>
      <c r="J17" s="15">
        <f t="shared" ref="J17" ca="1" si="4">SUM(J12:J16)</f>
        <v>451222.36237641581</v>
      </c>
      <c r="K17" s="15">
        <f t="shared" ref="K17" ca="1" si="5">SUM(K12:K16)</f>
        <v>471014.67614534299</v>
      </c>
      <c r="L17" s="15">
        <f t="shared" ref="L17" ca="1" si="6">SUM(L12:L16)</f>
        <v>512498.02839272929</v>
      </c>
      <c r="M17" s="15">
        <f t="shared" ref="M17" ca="1" si="7">SUM(M12:M16)</f>
        <v>546729.61413222959</v>
      </c>
      <c r="N17" s="15">
        <f t="shared" ref="N17" ca="1" si="8">SUM(N12:N16)</f>
        <v>575143.18276944081</v>
      </c>
      <c r="O17" s="15">
        <f t="shared" ref="O17" ca="1" si="9">SUM(O12:O16)</f>
        <v>609875.5030863391</v>
      </c>
      <c r="P17" s="256">
        <f t="shared" ca="1" si="0"/>
        <v>6.2111509052187763E-2</v>
      </c>
    </row>
    <row r="18" spans="2:16" ht="5.0999999999999996" customHeight="1">
      <c r="B18" s="8"/>
      <c r="C18" s="8"/>
      <c r="D18" s="8"/>
      <c r="E18" s="8"/>
      <c r="F18" s="8"/>
      <c r="G18" s="8"/>
      <c r="H18" s="8"/>
      <c r="I18" s="8"/>
    </row>
    <row r="19" spans="2:16">
      <c r="B19" s="298" t="s">
        <v>594</v>
      </c>
      <c r="C19" s="288"/>
      <c r="D19" s="355"/>
      <c r="E19" s="355"/>
      <c r="F19" s="355"/>
      <c r="G19" s="355"/>
      <c r="H19" s="355"/>
      <c r="I19" s="355"/>
      <c r="J19" s="421"/>
      <c r="K19" s="421"/>
      <c r="L19" s="421"/>
      <c r="M19" s="421"/>
      <c r="N19" s="421"/>
      <c r="O19" s="443"/>
    </row>
    <row r="20" spans="2:16">
      <c r="B20" s="291" t="s">
        <v>12</v>
      </c>
      <c r="C20" s="293" t="s">
        <v>46</v>
      </c>
      <c r="D20" s="521">
        <f>SUM(D17/C17)-1</f>
        <v>0.33259384733074704</v>
      </c>
      <c r="E20" s="521">
        <f>SUM(E17/D17)-1</f>
        <v>7.7937876041846099E-2</v>
      </c>
      <c r="F20" s="521">
        <f>SUM(F17/E17)-1</f>
        <v>-2.800460530319937E-2</v>
      </c>
      <c r="G20" s="521">
        <f>SUM(G17/F17)-1</f>
        <v>2.021994077514111E-2</v>
      </c>
      <c r="H20" s="521">
        <f>SUM(H17/G17)-1</f>
        <v>6.425511782832749E-2</v>
      </c>
      <c r="I20" s="415"/>
      <c r="J20" s="521">
        <f ca="1">SUM(J17/H17)-1</f>
        <v>8.4249514914698453E-2</v>
      </c>
      <c r="K20" s="521">
        <f ca="1">SUM(K17/J17)-1</f>
        <v>4.3863769660458907E-2</v>
      </c>
      <c r="L20" s="521">
        <f ca="1">SUM(L17/K17)-1</f>
        <v>8.8072313556925463E-2</v>
      </c>
      <c r="M20" s="521">
        <f ca="1">SUM(M17/L17)-1</f>
        <v>6.6793594985829818E-2</v>
      </c>
      <c r="N20" s="521">
        <f ca="1">SUM(N17/M17)-1</f>
        <v>5.1970055952263117E-2</v>
      </c>
      <c r="O20" s="528">
        <f ca="1">SUM(O17/N17)-1</f>
        <v>6.0388997657339072E-2</v>
      </c>
    </row>
    <row r="21" spans="2:16">
      <c r="B21" s="291" t="str">
        <f>B12&amp;"(%)"</f>
        <v>iPhone Revenue(%)</v>
      </c>
      <c r="C21" s="293" t="s">
        <v>46</v>
      </c>
      <c r="D21" s="521">
        <f>SUM(D12/C12)-1</f>
        <v>0.39331983364905176</v>
      </c>
      <c r="E21" s="521">
        <f>SUM(E12/D12)-1</f>
        <v>7.0405734139696641E-2</v>
      </c>
      <c r="F21" s="521">
        <f>SUM(F12/E12)-1</f>
        <v>-2.3874757286278081E-2</v>
      </c>
      <c r="G21" s="521">
        <f>SUM(G12/F12)-1</f>
        <v>2.9912804175826757E-3</v>
      </c>
      <c r="H21" s="521">
        <f>SUM(H12/G12)-1</f>
        <v>4.1767942619406195E-2</v>
      </c>
      <c r="I21" s="415"/>
      <c r="J21" s="521">
        <f ca="1">SUM(J12/H12)-1</f>
        <v>7.6898674649070076E-2</v>
      </c>
      <c r="K21" s="521">
        <f ca="1">SUM(K12/J12)-1</f>
        <v>4.2060034558561998E-3</v>
      </c>
      <c r="L21" s="521">
        <f ca="1">SUM(L12/K12)-1</f>
        <v>9.147581687547035E-2</v>
      </c>
      <c r="M21" s="521">
        <f ca="1">SUM(M12/L12)-1</f>
        <v>5.0211798149919495E-2</v>
      </c>
      <c r="N21" s="521">
        <f ca="1">SUM(N12/M12)-1</f>
        <v>1.710180280477136E-2</v>
      </c>
      <c r="O21" s="528">
        <f ca="1">SUM(O12/N12)-1</f>
        <v>3.6410981457584146E-2</v>
      </c>
    </row>
    <row r="22" spans="2:16">
      <c r="B22" s="291" t="str">
        <f>B13&amp;"(%)"</f>
        <v>Mac Revenue(%)</v>
      </c>
      <c r="C22" s="293" t="s">
        <v>46</v>
      </c>
      <c r="D22" s="521">
        <f>SUM(D13/C13)-1</f>
        <v>0.22947383131856625</v>
      </c>
      <c r="E22" s="521">
        <f>SUM(E13/D13)-1</f>
        <v>0.14171639670360903</v>
      </c>
      <c r="F22" s="521">
        <f>SUM(F13/E13)-1</f>
        <v>-0.26930831072504169</v>
      </c>
      <c r="G22" s="521">
        <f>SUM(G13/F13)-1</f>
        <v>2.1357768164322E-2</v>
      </c>
      <c r="H22" s="521">
        <f>SUM(H13/G13)-1</f>
        <v>0.12419957310565644</v>
      </c>
      <c r="I22" s="415"/>
      <c r="J22" s="521">
        <f ca="1">SUM(J13/H13)-1</f>
        <v>-0.16281545177952494</v>
      </c>
      <c r="K22" s="521">
        <f ca="1">SUM(K13/J13)-1</f>
        <v>6.3527579494357056E-2</v>
      </c>
      <c r="L22" s="521">
        <f ca="1">SUM(L13/K13)-1</f>
        <v>6.7741842663051388E-2</v>
      </c>
      <c r="M22" s="521">
        <f ca="1">SUM(M13/L13)-1</f>
        <v>8.1048653196953424E-3</v>
      </c>
      <c r="N22" s="521">
        <f ca="1">SUM(N13/M13)-1</f>
        <v>7.4460760349894795E-3</v>
      </c>
      <c r="O22" s="528">
        <f ca="1">SUM(O13/N13)-1</f>
        <v>1.8656489071879667E-2</v>
      </c>
    </row>
    <row r="23" spans="2:16">
      <c r="B23" s="291" t="str">
        <f>B14&amp;"(%)"</f>
        <v>iPad Revenue(%)</v>
      </c>
      <c r="C23" s="293" t="s">
        <v>46</v>
      </c>
      <c r="D23" s="521">
        <f>SUM(D14/C14)-1</f>
        <v>0.34302815714044854</v>
      </c>
      <c r="E23" s="521">
        <f>SUM(E14/D14)-1</f>
        <v>-8.0660347749670458E-2</v>
      </c>
      <c r="F23" s="521">
        <f>SUM(F14/E14)-1</f>
        <v>-3.3865901952751631E-2</v>
      </c>
      <c r="G23" s="521">
        <f>SUM(G14/F14)-1</f>
        <v>-5.674911660777382E-2</v>
      </c>
      <c r="H23" s="521">
        <f>SUM(H14/G14)-1</f>
        <v>4.9786468869408962E-2</v>
      </c>
      <c r="I23" s="415"/>
      <c r="J23" s="521">
        <f ca="1">SUM(J14/H14)-1</f>
        <v>0.23344609784819625</v>
      </c>
      <c r="K23" s="521">
        <f ca="1">SUM(K14/J14)-1</f>
        <v>3.1079830787684282E-2</v>
      </c>
      <c r="L23" s="521">
        <f ca="1">SUM(L14/K14)-1</f>
        <v>3.2600964164950286E-2</v>
      </c>
      <c r="M23" s="521">
        <f ca="1">SUM(M14/L14)-1</f>
        <v>5.7732126844379117E-2</v>
      </c>
      <c r="N23" s="521">
        <f ca="1">SUM(N14/M14)-1</f>
        <v>5.7142857142857162E-2</v>
      </c>
      <c r="O23" s="528">
        <f ca="1">SUM(O14/N14)-1</f>
        <v>1.6629073866141875E-2</v>
      </c>
    </row>
    <row r="24" spans="2:16">
      <c r="B24" s="291" t="str">
        <f>B15&amp;"(%)"</f>
        <v>Services Revenue(%)</v>
      </c>
      <c r="C24" s="293" t="s">
        <v>46</v>
      </c>
      <c r="D24" s="521">
        <f>SUM(D15/C15)-1</f>
        <v>0.27259708376729663</v>
      </c>
      <c r="E24" s="521">
        <f>SUM(E15/D15)-1</f>
        <v>0.14181951041286078</v>
      </c>
      <c r="F24" s="521">
        <f>SUM(F15/E15)-1</f>
        <v>9.0504166186691215E-2</v>
      </c>
      <c r="G24" s="521">
        <f>SUM(G15/F15)-1</f>
        <v>0.12874413145539898</v>
      </c>
      <c r="H24" s="521">
        <f>SUM(H15/G15)-1</f>
        <v>0.13506431386413498</v>
      </c>
      <c r="I24" s="415"/>
      <c r="J24" s="521">
        <f ca="1">SUM(J15/H15)-1</f>
        <v>0.13295040216933263</v>
      </c>
      <c r="K24" s="521">
        <f ca="1">SUM(K15/J15)-1</f>
        <v>0.11641246989987919</v>
      </c>
      <c r="L24" s="521">
        <f ca="1">SUM(L15/K15)-1</f>
        <v>0.11150068694035431</v>
      </c>
      <c r="M24" s="521">
        <f ca="1">SUM(M15/L15)-1</f>
        <v>0.11171469645638799</v>
      </c>
      <c r="N24" s="521">
        <f ca="1">SUM(N15/M15)-1</f>
        <v>0.11192852425980715</v>
      </c>
      <c r="O24" s="528">
        <f ca="1">SUM(O15/N15)-1</f>
        <v>0.11214211136909502</v>
      </c>
    </row>
    <row r="25" spans="2:16">
      <c r="B25" s="291" t="str">
        <f>B16&amp;"(%)"</f>
        <v>Wearables, Home, and Accessories Revenue(%)</v>
      </c>
      <c r="C25" s="293" t="s">
        <v>46</v>
      </c>
      <c r="D25" s="521">
        <f>SUM(D16/C16)-1</f>
        <v>0.2530045721750489</v>
      </c>
      <c r="E25" s="521">
        <f>SUM(E16/D16)-1</f>
        <v>7.4908124169208001E-2</v>
      </c>
      <c r="F25" s="521">
        <f>SUM(F16/E16)-1</f>
        <v>-3.3849809655439933E-2</v>
      </c>
      <c r="G25" s="521">
        <f>SUM(G16/F16)-1</f>
        <v>-7.1276195256619435E-2</v>
      </c>
      <c r="H25" s="521">
        <f>SUM(H16/G16)-1</f>
        <v>-3.5643831914606183E-2</v>
      </c>
      <c r="I25" s="415"/>
      <c r="J25" s="521">
        <f ca="1">SUM(J16/H16)-1</f>
        <v>9.4664574342879559E-2</v>
      </c>
      <c r="K25" s="521">
        <f ca="1">SUM(K16/J16)-1</f>
        <v>4.0425760670895761E-2</v>
      </c>
      <c r="L25" s="521">
        <f ca="1">SUM(L16/K16)-1</f>
        <v>5.3159237540719495E-2</v>
      </c>
      <c r="M25" s="521">
        <f ca="1">SUM(M16/L16)-1</f>
        <v>5.3304235260206445E-2</v>
      </c>
      <c r="N25" s="521">
        <f ca="1">SUM(N16/M16)-1</f>
        <v>5.3450688900951171E-2</v>
      </c>
      <c r="O25" s="528">
        <f ca="1">SUM(O16/N16)-1</f>
        <v>5.3598580606488921E-2</v>
      </c>
    </row>
    <row r="26" spans="2:16">
      <c r="B26" s="296" t="s">
        <v>579</v>
      </c>
      <c r="C26" s="415"/>
      <c r="D26" s="415"/>
      <c r="E26" s="415"/>
      <c r="F26" s="415"/>
      <c r="G26" s="415"/>
      <c r="H26" s="415"/>
      <c r="I26" s="415"/>
      <c r="J26" s="381"/>
      <c r="K26" s="381"/>
      <c r="L26" s="381"/>
      <c r="M26" s="381"/>
      <c r="N26" s="381"/>
      <c r="O26" s="438"/>
    </row>
    <row r="27" spans="2:16">
      <c r="B27" s="291" t="s">
        <v>390</v>
      </c>
      <c r="C27" s="522">
        <v>186860</v>
      </c>
      <c r="D27" s="522">
        <v>235000</v>
      </c>
      <c r="E27" s="522">
        <v>245000</v>
      </c>
      <c r="F27" s="522">
        <v>218000</v>
      </c>
      <c r="G27" s="522">
        <v>224000</v>
      </c>
      <c r="H27" s="522">
        <v>231000</v>
      </c>
      <c r="I27" s="415"/>
      <c r="J27" s="523">
        <f ca="1">F48</f>
        <v>240700</v>
      </c>
      <c r="K27" s="523">
        <f t="shared" ref="K27:O27" ca="1" si="10">G48</f>
        <v>234500</v>
      </c>
      <c r="L27" s="523">
        <f t="shared" ca="1" si="10"/>
        <v>253300</v>
      </c>
      <c r="M27" s="523">
        <f t="shared" ca="1" si="10"/>
        <v>263200</v>
      </c>
      <c r="N27" s="523">
        <f t="shared" ca="1" si="10"/>
        <v>264800</v>
      </c>
      <c r="O27" s="529">
        <f t="shared" ca="1" si="10"/>
        <v>271400</v>
      </c>
    </row>
    <row r="28" spans="2:16">
      <c r="B28" s="291" t="s">
        <v>391</v>
      </c>
      <c r="C28" s="522">
        <v>52625.999999999956</v>
      </c>
      <c r="D28" s="522">
        <v>68510.999999999927</v>
      </c>
      <c r="E28" s="522">
        <v>59348.239999999991</v>
      </c>
      <c r="F28" s="522">
        <v>52508.535999999993</v>
      </c>
      <c r="G28" s="522">
        <v>50349.696340000002</v>
      </c>
      <c r="H28" s="522">
        <v>50850</v>
      </c>
      <c r="I28" s="415"/>
      <c r="J28" s="523">
        <f ca="1">F50</f>
        <v>52120.922323406674</v>
      </c>
      <c r="K28" s="523">
        <f t="shared" ref="K28:O28" ca="1" si="11">G50</f>
        <v>52464.968439577009</v>
      </c>
      <c r="L28" s="523">
        <f t="shared" ca="1" si="11"/>
        <v>53703.108043333028</v>
      </c>
      <c r="M28" s="523">
        <f t="shared" ca="1" si="11"/>
        <v>53637.148736316653</v>
      </c>
      <c r="N28" s="523">
        <f t="shared" ca="1" si="11"/>
        <v>54335.689922976329</v>
      </c>
      <c r="O28" s="529">
        <f t="shared" ca="1" si="11"/>
        <v>55300.794752264432</v>
      </c>
    </row>
    <row r="29" spans="2:16">
      <c r="B29" s="291" t="s">
        <v>392</v>
      </c>
      <c r="C29" s="522">
        <v>20907.113499999999</v>
      </c>
      <c r="D29" s="522">
        <v>27537.025875000003</v>
      </c>
      <c r="E29" s="522">
        <v>28368.573</v>
      </c>
      <c r="F29" s="522">
        <v>24996.715700000001</v>
      </c>
      <c r="G29" s="522">
        <v>24935.375601</v>
      </c>
      <c r="H29" s="522">
        <v>26947</v>
      </c>
      <c r="I29" s="415"/>
      <c r="J29" s="523">
        <f ca="1">F52</f>
        <v>25300</v>
      </c>
      <c r="K29" s="523">
        <f t="shared" ref="K29:O29" ca="1" si="12">G52</f>
        <v>26300</v>
      </c>
      <c r="L29" s="523">
        <f t="shared" ca="1" si="12"/>
        <v>27000</v>
      </c>
      <c r="M29" s="523">
        <f t="shared" ca="1" si="12"/>
        <v>28000</v>
      </c>
      <c r="N29" s="523">
        <f t="shared" ca="1" si="12"/>
        <v>29600</v>
      </c>
      <c r="O29" s="529">
        <f t="shared" ca="1" si="12"/>
        <v>30706.257383489301</v>
      </c>
    </row>
    <row r="30" spans="2:16">
      <c r="B30" s="296" t="s">
        <v>595</v>
      </c>
      <c r="C30" s="522"/>
      <c r="D30" s="522"/>
      <c r="E30" s="522"/>
      <c r="F30" s="522"/>
      <c r="G30" s="522"/>
      <c r="H30" s="522"/>
      <c r="I30" s="415"/>
      <c r="J30" s="523"/>
      <c r="K30" s="523"/>
      <c r="L30" s="523"/>
      <c r="M30" s="523"/>
      <c r="N30" s="523"/>
      <c r="O30" s="529"/>
    </row>
    <row r="31" spans="2:16">
      <c r="B31" s="291" t="s">
        <v>390</v>
      </c>
      <c r="C31" s="293" t="s">
        <v>46</v>
      </c>
      <c r="D31" s="521">
        <f>SUM(D27/C27)-1</f>
        <v>0.25762603018302466</v>
      </c>
      <c r="E31" s="521">
        <f t="shared" ref="E31:H31" si="13">SUM(E27/D27)-1</f>
        <v>4.2553191489361764E-2</v>
      </c>
      <c r="F31" s="521">
        <f t="shared" si="13"/>
        <v>-0.11020408163265305</v>
      </c>
      <c r="G31" s="521">
        <f t="shared" si="13"/>
        <v>2.7522935779816571E-2</v>
      </c>
      <c r="H31" s="521">
        <f t="shared" si="13"/>
        <v>3.125E-2</v>
      </c>
      <c r="I31" s="415"/>
      <c r="J31" s="521">
        <f ca="1">SUM(J27/H27)-1</f>
        <v>4.1991341991342024E-2</v>
      </c>
      <c r="K31" s="521">
        <f t="shared" ref="K31:O31" ca="1" si="14">SUM(K27/J27)-1</f>
        <v>-2.5758205234732046E-2</v>
      </c>
      <c r="L31" s="521">
        <f t="shared" ca="1" si="14"/>
        <v>8.0170575692963819E-2</v>
      </c>
      <c r="M31" s="521">
        <f t="shared" ca="1" si="14"/>
        <v>3.9084090011843653E-2</v>
      </c>
      <c r="N31" s="521">
        <f t="shared" ca="1" si="14"/>
        <v>6.0790273556230456E-3</v>
      </c>
      <c r="O31" s="528">
        <f t="shared" ca="1" si="14"/>
        <v>2.4924471299093698E-2</v>
      </c>
    </row>
    <row r="32" spans="2:16">
      <c r="B32" s="291" t="s">
        <v>391</v>
      </c>
      <c r="C32" s="293" t="s">
        <v>46</v>
      </c>
      <c r="D32" s="521">
        <f t="shared" ref="D32:H32" si="15">SUM(D28/C28)-1</f>
        <v>0.30184699578155261</v>
      </c>
      <c r="E32" s="521">
        <f t="shared" si="15"/>
        <v>-0.1337414429799586</v>
      </c>
      <c r="F32" s="521">
        <f t="shared" si="15"/>
        <v>-0.11524695593331835</v>
      </c>
      <c r="G32" s="521">
        <f t="shared" si="15"/>
        <v>-4.1114070672242486E-2</v>
      </c>
      <c r="H32" s="521">
        <f t="shared" si="15"/>
        <v>9.9365775042923321E-3</v>
      </c>
      <c r="I32" s="415"/>
      <c r="J32" s="521">
        <f ca="1">SUM(J28/H28)-1</f>
        <v>2.4993556015863838E-2</v>
      </c>
      <c r="K32" s="521">
        <f t="shared" ref="K32:O32" ca="1" si="16">SUM(K28/J28)-1</f>
        <v>6.6009214886020295E-3</v>
      </c>
      <c r="L32" s="521">
        <f t="shared" ca="1" si="16"/>
        <v>2.359935859261908E-2</v>
      </c>
      <c r="M32" s="521">
        <f t="shared" ca="1" si="16"/>
        <v>-1.2282214087712129E-3</v>
      </c>
      <c r="N32" s="521">
        <f t="shared" ca="1" si="16"/>
        <v>1.302345861249532E-2</v>
      </c>
      <c r="O32" s="528">
        <f t="shared" ca="1" si="16"/>
        <v>1.7761895186316545E-2</v>
      </c>
    </row>
    <row r="33" spans="2:16">
      <c r="B33" s="291" t="s">
        <v>392</v>
      </c>
      <c r="C33" s="293" t="s">
        <v>46</v>
      </c>
      <c r="D33" s="521">
        <f t="shared" ref="D33:H33" si="17">SUM(D29/C29)-1</f>
        <v>0.31711275566567343</v>
      </c>
      <c r="E33" s="521">
        <f t="shared" si="17"/>
        <v>3.0197419604232945E-2</v>
      </c>
      <c r="F33" s="521">
        <f t="shared" si="17"/>
        <v>-0.11885889713240072</v>
      </c>
      <c r="G33" s="521">
        <f t="shared" si="17"/>
        <v>-2.4539263372107545E-3</v>
      </c>
      <c r="H33" s="521">
        <f t="shared" si="17"/>
        <v>8.0673515057031242E-2</v>
      </c>
      <c r="I33" s="415"/>
      <c r="J33" s="521">
        <f ca="1">SUM(J29/H29)-1</f>
        <v>-6.1119976249675245E-2</v>
      </c>
      <c r="K33" s="521">
        <f t="shared" ref="K33:O33" ca="1" si="18">SUM(K29/J29)-1</f>
        <v>3.9525691699604737E-2</v>
      </c>
      <c r="L33" s="521">
        <f t="shared" ca="1" si="18"/>
        <v>2.6615969581748944E-2</v>
      </c>
      <c r="M33" s="521">
        <f t="shared" ca="1" si="18"/>
        <v>3.7037037037036979E-2</v>
      </c>
      <c r="N33" s="521">
        <f t="shared" ca="1" si="18"/>
        <v>5.7142857142857162E-2</v>
      </c>
      <c r="O33" s="528">
        <f t="shared" ca="1" si="18"/>
        <v>3.7373560253016969E-2</v>
      </c>
    </row>
    <row r="34" spans="2:16">
      <c r="B34" s="296" t="s">
        <v>593</v>
      </c>
      <c r="C34" s="415"/>
      <c r="D34" s="415"/>
      <c r="E34" s="415"/>
      <c r="F34" s="415"/>
      <c r="G34" s="415"/>
      <c r="H34" s="415"/>
      <c r="I34" s="415"/>
      <c r="J34" s="381"/>
      <c r="K34" s="381"/>
      <c r="L34" s="381"/>
      <c r="M34" s="381"/>
      <c r="N34" s="381"/>
      <c r="O34" s="438"/>
    </row>
    <row r="35" spans="2:16">
      <c r="B35" s="291" t="s">
        <v>390</v>
      </c>
      <c r="C35" s="524">
        <v>695.89473684210532</v>
      </c>
      <c r="D35" s="524">
        <v>793.22448979591832</v>
      </c>
      <c r="E35" s="524">
        <v>804.2641509433962</v>
      </c>
      <c r="F35" s="524">
        <v>858.92156862745094</v>
      </c>
      <c r="G35" s="524">
        <v>888.88461538461536</v>
      </c>
      <c r="H35" s="524">
        <v>907</v>
      </c>
      <c r="I35" s="415"/>
      <c r="J35" s="525">
        <f ca="1">F47</f>
        <v>937.69375000000002</v>
      </c>
      <c r="K35" s="525">
        <f t="shared" ref="K35:O35" ca="1" si="19">G47</f>
        <v>966.5338709677419</v>
      </c>
      <c r="L35" s="525">
        <f t="shared" ca="1" si="19"/>
        <v>976.64977188954026</v>
      </c>
      <c r="M35" s="525">
        <f t="shared" ca="1" si="19"/>
        <v>987.10886150430019</v>
      </c>
      <c r="N35" s="525">
        <f t="shared" ca="1" si="19"/>
        <v>997.92379654257957</v>
      </c>
      <c r="O35" s="530">
        <f t="shared" ca="1" si="19"/>
        <v>1009.1077053547644</v>
      </c>
    </row>
    <row r="36" spans="2:16">
      <c r="B36" s="291" t="s">
        <v>391</v>
      </c>
      <c r="C36" s="524">
        <v>451.02853351028568</v>
      </c>
      <c r="D36" s="524">
        <v>477.60157425628017</v>
      </c>
      <c r="E36" s="524">
        <v>548.29321382059618</v>
      </c>
      <c r="F36" s="524">
        <v>547.13830447078976</v>
      </c>
      <c r="G36" s="524">
        <v>567.4929285318575</v>
      </c>
      <c r="H36" s="524">
        <v>551</v>
      </c>
      <c r="I36" s="415"/>
      <c r="J36" s="525">
        <f ca="1">F49</f>
        <v>541.4297271317223</v>
      </c>
      <c r="K36" s="525">
        <f t="shared" ref="K36:O36" ca="1" si="20">G49</f>
        <v>572.04939402512866</v>
      </c>
      <c r="L36" s="525">
        <f t="shared" ca="1" si="20"/>
        <v>596.71889098336635</v>
      </c>
      <c r="M36" s="525">
        <f t="shared" ca="1" si="20"/>
        <v>602.2949688035842</v>
      </c>
      <c r="N36" s="525">
        <f t="shared" ca="1" si="20"/>
        <v>598.97892568832845</v>
      </c>
      <c r="O36" s="530">
        <f t="shared" ca="1" si="20"/>
        <v>599.50541708777689</v>
      </c>
    </row>
    <row r="37" spans="2:16">
      <c r="B37" s="291" t="s">
        <v>392</v>
      </c>
      <c r="C37" s="524">
        <v>1313.4846558179534</v>
      </c>
      <c r="D37" s="524">
        <v>1269.8014348893382</v>
      </c>
      <c r="E37" s="524">
        <v>1404.5723869425155</v>
      </c>
      <c r="F37" s="524">
        <v>1153.3969191970486</v>
      </c>
      <c r="G37" s="524">
        <v>1172.6038851864198</v>
      </c>
      <c r="H37" s="524">
        <v>1251</v>
      </c>
      <c r="I37" s="415"/>
      <c r="J37" s="525">
        <f ca="1">F51</f>
        <v>1366.2</v>
      </c>
      <c r="K37" s="525">
        <f t="shared" ref="K37:O37" ca="1" si="21">G51</f>
        <v>1355.1</v>
      </c>
      <c r="L37" s="525">
        <f t="shared" ca="1" si="21"/>
        <v>1363</v>
      </c>
      <c r="M37" s="525">
        <f t="shared" ca="1" si="21"/>
        <v>1390.2</v>
      </c>
      <c r="N37" s="525">
        <f t="shared" ca="1" si="21"/>
        <v>1390.2</v>
      </c>
      <c r="O37" s="530">
        <f t="shared" ca="1" si="21"/>
        <v>1362.4</v>
      </c>
    </row>
    <row r="38" spans="2:16">
      <c r="B38" s="296" t="s">
        <v>596</v>
      </c>
      <c r="C38" s="524"/>
      <c r="D38" s="524"/>
      <c r="E38" s="524"/>
      <c r="F38" s="524"/>
      <c r="G38" s="524"/>
      <c r="H38" s="524"/>
      <c r="I38" s="415"/>
      <c r="J38" s="525"/>
      <c r="K38" s="525"/>
      <c r="L38" s="525"/>
      <c r="M38" s="525"/>
      <c r="N38" s="525"/>
      <c r="O38" s="530"/>
    </row>
    <row r="39" spans="2:16">
      <c r="B39" s="291" t="s">
        <v>390</v>
      </c>
      <c r="C39" s="293" t="s">
        <v>46</v>
      </c>
      <c r="D39" s="521">
        <f>SUM(D35/C35)-1</f>
        <v>0.13986275193786479</v>
      </c>
      <c r="E39" s="521">
        <f t="shared" ref="E39:H39" si="22">SUM(E35/D35)-1</f>
        <v>1.3917448703983037E-2</v>
      </c>
      <c r="F39" s="521">
        <f t="shared" si="22"/>
        <v>6.7959534961171686E-2</v>
      </c>
      <c r="G39" s="521">
        <f t="shared" si="22"/>
        <v>3.4884496852308766E-2</v>
      </c>
      <c r="H39" s="521">
        <f t="shared" si="22"/>
        <v>2.0379905672623488E-2</v>
      </c>
      <c r="I39" s="415"/>
      <c r="J39" s="521">
        <f ca="1">SUM(J35/H35)-1</f>
        <v>3.3840959206174137E-2</v>
      </c>
      <c r="K39" s="521">
        <f t="shared" ref="K39:O39" ca="1" si="23">SUM(K35/J35)-1</f>
        <v>3.0756439368121891E-2</v>
      </c>
      <c r="L39" s="521">
        <f t="shared" ca="1" si="23"/>
        <v>1.0466162879185781E-2</v>
      </c>
      <c r="M39" s="521">
        <f t="shared" ca="1" si="23"/>
        <v>1.0709150727107097E-2</v>
      </c>
      <c r="N39" s="521">
        <f t="shared" ca="1" si="23"/>
        <v>1.0956172576343848E-2</v>
      </c>
      <c r="O39" s="528">
        <f t="shared" ca="1" si="23"/>
        <v>1.1207177192219309E-2</v>
      </c>
    </row>
    <row r="40" spans="2:16">
      <c r="B40" s="291" t="s">
        <v>391</v>
      </c>
      <c r="C40" s="293" t="s">
        <v>46</v>
      </c>
      <c r="D40" s="521">
        <f t="shared" ref="D40:H40" si="24">SUM(D36/C36)-1</f>
        <v>5.8916540244539739E-2</v>
      </c>
      <c r="E40" s="521">
        <f t="shared" si="24"/>
        <v>0.14801383281534797</v>
      </c>
      <c r="F40" s="521">
        <f t="shared" si="24"/>
        <v>-2.1063717746182542E-3</v>
      </c>
      <c r="G40" s="521">
        <f t="shared" si="24"/>
        <v>3.7201972325361821E-2</v>
      </c>
      <c r="H40" s="521">
        <f t="shared" si="24"/>
        <v>-2.9062791274819588E-2</v>
      </c>
      <c r="I40" s="415"/>
      <c r="J40" s="521">
        <f ca="1">SUM(J36/H36)-1</f>
        <v>-1.7368916276366053E-2</v>
      </c>
      <c r="K40" s="521">
        <f t="shared" ref="K40:O40" ca="1" si="25">SUM(K36/J36)-1</f>
        <v>5.6553353757683444E-2</v>
      </c>
      <c r="L40" s="521">
        <f t="shared" ca="1" si="25"/>
        <v>4.3124767224478555E-2</v>
      </c>
      <c r="M40" s="521">
        <f t="shared" ca="1" si="25"/>
        <v>9.3445639219309484E-3</v>
      </c>
      <c r="N40" s="521">
        <f t="shared" ca="1" si="25"/>
        <v>-5.5056795872674424E-3</v>
      </c>
      <c r="O40" s="528">
        <f t="shared" ca="1" si="25"/>
        <v>8.7898150814469389E-4</v>
      </c>
    </row>
    <row r="41" spans="2:16">
      <c r="B41" s="292" t="s">
        <v>392</v>
      </c>
      <c r="C41" s="526" t="s">
        <v>46</v>
      </c>
      <c r="D41" s="527">
        <f t="shared" ref="D41:H41" si="26">SUM(D37/C37)-1</f>
        <v>-3.325750379734127E-2</v>
      </c>
      <c r="E41" s="527">
        <f t="shared" si="26"/>
        <v>0.10613545421369164</v>
      </c>
      <c r="F41" s="527">
        <f t="shared" si="26"/>
        <v>-0.17882700107199723</v>
      </c>
      <c r="G41" s="527">
        <f t="shared" si="26"/>
        <v>1.6652520628148038E-2</v>
      </c>
      <c r="H41" s="527">
        <f t="shared" si="26"/>
        <v>6.6856434473707038E-2</v>
      </c>
      <c r="I41" s="353"/>
      <c r="J41" s="527">
        <f ca="1">SUM(J37/H37)-1</f>
        <v>9.2086330935251759E-2</v>
      </c>
      <c r="K41" s="527">
        <f t="shared" ref="K41:O41" ca="1" si="27">SUM(K37/J37)-1</f>
        <v>-8.1247255160299403E-3</v>
      </c>
      <c r="L41" s="527">
        <f ca="1">SUM(L37/K37)-1</f>
        <v>5.8298280569699656E-3</v>
      </c>
      <c r="M41" s="527">
        <f t="shared" ca="1" si="27"/>
        <v>1.9955979457080053E-2</v>
      </c>
      <c r="N41" s="527">
        <f t="shared" ca="1" si="27"/>
        <v>0</v>
      </c>
      <c r="O41" s="531">
        <f t="shared" ca="1" si="27"/>
        <v>-1.9997122716155946E-2</v>
      </c>
    </row>
    <row r="43" spans="2:16">
      <c r="B43" s="100" t="s">
        <v>215</v>
      </c>
      <c r="C43" s="100"/>
      <c r="D43" s="100"/>
      <c r="E43" s="100"/>
      <c r="F43" s="100"/>
      <c r="G43" s="100"/>
      <c r="H43" s="100"/>
      <c r="I43" s="100"/>
      <c r="J43" s="100"/>
      <c r="K43" s="100"/>
    </row>
    <row r="44" spans="2:16" ht="5.0999999999999996" customHeight="1" thickBot="1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2:16" ht="15" thickBot="1">
      <c r="B45" s="8" t="s">
        <v>216</v>
      </c>
      <c r="C45" s="519" t="str">
        <f>D6</f>
        <v>Base case</v>
      </c>
      <c r="D45" s="8"/>
      <c r="E45" s="481" t="s">
        <v>588</v>
      </c>
      <c r="F45" s="105">
        <f>'3 Statement Model'!L16</f>
        <v>2026</v>
      </c>
      <c r="G45" s="105">
        <f>'3 Statement Model'!M16</f>
        <v>2027</v>
      </c>
      <c r="H45" s="105">
        <f>'3 Statement Model'!N16</f>
        <v>2028</v>
      </c>
      <c r="I45" s="105">
        <f>'3 Statement Model'!O16</f>
        <v>2029</v>
      </c>
      <c r="J45" s="105">
        <f>'3 Statement Model'!P16</f>
        <v>2030</v>
      </c>
      <c r="K45" s="105">
        <f>'3 Statement Model'!Q16</f>
        <v>2031</v>
      </c>
    </row>
    <row r="46" spans="2:16">
      <c r="B46" s="8"/>
      <c r="C46" s="8"/>
      <c r="D46" s="415"/>
      <c r="E46" s="482" t="s">
        <v>217</v>
      </c>
      <c r="F46" s="106">
        <f>'3 Statement Model'!L17</f>
        <v>46295</v>
      </c>
      <c r="G46" s="106">
        <f>'3 Statement Model'!M17</f>
        <v>46660</v>
      </c>
      <c r="H46" s="106">
        <f>'3 Statement Model'!N17</f>
        <v>47026</v>
      </c>
      <c r="I46" s="106">
        <f>'3 Statement Model'!O17</f>
        <v>47391</v>
      </c>
      <c r="J46" s="106">
        <f>'3 Statement Model'!P17</f>
        <v>47756</v>
      </c>
      <c r="K46" s="106">
        <f>'3 Statement Model'!Q17</f>
        <v>48121</v>
      </c>
    </row>
    <row r="47" spans="2:16">
      <c r="B47" s="508" t="s">
        <v>589</v>
      </c>
      <c r="C47" s="351"/>
      <c r="D47" s="351"/>
      <c r="E47" s="520" t="str">
        <f ca="1">OFFSET(E$58,MATCH($B47,$B$58:$B$101,0)+MATCH($C$45,$B$59:$B$61,0)-1,0)</f>
        <v>NM</v>
      </c>
      <c r="F47" s="509">
        <f ca="1">OFFSET(F$58,MATCH($B47,$B$58:$B$101,0)+MATCH($C$45,$B$59:$B$61,0)-1,0)</f>
        <v>937.69375000000002</v>
      </c>
      <c r="G47" s="509">
        <f ca="1">OFFSET(G$58,MATCH($B47,$B$58:$B$101,0)+MATCH($C$45,$B$59:$B$61,0)-1,0)</f>
        <v>966.5338709677419</v>
      </c>
      <c r="H47" s="509">
        <f ca="1">OFFSET(H$58,MATCH($B47,$B$58:$B$101,0)+MATCH($C$45,$B$59:$B$61,0)-1,0)</f>
        <v>976.64977188954026</v>
      </c>
      <c r="I47" s="509">
        <f ca="1">OFFSET(I$58,MATCH($B47,$B$58:$B$101,0)+MATCH($C$45,$B$59:$B$61,0)-1,0)</f>
        <v>987.10886150430019</v>
      </c>
      <c r="J47" s="509">
        <f ca="1">OFFSET(J$58,MATCH($B47,$B$58:$B$101,0)+MATCH($C$45,$B$59:$B$61,0)-1,0)</f>
        <v>997.92379654257957</v>
      </c>
      <c r="K47" s="509">
        <f ca="1">OFFSET(K$58,MATCH($B47,$B$58:$B$101,0)+MATCH($C$45,$B$59:$B$61,0)-1,0)</f>
        <v>1009.1077053547644</v>
      </c>
    </row>
    <row r="48" spans="2:16">
      <c r="B48" s="510" t="s">
        <v>398</v>
      </c>
      <c r="C48" s="351"/>
      <c r="D48" s="351"/>
      <c r="E48" s="511" t="str">
        <f ca="1">OFFSET(E$58,MATCH($B48,$B$58:$B$101,0)+MATCH($C$45,$B$59:$B$61,0)-1,0)</f>
        <v>NM</v>
      </c>
      <c r="F48" s="512">
        <f ca="1">OFFSET(F$58,MATCH($B48,$B$58:$B$101,0)+MATCH($C$45,$B$59:$B$61,0)-1,0)</f>
        <v>240700</v>
      </c>
      <c r="G48" s="512">
        <f ca="1">OFFSET(G$58,MATCH($B48,$B$58:$B$101,0)+MATCH($C$45,$B$59:$B$61,0)-1,0)</f>
        <v>234500</v>
      </c>
      <c r="H48" s="512">
        <f ca="1">OFFSET(H$58,MATCH($B48,$B$58:$B$101,0)+MATCH($C$45,$B$59:$B$61,0)-1,0)</f>
        <v>253300</v>
      </c>
      <c r="I48" s="512">
        <f ca="1">OFFSET(I$58,MATCH($B48,$B$58:$B$101,0)+MATCH($C$45,$B$59:$B$61,0)-1,0)</f>
        <v>263200</v>
      </c>
      <c r="J48" s="512">
        <f ca="1">OFFSET(J$58,MATCH($B48,$B$58:$B$101,0)+MATCH($C$45,$B$59:$B$61,0)-1,0)</f>
        <v>264800</v>
      </c>
      <c r="K48" s="512">
        <f ca="1">OFFSET(K$58,MATCH($B48,$B$58:$B$101,0)+MATCH($C$45,$B$59:$B$61,0)-1,0)</f>
        <v>271400</v>
      </c>
    </row>
    <row r="49" spans="2:14">
      <c r="B49" s="508" t="s">
        <v>590</v>
      </c>
      <c r="C49" s="351"/>
      <c r="D49" s="351"/>
      <c r="E49" s="520" t="str">
        <f ca="1">OFFSET(E$58,MATCH($B49,$B$58:$B$101,0)+MATCH($C$45,$B$59:$B$61,0)-1,0)</f>
        <v>NM</v>
      </c>
      <c r="F49" s="509">
        <f ca="1">OFFSET(F$58,MATCH($B49,$B$58:$B$101,0)+MATCH($C$45,$B$59:$B$61,0)-1,0)</f>
        <v>541.4297271317223</v>
      </c>
      <c r="G49" s="509">
        <f ca="1">OFFSET(G$58,MATCH($B49,$B$58:$B$101,0)+MATCH($C$45,$B$59:$B$61,0)-1,0)</f>
        <v>572.04939402512866</v>
      </c>
      <c r="H49" s="509">
        <f ca="1">OFFSET(H$58,MATCH($B49,$B$58:$B$101,0)+MATCH($C$45,$B$59:$B$61,0)-1,0)</f>
        <v>596.71889098336635</v>
      </c>
      <c r="I49" s="509">
        <f ca="1">OFFSET(I$58,MATCH($B49,$B$58:$B$101,0)+MATCH($C$45,$B$59:$B$61,0)-1,0)</f>
        <v>602.2949688035842</v>
      </c>
      <c r="J49" s="509">
        <f ca="1">OFFSET(J$58,MATCH($B49,$B$58:$B$101,0)+MATCH($C$45,$B$59:$B$61,0)-1,0)</f>
        <v>598.97892568832845</v>
      </c>
      <c r="K49" s="509">
        <f ca="1">OFFSET(K$58,MATCH($B49,$B$58:$B$101,0)+MATCH($C$45,$B$59:$B$61,0)-1,0)</f>
        <v>599.50541708777689</v>
      </c>
    </row>
    <row r="50" spans="2:14">
      <c r="B50" s="510" t="s">
        <v>399</v>
      </c>
      <c r="C50" s="351"/>
      <c r="D50" s="351"/>
      <c r="E50" s="511" t="str">
        <f ca="1">OFFSET(E$58,MATCH($B50,$B$58:$B$101,0)+MATCH($C$45,$B$59:$B$61,0)-1,0)</f>
        <v>NM</v>
      </c>
      <c r="F50" s="512">
        <f ca="1">OFFSET(F$58,MATCH($B50,$B$58:$B$101,0)+MATCH($C$45,$B$59:$B$61,0)-1,0)</f>
        <v>52120.922323406674</v>
      </c>
      <c r="G50" s="512">
        <f ca="1">OFFSET(G$58,MATCH($B50,$B$58:$B$101,0)+MATCH($C$45,$B$59:$B$61,0)-1,0)</f>
        <v>52464.968439577009</v>
      </c>
      <c r="H50" s="512">
        <f ca="1">OFFSET(H$58,MATCH($B50,$B$58:$B$101,0)+MATCH($C$45,$B$59:$B$61,0)-1,0)</f>
        <v>53703.108043333028</v>
      </c>
      <c r="I50" s="512">
        <f ca="1">OFFSET(I$58,MATCH($B50,$B$58:$B$101,0)+MATCH($C$45,$B$59:$B$61,0)-1,0)</f>
        <v>53637.148736316653</v>
      </c>
      <c r="J50" s="512">
        <f ca="1">OFFSET(J$58,MATCH($B50,$B$58:$B$101,0)+MATCH($C$45,$B$59:$B$61,0)-1,0)</f>
        <v>54335.689922976329</v>
      </c>
      <c r="K50" s="512">
        <f ca="1">OFFSET(K$58,MATCH($B50,$B$58:$B$101,0)+MATCH($C$45,$B$59:$B$61,0)-1,0)</f>
        <v>55300.794752264432</v>
      </c>
    </row>
    <row r="51" spans="2:14">
      <c r="B51" s="508" t="s">
        <v>591</v>
      </c>
      <c r="C51" s="351"/>
      <c r="D51" s="351"/>
      <c r="E51" s="520" t="str">
        <f ca="1">OFFSET(E$58,MATCH($B51,$B$58:$B$101,0)+MATCH($C$45,$B$59:$B$61,0)-1,0)</f>
        <v>NM</v>
      </c>
      <c r="F51" s="509">
        <f ca="1">OFFSET(F$58,MATCH($B51,$B$58:$B$101,0)+MATCH($C$45,$B$59:$B$61,0)-1,0)</f>
        <v>1366.2</v>
      </c>
      <c r="G51" s="509">
        <f ca="1">OFFSET(G$58,MATCH($B51,$B$58:$B$101,0)+MATCH($C$45,$B$59:$B$61,0)-1,0)</f>
        <v>1355.1</v>
      </c>
      <c r="H51" s="509">
        <f ca="1">OFFSET(H$58,MATCH($B51,$B$58:$B$101,0)+MATCH($C$45,$B$59:$B$61,0)-1,0)</f>
        <v>1363</v>
      </c>
      <c r="I51" s="509">
        <f ca="1">OFFSET(I$58,MATCH($B51,$B$58:$B$101,0)+MATCH($C$45,$B$59:$B$61,0)-1,0)</f>
        <v>1390.2</v>
      </c>
      <c r="J51" s="509">
        <f ca="1">OFFSET(J$58,MATCH($B51,$B$58:$B$101,0)+MATCH($C$45,$B$59:$B$61,0)-1,0)</f>
        <v>1390.2</v>
      </c>
      <c r="K51" s="509">
        <f ca="1">OFFSET(K$58,MATCH($B51,$B$58:$B$101,0)+MATCH($C$45,$B$59:$B$61,0)-1,0)</f>
        <v>1362.4</v>
      </c>
    </row>
    <row r="52" spans="2:14">
      <c r="B52" s="510" t="s">
        <v>583</v>
      </c>
      <c r="C52" s="351"/>
      <c r="D52" s="351"/>
      <c r="E52" s="511" t="str">
        <f ca="1">OFFSET(E$58,MATCH($B52,$B$58:$B$101,0)+MATCH($C$45,$B$59:$B$61,0)-1,0)</f>
        <v>NM</v>
      </c>
      <c r="F52" s="512">
        <f ca="1">OFFSET(F$58,MATCH($B52,$B$58:$B$101,0)+MATCH($C$45,$B$59:$B$61,0)-1,0)</f>
        <v>25300</v>
      </c>
      <c r="G52" s="512">
        <f ca="1">OFFSET(G$58,MATCH($B52,$B$58:$B$101,0)+MATCH($C$45,$B$59:$B$61,0)-1,0)</f>
        <v>26300</v>
      </c>
      <c r="H52" s="512">
        <f ca="1">OFFSET(H$58,MATCH($B52,$B$58:$B$101,0)+MATCH($C$45,$B$59:$B$61,0)-1,0)</f>
        <v>27000</v>
      </c>
      <c r="I52" s="512">
        <f ca="1">OFFSET(I$58,MATCH($B52,$B$58:$B$101,0)+MATCH($C$45,$B$59:$B$61,0)-1,0)</f>
        <v>28000</v>
      </c>
      <c r="J52" s="512">
        <f ca="1">OFFSET(J$58,MATCH($B52,$B$58:$B$101,0)+MATCH($C$45,$B$59:$B$61,0)-1,0)</f>
        <v>29600</v>
      </c>
      <c r="K52" s="512">
        <f ca="1">OFFSET(K$58,MATCH($B52,$B$58:$B$101,0)+MATCH($C$45,$B$59:$B$61,0)-1,0)</f>
        <v>30706.257383489301</v>
      </c>
    </row>
    <row r="53" spans="2:14">
      <c r="B53" s="508" t="s">
        <v>261</v>
      </c>
      <c r="C53" s="351"/>
      <c r="D53" s="351"/>
      <c r="E53" s="539" t="str">
        <f ca="1">OFFSET(E$58,MATCH($B53,$B$58:$B$101,0)+MATCH($C$45,$B$59:$B$61,0)-1,0)</f>
        <v>NM</v>
      </c>
      <c r="F53" s="512">
        <f ca="1">OFFSET(F$58,MATCH($B53,$B$58:$B$101,0)+MATCH($C$45,$B$59:$B$61,0)-1,0)</f>
        <v>123670.6</v>
      </c>
      <c r="G53" s="512">
        <f ca="1">OFFSET(G$58,MATCH($B53,$B$58:$B$101,0)+MATCH($C$45,$B$59:$B$61,0)-1,0)</f>
        <v>138067.4</v>
      </c>
      <c r="H53" s="512">
        <f ca="1">OFFSET(H$58,MATCH($B53,$B$58:$B$101,0)+MATCH($C$45,$B$59:$B$61,0)-1,0)</f>
        <v>153462.00994406868</v>
      </c>
      <c r="I53" s="512">
        <f ca="1">OFFSET(I$58,MATCH($B53,$B$58:$B$101,0)+MATCH($C$45,$B$59:$B$61,0)-1,0)</f>
        <v>170605.9718025575</v>
      </c>
      <c r="J53" s="512">
        <f ca="1">OFFSET(J$58,MATCH($B53,$B$58:$B$101,0)+MATCH($C$45,$B$59:$B$61,0)-1,0)</f>
        <v>189701.64645632805</v>
      </c>
      <c r="K53" s="512">
        <f ca="1">OFFSET(K$58,MATCH($B53,$B$58:$B$101,0)+MATCH($C$45,$B$59:$B$61,0)-1,0)</f>
        <v>210975.18962013428</v>
      </c>
    </row>
    <row r="54" spans="2:14">
      <c r="B54" s="508" t="s">
        <v>262</v>
      </c>
      <c r="C54" s="351"/>
      <c r="D54" s="351"/>
      <c r="E54" s="539" t="str">
        <f ca="1">OFFSET(E$58,MATCH($B54,$B$58:$B$101,0)+MATCH($C$45,$B$59:$B$61,0)-1,0)</f>
        <v>NM</v>
      </c>
      <c r="F54" s="512">
        <f ca="1">OFFSET(F$58,MATCH($B54,$B$58:$B$101,0)+MATCH($C$45,$B$59:$B$61,0)-1,0)</f>
        <v>39064.199999999997</v>
      </c>
      <c r="G54" s="512">
        <f ca="1">OFFSET(G$58,MATCH($B54,$B$58:$B$101,0)+MATCH($C$45,$B$59:$B$61,0)-1,0)</f>
        <v>40643.4</v>
      </c>
      <c r="H54" s="512">
        <f ca="1">OFFSET(H$58,MATCH($B54,$B$58:$B$101,0)+MATCH($C$45,$B$59:$B$61,0)-1,0)</f>
        <v>42803.972155062482</v>
      </c>
      <c r="I54" s="512">
        <f ca="1">OFFSET(I$58,MATCH($B54,$B$58:$B$101,0)+MATCH($C$45,$B$59:$B$61,0)-1,0)</f>
        <v>45085.605156887257</v>
      </c>
      <c r="J54" s="512">
        <f ca="1">OFFSET(J$58,MATCH($B54,$B$58:$B$101,0)+MATCH($C$45,$B$59:$B$61,0)-1,0)</f>
        <v>47495.461812039161</v>
      </c>
      <c r="K54" s="512">
        <f ca="1">OFFSET(K$58,MATCH($B54,$B$58:$B$101,0)+MATCH($C$45,$B$59:$B$61,0)-1,0)</f>
        <v>50041.151150414153</v>
      </c>
    </row>
    <row r="55" spans="2:14">
      <c r="B55" s="508" t="s">
        <v>132</v>
      </c>
      <c r="C55" s="351"/>
      <c r="D55" s="351"/>
      <c r="E55" s="539" t="str">
        <f ca="1">OFFSET(E$58,MATCH($B55,$B$58:$B$101,0)+MATCH($C$45,$B$59:$B$61,0)-1,0)</f>
        <v>NM</v>
      </c>
      <c r="F55" s="537">
        <f ca="1">OFFSET(F$58,MATCH($B55,$B$58:$B$101,0)+MATCH($C$45,$B$59:$B$61,0)-1,0)</f>
        <v>0.47322323952028311</v>
      </c>
      <c r="G55" s="537">
        <f ca="1">OFFSET(G$58,MATCH($B55,$B$58:$B$101,0)+MATCH($C$45,$B$59:$B$61,0)-1,0)</f>
        <v>0.47111168252806274</v>
      </c>
      <c r="H55" s="537">
        <f ca="1">OFFSET(H$58,MATCH($B55,$B$58:$B$101,0)+MATCH($C$45,$B$59:$B$61,0)-1,0)</f>
        <v>0.47544986787966154</v>
      </c>
      <c r="I55" s="537">
        <f ca="1">OFFSET(I$58,MATCH($B55,$B$58:$B$101,0)+MATCH($C$45,$B$59:$B$61,0)-1,0)</f>
        <v>0.47393024598072053</v>
      </c>
      <c r="J55" s="537">
        <f ca="1">OFFSET(J$58,MATCH($B55,$B$58:$B$101,0)+MATCH($C$45,$B$59:$B$61,0)-1,0)</f>
        <v>0.46778498124749279</v>
      </c>
      <c r="K55" s="537">
        <f ca="1">OFFSET(K$58,MATCH($B55,$B$58:$B$101,0)+MATCH($C$45,$B$59:$B$61,0)-1,0)</f>
        <v>0.45743369938371109</v>
      </c>
    </row>
    <row r="56" spans="2:14">
      <c r="B56" s="508" t="s">
        <v>133</v>
      </c>
      <c r="C56" s="351"/>
      <c r="D56" s="351"/>
      <c r="E56" s="538" t="str">
        <f ca="1">OFFSET(E$58,MATCH($B56,$B$58:$B$101,0)+MATCH($C$45,$B$59:$B$61,0)-1,0)</f>
        <v>NM</v>
      </c>
      <c r="F56" s="537">
        <f ca="1">OFFSET(F$58,MATCH($B56,$B$58:$B$101,0)+MATCH($C$45,$B$59:$B$61,0)-1,0)</f>
        <v>8.502266041571814E-2</v>
      </c>
      <c r="G56" s="537">
        <f ca="1">OFFSET(G$58,MATCH($B56,$B$58:$B$101,0)+MATCH($C$45,$B$59:$B$61,0)-1,0)</f>
        <v>8.6281574393195865E-2</v>
      </c>
      <c r="H56" s="537">
        <f ca="1">OFFSET(H$58,MATCH($B56,$B$58:$B$101,0)+MATCH($C$45,$B$59:$B$61,0)-1,0)</f>
        <v>8.4601168902001575E-2</v>
      </c>
      <c r="I56" s="537">
        <f ca="1">OFFSET(I$58,MATCH($B56,$B$58:$B$101,0)+MATCH($C$45,$B$59:$B$61,0)-1,0)</f>
        <v>8.2612576751949829E-2</v>
      </c>
      <c r="J56" s="537">
        <f ca="1">OFFSET(J$58,MATCH($B56,$B$58:$B$101,0)+MATCH($C$45,$B$59:$B$61,0)-1,0)</f>
        <v>7.9544535632346827E-2</v>
      </c>
      <c r="K56" s="537">
        <f ca="1">OFFSET(K$58,MATCH($B56,$B$58:$B$101,0)+MATCH($C$45,$B$59:$B$61,0)-1,0)</f>
        <v>7.8117650959176665E-2</v>
      </c>
    </row>
    <row r="57" spans="2:14">
      <c r="B57" s="508" t="s">
        <v>134</v>
      </c>
      <c r="C57" s="351"/>
      <c r="D57" s="351"/>
      <c r="E57" s="538" t="str">
        <f ca="1">OFFSET(E$58,MATCH($B57,$B$58:$B$101,0)+MATCH($C$45,$B$59:$B$61,0)-1,0)</f>
        <v>NM</v>
      </c>
      <c r="F57" s="537">
        <f ca="1">OFFSET(F$58,MATCH($B57,$B$58:$B$101,0)+MATCH($C$45,$B$59:$B$61,0)-1,0)</f>
        <v>6.6600581215845944E-2</v>
      </c>
      <c r="G57" s="537">
        <f ca="1">OFFSET(G$58,MATCH($B57,$B$58:$B$101,0)+MATCH($C$45,$B$59:$B$61,0)-1,0)</f>
        <v>6.6217557875892549E-2</v>
      </c>
      <c r="H57" s="537">
        <f ca="1">OFFSET(H$58,MATCH($B57,$B$58:$B$101,0)+MATCH($C$45,$B$59:$B$61,0)-1,0)</f>
        <v>6.6116693467294277E-2</v>
      </c>
      <c r="I57" s="537">
        <f ca="1">OFFSET(I$58,MATCH($B57,$B$58:$B$101,0)+MATCH($C$45,$B$59:$B$61,0)-1,0)</f>
        <v>6.3332998461348086E-2</v>
      </c>
      <c r="J57" s="537">
        <f ca="1">OFFSET(J$58,MATCH($B57,$B$58:$B$101,0)+MATCH($C$45,$B$59:$B$61,0)-1,0)</f>
        <v>6.0284409241185381E-2</v>
      </c>
      <c r="K57" s="537">
        <f ca="1">OFFSET(K$58,MATCH($B57,$B$58:$B$101,0)+MATCH($C$45,$B$59:$B$61,0)-1,0)</f>
        <v>5.7665998602360047E-2</v>
      </c>
    </row>
    <row r="58" spans="2:14">
      <c r="B58" s="534" t="s">
        <v>589</v>
      </c>
      <c r="C58" s="445"/>
      <c r="D58" s="445"/>
      <c r="E58" s="485"/>
      <c r="F58" s="445"/>
      <c r="G58" s="445"/>
      <c r="H58" s="445"/>
      <c r="I58" s="445"/>
      <c r="J58" s="445"/>
      <c r="K58" s="445"/>
    </row>
    <row r="59" spans="2:14">
      <c r="B59" s="498" t="s">
        <v>218</v>
      </c>
      <c r="C59" s="445"/>
      <c r="D59" s="445"/>
      <c r="E59" s="507">
        <v>100</v>
      </c>
      <c r="F59" s="483">
        <f>F60+$E$59</f>
        <v>1037.6937499999999</v>
      </c>
      <c r="G59" s="483">
        <f t="shared" ref="G59:K59" si="28">G60+$E$59</f>
        <v>1066.5338709677419</v>
      </c>
      <c r="H59" s="483">
        <f t="shared" si="28"/>
        <v>1076.6497718895403</v>
      </c>
      <c r="I59" s="483">
        <f t="shared" si="28"/>
        <v>1087.1088615043002</v>
      </c>
      <c r="J59" s="483">
        <f t="shared" si="28"/>
        <v>1097.9237965425796</v>
      </c>
      <c r="K59" s="483">
        <f t="shared" si="28"/>
        <v>1109.1077053547644</v>
      </c>
      <c r="N59" s="515"/>
    </row>
    <row r="60" spans="2:14">
      <c r="B60" s="496" t="s">
        <v>115</v>
      </c>
      <c r="C60" s="494"/>
      <c r="D60" s="494"/>
      <c r="E60" s="495" t="s">
        <v>219</v>
      </c>
      <c r="F60" s="501">
        <f>'Street Consensus'!C399</f>
        <v>937.69375000000002</v>
      </c>
      <c r="G60" s="501">
        <f>'Street Consensus'!D399</f>
        <v>966.5338709677419</v>
      </c>
      <c r="H60" s="501">
        <f>'Street Consensus'!E399</f>
        <v>976.64977188954026</v>
      </c>
      <c r="I60" s="501">
        <f>'Street Consensus'!F399</f>
        <v>987.10886150430019</v>
      </c>
      <c r="J60" s="501">
        <f>'Street Consensus'!G399</f>
        <v>997.92379654257957</v>
      </c>
      <c r="K60" s="502">
        <f>'Street Consensus'!H399</f>
        <v>1009.1077053547644</v>
      </c>
      <c r="L60" s="8" t="s">
        <v>587</v>
      </c>
    </row>
    <row r="61" spans="2:14">
      <c r="B61" s="498" t="s">
        <v>220</v>
      </c>
      <c r="C61" s="445"/>
      <c r="D61" s="445"/>
      <c r="E61" s="507">
        <v>-100</v>
      </c>
      <c r="F61" s="483">
        <f>F60+$E$61</f>
        <v>837.69375000000002</v>
      </c>
      <c r="G61" s="483">
        <f t="shared" ref="G61:K61" si="29">G60+$E$61</f>
        <v>866.5338709677419</v>
      </c>
      <c r="H61" s="483">
        <f t="shared" si="29"/>
        <v>876.64977188954026</v>
      </c>
      <c r="I61" s="483">
        <f t="shared" si="29"/>
        <v>887.10886150430019</v>
      </c>
      <c r="J61" s="483">
        <f t="shared" si="29"/>
        <v>897.92379654257957</v>
      </c>
      <c r="K61" s="483">
        <f t="shared" si="29"/>
        <v>909.10770535476445</v>
      </c>
    </row>
    <row r="62" spans="2:14">
      <c r="B62" s="534" t="s">
        <v>398</v>
      </c>
      <c r="C62" s="445"/>
      <c r="D62" s="445"/>
      <c r="E62" s="487"/>
      <c r="F62" s="488"/>
      <c r="G62" s="488"/>
      <c r="H62" s="488"/>
      <c r="I62" s="488"/>
      <c r="J62" s="488"/>
      <c r="K62" s="488"/>
    </row>
    <row r="63" spans="2:14">
      <c r="B63" s="498" t="s">
        <v>218</v>
      </c>
      <c r="C63" s="445"/>
      <c r="D63" s="445"/>
      <c r="E63" s="506">
        <v>15000</v>
      </c>
      <c r="F63" s="484">
        <f>F64+$E$63</f>
        <v>255700</v>
      </c>
      <c r="G63" s="484">
        <f t="shared" ref="G63:K63" si="30">G64+$E$63</f>
        <v>249500</v>
      </c>
      <c r="H63" s="484">
        <f t="shared" si="30"/>
        <v>268300</v>
      </c>
      <c r="I63" s="484">
        <f t="shared" si="30"/>
        <v>278200</v>
      </c>
      <c r="J63" s="484">
        <f t="shared" si="30"/>
        <v>279800</v>
      </c>
      <c r="K63" s="484">
        <f t="shared" si="30"/>
        <v>286400</v>
      </c>
    </row>
    <row r="64" spans="2:14">
      <c r="B64" s="496" t="s">
        <v>115</v>
      </c>
      <c r="C64" s="494"/>
      <c r="D64" s="494"/>
      <c r="E64" s="495" t="s">
        <v>219</v>
      </c>
      <c r="F64" s="499">
        <f>'Street Consensus'!C370</f>
        <v>240700</v>
      </c>
      <c r="G64" s="499">
        <f>'Street Consensus'!D370</f>
        <v>234500</v>
      </c>
      <c r="H64" s="499">
        <f>'Street Consensus'!E370</f>
        <v>253300</v>
      </c>
      <c r="I64" s="499">
        <f>'Street Consensus'!F370</f>
        <v>263200</v>
      </c>
      <c r="J64" s="499">
        <f>'Street Consensus'!G370</f>
        <v>264800</v>
      </c>
      <c r="K64" s="500">
        <f>'Street Consensus'!H370</f>
        <v>271400</v>
      </c>
      <c r="L64" s="8" t="s">
        <v>587</v>
      </c>
    </row>
    <row r="65" spans="2:12">
      <c r="B65" s="498" t="s">
        <v>220</v>
      </c>
      <c r="C65" s="445"/>
      <c r="D65" s="445"/>
      <c r="E65" s="506">
        <v>-15000</v>
      </c>
      <c r="F65" s="484">
        <f>F64+$E$65</f>
        <v>225700</v>
      </c>
      <c r="G65" s="484">
        <f t="shared" ref="G65:K65" si="31">G64+$E$65</f>
        <v>219500</v>
      </c>
      <c r="H65" s="484">
        <f t="shared" si="31"/>
        <v>238300</v>
      </c>
      <c r="I65" s="484">
        <f t="shared" si="31"/>
        <v>248200</v>
      </c>
      <c r="J65" s="484">
        <f t="shared" si="31"/>
        <v>249800</v>
      </c>
      <c r="K65" s="484">
        <f t="shared" si="31"/>
        <v>256400</v>
      </c>
    </row>
    <row r="66" spans="2:12">
      <c r="B66" s="534" t="s">
        <v>590</v>
      </c>
      <c r="C66" s="445"/>
      <c r="D66" s="445"/>
      <c r="E66" s="485"/>
      <c r="F66" s="445"/>
      <c r="G66" s="445"/>
      <c r="H66" s="445"/>
      <c r="I66" s="445"/>
      <c r="J66" s="445"/>
      <c r="K66" s="445"/>
    </row>
    <row r="67" spans="2:12">
      <c r="B67" s="498" t="s">
        <v>218</v>
      </c>
      <c r="C67" s="445"/>
      <c r="D67" s="445"/>
      <c r="E67" s="507">
        <v>100</v>
      </c>
      <c r="F67" s="483">
        <f>F68+$E$67</f>
        <v>641.4297271317223</v>
      </c>
      <c r="G67" s="483">
        <f t="shared" ref="G67:K67" si="32">G68+$E$67</f>
        <v>672.04939402512866</v>
      </c>
      <c r="H67" s="483">
        <f t="shared" si="32"/>
        <v>696.71889098336635</v>
      </c>
      <c r="I67" s="483">
        <f t="shared" si="32"/>
        <v>702.2949688035842</v>
      </c>
      <c r="J67" s="483">
        <f t="shared" si="32"/>
        <v>698.97892568832845</v>
      </c>
      <c r="K67" s="483">
        <f t="shared" si="32"/>
        <v>699.50541708777689</v>
      </c>
    </row>
    <row r="68" spans="2:12">
      <c r="B68" s="496" t="s">
        <v>115</v>
      </c>
      <c r="C68" s="494"/>
      <c r="D68" s="494"/>
      <c r="E68" s="495" t="s">
        <v>219</v>
      </c>
      <c r="F68" s="501">
        <f>'Street Consensus'!C487</f>
        <v>541.4297271317223</v>
      </c>
      <c r="G68" s="501">
        <f>'Street Consensus'!D487</f>
        <v>572.04939402512866</v>
      </c>
      <c r="H68" s="501">
        <f>'Street Consensus'!E487</f>
        <v>596.71889098336635</v>
      </c>
      <c r="I68" s="501">
        <f>'Street Consensus'!F487</f>
        <v>602.2949688035842</v>
      </c>
      <c r="J68" s="501">
        <f>'Street Consensus'!G487</f>
        <v>598.97892568832845</v>
      </c>
      <c r="K68" s="502">
        <f>'Street Consensus'!H487</f>
        <v>599.50541708777689</v>
      </c>
      <c r="L68" s="8" t="s">
        <v>587</v>
      </c>
    </row>
    <row r="69" spans="2:12">
      <c r="B69" s="498" t="s">
        <v>220</v>
      </c>
      <c r="C69" s="445"/>
      <c r="D69" s="445"/>
      <c r="E69" s="507">
        <v>-100</v>
      </c>
      <c r="F69" s="483">
        <f>F68+$E$69</f>
        <v>441.4297271317223</v>
      </c>
      <c r="G69" s="483">
        <f t="shared" ref="G69:K69" si="33">G68+$E$69</f>
        <v>472.04939402512866</v>
      </c>
      <c r="H69" s="483">
        <f t="shared" si="33"/>
        <v>496.71889098336635</v>
      </c>
      <c r="I69" s="483">
        <f t="shared" si="33"/>
        <v>502.2949688035842</v>
      </c>
      <c r="J69" s="483">
        <f t="shared" si="33"/>
        <v>498.97892568832845</v>
      </c>
      <c r="K69" s="483">
        <f t="shared" si="33"/>
        <v>499.50541708777689</v>
      </c>
    </row>
    <row r="70" spans="2:12">
      <c r="B70" s="534" t="s">
        <v>399</v>
      </c>
      <c r="C70" s="445"/>
      <c r="D70" s="445"/>
      <c r="E70" s="487"/>
      <c r="F70" s="488"/>
      <c r="G70" s="488"/>
      <c r="H70" s="488"/>
      <c r="I70" s="488"/>
      <c r="J70" s="488"/>
      <c r="K70" s="488"/>
    </row>
    <row r="71" spans="2:12">
      <c r="B71" s="498" t="s">
        <v>218</v>
      </c>
      <c r="C71" s="445"/>
      <c r="D71" s="445"/>
      <c r="E71" s="506">
        <v>6000</v>
      </c>
      <c r="F71" s="484">
        <f>F72+$E$71</f>
        <v>58120.922323406674</v>
      </c>
      <c r="G71" s="484">
        <f t="shared" ref="G71:K71" si="34">G72+$E$71</f>
        <v>58464.968439577009</v>
      </c>
      <c r="H71" s="484">
        <f t="shared" si="34"/>
        <v>59703.108043333028</v>
      </c>
      <c r="I71" s="484">
        <f t="shared" si="34"/>
        <v>59637.148736316653</v>
      </c>
      <c r="J71" s="484">
        <f t="shared" si="34"/>
        <v>60335.689922976329</v>
      </c>
      <c r="K71" s="484">
        <f t="shared" si="34"/>
        <v>61300.794752264432</v>
      </c>
    </row>
    <row r="72" spans="2:12">
      <c r="B72" s="496" t="s">
        <v>115</v>
      </c>
      <c r="C72" s="494"/>
      <c r="D72" s="494"/>
      <c r="E72" s="495" t="s">
        <v>219</v>
      </c>
      <c r="F72" s="499">
        <f>'Street Consensus'!C465</f>
        <v>52120.922323406674</v>
      </c>
      <c r="G72" s="499">
        <f>'Street Consensus'!D465</f>
        <v>52464.968439577009</v>
      </c>
      <c r="H72" s="499">
        <f>'Street Consensus'!E465</f>
        <v>53703.108043333028</v>
      </c>
      <c r="I72" s="499">
        <f>'Street Consensus'!F465</f>
        <v>53637.148736316653</v>
      </c>
      <c r="J72" s="499">
        <f>'Street Consensus'!G465</f>
        <v>54335.689922976329</v>
      </c>
      <c r="K72" s="500">
        <f>'Street Consensus'!H465</f>
        <v>55300.794752264432</v>
      </c>
      <c r="L72" s="8" t="s">
        <v>587</v>
      </c>
    </row>
    <row r="73" spans="2:12">
      <c r="B73" s="498" t="s">
        <v>220</v>
      </c>
      <c r="C73" s="445"/>
      <c r="D73" s="445"/>
      <c r="E73" s="506">
        <v>-6000</v>
      </c>
      <c r="F73" s="484">
        <f>F72+$E$73</f>
        <v>46120.922323406674</v>
      </c>
      <c r="G73" s="484">
        <f t="shared" ref="G73:K73" si="35">G72+$E$73</f>
        <v>46464.968439577009</v>
      </c>
      <c r="H73" s="484">
        <f t="shared" si="35"/>
        <v>47703.108043333028</v>
      </c>
      <c r="I73" s="484">
        <f t="shared" si="35"/>
        <v>47637.148736316653</v>
      </c>
      <c r="J73" s="484">
        <f t="shared" si="35"/>
        <v>48335.689922976329</v>
      </c>
      <c r="K73" s="484">
        <f t="shared" si="35"/>
        <v>49300.794752264432</v>
      </c>
    </row>
    <row r="74" spans="2:12">
      <c r="B74" s="534" t="s">
        <v>591</v>
      </c>
      <c r="C74" s="445"/>
      <c r="D74" s="445"/>
      <c r="E74" s="489"/>
      <c r="F74" s="490"/>
      <c r="G74" s="490"/>
      <c r="H74" s="490"/>
      <c r="I74" s="490"/>
      <c r="J74" s="490"/>
      <c r="K74" s="490"/>
    </row>
    <row r="75" spans="2:12">
      <c r="B75" s="498" t="s">
        <v>218</v>
      </c>
      <c r="C75" s="445"/>
      <c r="D75" s="445"/>
      <c r="E75" s="507">
        <v>200</v>
      </c>
      <c r="F75" s="483">
        <f>F76+$E$75</f>
        <v>1566.2</v>
      </c>
      <c r="G75" s="483">
        <f t="shared" ref="G75:K75" si="36">G76+$E$75</f>
        <v>1555.1</v>
      </c>
      <c r="H75" s="483">
        <f t="shared" si="36"/>
        <v>1563</v>
      </c>
      <c r="I75" s="483">
        <f t="shared" si="36"/>
        <v>1590.2</v>
      </c>
      <c r="J75" s="483">
        <f t="shared" si="36"/>
        <v>1590.2</v>
      </c>
      <c r="K75" s="483">
        <f t="shared" si="36"/>
        <v>1562.4</v>
      </c>
    </row>
    <row r="76" spans="2:12">
      <c r="B76" s="496" t="s">
        <v>115</v>
      </c>
      <c r="C76" s="494"/>
      <c r="D76" s="494"/>
      <c r="E76" s="495" t="s">
        <v>219</v>
      </c>
      <c r="F76" s="501">
        <f>'Street Consensus'!C441</f>
        <v>1366.2</v>
      </c>
      <c r="G76" s="501">
        <f>'Street Consensus'!D441</f>
        <v>1355.1</v>
      </c>
      <c r="H76" s="501">
        <f>'Street Consensus'!E441</f>
        <v>1363</v>
      </c>
      <c r="I76" s="501">
        <f>'Street Consensus'!F441</f>
        <v>1390.2</v>
      </c>
      <c r="J76" s="501">
        <f>'Street Consensus'!G441</f>
        <v>1390.2</v>
      </c>
      <c r="K76" s="502">
        <f>'Street Consensus'!H441</f>
        <v>1362.4</v>
      </c>
      <c r="L76" s="8" t="s">
        <v>587</v>
      </c>
    </row>
    <row r="77" spans="2:12">
      <c r="B77" s="498" t="s">
        <v>220</v>
      </c>
      <c r="C77" s="445"/>
      <c r="D77" s="445"/>
      <c r="E77" s="507">
        <v>-200</v>
      </c>
      <c r="F77" s="483">
        <f>F76+$E$77</f>
        <v>1166.2</v>
      </c>
      <c r="G77" s="483">
        <f t="shared" ref="G77:K77" si="37">G76+$E$77</f>
        <v>1155.0999999999999</v>
      </c>
      <c r="H77" s="483">
        <f t="shared" si="37"/>
        <v>1163</v>
      </c>
      <c r="I77" s="483">
        <f t="shared" si="37"/>
        <v>1190.2</v>
      </c>
      <c r="J77" s="483">
        <f t="shared" si="37"/>
        <v>1190.2</v>
      </c>
      <c r="K77" s="483">
        <f t="shared" si="37"/>
        <v>1162.4000000000001</v>
      </c>
    </row>
    <row r="78" spans="2:12">
      <c r="B78" s="534" t="s">
        <v>583</v>
      </c>
      <c r="C78" s="445"/>
      <c r="D78" s="445"/>
      <c r="E78" s="489"/>
      <c r="F78" s="490"/>
      <c r="G78" s="490"/>
      <c r="H78" s="490"/>
      <c r="I78" s="490"/>
      <c r="J78" s="490"/>
      <c r="K78" s="490"/>
    </row>
    <row r="79" spans="2:12">
      <c r="B79" s="498" t="s">
        <v>218</v>
      </c>
      <c r="C79" s="445"/>
      <c r="D79" s="445"/>
      <c r="E79" s="506">
        <v>500</v>
      </c>
      <c r="F79" s="484">
        <f>F80+$E$79</f>
        <v>25800</v>
      </c>
      <c r="G79" s="484">
        <f t="shared" ref="G79:K79" si="38">G80+$E$79</f>
        <v>26800</v>
      </c>
      <c r="H79" s="484">
        <f t="shared" si="38"/>
        <v>27500</v>
      </c>
      <c r="I79" s="484">
        <f t="shared" si="38"/>
        <v>28500</v>
      </c>
      <c r="J79" s="484">
        <f t="shared" si="38"/>
        <v>30100</v>
      </c>
      <c r="K79" s="484">
        <f t="shared" si="38"/>
        <v>31206.257383489301</v>
      </c>
    </row>
    <row r="80" spans="2:12">
      <c r="B80" s="496" t="s">
        <v>115</v>
      </c>
      <c r="C80" s="494"/>
      <c r="D80" s="494"/>
      <c r="E80" s="495" t="s">
        <v>219</v>
      </c>
      <c r="F80" s="499">
        <f>'Street Consensus'!C419</f>
        <v>25300</v>
      </c>
      <c r="G80" s="499">
        <f>'Street Consensus'!D419</f>
        <v>26300</v>
      </c>
      <c r="H80" s="499">
        <f>'Street Consensus'!E419</f>
        <v>27000</v>
      </c>
      <c r="I80" s="499">
        <f>'Street Consensus'!F419</f>
        <v>28000</v>
      </c>
      <c r="J80" s="499">
        <f>'Street Consensus'!G419</f>
        <v>29600</v>
      </c>
      <c r="K80" s="500">
        <f>'Street Consensus'!H419</f>
        <v>30706.257383489301</v>
      </c>
      <c r="L80" s="8" t="s">
        <v>587</v>
      </c>
    </row>
    <row r="81" spans="2:12">
      <c r="B81" s="498" t="s">
        <v>220</v>
      </c>
      <c r="C81" s="445"/>
      <c r="D81" s="445"/>
      <c r="E81" s="506">
        <v>-500</v>
      </c>
      <c r="F81" s="484">
        <f>F80+$E$81</f>
        <v>24800</v>
      </c>
      <c r="G81" s="484">
        <f t="shared" ref="G81:K81" si="39">G80+$E$81</f>
        <v>25800</v>
      </c>
      <c r="H81" s="484">
        <f t="shared" si="39"/>
        <v>26500</v>
      </c>
      <c r="I81" s="484">
        <f t="shared" si="39"/>
        <v>27500</v>
      </c>
      <c r="J81" s="484">
        <f t="shared" si="39"/>
        <v>29100</v>
      </c>
      <c r="K81" s="484">
        <f t="shared" si="39"/>
        <v>30206.257383489301</v>
      </c>
    </row>
    <row r="82" spans="2:12">
      <c r="B82" s="534" t="s">
        <v>261</v>
      </c>
      <c r="C82" s="445"/>
      <c r="D82" s="445"/>
      <c r="E82" s="489"/>
      <c r="F82" s="490"/>
      <c r="G82" s="490"/>
      <c r="H82" s="490"/>
      <c r="I82" s="490"/>
      <c r="J82" s="490"/>
      <c r="K82" s="490"/>
    </row>
    <row r="83" spans="2:12">
      <c r="B83" s="498" t="s">
        <v>218</v>
      </c>
      <c r="C83" s="445"/>
      <c r="D83" s="445"/>
      <c r="E83" s="517">
        <v>0.05</v>
      </c>
      <c r="F83" s="484">
        <f>SUM(F84*$E$83)+F84</f>
        <v>129854.13</v>
      </c>
      <c r="G83" s="484">
        <f t="shared" ref="G83:K83" si="40">SUM(G84*$E$83)+G84</f>
        <v>144970.76999999999</v>
      </c>
      <c r="H83" s="484">
        <f t="shared" si="40"/>
        <v>161135.11044127212</v>
      </c>
      <c r="I83" s="484">
        <f t="shared" si="40"/>
        <v>179136.27039268537</v>
      </c>
      <c r="J83" s="484">
        <f t="shared" si="40"/>
        <v>199186.72877914444</v>
      </c>
      <c r="K83" s="484">
        <f t="shared" si="40"/>
        <v>221523.94910114098</v>
      </c>
    </row>
    <row r="84" spans="2:12">
      <c r="B84" s="496" t="s">
        <v>115</v>
      </c>
      <c r="C84" s="494"/>
      <c r="D84" s="494"/>
      <c r="E84" s="495" t="s">
        <v>219</v>
      </c>
      <c r="F84" s="499">
        <f>'Street Consensus'!C161</f>
        <v>123670.6</v>
      </c>
      <c r="G84" s="499">
        <f>'Street Consensus'!D161</f>
        <v>138067.4</v>
      </c>
      <c r="H84" s="499">
        <f>'Street Consensus'!E161</f>
        <v>153462.00994406868</v>
      </c>
      <c r="I84" s="499">
        <f>'Street Consensus'!F161</f>
        <v>170605.9718025575</v>
      </c>
      <c r="J84" s="499">
        <f>'Street Consensus'!G161</f>
        <v>189701.64645632805</v>
      </c>
      <c r="K84" s="500">
        <f>'Street Consensus'!H161</f>
        <v>210975.18962013428</v>
      </c>
      <c r="L84" s="8" t="s">
        <v>587</v>
      </c>
    </row>
    <row r="85" spans="2:12">
      <c r="B85" s="498" t="s">
        <v>220</v>
      </c>
      <c r="C85" s="445"/>
      <c r="D85" s="445"/>
      <c r="E85" s="518">
        <v>-0.05</v>
      </c>
      <c r="F85" s="484">
        <f>SUM(F84*$E$85)+F84</f>
        <v>117487.07</v>
      </c>
      <c r="G85" s="484">
        <f t="shared" ref="G85:K85" si="41">SUM(G84*$E$85)+G84</f>
        <v>131164.03</v>
      </c>
      <c r="H85" s="484">
        <f t="shared" si="41"/>
        <v>145788.90944686523</v>
      </c>
      <c r="I85" s="484">
        <f t="shared" si="41"/>
        <v>162075.67321242962</v>
      </c>
      <c r="J85" s="484">
        <f t="shared" si="41"/>
        <v>180216.56413351165</v>
      </c>
      <c r="K85" s="484">
        <f t="shared" si="41"/>
        <v>200426.43013912757</v>
      </c>
    </row>
    <row r="86" spans="2:12">
      <c r="B86" s="534" t="s">
        <v>262</v>
      </c>
      <c r="C86" s="445"/>
      <c r="D86" s="445"/>
      <c r="E86" s="489"/>
      <c r="F86" s="490"/>
      <c r="G86" s="490"/>
      <c r="H86" s="490"/>
      <c r="I86" s="490"/>
      <c r="J86" s="490"/>
      <c r="K86" s="490"/>
    </row>
    <row r="87" spans="2:12">
      <c r="B87" s="498" t="s">
        <v>218</v>
      </c>
      <c r="C87" s="445"/>
      <c r="D87" s="445"/>
      <c r="E87" s="517">
        <v>0.05</v>
      </c>
      <c r="F87" s="484">
        <f>SUM(F88*$E$87)+F88</f>
        <v>41017.409999999996</v>
      </c>
      <c r="G87" s="484">
        <f t="shared" ref="G87:K87" si="42">SUM(G88*$E$87)+G88</f>
        <v>42675.57</v>
      </c>
      <c r="H87" s="484">
        <f t="shared" si="42"/>
        <v>44944.170762815607</v>
      </c>
      <c r="I87" s="484">
        <f t="shared" si="42"/>
        <v>47339.885414731623</v>
      </c>
      <c r="J87" s="484">
        <f t="shared" si="42"/>
        <v>49870.234902641118</v>
      </c>
      <c r="K87" s="484">
        <f t="shared" si="42"/>
        <v>52543.208707934857</v>
      </c>
    </row>
    <row r="88" spans="2:12">
      <c r="B88" s="496" t="s">
        <v>115</v>
      </c>
      <c r="C88" s="494"/>
      <c r="D88" s="494"/>
      <c r="E88" s="495" t="s">
        <v>219</v>
      </c>
      <c r="F88" s="499">
        <f>'Street Consensus'!C137</f>
        <v>39064.199999999997</v>
      </c>
      <c r="G88" s="499">
        <f>'Street Consensus'!D137</f>
        <v>40643.4</v>
      </c>
      <c r="H88" s="499">
        <f>'Street Consensus'!E137</f>
        <v>42803.972155062482</v>
      </c>
      <c r="I88" s="499">
        <f>'Street Consensus'!F137</f>
        <v>45085.605156887257</v>
      </c>
      <c r="J88" s="499">
        <f>'Street Consensus'!G137</f>
        <v>47495.461812039161</v>
      </c>
      <c r="K88" s="500">
        <f>'Street Consensus'!H137</f>
        <v>50041.151150414153</v>
      </c>
      <c r="L88" s="8" t="s">
        <v>587</v>
      </c>
    </row>
    <row r="89" spans="2:12">
      <c r="B89" s="498" t="s">
        <v>220</v>
      </c>
      <c r="C89" s="445"/>
      <c r="D89" s="445"/>
      <c r="E89" s="518">
        <v>-0.05</v>
      </c>
      <c r="F89" s="484">
        <f>SUM(F88*$E$89)+F88</f>
        <v>37110.99</v>
      </c>
      <c r="G89" s="484">
        <f t="shared" ref="G89:K89" si="43">SUM(G88*$E$89)+G88</f>
        <v>38611.230000000003</v>
      </c>
      <c r="H89" s="484">
        <f t="shared" si="43"/>
        <v>40663.773547309356</v>
      </c>
      <c r="I89" s="484">
        <f t="shared" si="43"/>
        <v>42831.324899042891</v>
      </c>
      <c r="J89" s="484">
        <f t="shared" si="43"/>
        <v>45120.688721437204</v>
      </c>
      <c r="K89" s="484">
        <f t="shared" si="43"/>
        <v>47539.093592893449</v>
      </c>
    </row>
    <row r="90" spans="2:12">
      <c r="B90" s="534" t="s">
        <v>132</v>
      </c>
      <c r="C90" s="445"/>
      <c r="D90" s="445"/>
      <c r="E90" s="486"/>
      <c r="F90" s="491"/>
      <c r="G90" s="491"/>
      <c r="H90" s="491"/>
      <c r="I90" s="491"/>
      <c r="J90" s="491"/>
      <c r="K90" s="491"/>
    </row>
    <row r="91" spans="2:12">
      <c r="B91" s="498" t="s">
        <v>218</v>
      </c>
      <c r="C91" s="445"/>
      <c r="D91" s="445"/>
      <c r="E91" s="504">
        <v>0.01</v>
      </c>
      <c r="F91" s="503">
        <f>F92+$E$91</f>
        <v>0.48322323952028312</v>
      </c>
      <c r="G91" s="503">
        <f t="shared" ref="G91:K91" si="44">G92+$E$91</f>
        <v>0.48111168252806275</v>
      </c>
      <c r="H91" s="503">
        <f t="shared" si="44"/>
        <v>0.48544986787966155</v>
      </c>
      <c r="I91" s="503">
        <f t="shared" si="44"/>
        <v>0.48393024598072054</v>
      </c>
      <c r="J91" s="503">
        <f t="shared" si="44"/>
        <v>0.4777849812474928</v>
      </c>
      <c r="K91" s="503">
        <f t="shared" si="44"/>
        <v>0.4674336993837111</v>
      </c>
    </row>
    <row r="92" spans="2:12">
      <c r="B92" s="496" t="s">
        <v>115</v>
      </c>
      <c r="C92" s="493"/>
      <c r="D92" s="493"/>
      <c r="E92" s="495" t="s">
        <v>219</v>
      </c>
      <c r="F92" s="535">
        <f>'Street Consensus'!C192</f>
        <v>0.47322323952028311</v>
      </c>
      <c r="G92" s="535">
        <f>'Street Consensus'!D192</f>
        <v>0.47111168252806274</v>
      </c>
      <c r="H92" s="535">
        <f>'Street Consensus'!E192</f>
        <v>0.47544986787966154</v>
      </c>
      <c r="I92" s="535">
        <f>'Street Consensus'!F192</f>
        <v>0.47393024598072053</v>
      </c>
      <c r="J92" s="535">
        <f>'Street Consensus'!G192</f>
        <v>0.46778498124749279</v>
      </c>
      <c r="K92" s="536">
        <f>'Street Consensus'!H192</f>
        <v>0.45743369938371109</v>
      </c>
      <c r="L92" s="8" t="s">
        <v>587</v>
      </c>
    </row>
    <row r="93" spans="2:12">
      <c r="B93" s="498" t="s">
        <v>220</v>
      </c>
      <c r="C93" s="445"/>
      <c r="D93" s="445"/>
      <c r="E93" s="504">
        <v>-0.01</v>
      </c>
      <c r="F93" s="503">
        <f>F92+$E$93</f>
        <v>0.4632232395202831</v>
      </c>
      <c r="G93" s="503">
        <f t="shared" ref="G93:K93" si="45">G92+$E$93</f>
        <v>0.46111168252806273</v>
      </c>
      <c r="H93" s="503">
        <f t="shared" si="45"/>
        <v>0.46544986787966153</v>
      </c>
      <c r="I93" s="503">
        <f t="shared" si="45"/>
        <v>0.46393024598072052</v>
      </c>
      <c r="J93" s="503">
        <f t="shared" si="45"/>
        <v>0.45778498124749278</v>
      </c>
      <c r="K93" s="503">
        <f t="shared" si="45"/>
        <v>0.44743369938371108</v>
      </c>
    </row>
    <row r="94" spans="2:12">
      <c r="B94" s="534" t="s">
        <v>133</v>
      </c>
      <c r="C94" s="445"/>
      <c r="D94" s="445"/>
      <c r="E94" s="486"/>
      <c r="F94" s="492"/>
      <c r="G94" s="492"/>
      <c r="H94" s="492"/>
      <c r="I94" s="492"/>
      <c r="J94" s="492"/>
      <c r="K94" s="492"/>
    </row>
    <row r="95" spans="2:12">
      <c r="B95" s="498" t="s">
        <v>218</v>
      </c>
      <c r="C95" s="445"/>
      <c r="D95" s="445"/>
      <c r="E95" s="504">
        <v>-0.01</v>
      </c>
      <c r="F95" s="503">
        <f>F96+$E$95</f>
        <v>7.5022660415718145E-2</v>
      </c>
      <c r="G95" s="503">
        <f t="shared" ref="G95:K95" si="46">G96+$E$95</f>
        <v>7.628157439319587E-2</v>
      </c>
      <c r="H95" s="503">
        <f t="shared" si="46"/>
        <v>7.460116890200158E-2</v>
      </c>
      <c r="I95" s="503">
        <f t="shared" si="46"/>
        <v>7.2612576751949834E-2</v>
      </c>
      <c r="J95" s="503">
        <f t="shared" si="46"/>
        <v>6.9544535632346832E-2</v>
      </c>
      <c r="K95" s="503">
        <f t="shared" si="46"/>
        <v>6.811765095917667E-2</v>
      </c>
    </row>
    <row r="96" spans="2:12">
      <c r="B96" s="496" t="s">
        <v>115</v>
      </c>
      <c r="C96" s="493"/>
      <c r="D96" s="493"/>
      <c r="E96" s="495" t="s">
        <v>219</v>
      </c>
      <c r="F96" s="535">
        <f>'Street Consensus'!C214</f>
        <v>8.502266041571814E-2</v>
      </c>
      <c r="G96" s="535">
        <f>'Street Consensus'!D214</f>
        <v>8.6281574393195865E-2</v>
      </c>
      <c r="H96" s="535">
        <f>'Street Consensus'!E214</f>
        <v>8.4601168902001575E-2</v>
      </c>
      <c r="I96" s="535">
        <f>'Street Consensus'!F214</f>
        <v>8.2612576751949829E-2</v>
      </c>
      <c r="J96" s="535">
        <f>'Street Consensus'!G214</f>
        <v>7.9544535632346827E-2</v>
      </c>
      <c r="K96" s="536">
        <f>'Street Consensus'!H214</f>
        <v>7.8117650959176665E-2</v>
      </c>
      <c r="L96" s="8" t="s">
        <v>587</v>
      </c>
    </row>
    <row r="97" spans="2:12">
      <c r="B97" s="498" t="s">
        <v>220</v>
      </c>
      <c r="C97" s="445"/>
      <c r="D97" s="445"/>
      <c r="E97" s="504">
        <v>0.01</v>
      </c>
      <c r="F97" s="503">
        <f>F96+$E$97</f>
        <v>9.5022660415718135E-2</v>
      </c>
      <c r="G97" s="503">
        <f t="shared" ref="G97:K97" si="47">G96+$E$97</f>
        <v>9.628157439319586E-2</v>
      </c>
      <c r="H97" s="503">
        <f t="shared" si="47"/>
        <v>9.460116890200157E-2</v>
      </c>
      <c r="I97" s="503">
        <f t="shared" si="47"/>
        <v>9.2612576751949824E-2</v>
      </c>
      <c r="J97" s="503">
        <f t="shared" si="47"/>
        <v>8.9544535632346822E-2</v>
      </c>
      <c r="K97" s="503">
        <f t="shared" si="47"/>
        <v>8.811765095917666E-2</v>
      </c>
    </row>
    <row r="98" spans="2:12">
      <c r="B98" s="534" t="s">
        <v>134</v>
      </c>
      <c r="C98" s="445"/>
      <c r="D98" s="445"/>
      <c r="E98" s="486"/>
      <c r="F98" s="492"/>
      <c r="G98" s="492"/>
      <c r="H98" s="492"/>
      <c r="I98" s="492"/>
      <c r="J98" s="492"/>
      <c r="K98" s="492"/>
    </row>
    <row r="99" spans="2:12">
      <c r="B99" s="498" t="s">
        <v>218</v>
      </c>
      <c r="C99" s="445"/>
      <c r="D99" s="445"/>
      <c r="E99" s="504">
        <v>-0.01</v>
      </c>
      <c r="F99" s="503">
        <f>F100+$E$99</f>
        <v>5.6600581215845942E-2</v>
      </c>
      <c r="G99" s="503">
        <f t="shared" ref="G99:K99" si="48">G100+$E$99</f>
        <v>5.6217557875892547E-2</v>
      </c>
      <c r="H99" s="503">
        <f t="shared" si="48"/>
        <v>5.6116693467294275E-2</v>
      </c>
      <c r="I99" s="503">
        <f t="shared" si="48"/>
        <v>5.3332998461348084E-2</v>
      </c>
      <c r="J99" s="503">
        <f t="shared" si="48"/>
        <v>5.0284409241185379E-2</v>
      </c>
      <c r="K99" s="503">
        <f t="shared" si="48"/>
        <v>4.7665998602360045E-2</v>
      </c>
    </row>
    <row r="100" spans="2:12">
      <c r="B100" s="496" t="s">
        <v>115</v>
      </c>
      <c r="C100" s="493"/>
      <c r="D100" s="493"/>
      <c r="E100" s="495" t="s">
        <v>219</v>
      </c>
      <c r="F100" s="535">
        <f>'Street Consensus'!C238</f>
        <v>6.6600581215845944E-2</v>
      </c>
      <c r="G100" s="535">
        <f>'Street Consensus'!D238</f>
        <v>6.6217557875892549E-2</v>
      </c>
      <c r="H100" s="535">
        <f>'Street Consensus'!E238</f>
        <v>6.6116693467294277E-2</v>
      </c>
      <c r="I100" s="535">
        <f>'Street Consensus'!F238</f>
        <v>6.3332998461348086E-2</v>
      </c>
      <c r="J100" s="535">
        <f>'Street Consensus'!G238</f>
        <v>6.0284409241185381E-2</v>
      </c>
      <c r="K100" s="536">
        <f>'Street Consensus'!H238</f>
        <v>5.7665998602360047E-2</v>
      </c>
      <c r="L100" s="8" t="s">
        <v>587</v>
      </c>
    </row>
    <row r="101" spans="2:12" ht="15" thickBot="1">
      <c r="B101" s="498" t="s">
        <v>220</v>
      </c>
      <c r="C101" s="445"/>
      <c r="D101" s="445"/>
      <c r="E101" s="505">
        <v>0.01</v>
      </c>
      <c r="F101" s="503">
        <f>F100+$E$101</f>
        <v>7.6600581215845939E-2</v>
      </c>
      <c r="G101" s="503">
        <f t="shared" ref="G101:K101" si="49">G100+$E$101</f>
        <v>7.6217557875892544E-2</v>
      </c>
      <c r="H101" s="503">
        <f t="shared" si="49"/>
        <v>7.6116693467294272E-2</v>
      </c>
      <c r="I101" s="503">
        <f t="shared" si="49"/>
        <v>7.3332998461348081E-2</v>
      </c>
      <c r="J101" s="503">
        <f t="shared" si="49"/>
        <v>7.0284409241185383E-2</v>
      </c>
      <c r="K101" s="503">
        <f t="shared" si="49"/>
        <v>6.7665998602360042E-2</v>
      </c>
    </row>
  </sheetData>
  <conditionalFormatting sqref="B57">
    <cfRule type="expression" dxfId="1" priority="1">
      <formula>#REF!=$C57</formula>
    </cfRule>
  </conditionalFormatting>
  <dataValidations count="1">
    <dataValidation type="list" allowBlank="1" showInputMessage="1" showErrorMessage="1" sqref="D6" xr:uid="{063B7D89-742F-4BF8-BBDB-8C54597D4B9A}">
      <formula1>$B$59:$B$61</formula1>
    </dataValidation>
  </dataValidations>
  <pageMargins left="0.7" right="0.7" top="0.75" bottom="0.75" header="0.3" footer="0.3"/>
  <ignoredErrors>
    <ignoredError sqref="E45:E46" evalError="1"/>
    <ignoredError sqref="P13 I1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942A-753B-4859-981E-275BABD542A4}">
  <sheetPr>
    <tabColor theme="4" tint="-0.249977111117893"/>
  </sheetPr>
  <dimension ref="A2:T228"/>
  <sheetViews>
    <sheetView showGridLines="0" zoomScale="115" zoomScaleNormal="115" workbookViewId="0">
      <selection activeCell="M222" sqref="M222"/>
    </sheetView>
  </sheetViews>
  <sheetFormatPr defaultRowHeight="12" outlineLevelRow="1"/>
  <cols>
    <col min="1" max="1" width="1.625" style="8" customWidth="1"/>
    <col min="2" max="2" width="31.75" style="8" bestFit="1" customWidth="1"/>
    <col min="3" max="3" width="10.875" style="8" bestFit="1" customWidth="1"/>
    <col min="4" max="8" width="8.625" style="8" bestFit="1" customWidth="1"/>
    <col min="9" max="9" width="2" style="8" customWidth="1"/>
    <col min="10" max="10" width="8.875" style="8" customWidth="1"/>
    <col min="11" max="11" width="1.125" style="8" customWidth="1"/>
    <col min="12" max="12" width="9.125" style="8" bestFit="1" customWidth="1"/>
    <col min="13" max="17" width="8.625" style="8" bestFit="1" customWidth="1"/>
    <col min="18" max="18" width="1.625" style="8" customWidth="1"/>
    <col min="19" max="19" width="8.625" style="8" bestFit="1" customWidth="1"/>
    <col min="20" max="20" width="14.75" style="8" bestFit="1" customWidth="1"/>
    <col min="21" max="25" width="7.875" style="8" bestFit="1" customWidth="1"/>
    <col min="26" max="16384" width="9" style="8"/>
  </cols>
  <sheetData>
    <row r="2" spans="2:19">
      <c r="B2" s="1" t="str">
        <f>'Historical Financials'!B2</f>
        <v>Apple Inc. (NASDAQ: AAPL)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>
      <c r="B3" s="6" t="s">
        <v>358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>
      <c r="B4" s="6" t="s">
        <v>351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2:19" ht="5.0999999999999996" customHeight="1"/>
    <row r="6" spans="2:19">
      <c r="B6" s="192" t="s">
        <v>114</v>
      </c>
      <c r="C6" s="190" t="s">
        <v>502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5"/>
      <c r="O6" s="135"/>
      <c r="P6" s="135"/>
      <c r="Q6" s="135"/>
      <c r="R6" s="135"/>
      <c r="S6" s="191"/>
    </row>
    <row r="7" spans="2:19">
      <c r="B7" s="193" t="s">
        <v>116</v>
      </c>
      <c r="C7" s="181" t="s">
        <v>117</v>
      </c>
      <c r="S7" s="188"/>
    </row>
    <row r="8" spans="2:19">
      <c r="B8" s="194" t="s">
        <v>118</v>
      </c>
      <c r="C8" s="197">
        <v>0</v>
      </c>
      <c r="S8" s="188"/>
    </row>
    <row r="9" spans="2:19">
      <c r="B9" s="194" t="s">
        <v>119</v>
      </c>
      <c r="C9" s="182">
        <v>271.01</v>
      </c>
      <c r="S9" s="188"/>
    </row>
    <row r="10" spans="2:19">
      <c r="B10" s="194" t="s">
        <v>120</v>
      </c>
      <c r="C10" s="183">
        <v>45659</v>
      </c>
      <c r="S10" s="188"/>
    </row>
    <row r="11" spans="2:19">
      <c r="B11" s="193" t="s">
        <v>121</v>
      </c>
      <c r="C11" s="184">
        <v>45657</v>
      </c>
      <c r="S11" s="188"/>
    </row>
    <row r="12" spans="2:19">
      <c r="B12" s="193" t="s">
        <v>299</v>
      </c>
      <c r="C12" s="532" t="str">
        <f>'Revenue Projections &amp; Cases'!D6</f>
        <v>Base case</v>
      </c>
      <c r="H12" s="11"/>
      <c r="S12" s="188"/>
    </row>
    <row r="13" spans="2:19">
      <c r="B13" s="195" t="s">
        <v>122</v>
      </c>
      <c r="C13" s="186">
        <v>15115.823</v>
      </c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9"/>
    </row>
    <row r="14" spans="2:19" ht="5.0999999999999996" customHeight="1"/>
    <row r="15" spans="2:19">
      <c r="B15" s="1" t="s">
        <v>353</v>
      </c>
      <c r="C15" s="2" t="s">
        <v>352</v>
      </c>
      <c r="D15" s="2"/>
      <c r="E15" s="2"/>
      <c r="F15" s="2"/>
      <c r="G15" s="2"/>
      <c r="H15" s="2"/>
      <c r="I15" s="1"/>
      <c r="J15" s="2" t="s">
        <v>370</v>
      </c>
      <c r="K15" s="1"/>
      <c r="L15" s="2" t="s">
        <v>165</v>
      </c>
      <c r="M15" s="229"/>
      <c r="N15" s="229"/>
      <c r="O15" s="229"/>
      <c r="P15" s="229"/>
      <c r="Q15" s="2"/>
      <c r="R15" s="210"/>
      <c r="S15" s="2" t="s">
        <v>370</v>
      </c>
    </row>
    <row r="16" spans="2:19">
      <c r="B16" s="6" t="s">
        <v>123</v>
      </c>
      <c r="C16" s="257">
        <f>'Historical Financials'!G7</f>
        <v>2020</v>
      </c>
      <c r="D16" s="257">
        <f>'Historical Financials'!H7</f>
        <v>2021</v>
      </c>
      <c r="E16" s="257">
        <f>'Historical Financials'!I7</f>
        <v>2022</v>
      </c>
      <c r="F16" s="257">
        <f>'Historical Financials'!J7</f>
        <v>2023</v>
      </c>
      <c r="G16" s="257">
        <f>'Historical Financials'!K7</f>
        <v>2024</v>
      </c>
      <c r="H16" s="257">
        <f>'Historical Financials'!L7</f>
        <v>2025</v>
      </c>
      <c r="I16" s="6"/>
      <c r="J16" s="200" t="s">
        <v>560</v>
      </c>
      <c r="K16" s="6"/>
      <c r="L16" s="251">
        <f>H16+1</f>
        <v>2026</v>
      </c>
      <c r="M16" s="251">
        <f>+L16+1</f>
        <v>2027</v>
      </c>
      <c r="N16" s="251">
        <f>+M16+1</f>
        <v>2028</v>
      </c>
      <c r="O16" s="251">
        <f>+N16+1</f>
        <v>2029</v>
      </c>
      <c r="P16" s="251">
        <f>+O16+1</f>
        <v>2030</v>
      </c>
      <c r="Q16" s="251">
        <f>+P16+1</f>
        <v>2031</v>
      </c>
      <c r="R16" s="200"/>
      <c r="S16" s="200" t="s">
        <v>561</v>
      </c>
    </row>
    <row r="17" spans="2:19">
      <c r="B17" s="6" t="s">
        <v>124</v>
      </c>
      <c r="C17" s="248">
        <f>'Historical Financials'!G8</f>
        <v>44104</v>
      </c>
      <c r="D17" s="248">
        <f>'Historical Financials'!H8</f>
        <v>44469</v>
      </c>
      <c r="E17" s="248">
        <f>'Historical Financials'!I8</f>
        <v>44834</v>
      </c>
      <c r="F17" s="248">
        <f>'Historical Financials'!J8</f>
        <v>45192</v>
      </c>
      <c r="G17" s="248">
        <f>'Historical Financials'!K8</f>
        <v>45559</v>
      </c>
      <c r="H17" s="248">
        <f>'Historical Financials'!L8</f>
        <v>45927</v>
      </c>
      <c r="I17" s="6"/>
      <c r="J17" s="3">
        <f>H17</f>
        <v>45927</v>
      </c>
      <c r="K17" s="6"/>
      <c r="L17" s="248">
        <f>EOMONTH(H17,12)</f>
        <v>46295</v>
      </c>
      <c r="M17" s="248">
        <f>EOMONTH(L17,12)</f>
        <v>46660</v>
      </c>
      <c r="N17" s="248">
        <f>EOMONTH(M17,12)</f>
        <v>47026</v>
      </c>
      <c r="O17" s="248">
        <f>EOMONTH(N17,12)</f>
        <v>47391</v>
      </c>
      <c r="P17" s="248">
        <f>EOMONTH(O17,12)</f>
        <v>47756</v>
      </c>
      <c r="Q17" s="248">
        <f>EOMONTH(P17,12)</f>
        <v>48121</v>
      </c>
      <c r="R17" s="3"/>
      <c r="S17" s="3">
        <f>Q17</f>
        <v>48121</v>
      </c>
    </row>
    <row r="18" spans="2:19" ht="5.0999999999999996" customHeight="1"/>
    <row r="19" spans="2:19">
      <c r="B19" s="8" t="str">
        <f>'Revenue Drivers'!B9</f>
        <v>iPhone Revenue</v>
      </c>
      <c r="C19" s="115">
        <f>'Revenue Drivers'!G9</f>
        <v>137781</v>
      </c>
      <c r="D19" s="115">
        <f>'Revenue Drivers'!H9</f>
        <v>191973</v>
      </c>
      <c r="E19" s="115">
        <f>'Revenue Drivers'!I9</f>
        <v>205489</v>
      </c>
      <c r="F19" s="115">
        <f>'Revenue Drivers'!J9</f>
        <v>200583</v>
      </c>
      <c r="G19" s="115">
        <f>'Revenue Drivers'!K9</f>
        <v>201183</v>
      </c>
      <c r="H19" s="115">
        <f>'Revenue Drivers'!L9</f>
        <v>209586</v>
      </c>
      <c r="J19" s="255">
        <f t="shared" ref="J19:J24" si="0">((H19/C19)^(1/COUNT(D19:H19))-1)</f>
        <v>8.7513325944132303E-2</v>
      </c>
      <c r="L19" s="115">
        <f ca="1">'Revenue Projections &amp; Cases'!J12</f>
        <v>225702.885625</v>
      </c>
      <c r="M19" s="115">
        <f ca="1">'Revenue Projections &amp; Cases'!K12</f>
        <v>226652.19274193546</v>
      </c>
      <c r="N19" s="115">
        <f ca="1">'Revenue Projections &amp; Cases'!L12</f>
        <v>247385.38721962055</v>
      </c>
      <c r="O19" s="115">
        <f ca="1">'Revenue Projections &amp; Cases'!M12</f>
        <v>259807.05234793181</v>
      </c>
      <c r="P19" s="115">
        <f ca="1">'Revenue Projections &amp; Cases'!N12</f>
        <v>264250.22132447507</v>
      </c>
      <c r="Q19" s="115">
        <f ca="1">'Revenue Projections &amp; Cases'!O12</f>
        <v>273871.83123328304</v>
      </c>
      <c r="S19" s="255">
        <f ca="1">((Q19/L19)^(1/COUNT(L19:Q19))-1)</f>
        <v>3.2765469849272533E-2</v>
      </c>
    </row>
    <row r="20" spans="2:19">
      <c r="B20" s="8" t="str">
        <f>'Revenue Drivers'!B10</f>
        <v>Mac Revenue</v>
      </c>
      <c r="C20" s="115">
        <f>'Revenue Drivers'!G10</f>
        <v>28622</v>
      </c>
      <c r="D20" s="115">
        <f>'Revenue Drivers'!H10</f>
        <v>35190</v>
      </c>
      <c r="E20" s="115">
        <f>'Revenue Drivers'!I10</f>
        <v>40177</v>
      </c>
      <c r="F20" s="115">
        <f>'Revenue Drivers'!J10</f>
        <v>29357</v>
      </c>
      <c r="G20" s="115">
        <f>'Revenue Drivers'!K10</f>
        <v>29984</v>
      </c>
      <c r="H20" s="115">
        <f>'Revenue Drivers'!L10</f>
        <v>33708</v>
      </c>
      <c r="J20" s="255">
        <f t="shared" si="0"/>
        <v>3.3252825523713003E-2</v>
      </c>
      <c r="L20" s="115">
        <f ca="1">'Revenue Projections &amp; Cases'!J13</f>
        <v>28219.816751415772</v>
      </c>
      <c r="M20" s="115">
        <f ca="1">'Revenue Projections &amp; Cases'!K13</f>
        <v>30012.553403407528</v>
      </c>
      <c r="N20" s="115">
        <f ca="1">'Revenue Projections &amp; Cases'!L13</f>
        <v>32045.659073977586</v>
      </c>
      <c r="O20" s="115">
        <f ca="1">'Revenue Projections &amp; Cases'!M13</f>
        <v>32305.384824853045</v>
      </c>
      <c r="P20" s="115">
        <f ca="1">'Revenue Projections &amp; Cases'!N13</f>
        <v>32545.933176598497</v>
      </c>
      <c r="Q20" s="115">
        <f ca="1">'Revenue Projections &amp; Cases'!O13</f>
        <v>33153.126023241835</v>
      </c>
      <c r="S20" s="255">
        <f ca="1">((Q20/L20)^(1/COUNT(L20:Q20))-1)</f>
        <v>2.7215859230325323E-2</v>
      </c>
    </row>
    <row r="21" spans="2:19">
      <c r="B21" s="8" t="str">
        <f>'Revenue Drivers'!B11</f>
        <v>iPad Revenue</v>
      </c>
      <c r="C21" s="115">
        <f>'Revenue Drivers'!G11</f>
        <v>23724</v>
      </c>
      <c r="D21" s="115">
        <f>'Revenue Drivers'!H11</f>
        <v>31862</v>
      </c>
      <c r="E21" s="115">
        <f>'Revenue Drivers'!I11</f>
        <v>29292</v>
      </c>
      <c r="F21" s="115">
        <f>'Revenue Drivers'!J11</f>
        <v>28300</v>
      </c>
      <c r="G21" s="115">
        <f>'Revenue Drivers'!K11</f>
        <v>26694</v>
      </c>
      <c r="H21" s="115">
        <f>'Revenue Drivers'!L11</f>
        <v>28023</v>
      </c>
      <c r="J21" s="255">
        <f t="shared" ref="J21:J22" si="1">((H21/C21)^(1/COUNT(D21:H21))-1)</f>
        <v>3.3868592565621247E-2</v>
      </c>
      <c r="L21" s="115">
        <f ca="1">'Revenue Projections &amp; Cases'!J14</f>
        <v>34564.86</v>
      </c>
      <c r="M21" s="115">
        <f ca="1">'Revenue Projections &amp; Cases'!K14</f>
        <v>35639.129999999997</v>
      </c>
      <c r="N21" s="115">
        <f ca="1">'Revenue Projections &amp; Cases'!L14</f>
        <v>36801</v>
      </c>
      <c r="O21" s="115">
        <f ca="1">'Revenue Projections &amp; Cases'!M14</f>
        <v>38925.599999999999</v>
      </c>
      <c r="P21" s="115">
        <f ca="1">'Revenue Projections &amp; Cases'!N14</f>
        <v>41149.919999999998</v>
      </c>
      <c r="Q21" s="115">
        <f ca="1">'Revenue Projections &amp; Cases'!O14</f>
        <v>41834.205059265827</v>
      </c>
      <c r="S21" s="255">
        <f t="shared" ref="S21:S22" ca="1" si="2">((Q21/L21)^(1/COUNT(L21:Q21))-1)</f>
        <v>3.2324227293626606E-2</v>
      </c>
    </row>
    <row r="22" spans="2:19">
      <c r="B22" s="8" t="str">
        <f>'Revenue Drivers'!B12</f>
        <v>Services Revenue</v>
      </c>
      <c r="C22" s="115">
        <f>'Revenue Drivers'!G12</f>
        <v>53768</v>
      </c>
      <c r="D22" s="115">
        <f>'Revenue Drivers'!H12</f>
        <v>68425</v>
      </c>
      <c r="E22" s="115">
        <f>'Revenue Drivers'!I12</f>
        <v>78129</v>
      </c>
      <c r="F22" s="115">
        <f>'Revenue Drivers'!J12</f>
        <v>85200</v>
      </c>
      <c r="G22" s="115">
        <f>'Revenue Drivers'!K12</f>
        <v>96169</v>
      </c>
      <c r="H22" s="115">
        <f>'Revenue Drivers'!L12</f>
        <v>109158</v>
      </c>
      <c r="J22" s="255">
        <f t="shared" si="1"/>
        <v>0.15214287250455372</v>
      </c>
      <c r="L22" s="115">
        <f ca="1">'Revenue Projections &amp; Cases'!J15</f>
        <v>123670.6</v>
      </c>
      <c r="M22" s="115">
        <f ca="1">'Revenue Projections &amp; Cases'!K15</f>
        <v>138067.4</v>
      </c>
      <c r="N22" s="115">
        <f ca="1">'Revenue Projections &amp; Cases'!L15</f>
        <v>153462.00994406868</v>
      </c>
      <c r="O22" s="115">
        <f ca="1">'Revenue Projections &amp; Cases'!M15</f>
        <v>170605.9718025575</v>
      </c>
      <c r="P22" s="115">
        <f ca="1">'Revenue Projections &amp; Cases'!N15</f>
        <v>189701.64645632805</v>
      </c>
      <c r="Q22" s="115">
        <f ca="1">'Revenue Projections &amp; Cases'!O15</f>
        <v>210975.18962013428</v>
      </c>
      <c r="S22" s="255">
        <f t="shared" ca="1" si="2"/>
        <v>9.310232913521288E-2</v>
      </c>
    </row>
    <row r="23" spans="2:19">
      <c r="B23" s="8" t="str">
        <f>'Revenue Drivers'!B13</f>
        <v>Wearables, Home, and Accessories Revenue</v>
      </c>
      <c r="C23" s="115">
        <f>'Revenue Drivers'!G13</f>
        <v>30620</v>
      </c>
      <c r="D23" s="115">
        <f>'Revenue Drivers'!H13</f>
        <v>38367</v>
      </c>
      <c r="E23" s="115">
        <f>'Revenue Drivers'!I13</f>
        <v>41241</v>
      </c>
      <c r="F23" s="115">
        <f>'Revenue Drivers'!J13</f>
        <v>39845</v>
      </c>
      <c r="G23" s="115">
        <f>'Revenue Drivers'!K13</f>
        <v>37005</v>
      </c>
      <c r="H23" s="115">
        <f>'Revenue Drivers'!L13</f>
        <v>35686</v>
      </c>
      <c r="J23" s="255">
        <f t="shared" si="0"/>
        <v>3.1094658311796586E-2</v>
      </c>
      <c r="L23" s="115">
        <f ca="1">'Revenue Projections &amp; Cases'!J16</f>
        <v>39064.199999999997</v>
      </c>
      <c r="M23" s="115">
        <f ca="1">'Revenue Projections &amp; Cases'!K16</f>
        <v>40643.4</v>
      </c>
      <c r="N23" s="115">
        <f ca="1">'Revenue Projections &amp; Cases'!L16</f>
        <v>42803.972155062482</v>
      </c>
      <c r="O23" s="115">
        <f ca="1">'Revenue Projections &amp; Cases'!M16</f>
        <v>45085.605156887257</v>
      </c>
      <c r="P23" s="115">
        <f ca="1">'Revenue Projections &amp; Cases'!N16</f>
        <v>47495.461812039161</v>
      </c>
      <c r="Q23" s="115">
        <f ca="1">'Revenue Projections &amp; Cases'!O16</f>
        <v>50041.151150414153</v>
      </c>
      <c r="S23" s="255">
        <f ca="1">((Q23/L23)^(1/COUNT(L23:Q23))-1)</f>
        <v>4.2136785961481182E-2</v>
      </c>
    </row>
    <row r="24" spans="2:19">
      <c r="B24" s="107" t="s">
        <v>12</v>
      </c>
      <c r="C24" s="378">
        <f t="shared" ref="C24:H24" si="3">SUM(C19:C23)</f>
        <v>274515</v>
      </c>
      <c r="D24" s="378">
        <f t="shared" si="3"/>
        <v>365817</v>
      </c>
      <c r="E24" s="378">
        <f t="shared" si="3"/>
        <v>394328</v>
      </c>
      <c r="F24" s="378">
        <f t="shared" si="3"/>
        <v>383285</v>
      </c>
      <c r="G24" s="378">
        <f t="shared" si="3"/>
        <v>391035</v>
      </c>
      <c r="H24" s="378">
        <f t="shared" si="3"/>
        <v>416161</v>
      </c>
      <c r="J24" s="256">
        <f t="shared" si="0"/>
        <v>8.6773549240907411E-2</v>
      </c>
      <c r="L24" s="378">
        <f t="shared" ref="L24:Q24" ca="1" si="4">SUM(L19:L23)</f>
        <v>451222.36237641581</v>
      </c>
      <c r="M24" s="378">
        <f t="shared" ca="1" si="4"/>
        <v>471014.67614534299</v>
      </c>
      <c r="N24" s="378">
        <f t="shared" ca="1" si="4"/>
        <v>512498.02839272929</v>
      </c>
      <c r="O24" s="378">
        <f t="shared" ca="1" si="4"/>
        <v>546729.61413222959</v>
      </c>
      <c r="P24" s="378">
        <f t="shared" ca="1" si="4"/>
        <v>575143.18276944081</v>
      </c>
      <c r="Q24" s="378">
        <f t="shared" ca="1" si="4"/>
        <v>609875.5030863391</v>
      </c>
      <c r="S24" s="256">
        <f ca="1">((Q24/L24)^(1/COUNT(L24:Q24))-1)</f>
        <v>5.149794696797616E-2</v>
      </c>
    </row>
    <row r="25" spans="2:19" ht="5.0999999999999996" customHeight="1">
      <c r="C25" s="115"/>
      <c r="D25" s="115"/>
      <c r="E25" s="115"/>
      <c r="F25" s="115"/>
      <c r="G25" s="115"/>
      <c r="H25" s="115"/>
      <c r="J25" s="255"/>
      <c r="L25" s="258"/>
      <c r="M25" s="258"/>
      <c r="N25" s="258"/>
      <c r="O25" s="258"/>
      <c r="P25" s="258"/>
      <c r="Q25" s="258"/>
      <c r="S25" s="255"/>
    </row>
    <row r="26" spans="2:19">
      <c r="B26" s="8" t="s">
        <v>371</v>
      </c>
      <c r="C26" s="115">
        <f>'Historical Financials'!G13</f>
        <v>-169559</v>
      </c>
      <c r="D26" s="115">
        <f>'Historical Financials'!H13</f>
        <v>-212981</v>
      </c>
      <c r="E26" s="115">
        <f>'Historical Financials'!I13</f>
        <v>-223546</v>
      </c>
      <c r="F26" s="115">
        <f>'Historical Financials'!J13</f>
        <v>-214137</v>
      </c>
      <c r="G26" s="115">
        <f>'Historical Financials'!K13</f>
        <v>-210352</v>
      </c>
      <c r="H26" s="115">
        <f>'Historical Financials'!L13</f>
        <v>-220960</v>
      </c>
      <c r="J26" s="255">
        <f>((H26/C26)^(1/COUNT(D26:H26))-1)</f>
        <v>5.4383407455460331E-2</v>
      </c>
      <c r="L26" s="258">
        <f ca="1">L27-L24</f>
        <v>-237693.45430865322</v>
      </c>
      <c r="M26" s="258">
        <f t="shared" ref="M26:Q26" ca="1" si="5">M27-M24</f>
        <v>-249114.15957109988</v>
      </c>
      <c r="N26" s="258">
        <f t="shared" ca="1" si="5"/>
        <v>-268830.90850481915</v>
      </c>
      <c r="O26" s="258">
        <f t="shared" ca="1" si="5"/>
        <v>-287617.91362159757</v>
      </c>
      <c r="P26" s="258">
        <f t="shared" ca="1" si="5"/>
        <v>-306099.83980301465</v>
      </c>
      <c r="Q26" s="258">
        <f t="shared" ca="1" si="5"/>
        <v>-330897.89554605307</v>
      </c>
      <c r="S26" s="255">
        <f ca="1">((Q26/L26)^(1/COUNT(L26:Q26))-1)</f>
        <v>5.6686430642984176E-2</v>
      </c>
    </row>
    <row r="27" spans="2:19">
      <c r="B27" s="39" t="s">
        <v>30</v>
      </c>
      <c r="C27" s="378">
        <f>+C26+C24</f>
        <v>104956</v>
      </c>
      <c r="D27" s="378">
        <f t="shared" ref="D27:H27" si="6">+D26+D24</f>
        <v>152836</v>
      </c>
      <c r="E27" s="378">
        <f t="shared" si="6"/>
        <v>170782</v>
      </c>
      <c r="F27" s="378">
        <f t="shared" si="6"/>
        <v>169148</v>
      </c>
      <c r="G27" s="378">
        <f t="shared" si="6"/>
        <v>180683</v>
      </c>
      <c r="H27" s="378">
        <f t="shared" si="6"/>
        <v>195201</v>
      </c>
      <c r="J27" s="256">
        <f>((H27/C27)^(1/COUNT(D27:H27))-1)</f>
        <v>0.13212649296554235</v>
      </c>
      <c r="L27" s="378">
        <f ca="1">L58*L24</f>
        <v>213528.90806776259</v>
      </c>
      <c r="M27" s="378">
        <f t="shared" ref="M27:Q27" ca="1" si="7">M58*M24</f>
        <v>221900.51657424311</v>
      </c>
      <c r="N27" s="378">
        <f t="shared" ca="1" si="7"/>
        <v>243667.11988791017</v>
      </c>
      <c r="O27" s="378">
        <f t="shared" ca="1" si="7"/>
        <v>259111.70051063198</v>
      </c>
      <c r="P27" s="378">
        <f t="shared" ca="1" si="7"/>
        <v>269043.34296642616</v>
      </c>
      <c r="Q27" s="378">
        <f t="shared" ca="1" si="7"/>
        <v>278977.60754028603</v>
      </c>
      <c r="S27" s="256">
        <f ca="1">((Q27/L27)^(1/COUNT(L27:Q27))-1)</f>
        <v>4.5567585967023705E-2</v>
      </c>
    </row>
    <row r="28" spans="2:19" ht="5.0999999999999996" customHeight="1">
      <c r="C28" s="72"/>
      <c r="D28" s="72"/>
      <c r="E28" s="72"/>
      <c r="F28" s="72"/>
      <c r="G28" s="72"/>
      <c r="H28" s="72"/>
      <c r="L28" s="72"/>
      <c r="M28" s="72"/>
      <c r="N28" s="72"/>
      <c r="O28" s="72"/>
      <c r="P28" s="72"/>
      <c r="Q28" s="72"/>
      <c r="S28" s="255"/>
    </row>
    <row r="29" spans="2:19">
      <c r="B29" s="8" t="s">
        <v>386</v>
      </c>
      <c r="C29" s="115">
        <f>'Historical Financials'!G17</f>
        <v>-18752</v>
      </c>
      <c r="D29" s="115">
        <f>'Historical Financials'!H17</f>
        <v>-21914</v>
      </c>
      <c r="E29" s="115">
        <f>'Historical Financials'!I17</f>
        <v>-26251</v>
      </c>
      <c r="F29" s="115">
        <f>'Historical Financials'!J17</f>
        <v>-29915</v>
      </c>
      <c r="G29" s="115">
        <f>'Historical Financials'!K17</f>
        <v>-31370</v>
      </c>
      <c r="H29" s="115">
        <f>'Historical Financials'!L17</f>
        <v>-34550</v>
      </c>
      <c r="J29" s="255">
        <f t="shared" ref="J29:J42" si="8">((H29/C29)^(1/COUNT(D29:H29))-1)</f>
        <v>0.1300042879508454</v>
      </c>
      <c r="L29" s="258">
        <f ca="1">-(L24*L71)</f>
        <v>-38364.125688308115</v>
      </c>
      <c r="M29" s="258">
        <f t="shared" ref="M29:Q29" ca="1" si="9">-(M24*M71)</f>
        <v>-40639.887820121468</v>
      </c>
      <c r="N29" s="258">
        <f t="shared" ca="1" si="9"/>
        <v>-43357.932261996088</v>
      </c>
      <c r="O29" s="258">
        <f t="shared" ca="1" si="9"/>
        <v>-45166.74221006273</v>
      </c>
      <c r="P29" s="258">
        <f t="shared" ca="1" si="9"/>
        <v>-45749.497395505146</v>
      </c>
      <c r="Q29" s="258">
        <f t="shared" ca="1" si="9"/>
        <v>-47642.041678650909</v>
      </c>
      <c r="S29" s="255">
        <f ca="1">((Q29/L29)^(1/COUNT(L29:Q29))-1)</f>
        <v>3.675827382204333E-2</v>
      </c>
    </row>
    <row r="30" spans="2:19">
      <c r="B30" s="8" t="s">
        <v>503</v>
      </c>
      <c r="C30" s="115">
        <f>'Historical Financials'!G18</f>
        <v>-19916</v>
      </c>
      <c r="D30" s="115">
        <f>'Historical Financials'!H18</f>
        <v>-21973</v>
      </c>
      <c r="E30" s="115">
        <f>'Historical Financials'!I18</f>
        <v>-25094</v>
      </c>
      <c r="F30" s="115">
        <f>'Historical Financials'!J18</f>
        <v>-24932</v>
      </c>
      <c r="G30" s="115">
        <f>'Historical Financials'!K18</f>
        <v>-26097</v>
      </c>
      <c r="H30" s="115">
        <f>'Historical Financials'!L18</f>
        <v>-27601</v>
      </c>
      <c r="J30" s="255">
        <f t="shared" si="8"/>
        <v>6.7442622257265938E-2</v>
      </c>
      <c r="L30" s="258">
        <f ca="1">-(L24*L72)</f>
        <v>-30051.67159185635</v>
      </c>
      <c r="M30" s="258">
        <f t="shared" ref="M30:Q30" ca="1" si="10">-(M24*M72)</f>
        <v>-31189.441578049034</v>
      </c>
      <c r="N30" s="258">
        <f t="shared" ca="1" si="10"/>
        <v>-33884.67504583476</v>
      </c>
      <c r="O30" s="258">
        <f t="shared" ca="1" si="10"/>
        <v>-34626.025810609928</v>
      </c>
      <c r="P30" s="258">
        <f t="shared" ca="1" si="10"/>
        <v>-34672.167002350849</v>
      </c>
      <c r="Q30" s="258">
        <f t="shared" ca="1" si="10"/>
        <v>-35169.079908590458</v>
      </c>
      <c r="S30" s="255">
        <f ca="1">((Q30/L30)^(1/COUNT(L30:Q30))-1)</f>
        <v>2.6554620418856256E-2</v>
      </c>
    </row>
    <row r="31" spans="2:19">
      <c r="B31" s="39" t="s">
        <v>125</v>
      </c>
      <c r="C31" s="378">
        <f>SUM(C29:C30)+C27</f>
        <v>66288</v>
      </c>
      <c r="D31" s="378">
        <f>SUM(D29:D30)+D27</f>
        <v>108949</v>
      </c>
      <c r="E31" s="378">
        <f>SUM(E29:E30)+E27</f>
        <v>119437</v>
      </c>
      <c r="F31" s="378">
        <f>SUM(F29:F30)+F27</f>
        <v>114301</v>
      </c>
      <c r="G31" s="378">
        <f>SUM(G29:G30)+G27</f>
        <v>123216</v>
      </c>
      <c r="H31" s="378">
        <f>SUM(H29:H30)+H27</f>
        <v>133050</v>
      </c>
      <c r="J31" s="256">
        <f t="shared" si="8"/>
        <v>0.14951857284756986</v>
      </c>
      <c r="L31" s="378">
        <f ca="1">SUM(L29:L30)+L27</f>
        <v>145113.11078759813</v>
      </c>
      <c r="M31" s="378">
        <f ca="1">SUM(M29:M30)+M27</f>
        <v>150071.18717607262</v>
      </c>
      <c r="N31" s="378">
        <f ca="1">SUM(N29:N30)+N27</f>
        <v>166424.51258007932</v>
      </c>
      <c r="O31" s="378">
        <f ca="1">SUM(O29:O30)+O27</f>
        <v>179318.93248995932</v>
      </c>
      <c r="P31" s="378">
        <f ca="1">SUM(P29:P30)+P27</f>
        <v>188621.67856857018</v>
      </c>
      <c r="Q31" s="378">
        <f ca="1">SUM(Q29:Q30)+Q27</f>
        <v>196166.48595304467</v>
      </c>
      <c r="S31" s="256">
        <f ca="1">((Q31/L31)^(1/COUNT(L31:Q31))-1)</f>
        <v>5.1525220026146679E-2</v>
      </c>
    </row>
    <row r="32" spans="2:19" ht="5.0999999999999996" customHeight="1"/>
    <row r="33" spans="2:20">
      <c r="B33" s="8" t="s">
        <v>480</v>
      </c>
      <c r="C33" s="254">
        <v>3763</v>
      </c>
      <c r="D33" s="254">
        <v>2843</v>
      </c>
      <c r="E33" s="254">
        <v>2825</v>
      </c>
      <c r="F33" s="254">
        <v>3750</v>
      </c>
      <c r="G33" s="254">
        <v>1583.29575</v>
      </c>
      <c r="H33" s="470">
        <v>1410</v>
      </c>
      <c r="J33" s="255">
        <f t="shared" si="8"/>
        <v>-0.17825517290525739</v>
      </c>
      <c r="L33" s="349">
        <f>L210</f>
        <v>0</v>
      </c>
      <c r="M33" s="349">
        <f t="shared" ref="M33:Q33" si="11">M210</f>
        <v>0</v>
      </c>
      <c r="N33" s="349">
        <f t="shared" si="11"/>
        <v>0</v>
      </c>
      <c r="O33" s="349">
        <f t="shared" si="11"/>
        <v>0</v>
      </c>
      <c r="P33" s="349">
        <f t="shared" si="11"/>
        <v>0</v>
      </c>
      <c r="Q33" s="349">
        <f t="shared" si="11"/>
        <v>0</v>
      </c>
      <c r="S33" s="255" t="e">
        <f>((Q33/L33)^(1/COUNT(L33:Q33))-1)</f>
        <v>#DIV/0!</v>
      </c>
      <c r="T33" s="8" t="s">
        <v>481</v>
      </c>
    </row>
    <row r="34" spans="2:20">
      <c r="B34" s="8" t="s">
        <v>388</v>
      </c>
      <c r="C34" s="254">
        <v>-2873</v>
      </c>
      <c r="D34" s="254">
        <v>-2645</v>
      </c>
      <c r="E34" s="254">
        <v>-2931</v>
      </c>
      <c r="F34" s="254">
        <v>-3933</v>
      </c>
      <c r="G34" s="254">
        <v>-515</v>
      </c>
      <c r="H34" s="470">
        <v>-440</v>
      </c>
      <c r="J34" s="255">
        <f t="shared" si="8"/>
        <v>-0.31289452342583635</v>
      </c>
      <c r="L34" s="349">
        <f>-L196</f>
        <v>-61.986017096188739</v>
      </c>
      <c r="M34" s="349">
        <f t="shared" ref="M34:Q34" si="12">-M196</f>
        <v>-61.986017096188739</v>
      </c>
      <c r="N34" s="349">
        <f t="shared" si="12"/>
        <v>-61.986017096188739</v>
      </c>
      <c r="O34" s="349">
        <f t="shared" si="12"/>
        <v>-61.986017096188739</v>
      </c>
      <c r="P34" s="349">
        <f t="shared" si="12"/>
        <v>-61.986017096188739</v>
      </c>
      <c r="Q34" s="349">
        <f t="shared" si="12"/>
        <v>-61.986017096188739</v>
      </c>
      <c r="S34" s="255">
        <f>((Q34/L34)^(1/COUNT(L34:Q34))-1)</f>
        <v>0</v>
      </c>
      <c r="T34" s="8" t="s">
        <v>126</v>
      </c>
    </row>
    <row r="35" spans="2:20">
      <c r="B35" s="8" t="s">
        <v>482</v>
      </c>
      <c r="C35" s="254">
        <v>-87</v>
      </c>
      <c r="D35" s="254">
        <v>60</v>
      </c>
      <c r="E35" s="254">
        <v>-228</v>
      </c>
      <c r="F35" s="254">
        <v>-382</v>
      </c>
      <c r="G35" s="254">
        <v>-799.29575</v>
      </c>
      <c r="H35" s="470">
        <v>-1291</v>
      </c>
      <c r="J35" s="255">
        <f t="shared" si="8"/>
        <v>0.71506821345871807</v>
      </c>
      <c r="L35" s="417">
        <f>AVERAGE(F35:H35)</f>
        <v>-824.09858333333341</v>
      </c>
      <c r="M35" s="417">
        <f>L35</f>
        <v>-824.09858333333341</v>
      </c>
      <c r="N35" s="417">
        <f>M35</f>
        <v>-824.09858333333341</v>
      </c>
      <c r="O35" s="417">
        <f>N35</f>
        <v>-824.09858333333341</v>
      </c>
      <c r="P35" s="417">
        <f>O35</f>
        <v>-824.09858333333341</v>
      </c>
      <c r="Q35" s="417">
        <f>P35</f>
        <v>-824.09858333333341</v>
      </c>
      <c r="S35" s="255">
        <f>((Q35/L35)^(1/COUNT(L35:Q35))-1)</f>
        <v>0</v>
      </c>
      <c r="T35" s="8" t="s">
        <v>559</v>
      </c>
    </row>
    <row r="36" spans="2:20">
      <c r="B36" s="39" t="s">
        <v>127</v>
      </c>
      <c r="C36" s="378">
        <f t="shared" ref="C36:H36" si="13">SUM(C33:C35)+C31</f>
        <v>67091</v>
      </c>
      <c r="D36" s="378">
        <f t="shared" si="13"/>
        <v>109207</v>
      </c>
      <c r="E36" s="378">
        <f t="shared" si="13"/>
        <v>119103</v>
      </c>
      <c r="F36" s="378">
        <f t="shared" si="13"/>
        <v>113736</v>
      </c>
      <c r="G36" s="378">
        <f t="shared" si="13"/>
        <v>123485</v>
      </c>
      <c r="H36" s="378">
        <f t="shared" si="13"/>
        <v>132729</v>
      </c>
      <c r="J36" s="256">
        <f t="shared" si="8"/>
        <v>0.14619975540684438</v>
      </c>
      <c r="L36" s="378">
        <f t="shared" ref="L36:Q36" ca="1" si="14">SUM(L33:L35)+L31</f>
        <v>144227.02618716861</v>
      </c>
      <c r="M36" s="378">
        <f t="shared" ca="1" si="14"/>
        <v>149185.1025756431</v>
      </c>
      <c r="N36" s="378">
        <f t="shared" ca="1" si="14"/>
        <v>165538.4279796498</v>
      </c>
      <c r="O36" s="378">
        <f t="shared" ca="1" si="14"/>
        <v>178432.8478895298</v>
      </c>
      <c r="P36" s="378">
        <f t="shared" ca="1" si="14"/>
        <v>187735.59396814066</v>
      </c>
      <c r="Q36" s="378">
        <f t="shared" ca="1" si="14"/>
        <v>195280.40135261515</v>
      </c>
      <c r="S36" s="256">
        <f ca="1">((Q36/L36)^(1/COUNT(L36:Q36))-1)</f>
        <v>5.1805251908918493E-2</v>
      </c>
    </row>
    <row r="37" spans="2:20" ht="5.0999999999999996" customHeight="1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S37" s="252"/>
    </row>
    <row r="38" spans="2:20">
      <c r="B38" s="8" t="s">
        <v>379</v>
      </c>
      <c r="C38" s="115">
        <f>'Historical Financials'!G25</f>
        <v>-9680</v>
      </c>
      <c r="D38" s="115">
        <f>'Historical Financials'!H25</f>
        <v>-14527</v>
      </c>
      <c r="E38" s="115">
        <f>'Historical Financials'!I25</f>
        <v>-19300</v>
      </c>
      <c r="F38" s="115">
        <f>'Historical Financials'!J25</f>
        <v>-16741</v>
      </c>
      <c r="G38" s="115">
        <f>'Historical Financials'!K25</f>
        <v>-29749</v>
      </c>
      <c r="H38" s="115">
        <f>'Historical Financials'!L25</f>
        <v>-20719</v>
      </c>
      <c r="J38" s="255">
        <f t="shared" si="8"/>
        <v>0.16439058887824576</v>
      </c>
      <c r="L38" s="258">
        <f ca="1">-(L36*L60)</f>
        <v>-23156.470596969015</v>
      </c>
      <c r="M38" s="258">
        <f ca="1">-(M36*M60)</f>
        <v>-23900.27462575004</v>
      </c>
      <c r="N38" s="258">
        <f ca="1">-(N36*N60)</f>
        <v>-26346.519274886512</v>
      </c>
      <c r="O38" s="258">
        <f ca="1">-(O36*O60)</f>
        <v>-28558.281257094808</v>
      </c>
      <c r="P38" s="258">
        <f ca="1">-(P36*P60)</f>
        <v>-30198.794094973437</v>
      </c>
      <c r="Q38" s="258">
        <f ca="1">-(Q36*Q60)</f>
        <v>-31506.031874537672</v>
      </c>
      <c r="S38" s="255">
        <f ca="1">((Q38/L38)^(1/COUNT(L38:Q38))-1)</f>
        <v>5.2657017912572268E-2</v>
      </c>
    </row>
    <row r="39" spans="2:20">
      <c r="B39" s="39" t="s">
        <v>17</v>
      </c>
      <c r="C39" s="378">
        <f t="shared" ref="C39:H39" si="15">+C36+C38</f>
        <v>57411</v>
      </c>
      <c r="D39" s="378">
        <f t="shared" si="15"/>
        <v>94680</v>
      </c>
      <c r="E39" s="378">
        <f t="shared" si="15"/>
        <v>99803</v>
      </c>
      <c r="F39" s="378">
        <f t="shared" si="15"/>
        <v>96995</v>
      </c>
      <c r="G39" s="378">
        <f t="shared" si="15"/>
        <v>93736</v>
      </c>
      <c r="H39" s="378">
        <f t="shared" si="15"/>
        <v>112010</v>
      </c>
      <c r="J39" s="256">
        <f t="shared" si="8"/>
        <v>0.14301607214786305</v>
      </c>
      <c r="L39" s="378">
        <f t="shared" ref="L39:Q39" ca="1" si="16">+L36+L38</f>
        <v>121070.5555901996</v>
      </c>
      <c r="M39" s="378">
        <f t="shared" ca="1" si="16"/>
        <v>125284.82794989306</v>
      </c>
      <c r="N39" s="378">
        <f t="shared" ca="1" si="16"/>
        <v>139191.90870476328</v>
      </c>
      <c r="O39" s="378">
        <f t="shared" ca="1" si="16"/>
        <v>149874.56663243499</v>
      </c>
      <c r="P39" s="378">
        <f t="shared" ca="1" si="16"/>
        <v>157536.79987316721</v>
      </c>
      <c r="Q39" s="378">
        <f t="shared" ca="1" si="16"/>
        <v>163774.36947807748</v>
      </c>
      <c r="S39" s="256">
        <f ca="1">((Q39/L39)^(1/COUNT(L39:Q39))-1)</f>
        <v>5.1641945958831537E-2</v>
      </c>
    </row>
    <row r="40" spans="2:20" ht="5.0999999999999996" customHeight="1">
      <c r="B40" s="39"/>
      <c r="C40" s="48"/>
      <c r="D40" s="48"/>
      <c r="E40" s="48"/>
      <c r="F40" s="48"/>
      <c r="G40" s="48"/>
      <c r="H40" s="48"/>
      <c r="I40" s="39"/>
      <c r="J40" s="39"/>
      <c r="K40" s="39"/>
      <c r="L40" s="48"/>
      <c r="M40" s="48"/>
      <c r="N40" s="48"/>
      <c r="O40" s="48"/>
      <c r="P40" s="48"/>
      <c r="Q40" s="48"/>
      <c r="S40" s="253"/>
    </row>
    <row r="41" spans="2:20">
      <c r="B41" s="8" t="s">
        <v>372</v>
      </c>
      <c r="C41" s="115">
        <f>'Historical Financials'!G78</f>
        <v>11056</v>
      </c>
      <c r="D41" s="115">
        <f>'Historical Financials'!H78</f>
        <v>11284</v>
      </c>
      <c r="E41" s="115">
        <f>'Historical Financials'!I78</f>
        <v>11104</v>
      </c>
      <c r="F41" s="115">
        <f>'Historical Financials'!J78</f>
        <v>11519</v>
      </c>
      <c r="G41" s="115">
        <f>'Historical Financials'!K78</f>
        <v>11445</v>
      </c>
      <c r="H41" s="115">
        <f>'Historical Financials'!L78</f>
        <v>11698</v>
      </c>
      <c r="J41" s="255">
        <f t="shared" si="8"/>
        <v>1.1352884356246706E-2</v>
      </c>
      <c r="L41" s="341">
        <f ca="1">L165</f>
        <v>12776.59839760666</v>
      </c>
      <c r="M41" s="341">
        <f t="shared" ref="M41:Q41" ca="1" si="17">M165</f>
        <v>13114.906119878495</v>
      </c>
      <c r="N41" s="341">
        <f t="shared" ca="1" si="17"/>
        <v>14526.339912011219</v>
      </c>
      <c r="O41" s="341">
        <f t="shared" ca="1" si="17"/>
        <v>16586.917064972458</v>
      </c>
      <c r="P41" s="341">
        <f t="shared" ca="1" si="17"/>
        <v>19180.681079883543</v>
      </c>
      <c r="Q41" s="341">
        <f t="shared" ca="1" si="17"/>
        <v>22279.290652902153</v>
      </c>
      <c r="S41" s="255">
        <f ca="1">((Q41/L41)^(1/COUNT(L41:Q41))-1)</f>
        <v>9.7103715557409931E-2</v>
      </c>
      <c r="T41" s="8" t="s">
        <v>128</v>
      </c>
    </row>
    <row r="42" spans="2:20">
      <c r="B42" s="39" t="s">
        <v>11</v>
      </c>
      <c r="C42" s="378">
        <f t="shared" ref="C42:H42" si="18">+C31+C41</f>
        <v>77344</v>
      </c>
      <c r="D42" s="378">
        <f t="shared" si="18"/>
        <v>120233</v>
      </c>
      <c r="E42" s="378">
        <f t="shared" si="18"/>
        <v>130541</v>
      </c>
      <c r="F42" s="378">
        <f t="shared" si="18"/>
        <v>125820</v>
      </c>
      <c r="G42" s="378">
        <f t="shared" si="18"/>
        <v>134661</v>
      </c>
      <c r="H42" s="378">
        <f t="shared" si="18"/>
        <v>144748</v>
      </c>
      <c r="J42" s="256">
        <f t="shared" si="8"/>
        <v>0.13354088383424956</v>
      </c>
      <c r="L42" s="378">
        <f t="shared" ref="L42:Q42" ca="1" si="19">+L31+L41</f>
        <v>157889.70918520479</v>
      </c>
      <c r="M42" s="378">
        <f t="shared" ca="1" si="19"/>
        <v>163186.09329595111</v>
      </c>
      <c r="N42" s="378">
        <f t="shared" ca="1" si="19"/>
        <v>180950.85249209055</v>
      </c>
      <c r="O42" s="378">
        <f t="shared" ca="1" si="19"/>
        <v>195905.84955493177</v>
      </c>
      <c r="P42" s="378">
        <f t="shared" ca="1" si="19"/>
        <v>207802.35964845371</v>
      </c>
      <c r="Q42" s="378">
        <f t="shared" ca="1" si="19"/>
        <v>218445.77660594683</v>
      </c>
      <c r="S42" s="256">
        <f ca="1">((Q42/L42)^(1/COUNT(L42:Q42))-1)</f>
        <v>5.5597382417824415E-2</v>
      </c>
    </row>
    <row r="43" spans="2:20" ht="5.0999999999999996" customHeight="1">
      <c r="B43" s="39"/>
      <c r="C43" s="48"/>
      <c r="D43" s="48"/>
      <c r="E43" s="48"/>
      <c r="F43" s="48"/>
      <c r="G43" s="48"/>
      <c r="H43" s="48"/>
      <c r="I43" s="39"/>
      <c r="J43" s="256"/>
      <c r="K43" s="39"/>
      <c r="L43" s="48"/>
      <c r="M43" s="48"/>
      <c r="N43" s="48"/>
      <c r="O43" s="48"/>
      <c r="P43" s="48"/>
      <c r="Q43" s="48"/>
      <c r="S43" s="256"/>
    </row>
    <row r="44" spans="2:20">
      <c r="B44" s="8" t="s">
        <v>233</v>
      </c>
      <c r="C44" s="115">
        <f>'Historical Financials'!G79</f>
        <v>6829</v>
      </c>
      <c r="D44" s="115">
        <f>'Historical Financials'!H79</f>
        <v>7906</v>
      </c>
      <c r="E44" s="115">
        <f>'Historical Financials'!I79</f>
        <v>9038</v>
      </c>
      <c r="F44" s="115">
        <f>'Historical Financials'!J79</f>
        <v>10833</v>
      </c>
      <c r="G44" s="115">
        <f>'Historical Financials'!K79</f>
        <v>11688</v>
      </c>
      <c r="H44" s="115">
        <f>'Historical Financials'!L79</f>
        <v>12863</v>
      </c>
      <c r="J44" s="255">
        <f>((H44/C44)^(1/COUNT(D44:H44))-1)</f>
        <v>0.13500305734244855</v>
      </c>
      <c r="L44" s="341">
        <f ca="1">(L50*H44)+H44</f>
        <v>13946.701510347766</v>
      </c>
      <c r="M44" s="341">
        <f ca="1">(M50*L44)+L44</f>
        <v>14558.456412920836</v>
      </c>
      <c r="N44" s="341">
        <f t="shared" ref="N44:Q44" ca="1" si="20">(N50*M44)+M44</f>
        <v>15840.653351024432</v>
      </c>
      <c r="O44" s="341">
        <f t="shared" ca="1" si="20"/>
        <v>16898.707535263686</v>
      </c>
      <c r="P44" s="341">
        <f t="shared" ca="1" si="20"/>
        <v>17776.93431139227</v>
      </c>
      <c r="Q44" s="341">
        <f t="shared" ca="1" si="20"/>
        <v>18850.465555877607</v>
      </c>
      <c r="S44" s="255">
        <f ca="1">((Q44/L44)^(1/COUNT(L44:Q44))-1)</f>
        <v>5.149794696797616E-2</v>
      </c>
      <c r="T44" s="8" t="s">
        <v>512</v>
      </c>
    </row>
    <row r="45" spans="2:20">
      <c r="B45" s="39" t="s">
        <v>54</v>
      </c>
      <c r="C45" s="378">
        <f t="shared" ref="C45:H45" si="21">+C42+C44</f>
        <v>84173</v>
      </c>
      <c r="D45" s="378">
        <f t="shared" si="21"/>
        <v>128139</v>
      </c>
      <c r="E45" s="378">
        <f t="shared" si="21"/>
        <v>139579</v>
      </c>
      <c r="F45" s="378">
        <f t="shared" si="21"/>
        <v>136653</v>
      </c>
      <c r="G45" s="378">
        <f t="shared" si="21"/>
        <v>146349</v>
      </c>
      <c r="H45" s="378">
        <f t="shared" si="21"/>
        <v>157611</v>
      </c>
      <c r="J45" s="256">
        <f>((H45/C45)^(1/COUNT(D45:H45))-1)</f>
        <v>0.13365979222728908</v>
      </c>
      <c r="L45" s="378">
        <f t="shared" ref="L45:Q45" ca="1" si="22">+L42+L44</f>
        <v>171836.41069555256</v>
      </c>
      <c r="M45" s="378">
        <f t="shared" ca="1" si="22"/>
        <v>177744.54970887196</v>
      </c>
      <c r="N45" s="378">
        <f t="shared" ca="1" si="22"/>
        <v>196791.50584311498</v>
      </c>
      <c r="O45" s="378">
        <f t="shared" ca="1" si="22"/>
        <v>212804.55709019545</v>
      </c>
      <c r="P45" s="378">
        <f t="shared" ca="1" si="22"/>
        <v>225579.29395984599</v>
      </c>
      <c r="Q45" s="378">
        <f t="shared" ca="1" si="22"/>
        <v>237296.24216182443</v>
      </c>
      <c r="S45" s="256">
        <f ca="1">((Q45/L45)^(1/COUNT(L45:Q45))-1)</f>
        <v>5.5267617510377454E-2</v>
      </c>
    </row>
    <row r="46" spans="2:20" ht="5.0999999999999996" customHeight="1"/>
    <row r="47" spans="2:20">
      <c r="B47" s="201" t="s">
        <v>130</v>
      </c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</row>
    <row r="48" spans="2:20" ht="5.0999999999999996" customHeight="1">
      <c r="B48" s="202"/>
      <c r="Q48" s="188"/>
    </row>
    <row r="49" spans="2:20">
      <c r="B49" s="261" t="s">
        <v>131</v>
      </c>
      <c r="Q49" s="188"/>
    </row>
    <row r="50" spans="2:20">
      <c r="B50" s="343" t="s">
        <v>483</v>
      </c>
      <c r="C50" s="344" t="s">
        <v>46</v>
      </c>
      <c r="D50" s="344">
        <f>SUM(D24/C24)-1</f>
        <v>0.33259384733074704</v>
      </c>
      <c r="E50" s="344">
        <f>SUM(E24/D24)-1</f>
        <v>7.7937876041846099E-2</v>
      </c>
      <c r="F50" s="344">
        <f>SUM(F24/E24)-1</f>
        <v>-2.800460530319937E-2</v>
      </c>
      <c r="G50" s="344">
        <f>SUM(G24/F24)-1</f>
        <v>2.021994077514111E-2</v>
      </c>
      <c r="H50" s="344">
        <f>SUM(H24/G24)-1</f>
        <v>6.425511782832749E-2</v>
      </c>
      <c r="L50" s="345">
        <f ca="1">'Revenue Projections &amp; Cases'!J20</f>
        <v>8.4249514914698453E-2</v>
      </c>
      <c r="M50" s="345">
        <f ca="1">'Revenue Projections &amp; Cases'!K20</f>
        <v>4.3863769660458907E-2</v>
      </c>
      <c r="N50" s="345">
        <f ca="1">'Revenue Projections &amp; Cases'!L20</f>
        <v>8.8072313556925463E-2</v>
      </c>
      <c r="O50" s="345">
        <f ca="1">'Revenue Projections &amp; Cases'!M20</f>
        <v>6.6793594985829818E-2</v>
      </c>
      <c r="P50" s="345">
        <f ca="1">'Revenue Projections &amp; Cases'!N20</f>
        <v>5.1970055952263117E-2</v>
      </c>
      <c r="Q50" s="345">
        <f ca="1">'Revenue Projections &amp; Cases'!O20</f>
        <v>6.0388997657339072E-2</v>
      </c>
    </row>
    <row r="51" spans="2:20">
      <c r="B51" s="259" t="str">
        <f>B19</f>
        <v>iPhone Revenue</v>
      </c>
      <c r="C51" s="344" t="s">
        <v>46</v>
      </c>
      <c r="D51" s="344">
        <f>SUM(D19/C19)-1</f>
        <v>0.39331983364905176</v>
      </c>
      <c r="E51" s="344">
        <f>SUM(E19/D19)-1</f>
        <v>7.0405734139696641E-2</v>
      </c>
      <c r="F51" s="344">
        <f>SUM(F19/E19)-1</f>
        <v>-2.3874757286278081E-2</v>
      </c>
      <c r="G51" s="344">
        <f>SUM(G19/F19)-1</f>
        <v>2.9912804175826757E-3</v>
      </c>
      <c r="H51" s="344">
        <f>SUM(H19/G19)-1</f>
        <v>4.1767942619406195E-2</v>
      </c>
      <c r="L51" s="345">
        <f ca="1">'Revenue Projections &amp; Cases'!J21</f>
        <v>7.6898674649070076E-2</v>
      </c>
      <c r="M51" s="345">
        <f ca="1">'Revenue Projections &amp; Cases'!K21</f>
        <v>4.2060034558561998E-3</v>
      </c>
      <c r="N51" s="345">
        <f ca="1">'Revenue Projections &amp; Cases'!L21</f>
        <v>9.147581687547035E-2</v>
      </c>
      <c r="O51" s="345">
        <f ca="1">'Revenue Projections &amp; Cases'!M21</f>
        <v>5.0211798149919495E-2</v>
      </c>
      <c r="P51" s="345">
        <f ca="1">'Revenue Projections &amp; Cases'!N21</f>
        <v>1.710180280477136E-2</v>
      </c>
      <c r="Q51" s="345">
        <f ca="1">'Revenue Projections &amp; Cases'!O21</f>
        <v>3.6410981457584146E-2</v>
      </c>
      <c r="T51" s="8" t="s">
        <v>486</v>
      </c>
    </row>
    <row r="52" spans="2:20">
      <c r="B52" s="259" t="str">
        <f t="shared" ref="B52:B55" si="23">B20</f>
        <v>Mac Revenue</v>
      </c>
      <c r="C52" s="344" t="s">
        <v>46</v>
      </c>
      <c r="D52" s="344">
        <f t="shared" ref="D52:H52" si="24">SUM(D20/C20)-1</f>
        <v>0.22947383131856625</v>
      </c>
      <c r="E52" s="344">
        <f t="shared" si="24"/>
        <v>0.14171639670360903</v>
      </c>
      <c r="F52" s="344">
        <f t="shared" si="24"/>
        <v>-0.26930831072504169</v>
      </c>
      <c r="G52" s="344">
        <f t="shared" si="24"/>
        <v>2.1357768164322E-2</v>
      </c>
      <c r="H52" s="344">
        <f t="shared" si="24"/>
        <v>0.12419957310565644</v>
      </c>
      <c r="L52" s="345">
        <f ca="1">'Revenue Projections &amp; Cases'!J22</f>
        <v>-0.16281545177952494</v>
      </c>
      <c r="M52" s="345">
        <f ca="1">'Revenue Projections &amp; Cases'!K22</f>
        <v>6.3527579494357056E-2</v>
      </c>
      <c r="N52" s="345">
        <f ca="1">'Revenue Projections &amp; Cases'!L22</f>
        <v>6.7741842663051388E-2</v>
      </c>
      <c r="O52" s="345">
        <f ca="1">'Revenue Projections &amp; Cases'!M22</f>
        <v>8.1048653196953424E-3</v>
      </c>
      <c r="P52" s="345">
        <f ca="1">'Revenue Projections &amp; Cases'!N22</f>
        <v>7.4460760349894795E-3</v>
      </c>
      <c r="Q52" s="345">
        <f ca="1">'Revenue Projections &amp; Cases'!O22</f>
        <v>1.8656489071879667E-2</v>
      </c>
      <c r="T52" s="8" t="s">
        <v>486</v>
      </c>
    </row>
    <row r="53" spans="2:20">
      <c r="B53" s="259" t="str">
        <f t="shared" si="23"/>
        <v>iPad Revenue</v>
      </c>
      <c r="C53" s="344" t="s">
        <v>46</v>
      </c>
      <c r="D53" s="344">
        <f t="shared" ref="D53:H53" si="25">SUM(D21/C21)-1</f>
        <v>0.34302815714044854</v>
      </c>
      <c r="E53" s="344">
        <f t="shared" si="25"/>
        <v>-8.0660347749670458E-2</v>
      </c>
      <c r="F53" s="344">
        <f t="shared" si="25"/>
        <v>-3.3865901952751631E-2</v>
      </c>
      <c r="G53" s="344">
        <f t="shared" si="25"/>
        <v>-5.674911660777382E-2</v>
      </c>
      <c r="H53" s="344">
        <f t="shared" si="25"/>
        <v>4.9786468869408962E-2</v>
      </c>
      <c r="L53" s="345">
        <f ca="1">'Revenue Projections &amp; Cases'!J23</f>
        <v>0.23344609784819625</v>
      </c>
      <c r="M53" s="345">
        <f ca="1">'Revenue Projections &amp; Cases'!K23</f>
        <v>3.1079830787684282E-2</v>
      </c>
      <c r="N53" s="345">
        <f ca="1">'Revenue Projections &amp; Cases'!L23</f>
        <v>3.2600964164950286E-2</v>
      </c>
      <c r="O53" s="345">
        <f ca="1">'Revenue Projections &amp; Cases'!M23</f>
        <v>5.7732126844379117E-2</v>
      </c>
      <c r="P53" s="345">
        <f ca="1">'Revenue Projections &amp; Cases'!N23</f>
        <v>5.7142857142857162E-2</v>
      </c>
      <c r="Q53" s="345">
        <f ca="1">'Revenue Projections &amp; Cases'!O23</f>
        <v>1.6629073866141875E-2</v>
      </c>
      <c r="T53" s="8" t="s">
        <v>486</v>
      </c>
    </row>
    <row r="54" spans="2:20">
      <c r="B54" s="259" t="str">
        <f t="shared" si="23"/>
        <v>Services Revenue</v>
      </c>
      <c r="C54" s="344" t="s">
        <v>46</v>
      </c>
      <c r="D54" s="344">
        <f t="shared" ref="D54:H54" si="26">SUM(D22/C22)-1</f>
        <v>0.27259708376729663</v>
      </c>
      <c r="E54" s="344">
        <f t="shared" si="26"/>
        <v>0.14181951041286078</v>
      </c>
      <c r="F54" s="344">
        <f t="shared" si="26"/>
        <v>9.0504166186691215E-2</v>
      </c>
      <c r="G54" s="344">
        <f t="shared" si="26"/>
        <v>0.12874413145539898</v>
      </c>
      <c r="H54" s="344">
        <f t="shared" si="26"/>
        <v>0.13506431386413498</v>
      </c>
      <c r="L54" s="345">
        <f ca="1">'Revenue Projections &amp; Cases'!J24</f>
        <v>0.13295040216933263</v>
      </c>
      <c r="M54" s="345">
        <f ca="1">'Revenue Projections &amp; Cases'!K24</f>
        <v>0.11641246989987919</v>
      </c>
      <c r="N54" s="345">
        <f ca="1">'Revenue Projections &amp; Cases'!L24</f>
        <v>0.11150068694035431</v>
      </c>
      <c r="O54" s="345">
        <f ca="1">'Revenue Projections &amp; Cases'!M24</f>
        <v>0.11171469645638799</v>
      </c>
      <c r="P54" s="345">
        <f ca="1">'Revenue Projections &amp; Cases'!N24</f>
        <v>0.11192852425980715</v>
      </c>
      <c r="Q54" s="345">
        <f ca="1">'Revenue Projections &amp; Cases'!O24</f>
        <v>0.11214211136909502</v>
      </c>
      <c r="T54" s="8" t="s">
        <v>486</v>
      </c>
    </row>
    <row r="55" spans="2:20">
      <c r="B55" s="259" t="str">
        <f t="shared" si="23"/>
        <v>Wearables, Home, and Accessories Revenue</v>
      </c>
      <c r="C55" s="344" t="s">
        <v>46</v>
      </c>
      <c r="D55" s="344">
        <f t="shared" ref="D55:H55" si="27">SUM(D23/C23)-1</f>
        <v>0.2530045721750489</v>
      </c>
      <c r="E55" s="344">
        <f t="shared" si="27"/>
        <v>7.4908124169208001E-2</v>
      </c>
      <c r="F55" s="344">
        <f t="shared" si="27"/>
        <v>-3.3849809655439933E-2</v>
      </c>
      <c r="G55" s="344">
        <f t="shared" si="27"/>
        <v>-7.1276195256619435E-2</v>
      </c>
      <c r="H55" s="344">
        <f t="shared" si="27"/>
        <v>-3.5643831914606183E-2</v>
      </c>
      <c r="L55" s="345">
        <f ca="1">'Revenue Projections &amp; Cases'!J25</f>
        <v>9.4664574342879559E-2</v>
      </c>
      <c r="M55" s="345">
        <f ca="1">'Revenue Projections &amp; Cases'!K25</f>
        <v>4.0425760670895761E-2</v>
      </c>
      <c r="N55" s="345">
        <f ca="1">'Revenue Projections &amp; Cases'!L25</f>
        <v>5.3159237540719495E-2</v>
      </c>
      <c r="O55" s="345">
        <f ca="1">'Revenue Projections &amp; Cases'!M25</f>
        <v>5.3304235260206445E-2</v>
      </c>
      <c r="P55" s="345">
        <f ca="1">'Revenue Projections &amp; Cases'!N25</f>
        <v>5.3450688900951171E-2</v>
      </c>
      <c r="Q55" s="345">
        <f ca="1">'Revenue Projections &amp; Cases'!O25</f>
        <v>5.3598580606488921E-2</v>
      </c>
      <c r="T55" s="8" t="s">
        <v>486</v>
      </c>
    </row>
    <row r="56" spans="2:20" ht="5.0999999999999996" customHeight="1">
      <c r="B56" s="261"/>
      <c r="Q56" s="188"/>
    </row>
    <row r="57" spans="2:20">
      <c r="B57" s="261" t="s">
        <v>484</v>
      </c>
      <c r="Q57" s="188"/>
    </row>
    <row r="58" spans="2:20">
      <c r="B58" s="259" t="s">
        <v>389</v>
      </c>
      <c r="C58" s="344">
        <f>C27/C24</f>
        <v>0.38233247727810865</v>
      </c>
      <c r="D58" s="344">
        <f t="shared" ref="D58:H58" si="28">D27/D24</f>
        <v>0.41779359625167778</v>
      </c>
      <c r="E58" s="344">
        <f t="shared" si="28"/>
        <v>0.43309630561360085</v>
      </c>
      <c r="F58" s="344">
        <f t="shared" si="28"/>
        <v>0.44131129577207562</v>
      </c>
      <c r="G58" s="344">
        <f t="shared" si="28"/>
        <v>0.46206349815233932</v>
      </c>
      <c r="H58" s="344">
        <f t="shared" si="28"/>
        <v>0.46905164107160452</v>
      </c>
      <c r="L58" s="345">
        <f ca="1">'Revenue Projections &amp; Cases'!F55</f>
        <v>0.47322323952028311</v>
      </c>
      <c r="M58" s="345">
        <f ca="1">'Revenue Projections &amp; Cases'!G55</f>
        <v>0.47111168252806274</v>
      </c>
      <c r="N58" s="345">
        <f ca="1">'Revenue Projections &amp; Cases'!H55</f>
        <v>0.47544986787966154</v>
      </c>
      <c r="O58" s="345">
        <f ca="1">'Revenue Projections &amp; Cases'!I55</f>
        <v>0.47393024598072053</v>
      </c>
      <c r="P58" s="345">
        <f ca="1">'Revenue Projections &amp; Cases'!J55</f>
        <v>0.46778498124749279</v>
      </c>
      <c r="Q58" s="345">
        <f ca="1">'Revenue Projections &amp; Cases'!K55</f>
        <v>0.45743369938371109</v>
      </c>
      <c r="T58" s="8" t="s">
        <v>486</v>
      </c>
    </row>
    <row r="59" spans="2:20">
      <c r="B59" s="259" t="s">
        <v>485</v>
      </c>
      <c r="C59" s="344">
        <f>C31/C24</f>
        <v>0.24147314354406862</v>
      </c>
      <c r="D59" s="344">
        <f t="shared" ref="D59:H59" si="29">D31/D24</f>
        <v>0.29782377527561593</v>
      </c>
      <c r="E59" s="344">
        <f t="shared" si="29"/>
        <v>0.30288744395528594</v>
      </c>
      <c r="F59" s="344">
        <f t="shared" si="29"/>
        <v>0.29821412265024722</v>
      </c>
      <c r="G59" s="344">
        <f t="shared" si="29"/>
        <v>0.31510222870075566</v>
      </c>
      <c r="H59" s="344">
        <f t="shared" si="29"/>
        <v>0.31970799762591884</v>
      </c>
      <c r="L59" s="345">
        <f>'Street Consensus'!C268</f>
        <v>0.31895154960079963</v>
      </c>
      <c r="M59" s="345">
        <f>'Street Consensus'!D268</f>
        <v>0.32368853392341923</v>
      </c>
      <c r="N59" s="345">
        <f>'Street Consensus'!E268</f>
        <v>0.32484050346114074</v>
      </c>
      <c r="O59" s="345">
        <f>'Street Consensus'!F268</f>
        <v>0.31378550984525927</v>
      </c>
      <c r="P59" s="345">
        <f>'Street Consensus'!G268</f>
        <v>0.30335672714448952</v>
      </c>
      <c r="Q59" s="345">
        <f>'Street Consensus'!H268</f>
        <v>0.29149607876283662</v>
      </c>
      <c r="T59" s="8" t="s">
        <v>486</v>
      </c>
    </row>
    <row r="60" spans="2:20">
      <c r="B60" s="259" t="s">
        <v>381</v>
      </c>
      <c r="C60" s="344">
        <f>-C38/C36</f>
        <v>0.14428164731484103</v>
      </c>
      <c r="D60" s="344">
        <f t="shared" ref="D60:H60" si="30">-D38/D36</f>
        <v>0.13302260844085087</v>
      </c>
      <c r="E60" s="344">
        <f t="shared" si="30"/>
        <v>0.16204461684424407</v>
      </c>
      <c r="F60" s="344">
        <f t="shared" si="30"/>
        <v>0.14719174228036858</v>
      </c>
      <c r="G60" s="344">
        <f t="shared" si="30"/>
        <v>0.24091185164189982</v>
      </c>
      <c r="H60" s="344">
        <f t="shared" si="30"/>
        <v>0.15610002335586043</v>
      </c>
      <c r="L60" s="345">
        <f>'Street Consensus'!C294</f>
        <v>0.16055569617665158</v>
      </c>
      <c r="M60" s="345">
        <f>'Street Consensus'!D294</f>
        <v>0.16020550452503526</v>
      </c>
      <c r="N60" s="345">
        <f>'Street Consensus'!E294</f>
        <v>0.15915651487354573</v>
      </c>
      <c r="O60" s="345">
        <f>'Street Consensus'!F294</f>
        <v>0.16005058258541963</v>
      </c>
      <c r="P60" s="345">
        <f>'Street Consensus'!G294</f>
        <v>0.16085811676233475</v>
      </c>
      <c r="Q60" s="345">
        <f>'Street Consensus'!H294</f>
        <v>0.16133739820437823</v>
      </c>
      <c r="T60" s="8" t="s">
        <v>486</v>
      </c>
    </row>
    <row r="61" spans="2:20">
      <c r="B61" s="259" t="s">
        <v>487</v>
      </c>
      <c r="C61" s="344">
        <f>C42/C24</f>
        <v>0.2817478097736007</v>
      </c>
      <c r="D61" s="344">
        <f t="shared" ref="D61:H61" si="31">D42/D24</f>
        <v>0.32866979938056462</v>
      </c>
      <c r="E61" s="344">
        <f t="shared" si="31"/>
        <v>0.3310467428130896</v>
      </c>
      <c r="F61" s="344">
        <f t="shared" si="31"/>
        <v>0.32826747720364741</v>
      </c>
      <c r="G61" s="344">
        <f t="shared" si="31"/>
        <v>0.34437070850435381</v>
      </c>
      <c r="H61" s="344">
        <f t="shared" si="31"/>
        <v>0.34781731108873731</v>
      </c>
      <c r="L61" s="344">
        <f t="shared" ref="L61:Q61" ca="1" si="32">L42/L24</f>
        <v>0.34991552358721761</v>
      </c>
      <c r="M61" s="344">
        <f t="shared" ca="1" si="32"/>
        <v>0.34645649394923755</v>
      </c>
      <c r="N61" s="344">
        <f t="shared" ca="1" si="32"/>
        <v>0.3530761924286413</v>
      </c>
      <c r="O61" s="344">
        <f t="shared" ca="1" si="32"/>
        <v>0.35832309882440511</v>
      </c>
      <c r="P61" s="344">
        <f t="shared" ca="1" si="32"/>
        <v>0.36130543814818372</v>
      </c>
      <c r="Q61" s="344">
        <f t="shared" ca="1" si="32"/>
        <v>0.35818093283051872</v>
      </c>
      <c r="T61" s="8" t="s">
        <v>486</v>
      </c>
    </row>
    <row r="62" spans="2:20">
      <c r="B62" s="259" t="s">
        <v>488</v>
      </c>
      <c r="C62" s="344">
        <f>C45/C24</f>
        <v>0.30662441032366172</v>
      </c>
      <c r="D62" s="344">
        <f t="shared" ref="D62:H62" si="33">D45/D24</f>
        <v>0.35028169822616229</v>
      </c>
      <c r="E62" s="344">
        <f t="shared" si="33"/>
        <v>0.35396674849363979</v>
      </c>
      <c r="F62" s="344">
        <f t="shared" si="33"/>
        <v>0.35653104087037063</v>
      </c>
      <c r="G62" s="344">
        <f t="shared" si="33"/>
        <v>0.37426061605738614</v>
      </c>
      <c r="H62" s="344">
        <f t="shared" si="33"/>
        <v>0.37872602190017807</v>
      </c>
      <c r="L62" s="344">
        <f t="shared" ref="L62:Q62" ca="1" si="34">L45/L24</f>
        <v>0.38082423439865842</v>
      </c>
      <c r="M62" s="344">
        <f t="shared" ca="1" si="34"/>
        <v>0.37736520476067836</v>
      </c>
      <c r="N62" s="344">
        <f t="shared" ca="1" si="34"/>
        <v>0.38398490324008205</v>
      </c>
      <c r="O62" s="344">
        <f t="shared" ca="1" si="34"/>
        <v>0.38923180963584586</v>
      </c>
      <c r="P62" s="344">
        <f t="shared" ca="1" si="34"/>
        <v>0.39221414895962448</v>
      </c>
      <c r="Q62" s="344">
        <f t="shared" ca="1" si="34"/>
        <v>0.38908964364195947</v>
      </c>
      <c r="T62" s="8" t="s">
        <v>486</v>
      </c>
    </row>
    <row r="63" spans="2:20" ht="5.0999999999999996" customHeight="1">
      <c r="B63" s="259"/>
      <c r="C63" s="344"/>
      <c r="D63" s="344"/>
      <c r="E63" s="344"/>
      <c r="F63" s="344"/>
      <c r="G63" s="344"/>
      <c r="H63" s="344"/>
      <c r="Q63" s="188"/>
    </row>
    <row r="64" spans="2:20">
      <c r="B64" s="261" t="s">
        <v>402</v>
      </c>
      <c r="Q64" s="188"/>
    </row>
    <row r="65" spans="1:19">
      <c r="B65" s="259" t="s">
        <v>378</v>
      </c>
      <c r="C65" s="344" t="s">
        <v>46</v>
      </c>
      <c r="D65" s="344">
        <f>SUM(D26/C26)-1</f>
        <v>0.25608785142634716</v>
      </c>
      <c r="E65" s="344">
        <f t="shared" ref="E65:H65" si="35">SUM(E26/D26)-1</f>
        <v>4.960536385874792E-2</v>
      </c>
      <c r="F65" s="344">
        <f t="shared" si="35"/>
        <v>-4.208977123276636E-2</v>
      </c>
      <c r="G65" s="344">
        <f t="shared" si="35"/>
        <v>-1.7675600199872021E-2</v>
      </c>
      <c r="H65" s="344">
        <f t="shared" si="35"/>
        <v>5.0429755837833712E-2</v>
      </c>
      <c r="L65" s="344">
        <f ca="1">SUM(L26/H26)-1</f>
        <v>7.5730694735034465E-2</v>
      </c>
      <c r="M65" s="344">
        <f ca="1">SUM(M26/L26)-1</f>
        <v>4.8048042785463041E-2</v>
      </c>
      <c r="N65" s="344">
        <f t="shared" ref="N65:Q65" ca="1" si="36">SUM(N26/M26)-1</f>
        <v>7.9147443756973246E-2</v>
      </c>
      <c r="O65" s="344">
        <f t="shared" ca="1" si="36"/>
        <v>6.9884096368485915E-2</v>
      </c>
      <c r="P65" s="344">
        <f t="shared" ca="1" si="36"/>
        <v>6.4258605970324512E-2</v>
      </c>
      <c r="Q65" s="344">
        <f t="shared" ca="1" si="36"/>
        <v>8.1012965439631657E-2</v>
      </c>
    </row>
    <row r="66" spans="1:19">
      <c r="B66" s="259" t="s">
        <v>490</v>
      </c>
      <c r="C66" s="344" t="s">
        <v>46</v>
      </c>
      <c r="D66" s="344">
        <f>SUM(D29/C29)-1</f>
        <v>0.16862201365187723</v>
      </c>
      <c r="E66" s="344">
        <f t="shared" ref="E66:H66" si="37">SUM(E29/D29)-1</f>
        <v>0.19791001186456136</v>
      </c>
      <c r="F66" s="344">
        <f t="shared" si="37"/>
        <v>0.1395756352138966</v>
      </c>
      <c r="G66" s="344">
        <f t="shared" si="37"/>
        <v>4.8637807120173848E-2</v>
      </c>
      <c r="H66" s="344">
        <f t="shared" si="37"/>
        <v>0.10137073637233018</v>
      </c>
      <c r="L66" s="344">
        <f ca="1">SUM(L29/H29)-1</f>
        <v>0.11039437592787604</v>
      </c>
      <c r="M66" s="344">
        <f ca="1">SUM(M29/L29)-1</f>
        <v>5.9320057240530799E-2</v>
      </c>
      <c r="N66" s="344">
        <f t="shared" ref="N66:Q66" ca="1" si="38">SUM(N29/M29)-1</f>
        <v>6.6881199424198901E-2</v>
      </c>
      <c r="O66" s="344">
        <f t="shared" ca="1" si="38"/>
        <v>4.1718086027181078E-2</v>
      </c>
      <c r="P66" s="344">
        <f t="shared" ca="1" si="38"/>
        <v>1.2902307249261558E-2</v>
      </c>
      <c r="Q66" s="344">
        <f t="shared" ca="1" si="38"/>
        <v>4.1367542615488917E-2</v>
      </c>
    </row>
    <row r="67" spans="1:19">
      <c r="B67" s="259" t="s">
        <v>504</v>
      </c>
      <c r="C67" s="344" t="s">
        <v>46</v>
      </c>
      <c r="D67" s="344">
        <f>SUM(D30/C30)-1</f>
        <v>0.10328379192608961</v>
      </c>
      <c r="E67" s="344">
        <f t="shared" ref="E67:H67" si="39">SUM(E30/D30)-1</f>
        <v>0.14203795567287125</v>
      </c>
      <c r="F67" s="344">
        <f t="shared" si="39"/>
        <v>-6.4557264684784732E-3</v>
      </c>
      <c r="G67" s="344">
        <f t="shared" si="39"/>
        <v>4.6727097705759668E-2</v>
      </c>
      <c r="H67" s="344">
        <f t="shared" si="39"/>
        <v>5.7631145342376566E-2</v>
      </c>
      <c r="L67" s="344">
        <f ca="1">SUM(L30/H30)-1</f>
        <v>8.8789231979143901E-2</v>
      </c>
      <c r="M67" s="344">
        <f t="shared" ref="M67:Q67" ca="1" si="40">SUM(M30/L30)-1</f>
        <v>3.7860455872311904E-2</v>
      </c>
      <c r="N67" s="344">
        <f t="shared" ca="1" si="40"/>
        <v>8.6414931830091302E-2</v>
      </c>
      <c r="O67" s="344">
        <f t="shared" ca="1" si="40"/>
        <v>2.1878644660819901E-2</v>
      </c>
      <c r="P67" s="344">
        <f t="shared" ca="1" si="40"/>
        <v>1.3325581166401257E-3</v>
      </c>
      <c r="Q67" s="344">
        <f t="shared" ca="1" si="40"/>
        <v>1.4331752215138938E-2</v>
      </c>
    </row>
    <row r="68" spans="1:19">
      <c r="B68" s="259"/>
      <c r="C68" s="344"/>
      <c r="D68" s="344"/>
      <c r="E68" s="344"/>
      <c r="F68" s="344"/>
      <c r="G68" s="344"/>
      <c r="H68" s="344"/>
      <c r="Q68" s="188"/>
    </row>
    <row r="69" spans="1:19" ht="5.0999999999999996" customHeight="1">
      <c r="B69" s="259"/>
      <c r="C69" s="344"/>
      <c r="D69" s="344"/>
      <c r="E69" s="344"/>
      <c r="F69" s="344"/>
      <c r="G69" s="344"/>
      <c r="H69" s="344"/>
      <c r="Q69" s="188"/>
    </row>
    <row r="70" spans="1:19">
      <c r="B70" s="261" t="s">
        <v>489</v>
      </c>
      <c r="C70" s="344"/>
      <c r="D70" s="344"/>
      <c r="E70" s="344"/>
      <c r="F70" s="344"/>
      <c r="G70" s="344"/>
      <c r="H70" s="344"/>
      <c r="Q70" s="188"/>
    </row>
    <row r="71" spans="1:19">
      <c r="B71" s="259" t="s">
        <v>490</v>
      </c>
      <c r="C71" s="344">
        <f>-C29/C24</f>
        <v>6.8309564140393061E-2</v>
      </c>
      <c r="D71" s="344">
        <f t="shared" ref="D71:H71" si="41">-D29/D24</f>
        <v>5.9904269074427925E-2</v>
      </c>
      <c r="E71" s="344">
        <f t="shared" si="41"/>
        <v>6.657148363798665E-2</v>
      </c>
      <c r="F71" s="344">
        <f t="shared" si="41"/>
        <v>7.8048971392045086E-2</v>
      </c>
      <c r="G71" s="344">
        <f t="shared" si="41"/>
        <v>8.0222997941360744E-2</v>
      </c>
      <c r="H71" s="344">
        <f t="shared" si="41"/>
        <v>8.3020753987038676E-2</v>
      </c>
      <c r="L71" s="345">
        <f ca="1">'Revenue Projections &amp; Cases'!F56</f>
        <v>8.502266041571814E-2</v>
      </c>
      <c r="M71" s="345">
        <f ca="1">'Revenue Projections &amp; Cases'!G56</f>
        <v>8.6281574393195865E-2</v>
      </c>
      <c r="N71" s="345">
        <f ca="1">'Revenue Projections &amp; Cases'!H56</f>
        <v>8.4601168902001575E-2</v>
      </c>
      <c r="O71" s="345">
        <f ca="1">'Revenue Projections &amp; Cases'!I56</f>
        <v>8.2612576751949829E-2</v>
      </c>
      <c r="P71" s="345">
        <f ca="1">'Revenue Projections &amp; Cases'!J56</f>
        <v>7.9544535632346827E-2</v>
      </c>
      <c r="Q71" s="345">
        <f ca="1">'Revenue Projections &amp; Cases'!K56</f>
        <v>7.8117650959176665E-2</v>
      </c>
    </row>
    <row r="72" spans="1:19">
      <c r="B72" s="259" t="s">
        <v>504</v>
      </c>
      <c r="C72" s="344">
        <f>-C30/C24</f>
        <v>7.2549769593646979E-2</v>
      </c>
      <c r="D72" s="344">
        <f t="shared" ref="D72:H72" si="42">-D30/D24</f>
        <v>6.006555190163388E-2</v>
      </c>
      <c r="E72" s="344">
        <f t="shared" si="42"/>
        <v>6.3637378020328261E-2</v>
      </c>
      <c r="F72" s="344">
        <f t="shared" si="42"/>
        <v>6.5048201729783317E-2</v>
      </c>
      <c r="G72" s="344">
        <f t="shared" si="42"/>
        <v>6.6738271510222866E-2</v>
      </c>
      <c r="H72" s="344">
        <f t="shared" si="42"/>
        <v>6.6322889458647019E-2</v>
      </c>
      <c r="L72" s="345">
        <f ca="1">'Revenue Projections &amp; Cases'!F57</f>
        <v>6.6600581215845944E-2</v>
      </c>
      <c r="M72" s="345">
        <f ca="1">'Revenue Projections &amp; Cases'!G57</f>
        <v>6.6217557875892549E-2</v>
      </c>
      <c r="N72" s="345">
        <f ca="1">'Revenue Projections &amp; Cases'!H57</f>
        <v>6.6116693467294277E-2</v>
      </c>
      <c r="O72" s="345">
        <f ca="1">'Revenue Projections &amp; Cases'!I57</f>
        <v>6.3332998461348086E-2</v>
      </c>
      <c r="P72" s="345">
        <f ca="1">'Revenue Projections &amp; Cases'!J57</f>
        <v>6.0284409241185381E-2</v>
      </c>
      <c r="Q72" s="345">
        <f ca="1">'Revenue Projections &amp; Cases'!K57</f>
        <v>5.7665998602360047E-2</v>
      </c>
    </row>
    <row r="73" spans="1:19">
      <c r="B73" s="259" t="s">
        <v>491</v>
      </c>
      <c r="C73" s="344">
        <f>C41/C24</f>
        <v>4.0274666229532081E-2</v>
      </c>
      <c r="D73" s="344">
        <f t="shared" ref="D73:H73" si="43">D41/D24</f>
        <v>3.084602410494865E-2</v>
      </c>
      <c r="E73" s="344">
        <f t="shared" si="43"/>
        <v>2.8159298857803657E-2</v>
      </c>
      <c r="F73" s="344">
        <f t="shared" si="43"/>
        <v>3.0053354553400212E-2</v>
      </c>
      <c r="G73" s="344">
        <f t="shared" si="43"/>
        <v>2.9268479803598143E-2</v>
      </c>
      <c r="H73" s="344">
        <f t="shared" si="43"/>
        <v>2.8109313462818475E-2</v>
      </c>
      <c r="L73" s="344">
        <f t="shared" ref="L73:Q73" ca="1" si="44">L41/L24</f>
        <v>2.8315525698498621E-2</v>
      </c>
      <c r="M73" s="344">
        <f t="shared" ca="1" si="44"/>
        <v>2.7843943690263214E-2</v>
      </c>
      <c r="N73" s="344">
        <f t="shared" ca="1" si="44"/>
        <v>2.8344186918275571E-2</v>
      </c>
      <c r="O73" s="344">
        <f t="shared" ca="1" si="44"/>
        <v>3.0338428056982517E-2</v>
      </c>
      <c r="P73" s="344">
        <f t="shared" ca="1" si="44"/>
        <v>3.3349401774223159E-2</v>
      </c>
      <c r="Q73" s="344">
        <f t="shared" ca="1" si="44"/>
        <v>3.6530883008344263E-2</v>
      </c>
    </row>
    <row r="74" spans="1:19">
      <c r="B74" s="346" t="s">
        <v>492</v>
      </c>
      <c r="C74" s="347">
        <f>C44/C24</f>
        <v>2.4876600550061016E-2</v>
      </c>
      <c r="D74" s="347">
        <f t="shared" ref="D74:H74" si="45">D44/D24</f>
        <v>2.1611898845597662E-2</v>
      </c>
      <c r="E74" s="347">
        <f t="shared" si="45"/>
        <v>2.2920005680550203E-2</v>
      </c>
      <c r="F74" s="347">
        <f t="shared" si="45"/>
        <v>2.8263563666723196E-2</v>
      </c>
      <c r="G74" s="347">
        <f t="shared" si="45"/>
        <v>2.9889907553032339E-2</v>
      </c>
      <c r="H74" s="347">
        <f t="shared" si="45"/>
        <v>3.0908710811440764E-2</v>
      </c>
      <c r="I74" s="185"/>
      <c r="J74" s="185"/>
      <c r="K74" s="185"/>
      <c r="L74" s="347">
        <f t="shared" ref="L74:Q74" ca="1" si="46">L44/L24</f>
        <v>3.0908710811440764E-2</v>
      </c>
      <c r="M74" s="347">
        <f t="shared" ca="1" si="46"/>
        <v>3.0908710811440768E-2</v>
      </c>
      <c r="N74" s="347">
        <f t="shared" ca="1" si="46"/>
        <v>3.0908710811440771E-2</v>
      </c>
      <c r="O74" s="347">
        <f t="shared" ca="1" si="46"/>
        <v>3.0908710811440771E-2</v>
      </c>
      <c r="P74" s="347">
        <f t="shared" ca="1" si="46"/>
        <v>3.0908710811440768E-2</v>
      </c>
      <c r="Q74" s="347">
        <f t="shared" ca="1" si="46"/>
        <v>3.0908710811440768E-2</v>
      </c>
    </row>
    <row r="76" spans="1:19">
      <c r="A76" s="196" t="s">
        <v>24</v>
      </c>
      <c r="B76" s="216" t="s">
        <v>354</v>
      </c>
      <c r="C76" s="222" t="s">
        <v>352</v>
      </c>
      <c r="D76" s="222"/>
      <c r="E76" s="222"/>
      <c r="F76" s="222"/>
      <c r="G76" s="222"/>
      <c r="H76" s="222"/>
      <c r="I76" s="220"/>
      <c r="J76" s="222" t="s">
        <v>370</v>
      </c>
      <c r="K76" s="219">
        <f>K22</f>
        <v>0</v>
      </c>
      <c r="L76" s="222" t="s">
        <v>165</v>
      </c>
      <c r="M76" s="222"/>
      <c r="N76" s="222"/>
      <c r="O76" s="222"/>
      <c r="P76" s="222"/>
      <c r="Q76" s="222"/>
      <c r="R76" s="220"/>
      <c r="S76" s="222" t="s">
        <v>370</v>
      </c>
    </row>
    <row r="77" spans="1:19">
      <c r="B77" s="217" t="str">
        <f>B16</f>
        <v xml:space="preserve">Fiscal year  </v>
      </c>
      <c r="C77" s="218">
        <f>C16</f>
        <v>2020</v>
      </c>
      <c r="D77" s="218">
        <f>D16</f>
        <v>2021</v>
      </c>
      <c r="E77" s="218">
        <f>E16</f>
        <v>2022</v>
      </c>
      <c r="F77" s="218">
        <f>F16</f>
        <v>2023</v>
      </c>
      <c r="G77" s="218">
        <f>G16</f>
        <v>2024</v>
      </c>
      <c r="H77" s="218">
        <f>H16</f>
        <v>2025</v>
      </c>
      <c r="I77" s="219"/>
      <c r="J77" s="219" t="str">
        <f>J16</f>
        <v>6-Year(A)</v>
      </c>
      <c r="K77" s="219"/>
      <c r="L77" s="219">
        <f>L16</f>
        <v>2026</v>
      </c>
      <c r="M77" s="219">
        <f>M16</f>
        <v>2027</v>
      </c>
      <c r="N77" s="219">
        <f>N16</f>
        <v>2028</v>
      </c>
      <c r="O77" s="219">
        <f>O16</f>
        <v>2029</v>
      </c>
      <c r="P77" s="219">
        <f>P16</f>
        <v>2030</v>
      </c>
      <c r="Q77" s="219">
        <f>Q16</f>
        <v>2031</v>
      </c>
      <c r="R77" s="220"/>
      <c r="S77" s="219" t="str">
        <f>S16</f>
        <v>6-Year(F)</v>
      </c>
    </row>
    <row r="78" spans="1:19">
      <c r="B78" s="217" t="str">
        <f>B17</f>
        <v>Fiscal year end date</v>
      </c>
      <c r="C78" s="220">
        <f>C17</f>
        <v>44104</v>
      </c>
      <c r="D78" s="220">
        <f>D17</f>
        <v>44469</v>
      </c>
      <c r="E78" s="220">
        <f>E17</f>
        <v>44834</v>
      </c>
      <c r="F78" s="220">
        <f>F17</f>
        <v>45192</v>
      </c>
      <c r="G78" s="220">
        <f>G17</f>
        <v>45559</v>
      </c>
      <c r="H78" s="220">
        <f>H17</f>
        <v>45927</v>
      </c>
      <c r="I78" s="220"/>
      <c r="J78" s="220">
        <f>J17</f>
        <v>45927</v>
      </c>
      <c r="K78" s="220"/>
      <c r="L78" s="220">
        <f>L17</f>
        <v>46295</v>
      </c>
      <c r="M78" s="220">
        <f>M17</f>
        <v>46660</v>
      </c>
      <c r="N78" s="220">
        <f>N17</f>
        <v>47026</v>
      </c>
      <c r="O78" s="220">
        <f>O17</f>
        <v>47391</v>
      </c>
      <c r="P78" s="220">
        <f>P17</f>
        <v>47756</v>
      </c>
      <c r="Q78" s="220">
        <f>Q17</f>
        <v>48121</v>
      </c>
      <c r="R78" s="220"/>
      <c r="S78" s="220">
        <f>S17</f>
        <v>48121</v>
      </c>
    </row>
    <row r="79" spans="1:19" ht="5.0999999999999996" customHeight="1"/>
    <row r="80" spans="1:19">
      <c r="B80" s="348" t="s">
        <v>29</v>
      </c>
    </row>
    <row r="81" spans="2:20">
      <c r="B81" s="8" t="s">
        <v>136</v>
      </c>
      <c r="C81" s="134">
        <f>SUM('Historical Financials'!G39+'Historical Financials'!G40+'Historical Financials'!G47)</f>
        <v>191830</v>
      </c>
      <c r="D81" s="134">
        <f>SUM('Historical Financials'!H39+'Historical Financials'!H40+'Historical Financials'!H47)</f>
        <v>190516</v>
      </c>
      <c r="E81" s="134">
        <f>SUM('Historical Financials'!I39+'Historical Financials'!I40+'Historical Financials'!I47)</f>
        <v>169109</v>
      </c>
      <c r="F81" s="134">
        <f>SUM('Historical Financials'!J39+'Historical Financials'!J40+'Historical Financials'!J47)</f>
        <v>162099</v>
      </c>
      <c r="G81" s="134">
        <f>SUM('Historical Financials'!K39+'Historical Financials'!K40+'Historical Financials'!K47)</f>
        <v>156650</v>
      </c>
      <c r="H81" s="134">
        <f>SUM('Historical Financials'!L39+'Historical Financials'!L40+'Historical Financials'!L47)</f>
        <v>132420</v>
      </c>
      <c r="J81" s="255">
        <f t="shared" ref="J81:J87" si="47">((H81/C81)^(1/COUNT(D81:H81))-1)</f>
        <v>-7.1445473667284265E-2</v>
      </c>
      <c r="L81" s="349">
        <f ca="1">H81+L128</f>
        <v>160600.2051517019</v>
      </c>
      <c r="M81" s="349">
        <f ca="1">+L81+M128</f>
        <v>187317.11171466819</v>
      </c>
      <c r="N81" s="349">
        <f t="shared" ref="N81:Q81" ca="1" si="48">+M81+N128</f>
        <v>226877.65599257225</v>
      </c>
      <c r="O81" s="349">
        <f t="shared" ca="1" si="48"/>
        <v>277947.20741873881</v>
      </c>
      <c r="P81" s="349">
        <f t="shared" ca="1" si="48"/>
        <v>338097.54441815056</v>
      </c>
      <c r="Q81" s="349">
        <f t="shared" ca="1" si="48"/>
        <v>407135.93100086797</v>
      </c>
      <c r="S81" s="255">
        <f ca="1">((Q81/L81)^(1/COUNT(L81:Q81))-1)</f>
        <v>0.16770253410032798</v>
      </c>
      <c r="T81" s="8" t="s">
        <v>137</v>
      </c>
    </row>
    <row r="82" spans="2:20">
      <c r="B82" s="8" t="s">
        <v>14</v>
      </c>
      <c r="C82" s="134">
        <f>'Historical Financials'!G41</f>
        <v>16120</v>
      </c>
      <c r="D82" s="134">
        <f>'Historical Financials'!H41</f>
        <v>26278</v>
      </c>
      <c r="E82" s="134">
        <f>'Historical Financials'!I41</f>
        <v>28184</v>
      </c>
      <c r="F82" s="134">
        <f>'Historical Financials'!J41</f>
        <v>29508</v>
      </c>
      <c r="G82" s="134">
        <f>'Historical Financials'!K41</f>
        <v>66243</v>
      </c>
      <c r="H82" s="134">
        <f>'Historical Financials'!L41</f>
        <v>39777</v>
      </c>
      <c r="J82" s="255">
        <f t="shared" si="47"/>
        <v>0.19799056465047493</v>
      </c>
      <c r="L82" s="11">
        <f ca="1">H82*L50+H82</f>
        <v>43128.192954761958</v>
      </c>
      <c r="M82" s="11">
        <f ca="1">L82*M50+L82</f>
        <v>45019.958076401461</v>
      </c>
      <c r="N82" s="11">
        <f t="shared" ref="N82:Q82" ca="1" si="49">M82*N50+M82</f>
        <v>48984.96994042593</v>
      </c>
      <c r="O82" s="11">
        <f t="shared" ca="1" si="49"/>
        <v>52256.852183019786</v>
      </c>
      <c r="P82" s="11">
        <f t="shared" ca="1" si="49"/>
        <v>54972.643714860467</v>
      </c>
      <c r="Q82" s="11">
        <f t="shared" ca="1" si="49"/>
        <v>58292.38656737491</v>
      </c>
      <c r="S82" s="255">
        <f t="shared" ref="S82:S87" ca="1" si="50">((Q82/L82)^(1/COUNT(L82:Q82))-1)</f>
        <v>5.149794696797616E-2</v>
      </c>
      <c r="T82" s="8" t="s">
        <v>138</v>
      </c>
    </row>
    <row r="83" spans="2:20">
      <c r="B83" s="8" t="s">
        <v>15</v>
      </c>
      <c r="C83" s="134">
        <f>'Historical Financials'!G42</f>
        <v>4061</v>
      </c>
      <c r="D83" s="134">
        <f>'Historical Financials'!H42</f>
        <v>6580</v>
      </c>
      <c r="E83" s="134">
        <f>'Historical Financials'!I42</f>
        <v>4946</v>
      </c>
      <c r="F83" s="134">
        <f>'Historical Financials'!J42</f>
        <v>6331</v>
      </c>
      <c r="G83" s="134">
        <f>'Historical Financials'!K42</f>
        <v>7286</v>
      </c>
      <c r="H83" s="134">
        <f>'Historical Financials'!L42</f>
        <v>5718</v>
      </c>
      <c r="J83" s="255">
        <f t="shared" si="47"/>
        <v>7.0834198016568317E-2</v>
      </c>
      <c r="L83" s="11">
        <f ca="1">H83*L26/H26</f>
        <v>6151.028112494927</v>
      </c>
      <c r="M83" s="11">
        <f ca="1">L83*M26/L26</f>
        <v>6446.5729744186683</v>
      </c>
      <c r="N83" s="11">
        <f t="shared" ref="N83:Q83" ca="1" si="51">M83*N26/M26</f>
        <v>6956.8027463366925</v>
      </c>
      <c r="O83" s="11">
        <f t="shared" ca="1" si="51"/>
        <v>7442.9726198782337</v>
      </c>
      <c r="P83" s="11">
        <f t="shared" ca="1" si="51"/>
        <v>7921.2476647069034</v>
      </c>
      <c r="Q83" s="11">
        <f t="shared" ca="1" si="51"/>
        <v>8562.9714280065673</v>
      </c>
      <c r="S83" s="255">
        <f t="shared" ca="1" si="50"/>
        <v>5.6686430642983954E-2</v>
      </c>
      <c r="T83" s="8" t="s">
        <v>139</v>
      </c>
    </row>
    <row r="84" spans="2:20">
      <c r="B84" s="8" t="s">
        <v>20</v>
      </c>
      <c r="C84" s="134">
        <f>'Historical Financials'!G43</f>
        <v>32589</v>
      </c>
      <c r="D84" s="134">
        <f>'Historical Financials'!H43</f>
        <v>39339</v>
      </c>
      <c r="E84" s="134">
        <f>'Historical Financials'!I43</f>
        <v>53971</v>
      </c>
      <c r="F84" s="134">
        <f>'Historical Financials'!J43</f>
        <v>46172</v>
      </c>
      <c r="G84" s="134">
        <f>'Historical Financials'!K43</f>
        <v>14287</v>
      </c>
      <c r="H84" s="134">
        <f>'Historical Financials'!L43</f>
        <v>47765</v>
      </c>
      <c r="J84" s="255">
        <f t="shared" si="47"/>
        <v>7.9462971785540626E-2</v>
      </c>
      <c r="L84" s="11">
        <f ca="1">SUM(H84*L50)+H84</f>
        <v>51789.178079900572</v>
      </c>
      <c r="M84" s="11">
        <f ca="1">L84*M50+L84</f>
        <v>54060.846658101815</v>
      </c>
      <c r="N84" s="11">
        <f t="shared" ref="N84:Q84" ca="1" si="52">M84*N50+M84</f>
        <v>58822.110496127025</v>
      </c>
      <c r="O84" s="11">
        <f t="shared" ca="1" si="52"/>
        <v>62751.05072081706</v>
      </c>
      <c r="P84" s="11">
        <f t="shared" ca="1" si="52"/>
        <v>66012.226337841217</v>
      </c>
      <c r="Q84" s="11">
        <f t="shared" ca="1" si="52"/>
        <v>69998.638519512853</v>
      </c>
      <c r="S84" s="255">
        <f t="shared" ca="1" si="50"/>
        <v>5.149794696797616E-2</v>
      </c>
      <c r="T84" s="8" t="s">
        <v>138</v>
      </c>
    </row>
    <row r="85" spans="2:20">
      <c r="B85" s="8" t="s">
        <v>140</v>
      </c>
      <c r="C85" s="134">
        <f>'Historical Financials'!G46</f>
        <v>36766</v>
      </c>
      <c r="D85" s="134">
        <f>'Historical Financials'!H46</f>
        <v>39440</v>
      </c>
      <c r="E85" s="134">
        <f>'Historical Financials'!I46</f>
        <v>42117</v>
      </c>
      <c r="F85" s="134">
        <f>'Historical Financials'!J46</f>
        <v>43715</v>
      </c>
      <c r="G85" s="134">
        <f>'Historical Financials'!K46</f>
        <v>45680</v>
      </c>
      <c r="H85" s="134">
        <f>'Historical Financials'!L46</f>
        <v>49834</v>
      </c>
      <c r="J85" s="255">
        <f t="shared" si="47"/>
        <v>6.2712705707872241E-2</v>
      </c>
      <c r="L85" s="349">
        <f>L138</f>
        <v>54844.675000000003</v>
      </c>
      <c r="M85" s="349">
        <f t="shared" ref="M85:Q85" si="53">M138</f>
        <v>60745.307800000002</v>
      </c>
      <c r="N85" s="349">
        <f t="shared" si="53"/>
        <v>66656.096704000011</v>
      </c>
      <c r="O85" s="349">
        <f t="shared" si="53"/>
        <v>72003.77526372885</v>
      </c>
      <c r="P85" s="349">
        <f t="shared" si="53"/>
        <v>76426.485710206049</v>
      </c>
      <c r="Q85" s="349">
        <f t="shared" si="53"/>
        <v>79422.858059662045</v>
      </c>
      <c r="S85" s="255">
        <f t="shared" si="50"/>
        <v>6.3657583148429842E-2</v>
      </c>
      <c r="T85" s="8" t="s">
        <v>141</v>
      </c>
    </row>
    <row r="86" spans="2:20">
      <c r="B86" s="8" t="s">
        <v>142</v>
      </c>
      <c r="C86" s="134">
        <f>'Historical Financials'!G48</f>
        <v>42522</v>
      </c>
      <c r="D86" s="134">
        <f>'Historical Financials'!H48</f>
        <v>48849</v>
      </c>
      <c r="E86" s="134">
        <f>'Historical Financials'!I48</f>
        <v>54428</v>
      </c>
      <c r="F86" s="134">
        <f>'Historical Financials'!J48</f>
        <v>64758</v>
      </c>
      <c r="G86" s="134">
        <f>'Historical Financials'!K48</f>
        <v>74834</v>
      </c>
      <c r="H86" s="134">
        <f>'Historical Financials'!L48</f>
        <v>83727</v>
      </c>
      <c r="J86" s="255">
        <f t="shared" si="47"/>
        <v>0.14511833775090399</v>
      </c>
      <c r="L86" s="11">
        <f ca="1">SUM(H86*L50)+H86</f>
        <v>90780.959135262965</v>
      </c>
      <c r="M86" s="11">
        <f ca="1">L86*M50+L86</f>
        <v>94762.954216327678</v>
      </c>
      <c r="N86" s="11">
        <f t="shared" ref="N86:Q86" ca="1" si="54">M86*N50+M86</f>
        <v>103108.94683364866</v>
      </c>
      <c r="O86" s="11">
        <f t="shared" ca="1" si="54"/>
        <v>109995.96406787085</v>
      </c>
      <c r="P86" s="11">
        <f t="shared" ca="1" si="54"/>
        <v>115712.46047500122</v>
      </c>
      <c r="Q86" s="11">
        <f t="shared" ca="1" si="54"/>
        <v>122700.21997955101</v>
      </c>
      <c r="S86" s="255">
        <f t="shared" ca="1" si="50"/>
        <v>5.149794696797616E-2</v>
      </c>
      <c r="T86" s="8" t="s">
        <v>138</v>
      </c>
    </row>
    <row r="87" spans="2:20">
      <c r="B87" s="107" t="s">
        <v>29</v>
      </c>
      <c r="C87" s="414">
        <f t="shared" ref="C87:H87" si="55">SUM(C81:C86)</f>
        <v>323888</v>
      </c>
      <c r="D87" s="414">
        <f t="shared" si="55"/>
        <v>351002</v>
      </c>
      <c r="E87" s="414">
        <f t="shared" si="55"/>
        <v>352755</v>
      </c>
      <c r="F87" s="414">
        <f t="shared" si="55"/>
        <v>352583</v>
      </c>
      <c r="G87" s="414">
        <f t="shared" si="55"/>
        <v>364980</v>
      </c>
      <c r="H87" s="414">
        <f t="shared" si="55"/>
        <v>359241</v>
      </c>
      <c r="J87" s="256">
        <f t="shared" si="47"/>
        <v>2.0935270554216512E-2</v>
      </c>
      <c r="L87" s="414">
        <f t="shared" ref="L87:Q87" ca="1" si="56">SUM(L81:L86)</f>
        <v>407294.23843412229</v>
      </c>
      <c r="M87" s="414">
        <f t="shared" ca="1" si="56"/>
        <v>448352.75143991783</v>
      </c>
      <c r="N87" s="414">
        <f t="shared" ca="1" si="56"/>
        <v>511406.58271311061</v>
      </c>
      <c r="O87" s="414">
        <f t="shared" ca="1" si="56"/>
        <v>582397.82227405359</v>
      </c>
      <c r="P87" s="414">
        <f t="shared" ca="1" si="56"/>
        <v>659142.60832076648</v>
      </c>
      <c r="Q87" s="414">
        <f t="shared" ca="1" si="56"/>
        <v>746113.00555497536</v>
      </c>
      <c r="S87" s="256">
        <f t="shared" ca="1" si="50"/>
        <v>0.10615517960852427</v>
      </c>
    </row>
    <row r="88" spans="2:20">
      <c r="B88" s="39"/>
    </row>
    <row r="89" spans="2:20">
      <c r="B89" s="348" t="s">
        <v>23</v>
      </c>
    </row>
    <row r="90" spans="2:20">
      <c r="B90" s="8" t="s">
        <v>16</v>
      </c>
      <c r="C90" s="134">
        <f>'Historical Financials'!G51</f>
        <v>42296</v>
      </c>
      <c r="D90" s="134">
        <f>'Historical Financials'!H51</f>
        <v>54763</v>
      </c>
      <c r="E90" s="134">
        <f>'Historical Financials'!I51</f>
        <v>64115</v>
      </c>
      <c r="F90" s="134">
        <f>'Historical Financials'!J51</f>
        <v>62611</v>
      </c>
      <c r="G90" s="134">
        <f>'Historical Financials'!K51</f>
        <v>68960</v>
      </c>
      <c r="H90" s="134">
        <f>'Historical Financials'!L51</f>
        <v>69860</v>
      </c>
      <c r="J90" s="255">
        <f t="shared" ref="J90:J96" si="57">((H90/C90)^(1/COUNT(D90:H90))-1)</f>
        <v>0.10556901053026535</v>
      </c>
      <c r="L90" s="11">
        <f ca="1">H90*L26/H26</f>
        <v>75150.546334189508</v>
      </c>
      <c r="M90" s="11">
        <f ca="1">L90*M26/L26</f>
        <v>78761.382999805559</v>
      </c>
      <c r="N90" s="11">
        <f t="shared" ref="N90:Q90" ca="1" si="58">M90*N26/M26</f>
        <v>84995.145131004087</v>
      </c>
      <c r="O90" s="11">
        <f t="shared" ca="1" si="58"/>
        <v>90934.954044192637</v>
      </c>
      <c r="P90" s="11">
        <f t="shared" ca="1" si="58"/>
        <v>96778.307425047969</v>
      </c>
      <c r="Q90" s="11">
        <f t="shared" ca="1" si="58"/>
        <v>104618.60509977944</v>
      </c>
      <c r="S90" s="255">
        <f t="shared" ref="S90:S96" ca="1" si="59">((Q90/L90)^(1/COUNT(L90:Q90))-1)</f>
        <v>5.6686430642983954E-2</v>
      </c>
      <c r="T90" s="8" t="s">
        <v>139</v>
      </c>
    </row>
    <row r="91" spans="2:20">
      <c r="B91" s="8" t="s">
        <v>143</v>
      </c>
      <c r="C91" s="134">
        <f>'Historical Financials'!G53</f>
        <v>42684</v>
      </c>
      <c r="D91" s="134">
        <f>'Historical Financials'!H53</f>
        <v>47493</v>
      </c>
      <c r="E91" s="134">
        <f>'Historical Financials'!I53</f>
        <v>60845</v>
      </c>
      <c r="F91" s="134">
        <f>'Historical Financials'!J53</f>
        <v>58829</v>
      </c>
      <c r="G91" s="134">
        <f>'Historical Financials'!K53</f>
        <v>78304</v>
      </c>
      <c r="H91" s="134">
        <f>'Historical Financials'!L53</f>
        <v>66387</v>
      </c>
      <c r="J91" s="255">
        <f t="shared" si="57"/>
        <v>9.2354460615459821E-2</v>
      </c>
      <c r="L91" s="11">
        <f ca="1">H91*L50+H91</f>
        <v>71980.072546642084</v>
      </c>
      <c r="M91" s="11">
        <f ca="1">L91*M50+L91</f>
        <v>75137.38986897112</v>
      </c>
      <c r="N91" s="11">
        <f t="shared" ref="N91:Q91" ca="1" si="60">M91*N50+M91</f>
        <v>81754.913629360104</v>
      </c>
      <c r="O91" s="11">
        <f t="shared" ca="1" si="60"/>
        <v>87215.618218421077</v>
      </c>
      <c r="P91" s="11">
        <f t="shared" ca="1" si="60"/>
        <v>91748.218777143644</v>
      </c>
      <c r="Q91" s="11">
        <f t="shared" ca="1" si="60"/>
        <v>97288.801745941601</v>
      </c>
      <c r="S91" s="255">
        <f t="shared" ca="1" si="59"/>
        <v>5.149794696797616E-2</v>
      </c>
      <c r="T91" s="8" t="s">
        <v>138</v>
      </c>
    </row>
    <row r="92" spans="2:20">
      <c r="B92" s="8" t="s">
        <v>144</v>
      </c>
      <c r="C92" s="134">
        <f>'Historical Financials'!G52</f>
        <v>6643</v>
      </c>
      <c r="D92" s="134">
        <f>'Historical Financials'!H52</f>
        <v>7612</v>
      </c>
      <c r="E92" s="134">
        <f>'Historical Financials'!I52</f>
        <v>7912</v>
      </c>
      <c r="F92" s="134">
        <f>'Historical Financials'!J52</f>
        <v>8061</v>
      </c>
      <c r="G92" s="134">
        <f>'Historical Financials'!K52</f>
        <v>8249</v>
      </c>
      <c r="H92" s="134">
        <f>'Historical Financials'!L52</f>
        <v>9055</v>
      </c>
      <c r="J92" s="255">
        <f t="shared" si="57"/>
        <v>6.3909876219189865E-2</v>
      </c>
      <c r="L92" s="11">
        <f ca="1">SUM(H92*L50)+H92</f>
        <v>9817.8793575525942</v>
      </c>
      <c r="M92" s="11">
        <f ca="1">L92*M50+L92</f>
        <v>10248.528556246456</v>
      </c>
      <c r="N92" s="11">
        <f t="shared" ref="N92:Q92" ca="1" si="61">M92*N50+M92</f>
        <v>11151.140176749299</v>
      </c>
      <c r="O92" s="11">
        <f t="shared" ca="1" si="61"/>
        <v>11895.964917345307</v>
      </c>
      <c r="P92" s="11">
        <f t="shared" ca="1" si="61"/>
        <v>12514.198879705902</v>
      </c>
      <c r="Q92" s="11">
        <f t="shared" ca="1" si="61"/>
        <v>13269.918806535938</v>
      </c>
      <c r="S92" s="255">
        <f t="shared" ca="1" si="59"/>
        <v>5.149794696797616E-2</v>
      </c>
      <c r="T92" s="8" t="s">
        <v>138</v>
      </c>
    </row>
    <row r="93" spans="2:20">
      <c r="B93" s="8" t="s">
        <v>145</v>
      </c>
      <c r="C93" s="134">
        <f>'Historical Financials'!G54</f>
        <v>4996</v>
      </c>
      <c r="D93" s="134">
        <f>'Historical Financials'!H54</f>
        <v>6000</v>
      </c>
      <c r="E93" s="134">
        <f>'Historical Financials'!I54</f>
        <v>9982</v>
      </c>
      <c r="F93" s="134">
        <f>'Historical Financials'!J54</f>
        <v>5985</v>
      </c>
      <c r="G93" s="134">
        <f>'Historical Financials'!K54</f>
        <v>9967</v>
      </c>
      <c r="H93" s="134">
        <f>'Historical Financials'!L54</f>
        <v>7979</v>
      </c>
      <c r="J93" s="255">
        <f t="shared" si="57"/>
        <v>9.8158954169244694E-2</v>
      </c>
      <c r="L93" s="400">
        <f ca="1">L192</f>
        <v>12000</v>
      </c>
      <c r="M93" s="349">
        <f t="shared" ref="M93:Q93" ca="1" si="62">M192</f>
        <v>12000</v>
      </c>
      <c r="N93" s="349">
        <f t="shared" ca="1" si="62"/>
        <v>12000</v>
      </c>
      <c r="O93" s="349">
        <f t="shared" ca="1" si="62"/>
        <v>12000</v>
      </c>
      <c r="P93" s="349">
        <f t="shared" ca="1" si="62"/>
        <v>12000</v>
      </c>
      <c r="Q93" s="349">
        <f t="shared" ca="1" si="62"/>
        <v>12000</v>
      </c>
      <c r="S93" s="255">
        <f t="shared" ca="1" si="59"/>
        <v>0</v>
      </c>
      <c r="T93" s="8" t="s">
        <v>146</v>
      </c>
    </row>
    <row r="94" spans="2:20">
      <c r="B94" s="8" t="s">
        <v>147</v>
      </c>
      <c r="C94" s="134">
        <f>'Historical Financials'!G55+'Historical Financials'!G58</f>
        <v>107440</v>
      </c>
      <c r="D94" s="134">
        <f>'Historical Financials'!H55+'Historical Financials'!H58</f>
        <v>118719</v>
      </c>
      <c r="E94" s="134">
        <f>'Historical Financials'!I55+'Historical Financials'!I58</f>
        <v>110087</v>
      </c>
      <c r="F94" s="134">
        <f>'Historical Financials'!J55+'Historical Financials'!J58</f>
        <v>105103</v>
      </c>
      <c r="G94" s="134">
        <f>'Historical Financials'!K55+'Historical Financials'!K58</f>
        <v>96662</v>
      </c>
      <c r="H94" s="134">
        <f>'Historical Financials'!L55+'Historical Financials'!L58</f>
        <v>90678</v>
      </c>
      <c r="J94" s="255">
        <f t="shared" si="57"/>
        <v>-3.335460440993665E-2</v>
      </c>
      <c r="L94" s="11">
        <f>H94</f>
        <v>90678</v>
      </c>
      <c r="M94" s="11">
        <f>L94</f>
        <v>90678</v>
      </c>
      <c r="N94" s="11">
        <f t="shared" ref="N94:Q94" si="63">M94</f>
        <v>90678</v>
      </c>
      <c r="O94" s="11">
        <f t="shared" si="63"/>
        <v>90678</v>
      </c>
      <c r="P94" s="11">
        <f t="shared" si="63"/>
        <v>90678</v>
      </c>
      <c r="Q94" s="11">
        <f t="shared" si="63"/>
        <v>90678</v>
      </c>
      <c r="S94" s="255">
        <f t="shared" si="59"/>
        <v>0</v>
      </c>
      <c r="T94" s="8" t="s">
        <v>148</v>
      </c>
    </row>
    <row r="95" spans="2:20">
      <c r="B95" s="8" t="s">
        <v>149</v>
      </c>
      <c r="C95" s="134">
        <f>'Historical Financials'!G59</f>
        <v>54490</v>
      </c>
      <c r="D95" s="134">
        <f>'Historical Financials'!H59</f>
        <v>53325</v>
      </c>
      <c r="E95" s="134">
        <f>'Historical Financials'!I59</f>
        <v>49142</v>
      </c>
      <c r="F95" s="134">
        <f>'Historical Financials'!J59</f>
        <v>49848</v>
      </c>
      <c r="G95" s="134">
        <f>'Historical Financials'!K59</f>
        <v>45888</v>
      </c>
      <c r="H95" s="134">
        <f>'Historical Financials'!L59</f>
        <v>41549</v>
      </c>
      <c r="J95" s="255">
        <f t="shared" si="57"/>
        <v>-5.2784592853975409E-2</v>
      </c>
      <c r="L95" s="11">
        <f ca="1">SUM(H95*L50)+H95</f>
        <v>45049.483095190808</v>
      </c>
      <c r="M95" s="11">
        <f ca="1">L95*M50+L95</f>
        <v>47025.523245000993</v>
      </c>
      <c r="N95" s="11">
        <f t="shared" ref="N95:Q95" ca="1" si="64">M95*N50+M95</f>
        <v>51167.169873413208</v>
      </c>
      <c r="O95" s="11">
        <f t="shared" ca="1" si="64"/>
        <v>54584.809094509124</v>
      </c>
      <c r="P95" s="11">
        <f t="shared" ca="1" si="64"/>
        <v>57421.584677294362</v>
      </c>
      <c r="Q95" s="11">
        <f t="shared" ca="1" si="64"/>
        <v>60889.216619852188</v>
      </c>
      <c r="S95" s="255">
        <f t="shared" ca="1" si="59"/>
        <v>5.149794696797616E-2</v>
      </c>
      <c r="T95" s="8" t="s">
        <v>138</v>
      </c>
    </row>
    <row r="96" spans="2:20">
      <c r="B96" s="107" t="s">
        <v>23</v>
      </c>
      <c r="C96" s="414">
        <f t="shared" ref="C96:H96" si="65">SUM(C90:C95)</f>
        <v>258549</v>
      </c>
      <c r="D96" s="414">
        <f t="shared" si="65"/>
        <v>287912</v>
      </c>
      <c r="E96" s="414">
        <f t="shared" si="65"/>
        <v>302083</v>
      </c>
      <c r="F96" s="414">
        <f t="shared" si="65"/>
        <v>290437</v>
      </c>
      <c r="G96" s="414">
        <f t="shared" si="65"/>
        <v>308030</v>
      </c>
      <c r="H96" s="414">
        <f t="shared" si="65"/>
        <v>285508</v>
      </c>
      <c r="J96" s="256">
        <f t="shared" si="57"/>
        <v>2.003502375528976E-2</v>
      </c>
      <c r="L96" s="138">
        <f t="shared" ref="L96:Q96" ca="1" si="66">SUM(L90:L95)</f>
        <v>304675.98133357498</v>
      </c>
      <c r="M96" s="138">
        <f t="shared" ca="1" si="66"/>
        <v>313850.8246700241</v>
      </c>
      <c r="N96" s="138">
        <f t="shared" ca="1" si="66"/>
        <v>331746.36881052674</v>
      </c>
      <c r="O96" s="138">
        <f t="shared" ca="1" si="66"/>
        <v>347309.34627446812</v>
      </c>
      <c r="P96" s="138">
        <f t="shared" ca="1" si="66"/>
        <v>361140.30975919188</v>
      </c>
      <c r="Q96" s="138">
        <f t="shared" ca="1" si="66"/>
        <v>378744.54227210913</v>
      </c>
      <c r="S96" s="256">
        <f t="shared" ca="1" si="59"/>
        <v>3.6934587371929117E-2</v>
      </c>
    </row>
    <row r="97" spans="1:20">
      <c r="B97" s="39"/>
    </row>
    <row r="98" spans="1:20">
      <c r="B98" s="348" t="s">
        <v>493</v>
      </c>
    </row>
    <row r="99" spans="1:20">
      <c r="B99" s="8" t="s">
        <v>26</v>
      </c>
      <c r="C99" s="134">
        <f>'Historical Financials'!G62</f>
        <v>50779</v>
      </c>
      <c r="D99" s="134">
        <f>'Historical Financials'!H62</f>
        <v>57365</v>
      </c>
      <c r="E99" s="134">
        <f>'Historical Financials'!I62</f>
        <v>64849</v>
      </c>
      <c r="F99" s="134">
        <f>'Historical Financials'!J62</f>
        <v>73812</v>
      </c>
      <c r="G99" s="134">
        <f>'Historical Financials'!K62</f>
        <v>83276</v>
      </c>
      <c r="H99" s="134">
        <f>'Historical Financials'!L62</f>
        <v>93568</v>
      </c>
      <c r="J99" s="255">
        <f t="shared" ref="J99:J102" si="67">((H99/C99)^(1/COUNT(D99:H99))-1)</f>
        <v>0.13002653220881721</v>
      </c>
      <c r="L99" s="11">
        <f ca="1">H99+L44</f>
        <v>107514.70151034776</v>
      </c>
      <c r="M99" s="11">
        <f ca="1">L99+M44</f>
        <v>122073.15792326859</v>
      </c>
      <c r="N99" s="11">
        <f t="shared" ref="N99:Q99" ca="1" si="68">M99+N44</f>
        <v>137913.81127429302</v>
      </c>
      <c r="O99" s="11">
        <f t="shared" ca="1" si="68"/>
        <v>154812.5188095567</v>
      </c>
      <c r="P99" s="11">
        <f t="shared" ca="1" si="68"/>
        <v>172589.45312094898</v>
      </c>
      <c r="Q99" s="11">
        <f t="shared" ca="1" si="68"/>
        <v>191439.91867682658</v>
      </c>
      <c r="S99" s="255">
        <f t="shared" ref="S99:S102" ca="1" si="69">((Q99/L99)^(1/COUNT(L99:Q99))-1)</f>
        <v>0.10093270818534794</v>
      </c>
      <c r="T99" s="8" t="s">
        <v>150</v>
      </c>
    </row>
    <row r="100" spans="1:20">
      <c r="B100" s="8" t="s">
        <v>151</v>
      </c>
      <c r="C100" s="134">
        <f>'Historical Financials'!G63</f>
        <v>14966</v>
      </c>
      <c r="D100" s="134">
        <f>'Historical Financials'!H63</f>
        <v>5562</v>
      </c>
      <c r="E100" s="134">
        <f>'Historical Financials'!I63</f>
        <v>-3068</v>
      </c>
      <c r="F100" s="134">
        <f>'Historical Financials'!J63</f>
        <v>-214</v>
      </c>
      <c r="G100" s="134">
        <f>'Historical Financials'!K63</f>
        <v>-19154</v>
      </c>
      <c r="H100" s="134">
        <f>'Historical Financials'!L63</f>
        <v>-14264</v>
      </c>
      <c r="J100" s="255">
        <f t="shared" si="67"/>
        <v>-1.9904375971219539</v>
      </c>
      <c r="L100" s="349">
        <f ca="1">L178</f>
        <v>674.55559019959765</v>
      </c>
      <c r="M100" s="349">
        <f t="shared" ref="M100:Q100" ca="1" si="70">M178</f>
        <v>17999.768846625113</v>
      </c>
      <c r="N100" s="349">
        <f t="shared" ca="1" si="70"/>
        <v>47317.402628290874</v>
      </c>
      <c r="O100" s="349">
        <f t="shared" ca="1" si="70"/>
        <v>85846.95719002877</v>
      </c>
      <c r="P100" s="349">
        <f t="shared" ca="1" si="70"/>
        <v>130983.84544062556</v>
      </c>
      <c r="Q100" s="349">
        <f t="shared" ca="1" si="70"/>
        <v>181499.54460603965</v>
      </c>
      <c r="S100" s="255">
        <f t="shared" ca="1" si="69"/>
        <v>1.5408340393466364</v>
      </c>
      <c r="T100" s="8" t="s">
        <v>152</v>
      </c>
    </row>
    <row r="101" spans="1:20">
      <c r="B101" s="8" t="s">
        <v>153</v>
      </c>
      <c r="C101" s="134">
        <f>'Historical Financials'!G64</f>
        <v>-406</v>
      </c>
      <c r="D101" s="134">
        <f>'Historical Financials'!H64</f>
        <v>163</v>
      </c>
      <c r="E101" s="134">
        <f>'Historical Financials'!I64</f>
        <v>-11109</v>
      </c>
      <c r="F101" s="134">
        <f>'Historical Financials'!J64</f>
        <v>-11452</v>
      </c>
      <c r="G101" s="134">
        <f>'Historical Financials'!K64</f>
        <v>-7172</v>
      </c>
      <c r="H101" s="134">
        <f>'Historical Financials'!L64</f>
        <v>-5571</v>
      </c>
      <c r="J101" s="255">
        <f t="shared" si="67"/>
        <v>0.68842364309684734</v>
      </c>
      <c r="L101" s="11">
        <f>H101</f>
        <v>-5571</v>
      </c>
      <c r="M101" s="11">
        <f>L101</f>
        <v>-5571</v>
      </c>
      <c r="N101" s="11">
        <f t="shared" ref="N101" si="71">M101</f>
        <v>-5571</v>
      </c>
      <c r="O101" s="11">
        <f t="shared" ref="O101" si="72">N101</f>
        <v>-5571</v>
      </c>
      <c r="P101" s="11">
        <f t="shared" ref="P101" si="73">O101</f>
        <v>-5571</v>
      </c>
      <c r="Q101" s="11">
        <f t="shared" ref="Q101" si="74">P101</f>
        <v>-5571</v>
      </c>
      <c r="S101" s="255">
        <f t="shared" si="69"/>
        <v>0</v>
      </c>
      <c r="T101" s="8" t="s">
        <v>505</v>
      </c>
    </row>
    <row r="102" spans="1:20">
      <c r="B102" s="107" t="s">
        <v>494</v>
      </c>
      <c r="C102" s="414">
        <f>SUM(C99:C101)</f>
        <v>65339</v>
      </c>
      <c r="D102" s="414">
        <f>SUM(D99:D101)</f>
        <v>63090</v>
      </c>
      <c r="E102" s="414">
        <f>SUM(E99:E101)</f>
        <v>50672</v>
      </c>
      <c r="F102" s="414">
        <f>SUM(F99:F101)</f>
        <v>62146</v>
      </c>
      <c r="G102" s="414">
        <f>SUM(G99:G101)</f>
        <v>56950</v>
      </c>
      <c r="H102" s="414">
        <f>SUM(H99:H101)</f>
        <v>73733</v>
      </c>
      <c r="J102" s="256">
        <f t="shared" si="67"/>
        <v>2.4466789361763608E-2</v>
      </c>
      <c r="L102" s="138">
        <f ca="1">SUM(L99:L101)</f>
        <v>102618.25710054736</v>
      </c>
      <c r="M102" s="138">
        <f ca="1">SUM(M99:M101)</f>
        <v>134501.9267698937</v>
      </c>
      <c r="N102" s="138">
        <f ca="1">SUM(N99:N101)</f>
        <v>179660.2139025839</v>
      </c>
      <c r="O102" s="138">
        <f ca="1">SUM(O99:O101)</f>
        <v>235088.47599958547</v>
      </c>
      <c r="P102" s="138">
        <f ca="1">SUM(P99:P101)</f>
        <v>298002.29856157454</v>
      </c>
      <c r="Q102" s="138">
        <f ca="1">SUM(Q99:Q101)</f>
        <v>367368.46328286623</v>
      </c>
      <c r="S102" s="256">
        <f t="shared" ca="1" si="69"/>
        <v>0.23683815114403495</v>
      </c>
    </row>
    <row r="103" spans="1:20" ht="5.0999999999999996" customHeight="1">
      <c r="B103" s="39"/>
    </row>
    <row r="104" spans="1:20">
      <c r="B104" s="283" t="s">
        <v>154</v>
      </c>
      <c r="C104" s="282">
        <f>+C102+C96-C87</f>
        <v>0</v>
      </c>
      <c r="D104" s="282">
        <f>+D102+D96-D87</f>
        <v>0</v>
      </c>
      <c r="E104" s="282">
        <f>+E102+E96-E87</f>
        <v>0</v>
      </c>
      <c r="F104" s="282">
        <f>+F102+F96-F87</f>
        <v>0</v>
      </c>
      <c r="G104" s="282">
        <f>+G102+G96-G87</f>
        <v>0</v>
      </c>
      <c r="H104" s="282">
        <f>+H102+H96-H87</f>
        <v>0</v>
      </c>
      <c r="L104" s="282">
        <f ca="1">+L102+L96-L87</f>
        <v>0</v>
      </c>
      <c r="M104" s="282">
        <f ca="1">+M102+M96-M87</f>
        <v>0</v>
      </c>
      <c r="N104" s="282">
        <f ca="1">+N102+N96-N87</f>
        <v>0</v>
      </c>
      <c r="O104" s="282">
        <f ca="1">+O102+O96-O87</f>
        <v>0</v>
      </c>
      <c r="P104" s="282">
        <f ca="1">+P102+P96-P87</f>
        <v>0</v>
      </c>
      <c r="Q104" s="282">
        <f ca="1">+Q102+Q96-Q87</f>
        <v>0</v>
      </c>
    </row>
    <row r="105" spans="1:20">
      <c r="B105" s="39"/>
      <c r="L105" s="72"/>
    </row>
    <row r="106" spans="1:20">
      <c r="A106" s="8" t="s">
        <v>24</v>
      </c>
      <c r="B106" s="230" t="s">
        <v>19</v>
      </c>
      <c r="C106" s="231" t="s">
        <v>352</v>
      </c>
      <c r="D106" s="231"/>
      <c r="E106" s="231"/>
      <c r="F106" s="231"/>
      <c r="G106" s="231"/>
      <c r="H106" s="231"/>
      <c r="I106" s="235"/>
      <c r="J106" s="231" t="s">
        <v>370</v>
      </c>
      <c r="K106" s="235"/>
      <c r="L106" s="231" t="s">
        <v>165</v>
      </c>
      <c r="M106" s="231"/>
      <c r="N106" s="231"/>
      <c r="O106" s="231"/>
      <c r="P106" s="231"/>
      <c r="Q106" s="231"/>
      <c r="R106" s="235"/>
      <c r="S106" s="231" t="s">
        <v>370</v>
      </c>
    </row>
    <row r="107" spans="1:20">
      <c r="B107" s="232" t="str">
        <f>B16</f>
        <v xml:space="preserve">Fiscal year  </v>
      </c>
      <c r="C107" s="233">
        <f>C77</f>
        <v>2020</v>
      </c>
      <c r="D107" s="233">
        <f t="shared" ref="D107:H107" si="75">D77</f>
        <v>2021</v>
      </c>
      <c r="E107" s="233">
        <f t="shared" si="75"/>
        <v>2022</v>
      </c>
      <c r="F107" s="233">
        <f t="shared" si="75"/>
        <v>2023</v>
      </c>
      <c r="G107" s="233">
        <f t="shared" si="75"/>
        <v>2024</v>
      </c>
      <c r="H107" s="233">
        <f t="shared" si="75"/>
        <v>2025</v>
      </c>
      <c r="I107" s="235"/>
      <c r="J107" s="471" t="str">
        <f>J77</f>
        <v>6-Year(A)</v>
      </c>
      <c r="K107" s="235"/>
      <c r="L107" s="234">
        <f>L77</f>
        <v>2026</v>
      </c>
      <c r="M107" s="234">
        <f>M77</f>
        <v>2027</v>
      </c>
      <c r="N107" s="234">
        <f>N77</f>
        <v>2028</v>
      </c>
      <c r="O107" s="234">
        <f>O77</f>
        <v>2029</v>
      </c>
      <c r="P107" s="234">
        <f>P77</f>
        <v>2030</v>
      </c>
      <c r="Q107" s="234">
        <f>Q77</f>
        <v>2031</v>
      </c>
      <c r="R107" s="235"/>
      <c r="S107" s="471" t="str">
        <f>S77</f>
        <v>6-Year(F)</v>
      </c>
    </row>
    <row r="108" spans="1:20">
      <c r="B108" s="232" t="str">
        <f>B17</f>
        <v>Fiscal year end date</v>
      </c>
      <c r="C108" s="235">
        <f>C78</f>
        <v>44104</v>
      </c>
      <c r="D108" s="235">
        <f t="shared" ref="D108:H108" si="76">D78</f>
        <v>44469</v>
      </c>
      <c r="E108" s="235">
        <f t="shared" si="76"/>
        <v>44834</v>
      </c>
      <c r="F108" s="235">
        <f t="shared" si="76"/>
        <v>45192</v>
      </c>
      <c r="G108" s="235">
        <f t="shared" si="76"/>
        <v>45559</v>
      </c>
      <c r="H108" s="235">
        <f t="shared" si="76"/>
        <v>45927</v>
      </c>
      <c r="I108" s="235"/>
      <c r="J108" s="235">
        <f>J78</f>
        <v>45927</v>
      </c>
      <c r="K108" s="235"/>
      <c r="L108" s="235">
        <f>L78</f>
        <v>46295</v>
      </c>
      <c r="M108" s="235">
        <f>M78</f>
        <v>46660</v>
      </c>
      <c r="N108" s="235">
        <f>N78</f>
        <v>47026</v>
      </c>
      <c r="O108" s="235">
        <f>O78</f>
        <v>47391</v>
      </c>
      <c r="P108" s="235">
        <f>P78</f>
        <v>47756</v>
      </c>
      <c r="Q108" s="235">
        <f>Q78</f>
        <v>48121</v>
      </c>
      <c r="R108" s="235"/>
      <c r="S108" s="235">
        <f>S78</f>
        <v>48121</v>
      </c>
    </row>
    <row r="109" spans="1:20" ht="5.0999999999999996" customHeight="1"/>
    <row r="110" spans="1:20">
      <c r="B110" s="8" t="s">
        <v>17</v>
      </c>
      <c r="C110" s="416">
        <f t="shared" ref="C110" si="77">C39</f>
        <v>57411</v>
      </c>
      <c r="D110" s="416">
        <f t="shared" ref="D110:H110" si="78">D39</f>
        <v>94680</v>
      </c>
      <c r="E110" s="416">
        <f t="shared" si="78"/>
        <v>99803</v>
      </c>
      <c r="F110" s="416">
        <f t="shared" si="78"/>
        <v>96995</v>
      </c>
      <c r="G110" s="416">
        <f t="shared" si="78"/>
        <v>93736</v>
      </c>
      <c r="H110" s="416">
        <f t="shared" si="78"/>
        <v>112010</v>
      </c>
      <c r="J110" s="255">
        <f t="shared" ref="J110:J128" si="79">((H110/C110)^(1/COUNT(D110:H110))-1)</f>
        <v>0.14301607214786305</v>
      </c>
      <c r="L110" s="11">
        <f ca="1">L39</f>
        <v>121070.5555901996</v>
      </c>
      <c r="M110" s="11">
        <f ca="1">M39</f>
        <v>125284.82794989306</v>
      </c>
      <c r="N110" s="11">
        <f ca="1">N39</f>
        <v>139191.90870476328</v>
      </c>
      <c r="O110" s="11">
        <f ca="1">O39</f>
        <v>149874.56663243499</v>
      </c>
      <c r="P110" s="11">
        <f ca="1">P39</f>
        <v>157536.79987316721</v>
      </c>
      <c r="Q110" s="11">
        <f ca="1">Q39</f>
        <v>163774.36947807748</v>
      </c>
      <c r="S110" s="255">
        <f t="shared" ref="S110:S128" ca="1" si="80">((Q110/L110)^(1/COUNT(L110:Q110))-1)</f>
        <v>5.1641945958831537E-2</v>
      </c>
      <c r="T110" s="8" t="s">
        <v>155</v>
      </c>
    </row>
    <row r="111" spans="1:20">
      <c r="B111" s="8" t="s">
        <v>86</v>
      </c>
      <c r="C111" s="416">
        <f t="shared" ref="C111" si="81">C41</f>
        <v>11056</v>
      </c>
      <c r="D111" s="416">
        <f t="shared" ref="D111:H111" si="82">D41</f>
        <v>11284</v>
      </c>
      <c r="E111" s="416">
        <f t="shared" si="82"/>
        <v>11104</v>
      </c>
      <c r="F111" s="416">
        <f t="shared" si="82"/>
        <v>11519</v>
      </c>
      <c r="G111" s="416">
        <f t="shared" si="82"/>
        <v>11445</v>
      </c>
      <c r="H111" s="416">
        <f t="shared" si="82"/>
        <v>11698</v>
      </c>
      <c r="J111" s="255">
        <f t="shared" si="79"/>
        <v>1.1352884356246706E-2</v>
      </c>
      <c r="L111" s="349">
        <f ca="1">L41</f>
        <v>12776.59839760666</v>
      </c>
      <c r="M111" s="349">
        <f t="shared" ref="M111:Q111" ca="1" si="83">M41</f>
        <v>13114.906119878495</v>
      </c>
      <c r="N111" s="349">
        <f t="shared" ca="1" si="83"/>
        <v>14526.339912011219</v>
      </c>
      <c r="O111" s="349">
        <f t="shared" ca="1" si="83"/>
        <v>16586.917064972458</v>
      </c>
      <c r="P111" s="349">
        <f t="shared" ca="1" si="83"/>
        <v>19180.681079883543</v>
      </c>
      <c r="Q111" s="349">
        <f t="shared" ca="1" si="83"/>
        <v>22279.290652902153</v>
      </c>
      <c r="S111" s="255">
        <f t="shared" ca="1" si="80"/>
        <v>9.7103715557409931E-2</v>
      </c>
      <c r="T111" s="8" t="s">
        <v>155</v>
      </c>
    </row>
    <row r="112" spans="1:20">
      <c r="B112" s="8" t="s">
        <v>129</v>
      </c>
      <c r="C112" s="416">
        <f t="shared" ref="C112" si="84">C44</f>
        <v>6829</v>
      </c>
      <c r="D112" s="416">
        <f t="shared" ref="D112:H112" si="85">D44</f>
        <v>7906</v>
      </c>
      <c r="E112" s="416">
        <f t="shared" si="85"/>
        <v>9038</v>
      </c>
      <c r="F112" s="416">
        <f t="shared" si="85"/>
        <v>10833</v>
      </c>
      <c r="G112" s="416">
        <f t="shared" si="85"/>
        <v>11688</v>
      </c>
      <c r="H112" s="416">
        <f t="shared" si="85"/>
        <v>12863</v>
      </c>
      <c r="J112" s="255">
        <f t="shared" si="79"/>
        <v>0.13500305734244855</v>
      </c>
      <c r="L112" s="349">
        <f ca="1">L44</f>
        <v>13946.701510347766</v>
      </c>
      <c r="M112" s="349">
        <f t="shared" ref="M112:Q112" ca="1" si="86">M44</f>
        <v>14558.456412920836</v>
      </c>
      <c r="N112" s="349">
        <f t="shared" ca="1" si="86"/>
        <v>15840.653351024432</v>
      </c>
      <c r="O112" s="349">
        <f t="shared" ca="1" si="86"/>
        <v>16898.707535263686</v>
      </c>
      <c r="P112" s="349">
        <f t="shared" ca="1" si="86"/>
        <v>17776.93431139227</v>
      </c>
      <c r="Q112" s="349">
        <f t="shared" ca="1" si="86"/>
        <v>18850.465555877607</v>
      </c>
      <c r="S112" s="255">
        <f t="shared" ca="1" si="80"/>
        <v>5.149794696797616E-2</v>
      </c>
      <c r="T112" s="8" t="s">
        <v>155</v>
      </c>
    </row>
    <row r="113" spans="2:20">
      <c r="B113" s="8" t="s">
        <v>156</v>
      </c>
      <c r="C113" s="416"/>
      <c r="D113" s="416">
        <f>SUM(C82:C84)-SUM(D82:D84)</f>
        <v>-19427</v>
      </c>
      <c r="E113" s="416">
        <f t="shared" ref="E113:H113" si="87">SUM(D82:D84)-SUM(E82:E84)</f>
        <v>-14904</v>
      </c>
      <c r="F113" s="416">
        <f t="shared" si="87"/>
        <v>5090</v>
      </c>
      <c r="G113" s="416">
        <f t="shared" si="87"/>
        <v>-5805</v>
      </c>
      <c r="H113" s="416">
        <f t="shared" si="87"/>
        <v>-5444</v>
      </c>
      <c r="J113" s="255" t="e">
        <f t="shared" si="79"/>
        <v>#DIV/0!</v>
      </c>
      <c r="L113" s="409">
        <f ca="1">SUM(H82:H84)-SUM(L82:L84)</f>
        <v>-7808.3991471574554</v>
      </c>
      <c r="M113" s="409">
        <f ca="1">SUM(L82:L84)-SUM(M82:M84)</f>
        <v>-4458.9785617644811</v>
      </c>
      <c r="N113" s="409">
        <f t="shared" ref="N113:Q113" ca="1" si="88">SUM(M82:M84)-SUM(N82:N84)</f>
        <v>-9236.5054739676998</v>
      </c>
      <c r="O113" s="409">
        <f t="shared" ca="1" si="88"/>
        <v>-7686.9923408254399</v>
      </c>
      <c r="P113" s="409">
        <f t="shared" ca="1" si="88"/>
        <v>-6455.2421936935134</v>
      </c>
      <c r="Q113" s="409">
        <f t="shared" ca="1" si="88"/>
        <v>-7947.8787974857405</v>
      </c>
      <c r="S113" s="255">
        <f t="shared" ca="1" si="80"/>
        <v>2.9552092222664417E-3</v>
      </c>
    </row>
    <row r="114" spans="2:20">
      <c r="B114" s="8" t="s">
        <v>157</v>
      </c>
      <c r="C114" s="416"/>
      <c r="D114" s="416">
        <f t="shared" ref="D114:G114" si="89">SUM(D90:D92)-SUM(C90:C92)</f>
        <v>18245</v>
      </c>
      <c r="E114" s="416">
        <f t="shared" si="89"/>
        <v>23004</v>
      </c>
      <c r="F114" s="416">
        <f t="shared" si="89"/>
        <v>-3371</v>
      </c>
      <c r="G114" s="416">
        <f t="shared" si="89"/>
        <v>26012</v>
      </c>
      <c r="H114" s="416">
        <f>SUM(H90:H92)-SUM(G90:G92)</f>
        <v>-10211</v>
      </c>
      <c r="J114" s="255" t="e">
        <f t="shared" si="79"/>
        <v>#DIV/0!</v>
      </c>
      <c r="L114" s="409">
        <f ca="1">SUM(L90:L92)-SUM(H90:H92)</f>
        <v>11646.498238384171</v>
      </c>
      <c r="M114" s="409">
        <f ca="1">SUM(M90:M92)-SUM(L90:L92)</f>
        <v>7198.8031866389792</v>
      </c>
      <c r="N114" s="409">
        <f t="shared" ref="N114:Q114" ca="1" si="90">SUM(N90:N92)-SUM(M90:M92)</f>
        <v>13753.897512090334</v>
      </c>
      <c r="O114" s="409">
        <f t="shared" ca="1" si="90"/>
        <v>12145.338242845522</v>
      </c>
      <c r="P114" s="409">
        <f t="shared" ca="1" si="90"/>
        <v>10994.187901938509</v>
      </c>
      <c r="Q114" s="409">
        <f t="shared" ca="1" si="90"/>
        <v>14136.600570359471</v>
      </c>
      <c r="S114" s="255">
        <f t="shared" ca="1" si="80"/>
        <v>3.282070811453397E-2</v>
      </c>
    </row>
    <row r="115" spans="2:20">
      <c r="B115" s="8" t="s">
        <v>142</v>
      </c>
      <c r="C115" s="417">
        <f t="shared" ref="C115:H115" si="91">-C170</f>
        <v>-21595</v>
      </c>
      <c r="D115" s="417">
        <f t="shared" si="91"/>
        <v>-8111</v>
      </c>
      <c r="E115" s="417">
        <f t="shared" si="91"/>
        <v>-7983</v>
      </c>
      <c r="F115" s="417">
        <f t="shared" si="91"/>
        <v>-13349</v>
      </c>
      <c r="G115" s="417">
        <f t="shared" si="91"/>
        <v>-13321</v>
      </c>
      <c r="H115" s="417">
        <f>-H170</f>
        <v>-12591</v>
      </c>
      <c r="J115" s="255">
        <f t="shared" si="79"/>
        <v>-0.10227896166843597</v>
      </c>
      <c r="L115" s="349">
        <f ca="1">-L170</f>
        <v>-10305.857532869632</v>
      </c>
      <c r="M115" s="349">
        <f t="shared" ref="M115:Q115" ca="1" si="92">-M170</f>
        <v>-7376.5340009432111</v>
      </c>
      <c r="N115" s="349">
        <f ca="1">-N170</f>
        <v>-12039.496433332199</v>
      </c>
      <c r="O115" s="349">
        <f t="shared" ca="1" si="92"/>
        <v>-10827.223448198682</v>
      </c>
      <c r="P115" s="349">
        <f t="shared" ca="1" si="92"/>
        <v>-9861.4753585106664</v>
      </c>
      <c r="Q115" s="349">
        <f t="shared" ca="1" si="92"/>
        <v>-11383.049580114719</v>
      </c>
      <c r="S115" s="255">
        <f t="shared" ca="1" si="80"/>
        <v>1.6706848186365919E-2</v>
      </c>
      <c r="T115" s="8" t="s">
        <v>158</v>
      </c>
    </row>
    <row r="116" spans="2:20">
      <c r="B116" s="8" t="s">
        <v>149</v>
      </c>
      <c r="C116" s="11">
        <f>C95-22283</f>
        <v>32207</v>
      </c>
      <c r="D116" s="11">
        <f t="shared" ref="D116:G116" si="93">D95-C95</f>
        <v>-1165</v>
      </c>
      <c r="E116" s="11">
        <f t="shared" si="93"/>
        <v>-4183</v>
      </c>
      <c r="F116" s="11">
        <f t="shared" si="93"/>
        <v>706</v>
      </c>
      <c r="G116" s="11">
        <f t="shared" si="93"/>
        <v>-3960</v>
      </c>
      <c r="H116" s="11">
        <f>H95-G95</f>
        <v>-4339</v>
      </c>
      <c r="J116" s="255">
        <f t="shared" si="79"/>
        <v>-1.6697116832753371</v>
      </c>
      <c r="L116" s="11">
        <f ca="1">L95-H95</f>
        <v>3500.4830951908079</v>
      </c>
      <c r="M116" s="11">
        <f ca="1">M95-L95</f>
        <v>1976.0401498101855</v>
      </c>
      <c r="N116" s="11">
        <f ca="1">N95-M95</f>
        <v>4141.6466284122143</v>
      </c>
      <c r="O116" s="11">
        <f t="shared" ref="O116:Q116" ca="1" si="94">O95-N95</f>
        <v>3417.6392210959166</v>
      </c>
      <c r="P116" s="11">
        <f t="shared" ca="1" si="94"/>
        <v>2836.7755827852379</v>
      </c>
      <c r="Q116" s="11">
        <f t="shared" ca="1" si="94"/>
        <v>3467.6319425578258</v>
      </c>
      <c r="S116" s="255">
        <f t="shared" ca="1" si="80"/>
        <v>-1.5702762372103996E-3</v>
      </c>
    </row>
    <row r="117" spans="2:20">
      <c r="B117" s="39" t="s">
        <v>355</v>
      </c>
      <c r="C117" s="414">
        <f t="shared" ref="C117:H117" si="95">SUM(C110:C116)</f>
        <v>85908</v>
      </c>
      <c r="D117" s="414">
        <f t="shared" si="95"/>
        <v>103412</v>
      </c>
      <c r="E117" s="414">
        <f t="shared" si="95"/>
        <v>115879</v>
      </c>
      <c r="F117" s="414">
        <f t="shared" si="95"/>
        <v>108423</v>
      </c>
      <c r="G117" s="414">
        <f t="shared" si="95"/>
        <v>119795</v>
      </c>
      <c r="H117" s="414">
        <f t="shared" si="95"/>
        <v>103986</v>
      </c>
      <c r="J117" s="256">
        <f t="shared" si="79"/>
        <v>3.8934702545181832E-2</v>
      </c>
      <c r="L117" s="414">
        <f t="shared" ref="L117:Q117" ca="1" si="96">SUM(L110:L116)</f>
        <v>144826.5801517019</v>
      </c>
      <c r="M117" s="414">
        <f t="shared" ca="1" si="96"/>
        <v>150297.52125643386</v>
      </c>
      <c r="N117" s="414">
        <f t="shared" ca="1" si="96"/>
        <v>166178.44420100158</v>
      </c>
      <c r="O117" s="414">
        <f t="shared" ca="1" si="96"/>
        <v>180408.95290758842</v>
      </c>
      <c r="P117" s="414">
        <f t="shared" ca="1" si="96"/>
        <v>192008.66119696258</v>
      </c>
      <c r="Q117" s="414">
        <f t="shared" ca="1" si="96"/>
        <v>203177.42982217408</v>
      </c>
      <c r="S117" s="256">
        <f t="shared" ca="1" si="80"/>
        <v>5.8045954790609811E-2</v>
      </c>
    </row>
    <row r="119" spans="2:20">
      <c r="B119" s="8" t="s">
        <v>237</v>
      </c>
      <c r="C119" s="11">
        <f>-C136</f>
        <v>-7309</v>
      </c>
      <c r="D119" s="11">
        <f t="shared" ref="D119:H119" si="97">-D136</f>
        <v>-11085</v>
      </c>
      <c r="E119" s="11">
        <f t="shared" si="97"/>
        <v>-10708</v>
      </c>
      <c r="F119" s="11">
        <f t="shared" si="97"/>
        <v>-10959</v>
      </c>
      <c r="G119" s="11">
        <f t="shared" si="97"/>
        <v>-9447</v>
      </c>
      <c r="H119" s="11">
        <f t="shared" si="97"/>
        <v>-12715</v>
      </c>
      <c r="J119" s="255">
        <f t="shared" si="79"/>
        <v>0.11709904496983481</v>
      </c>
      <c r="L119" s="403">
        <f>-L136</f>
        <v>-14535.375</v>
      </c>
      <c r="M119" s="403">
        <f t="shared" ref="M119:Q119" si="98">-M136</f>
        <v>-15621</v>
      </c>
      <c r="N119" s="403">
        <f t="shared" si="98"/>
        <v>-16743.625</v>
      </c>
      <c r="O119" s="403">
        <f t="shared" si="98"/>
        <v>-17994.389410724805</v>
      </c>
      <c r="P119" s="403">
        <f t="shared" si="98"/>
        <v>-19458.412574980441</v>
      </c>
      <c r="Q119" s="403">
        <f t="shared" si="98"/>
        <v>-20880.372926793214</v>
      </c>
      <c r="S119" s="255">
        <f t="shared" si="80"/>
        <v>6.2230258229174273E-2</v>
      </c>
    </row>
    <row r="120" spans="2:20">
      <c r="B120" s="39" t="s">
        <v>356</v>
      </c>
      <c r="C120" s="414">
        <f t="shared" ref="C120:H120" si="99">+C119</f>
        <v>-7309</v>
      </c>
      <c r="D120" s="414">
        <f t="shared" si="99"/>
        <v>-11085</v>
      </c>
      <c r="E120" s="414">
        <f t="shared" si="99"/>
        <v>-10708</v>
      </c>
      <c r="F120" s="414">
        <f t="shared" si="99"/>
        <v>-10959</v>
      </c>
      <c r="G120" s="414">
        <f t="shared" si="99"/>
        <v>-9447</v>
      </c>
      <c r="H120" s="414">
        <f t="shared" si="99"/>
        <v>-12715</v>
      </c>
      <c r="J120" s="256">
        <f t="shared" si="79"/>
        <v>0.11709904496983481</v>
      </c>
      <c r="L120" s="414">
        <f t="shared" ref="L120:Q120" si="100">+L119</f>
        <v>-14535.375</v>
      </c>
      <c r="M120" s="414">
        <f t="shared" si="100"/>
        <v>-15621</v>
      </c>
      <c r="N120" s="414">
        <f t="shared" si="100"/>
        <v>-16743.625</v>
      </c>
      <c r="O120" s="414">
        <f t="shared" si="100"/>
        <v>-17994.389410724805</v>
      </c>
      <c r="P120" s="414">
        <f t="shared" si="100"/>
        <v>-19458.412574980441</v>
      </c>
      <c r="Q120" s="414">
        <f t="shared" si="100"/>
        <v>-20880.372926793214</v>
      </c>
      <c r="S120" s="256">
        <f t="shared" si="80"/>
        <v>6.2230258229174273E-2</v>
      </c>
    </row>
    <row r="122" spans="2:20">
      <c r="B122" s="8" t="s">
        <v>159</v>
      </c>
      <c r="C122" s="11"/>
      <c r="D122" s="11">
        <f>D94-C94</f>
        <v>11279</v>
      </c>
      <c r="E122" s="11">
        <f t="shared" ref="E122:G122" si="101">E94-D94</f>
        <v>-8632</v>
      </c>
      <c r="F122" s="11">
        <f t="shared" si="101"/>
        <v>-4984</v>
      </c>
      <c r="G122" s="11">
        <f t="shared" si="101"/>
        <v>-8441</v>
      </c>
      <c r="H122" s="11">
        <f>H94-G94</f>
        <v>-5984</v>
      </c>
      <c r="J122" s="255" t="e">
        <f t="shared" si="79"/>
        <v>#DIV/0!</v>
      </c>
      <c r="L122" s="11">
        <f>L94-H94</f>
        <v>0</v>
      </c>
      <c r="M122" s="11">
        <f>M94-L94</f>
        <v>0</v>
      </c>
      <c r="N122" s="11">
        <f t="shared" ref="N122:Q122" si="102">N94-M94</f>
        <v>0</v>
      </c>
      <c r="O122" s="11">
        <f t="shared" si="102"/>
        <v>0</v>
      </c>
      <c r="P122" s="11">
        <f t="shared" si="102"/>
        <v>0</v>
      </c>
      <c r="Q122" s="11">
        <f t="shared" si="102"/>
        <v>0</v>
      </c>
      <c r="S122" s="255" t="e">
        <f t="shared" si="80"/>
        <v>#DIV/0!</v>
      </c>
      <c r="T122" s="8" t="s">
        <v>161</v>
      </c>
    </row>
    <row r="123" spans="2:20">
      <c r="B123" s="8" t="s">
        <v>160</v>
      </c>
      <c r="C123" s="417"/>
      <c r="D123" s="417">
        <f t="shared" ref="D123:G123" si="103">D93-C93</f>
        <v>1004</v>
      </c>
      <c r="E123" s="417">
        <f t="shared" si="103"/>
        <v>3982</v>
      </c>
      <c r="F123" s="417">
        <f t="shared" si="103"/>
        <v>-3997</v>
      </c>
      <c r="G123" s="417">
        <f t="shared" si="103"/>
        <v>3982</v>
      </c>
      <c r="H123" s="417">
        <f>H93-G93</f>
        <v>-1988</v>
      </c>
      <c r="J123" s="255" t="e">
        <f t="shared" si="79"/>
        <v>#DIV/0!</v>
      </c>
      <c r="L123" s="349">
        <f ca="1">L93-H93</f>
        <v>4021</v>
      </c>
      <c r="M123" s="349">
        <f ca="1">M93-L93</f>
        <v>0</v>
      </c>
      <c r="N123" s="349">
        <f t="shared" ref="N123:Q123" ca="1" si="104">N93-M93</f>
        <v>0</v>
      </c>
      <c r="O123" s="349">
        <f t="shared" ca="1" si="104"/>
        <v>0</v>
      </c>
      <c r="P123" s="349">
        <f t="shared" ca="1" si="104"/>
        <v>0</v>
      </c>
      <c r="Q123" s="349">
        <f t="shared" ca="1" si="104"/>
        <v>0</v>
      </c>
      <c r="S123" s="255">
        <f t="shared" ca="1" si="80"/>
        <v>-1</v>
      </c>
      <c r="T123" s="8" t="s">
        <v>152</v>
      </c>
    </row>
    <row r="124" spans="2:20">
      <c r="B124" s="8" t="s">
        <v>162</v>
      </c>
      <c r="C124" s="417">
        <f t="shared" ref="C124:H124" si="105">C177</f>
        <v>-72358</v>
      </c>
      <c r="D124" s="417">
        <f t="shared" si="105"/>
        <v>-85971</v>
      </c>
      <c r="E124" s="417">
        <f t="shared" si="105"/>
        <v>-89402</v>
      </c>
      <c r="F124" s="417">
        <f t="shared" si="105"/>
        <v>-77550</v>
      </c>
      <c r="G124" s="417">
        <f t="shared" si="105"/>
        <v>-94949</v>
      </c>
      <c r="H124" s="417">
        <f>H177</f>
        <v>-90711</v>
      </c>
      <c r="J124" s="255">
        <f t="shared" si="79"/>
        <v>4.6248094578764887E-2</v>
      </c>
      <c r="L124" s="349">
        <f>L177</f>
        <v>-90711</v>
      </c>
      <c r="M124" s="349">
        <f t="shared" ref="M124:Q124" si="106">M177</f>
        <v>-90711</v>
      </c>
      <c r="N124" s="349">
        <f t="shared" si="106"/>
        <v>-90711</v>
      </c>
      <c r="O124" s="349">
        <f t="shared" si="106"/>
        <v>-90711</v>
      </c>
      <c r="P124" s="349">
        <f t="shared" si="106"/>
        <v>-90711</v>
      </c>
      <c r="Q124" s="349">
        <f t="shared" si="106"/>
        <v>-90711</v>
      </c>
      <c r="S124" s="255">
        <f t="shared" si="80"/>
        <v>0</v>
      </c>
      <c r="T124" s="8" t="s">
        <v>152</v>
      </c>
    </row>
    <row r="125" spans="2:20">
      <c r="B125" s="8" t="s">
        <v>163</v>
      </c>
      <c r="C125" s="417">
        <f t="shared" ref="C125:H125" si="107">C176</f>
        <v>-14081</v>
      </c>
      <c r="D125" s="417">
        <f t="shared" si="107"/>
        <v>-14467</v>
      </c>
      <c r="E125" s="417">
        <f t="shared" si="107"/>
        <v>-14841</v>
      </c>
      <c r="F125" s="417">
        <f t="shared" si="107"/>
        <v>-14875</v>
      </c>
      <c r="G125" s="417">
        <f t="shared" si="107"/>
        <v>-15234</v>
      </c>
      <c r="H125" s="417">
        <f t="shared" ref="H125" si="108">H176</f>
        <v>-15421</v>
      </c>
      <c r="J125" s="255">
        <f t="shared" si="79"/>
        <v>1.8347045520870076E-2</v>
      </c>
      <c r="L125" s="349">
        <f>L176</f>
        <v>-15421</v>
      </c>
      <c r="M125" s="349">
        <f t="shared" ref="M125:Q125" ca="1" si="109">M176</f>
        <v>-17248.614693467556</v>
      </c>
      <c r="N125" s="349">
        <f t="shared" ca="1" si="109"/>
        <v>-19163.274923097531</v>
      </c>
      <c r="O125" s="349">
        <f t="shared" ca="1" si="109"/>
        <v>-20634.012070697081</v>
      </c>
      <c r="P125" s="349">
        <f t="shared" ca="1" si="109"/>
        <v>-21688.911622570409</v>
      </c>
      <c r="Q125" s="349">
        <f t="shared" ca="1" si="109"/>
        <v>-22547.670312663446</v>
      </c>
      <c r="S125" s="255">
        <f t="shared" ca="1" si="80"/>
        <v>6.536442309777879E-2</v>
      </c>
      <c r="T125" s="8" t="s">
        <v>152</v>
      </c>
    </row>
    <row r="126" spans="2:20">
      <c r="B126" s="39" t="s">
        <v>356</v>
      </c>
      <c r="C126" s="414">
        <f t="shared" ref="C126:H126" si="110">SUM(C122:C125)</f>
        <v>-86439</v>
      </c>
      <c r="D126" s="414">
        <f t="shared" si="110"/>
        <v>-88155</v>
      </c>
      <c r="E126" s="414">
        <f t="shared" si="110"/>
        <v>-108893</v>
      </c>
      <c r="F126" s="414">
        <f t="shared" si="110"/>
        <v>-101406</v>
      </c>
      <c r="G126" s="414">
        <f t="shared" si="110"/>
        <v>-114642</v>
      </c>
      <c r="H126" s="414">
        <f t="shared" si="110"/>
        <v>-114104</v>
      </c>
      <c r="I126" s="415"/>
      <c r="J126" s="256">
        <f t="shared" si="79"/>
        <v>5.7105243526079041E-2</v>
      </c>
      <c r="K126" s="415"/>
      <c r="L126" s="414">
        <f t="shared" ref="L126:Q126" ca="1" si="111">SUM(L122:L125)</f>
        <v>-102111</v>
      </c>
      <c r="M126" s="414">
        <f t="shared" ca="1" si="111"/>
        <v>-107959.61469346756</v>
      </c>
      <c r="N126" s="414">
        <f t="shared" ca="1" si="111"/>
        <v>-109874.27492309753</v>
      </c>
      <c r="O126" s="414">
        <f t="shared" ca="1" si="111"/>
        <v>-111345.01207069708</v>
      </c>
      <c r="P126" s="414">
        <f t="shared" ca="1" si="111"/>
        <v>-112399.91162257041</v>
      </c>
      <c r="Q126" s="414">
        <f t="shared" ca="1" si="111"/>
        <v>-113258.67031266345</v>
      </c>
      <c r="S126" s="256">
        <f t="shared" ca="1" si="80"/>
        <v>1.7418948092642106E-2</v>
      </c>
    </row>
    <row r="128" spans="2:20">
      <c r="B128" s="39" t="s">
        <v>495</v>
      </c>
      <c r="C128" s="392">
        <f t="shared" ref="C128:H128" si="112">+C126+C120+C117</f>
        <v>-7840</v>
      </c>
      <c r="D128" s="392">
        <f t="shared" si="112"/>
        <v>4172</v>
      </c>
      <c r="E128" s="392">
        <f t="shared" si="112"/>
        <v>-3722</v>
      </c>
      <c r="F128" s="392">
        <f t="shared" si="112"/>
        <v>-3942</v>
      </c>
      <c r="G128" s="392">
        <f t="shared" si="112"/>
        <v>-4294</v>
      </c>
      <c r="H128" s="392">
        <f t="shared" si="112"/>
        <v>-22833</v>
      </c>
      <c r="J128" s="256">
        <f t="shared" si="79"/>
        <v>0.23836703530182013</v>
      </c>
      <c r="L128" s="392">
        <f ca="1">+L126+L120+L117</f>
        <v>28180.205151701899</v>
      </c>
      <c r="M128" s="392">
        <f t="shared" ref="M128:Q128" ca="1" si="113">+M126+M120+M117</f>
        <v>26716.906562966295</v>
      </c>
      <c r="N128" s="392">
        <f t="shared" ca="1" si="113"/>
        <v>39560.544277904046</v>
      </c>
      <c r="O128" s="392">
        <f t="shared" ca="1" si="113"/>
        <v>51069.551426166538</v>
      </c>
      <c r="P128" s="392">
        <f t="shared" ca="1" si="113"/>
        <v>60150.336999411724</v>
      </c>
      <c r="Q128" s="392">
        <f t="shared" ca="1" si="113"/>
        <v>69038.386582717416</v>
      </c>
      <c r="S128" s="256">
        <f t="shared" ca="1" si="80"/>
        <v>0.16106824450313884</v>
      </c>
    </row>
    <row r="130" spans="1:20">
      <c r="A130" s="8" t="s">
        <v>24</v>
      </c>
      <c r="B130" s="205" t="s">
        <v>357</v>
      </c>
      <c r="C130" s="206" t="s">
        <v>352</v>
      </c>
      <c r="D130" s="206"/>
      <c r="E130" s="206"/>
      <c r="F130" s="206"/>
      <c r="G130" s="206"/>
      <c r="H130" s="206"/>
      <c r="I130" s="208"/>
      <c r="J130" s="208"/>
      <c r="K130" s="208"/>
      <c r="L130" s="206" t="s">
        <v>165</v>
      </c>
      <c r="M130" s="206"/>
      <c r="N130" s="206"/>
      <c r="O130" s="206"/>
      <c r="P130" s="206"/>
      <c r="Q130" s="206"/>
    </row>
    <row r="131" spans="1:20">
      <c r="B131" s="207" t="s">
        <v>123</v>
      </c>
      <c r="C131" s="236">
        <f>C107</f>
        <v>2020</v>
      </c>
      <c r="D131" s="236">
        <f t="shared" ref="D131:H131" si="114">D107</f>
        <v>2021</v>
      </c>
      <c r="E131" s="236">
        <f t="shared" si="114"/>
        <v>2022</v>
      </c>
      <c r="F131" s="236">
        <f t="shared" si="114"/>
        <v>2023</v>
      </c>
      <c r="G131" s="236">
        <f t="shared" si="114"/>
        <v>2024</v>
      </c>
      <c r="H131" s="236">
        <f t="shared" si="114"/>
        <v>2025</v>
      </c>
      <c r="I131" s="208"/>
      <c r="J131" s="208"/>
      <c r="K131" s="208"/>
      <c r="L131" s="237">
        <f>L77</f>
        <v>2026</v>
      </c>
      <c r="M131" s="237">
        <f>M77</f>
        <v>2027</v>
      </c>
      <c r="N131" s="237">
        <f>N77</f>
        <v>2028</v>
      </c>
      <c r="O131" s="237">
        <f>O77</f>
        <v>2029</v>
      </c>
      <c r="P131" s="237">
        <f>P77</f>
        <v>2030</v>
      </c>
      <c r="Q131" s="237">
        <f>Q77</f>
        <v>2031</v>
      </c>
    </row>
    <row r="132" spans="1:20">
      <c r="B132" s="207" t="s">
        <v>124</v>
      </c>
      <c r="C132" s="208">
        <f>C108</f>
        <v>44104</v>
      </c>
      <c r="D132" s="208">
        <f t="shared" ref="D132:H132" si="115">D108</f>
        <v>44469</v>
      </c>
      <c r="E132" s="208">
        <f t="shared" si="115"/>
        <v>44834</v>
      </c>
      <c r="F132" s="208">
        <f t="shared" si="115"/>
        <v>45192</v>
      </c>
      <c r="G132" s="208">
        <f t="shared" si="115"/>
        <v>45559</v>
      </c>
      <c r="H132" s="208">
        <f t="shared" si="115"/>
        <v>45927</v>
      </c>
      <c r="I132" s="208"/>
      <c r="J132" s="208"/>
      <c r="K132" s="208"/>
      <c r="L132" s="208">
        <f>L78</f>
        <v>46295</v>
      </c>
      <c r="M132" s="208">
        <f>M78</f>
        <v>46660</v>
      </c>
      <c r="N132" s="208">
        <f>N78</f>
        <v>47026</v>
      </c>
      <c r="O132" s="208">
        <f>O78</f>
        <v>47391</v>
      </c>
      <c r="P132" s="208">
        <f>P78</f>
        <v>47756</v>
      </c>
      <c r="Q132" s="208">
        <f>Q78</f>
        <v>48121</v>
      </c>
    </row>
    <row r="133" spans="1:20" ht="5.0999999999999996" customHeight="1"/>
    <row r="134" spans="1:20">
      <c r="B134" s="37" t="s">
        <v>164</v>
      </c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</row>
    <row r="135" spans="1:20">
      <c r="B135" s="39" t="s">
        <v>496</v>
      </c>
      <c r="C135" s="134">
        <f>'Historical Financials'!E46</f>
        <v>41304</v>
      </c>
      <c r="D135" s="11">
        <f>C138</f>
        <v>36766</v>
      </c>
      <c r="E135" s="11">
        <f t="shared" ref="E135:H135" si="116">D138</f>
        <v>39440</v>
      </c>
      <c r="F135" s="11">
        <f t="shared" si="116"/>
        <v>42117</v>
      </c>
      <c r="G135" s="11">
        <f t="shared" si="116"/>
        <v>43715</v>
      </c>
      <c r="H135" s="11">
        <f t="shared" si="116"/>
        <v>45680</v>
      </c>
      <c r="L135" s="352">
        <f>H138</f>
        <v>49834</v>
      </c>
      <c r="M135" s="352">
        <f>L138</f>
        <v>54844.675000000003</v>
      </c>
      <c r="N135" s="352">
        <f t="shared" ref="N135:Q135" si="117">M138</f>
        <v>60745.307800000002</v>
      </c>
      <c r="O135" s="352">
        <f t="shared" si="117"/>
        <v>66656.096704000011</v>
      </c>
      <c r="P135" s="352">
        <f t="shared" si="117"/>
        <v>72003.77526372885</v>
      </c>
      <c r="Q135" s="352">
        <f t="shared" si="117"/>
        <v>76426.485710206049</v>
      </c>
    </row>
    <row r="136" spans="1:20">
      <c r="B136" s="66" t="s">
        <v>168</v>
      </c>
      <c r="C136" s="134">
        <f>-'Historical Financials'!G93</f>
        <v>7309</v>
      </c>
      <c r="D136" s="134">
        <f>-'Historical Financials'!H93</f>
        <v>11085</v>
      </c>
      <c r="E136" s="134">
        <f>-'Historical Financials'!I93</f>
        <v>10708</v>
      </c>
      <c r="F136" s="134">
        <f>-'Historical Financials'!J93</f>
        <v>10959</v>
      </c>
      <c r="G136" s="134">
        <f>-'Historical Financials'!K93</f>
        <v>9447</v>
      </c>
      <c r="H136" s="134">
        <f>-'Historical Financials'!L93</f>
        <v>12715</v>
      </c>
      <c r="L136" s="134">
        <f>'Street Consensus'!C351</f>
        <v>14535.375</v>
      </c>
      <c r="M136" s="134">
        <f>'Street Consensus'!D351</f>
        <v>15621</v>
      </c>
      <c r="N136" s="134">
        <f>'Street Consensus'!E351</f>
        <v>16743.625</v>
      </c>
      <c r="O136" s="134">
        <f>'Street Consensus'!F351</f>
        <v>17994.389410724805</v>
      </c>
      <c r="P136" s="134">
        <f>'Street Consensus'!G351</f>
        <v>19458.412574980441</v>
      </c>
      <c r="Q136" s="134">
        <f>'Street Consensus'!H351</f>
        <v>20880.372926793214</v>
      </c>
      <c r="T136" s="8" t="s">
        <v>486</v>
      </c>
    </row>
    <row r="137" spans="1:20">
      <c r="B137" s="66" t="s">
        <v>169</v>
      </c>
      <c r="C137" s="96">
        <v>-9700</v>
      </c>
      <c r="D137" s="96">
        <v>-9500</v>
      </c>
      <c r="E137" s="96">
        <v>-8700</v>
      </c>
      <c r="F137" s="96">
        <v>-8500</v>
      </c>
      <c r="G137" s="96">
        <v>-8200</v>
      </c>
      <c r="H137" s="96">
        <v>-8000</v>
      </c>
      <c r="L137" s="11">
        <f>-L160</f>
        <v>-9524.7000000000007</v>
      </c>
      <c r="M137" s="11">
        <f t="shared" ref="M137:Q137" si="118">-M160</f>
        <v>-9720.3672000000006</v>
      </c>
      <c r="N137" s="11">
        <f t="shared" si="118"/>
        <v>-10832.836095999999</v>
      </c>
      <c r="O137" s="11">
        <f t="shared" si="118"/>
        <v>-12646.710850995969</v>
      </c>
      <c r="P137" s="11">
        <f t="shared" si="118"/>
        <v>-15035.702128503239</v>
      </c>
      <c r="Q137" s="11">
        <f t="shared" si="118"/>
        <v>-17884.000577337225</v>
      </c>
      <c r="T137" s="8" t="s">
        <v>497</v>
      </c>
    </row>
    <row r="138" spans="1:20">
      <c r="B138" s="394" t="s">
        <v>498</v>
      </c>
      <c r="C138" s="396">
        <f>C85</f>
        <v>36766</v>
      </c>
      <c r="D138" s="396">
        <f t="shared" ref="D138:H138" si="119">D85</f>
        <v>39440</v>
      </c>
      <c r="E138" s="396">
        <f t="shared" si="119"/>
        <v>42117</v>
      </c>
      <c r="F138" s="396">
        <f t="shared" si="119"/>
        <v>43715</v>
      </c>
      <c r="G138" s="396">
        <f t="shared" si="119"/>
        <v>45680</v>
      </c>
      <c r="H138" s="396">
        <f t="shared" si="119"/>
        <v>49834</v>
      </c>
      <c r="I138" s="395"/>
      <c r="J138" s="395"/>
      <c r="K138" s="395"/>
      <c r="L138" s="396">
        <f t="shared" ref="L138:Q138" si="120">SUM(L135:L137)</f>
        <v>54844.675000000003</v>
      </c>
      <c r="M138" s="396">
        <f t="shared" si="120"/>
        <v>60745.307800000002</v>
      </c>
      <c r="N138" s="396">
        <f t="shared" si="120"/>
        <v>66656.096704000011</v>
      </c>
      <c r="O138" s="396">
        <f t="shared" si="120"/>
        <v>72003.77526372885</v>
      </c>
      <c r="P138" s="396">
        <f t="shared" si="120"/>
        <v>76426.485710206049</v>
      </c>
      <c r="Q138" s="396">
        <f t="shared" si="120"/>
        <v>79422.858059662045</v>
      </c>
    </row>
    <row r="139" spans="1:20" ht="5.0999999999999996" customHeight="1"/>
    <row r="140" spans="1:20">
      <c r="B140" s="8" t="s">
        <v>171</v>
      </c>
      <c r="C140" s="108">
        <f>-(C137/C136)</f>
        <v>1.3271309344643589</v>
      </c>
      <c r="D140" s="108">
        <f>-(D137/D136)</f>
        <v>0.8570139828597203</v>
      </c>
      <c r="E140" s="108">
        <f>-(E137/E136)</f>
        <v>0.81247665296974225</v>
      </c>
      <c r="F140" s="108">
        <f>-(F137/F136)</f>
        <v>0.7756182133406333</v>
      </c>
      <c r="G140" s="108">
        <f>-(G137/G136)</f>
        <v>0.86800042341484074</v>
      </c>
      <c r="H140" s="108">
        <f>-(H137/H136)</f>
        <v>0.62917813605977191</v>
      </c>
      <c r="L140" s="108">
        <f>-(L137/L136)</f>
        <v>0.65527721163024699</v>
      </c>
      <c r="M140" s="108">
        <f>-(M137/M136)</f>
        <v>0.62226280007681967</v>
      </c>
      <c r="N140" s="108">
        <f>-(N137/N136)</f>
        <v>0.64698272303637949</v>
      </c>
      <c r="O140" s="108">
        <f>-(O137/O136)</f>
        <v>0.70281411401814087</v>
      </c>
      <c r="P140" s="108">
        <f>-(P137/P136)</f>
        <v>0.77270959645680926</v>
      </c>
      <c r="Q140" s="108">
        <f>-(Q137/Q136)</f>
        <v>0.85649814014523118</v>
      </c>
    </row>
    <row r="141" spans="1:20" hidden="1" outlineLevel="1">
      <c r="B141" s="306" t="s">
        <v>387</v>
      </c>
      <c r="C141" s="281">
        <v>0.03</v>
      </c>
    </row>
    <row r="142" spans="1:20" collapsed="1"/>
    <row r="143" spans="1:20">
      <c r="B143" s="37" t="s">
        <v>564</v>
      </c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3"/>
    </row>
    <row r="144" spans="1:20">
      <c r="B144" s="320" t="s">
        <v>499</v>
      </c>
    </row>
    <row r="145" spans="2:17">
      <c r="B145" s="66" t="s">
        <v>500</v>
      </c>
      <c r="C145" s="96">
        <v>103526</v>
      </c>
      <c r="D145" s="96">
        <v>109723</v>
      </c>
      <c r="E145" s="96">
        <v>114457</v>
      </c>
      <c r="F145" s="96">
        <v>114599</v>
      </c>
      <c r="G145" s="96">
        <v>119128</v>
      </c>
      <c r="H145" s="96">
        <v>125848</v>
      </c>
      <c r="L145" s="475"/>
      <c r="M145" s="475"/>
      <c r="N145" s="475"/>
      <c r="O145" s="475"/>
      <c r="P145" s="475"/>
      <c r="Q145" s="475"/>
    </row>
    <row r="146" spans="2:17">
      <c r="B146" s="66" t="s">
        <v>501</v>
      </c>
      <c r="C146" s="96">
        <v>-17952</v>
      </c>
      <c r="D146" s="96">
        <v>-20041</v>
      </c>
      <c r="E146" s="96">
        <v>-22126</v>
      </c>
      <c r="F146" s="96">
        <v>-23446</v>
      </c>
      <c r="G146" s="96">
        <v>-24690</v>
      </c>
      <c r="H146" s="96">
        <v>-27337</v>
      </c>
      <c r="L146" s="475"/>
      <c r="M146" s="475"/>
      <c r="N146" s="475"/>
      <c r="O146" s="475"/>
      <c r="P146" s="475"/>
      <c r="Q146" s="475"/>
    </row>
    <row r="147" spans="2:17">
      <c r="B147" s="66" t="s">
        <v>562</v>
      </c>
      <c r="C147" s="96">
        <v>-66760</v>
      </c>
      <c r="D147" s="96">
        <v>-70283</v>
      </c>
      <c r="E147" s="96">
        <v>-72340</v>
      </c>
      <c r="F147" s="96">
        <v>-70884</v>
      </c>
      <c r="G147" s="96">
        <v>-73448</v>
      </c>
      <c r="H147" s="96">
        <v>-76014</v>
      </c>
      <c r="L147" s="475"/>
      <c r="M147" s="475"/>
      <c r="N147" s="475"/>
      <c r="O147" s="475"/>
      <c r="P147" s="475"/>
      <c r="Q147" s="475"/>
    </row>
    <row r="148" spans="2:17">
      <c r="B148" s="107" t="s">
        <v>563</v>
      </c>
      <c r="C148" s="378">
        <f>SUM(C145:C147)</f>
        <v>18814</v>
      </c>
      <c r="D148" s="378">
        <f t="shared" ref="D148:H148" si="121">SUM(D145:D147)</f>
        <v>19399</v>
      </c>
      <c r="E148" s="378">
        <f t="shared" si="121"/>
        <v>19991</v>
      </c>
      <c r="F148" s="378">
        <f t="shared" si="121"/>
        <v>20269</v>
      </c>
      <c r="G148" s="378">
        <f t="shared" si="121"/>
        <v>20990</v>
      </c>
      <c r="H148" s="378">
        <f t="shared" si="121"/>
        <v>22497</v>
      </c>
      <c r="L148" s="475"/>
      <c r="M148" s="475"/>
      <c r="N148" s="475"/>
      <c r="O148" s="475"/>
      <c r="P148" s="475"/>
      <c r="Q148" s="475"/>
    </row>
    <row r="150" spans="2:17">
      <c r="B150" s="8" t="s">
        <v>565</v>
      </c>
      <c r="C150" s="473">
        <f>IF(C151,C151,-ROUND((H145-H146)/H137,0))</f>
        <v>6.25</v>
      </c>
      <c r="E150" s="8" t="s">
        <v>568</v>
      </c>
    </row>
    <row r="151" spans="2:17">
      <c r="B151" s="8" t="s">
        <v>567</v>
      </c>
      <c r="C151" s="472">
        <v>6.25</v>
      </c>
      <c r="E151" s="474">
        <v>1</v>
      </c>
    </row>
    <row r="153" spans="2:17">
      <c r="B153" s="8" t="s">
        <v>566</v>
      </c>
      <c r="C153" s="11">
        <f>-C137</f>
        <v>9700</v>
      </c>
      <c r="D153" s="11">
        <f>-D137</f>
        <v>9500</v>
      </c>
      <c r="E153" s="11">
        <f>-E137</f>
        <v>8700</v>
      </c>
      <c r="F153" s="11">
        <f>-F137</f>
        <v>8500</v>
      </c>
      <c r="G153" s="11">
        <f>-G137</f>
        <v>8200</v>
      </c>
      <c r="H153" s="11">
        <f>-H137</f>
        <v>8000</v>
      </c>
      <c r="L153" s="11">
        <f>DDB($H$148,0,$C$150,L131-$H$131)</f>
        <v>7199.04</v>
      </c>
      <c r="M153" s="11">
        <f>DDB($H$148,0,$C$150,M131-$H$131)</f>
        <v>4895.3472000000002</v>
      </c>
      <c r="N153" s="11">
        <f>DDB($H$148,0,$C$150,N131-$H$131)</f>
        <v>3328.8360959999995</v>
      </c>
      <c r="O153" s="11">
        <f>DDB($H$148,0,$C$150,O131-$H$131)</f>
        <v>2263.6085452799994</v>
      </c>
      <c r="P153" s="11">
        <f>DDB($H$148,0,$C$150,P131-$H$131)</f>
        <v>1539.2538107903995</v>
      </c>
      <c r="Q153" s="11">
        <f>DDB($H$148,0,$C$150,Q131-$H$131)</f>
        <v>1046.6925913374716</v>
      </c>
    </row>
    <row r="154" spans="2:17">
      <c r="B154" s="8" t="s">
        <v>569</v>
      </c>
      <c r="C154" s="475"/>
      <c r="D154" s="475"/>
      <c r="E154" s="475"/>
      <c r="F154" s="475"/>
      <c r="G154" s="475"/>
      <c r="H154" s="475"/>
      <c r="L154" s="11">
        <f>L136*$E$151/$C$150</f>
        <v>2325.66</v>
      </c>
      <c r="M154" s="11">
        <f>$L$136/$C$150</f>
        <v>2325.66</v>
      </c>
      <c r="N154" s="11">
        <f>$L$136/$C$150</f>
        <v>2325.66</v>
      </c>
      <c r="O154" s="11">
        <f>$L$136/$C$150</f>
        <v>2325.66</v>
      </c>
      <c r="P154" s="11">
        <f>$L$136/$C$150</f>
        <v>2325.66</v>
      </c>
      <c r="Q154" s="11">
        <f>$L$136/$C$150</f>
        <v>2325.66</v>
      </c>
    </row>
    <row r="155" spans="2:17">
      <c r="B155" s="8" t="s">
        <v>570</v>
      </c>
      <c r="C155" s="475"/>
      <c r="D155" s="475"/>
      <c r="E155" s="475"/>
      <c r="F155" s="475"/>
      <c r="G155" s="475"/>
      <c r="H155" s="475"/>
      <c r="L155" s="475"/>
      <c r="M155" s="11">
        <f>M136*$E$151/$C$150</f>
        <v>2499.36</v>
      </c>
      <c r="N155" s="11">
        <f>$M$136/$C$150</f>
        <v>2499.36</v>
      </c>
      <c r="O155" s="11">
        <f>$M$136/$C$150</f>
        <v>2499.36</v>
      </c>
      <c r="P155" s="11">
        <f>$M$136/$C$150</f>
        <v>2499.36</v>
      </c>
      <c r="Q155" s="11">
        <f>$M$136/$C$150</f>
        <v>2499.36</v>
      </c>
    </row>
    <row r="156" spans="2:17">
      <c r="B156" s="8" t="s">
        <v>571</v>
      </c>
      <c r="C156" s="475"/>
      <c r="D156" s="475"/>
      <c r="E156" s="475"/>
      <c r="F156" s="475"/>
      <c r="G156" s="475"/>
      <c r="H156" s="475"/>
      <c r="L156" s="475"/>
      <c r="M156" s="475"/>
      <c r="N156" s="11">
        <f>N136*$E$151/$C$150</f>
        <v>2678.98</v>
      </c>
      <c r="O156" s="11">
        <f>$N$136/$C$150</f>
        <v>2678.98</v>
      </c>
      <c r="P156" s="11">
        <f>$N$136/$C$150</f>
        <v>2678.98</v>
      </c>
      <c r="Q156" s="11">
        <f>$N$136/$C$150</f>
        <v>2678.98</v>
      </c>
    </row>
    <row r="157" spans="2:17">
      <c r="B157" s="8" t="s">
        <v>572</v>
      </c>
      <c r="C157" s="475"/>
      <c r="D157" s="475"/>
      <c r="E157" s="475"/>
      <c r="F157" s="475"/>
      <c r="G157" s="475"/>
      <c r="H157" s="475"/>
      <c r="L157" s="475"/>
      <c r="M157" s="475"/>
      <c r="N157" s="475"/>
      <c r="O157" s="11">
        <f>O136*$E$151/$C$150</f>
        <v>2879.1023057159687</v>
      </c>
      <c r="P157" s="11">
        <f>$O$136/$C$150</f>
        <v>2879.1023057159687</v>
      </c>
      <c r="Q157" s="11">
        <f>$O$136/$C$150</f>
        <v>2879.1023057159687</v>
      </c>
    </row>
    <row r="158" spans="2:17">
      <c r="B158" s="8" t="s">
        <v>573</v>
      </c>
      <c r="C158" s="475"/>
      <c r="D158" s="475"/>
      <c r="E158" s="475"/>
      <c r="F158" s="475"/>
      <c r="G158" s="475"/>
      <c r="H158" s="475"/>
      <c r="L158" s="475"/>
      <c r="M158" s="475"/>
      <c r="N158" s="475"/>
      <c r="O158" s="475"/>
      <c r="P158" s="11">
        <f>P136*$E$151/$C$150</f>
        <v>3113.3460119968704</v>
      </c>
      <c r="Q158" s="11">
        <f>$P$136/$C$150</f>
        <v>3113.3460119968704</v>
      </c>
    </row>
    <row r="159" spans="2:17">
      <c r="B159" s="8" t="s">
        <v>574</v>
      </c>
      <c r="C159" s="475"/>
      <c r="D159" s="475"/>
      <c r="E159" s="475"/>
      <c r="F159" s="475"/>
      <c r="G159" s="475"/>
      <c r="H159" s="475"/>
      <c r="L159" s="475"/>
      <c r="M159" s="475"/>
      <c r="N159" s="475"/>
      <c r="O159" s="475"/>
      <c r="P159" s="476"/>
      <c r="Q159" s="11">
        <f>Q136*$E$151/$C$150</f>
        <v>3340.8596682869143</v>
      </c>
    </row>
    <row r="160" spans="2:17">
      <c r="B160" s="394" t="s">
        <v>575</v>
      </c>
      <c r="C160" s="396">
        <f>-C137</f>
        <v>9700</v>
      </c>
      <c r="D160" s="396">
        <f>-D137</f>
        <v>9500</v>
      </c>
      <c r="E160" s="396">
        <f>-E137</f>
        <v>8700</v>
      </c>
      <c r="F160" s="396">
        <f>-F137</f>
        <v>8500</v>
      </c>
      <c r="G160" s="396">
        <f>-G137</f>
        <v>8200</v>
      </c>
      <c r="H160" s="396">
        <f>-H137</f>
        <v>8000</v>
      </c>
      <c r="I160" s="395"/>
      <c r="J160" s="395"/>
      <c r="K160" s="395"/>
      <c r="L160" s="396">
        <f>SUM(L153:L159)</f>
        <v>9524.7000000000007</v>
      </c>
      <c r="M160" s="396">
        <f t="shared" ref="M160:Q160" si="122">SUM(M153:M159)</f>
        <v>9720.3672000000006</v>
      </c>
      <c r="N160" s="396">
        <f t="shared" si="122"/>
        <v>10832.836095999999</v>
      </c>
      <c r="O160" s="396">
        <f t="shared" si="122"/>
        <v>12646.710850995969</v>
      </c>
      <c r="P160" s="396">
        <f t="shared" si="122"/>
        <v>15035.702128503239</v>
      </c>
      <c r="Q160" s="396">
        <f t="shared" si="122"/>
        <v>17884.000577337225</v>
      </c>
    </row>
    <row r="162" spans="2:20">
      <c r="B162" s="37" t="s">
        <v>362</v>
      </c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</row>
    <row r="163" spans="2:20">
      <c r="B163" s="102" t="s">
        <v>221</v>
      </c>
      <c r="C163" s="72">
        <f>C165+C137</f>
        <v>1356</v>
      </c>
      <c r="D163" s="72">
        <f>D165+D137</f>
        <v>1784</v>
      </c>
      <c r="E163" s="72">
        <f>E165+E137</f>
        <v>2404</v>
      </c>
      <c r="F163" s="72">
        <f>F165+F137</f>
        <v>3019</v>
      </c>
      <c r="G163" s="72">
        <f>G165+G137</f>
        <v>3245</v>
      </c>
      <c r="H163" s="72">
        <f>H165+H137</f>
        <v>3698</v>
      </c>
      <c r="L163" s="11">
        <f ca="1">L164*L24</f>
        <v>3251.8983976066597</v>
      </c>
      <c r="M163" s="11">
        <f ca="1">M164*M24</f>
        <v>3394.5389198784937</v>
      </c>
      <c r="N163" s="11">
        <f ca="1">N164*N24</f>
        <v>3693.503816011219</v>
      </c>
      <c r="O163" s="11">
        <f ca="1">O164*O24</f>
        <v>3940.2062139764894</v>
      </c>
      <c r="P163" s="11">
        <f ca="1">P164*P24</f>
        <v>4144.9789513803025</v>
      </c>
      <c r="Q163" s="11">
        <f ca="1">Q164*Q24</f>
        <v>4395.2900755649271</v>
      </c>
      <c r="T163" s="8" t="s">
        <v>172</v>
      </c>
    </row>
    <row r="164" spans="2:20">
      <c r="B164" s="66" t="s">
        <v>173</v>
      </c>
      <c r="C164" s="168">
        <f>C163/C24</f>
        <v>4.9396207857494122E-3</v>
      </c>
      <c r="D164" s="168">
        <f>D163/D24</f>
        <v>4.8767553175494849E-3</v>
      </c>
      <c r="E164" s="168">
        <f>E163/E24</f>
        <v>6.0964476273559064E-3</v>
      </c>
      <c r="F164" s="168">
        <f>F163/F24</f>
        <v>7.8766453161485585E-3</v>
      </c>
      <c r="G164" s="168">
        <f>G163/G24</f>
        <v>8.2984899049957164E-3</v>
      </c>
      <c r="H164" s="168">
        <f>H163/H24</f>
        <v>8.8859840302190733E-3</v>
      </c>
      <c r="L164" s="168">
        <f>AVERAGE(D164:H164)</f>
        <v>7.2068644392537492E-3</v>
      </c>
      <c r="M164" s="168">
        <f>L164</f>
        <v>7.2068644392537492E-3</v>
      </c>
      <c r="N164" s="168">
        <f t="shared" ref="N164:Q164" si="123">M164</f>
        <v>7.2068644392537492E-3</v>
      </c>
      <c r="O164" s="168">
        <f t="shared" si="123"/>
        <v>7.2068644392537492E-3</v>
      </c>
      <c r="P164" s="168">
        <f t="shared" si="123"/>
        <v>7.2068644392537492E-3</v>
      </c>
      <c r="Q164" s="168">
        <f t="shared" si="123"/>
        <v>7.2068644392537492E-3</v>
      </c>
      <c r="T164" s="8" t="s">
        <v>576</v>
      </c>
    </row>
    <row r="165" spans="2:20">
      <c r="B165" s="394" t="s">
        <v>506</v>
      </c>
      <c r="C165" s="396">
        <f>C41</f>
        <v>11056</v>
      </c>
      <c r="D165" s="396">
        <f>D41</f>
        <v>11284</v>
      </c>
      <c r="E165" s="396">
        <f>E41</f>
        <v>11104</v>
      </c>
      <c r="F165" s="396">
        <f>F41</f>
        <v>11519</v>
      </c>
      <c r="G165" s="396">
        <f>G41</f>
        <v>11445</v>
      </c>
      <c r="H165" s="396">
        <f>H41</f>
        <v>11698</v>
      </c>
      <c r="I165" s="395"/>
      <c r="J165" s="395"/>
      <c r="K165" s="395"/>
      <c r="L165" s="396">
        <f ca="1">-L137+L163</f>
        <v>12776.59839760666</v>
      </c>
      <c r="M165" s="396">
        <f ca="1">-M137+M163</f>
        <v>13114.906119878495</v>
      </c>
      <c r="N165" s="396">
        <f ca="1">-N137+N163</f>
        <v>14526.339912011219</v>
      </c>
      <c r="O165" s="396">
        <f ca="1">-O137+O163</f>
        <v>16586.917064972458</v>
      </c>
      <c r="P165" s="396">
        <f ca="1">-P137+P163</f>
        <v>19180.681079883543</v>
      </c>
      <c r="Q165" s="396">
        <f ca="1">-Q137+Q163</f>
        <v>22279.290652902153</v>
      </c>
      <c r="T165" s="8" t="s">
        <v>174</v>
      </c>
    </row>
    <row r="167" spans="2:20">
      <c r="B167" s="37" t="s">
        <v>175</v>
      </c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</row>
    <row r="168" spans="2:20">
      <c r="B168" s="8" t="s">
        <v>166</v>
      </c>
      <c r="C168" s="134">
        <f>'Historical Financials'!E48</f>
        <v>22283</v>
      </c>
      <c r="D168" s="11">
        <f>C171</f>
        <v>42522</v>
      </c>
      <c r="E168" s="11">
        <f t="shared" ref="E168:H168" si="124">D171</f>
        <v>48849</v>
      </c>
      <c r="F168" s="11">
        <f t="shared" si="124"/>
        <v>54428</v>
      </c>
      <c r="G168" s="11">
        <f t="shared" si="124"/>
        <v>64758</v>
      </c>
      <c r="H168" s="11">
        <f t="shared" si="124"/>
        <v>74834</v>
      </c>
      <c r="L168" s="352">
        <f>H171</f>
        <v>83727</v>
      </c>
      <c r="M168" s="352">
        <f ca="1">L171</f>
        <v>90780.959135262965</v>
      </c>
      <c r="N168" s="352">
        <f t="shared" ref="N168:Q168" ca="1" si="125">M171</f>
        <v>94762.954216327678</v>
      </c>
      <c r="O168" s="352">
        <f t="shared" ca="1" si="125"/>
        <v>103108.94683364866</v>
      </c>
      <c r="P168" s="352">
        <f t="shared" ca="1" si="125"/>
        <v>109995.96406787085</v>
      </c>
      <c r="Q168" s="352">
        <f t="shared" ca="1" si="125"/>
        <v>115712.46047500122</v>
      </c>
      <c r="T168" s="8" t="s">
        <v>167</v>
      </c>
    </row>
    <row r="169" spans="2:20">
      <c r="B169" s="66" t="s">
        <v>176</v>
      </c>
      <c r="C169" s="11">
        <f>-C163</f>
        <v>-1356</v>
      </c>
      <c r="D169" s="11">
        <f t="shared" ref="D169:H169" si="126">-D163</f>
        <v>-1784</v>
      </c>
      <c r="E169" s="11">
        <f t="shared" si="126"/>
        <v>-2404</v>
      </c>
      <c r="F169" s="11">
        <f t="shared" si="126"/>
        <v>-3019</v>
      </c>
      <c r="G169" s="11">
        <f t="shared" si="126"/>
        <v>-3245</v>
      </c>
      <c r="H169" s="11">
        <f t="shared" si="126"/>
        <v>-3698</v>
      </c>
      <c r="L169" s="11">
        <f ca="1">-L163</f>
        <v>-3251.8983976066597</v>
      </c>
      <c r="M169" s="11">
        <f t="shared" ref="M169:Q169" ca="1" si="127">-M163</f>
        <v>-3394.5389198784937</v>
      </c>
      <c r="N169" s="11">
        <f t="shared" ca="1" si="127"/>
        <v>-3693.503816011219</v>
      </c>
      <c r="O169" s="11">
        <f t="shared" ca="1" si="127"/>
        <v>-3940.2062139764894</v>
      </c>
      <c r="P169" s="11">
        <f t="shared" ca="1" si="127"/>
        <v>-4144.9789513803025</v>
      </c>
      <c r="Q169" s="11">
        <f t="shared" ca="1" si="127"/>
        <v>-4395.2900755649271</v>
      </c>
      <c r="T169" s="8" t="s">
        <v>177</v>
      </c>
    </row>
    <row r="170" spans="2:20">
      <c r="B170" s="66" t="s">
        <v>178</v>
      </c>
      <c r="C170" s="11">
        <f>C171-C169-C168</f>
        <v>21595</v>
      </c>
      <c r="D170" s="11">
        <f t="shared" ref="D170:H170" si="128">D171-D169-D168</f>
        <v>8111</v>
      </c>
      <c r="E170" s="11">
        <f t="shared" si="128"/>
        <v>7983</v>
      </c>
      <c r="F170" s="11">
        <f t="shared" si="128"/>
        <v>13349</v>
      </c>
      <c r="G170" s="11">
        <f t="shared" si="128"/>
        <v>13321</v>
      </c>
      <c r="H170" s="11">
        <f t="shared" si="128"/>
        <v>12591</v>
      </c>
      <c r="L170" s="11">
        <f ca="1">L171-L169-L168</f>
        <v>10305.857532869632</v>
      </c>
      <c r="M170" s="11">
        <f t="shared" ref="M170:Q170" ca="1" si="129">M171-M169-M168</f>
        <v>7376.5340009432111</v>
      </c>
      <c r="N170" s="11">
        <f t="shared" ca="1" si="129"/>
        <v>12039.496433332199</v>
      </c>
      <c r="O170" s="11">
        <f t="shared" ca="1" si="129"/>
        <v>10827.223448198682</v>
      </c>
      <c r="P170" s="11">
        <f t="shared" ca="1" si="129"/>
        <v>9861.4753585106664</v>
      </c>
      <c r="Q170" s="11">
        <f t="shared" ca="1" si="129"/>
        <v>11383.049580114719</v>
      </c>
      <c r="T170" s="8" t="s">
        <v>179</v>
      </c>
    </row>
    <row r="171" spans="2:20">
      <c r="B171" s="394" t="s">
        <v>170</v>
      </c>
      <c r="C171" s="396">
        <f>C86</f>
        <v>42522</v>
      </c>
      <c r="D171" s="396">
        <f>D86</f>
        <v>48849</v>
      </c>
      <c r="E171" s="396">
        <f>E86</f>
        <v>54428</v>
      </c>
      <c r="F171" s="396">
        <f>F86</f>
        <v>64758</v>
      </c>
      <c r="G171" s="396">
        <f>G86</f>
        <v>74834</v>
      </c>
      <c r="H171" s="396">
        <f>H86</f>
        <v>83727</v>
      </c>
      <c r="I171" s="395"/>
      <c r="J171" s="395"/>
      <c r="K171" s="395"/>
      <c r="L171" s="396">
        <f ca="1">L86</f>
        <v>90780.959135262965</v>
      </c>
      <c r="M171" s="396">
        <f ca="1">M86</f>
        <v>94762.954216327678</v>
      </c>
      <c r="N171" s="396">
        <f ca="1">N86</f>
        <v>103108.94683364866</v>
      </c>
      <c r="O171" s="396">
        <f ca="1">O86</f>
        <v>109995.96406787085</v>
      </c>
      <c r="P171" s="396">
        <f ca="1">P86</f>
        <v>115712.46047500122</v>
      </c>
      <c r="Q171" s="396">
        <f ca="1">Q86</f>
        <v>122700.21997955101</v>
      </c>
      <c r="T171" s="8" t="s">
        <v>180</v>
      </c>
    </row>
    <row r="172" spans="2:20">
      <c r="C172" s="11"/>
    </row>
    <row r="173" spans="2:20">
      <c r="B173" s="37" t="s">
        <v>181</v>
      </c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</row>
    <row r="174" spans="2:20">
      <c r="B174" s="8" t="s">
        <v>166</v>
      </c>
      <c r="C174" s="397">
        <f>'Historical Financials'!E63</f>
        <v>70400</v>
      </c>
      <c r="D174" s="11">
        <f>C178</f>
        <v>14966</v>
      </c>
      <c r="E174" s="11">
        <f t="shared" ref="E174:H174" si="130">D178</f>
        <v>5562</v>
      </c>
      <c r="F174" s="11">
        <f t="shared" si="130"/>
        <v>-3068</v>
      </c>
      <c r="G174" s="11">
        <f t="shared" si="130"/>
        <v>-214</v>
      </c>
      <c r="H174" s="11">
        <f t="shared" si="130"/>
        <v>-19154</v>
      </c>
      <c r="L174" s="354">
        <f>H178</f>
        <v>-14264</v>
      </c>
      <c r="M174" s="354">
        <f ca="1">L178</f>
        <v>674.55559019959765</v>
      </c>
      <c r="N174" s="354">
        <f t="shared" ref="N174:Q174" ca="1" si="131">M178</f>
        <v>17999.768846625113</v>
      </c>
      <c r="O174" s="354">
        <f t="shared" ca="1" si="131"/>
        <v>47317.402628290874</v>
      </c>
      <c r="P174" s="354">
        <f t="shared" ca="1" si="131"/>
        <v>85846.95719002877</v>
      </c>
      <c r="Q174" s="354">
        <f t="shared" ca="1" si="131"/>
        <v>130983.84544062556</v>
      </c>
      <c r="T174" s="8" t="s">
        <v>167</v>
      </c>
    </row>
    <row r="175" spans="2:20">
      <c r="B175" s="66" t="s">
        <v>182</v>
      </c>
      <c r="C175" s="354">
        <f>C39</f>
        <v>57411</v>
      </c>
      <c r="D175" s="354">
        <f>D39</f>
        <v>94680</v>
      </c>
      <c r="E175" s="354">
        <f>E39</f>
        <v>99803</v>
      </c>
      <c r="F175" s="354">
        <f>F39</f>
        <v>96995</v>
      </c>
      <c r="G175" s="354">
        <f>G39</f>
        <v>93736</v>
      </c>
      <c r="H175" s="354">
        <f>H39</f>
        <v>112010</v>
      </c>
      <c r="L175" s="354">
        <f ca="1">L39</f>
        <v>121070.5555901996</v>
      </c>
      <c r="M175" s="354">
        <f ca="1">M39</f>
        <v>125284.82794989306</v>
      </c>
      <c r="N175" s="354">
        <f ca="1">N39</f>
        <v>139191.90870476328</v>
      </c>
      <c r="O175" s="354">
        <f ca="1">O39</f>
        <v>149874.56663243499</v>
      </c>
      <c r="P175" s="354">
        <f ca="1">P39</f>
        <v>157536.79987316721</v>
      </c>
      <c r="Q175" s="354">
        <f ca="1">Q39</f>
        <v>163774.36947807748</v>
      </c>
      <c r="T175" s="8" t="s">
        <v>183</v>
      </c>
    </row>
    <row r="176" spans="2:20">
      <c r="B176" s="66" t="s">
        <v>184</v>
      </c>
      <c r="C176" s="397">
        <f>'Historical Financials'!G108</f>
        <v>-14081</v>
      </c>
      <c r="D176" s="397">
        <f>'Historical Financials'!H108</f>
        <v>-14467</v>
      </c>
      <c r="E176" s="397">
        <f>'Historical Financials'!I108</f>
        <v>-14841</v>
      </c>
      <c r="F176" s="397">
        <f>'Historical Financials'!J108</f>
        <v>-14875</v>
      </c>
      <c r="G176" s="397">
        <f>'Historical Financials'!K108</f>
        <v>-15234</v>
      </c>
      <c r="H176" s="397">
        <f>'Historical Financials'!L108</f>
        <v>-15421</v>
      </c>
      <c r="L176" s="350">
        <f>H176</f>
        <v>-15421</v>
      </c>
      <c r="M176" s="350">
        <f ca="1">-(M175*M179)</f>
        <v>-17248.614693467556</v>
      </c>
      <c r="N176" s="350">
        <f ca="1">-(N175*N179)</f>
        <v>-19163.274923097531</v>
      </c>
      <c r="O176" s="350">
        <f ca="1">-(O175*O179)</f>
        <v>-20634.012070697081</v>
      </c>
      <c r="P176" s="350">
        <f ca="1">-(P175*P179)</f>
        <v>-21688.911622570409</v>
      </c>
      <c r="Q176" s="350">
        <f ca="1">-(Q175*Q179)</f>
        <v>-22547.670312663446</v>
      </c>
      <c r="T176" s="8" t="s">
        <v>511</v>
      </c>
    </row>
    <row r="177" spans="2:20">
      <c r="B177" s="66" t="s">
        <v>185</v>
      </c>
      <c r="C177" s="397">
        <f>'Historical Financials'!G104</f>
        <v>-72358</v>
      </c>
      <c r="D177" s="397">
        <f>'Historical Financials'!H104</f>
        <v>-85971</v>
      </c>
      <c r="E177" s="397">
        <f>'Historical Financials'!I104</f>
        <v>-89402</v>
      </c>
      <c r="F177" s="397">
        <f>'Historical Financials'!J104</f>
        <v>-77550</v>
      </c>
      <c r="G177" s="397">
        <f>'Historical Financials'!K104</f>
        <v>-94949</v>
      </c>
      <c r="H177" s="397">
        <f>'Historical Financials'!L104</f>
        <v>-90711</v>
      </c>
      <c r="L177" s="11">
        <f>H177</f>
        <v>-90711</v>
      </c>
      <c r="M177" s="11">
        <f>L177</f>
        <v>-90711</v>
      </c>
      <c r="N177" s="11">
        <f t="shared" ref="N177:Q177" si="132">M177</f>
        <v>-90711</v>
      </c>
      <c r="O177" s="11">
        <f t="shared" si="132"/>
        <v>-90711</v>
      </c>
      <c r="P177" s="11">
        <f t="shared" si="132"/>
        <v>-90711</v>
      </c>
      <c r="Q177" s="11">
        <f t="shared" si="132"/>
        <v>-90711</v>
      </c>
      <c r="T177" s="8" t="s">
        <v>510</v>
      </c>
    </row>
    <row r="178" spans="2:20">
      <c r="B178" s="394" t="s">
        <v>170</v>
      </c>
      <c r="C178" s="396">
        <f>C100</f>
        <v>14966</v>
      </c>
      <c r="D178" s="396">
        <f>D100</f>
        <v>5562</v>
      </c>
      <c r="E178" s="396">
        <f>E100</f>
        <v>-3068</v>
      </c>
      <c r="F178" s="396">
        <f>F100</f>
        <v>-214</v>
      </c>
      <c r="G178" s="396">
        <f>G100</f>
        <v>-19154</v>
      </c>
      <c r="H178" s="396">
        <f>H100</f>
        <v>-14264</v>
      </c>
      <c r="I178" s="395"/>
      <c r="J178" s="395"/>
      <c r="K178" s="395"/>
      <c r="L178" s="396">
        <f t="shared" ref="L178:Q178" ca="1" si="133">SUM(L174:L177)</f>
        <v>674.55559019959765</v>
      </c>
      <c r="M178" s="396">
        <f t="shared" ca="1" si="133"/>
        <v>17999.768846625113</v>
      </c>
      <c r="N178" s="396">
        <f t="shared" ca="1" si="133"/>
        <v>47317.402628290874</v>
      </c>
      <c r="O178" s="396">
        <f t="shared" ca="1" si="133"/>
        <v>85846.95719002877</v>
      </c>
      <c r="P178" s="396">
        <f t="shared" ca="1" si="133"/>
        <v>130983.84544062556</v>
      </c>
      <c r="Q178" s="396">
        <f t="shared" ca="1" si="133"/>
        <v>181499.54460603965</v>
      </c>
      <c r="T178" s="8" t="s">
        <v>186</v>
      </c>
    </row>
    <row r="179" spans="2:20">
      <c r="B179" s="306" t="s">
        <v>507</v>
      </c>
      <c r="C179" s="399">
        <f>-(C176/C175)</f>
        <v>0.24526658654264863</v>
      </c>
      <c r="D179" s="399">
        <f>-(D176/D175)</f>
        <v>0.15279890156316012</v>
      </c>
      <c r="E179" s="399">
        <f>-(E176/E175)</f>
        <v>0.14870294480125848</v>
      </c>
      <c r="F179" s="399">
        <f>-(F176/F175)</f>
        <v>0.15335842053714108</v>
      </c>
      <c r="G179" s="399">
        <f>-(G176/G175)</f>
        <v>0.16252026969360758</v>
      </c>
      <c r="H179" s="399">
        <f>-(H176/H175)</f>
        <v>0.13767520757075261</v>
      </c>
      <c r="L179" s="399">
        <f>H179</f>
        <v>0.13767520757075261</v>
      </c>
      <c r="M179" s="399">
        <f>L179</f>
        <v>0.13767520757075261</v>
      </c>
      <c r="N179" s="399">
        <f t="shared" ref="N179:Q179" si="134">M179</f>
        <v>0.13767520757075261</v>
      </c>
      <c r="O179" s="399">
        <f t="shared" si="134"/>
        <v>0.13767520757075261</v>
      </c>
      <c r="P179" s="399">
        <f t="shared" si="134"/>
        <v>0.13767520757075261</v>
      </c>
      <c r="Q179" s="399">
        <f t="shared" si="134"/>
        <v>0.13767520757075261</v>
      </c>
    </row>
    <row r="181" spans="2:20">
      <c r="B181" s="37" t="s">
        <v>187</v>
      </c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</row>
    <row r="182" spans="2:20">
      <c r="B182" s="103" t="s">
        <v>188</v>
      </c>
      <c r="L182" s="11"/>
      <c r="M182" s="11"/>
      <c r="N182" s="11"/>
      <c r="O182" s="11"/>
      <c r="P182" s="11"/>
      <c r="Q182" s="11"/>
    </row>
    <row r="183" spans="2:20">
      <c r="B183" s="66" t="s">
        <v>189</v>
      </c>
      <c r="C183" s="397">
        <f>'Historical Financials'!E39+'Historical Financials'!E40+'Historical Financials'!E47</f>
        <v>237100</v>
      </c>
      <c r="D183" s="11">
        <f>C81</f>
        <v>191830</v>
      </c>
      <c r="E183" s="11">
        <f>D81</f>
        <v>190516</v>
      </c>
      <c r="F183" s="11">
        <f>E81</f>
        <v>169109</v>
      </c>
      <c r="G183" s="11">
        <f>F81</f>
        <v>162099</v>
      </c>
      <c r="H183" s="11">
        <f>G81</f>
        <v>156650</v>
      </c>
      <c r="L183" s="11">
        <f>H81</f>
        <v>132420</v>
      </c>
      <c r="M183" s="11">
        <f ca="1">L81</f>
        <v>160600.2051517019</v>
      </c>
      <c r="N183" s="11">
        <f ca="1">M81</f>
        <v>187317.11171466819</v>
      </c>
      <c r="O183" s="11">
        <f ca="1">N81</f>
        <v>226877.65599257225</v>
      </c>
      <c r="P183" s="11">
        <f ca="1">O81</f>
        <v>277947.20741873881</v>
      </c>
      <c r="Q183" s="11">
        <f ca="1">P81</f>
        <v>338097.54441815056</v>
      </c>
      <c r="T183" s="8" t="s">
        <v>190</v>
      </c>
    </row>
    <row r="184" spans="2:20">
      <c r="B184" s="66" t="s">
        <v>191</v>
      </c>
      <c r="C184" s="254">
        <f t="shared" ref="C184:H184" si="135">-50000</f>
        <v>-50000</v>
      </c>
      <c r="D184" s="254">
        <f t="shared" si="135"/>
        <v>-50000</v>
      </c>
      <c r="E184" s="254">
        <f t="shared" si="135"/>
        <v>-50000</v>
      </c>
      <c r="F184" s="254">
        <f t="shared" si="135"/>
        <v>-50000</v>
      </c>
      <c r="G184" s="254">
        <f t="shared" si="135"/>
        <v>-50000</v>
      </c>
      <c r="H184" s="254">
        <f t="shared" si="135"/>
        <v>-50000</v>
      </c>
      <c r="L184" s="254">
        <f>-50000</f>
        <v>-50000</v>
      </c>
      <c r="M184" s="254">
        <f t="shared" ref="M184:Q184" si="136">-50000</f>
        <v>-50000</v>
      </c>
      <c r="N184" s="254">
        <f t="shared" si="136"/>
        <v>-50000</v>
      </c>
      <c r="O184" s="254">
        <f t="shared" si="136"/>
        <v>-50000</v>
      </c>
      <c r="P184" s="254">
        <f t="shared" si="136"/>
        <v>-50000</v>
      </c>
      <c r="Q184" s="254">
        <f t="shared" si="136"/>
        <v>-50000</v>
      </c>
      <c r="T184" s="8" t="s">
        <v>509</v>
      </c>
    </row>
    <row r="185" spans="2:20">
      <c r="B185" s="66" t="s">
        <v>192</v>
      </c>
      <c r="C185" s="11">
        <f>SUM(C125,C122,C120,C117,C124)</f>
        <v>-7840</v>
      </c>
      <c r="D185" s="11">
        <f>SUM(D125,D122,D120,D117,D124)</f>
        <v>3168</v>
      </c>
      <c r="E185" s="11">
        <f>SUM(E125,E122,E120,E117,E124)</f>
        <v>-7704</v>
      </c>
      <c r="F185" s="11">
        <f>SUM(F125,F122,F120,F117,F124)</f>
        <v>55</v>
      </c>
      <c r="G185" s="11">
        <f>SUM(G125,G122,G120,G117,G124)</f>
        <v>-8276</v>
      </c>
      <c r="H185" s="11">
        <f>SUM(H125,H122,H120,H117,H124)</f>
        <v>-20845</v>
      </c>
      <c r="L185" s="11">
        <f ca="1">SUM(L125,L122,L120,L117,L124)</f>
        <v>24159.205151701899</v>
      </c>
      <c r="M185" s="11">
        <f ca="1">SUM(M125,M122,M120,M117,M124)</f>
        <v>26716.906562966295</v>
      </c>
      <c r="N185" s="11">
        <f ca="1">SUM(N125,N122,N120,N117,N124)</f>
        <v>39560.544277904046</v>
      </c>
      <c r="O185" s="11">
        <f ca="1">SUM(O125,O122,O120,O117,O124)</f>
        <v>51069.551426166552</v>
      </c>
      <c r="P185" s="11">
        <f ca="1">SUM(P125,P122,P120,P117,P124)</f>
        <v>60150.336999411724</v>
      </c>
      <c r="Q185" s="11">
        <f ca="1">SUM(Q125,Q122,Q120,Q117,Q124)</f>
        <v>69038.386582717416</v>
      </c>
      <c r="T185" s="8" t="s">
        <v>508</v>
      </c>
    </row>
    <row r="186" spans="2:20">
      <c r="B186" s="394" t="s">
        <v>193</v>
      </c>
      <c r="C186" s="396">
        <f t="shared" ref="C186:H186" si="137">SUM(C182:C185)</f>
        <v>179260</v>
      </c>
      <c r="D186" s="396">
        <f t="shared" si="137"/>
        <v>144998</v>
      </c>
      <c r="E186" s="396">
        <f t="shared" si="137"/>
        <v>132812</v>
      </c>
      <c r="F186" s="396">
        <f t="shared" si="137"/>
        <v>119164</v>
      </c>
      <c r="G186" s="396">
        <f t="shared" si="137"/>
        <v>103823</v>
      </c>
      <c r="H186" s="396">
        <f t="shared" si="137"/>
        <v>85805</v>
      </c>
      <c r="I186" s="395"/>
      <c r="J186" s="395"/>
      <c r="K186" s="395"/>
      <c r="L186" s="396">
        <f t="shared" ref="L186:Q186" ca="1" si="138">SUM(L182:L185)</f>
        <v>106579.2051517019</v>
      </c>
      <c r="M186" s="396">
        <f t="shared" ca="1" si="138"/>
        <v>137317.11171466819</v>
      </c>
      <c r="N186" s="396">
        <f t="shared" ca="1" si="138"/>
        <v>176877.65599257225</v>
      </c>
      <c r="O186" s="396">
        <f t="shared" ca="1" si="138"/>
        <v>227947.20741873881</v>
      </c>
      <c r="P186" s="396">
        <f t="shared" ca="1" si="138"/>
        <v>288097.54441815056</v>
      </c>
      <c r="Q186" s="396">
        <f t="shared" ca="1" si="138"/>
        <v>357135.93100086797</v>
      </c>
    </row>
    <row r="188" spans="2:20">
      <c r="B188" s="39" t="s">
        <v>194</v>
      </c>
    </row>
    <row r="189" spans="2:20">
      <c r="B189" s="66" t="s">
        <v>166</v>
      </c>
      <c r="C189" s="397">
        <f>'Historical Financials'!E54</f>
        <v>11964</v>
      </c>
      <c r="D189" s="354">
        <f>C192</f>
        <v>4996</v>
      </c>
      <c r="E189" s="354">
        <f t="shared" ref="E189:H189" si="139">D192</f>
        <v>6000</v>
      </c>
      <c r="F189" s="354">
        <f t="shared" si="139"/>
        <v>9982</v>
      </c>
      <c r="G189" s="354">
        <f t="shared" si="139"/>
        <v>5985</v>
      </c>
      <c r="H189" s="354">
        <f t="shared" si="139"/>
        <v>9967</v>
      </c>
      <c r="L189" s="11">
        <f>H192</f>
        <v>7979</v>
      </c>
      <c r="M189" s="11">
        <f ca="1">L192</f>
        <v>12000</v>
      </c>
      <c r="N189" s="11">
        <f t="shared" ref="N189:Q189" ca="1" si="140">M192</f>
        <v>12000</v>
      </c>
      <c r="O189" s="11">
        <f t="shared" ca="1" si="140"/>
        <v>12000</v>
      </c>
      <c r="P189" s="11">
        <f t="shared" ca="1" si="140"/>
        <v>12000</v>
      </c>
      <c r="Q189" s="11">
        <f t="shared" ca="1" si="140"/>
        <v>12000</v>
      </c>
    </row>
    <row r="190" spans="2:20">
      <c r="B190" s="66" t="s">
        <v>195</v>
      </c>
      <c r="C190" s="354">
        <f t="shared" ref="C190:H190" si="141">-MIN(C189,C186)</f>
        <v>-11964</v>
      </c>
      <c r="D190" s="354">
        <f t="shared" si="141"/>
        <v>-4996</v>
      </c>
      <c r="E190" s="354">
        <f t="shared" si="141"/>
        <v>-6000</v>
      </c>
      <c r="F190" s="354">
        <f t="shared" si="141"/>
        <v>-9982</v>
      </c>
      <c r="G190" s="354">
        <f t="shared" si="141"/>
        <v>-5985</v>
      </c>
      <c r="H190" s="354">
        <f t="shared" si="141"/>
        <v>-9967</v>
      </c>
      <c r="L190" s="354">
        <f ca="1">-MIN(L189,L186)</f>
        <v>-7979</v>
      </c>
      <c r="M190" s="354">
        <f t="shared" ref="M190:Q190" ca="1" si="142">-MIN(M189,M186)</f>
        <v>-12000</v>
      </c>
      <c r="N190" s="354">
        <f t="shared" ca="1" si="142"/>
        <v>-12000</v>
      </c>
      <c r="O190" s="354">
        <f t="shared" ca="1" si="142"/>
        <v>-12000</v>
      </c>
      <c r="P190" s="354">
        <f t="shared" ca="1" si="142"/>
        <v>-12000</v>
      </c>
      <c r="Q190" s="354">
        <f t="shared" ca="1" si="142"/>
        <v>-12000</v>
      </c>
      <c r="T190" s="8" t="s">
        <v>201</v>
      </c>
    </row>
    <row r="191" spans="2:20">
      <c r="B191" s="66" t="s">
        <v>196</v>
      </c>
      <c r="C191" s="254">
        <v>12000</v>
      </c>
      <c r="D191" s="254">
        <v>12000</v>
      </c>
      <c r="E191" s="254">
        <v>12000</v>
      </c>
      <c r="F191" s="254">
        <v>12000</v>
      </c>
      <c r="G191" s="254">
        <v>12000</v>
      </c>
      <c r="H191" s="254">
        <v>12000</v>
      </c>
      <c r="L191" s="254">
        <v>12000</v>
      </c>
      <c r="M191" s="254">
        <v>12000</v>
      </c>
      <c r="N191" s="254">
        <v>12000</v>
      </c>
      <c r="O191" s="254">
        <v>12000</v>
      </c>
      <c r="P191" s="254">
        <v>12000</v>
      </c>
      <c r="Q191" s="254">
        <v>12000</v>
      </c>
      <c r="T191" s="8" t="s">
        <v>203</v>
      </c>
    </row>
    <row r="192" spans="2:20">
      <c r="B192" s="394" t="s">
        <v>170</v>
      </c>
      <c r="C192" s="396">
        <f>C93</f>
        <v>4996</v>
      </c>
      <c r="D192" s="396">
        <f>D93</f>
        <v>6000</v>
      </c>
      <c r="E192" s="396">
        <f>E93</f>
        <v>9982</v>
      </c>
      <c r="F192" s="396">
        <f>F93</f>
        <v>5985</v>
      </c>
      <c r="G192" s="396">
        <f>G93</f>
        <v>9967</v>
      </c>
      <c r="H192" s="396">
        <f>H93</f>
        <v>7979</v>
      </c>
      <c r="I192" s="395"/>
      <c r="J192" s="395"/>
      <c r="K192" s="395"/>
      <c r="L192" s="396">
        <f t="shared" ref="L192:Q192" ca="1" si="143">SUM(L189:L191)</f>
        <v>12000</v>
      </c>
      <c r="M192" s="396">
        <f t="shared" ca="1" si="143"/>
        <v>12000</v>
      </c>
      <c r="N192" s="396">
        <f t="shared" ca="1" si="143"/>
        <v>12000</v>
      </c>
      <c r="O192" s="396">
        <f t="shared" ca="1" si="143"/>
        <v>12000</v>
      </c>
      <c r="P192" s="396">
        <f t="shared" ca="1" si="143"/>
        <v>12000</v>
      </c>
      <c r="Q192" s="396">
        <f t="shared" ca="1" si="143"/>
        <v>12000</v>
      </c>
      <c r="T192" s="8" t="s">
        <v>204</v>
      </c>
    </row>
    <row r="194" spans="2:20">
      <c r="B194" s="410" t="s">
        <v>197</v>
      </c>
      <c r="C194" s="410"/>
      <c r="D194" s="410"/>
      <c r="E194" s="410"/>
      <c r="F194" s="410"/>
      <c r="G194" s="410"/>
      <c r="H194" s="410"/>
      <c r="I194" s="410"/>
      <c r="J194" s="410"/>
      <c r="K194" s="410"/>
      <c r="L194" s="410"/>
      <c r="M194" s="410"/>
      <c r="N194" s="410"/>
      <c r="O194" s="410"/>
      <c r="P194" s="410"/>
      <c r="Q194" s="410"/>
    </row>
    <row r="195" spans="2:20" ht="5.0999999999999996" customHeight="1"/>
    <row r="196" spans="2:20">
      <c r="B196" s="404" t="s">
        <v>198</v>
      </c>
      <c r="C196" s="406">
        <f>-C34</f>
        <v>2873</v>
      </c>
      <c r="D196" s="406">
        <f>-D34</f>
        <v>2645</v>
      </c>
      <c r="E196" s="406">
        <f>-E34</f>
        <v>2931</v>
      </c>
      <c r="F196" s="406">
        <f>-F34</f>
        <v>3933</v>
      </c>
      <c r="G196" s="406">
        <f>-G34</f>
        <v>515</v>
      </c>
      <c r="H196" s="406">
        <f>-H34</f>
        <v>440</v>
      </c>
      <c r="I196" s="405"/>
      <c r="J196" s="405"/>
      <c r="K196" s="405"/>
      <c r="L196" s="406">
        <f>+L201+L206</f>
        <v>61.986017096188739</v>
      </c>
      <c r="M196" s="406">
        <f t="shared" ref="M196:Q196" si="144">+M201+M206</f>
        <v>61.986017096188739</v>
      </c>
      <c r="N196" s="406">
        <f t="shared" si="144"/>
        <v>61.986017096188739</v>
      </c>
      <c r="O196" s="406">
        <f t="shared" si="144"/>
        <v>61.986017096188739</v>
      </c>
      <c r="P196" s="406">
        <f t="shared" si="144"/>
        <v>61.986017096188739</v>
      </c>
      <c r="Q196" s="407">
        <f t="shared" si="144"/>
        <v>61.986017096188739</v>
      </c>
    </row>
    <row r="197" spans="2:20" ht="5.0999999999999996" customHeight="1"/>
    <row r="198" spans="2:20">
      <c r="B198" s="111" t="s">
        <v>199</v>
      </c>
    </row>
    <row r="199" spans="2:20">
      <c r="B199" s="66" t="s">
        <v>200</v>
      </c>
      <c r="C199" s="401">
        <v>6.1999999999999998E-3</v>
      </c>
      <c r="D199" s="401">
        <v>5.9999999999999995E-4</v>
      </c>
      <c r="E199" s="401">
        <v>2.3099999999999999E-2</v>
      </c>
      <c r="F199" s="401">
        <v>5.28E-2</v>
      </c>
      <c r="G199" s="401">
        <v>0.05</v>
      </c>
      <c r="H199" s="401">
        <v>4.19E-2</v>
      </c>
      <c r="L199" s="402">
        <f>H199</f>
        <v>4.19E-2</v>
      </c>
      <c r="M199" s="402">
        <f>L199</f>
        <v>4.19E-2</v>
      </c>
      <c r="N199" s="402">
        <f t="shared" ref="N199:Q199" si="145">M199</f>
        <v>4.19E-2</v>
      </c>
      <c r="O199" s="402">
        <f t="shared" si="145"/>
        <v>4.19E-2</v>
      </c>
      <c r="P199" s="402">
        <f t="shared" si="145"/>
        <v>4.19E-2</v>
      </c>
      <c r="Q199" s="402">
        <f t="shared" si="145"/>
        <v>4.19E-2</v>
      </c>
      <c r="T199" s="8" t="s">
        <v>513</v>
      </c>
    </row>
    <row r="200" spans="2:20">
      <c r="B200" s="66" t="s">
        <v>202</v>
      </c>
      <c r="C200" s="11">
        <f>C93</f>
        <v>4996</v>
      </c>
      <c r="D200" s="11">
        <f>D93</f>
        <v>6000</v>
      </c>
      <c r="E200" s="11">
        <f>E93</f>
        <v>9982</v>
      </c>
      <c r="F200" s="11">
        <f>F93</f>
        <v>5985</v>
      </c>
      <c r="G200" s="11">
        <f>G93</f>
        <v>9967</v>
      </c>
      <c r="H200" s="11">
        <f>H93</f>
        <v>7979</v>
      </c>
      <c r="L200" s="11">
        <f ca="1">L93</f>
        <v>12000</v>
      </c>
      <c r="M200" s="11">
        <f ca="1">M93</f>
        <v>12000</v>
      </c>
      <c r="N200" s="11">
        <f ca="1">N93</f>
        <v>12000</v>
      </c>
      <c r="O200" s="11">
        <f ca="1">O93</f>
        <v>12000</v>
      </c>
      <c r="P200" s="11">
        <f ca="1">P93</f>
        <v>12000</v>
      </c>
      <c r="Q200" s="11">
        <f ca="1">Q93</f>
        <v>12000</v>
      </c>
      <c r="T200" s="8" t="s">
        <v>203</v>
      </c>
    </row>
    <row r="201" spans="2:20">
      <c r="B201" s="394" t="s">
        <v>388</v>
      </c>
      <c r="C201" s="396">
        <f>AVERAGE(C200,11,964)*C199</f>
        <v>12.340066666666665</v>
      </c>
      <c r="D201" s="396">
        <f>AVERAGE(C200:D200)*D199</f>
        <v>3.2987999999999995</v>
      </c>
      <c r="E201" s="396">
        <f t="shared" ref="E201:H201" si="146">AVERAGE(D200:E200)*E199</f>
        <v>184.59209999999999</v>
      </c>
      <c r="F201" s="396">
        <f t="shared" si="146"/>
        <v>421.52879999999999</v>
      </c>
      <c r="G201" s="396">
        <f t="shared" si="146"/>
        <v>398.8</v>
      </c>
      <c r="H201" s="396">
        <f t="shared" si="146"/>
        <v>375.96870000000001</v>
      </c>
      <c r="I201" s="396"/>
      <c r="J201" s="396"/>
      <c r="K201" s="396"/>
      <c r="L201" s="396">
        <f>IF($C$8=1,AVERAGE(H200,L200)*L199,0)</f>
        <v>0</v>
      </c>
      <c r="M201" s="396">
        <f>IF($C$8=1,AVERAGE(L200,M200)*M199,0)</f>
        <v>0</v>
      </c>
      <c r="N201" s="396">
        <f t="shared" ref="N201:Q201" si="147">IF($C$8=1,AVERAGE(M200,N200)*N199,0)</f>
        <v>0</v>
      </c>
      <c r="O201" s="396">
        <f t="shared" si="147"/>
        <v>0</v>
      </c>
      <c r="P201" s="396">
        <f t="shared" si="147"/>
        <v>0</v>
      </c>
      <c r="Q201" s="396">
        <f t="shared" si="147"/>
        <v>0</v>
      </c>
      <c r="T201" s="8" t="s">
        <v>204</v>
      </c>
    </row>
    <row r="203" spans="2:20">
      <c r="B203" s="111" t="s">
        <v>159</v>
      </c>
    </row>
    <row r="204" spans="2:20">
      <c r="B204" s="66" t="s">
        <v>202</v>
      </c>
      <c r="C204" s="11">
        <f>C94</f>
        <v>107440</v>
      </c>
      <c r="D204" s="11">
        <f>D94</f>
        <v>118719</v>
      </c>
      <c r="E204" s="11">
        <f>E94</f>
        <v>110087</v>
      </c>
      <c r="F204" s="11">
        <f>F94</f>
        <v>105103</v>
      </c>
      <c r="G204" s="11">
        <f>G94</f>
        <v>96662</v>
      </c>
      <c r="H204" s="11">
        <f>H94</f>
        <v>90678</v>
      </c>
      <c r="L204" s="11">
        <f>L94</f>
        <v>90678</v>
      </c>
      <c r="M204" s="11">
        <f>M94</f>
        <v>90678</v>
      </c>
      <c r="N204" s="11">
        <f>N94</f>
        <v>90678</v>
      </c>
      <c r="O204" s="11">
        <f>O94</f>
        <v>90678</v>
      </c>
      <c r="P204" s="11">
        <f>P94</f>
        <v>90678</v>
      </c>
      <c r="Q204" s="11">
        <f>Q94</f>
        <v>90678</v>
      </c>
      <c r="T204" s="8" t="s">
        <v>161</v>
      </c>
    </row>
    <row r="205" spans="2:20">
      <c r="B205" s="66" t="s">
        <v>200</v>
      </c>
      <c r="C205" s="398">
        <f>C206/AVERAGE(C204,102,519)</f>
        <v>7.9417919508425791E-2</v>
      </c>
      <c r="D205" s="398">
        <f>D206/AVERAGE(C204:D204)</f>
        <v>2.3361451014551709E-2</v>
      </c>
      <c r="E205" s="398">
        <f>E206/AVERAGE(D204:E204)</f>
        <v>2.4006432523622633E-2</v>
      </c>
      <c r="F205" s="398">
        <f t="shared" ref="F205:H205" si="148">F206/AVERAGE(E204:F204)</f>
        <v>3.2636007249407503E-2</v>
      </c>
      <c r="G205" s="398">
        <f t="shared" si="148"/>
        <v>1.1518350556340296E-3</v>
      </c>
      <c r="H205" s="398">
        <f t="shared" si="148"/>
        <v>6.8358385822568581E-4</v>
      </c>
      <c r="L205" s="398">
        <f>H205</f>
        <v>6.8358385822568581E-4</v>
      </c>
      <c r="M205" s="398">
        <f>L205</f>
        <v>6.8358385822568581E-4</v>
      </c>
      <c r="N205" s="398">
        <f t="shared" ref="N205:Q205" si="149">M205</f>
        <v>6.8358385822568581E-4</v>
      </c>
      <c r="O205" s="398">
        <f t="shared" si="149"/>
        <v>6.8358385822568581E-4</v>
      </c>
      <c r="P205" s="398">
        <f t="shared" si="149"/>
        <v>6.8358385822568581E-4</v>
      </c>
      <c r="Q205" s="398">
        <f t="shared" si="149"/>
        <v>6.8358385822568581E-4</v>
      </c>
      <c r="T205" s="8" t="s">
        <v>201</v>
      </c>
    </row>
    <row r="206" spans="2:20">
      <c r="B206" s="394" t="s">
        <v>388</v>
      </c>
      <c r="C206" s="396">
        <f t="shared" ref="C206:H206" si="150">C196-C201</f>
        <v>2860.6599333333334</v>
      </c>
      <c r="D206" s="396">
        <f t="shared" si="150"/>
        <v>2641.7012</v>
      </c>
      <c r="E206" s="396">
        <f t="shared" si="150"/>
        <v>2746.4079000000002</v>
      </c>
      <c r="F206" s="396">
        <f t="shared" si="150"/>
        <v>3511.4712</v>
      </c>
      <c r="G206" s="396">
        <f t="shared" si="150"/>
        <v>116.19999999999999</v>
      </c>
      <c r="H206" s="396">
        <f>H196-H201</f>
        <v>64.031299999999987</v>
      </c>
      <c r="I206" s="396"/>
      <c r="J206" s="396"/>
      <c r="K206" s="396"/>
      <c r="L206" s="396">
        <f>L205*AVERAGE(L204,H204)</f>
        <v>61.986017096188739</v>
      </c>
      <c r="M206" s="396">
        <f>M205*AVERAGE(M204,L204)</f>
        <v>61.986017096188739</v>
      </c>
      <c r="N206" s="396">
        <f t="shared" ref="N206:Q206" si="151">N205*AVERAGE(N204,M204)</f>
        <v>61.986017096188739</v>
      </c>
      <c r="O206" s="396">
        <f t="shared" si="151"/>
        <v>61.986017096188739</v>
      </c>
      <c r="P206" s="396">
        <f t="shared" si="151"/>
        <v>61.986017096188739</v>
      </c>
      <c r="Q206" s="396">
        <f t="shared" si="151"/>
        <v>61.986017096188739</v>
      </c>
      <c r="T206" s="8" t="s">
        <v>205</v>
      </c>
    </row>
    <row r="208" spans="2:20">
      <c r="B208" s="111" t="s">
        <v>206</v>
      </c>
    </row>
    <row r="209" spans="2:17">
      <c r="B209" s="66" t="s">
        <v>207</v>
      </c>
      <c r="C209" s="401">
        <v>0.01</v>
      </c>
      <c r="D209" s="401">
        <v>0.01</v>
      </c>
      <c r="E209" s="401">
        <v>0.01</v>
      </c>
      <c r="F209" s="401">
        <v>0.01</v>
      </c>
      <c r="G209" s="401">
        <v>0.01</v>
      </c>
      <c r="H209" s="401">
        <v>0.01</v>
      </c>
      <c r="L209" s="408">
        <f>H209</f>
        <v>0.01</v>
      </c>
      <c r="M209" s="408">
        <f>L209</f>
        <v>0.01</v>
      </c>
      <c r="N209" s="408">
        <f t="shared" ref="N209:Q209" si="152">M209</f>
        <v>0.01</v>
      </c>
      <c r="O209" s="408">
        <f t="shared" si="152"/>
        <v>0.01</v>
      </c>
      <c r="P209" s="408">
        <f t="shared" si="152"/>
        <v>0.01</v>
      </c>
      <c r="Q209" s="408">
        <f t="shared" si="152"/>
        <v>0.01</v>
      </c>
    </row>
    <row r="210" spans="2:17">
      <c r="B210" s="394" t="s">
        <v>380</v>
      </c>
      <c r="C210" s="396">
        <f>C33</f>
        <v>3763</v>
      </c>
      <c r="D210" s="396">
        <f>D33</f>
        <v>2843</v>
      </c>
      <c r="E210" s="396">
        <f>E33</f>
        <v>2825</v>
      </c>
      <c r="F210" s="396">
        <f>F33</f>
        <v>3750</v>
      </c>
      <c r="G210" s="396">
        <f>G33</f>
        <v>1583.29575</v>
      </c>
      <c r="H210" s="396">
        <f>H33</f>
        <v>1410</v>
      </c>
      <c r="I210" s="396"/>
      <c r="J210" s="396"/>
      <c r="K210" s="396"/>
      <c r="L210" s="396">
        <f>IF($C$8=1,AVERAGE(H81,L81)*L209,0)</f>
        <v>0</v>
      </c>
      <c r="M210" s="396">
        <f>IF($C$8=1,AVERAGE(L81,M81)*M209,0)</f>
        <v>0</v>
      </c>
      <c r="N210" s="396">
        <f>IF($C$8=1,AVERAGE(M81,N81)*N209,0)</f>
        <v>0</v>
      </c>
      <c r="O210" s="396">
        <f>IF($C$8=1,AVERAGE(N81,O81)*O209,0)</f>
        <v>0</v>
      </c>
      <c r="P210" s="396">
        <f>IF($C$8=1,AVERAGE(O81,P81)*P209,0)</f>
        <v>0</v>
      </c>
      <c r="Q210" s="396">
        <f>IF($C$8=1,AVERAGE(P81,Q81)*Q209,0)</f>
        <v>0</v>
      </c>
    </row>
    <row r="212" spans="2:17">
      <c r="B212" s="100" t="s">
        <v>208</v>
      </c>
    </row>
    <row r="213" spans="2:17">
      <c r="B213" s="8" t="s">
        <v>17</v>
      </c>
      <c r="C213" s="11">
        <f>C39</f>
        <v>57411</v>
      </c>
      <c r="D213" s="11">
        <f>D39</f>
        <v>94680</v>
      </c>
      <c r="E213" s="11">
        <f>E39</f>
        <v>99803</v>
      </c>
      <c r="F213" s="11">
        <f>F39</f>
        <v>96995</v>
      </c>
      <c r="G213" s="11">
        <f>G39</f>
        <v>93736</v>
      </c>
      <c r="H213" s="11">
        <f>H39</f>
        <v>112010</v>
      </c>
      <c r="L213" s="11">
        <f ca="1">L39</f>
        <v>121070.5555901996</v>
      </c>
      <c r="M213" s="11">
        <f ca="1">M39</f>
        <v>125284.82794989306</v>
      </c>
      <c r="N213" s="11">
        <f ca="1">N39</f>
        <v>139191.90870476328</v>
      </c>
      <c r="O213" s="11">
        <f ca="1">O39</f>
        <v>149874.56663243499</v>
      </c>
      <c r="P213" s="11">
        <f ca="1">P39</f>
        <v>157536.79987316721</v>
      </c>
      <c r="Q213" s="11">
        <f ca="1">Q39</f>
        <v>163774.36947807748</v>
      </c>
    </row>
    <row r="214" spans="2:17">
      <c r="B214" s="8" t="s">
        <v>209</v>
      </c>
      <c r="C214" s="397">
        <f>'Historical Financials'!G29</f>
        <v>17352.118999999999</v>
      </c>
      <c r="D214" s="397">
        <f>'Historical Financials'!H29</f>
        <v>16701.272000000001</v>
      </c>
      <c r="E214" s="397">
        <f>'Historical Financials'!I29</f>
        <v>16215.963</v>
      </c>
      <c r="F214" s="397">
        <f>'Historical Financials'!J29</f>
        <v>15744.231</v>
      </c>
      <c r="G214" s="397">
        <f>'Historical Financials'!K29</f>
        <v>15343.782999999999</v>
      </c>
      <c r="H214" s="397">
        <f>'Historical Financials'!L29</f>
        <v>14948.5</v>
      </c>
      <c r="L214" s="350">
        <f ca="1">H214+(-L220+L221)/L222</f>
        <v>14665.247358069251</v>
      </c>
      <c r="M214" s="350">
        <f ca="1">L214+(-M220+M221)/M222</f>
        <v>14393.704020201912</v>
      </c>
      <c r="N214" s="350">
        <f t="shared" ref="N214:Q214" ca="1" si="153">M214+(-N220+N221)/N222</f>
        <v>14153.406619624853</v>
      </c>
      <c r="O214" s="350">
        <f t="shared" ca="1" si="153"/>
        <v>13933.390767558141</v>
      </c>
      <c r="P214" s="350">
        <f ca="1">O214+(-P220+P221)/P222</f>
        <v>13726.566438632139</v>
      </c>
      <c r="Q214" s="350">
        <f t="shared" ca="1" si="153"/>
        <v>13530.547638750431</v>
      </c>
    </row>
    <row r="215" spans="2:17">
      <c r="B215" s="394" t="s">
        <v>104</v>
      </c>
      <c r="C215" s="411">
        <f>C213/C214</f>
        <v>3.3085872682177895</v>
      </c>
      <c r="D215" s="411">
        <f t="shared" ref="D215:H215" si="154">D213/D214</f>
        <v>5.6690292811230183</v>
      </c>
      <c r="E215" s="411">
        <f t="shared" si="154"/>
        <v>6.1546144376377772</v>
      </c>
      <c r="F215" s="411">
        <f t="shared" si="154"/>
        <v>6.1606692635543778</v>
      </c>
      <c r="G215" s="411">
        <f t="shared" si="154"/>
        <v>6.1090540709549925</v>
      </c>
      <c r="H215" s="411">
        <f t="shared" si="154"/>
        <v>7.4930595042980901</v>
      </c>
      <c r="I215" s="396"/>
      <c r="J215" s="396"/>
      <c r="K215" s="396"/>
      <c r="L215" s="411">
        <f t="shared" ref="L215" ca="1" si="155">L213/L214</f>
        <v>8.2556095123470943</v>
      </c>
      <c r="M215" s="411">
        <f t="shared" ref="M215" ca="1" si="156">M213/M214</f>
        <v>8.7041409059164181</v>
      </c>
      <c r="N215" s="411">
        <f t="shared" ref="N215" ca="1" si="157">N213/N214</f>
        <v>9.8345163426423667</v>
      </c>
      <c r="O215" s="411">
        <f t="shared" ref="O215" ca="1" si="158">O213/O214</f>
        <v>10.756503505334534</v>
      </c>
      <c r="P215" s="411">
        <f t="shared" ref="P215" ca="1" si="159">P213/P214</f>
        <v>11.476781216735644</v>
      </c>
      <c r="Q215" s="411">
        <f t="shared" ref="Q215" ca="1" si="160">Q213/Q214</f>
        <v>12.104045885699444</v>
      </c>
    </row>
    <row r="216" spans="2:17" ht="5.0999999999999996" customHeight="1"/>
    <row r="217" spans="2:17">
      <c r="B217" s="8" t="s">
        <v>210</v>
      </c>
      <c r="C217" s="397">
        <f>'Historical Financials'!G32</f>
        <v>17528.214</v>
      </c>
      <c r="D217" s="397">
        <f>'Historical Financials'!H32</f>
        <v>16864.919000000002</v>
      </c>
      <c r="E217" s="397">
        <f>'Historical Financials'!I32</f>
        <v>16325.819</v>
      </c>
      <c r="F217" s="397">
        <f>'Historical Financials'!J32</f>
        <v>15812.547</v>
      </c>
      <c r="G217" s="397">
        <f>'Historical Financials'!K32</f>
        <v>15408.094999999999</v>
      </c>
      <c r="H217" s="397">
        <f>'Historical Financials'!L32</f>
        <v>15004.697</v>
      </c>
      <c r="L217" s="350">
        <f ca="1">+H217+L214-H214</f>
        <v>14721.444358069253</v>
      </c>
      <c r="M217" s="350">
        <f ca="1">+L217+M214-L214</f>
        <v>14449.901020201914</v>
      </c>
      <c r="N217" s="350">
        <f t="shared" ref="N217:Q217" ca="1" si="161">+M217+N214-M214</f>
        <v>14209.603619624853</v>
      </c>
      <c r="O217" s="350">
        <f t="shared" ca="1" si="161"/>
        <v>13989.587767558143</v>
      </c>
      <c r="P217" s="350">
        <f t="shared" ca="1" si="161"/>
        <v>13782.763438632139</v>
      </c>
      <c r="Q217" s="350">
        <f t="shared" ca="1" si="161"/>
        <v>13586.74463875043</v>
      </c>
    </row>
    <row r="218" spans="2:17">
      <c r="B218" s="394" t="s">
        <v>106</v>
      </c>
      <c r="C218" s="411">
        <f>C213/C217</f>
        <v>3.2753479618630856</v>
      </c>
      <c r="D218" s="411">
        <f t="shared" ref="D218:H218" si="162">D213/D217</f>
        <v>5.6140204408927188</v>
      </c>
      <c r="E218" s="411">
        <f t="shared" si="162"/>
        <v>6.1132002014722815</v>
      </c>
      <c r="F218" s="411">
        <f t="shared" si="162"/>
        <v>6.1340529138031972</v>
      </c>
      <c r="G218" s="411">
        <f t="shared" si="162"/>
        <v>6.0835554297919376</v>
      </c>
      <c r="H218" s="411">
        <f t="shared" si="162"/>
        <v>7.4649957943169394</v>
      </c>
      <c r="I218" s="396"/>
      <c r="J218" s="396"/>
      <c r="K218" s="396"/>
      <c r="L218" s="411">
        <f t="shared" ref="L218" ca="1" si="163">L213/L217</f>
        <v>8.2240949084481159</v>
      </c>
      <c r="M218" s="411">
        <f t="shared" ref="M218" ca="1" si="164">M213/M217</f>
        <v>8.6702896978143045</v>
      </c>
      <c r="N218" s="411">
        <f t="shared" ref="N218" ca="1" si="165">N213/N217</f>
        <v>9.7956222024747852</v>
      </c>
      <c r="O218" s="411">
        <f t="shared" ref="O218" ca="1" si="166">O213/O217</f>
        <v>10.713293995695437</v>
      </c>
      <c r="P218" s="411">
        <f t="shared" ref="P218" ca="1" si="167">P213/P217</f>
        <v>11.42998648816698</v>
      </c>
      <c r="Q218" s="411">
        <f t="shared" ref="Q218" ca="1" si="168">Q213/Q217</f>
        <v>12.053981570462472</v>
      </c>
    </row>
    <row r="219" spans="2:17" ht="5.0999999999999996" customHeight="1"/>
    <row r="220" spans="2:17">
      <c r="B220" s="66" t="s">
        <v>211</v>
      </c>
      <c r="C220" s="11">
        <f>-C177</f>
        <v>72358</v>
      </c>
      <c r="D220" s="11">
        <f t="shared" ref="D220:H220" si="169">-D177</f>
        <v>85971</v>
      </c>
      <c r="E220" s="11">
        <f t="shared" si="169"/>
        <v>89402</v>
      </c>
      <c r="F220" s="11">
        <f t="shared" si="169"/>
        <v>77550</v>
      </c>
      <c r="G220" s="11">
        <f t="shared" si="169"/>
        <v>94949</v>
      </c>
      <c r="H220" s="11">
        <f t="shared" si="169"/>
        <v>90711</v>
      </c>
      <c r="L220" s="11">
        <f t="shared" ref="L220:Q220" si="170">-L177</f>
        <v>90711</v>
      </c>
      <c r="M220" s="11">
        <f t="shared" si="170"/>
        <v>90711</v>
      </c>
      <c r="N220" s="11">
        <f t="shared" si="170"/>
        <v>90711</v>
      </c>
      <c r="O220" s="11">
        <f t="shared" si="170"/>
        <v>90711</v>
      </c>
      <c r="P220" s="11">
        <f t="shared" si="170"/>
        <v>90711</v>
      </c>
      <c r="Q220" s="11">
        <f t="shared" si="170"/>
        <v>90711</v>
      </c>
    </row>
    <row r="221" spans="2:17">
      <c r="B221" s="66" t="s">
        <v>212</v>
      </c>
      <c r="C221" s="72">
        <f>C44</f>
        <v>6829</v>
      </c>
      <c r="D221" s="72">
        <f>D44</f>
        <v>7906</v>
      </c>
      <c r="E221" s="72">
        <f>E44</f>
        <v>9038</v>
      </c>
      <c r="F221" s="72">
        <f>F44</f>
        <v>10833</v>
      </c>
      <c r="G221" s="72">
        <f>G44</f>
        <v>11688</v>
      </c>
      <c r="H221" s="72">
        <f>H44</f>
        <v>12863</v>
      </c>
      <c r="L221" s="72">
        <f ca="1">L44</f>
        <v>13946.701510347766</v>
      </c>
      <c r="M221" s="72">
        <f ca="1">M44</f>
        <v>14558.456412920836</v>
      </c>
      <c r="N221" s="72">
        <f ca="1">N44</f>
        <v>15840.653351024432</v>
      </c>
      <c r="O221" s="72">
        <f ca="1">O44</f>
        <v>16898.707535263686</v>
      </c>
      <c r="P221" s="72">
        <f ca="1">P44</f>
        <v>17776.93431139227</v>
      </c>
      <c r="Q221" s="72">
        <f ca="1">Q44</f>
        <v>18850.465555877607</v>
      </c>
    </row>
    <row r="222" spans="2:17">
      <c r="B222" s="66" t="s">
        <v>213</v>
      </c>
      <c r="C222" s="412">
        <v>82.31</v>
      </c>
      <c r="D222" s="412">
        <v>174.54</v>
      </c>
      <c r="E222" s="412">
        <v>152.09</v>
      </c>
      <c r="F222" s="412">
        <v>170.51</v>
      </c>
      <c r="G222" s="412">
        <v>205.84</v>
      </c>
      <c r="H222" s="412">
        <v>255.46</v>
      </c>
      <c r="L222" s="413">
        <f>C9</f>
        <v>271.01</v>
      </c>
      <c r="M222" s="156">
        <f ca="1">SUM(L222*M223)+L222</f>
        <v>280.44342455672165</v>
      </c>
      <c r="N222" s="156">
        <f t="shared" ref="N222:Q222" ca="1" si="171">SUM(M222*N223)+M222</f>
        <v>311.57368522996552</v>
      </c>
      <c r="O222" s="156">
        <f t="shared" ca="1" si="171"/>
        <v>335.48624688349992</v>
      </c>
      <c r="P222" s="156">
        <f t="shared" ca="1" si="171"/>
        <v>352.63774850540983</v>
      </c>
      <c r="Q222" s="156">
        <f t="shared" ca="1" si="171"/>
        <v>366.60021634398618</v>
      </c>
    </row>
    <row r="223" spans="2:17">
      <c r="B223" s="66" t="s">
        <v>214</v>
      </c>
      <c r="C223" s="475"/>
      <c r="D223" s="399">
        <f>SUM(D222/C222)-1</f>
        <v>1.1205199854209695</v>
      </c>
      <c r="E223" s="399">
        <f t="shared" ref="E223:H223" si="172">SUM(E222/D222)-1</f>
        <v>-0.12862381116076538</v>
      </c>
      <c r="F223" s="399">
        <f t="shared" si="172"/>
        <v>0.12111249917811806</v>
      </c>
      <c r="G223" s="399">
        <f t="shared" si="172"/>
        <v>0.20720192364084222</v>
      </c>
      <c r="H223" s="399">
        <f t="shared" si="172"/>
        <v>0.24106101826661486</v>
      </c>
      <c r="L223" s="475"/>
      <c r="M223" s="399">
        <f ca="1">SUM(M213/L213)-1</f>
        <v>3.480840026833576E-2</v>
      </c>
      <c r="N223" s="399">
        <f t="shared" ref="N223:Q223" ca="1" si="173">SUM(N213/M213)-1</f>
        <v>0.11100371036493151</v>
      </c>
      <c r="O223" s="399">
        <f t="shared" ca="1" si="173"/>
        <v>7.674769336147591E-2</v>
      </c>
      <c r="P223" s="399">
        <f t="shared" ca="1" si="173"/>
        <v>5.112430623084796E-2</v>
      </c>
      <c r="Q223" s="399">
        <f t="shared" ca="1" si="173"/>
        <v>3.9594365316117486E-2</v>
      </c>
    </row>
    <row r="225" spans="2:2">
      <c r="B225" s="66"/>
    </row>
    <row r="226" spans="2:2">
      <c r="B226" s="66"/>
    </row>
    <row r="227" spans="2:2">
      <c r="B227" s="66"/>
    </row>
    <row r="228" spans="2:2">
      <c r="B228" s="66"/>
    </row>
  </sheetData>
  <dataValidations count="3">
    <dataValidation type="list" allowBlank="1" showInputMessage="1" showErrorMessage="1" sqref="C8" xr:uid="{AAB3DAC8-D60F-4954-AA36-AF1850D83D8A}">
      <formula1>"0,1"</formula1>
    </dataValidation>
    <dataValidation type="list" allowBlank="1" showInputMessage="1" showErrorMessage="1" sqref="B17 B4" xr:uid="{73E10291-801C-4A17-BE48-985B3ECE430E}">
      <formula1>"$ bns except per share, $ mm except per share,$ in thousands except per share"</formula1>
    </dataValidation>
    <dataValidation type="list" allowBlank="1" showInputMessage="1" showErrorMessage="1" sqref="E151" xr:uid="{E3826A5F-EDF6-4A95-8411-A6C101DD9E50}">
      <formula1>"1,.5"</formula1>
    </dataValidation>
  </dataValidations>
  <pageMargins left="0.7" right="0.7" top="0.75" bottom="0.75" header="0.3" footer="0.3"/>
  <ignoredErrors>
    <ignoredError sqref="M100:Q100 L174:Q175 L177:Q178 M176:Q176" formula="1"/>
    <ignoredError sqref="M110:Q113"/>
    <ignoredError sqref="S33 J113:J124" evalError="1"/>
    <ignoredError sqref="L35:Q3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256D-65B6-4B0E-9021-47026922ECAC}">
  <sheetPr>
    <tabColor theme="3" tint="0.39997558519241921"/>
  </sheetPr>
  <dimension ref="B2:N82"/>
  <sheetViews>
    <sheetView showGridLines="0" zoomScale="115" zoomScaleNormal="115" workbookViewId="0">
      <selection activeCell="K14" sqref="K14"/>
    </sheetView>
  </sheetViews>
  <sheetFormatPr defaultColWidth="8" defaultRowHeight="12"/>
  <cols>
    <col min="1" max="1" width="1.25" style="8" customWidth="1"/>
    <col min="2" max="2" width="39.5" style="8" bestFit="1" customWidth="1"/>
    <col min="3" max="3" width="11.75" style="8" customWidth="1"/>
    <col min="4" max="4" width="0.875" style="8" customWidth="1"/>
    <col min="5" max="5" width="11.125" style="8" customWidth="1"/>
    <col min="6" max="6" width="0.875" style="8" customWidth="1"/>
    <col min="7" max="7" width="12.375" style="8" customWidth="1"/>
    <col min="8" max="12" width="11.125" style="8" customWidth="1"/>
    <col min="13" max="13" width="1.5" style="8" customWidth="1"/>
    <col min="14" max="14" width="10.625" style="8" bestFit="1" customWidth="1"/>
    <col min="15" max="19" width="8.25" style="8" customWidth="1"/>
    <col min="20" max="16384" width="8" style="8"/>
  </cols>
  <sheetData>
    <row r="2" spans="2:14">
      <c r="B2" s="1" t="str">
        <f>'Historical Financials'!B2</f>
        <v>Apple Inc. (NASDAQ: AAPL)</v>
      </c>
      <c r="C2" s="1"/>
      <c r="D2" s="1"/>
      <c r="E2" s="1"/>
      <c r="F2" s="1"/>
      <c r="G2" s="1"/>
      <c r="H2" s="1"/>
      <c r="I2" s="1"/>
      <c r="J2" s="1"/>
      <c r="K2" s="1"/>
      <c r="L2" s="453"/>
    </row>
    <row r="3" spans="2:14">
      <c r="B3" s="6" t="s">
        <v>287</v>
      </c>
      <c r="C3" s="1"/>
      <c r="D3" s="1"/>
      <c r="E3" s="1"/>
      <c r="F3" s="1"/>
      <c r="G3" s="1"/>
      <c r="H3" s="1"/>
      <c r="I3" s="1"/>
      <c r="J3" s="1"/>
      <c r="K3" s="1"/>
      <c r="L3" s="453"/>
    </row>
    <row r="4" spans="2:14">
      <c r="B4" s="6" t="s">
        <v>363</v>
      </c>
      <c r="C4" s="1"/>
      <c r="D4" s="1"/>
      <c r="E4" s="1"/>
      <c r="F4" s="1"/>
      <c r="G4" s="1"/>
      <c r="H4" s="1"/>
      <c r="I4" s="1"/>
      <c r="J4" s="1"/>
      <c r="K4" s="1"/>
      <c r="L4" s="453"/>
    </row>
    <row r="5" spans="2:14" ht="5.0999999999999996" customHeight="1">
      <c r="L5" s="453"/>
    </row>
    <row r="6" spans="2:14">
      <c r="B6" s="244" t="s">
        <v>288</v>
      </c>
      <c r="C6" s="464">
        <f>'3 Statement Model'!H17</f>
        <v>45927</v>
      </c>
      <c r="D6" s="245"/>
      <c r="E6" s="136"/>
      <c r="F6" s="245"/>
      <c r="G6" s="136"/>
      <c r="H6" s="136" t="s">
        <v>289</v>
      </c>
      <c r="I6" s="136"/>
      <c r="J6" s="246">
        <f>WACC!C27</f>
        <v>8.6040871798168689E-2</v>
      </c>
      <c r="K6" s="191" t="s">
        <v>290</v>
      </c>
      <c r="L6" s="453"/>
    </row>
    <row r="7" spans="2:14">
      <c r="B7" s="126" t="s">
        <v>291</v>
      </c>
      <c r="C7" s="239">
        <f>EOMONTH(C6,12)</f>
        <v>46295</v>
      </c>
      <c r="D7" s="239"/>
      <c r="F7" s="239"/>
      <c r="H7" s="8" t="s">
        <v>292</v>
      </c>
      <c r="J7" s="240">
        <v>262.82</v>
      </c>
      <c r="K7" s="188" t="s">
        <v>293</v>
      </c>
      <c r="L7" s="453"/>
    </row>
    <row r="8" spans="2:14">
      <c r="B8" s="126" t="s">
        <v>294</v>
      </c>
      <c r="C8" s="465">
        <f>'Historical Financials'!AC8</f>
        <v>45927</v>
      </c>
      <c r="D8" s="238"/>
      <c r="F8" s="238"/>
      <c r="H8" s="8" t="s">
        <v>295</v>
      </c>
      <c r="J8" s="157">
        <v>45956</v>
      </c>
      <c r="K8" s="188"/>
      <c r="L8" s="453"/>
      <c r="M8" s="158"/>
    </row>
    <row r="9" spans="2:14">
      <c r="B9" s="126" t="s">
        <v>296</v>
      </c>
      <c r="C9" s="238">
        <v>46026</v>
      </c>
      <c r="D9" s="238"/>
      <c r="F9" s="238"/>
      <c r="H9" s="8" t="s">
        <v>297</v>
      </c>
      <c r="J9" s="241">
        <v>1</v>
      </c>
      <c r="K9" s="243"/>
      <c r="L9" s="453"/>
      <c r="M9" s="158"/>
    </row>
    <row r="10" spans="2:14">
      <c r="B10" s="187" t="s">
        <v>298</v>
      </c>
      <c r="C10" s="242">
        <f>YEARFRAC(C9,C7)</f>
        <v>0.73888888888888893</v>
      </c>
      <c r="D10" s="242"/>
      <c r="E10" s="185"/>
      <c r="F10" s="242"/>
      <c r="G10" s="185"/>
      <c r="H10" s="185" t="s">
        <v>299</v>
      </c>
      <c r="I10" s="185"/>
      <c r="J10" s="533" t="str">
        <f>'3 Statement Model'!C12</f>
        <v>Base case</v>
      </c>
      <c r="K10" s="189"/>
      <c r="L10" s="453"/>
    </row>
    <row r="11" spans="2:14">
      <c r="E11" s="159"/>
      <c r="L11" s="453"/>
    </row>
    <row r="12" spans="2:14">
      <c r="B12" s="264" t="s">
        <v>313</v>
      </c>
      <c r="C12" s="210"/>
      <c r="D12" s="159"/>
      <c r="E12" s="159"/>
      <c r="G12" s="267" t="s">
        <v>314</v>
      </c>
      <c r="H12" s="210"/>
      <c r="I12" s="210"/>
      <c r="J12" s="210"/>
      <c r="K12" s="210"/>
      <c r="L12" s="453"/>
    </row>
    <row r="13" spans="2:14">
      <c r="B13" s="8" t="s">
        <v>315</v>
      </c>
      <c r="C13" s="109">
        <v>0.03</v>
      </c>
      <c r="D13" s="159"/>
      <c r="E13" s="159"/>
      <c r="G13" s="8" t="s">
        <v>316</v>
      </c>
      <c r="K13" s="162">
        <f ca="1">L60</f>
        <v>218445.77660594683</v>
      </c>
      <c r="L13" s="453"/>
    </row>
    <row r="14" spans="2:14">
      <c r="B14" s="165" t="str">
        <f>YEAR(K50)&amp;" FCF x (1+g)"</f>
        <v>2030 FCF x (1+g)</v>
      </c>
      <c r="C14" s="162">
        <f ca="1">L81*(1+C13)</f>
        <v>220429.10461400839</v>
      </c>
      <c r="D14" s="159"/>
      <c r="E14" s="159"/>
      <c r="G14" s="8" t="s">
        <v>317</v>
      </c>
      <c r="K14" s="166">
        <v>18</v>
      </c>
      <c r="L14" s="453"/>
      <c r="N14" s="8" t="s">
        <v>551</v>
      </c>
    </row>
    <row r="15" spans="2:14">
      <c r="B15" s="8" t="str">
        <f>"Terminal value in "&amp;YEAR(K50)</f>
        <v>Terminal value in 2030</v>
      </c>
      <c r="C15" s="162">
        <f ca="1">C14/(J6-C13)</f>
        <v>3933363.2318905434</v>
      </c>
      <c r="D15" s="159"/>
      <c r="E15" s="159"/>
      <c r="G15" s="8" t="str">
        <f>"Terminal value in "&amp;YEAR(K50)</f>
        <v>Terminal value in 2030</v>
      </c>
      <c r="K15" s="162">
        <f ca="1">K13*K14</f>
        <v>3932023.9789070431</v>
      </c>
      <c r="L15" s="453"/>
    </row>
    <row r="16" spans="2:14">
      <c r="B16" s="8" t="s">
        <v>318</v>
      </c>
      <c r="C16" s="162">
        <f ca="1">C15/(1+J6)^((L80-$E$80)/365)</f>
        <v>2552348.337795937</v>
      </c>
      <c r="D16" s="159"/>
      <c r="E16" s="159"/>
      <c r="G16" s="8" t="s">
        <v>318</v>
      </c>
      <c r="K16" s="162">
        <f ca="1">K15/(1+J6)^((L80-E80)/365)</f>
        <v>2551479.3003018633</v>
      </c>
      <c r="L16" s="453"/>
    </row>
    <row r="17" spans="2:12">
      <c r="B17" s="8" t="s">
        <v>319</v>
      </c>
      <c r="C17" s="161">
        <f ca="1">SUM(G82:L82)</f>
        <v>824494.16108881589</v>
      </c>
      <c r="D17" s="159"/>
      <c r="E17" s="159"/>
      <c r="G17" s="8" t="s">
        <v>319</v>
      </c>
      <c r="K17" s="162">
        <f ca="1">C17</f>
        <v>824494.16108881589</v>
      </c>
      <c r="L17" s="453"/>
    </row>
    <row r="18" spans="2:12">
      <c r="B18" s="268" t="s">
        <v>320</v>
      </c>
      <c r="C18" s="269">
        <f ca="1">C17+C16</f>
        <v>3376842.4988847529</v>
      </c>
      <c r="D18" s="159"/>
      <c r="E18" s="159"/>
      <c r="G18" s="268" t="s">
        <v>321</v>
      </c>
      <c r="H18" s="137"/>
      <c r="I18" s="137"/>
      <c r="J18" s="137"/>
      <c r="K18" s="269">
        <f ca="1">SUM(K16:K17)</f>
        <v>3375973.4613906792</v>
      </c>
      <c r="L18" s="453"/>
    </row>
    <row r="19" spans="2:12">
      <c r="B19" s="167" t="s">
        <v>322</v>
      </c>
      <c r="C19" s="168">
        <f ca="1">C16/$C$18</f>
        <v>0.75583872763946913</v>
      </c>
      <c r="D19" s="159"/>
      <c r="E19" s="159"/>
      <c r="G19" s="167" t="s">
        <v>322</v>
      </c>
      <c r="K19" s="168">
        <f ca="1">+K16/K18</f>
        <v>0.75577587604934005</v>
      </c>
      <c r="L19" s="453"/>
    </row>
    <row r="20" spans="2:12">
      <c r="B20" s="167" t="s">
        <v>323</v>
      </c>
      <c r="C20" s="168">
        <f ca="1">1-C19</f>
        <v>0.24416127236053087</v>
      </c>
      <c r="D20" s="159"/>
      <c r="E20" s="159"/>
      <c r="G20" s="167" t="s">
        <v>324</v>
      </c>
      <c r="I20" s="169"/>
      <c r="K20" s="110">
        <f ca="1">1-K19</f>
        <v>0.24422412395065995</v>
      </c>
      <c r="L20" s="453"/>
    </row>
    <row r="21" spans="2:12">
      <c r="B21" s="167" t="s">
        <v>325</v>
      </c>
      <c r="C21" s="170">
        <f ca="1">(C15/L60)</f>
        <v>18.006130825710201</v>
      </c>
      <c r="D21" s="159"/>
      <c r="E21" s="159"/>
      <c r="G21" s="8" t="s">
        <v>326</v>
      </c>
      <c r="K21" s="171">
        <f ca="1">(J6-L81/K15)/(1+L81/K15)</f>
        <v>2.9981897657823234E-2</v>
      </c>
      <c r="L21" s="453"/>
    </row>
    <row r="22" spans="2:12">
      <c r="D22" s="159"/>
      <c r="E22" s="159"/>
      <c r="L22" s="453"/>
    </row>
    <row r="23" spans="2:12">
      <c r="B23" s="264" t="s">
        <v>327</v>
      </c>
      <c r="C23" s="210"/>
      <c r="D23" s="159"/>
      <c r="E23" s="159"/>
      <c r="G23" s="267" t="s">
        <v>328</v>
      </c>
      <c r="H23" s="210"/>
      <c r="I23" s="264"/>
      <c r="J23" s="210"/>
      <c r="K23" s="264"/>
      <c r="L23" s="453"/>
    </row>
    <row r="24" spans="2:12" ht="5.0999999999999996" customHeight="1">
      <c r="B24" s="159"/>
      <c r="C24" s="159"/>
      <c r="D24" s="159"/>
      <c r="E24" s="159"/>
      <c r="L24" s="453"/>
    </row>
    <row r="25" spans="2:12">
      <c r="B25" s="8" t="s">
        <v>329</v>
      </c>
      <c r="C25" s="157" t="s">
        <v>558</v>
      </c>
      <c r="D25" s="159"/>
      <c r="E25" s="159"/>
      <c r="I25" s="451" t="s">
        <v>329</v>
      </c>
      <c r="J25" s="451" t="s">
        <v>331</v>
      </c>
      <c r="K25" s="451" t="s">
        <v>332</v>
      </c>
      <c r="L25" s="453"/>
    </row>
    <row r="26" spans="2:12">
      <c r="B26" s="102" t="s">
        <v>330</v>
      </c>
      <c r="C26" s="163">
        <f>C8</f>
        <v>45927</v>
      </c>
      <c r="D26" s="159"/>
      <c r="E26" s="159"/>
      <c r="G26" s="198" t="s">
        <v>103</v>
      </c>
      <c r="I26" s="157" t="s">
        <v>558</v>
      </c>
      <c r="J26" s="466">
        <f>$C$6</f>
        <v>45927</v>
      </c>
      <c r="K26" s="453">
        <f>'3 Statement Model'!C13</f>
        <v>15115.823</v>
      </c>
      <c r="L26" s="453"/>
    </row>
    <row r="27" spans="2:12">
      <c r="B27" s="172" t="s">
        <v>333</v>
      </c>
      <c r="C27" s="173"/>
      <c r="D27" s="159"/>
      <c r="E27" s="159"/>
      <c r="G27" s="199" t="s">
        <v>334</v>
      </c>
      <c r="I27" s="157" t="s">
        <v>558</v>
      </c>
      <c r="J27" s="466">
        <f>$C$6</f>
        <v>45927</v>
      </c>
      <c r="K27" s="96">
        <v>151.57400000000001</v>
      </c>
      <c r="L27" s="174"/>
    </row>
    <row r="28" spans="2:12">
      <c r="B28" s="66" t="s">
        <v>21</v>
      </c>
      <c r="C28" s="115">
        <f>'3 Statement Model'!H94+'3 Statement Model'!H93</f>
        <v>98657</v>
      </c>
      <c r="D28" s="159"/>
      <c r="E28" s="159"/>
      <c r="G28" s="199" t="s">
        <v>336</v>
      </c>
      <c r="I28" s="157" t="s">
        <v>558</v>
      </c>
      <c r="J28" s="466">
        <f t="shared" ref="J28:J30" si="0">$C$6</f>
        <v>45927</v>
      </c>
      <c r="K28" s="96">
        <f>0</f>
        <v>0</v>
      </c>
      <c r="L28" s="263"/>
    </row>
    <row r="29" spans="2:12">
      <c r="B29" s="66" t="s">
        <v>335</v>
      </c>
      <c r="C29" s="96">
        <v>0</v>
      </c>
      <c r="D29" s="159"/>
      <c r="E29" s="159"/>
      <c r="G29" s="198" t="s">
        <v>335</v>
      </c>
      <c r="I29" s="157" t="s">
        <v>558</v>
      </c>
      <c r="J29" s="466">
        <f t="shared" si="0"/>
        <v>45927</v>
      </c>
      <c r="K29" s="96">
        <f>0</f>
        <v>0</v>
      </c>
      <c r="L29" s="266"/>
    </row>
    <row r="30" spans="2:12">
      <c r="B30" s="66" t="s">
        <v>337</v>
      </c>
      <c r="C30" s="96">
        <v>0</v>
      </c>
      <c r="D30" s="159"/>
      <c r="E30" s="159"/>
      <c r="G30" s="198" t="s">
        <v>339</v>
      </c>
      <c r="I30" s="157" t="s">
        <v>558</v>
      </c>
      <c r="J30" s="466">
        <f t="shared" si="0"/>
        <v>45927</v>
      </c>
      <c r="K30" s="96">
        <v>0</v>
      </c>
      <c r="L30" s="266"/>
    </row>
    <row r="31" spans="2:12" s="445" customFormat="1">
      <c r="B31" s="175" t="s">
        <v>338</v>
      </c>
      <c r="C31" s="96">
        <v>0</v>
      </c>
      <c r="D31" s="447"/>
      <c r="E31" s="447"/>
      <c r="G31" s="573" t="s">
        <v>341</v>
      </c>
      <c r="H31" s="137"/>
      <c r="I31" s="137"/>
      <c r="J31" s="137"/>
      <c r="K31" s="574">
        <f>SUM(K26:K30)</f>
        <v>15267.397000000001</v>
      </c>
      <c r="L31" s="454"/>
    </row>
    <row r="32" spans="2:12">
      <c r="B32" s="172" t="s">
        <v>340</v>
      </c>
      <c r="D32" s="159"/>
      <c r="E32" s="159"/>
    </row>
    <row r="33" spans="2:12">
      <c r="B33" s="176" t="s">
        <v>342</v>
      </c>
      <c r="C33" s="115">
        <f>'3 Statement Model'!H81</f>
        <v>132420</v>
      </c>
      <c r="D33" s="159"/>
      <c r="E33" s="159"/>
    </row>
    <row r="34" spans="2:12">
      <c r="B34" s="176" t="s">
        <v>343</v>
      </c>
      <c r="C34" s="96">
        <v>0</v>
      </c>
      <c r="D34" s="159"/>
      <c r="E34" s="159"/>
    </row>
    <row r="35" spans="2:12">
      <c r="B35" s="271" t="s">
        <v>327</v>
      </c>
      <c r="C35" s="279">
        <f>SUM(C28:C31)-SUM(C33:C34)</f>
        <v>-33763</v>
      </c>
      <c r="D35" s="159"/>
      <c r="E35" s="159"/>
    </row>
    <row r="36" spans="2:12">
      <c r="D36" s="159"/>
      <c r="E36" s="159"/>
    </row>
    <row r="37" spans="2:12">
      <c r="B37" s="264" t="s">
        <v>344</v>
      </c>
      <c r="C37" s="210"/>
      <c r="D37" s="210"/>
      <c r="E37" s="264"/>
    </row>
    <row r="38" spans="2:12" ht="5.0999999999999996" customHeight="1">
      <c r="B38" s="274"/>
      <c r="C38" s="275"/>
      <c r="D38" s="275"/>
      <c r="E38" s="274"/>
    </row>
    <row r="39" spans="2:12" ht="14.25">
      <c r="C39" s="265" t="s">
        <v>34</v>
      </c>
      <c r="D39" s="265"/>
      <c r="E39" s="265" t="s">
        <v>11</v>
      </c>
    </row>
    <row r="40" spans="2:12">
      <c r="B40" s="8" t="s">
        <v>345</v>
      </c>
      <c r="C40" s="177">
        <f ca="1">C18</f>
        <v>3376842.4988847529</v>
      </c>
      <c r="D40" s="177"/>
      <c r="E40" s="177">
        <f ca="1">K18</f>
        <v>3375973.4613906792</v>
      </c>
    </row>
    <row r="41" spans="2:12">
      <c r="B41" s="8" t="s">
        <v>327</v>
      </c>
      <c r="C41" s="178">
        <f>$C$35</f>
        <v>-33763</v>
      </c>
      <c r="D41" s="178"/>
      <c r="E41" s="178">
        <f>C41</f>
        <v>-33763</v>
      </c>
    </row>
    <row r="42" spans="2:12">
      <c r="B42" s="39" t="s">
        <v>346</v>
      </c>
      <c r="C42" s="452">
        <f ca="1">C40-C41</f>
        <v>3410605.4988847529</v>
      </c>
      <c r="D42" s="452"/>
      <c r="E42" s="452">
        <f ca="1">E40-E41</f>
        <v>3409736.4613906792</v>
      </c>
    </row>
    <row r="43" spans="2:12">
      <c r="B43" s="8" t="s">
        <v>328</v>
      </c>
      <c r="C43" s="179">
        <f>$K$31</f>
        <v>15267.397000000001</v>
      </c>
      <c r="D43" s="179"/>
      <c r="E43" s="179">
        <f>C43</f>
        <v>15267.397000000001</v>
      </c>
    </row>
    <row r="44" spans="2:12">
      <c r="B44" s="262" t="s">
        <v>347</v>
      </c>
      <c r="C44" s="280">
        <f ca="1">C42/C43</f>
        <v>223.39142021948814</v>
      </c>
      <c r="D44" s="280"/>
      <c r="E44" s="280">
        <f ca="1">E42/E43</f>
        <v>223.33449908918195</v>
      </c>
    </row>
    <row r="45" spans="2:12">
      <c r="D45" s="159"/>
      <c r="E45" s="159"/>
    </row>
    <row r="46" spans="2:12">
      <c r="B46" s="264" t="s">
        <v>300</v>
      </c>
      <c r="C46" s="210"/>
      <c r="D46" s="210"/>
      <c r="E46" s="210"/>
      <c r="F46" s="210"/>
      <c r="G46" s="210"/>
      <c r="H46" s="210"/>
      <c r="I46" s="210"/>
      <c r="J46" s="210"/>
      <c r="K46" s="210"/>
      <c r="L46" s="210"/>
    </row>
    <row r="47" spans="2:12" ht="5.0999999999999996" customHeight="1">
      <c r="E47" s="159"/>
    </row>
    <row r="48" spans="2:12">
      <c r="B48" s="1" t="s">
        <v>223</v>
      </c>
      <c r="C48" s="2" t="s">
        <v>10</v>
      </c>
      <c r="D48" s="116"/>
      <c r="E48" s="2" t="s">
        <v>0</v>
      </c>
      <c r="F48" s="116"/>
      <c r="G48" s="2" t="s">
        <v>301</v>
      </c>
      <c r="H48" s="2"/>
      <c r="I48" s="2"/>
      <c r="J48" s="2"/>
      <c r="K48" s="2"/>
      <c r="L48" s="2"/>
    </row>
    <row r="49" spans="2:13">
      <c r="B49" s="6" t="s">
        <v>360</v>
      </c>
      <c r="C49" s="200" t="s">
        <v>556</v>
      </c>
      <c r="D49" s="116"/>
      <c r="E49" s="200">
        <v>2025</v>
      </c>
      <c r="F49" s="116"/>
      <c r="G49" s="215">
        <f>'3 Statement Model'!L16</f>
        <v>2026</v>
      </c>
      <c r="H49" s="215">
        <f>'3 Statement Model'!M16</f>
        <v>2027</v>
      </c>
      <c r="I49" s="215">
        <f>'3 Statement Model'!N16</f>
        <v>2028</v>
      </c>
      <c r="J49" s="215">
        <f>'3 Statement Model'!O16</f>
        <v>2029</v>
      </c>
      <c r="K49" s="215">
        <f>'3 Statement Model'!P16</f>
        <v>2030</v>
      </c>
      <c r="L49" s="215">
        <f>'3 Statement Model'!Q16</f>
        <v>2031</v>
      </c>
    </row>
    <row r="50" spans="2:13">
      <c r="B50" s="303" t="s">
        <v>361</v>
      </c>
      <c r="C50" s="116">
        <f>C8</f>
        <v>45927</v>
      </c>
      <c r="D50" s="116"/>
      <c r="E50" s="116">
        <f>C6</f>
        <v>45927</v>
      </c>
      <c r="F50" s="116"/>
      <c r="G50" s="116">
        <f>EOMONTH(E50,12)</f>
        <v>46295</v>
      </c>
      <c r="H50" s="116">
        <f>EOMONTH(G50,12)</f>
        <v>46660</v>
      </c>
      <c r="I50" s="116">
        <f>EOMONTH(H50,12)</f>
        <v>47026</v>
      </c>
      <c r="J50" s="116">
        <f>EOMONTH(I50,12)</f>
        <v>47391</v>
      </c>
      <c r="K50" s="116">
        <f>EOMONTH(J50,12)</f>
        <v>47756</v>
      </c>
      <c r="L50" s="116">
        <f>EOMONTH(K50,12)</f>
        <v>48121</v>
      </c>
    </row>
    <row r="51" spans="2:13" ht="5.0999999999999996" customHeight="1">
      <c r="E51" s="159"/>
    </row>
    <row r="52" spans="2:13">
      <c r="B52" s="8" t="str">
        <f>'3 Statement Model'!B19</f>
        <v>iPhone Revenue</v>
      </c>
      <c r="C52" s="134">
        <f>'Revenue Drivers'!AP9</f>
        <v>209586</v>
      </c>
      <c r="D52" s="134"/>
      <c r="E52" s="134">
        <f>'Revenue Drivers'!L9</f>
        <v>209586</v>
      </c>
      <c r="F52" s="134"/>
      <c r="G52" s="134">
        <f ca="1">'3 Statement Model'!L19</f>
        <v>225702.885625</v>
      </c>
      <c r="H52" s="134">
        <f ca="1">'3 Statement Model'!M19</f>
        <v>226652.19274193546</v>
      </c>
      <c r="I52" s="134">
        <f ca="1">'3 Statement Model'!N19</f>
        <v>247385.38721962055</v>
      </c>
      <c r="J52" s="134">
        <f ca="1">'3 Statement Model'!O19</f>
        <v>259807.05234793181</v>
      </c>
      <c r="K52" s="134">
        <f ca="1">'3 Statement Model'!P19</f>
        <v>264250.22132447507</v>
      </c>
      <c r="L52" s="134">
        <f ca="1">'3 Statement Model'!Q19</f>
        <v>273871.83123328304</v>
      </c>
    </row>
    <row r="53" spans="2:13">
      <c r="B53" s="8" t="str">
        <f>'3 Statement Model'!B20</f>
        <v>Mac Revenue</v>
      </c>
      <c r="C53" s="134">
        <f>'Revenue Drivers'!AP10</f>
        <v>33708</v>
      </c>
      <c r="D53" s="134"/>
      <c r="E53" s="134">
        <f>'Revenue Drivers'!L10</f>
        <v>33708</v>
      </c>
      <c r="F53" s="134"/>
      <c r="G53" s="134">
        <f ca="1">'3 Statement Model'!L20</f>
        <v>28219.816751415772</v>
      </c>
      <c r="H53" s="134">
        <f ca="1">'3 Statement Model'!M20</f>
        <v>30012.553403407528</v>
      </c>
      <c r="I53" s="134">
        <f ca="1">'3 Statement Model'!N20</f>
        <v>32045.659073977586</v>
      </c>
      <c r="J53" s="134">
        <f ca="1">'3 Statement Model'!O20</f>
        <v>32305.384824853045</v>
      </c>
      <c r="K53" s="134">
        <f ca="1">'3 Statement Model'!P20</f>
        <v>32545.933176598497</v>
      </c>
      <c r="L53" s="134">
        <f ca="1">'3 Statement Model'!Q20</f>
        <v>33153.126023241835</v>
      </c>
    </row>
    <row r="54" spans="2:13">
      <c r="B54" s="8" t="str">
        <f>'3 Statement Model'!B21</f>
        <v>iPad Revenue</v>
      </c>
      <c r="C54" s="134">
        <f>'Revenue Drivers'!AP11</f>
        <v>28023</v>
      </c>
      <c r="D54" s="134"/>
      <c r="E54" s="134">
        <f>'Revenue Drivers'!L11</f>
        <v>28023</v>
      </c>
      <c r="F54" s="134"/>
      <c r="G54" s="134">
        <f ca="1">'3 Statement Model'!L21</f>
        <v>34564.86</v>
      </c>
      <c r="H54" s="134">
        <f ca="1">'3 Statement Model'!M21</f>
        <v>35639.129999999997</v>
      </c>
      <c r="I54" s="134">
        <f ca="1">'3 Statement Model'!N21</f>
        <v>36801</v>
      </c>
      <c r="J54" s="134">
        <f ca="1">'3 Statement Model'!O21</f>
        <v>38925.599999999999</v>
      </c>
      <c r="K54" s="134">
        <f ca="1">'3 Statement Model'!P21</f>
        <v>41149.919999999998</v>
      </c>
      <c r="L54" s="134">
        <f ca="1">'3 Statement Model'!Q21</f>
        <v>41834.205059265827</v>
      </c>
    </row>
    <row r="55" spans="2:13">
      <c r="B55" s="8" t="str">
        <f>'3 Statement Model'!B22</f>
        <v>Services Revenue</v>
      </c>
      <c r="C55" s="134">
        <f>'Revenue Drivers'!AP12</f>
        <v>109158</v>
      </c>
      <c r="D55" s="134"/>
      <c r="E55" s="134">
        <f>'Revenue Drivers'!L12</f>
        <v>109158</v>
      </c>
      <c r="F55" s="134"/>
      <c r="G55" s="134">
        <f ca="1">'3 Statement Model'!L22</f>
        <v>123670.6</v>
      </c>
      <c r="H55" s="134">
        <f ca="1">'3 Statement Model'!M22</f>
        <v>138067.4</v>
      </c>
      <c r="I55" s="134">
        <f ca="1">'3 Statement Model'!N22</f>
        <v>153462.00994406868</v>
      </c>
      <c r="J55" s="134">
        <f ca="1">'3 Statement Model'!O22</f>
        <v>170605.9718025575</v>
      </c>
      <c r="K55" s="134">
        <f ca="1">'3 Statement Model'!P22</f>
        <v>189701.64645632805</v>
      </c>
      <c r="L55" s="134">
        <f ca="1">'3 Statement Model'!Q22</f>
        <v>210975.18962013428</v>
      </c>
    </row>
    <row r="56" spans="2:13">
      <c r="B56" s="8" t="str">
        <f>'3 Statement Model'!B23</f>
        <v>Wearables, Home, and Accessories Revenue</v>
      </c>
      <c r="C56" s="134">
        <f>'Revenue Drivers'!AP13</f>
        <v>35686</v>
      </c>
      <c r="D56" s="134"/>
      <c r="E56" s="134">
        <f>'Revenue Drivers'!L13</f>
        <v>35686</v>
      </c>
      <c r="F56" s="445"/>
      <c r="G56" s="134">
        <f ca="1">'3 Statement Model'!L23</f>
        <v>39064.199999999997</v>
      </c>
      <c r="H56" s="134">
        <f ca="1">'3 Statement Model'!M23</f>
        <v>40643.4</v>
      </c>
      <c r="I56" s="134">
        <f ca="1">'3 Statement Model'!N23</f>
        <v>42803.972155062482</v>
      </c>
      <c r="J56" s="134">
        <f ca="1">'3 Statement Model'!O23</f>
        <v>45085.605156887257</v>
      </c>
      <c r="K56" s="134">
        <f ca="1">'3 Statement Model'!P23</f>
        <v>47495.461812039161</v>
      </c>
      <c r="L56" s="134">
        <f ca="1">'3 Statement Model'!Q23</f>
        <v>50041.151150414153</v>
      </c>
    </row>
    <row r="57" spans="2:13">
      <c r="B57" s="107" t="s">
        <v>12</v>
      </c>
      <c r="C57" s="378">
        <f t="shared" ref="C57:K57" si="1">SUM(C52:C56)</f>
        <v>416161</v>
      </c>
      <c r="D57" s="134"/>
      <c r="E57" s="378">
        <f t="shared" si="1"/>
        <v>416161</v>
      </c>
      <c r="F57" s="445"/>
      <c r="G57" s="378">
        <f t="shared" ca="1" si="1"/>
        <v>451222.36237641581</v>
      </c>
      <c r="H57" s="378">
        <f t="shared" ca="1" si="1"/>
        <v>471014.67614534299</v>
      </c>
      <c r="I57" s="378">
        <f t="shared" ca="1" si="1"/>
        <v>512498.02839272929</v>
      </c>
      <c r="J57" s="378">
        <f t="shared" ca="1" si="1"/>
        <v>546729.61413222959</v>
      </c>
      <c r="K57" s="378">
        <f t="shared" ca="1" si="1"/>
        <v>575143.18276944081</v>
      </c>
      <c r="L57" s="378">
        <f t="shared" ref="L57" ca="1" si="2">SUM(L52:L56)</f>
        <v>609875.5030863391</v>
      </c>
    </row>
    <row r="58" spans="2:13">
      <c r="B58" s="112" t="s">
        <v>302</v>
      </c>
      <c r="C58" s="448"/>
      <c r="D58" s="448"/>
      <c r="E58" s="448"/>
      <c r="F58" s="448"/>
      <c r="G58" s="344">
        <f ca="1">SUM(G57/E57)-1</f>
        <v>8.4249514914698453E-2</v>
      </c>
      <c r="H58" s="344">
        <f t="shared" ref="H58:J58" ca="1" si="3">SUM(H57/G57)-1</f>
        <v>4.3863769660458907E-2</v>
      </c>
      <c r="I58" s="344">
        <f t="shared" ca="1" si="3"/>
        <v>8.8072313556925463E-2</v>
      </c>
      <c r="J58" s="344">
        <f t="shared" ca="1" si="3"/>
        <v>6.6793594985829818E-2</v>
      </c>
      <c r="K58" s="344">
        <f ca="1">SUM(K57/J57)-1</f>
        <v>5.1970055952263117E-2</v>
      </c>
      <c r="L58" s="344">
        <f ca="1">SUM(L57/K57)-1</f>
        <v>6.0388997657339072E-2</v>
      </c>
      <c r="M58" s="448"/>
    </row>
    <row r="59" spans="2:13" ht="5.0999999999999996" customHeight="1">
      <c r="B59" s="66"/>
      <c r="E59" s="159"/>
    </row>
    <row r="60" spans="2:13">
      <c r="B60" s="320" t="s">
        <v>544</v>
      </c>
      <c r="C60" s="134">
        <f>FCF!AQ25</f>
        <v>144748</v>
      </c>
      <c r="E60" s="134">
        <f>'3 Statement Model'!H42</f>
        <v>144748</v>
      </c>
      <c r="G60" s="134">
        <f ca="1">'3 Statement Model'!L42</f>
        <v>157889.70918520479</v>
      </c>
      <c r="H60" s="134">
        <f ca="1">'3 Statement Model'!M42</f>
        <v>163186.09329595111</v>
      </c>
      <c r="I60" s="134">
        <f ca="1">'3 Statement Model'!N42</f>
        <v>180950.85249209055</v>
      </c>
      <c r="J60" s="134">
        <f ca="1">'3 Statement Model'!O42</f>
        <v>195905.84955493177</v>
      </c>
      <c r="K60" s="134">
        <f ca="1">'3 Statement Model'!P42</f>
        <v>207802.35964845371</v>
      </c>
      <c r="L60" s="134">
        <f ca="1">'3 Statement Model'!Q42</f>
        <v>218445.77660594683</v>
      </c>
    </row>
    <row r="61" spans="2:13">
      <c r="B61" s="320" t="s">
        <v>542</v>
      </c>
      <c r="C61" s="134">
        <f>-FCF!AQ24</f>
        <v>-11698</v>
      </c>
      <c r="D61" s="134"/>
      <c r="E61" s="134">
        <f>-'3 Statement Model'!H41</f>
        <v>-11698</v>
      </c>
      <c r="F61" s="134"/>
      <c r="G61" s="134">
        <f ca="1">-'3 Statement Model'!L41</f>
        <v>-12776.59839760666</v>
      </c>
      <c r="H61" s="134">
        <f ca="1">-'3 Statement Model'!M41</f>
        <v>-13114.906119878495</v>
      </c>
      <c r="I61" s="134">
        <f ca="1">-'3 Statement Model'!N41</f>
        <v>-14526.339912011219</v>
      </c>
      <c r="J61" s="134">
        <f ca="1">-'3 Statement Model'!O41</f>
        <v>-16586.917064972458</v>
      </c>
      <c r="K61" s="134">
        <f ca="1">-'3 Statement Model'!P41</f>
        <v>-19180.681079883543</v>
      </c>
      <c r="L61" s="134">
        <f ca="1">-'3 Statement Model'!Q41</f>
        <v>-22279.290652902153</v>
      </c>
    </row>
    <row r="62" spans="2:13">
      <c r="B62" s="107" t="s">
        <v>31</v>
      </c>
      <c r="C62" s="378">
        <f>SUM(C60:C61)</f>
        <v>133050</v>
      </c>
      <c r="D62" s="134"/>
      <c r="E62" s="378">
        <f>SUM(E60:E61)</f>
        <v>133050</v>
      </c>
      <c r="F62" s="445"/>
      <c r="G62" s="378">
        <f t="shared" ref="G62:L62" ca="1" si="4">SUM(G60:G61)</f>
        <v>145113.11078759813</v>
      </c>
      <c r="H62" s="378">
        <f t="shared" ca="1" si="4"/>
        <v>150071.18717607262</v>
      </c>
      <c r="I62" s="378">
        <f t="shared" ca="1" si="4"/>
        <v>166424.51258007932</v>
      </c>
      <c r="J62" s="378">
        <f t="shared" ca="1" si="4"/>
        <v>179318.93248995932</v>
      </c>
      <c r="K62" s="378">
        <f t="shared" ca="1" si="4"/>
        <v>188621.67856857018</v>
      </c>
      <c r="L62" s="378">
        <f t="shared" ca="1" si="4"/>
        <v>196166.48595304467</v>
      </c>
    </row>
    <row r="63" spans="2:13">
      <c r="B63" s="112" t="s">
        <v>543</v>
      </c>
      <c r="C63" s="344">
        <f>C62/C57</f>
        <v>0.31970799762591884</v>
      </c>
      <c r="E63" s="344">
        <f>E62/E57</f>
        <v>0.31970799762591884</v>
      </c>
      <c r="F63" s="445"/>
      <c r="G63" s="344">
        <f ca="1">G62/G57</f>
        <v>0.32159999788871901</v>
      </c>
      <c r="H63" s="344">
        <f t="shared" ref="H63:L63" ca="1" si="5">H62/H57</f>
        <v>0.31861255025897434</v>
      </c>
      <c r="I63" s="344">
        <f t="shared" ca="1" si="5"/>
        <v>0.32473200551036568</v>
      </c>
      <c r="J63" s="344">
        <f t="shared" ca="1" si="5"/>
        <v>0.3279846707674226</v>
      </c>
      <c r="K63" s="344">
        <f t="shared" ca="1" si="5"/>
        <v>0.32795603637396054</v>
      </c>
      <c r="L63" s="344">
        <f t="shared" ca="1" si="5"/>
        <v>0.32165004982217443</v>
      </c>
    </row>
    <row r="64" spans="2:13" ht="5.0999999999999996" customHeight="1">
      <c r="B64" s="66"/>
      <c r="E64" s="159"/>
    </row>
    <row r="65" spans="2:13">
      <c r="B65" s="8" t="s">
        <v>379</v>
      </c>
      <c r="C65" s="134">
        <f>'Historical Financials'!AP25</f>
        <v>-20719</v>
      </c>
      <c r="D65" s="134"/>
      <c r="E65" s="134">
        <f>'3 Statement Model'!H38</f>
        <v>-20719</v>
      </c>
      <c r="F65" s="445"/>
      <c r="G65" s="134">
        <f ca="1">'3 Statement Model'!L38</f>
        <v>-23156.470596969015</v>
      </c>
      <c r="H65" s="134">
        <f ca="1">'3 Statement Model'!M38</f>
        <v>-23900.27462575004</v>
      </c>
      <c r="I65" s="134">
        <f ca="1">'3 Statement Model'!N38</f>
        <v>-26346.519274886512</v>
      </c>
      <c r="J65" s="134">
        <f ca="1">'3 Statement Model'!O38</f>
        <v>-28558.281257094808</v>
      </c>
      <c r="K65" s="134">
        <f ca="1">'3 Statement Model'!P38</f>
        <v>-30198.794094973437</v>
      </c>
      <c r="L65" s="134">
        <f ca="1">'3 Statement Model'!Q38</f>
        <v>-31506.031874537672</v>
      </c>
    </row>
    <row r="66" spans="2:13">
      <c r="B66" s="444" t="s">
        <v>545</v>
      </c>
      <c r="C66" s="449">
        <f>+C62+C65</f>
        <v>112331</v>
      </c>
      <c r="D66" s="134"/>
      <c r="E66" s="449">
        <f>+E62+E65</f>
        <v>112331</v>
      </c>
      <c r="F66" s="445"/>
      <c r="G66" s="449">
        <f t="shared" ref="G66:L66" ca="1" si="6">+G62+G65</f>
        <v>121956.64019062911</v>
      </c>
      <c r="H66" s="449">
        <f t="shared" ca="1" si="6"/>
        <v>126170.91255032258</v>
      </c>
      <c r="I66" s="449">
        <f t="shared" ca="1" si="6"/>
        <v>140077.99330519279</v>
      </c>
      <c r="J66" s="449">
        <f t="shared" ca="1" si="6"/>
        <v>150760.6512328645</v>
      </c>
      <c r="K66" s="449">
        <f t="shared" ca="1" si="6"/>
        <v>158422.88447359673</v>
      </c>
      <c r="L66" s="449">
        <f t="shared" ca="1" si="6"/>
        <v>164660.454078507</v>
      </c>
    </row>
    <row r="67" spans="2:13" s="445" customFormat="1">
      <c r="B67" s="260" t="s">
        <v>135</v>
      </c>
      <c r="C67" s="344">
        <f>C66/C57</f>
        <v>0.26992197731166545</v>
      </c>
      <c r="D67" s="344" t="e">
        <f t="shared" ref="D67:E67" si="7">D66/D57</f>
        <v>#DIV/0!</v>
      </c>
      <c r="E67" s="344">
        <f t="shared" si="7"/>
        <v>0.26992197731166545</v>
      </c>
      <c r="G67" s="344">
        <f t="shared" ref="G67" ca="1" si="8">G66/G57</f>
        <v>0.27028057640656389</v>
      </c>
      <c r="H67" s="344">
        <f t="shared" ref="H67" ca="1" si="9">H66/H57</f>
        <v>0.26787044850252073</v>
      </c>
      <c r="I67" s="344">
        <f t="shared" ref="I67" ca="1" si="10">I66/I57</f>
        <v>0.27332396525406821</v>
      </c>
      <c r="J67" s="344">
        <f t="shared" ref="J67" ca="1" si="11">J66/J57</f>
        <v>0.27574992708626572</v>
      </c>
      <c r="K67" s="344">
        <f t="shared" ref="K67:L67" ca="1" si="12">K66/K57</f>
        <v>0.27544946931432923</v>
      </c>
      <c r="L67" s="344">
        <f t="shared" ca="1" si="12"/>
        <v>0.26999027382674901</v>
      </c>
    </row>
    <row r="68" spans="2:13" s="445" customFormat="1">
      <c r="B68" s="446"/>
      <c r="E68" s="447"/>
    </row>
    <row r="69" spans="2:13" s="445" customFormat="1">
      <c r="B69" s="33" t="s">
        <v>546</v>
      </c>
      <c r="C69" s="354">
        <f>-C61</f>
        <v>11698</v>
      </c>
      <c r="E69" s="354">
        <f>-E61</f>
        <v>11698</v>
      </c>
      <c r="G69" s="354">
        <f ca="1">-G61</f>
        <v>12776.59839760666</v>
      </c>
      <c r="H69" s="354">
        <f t="shared" ref="H69:K69" ca="1" si="13">-H61</f>
        <v>13114.906119878495</v>
      </c>
      <c r="I69" s="354">
        <f t="shared" ca="1" si="13"/>
        <v>14526.339912011219</v>
      </c>
      <c r="J69" s="354">
        <f t="shared" ca="1" si="13"/>
        <v>16586.917064972458</v>
      </c>
      <c r="K69" s="354">
        <f t="shared" ca="1" si="13"/>
        <v>19180.681079883543</v>
      </c>
      <c r="L69" s="354">
        <f t="shared" ref="L69" ca="1" si="14">-L61</f>
        <v>22279.290652902153</v>
      </c>
    </row>
    <row r="70" spans="2:13" s="445" customFormat="1">
      <c r="B70" s="33" t="s">
        <v>547</v>
      </c>
      <c r="C70" s="134">
        <f>'Balance Sheet Drivers'!AP19</f>
        <v>2691</v>
      </c>
      <c r="E70" s="134">
        <f>SUM('3 Statement Model'!H113:H114)</f>
        <v>-15655</v>
      </c>
      <c r="G70" s="134">
        <f ca="1">SUM('3 Statement Model'!L113:L114)</f>
        <v>3838.0990912267152</v>
      </c>
      <c r="H70" s="134">
        <f ca="1">SUM('3 Statement Model'!M113:M114)</f>
        <v>2739.8246248744981</v>
      </c>
      <c r="I70" s="134">
        <f ca="1">SUM('3 Statement Model'!N113:N114)</f>
        <v>4517.3920381226344</v>
      </c>
      <c r="J70" s="134">
        <f ca="1">SUM('3 Statement Model'!O113:O114)</f>
        <v>4458.3459020200826</v>
      </c>
      <c r="K70" s="134">
        <f ca="1">SUM('3 Statement Model'!P113:P114)</f>
        <v>4538.9457082449953</v>
      </c>
      <c r="L70" s="134">
        <f ca="1">SUM('3 Statement Model'!Q113:Q114)</f>
        <v>6188.7217728737305</v>
      </c>
    </row>
    <row r="71" spans="2:13" s="445" customFormat="1">
      <c r="B71" s="33" t="s">
        <v>548</v>
      </c>
      <c r="C71" s="134">
        <f>'Historical Financials'!AO93</f>
        <v>-12381</v>
      </c>
      <c r="D71" s="134"/>
      <c r="E71" s="134">
        <f>'3 Statement Model'!H136</f>
        <v>12715</v>
      </c>
      <c r="G71" s="134">
        <f>-'3 Statement Model'!L119</f>
        <v>14535.375</v>
      </c>
      <c r="H71" s="134">
        <f>-'3 Statement Model'!M119</f>
        <v>15621</v>
      </c>
      <c r="I71" s="134">
        <f>-'3 Statement Model'!N119</f>
        <v>16743.625</v>
      </c>
      <c r="J71" s="134">
        <f>-'3 Statement Model'!O119</f>
        <v>17994.389410724805</v>
      </c>
      <c r="K71" s="134">
        <f>-'3 Statement Model'!P119</f>
        <v>19458.412574980441</v>
      </c>
      <c r="L71" s="134">
        <f>-'3 Statement Model'!Q119</f>
        <v>20880.372926793214</v>
      </c>
    </row>
    <row r="72" spans="2:13" s="445" customFormat="1">
      <c r="B72" s="262" t="s">
        <v>303</v>
      </c>
      <c r="C72" s="450">
        <f>+C66+C69+C70+C71</f>
        <v>114339</v>
      </c>
      <c r="D72" s="134"/>
      <c r="E72" s="450">
        <f>+E66+E69+E70+E71</f>
        <v>121089</v>
      </c>
      <c r="G72" s="450">
        <f ca="1">+G66+G69+G70+G71</f>
        <v>153106.71267946251</v>
      </c>
      <c r="H72" s="450">
        <f t="shared" ref="H72:L72" ca="1" si="15">+H66+H69+H70+H71</f>
        <v>157646.64329507557</v>
      </c>
      <c r="I72" s="450">
        <f t="shared" ca="1" si="15"/>
        <v>175865.35025532666</v>
      </c>
      <c r="J72" s="450">
        <f t="shared" ca="1" si="15"/>
        <v>189800.30361058185</v>
      </c>
      <c r="K72" s="450">
        <f t="shared" ca="1" si="15"/>
        <v>201600.92383670571</v>
      </c>
      <c r="L72" s="450">
        <f t="shared" ca="1" si="15"/>
        <v>214008.83943107611</v>
      </c>
    </row>
    <row r="73" spans="2:13" s="445" customFormat="1" ht="5.0999999999999996" customHeight="1">
      <c r="B73" s="33"/>
      <c r="D73" s="134"/>
      <c r="E73" s="447"/>
    </row>
    <row r="74" spans="2:13" s="445" customFormat="1">
      <c r="B74" s="8" t="s">
        <v>549</v>
      </c>
      <c r="C74" s="134">
        <f>'Balance Sheet Drivers'!AP18</f>
        <v>-52042</v>
      </c>
      <c r="E74" s="134">
        <f>'Balance Sheet Drivers'!L18</f>
        <v>-52042</v>
      </c>
      <c r="G74" s="134">
        <f ca="1">SUM('3 Statement Model'!L82:L84)-SUM('3 Statement Model'!L90:L92)</f>
        <v>-55880.099091226715</v>
      </c>
      <c r="H74" s="134">
        <f ca="1">SUM('3 Statement Model'!M82:M84)-SUM('3 Statement Model'!M90:M92)</f>
        <v>-58619.923716101213</v>
      </c>
      <c r="I74" s="134">
        <f ca="1">SUM('3 Statement Model'!N82:N84)-SUM('3 Statement Model'!N90:N92)</f>
        <v>-63137.315754223848</v>
      </c>
      <c r="J74" s="134">
        <f ca="1">SUM('3 Statement Model'!O82:O84)-SUM('3 Statement Model'!O90:O92)</f>
        <v>-67595.66165624393</v>
      </c>
      <c r="K74" s="134">
        <f ca="1">SUM('3 Statement Model'!P82:P84)-SUM('3 Statement Model'!P90:P92)</f>
        <v>-72134.607364488926</v>
      </c>
      <c r="L74" s="134">
        <f ca="1">SUM('3 Statement Model'!Q82:Q84)-SUM('3 Statement Model'!Q90:Q92)</f>
        <v>-78323.329137362656</v>
      </c>
    </row>
    <row r="75" spans="2:13" s="445" customFormat="1">
      <c r="B75" s="66" t="s">
        <v>173</v>
      </c>
      <c r="C75" s="344">
        <f>-C74/C57</f>
        <v>0.12505256379141727</v>
      </c>
      <c r="E75" s="344">
        <f>-E74/E57</f>
        <v>0.12505256379141727</v>
      </c>
      <c r="G75" s="344">
        <f t="shared" ref="G75:L75" ca="1" si="16">-G74/G57</f>
        <v>0.12384159950966876</v>
      </c>
      <c r="H75" s="344">
        <f t="shared" ca="1" si="16"/>
        <v>0.12445455881721319</v>
      </c>
      <c r="I75" s="344">
        <f t="shared" ca="1" si="16"/>
        <v>0.12319523638409291</v>
      </c>
      <c r="J75" s="344">
        <f t="shared" ca="1" si="16"/>
        <v>0.12363636413500649</v>
      </c>
      <c r="K75" s="344">
        <f t="shared" ca="1" si="16"/>
        <v>0.12542025972931634</v>
      </c>
      <c r="L75" s="344">
        <f t="shared" ca="1" si="16"/>
        <v>0.12842511093001641</v>
      </c>
    </row>
    <row r="76" spans="2:13" s="445" customFormat="1" ht="5.0999999999999996" customHeight="1">
      <c r="B76" s="66"/>
      <c r="E76" s="447"/>
    </row>
    <row r="77" spans="2:13">
      <c r="B77" s="264" t="str">
        <f>"Present value of UFCF on "&amp;TEXT(C9,"mmm dd, yyyy")&amp;" valuation date"</f>
        <v>Present value of UFCF on Jan 04, 2026 valuation date</v>
      </c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160"/>
    </row>
    <row r="78" spans="2:13" ht="5.0999999999999996" customHeight="1">
      <c r="B78" s="274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160"/>
    </row>
    <row r="79" spans="2:13" ht="14.25">
      <c r="B79" s="39"/>
      <c r="E79" s="276" t="s">
        <v>304</v>
      </c>
      <c r="G79" s="276" t="s">
        <v>305</v>
      </c>
      <c r="H79" s="277" t="s">
        <v>306</v>
      </c>
      <c r="I79" s="277" t="s">
        <v>307</v>
      </c>
      <c r="J79" s="277" t="s">
        <v>308</v>
      </c>
      <c r="K79" s="277" t="s">
        <v>309</v>
      </c>
      <c r="L79" s="277" t="s">
        <v>550</v>
      </c>
      <c r="M79" s="160"/>
    </row>
    <row r="80" spans="2:13">
      <c r="B80" s="8" t="s">
        <v>310</v>
      </c>
      <c r="E80" s="278">
        <f>C9</f>
        <v>46026</v>
      </c>
      <c r="G80" s="163">
        <f>IF($J$9=1,AVERAGE(G50,E80),G50)</f>
        <v>46160.5</v>
      </c>
      <c r="H80" s="163">
        <f>IF($J$9=1,AVERAGE(H50,G50),H50)</f>
        <v>46477.5</v>
      </c>
      <c r="I80" s="163">
        <f>IF($J$9=1,AVERAGE(I50,H50),I50)</f>
        <v>46843</v>
      </c>
      <c r="J80" s="163">
        <f>IF($J$9=1,AVERAGE(J50,I50),J50)</f>
        <v>47208.5</v>
      </c>
      <c r="K80" s="163">
        <f>IF($J$9=1,AVERAGE(K50,J50),K50)</f>
        <v>47573.5</v>
      </c>
      <c r="L80" s="163">
        <f>IF($J$9=1,AVERAGE(L50,K50),L50)</f>
        <v>47938.5</v>
      </c>
      <c r="M80" s="160"/>
    </row>
    <row r="81" spans="2:13">
      <c r="B81" s="8" t="s">
        <v>311</v>
      </c>
      <c r="C81" s="164">
        <f>C10</f>
        <v>0.73888888888888893</v>
      </c>
      <c r="D81" s="164"/>
      <c r="E81" s="162">
        <f>E72</f>
        <v>121089</v>
      </c>
      <c r="F81" s="164"/>
      <c r="G81" s="161">
        <f ca="1">G72*C81</f>
        <v>113128.84881315842</v>
      </c>
      <c r="H81" s="161">
        <f ca="1">H72</f>
        <v>157646.64329507557</v>
      </c>
      <c r="I81" s="161">
        <f ca="1">I72</f>
        <v>175865.35025532666</v>
      </c>
      <c r="J81" s="161">
        <f ca="1">J72</f>
        <v>189800.30361058185</v>
      </c>
      <c r="K81" s="161">
        <f ca="1">K72</f>
        <v>201600.92383670571</v>
      </c>
      <c r="L81" s="161">
        <f ca="1">L72</f>
        <v>214008.83943107611</v>
      </c>
      <c r="M81" s="161"/>
    </row>
    <row r="82" spans="2:13" s="198" customFormat="1">
      <c r="B82" s="271" t="s">
        <v>312</v>
      </c>
      <c r="C82" s="272"/>
      <c r="D82" s="272"/>
      <c r="E82" s="273"/>
      <c r="F82" s="272"/>
      <c r="G82" s="449">
        <f ca="1">G81/(1+$J$6)^((G80-$C$9)/365)</f>
        <v>109739.83422418457</v>
      </c>
      <c r="H82" s="449">
        <f ca="1">H81/(1+$J$6)^((H80-$C$9)/365)</f>
        <v>142345.42291357589</v>
      </c>
      <c r="I82" s="449">
        <f ca="1">I81/(1+$J$6)^((I80-$C$9)/365)</f>
        <v>146198.79275466979</v>
      </c>
      <c r="J82" s="449">
        <f ca="1">J81/(1+$J$6)^((J80-$C$9)/365)</f>
        <v>145266.38659086803</v>
      </c>
      <c r="K82" s="449">
        <f ca="1">K81/(1+$J$6)^((K80-$C$9)/365)</f>
        <v>142073.99064173974</v>
      </c>
      <c r="L82" s="449">
        <f ca="1">L81/(1+$J$6)^((L80-$C$9)/365)</f>
        <v>138869.73396377772</v>
      </c>
      <c r="M82" s="270"/>
    </row>
  </sheetData>
  <dataValidations disablePrompts="1" count="1">
    <dataValidation type="list" allowBlank="1" showInputMessage="1" showErrorMessage="1" sqref="J9" xr:uid="{8E705A39-7DE5-4F83-9E4F-8E3679A3C84C}">
      <formula1>"0,1"</formula1>
    </dataValidation>
  </dataValidations>
  <pageMargins left="0.7" right="0.7" top="0.75" bottom="0.75" header="0.3" footer="0.3"/>
  <ignoredErrors>
    <ignoredError sqref="E42" 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222F-360D-4DA1-BCF5-0231D11F1122}">
  <sheetPr>
    <tabColor rgb="FFFF0000"/>
  </sheetPr>
  <dimension ref="B2:R44"/>
  <sheetViews>
    <sheetView showGridLines="0" tabSelected="1" zoomScaleNormal="100" workbookViewId="0">
      <selection activeCell="C15" sqref="C15"/>
    </sheetView>
  </sheetViews>
  <sheetFormatPr defaultColWidth="8" defaultRowHeight="12"/>
  <cols>
    <col min="1" max="1" width="1.25" style="8" customWidth="1"/>
    <col min="2" max="2" width="27" style="8" customWidth="1"/>
    <col min="3" max="4" width="8.5" style="8" bestFit="1" customWidth="1"/>
    <col min="5" max="9" width="15.75" style="8" customWidth="1"/>
    <col min="10" max="11" width="4.875" style="8" bestFit="1" customWidth="1"/>
    <col min="12" max="13" width="8.25" style="8" customWidth="1"/>
    <col min="14" max="14" width="30.25" style="8" bestFit="1" customWidth="1"/>
    <col min="15" max="16" width="8.25" style="8" customWidth="1"/>
    <col min="17" max="16384" width="8" style="8"/>
  </cols>
  <sheetData>
    <row r="2" spans="2:9">
      <c r="B2" s="1" t="str">
        <f>'Historical Financials'!B2</f>
        <v>Apple Inc. (NASDAQ: AAPL)</v>
      </c>
      <c r="C2" s="6"/>
      <c r="D2" s="6"/>
      <c r="E2" s="6"/>
      <c r="F2" s="6"/>
      <c r="G2" s="6"/>
      <c r="H2" s="6"/>
      <c r="I2" s="6"/>
    </row>
    <row r="3" spans="2:9">
      <c r="B3" s="303" t="s">
        <v>626</v>
      </c>
      <c r="C3" s="6"/>
      <c r="D3" s="6"/>
      <c r="E3" s="6"/>
      <c r="F3" s="6"/>
      <c r="G3" s="6"/>
      <c r="H3" s="6"/>
      <c r="I3" s="6"/>
    </row>
    <row r="4" spans="2:9">
      <c r="B4" s="6" t="s">
        <v>363</v>
      </c>
      <c r="C4" s="6"/>
      <c r="D4" s="6"/>
      <c r="E4" s="6"/>
      <c r="F4" s="6"/>
      <c r="G4" s="6"/>
      <c r="H4" s="6"/>
      <c r="I4" s="6"/>
    </row>
    <row r="6" spans="2:9">
      <c r="B6" s="264" t="s">
        <v>603</v>
      </c>
      <c r="C6" s="264"/>
      <c r="E6" s="264" t="s">
        <v>601</v>
      </c>
      <c r="F6" s="264"/>
      <c r="G6" s="264"/>
      <c r="H6" s="264"/>
    </row>
    <row r="7" spans="2:9" s="198" customFormat="1" ht="14.25">
      <c r="B7" s="198" t="s">
        <v>274</v>
      </c>
      <c r="C7" s="546">
        <v>0.04</v>
      </c>
      <c r="F7" s="547" t="s">
        <v>604</v>
      </c>
      <c r="G7" s="547" t="s">
        <v>608</v>
      </c>
      <c r="H7" s="547" t="s">
        <v>607</v>
      </c>
    </row>
    <row r="8" spans="2:9" s="198" customFormat="1">
      <c r="B8" s="198" t="s">
        <v>135</v>
      </c>
      <c r="C8" s="548">
        <f>'3 Statement Model'!H60</f>
        <v>0.15610002335586043</v>
      </c>
      <c r="E8" s="198" t="s">
        <v>33</v>
      </c>
      <c r="F8" s="497">
        <f>DCF!C28</f>
        <v>98657</v>
      </c>
      <c r="G8" s="549">
        <f>F8/$F$10</f>
        <v>2.3288624371881443E-2</v>
      </c>
      <c r="H8" s="550">
        <f>G8</f>
        <v>2.3288624371881443E-2</v>
      </c>
    </row>
    <row r="9" spans="2:9" s="198" customFormat="1">
      <c r="B9" s="540" t="s">
        <v>275</v>
      </c>
      <c r="C9" s="571">
        <f>C7*(1-C8)</f>
        <v>3.3755999065765582E-2</v>
      </c>
      <c r="E9" s="198" t="s">
        <v>605</v>
      </c>
      <c r="F9" s="556">
        <f>F37</f>
        <v>4137617.2609700002</v>
      </c>
      <c r="G9" s="549">
        <f>F9/$F$10</f>
        <v>0.97671137562811861</v>
      </c>
      <c r="H9" s="549">
        <f>1-H8</f>
        <v>0.97671137562811861</v>
      </c>
    </row>
    <row r="10" spans="2:9">
      <c r="D10" s="99"/>
      <c r="E10" s="540" t="s">
        <v>606</v>
      </c>
      <c r="F10" s="542">
        <f>SUM(F8:F9)</f>
        <v>4236274.2609700002</v>
      </c>
      <c r="G10" s="543">
        <f>SUM(G8:G9)</f>
        <v>1</v>
      </c>
      <c r="H10" s="543">
        <f>SUM(H8:H9)</f>
        <v>1</v>
      </c>
    </row>
    <row r="11" spans="2:9">
      <c r="B11" s="264" t="s">
        <v>602</v>
      </c>
      <c r="C11" s="264"/>
    </row>
    <row r="12" spans="2:9" s="320" customFormat="1">
      <c r="B12" s="320" t="s">
        <v>276</v>
      </c>
      <c r="C12" s="552">
        <v>0.03</v>
      </c>
      <c r="E12" s="267" t="s">
        <v>278</v>
      </c>
      <c r="F12" s="267"/>
      <c r="G12" s="267"/>
      <c r="H12" s="267"/>
      <c r="I12" s="267"/>
    </row>
    <row r="13" spans="2:9" s="445" customFormat="1">
      <c r="B13" s="8" t="s">
        <v>27</v>
      </c>
      <c r="C13" s="140">
        <f>I41</f>
        <v>1.2730566207056375</v>
      </c>
      <c r="E13" s="8"/>
      <c r="F13" s="8"/>
      <c r="G13" s="141" t="s">
        <v>32</v>
      </c>
      <c r="H13" s="142"/>
      <c r="I13" s="141"/>
    </row>
    <row r="14" spans="2:9">
      <c r="B14" s="8" t="s">
        <v>599</v>
      </c>
      <c r="C14" s="113">
        <v>4.4999999999999998E-2</v>
      </c>
      <c r="F14" s="143"/>
      <c r="G14" s="144">
        <f>H14-0.1</f>
        <v>1.0699999999999998</v>
      </c>
      <c r="H14" s="145">
        <v>1.17</v>
      </c>
      <c r="I14" s="146">
        <f>H14+0.1</f>
        <v>1.27</v>
      </c>
    </row>
    <row r="15" spans="2:9">
      <c r="B15" s="540" t="s">
        <v>277</v>
      </c>
      <c r="C15" s="541">
        <f>C12+C13*C14</f>
        <v>8.7287547931753695E-2</v>
      </c>
      <c r="F15" s="147">
        <f>F16-0.005</f>
        <v>4.5000000000000005E-2</v>
      </c>
      <c r="G15" s="148">
        <v>6.1013495196213796E-2</v>
      </c>
      <c r="H15" s="110">
        <v>6.590882572582199E-2</v>
      </c>
      <c r="I15" s="110">
        <v>7.080415625543017E-2</v>
      </c>
    </row>
    <row r="16" spans="2:9">
      <c r="E16" s="114" t="s">
        <v>279</v>
      </c>
      <c r="F16" s="147">
        <f>F17-0.005</f>
        <v>0.05</v>
      </c>
      <c r="G16" s="110">
        <v>6.6447312084078877E-2</v>
      </c>
      <c r="H16" s="110">
        <v>7.1886568228087977E-2</v>
      </c>
      <c r="I16" s="110">
        <v>7.7325824372097077E-2</v>
      </c>
    </row>
    <row r="17" spans="2:18">
      <c r="B17" s="264" t="s">
        <v>609</v>
      </c>
      <c r="C17" s="264"/>
      <c r="E17" s="114" t="s">
        <v>280</v>
      </c>
      <c r="F17" s="149">
        <v>5.5E-2</v>
      </c>
      <c r="G17" s="110">
        <v>7.1881128971943958E-2</v>
      </c>
      <c r="H17" s="110">
        <v>7.7864310730353978E-2</v>
      </c>
      <c r="I17" s="110">
        <v>8.3847492488763983E-2</v>
      </c>
    </row>
    <row r="18" spans="2:18">
      <c r="B18" s="8" t="s">
        <v>33</v>
      </c>
      <c r="C18" s="545">
        <f>H8</f>
        <v>2.3288624371881443E-2</v>
      </c>
      <c r="E18" s="114" t="s">
        <v>281</v>
      </c>
      <c r="F18" s="147">
        <f>F17+0.005</f>
        <v>0.06</v>
      </c>
      <c r="G18" s="110">
        <v>7.7314945859809053E-2</v>
      </c>
      <c r="H18" s="110">
        <v>8.3842053232619965E-2</v>
      </c>
      <c r="I18" s="110">
        <v>9.0369160605430876E-2</v>
      </c>
    </row>
    <row r="19" spans="2:18">
      <c r="B19" s="8" t="s">
        <v>605</v>
      </c>
      <c r="C19" s="545">
        <f>H9</f>
        <v>0.97671137562811861</v>
      </c>
      <c r="F19" s="147">
        <f>F18+0.005</f>
        <v>6.5000000000000002E-2</v>
      </c>
      <c r="G19" s="110">
        <v>8.2748762747674148E-2</v>
      </c>
      <c r="H19" s="110">
        <v>8.9819795734885952E-2</v>
      </c>
      <c r="I19" s="110">
        <v>9.6890828722097783E-2</v>
      </c>
    </row>
    <row r="20" spans="2:18" s="445" customFormat="1">
      <c r="B20" s="540" t="s">
        <v>610</v>
      </c>
      <c r="C20" s="544">
        <f>SUM(C18:C19)</f>
        <v>1</v>
      </c>
      <c r="E20" s="8"/>
      <c r="F20" s="150"/>
      <c r="G20" s="110"/>
      <c r="H20" s="110"/>
      <c r="I20" s="110"/>
      <c r="O20" s="8"/>
      <c r="P20" s="8"/>
      <c r="Q20" s="8"/>
      <c r="R20" s="8"/>
    </row>
    <row r="21" spans="2:18" s="445" customFormat="1">
      <c r="E21" s="8" t="s">
        <v>282</v>
      </c>
      <c r="F21" s="151" t="s">
        <v>623</v>
      </c>
      <c r="G21" s="8"/>
      <c r="H21" s="8"/>
      <c r="I21" s="8"/>
      <c r="O21" s="8"/>
      <c r="P21" s="8"/>
      <c r="Q21" s="8"/>
      <c r="R21" s="8"/>
    </row>
    <row r="22" spans="2:18" s="445" customFormat="1">
      <c r="B22" s="264" t="s">
        <v>611</v>
      </c>
      <c r="C22" s="264"/>
      <c r="E22" s="8"/>
      <c r="F22" s="8"/>
      <c r="G22" s="8"/>
      <c r="H22" s="8"/>
      <c r="I22" s="8"/>
      <c r="O22" s="8"/>
      <c r="P22" s="8"/>
      <c r="Q22" s="8"/>
      <c r="R22" s="8"/>
    </row>
    <row r="23" spans="2:18" s="445" customFormat="1">
      <c r="B23" s="8" t="s">
        <v>597</v>
      </c>
      <c r="C23" s="545">
        <f>C9</f>
        <v>3.3755999065765582E-2</v>
      </c>
      <c r="E23" s="8"/>
      <c r="F23" s="567"/>
      <c r="G23" s="8"/>
      <c r="H23" s="8"/>
      <c r="I23" s="8"/>
      <c r="O23" s="8"/>
      <c r="P23" s="8"/>
      <c r="Q23" s="8"/>
      <c r="R23" s="8"/>
    </row>
    <row r="24" spans="2:18" s="445" customFormat="1">
      <c r="B24" s="66" t="s">
        <v>613</v>
      </c>
      <c r="C24" s="572">
        <f>C18</f>
        <v>2.3288624371881443E-2</v>
      </c>
      <c r="E24" s="8"/>
      <c r="F24" s="152"/>
      <c r="G24" s="8"/>
      <c r="H24" s="8"/>
      <c r="I24" s="8"/>
      <c r="O24" s="8"/>
      <c r="P24" s="8"/>
      <c r="Q24" s="8"/>
      <c r="R24" s="8"/>
    </row>
    <row r="25" spans="2:18" s="445" customFormat="1">
      <c r="B25" s="8" t="s">
        <v>598</v>
      </c>
      <c r="C25" s="545">
        <f>C15</f>
        <v>8.7287547931753695E-2</v>
      </c>
      <c r="O25" s="8"/>
      <c r="P25" s="8"/>
      <c r="Q25" s="8"/>
      <c r="R25" s="8"/>
    </row>
    <row r="26" spans="2:18" s="445" customFormat="1">
      <c r="B26" s="66" t="s">
        <v>612</v>
      </c>
      <c r="C26" s="572">
        <f>C19</f>
        <v>0.97671137562811861</v>
      </c>
      <c r="O26" s="8"/>
      <c r="P26" s="8"/>
      <c r="Q26" s="8"/>
      <c r="R26" s="8"/>
    </row>
    <row r="27" spans="2:18" s="445" customFormat="1">
      <c r="B27" s="540" t="s">
        <v>600</v>
      </c>
      <c r="C27" s="551">
        <f>SUMPRODUCT(C26*C25)+(C23*C24)</f>
        <v>8.6040871798168689E-2</v>
      </c>
      <c r="O27" s="8"/>
      <c r="P27" s="8"/>
      <c r="Q27" s="8"/>
      <c r="R27" s="8"/>
    </row>
    <row r="28" spans="2:18" s="445" customFormat="1">
      <c r="O28" s="8"/>
      <c r="P28" s="8"/>
      <c r="Q28" s="8"/>
      <c r="R28" s="8"/>
    </row>
    <row r="29" spans="2:18">
      <c r="B29" s="267" t="s">
        <v>615</v>
      </c>
      <c r="C29" s="267"/>
      <c r="D29" s="267"/>
      <c r="E29" s="267"/>
      <c r="F29" s="554"/>
      <c r="G29" s="554"/>
      <c r="H29" s="554"/>
      <c r="I29" s="554"/>
    </row>
    <row r="30" spans="2:18">
      <c r="B30" s="566" t="s">
        <v>617</v>
      </c>
      <c r="C30" s="568" t="s">
        <v>622</v>
      </c>
      <c r="D30" s="568"/>
      <c r="E30" s="568"/>
      <c r="F30" s="569"/>
      <c r="G30" s="569" t="s">
        <v>10</v>
      </c>
      <c r="H30" s="569" t="s">
        <v>10</v>
      </c>
      <c r="I30" s="568" t="s">
        <v>622</v>
      </c>
    </row>
    <row r="31" spans="2:18">
      <c r="B31" s="553" t="s">
        <v>614</v>
      </c>
      <c r="C31" s="570" t="s">
        <v>624</v>
      </c>
      <c r="D31" s="570" t="s">
        <v>283</v>
      </c>
      <c r="E31" s="570" t="s">
        <v>284</v>
      </c>
      <c r="F31" s="570" t="s">
        <v>285</v>
      </c>
      <c r="G31" s="570" t="s">
        <v>35</v>
      </c>
      <c r="H31" s="570" t="s">
        <v>135</v>
      </c>
      <c r="I31" s="570" t="s">
        <v>625</v>
      </c>
    </row>
    <row r="32" spans="2:18" ht="5.0999999999999996" customHeight="1">
      <c r="H32" s="5"/>
    </row>
    <row r="33" spans="2:9">
      <c r="B33" s="153" t="s">
        <v>619</v>
      </c>
      <c r="C33" s="139">
        <v>1.04</v>
      </c>
      <c r="D33" s="240">
        <v>472.94</v>
      </c>
      <c r="E33" s="101">
        <v>7466</v>
      </c>
      <c r="F33" s="416">
        <f t="shared" ref="F33:F35" si="0">D33*E33</f>
        <v>3530970.04</v>
      </c>
      <c r="G33" s="101">
        <v>17619</v>
      </c>
      <c r="H33" s="104">
        <v>0.19109999999999999</v>
      </c>
      <c r="I33" s="152">
        <f>C33/(1+(1-H33)*(G33)/F33)</f>
        <v>1.0358191365001348</v>
      </c>
    </row>
    <row r="34" spans="2:9">
      <c r="B34" s="153" t="s">
        <v>616</v>
      </c>
      <c r="C34" s="139">
        <v>1.55</v>
      </c>
      <c r="D34" s="240">
        <v>650.41</v>
      </c>
      <c r="E34" s="101">
        <v>2572</v>
      </c>
      <c r="F34" s="416">
        <f t="shared" si="0"/>
        <v>1672854.52</v>
      </c>
      <c r="G34" s="101">
        <v>-28046</v>
      </c>
      <c r="H34" s="104">
        <v>0.87</v>
      </c>
      <c r="I34" s="152">
        <f t="shared" ref="I34:I35" si="1">C34/(1+(1-H34)*(G34)/F34)</f>
        <v>1.5533855979433224</v>
      </c>
    </row>
    <row r="35" spans="2:9">
      <c r="B35" s="153" t="s">
        <v>286</v>
      </c>
      <c r="C35" s="139">
        <v>1.19</v>
      </c>
      <c r="D35" s="240">
        <v>315.32</v>
      </c>
      <c r="E35" s="101">
        <v>12230</v>
      </c>
      <c r="F35" s="416">
        <f t="shared" si="0"/>
        <v>3856363.6</v>
      </c>
      <c r="G35" s="101">
        <v>-65220</v>
      </c>
      <c r="H35" s="104">
        <v>0.20480000000000001</v>
      </c>
      <c r="I35" s="152">
        <f t="shared" si="1"/>
        <v>1.2062220772028696</v>
      </c>
    </row>
    <row r="36" spans="2:9">
      <c r="B36" s="153" t="s">
        <v>618</v>
      </c>
      <c r="C36" s="139">
        <v>1.46</v>
      </c>
      <c r="D36" s="240">
        <v>226.5</v>
      </c>
      <c r="E36" s="101">
        <v>10735</v>
      </c>
      <c r="F36" s="416">
        <f>D36*E36</f>
        <v>2431477.5</v>
      </c>
      <c r="G36" s="101">
        <v>54119</v>
      </c>
      <c r="H36" s="104">
        <v>0.24529999999999999</v>
      </c>
      <c r="I36" s="152">
        <f t="shared" ref="I36:I37" si="2">C36/(1+(1-H36)*(G36)/F36)</f>
        <v>1.4358802894358316</v>
      </c>
    </row>
    <row r="37" spans="2:9">
      <c r="B37" s="153" t="s">
        <v>620</v>
      </c>
      <c r="C37" s="139">
        <v>1.17</v>
      </c>
      <c r="D37" s="555">
        <f>'3 Statement Model'!C9</f>
        <v>271.01</v>
      </c>
      <c r="E37" s="154">
        <f>DCF!K31</f>
        <v>15267.397000000001</v>
      </c>
      <c r="F37" s="72">
        <f>D37*E37</f>
        <v>4137617.2609700002</v>
      </c>
      <c r="G37" s="154">
        <f>DCF!C35</f>
        <v>-33763</v>
      </c>
      <c r="H37" s="557">
        <f>C8</f>
        <v>0.15610002335586043</v>
      </c>
      <c r="I37" s="558">
        <f t="shared" si="2"/>
        <v>1.1781127584961679</v>
      </c>
    </row>
    <row r="38" spans="2:9" ht="5.0999999999999996" customHeight="1" thickBot="1">
      <c r="B38" s="40"/>
      <c r="C38" s="559"/>
      <c r="D38" s="40"/>
      <c r="E38" s="40"/>
      <c r="F38" s="560"/>
      <c r="G38" s="560"/>
      <c r="H38" s="560"/>
      <c r="I38" s="561"/>
    </row>
    <row r="39" spans="2:9" ht="12.75" thickBot="1">
      <c r="C39" s="152"/>
      <c r="F39" s="72"/>
      <c r="G39" s="72"/>
      <c r="H39" s="72"/>
      <c r="I39" s="108"/>
    </row>
    <row r="40" spans="2:9">
      <c r="C40" s="152"/>
      <c r="F40" s="72"/>
      <c r="G40" s="72"/>
      <c r="H40" s="562" t="s">
        <v>621</v>
      </c>
      <c r="I40" s="563">
        <f>AVERAGE(I33:I37)</f>
        <v>1.2818839719156654</v>
      </c>
    </row>
    <row r="41" spans="2:9" ht="12.75" thickBot="1">
      <c r="C41" s="152"/>
      <c r="F41" s="72"/>
      <c r="G41" s="72"/>
      <c r="H41" s="564" t="str">
        <f>B37&amp;" beta"</f>
        <v>Apple Inc (AAPL) beta</v>
      </c>
      <c r="I41" s="565">
        <f>I40*(1+(1-H37)*(G37)/F37)</f>
        <v>1.2730566207056375</v>
      </c>
    </row>
    <row r="44" spans="2:9">
      <c r="C44" s="155"/>
    </row>
  </sheetData>
  <conditionalFormatting sqref="E13:F13">
    <cfRule type="expression" dxfId="0" priority="1">
      <formula>#REF!="Industry"</formula>
    </cfRule>
  </conditionalFormatting>
  <dataValidations disablePrompts="1" count="1">
    <dataValidation type="list" allowBlank="1" showInputMessage="1" showErrorMessage="1" sqref="F21" xr:uid="{5969403F-F59B-4DD9-94A4-15D44B9BB601}">
      <formula1>"Industry, Observed"</formula1>
    </dataValidation>
  </dataValidations>
  <pageMargins left="0.7" right="0.7" top="0.75" bottom="0.75" header="0.3" footer="0.3"/>
  <ignoredErrors>
    <ignoredError sqref="I33 I34 I35:I36" evalError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EEFF-6483-4C9D-B19E-631282EFC787}">
  <dimension ref="B2:AN39"/>
  <sheetViews>
    <sheetView showGridLines="0" zoomScale="115" zoomScaleNormal="115" workbookViewId="0">
      <selection activeCell="C6" sqref="C6"/>
    </sheetView>
  </sheetViews>
  <sheetFormatPr defaultRowHeight="14.25"/>
  <cols>
    <col min="1" max="1" width="1.625" customWidth="1"/>
    <col min="2" max="2" width="15" bestFit="1" customWidth="1"/>
    <col min="3" max="3" width="9" bestFit="1" customWidth="1"/>
    <col min="4" max="4" width="8.5" bestFit="1" customWidth="1"/>
    <col min="5" max="5" width="7.125" customWidth="1"/>
    <col min="6" max="6" width="5.75" bestFit="1" customWidth="1"/>
    <col min="7" max="7" width="7.125" customWidth="1"/>
    <col min="8" max="8" width="5.625" bestFit="1" customWidth="1"/>
    <col min="9" max="9" width="7.125" customWidth="1"/>
    <col min="10" max="10" width="6.375" bestFit="1" customWidth="1"/>
    <col min="11" max="11" width="0.875" customWidth="1"/>
    <col min="12" max="13" width="6.375" bestFit="1" customWidth="1"/>
    <col min="14" max="14" width="7.125" customWidth="1"/>
    <col min="15" max="15" width="0.875" customWidth="1"/>
    <col min="16" max="17" width="6.375" bestFit="1" customWidth="1"/>
    <col min="18" max="18" width="7.125" customWidth="1"/>
    <col min="19" max="19" width="0.875" customWidth="1"/>
    <col min="20" max="21" width="6.375" bestFit="1" customWidth="1"/>
    <col min="22" max="23" width="7.125" customWidth="1"/>
    <col min="24" max="24" width="8.875" bestFit="1" customWidth="1"/>
    <col min="25" max="25" width="8.125" bestFit="1" customWidth="1"/>
    <col min="26" max="26" width="6.25" bestFit="1" customWidth="1"/>
    <col min="27" max="27" width="9.375" bestFit="1" customWidth="1"/>
    <col min="28" max="28" width="6.25" bestFit="1" customWidth="1"/>
    <col min="29" max="29" width="13.375" customWidth="1"/>
    <col min="30" max="30" width="3.5" bestFit="1" customWidth="1"/>
    <col min="31" max="31" width="4.875" bestFit="1" customWidth="1"/>
    <col min="32" max="32" width="13" bestFit="1" customWidth="1"/>
    <col min="33" max="33" width="13.375" bestFit="1" customWidth="1"/>
    <col min="34" max="35" width="13.625" bestFit="1" customWidth="1"/>
    <col min="37" max="38" width="7.375" bestFit="1" customWidth="1"/>
    <col min="39" max="40" width="7.25" bestFit="1" customWidth="1"/>
  </cols>
  <sheetData>
    <row r="2" spans="2:40">
      <c r="B2" s="247" t="s">
        <v>223</v>
      </c>
      <c r="C2" s="304"/>
    </row>
    <row r="3" spans="2:40">
      <c r="B3" s="303" t="s">
        <v>629</v>
      </c>
      <c r="C3" s="304"/>
    </row>
    <row r="4" spans="2:40">
      <c r="B4" s="589" t="s">
        <v>672</v>
      </c>
      <c r="C4" s="589"/>
    </row>
    <row r="5" spans="2:40" ht="5.0999999999999996" customHeight="1"/>
    <row r="6" spans="2:40">
      <c r="B6" s="582" t="s">
        <v>656</v>
      </c>
      <c r="C6" s="585">
        <v>271.39999999999998</v>
      </c>
    </row>
    <row r="7" spans="2:40" ht="5.0999999999999996" customHeight="1"/>
    <row r="8" spans="2:40">
      <c r="B8" s="582" t="s">
        <v>657</v>
      </c>
      <c r="C8" s="588">
        <f>AVERAGE(F23:F26,F21)</f>
        <v>-0.26798820928518785</v>
      </c>
    </row>
    <row r="9" spans="2:40" ht="5.0999999999999996" customHeight="1"/>
    <row r="10" spans="2:40">
      <c r="B10" s="582" t="s">
        <v>663</v>
      </c>
      <c r="C10" s="588">
        <f>AVERAGE(J23:J26,J21)</f>
        <v>0.19252763448784094</v>
      </c>
    </row>
    <row r="12" spans="2:40">
      <c r="B12" s="247" t="s">
        <v>223</v>
      </c>
      <c r="C12" s="304"/>
      <c r="D12" s="247"/>
      <c r="E12" s="304"/>
      <c r="F12" s="247"/>
      <c r="G12" s="304"/>
      <c r="H12" s="247"/>
      <c r="I12" s="304"/>
      <c r="J12" s="247"/>
      <c r="K12" s="247"/>
      <c r="L12" s="304"/>
      <c r="M12" s="247"/>
      <c r="N12" s="247"/>
      <c r="O12" s="247"/>
      <c r="P12" s="304"/>
      <c r="Q12" s="247"/>
      <c r="R12" s="247"/>
      <c r="S12" s="247"/>
      <c r="T12" s="304"/>
      <c r="U12" s="247"/>
      <c r="V12" s="247"/>
      <c r="W12" s="247"/>
      <c r="X12" s="247"/>
      <c r="Y12" s="247"/>
      <c r="Z12" s="247"/>
      <c r="AA12" s="304"/>
      <c r="AB12" s="304"/>
      <c r="AC12" s="580"/>
      <c r="AD12" s="304"/>
      <c r="AE12" s="304"/>
      <c r="AF12" s="304"/>
      <c r="AG12" s="304"/>
      <c r="AH12" s="304"/>
      <c r="AI12" s="304"/>
      <c r="AJ12" s="247"/>
      <c r="AK12" s="304"/>
      <c r="AL12" s="304"/>
      <c r="AM12" s="304"/>
      <c r="AN12" s="304"/>
    </row>
    <row r="13" spans="2:40">
      <c r="B13" s="303" t="s">
        <v>640</v>
      </c>
      <c r="C13" s="304"/>
      <c r="D13" s="303"/>
      <c r="E13" s="304"/>
      <c r="F13" s="303"/>
      <c r="G13" s="304"/>
      <c r="H13" s="303"/>
      <c r="I13" s="304"/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229" t="s">
        <v>344</v>
      </c>
      <c r="Y13" s="229"/>
      <c r="Z13" s="229"/>
      <c r="AA13" s="229"/>
      <c r="AB13" s="229"/>
      <c r="AC13" s="580"/>
      <c r="AD13" s="304"/>
      <c r="AE13" s="304"/>
      <c r="AF13" s="304"/>
      <c r="AG13" s="304"/>
      <c r="AH13" s="304"/>
      <c r="AI13" s="304"/>
      <c r="AJ13" s="303"/>
      <c r="AK13" s="304"/>
      <c r="AL13" s="304"/>
      <c r="AM13" s="304"/>
      <c r="AN13" s="304"/>
    </row>
    <row r="14" spans="2:40">
      <c r="B14" s="303"/>
      <c r="C14" s="579"/>
      <c r="D14" s="579"/>
      <c r="E14" s="589" t="s">
        <v>664</v>
      </c>
      <c r="F14" s="589"/>
      <c r="G14" s="589"/>
      <c r="H14" s="589"/>
      <c r="I14" s="589"/>
      <c r="J14" s="589"/>
      <c r="K14" s="581"/>
      <c r="L14" s="589" t="s">
        <v>667</v>
      </c>
      <c r="M14" s="589"/>
      <c r="N14" s="589"/>
      <c r="O14" s="581"/>
      <c r="P14" s="589" t="s">
        <v>668</v>
      </c>
      <c r="Q14" s="589"/>
      <c r="R14" s="589"/>
      <c r="S14" s="581"/>
      <c r="T14" s="589" t="s">
        <v>466</v>
      </c>
      <c r="U14" s="589"/>
      <c r="V14" s="589"/>
      <c r="W14" s="303"/>
      <c r="X14" s="325" t="s">
        <v>632</v>
      </c>
      <c r="Y14" s="325" t="s">
        <v>634</v>
      </c>
      <c r="Z14" s="325" t="s">
        <v>635</v>
      </c>
      <c r="AA14" s="325" t="s">
        <v>632</v>
      </c>
      <c r="AB14" s="325" t="s">
        <v>636</v>
      </c>
      <c r="AC14" s="580"/>
      <c r="AD14" s="304"/>
      <c r="AE14" s="304"/>
      <c r="AF14" s="229"/>
      <c r="AG14" s="229"/>
      <c r="AH14" s="229"/>
      <c r="AI14" s="229"/>
      <c r="AJ14" s="303"/>
      <c r="AK14" s="229" t="s">
        <v>471</v>
      </c>
      <c r="AL14" s="229"/>
      <c r="AM14" s="229"/>
      <c r="AN14" s="229"/>
    </row>
    <row r="15" spans="2:40">
      <c r="B15" s="581" t="s">
        <v>641</v>
      </c>
      <c r="C15" s="581" t="s">
        <v>630</v>
      </c>
      <c r="D15" s="581" t="s">
        <v>658</v>
      </c>
      <c r="E15" s="581" t="s">
        <v>655</v>
      </c>
      <c r="F15" s="581" t="s">
        <v>654</v>
      </c>
      <c r="G15" s="581" t="s">
        <v>653</v>
      </c>
      <c r="H15" s="581" t="s">
        <v>651</v>
      </c>
      <c r="I15" s="581" t="s">
        <v>652</v>
      </c>
      <c r="J15" s="581" t="s">
        <v>650</v>
      </c>
      <c r="K15" s="581"/>
      <c r="L15" s="581" t="s">
        <v>669</v>
      </c>
      <c r="M15" s="581" t="s">
        <v>670</v>
      </c>
      <c r="N15" s="581" t="s">
        <v>671</v>
      </c>
      <c r="O15" s="581"/>
      <c r="P15" s="581" t="s">
        <v>669</v>
      </c>
      <c r="Q15" s="581" t="s">
        <v>670</v>
      </c>
      <c r="R15" s="581" t="s">
        <v>671</v>
      </c>
      <c r="S15" s="581"/>
      <c r="T15" s="581" t="s">
        <v>669</v>
      </c>
      <c r="U15" s="581" t="s">
        <v>670</v>
      </c>
      <c r="V15" s="581" t="s">
        <v>671</v>
      </c>
      <c r="W15" s="303"/>
      <c r="X15" s="581" t="s">
        <v>633</v>
      </c>
      <c r="Y15" s="581" t="s">
        <v>633</v>
      </c>
      <c r="Z15" s="581" t="s">
        <v>332</v>
      </c>
      <c r="AA15" s="581" t="s">
        <v>637</v>
      </c>
      <c r="AB15" s="581" t="s">
        <v>332</v>
      </c>
      <c r="AC15" s="580"/>
      <c r="AD15" s="304"/>
      <c r="AE15" s="304"/>
      <c r="AF15" s="229" t="s">
        <v>452</v>
      </c>
      <c r="AG15" s="229" t="s">
        <v>441</v>
      </c>
      <c r="AH15" s="229" t="s">
        <v>453</v>
      </c>
      <c r="AI15" s="229" t="s">
        <v>454</v>
      </c>
      <c r="AJ15" s="303"/>
      <c r="AK15" s="229" t="s">
        <v>467</v>
      </c>
      <c r="AL15" s="229" t="s">
        <v>468</v>
      </c>
      <c r="AM15" s="229" t="s">
        <v>469</v>
      </c>
      <c r="AN15" s="229" t="s">
        <v>470</v>
      </c>
    </row>
    <row r="16" spans="2:40" ht="2.1" customHeight="1">
      <c r="B16" s="304"/>
      <c r="C16" s="304"/>
      <c r="D16" s="304"/>
      <c r="E16" s="304"/>
      <c r="F16" s="304"/>
      <c r="G16" s="304"/>
      <c r="H16" s="303"/>
      <c r="I16" s="304"/>
      <c r="J16" s="303"/>
      <c r="K16" s="303"/>
      <c r="L16" s="304"/>
      <c r="M16" s="304"/>
      <c r="N16" s="303"/>
      <c r="O16" s="303"/>
      <c r="P16" s="304"/>
      <c r="Q16" s="304"/>
      <c r="R16" s="303"/>
      <c r="S16" s="303"/>
      <c r="T16" s="304"/>
      <c r="U16" s="304"/>
      <c r="V16" s="303"/>
      <c r="W16" s="303"/>
      <c r="X16" s="325"/>
      <c r="Y16" s="325"/>
      <c r="Z16" s="325"/>
      <c r="AA16" s="325"/>
      <c r="AB16" s="325"/>
      <c r="AC16" s="580"/>
      <c r="AD16" s="325"/>
      <c r="AE16" s="325"/>
      <c r="AF16" s="325"/>
      <c r="AG16" s="325"/>
      <c r="AH16" s="325"/>
      <c r="AI16" s="325"/>
      <c r="AJ16" s="325"/>
      <c r="AK16" s="325"/>
      <c r="AL16" s="325"/>
      <c r="AM16" s="325"/>
      <c r="AN16" s="325"/>
    </row>
    <row r="17" spans="2:40" ht="5.0999999999999996" customHeight="1">
      <c r="B17" s="333"/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3"/>
      <c r="AM17" s="333"/>
      <c r="AN17" s="333"/>
    </row>
    <row r="18" spans="2:40">
      <c r="B18" s="582" t="s">
        <v>642</v>
      </c>
      <c r="C18" s="578" t="s">
        <v>638</v>
      </c>
      <c r="D18" s="576" t="s">
        <v>659</v>
      </c>
      <c r="E18" s="322">
        <f>(G18*F18)+G18</f>
        <v>237.90383198231393</v>
      </c>
      <c r="F18" s="586">
        <f>$C$8</f>
        <v>-0.26798820928518785</v>
      </c>
      <c r="G18" s="590">
        <v>325</v>
      </c>
      <c r="H18" s="586">
        <f t="shared" ref="H18:H25" si="0">(G18/$C$6)-1</f>
        <v>0.19749447310243196</v>
      </c>
      <c r="I18" s="322">
        <f>(J18*G18)+G18</f>
        <v>387.57148120854833</v>
      </c>
      <c r="J18" s="586">
        <f>$C$10</f>
        <v>0.19252763448784094</v>
      </c>
      <c r="K18" s="594"/>
      <c r="L18" s="610"/>
      <c r="M18" s="610">
        <v>27.9</v>
      </c>
      <c r="N18" s="610"/>
      <c r="O18" s="335"/>
      <c r="P18" s="610"/>
      <c r="Q18" s="610"/>
      <c r="R18" s="610"/>
      <c r="S18" s="335"/>
      <c r="T18" s="611"/>
      <c r="U18" s="611"/>
      <c r="V18" s="611"/>
      <c r="W18" s="610"/>
      <c r="X18" s="575"/>
      <c r="Y18" s="575"/>
      <c r="Z18" s="575"/>
      <c r="AA18" s="575"/>
      <c r="AB18" s="575"/>
      <c r="AC18" s="575"/>
      <c r="AD18" s="336" t="s">
        <v>443</v>
      </c>
      <c r="AE18" s="338">
        <v>9.8000000000000007</v>
      </c>
      <c r="AF18" s="338">
        <v>9.1999999999999993</v>
      </c>
      <c r="AG18" s="337">
        <v>440170</v>
      </c>
      <c r="AH18" s="336" t="s">
        <v>455</v>
      </c>
      <c r="AI18" s="336" t="s">
        <v>455</v>
      </c>
      <c r="AJ18" s="335"/>
      <c r="AK18" s="336">
        <v>7.38</v>
      </c>
      <c r="AL18" s="336">
        <v>8.0299999999999994</v>
      </c>
      <c r="AM18" s="338">
        <v>36.799999999999997</v>
      </c>
      <c r="AN18" s="338">
        <v>33.799999999999997</v>
      </c>
    </row>
    <row r="19" spans="2:40">
      <c r="B19" s="198" t="s">
        <v>643</v>
      </c>
      <c r="C19" s="321" t="s">
        <v>660</v>
      </c>
      <c r="D19" s="576" t="s">
        <v>659</v>
      </c>
      <c r="E19" s="322">
        <f t="shared" ref="E19:E22" si="1">(G19*F19)+G19</f>
        <v>223.2635961680177</v>
      </c>
      <c r="F19" s="584">
        <f t="shared" ref="F19:F20" si="2">$C$8</f>
        <v>-0.26798820928518785</v>
      </c>
      <c r="G19" s="590">
        <v>305</v>
      </c>
      <c r="H19" s="584">
        <f t="shared" si="0"/>
        <v>0.12380250552689764</v>
      </c>
      <c r="I19" s="322">
        <f t="shared" ref="I19:I22" si="3">(J19*G19)+G19</f>
        <v>363.72092851879148</v>
      </c>
      <c r="J19" s="584">
        <f t="shared" ref="J19:J20" si="4">$C$10</f>
        <v>0.19252763448784094</v>
      </c>
      <c r="K19" s="594"/>
      <c r="L19" s="610">
        <v>32.5</v>
      </c>
      <c r="M19" s="610">
        <v>28.3</v>
      </c>
      <c r="N19" s="610">
        <v>26.3</v>
      </c>
      <c r="O19" s="198"/>
      <c r="P19" s="610">
        <v>25.1</v>
      </c>
      <c r="Q19" s="610">
        <v>22.4</v>
      </c>
      <c r="R19" s="610">
        <v>21.2</v>
      </c>
      <c r="S19" s="198"/>
      <c r="T19" s="611">
        <v>8.35</v>
      </c>
      <c r="U19" s="611">
        <v>9.6</v>
      </c>
      <c r="V19" s="611">
        <v>10.3</v>
      </c>
      <c r="W19" s="610"/>
      <c r="X19" s="575">
        <v>4314071</v>
      </c>
      <c r="Y19" s="575">
        <v>4237381</v>
      </c>
      <c r="Z19" s="575">
        <v>14168.1</v>
      </c>
      <c r="AA19" s="576">
        <f>X19/$AG19</f>
        <v>61.568896373574617</v>
      </c>
      <c r="AB19" s="576">
        <f>Y19/$AG19</f>
        <v>60.474403801966631</v>
      </c>
      <c r="AC19" s="576"/>
      <c r="AD19" s="322" t="s">
        <v>444</v>
      </c>
      <c r="AE19" s="324">
        <v>5</v>
      </c>
      <c r="AF19" s="324">
        <v>4.8</v>
      </c>
      <c r="AG19" s="323">
        <v>70069</v>
      </c>
      <c r="AH19" s="322" t="s">
        <v>450</v>
      </c>
      <c r="AI19" s="322" t="s">
        <v>450</v>
      </c>
      <c r="AJ19" s="198"/>
      <c r="AK19" s="322">
        <v>11.37</v>
      </c>
      <c r="AL19" s="322">
        <v>12.15</v>
      </c>
      <c r="AM19" s="324">
        <v>27.3</v>
      </c>
      <c r="AN19" s="324">
        <v>25.5</v>
      </c>
    </row>
    <row r="20" spans="2:40">
      <c r="B20" s="198" t="s">
        <v>644</v>
      </c>
      <c r="C20" s="321" t="s">
        <v>661</v>
      </c>
      <c r="D20" s="576" t="s">
        <v>639</v>
      </c>
      <c r="E20" s="322">
        <f t="shared" si="1"/>
        <v>190.32306558585117</v>
      </c>
      <c r="F20" s="584">
        <f t="shared" si="2"/>
        <v>-0.26798820928518785</v>
      </c>
      <c r="G20" s="590">
        <v>260</v>
      </c>
      <c r="H20" s="584">
        <f t="shared" si="0"/>
        <v>-4.2004421518054502E-2</v>
      </c>
      <c r="I20" s="322">
        <f t="shared" si="3"/>
        <v>310.05718496683863</v>
      </c>
      <c r="J20" s="584">
        <f t="shared" si="4"/>
        <v>0.19252763448784094</v>
      </c>
      <c r="K20" s="594"/>
      <c r="L20" s="610"/>
      <c r="M20" s="610">
        <v>30</v>
      </c>
      <c r="N20" s="610"/>
      <c r="O20" s="198"/>
      <c r="P20" s="610"/>
      <c r="Q20" s="610"/>
      <c r="R20" s="610"/>
      <c r="S20" s="198"/>
      <c r="T20" s="611"/>
      <c r="U20" s="611"/>
      <c r="V20" s="611"/>
      <c r="W20" s="610"/>
      <c r="X20" s="575">
        <v>3878086</v>
      </c>
      <c r="Y20" s="575">
        <v>3854901</v>
      </c>
      <c r="Z20" s="575">
        <v>14289.191000000001</v>
      </c>
      <c r="AA20" s="576">
        <f>X20/$AG20</f>
        <v>65.008565920710751</v>
      </c>
      <c r="AB20" s="576">
        <f>Y20/$AG20</f>
        <v>64.619914508423435</v>
      </c>
      <c r="AC20" s="576"/>
      <c r="AD20" s="322" t="s">
        <v>445</v>
      </c>
      <c r="AE20" s="324">
        <v>5.2</v>
      </c>
      <c r="AF20" s="324">
        <v>4.9000000000000004</v>
      </c>
      <c r="AG20" s="323">
        <v>59655</v>
      </c>
      <c r="AH20" s="322" t="s">
        <v>456</v>
      </c>
      <c r="AI20" s="322" t="s">
        <v>456</v>
      </c>
      <c r="AJ20" s="198"/>
      <c r="AK20" s="322">
        <v>3.79</v>
      </c>
      <c r="AL20" s="322">
        <v>4.04</v>
      </c>
      <c r="AM20" s="324">
        <v>19.2</v>
      </c>
      <c r="AN20" s="324">
        <v>18</v>
      </c>
    </row>
    <row r="21" spans="2:40">
      <c r="B21" s="198" t="s">
        <v>645</v>
      </c>
      <c r="C21" s="321" t="s">
        <v>661</v>
      </c>
      <c r="D21" s="576" t="s">
        <v>639</v>
      </c>
      <c r="E21" s="590">
        <v>195</v>
      </c>
      <c r="F21" s="584">
        <f>(E21/$C$6)-1</f>
        <v>-0.28150331613854085</v>
      </c>
      <c r="G21" s="590">
        <v>280</v>
      </c>
      <c r="H21" s="584">
        <f t="shared" si="0"/>
        <v>3.1687546057479921E-2</v>
      </c>
      <c r="I21" s="590">
        <v>330</v>
      </c>
      <c r="J21" s="584">
        <f>(I21/$C$6)-1</f>
        <v>0.21591746499631559</v>
      </c>
      <c r="K21" s="594"/>
      <c r="L21" s="610"/>
      <c r="M21" s="610">
        <v>31.5</v>
      </c>
      <c r="N21" s="610"/>
      <c r="O21" s="198"/>
      <c r="P21" s="610"/>
      <c r="Q21" s="610"/>
      <c r="R21" s="610"/>
      <c r="S21" s="198"/>
      <c r="T21" s="611"/>
      <c r="U21" s="611"/>
      <c r="V21" s="611"/>
      <c r="W21" s="610"/>
      <c r="X21" s="575"/>
      <c r="Y21" s="575"/>
      <c r="Z21" s="575"/>
      <c r="AA21" s="575"/>
      <c r="AB21" s="575"/>
      <c r="AC21" s="575"/>
      <c r="AD21" s="322" t="s">
        <v>446</v>
      </c>
      <c r="AE21" s="324">
        <v>14.4</v>
      </c>
      <c r="AF21" s="324">
        <v>12.4</v>
      </c>
      <c r="AG21" s="323">
        <v>324538</v>
      </c>
      <c r="AH21" s="322" t="s">
        <v>457</v>
      </c>
      <c r="AI21" s="322" t="s">
        <v>456</v>
      </c>
      <c r="AJ21" s="198"/>
      <c r="AK21" s="322">
        <v>13.37</v>
      </c>
      <c r="AL21" s="322">
        <v>15.61</v>
      </c>
      <c r="AM21" s="324">
        <v>39.299999999999997</v>
      </c>
      <c r="AN21" s="324">
        <v>33.700000000000003</v>
      </c>
    </row>
    <row r="22" spans="2:40">
      <c r="B22" s="198" t="s">
        <v>646</v>
      </c>
      <c r="C22" s="321" t="s">
        <v>631</v>
      </c>
      <c r="D22" s="576" t="s">
        <v>639</v>
      </c>
      <c r="E22" s="322">
        <f t="shared" si="1"/>
        <v>183.00294767870304</v>
      </c>
      <c r="F22" s="584">
        <f>$C$8</f>
        <v>-0.26798820928518785</v>
      </c>
      <c r="G22" s="590">
        <v>250</v>
      </c>
      <c r="H22" s="584">
        <f t="shared" si="0"/>
        <v>-7.8850405305821547E-2</v>
      </c>
      <c r="I22" s="322">
        <f t="shared" si="3"/>
        <v>298.13190862196024</v>
      </c>
      <c r="J22" s="584">
        <f>$C$10</f>
        <v>0.19252763448784094</v>
      </c>
      <c r="K22" s="594"/>
      <c r="L22" s="610">
        <v>32</v>
      </c>
      <c r="M22" s="610">
        <v>30.4</v>
      </c>
      <c r="N22" s="610">
        <v>28.9</v>
      </c>
      <c r="O22" s="198"/>
      <c r="P22" s="610">
        <v>24</v>
      </c>
      <c r="Q22" s="610">
        <v>23.3</v>
      </c>
      <c r="R22" s="610">
        <v>22.4</v>
      </c>
      <c r="S22" s="198"/>
      <c r="T22" s="611">
        <v>8.48</v>
      </c>
      <c r="U22" s="611">
        <v>8.92</v>
      </c>
      <c r="V22" s="611">
        <v>9.4</v>
      </c>
      <c r="W22" s="610"/>
      <c r="X22" s="576"/>
      <c r="Y22" s="576"/>
      <c r="Z22" s="576"/>
      <c r="AA22" s="576"/>
      <c r="AB22" s="576"/>
      <c r="AC22" s="576"/>
      <c r="AD22" s="322" t="s">
        <v>447</v>
      </c>
      <c r="AE22" s="324">
        <v>3.4</v>
      </c>
      <c r="AF22" s="324">
        <v>3.1</v>
      </c>
      <c r="AG22" s="323">
        <v>782906</v>
      </c>
      <c r="AH22" s="322" t="s">
        <v>458</v>
      </c>
      <c r="AI22" s="322" t="s">
        <v>458</v>
      </c>
      <c r="AJ22" s="198"/>
      <c r="AK22" s="322">
        <v>6.72</v>
      </c>
      <c r="AL22" s="322">
        <v>7.64</v>
      </c>
      <c r="AM22" s="324">
        <v>33.200000000000003</v>
      </c>
      <c r="AN22" s="324">
        <v>29.2</v>
      </c>
    </row>
    <row r="23" spans="2:40">
      <c r="B23" s="198" t="s">
        <v>383</v>
      </c>
      <c r="C23" s="321" t="s">
        <v>631</v>
      </c>
      <c r="D23" s="576" t="s">
        <v>662</v>
      </c>
      <c r="E23" s="590">
        <v>171</v>
      </c>
      <c r="F23" s="584">
        <f t="shared" ref="F23:F26" si="5">(E23/$C$6)-1</f>
        <v>-0.36993367722918191</v>
      </c>
      <c r="G23" s="590">
        <v>230</v>
      </c>
      <c r="H23" s="584">
        <f t="shared" si="0"/>
        <v>-0.15254237288135586</v>
      </c>
      <c r="I23" s="590">
        <v>294</v>
      </c>
      <c r="J23" s="584">
        <f t="shared" ref="J23:J26" si="6">(I23/$C$6)-1</f>
        <v>8.3271923360353828E-2</v>
      </c>
      <c r="K23" s="594"/>
      <c r="L23" s="610"/>
      <c r="M23" s="610"/>
      <c r="N23" s="610"/>
      <c r="O23" s="198"/>
      <c r="P23" s="610"/>
      <c r="Q23" s="610"/>
      <c r="R23" s="610"/>
      <c r="S23" s="198"/>
      <c r="T23" s="610"/>
      <c r="U23" s="610"/>
      <c r="V23" s="610"/>
      <c r="W23" s="610"/>
      <c r="X23" s="575"/>
      <c r="Y23" s="575"/>
      <c r="Z23" s="575"/>
      <c r="AA23" s="575"/>
      <c r="AB23" s="575"/>
      <c r="AC23" s="575"/>
      <c r="AD23" s="322" t="s">
        <v>448</v>
      </c>
      <c r="AE23" s="324">
        <v>8.1999999999999993</v>
      </c>
      <c r="AF23" s="324">
        <v>7.3</v>
      </c>
      <c r="AG23" s="323">
        <v>447784</v>
      </c>
      <c r="AH23" s="322" t="s">
        <v>459</v>
      </c>
      <c r="AI23" s="322" t="s">
        <v>460</v>
      </c>
      <c r="AJ23" s="198"/>
      <c r="AK23" s="322">
        <v>10.29</v>
      </c>
      <c r="AL23" s="322">
        <v>10.85</v>
      </c>
      <c r="AM23" s="324">
        <v>27.4</v>
      </c>
      <c r="AN23" s="324">
        <v>25.9</v>
      </c>
    </row>
    <row r="24" spans="2:40">
      <c r="B24" s="198" t="s">
        <v>374</v>
      </c>
      <c r="C24" s="321" t="s">
        <v>631</v>
      </c>
      <c r="D24" s="576" t="s">
        <v>662</v>
      </c>
      <c r="E24" s="590">
        <v>183.34</v>
      </c>
      <c r="F24" s="584">
        <f t="shared" si="5"/>
        <v>-0.32446573323507732</v>
      </c>
      <c r="G24" s="590">
        <v>246.99</v>
      </c>
      <c r="H24" s="584">
        <f t="shared" si="0"/>
        <v>-8.9941046425939475E-2</v>
      </c>
      <c r="I24" s="590">
        <v>363.26</v>
      </c>
      <c r="J24" s="584">
        <f t="shared" si="6"/>
        <v>0.33846720707442901</v>
      </c>
      <c r="K24" s="594"/>
      <c r="L24" s="610"/>
      <c r="M24" s="610"/>
      <c r="N24" s="610"/>
      <c r="O24" s="198"/>
      <c r="P24" s="610"/>
      <c r="Q24" s="610"/>
      <c r="R24" s="610"/>
      <c r="S24" s="198"/>
      <c r="T24" s="610"/>
      <c r="U24" s="610"/>
      <c r="V24" s="610"/>
      <c r="W24" s="610"/>
      <c r="X24" s="575">
        <v>3545485</v>
      </c>
      <c r="Y24" s="575">
        <v>3617837</v>
      </c>
      <c r="Z24" s="575">
        <v>14801</v>
      </c>
      <c r="AA24" s="576">
        <f>X24/$AG24</f>
        <v>137.02357487922706</v>
      </c>
      <c r="AB24" s="576">
        <f>Y24/$AG24</f>
        <v>139.81978743961352</v>
      </c>
      <c r="AC24" s="576"/>
      <c r="AD24" s="322" t="s">
        <v>449</v>
      </c>
      <c r="AE24" s="324">
        <v>6</v>
      </c>
      <c r="AF24" s="324">
        <v>5.5</v>
      </c>
      <c r="AG24" s="323">
        <v>25875</v>
      </c>
      <c r="AH24" s="322" t="s">
        <v>461</v>
      </c>
      <c r="AI24" s="322" t="s">
        <v>461</v>
      </c>
      <c r="AJ24" s="198"/>
      <c r="AK24" s="322">
        <v>20.83</v>
      </c>
      <c r="AL24" s="322">
        <v>23.36</v>
      </c>
      <c r="AM24" s="324">
        <v>16.3</v>
      </c>
      <c r="AN24" s="324">
        <v>14.5</v>
      </c>
    </row>
    <row r="25" spans="2:40">
      <c r="B25" s="198" t="s">
        <v>375</v>
      </c>
      <c r="C25" s="321" t="s">
        <v>660</v>
      </c>
      <c r="D25" s="576" t="s">
        <v>659</v>
      </c>
      <c r="E25" s="590">
        <v>194</v>
      </c>
      <c r="F25" s="584">
        <f t="shared" si="5"/>
        <v>-0.28518791451731751</v>
      </c>
      <c r="G25" s="590">
        <v>305</v>
      </c>
      <c r="H25" s="584">
        <f t="shared" si="0"/>
        <v>0.12380250552689764</v>
      </c>
      <c r="I25" s="590">
        <v>381</v>
      </c>
      <c r="J25" s="584">
        <f t="shared" si="6"/>
        <v>0.40383198231392781</v>
      </c>
      <c r="K25" s="594"/>
      <c r="L25" s="610"/>
      <c r="M25" s="610">
        <v>32</v>
      </c>
      <c r="N25" s="610"/>
      <c r="O25" s="198"/>
      <c r="P25" s="610"/>
      <c r="Q25" s="610"/>
      <c r="R25" s="610"/>
      <c r="S25" s="198"/>
      <c r="T25" s="610"/>
      <c r="U25" s="610"/>
      <c r="V25" s="610"/>
      <c r="W25" s="610"/>
      <c r="X25" s="575"/>
      <c r="Y25" s="575"/>
      <c r="Z25" s="575"/>
      <c r="AA25" s="575"/>
      <c r="AB25" s="575"/>
      <c r="AC25" s="575"/>
      <c r="AD25" s="322" t="s">
        <v>448</v>
      </c>
      <c r="AE25" s="324">
        <v>10.5</v>
      </c>
      <c r="AF25" s="324">
        <v>9.3000000000000007</v>
      </c>
      <c r="AG25" s="323">
        <v>50919</v>
      </c>
      <c r="AH25" s="322" t="s">
        <v>462</v>
      </c>
      <c r="AI25" s="322" t="s">
        <v>463</v>
      </c>
      <c r="AJ25" s="198"/>
      <c r="AK25" s="322">
        <v>25.46</v>
      </c>
      <c r="AL25" s="322">
        <v>32.369999999999997</v>
      </c>
      <c r="AM25" s="324">
        <v>42.8</v>
      </c>
      <c r="AN25" s="324">
        <v>33.6</v>
      </c>
    </row>
    <row r="26" spans="2:40">
      <c r="B26" s="198" t="s">
        <v>365</v>
      </c>
      <c r="C26" s="321" t="s">
        <v>660</v>
      </c>
      <c r="D26" s="576" t="s">
        <v>659</v>
      </c>
      <c r="E26" s="590">
        <v>250</v>
      </c>
      <c r="F26" s="584">
        <f t="shared" si="5"/>
        <v>-7.8850405305821547E-2</v>
      </c>
      <c r="G26" s="590">
        <v>300</v>
      </c>
      <c r="H26" s="584">
        <f t="shared" ref="H26:H28" si="7">(G26/$C$6)-1</f>
        <v>0.10537951363301401</v>
      </c>
      <c r="I26" s="590">
        <v>250</v>
      </c>
      <c r="J26" s="584">
        <f t="shared" si="6"/>
        <v>-7.8850405305821547E-2</v>
      </c>
      <c r="K26" s="594"/>
      <c r="L26" s="610"/>
      <c r="M26" s="610">
        <v>30</v>
      </c>
      <c r="N26" s="610"/>
      <c r="O26" s="198"/>
      <c r="P26" s="610"/>
      <c r="Q26" s="610"/>
      <c r="R26" s="610"/>
      <c r="S26" s="198"/>
      <c r="T26" s="610"/>
      <c r="U26" s="610"/>
      <c r="V26" s="610"/>
      <c r="W26" s="610"/>
      <c r="X26" s="575">
        <v>40569361</v>
      </c>
      <c r="Y26" s="575">
        <v>4023173</v>
      </c>
      <c r="Z26" s="575"/>
      <c r="AA26" s="576">
        <f>X26/$AG26</f>
        <v>196.30114337418772</v>
      </c>
      <c r="AB26" s="576">
        <f>Y26/$AG26</f>
        <v>19.466746343186447</v>
      </c>
      <c r="AC26" s="576"/>
      <c r="AD26" s="322" t="s">
        <v>450</v>
      </c>
      <c r="AE26" s="324">
        <v>38.5</v>
      </c>
      <c r="AF26" s="324">
        <v>24.1</v>
      </c>
      <c r="AG26" s="323">
        <v>206669</v>
      </c>
      <c r="AH26" s="322" t="s">
        <v>464</v>
      </c>
      <c r="AI26" s="322" t="s">
        <v>465</v>
      </c>
      <c r="AJ26" s="198"/>
      <c r="AK26" s="322">
        <v>2.95</v>
      </c>
      <c r="AL26" s="322">
        <v>4.51</v>
      </c>
      <c r="AM26" s="324">
        <v>68.8</v>
      </c>
      <c r="AN26" s="324">
        <v>45</v>
      </c>
    </row>
    <row r="27" spans="2:40">
      <c r="B27" s="198" t="s">
        <v>647</v>
      </c>
      <c r="C27" s="321" t="s">
        <v>638</v>
      </c>
      <c r="D27" s="576" t="s">
        <v>659</v>
      </c>
      <c r="E27" s="322">
        <f t="shared" ref="E27:E28" si="8">(G27*F27)+G27</f>
        <v>237.90383198231393</v>
      </c>
      <c r="F27" s="584">
        <f t="shared" ref="F27:F28" si="9">$C$8</f>
        <v>-0.26798820928518785</v>
      </c>
      <c r="G27" s="590">
        <v>325</v>
      </c>
      <c r="H27" s="584">
        <f t="shared" si="7"/>
        <v>0.19749447310243196</v>
      </c>
      <c r="I27" s="322">
        <f t="shared" ref="I27:I28" si="10">(J27*G27)+G27</f>
        <v>387.57148120854833</v>
      </c>
      <c r="J27" s="584">
        <f t="shared" ref="J27:J28" si="11">$C$10</f>
        <v>0.19252763448784094</v>
      </c>
      <c r="K27" s="594"/>
      <c r="L27" s="610"/>
      <c r="M27" s="610"/>
      <c r="N27" s="610"/>
      <c r="O27" s="198"/>
      <c r="P27" s="610"/>
      <c r="Q27" s="610"/>
      <c r="R27" s="610"/>
      <c r="S27" s="198"/>
      <c r="T27" s="610"/>
      <c r="U27" s="610"/>
      <c r="V27" s="610"/>
      <c r="W27" s="610"/>
      <c r="X27" s="575"/>
      <c r="Y27" s="575"/>
      <c r="Z27" s="575"/>
      <c r="AA27" s="575"/>
      <c r="AB27" s="575"/>
      <c r="AC27" s="575"/>
      <c r="AD27" s="322" t="s">
        <v>450</v>
      </c>
      <c r="AE27" s="324">
        <v>38.5</v>
      </c>
      <c r="AF27" s="324">
        <v>24.1</v>
      </c>
      <c r="AG27" s="323">
        <v>206669</v>
      </c>
      <c r="AH27" s="322" t="s">
        <v>464</v>
      </c>
      <c r="AI27" s="322" t="s">
        <v>465</v>
      </c>
      <c r="AJ27" s="198"/>
      <c r="AK27" s="322">
        <v>2.95</v>
      </c>
      <c r="AL27" s="322">
        <v>4.51</v>
      </c>
      <c r="AM27" s="324">
        <v>68.8</v>
      </c>
      <c r="AN27" s="324">
        <v>45</v>
      </c>
    </row>
    <row r="28" spans="2:40">
      <c r="B28" s="198" t="s">
        <v>648</v>
      </c>
      <c r="C28" s="321" t="s">
        <v>638</v>
      </c>
      <c r="D28" s="576" t="s">
        <v>659</v>
      </c>
      <c r="E28" s="322">
        <f t="shared" si="8"/>
        <v>219.60353721444363</v>
      </c>
      <c r="F28" s="587">
        <f t="shared" si="9"/>
        <v>-0.26798820928518785</v>
      </c>
      <c r="G28" s="590">
        <v>300</v>
      </c>
      <c r="H28" s="587">
        <f t="shared" si="7"/>
        <v>0.10537951363301401</v>
      </c>
      <c r="I28" s="322">
        <f t="shared" si="10"/>
        <v>357.75829034635228</v>
      </c>
      <c r="J28" s="587">
        <f t="shared" si="11"/>
        <v>0.19252763448784094</v>
      </c>
      <c r="K28" s="594"/>
      <c r="L28" s="610"/>
      <c r="M28" s="610"/>
      <c r="N28" s="610"/>
      <c r="O28" s="198"/>
      <c r="P28" s="610"/>
      <c r="Q28" s="610"/>
      <c r="R28" s="610"/>
      <c r="S28" s="198"/>
      <c r="T28" s="610"/>
      <c r="U28" s="610"/>
      <c r="V28" s="610"/>
      <c r="W28" s="610"/>
      <c r="X28" s="575">
        <v>3646000</v>
      </c>
      <c r="Y28" s="575">
        <v>3640000</v>
      </c>
      <c r="Z28" s="575">
        <v>14864</v>
      </c>
      <c r="AA28" s="576">
        <f>X28/$AG28</f>
        <v>17.641736302977225</v>
      </c>
      <c r="AB28" s="576">
        <f>Y28/$AG28</f>
        <v>17.612704372692566</v>
      </c>
      <c r="AC28" s="576"/>
      <c r="AD28" s="322" t="s">
        <v>450</v>
      </c>
      <c r="AE28" s="324">
        <v>38.5</v>
      </c>
      <c r="AF28" s="324">
        <v>24.1</v>
      </c>
      <c r="AG28" s="323">
        <v>206669</v>
      </c>
      <c r="AH28" s="322" t="s">
        <v>464</v>
      </c>
      <c r="AI28" s="322" t="s">
        <v>465</v>
      </c>
      <c r="AJ28" s="198"/>
      <c r="AK28" s="322">
        <v>2.95</v>
      </c>
      <c r="AL28" s="322">
        <v>4.51</v>
      </c>
      <c r="AM28" s="324">
        <v>68.8</v>
      </c>
      <c r="AN28" s="324">
        <v>45</v>
      </c>
    </row>
    <row r="29" spans="2:40" s="334" customFormat="1">
      <c r="B29" s="198"/>
      <c r="C29" s="591"/>
      <c r="D29" s="592"/>
      <c r="E29" s="593"/>
      <c r="F29" s="594"/>
      <c r="G29" s="595"/>
      <c r="H29" s="594"/>
      <c r="I29" s="593"/>
      <c r="J29" s="594"/>
      <c r="K29" s="594"/>
      <c r="L29" s="596"/>
      <c r="M29" s="467"/>
      <c r="N29" s="467"/>
      <c r="O29" s="467"/>
      <c r="P29" s="596"/>
      <c r="Q29" s="467"/>
      <c r="R29" s="467"/>
      <c r="S29" s="467"/>
      <c r="T29" s="596"/>
      <c r="U29" s="467"/>
      <c r="V29" s="467"/>
      <c r="W29" s="467"/>
      <c r="X29" s="597"/>
      <c r="Y29" s="597"/>
      <c r="Z29" s="597"/>
      <c r="AA29" s="592"/>
      <c r="AB29" s="592"/>
      <c r="AC29" s="592"/>
      <c r="AD29" s="593"/>
      <c r="AE29" s="596"/>
      <c r="AF29" s="596"/>
      <c r="AG29" s="598"/>
      <c r="AH29" s="593"/>
      <c r="AI29" s="593"/>
      <c r="AJ29" s="467"/>
      <c r="AK29" s="593"/>
      <c r="AL29" s="593"/>
      <c r="AM29" s="596"/>
      <c r="AN29" s="596"/>
    </row>
    <row r="30" spans="2:40" s="334" customFormat="1">
      <c r="B30" s="599" t="s">
        <v>222</v>
      </c>
      <c r="C30" s="601"/>
      <c r="D30" s="602"/>
      <c r="E30" s="603">
        <f>MAX(E$18:E$28)</f>
        <v>250</v>
      </c>
      <c r="F30" s="384">
        <f t="shared" ref="F30:V30" si="12">MAX(F$18:F$28)</f>
        <v>-7.8850405305821547E-2</v>
      </c>
      <c r="G30" s="603">
        <f t="shared" si="12"/>
        <v>325</v>
      </c>
      <c r="H30" s="384">
        <f t="shared" si="12"/>
        <v>0.19749447310243196</v>
      </c>
      <c r="I30" s="603">
        <f t="shared" si="12"/>
        <v>387.57148120854833</v>
      </c>
      <c r="J30" s="384">
        <f t="shared" si="12"/>
        <v>0.40383198231392781</v>
      </c>
      <c r="K30" s="384"/>
      <c r="L30" s="604">
        <f t="shared" si="12"/>
        <v>32.5</v>
      </c>
      <c r="M30" s="604">
        <f t="shared" si="12"/>
        <v>32</v>
      </c>
      <c r="N30" s="604">
        <f t="shared" si="12"/>
        <v>28.9</v>
      </c>
      <c r="O30" s="599"/>
      <c r="P30" s="604">
        <f t="shared" si="12"/>
        <v>25.1</v>
      </c>
      <c r="Q30" s="604">
        <f t="shared" si="12"/>
        <v>23.3</v>
      </c>
      <c r="R30" s="604">
        <f t="shared" si="12"/>
        <v>22.4</v>
      </c>
      <c r="S30" s="599"/>
      <c r="T30" s="612">
        <f t="shared" si="12"/>
        <v>8.48</v>
      </c>
      <c r="U30" s="612">
        <f t="shared" si="12"/>
        <v>9.6</v>
      </c>
      <c r="V30" s="612">
        <f t="shared" si="12"/>
        <v>10.3</v>
      </c>
      <c r="W30" s="604"/>
      <c r="X30" s="605"/>
      <c r="Y30" s="605"/>
      <c r="Z30" s="605"/>
      <c r="AA30" s="602"/>
      <c r="AB30" s="602"/>
      <c r="AC30" s="602"/>
      <c r="AD30" s="603"/>
      <c r="AE30" s="604"/>
      <c r="AF30" s="604"/>
      <c r="AG30" s="606"/>
      <c r="AH30" s="603"/>
      <c r="AI30" s="603"/>
      <c r="AJ30" s="599"/>
      <c r="AK30" s="603"/>
      <c r="AL30" s="603"/>
      <c r="AM30" s="604"/>
      <c r="AN30" s="604"/>
    </row>
    <row r="31" spans="2:40" s="334" customFormat="1">
      <c r="B31" s="599" t="s">
        <v>665</v>
      </c>
      <c r="C31" s="601"/>
      <c r="D31" s="602"/>
      <c r="E31" s="603">
        <f>QUARTILE(E$18:E$28,3)</f>
        <v>230.5837140751658</v>
      </c>
      <c r="F31" s="384">
        <f>QUARTILE(F$18:F$28,3)</f>
        <v>-0.26798820928518785</v>
      </c>
      <c r="G31" s="603">
        <f>QUARTILE(G$18:G$28,3)</f>
        <v>305</v>
      </c>
      <c r="H31" s="384">
        <f>QUARTILE(H$18:H$28,3)</f>
        <v>0.12380250552689764</v>
      </c>
      <c r="I31" s="603">
        <f>QUARTILE(I$18:I$28,3)</f>
        <v>372.36046425939571</v>
      </c>
      <c r="J31" s="384">
        <f>QUARTILE(J$18:J$28,3)</f>
        <v>0.20422254974207826</v>
      </c>
      <c r="K31" s="384"/>
      <c r="L31" s="604">
        <f>QUARTILE(L$18:L$28,3)</f>
        <v>32.375</v>
      </c>
      <c r="M31" s="604">
        <f>QUARTILE(M$18:M$28,3)</f>
        <v>30.95</v>
      </c>
      <c r="N31" s="604">
        <f>QUARTILE(N$18:N$28,3)</f>
        <v>28.25</v>
      </c>
      <c r="O31" s="599"/>
      <c r="P31" s="604">
        <f>QUARTILE(P$18:P$28,3)</f>
        <v>24.825000000000003</v>
      </c>
      <c r="Q31" s="604">
        <f>QUARTILE(Q$18:Q$28,3)</f>
        <v>23.074999999999999</v>
      </c>
      <c r="R31" s="604">
        <f>QUARTILE(R$18:R$28,3)</f>
        <v>22.099999999999998</v>
      </c>
      <c r="S31" s="599"/>
      <c r="T31" s="612">
        <f>QUARTILE(T$18:T$28,3)</f>
        <v>8.4474999999999998</v>
      </c>
      <c r="U31" s="612">
        <f>QUARTILE(U$18:U$28,3)</f>
        <v>9.43</v>
      </c>
      <c r="V31" s="612">
        <f>QUARTILE(V$18:V$28,3)</f>
        <v>10.075000000000001</v>
      </c>
      <c r="W31" s="604"/>
      <c r="X31" s="605"/>
      <c r="Y31" s="605"/>
      <c r="Z31" s="605"/>
      <c r="AA31" s="602"/>
      <c r="AB31" s="602"/>
      <c r="AC31" s="602"/>
      <c r="AD31" s="603"/>
      <c r="AE31" s="604"/>
      <c r="AF31" s="604"/>
      <c r="AG31" s="606"/>
      <c r="AH31" s="603"/>
      <c r="AI31" s="603"/>
      <c r="AJ31" s="599"/>
      <c r="AK31" s="603"/>
      <c r="AL31" s="603"/>
      <c r="AM31" s="604"/>
      <c r="AN31" s="604"/>
    </row>
    <row r="32" spans="2:40" s="334" customFormat="1">
      <c r="B32" s="600" t="s">
        <v>369</v>
      </c>
      <c r="C32" s="601"/>
      <c r="D32" s="602"/>
      <c r="E32" s="607">
        <f>AVERAGE(E$18:E$28)</f>
        <v>207.75825551014941</v>
      </c>
      <c r="F32" s="608">
        <f t="shared" ref="F32:V32" si="13">AVERAGE(F$18:F$28)</f>
        <v>-0.2679882092851878</v>
      </c>
      <c r="G32" s="607">
        <f t="shared" si="13"/>
        <v>284.27181818181816</v>
      </c>
      <c r="H32" s="608">
        <f t="shared" si="13"/>
        <v>4.7427480404635979E-2</v>
      </c>
      <c r="I32" s="607">
        <f t="shared" si="13"/>
        <v>338.46102498827628</v>
      </c>
      <c r="J32" s="608">
        <f t="shared" si="13"/>
        <v>0.19252763448784097</v>
      </c>
      <c r="K32" s="608"/>
      <c r="L32" s="609">
        <f t="shared" si="13"/>
        <v>32.25</v>
      </c>
      <c r="M32" s="609">
        <f t="shared" si="13"/>
        <v>30.014285714285712</v>
      </c>
      <c r="N32" s="609">
        <f t="shared" si="13"/>
        <v>27.6</v>
      </c>
      <c r="O32" s="599"/>
      <c r="P32" s="609">
        <f t="shared" si="13"/>
        <v>24.55</v>
      </c>
      <c r="Q32" s="609">
        <f t="shared" si="13"/>
        <v>22.85</v>
      </c>
      <c r="R32" s="609">
        <f t="shared" si="13"/>
        <v>21.799999999999997</v>
      </c>
      <c r="S32" s="599"/>
      <c r="T32" s="612">
        <f t="shared" si="13"/>
        <v>8.4149999999999991</v>
      </c>
      <c r="U32" s="612">
        <f t="shared" si="13"/>
        <v>9.26</v>
      </c>
      <c r="V32" s="612">
        <f t="shared" si="13"/>
        <v>9.8500000000000014</v>
      </c>
      <c r="W32" s="609"/>
      <c r="X32" s="605"/>
      <c r="Y32" s="605"/>
      <c r="Z32" s="605"/>
      <c r="AA32" s="602"/>
      <c r="AB32" s="602"/>
      <c r="AC32" s="602"/>
      <c r="AD32" s="603"/>
      <c r="AE32" s="604"/>
      <c r="AF32" s="604"/>
      <c r="AG32" s="606"/>
      <c r="AH32" s="603"/>
      <c r="AI32" s="603"/>
      <c r="AJ32" s="599"/>
      <c r="AK32" s="603"/>
      <c r="AL32" s="603"/>
      <c r="AM32" s="604"/>
      <c r="AN32" s="604"/>
    </row>
    <row r="33" spans="2:40" s="334" customFormat="1">
      <c r="B33" s="600" t="s">
        <v>412</v>
      </c>
      <c r="C33" s="601"/>
      <c r="D33" s="602"/>
      <c r="E33" s="607">
        <f>MEDIAN(E$18:E$28)</f>
        <v>195</v>
      </c>
      <c r="F33" s="608">
        <f t="shared" ref="F33:V33" si="14">MEDIAN(F$18:F$28)</f>
        <v>-0.26798820928518785</v>
      </c>
      <c r="G33" s="607">
        <f t="shared" si="14"/>
        <v>300</v>
      </c>
      <c r="H33" s="608">
        <f t="shared" si="14"/>
        <v>0.10537951363301401</v>
      </c>
      <c r="I33" s="607">
        <f t="shared" si="14"/>
        <v>357.75829034635228</v>
      </c>
      <c r="J33" s="608">
        <f t="shared" si="14"/>
        <v>0.19252763448784094</v>
      </c>
      <c r="K33" s="608"/>
      <c r="L33" s="609">
        <f t="shared" si="14"/>
        <v>32.25</v>
      </c>
      <c r="M33" s="609">
        <f t="shared" si="14"/>
        <v>30</v>
      </c>
      <c r="N33" s="609">
        <f t="shared" si="14"/>
        <v>27.6</v>
      </c>
      <c r="O33" s="599"/>
      <c r="P33" s="609">
        <f t="shared" si="14"/>
        <v>24.55</v>
      </c>
      <c r="Q33" s="609">
        <f t="shared" si="14"/>
        <v>22.85</v>
      </c>
      <c r="R33" s="609">
        <f t="shared" si="14"/>
        <v>21.799999999999997</v>
      </c>
      <c r="S33" s="599"/>
      <c r="T33" s="612">
        <f t="shared" si="14"/>
        <v>8.4149999999999991</v>
      </c>
      <c r="U33" s="612">
        <f t="shared" si="14"/>
        <v>9.26</v>
      </c>
      <c r="V33" s="612">
        <f t="shared" si="14"/>
        <v>9.8500000000000014</v>
      </c>
      <c r="W33" s="609"/>
      <c r="X33" s="605"/>
      <c r="Y33" s="605"/>
      <c r="Z33" s="605"/>
      <c r="AA33" s="602"/>
      <c r="AB33" s="602"/>
      <c r="AC33" s="602"/>
      <c r="AD33" s="603"/>
      <c r="AE33" s="604"/>
      <c r="AF33" s="604"/>
      <c r="AG33" s="606"/>
      <c r="AH33" s="603"/>
      <c r="AI33" s="603"/>
      <c r="AJ33" s="599"/>
      <c r="AK33" s="603"/>
      <c r="AL33" s="603"/>
      <c r="AM33" s="604"/>
      <c r="AN33" s="604"/>
    </row>
    <row r="34" spans="2:40" s="334" customFormat="1">
      <c r="B34" s="599" t="s">
        <v>666</v>
      </c>
      <c r="C34" s="601"/>
      <c r="D34" s="602"/>
      <c r="E34" s="603">
        <f>QUARTILE(E$18:E$28,1)</f>
        <v>186.8315327929256</v>
      </c>
      <c r="F34" s="384">
        <f t="shared" ref="F34:V34" si="15">QUARTILE(F$18:F$28,1)</f>
        <v>-0.28334561532792918</v>
      </c>
      <c r="G34" s="603">
        <f t="shared" si="15"/>
        <v>255</v>
      </c>
      <c r="H34" s="384">
        <f t="shared" si="15"/>
        <v>-6.0427413411938025E-2</v>
      </c>
      <c r="I34" s="603">
        <f t="shared" si="15"/>
        <v>304.09454679439943</v>
      </c>
      <c r="J34" s="384">
        <f t="shared" si="15"/>
        <v>0.19252763448784094</v>
      </c>
      <c r="K34" s="384"/>
      <c r="L34" s="604">
        <f t="shared" si="15"/>
        <v>32.125</v>
      </c>
      <c r="M34" s="604">
        <f t="shared" si="15"/>
        <v>29.15</v>
      </c>
      <c r="N34" s="604">
        <f t="shared" si="15"/>
        <v>26.95</v>
      </c>
      <c r="O34" s="599"/>
      <c r="P34" s="604">
        <f t="shared" si="15"/>
        <v>24.274999999999999</v>
      </c>
      <c r="Q34" s="604">
        <f t="shared" si="15"/>
        <v>22.625</v>
      </c>
      <c r="R34" s="604">
        <f t="shared" si="15"/>
        <v>21.5</v>
      </c>
      <c r="S34" s="599"/>
      <c r="T34" s="612">
        <f t="shared" si="15"/>
        <v>8.3825000000000003</v>
      </c>
      <c r="U34" s="612">
        <f t="shared" si="15"/>
        <v>9.09</v>
      </c>
      <c r="V34" s="612">
        <f t="shared" si="15"/>
        <v>9.625</v>
      </c>
      <c r="W34" s="604"/>
      <c r="X34" s="605"/>
      <c r="Y34" s="605"/>
      <c r="Z34" s="605"/>
      <c r="AA34" s="602"/>
      <c r="AB34" s="602"/>
      <c r="AC34" s="602"/>
      <c r="AD34" s="603"/>
      <c r="AE34" s="604"/>
      <c r="AF34" s="604"/>
      <c r="AG34" s="606"/>
      <c r="AH34" s="603"/>
      <c r="AI34" s="603"/>
      <c r="AJ34" s="599"/>
      <c r="AK34" s="603"/>
      <c r="AL34" s="603"/>
      <c r="AM34" s="604"/>
      <c r="AN34" s="604"/>
    </row>
    <row r="35" spans="2:40" s="334" customFormat="1">
      <c r="B35" s="599" t="s">
        <v>348</v>
      </c>
      <c r="C35" s="601"/>
      <c r="D35" s="602"/>
      <c r="E35" s="603">
        <f>MAX(E$18:E$28)</f>
        <v>250</v>
      </c>
      <c r="F35" s="384">
        <f>MIN(F$18:F$28)</f>
        <v>-0.36993367722918191</v>
      </c>
      <c r="G35" s="603">
        <f t="shared" ref="G35:V35" si="16">MAX(G$18:G$28)</f>
        <v>325</v>
      </c>
      <c r="H35" s="384">
        <f t="shared" si="16"/>
        <v>0.19749447310243196</v>
      </c>
      <c r="I35" s="603">
        <f t="shared" si="16"/>
        <v>387.57148120854833</v>
      </c>
      <c r="J35" s="384">
        <f t="shared" si="16"/>
        <v>0.40383198231392781</v>
      </c>
      <c r="K35" s="384"/>
      <c r="L35" s="604">
        <f t="shared" si="16"/>
        <v>32.5</v>
      </c>
      <c r="M35" s="604">
        <f t="shared" si="16"/>
        <v>32</v>
      </c>
      <c r="N35" s="604">
        <f t="shared" si="16"/>
        <v>28.9</v>
      </c>
      <c r="O35" s="599"/>
      <c r="P35" s="604">
        <f t="shared" si="16"/>
        <v>25.1</v>
      </c>
      <c r="Q35" s="604">
        <f t="shared" si="16"/>
        <v>23.3</v>
      </c>
      <c r="R35" s="604">
        <f t="shared" si="16"/>
        <v>22.4</v>
      </c>
      <c r="S35" s="599"/>
      <c r="T35" s="612">
        <f t="shared" si="16"/>
        <v>8.48</v>
      </c>
      <c r="U35" s="612">
        <f t="shared" si="16"/>
        <v>9.6</v>
      </c>
      <c r="V35" s="612">
        <f t="shared" si="16"/>
        <v>10.3</v>
      </c>
      <c r="W35" s="604"/>
      <c r="X35" s="605"/>
      <c r="Y35" s="605"/>
      <c r="Z35" s="605"/>
      <c r="AA35" s="602"/>
      <c r="AB35" s="602"/>
      <c r="AC35" s="602"/>
      <c r="AD35" s="603"/>
      <c r="AE35" s="604"/>
      <c r="AF35" s="604"/>
      <c r="AG35" s="606"/>
      <c r="AH35" s="603"/>
      <c r="AI35" s="603"/>
      <c r="AJ35" s="599"/>
      <c r="AK35" s="603"/>
      <c r="AL35" s="603"/>
      <c r="AM35" s="604"/>
      <c r="AN35" s="604"/>
    </row>
    <row r="36" spans="2:40" s="334" customFormat="1">
      <c r="B36" s="467"/>
      <c r="C36" s="591"/>
      <c r="D36" s="592"/>
      <c r="E36" s="593"/>
      <c r="F36" s="594"/>
      <c r="G36" s="595"/>
      <c r="H36" s="594"/>
      <c r="I36" s="593"/>
      <c r="J36" s="594"/>
      <c r="K36" s="594"/>
      <c r="L36" s="596"/>
      <c r="M36" s="467"/>
      <c r="N36" s="467"/>
      <c r="O36" s="467"/>
      <c r="P36" s="596"/>
      <c r="Q36" s="467"/>
      <c r="R36" s="467"/>
      <c r="S36" s="467"/>
      <c r="T36" s="596"/>
      <c r="U36" s="467"/>
      <c r="V36" s="467"/>
      <c r="W36" s="467"/>
      <c r="X36" s="597"/>
      <c r="Y36" s="597"/>
      <c r="Z36" s="597"/>
      <c r="AA36" s="592"/>
      <c r="AB36" s="592"/>
      <c r="AC36" s="592"/>
      <c r="AD36" s="593"/>
      <c r="AE36" s="596"/>
      <c r="AF36" s="596"/>
      <c r="AG36" s="598"/>
      <c r="AH36" s="593"/>
      <c r="AI36" s="593"/>
      <c r="AJ36" s="467"/>
      <c r="AK36" s="593"/>
      <c r="AL36" s="593"/>
      <c r="AM36" s="596"/>
      <c r="AN36" s="596"/>
    </row>
    <row r="37" spans="2:40" s="334" customFormat="1">
      <c r="B37" s="467"/>
      <c r="C37" s="591"/>
      <c r="D37" s="592"/>
      <c r="E37" s="593"/>
      <c r="F37" s="594"/>
      <c r="G37" s="595"/>
      <c r="H37" s="594"/>
      <c r="I37" s="593"/>
      <c r="J37" s="594"/>
      <c r="K37" s="594"/>
      <c r="L37" s="596"/>
      <c r="M37" s="467"/>
      <c r="N37" s="467"/>
      <c r="O37" s="467"/>
      <c r="P37" s="596"/>
      <c r="Q37" s="467"/>
      <c r="R37" s="467"/>
      <c r="S37" s="467"/>
      <c r="T37" s="596"/>
      <c r="U37" s="467"/>
      <c r="V37" s="467"/>
      <c r="W37" s="467"/>
      <c r="X37" s="597"/>
      <c r="Y37" s="597"/>
      <c r="Z37" s="597"/>
      <c r="AA37" s="592"/>
      <c r="AB37" s="592"/>
      <c r="AC37" s="592"/>
      <c r="AD37" s="593"/>
      <c r="AE37" s="596"/>
      <c r="AF37" s="596"/>
      <c r="AG37" s="598"/>
      <c r="AH37" s="593"/>
      <c r="AI37" s="593"/>
      <c r="AJ37" s="467"/>
      <c r="AK37" s="593"/>
      <c r="AL37" s="593"/>
      <c r="AM37" s="596"/>
      <c r="AN37" s="596"/>
    </row>
    <row r="38" spans="2:40" ht="5.0999999999999996" customHeight="1" thickBot="1">
      <c r="B38" s="577"/>
      <c r="C38" s="577"/>
      <c r="D38" s="577"/>
      <c r="E38" s="577"/>
      <c r="F38" s="577"/>
      <c r="G38" s="577"/>
      <c r="H38" s="577"/>
      <c r="I38" s="577"/>
      <c r="J38" s="577"/>
      <c r="K38" s="577"/>
      <c r="L38" s="577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  <c r="AA38" s="577"/>
      <c r="AB38" s="577"/>
      <c r="AC38" s="577"/>
      <c r="AD38" s="577"/>
      <c r="AE38" s="577"/>
      <c r="AF38" s="577"/>
      <c r="AG38" s="577"/>
      <c r="AH38" s="577"/>
      <c r="AI38" s="577"/>
      <c r="AJ38" s="577"/>
      <c r="AK38" s="577"/>
      <c r="AL38" s="577"/>
      <c r="AM38" s="577"/>
      <c r="AN38" s="577"/>
    </row>
    <row r="39" spans="2:40">
      <c r="B39" s="198" t="s">
        <v>649</v>
      </c>
      <c r="C39" s="583"/>
      <c r="D39" s="583"/>
      <c r="E39" s="583"/>
      <c r="F39" s="583"/>
      <c r="G39" s="583"/>
      <c r="H39" s="583"/>
      <c r="I39" s="583"/>
      <c r="J39" s="583"/>
      <c r="K39" s="583"/>
      <c r="L39" s="583"/>
      <c r="M39" s="583"/>
      <c r="N39" s="583"/>
      <c r="O39" s="583"/>
      <c r="P39" s="583"/>
      <c r="Q39" s="583"/>
      <c r="R39" s="583"/>
      <c r="S39" s="583"/>
      <c r="T39" s="583"/>
      <c r="U39" s="583"/>
      <c r="V39" s="583"/>
      <c r="W39" s="583"/>
      <c r="X39" s="583"/>
      <c r="Y39" s="583"/>
      <c r="Z39" s="583"/>
      <c r="AA39" s="583"/>
      <c r="AB39" s="583"/>
      <c r="AC39" s="583"/>
      <c r="AD39" s="583"/>
      <c r="AE39" s="583"/>
      <c r="AF39" s="583"/>
      <c r="AG39" s="583"/>
      <c r="AH39" s="583"/>
      <c r="AI39" s="583"/>
      <c r="AJ39" s="583"/>
      <c r="AK39" s="583"/>
      <c r="AL39" s="583"/>
      <c r="AM39" s="583"/>
      <c r="AN39" s="583"/>
    </row>
  </sheetData>
  <pageMargins left="0.7" right="0.7" top="0.75" bottom="0.75" header="0.3" footer="0.3"/>
  <ignoredErrors>
    <ignoredError sqref="F21:F28 J21:J2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16F3-FBD3-41F7-B686-90283226EB0E}">
  <sheetPr>
    <tabColor theme="6" tint="0.39997558519241921"/>
  </sheetPr>
  <dimension ref="A2:L490"/>
  <sheetViews>
    <sheetView showGridLines="0" topLeftCell="A172" zoomScale="115" zoomScaleNormal="115" workbookViewId="0">
      <selection activeCell="C379" sqref="C375:H379"/>
    </sheetView>
  </sheetViews>
  <sheetFormatPr defaultRowHeight="14.25"/>
  <cols>
    <col min="1" max="1" width="2" bestFit="1" customWidth="1"/>
    <col min="2" max="2" width="23.375" bestFit="1" customWidth="1"/>
    <col min="3" max="3" width="9.375" bestFit="1" customWidth="1"/>
    <col min="4" max="8" width="7.875" bestFit="1" customWidth="1"/>
    <col min="9" max="9" width="1.625" customWidth="1"/>
    <col min="11" max="11" width="9.875" bestFit="1" customWidth="1"/>
  </cols>
  <sheetData>
    <row r="2" spans="1:11">
      <c r="B2" s="247" t="s">
        <v>223</v>
      </c>
      <c r="C2" s="304"/>
      <c r="D2" s="304"/>
      <c r="E2" s="304"/>
      <c r="F2" s="304"/>
      <c r="G2" s="304"/>
      <c r="H2" s="304"/>
      <c r="I2" s="304"/>
      <c r="J2" s="304"/>
    </row>
    <row r="3" spans="1:11">
      <c r="B3" s="303" t="s">
        <v>520</v>
      </c>
      <c r="C3" s="304"/>
      <c r="D3" s="304"/>
      <c r="E3" s="304"/>
      <c r="F3" s="304"/>
      <c r="G3" s="304"/>
      <c r="H3" s="304"/>
      <c r="I3" s="304"/>
      <c r="J3" s="304"/>
    </row>
    <row r="4" spans="1:11">
      <c r="B4" s="303" t="s">
        <v>521</v>
      </c>
      <c r="C4" s="248"/>
      <c r="D4" s="248"/>
      <c r="E4" s="248"/>
      <c r="F4" s="248"/>
      <c r="G4" s="248"/>
      <c r="H4" s="248"/>
      <c r="I4" s="248"/>
      <c r="J4" s="3"/>
    </row>
    <row r="5" spans="1:11" ht="5.0999999999999996" customHeight="1"/>
    <row r="6" spans="1:11">
      <c r="A6" s="391" t="s">
        <v>24</v>
      </c>
      <c r="B6" s="247" t="s">
        <v>376</v>
      </c>
      <c r="C6" s="247"/>
      <c r="D6" s="247"/>
      <c r="E6" s="247"/>
      <c r="F6" s="247"/>
      <c r="G6" s="247"/>
      <c r="H6" s="247"/>
      <c r="I6" s="247"/>
      <c r="J6" s="247"/>
    </row>
    <row r="7" spans="1:11" ht="5.0999999999999996" customHeight="1"/>
    <row r="8" spans="1:11">
      <c r="B8" s="247" t="s">
        <v>12</v>
      </c>
      <c r="C8" s="229" t="s">
        <v>165</v>
      </c>
      <c r="D8" s="229"/>
      <c r="E8" s="229"/>
      <c r="F8" s="229"/>
      <c r="G8" s="229"/>
      <c r="H8" s="229"/>
      <c r="I8" s="248"/>
      <c r="J8" s="2" t="s">
        <v>370</v>
      </c>
    </row>
    <row r="9" spans="1:11">
      <c r="B9" s="303" t="s">
        <v>410</v>
      </c>
      <c r="C9" s="304" t="s">
        <v>474</v>
      </c>
      <c r="D9" s="304" t="s">
        <v>475</v>
      </c>
      <c r="E9" s="304" t="s">
        <v>476</v>
      </c>
      <c r="F9" s="304" t="s">
        <v>477</v>
      </c>
      <c r="G9" s="304" t="s">
        <v>478</v>
      </c>
      <c r="H9" s="304" t="s">
        <v>557</v>
      </c>
      <c r="I9" s="248"/>
      <c r="J9" s="200" t="s">
        <v>561</v>
      </c>
    </row>
    <row r="10" spans="1:11">
      <c r="B10" s="303" t="s">
        <v>411</v>
      </c>
      <c r="C10" s="248">
        <v>46295</v>
      </c>
      <c r="D10" s="248">
        <v>46660</v>
      </c>
      <c r="E10" s="248">
        <v>47026</v>
      </c>
      <c r="F10" s="248">
        <v>47391</v>
      </c>
      <c r="G10" s="248">
        <v>47756</v>
      </c>
      <c r="H10" s="248">
        <v>48121</v>
      </c>
      <c r="I10" s="248"/>
      <c r="J10" s="3">
        <f>H10</f>
        <v>48121</v>
      </c>
    </row>
    <row r="11" spans="1:11" ht="5.0999999999999996" customHeight="1">
      <c r="B11" s="307"/>
    </row>
    <row r="12" spans="1:11">
      <c r="B12" s="467" t="s">
        <v>364</v>
      </c>
      <c r="C12" s="469">
        <f>+C44+C70+C96+C122+C146</f>
        <v>460042</v>
      </c>
      <c r="D12" s="469">
        <f>+D44+D70+D96+D122+D146</f>
        <v>524298</v>
      </c>
      <c r="E12" s="469">
        <f>+E44+E70+E96+E122+E146</f>
        <v>556689</v>
      </c>
      <c r="F12" s="469">
        <f>+F44+F70+F96+F122+F146</f>
        <v>592415.3307552404</v>
      </c>
      <c r="G12" s="469">
        <f>+G44+G70+G96+G122+G146</f>
        <v>631871.74256466061</v>
      </c>
      <c r="H12" s="469">
        <f>+H44+H70+H96+H122+H146</f>
        <v>675501.7717197215</v>
      </c>
      <c r="J12" s="365">
        <f>((H12/C12)^(1/COUNT(C12:H12))-1)</f>
        <v>6.6116917491473304E-2</v>
      </c>
      <c r="K12" s="467" t="s">
        <v>627</v>
      </c>
    </row>
    <row r="13" spans="1:11">
      <c r="B13" s="308" t="s">
        <v>44</v>
      </c>
      <c r="C13" s="361">
        <f>(C12/'3 Statement Model'!$H$24)-1</f>
        <v>0.10544236485398684</v>
      </c>
      <c r="D13" s="314">
        <f t="shared" ref="D13:H13" si="0">SUM(D12/C12)-1</f>
        <v>0.13967420365966587</v>
      </c>
      <c r="E13" s="314">
        <f t="shared" si="0"/>
        <v>6.1779751210189637E-2</v>
      </c>
      <c r="F13" s="314">
        <f t="shared" si="0"/>
        <v>6.4176462540557422E-2</v>
      </c>
      <c r="G13" s="314">
        <f t="shared" si="0"/>
        <v>6.6602617726180702E-2</v>
      </c>
      <c r="H13" s="314">
        <f t="shared" si="0"/>
        <v>6.9048868965043475E-2</v>
      </c>
      <c r="J13" s="363"/>
    </row>
    <row r="14" spans="1:11">
      <c r="B14" s="467" t="s">
        <v>373</v>
      </c>
      <c r="C14" s="469">
        <f>+C46+C72+C98+C124+C148</f>
        <v>455258</v>
      </c>
      <c r="D14" s="469">
        <f>+D46+D72+D98+D124+D148</f>
        <v>501329</v>
      </c>
      <c r="E14" s="469">
        <f>+E46+E72+E98+E124+E148</f>
        <v>519816</v>
      </c>
      <c r="F14" s="469">
        <f>+F46+F72+F98+F124+F148</f>
        <v>540744.16841497947</v>
      </c>
      <c r="G14" s="469">
        <f>+G46+G72+G98+G124+G148</f>
        <v>564391.74414205225</v>
      </c>
      <c r="H14" s="469">
        <f>+H46+H72+H98+H124+H148</f>
        <v>591070.82953414286</v>
      </c>
      <c r="J14" s="362">
        <f t="shared" ref="J14" si="1">((H14/C14)^(1/COUNT(C14:H14))-1)</f>
        <v>4.4472452346011382E-2</v>
      </c>
      <c r="K14" s="467" t="s">
        <v>628</v>
      </c>
    </row>
    <row r="15" spans="1:11">
      <c r="B15" s="308" t="s">
        <v>44</v>
      </c>
      <c r="C15" s="361">
        <f>(C14/'3 Statement Model'!$H$24)-1</f>
        <v>9.3946813853292399E-2</v>
      </c>
      <c r="D15" s="314">
        <f t="shared" ref="D15" si="2">SUM(D14/C14)-1</f>
        <v>0.10119756270071045</v>
      </c>
      <c r="E15" s="314">
        <f t="shared" ref="E15" si="3">SUM(E14/D14)-1</f>
        <v>3.6875983635496823E-2</v>
      </c>
      <c r="F15" s="314">
        <f t="shared" ref="F15" si="4">SUM(F14/E14)-1</f>
        <v>4.0260723823390299E-2</v>
      </c>
      <c r="G15" s="314">
        <f t="shared" ref="G15:H15" si="5">SUM(G14/F14)-1</f>
        <v>4.3731540917747003E-2</v>
      </c>
      <c r="H15" s="314">
        <f t="shared" si="5"/>
        <v>4.7270509657518556E-2</v>
      </c>
      <c r="J15" s="363"/>
    </row>
    <row r="16" spans="1:11">
      <c r="B16" s="467" t="s">
        <v>472</v>
      </c>
      <c r="C16" s="469">
        <f>C50+C76+C102+C126+C150</f>
        <v>455906</v>
      </c>
      <c r="D16" s="469">
        <f>D50+D76+D102+D126+D150</f>
        <v>481253</v>
      </c>
      <c r="E16" s="469">
        <f>E50+E76+E102+E126+E150</f>
        <v>504433</v>
      </c>
      <c r="F16" s="469">
        <f>F50+F76+F102+F126+F150</f>
        <v>529182.03360920271</v>
      </c>
      <c r="G16" s="469">
        <f>G50+G76+G102+G126+G150</f>
        <v>555624.94833083346</v>
      </c>
      <c r="H16" s="469">
        <f>H50+H76+H102+H126+H150</f>
        <v>583897.15657806373</v>
      </c>
      <c r="J16" s="362">
        <f t="shared" ref="J16" si="6">((H16/C16)^(1/COUNT(C16:H16))-1)</f>
        <v>4.2101870494665627E-2</v>
      </c>
      <c r="K16" s="467" t="s">
        <v>627</v>
      </c>
    </row>
    <row r="17" spans="2:11">
      <c r="B17" s="308" t="s">
        <v>44</v>
      </c>
      <c r="C17" s="361">
        <f>(C16/'3 Statement Model'!$H$24)-1</f>
        <v>9.5503903537332846E-2</v>
      </c>
      <c r="D17" s="314">
        <f t="shared" ref="D17" si="7">SUM(D16/C16)-1</f>
        <v>5.5596987098217587E-2</v>
      </c>
      <c r="E17" s="314">
        <f>D17</f>
        <v>5.5596987098217587E-2</v>
      </c>
      <c r="F17" s="314">
        <f t="shared" ref="F17" si="8">SUM(F16/E16)-1</f>
        <v>4.9063074004283447E-2</v>
      </c>
      <c r="G17" s="314">
        <f t="shared" ref="G17:H17" si="9">SUM(G16/F16)-1</f>
        <v>4.996941135979438E-2</v>
      </c>
      <c r="H17" s="314">
        <f t="shared" si="9"/>
        <v>5.0883619125029478E-2</v>
      </c>
      <c r="J17" s="363"/>
    </row>
    <row r="18" spans="2:11">
      <c r="B18" s="467" t="s">
        <v>473</v>
      </c>
      <c r="C18" s="468">
        <v>445329</v>
      </c>
      <c r="D18" s="468">
        <v>463919</v>
      </c>
      <c r="E18" s="468">
        <v>480019</v>
      </c>
      <c r="F18" s="468">
        <v>496364</v>
      </c>
      <c r="G18" s="468">
        <v>507732</v>
      </c>
      <c r="H18" s="469">
        <f>SUM(G18*H19)+G18</f>
        <v>519360.3561579808</v>
      </c>
      <c r="J18" s="362">
        <f t="shared" ref="J18" si="10">((H18/C18)^(1/COUNT(C18:H18))-1)</f>
        <v>2.5962065164502945E-2</v>
      </c>
      <c r="K18" s="467" t="s">
        <v>628</v>
      </c>
    </row>
    <row r="19" spans="2:11">
      <c r="B19" s="308" t="s">
        <v>44</v>
      </c>
      <c r="C19" s="361">
        <f>(C18/'3 Statement Model'!$H$24)-1</f>
        <v>7.0088259111257489E-2</v>
      </c>
      <c r="D19" s="314">
        <f t="shared" ref="D19" si="11">SUM(D18/C18)-1</f>
        <v>4.1744418171733688E-2</v>
      </c>
      <c r="E19" s="314">
        <f t="shared" ref="E19" si="12">SUM(E18/D18)-1</f>
        <v>3.4704334161782535E-2</v>
      </c>
      <c r="F19" s="314">
        <f t="shared" ref="F19" si="13">SUM(F18/E18)-1</f>
        <v>3.4050735491720108E-2</v>
      </c>
      <c r="G19" s="314">
        <f t="shared" ref="G19" si="14">SUM(G18/F18)-1</f>
        <v>2.2902547324141098E-2</v>
      </c>
      <c r="H19" s="314">
        <f>G19</f>
        <v>2.2902547324141098E-2</v>
      </c>
      <c r="J19" s="363"/>
    </row>
    <row r="20" spans="2:11">
      <c r="B20" s="198" t="s">
        <v>479</v>
      </c>
      <c r="C20" s="249">
        <v>450753</v>
      </c>
      <c r="D20" s="249">
        <v>460785</v>
      </c>
      <c r="E20" s="249">
        <v>474601</v>
      </c>
      <c r="F20" s="250">
        <f>SUM(E20*F21)+E20</f>
        <v>488831.25362370739</v>
      </c>
      <c r="G20" s="250">
        <f>SUM(F20*G21)+F20</f>
        <v>503488.1816922538</v>
      </c>
      <c r="H20" s="250">
        <f>SUM(G20*H21)+G20</f>
        <v>518584.57744788862</v>
      </c>
      <c r="J20" s="362">
        <f t="shared" ref="J20" si="15">((H20/C20)^(1/COUNT(C20:H20))-1)</f>
        <v>2.3639010887603451E-2</v>
      </c>
      <c r="K20" s="467" t="s">
        <v>627</v>
      </c>
    </row>
    <row r="21" spans="2:11">
      <c r="B21" s="308" t="s">
        <v>44</v>
      </c>
      <c r="C21" s="361">
        <f>(C20/'3 Statement Model'!$H$24)-1</f>
        <v>8.312167646655988E-2</v>
      </c>
      <c r="D21" s="314">
        <f t="shared" ref="D21:E21" si="16">SUM(D20/C20)-1</f>
        <v>2.2256091473600748E-2</v>
      </c>
      <c r="E21" s="314">
        <f t="shared" si="16"/>
        <v>2.9983614918020374E-2</v>
      </c>
      <c r="F21" s="314">
        <f t="shared" ref="F21:G21" si="17">E21</f>
        <v>2.9983614918020374E-2</v>
      </c>
      <c r="G21" s="314">
        <f t="shared" si="17"/>
        <v>2.9983614918020374E-2</v>
      </c>
      <c r="H21" s="314">
        <f t="shared" ref="H21" si="18">G21</f>
        <v>2.9983614918020374E-2</v>
      </c>
      <c r="J21" s="363"/>
    </row>
    <row r="22" spans="2:11">
      <c r="B22" s="467" t="s">
        <v>383</v>
      </c>
      <c r="C22" s="468">
        <v>453748</v>
      </c>
      <c r="D22" s="468">
        <v>486533</v>
      </c>
      <c r="E22" s="468">
        <v>515863</v>
      </c>
      <c r="F22" s="469">
        <f t="shared" ref="F22:H22" si="19">SUM(E22*F23)+E22</f>
        <v>546961.12035360397</v>
      </c>
      <c r="G22" s="469">
        <f t="shared" si="19"/>
        <v>579933.94986356772</v>
      </c>
      <c r="H22" s="469">
        <f t="shared" si="19"/>
        <v>614894.50289799378</v>
      </c>
      <c r="J22" s="362">
        <f t="shared" ref="J22" si="20">((H22/C22)^(1/COUNT(C22:H22))-1)</f>
        <v>5.1956176230369744E-2</v>
      </c>
      <c r="K22" s="467" t="s">
        <v>628</v>
      </c>
    </row>
    <row r="23" spans="2:11">
      <c r="B23" s="308" t="s">
        <v>44</v>
      </c>
      <c r="C23" s="361">
        <f>(C22/'3 Statement Model'!$H$24)-1</f>
        <v>9.0318410422889128E-2</v>
      </c>
      <c r="D23" s="314">
        <f t="shared" ref="D23:E23" si="21">SUM(D22/C22)-1</f>
        <v>7.2253762000052957E-2</v>
      </c>
      <c r="E23" s="314">
        <f t="shared" si="21"/>
        <v>6.028368065475509E-2</v>
      </c>
      <c r="F23" s="314">
        <f t="shared" ref="F23:G23" si="22">E23</f>
        <v>6.028368065475509E-2</v>
      </c>
      <c r="G23" s="314">
        <f t="shared" si="22"/>
        <v>6.028368065475509E-2</v>
      </c>
      <c r="H23" s="314">
        <f t="shared" ref="H23" si="23">G23</f>
        <v>6.028368065475509E-2</v>
      </c>
      <c r="J23" s="363"/>
    </row>
    <row r="24" spans="2:11">
      <c r="B24" s="467" t="s">
        <v>374</v>
      </c>
      <c r="C24" s="468">
        <v>448175</v>
      </c>
      <c r="D24" s="468">
        <v>478247</v>
      </c>
      <c r="E24" s="468">
        <v>521434</v>
      </c>
      <c r="F24" s="468">
        <v>553006</v>
      </c>
      <c r="G24" s="468">
        <v>576977</v>
      </c>
      <c r="H24" s="468">
        <v>604836</v>
      </c>
      <c r="J24" s="362">
        <f t="shared" ref="J24" si="24">((H24/C24)^(1/COUNT(C24:H24))-1)</f>
        <v>5.1231423163119683E-2</v>
      </c>
      <c r="K24" s="467" t="s">
        <v>627</v>
      </c>
    </row>
    <row r="25" spans="2:11">
      <c r="B25" s="308" t="s">
        <v>44</v>
      </c>
      <c r="C25" s="361">
        <f>(C24/'3 Statement Model'!$H$24)-1</f>
        <v>7.6926958556904568E-2</v>
      </c>
      <c r="D25" s="314">
        <f t="shared" ref="D25" si="25">SUM(D24/C24)-1</f>
        <v>6.7098789535337655E-2</v>
      </c>
      <c r="E25" s="314">
        <f t="shared" ref="E25" si="26">SUM(E24/D24)-1</f>
        <v>9.0302709687671845E-2</v>
      </c>
      <c r="F25" s="314">
        <f t="shared" ref="F25" si="27">SUM(F24/E24)-1</f>
        <v>6.0548410728874513E-2</v>
      </c>
      <c r="G25" s="314">
        <f t="shared" ref="G25:H25" si="28">SUM(G24/F24)-1</f>
        <v>4.334672679862428E-2</v>
      </c>
      <c r="H25" s="314">
        <f t="shared" si="28"/>
        <v>4.8284420349511414E-2</v>
      </c>
      <c r="J25" s="363"/>
    </row>
    <row r="26" spans="2:11">
      <c r="B26" s="467" t="s">
        <v>375</v>
      </c>
      <c r="C26" s="469">
        <f>+C52+C78+C104+C128+C152</f>
        <v>459691</v>
      </c>
      <c r="D26" s="469">
        <f>+D52+D78+D104+D128+D152</f>
        <v>499259</v>
      </c>
      <c r="E26" s="469">
        <f>+E52+E78+E104+E128+E152</f>
        <v>527152</v>
      </c>
      <c r="F26" s="469">
        <f>+F52+F78+F104+F128+F152</f>
        <v>556979.06228599534</v>
      </c>
      <c r="G26" s="469">
        <f>+G52+G78+G104+G128+G152</f>
        <v>588899.33207443892</v>
      </c>
      <c r="H26" s="469">
        <f>+H52+H78+H104+H128+H152</f>
        <v>623086.45883822907</v>
      </c>
      <c r="J26" s="362">
        <f t="shared" ref="J26" si="29">((H26/C26)^(1/COUNT(C26:H26))-1)</f>
        <v>5.1995104154556993E-2</v>
      </c>
      <c r="K26" s="467" t="s">
        <v>627</v>
      </c>
    </row>
    <row r="27" spans="2:11">
      <c r="B27" s="308" t="s">
        <v>44</v>
      </c>
      <c r="C27" s="361">
        <f>(C26/'3 Statement Model'!$H$24)-1</f>
        <v>0.10459894127513159</v>
      </c>
      <c r="D27" s="314">
        <f t="shared" ref="D27" si="30">SUM(D26/C26)-1</f>
        <v>8.607521139200025E-2</v>
      </c>
      <c r="E27" s="314">
        <f t="shared" ref="E27" si="31">SUM(E26/D26)-1</f>
        <v>5.586879755798102E-2</v>
      </c>
      <c r="F27" s="314">
        <f t="shared" ref="F27" si="32">SUM(F26/E26)-1</f>
        <v>5.6581521621838382E-2</v>
      </c>
      <c r="G27" s="314">
        <f t="shared" ref="G27:H27" si="33">SUM(G26/F26)-1</f>
        <v>5.7309640433222064E-2</v>
      </c>
      <c r="H27" s="314">
        <f t="shared" si="33"/>
        <v>5.805258199795138E-2</v>
      </c>
      <c r="J27" s="363"/>
    </row>
    <row r="28" spans="2:11">
      <c r="B28" s="467" t="s">
        <v>365</v>
      </c>
      <c r="C28" s="469">
        <f>+C54+C80+C106+C130+C154</f>
        <v>454032.78</v>
      </c>
      <c r="D28" s="469">
        <f>+D54+D80+D106+D130+D154</f>
        <v>484448.74</v>
      </c>
      <c r="E28" s="469">
        <f>+E54+E80+E106+E130+E154</f>
        <v>517396.72280708834</v>
      </c>
      <c r="F28" s="469">
        <f>+F54+F80+F106+F130+F154</f>
        <v>553102.71345633327</v>
      </c>
      <c r="G28" s="469">
        <f>+G54+G80+G106+G130+G154</f>
        <v>591814.78067136079</v>
      </c>
      <c r="H28" s="469">
        <f>+H54+H80+H106+H130+H154</f>
        <v>633805.35397004639</v>
      </c>
      <c r="J28" s="362">
        <f t="shared" ref="J28:J37" si="34">((H28/C28)^(1/COUNT(C28:H28))-1)</f>
        <v>5.7169883279695854E-2</v>
      </c>
      <c r="K28" s="467" t="s">
        <v>627</v>
      </c>
    </row>
    <row r="29" spans="2:11">
      <c r="B29" s="308" t="s">
        <v>44</v>
      </c>
      <c r="C29" s="361">
        <f>(C28/'3 Statement Model'!$H$24)-1</f>
        <v>9.1002712892366278E-2</v>
      </c>
      <c r="D29" s="314">
        <f t="shared" ref="D29" si="35">SUM(D28/C28)-1</f>
        <v>6.6990669704508843E-2</v>
      </c>
      <c r="E29" s="314">
        <f t="shared" ref="E29" si="36">SUM(E28/D28)-1</f>
        <v>6.8011288061329944E-2</v>
      </c>
      <c r="F29" s="314">
        <f t="shared" ref="F29" si="37">SUM(F28/E28)-1</f>
        <v>6.9010855839065632E-2</v>
      </c>
      <c r="G29" s="314">
        <f t="shared" ref="G29:H29" si="38">SUM(G28/F28)-1</f>
        <v>6.9990738199630531E-2</v>
      </c>
      <c r="H29" s="314">
        <f t="shared" si="38"/>
        <v>7.0952221320074171E-2</v>
      </c>
      <c r="J29" s="364"/>
    </row>
    <row r="30" spans="2:11" ht="5.0999999999999996" customHeight="1"/>
    <row r="31" spans="2:11">
      <c r="B31" s="313" t="s">
        <v>222</v>
      </c>
      <c r="C31" s="368">
        <f t="shared" ref="C31:H31" si="39">MAX(C$12,C$14,C$16,C$18,C$20,C$22,C$24,C$26,C$28)</f>
        <v>460042</v>
      </c>
      <c r="D31" s="368">
        <f t="shared" si="39"/>
        <v>524298</v>
      </c>
      <c r="E31" s="368">
        <f t="shared" si="39"/>
        <v>556689</v>
      </c>
      <c r="F31" s="368">
        <f t="shared" si="39"/>
        <v>592415.3307552404</v>
      </c>
      <c r="G31" s="368">
        <f t="shared" si="39"/>
        <v>631871.74256466061</v>
      </c>
      <c r="H31" s="368">
        <f t="shared" si="39"/>
        <v>675501.7717197215</v>
      </c>
      <c r="I31" s="309"/>
      <c r="J31" s="319">
        <f t="shared" si="34"/>
        <v>6.6116917491473304E-2</v>
      </c>
    </row>
    <row r="32" spans="2:11">
      <c r="B32" s="357" t="s">
        <v>44</v>
      </c>
      <c r="C32" s="366">
        <f>(C31/'3 Statement Model'!$H$24)-1</f>
        <v>0.10544236485398684</v>
      </c>
      <c r="D32" s="359">
        <f t="shared" ref="D32:H32" si="40">SUM(D31/C31)-1</f>
        <v>0.13967420365966587</v>
      </c>
      <c r="E32" s="359">
        <f t="shared" si="40"/>
        <v>6.1779751210189637E-2</v>
      </c>
      <c r="F32" s="359">
        <f t="shared" si="40"/>
        <v>6.4176462540557422E-2</v>
      </c>
      <c r="G32" s="359">
        <f t="shared" si="40"/>
        <v>6.6602617726180702E-2</v>
      </c>
      <c r="H32" s="359">
        <f t="shared" si="40"/>
        <v>6.9048868965043475E-2</v>
      </c>
      <c r="I32" s="311"/>
      <c r="J32" s="317"/>
    </row>
    <row r="33" spans="1:11">
      <c r="B33" s="310" t="s">
        <v>412</v>
      </c>
      <c r="C33" s="370">
        <f t="shared" ref="C33:H33" si="41">MEDIAN(C$12,C$14,C$16,C$18,C$20,C$22,C$24,C$26,C$28)</f>
        <v>454032.78</v>
      </c>
      <c r="D33" s="370">
        <f t="shared" si="41"/>
        <v>484448.74</v>
      </c>
      <c r="E33" s="370">
        <f t="shared" si="41"/>
        <v>517396.72280708834</v>
      </c>
      <c r="F33" s="370">
        <f t="shared" si="41"/>
        <v>546961.12035360397</v>
      </c>
      <c r="G33" s="370">
        <f t="shared" si="41"/>
        <v>576977</v>
      </c>
      <c r="H33" s="370">
        <f t="shared" si="41"/>
        <v>604836</v>
      </c>
      <c r="I33" s="311"/>
      <c r="J33" s="317">
        <f t="shared" si="34"/>
        <v>4.8958735309149182E-2</v>
      </c>
    </row>
    <row r="34" spans="1:11">
      <c r="B34" s="357" t="s">
        <v>44</v>
      </c>
      <c r="C34" s="366">
        <f>(C33/'3 Statement Model'!$H$24)-1</f>
        <v>9.1002712892366278E-2</v>
      </c>
      <c r="D34" s="359">
        <f t="shared" ref="D34" si="42">SUM(D33/C33)-1</f>
        <v>6.6990669704508843E-2</v>
      </c>
      <c r="E34" s="359">
        <f t="shared" ref="E34" si="43">SUM(E33/D33)-1</f>
        <v>6.8011288061329944E-2</v>
      </c>
      <c r="F34" s="359">
        <f t="shared" ref="F34" si="44">SUM(F33/E33)-1</f>
        <v>5.7140674154479987E-2</v>
      </c>
      <c r="G34" s="359">
        <f t="shared" ref="G34:H34" si="45">SUM(G33/F33)-1</f>
        <v>5.4877537962828349E-2</v>
      </c>
      <c r="H34" s="359">
        <f t="shared" si="45"/>
        <v>4.8284420349511414E-2</v>
      </c>
      <c r="I34" s="311"/>
      <c r="J34" s="317"/>
    </row>
    <row r="35" spans="1:11">
      <c r="B35" s="310" t="s">
        <v>369</v>
      </c>
      <c r="C35" s="370">
        <f t="shared" ref="C35:H35" si="46">AVERAGE(C$12,C$14,C$16,C$18,C$20,C$22,C$24,C$26,C$28)</f>
        <v>453659.42000000004</v>
      </c>
      <c r="D35" s="370">
        <f t="shared" si="46"/>
        <v>486674.6377777778</v>
      </c>
      <c r="E35" s="370">
        <f t="shared" si="46"/>
        <v>513044.85808967642</v>
      </c>
      <c r="F35" s="370">
        <f t="shared" si="46"/>
        <v>539731.74249989586</v>
      </c>
      <c r="G35" s="370">
        <f t="shared" si="46"/>
        <v>566748.18659324083</v>
      </c>
      <c r="H35" s="370">
        <f t="shared" si="46"/>
        <v>596115.22301600734</v>
      </c>
      <c r="I35" s="311"/>
      <c r="J35" s="317">
        <f t="shared" si="34"/>
        <v>4.6566220753093912E-2</v>
      </c>
    </row>
    <row r="36" spans="1:11">
      <c r="B36" s="357" t="s">
        <v>44</v>
      </c>
      <c r="C36" s="366">
        <f>(C35/'3 Statement Model'!$H$24)-1</f>
        <v>9.0105560107746951E-2</v>
      </c>
      <c r="D36" s="359">
        <f t="shared" ref="D36" si="47">SUM(D35/C35)-1</f>
        <v>7.2775338331512618E-2</v>
      </c>
      <c r="E36" s="359">
        <f t="shared" ref="E36" si="48">SUM(E35/D35)-1</f>
        <v>5.4184496714907215E-2</v>
      </c>
      <c r="F36" s="359">
        <f t="shared" ref="F36" si="49">SUM(F35/E35)-1</f>
        <v>5.201666869752497E-2</v>
      </c>
      <c r="G36" s="359">
        <f t="shared" ref="G36:H36" si="50">SUM(G35/F35)-1</f>
        <v>5.0055318162707696E-2</v>
      </c>
      <c r="H36" s="359">
        <f t="shared" si="50"/>
        <v>5.1816727635766391E-2</v>
      </c>
      <c r="I36" s="311"/>
      <c r="J36" s="317"/>
    </row>
    <row r="37" spans="1:11">
      <c r="B37" s="356" t="s">
        <v>348</v>
      </c>
      <c r="C37" s="369">
        <f t="shared" ref="C37:H37" si="51">MIN(C$12,C$14,C$16,C$18,C$20,C$22,C$24,C$26,C$28)</f>
        <v>445329</v>
      </c>
      <c r="D37" s="369">
        <f t="shared" si="51"/>
        <v>460785</v>
      </c>
      <c r="E37" s="369">
        <f t="shared" si="51"/>
        <v>474601</v>
      </c>
      <c r="F37" s="369">
        <f t="shared" si="51"/>
        <v>488831.25362370739</v>
      </c>
      <c r="G37" s="369">
        <f t="shared" si="51"/>
        <v>503488.1816922538</v>
      </c>
      <c r="H37" s="369">
        <f t="shared" si="51"/>
        <v>518584.57744788862</v>
      </c>
      <c r="I37" s="311"/>
      <c r="J37" s="317">
        <f t="shared" si="34"/>
        <v>2.5706489455642245E-2</v>
      </c>
    </row>
    <row r="38" spans="1:11">
      <c r="B38" s="358" t="s">
        <v>44</v>
      </c>
      <c r="C38" s="367">
        <f>(C37/'3 Statement Model'!$H$24)-1</f>
        <v>7.0088259111257489E-2</v>
      </c>
      <c r="D38" s="360">
        <f t="shared" ref="D38" si="52">SUM(D37/C37)-1</f>
        <v>3.4706924543427498E-2</v>
      </c>
      <c r="E38" s="360">
        <f t="shared" ref="E38" si="53">SUM(E37/D37)-1</f>
        <v>2.9983614918020374E-2</v>
      </c>
      <c r="F38" s="360">
        <f t="shared" ref="F38" si="54">SUM(F37/E37)-1</f>
        <v>2.9983614918020374E-2</v>
      </c>
      <c r="G38" s="360">
        <f t="shared" ref="G38:H38" si="55">SUM(G37/F37)-1</f>
        <v>2.9983614918020374E-2</v>
      </c>
      <c r="H38" s="360">
        <f t="shared" si="55"/>
        <v>2.9983614918020374E-2</v>
      </c>
      <c r="I38" s="312"/>
      <c r="J38" s="318"/>
    </row>
    <row r="40" spans="1:11">
      <c r="A40" s="391" t="s">
        <v>24</v>
      </c>
      <c r="B40" s="247" t="s">
        <v>258</v>
      </c>
      <c r="C40" s="229" t="s">
        <v>165</v>
      </c>
      <c r="D40" s="229"/>
      <c r="E40" s="229"/>
      <c r="F40" s="229"/>
      <c r="G40" s="229"/>
      <c r="H40" s="229"/>
      <c r="I40" s="248"/>
      <c r="J40" s="2" t="s">
        <v>370</v>
      </c>
    </row>
    <row r="41" spans="1:11">
      <c r="B41" s="303" t="s">
        <v>410</v>
      </c>
      <c r="C41" s="304" t="str">
        <f>C$9</f>
        <v>2026E</v>
      </c>
      <c r="D41" s="304" t="str">
        <f>D$9</f>
        <v>2027E</v>
      </c>
      <c r="E41" s="304" t="str">
        <f>E$9</f>
        <v>2028E</v>
      </c>
      <c r="F41" s="304" t="str">
        <f>F$9</f>
        <v>2029E</v>
      </c>
      <c r="G41" s="304" t="str">
        <f>G$9</f>
        <v>2030E</v>
      </c>
      <c r="H41" s="304" t="str">
        <f>H$9</f>
        <v>2031E</v>
      </c>
      <c r="I41" s="248"/>
      <c r="J41" s="200" t="str">
        <f>$J$9</f>
        <v>6-Year(F)</v>
      </c>
    </row>
    <row r="42" spans="1:11">
      <c r="B42" s="303" t="s">
        <v>411</v>
      </c>
      <c r="C42" s="248">
        <f>C$10</f>
        <v>46295</v>
      </c>
      <c r="D42" s="248">
        <f>D$10</f>
        <v>46660</v>
      </c>
      <c r="E42" s="248">
        <f>E$10</f>
        <v>47026</v>
      </c>
      <c r="F42" s="248">
        <f>F$10</f>
        <v>47391</v>
      </c>
      <c r="G42" s="248">
        <f>G$10</f>
        <v>47756</v>
      </c>
      <c r="H42" s="248">
        <f>H$10</f>
        <v>48121</v>
      </c>
      <c r="I42" s="248"/>
      <c r="J42" s="3">
        <f>$H$42</f>
        <v>48121</v>
      </c>
    </row>
    <row r="43" spans="1:11" ht="5.0999999999999996" customHeight="1">
      <c r="B43" s="307"/>
    </row>
    <row r="44" spans="1:11">
      <c r="B44" s="467" t="s">
        <v>364</v>
      </c>
      <c r="C44" s="468">
        <v>234642</v>
      </c>
      <c r="D44" s="468">
        <v>268938</v>
      </c>
      <c r="E44" s="468">
        <v>273110</v>
      </c>
      <c r="F44" s="469">
        <f t="shared" ref="F44" si="56">SUM(E44*F45)+E44</f>
        <v>277346.71969004004</v>
      </c>
      <c r="G44" s="469">
        <f t="shared" ref="G44" si="57">SUM(F44*G45)+F44</f>
        <v>281649.16305820236</v>
      </c>
      <c r="H44" s="469">
        <f t="shared" ref="H44" si="58">SUM(G44*H45)+G44</f>
        <v>286018.34966730489</v>
      </c>
      <c r="J44" s="365">
        <f t="shared" ref="J44" si="59">((H44/C44)^(1/COUNT(C44:H44))-1)</f>
        <v>3.354968141346526E-2</v>
      </c>
      <c r="K44" s="467" t="s">
        <v>627</v>
      </c>
    </row>
    <row r="45" spans="1:11">
      <c r="B45" s="308" t="s">
        <v>44</v>
      </c>
      <c r="C45" s="361">
        <f>(C44/'3 Statement Model'!$H$19)-1</f>
        <v>0.1195499699407403</v>
      </c>
      <c r="D45" s="314">
        <f t="shared" ref="D45" si="60">SUM(D44/C44)-1</f>
        <v>0.14616309100672509</v>
      </c>
      <c r="E45" s="314">
        <f t="shared" ref="E45" si="61">SUM(E44/D44)-1</f>
        <v>1.5512869137124463E-2</v>
      </c>
      <c r="F45" s="314">
        <f>E45</f>
        <v>1.5512869137124463E-2</v>
      </c>
      <c r="G45" s="314">
        <f t="shared" ref="G45:H45" si="62">F45</f>
        <v>1.5512869137124463E-2</v>
      </c>
      <c r="H45" s="314">
        <f t="shared" si="62"/>
        <v>1.5512869137124463E-2</v>
      </c>
      <c r="J45" s="363"/>
    </row>
    <row r="46" spans="1:11">
      <c r="B46" s="467" t="s">
        <v>373</v>
      </c>
      <c r="C46" s="468">
        <v>229145</v>
      </c>
      <c r="D46" s="468">
        <v>254151</v>
      </c>
      <c r="E46" s="468">
        <v>250388</v>
      </c>
      <c r="F46" s="469">
        <f t="shared" ref="F46" si="63">SUM(E46*F47)+E46</f>
        <v>246680.71557459934</v>
      </c>
      <c r="G46" s="469">
        <f t="shared" ref="G46:H46" si="64">SUM(F46*G47)+F46</f>
        <v>243028.32179016716</v>
      </c>
      <c r="H46" s="469">
        <f t="shared" si="64"/>
        <v>239430.00592717074</v>
      </c>
      <c r="J46" s="362">
        <f t="shared" ref="J46:J48" si="65">((H46/C46)^(1/COUNT(C46:H46))-1)</f>
        <v>7.344528439598097E-3</v>
      </c>
      <c r="K46" s="467" t="s">
        <v>628</v>
      </c>
    </row>
    <row r="47" spans="1:11">
      <c r="B47" s="308" t="s">
        <v>44</v>
      </c>
      <c r="C47" s="361">
        <f>(C46/'3 Statement Model'!$H$19)-1</f>
        <v>9.332207303922968E-2</v>
      </c>
      <c r="D47" s="314">
        <f t="shared" ref="D47" si="66">SUM(D46/C46)-1</f>
        <v>0.1091274084095224</v>
      </c>
      <c r="E47" s="314">
        <f t="shared" ref="E47" si="67">SUM(E46/D46)-1</f>
        <v>-1.4806158543543058E-2</v>
      </c>
      <c r="F47" s="314">
        <f>E47</f>
        <v>-1.4806158543543058E-2</v>
      </c>
      <c r="G47" s="314">
        <f>F47</f>
        <v>-1.4806158543543058E-2</v>
      </c>
      <c r="H47" s="314">
        <f>G47</f>
        <v>-1.4806158543543058E-2</v>
      </c>
      <c r="J47" s="363"/>
    </row>
    <row r="48" spans="1:11">
      <c r="B48" s="467" t="s">
        <v>374</v>
      </c>
      <c r="C48" s="469">
        <f>(C370*C392)/1000</f>
        <v>230085.13</v>
      </c>
      <c r="D48" s="469">
        <f>(D370*D392)/1000</f>
        <v>242871.65</v>
      </c>
      <c r="E48" s="469">
        <f>(E370*E392)/1000</f>
        <v>262342.81</v>
      </c>
      <c r="F48" s="469">
        <f>(F370*F392)/1000</f>
        <v>272596.24</v>
      </c>
      <c r="G48" s="469">
        <f>(G370*G392)/1000</f>
        <v>274253.36</v>
      </c>
      <c r="H48" s="469">
        <f>(H370*H392)/1000</f>
        <v>281088.98</v>
      </c>
      <c r="J48" s="362">
        <f t="shared" si="65"/>
        <v>3.3933351648811838E-2</v>
      </c>
      <c r="K48" s="467" t="s">
        <v>628</v>
      </c>
    </row>
    <row r="49" spans="2:11">
      <c r="B49" s="308" t="s">
        <v>44</v>
      </c>
      <c r="C49" s="361">
        <f>(C48/'3 Statement Model'!$H$19)-1</f>
        <v>9.7807725706869686E-2</v>
      </c>
      <c r="D49" s="314">
        <f t="shared" ref="D49" si="68">SUM(D48/C48)-1</f>
        <v>5.5572995960234239E-2</v>
      </c>
      <c r="E49" s="314">
        <f t="shared" ref="E49" si="69">SUM(E48/D48)-1</f>
        <v>8.0170575692963819E-2</v>
      </c>
      <c r="F49" s="314">
        <f t="shared" ref="F49" si="70">SUM(F48/E48)-1</f>
        <v>3.9084090011843653E-2</v>
      </c>
      <c r="G49" s="314">
        <f t="shared" ref="G49" si="71">SUM(G48/F48)-1</f>
        <v>6.0790273556230456E-3</v>
      </c>
      <c r="H49" s="314">
        <f t="shared" ref="H49" si="72">SUM(H48/G48)-1</f>
        <v>2.4924471299093698E-2</v>
      </c>
      <c r="J49" s="363"/>
    </row>
    <row r="50" spans="2:11">
      <c r="B50" s="467" t="s">
        <v>472</v>
      </c>
      <c r="C50" s="469">
        <f>(C366*C388)/1000</f>
        <v>216000</v>
      </c>
      <c r="D50" s="469">
        <f>(D366*D388)/1000</f>
        <v>225000</v>
      </c>
      <c r="E50" s="469">
        <f>(E366*E388)/1000</f>
        <v>229500</v>
      </c>
      <c r="F50" s="469">
        <f>(F366*F388)/1000</f>
        <v>234090</v>
      </c>
      <c r="G50" s="469">
        <f>(G366*G388)/1000</f>
        <v>238771.8</v>
      </c>
      <c r="H50" s="469">
        <f>(H366*H388)/1000</f>
        <v>243547.23599999998</v>
      </c>
      <c r="J50" s="362">
        <f t="shared" ref="J50" si="73">((H50/C50)^(1/COUNT(C50:H50))-1)</f>
        <v>2.0206866762287445E-2</v>
      </c>
      <c r="K50" s="467" t="s">
        <v>627</v>
      </c>
    </row>
    <row r="51" spans="2:11">
      <c r="B51" s="308" t="s">
        <v>44</v>
      </c>
      <c r="C51" s="361">
        <f>(C50/'3 Statement Model'!$H$19)-1</f>
        <v>3.0603189144313037E-2</v>
      </c>
      <c r="D51" s="314">
        <f t="shared" ref="D51" si="74">SUM(D50/C50)-1</f>
        <v>4.1666666666666741E-2</v>
      </c>
      <c r="E51" s="314">
        <f>D51</f>
        <v>4.1666666666666741E-2</v>
      </c>
      <c r="F51" s="314">
        <f t="shared" ref="F51:G51" si="75">E51</f>
        <v>4.1666666666666741E-2</v>
      </c>
      <c r="G51" s="314">
        <f t="shared" si="75"/>
        <v>4.1666666666666741E-2</v>
      </c>
      <c r="H51" s="314">
        <f t="shared" ref="H51" si="76">G51</f>
        <v>4.1666666666666741E-2</v>
      </c>
      <c r="J51" s="363"/>
    </row>
    <row r="52" spans="2:11">
      <c r="B52" s="467" t="s">
        <v>375</v>
      </c>
      <c r="C52" s="468">
        <v>237006</v>
      </c>
      <c r="D52" s="468">
        <v>258336</v>
      </c>
      <c r="E52" s="468">
        <v>268779</v>
      </c>
      <c r="F52" s="469">
        <f t="shared" ref="F52:H52" si="77">SUM(E52*F53)+E52</f>
        <v>279644.14886426978</v>
      </c>
      <c r="G52" s="469">
        <f t="shared" si="77"/>
        <v>290948.51158022718</v>
      </c>
      <c r="H52" s="469">
        <f t="shared" si="77"/>
        <v>302709.84297202819</v>
      </c>
      <c r="J52" s="362">
        <f t="shared" ref="J52:J54" si="78">((H52/C52)^(1/COUNT(C52:H52))-1)</f>
        <v>4.1624533553263454E-2</v>
      </c>
      <c r="K52" s="467" t="s">
        <v>627</v>
      </c>
    </row>
    <row r="53" spans="2:11">
      <c r="B53" s="308" t="s">
        <v>44</v>
      </c>
      <c r="C53" s="361">
        <f>(C52/'3 Statement Model'!$H$19)-1</f>
        <v>0.13082934928859746</v>
      </c>
      <c r="D53" s="314">
        <f t="shared" ref="D53:E53" si="79">SUM(D52/C52)-1</f>
        <v>8.9997721576668965E-2</v>
      </c>
      <c r="E53" s="314">
        <f t="shared" si="79"/>
        <v>4.0424098848011791E-2</v>
      </c>
      <c r="F53" s="314">
        <f t="shared" ref="F53:G53" si="80">E53</f>
        <v>4.0424098848011791E-2</v>
      </c>
      <c r="G53" s="314">
        <f t="shared" si="80"/>
        <v>4.0424098848011791E-2</v>
      </c>
      <c r="H53" s="314">
        <f t="shared" ref="H53" si="81">G53</f>
        <v>4.0424098848011791E-2</v>
      </c>
      <c r="J53" s="363"/>
    </row>
    <row r="54" spans="2:11">
      <c r="B54" s="467" t="s">
        <v>365</v>
      </c>
      <c r="C54" s="469">
        <f>(C368*C390)/1000</f>
        <v>229885.04</v>
      </c>
      <c r="D54" s="469">
        <f>(D368*D390)/1000</f>
        <v>243016.48</v>
      </c>
      <c r="E54" s="469">
        <f>(E368*E390)/1000</f>
        <v>256898.01107366712</v>
      </c>
      <c r="F54" s="469">
        <f>(F368*F390)/1000</f>
        <v>271572.47974954615</v>
      </c>
      <c r="G54" s="469">
        <f>(G368*G390)/1000</f>
        <v>287085.18002565973</v>
      </c>
      <c r="H54" s="469">
        <f>(H368*H390)/1000</f>
        <v>303483.99317329284</v>
      </c>
      <c r="J54" s="362">
        <f t="shared" si="78"/>
        <v>4.7379766743536944E-2</v>
      </c>
      <c r="K54" s="467" t="s">
        <v>627</v>
      </c>
    </row>
    <row r="55" spans="2:11">
      <c r="B55" s="308" t="s">
        <v>44</v>
      </c>
      <c r="C55" s="361">
        <f>(C54/'3 Statement Model'!$H$19)-1</f>
        <v>9.6853034076703537E-2</v>
      </c>
      <c r="D55" s="314">
        <f t="shared" ref="D55" si="82">SUM(D54/C54)-1</f>
        <v>5.7121768341254375E-2</v>
      </c>
      <c r="E55" s="314">
        <f>D55</f>
        <v>5.7121768341254375E-2</v>
      </c>
      <c r="F55" s="314">
        <f t="shared" ref="F55:G55" si="83">E55</f>
        <v>5.7121768341254375E-2</v>
      </c>
      <c r="G55" s="314">
        <f t="shared" si="83"/>
        <v>5.7121768341254375E-2</v>
      </c>
      <c r="H55" s="314">
        <f t="shared" ref="H55" si="84">G55</f>
        <v>5.7121768341254375E-2</v>
      </c>
      <c r="J55" s="364"/>
    </row>
    <row r="56" spans="2:11" ht="5.0999999999999996" customHeight="1"/>
    <row r="57" spans="2:11">
      <c r="B57" s="313" t="s">
        <v>222</v>
      </c>
      <c r="C57" s="368">
        <f>MAX(C$44,C$46,C$48,C$50,C$52,C$54)</f>
        <v>237006</v>
      </c>
      <c r="D57" s="368">
        <f t="shared" ref="D57:H57" si="85">MAX(D$44,D$46,D$48,D$50,D$52,D$54)</f>
        <v>268938</v>
      </c>
      <c r="E57" s="368">
        <f t="shared" si="85"/>
        <v>273110</v>
      </c>
      <c r="F57" s="368">
        <f t="shared" si="85"/>
        <v>279644.14886426978</v>
      </c>
      <c r="G57" s="368">
        <f t="shared" si="85"/>
        <v>290948.51158022718</v>
      </c>
      <c r="H57" s="368">
        <f t="shared" si="85"/>
        <v>303483.99317329284</v>
      </c>
      <c r="I57" s="309"/>
      <c r="J57" s="319">
        <f t="shared" ref="J57:J63" si="86">((H57/C57)^(1/COUNT(C57:H57))-1)</f>
        <v>4.2068036323810842E-2</v>
      </c>
    </row>
    <row r="58" spans="2:11">
      <c r="B58" s="357" t="s">
        <v>44</v>
      </c>
      <c r="C58" s="366">
        <f>(C57/'3 Statement Model'!$H$19)-1</f>
        <v>0.13082934928859746</v>
      </c>
      <c r="D58" s="359">
        <f t="shared" ref="D58" si="87">SUM(D57/C57)-1</f>
        <v>0.1347307663097137</v>
      </c>
      <c r="E58" s="359">
        <f t="shared" ref="E58" si="88">SUM(E57/D57)-1</f>
        <v>1.5512869137124463E-2</v>
      </c>
      <c r="F58" s="359">
        <f t="shared" ref="F58" si="89">SUM(F57/E57)-1</f>
        <v>2.3924971126175532E-2</v>
      </c>
      <c r="G58" s="359">
        <f t="shared" ref="G58:H58" si="90">SUM(G57/F57)-1</f>
        <v>4.0424098848011791E-2</v>
      </c>
      <c r="H58" s="359">
        <f t="shared" si="90"/>
        <v>4.3084879606297921E-2</v>
      </c>
      <c r="I58" s="311"/>
      <c r="J58" s="317"/>
    </row>
    <row r="59" spans="2:11">
      <c r="B59" s="310" t="s">
        <v>412</v>
      </c>
      <c r="C59" s="370">
        <f>MEDIAN(C$44,C$46,C$48,C$50,C$52,C$54)</f>
        <v>229985.08500000002</v>
      </c>
      <c r="D59" s="370">
        <f t="shared" ref="D59:H59" si="91">MEDIAN(D$44,D$46,D$48,D$50,D$52,D$54)</f>
        <v>248583.74</v>
      </c>
      <c r="E59" s="370">
        <f t="shared" si="91"/>
        <v>259620.41053683357</v>
      </c>
      <c r="F59" s="370">
        <f t="shared" si="91"/>
        <v>272084.35987477307</v>
      </c>
      <c r="G59" s="370">
        <f t="shared" si="91"/>
        <v>277951.26152910118</v>
      </c>
      <c r="H59" s="370">
        <f t="shared" si="91"/>
        <v>283553.66483365244</v>
      </c>
      <c r="I59" s="311"/>
      <c r="J59" s="317">
        <f t="shared" si="86"/>
        <v>3.5513898071086514E-2</v>
      </c>
    </row>
    <row r="60" spans="2:11">
      <c r="B60" s="357" t="s">
        <v>44</v>
      </c>
      <c r="C60" s="366">
        <f>(C59/'3 Statement Model'!$H$19)-1</f>
        <v>9.7330379891786833E-2</v>
      </c>
      <c r="D60" s="359">
        <f t="shared" ref="D60" si="92">SUM(D59/C59)-1</f>
        <v>8.0868961567659881E-2</v>
      </c>
      <c r="E60" s="359">
        <f t="shared" ref="E60" si="93">SUM(E59/D59)-1</f>
        <v>4.4398199724702714E-2</v>
      </c>
      <c r="F60" s="359">
        <f t="shared" ref="F60" si="94">SUM(F59/E59)-1</f>
        <v>4.8008356939914787E-2</v>
      </c>
      <c r="G60" s="359">
        <f t="shared" ref="G60:H60" si="95">SUM(G59/F59)-1</f>
        <v>2.1562803745971859E-2</v>
      </c>
      <c r="H60" s="359">
        <f t="shared" si="95"/>
        <v>2.0156063598094853E-2</v>
      </c>
      <c r="I60" s="311"/>
      <c r="J60" s="317"/>
    </row>
    <row r="61" spans="2:11">
      <c r="B61" s="310" t="s">
        <v>369</v>
      </c>
      <c r="C61" s="370">
        <f>AVERAGE(C$44,C$46,C$48,C$50,C$52,C$54)</f>
        <v>229460.52833333332</v>
      </c>
      <c r="D61" s="370">
        <f t="shared" ref="D61:H61" si="96">AVERAGE(D$44,D$46,D$48,D$50,D$52,D$54)</f>
        <v>248718.85499999998</v>
      </c>
      <c r="E61" s="370">
        <f t="shared" si="96"/>
        <v>256836.30351227787</v>
      </c>
      <c r="F61" s="370">
        <f t="shared" si="96"/>
        <v>263655.05064640922</v>
      </c>
      <c r="G61" s="370">
        <f t="shared" si="96"/>
        <v>269289.38940904272</v>
      </c>
      <c r="H61" s="370">
        <f t="shared" si="96"/>
        <v>276046.40128996613</v>
      </c>
      <c r="I61" s="311"/>
      <c r="J61" s="317">
        <f t="shared" si="86"/>
        <v>3.1285749816315711E-2</v>
      </c>
    </row>
    <row r="62" spans="2:11">
      <c r="B62" s="357" t="s">
        <v>44</v>
      </c>
      <c r="C62" s="366">
        <f>(C61/'3 Statement Model'!$H$19)-1</f>
        <v>9.4827556866075691E-2</v>
      </c>
      <c r="D62" s="359">
        <f t="shared" ref="D62" si="97">SUM(D61/C61)-1</f>
        <v>8.3928712299879304E-2</v>
      </c>
      <c r="E62" s="359">
        <f t="shared" ref="E62" si="98">SUM(E61/D61)-1</f>
        <v>3.2637045198193215E-2</v>
      </c>
      <c r="F62" s="359">
        <f t="shared" ref="F62" si="99">SUM(F61/E61)-1</f>
        <v>2.6549000436791426E-2</v>
      </c>
      <c r="G62" s="359">
        <f t="shared" ref="G62:H62" si="100">SUM(G61/F61)-1</f>
        <v>2.1370115037886217E-2</v>
      </c>
      <c r="H62" s="359">
        <f t="shared" si="100"/>
        <v>2.5092009364912959E-2</v>
      </c>
      <c r="I62" s="311"/>
      <c r="J62" s="317"/>
    </row>
    <row r="63" spans="2:11">
      <c r="B63" s="356" t="s">
        <v>348</v>
      </c>
      <c r="C63" s="369">
        <f>MIN(C$44,C$46,C$48,C$50,C$52,C$54)</f>
        <v>216000</v>
      </c>
      <c r="D63" s="369">
        <f t="shared" ref="D63:H63" si="101">MIN(D$44,D$46,D$48,D$50,D$52,D$54)</f>
        <v>225000</v>
      </c>
      <c r="E63" s="369">
        <f t="shared" si="101"/>
        <v>229500</v>
      </c>
      <c r="F63" s="369">
        <f t="shared" si="101"/>
        <v>234090</v>
      </c>
      <c r="G63" s="369">
        <f t="shared" si="101"/>
        <v>238771.8</v>
      </c>
      <c r="H63" s="369">
        <f t="shared" si="101"/>
        <v>239430.00592717074</v>
      </c>
      <c r="I63" s="311"/>
      <c r="J63" s="317">
        <f t="shared" si="86"/>
        <v>1.7311930069434878E-2</v>
      </c>
    </row>
    <row r="64" spans="2:11">
      <c r="B64" s="358" t="s">
        <v>44</v>
      </c>
      <c r="C64" s="367">
        <f>(C63/'3 Statement Model'!$H$19)-1</f>
        <v>3.0603189144313037E-2</v>
      </c>
      <c r="D64" s="360">
        <f t="shared" ref="D64" si="102">SUM(D63/C63)-1</f>
        <v>4.1666666666666741E-2</v>
      </c>
      <c r="E64" s="360">
        <f t="shared" ref="E64" si="103">SUM(E63/D63)-1</f>
        <v>2.0000000000000018E-2</v>
      </c>
      <c r="F64" s="360">
        <f t="shared" ref="F64" si="104">SUM(F63/E63)-1</f>
        <v>2.0000000000000018E-2</v>
      </c>
      <c r="G64" s="360">
        <f t="shared" ref="G64:H64" si="105">SUM(G63/F63)-1</f>
        <v>2.0000000000000018E-2</v>
      </c>
      <c r="H64" s="360">
        <f t="shared" si="105"/>
        <v>2.7566317595744128E-3</v>
      </c>
      <c r="I64" s="312"/>
      <c r="J64" s="318"/>
    </row>
    <row r="66" spans="1:11">
      <c r="A66" s="391" t="s">
        <v>24</v>
      </c>
      <c r="B66" s="247" t="s">
        <v>260</v>
      </c>
      <c r="C66" s="229" t="s">
        <v>165</v>
      </c>
      <c r="D66" s="229"/>
      <c r="E66" s="229"/>
      <c r="F66" s="229"/>
      <c r="G66" s="229"/>
      <c r="H66" s="229"/>
      <c r="I66" s="248"/>
      <c r="J66" s="2" t="s">
        <v>370</v>
      </c>
    </row>
    <row r="67" spans="1:11">
      <c r="B67" s="303" t="s">
        <v>410</v>
      </c>
      <c r="C67" s="304" t="str">
        <f>C$9</f>
        <v>2026E</v>
      </c>
      <c r="D67" s="304" t="str">
        <f>D$9</f>
        <v>2027E</v>
      </c>
      <c r="E67" s="304" t="str">
        <f>E$9</f>
        <v>2028E</v>
      </c>
      <c r="F67" s="304" t="str">
        <f>F$9</f>
        <v>2029E</v>
      </c>
      <c r="G67" s="304" t="str">
        <f>G$9</f>
        <v>2030E</v>
      </c>
      <c r="H67" s="304" t="str">
        <f>H$9</f>
        <v>2031E</v>
      </c>
      <c r="I67" s="248"/>
      <c r="J67" s="200" t="str">
        <f>$J$9</f>
        <v>6-Year(F)</v>
      </c>
    </row>
    <row r="68" spans="1:11">
      <c r="B68" s="303" t="s">
        <v>411</v>
      </c>
      <c r="C68" s="248">
        <f>C$10</f>
        <v>46295</v>
      </c>
      <c r="D68" s="248">
        <f>D$10</f>
        <v>46660</v>
      </c>
      <c r="E68" s="248">
        <f>E$10</f>
        <v>47026</v>
      </c>
      <c r="F68" s="248">
        <f>F$10</f>
        <v>47391</v>
      </c>
      <c r="G68" s="248">
        <f>G$10</f>
        <v>47756</v>
      </c>
      <c r="H68" s="248">
        <f>H$10</f>
        <v>48121</v>
      </c>
      <c r="I68" s="248"/>
      <c r="J68" s="3">
        <f>$H$42</f>
        <v>48121</v>
      </c>
    </row>
    <row r="69" spans="1:11" ht="5.0999999999999996" customHeight="1">
      <c r="B69" s="307"/>
    </row>
    <row r="70" spans="1:11">
      <c r="B70" s="467" t="s">
        <v>364</v>
      </c>
      <c r="C70" s="468">
        <v>29908</v>
      </c>
      <c r="D70" s="468">
        <v>32978</v>
      </c>
      <c r="E70" s="468">
        <v>35654</v>
      </c>
      <c r="F70" s="469">
        <f t="shared" ref="F70" si="106">SUM(E70*F71)+E70</f>
        <v>38547.14403541755</v>
      </c>
      <c r="G70" s="469">
        <f t="shared" ref="G70" si="107">SUM(F70*G71)+F70</f>
        <v>41675.052260257668</v>
      </c>
      <c r="H70" s="469">
        <f t="shared" ref="F70:H72" si="108">SUM(G70*H71)+G70</f>
        <v>45056.77461602362</v>
      </c>
      <c r="J70" s="365">
        <f t="shared" ref="J70" si="109">((H70/C70)^(1/COUNT(C70:H70))-1)</f>
        <v>7.0685993274905101E-2</v>
      </c>
      <c r="K70" s="467" t="s">
        <v>628</v>
      </c>
    </row>
    <row r="71" spans="1:11">
      <c r="B71" s="308" t="s">
        <v>44</v>
      </c>
      <c r="C71" s="372">
        <f>(C70/'3 Statement Model'!$H$21)-1</f>
        <v>6.7266174214038577E-2</v>
      </c>
      <c r="D71" s="314">
        <f t="shared" ref="D71" si="110">SUM(D70/C70)-1</f>
        <v>0.10264812090410591</v>
      </c>
      <c r="E71" s="314">
        <f t="shared" ref="E71" si="111">SUM(E70/D70)-1</f>
        <v>8.11450057614167E-2</v>
      </c>
      <c r="F71" s="314">
        <f>E71</f>
        <v>8.11450057614167E-2</v>
      </c>
      <c r="G71" s="314">
        <f t="shared" ref="G71:H71" si="112">F71</f>
        <v>8.11450057614167E-2</v>
      </c>
      <c r="H71" s="314">
        <f t="shared" si="112"/>
        <v>8.11450057614167E-2</v>
      </c>
      <c r="J71" s="363"/>
    </row>
    <row r="72" spans="1:11">
      <c r="B72" s="467" t="s">
        <v>373</v>
      </c>
      <c r="C72" s="468">
        <v>30134</v>
      </c>
      <c r="D72" s="468">
        <v>31814</v>
      </c>
      <c r="E72" s="468">
        <v>33099</v>
      </c>
      <c r="F72" s="469">
        <f t="shared" si="108"/>
        <v>34435.902464323881</v>
      </c>
      <c r="G72" s="469">
        <f t="shared" si="108"/>
        <v>35826.803786592573</v>
      </c>
      <c r="H72" s="469">
        <f t="shared" si="108"/>
        <v>37273.885035909589</v>
      </c>
      <c r="J72" s="362">
        <f t="shared" ref="J72:J74" si="113">((H72/C72)^(1/COUNT(C72:H72))-1)</f>
        <v>3.6075282458472469E-2</v>
      </c>
      <c r="K72" s="467" t="s">
        <v>628</v>
      </c>
    </row>
    <row r="73" spans="1:11">
      <c r="B73" s="308" t="s">
        <v>44</v>
      </c>
      <c r="C73" s="372">
        <f>(C72/'3 Statement Model'!$H$21)-1</f>
        <v>7.533097812511147E-2</v>
      </c>
      <c r="D73" s="314">
        <f t="shared" ref="D73" si="114">SUM(D72/C72)-1</f>
        <v>5.5750978960642517E-2</v>
      </c>
      <c r="E73" s="314">
        <f t="shared" ref="E73" si="115">SUM(E72/D72)-1</f>
        <v>4.0391022820142064E-2</v>
      </c>
      <c r="F73" s="314">
        <f>E73</f>
        <v>4.0391022820142064E-2</v>
      </c>
      <c r="G73" s="314">
        <f>F73</f>
        <v>4.0391022820142064E-2</v>
      </c>
      <c r="H73" s="314">
        <f>G73</f>
        <v>4.0391022820142064E-2</v>
      </c>
      <c r="J73" s="363"/>
    </row>
    <row r="74" spans="1:11">
      <c r="B74" s="467" t="s">
        <v>374</v>
      </c>
      <c r="C74" s="469">
        <f>(C480*C458)/1000</f>
        <v>25211.52</v>
      </c>
      <c r="D74" s="469">
        <f t="shared" ref="D74:H74" si="116">(D480*D458)/1000</f>
        <v>28620</v>
      </c>
      <c r="E74" s="469">
        <f t="shared" si="116"/>
        <v>33031.96</v>
      </c>
      <c r="F74" s="469">
        <f t="shared" si="116"/>
        <v>31998.959999999999</v>
      </c>
      <c r="G74" s="469">
        <f t="shared" si="116"/>
        <v>31286.9</v>
      </c>
      <c r="H74" s="469">
        <f t="shared" si="116"/>
        <v>31473.590000000004</v>
      </c>
      <c r="J74" s="362">
        <f t="shared" si="113"/>
        <v>3.7666689461427483E-2</v>
      </c>
      <c r="K74" s="467" t="s">
        <v>627</v>
      </c>
    </row>
    <row r="75" spans="1:11">
      <c r="B75" s="308" t="s">
        <v>44</v>
      </c>
      <c r="C75" s="372">
        <f>(C74/'3 Statement Model'!$H$21)-1</f>
        <v>-0.10032758805267106</v>
      </c>
      <c r="D75" s="314">
        <f t="shared" ref="D75" si="117">SUM(D74/C74)-1</f>
        <v>0.13519533927347505</v>
      </c>
      <c r="E75" s="314">
        <f t="shared" ref="E75" si="118">SUM(E74/D74)-1</f>
        <v>0.15415653389238293</v>
      </c>
      <c r="F75" s="314">
        <f t="shared" ref="F75" si="119">SUM(F74/E74)-1</f>
        <v>-3.1272743125143054E-2</v>
      </c>
      <c r="G75" s="314">
        <f t="shared" ref="G75" si="120">SUM(G74/F74)-1</f>
        <v>-2.2252598209441699E-2</v>
      </c>
      <c r="H75" s="314">
        <f t="shared" ref="H75" si="121">SUM(H74/G74)-1</f>
        <v>5.9670341261039983E-3</v>
      </c>
      <c r="J75" s="363"/>
    </row>
    <row r="76" spans="1:11" s="334" customFormat="1">
      <c r="B76" s="467" t="s">
        <v>472</v>
      </c>
      <c r="C76" s="468">
        <v>29415</v>
      </c>
      <c r="D76" s="468">
        <v>30210</v>
      </c>
      <c r="E76" s="468">
        <v>31270</v>
      </c>
      <c r="F76" s="469">
        <f t="shared" ref="F76:H76" si="122">SUM(E76*F77)+E76</f>
        <v>32367.192982456145</v>
      </c>
      <c r="G76" s="469">
        <f t="shared" si="122"/>
        <v>33502.883964296714</v>
      </c>
      <c r="H76" s="469">
        <f t="shared" si="122"/>
        <v>34678.423752517658</v>
      </c>
      <c r="I76"/>
      <c r="J76" s="362">
        <f t="shared" ref="J76" si="123">((H76/C76)^(1/COUNT(C76:H76))-1)</f>
        <v>2.7815310550169947E-2</v>
      </c>
      <c r="K76" s="467" t="s">
        <v>627</v>
      </c>
    </row>
    <row r="77" spans="1:11" s="334" customFormat="1">
      <c r="B77" s="308" t="s">
        <v>44</v>
      </c>
      <c r="C77" s="372">
        <f>(C76/'3 Statement Model'!$H$21)-1</f>
        <v>4.9673482496520815E-2</v>
      </c>
      <c r="D77" s="314">
        <f t="shared" ref="D77:E77" si="124">SUM(D76/C76)-1</f>
        <v>2.7027027027026973E-2</v>
      </c>
      <c r="E77" s="314">
        <f t="shared" si="124"/>
        <v>3.5087719298245723E-2</v>
      </c>
      <c r="F77" s="314">
        <f t="shared" ref="F77:G77" si="125">E77</f>
        <v>3.5087719298245723E-2</v>
      </c>
      <c r="G77" s="314">
        <f t="shared" si="125"/>
        <v>3.5087719298245723E-2</v>
      </c>
      <c r="H77" s="314">
        <f t="shared" ref="H77" si="126">G77</f>
        <v>3.5087719298245723E-2</v>
      </c>
      <c r="I77"/>
      <c r="J77" s="363"/>
    </row>
    <row r="78" spans="1:11">
      <c r="B78" s="467" t="s">
        <v>375</v>
      </c>
      <c r="C78" s="468">
        <v>28384</v>
      </c>
      <c r="D78" s="468">
        <v>29127</v>
      </c>
      <c r="E78" s="468">
        <v>29724</v>
      </c>
      <c r="F78" s="469">
        <f t="shared" ref="F78:H78" si="127">SUM(E78*F79)+E78</f>
        <v>30333.236378617774</v>
      </c>
      <c r="G78" s="469">
        <f t="shared" si="127"/>
        <v>30954.959938134194</v>
      </c>
      <c r="H78" s="469">
        <f t="shared" si="127"/>
        <v>31589.426621385683</v>
      </c>
      <c r="J78" s="362">
        <f t="shared" ref="J78:J80" si="128">((H78/C78)^(1/COUNT(C78:H78))-1)</f>
        <v>1.7992763592296734E-2</v>
      </c>
      <c r="K78" s="467" t="s">
        <v>627</v>
      </c>
    </row>
    <row r="79" spans="1:11">
      <c r="B79" s="308" t="s">
        <v>44</v>
      </c>
      <c r="C79" s="372">
        <f>(C78/'3 Statement Model'!$H$21)-1</f>
        <v>1.2882275273882193E-2</v>
      </c>
      <c r="D79" s="314">
        <f t="shared" ref="D79:E79" si="129">SUM(D78/C78)-1</f>
        <v>2.6176719278466765E-2</v>
      </c>
      <c r="E79" s="314">
        <f t="shared" si="129"/>
        <v>2.0496446595941853E-2</v>
      </c>
      <c r="F79" s="314">
        <f t="shared" ref="F79:G79" si="130">E79</f>
        <v>2.0496446595941853E-2</v>
      </c>
      <c r="G79" s="314">
        <f t="shared" si="130"/>
        <v>2.0496446595941853E-2</v>
      </c>
      <c r="H79" s="314">
        <f t="shared" ref="H79" si="131">G79</f>
        <v>2.0496446595941853E-2</v>
      </c>
      <c r="J79" s="363"/>
    </row>
    <row r="80" spans="1:11">
      <c r="B80" s="467" t="s">
        <v>365</v>
      </c>
      <c r="C80" s="469">
        <f>(C456*C478)/1000</f>
        <v>28495.84</v>
      </c>
      <c r="D80" s="469">
        <f t="shared" ref="D80:H80" si="132">(D456*D478)/1000</f>
        <v>27863.25</v>
      </c>
      <c r="E80" s="469">
        <f t="shared" si="132"/>
        <v>27244.70310622533</v>
      </c>
      <c r="F80" s="469">
        <f t="shared" si="132"/>
        <v>26639.887570414947</v>
      </c>
      <c r="G80" s="469">
        <f t="shared" si="132"/>
        <v>26048.498564926118</v>
      </c>
      <c r="H80" s="469">
        <f t="shared" si="132"/>
        <v>25470.238029101005</v>
      </c>
      <c r="J80" s="362">
        <f t="shared" si="128"/>
        <v>-1.8534006046275198E-2</v>
      </c>
      <c r="K80" s="467" t="s">
        <v>627</v>
      </c>
    </row>
    <row r="81" spans="1:11">
      <c r="B81" s="308" t="s">
        <v>44</v>
      </c>
      <c r="C81" s="372">
        <f>(C80/'3 Statement Model'!$H$21)-1</f>
        <v>1.6873282660671673E-2</v>
      </c>
      <c r="D81" s="314">
        <f t="shared" ref="D81" si="133">SUM(D80/C80)-1</f>
        <v>-2.2199380681531045E-2</v>
      </c>
      <c r="E81" s="314">
        <f>D81</f>
        <v>-2.2199380681531045E-2</v>
      </c>
      <c r="F81" s="314">
        <f t="shared" ref="F81:G81" si="134">E81</f>
        <v>-2.2199380681531045E-2</v>
      </c>
      <c r="G81" s="314">
        <f t="shared" si="134"/>
        <v>-2.2199380681531045E-2</v>
      </c>
      <c r="H81" s="314">
        <f t="shared" ref="H81" si="135">G81</f>
        <v>-2.2199380681531045E-2</v>
      </c>
      <c r="J81" s="364"/>
    </row>
    <row r="82" spans="1:11" ht="5.0999999999999996" customHeight="1"/>
    <row r="83" spans="1:11">
      <c r="B83" s="313" t="s">
        <v>222</v>
      </c>
      <c r="C83" s="315">
        <f>MAX(C70,C72,C$74,C76,C78,C80)</f>
        <v>30134</v>
      </c>
      <c r="D83" s="368">
        <f t="shared" ref="D83:H83" si="136">MAX(D70,D72,D$74,D76,D78,D80)</f>
        <v>32978</v>
      </c>
      <c r="E83" s="368">
        <f t="shared" si="136"/>
        <v>35654</v>
      </c>
      <c r="F83" s="368">
        <f t="shared" si="136"/>
        <v>38547.14403541755</v>
      </c>
      <c r="G83" s="368">
        <f t="shared" si="136"/>
        <v>41675.052260257668</v>
      </c>
      <c r="H83" s="368">
        <f t="shared" si="136"/>
        <v>45056.77461602362</v>
      </c>
      <c r="I83" s="309"/>
      <c r="J83" s="319">
        <f t="shared" ref="J83:J89" si="137">((H83/C83)^(1/COUNT(C83:H83))-1)</f>
        <v>6.934346393990154E-2</v>
      </c>
    </row>
    <row r="84" spans="1:11">
      <c r="B84" s="357" t="s">
        <v>44</v>
      </c>
      <c r="C84" s="366">
        <f>(C83/'3 Statement Model'!$H$21)-1</f>
        <v>7.533097812511147E-2</v>
      </c>
      <c r="D84" s="359">
        <f t="shared" ref="D84" si="138">SUM(D83/C83)-1</f>
        <v>9.43784429548018E-2</v>
      </c>
      <c r="E84" s="359">
        <f t="shared" ref="E84" si="139">SUM(E83/D83)-1</f>
        <v>8.11450057614167E-2</v>
      </c>
      <c r="F84" s="359">
        <f t="shared" ref="F84" si="140">SUM(F83/E83)-1</f>
        <v>8.11450057614167E-2</v>
      </c>
      <c r="G84" s="359">
        <f t="shared" ref="G84:H84" si="141">SUM(G83/F83)-1</f>
        <v>8.11450057614167E-2</v>
      </c>
      <c r="H84" s="359">
        <f t="shared" si="141"/>
        <v>8.11450057614167E-2</v>
      </c>
      <c r="I84" s="311"/>
      <c r="J84" s="317"/>
    </row>
    <row r="85" spans="1:11">
      <c r="B85" s="310" t="s">
        <v>412</v>
      </c>
      <c r="C85" s="370">
        <f>MEDIAN(C$70,C$72,C$74,C$76,C$78,C$80)</f>
        <v>28955.42</v>
      </c>
      <c r="D85" s="370">
        <f t="shared" ref="C85:H87" si="142">MEDIAN(D$70,D$72,D$74,D$76,D$78,D$80)</f>
        <v>29668.5</v>
      </c>
      <c r="E85" s="370">
        <f t="shared" si="142"/>
        <v>32150.98</v>
      </c>
      <c r="F85" s="370">
        <f t="shared" si="142"/>
        <v>32183.076491228072</v>
      </c>
      <c r="G85" s="370">
        <f t="shared" si="142"/>
        <v>32394.891982148358</v>
      </c>
      <c r="H85" s="370">
        <f t="shared" si="142"/>
        <v>33133.925186951674</v>
      </c>
      <c r="I85" s="311"/>
      <c r="J85" s="317">
        <f t="shared" si="137"/>
        <v>2.2720990928686291E-2</v>
      </c>
    </row>
    <row r="86" spans="1:11">
      <c r="B86" s="357" t="s">
        <v>44</v>
      </c>
      <c r="C86" s="366">
        <f>(C85/'3 Statement Model'!$H$21)-1</f>
        <v>3.3273382578596022E-2</v>
      </c>
      <c r="D86" s="359">
        <f t="shared" ref="D86" si="143">SUM(D85/C85)-1</f>
        <v>2.4626822888426547E-2</v>
      </c>
      <c r="E86" s="359">
        <f t="shared" ref="E86" si="144">SUM(E85/D85)-1</f>
        <v>8.3673930262736507E-2</v>
      </c>
      <c r="F86" s="359">
        <f t="shared" ref="F86" si="145">SUM(F85/E85)-1</f>
        <v>9.9830522205146544E-4</v>
      </c>
      <c r="G86" s="359">
        <f t="shared" ref="G86:H86" si="146">SUM(G85/F85)-1</f>
        <v>6.5815799486421689E-3</v>
      </c>
      <c r="H86" s="359">
        <f t="shared" si="146"/>
        <v>2.2813263437043485E-2</v>
      </c>
      <c r="I86" s="311"/>
      <c r="J86" s="317"/>
    </row>
    <row r="87" spans="1:11">
      <c r="B87" s="310" t="s">
        <v>369</v>
      </c>
      <c r="C87" s="370">
        <f t="shared" si="142"/>
        <v>28955.42</v>
      </c>
      <c r="D87" s="370">
        <f t="shared" si="142"/>
        <v>29668.5</v>
      </c>
      <c r="E87" s="370">
        <f t="shared" si="142"/>
        <v>32150.98</v>
      </c>
      <c r="F87" s="370">
        <f t="shared" si="142"/>
        <v>32183.076491228072</v>
      </c>
      <c r="G87" s="370">
        <f t="shared" si="142"/>
        <v>32394.891982148358</v>
      </c>
      <c r="H87" s="370">
        <f t="shared" si="142"/>
        <v>33133.925186951674</v>
      </c>
      <c r="I87" s="311"/>
      <c r="J87" s="317">
        <f t="shared" si="137"/>
        <v>2.2720990928686291E-2</v>
      </c>
    </row>
    <row r="88" spans="1:11">
      <c r="B88" s="357" t="s">
        <v>44</v>
      </c>
      <c r="C88" s="366">
        <f>(C87/'3 Statement Model'!$H$21)-1</f>
        <v>3.3273382578596022E-2</v>
      </c>
      <c r="D88" s="359">
        <f t="shared" ref="D88" si="147">SUM(D87/C87)-1</f>
        <v>2.4626822888426547E-2</v>
      </c>
      <c r="E88" s="359">
        <f t="shared" ref="E88" si="148">SUM(E87/D87)-1</f>
        <v>8.3673930262736507E-2</v>
      </c>
      <c r="F88" s="359">
        <f t="shared" ref="F88" si="149">SUM(F87/E87)-1</f>
        <v>9.9830522205146544E-4</v>
      </c>
      <c r="G88" s="359">
        <f t="shared" ref="G88:H88" si="150">SUM(G87/F87)-1</f>
        <v>6.5815799486421689E-3</v>
      </c>
      <c r="H88" s="359">
        <f t="shared" si="150"/>
        <v>2.2813263437043485E-2</v>
      </c>
      <c r="I88" s="311"/>
      <c r="J88" s="317"/>
    </row>
    <row r="89" spans="1:11">
      <c r="B89" s="356" t="s">
        <v>348</v>
      </c>
      <c r="C89" s="369">
        <f>MIN(C$70,C$72,C$74,C$76,C$78,C$80)</f>
        <v>25211.52</v>
      </c>
      <c r="D89" s="369">
        <f t="shared" ref="D89:H89" si="151">MIN(D$70,D$72,D$74,D$76,D$78,D$80)</f>
        <v>27863.25</v>
      </c>
      <c r="E89" s="369">
        <f t="shared" si="151"/>
        <v>27244.70310622533</v>
      </c>
      <c r="F89" s="369">
        <f t="shared" si="151"/>
        <v>26639.887570414947</v>
      </c>
      <c r="G89" s="369">
        <f t="shared" si="151"/>
        <v>26048.498564926118</v>
      </c>
      <c r="H89" s="369">
        <f t="shared" si="151"/>
        <v>25470.238029101005</v>
      </c>
      <c r="I89" s="311"/>
      <c r="J89" s="317">
        <f t="shared" si="137"/>
        <v>1.7030487932623295E-3</v>
      </c>
    </row>
    <row r="90" spans="1:11">
      <c r="B90" s="358" t="s">
        <v>44</v>
      </c>
      <c r="C90" s="367">
        <f>(C89/'3 Statement Model'!$H$21)-1</f>
        <v>-0.10032758805267106</v>
      </c>
      <c r="D90" s="360">
        <f t="shared" ref="D90" si="152">SUM(D89/C89)-1</f>
        <v>0.10517929898712963</v>
      </c>
      <c r="E90" s="360">
        <f t="shared" ref="E90" si="153">SUM(E89/D89)-1</f>
        <v>-2.2199380681531045E-2</v>
      </c>
      <c r="F90" s="360">
        <f t="shared" ref="F90" si="154">SUM(F89/E89)-1</f>
        <v>-2.2199380681530934E-2</v>
      </c>
      <c r="G90" s="360">
        <f t="shared" ref="G90:H90" si="155">SUM(G89/F89)-1</f>
        <v>-2.2199380681531045E-2</v>
      </c>
      <c r="H90" s="360">
        <f t="shared" si="155"/>
        <v>-2.2199380681531156E-2</v>
      </c>
      <c r="I90" s="312"/>
      <c r="J90" s="318"/>
    </row>
    <row r="92" spans="1:11">
      <c r="A92" s="391" t="s">
        <v>24</v>
      </c>
      <c r="B92" s="247" t="s">
        <v>259</v>
      </c>
      <c r="C92" s="229" t="s">
        <v>165</v>
      </c>
      <c r="D92" s="229"/>
      <c r="E92" s="229"/>
      <c r="F92" s="229"/>
      <c r="G92" s="229"/>
      <c r="H92" s="229"/>
      <c r="I92" s="248"/>
      <c r="J92" s="2" t="s">
        <v>370</v>
      </c>
    </row>
    <row r="93" spans="1:11">
      <c r="B93" s="303" t="s">
        <v>410</v>
      </c>
      <c r="C93" s="304" t="str">
        <f>C$9</f>
        <v>2026E</v>
      </c>
      <c r="D93" s="304" t="str">
        <f>D$9</f>
        <v>2027E</v>
      </c>
      <c r="E93" s="304" t="str">
        <f>E$9</f>
        <v>2028E</v>
      </c>
      <c r="F93" s="304" t="str">
        <f>F$9</f>
        <v>2029E</v>
      </c>
      <c r="G93" s="304" t="str">
        <f>G$9</f>
        <v>2030E</v>
      </c>
      <c r="H93" s="304" t="str">
        <f>H$9</f>
        <v>2031E</v>
      </c>
      <c r="I93" s="248"/>
      <c r="J93" s="200" t="str">
        <f>$J$9</f>
        <v>6-Year(F)</v>
      </c>
    </row>
    <row r="94" spans="1:11">
      <c r="B94" s="303" t="s">
        <v>411</v>
      </c>
      <c r="C94" s="248">
        <f>C$10</f>
        <v>46295</v>
      </c>
      <c r="D94" s="248">
        <f>D$10</f>
        <v>46660</v>
      </c>
      <c r="E94" s="248">
        <f>E$10</f>
        <v>47026</v>
      </c>
      <c r="F94" s="248">
        <f>F$10</f>
        <v>47391</v>
      </c>
      <c r="G94" s="248">
        <f>G$10</f>
        <v>47756</v>
      </c>
      <c r="H94" s="248">
        <f>H$10</f>
        <v>48121</v>
      </c>
      <c r="I94" s="248"/>
      <c r="J94" s="3">
        <f>$H$42</f>
        <v>48121</v>
      </c>
    </row>
    <row r="95" spans="1:11" ht="5.0999999999999996" customHeight="1">
      <c r="B95" s="307"/>
    </row>
    <row r="96" spans="1:11">
      <c r="B96" s="467" t="s">
        <v>364</v>
      </c>
      <c r="C96" s="468">
        <v>35020</v>
      </c>
      <c r="D96" s="468">
        <v>44073</v>
      </c>
      <c r="E96" s="468">
        <v>48349</v>
      </c>
      <c r="F96" s="469">
        <f t="shared" ref="F96" si="156">SUM(E96*F97)+E96</f>
        <v>53039.861162162779</v>
      </c>
      <c r="G96" s="469">
        <f t="shared" ref="G96" si="157">SUM(F96*G97)+F96</f>
        <v>58185.8336698071</v>
      </c>
      <c r="H96" s="469">
        <f t="shared" ref="H96" si="158">SUM(G96*H97)+G96</f>
        <v>63831.07281332116</v>
      </c>
      <c r="J96" s="365">
        <f t="shared" ref="J96" si="159">((H96/C96)^(1/COUNT(C96:H96))-1)</f>
        <v>0.10523000570664331</v>
      </c>
      <c r="K96" s="467" t="s">
        <v>628</v>
      </c>
    </row>
    <row r="97" spans="2:11">
      <c r="B97" s="308" t="s">
        <v>44</v>
      </c>
      <c r="C97" s="372">
        <f>(C96/'3 Statement Model'!$H$20)-1</f>
        <v>3.8922510976622693E-2</v>
      </c>
      <c r="D97" s="314">
        <f t="shared" ref="D97" si="160">SUM(D96/C96)-1</f>
        <v>0.25850942318675041</v>
      </c>
      <c r="E97" s="314">
        <f t="shared" ref="E97" si="161">SUM(E96/D96)-1</f>
        <v>9.7020851768656602E-2</v>
      </c>
      <c r="F97" s="314">
        <f>E97</f>
        <v>9.7020851768656602E-2</v>
      </c>
      <c r="G97" s="314">
        <f t="shared" ref="G97:H97" si="162">F97</f>
        <v>9.7020851768656602E-2</v>
      </c>
      <c r="H97" s="314">
        <f t="shared" si="162"/>
        <v>9.7020851768656602E-2</v>
      </c>
      <c r="J97" s="363"/>
    </row>
    <row r="98" spans="2:11">
      <c r="B98" s="467" t="s">
        <v>373</v>
      </c>
      <c r="C98" s="468">
        <v>34650</v>
      </c>
      <c r="D98" s="468">
        <v>36403</v>
      </c>
      <c r="E98" s="468">
        <v>38245</v>
      </c>
      <c r="F98" s="469">
        <f t="shared" ref="F98" si="163">SUM(E98*F99)+E98</f>
        <v>40180.205614921848</v>
      </c>
      <c r="G98" s="469">
        <f t="shared" ref="G98:H98" si="164">SUM(F98*G99)+F98</f>
        <v>42213.333069875727</v>
      </c>
      <c r="H98" s="469">
        <f t="shared" si="164"/>
        <v>44349.337232024751</v>
      </c>
      <c r="J98" s="362">
        <f t="shared" ref="J98:J100" si="165">((H98/C98)^(1/COUNT(C98:H98))-1)</f>
        <v>4.1991035189036463E-2</v>
      </c>
      <c r="K98" s="467" t="s">
        <v>628</v>
      </c>
    </row>
    <row r="99" spans="2:11">
      <c r="B99" s="308" t="s">
        <v>44</v>
      </c>
      <c r="C99" s="372">
        <f>(C98/'3 Statement Model'!$H$20)-1</f>
        <v>2.7945888216447168E-2</v>
      </c>
      <c r="D99" s="314">
        <f t="shared" ref="D99" si="166">SUM(D98/C98)-1</f>
        <v>5.0591630591630521E-2</v>
      </c>
      <c r="E99" s="314">
        <f t="shared" ref="E99" si="167">SUM(E98/D98)-1</f>
        <v>5.0600225256160147E-2</v>
      </c>
      <c r="F99" s="314">
        <f>E99</f>
        <v>5.0600225256160147E-2</v>
      </c>
      <c r="G99" s="314">
        <f>F99</f>
        <v>5.0600225256160147E-2</v>
      </c>
      <c r="H99" s="314">
        <f>G99</f>
        <v>5.0600225256160147E-2</v>
      </c>
      <c r="J99" s="363"/>
    </row>
    <row r="100" spans="2:11">
      <c r="B100" s="467" t="s">
        <v>374</v>
      </c>
      <c r="C100" s="469">
        <f>(C414*C436)/1000</f>
        <v>34564.86</v>
      </c>
      <c r="D100" s="469">
        <f t="shared" ref="D100:H100" si="168">(D414*D436)/1000</f>
        <v>35639.129999999997</v>
      </c>
      <c r="E100" s="469">
        <f t="shared" si="168"/>
        <v>36801</v>
      </c>
      <c r="F100" s="469">
        <f t="shared" si="168"/>
        <v>38925.599999999999</v>
      </c>
      <c r="G100" s="469">
        <f t="shared" si="168"/>
        <v>41149.919999999998</v>
      </c>
      <c r="H100" s="469">
        <f t="shared" si="168"/>
        <v>41553.199999999997</v>
      </c>
      <c r="J100" s="362">
        <f t="shared" si="165"/>
        <v>3.1165273046862119E-2</v>
      </c>
      <c r="K100" s="467" t="s">
        <v>627</v>
      </c>
    </row>
    <row r="101" spans="2:11">
      <c r="B101" s="308" t="s">
        <v>44</v>
      </c>
      <c r="C101" s="372">
        <f>(C100/'3 Statement Model'!$H$20)-1</f>
        <v>2.5420078319686734E-2</v>
      </c>
      <c r="D101" s="314">
        <f t="shared" ref="D101" si="169">SUM(D100/C100)-1</f>
        <v>3.1079830787684282E-2</v>
      </c>
      <c r="E101" s="314">
        <f t="shared" ref="E101" si="170">SUM(E100/D100)-1</f>
        <v>3.2600964164950286E-2</v>
      </c>
      <c r="F101" s="314">
        <f t="shared" ref="F101" si="171">SUM(F100/E100)-1</f>
        <v>5.7732126844379117E-2</v>
      </c>
      <c r="G101" s="314">
        <f t="shared" ref="G101" si="172">SUM(G100/F100)-1</f>
        <v>5.7142857142857162E-2</v>
      </c>
      <c r="H101" s="314">
        <f t="shared" ref="H101" si="173">SUM(H100/G100)-1</f>
        <v>9.8002620661230555E-3</v>
      </c>
      <c r="J101" s="363"/>
    </row>
    <row r="102" spans="2:11">
      <c r="B102" s="467" t="s">
        <v>472</v>
      </c>
      <c r="C102" s="468">
        <v>40800</v>
      </c>
      <c r="D102" s="468">
        <v>43200</v>
      </c>
      <c r="E102" s="468">
        <v>46400</v>
      </c>
      <c r="F102" s="469">
        <f t="shared" ref="F102" si="174">SUM(E102*F103)+E102</f>
        <v>49837.037037037044</v>
      </c>
      <c r="G102" s="469">
        <f t="shared" ref="G102:H102" si="175">SUM(F102*G103)+F102</f>
        <v>53528.669410150906</v>
      </c>
      <c r="H102" s="469">
        <f t="shared" si="175"/>
        <v>57493.75603312505</v>
      </c>
      <c r="J102" s="362">
        <f t="shared" ref="J102" si="176">((H102/C102)^(1/COUNT(C102:H102))-1)</f>
        <v>5.8831256509754848E-2</v>
      </c>
      <c r="K102" s="467" t="s">
        <v>627</v>
      </c>
    </row>
    <row r="103" spans="2:11">
      <c r="B103" s="308" t="s">
        <v>44</v>
      </c>
      <c r="C103" s="372">
        <f>(C102/'3 Statement Model'!$H$20)-1</f>
        <v>0.2103951584193664</v>
      </c>
      <c r="D103" s="314">
        <f t="shared" ref="D103:E103" si="177">SUM(D102/C102)-1</f>
        <v>5.8823529411764719E-2</v>
      </c>
      <c r="E103" s="314">
        <f t="shared" si="177"/>
        <v>7.4074074074074181E-2</v>
      </c>
      <c r="F103" s="314">
        <f t="shared" ref="F103:G103" si="178">E103</f>
        <v>7.4074074074074181E-2</v>
      </c>
      <c r="G103" s="314">
        <f t="shared" si="178"/>
        <v>7.4074074074074181E-2</v>
      </c>
      <c r="H103" s="314">
        <f t="shared" ref="H103" si="179">G103</f>
        <v>7.4074074074074181E-2</v>
      </c>
      <c r="J103" s="363"/>
    </row>
    <row r="104" spans="2:11">
      <c r="B104" s="467" t="s">
        <v>375</v>
      </c>
      <c r="C104" s="468">
        <v>34337</v>
      </c>
      <c r="D104" s="468">
        <v>36538</v>
      </c>
      <c r="E104" s="468">
        <v>38044</v>
      </c>
      <c r="F104" s="469">
        <f t="shared" ref="F104" si="180">SUM(E104*F105)+E104</f>
        <v>39612.073348294929</v>
      </c>
      <c r="G104" s="469">
        <f t="shared" ref="G104:H104" si="181">SUM(F104*G105)+F104</f>
        <v>41244.778544598288</v>
      </c>
      <c r="H104" s="469">
        <f t="shared" si="181"/>
        <v>42944.77954323437</v>
      </c>
      <c r="J104" s="362">
        <f t="shared" ref="J104:J106" si="182">((H104/C104)^(1/COUNT(C104:H104))-1)</f>
        <v>3.7985622986381751E-2</v>
      </c>
      <c r="K104" s="467" t="s">
        <v>627</v>
      </c>
    </row>
    <row r="105" spans="2:11">
      <c r="B105" s="308" t="s">
        <v>44</v>
      </c>
      <c r="C105" s="372">
        <f>(C104/'3 Statement Model'!$H$20)-1</f>
        <v>1.8660258692298592E-2</v>
      </c>
      <c r="D105" s="314">
        <f t="shared" ref="D105" si="183">SUM(D104/C104)-1</f>
        <v>6.4099950490724256E-2</v>
      </c>
      <c r="E105" s="314">
        <f t="shared" ref="E105" si="184">SUM(E104/D104)-1</f>
        <v>4.12173627456347E-2</v>
      </c>
      <c r="F105" s="314">
        <f t="shared" ref="F105:G105" si="185">E105</f>
        <v>4.12173627456347E-2</v>
      </c>
      <c r="G105" s="314">
        <f t="shared" si="185"/>
        <v>4.12173627456347E-2</v>
      </c>
      <c r="H105" s="314">
        <f t="shared" ref="H105" si="186">G105</f>
        <v>4.12173627456347E-2</v>
      </c>
      <c r="J105" s="363"/>
    </row>
    <row r="106" spans="2:11">
      <c r="B106" s="467" t="s">
        <v>365</v>
      </c>
      <c r="C106" s="469">
        <f>(C412*C434)/1000</f>
        <v>33433.9</v>
      </c>
      <c r="D106" s="469">
        <f t="shared" ref="D106:H106" si="187">(D412*D434)/1000</f>
        <v>35386.01</v>
      </c>
      <c r="E106" s="469">
        <f t="shared" si="187"/>
        <v>37452.098131540137</v>
      </c>
      <c r="F106" s="469">
        <f t="shared" si="187"/>
        <v>39638.819252425244</v>
      </c>
      <c r="G106" s="469">
        <f t="shared" si="187"/>
        <v>41953.216778614282</v>
      </c>
      <c r="H106" s="469">
        <f t="shared" si="187"/>
        <v>44402.745371022</v>
      </c>
      <c r="J106" s="362">
        <f t="shared" si="182"/>
        <v>4.8424426273972143E-2</v>
      </c>
      <c r="K106" s="467" t="s">
        <v>627</v>
      </c>
    </row>
    <row r="107" spans="2:11">
      <c r="B107" s="308" t="s">
        <v>44</v>
      </c>
      <c r="C107" s="372">
        <f>(C106/'3 Statement Model'!$H$20)-1</f>
        <v>-8.1316008069300949E-3</v>
      </c>
      <c r="D107" s="314">
        <f t="shared" ref="D107" si="188">SUM(D106/C106)-1</f>
        <v>5.8387145980576705E-2</v>
      </c>
      <c r="E107" s="314">
        <f>D107</f>
        <v>5.8387145980576705E-2</v>
      </c>
      <c r="F107" s="314">
        <f t="shared" ref="F107:G107" si="189">E107</f>
        <v>5.8387145980576705E-2</v>
      </c>
      <c r="G107" s="314">
        <f t="shared" si="189"/>
        <v>5.8387145980576705E-2</v>
      </c>
      <c r="H107" s="314">
        <f t="shared" ref="H107" si="190">G107</f>
        <v>5.8387145980576705E-2</v>
      </c>
      <c r="J107" s="364"/>
    </row>
    <row r="108" spans="2:11" ht="5.0999999999999996" customHeight="1"/>
    <row r="109" spans="2:11">
      <c r="B109" s="313" t="s">
        <v>222</v>
      </c>
      <c r="C109" s="368">
        <f>MAX(C$96,C$98,C$100,C$102,C$104,C$106)</f>
        <v>40800</v>
      </c>
      <c r="D109" s="368">
        <f t="shared" ref="C109:H111" si="191">MAX(D$96,D$98,D$100,D$102,D$104,D$106)</f>
        <v>44073</v>
      </c>
      <c r="E109" s="368">
        <f t="shared" si="191"/>
        <v>48349</v>
      </c>
      <c r="F109" s="368">
        <f t="shared" si="191"/>
        <v>53039.861162162779</v>
      </c>
      <c r="G109" s="368">
        <f t="shared" si="191"/>
        <v>58185.8336698071</v>
      </c>
      <c r="H109" s="368">
        <f t="shared" si="191"/>
        <v>63831.07281332116</v>
      </c>
      <c r="I109" s="309"/>
      <c r="J109" s="319">
        <f t="shared" ref="J109:J115" si="192">((H109/C109)^(1/COUNT(C109:H109))-1)</f>
        <v>7.7445545800124638E-2</v>
      </c>
    </row>
    <row r="110" spans="2:11">
      <c r="B110" s="357" t="s">
        <v>44</v>
      </c>
      <c r="C110" s="366">
        <f>(C109/'3 Statement Model'!$H$20)-1</f>
        <v>0.2103951584193664</v>
      </c>
      <c r="D110" s="359">
        <f t="shared" ref="D110" si="193">SUM(D109/C109)-1</f>
        <v>8.022058823529421E-2</v>
      </c>
      <c r="E110" s="359">
        <f t="shared" ref="E110" si="194">SUM(E109/D109)-1</f>
        <v>9.7020851768656602E-2</v>
      </c>
      <c r="F110" s="359">
        <f t="shared" ref="F110" si="195">SUM(F109/E109)-1</f>
        <v>9.7020851768656602E-2</v>
      </c>
      <c r="G110" s="359">
        <f t="shared" ref="G110:H110" si="196">SUM(G109/F109)-1</f>
        <v>9.7020851768656602E-2</v>
      </c>
      <c r="H110" s="359">
        <f t="shared" si="196"/>
        <v>9.7020851768656602E-2</v>
      </c>
      <c r="I110" s="311"/>
      <c r="J110" s="317"/>
    </row>
    <row r="111" spans="2:11">
      <c r="B111" s="310" t="s">
        <v>412</v>
      </c>
      <c r="C111" s="370">
        <f t="shared" si="191"/>
        <v>40800</v>
      </c>
      <c r="D111" s="370">
        <f t="shared" si="191"/>
        <v>44073</v>
      </c>
      <c r="E111" s="370">
        <f t="shared" si="191"/>
        <v>48349</v>
      </c>
      <c r="F111" s="370">
        <f t="shared" si="191"/>
        <v>53039.861162162779</v>
      </c>
      <c r="G111" s="370">
        <f t="shared" si="191"/>
        <v>58185.8336698071</v>
      </c>
      <c r="H111" s="370">
        <f t="shared" si="191"/>
        <v>63831.07281332116</v>
      </c>
      <c r="I111" s="311"/>
      <c r="J111" s="317">
        <f t="shared" si="192"/>
        <v>7.7445545800124638E-2</v>
      </c>
    </row>
    <row r="112" spans="2:11">
      <c r="B112" s="357" t="s">
        <v>44</v>
      </c>
      <c r="C112" s="366">
        <f>(C111/'3 Statement Model'!$H$20)-1</f>
        <v>0.2103951584193664</v>
      </c>
      <c r="D112" s="359">
        <f t="shared" ref="D112" si="197">SUM(D111/C111)-1</f>
        <v>8.022058823529421E-2</v>
      </c>
      <c r="E112" s="359">
        <f t="shared" ref="E112" si="198">SUM(E111/D111)-1</f>
        <v>9.7020851768656602E-2</v>
      </c>
      <c r="F112" s="359">
        <f t="shared" ref="F112" si="199">SUM(F111/E111)-1</f>
        <v>9.7020851768656602E-2</v>
      </c>
      <c r="G112" s="359">
        <f t="shared" ref="G112:H112" si="200">SUM(G111/F111)-1</f>
        <v>9.7020851768656602E-2</v>
      </c>
      <c r="H112" s="359">
        <f t="shared" si="200"/>
        <v>9.7020851768656602E-2</v>
      </c>
      <c r="I112" s="311"/>
      <c r="J112" s="317"/>
    </row>
    <row r="113" spans="1:11">
      <c r="B113" s="310" t="s">
        <v>369</v>
      </c>
      <c r="C113" s="370">
        <f>AVERAGE(C$96,C$98,C$100,C$102,C$104,C$106)</f>
        <v>35467.626666666663</v>
      </c>
      <c r="D113" s="370">
        <f t="shared" ref="D113:H113" si="201">AVERAGE(D$96,D$98,D$100,D$102,D$104,D$106)</f>
        <v>38539.856666666667</v>
      </c>
      <c r="E113" s="370">
        <f t="shared" si="201"/>
        <v>40881.849688590024</v>
      </c>
      <c r="F113" s="370">
        <f t="shared" si="201"/>
        <v>43538.932735806979</v>
      </c>
      <c r="G113" s="370">
        <f t="shared" si="201"/>
        <v>46379.291912174383</v>
      </c>
      <c r="H113" s="370">
        <f t="shared" si="201"/>
        <v>49095.815165454558</v>
      </c>
      <c r="I113" s="311"/>
      <c r="J113" s="317">
        <f t="shared" si="192"/>
        <v>5.5687528860585145E-2</v>
      </c>
    </row>
    <row r="114" spans="1:11">
      <c r="B114" s="357" t="s">
        <v>44</v>
      </c>
      <c r="C114" s="366">
        <f>(C113/'3 Statement Model'!$H$20)-1</f>
        <v>5.2202048969581805E-2</v>
      </c>
      <c r="D114" s="359">
        <f t="shared" ref="D114" si="202">SUM(D113/C113)-1</f>
        <v>8.6620681695833923E-2</v>
      </c>
      <c r="E114" s="359">
        <f t="shared" ref="E114" si="203">SUM(E113/D113)-1</f>
        <v>6.0768078152946492E-2</v>
      </c>
      <c r="F114" s="359">
        <f t="shared" ref="F114" si="204">SUM(F113/E113)-1</f>
        <v>6.4994198341239429E-2</v>
      </c>
      <c r="G114" s="359">
        <f t="shared" ref="G114:H114" si="205">SUM(G113/F113)-1</f>
        <v>6.5237225579290792E-2</v>
      </c>
      <c r="H114" s="359">
        <f t="shared" si="205"/>
        <v>5.857190011491098E-2</v>
      </c>
      <c r="I114" s="311"/>
      <c r="J114" s="317"/>
    </row>
    <row r="115" spans="1:11">
      <c r="B115" s="356" t="s">
        <v>348</v>
      </c>
      <c r="C115" s="369">
        <f>MIN(C$96,C$98,C$100,C$102,C$104,C$106)</f>
        <v>33433.9</v>
      </c>
      <c r="D115" s="369">
        <f t="shared" ref="D115:H115" si="206">MIN(D$96,D$98,D$100,D$102,D$104,D$106)</f>
        <v>35386.01</v>
      </c>
      <c r="E115" s="369">
        <f t="shared" si="206"/>
        <v>36801</v>
      </c>
      <c r="F115" s="369">
        <f t="shared" si="206"/>
        <v>38925.599999999999</v>
      </c>
      <c r="G115" s="369">
        <f t="shared" si="206"/>
        <v>41149.919999999998</v>
      </c>
      <c r="H115" s="369">
        <f t="shared" si="206"/>
        <v>41553.199999999997</v>
      </c>
      <c r="I115" s="311"/>
      <c r="J115" s="317">
        <f t="shared" si="192"/>
        <v>3.6898483220064726E-2</v>
      </c>
    </row>
    <row r="116" spans="1:11">
      <c r="B116" s="358" t="s">
        <v>44</v>
      </c>
      <c r="C116" s="367">
        <f>(C115/'3 Statement Model'!$H$20)-1</f>
        <v>-8.1316008069300949E-3</v>
      </c>
      <c r="D116" s="360">
        <f t="shared" ref="D116" si="207">SUM(D115/C115)-1</f>
        <v>5.8387145980576705E-2</v>
      </c>
      <c r="E116" s="360">
        <f t="shared" ref="E116" si="208">SUM(E115/D115)-1</f>
        <v>3.9987271806004587E-2</v>
      </c>
      <c r="F116" s="360">
        <f t="shared" ref="F116" si="209">SUM(F115/E115)-1</f>
        <v>5.7732126844379117E-2</v>
      </c>
      <c r="G116" s="360">
        <f t="shared" ref="G116:H116" si="210">SUM(G115/F115)-1</f>
        <v>5.7142857142857162E-2</v>
      </c>
      <c r="H116" s="360">
        <f t="shared" si="210"/>
        <v>9.8002620661230555E-3</v>
      </c>
      <c r="I116" s="312"/>
      <c r="J116" s="318"/>
    </row>
    <row r="117" spans="1:11" s="334" customFormat="1">
      <c r="B117" s="373"/>
      <c r="C117" s="374"/>
      <c r="D117" s="374"/>
      <c r="E117" s="374"/>
      <c r="F117" s="374"/>
      <c r="G117" s="374"/>
      <c r="H117" s="374"/>
      <c r="I117" s="375"/>
      <c r="J117" s="376"/>
    </row>
    <row r="118" spans="1:11">
      <c r="A118" s="391" t="s">
        <v>24</v>
      </c>
      <c r="B118" s="247" t="s">
        <v>413</v>
      </c>
      <c r="C118" s="229" t="s">
        <v>165</v>
      </c>
      <c r="D118" s="229"/>
      <c r="E118" s="229"/>
      <c r="F118" s="229"/>
      <c r="G118" s="229"/>
      <c r="H118" s="229"/>
      <c r="I118" s="248"/>
      <c r="J118" s="2" t="s">
        <v>370</v>
      </c>
    </row>
    <row r="119" spans="1:11">
      <c r="B119" s="303" t="s">
        <v>410</v>
      </c>
      <c r="C119" s="304" t="str">
        <f>C$9</f>
        <v>2026E</v>
      </c>
      <c r="D119" s="304" t="str">
        <f>D$9</f>
        <v>2027E</v>
      </c>
      <c r="E119" s="304" t="str">
        <f>E$9</f>
        <v>2028E</v>
      </c>
      <c r="F119" s="304" t="str">
        <f>F$9</f>
        <v>2029E</v>
      </c>
      <c r="G119" s="304" t="str">
        <f>G$9</f>
        <v>2030E</v>
      </c>
      <c r="H119" s="304" t="str">
        <f>H$9</f>
        <v>2031E</v>
      </c>
      <c r="I119" s="248"/>
      <c r="J119" s="200" t="str">
        <f>$J$9</f>
        <v>6-Year(F)</v>
      </c>
    </row>
    <row r="120" spans="1:11">
      <c r="B120" s="303" t="s">
        <v>411</v>
      </c>
      <c r="C120" s="248">
        <f>C$10</f>
        <v>46295</v>
      </c>
      <c r="D120" s="248">
        <f>D$10</f>
        <v>46660</v>
      </c>
      <c r="E120" s="248">
        <f>E$10</f>
        <v>47026</v>
      </c>
      <c r="F120" s="248">
        <f>F$10</f>
        <v>47391</v>
      </c>
      <c r="G120" s="248">
        <f>G$10</f>
        <v>47756</v>
      </c>
      <c r="H120" s="248">
        <f>H$10</f>
        <v>48121</v>
      </c>
      <c r="I120" s="248"/>
      <c r="J120" s="3">
        <f>$H$42</f>
        <v>48121</v>
      </c>
    </row>
    <row r="121" spans="1:11" ht="5.0999999999999996" customHeight="1">
      <c r="B121" s="307"/>
    </row>
    <row r="122" spans="1:11">
      <c r="B122" s="467" t="s">
        <v>364</v>
      </c>
      <c r="C122" s="468">
        <v>37688</v>
      </c>
      <c r="D122" s="468">
        <v>40491</v>
      </c>
      <c r="E122" s="468">
        <v>43533</v>
      </c>
      <c r="F122" s="469">
        <f t="shared" ref="F122" si="211">SUM(E122*F123)+E122</f>
        <v>46803.538786396981</v>
      </c>
      <c r="G122" s="469">
        <f t="shared" ref="G122" si="212">SUM(F122*G123)+F122</f>
        <v>50319.78597683979</v>
      </c>
      <c r="H122" s="469">
        <f t="shared" ref="H122" si="213">SUM(G122*H123)+G122</f>
        <v>54100.201104684165</v>
      </c>
      <c r="J122" s="365">
        <f t="shared" ref="J122" si="214">((H122/C122)^(1/COUNT(C122:H122))-1)</f>
        <v>6.2101359427377378E-2</v>
      </c>
      <c r="K122" s="467" t="s">
        <v>628</v>
      </c>
    </row>
    <row r="123" spans="1:11">
      <c r="B123" s="308" t="s">
        <v>44</v>
      </c>
      <c r="C123" s="372">
        <f>(C122/'3 Statement Model'!$H$23)-1</f>
        <v>5.6100431541781015E-2</v>
      </c>
      <c r="D123" s="314">
        <f t="shared" ref="D123" si="215">SUM(D122/C122)-1</f>
        <v>7.4373805985990193E-2</v>
      </c>
      <c r="E123" s="314">
        <f t="shared" ref="E123" si="216">SUM(E122/D122)-1</f>
        <v>7.5127806179150936E-2</v>
      </c>
      <c r="F123" s="314">
        <f>E123</f>
        <v>7.5127806179150936E-2</v>
      </c>
      <c r="G123" s="314">
        <f>F123</f>
        <v>7.5127806179150936E-2</v>
      </c>
      <c r="H123" s="314">
        <f>G123</f>
        <v>7.5127806179150936E-2</v>
      </c>
      <c r="J123" s="363"/>
    </row>
    <row r="124" spans="1:11">
      <c r="B124" s="467" t="s">
        <v>373</v>
      </c>
      <c r="C124" s="468">
        <v>36950</v>
      </c>
      <c r="D124" s="468">
        <v>37849</v>
      </c>
      <c r="E124" s="468">
        <v>39469</v>
      </c>
      <c r="F124" s="469">
        <f t="shared" ref="E124:F130" si="217">SUM(E124*F125)+E124</f>
        <v>41158.338687944197</v>
      </c>
      <c r="G124" s="469">
        <f t="shared" ref="G124:H124" si="218">SUM(F124*G125)+F124</f>
        <v>42919.983874725076</v>
      </c>
      <c r="H124" s="469">
        <f t="shared" si="218"/>
        <v>44757.030398465584</v>
      </c>
      <c r="J124" s="362">
        <f t="shared" ref="J124" si="219">((H124/C124)^(1/COUNT(C124:H124))-1)</f>
        <v>3.2462936280567067E-2</v>
      </c>
      <c r="K124" s="467" t="s">
        <v>628</v>
      </c>
    </row>
    <row r="125" spans="1:11">
      <c r="B125" s="308" t="s">
        <v>44</v>
      </c>
      <c r="C125" s="372">
        <f>(C124/'3 Statement Model'!$H$23)-1</f>
        <v>3.5420052681723879E-2</v>
      </c>
      <c r="D125" s="314">
        <f t="shared" ref="D125" si="220">SUM(D124/C124)-1</f>
        <v>2.4330175913396479E-2</v>
      </c>
      <c r="E125" s="314">
        <f t="shared" ref="E125" si="221">SUM(E124/D124)-1</f>
        <v>4.2801659224814381E-2</v>
      </c>
      <c r="F125" s="314">
        <f>E125</f>
        <v>4.2801659224814381E-2</v>
      </c>
      <c r="G125" s="314">
        <f>F125</f>
        <v>4.2801659224814381E-2</v>
      </c>
      <c r="H125" s="314">
        <f>G125</f>
        <v>4.2801659224814381E-2</v>
      </c>
      <c r="J125" s="363"/>
    </row>
    <row r="126" spans="1:11">
      <c r="B126" s="467" t="s">
        <v>472</v>
      </c>
      <c r="C126" s="468">
        <v>45226</v>
      </c>
      <c r="D126" s="468">
        <v>45931</v>
      </c>
      <c r="E126" s="468">
        <v>48029</v>
      </c>
      <c r="F126" s="469">
        <f t="shared" ref="F126" si="222">SUM(E126*F127)+E126</f>
        <v>50222.830789662752</v>
      </c>
      <c r="G126" s="469">
        <f t="shared" ref="G126:H126" si="223">SUM(F126*G127)+F126</f>
        <v>52516.869652232963</v>
      </c>
      <c r="H126" s="469">
        <f t="shared" si="223"/>
        <v>54915.693813047765</v>
      </c>
      <c r="J126" s="362">
        <f t="shared" ref="J126" si="224">((H126/C126)^(1/COUNT(C126:H126))-1)</f>
        <v>3.2883602254843325E-2</v>
      </c>
      <c r="K126" s="467" t="s">
        <v>627</v>
      </c>
    </row>
    <row r="127" spans="1:11">
      <c r="B127" s="308" t="s">
        <v>44</v>
      </c>
      <c r="C127" s="372">
        <f>(C126/'3 Statement Model'!$H$23)-1</f>
        <v>0.26733172672756833</v>
      </c>
      <c r="D127" s="314">
        <f t="shared" ref="D127:E127" si="225">SUM(D126/C126)-1</f>
        <v>1.5588378366426348E-2</v>
      </c>
      <c r="E127" s="314">
        <f t="shared" si="225"/>
        <v>4.5677211469377976E-2</v>
      </c>
      <c r="F127" s="314">
        <f t="shared" ref="F127:G131" si="226">E127</f>
        <v>4.5677211469377976E-2</v>
      </c>
      <c r="G127" s="314">
        <f t="shared" si="226"/>
        <v>4.5677211469377976E-2</v>
      </c>
      <c r="H127" s="314">
        <f t="shared" ref="H127" si="227">G127</f>
        <v>4.5677211469377976E-2</v>
      </c>
      <c r="J127" s="363"/>
    </row>
    <row r="128" spans="1:11">
      <c r="B128" s="467" t="s">
        <v>375</v>
      </c>
      <c r="C128" s="468">
        <v>36247</v>
      </c>
      <c r="D128" s="468">
        <v>37445</v>
      </c>
      <c r="E128" s="468">
        <v>39063</v>
      </c>
      <c r="F128" s="469">
        <f t="shared" ref="F128" si="228">SUM(E128*F129)+E128</f>
        <v>40750.913846975564</v>
      </c>
      <c r="G128" s="469">
        <f t="shared" ref="G128:H128" si="229">SUM(F128*G129)+F128</f>
        <v>42511.762521148521</v>
      </c>
      <c r="H128" s="469">
        <f t="shared" si="229"/>
        <v>44348.69753942114</v>
      </c>
      <c r="J128" s="362">
        <f t="shared" ref="J128:J130" si="230">((H128/C128)^(1/COUNT(C128:H128))-1)</f>
        <v>3.4192697784271031E-2</v>
      </c>
      <c r="K128" s="467" t="s">
        <v>627</v>
      </c>
    </row>
    <row r="129" spans="1:11">
      <c r="B129" s="308" t="s">
        <v>44</v>
      </c>
      <c r="C129" s="372">
        <f>(C128/'3 Statement Model'!$H$23)-1</f>
        <v>1.5720450596872659E-2</v>
      </c>
      <c r="D129" s="314">
        <f t="shared" ref="D129:E129" si="231">SUM(D128/C128)-1</f>
        <v>3.3051011118161444E-2</v>
      </c>
      <c r="E129" s="314">
        <f t="shared" si="231"/>
        <v>4.3210041394044607E-2</v>
      </c>
      <c r="F129" s="314">
        <f t="shared" si="226"/>
        <v>4.3210041394044607E-2</v>
      </c>
      <c r="G129" s="314">
        <f>F129</f>
        <v>4.3210041394044607E-2</v>
      </c>
      <c r="H129" s="314">
        <f t="shared" ref="H129" si="232">G129</f>
        <v>4.3210041394044607E-2</v>
      </c>
      <c r="J129" s="363"/>
    </row>
    <row r="130" spans="1:11">
      <c r="B130" s="467" t="s">
        <v>365</v>
      </c>
      <c r="C130" s="468">
        <v>39210</v>
      </c>
      <c r="D130" s="468">
        <v>41501</v>
      </c>
      <c r="E130" s="469">
        <f t="shared" si="217"/>
        <v>43925.860775312423</v>
      </c>
      <c r="F130" s="469">
        <f t="shared" ref="F130" si="233">SUM(E130*F131)+E130</f>
        <v>46492.4036734568</v>
      </c>
      <c r="G130" s="469">
        <f t="shared" ref="G130:H130" si="234">SUM(F130*G131)+F130</f>
        <v>49208.907035249445</v>
      </c>
      <c r="H130" s="469">
        <f t="shared" si="234"/>
        <v>52084.132896452116</v>
      </c>
      <c r="J130" s="362">
        <f t="shared" si="230"/>
        <v>4.8458953248083469E-2</v>
      </c>
      <c r="K130" s="467" t="s">
        <v>627</v>
      </c>
    </row>
    <row r="131" spans="1:11">
      <c r="B131" s="308" t="s">
        <v>44</v>
      </c>
      <c r="C131" s="372">
        <f>(C130/'3 Statement Model'!$H$23)-1</f>
        <v>9.8750210166451913E-2</v>
      </c>
      <c r="D131" s="314">
        <f t="shared" ref="D131" si="235">SUM(D130/C130)-1</f>
        <v>5.8428972200969209E-2</v>
      </c>
      <c r="E131" s="314">
        <f>D131</f>
        <v>5.8428972200969209E-2</v>
      </c>
      <c r="F131" s="314">
        <f t="shared" si="226"/>
        <v>5.8428972200969209E-2</v>
      </c>
      <c r="G131" s="314">
        <f t="shared" si="226"/>
        <v>5.8428972200969209E-2</v>
      </c>
      <c r="H131" s="314">
        <f t="shared" ref="H131" si="236">G131</f>
        <v>5.8428972200969209E-2</v>
      </c>
      <c r="J131" s="364"/>
    </row>
    <row r="132" spans="1:11" ht="5.0999999999999996" customHeight="1"/>
    <row r="133" spans="1:11">
      <c r="B133" s="313" t="s">
        <v>222</v>
      </c>
      <c r="C133" s="368">
        <f t="shared" ref="C133:G133" si="237">MAX(C122,C124,C126,C128,C130)</f>
        <v>45226</v>
      </c>
      <c r="D133" s="368">
        <f t="shared" si="237"/>
        <v>45931</v>
      </c>
      <c r="E133" s="368">
        <f t="shared" si="237"/>
        <v>48029</v>
      </c>
      <c r="F133" s="368">
        <f t="shared" si="237"/>
        <v>50222.830789662752</v>
      </c>
      <c r="G133" s="368">
        <f t="shared" si="237"/>
        <v>52516.869652232963</v>
      </c>
      <c r="H133" s="368">
        <f t="shared" ref="H133" si="238">MAX(H122,H124,H126,H128,H130)</f>
        <v>54915.693813047765</v>
      </c>
      <c r="I133" s="309"/>
      <c r="J133" s="319">
        <f t="shared" ref="J133:J139" si="239">((H133/C133)^(1/COUNT(C133:H133))-1)</f>
        <v>3.2883602254843325E-2</v>
      </c>
    </row>
    <row r="134" spans="1:11">
      <c r="B134" s="357" t="s">
        <v>44</v>
      </c>
      <c r="C134" s="366">
        <f>(C133/'3 Statement Model'!$H$23)-1</f>
        <v>0.26733172672756833</v>
      </c>
      <c r="D134" s="359">
        <f t="shared" ref="D134" si="240">SUM(D133/C133)-1</f>
        <v>1.5588378366426348E-2</v>
      </c>
      <c r="E134" s="359">
        <f t="shared" ref="E134" si="241">SUM(E133/D133)-1</f>
        <v>4.5677211469377976E-2</v>
      </c>
      <c r="F134" s="359">
        <f t="shared" ref="F134" si="242">SUM(F133/E133)-1</f>
        <v>4.5677211469377976E-2</v>
      </c>
      <c r="G134" s="359">
        <f t="shared" ref="G134:H134" si="243">SUM(G133/F133)-1</f>
        <v>4.5677211469377976E-2</v>
      </c>
      <c r="H134" s="359">
        <f t="shared" si="243"/>
        <v>4.5677211469377976E-2</v>
      </c>
      <c r="I134" s="311"/>
      <c r="J134" s="317"/>
    </row>
    <row r="135" spans="1:11">
      <c r="B135" s="310" t="s">
        <v>412</v>
      </c>
      <c r="C135" s="370">
        <f t="shared" ref="C135:G135" si="244">MEDIAN(C122,C124,C126,C128,C130)</f>
        <v>37688</v>
      </c>
      <c r="D135" s="370">
        <f t="shared" si="244"/>
        <v>40491</v>
      </c>
      <c r="E135" s="370">
        <f t="shared" si="244"/>
        <v>43533</v>
      </c>
      <c r="F135" s="370">
        <f t="shared" si="244"/>
        <v>46492.4036734568</v>
      </c>
      <c r="G135" s="370">
        <f t="shared" si="244"/>
        <v>49208.907035249445</v>
      </c>
      <c r="H135" s="370">
        <f t="shared" ref="H135" si="245">MEDIAN(H122,H124,H126,H128,H130)</f>
        <v>52084.132896452116</v>
      </c>
      <c r="I135" s="311"/>
      <c r="J135" s="317">
        <f t="shared" si="239"/>
        <v>5.5399922271222035E-2</v>
      </c>
    </row>
    <row r="136" spans="1:11">
      <c r="B136" s="357" t="s">
        <v>44</v>
      </c>
      <c r="C136" s="366">
        <f>(C135/'3 Statement Model'!$H$23)-1</f>
        <v>5.6100431541781015E-2</v>
      </c>
      <c r="D136" s="359">
        <f t="shared" ref="D136" si="246">SUM(D135/C135)-1</f>
        <v>7.4373805985990193E-2</v>
      </c>
      <c r="E136" s="359">
        <f t="shared" ref="E136" si="247">SUM(E135/D135)-1</f>
        <v>7.5127806179150936E-2</v>
      </c>
      <c r="F136" s="359">
        <f t="shared" ref="F136" si="248">SUM(F135/E135)-1</f>
        <v>6.7980696792244943E-2</v>
      </c>
      <c r="G136" s="359">
        <f t="shared" ref="G136:H136" si="249">SUM(G135/F135)-1</f>
        <v>5.8428972200969209E-2</v>
      </c>
      <c r="H136" s="359">
        <f t="shared" si="249"/>
        <v>5.8428972200969209E-2</v>
      </c>
      <c r="I136" s="311"/>
      <c r="J136" s="317"/>
    </row>
    <row r="137" spans="1:11">
      <c r="B137" s="310" t="s">
        <v>369</v>
      </c>
      <c r="C137" s="370">
        <f t="shared" ref="C137:G137" si="250">AVERAGE(C122,C124,C126,C128,C130)</f>
        <v>39064.199999999997</v>
      </c>
      <c r="D137" s="370">
        <f t="shared" si="250"/>
        <v>40643.4</v>
      </c>
      <c r="E137" s="370">
        <f t="shared" si="250"/>
        <v>42803.972155062482</v>
      </c>
      <c r="F137" s="370">
        <f t="shared" si="250"/>
        <v>45085.605156887257</v>
      </c>
      <c r="G137" s="370">
        <f t="shared" si="250"/>
        <v>47495.461812039161</v>
      </c>
      <c r="H137" s="370">
        <f t="shared" ref="H137" si="251">AVERAGE(H122,H124,H126,H128,H130)</f>
        <v>50041.151150414153</v>
      </c>
      <c r="I137" s="311"/>
      <c r="J137" s="317">
        <f t="shared" si="239"/>
        <v>4.2136785961481182E-2</v>
      </c>
    </row>
    <row r="138" spans="1:11">
      <c r="B138" s="357" t="s">
        <v>44</v>
      </c>
      <c r="C138" s="366">
        <f>(C137/'3 Statement Model'!$H$23)-1</f>
        <v>9.4664574342879559E-2</v>
      </c>
      <c r="D138" s="359">
        <f t="shared" ref="D138" si="252">SUM(D137/C137)-1</f>
        <v>4.0425760670895761E-2</v>
      </c>
      <c r="E138" s="359">
        <f t="shared" ref="E138" si="253">SUM(E137/D137)-1</f>
        <v>5.3159237540719495E-2</v>
      </c>
      <c r="F138" s="359">
        <f t="shared" ref="F138" si="254">SUM(F137/E137)-1</f>
        <v>5.3304235260206445E-2</v>
      </c>
      <c r="G138" s="359">
        <f t="shared" ref="G138:H138" si="255">SUM(G137/F137)-1</f>
        <v>5.3450688900951171E-2</v>
      </c>
      <c r="H138" s="359">
        <f t="shared" si="255"/>
        <v>5.3598580606488921E-2</v>
      </c>
      <c r="I138" s="311"/>
      <c r="J138" s="317"/>
    </row>
    <row r="139" spans="1:11">
      <c r="B139" s="356" t="s">
        <v>348</v>
      </c>
      <c r="C139" s="369">
        <f t="shared" ref="C139:G139" si="256">MIN(C122,C124,C126,C128,C130)</f>
        <v>36247</v>
      </c>
      <c r="D139" s="369">
        <f t="shared" si="256"/>
        <v>37445</v>
      </c>
      <c r="E139" s="369">
        <f t="shared" si="256"/>
        <v>39063</v>
      </c>
      <c r="F139" s="369">
        <f t="shared" si="256"/>
        <v>40750.913846975564</v>
      </c>
      <c r="G139" s="369">
        <f t="shared" si="256"/>
        <v>42511.762521148521</v>
      </c>
      <c r="H139" s="369">
        <f t="shared" ref="H139" si="257">MIN(H122,H124,H126,H128,H130)</f>
        <v>44348.69753942114</v>
      </c>
      <c r="I139" s="311"/>
      <c r="J139" s="317">
        <f t="shared" si="239"/>
        <v>3.4192697784271031E-2</v>
      </c>
    </row>
    <row r="140" spans="1:11">
      <c r="B140" s="358" t="s">
        <v>44</v>
      </c>
      <c r="C140" s="367">
        <f>(C139/'3 Statement Model'!$H$23)-1</f>
        <v>1.5720450596872659E-2</v>
      </c>
      <c r="D140" s="360">
        <f t="shared" ref="D140" si="258">SUM(D139/C139)-1</f>
        <v>3.3051011118161444E-2</v>
      </c>
      <c r="E140" s="360">
        <f t="shared" ref="E140" si="259">SUM(E139/D139)-1</f>
        <v>4.3210041394044607E-2</v>
      </c>
      <c r="F140" s="360">
        <f t="shared" ref="F140" si="260">SUM(F139/E139)-1</f>
        <v>4.3210041394044607E-2</v>
      </c>
      <c r="G140" s="360">
        <f t="shared" ref="G140:H140" si="261">SUM(G139/F139)-1</f>
        <v>4.3210041394044607E-2</v>
      </c>
      <c r="H140" s="360">
        <f t="shared" si="261"/>
        <v>4.3210041394044607E-2</v>
      </c>
      <c r="I140" s="312"/>
      <c r="J140" s="318"/>
    </row>
    <row r="141" spans="1:11" s="334" customFormat="1">
      <c r="B141" s="373"/>
      <c r="C141" s="374"/>
      <c r="D141" s="374"/>
      <c r="E141" s="374"/>
      <c r="F141" s="374"/>
      <c r="G141" s="374"/>
      <c r="H141" s="374"/>
      <c r="I141" s="375"/>
      <c r="J141" s="376"/>
    </row>
    <row r="142" spans="1:11">
      <c r="A142" s="391" t="s">
        <v>24</v>
      </c>
      <c r="B142" s="247" t="s">
        <v>261</v>
      </c>
      <c r="C142" s="229" t="s">
        <v>165</v>
      </c>
      <c r="D142" s="229"/>
      <c r="E142" s="229"/>
      <c r="F142" s="229"/>
      <c r="G142" s="229"/>
      <c r="H142" s="229"/>
      <c r="I142" s="248"/>
      <c r="J142" s="2" t="s">
        <v>370</v>
      </c>
    </row>
    <row r="143" spans="1:11">
      <c r="B143" s="303" t="s">
        <v>410</v>
      </c>
      <c r="C143" s="304" t="str">
        <f>C$9</f>
        <v>2026E</v>
      </c>
      <c r="D143" s="304" t="str">
        <f>D$9</f>
        <v>2027E</v>
      </c>
      <c r="E143" s="304" t="str">
        <f>E$9</f>
        <v>2028E</v>
      </c>
      <c r="F143" s="304" t="str">
        <f>F$9</f>
        <v>2029E</v>
      </c>
      <c r="G143" s="304" t="str">
        <f>G$9</f>
        <v>2030E</v>
      </c>
      <c r="H143" s="304" t="str">
        <f>H$9</f>
        <v>2031E</v>
      </c>
      <c r="I143" s="248"/>
      <c r="J143" s="200" t="str">
        <f>$J$9</f>
        <v>6-Year(F)</v>
      </c>
    </row>
    <row r="144" spans="1:11">
      <c r="B144" s="303" t="s">
        <v>411</v>
      </c>
      <c r="C144" s="248">
        <f>C$10</f>
        <v>46295</v>
      </c>
      <c r="D144" s="248">
        <f>D$10</f>
        <v>46660</v>
      </c>
      <c r="E144" s="248">
        <f>E$10</f>
        <v>47026</v>
      </c>
      <c r="F144" s="248">
        <f>F$10</f>
        <v>47391</v>
      </c>
      <c r="G144" s="248">
        <f>G$10</f>
        <v>47756</v>
      </c>
      <c r="H144" s="248">
        <f>H$10</f>
        <v>48121</v>
      </c>
      <c r="I144" s="248"/>
      <c r="J144" s="3">
        <f>$H$42</f>
        <v>48121</v>
      </c>
    </row>
    <row r="145" spans="2:11" ht="5.0999999999999996" customHeight="1">
      <c r="B145" s="307"/>
    </row>
    <row r="146" spans="2:11">
      <c r="B146" s="467" t="s">
        <v>364</v>
      </c>
      <c r="C146" s="468">
        <v>122784</v>
      </c>
      <c r="D146" s="468">
        <v>137818</v>
      </c>
      <c r="E146" s="468">
        <v>156043</v>
      </c>
      <c r="F146" s="469">
        <f t="shared" ref="F146" si="262">SUM(E146*F147)+E146</f>
        <v>176678.06708122307</v>
      </c>
      <c r="G146" s="469">
        <f t="shared" ref="G146" si="263">SUM(F146*G147)+F146</f>
        <v>200041.9075995537</v>
      </c>
      <c r="H146" s="469">
        <f t="shared" ref="H146" si="264">SUM(G146*H147)+G146</f>
        <v>226495.3735183877</v>
      </c>
      <c r="J146" s="365">
        <f t="shared" ref="J146" si="265">((H146/C146)^(1/COUNT(C146:H146))-1)</f>
        <v>0.10743843708921053</v>
      </c>
      <c r="K146" s="467" t="s">
        <v>628</v>
      </c>
    </row>
    <row r="147" spans="2:11">
      <c r="B147" s="308" t="s">
        <v>44</v>
      </c>
      <c r="C147" s="372">
        <f>(C146/'3 Statement Model'!$H$22)-1</f>
        <v>0.12482823063815762</v>
      </c>
      <c r="D147" s="314">
        <f t="shared" ref="D147" si="266">SUM(D146/C146)-1</f>
        <v>0.12244266353922328</v>
      </c>
      <c r="E147" s="314">
        <f t="shared" ref="E147" si="267">SUM(E146/D146)-1</f>
        <v>0.13223962036889225</v>
      </c>
      <c r="F147" s="314">
        <f t="shared" ref="F147:G155" si="268">E147</f>
        <v>0.13223962036889225</v>
      </c>
      <c r="G147" s="314">
        <f t="shared" si="268"/>
        <v>0.13223962036889225</v>
      </c>
      <c r="H147" s="314">
        <f t="shared" ref="H147:H149" si="269">G147</f>
        <v>0.13223962036889225</v>
      </c>
      <c r="J147" s="363"/>
    </row>
    <row r="148" spans="2:11">
      <c r="B148" s="467" t="s">
        <v>373</v>
      </c>
      <c r="C148" s="468">
        <v>124379</v>
      </c>
      <c r="D148" s="468">
        <v>141112</v>
      </c>
      <c r="E148" s="468">
        <v>158615</v>
      </c>
      <c r="F148" s="469">
        <f t="shared" ref="F148" si="270">SUM(E148*F149)+E148</f>
        <v>178289.0060731901</v>
      </c>
      <c r="G148" s="469">
        <f t="shared" ref="G148:H148" si="271">SUM(F148*G149)+F148</f>
        <v>200403.30162069172</v>
      </c>
      <c r="H148" s="469">
        <f t="shared" si="271"/>
        <v>225260.57094057216</v>
      </c>
      <c r="J148" s="362">
        <f t="shared" ref="J148" si="272">((H148/C148)^(1/COUNT(C148:H148))-1)</f>
        <v>0.10405240118788806</v>
      </c>
      <c r="K148" s="467" t="s">
        <v>628</v>
      </c>
    </row>
    <row r="149" spans="2:11">
      <c r="B149" s="308" t="s">
        <v>44</v>
      </c>
      <c r="C149" s="372">
        <f>(C148/'3 Statement Model'!$H$22)-1</f>
        <v>0.13944007768555666</v>
      </c>
      <c r="D149" s="314">
        <f t="shared" ref="D149" si="273">SUM(D148/C148)-1</f>
        <v>0.13453235674832564</v>
      </c>
      <c r="E149" s="314">
        <f t="shared" ref="E149" si="274">SUM(E148/D148)-1</f>
        <v>0.12403622654345492</v>
      </c>
      <c r="F149" s="314">
        <f t="shared" si="268"/>
        <v>0.12403622654345492</v>
      </c>
      <c r="G149" s="314">
        <f t="shared" si="268"/>
        <v>0.12403622654345492</v>
      </c>
      <c r="H149" s="314">
        <f t="shared" si="269"/>
        <v>0.12403622654345492</v>
      </c>
      <c r="J149" s="363"/>
    </row>
    <row r="150" spans="2:11">
      <c r="B150" s="467" t="s">
        <v>472</v>
      </c>
      <c r="C150" s="468">
        <v>124465</v>
      </c>
      <c r="D150" s="468">
        <v>136912</v>
      </c>
      <c r="E150" s="468">
        <v>149234</v>
      </c>
      <c r="F150" s="469">
        <f t="shared" ref="F150" si="275">SUM(E150*F151)+E150</f>
        <v>162664.97280004676</v>
      </c>
      <c r="G150" s="469">
        <f t="shared" ref="G150:H150" si="276">SUM(F150*G151)+F150</f>
        <v>177304.72530415287</v>
      </c>
      <c r="H150" s="469">
        <f t="shared" si="276"/>
        <v>193262.04697937326</v>
      </c>
      <c r="J150" s="362">
        <f t="shared" ref="J150" si="277">((H150/C150)^(1/COUNT(C150:H150))-1)</f>
        <v>7.6093203934845643E-2</v>
      </c>
      <c r="K150" s="467" t="s">
        <v>627</v>
      </c>
    </row>
    <row r="151" spans="2:11">
      <c r="B151" s="308" t="s">
        <v>44</v>
      </c>
      <c r="C151" s="372">
        <f>(C150/'3 Statement Model'!$H$22)-1</f>
        <v>0.14022792649187421</v>
      </c>
      <c r="D151" s="314">
        <f t="shared" ref="D151:E151" si="278">SUM(D150/C150)-1</f>
        <v>0.10000401719358853</v>
      </c>
      <c r="E151" s="314">
        <f t="shared" si="278"/>
        <v>8.9999415683066575E-2</v>
      </c>
      <c r="F151" s="314">
        <f t="shared" si="268"/>
        <v>8.9999415683066575E-2</v>
      </c>
      <c r="G151" s="314">
        <f t="shared" si="268"/>
        <v>8.9999415683066575E-2</v>
      </c>
      <c r="H151" s="314">
        <f t="shared" ref="H151" si="279">G151</f>
        <v>8.9999415683066575E-2</v>
      </c>
      <c r="J151" s="363"/>
    </row>
    <row r="152" spans="2:11">
      <c r="B152" s="467" t="s">
        <v>375</v>
      </c>
      <c r="C152" s="468">
        <v>123717</v>
      </c>
      <c r="D152" s="468">
        <v>137813</v>
      </c>
      <c r="E152" s="468">
        <v>151542</v>
      </c>
      <c r="F152" s="469">
        <f t="shared" ref="F152" si="280">SUM(E152*F153)+E152</f>
        <v>166638.68984783729</v>
      </c>
      <c r="G152" s="469">
        <f t="shared" ref="G152:H152" si="281">SUM(F152*G153)+F152</f>
        <v>183239.31949033079</v>
      </c>
      <c r="H152" s="469">
        <f t="shared" si="281"/>
        <v>201493.71216215965</v>
      </c>
      <c r="J152" s="362">
        <f t="shared" ref="J152:J154" si="282">((H152/C152)^(1/COUNT(C152:H152))-1)</f>
        <v>8.4689292282197348E-2</v>
      </c>
      <c r="K152" s="467" t="s">
        <v>627</v>
      </c>
    </row>
    <row r="153" spans="2:11">
      <c r="B153" s="308" t="s">
        <v>44</v>
      </c>
      <c r="C153" s="372">
        <f>(C152/'3 Statement Model'!$H$22)-1</f>
        <v>0.13337547408343875</v>
      </c>
      <c r="D153" s="314">
        <f t="shared" ref="D153:E153" si="283">SUM(D152/C152)-1</f>
        <v>0.11393745402814481</v>
      </c>
      <c r="E153" s="314">
        <f t="shared" si="283"/>
        <v>9.9620500243082999E-2</v>
      </c>
      <c r="F153" s="314">
        <f t="shared" si="268"/>
        <v>9.9620500243082999E-2</v>
      </c>
      <c r="G153" s="314">
        <f t="shared" si="268"/>
        <v>9.9620500243082999E-2</v>
      </c>
      <c r="H153" s="314">
        <f t="shared" ref="H153" si="284">G153</f>
        <v>9.9620500243082999E-2</v>
      </c>
      <c r="J153" s="363"/>
    </row>
    <row r="154" spans="2:11">
      <c r="B154" s="467" t="s">
        <v>365</v>
      </c>
      <c r="C154" s="468">
        <v>123008</v>
      </c>
      <c r="D154" s="468">
        <v>136682</v>
      </c>
      <c r="E154" s="469">
        <f t="shared" ref="E154" si="285">SUM(D154*E155)+D154</f>
        <v>151876.04972034338</v>
      </c>
      <c r="F154" s="469">
        <f t="shared" ref="F154" si="286">SUM(E154*F155)+E154</f>
        <v>168759.12321049016</v>
      </c>
      <c r="G154" s="469">
        <f t="shared" ref="G154:H154" si="287">SUM(F154*G155)+F154</f>
        <v>187518.97826691123</v>
      </c>
      <c r="H154" s="469">
        <f t="shared" si="287"/>
        <v>208364.24450017852</v>
      </c>
      <c r="J154" s="362">
        <f t="shared" si="282"/>
        <v>9.181311397278602E-2</v>
      </c>
      <c r="K154" s="467" t="s">
        <v>627</v>
      </c>
    </row>
    <row r="155" spans="2:11">
      <c r="B155" s="308" t="s">
        <v>44</v>
      </c>
      <c r="C155" s="372">
        <f>(C154/'3 Statement Model'!$H$22)-1</f>
        <v>0.12688030194763544</v>
      </c>
      <c r="D155" s="314">
        <f t="shared" ref="D155" si="288">SUM(D154/C154)-1</f>
        <v>0.11116350156087407</v>
      </c>
      <c r="E155" s="314">
        <f>D155</f>
        <v>0.11116350156087407</v>
      </c>
      <c r="F155" s="314">
        <f t="shared" si="268"/>
        <v>0.11116350156087407</v>
      </c>
      <c r="G155" s="314">
        <f t="shared" si="268"/>
        <v>0.11116350156087407</v>
      </c>
      <c r="H155" s="314">
        <f t="shared" ref="H155" si="289">G155</f>
        <v>0.11116350156087407</v>
      </c>
      <c r="J155" s="364"/>
    </row>
    <row r="156" spans="2:11" ht="5.0999999999999996" customHeight="1"/>
    <row r="157" spans="2:11">
      <c r="B157" s="313" t="s">
        <v>222</v>
      </c>
      <c r="C157" s="368">
        <f t="shared" ref="C157:G157" si="290">MAX(C146,C148,C150,C152,C154)</f>
        <v>124465</v>
      </c>
      <c r="D157" s="368">
        <f t="shared" si="290"/>
        <v>141112</v>
      </c>
      <c r="E157" s="368">
        <f t="shared" si="290"/>
        <v>158615</v>
      </c>
      <c r="F157" s="368">
        <f t="shared" si="290"/>
        <v>178289.0060731901</v>
      </c>
      <c r="G157" s="368">
        <f t="shared" si="290"/>
        <v>200403.30162069172</v>
      </c>
      <c r="H157" s="368">
        <f t="shared" ref="H157" si="291">MAX(H146,H148,H150,H152,H154)</f>
        <v>226495.3735183877</v>
      </c>
      <c r="I157" s="309"/>
      <c r="J157" s="319">
        <f t="shared" ref="J157:J163" si="292">((H157/C157)^(1/COUNT(C157:H157))-1)</f>
        <v>0.10493148421336351</v>
      </c>
    </row>
    <row r="158" spans="2:11">
      <c r="B158" s="357" t="s">
        <v>44</v>
      </c>
      <c r="C158" s="366">
        <f>(C157/'3 Statement Model'!$H$22)-1</f>
        <v>0.14022792649187421</v>
      </c>
      <c r="D158" s="359">
        <f t="shared" ref="D158" si="293">SUM(D157/C157)-1</f>
        <v>0.13374844333748448</v>
      </c>
      <c r="E158" s="359">
        <f t="shared" ref="E158" si="294">SUM(E157/D157)-1</f>
        <v>0.12403622654345492</v>
      </c>
      <c r="F158" s="359">
        <f t="shared" ref="F158" si="295">SUM(F157/E157)-1</f>
        <v>0.12403622654345492</v>
      </c>
      <c r="G158" s="359">
        <f t="shared" ref="G158:H158" si="296">SUM(G157/F157)-1</f>
        <v>0.12403622654345492</v>
      </c>
      <c r="H158" s="359">
        <f t="shared" si="296"/>
        <v>0.13019781454040658</v>
      </c>
      <c r="I158" s="311"/>
      <c r="J158" s="317"/>
    </row>
    <row r="159" spans="2:11">
      <c r="B159" s="310" t="s">
        <v>412</v>
      </c>
      <c r="C159" s="370">
        <f t="shared" ref="C159:G159" si="297">MEDIAN(C146,C148,C150,C152,C154)</f>
        <v>123717</v>
      </c>
      <c r="D159" s="370">
        <f t="shared" si="297"/>
        <v>137813</v>
      </c>
      <c r="E159" s="370">
        <f t="shared" si="297"/>
        <v>151876.04972034338</v>
      </c>
      <c r="F159" s="370">
        <f t="shared" si="297"/>
        <v>168759.12321049016</v>
      </c>
      <c r="G159" s="370">
        <f t="shared" si="297"/>
        <v>187518.97826691123</v>
      </c>
      <c r="H159" s="370">
        <f t="shared" ref="H159" si="298">MEDIAN(H146,H148,H150,H152,H154)</f>
        <v>208364.24450017852</v>
      </c>
      <c r="I159" s="311"/>
      <c r="J159" s="317">
        <f t="shared" si="292"/>
        <v>9.0767784153486852E-2</v>
      </c>
    </row>
    <row r="160" spans="2:11">
      <c r="B160" s="357" t="s">
        <v>44</v>
      </c>
      <c r="C160" s="366">
        <f>(C159/'3 Statement Model'!$H$22)-1</f>
        <v>0.13337547408343875</v>
      </c>
      <c r="D160" s="359">
        <f t="shared" ref="D160" si="299">SUM(D159/C159)-1</f>
        <v>0.11393745402814481</v>
      </c>
      <c r="E160" s="359">
        <f t="shared" ref="E160" si="300">SUM(E159/D159)-1</f>
        <v>0.10204443499773874</v>
      </c>
      <c r="F160" s="359">
        <f t="shared" ref="F160" si="301">SUM(F159/E159)-1</f>
        <v>0.11116350156087407</v>
      </c>
      <c r="G160" s="359">
        <f t="shared" ref="G160:H160" si="302">SUM(G159/F159)-1</f>
        <v>0.11116350156087407</v>
      </c>
      <c r="H160" s="359">
        <f t="shared" si="302"/>
        <v>0.11116350156087407</v>
      </c>
      <c r="I160" s="311"/>
      <c r="J160" s="317"/>
    </row>
    <row r="161" spans="1:11">
      <c r="B161" s="310" t="s">
        <v>369</v>
      </c>
      <c r="C161" s="370">
        <f t="shared" ref="C161:G161" si="303">AVERAGE(C146,C148,C150,C152,C154)</f>
        <v>123670.6</v>
      </c>
      <c r="D161" s="370">
        <f t="shared" si="303"/>
        <v>138067.4</v>
      </c>
      <c r="E161" s="370">
        <f t="shared" si="303"/>
        <v>153462.00994406868</v>
      </c>
      <c r="F161" s="370">
        <f t="shared" si="303"/>
        <v>170605.9718025575</v>
      </c>
      <c r="G161" s="370">
        <f t="shared" si="303"/>
        <v>189701.64645632805</v>
      </c>
      <c r="H161" s="370">
        <f t="shared" ref="H161" si="304">AVERAGE(H146,H148,H150,H152,H154)</f>
        <v>210975.18962013428</v>
      </c>
      <c r="I161" s="311"/>
      <c r="J161" s="317">
        <f t="shared" si="292"/>
        <v>9.310232913521288E-2</v>
      </c>
    </row>
    <row r="162" spans="1:11">
      <c r="B162" s="357" t="s">
        <v>44</v>
      </c>
      <c r="C162" s="366">
        <f>(C161/'3 Statement Model'!$H$22)-1</f>
        <v>0.13295040216933263</v>
      </c>
      <c r="D162" s="359">
        <f t="shared" ref="D162" si="305">SUM(D161/C161)-1</f>
        <v>0.11641246989987919</v>
      </c>
      <c r="E162" s="359">
        <f t="shared" ref="E162" si="306">SUM(E161/D161)-1</f>
        <v>0.11150068694035431</v>
      </c>
      <c r="F162" s="359">
        <f t="shared" ref="F162" si="307">SUM(F161/E161)-1</f>
        <v>0.11171469645638799</v>
      </c>
      <c r="G162" s="359">
        <f t="shared" ref="G162:H162" si="308">SUM(G161/F161)-1</f>
        <v>0.11192852425980715</v>
      </c>
      <c r="H162" s="359">
        <f t="shared" si="308"/>
        <v>0.11214211136909502</v>
      </c>
      <c r="I162" s="311"/>
      <c r="J162" s="317"/>
    </row>
    <row r="163" spans="1:11">
      <c r="B163" s="356" t="s">
        <v>348</v>
      </c>
      <c r="C163" s="369">
        <f t="shared" ref="C163:G163" si="309">MIN(C146,C148,C150,C152,C154)</f>
        <v>122784</v>
      </c>
      <c r="D163" s="369">
        <f t="shared" si="309"/>
        <v>136682</v>
      </c>
      <c r="E163" s="369">
        <f t="shared" si="309"/>
        <v>149234</v>
      </c>
      <c r="F163" s="369">
        <f t="shared" si="309"/>
        <v>162664.97280004676</v>
      </c>
      <c r="G163" s="369">
        <f t="shared" si="309"/>
        <v>177304.72530415287</v>
      </c>
      <c r="H163" s="369">
        <f t="shared" ref="H163" si="310">MIN(H146,H148,H150,H152,H154)</f>
        <v>193262.04697937326</v>
      </c>
      <c r="I163" s="311"/>
      <c r="J163" s="317">
        <f t="shared" si="292"/>
        <v>7.8534726319561043E-2</v>
      </c>
    </row>
    <row r="164" spans="1:11" s="334" customFormat="1">
      <c r="B164" s="358" t="s">
        <v>44</v>
      </c>
      <c r="C164" s="367">
        <f>(C163/'3 Statement Model'!$H$22)-1</f>
        <v>0.12482823063815762</v>
      </c>
      <c r="D164" s="360">
        <f t="shared" ref="D164" si="311">SUM(D163/C163)-1</f>
        <v>0.11319064373208243</v>
      </c>
      <c r="E164" s="360">
        <f t="shared" ref="E164" si="312">SUM(E163/D163)-1</f>
        <v>9.1833599157167711E-2</v>
      </c>
      <c r="F164" s="360">
        <f t="shared" ref="F164" si="313">SUM(F163/E163)-1</f>
        <v>8.9999415683066575E-2</v>
      </c>
      <c r="G164" s="360">
        <f t="shared" ref="G164:H164" si="314">SUM(G163/F163)-1</f>
        <v>8.9999415683066575E-2</v>
      </c>
      <c r="H164" s="360">
        <f t="shared" si="314"/>
        <v>8.9999415683066575E-2</v>
      </c>
      <c r="I164" s="312"/>
      <c r="J164" s="318"/>
    </row>
    <row r="165" spans="1:11" s="334" customFormat="1">
      <c r="B165" s="379"/>
      <c r="C165" s="380"/>
      <c r="D165" s="380"/>
      <c r="E165" s="380"/>
      <c r="F165" s="380"/>
      <c r="G165" s="380"/>
      <c r="H165" s="380"/>
      <c r="I165" s="375"/>
      <c r="J165" s="376"/>
    </row>
    <row r="166" spans="1:11">
      <c r="A166" s="391" t="s">
        <v>24</v>
      </c>
      <c r="B166" s="247" t="s">
        <v>377</v>
      </c>
      <c r="C166" s="247"/>
      <c r="D166" s="247"/>
      <c r="E166" s="247"/>
      <c r="F166" s="247"/>
      <c r="G166" s="247"/>
      <c r="H166" s="247"/>
      <c r="I166" s="247"/>
      <c r="J166" s="247"/>
    </row>
    <row r="167" spans="1:11" ht="5.0999999999999996" customHeight="1"/>
    <row r="168" spans="1:11">
      <c r="A168" s="391" t="s">
        <v>24</v>
      </c>
      <c r="B168" s="247" t="s">
        <v>30</v>
      </c>
      <c r="C168" s="229" t="s">
        <v>165</v>
      </c>
      <c r="D168" s="229"/>
      <c r="E168" s="229"/>
      <c r="F168" s="229"/>
      <c r="G168" s="229"/>
      <c r="H168" s="229"/>
      <c r="I168" s="248"/>
      <c r="J168" s="2" t="s">
        <v>370</v>
      </c>
    </row>
    <row r="169" spans="1:11">
      <c r="B169" s="303" t="s">
        <v>410</v>
      </c>
      <c r="C169" s="304" t="str">
        <f>C$9</f>
        <v>2026E</v>
      </c>
      <c r="D169" s="304" t="str">
        <f>D$9</f>
        <v>2027E</v>
      </c>
      <c r="E169" s="304" t="str">
        <f>E$9</f>
        <v>2028E</v>
      </c>
      <c r="F169" s="304" t="str">
        <f>F$9</f>
        <v>2029E</v>
      </c>
      <c r="G169" s="304" t="str">
        <f>G$9</f>
        <v>2030E</v>
      </c>
      <c r="H169" s="304" t="str">
        <f>H$9</f>
        <v>2031E</v>
      </c>
      <c r="I169" s="248"/>
      <c r="J169" s="200" t="str">
        <f>$J$9</f>
        <v>6-Year(F)</v>
      </c>
    </row>
    <row r="170" spans="1:11">
      <c r="B170" s="303" t="s">
        <v>411</v>
      </c>
      <c r="C170" s="248">
        <f>C$10</f>
        <v>46295</v>
      </c>
      <c r="D170" s="248">
        <f>D$10</f>
        <v>46660</v>
      </c>
      <c r="E170" s="248">
        <f>E$10</f>
        <v>47026</v>
      </c>
      <c r="F170" s="248">
        <f>F$10</f>
        <v>47391</v>
      </c>
      <c r="G170" s="248">
        <f>G$10</f>
        <v>47756</v>
      </c>
      <c r="H170" s="248">
        <f>H$10</f>
        <v>48121</v>
      </c>
      <c r="I170" s="248"/>
      <c r="J170" s="3">
        <f>$H$42</f>
        <v>48121</v>
      </c>
    </row>
    <row r="171" spans="1:11" ht="5.0999999999999996" customHeight="1">
      <c r="B171" s="307"/>
    </row>
    <row r="172" spans="1:11">
      <c r="B172" s="467" t="s">
        <v>364</v>
      </c>
      <c r="C172" s="468">
        <v>220774</v>
      </c>
      <c r="D172" s="468">
        <v>251574</v>
      </c>
      <c r="E172" s="468">
        <v>273658</v>
      </c>
      <c r="F172" s="469">
        <f t="shared" ref="F172:G172" si="315">E172</f>
        <v>273658</v>
      </c>
      <c r="G172" s="469">
        <f t="shared" si="315"/>
        <v>273658</v>
      </c>
      <c r="H172" s="469">
        <f>G172</f>
        <v>273658</v>
      </c>
      <c r="J172" s="365">
        <f t="shared" ref="J172:J189" si="316">((H172/C172)^(1/COUNT(C172:H172))-1)</f>
        <v>3.6438102133536265E-2</v>
      </c>
      <c r="K172" s="467" t="s">
        <v>627</v>
      </c>
    </row>
    <row r="173" spans="1:11">
      <c r="B173" s="308" t="s">
        <v>366</v>
      </c>
      <c r="C173" s="377">
        <f>C172/C12</f>
        <v>0.4798996613352694</v>
      </c>
      <c r="D173" s="377">
        <f>D172/D12</f>
        <v>0.47983017291692892</v>
      </c>
      <c r="E173" s="377">
        <f>E172/E12</f>
        <v>0.49158147547373848</v>
      </c>
      <c r="F173" s="377">
        <f>F172/F12</f>
        <v>0.46193605363171009</v>
      </c>
      <c r="G173" s="377">
        <f>G172/G12</f>
        <v>0.43309105561402134</v>
      </c>
      <c r="H173" s="377">
        <f>H172/H12</f>
        <v>0.4051181084296932</v>
      </c>
      <c r="J173" s="363"/>
    </row>
    <row r="174" spans="1:11">
      <c r="B174" s="467" t="s">
        <v>373</v>
      </c>
      <c r="C174" s="469">
        <f>C175*C14</f>
        <v>217158.06599999999</v>
      </c>
      <c r="D174" s="469">
        <f>D175*D14</f>
        <v>242141.90700000001</v>
      </c>
      <c r="E174" s="469">
        <f>E175*E14</f>
        <v>254709.84</v>
      </c>
      <c r="F174" s="469">
        <f>F175*F14</f>
        <v>264964.64252333995</v>
      </c>
      <c r="G174" s="469">
        <f>G175*G14</f>
        <v>276551.95462960558</v>
      </c>
      <c r="H174" s="469">
        <f>H175*H14</f>
        <v>289624.70647173002</v>
      </c>
      <c r="J174" s="362">
        <f t="shared" si="316"/>
        <v>4.9163742388604659E-2</v>
      </c>
      <c r="K174" s="467" t="s">
        <v>628</v>
      </c>
    </row>
    <row r="175" spans="1:11">
      <c r="B175" s="308" t="s">
        <v>366</v>
      </c>
      <c r="C175" s="382">
        <v>0.47699999999999998</v>
      </c>
      <c r="D175" s="382">
        <v>0.48299999999999998</v>
      </c>
      <c r="E175" s="382">
        <v>0.49</v>
      </c>
      <c r="F175" s="377">
        <f>E175</f>
        <v>0.49</v>
      </c>
      <c r="G175" s="377">
        <f>F175</f>
        <v>0.49</v>
      </c>
      <c r="H175" s="377">
        <f>G175</f>
        <v>0.49</v>
      </c>
      <c r="J175" s="363"/>
    </row>
    <row r="176" spans="1:11">
      <c r="B176" s="467" t="s">
        <v>472</v>
      </c>
      <c r="C176" s="469">
        <f>C177*C16</f>
        <v>214731.726</v>
      </c>
      <c r="D176" s="469">
        <f>D177*D16</f>
        <v>228113.92199999999</v>
      </c>
      <c r="E176" s="469">
        <f>E177*E16</f>
        <v>241623.40699999998</v>
      </c>
      <c r="F176" s="469">
        <f>F177*F16</f>
        <v>253478.1940988081</v>
      </c>
      <c r="G176" s="469">
        <f>G177*G16</f>
        <v>266144.35025046923</v>
      </c>
      <c r="H176" s="469">
        <f>H177*H16</f>
        <v>279686.73800089251</v>
      </c>
      <c r="J176" s="362">
        <f t="shared" si="316"/>
        <v>4.5031247456431611E-2</v>
      </c>
      <c r="K176" s="467" t="s">
        <v>627</v>
      </c>
    </row>
    <row r="177" spans="2:11">
      <c r="B177" s="308" t="s">
        <v>366</v>
      </c>
      <c r="C177" s="382">
        <v>0.47099999999999997</v>
      </c>
      <c r="D177" s="382">
        <v>0.47399999999999998</v>
      </c>
      <c r="E177" s="382">
        <v>0.47899999999999998</v>
      </c>
      <c r="F177" s="377">
        <f>E177</f>
        <v>0.47899999999999998</v>
      </c>
      <c r="G177" s="377">
        <f>F177</f>
        <v>0.47899999999999998</v>
      </c>
      <c r="H177" s="377">
        <f>G177</f>
        <v>0.47899999999999998</v>
      </c>
      <c r="J177" s="363"/>
    </row>
    <row r="178" spans="2:11">
      <c r="B178" s="467" t="s">
        <v>473</v>
      </c>
      <c r="C178" s="468">
        <v>213299</v>
      </c>
      <c r="D178" s="468">
        <v>223155</v>
      </c>
      <c r="E178" s="468">
        <v>231577</v>
      </c>
      <c r="F178" s="468">
        <v>240156</v>
      </c>
      <c r="G178" s="468">
        <v>245854</v>
      </c>
      <c r="H178" s="469">
        <f>G178</f>
        <v>245854</v>
      </c>
      <c r="J178" s="362">
        <f t="shared" si="316"/>
        <v>2.3956270479787989E-2</v>
      </c>
      <c r="K178" s="467" t="s">
        <v>628</v>
      </c>
    </row>
    <row r="179" spans="2:11">
      <c r="B179" s="308" t="s">
        <v>366</v>
      </c>
      <c r="C179" s="377">
        <f>C178/C18</f>
        <v>0.47896948099045872</v>
      </c>
      <c r="D179" s="377">
        <f>D178/D18</f>
        <v>0.48102147142065749</v>
      </c>
      <c r="E179" s="377">
        <f>E178/E18</f>
        <v>0.48243298702759685</v>
      </c>
      <c r="F179" s="377">
        <f>F178/F18</f>
        <v>0.48383041477625294</v>
      </c>
      <c r="G179" s="377">
        <f>G178/G18</f>
        <v>0.48422002158619115</v>
      </c>
      <c r="H179" s="377">
        <f>H178/H18</f>
        <v>0.47337844925001415</v>
      </c>
      <c r="J179" s="363"/>
    </row>
    <row r="180" spans="2:11">
      <c r="B180" s="467" t="s">
        <v>479</v>
      </c>
      <c r="C180" s="468">
        <v>214057</v>
      </c>
      <c r="D180" s="468">
        <v>225695</v>
      </c>
      <c r="E180" s="468">
        <v>235643</v>
      </c>
      <c r="F180" s="469">
        <f t="shared" ref="F180" si="317">E180</f>
        <v>235643</v>
      </c>
      <c r="G180" s="469">
        <f>F180</f>
        <v>235643</v>
      </c>
      <c r="H180" s="469">
        <f>G180</f>
        <v>235643</v>
      </c>
      <c r="J180" s="362">
        <f t="shared" si="316"/>
        <v>1.6141490937207958E-2</v>
      </c>
      <c r="K180" s="467" t="s">
        <v>627</v>
      </c>
    </row>
    <row r="181" spans="2:11">
      <c r="B181" s="308" t="s">
        <v>366</v>
      </c>
      <c r="C181" s="377">
        <f>C180/C20</f>
        <v>0.47488757701002543</v>
      </c>
      <c r="D181" s="377">
        <f>D180/D20</f>
        <v>0.48980544071530108</v>
      </c>
      <c r="E181" s="377">
        <f>E180/E20</f>
        <v>0.49650759269365213</v>
      </c>
      <c r="F181" s="377">
        <f>F180/F20</f>
        <v>0.48205387493777824</v>
      </c>
      <c r="G181" s="377">
        <f>G180/G20</f>
        <v>0.4680209160183062</v>
      </c>
      <c r="H181" s="377">
        <f>H180/H20</f>
        <v>0.45439646732201411</v>
      </c>
      <c r="J181" s="363"/>
    </row>
    <row r="182" spans="2:11">
      <c r="B182" s="467" t="s">
        <v>374</v>
      </c>
      <c r="C182" s="468">
        <v>210266</v>
      </c>
      <c r="D182" s="468">
        <v>228345</v>
      </c>
      <c r="E182" s="468">
        <v>250369</v>
      </c>
      <c r="F182" s="468">
        <v>270394</v>
      </c>
      <c r="G182" s="468">
        <v>289010</v>
      </c>
      <c r="H182" s="468">
        <v>307261</v>
      </c>
      <c r="J182" s="362">
        <f t="shared" si="316"/>
        <v>6.5261908326559981E-2</v>
      </c>
      <c r="K182" s="467" t="s">
        <v>627</v>
      </c>
    </row>
    <row r="183" spans="2:11">
      <c r="B183" s="308" t="s">
        <v>366</v>
      </c>
      <c r="C183" s="377">
        <f t="shared" ref="C183:H183" si="318">C182/C24</f>
        <v>0.46916048418586492</v>
      </c>
      <c r="D183" s="377">
        <f t="shared" si="318"/>
        <v>0.47746248277563685</v>
      </c>
      <c r="E183" s="377">
        <f t="shared" si="318"/>
        <v>0.48015472715626523</v>
      </c>
      <c r="F183" s="377">
        <f t="shared" si="318"/>
        <v>0.48895310358296296</v>
      </c>
      <c r="G183" s="377">
        <f t="shared" si="318"/>
        <v>0.50090384885359385</v>
      </c>
      <c r="H183" s="377">
        <f t="shared" si="318"/>
        <v>0.50800712920527213</v>
      </c>
      <c r="J183" s="363"/>
    </row>
    <row r="184" spans="2:11">
      <c r="B184" s="467" t="s">
        <v>375</v>
      </c>
      <c r="C184" s="469">
        <f>C185*C26</f>
        <v>219272.60699999999</v>
      </c>
      <c r="D184" s="469">
        <f>D185*D26</f>
        <v>245635.42799999999</v>
      </c>
      <c r="E184" s="469">
        <f>E185*E26</f>
        <v>263048.848</v>
      </c>
      <c r="F184" s="469">
        <f>F185*F26</f>
        <v>277932.5520807117</v>
      </c>
      <c r="G184" s="469">
        <f>G185*G26</f>
        <v>293860.76670514501</v>
      </c>
      <c r="H184" s="469">
        <f>H185*H26</f>
        <v>310920.14296027628</v>
      </c>
      <c r="J184" s="362">
        <f t="shared" si="316"/>
        <v>5.9930557942565299E-2</v>
      </c>
      <c r="K184" s="467" t="s">
        <v>627</v>
      </c>
    </row>
    <row r="185" spans="2:11">
      <c r="B185" s="308" t="s">
        <v>366</v>
      </c>
      <c r="C185" s="382">
        <v>0.47699999999999998</v>
      </c>
      <c r="D185" s="382">
        <v>0.49199999999999999</v>
      </c>
      <c r="E185" s="382">
        <v>0.499</v>
      </c>
      <c r="F185" s="377">
        <f t="shared" ref="F185:G185" si="319">E185</f>
        <v>0.499</v>
      </c>
      <c r="G185" s="377">
        <f t="shared" si="319"/>
        <v>0.499</v>
      </c>
      <c r="H185" s="377">
        <f t="shared" ref="H185" si="320">G185</f>
        <v>0.499</v>
      </c>
      <c r="J185" s="363"/>
    </row>
    <row r="186" spans="2:11">
      <c r="B186" s="467" t="s">
        <v>365</v>
      </c>
      <c r="C186" s="468">
        <v>214986</v>
      </c>
      <c r="D186" s="468">
        <v>226920</v>
      </c>
      <c r="E186" s="469">
        <f>D186</f>
        <v>226920</v>
      </c>
      <c r="F186" s="469">
        <f t="shared" ref="F186:G186" si="321">E186</f>
        <v>226920</v>
      </c>
      <c r="G186" s="469">
        <f t="shared" si="321"/>
        <v>226920</v>
      </c>
      <c r="H186" s="469">
        <f t="shared" ref="H186" si="322">G186</f>
        <v>226920</v>
      </c>
      <c r="J186" s="362">
        <f t="shared" si="316"/>
        <v>9.0447626714842411E-3</v>
      </c>
      <c r="K186" s="467" t="s">
        <v>627</v>
      </c>
    </row>
    <row r="187" spans="2:11">
      <c r="B187" s="308" t="s">
        <v>366</v>
      </c>
      <c r="C187" s="377">
        <f>C186/C28</f>
        <v>0.47350325674723309</v>
      </c>
      <c r="D187" s="377">
        <f>D186/D28</f>
        <v>0.46840869066972907</v>
      </c>
      <c r="E187" s="377">
        <f>E186/E28</f>
        <v>0.43858028085076844</v>
      </c>
      <c r="F187" s="377">
        <f>F186/F28</f>
        <v>0.41026737797393764</v>
      </c>
      <c r="G187" s="377">
        <f>G186/G28</f>
        <v>0.38343077498432804</v>
      </c>
      <c r="H187" s="377">
        <f>H186/H28</f>
        <v>0.35802790017252556</v>
      </c>
      <c r="J187" s="364"/>
    </row>
    <row r="188" spans="2:11" ht="5.0999999999999996" customHeight="1"/>
    <row r="189" spans="2:11">
      <c r="B189" s="313" t="s">
        <v>222</v>
      </c>
      <c r="C189" s="368">
        <f t="shared" ref="C189:H189" si="323">MAX(C$172,C$174,C$176,C$178,C$180,C$182,C$184,C$186)</f>
        <v>220774</v>
      </c>
      <c r="D189" s="368">
        <f t="shared" si="323"/>
        <v>251574</v>
      </c>
      <c r="E189" s="368">
        <f t="shared" si="323"/>
        <v>273658</v>
      </c>
      <c r="F189" s="368">
        <f t="shared" si="323"/>
        <v>277932.5520807117</v>
      </c>
      <c r="G189" s="368">
        <f t="shared" si="323"/>
        <v>293860.76670514501</v>
      </c>
      <c r="H189" s="368">
        <f t="shared" si="323"/>
        <v>310920.14296027628</v>
      </c>
      <c r="I189" s="309"/>
      <c r="J189" s="319">
        <f t="shared" si="316"/>
        <v>5.872578108992843E-2</v>
      </c>
    </row>
    <row r="190" spans="2:11">
      <c r="B190" s="357" t="s">
        <v>366</v>
      </c>
      <c r="C190" s="384">
        <f t="shared" ref="C190:H190" si="324">C189/C31</f>
        <v>0.4798996613352694</v>
      </c>
      <c r="D190" s="384">
        <f t="shared" si="324"/>
        <v>0.47983017291692892</v>
      </c>
      <c r="E190" s="384">
        <f t="shared" si="324"/>
        <v>0.49158147547373848</v>
      </c>
      <c r="F190" s="384">
        <f t="shared" si="324"/>
        <v>0.46915151862526838</v>
      </c>
      <c r="G190" s="384">
        <f t="shared" si="324"/>
        <v>0.46506394717449118</v>
      </c>
      <c r="H190" s="384">
        <f t="shared" si="324"/>
        <v>0.46028027753165235</v>
      </c>
      <c r="I190" s="311"/>
      <c r="J190" s="317"/>
    </row>
    <row r="191" spans="2:11">
      <c r="B191" s="310" t="s">
        <v>412</v>
      </c>
      <c r="C191" s="370">
        <f t="shared" ref="C191:H191" si="325">MEDIAN(C$172,C$174,C$176,C$178,C$180,C$182,C$184,C$186)</f>
        <v>214858.86300000001</v>
      </c>
      <c r="D191" s="370">
        <f t="shared" si="325"/>
        <v>228229.46100000001</v>
      </c>
      <c r="E191" s="370">
        <f t="shared" si="325"/>
        <v>245996.2035</v>
      </c>
      <c r="F191" s="370">
        <f t="shared" si="325"/>
        <v>259221.41831107403</v>
      </c>
      <c r="G191" s="370">
        <f t="shared" si="325"/>
        <v>269901.17512523464</v>
      </c>
      <c r="H191" s="370">
        <f t="shared" si="325"/>
        <v>276672.36900044628</v>
      </c>
      <c r="I191" s="311"/>
      <c r="J191" s="317">
        <f t="shared" ref="J191:J195" si="326">((H191/C191)^(1/COUNT(C191:H191))-1)</f>
        <v>4.3042695250846252E-2</v>
      </c>
    </row>
    <row r="192" spans="2:11">
      <c r="B192" s="357" t="s">
        <v>366</v>
      </c>
      <c r="C192" s="384">
        <f t="shared" ref="C192" si="327">C191/C33</f>
        <v>0.47322323952028311</v>
      </c>
      <c r="D192" s="384">
        <f t="shared" ref="D192" si="328">D191/D33</f>
        <v>0.47111168252806274</v>
      </c>
      <c r="E192" s="384">
        <f t="shared" ref="E192" si="329">E191/E33</f>
        <v>0.47544986787966154</v>
      </c>
      <c r="F192" s="384">
        <f t="shared" ref="F192" si="330">F191/F33</f>
        <v>0.47393024598072053</v>
      </c>
      <c r="G192" s="384">
        <f t="shared" ref="G192:H192" si="331">G191/G33</f>
        <v>0.46778498124749279</v>
      </c>
      <c r="H192" s="384">
        <f t="shared" si="331"/>
        <v>0.45743369938371109</v>
      </c>
      <c r="I192" s="311"/>
      <c r="J192" s="317"/>
    </row>
    <row r="193" spans="1:11">
      <c r="B193" s="310" t="s">
        <v>369</v>
      </c>
      <c r="C193" s="371">
        <f t="shared" ref="C193:H193" si="332">AVERAGE(C$172,C$174,C$176,C$178,C$180,C$182,C$184,C$186)</f>
        <v>215568.049875</v>
      </c>
      <c r="D193" s="371">
        <f t="shared" si="332"/>
        <v>233947.532125</v>
      </c>
      <c r="E193" s="371">
        <f t="shared" si="332"/>
        <v>247193.636875</v>
      </c>
      <c r="F193" s="371">
        <f t="shared" si="332"/>
        <v>255393.29858785745</v>
      </c>
      <c r="G193" s="371">
        <f t="shared" si="332"/>
        <v>263455.25894815248</v>
      </c>
      <c r="H193" s="371">
        <f t="shared" si="332"/>
        <v>271195.94842911232</v>
      </c>
      <c r="I193" s="311"/>
      <c r="J193" s="317">
        <f t="shared" si="326"/>
        <v>3.9002200509513418E-2</v>
      </c>
    </row>
    <row r="194" spans="1:11">
      <c r="B194" s="357" t="s">
        <v>366</v>
      </c>
      <c r="C194" s="384">
        <f t="shared" ref="C194" si="333">C193/C35</f>
        <v>0.47517595881729952</v>
      </c>
      <c r="D194" s="384">
        <f t="shared" ref="D194" si="334">D193/D35</f>
        <v>0.48070623362095888</v>
      </c>
      <c r="E194" s="384">
        <f t="shared" ref="E194" si="335">E193/E35</f>
        <v>0.4818168099285236</v>
      </c>
      <c r="F194" s="384">
        <f t="shared" ref="F194" si="336">F193/F35</f>
        <v>0.47318561885010263</v>
      </c>
      <c r="G194" s="384">
        <f t="shared" ref="G194:H194" si="337">G193/G35</f>
        <v>0.46485417188857486</v>
      </c>
      <c r="H194" s="384">
        <f t="shared" si="337"/>
        <v>0.45493880705983913</v>
      </c>
      <c r="I194" s="311"/>
      <c r="J194" s="317"/>
    </row>
    <row r="195" spans="1:11">
      <c r="B195" s="356" t="s">
        <v>348</v>
      </c>
      <c r="C195" s="369">
        <f t="shared" ref="C195:H195" si="338">MIN(C$172,C$174,C$176,C$178,C$180,C$182,C$184,C$186)</f>
        <v>210266</v>
      </c>
      <c r="D195" s="369">
        <f t="shared" si="338"/>
        <v>223155</v>
      </c>
      <c r="E195" s="369">
        <f t="shared" si="338"/>
        <v>226920</v>
      </c>
      <c r="F195" s="369">
        <f t="shared" si="338"/>
        <v>226920</v>
      </c>
      <c r="G195" s="369">
        <f t="shared" si="338"/>
        <v>226920</v>
      </c>
      <c r="H195" s="369">
        <f t="shared" si="338"/>
        <v>226920</v>
      </c>
      <c r="I195" s="311"/>
      <c r="J195" s="317">
        <f t="shared" si="326"/>
        <v>1.2785061676972687E-2</v>
      </c>
    </row>
    <row r="196" spans="1:11">
      <c r="B196" s="358" t="s">
        <v>366</v>
      </c>
      <c r="C196" s="385">
        <f t="shared" ref="C196" si="339">C195/C37</f>
        <v>0.47215878597621086</v>
      </c>
      <c r="D196" s="385">
        <f t="shared" ref="D196" si="340">D195/D37</f>
        <v>0.48429310849962565</v>
      </c>
      <c r="E196" s="385">
        <f t="shared" ref="E196" si="341">E195/E37</f>
        <v>0.47812794326181363</v>
      </c>
      <c r="F196" s="385">
        <f t="shared" ref="F196" si="342">F195/F37</f>
        <v>0.46420927123182371</v>
      </c>
      <c r="G196" s="385">
        <f t="shared" ref="G196:H196" si="343">G195/G37</f>
        <v>0.45069578244579317</v>
      </c>
      <c r="H196" s="385">
        <f t="shared" si="343"/>
        <v>0.43757568170797112</v>
      </c>
      <c r="I196" s="385"/>
      <c r="J196" s="386"/>
    </row>
    <row r="198" spans="1:11">
      <c r="A198" s="391" t="s">
        <v>24</v>
      </c>
      <c r="B198" s="247" t="s">
        <v>367</v>
      </c>
      <c r="C198" s="229" t="s">
        <v>165</v>
      </c>
      <c r="D198" s="229"/>
      <c r="E198" s="229"/>
      <c r="F198" s="229"/>
      <c r="G198" s="229"/>
      <c r="H198" s="229"/>
      <c r="I198" s="248"/>
      <c r="J198" s="2" t="s">
        <v>370</v>
      </c>
    </row>
    <row r="199" spans="1:11">
      <c r="B199" s="303" t="s">
        <v>410</v>
      </c>
      <c r="C199" s="304" t="str">
        <f>C$9</f>
        <v>2026E</v>
      </c>
      <c r="D199" s="304" t="str">
        <f>D$9</f>
        <v>2027E</v>
      </c>
      <c r="E199" s="304" t="str">
        <f>E$9</f>
        <v>2028E</v>
      </c>
      <c r="F199" s="304" t="str">
        <f>F$9</f>
        <v>2029E</v>
      </c>
      <c r="G199" s="304" t="str">
        <f>G$9</f>
        <v>2030E</v>
      </c>
      <c r="H199" s="304" t="str">
        <f>H$9</f>
        <v>2031E</v>
      </c>
      <c r="I199" s="248"/>
      <c r="J199" s="200" t="str">
        <f>$J$9</f>
        <v>6-Year(F)</v>
      </c>
    </row>
    <row r="200" spans="1:11">
      <c r="B200" s="303" t="s">
        <v>411</v>
      </c>
      <c r="C200" s="248">
        <f>C$10</f>
        <v>46295</v>
      </c>
      <c r="D200" s="248">
        <f>D$10</f>
        <v>46660</v>
      </c>
      <c r="E200" s="248">
        <f>E$10</f>
        <v>47026</v>
      </c>
      <c r="F200" s="248">
        <f>F$10</f>
        <v>47391</v>
      </c>
      <c r="G200" s="248">
        <f>G$10</f>
        <v>47756</v>
      </c>
      <c r="H200" s="248">
        <f>H$10</f>
        <v>48121</v>
      </c>
      <c r="I200" s="248"/>
      <c r="J200" s="3">
        <f>$H$42</f>
        <v>48121</v>
      </c>
    </row>
    <row r="201" spans="1:11" ht="5.0999999999999996" customHeight="1">
      <c r="B201" s="307"/>
    </row>
    <row r="202" spans="1:11">
      <c r="B202" s="467" t="s">
        <v>364</v>
      </c>
      <c r="C202" s="468">
        <v>37494.149743088921</v>
      </c>
      <c r="D202" s="468">
        <v>40009.410981718276</v>
      </c>
      <c r="E202" s="468">
        <v>42040.735071089141</v>
      </c>
      <c r="F202" s="469">
        <f t="shared" ref="F202:H202" si="344">E202</f>
        <v>42040.735071089141</v>
      </c>
      <c r="G202" s="469">
        <f t="shared" si="344"/>
        <v>42040.735071089141</v>
      </c>
      <c r="H202" s="469">
        <f t="shared" si="344"/>
        <v>42040.735071089141</v>
      </c>
      <c r="J202" s="365">
        <f t="shared" ref="J202:J208" si="345">((H202/C202)^(1/COUNT(C202:H202))-1)</f>
        <v>1.9258789478717731E-2</v>
      </c>
      <c r="K202" s="467" t="s">
        <v>627</v>
      </c>
    </row>
    <row r="203" spans="1:11">
      <c r="B203" s="308" t="s">
        <v>366</v>
      </c>
      <c r="C203" s="314">
        <f>C202/C12</f>
        <v>8.1501579732043861E-2</v>
      </c>
      <c r="D203" s="314">
        <f>D202/D12</f>
        <v>7.631043982948299E-2</v>
      </c>
      <c r="E203" s="314">
        <f>E202/E12</f>
        <v>7.5519248756647145E-2</v>
      </c>
      <c r="F203" s="314">
        <f>F202/F12</f>
        <v>7.0964968137292347E-2</v>
      </c>
      <c r="G203" s="314">
        <f>G202/G12</f>
        <v>6.6533652700551074E-2</v>
      </c>
      <c r="H203" s="314">
        <f>H202/H12</f>
        <v>6.2236306152180808E-2</v>
      </c>
      <c r="J203" s="389"/>
    </row>
    <row r="204" spans="1:11">
      <c r="B204" s="467" t="s">
        <v>374</v>
      </c>
      <c r="C204" s="468">
        <v>36615</v>
      </c>
      <c r="D204" s="468">
        <v>42791</v>
      </c>
      <c r="E204" s="468">
        <v>45504</v>
      </c>
      <c r="F204" s="468">
        <v>48331</v>
      </c>
      <c r="G204" s="468">
        <v>49750</v>
      </c>
      <c r="H204" s="468">
        <v>52456</v>
      </c>
      <c r="J204" s="362">
        <f t="shared" si="345"/>
        <v>6.1751024444284264E-2</v>
      </c>
      <c r="K204" s="467" t="s">
        <v>627</v>
      </c>
    </row>
    <row r="205" spans="1:11">
      <c r="B205" s="308" t="s">
        <v>366</v>
      </c>
      <c r="C205" s="314">
        <f>C204/C24</f>
        <v>8.169799743403805E-2</v>
      </c>
      <c r="D205" s="314">
        <f>D204/D24</f>
        <v>8.9474685674975477E-2</v>
      </c>
      <c r="E205" s="314">
        <f>E204/E24</f>
        <v>8.7267036671946976E-2</v>
      </c>
      <c r="F205" s="314">
        <f>F204/F24</f>
        <v>8.7396881769818052E-2</v>
      </c>
      <c r="G205" s="314">
        <f>G204/G24</f>
        <v>8.622527414437664E-2</v>
      </c>
      <c r="H205" s="314">
        <f>H204/H24</f>
        <v>8.672764187316892E-2</v>
      </c>
      <c r="J205" s="389"/>
    </row>
    <row r="206" spans="1:11">
      <c r="B206" s="467" t="s">
        <v>375</v>
      </c>
      <c r="C206" s="468">
        <v>43957</v>
      </c>
      <c r="D206" s="468">
        <v>48753</v>
      </c>
      <c r="E206" s="468">
        <v>52715</v>
      </c>
      <c r="F206" s="469">
        <f t="shared" ref="F206:G208" si="346">E206</f>
        <v>52715</v>
      </c>
      <c r="G206" s="469">
        <f t="shared" si="346"/>
        <v>52715</v>
      </c>
      <c r="H206" s="469">
        <f t="shared" ref="H206" si="347">G206</f>
        <v>52715</v>
      </c>
      <c r="J206" s="362">
        <f t="shared" si="345"/>
        <v>3.0744503720837146E-2</v>
      </c>
      <c r="K206" s="467" t="s">
        <v>627</v>
      </c>
    </row>
    <row r="207" spans="1:11">
      <c r="B207" s="308" t="s">
        <v>366</v>
      </c>
      <c r="C207" s="314">
        <f>C206/C26</f>
        <v>9.5622929315561975E-2</v>
      </c>
      <c r="D207" s="314">
        <f>D206/D26</f>
        <v>9.7650718364616362E-2</v>
      </c>
      <c r="E207" s="314">
        <f>E206/E26</f>
        <v>9.9999620602786291E-2</v>
      </c>
      <c r="F207" s="314">
        <f>F206/F26</f>
        <v>9.4644491273411846E-2</v>
      </c>
      <c r="G207" s="314">
        <f>G206/G26</f>
        <v>8.9514450312429023E-2</v>
      </c>
      <c r="H207" s="314">
        <f>H206/H26</f>
        <v>8.4603026196860928E-2</v>
      </c>
      <c r="J207" s="389"/>
    </row>
    <row r="208" spans="1:11">
      <c r="B208" s="467" t="s">
        <v>365</v>
      </c>
      <c r="C208" s="468">
        <v>39712</v>
      </c>
      <c r="D208" s="468">
        <v>40807</v>
      </c>
      <c r="E208" s="469">
        <f>D208</f>
        <v>40807</v>
      </c>
      <c r="F208" s="469">
        <f t="shared" si="346"/>
        <v>40807</v>
      </c>
      <c r="G208" s="469">
        <f t="shared" si="346"/>
        <v>40807</v>
      </c>
      <c r="H208" s="469">
        <f t="shared" ref="H208" si="348">G208</f>
        <v>40807</v>
      </c>
      <c r="J208" s="362">
        <f t="shared" si="345"/>
        <v>4.5436623219055061E-3</v>
      </c>
      <c r="K208" s="467" t="s">
        <v>627</v>
      </c>
    </row>
    <row r="209" spans="1:11">
      <c r="B209" s="308" t="s">
        <v>366</v>
      </c>
      <c r="C209" s="314">
        <f>C208/C28</f>
        <v>8.7465050430940244E-2</v>
      </c>
      <c r="D209" s="314">
        <f>D208/D28</f>
        <v>8.4233886127973001E-2</v>
      </c>
      <c r="E209" s="314">
        <f>E208/E28</f>
        <v>7.8869846292426007E-2</v>
      </c>
      <c r="F209" s="314">
        <f>F208/F28</f>
        <v>7.3778339912667343E-2</v>
      </c>
      <c r="G209" s="314">
        <f>G208/G28</f>
        <v>6.8952316388090407E-2</v>
      </c>
      <c r="H209" s="314">
        <f>H208/H28</f>
        <v>6.4384120052618773E-2</v>
      </c>
      <c r="J209" s="364"/>
    </row>
    <row r="210" spans="1:11" ht="5.0999999999999996" customHeight="1"/>
    <row r="211" spans="1:11">
      <c r="B211" s="313" t="s">
        <v>222</v>
      </c>
      <c r="C211" s="368">
        <f t="shared" ref="C211:G211" si="349">MAX(C202,C204,C206,C208)</f>
        <v>43957</v>
      </c>
      <c r="D211" s="368">
        <f t="shared" si="349"/>
        <v>48753</v>
      </c>
      <c r="E211" s="368">
        <f t="shared" si="349"/>
        <v>52715</v>
      </c>
      <c r="F211" s="368">
        <f t="shared" si="349"/>
        <v>52715</v>
      </c>
      <c r="G211" s="368">
        <f t="shared" si="349"/>
        <v>52715</v>
      </c>
      <c r="H211" s="368">
        <f t="shared" ref="H211" si="350">MAX(H202,H204,H206,H208)</f>
        <v>52715</v>
      </c>
      <c r="I211" s="309"/>
      <c r="J211" s="319">
        <f t="shared" ref="J211:J217" si="351">((H211/C211)^(1/COUNT(C211:H211))-1)</f>
        <v>3.0744503720837146E-2</v>
      </c>
    </row>
    <row r="212" spans="1:11">
      <c r="B212" s="357" t="s">
        <v>366</v>
      </c>
      <c r="C212" s="387">
        <f t="shared" ref="C212:H212" si="352">C211/C31</f>
        <v>9.5549971524339083E-2</v>
      </c>
      <c r="D212" s="387">
        <f t="shared" si="352"/>
        <v>9.2987194305528542E-2</v>
      </c>
      <c r="E212" s="387">
        <f t="shared" si="352"/>
        <v>9.4693805697615721E-2</v>
      </c>
      <c r="F212" s="387">
        <f t="shared" si="352"/>
        <v>8.8983179980835922E-2</v>
      </c>
      <c r="G212" s="387">
        <f t="shared" si="352"/>
        <v>8.342674066423468E-2</v>
      </c>
      <c r="H212" s="387">
        <f t="shared" si="352"/>
        <v>7.8038285326470544E-2</v>
      </c>
      <c r="I212" s="311"/>
      <c r="J212" s="317"/>
    </row>
    <row r="213" spans="1:11">
      <c r="B213" s="310" t="s">
        <v>412</v>
      </c>
      <c r="C213" s="370">
        <f t="shared" ref="C213:G213" si="353">MEDIAN(C202,C204,C206,C208)</f>
        <v>38603.074871544464</v>
      </c>
      <c r="D213" s="370">
        <f t="shared" si="353"/>
        <v>41799</v>
      </c>
      <c r="E213" s="370">
        <f t="shared" si="353"/>
        <v>43772.367535544574</v>
      </c>
      <c r="F213" s="370">
        <f t="shared" si="353"/>
        <v>45185.867535544574</v>
      </c>
      <c r="G213" s="370">
        <f t="shared" si="353"/>
        <v>45895.367535544574</v>
      </c>
      <c r="H213" s="370">
        <f t="shared" ref="H213" si="354">MEDIAN(H202,H204,H206,H208)</f>
        <v>47248.367535544574</v>
      </c>
      <c r="I213" s="311"/>
      <c r="J213" s="317">
        <f t="shared" si="351"/>
        <v>3.4254656288727814E-2</v>
      </c>
    </row>
    <row r="214" spans="1:11">
      <c r="B214" s="357" t="s">
        <v>366</v>
      </c>
      <c r="C214" s="387">
        <f t="shared" ref="C214" si="355">C213/C33</f>
        <v>8.502266041571814E-2</v>
      </c>
      <c r="D214" s="387">
        <f t="shared" ref="D214" si="356">D213/D33</f>
        <v>8.6281574393195865E-2</v>
      </c>
      <c r="E214" s="387">
        <f t="shared" ref="E214" si="357">E213/E33</f>
        <v>8.4601168902001575E-2</v>
      </c>
      <c r="F214" s="387">
        <f t="shared" ref="F214" si="358">F213/F33</f>
        <v>8.2612576751949829E-2</v>
      </c>
      <c r="G214" s="387">
        <f t="shared" ref="G214:H214" si="359">G213/G33</f>
        <v>7.9544535632346827E-2</v>
      </c>
      <c r="H214" s="387">
        <f t="shared" si="359"/>
        <v>7.8117650959176665E-2</v>
      </c>
      <c r="I214" s="311"/>
      <c r="J214" s="317"/>
    </row>
    <row r="215" spans="1:11">
      <c r="B215" s="310" t="s">
        <v>369</v>
      </c>
      <c r="C215" s="370">
        <f t="shared" ref="C215:G215" si="360">AVERAGE(C202,C204,C206,C208)</f>
        <v>39444.537435772232</v>
      </c>
      <c r="D215" s="370">
        <f t="shared" si="360"/>
        <v>43090.102745429569</v>
      </c>
      <c r="E215" s="370">
        <f t="shared" si="360"/>
        <v>45266.683767772287</v>
      </c>
      <c r="F215" s="370">
        <f t="shared" si="360"/>
        <v>45973.433767772287</v>
      </c>
      <c r="G215" s="370">
        <f t="shared" si="360"/>
        <v>46328.183767772287</v>
      </c>
      <c r="H215" s="370">
        <f t="shared" ref="H215" si="361">AVERAGE(H202,H204,H206,H208)</f>
        <v>47004.683767772287</v>
      </c>
      <c r="I215" s="311"/>
      <c r="J215" s="317">
        <f t="shared" si="351"/>
        <v>2.9656529666298503E-2</v>
      </c>
    </row>
    <row r="216" spans="1:11">
      <c r="B216" s="357" t="s">
        <v>366</v>
      </c>
      <c r="C216" s="387">
        <f t="shared" ref="C216" si="362">C215/C35</f>
        <v>8.6947466969322998E-2</v>
      </c>
      <c r="D216" s="387">
        <f t="shared" ref="D216" si="363">D215/D35</f>
        <v>8.8539856817246132E-2</v>
      </c>
      <c r="E216" s="387">
        <f t="shared" ref="E216" si="364">E215/E35</f>
        <v>8.8231434452579596E-2</v>
      </c>
      <c r="F216" s="387">
        <f t="shared" ref="F216" si="365">F215/F35</f>
        <v>8.5178302752466253E-2</v>
      </c>
      <c r="G216" s="387">
        <f t="shared" ref="G216:H216" si="366">G215/G35</f>
        <v>8.1743858848943002E-2</v>
      </c>
      <c r="H216" s="387">
        <f t="shared" si="366"/>
        <v>7.8851674899283825E-2</v>
      </c>
      <c r="I216" s="311"/>
      <c r="J216" s="317"/>
    </row>
    <row r="217" spans="1:11">
      <c r="B217" s="356" t="s">
        <v>348</v>
      </c>
      <c r="C217" s="369">
        <f t="shared" ref="C217:G217" si="367">MIN(C202,C204,C206,C208)</f>
        <v>36615</v>
      </c>
      <c r="D217" s="369">
        <f t="shared" si="367"/>
        <v>40009.410981718276</v>
      </c>
      <c r="E217" s="369">
        <f t="shared" si="367"/>
        <v>40807</v>
      </c>
      <c r="F217" s="369">
        <f t="shared" si="367"/>
        <v>40807</v>
      </c>
      <c r="G217" s="369">
        <f t="shared" si="367"/>
        <v>40807</v>
      </c>
      <c r="H217" s="369">
        <f t="shared" ref="H217" si="368">MIN(H202,H204,H206,H208)</f>
        <v>40807</v>
      </c>
      <c r="I217" s="311"/>
      <c r="J217" s="317">
        <f t="shared" si="351"/>
        <v>1.8230116746620562E-2</v>
      </c>
    </row>
    <row r="218" spans="1:11">
      <c r="B218" s="358" t="s">
        <v>366</v>
      </c>
      <c r="C218" s="388">
        <f t="shared" ref="C218" si="369">C217/C37</f>
        <v>8.22201114232399E-2</v>
      </c>
      <c r="D218" s="388">
        <f t="shared" ref="D218" si="370">D217/D37</f>
        <v>8.6828805151466029E-2</v>
      </c>
      <c r="E218" s="388">
        <f t="shared" ref="E218" si="371">E217/E37</f>
        <v>8.5981698310791596E-2</v>
      </c>
      <c r="F218" s="388">
        <f t="shared" ref="F218" si="372">F217/F37</f>
        <v>8.3478704967200029E-2</v>
      </c>
      <c r="G218" s="388">
        <f t="shared" ref="G218:H218" si="373">G217/G37</f>
        <v>8.1048575684230045E-2</v>
      </c>
      <c r="H218" s="388">
        <f t="shared" si="373"/>
        <v>7.8689189333056478E-2</v>
      </c>
      <c r="I218" s="312"/>
      <c r="J218" s="318"/>
    </row>
    <row r="220" spans="1:11">
      <c r="A220" s="391" t="s">
        <v>24</v>
      </c>
      <c r="B220" s="247" t="s">
        <v>368</v>
      </c>
      <c r="C220" s="229" t="s">
        <v>165</v>
      </c>
      <c r="D220" s="229"/>
      <c r="E220" s="229"/>
      <c r="F220" s="229"/>
      <c r="G220" s="229"/>
      <c r="H220" s="229"/>
      <c r="I220" s="248"/>
      <c r="J220" s="2" t="s">
        <v>370</v>
      </c>
    </row>
    <row r="221" spans="1:11">
      <c r="B221" s="303" t="s">
        <v>410</v>
      </c>
      <c r="C221" s="304" t="str">
        <f>C$9</f>
        <v>2026E</v>
      </c>
      <c r="D221" s="304" t="str">
        <f>D$9</f>
        <v>2027E</v>
      </c>
      <c r="E221" s="304" t="str">
        <f>E$9</f>
        <v>2028E</v>
      </c>
      <c r="F221" s="304" t="str">
        <f>F$9</f>
        <v>2029E</v>
      </c>
      <c r="G221" s="304" t="str">
        <f>G$9</f>
        <v>2030E</v>
      </c>
      <c r="H221" s="304" t="str">
        <f>H$9</f>
        <v>2031E</v>
      </c>
      <c r="I221" s="248"/>
      <c r="J221" s="200" t="str">
        <f>$J$9</f>
        <v>6-Year(F)</v>
      </c>
    </row>
    <row r="222" spans="1:11">
      <c r="B222" s="303" t="s">
        <v>411</v>
      </c>
      <c r="C222" s="248">
        <f>C$10</f>
        <v>46295</v>
      </c>
      <c r="D222" s="248">
        <f>D$10</f>
        <v>46660</v>
      </c>
      <c r="E222" s="248">
        <f>E$10</f>
        <v>47026</v>
      </c>
      <c r="F222" s="248">
        <f>F$10</f>
        <v>47391</v>
      </c>
      <c r="G222" s="248">
        <f>G$10</f>
        <v>47756</v>
      </c>
      <c r="H222" s="248">
        <f>H$10</f>
        <v>48121</v>
      </c>
      <c r="I222" s="248"/>
      <c r="J222" s="3">
        <f>$H$42</f>
        <v>48121</v>
      </c>
    </row>
    <row r="223" spans="1:11" ht="5.0999999999999996" customHeight="1">
      <c r="B223" s="307"/>
    </row>
    <row r="224" spans="1:11">
      <c r="B224" s="467" t="s">
        <v>364</v>
      </c>
      <c r="C224" s="468">
        <v>30818.924184174273</v>
      </c>
      <c r="D224" s="468">
        <v>32860.623975116185</v>
      </c>
      <c r="E224" s="468">
        <v>34520.318469146499</v>
      </c>
      <c r="F224" s="469">
        <f t="shared" ref="F224:H224" si="374">E224</f>
        <v>34520.318469146499</v>
      </c>
      <c r="G224" s="469">
        <f t="shared" si="374"/>
        <v>34520.318469146499</v>
      </c>
      <c r="H224" s="469">
        <f t="shared" si="374"/>
        <v>34520.318469146499</v>
      </c>
      <c r="J224" s="365">
        <f t="shared" ref="J224:J230" si="375">((H224/C224)^(1/COUNT(C224:H224))-1)</f>
        <v>1.9082991334943289E-2</v>
      </c>
      <c r="K224" s="467" t="s">
        <v>627</v>
      </c>
    </row>
    <row r="225" spans="2:11">
      <c r="B225" s="308" t="s">
        <v>366</v>
      </c>
      <c r="C225" s="314">
        <f>C224/C12</f>
        <v>6.6991544650649881E-2</v>
      </c>
      <c r="D225" s="314">
        <f>D224/D12</f>
        <v>6.2675470772568631E-2</v>
      </c>
      <c r="E225" s="314">
        <f>E224/E12</f>
        <v>6.2010060319400061E-2</v>
      </c>
      <c r="F225" s="314">
        <f>F224/F12</f>
        <v>5.8270467823880061E-2</v>
      </c>
      <c r="G225" s="314">
        <f>G224/G12</f>
        <v>5.4631844002129865E-2</v>
      </c>
      <c r="H225" s="314">
        <f>H224/H12</f>
        <v>5.1103224172548339E-2</v>
      </c>
      <c r="J225" s="389"/>
    </row>
    <row r="226" spans="2:11">
      <c r="B226" s="467" t="s">
        <v>374</v>
      </c>
      <c r="C226" s="468">
        <v>30200</v>
      </c>
      <c r="D226" s="468">
        <v>33000</v>
      </c>
      <c r="E226" s="468">
        <v>35606</v>
      </c>
      <c r="F226" s="468">
        <v>36654</v>
      </c>
      <c r="G226" s="468">
        <v>36587</v>
      </c>
      <c r="H226" s="468">
        <v>37425</v>
      </c>
      <c r="J226" s="362">
        <f t="shared" si="375"/>
        <v>3.6396197747287307E-2</v>
      </c>
      <c r="K226" s="467" t="s">
        <v>627</v>
      </c>
    </row>
    <row r="227" spans="2:11">
      <c r="B227" s="308" t="s">
        <v>366</v>
      </c>
      <c r="C227" s="314">
        <f>C226/C24</f>
        <v>6.7384392257488698E-2</v>
      </c>
      <c r="D227" s="314">
        <f>D226/D24</f>
        <v>6.9002001058030685E-2</v>
      </c>
      <c r="E227" s="314">
        <f>E226/E24</f>
        <v>6.8284768542135721E-2</v>
      </c>
      <c r="F227" s="314">
        <f>F226/F24</f>
        <v>6.6281378502222404E-2</v>
      </c>
      <c r="G227" s="314">
        <f>G226/G24</f>
        <v>6.341153980141323E-2</v>
      </c>
      <c r="H227" s="314">
        <f>H226/H24</f>
        <v>6.1876277205721884E-2</v>
      </c>
      <c r="J227" s="389"/>
    </row>
    <row r="228" spans="2:11">
      <c r="B228" s="467" t="s">
        <v>375</v>
      </c>
      <c r="C228" s="468">
        <v>30013</v>
      </c>
      <c r="D228" s="468">
        <v>31753</v>
      </c>
      <c r="E228" s="468">
        <v>34265</v>
      </c>
      <c r="F228" s="469">
        <f t="shared" ref="F228:G228" si="376">E228</f>
        <v>34265</v>
      </c>
      <c r="G228" s="469">
        <f t="shared" si="376"/>
        <v>34265</v>
      </c>
      <c r="H228" s="469">
        <f t="shared" ref="H228" si="377">G228</f>
        <v>34265</v>
      </c>
      <c r="J228" s="362">
        <f t="shared" si="375"/>
        <v>2.2327919261178941E-2</v>
      </c>
      <c r="K228" s="467" t="s">
        <v>627</v>
      </c>
    </row>
    <row r="229" spans="2:11">
      <c r="B229" s="308" t="s">
        <v>366</v>
      </c>
      <c r="C229" s="314">
        <f>C228/C26</f>
        <v>6.5289509692380315E-2</v>
      </c>
      <c r="D229" s="314">
        <f>D228/D26</f>
        <v>6.3600255578767736E-2</v>
      </c>
      <c r="E229" s="314">
        <f>E228/E26</f>
        <v>6.5000227638328217E-2</v>
      </c>
      <c r="F229" s="314">
        <f>F228/F26</f>
        <v>6.1519368177624149E-2</v>
      </c>
      <c r="G229" s="314">
        <f>G228/G26</f>
        <v>5.8184817223852422E-2</v>
      </c>
      <c r="H229" s="314">
        <f>H228/H26</f>
        <v>5.4992368256386981E-2</v>
      </c>
      <c r="J229" s="389"/>
    </row>
    <row r="230" spans="2:11">
      <c r="B230" s="467" t="s">
        <v>365</v>
      </c>
      <c r="C230" s="468">
        <v>29824</v>
      </c>
      <c r="D230" s="468">
        <v>31292</v>
      </c>
      <c r="E230" s="469">
        <f>D230</f>
        <v>31292</v>
      </c>
      <c r="F230" s="469">
        <f t="shared" ref="F230:G230" si="378">E230</f>
        <v>31292</v>
      </c>
      <c r="G230" s="469">
        <f t="shared" si="378"/>
        <v>31292</v>
      </c>
      <c r="H230" s="469">
        <f t="shared" ref="H230" si="379">G230</f>
        <v>31292</v>
      </c>
      <c r="J230" s="362">
        <f t="shared" si="375"/>
        <v>8.0403237338593225E-3</v>
      </c>
      <c r="K230" s="467" t="s">
        <v>627</v>
      </c>
    </row>
    <row r="231" spans="2:11">
      <c r="B231" s="308" t="s">
        <v>366</v>
      </c>
      <c r="C231" s="314">
        <f>C230/C28</f>
        <v>6.5686887189070356E-2</v>
      </c>
      <c r="D231" s="314">
        <f>D230/D28</f>
        <v>6.4593005237251727E-2</v>
      </c>
      <c r="E231" s="314">
        <f>E230/E28</f>
        <v>6.0479702751552296E-2</v>
      </c>
      <c r="F231" s="314">
        <f>F230/F28</f>
        <v>5.6575386883308904E-2</v>
      </c>
      <c r="G231" s="314">
        <f>G230/G28</f>
        <v>5.287465102595449E-2</v>
      </c>
      <c r="H231" s="314">
        <f>H230/H28</f>
        <v>4.9371624591039442E-2</v>
      </c>
      <c r="J231" s="364"/>
    </row>
    <row r="232" spans="2:11" ht="5.0999999999999996" customHeight="1"/>
    <row r="233" spans="2:11">
      <c r="B233" s="313" t="s">
        <v>222</v>
      </c>
      <c r="C233" s="368">
        <f t="shared" ref="C233:G233" si="380">MAX(C224,C226,C228,C230)</f>
        <v>30818.924184174273</v>
      </c>
      <c r="D233" s="368">
        <f t="shared" si="380"/>
        <v>33000</v>
      </c>
      <c r="E233" s="368">
        <f t="shared" si="380"/>
        <v>35606</v>
      </c>
      <c r="F233" s="368">
        <f t="shared" si="380"/>
        <v>36654</v>
      </c>
      <c r="G233" s="368">
        <f t="shared" si="380"/>
        <v>36587</v>
      </c>
      <c r="H233" s="368">
        <f t="shared" ref="H233" si="381">MAX(H224,H226,H228,H230)</f>
        <v>37425</v>
      </c>
      <c r="I233" s="309"/>
      <c r="J233" s="319">
        <f t="shared" ref="J233:J239" si="382">((H233/C233)^(1/COUNT(C233:H233))-1)</f>
        <v>3.2897887249798696E-2</v>
      </c>
    </row>
    <row r="234" spans="2:11">
      <c r="B234" s="357" t="s">
        <v>366</v>
      </c>
      <c r="C234" s="387">
        <f t="shared" ref="C234:H234" si="383">C233/C31</f>
        <v>6.6991544650649881E-2</v>
      </c>
      <c r="D234" s="387">
        <f t="shared" si="383"/>
        <v>6.2941304372704079E-2</v>
      </c>
      <c r="E234" s="387">
        <f t="shared" si="383"/>
        <v>6.396030817925269E-2</v>
      </c>
      <c r="F234" s="387">
        <f t="shared" si="383"/>
        <v>6.1872132770891777E-2</v>
      </c>
      <c r="G234" s="387">
        <f t="shared" si="383"/>
        <v>5.7902573474008429E-2</v>
      </c>
      <c r="H234" s="387">
        <f t="shared" si="383"/>
        <v>5.5403259572098268E-2</v>
      </c>
      <c r="I234" s="311"/>
      <c r="J234" s="317"/>
    </row>
    <row r="235" spans="2:11">
      <c r="B235" s="310" t="s">
        <v>412</v>
      </c>
      <c r="C235" s="370">
        <f t="shared" ref="C235:G235" si="384">MEDIAN(C224,C226,C228,C230)</f>
        <v>30106.5</v>
      </c>
      <c r="D235" s="370">
        <f t="shared" si="384"/>
        <v>32306.811987558092</v>
      </c>
      <c r="E235" s="370">
        <f t="shared" si="384"/>
        <v>34392.65923457325</v>
      </c>
      <c r="F235" s="370">
        <f t="shared" si="384"/>
        <v>34392.65923457325</v>
      </c>
      <c r="G235" s="370">
        <f t="shared" si="384"/>
        <v>34392.65923457325</v>
      </c>
      <c r="H235" s="370">
        <f t="shared" ref="H235" si="385">MEDIAN(H224,H226,H228,H230)</f>
        <v>34392.65923457325</v>
      </c>
      <c r="I235" s="311"/>
      <c r="J235" s="317">
        <f t="shared" si="382"/>
        <v>2.2431562679172012E-2</v>
      </c>
    </row>
    <row r="236" spans="2:11">
      <c r="B236" s="357" t="s">
        <v>366</v>
      </c>
      <c r="C236" s="387">
        <f t="shared" ref="C236" si="386">C235/C33</f>
        <v>6.6309088960493118E-2</v>
      </c>
      <c r="D236" s="387">
        <f t="shared" ref="D236" si="387">D235/D33</f>
        <v>6.6687782050084576E-2</v>
      </c>
      <c r="E236" s="387">
        <f t="shared" ref="E236" si="388">E235/E33</f>
        <v>6.6472510780468494E-2</v>
      </c>
      <c r="F236" s="387">
        <f t="shared" ref="F236" si="389">F235/F33</f>
        <v>6.2879531935174468E-2</v>
      </c>
      <c r="G236" s="387">
        <f t="shared" ref="G236:H236" si="390">G235/G33</f>
        <v>5.9608371277491565E-2</v>
      </c>
      <c r="H236" s="387">
        <f t="shared" si="390"/>
        <v>5.6862784679769802E-2</v>
      </c>
      <c r="I236" s="311"/>
      <c r="J236" s="317"/>
    </row>
    <row r="237" spans="2:11">
      <c r="B237" s="310" t="s">
        <v>369</v>
      </c>
      <c r="C237" s="370">
        <f t="shared" ref="C237:G237" si="391">AVERAGE(C224,C226,C228,C230)</f>
        <v>30213.981046043569</v>
      </c>
      <c r="D237" s="370">
        <f t="shared" si="391"/>
        <v>32226.405993779044</v>
      </c>
      <c r="E237" s="370">
        <f t="shared" si="391"/>
        <v>33920.829617286625</v>
      </c>
      <c r="F237" s="370">
        <f t="shared" si="391"/>
        <v>34182.829617286625</v>
      </c>
      <c r="G237" s="370">
        <f t="shared" si="391"/>
        <v>34166.079617286625</v>
      </c>
      <c r="H237" s="370">
        <f t="shared" ref="H237" si="392">AVERAGE(H224,H226,H228,H230)</f>
        <v>34375.579617286625</v>
      </c>
      <c r="I237" s="311"/>
      <c r="J237" s="317">
        <f t="shared" si="382"/>
        <v>2.1739883169842544E-2</v>
      </c>
    </row>
    <row r="238" spans="2:11">
      <c r="B238" s="357" t="s">
        <v>366</v>
      </c>
      <c r="C238" s="387">
        <f t="shared" ref="C238" si="393">C237/C35</f>
        <v>6.6600581215845944E-2</v>
      </c>
      <c r="D238" s="387">
        <f t="shared" ref="D238" si="394">D237/D35</f>
        <v>6.6217557875892549E-2</v>
      </c>
      <c r="E238" s="387">
        <f t="shared" ref="E238" si="395">E237/E35</f>
        <v>6.6116693467294277E-2</v>
      </c>
      <c r="F238" s="387">
        <f t="shared" ref="F238" si="396">F237/F35</f>
        <v>6.3332998461348086E-2</v>
      </c>
      <c r="G238" s="387">
        <f t="shared" ref="G238:H238" si="397">G237/G35</f>
        <v>6.0284409241185381E-2</v>
      </c>
      <c r="H238" s="387">
        <f t="shared" si="397"/>
        <v>5.7665998602360047E-2</v>
      </c>
      <c r="I238" s="311"/>
      <c r="J238" s="317"/>
    </row>
    <row r="239" spans="2:11" s="390" customFormat="1">
      <c r="B239" s="356" t="s">
        <v>348</v>
      </c>
      <c r="C239" s="369">
        <f t="shared" ref="C239:G239" si="398">MIN(C224,C226,C228,C230)</f>
        <v>29824</v>
      </c>
      <c r="D239" s="369">
        <f t="shared" si="398"/>
        <v>31292</v>
      </c>
      <c r="E239" s="369">
        <f t="shared" si="398"/>
        <v>31292</v>
      </c>
      <c r="F239" s="369">
        <f t="shared" si="398"/>
        <v>31292</v>
      </c>
      <c r="G239" s="369">
        <f t="shared" si="398"/>
        <v>31292</v>
      </c>
      <c r="H239" s="369">
        <f t="shared" ref="H239" si="399">MIN(H224,H226,H228,H230)</f>
        <v>31292</v>
      </c>
      <c r="I239" s="311"/>
      <c r="J239" s="317">
        <f t="shared" si="382"/>
        <v>8.0403237338593225E-3</v>
      </c>
    </row>
    <row r="240" spans="2:11" s="390" customFormat="1">
      <c r="B240" s="358" t="s">
        <v>366</v>
      </c>
      <c r="C240" s="388">
        <f t="shared" ref="C240" si="400">C239/C37</f>
        <v>6.6970711541354824E-2</v>
      </c>
      <c r="D240" s="388">
        <f t="shared" ref="D240" si="401">D239/D37</f>
        <v>6.7910196729494235E-2</v>
      </c>
      <c r="E240" s="388">
        <f t="shared" ref="E240" si="402">E239/E37</f>
        <v>6.5933278690942496E-2</v>
      </c>
      <c r="F240" s="388">
        <f t="shared" ref="F240" si="403">F239/F37</f>
        <v>6.4013910256417367E-2</v>
      </c>
      <c r="G240" s="388">
        <f t="shared" ref="G240:H240" si="404">G239/G37</f>
        <v>6.2150416112699454E-2</v>
      </c>
      <c r="H240" s="388">
        <f t="shared" si="404"/>
        <v>6.0341169716225239E-2</v>
      </c>
      <c r="I240" s="312"/>
      <c r="J240" s="318"/>
    </row>
    <row r="242" spans="1:11">
      <c r="A242" s="391" t="s">
        <v>24</v>
      </c>
      <c r="B242" s="247" t="s">
        <v>31</v>
      </c>
      <c r="C242" s="229" t="s">
        <v>165</v>
      </c>
      <c r="D242" s="229"/>
      <c r="E242" s="229"/>
      <c r="F242" s="229"/>
      <c r="G242" s="229"/>
      <c r="H242" s="229"/>
      <c r="I242" s="248"/>
      <c r="J242" s="2" t="s">
        <v>370</v>
      </c>
    </row>
    <row r="243" spans="1:11">
      <c r="B243" s="303" t="s">
        <v>410</v>
      </c>
      <c r="C243" s="304" t="str">
        <f>C$9</f>
        <v>2026E</v>
      </c>
      <c r="D243" s="304" t="str">
        <f>D$9</f>
        <v>2027E</v>
      </c>
      <c r="E243" s="304" t="str">
        <f>E$9</f>
        <v>2028E</v>
      </c>
      <c r="F243" s="304" t="str">
        <f>F$9</f>
        <v>2029E</v>
      </c>
      <c r="G243" s="304" t="str">
        <f>G$9</f>
        <v>2030E</v>
      </c>
      <c r="H243" s="304" t="str">
        <f>H$9</f>
        <v>2031E</v>
      </c>
      <c r="I243" s="248"/>
      <c r="J243" s="200" t="str">
        <f>$J$9</f>
        <v>6-Year(F)</v>
      </c>
    </row>
    <row r="244" spans="1:11">
      <c r="B244" s="303" t="s">
        <v>411</v>
      </c>
      <c r="C244" s="248">
        <f>C$10</f>
        <v>46295</v>
      </c>
      <c r="D244" s="248">
        <f>D$10</f>
        <v>46660</v>
      </c>
      <c r="E244" s="248">
        <f>E$10</f>
        <v>47026</v>
      </c>
      <c r="F244" s="248">
        <f>F$10</f>
        <v>47391</v>
      </c>
      <c r="G244" s="248">
        <f>G$10</f>
        <v>47756</v>
      </c>
      <c r="H244" s="248">
        <f>H$10</f>
        <v>48121</v>
      </c>
      <c r="I244" s="248"/>
      <c r="J244" s="3">
        <f>$H$42</f>
        <v>48121</v>
      </c>
    </row>
    <row r="245" spans="1:11" ht="5.0999999999999996" customHeight="1">
      <c r="B245" s="307"/>
    </row>
    <row r="246" spans="1:11">
      <c r="B246" s="467" t="s">
        <v>364</v>
      </c>
      <c r="C246" s="468">
        <v>146141</v>
      </c>
      <c r="D246" s="468">
        <v>170187</v>
      </c>
      <c r="E246" s="468">
        <v>186579</v>
      </c>
      <c r="F246" s="469">
        <f t="shared" ref="F246:H246" si="405">E246</f>
        <v>186579</v>
      </c>
      <c r="G246" s="469">
        <f t="shared" si="405"/>
        <v>186579</v>
      </c>
      <c r="H246" s="469">
        <f t="shared" si="405"/>
        <v>186579</v>
      </c>
      <c r="J246" s="365">
        <f t="shared" ref="J246:J260" si="406">((H246/C246)^(1/COUNT(C246:H246))-1)</f>
        <v>4.1553975830872947E-2</v>
      </c>
      <c r="K246" s="467" t="s">
        <v>627</v>
      </c>
    </row>
    <row r="247" spans="1:11">
      <c r="B247" s="308" t="s">
        <v>366</v>
      </c>
      <c r="C247" s="314">
        <f>C246/C37</f>
        <v>0.32816412135746831</v>
      </c>
      <c r="D247" s="314">
        <f>D246/D37</f>
        <v>0.36934144991698947</v>
      </c>
      <c r="E247" s="314">
        <f>E246/E37</f>
        <v>0.39312812235962419</v>
      </c>
      <c r="F247" s="314">
        <f>F246/F37</f>
        <v>0.38168386046695946</v>
      </c>
      <c r="G247" s="314">
        <f>G246/G37</f>
        <v>0.37057274983674265</v>
      </c>
      <c r="H247" s="314">
        <f>H246/H37</f>
        <v>0.35978509217958549</v>
      </c>
      <c r="J247" s="363"/>
    </row>
    <row r="248" spans="1:11">
      <c r="B248" s="467" t="s">
        <v>374</v>
      </c>
      <c r="C248" s="468">
        <v>143450</v>
      </c>
      <c r="D248" s="468">
        <v>152554</v>
      </c>
      <c r="E248" s="468">
        <v>169259</v>
      </c>
      <c r="F248" s="468">
        <v>185409</v>
      </c>
      <c r="G248" s="468">
        <v>202673</v>
      </c>
      <c r="H248" s="468">
        <v>217380</v>
      </c>
      <c r="J248" s="362">
        <f t="shared" si="406"/>
        <v>7.1732757955442539E-2</v>
      </c>
      <c r="K248" s="467" t="s">
        <v>627</v>
      </c>
    </row>
    <row r="249" spans="1:11">
      <c r="B249" s="308" t="s">
        <v>366</v>
      </c>
      <c r="C249" s="314">
        <f>C248/C24</f>
        <v>0.32007586322307136</v>
      </c>
      <c r="D249" s="314">
        <f>D248/D24</f>
        <v>0.31898579604263066</v>
      </c>
      <c r="E249" s="314">
        <f>E248/E24</f>
        <v>0.32460292194218254</v>
      </c>
      <c r="F249" s="314">
        <f>F248/F24</f>
        <v>0.3352748433109225</v>
      </c>
      <c r="G249" s="314">
        <f>G248/G24</f>
        <v>0.35126703490780398</v>
      </c>
      <c r="H249" s="314">
        <f>H248/H24</f>
        <v>0.35940321012638138</v>
      </c>
      <c r="J249" s="363"/>
    </row>
    <row r="250" spans="1:11">
      <c r="B250" s="467" t="s">
        <v>373</v>
      </c>
      <c r="C250" s="468">
        <v>146285</v>
      </c>
      <c r="D250" s="468">
        <v>163753</v>
      </c>
      <c r="E250" s="468">
        <v>172335</v>
      </c>
      <c r="F250" s="469">
        <f t="shared" ref="F250:G258" si="407">E250</f>
        <v>172335</v>
      </c>
      <c r="G250" s="469">
        <f t="shared" si="407"/>
        <v>172335</v>
      </c>
      <c r="H250" s="469">
        <f t="shared" ref="H250" si="408">G250</f>
        <v>172335</v>
      </c>
      <c r="J250" s="362">
        <f t="shared" si="406"/>
        <v>2.7690358396837533E-2</v>
      </c>
      <c r="K250" s="467" t="s">
        <v>628</v>
      </c>
    </row>
    <row r="251" spans="1:11">
      <c r="B251" s="308" t="s">
        <v>366</v>
      </c>
      <c r="C251" s="314">
        <f>C250/C14</f>
        <v>0.32132329360494488</v>
      </c>
      <c r="D251" s="314">
        <f>D250/D14</f>
        <v>0.32663779673627497</v>
      </c>
      <c r="E251" s="314">
        <f>E250/E14</f>
        <v>0.33153077242716655</v>
      </c>
      <c r="F251" s="314">
        <f>F250/F14</f>
        <v>0.31869969213934485</v>
      </c>
      <c r="G251" s="314">
        <f>G250/G14</f>
        <v>0.30534642256677813</v>
      </c>
      <c r="H251" s="314">
        <f>H250/H14</f>
        <v>0.29156404171700911</v>
      </c>
      <c r="J251" s="363"/>
    </row>
    <row r="252" spans="1:11">
      <c r="B252" s="467" t="s">
        <v>473</v>
      </c>
      <c r="C252" s="468">
        <v>142107</v>
      </c>
      <c r="D252" s="468">
        <v>148716</v>
      </c>
      <c r="E252" s="468">
        <v>153787</v>
      </c>
      <c r="F252" s="468">
        <v>159255</v>
      </c>
      <c r="G252" s="468">
        <v>162526</v>
      </c>
      <c r="H252" s="469">
        <f t="shared" ref="H252" si="409">G252</f>
        <v>162526</v>
      </c>
      <c r="J252" s="362">
        <f t="shared" si="406"/>
        <v>2.2628509124499097E-2</v>
      </c>
      <c r="K252" s="467" t="s">
        <v>628</v>
      </c>
    </row>
    <row r="253" spans="1:11">
      <c r="B253" s="308" t="s">
        <v>366</v>
      </c>
      <c r="C253" s="314">
        <f>C252/C18</f>
        <v>0.31910564998012703</v>
      </c>
      <c r="D253" s="314">
        <f>D252/D18</f>
        <v>0.32056458131699717</v>
      </c>
      <c r="E253" s="314">
        <f>E252/E18</f>
        <v>0.32037690174763916</v>
      </c>
      <c r="F253" s="314">
        <f>F252/F18</f>
        <v>0.32084317154346409</v>
      </c>
      <c r="G253" s="314">
        <f>G252/G18</f>
        <v>0.32010194354501981</v>
      </c>
      <c r="H253" s="314">
        <f>H252/H18</f>
        <v>0.31293493635575503</v>
      </c>
      <c r="J253" s="363"/>
    </row>
    <row r="254" spans="1:11">
      <c r="B254" s="467" t="s">
        <v>479</v>
      </c>
      <c r="C254" s="468">
        <v>146562</v>
      </c>
      <c r="D254" s="468">
        <v>152607</v>
      </c>
      <c r="E254" s="468">
        <v>157451</v>
      </c>
      <c r="F254" s="469">
        <f t="shared" ref="F254:G254" si="410">E254</f>
        <v>157451</v>
      </c>
      <c r="G254" s="469">
        <f t="shared" si="410"/>
        <v>157451</v>
      </c>
      <c r="H254" s="469">
        <f t="shared" ref="H254" si="411">G254</f>
        <v>157451</v>
      </c>
      <c r="J254" s="362">
        <f t="shared" si="406"/>
        <v>1.2015909850752182E-2</v>
      </c>
      <c r="K254" s="467" t="s">
        <v>627</v>
      </c>
    </row>
    <row r="255" spans="1:11">
      <c r="B255" s="308" t="s">
        <v>366</v>
      </c>
      <c r="C255" s="314">
        <f>C254/C20</f>
        <v>0.32514925025457403</v>
      </c>
      <c r="D255" s="314">
        <f>D254/D20</f>
        <v>0.33118916631400763</v>
      </c>
      <c r="E255" s="314">
        <f>E254/E20</f>
        <v>0.33175446322279134</v>
      </c>
      <c r="F255" s="314">
        <f>F254/F20</f>
        <v>0.32209683573383519</v>
      </c>
      <c r="G255" s="314">
        <f>G254/G20</f>
        <v>0.31272034920620739</v>
      </c>
      <c r="H255" s="314">
        <f>H254/H20</f>
        <v>0.30361681941037266</v>
      </c>
      <c r="J255" s="363"/>
    </row>
    <row r="256" spans="1:11">
      <c r="B256" s="467" t="s">
        <v>472</v>
      </c>
      <c r="C256" s="468">
        <v>142279</v>
      </c>
      <c r="D256" s="468">
        <v>152688</v>
      </c>
      <c r="E256" s="468">
        <v>162929</v>
      </c>
      <c r="F256" s="469">
        <f t="shared" si="407"/>
        <v>162929</v>
      </c>
      <c r="G256" s="469">
        <f t="shared" si="407"/>
        <v>162929</v>
      </c>
      <c r="H256" s="469">
        <f t="shared" ref="H256" si="412">G256</f>
        <v>162929</v>
      </c>
      <c r="J256" s="362">
        <f t="shared" si="406"/>
        <v>2.2844461710864739E-2</v>
      </c>
      <c r="K256" s="467" t="s">
        <v>627</v>
      </c>
    </row>
    <row r="257" spans="1:11">
      <c r="B257" s="308" t="s">
        <v>366</v>
      </c>
      <c r="C257" s="314">
        <f>C256/C16</f>
        <v>0.31207968309256734</v>
      </c>
      <c r="D257" s="314">
        <f>D256/D16</f>
        <v>0.31727178843560455</v>
      </c>
      <c r="E257" s="314">
        <f>E256/E16</f>
        <v>0.32299433225026913</v>
      </c>
      <c r="F257" s="314">
        <f>F256/F16</f>
        <v>0.30788838178947314</v>
      </c>
      <c r="G257" s="314">
        <f>G256/G16</f>
        <v>0.29323557282562457</v>
      </c>
      <c r="H257" s="314">
        <f>H256/H16</f>
        <v>0.27903715262949275</v>
      </c>
      <c r="J257" s="363"/>
    </row>
    <row r="258" spans="1:11">
      <c r="B258" s="467" t="s">
        <v>375</v>
      </c>
      <c r="C258" s="468">
        <v>145289</v>
      </c>
      <c r="D258" s="468">
        <v>164922</v>
      </c>
      <c r="E258" s="468">
        <v>176101</v>
      </c>
      <c r="F258" s="469">
        <f t="shared" si="407"/>
        <v>176101</v>
      </c>
      <c r="G258" s="469">
        <f t="shared" si="407"/>
        <v>176101</v>
      </c>
      <c r="H258" s="469">
        <f t="shared" ref="H258" si="413">G258</f>
        <v>176101</v>
      </c>
      <c r="J258" s="362">
        <f t="shared" si="406"/>
        <v>3.2574782671131342E-2</v>
      </c>
      <c r="K258" s="467" t="s">
        <v>627</v>
      </c>
    </row>
    <row r="259" spans="1:11">
      <c r="B259" s="308" t="s">
        <v>366</v>
      </c>
      <c r="C259" s="314">
        <f>C258/C26</f>
        <v>0.31605796067358288</v>
      </c>
      <c r="D259" s="314">
        <f>D258/D26</f>
        <v>0.33033355432751338</v>
      </c>
      <c r="E259" s="314">
        <f>E258/E26</f>
        <v>0.33406114365496098</v>
      </c>
      <c r="F259" s="314">
        <f>F258/F26</f>
        <v>0.31617166950088399</v>
      </c>
      <c r="G259" s="314">
        <f>G258/G26</f>
        <v>0.29903413097731313</v>
      </c>
      <c r="H259" s="314">
        <f>H258/H26</f>
        <v>0.28262690915855837</v>
      </c>
      <c r="J259" s="363"/>
    </row>
    <row r="260" spans="1:11">
      <c r="B260" s="467" t="s">
        <v>365</v>
      </c>
      <c r="C260" s="468">
        <v>145450</v>
      </c>
      <c r="D260" s="468">
        <v>154821</v>
      </c>
      <c r="E260" s="469">
        <f t="shared" ref="E260:G260" si="414">D260</f>
        <v>154821</v>
      </c>
      <c r="F260" s="469">
        <f t="shared" si="414"/>
        <v>154821</v>
      </c>
      <c r="G260" s="469">
        <f t="shared" si="414"/>
        <v>154821</v>
      </c>
      <c r="H260" s="469">
        <f t="shared" ref="H260" si="415">G260</f>
        <v>154821</v>
      </c>
      <c r="J260" s="362">
        <f t="shared" si="406"/>
        <v>1.0460537168260675E-2</v>
      </c>
      <c r="K260" s="467" t="s">
        <v>627</v>
      </c>
    </row>
    <row r="261" spans="1:11">
      <c r="B261" s="308" t="s">
        <v>366</v>
      </c>
      <c r="C261" s="314">
        <f>C260/C28</f>
        <v>0.32035131912722248</v>
      </c>
      <c r="D261" s="314">
        <f>D260/D28</f>
        <v>0.31958179930450437</v>
      </c>
      <c r="E261" s="314">
        <f>E260/E28</f>
        <v>0.29923073180679016</v>
      </c>
      <c r="F261" s="314">
        <f>F260/F28</f>
        <v>0.27991365117796141</v>
      </c>
      <c r="G261" s="314">
        <f>G260/G28</f>
        <v>0.26160380757028318</v>
      </c>
      <c r="H261" s="314">
        <f>H260/H28</f>
        <v>0.24427215552886736</v>
      </c>
      <c r="J261" s="364"/>
    </row>
    <row r="262" spans="1:11" ht="5.0999999999999996" customHeight="1"/>
    <row r="263" spans="1:11">
      <c r="B263" s="313" t="s">
        <v>222</v>
      </c>
      <c r="C263" s="368">
        <f t="shared" ref="C263:H263" si="416">MAX(C$246,C$248,C$250,C$252,C$254,C$256,C$258,C$260)</f>
        <v>146562</v>
      </c>
      <c r="D263" s="368">
        <f t="shared" si="416"/>
        <v>170187</v>
      </c>
      <c r="E263" s="368">
        <f t="shared" si="416"/>
        <v>186579</v>
      </c>
      <c r="F263" s="368">
        <f t="shared" si="416"/>
        <v>186579</v>
      </c>
      <c r="G263" s="368">
        <f t="shared" si="416"/>
        <v>202673</v>
      </c>
      <c r="H263" s="368">
        <f t="shared" si="416"/>
        <v>217380</v>
      </c>
      <c r="I263" s="309"/>
      <c r="J263" s="319">
        <f t="shared" ref="J263:J269" si="417">((H263/C263)^(1/COUNT(C263:H263))-1)</f>
        <v>6.7906017249354855E-2</v>
      </c>
    </row>
    <row r="264" spans="1:11">
      <c r="B264" s="357" t="s">
        <v>366</v>
      </c>
      <c r="C264" s="387">
        <f t="shared" ref="C264:H264" si="418">C263/C31</f>
        <v>0.31858395537798723</v>
      </c>
      <c r="D264" s="387">
        <f t="shared" si="418"/>
        <v>0.32459975052355722</v>
      </c>
      <c r="E264" s="387">
        <f t="shared" si="418"/>
        <v>0.33515840981230094</v>
      </c>
      <c r="F264" s="387">
        <f t="shared" si="418"/>
        <v>0.3149462721738478</v>
      </c>
      <c r="G264" s="387">
        <f t="shared" si="418"/>
        <v>0.32075021930460845</v>
      </c>
      <c r="H264" s="387">
        <f t="shared" si="418"/>
        <v>0.32180522553861646</v>
      </c>
      <c r="I264" s="311"/>
      <c r="J264" s="317"/>
    </row>
    <row r="265" spans="1:11">
      <c r="B265" s="310" t="s">
        <v>412</v>
      </c>
      <c r="C265" s="370">
        <f t="shared" ref="C265:H265" si="419">MEDIAN(C$246,C$248,C$250,C$252,C$254,C$256,C$258,C$260)</f>
        <v>145369.5</v>
      </c>
      <c r="D265" s="370">
        <f t="shared" si="419"/>
        <v>153754.5</v>
      </c>
      <c r="E265" s="370">
        <f t="shared" si="419"/>
        <v>166094</v>
      </c>
      <c r="F265" s="370">
        <f t="shared" si="419"/>
        <v>167632</v>
      </c>
      <c r="G265" s="370">
        <f t="shared" si="419"/>
        <v>167632</v>
      </c>
      <c r="H265" s="370">
        <f t="shared" si="419"/>
        <v>167632</v>
      </c>
      <c r="I265" s="311"/>
      <c r="J265" s="317">
        <f t="shared" si="417"/>
        <v>2.4032967182164855E-2</v>
      </c>
    </row>
    <row r="266" spans="1:11">
      <c r="B266" s="357" t="s">
        <v>366</v>
      </c>
      <c r="C266" s="387">
        <f t="shared" ref="C266" si="420">C265/C33</f>
        <v>0.32017401915341881</v>
      </c>
      <c r="D266" s="387">
        <f t="shared" ref="D266" si="421">D265/D33</f>
        <v>0.31738032799920174</v>
      </c>
      <c r="E266" s="387">
        <f t="shared" ref="E266" si="422">E265/E33</f>
        <v>0.32101865488995035</v>
      </c>
      <c r="F266" s="387">
        <f t="shared" ref="F266" si="423">F265/F33</f>
        <v>0.3064788222819711</v>
      </c>
      <c r="G266" s="387">
        <f t="shared" ref="G266:H266" si="424">G265/G33</f>
        <v>0.29053497799738986</v>
      </c>
      <c r="H266" s="387">
        <f t="shared" si="424"/>
        <v>0.27715281497794442</v>
      </c>
      <c r="I266" s="311"/>
      <c r="J266" s="317"/>
    </row>
    <row r="267" spans="1:11">
      <c r="B267" s="310" t="s">
        <v>369</v>
      </c>
      <c r="C267" s="370">
        <f t="shared" ref="C267:H267" si="425">AVERAGE(C$246,C$248,C$250,C$252,C$254,C$256,C$258,C$260)</f>
        <v>144695.375</v>
      </c>
      <c r="D267" s="370">
        <f t="shared" si="425"/>
        <v>157531</v>
      </c>
      <c r="E267" s="370">
        <f t="shared" si="425"/>
        <v>166657.75</v>
      </c>
      <c r="F267" s="370">
        <f t="shared" si="425"/>
        <v>169360</v>
      </c>
      <c r="G267" s="370">
        <f t="shared" si="425"/>
        <v>171926.875</v>
      </c>
      <c r="H267" s="370">
        <f t="shared" si="425"/>
        <v>173765.25</v>
      </c>
      <c r="I267" s="311"/>
      <c r="J267" s="317">
        <f t="shared" si="417"/>
        <v>3.0982705072530203E-2</v>
      </c>
    </row>
    <row r="268" spans="1:11">
      <c r="B268" s="357" t="s">
        <v>366</v>
      </c>
      <c r="C268" s="387">
        <f t="shared" ref="C268" si="426">C267/C35</f>
        <v>0.31895154960079963</v>
      </c>
      <c r="D268" s="387">
        <f t="shared" ref="D268" si="427">D267/D35</f>
        <v>0.32368853392341923</v>
      </c>
      <c r="E268" s="387">
        <f t="shared" ref="E268" si="428">E267/E35</f>
        <v>0.32484050346114074</v>
      </c>
      <c r="F268" s="387">
        <f t="shared" ref="F268" si="429">F267/F35</f>
        <v>0.31378550984525927</v>
      </c>
      <c r="G268" s="387">
        <f t="shared" ref="G268:H268" si="430">G267/G35</f>
        <v>0.30335672714448952</v>
      </c>
      <c r="H268" s="387">
        <f t="shared" si="430"/>
        <v>0.29149607876283662</v>
      </c>
      <c r="I268" s="311"/>
      <c r="J268" s="317"/>
    </row>
    <row r="269" spans="1:11">
      <c r="B269" s="356" t="s">
        <v>348</v>
      </c>
      <c r="C269" s="369">
        <f t="shared" ref="C269:H269" si="431">MIN(C$246,C$248,C$250,C$252,C$254,C$256,C$258,C$260)</f>
        <v>142107</v>
      </c>
      <c r="D269" s="369">
        <f t="shared" si="431"/>
        <v>148716</v>
      </c>
      <c r="E269" s="369">
        <f t="shared" si="431"/>
        <v>153787</v>
      </c>
      <c r="F269" s="369">
        <f t="shared" si="431"/>
        <v>154821</v>
      </c>
      <c r="G269" s="369">
        <f t="shared" si="431"/>
        <v>154821</v>
      </c>
      <c r="H269" s="369">
        <f t="shared" si="431"/>
        <v>154821</v>
      </c>
      <c r="I269" s="311"/>
      <c r="J269" s="317">
        <f t="shared" si="417"/>
        <v>1.4384021244817857E-2</v>
      </c>
    </row>
    <row r="270" spans="1:11" s="381" customFormat="1">
      <c r="B270" s="358" t="s">
        <v>366</v>
      </c>
      <c r="C270" s="388">
        <f t="shared" ref="C270" si="432">C269/C37</f>
        <v>0.31910564998012703</v>
      </c>
      <c r="D270" s="388">
        <f t="shared" ref="D270" si="433">D269/D37</f>
        <v>0.32274488101826232</v>
      </c>
      <c r="E270" s="388">
        <f t="shared" ref="E270" si="434">E269/E37</f>
        <v>0.32403429407017686</v>
      </c>
      <c r="F270" s="388">
        <f t="shared" ref="F270" si="435">F269/F37</f>
        <v>0.31671665600820631</v>
      </c>
      <c r="G270" s="388">
        <f t="shared" ref="G270:H270" si="436">G269/G37</f>
        <v>0.30749679064886365</v>
      </c>
      <c r="H270" s="388">
        <f t="shared" si="436"/>
        <v>0.29854532265868938</v>
      </c>
      <c r="I270" s="312"/>
      <c r="J270" s="318"/>
    </row>
    <row r="272" spans="1:11">
      <c r="A272" s="391" t="s">
        <v>24</v>
      </c>
      <c r="B272" s="247" t="s">
        <v>381</v>
      </c>
      <c r="C272" s="229" t="s">
        <v>165</v>
      </c>
      <c r="D272" s="229"/>
      <c r="E272" s="229"/>
      <c r="F272" s="229"/>
      <c r="G272" s="229"/>
      <c r="H272" s="229"/>
      <c r="I272" s="248"/>
      <c r="J272" s="2" t="s">
        <v>370</v>
      </c>
    </row>
    <row r="273" spans="2:11">
      <c r="B273" s="303" t="s">
        <v>410</v>
      </c>
      <c r="C273" s="304" t="str">
        <f>C$9</f>
        <v>2026E</v>
      </c>
      <c r="D273" s="304" t="str">
        <f>D$9</f>
        <v>2027E</v>
      </c>
      <c r="E273" s="304" t="str">
        <f>E$9</f>
        <v>2028E</v>
      </c>
      <c r="F273" s="304" t="str">
        <f>F$9</f>
        <v>2029E</v>
      </c>
      <c r="G273" s="304" t="str">
        <f>G$9</f>
        <v>2030E</v>
      </c>
      <c r="H273" s="304" t="str">
        <f>H$9</f>
        <v>2031E</v>
      </c>
      <c r="I273" s="248"/>
      <c r="J273" s="200" t="str">
        <f>$J$9</f>
        <v>6-Year(F)</v>
      </c>
    </row>
    <row r="274" spans="2:11">
      <c r="B274" s="303" t="s">
        <v>411</v>
      </c>
      <c r="C274" s="248">
        <f>C$10</f>
        <v>46295</v>
      </c>
      <c r="D274" s="248">
        <f>D$10</f>
        <v>46660</v>
      </c>
      <c r="E274" s="248">
        <f>E$10</f>
        <v>47026</v>
      </c>
      <c r="F274" s="248">
        <f>F$10</f>
        <v>47391</v>
      </c>
      <c r="G274" s="248">
        <f>G$10</f>
        <v>47756</v>
      </c>
      <c r="H274" s="248">
        <f>H$10</f>
        <v>48121</v>
      </c>
      <c r="I274" s="248"/>
      <c r="J274" s="3">
        <f>$H$42</f>
        <v>48121</v>
      </c>
    </row>
    <row r="275" spans="2:11" ht="5.0999999999999996" customHeight="1">
      <c r="B275" s="307"/>
    </row>
    <row r="276" spans="2:11">
      <c r="B276" s="467" t="s">
        <v>374</v>
      </c>
      <c r="C276" s="468">
        <v>21574</v>
      </c>
      <c r="D276" s="468">
        <v>22955</v>
      </c>
      <c r="E276" s="468">
        <v>25492</v>
      </c>
      <c r="F276" s="468">
        <v>27958</v>
      </c>
      <c r="G276" s="468">
        <v>30602</v>
      </c>
      <c r="H276" s="468">
        <v>32876</v>
      </c>
      <c r="J276" s="362">
        <f t="shared" ref="J276:J286" si="437">((H276/C276)^(1/COUNT(C276:H276))-1)</f>
        <v>7.2732362882736989E-2</v>
      </c>
      <c r="K276" s="467" t="s">
        <v>627</v>
      </c>
    </row>
    <row r="277" spans="2:11">
      <c r="B277" s="308" t="s">
        <v>382</v>
      </c>
      <c r="C277" s="340">
        <f>C276/C248</f>
        <v>0.15039386545834785</v>
      </c>
      <c r="D277" s="340">
        <f>D276/D248</f>
        <v>0.15047130852026167</v>
      </c>
      <c r="E277" s="340">
        <f>E276/E248</f>
        <v>0.15060942106475875</v>
      </c>
      <c r="F277" s="340">
        <f>F276/F248</f>
        <v>0.15079095405293164</v>
      </c>
      <c r="G277" s="340">
        <f>G276/G248</f>
        <v>0.15099199202656496</v>
      </c>
      <c r="H277" s="340">
        <f>H276/H248</f>
        <v>0.15123746434814611</v>
      </c>
      <c r="J277" s="363"/>
    </row>
    <row r="278" spans="2:11">
      <c r="B278" s="467" t="s">
        <v>472</v>
      </c>
      <c r="C278" s="468">
        <v>22308</v>
      </c>
      <c r="D278" s="468">
        <v>24499</v>
      </c>
      <c r="E278" s="468">
        <v>26181</v>
      </c>
      <c r="F278" s="469">
        <f t="shared" ref="F278:G278" si="438">E278</f>
        <v>26181</v>
      </c>
      <c r="G278" s="469">
        <f t="shared" si="438"/>
        <v>26181</v>
      </c>
      <c r="H278" s="469">
        <f t="shared" ref="H278" si="439">G278</f>
        <v>26181</v>
      </c>
      <c r="J278" s="362">
        <f t="shared" si="437"/>
        <v>2.7040569465421438E-2</v>
      </c>
      <c r="K278" s="467" t="s">
        <v>627</v>
      </c>
    </row>
    <row r="279" spans="2:11">
      <c r="B279" s="308" t="s">
        <v>382</v>
      </c>
      <c r="C279" s="340">
        <f>C278/C256</f>
        <v>0.15679053128009052</v>
      </c>
      <c r="D279" s="340">
        <f>D278/D256</f>
        <v>0.16045137797338363</v>
      </c>
      <c r="E279" s="340">
        <f>E278/E256</f>
        <v>0.16068962554241417</v>
      </c>
      <c r="F279" s="340">
        <f>F278/F256</f>
        <v>0.16068962554241417</v>
      </c>
      <c r="G279" s="340">
        <f>G278/G256</f>
        <v>0.16068962554241417</v>
      </c>
      <c r="H279" s="340">
        <f>H278/H256</f>
        <v>0.16068962554241417</v>
      </c>
      <c r="J279" s="363"/>
    </row>
    <row r="280" spans="2:11">
      <c r="B280" s="467" t="s">
        <v>473</v>
      </c>
      <c r="C280" s="468">
        <v>24100</v>
      </c>
      <c r="D280" s="468">
        <v>25289</v>
      </c>
      <c r="E280" s="468">
        <v>26228</v>
      </c>
      <c r="F280" s="468">
        <v>27251</v>
      </c>
      <c r="G280" s="468">
        <v>27905</v>
      </c>
      <c r="H280" s="469">
        <f t="shared" ref="H280:H282" si="440">G280</f>
        <v>27905</v>
      </c>
      <c r="J280" s="362">
        <f t="shared" si="437"/>
        <v>2.473325594893816E-2</v>
      </c>
      <c r="K280" s="467" t="s">
        <v>627</v>
      </c>
    </row>
    <row r="281" spans="2:11">
      <c r="B281" s="308" t="s">
        <v>382</v>
      </c>
      <c r="C281" s="340">
        <f>C280/C252</f>
        <v>0.16959051981957257</v>
      </c>
      <c r="D281" s="340">
        <f>D280/D252</f>
        <v>0.17004895236558273</v>
      </c>
      <c r="E281" s="340">
        <f>E280/E252</f>
        <v>0.1705475755427962</v>
      </c>
      <c r="F281" s="340">
        <f>F280/F252</f>
        <v>0.17111550657750149</v>
      </c>
      <c r="G281" s="340">
        <f>G280/G252</f>
        <v>0.17169560562617672</v>
      </c>
      <c r="H281" s="340">
        <f>H280/H252</f>
        <v>0.17169560562617672</v>
      </c>
      <c r="J281" s="363"/>
    </row>
    <row r="282" spans="2:11">
      <c r="B282" s="467" t="s">
        <v>365</v>
      </c>
      <c r="C282" s="468">
        <v>24643</v>
      </c>
      <c r="D282" s="468">
        <v>26252</v>
      </c>
      <c r="E282" s="469">
        <f t="shared" ref="E282:G282" si="441">D282</f>
        <v>26252</v>
      </c>
      <c r="F282" s="469">
        <f t="shared" si="441"/>
        <v>26252</v>
      </c>
      <c r="G282" s="469">
        <f t="shared" si="441"/>
        <v>26252</v>
      </c>
      <c r="H282" s="469">
        <f t="shared" si="440"/>
        <v>26252</v>
      </c>
      <c r="J282" s="362">
        <f t="shared" si="437"/>
        <v>1.0597306562019737E-2</v>
      </c>
      <c r="K282" s="467" t="s">
        <v>627</v>
      </c>
    </row>
    <row r="283" spans="2:11">
      <c r="B283" s="308" t="s">
        <v>382</v>
      </c>
      <c r="C283" s="340">
        <f>C282/C254</f>
        <v>0.16814044568169104</v>
      </c>
      <c r="D283" s="340">
        <f>D282/D254</f>
        <v>0.17202356379458347</v>
      </c>
      <c r="E283" s="340">
        <f>E282/E254</f>
        <v>0.16673123701977122</v>
      </c>
      <c r="F283" s="340">
        <f>F282/F254</f>
        <v>0.16673123701977122</v>
      </c>
      <c r="G283" s="340">
        <f>G282/G254</f>
        <v>0.16673123701977122</v>
      </c>
      <c r="H283" s="340">
        <f>H282/H254</f>
        <v>0.16673123701977122</v>
      </c>
      <c r="J283" s="363"/>
    </row>
    <row r="284" spans="2:11">
      <c r="B284" s="467" t="s">
        <v>479</v>
      </c>
      <c r="C284" s="468">
        <v>22957</v>
      </c>
      <c r="D284" s="468">
        <v>25969</v>
      </c>
      <c r="E284" s="468">
        <v>26792</v>
      </c>
      <c r="F284" s="469">
        <f t="shared" ref="F284:G284" si="442">E284</f>
        <v>26792</v>
      </c>
      <c r="G284" s="469">
        <f t="shared" si="442"/>
        <v>26792</v>
      </c>
      <c r="H284" s="469">
        <f t="shared" ref="H284" si="443">G284</f>
        <v>26792</v>
      </c>
      <c r="J284" s="362">
        <f t="shared" si="437"/>
        <v>2.6081049353394725E-2</v>
      </c>
      <c r="K284" s="467" t="s">
        <v>627</v>
      </c>
    </row>
    <row r="285" spans="2:11">
      <c r="B285" s="308" t="s">
        <v>382</v>
      </c>
      <c r="C285" s="340">
        <f>C284/C254</f>
        <v>0.15663678170330644</v>
      </c>
      <c r="D285" s="340">
        <f>D284/D254</f>
        <v>0.17016912723531685</v>
      </c>
      <c r="E285" s="340">
        <f>E284/E254</f>
        <v>0.17016087544696445</v>
      </c>
      <c r="F285" s="340">
        <f>F284/F254</f>
        <v>0.17016087544696445</v>
      </c>
      <c r="G285" s="340">
        <f>G284/G254</f>
        <v>0.17016087544696445</v>
      </c>
      <c r="H285" s="340">
        <f>H284/H254</f>
        <v>0.17016087544696445</v>
      </c>
      <c r="J285" s="363"/>
    </row>
    <row r="286" spans="2:11">
      <c r="B286" s="467" t="s">
        <v>375</v>
      </c>
      <c r="C286" s="468">
        <v>23808</v>
      </c>
      <c r="D286" s="468">
        <v>26460</v>
      </c>
      <c r="E286" s="468">
        <v>28203</v>
      </c>
      <c r="F286" s="469">
        <f t="shared" ref="F286:G286" si="444">E286</f>
        <v>28203</v>
      </c>
      <c r="G286" s="469">
        <f t="shared" si="444"/>
        <v>28203</v>
      </c>
      <c r="H286" s="469">
        <f t="shared" ref="H286" si="445">G286</f>
        <v>28203</v>
      </c>
      <c r="J286" s="362">
        <f t="shared" si="437"/>
        <v>2.8636819475136743E-2</v>
      </c>
      <c r="K286" s="467" t="s">
        <v>627</v>
      </c>
    </row>
    <row r="287" spans="2:11">
      <c r="B287" s="308" t="s">
        <v>382</v>
      </c>
      <c r="C287" s="340">
        <f>C286/C258</f>
        <v>0.16386650056095092</v>
      </c>
      <c r="D287" s="340">
        <f>D286/D258</f>
        <v>0.16043948048168225</v>
      </c>
      <c r="E287" s="340">
        <f>E286/E258</f>
        <v>0.16015241253598786</v>
      </c>
      <c r="F287" s="340">
        <f>F286/F258</f>
        <v>0.16015241253598786</v>
      </c>
      <c r="G287" s="340">
        <f>G286/G258</f>
        <v>0.16015241253598786</v>
      </c>
      <c r="H287" s="340">
        <f>H286/H258</f>
        <v>0.16015241253598786</v>
      </c>
      <c r="J287" s="364"/>
    </row>
    <row r="288" spans="2:11" ht="5.0999999999999996" customHeight="1"/>
    <row r="289" spans="1:11">
      <c r="B289" s="313" t="s">
        <v>222</v>
      </c>
      <c r="C289" s="368">
        <f>MAX(,C$276,C$278,C$282,C$280,C$284,C$286)</f>
        <v>24643</v>
      </c>
      <c r="D289" s="368">
        <f t="shared" ref="D289:H289" si="446">MAX(,D$276,D$278,D$282,D$280,D$284,D$286)</f>
        <v>26460</v>
      </c>
      <c r="E289" s="368">
        <f t="shared" si="446"/>
        <v>28203</v>
      </c>
      <c r="F289" s="368">
        <f t="shared" si="446"/>
        <v>28203</v>
      </c>
      <c r="G289" s="368">
        <f t="shared" si="446"/>
        <v>30602</v>
      </c>
      <c r="H289" s="368">
        <f t="shared" si="446"/>
        <v>32876</v>
      </c>
      <c r="I289" s="309"/>
      <c r="J289" s="319">
        <f t="shared" ref="J289:J295" si="447">((H289/C289)^(1/COUNT(C289:H289))-1)</f>
        <v>4.9214375838542601E-2</v>
      </c>
    </row>
    <row r="290" spans="1:11">
      <c r="B290" s="357" t="s">
        <v>366</v>
      </c>
      <c r="C290" s="387">
        <f>C289/C263</f>
        <v>0.16814044568169104</v>
      </c>
      <c r="D290" s="387">
        <f>D289/D263</f>
        <v>0.15547603518482611</v>
      </c>
      <c r="E290" s="387">
        <f>E289/E263</f>
        <v>0.15115849050536234</v>
      </c>
      <c r="F290" s="387">
        <f>F289/F263</f>
        <v>0.15115849050536234</v>
      </c>
      <c r="G290" s="387">
        <f>G289/G263</f>
        <v>0.15099199202656496</v>
      </c>
      <c r="H290" s="387">
        <f>H289/H263</f>
        <v>0.15123746434814611</v>
      </c>
      <c r="I290" s="311"/>
      <c r="J290" s="317"/>
    </row>
    <row r="291" spans="1:11">
      <c r="B291" s="310" t="s">
        <v>412</v>
      </c>
      <c r="C291" s="370">
        <f>MEDIAN(C$276,C$278,C$282,C$280,C$284,C$286)</f>
        <v>23382.5</v>
      </c>
      <c r="D291" s="370">
        <f t="shared" ref="D291:H291" si="448">MEDIAN(D$276,D$278,D$282,D$280,D$284,D$286)</f>
        <v>25629</v>
      </c>
      <c r="E291" s="370">
        <f t="shared" si="448"/>
        <v>26240</v>
      </c>
      <c r="F291" s="370">
        <f t="shared" si="448"/>
        <v>27021.5</v>
      </c>
      <c r="G291" s="370">
        <f t="shared" si="448"/>
        <v>27348.5</v>
      </c>
      <c r="H291" s="370">
        <f t="shared" si="448"/>
        <v>27348.5</v>
      </c>
      <c r="I291" s="311"/>
      <c r="J291" s="317">
        <f t="shared" si="447"/>
        <v>2.6456213620807967E-2</v>
      </c>
    </row>
    <row r="292" spans="1:11">
      <c r="B292" s="357" t="s">
        <v>366</v>
      </c>
      <c r="C292" s="387">
        <f>C291/C265</f>
        <v>0.16084873374401096</v>
      </c>
      <c r="D292" s="387">
        <f>D291/D265</f>
        <v>0.16668780425938753</v>
      </c>
      <c r="E292" s="387">
        <f>E291/E265</f>
        <v>0.15798282900044552</v>
      </c>
      <c r="F292" s="387">
        <f>F291/F265</f>
        <v>0.16119535649517991</v>
      </c>
      <c r="G292" s="387">
        <f>G291/G265</f>
        <v>0.16314605803187934</v>
      </c>
      <c r="H292" s="387">
        <f>H291/H265</f>
        <v>0.16314605803187934</v>
      </c>
      <c r="I292" s="311"/>
      <c r="J292" s="317"/>
    </row>
    <row r="293" spans="1:11">
      <c r="B293" s="310" t="s">
        <v>369</v>
      </c>
      <c r="C293" s="370">
        <f>AVERAGE(C$276,C$278,C$282,C$280,C$284,C$286)</f>
        <v>23231.666666666668</v>
      </c>
      <c r="D293" s="370">
        <f t="shared" ref="D293:H293" si="449">AVERAGE(D$276,D$278,D$282,D$280,D$284,D$286)</f>
        <v>25237.333333333332</v>
      </c>
      <c r="E293" s="370">
        <f t="shared" si="449"/>
        <v>26524.666666666668</v>
      </c>
      <c r="F293" s="370">
        <f t="shared" si="449"/>
        <v>27106.166666666668</v>
      </c>
      <c r="G293" s="370">
        <f t="shared" si="449"/>
        <v>27655.833333333332</v>
      </c>
      <c r="H293" s="370">
        <f t="shared" si="449"/>
        <v>28034.833333333332</v>
      </c>
      <c r="I293" s="311"/>
      <c r="J293" s="317">
        <f t="shared" si="447"/>
        <v>3.1817608698407884E-2</v>
      </c>
    </row>
    <row r="294" spans="1:11">
      <c r="B294" s="357" t="s">
        <v>366</v>
      </c>
      <c r="C294" s="387">
        <f>C293/C267</f>
        <v>0.16055569617665158</v>
      </c>
      <c r="D294" s="387">
        <f>D293/D267</f>
        <v>0.16020550452503526</v>
      </c>
      <c r="E294" s="387">
        <f>E293/E267</f>
        <v>0.15915651487354573</v>
      </c>
      <c r="F294" s="387">
        <f>F293/F267</f>
        <v>0.16005058258541963</v>
      </c>
      <c r="G294" s="387">
        <f>G293/G267</f>
        <v>0.16085811676233475</v>
      </c>
      <c r="H294" s="387">
        <f>H293/H267</f>
        <v>0.16133739820437823</v>
      </c>
      <c r="I294" s="311"/>
      <c r="J294" s="317"/>
    </row>
    <row r="295" spans="1:11">
      <c r="B295" s="356" t="s">
        <v>348</v>
      </c>
      <c r="C295" s="369">
        <f>MIN(C$276,C$278,C$282,C$280,C$284,C$286)</f>
        <v>21574</v>
      </c>
      <c r="D295" s="369">
        <f t="shared" ref="D295:H295" si="450">MIN(D$276,D$278,D$282,D$280,D$284,D$286)</f>
        <v>22955</v>
      </c>
      <c r="E295" s="369">
        <f t="shared" si="450"/>
        <v>25492</v>
      </c>
      <c r="F295" s="369">
        <f t="shared" si="450"/>
        <v>26181</v>
      </c>
      <c r="G295" s="369">
        <f t="shared" si="450"/>
        <v>26181</v>
      </c>
      <c r="H295" s="369">
        <f t="shared" si="450"/>
        <v>26181</v>
      </c>
      <c r="I295" s="311"/>
      <c r="J295" s="317">
        <f t="shared" si="447"/>
        <v>3.2783425000231681E-2</v>
      </c>
    </row>
    <row r="296" spans="1:11">
      <c r="B296" s="358" t="s">
        <v>366</v>
      </c>
      <c r="C296" s="388">
        <f>C295/C269</f>
        <v>0.15181518151815182</v>
      </c>
      <c r="D296" s="388">
        <f>D295/D269</f>
        <v>0.15435460878452889</v>
      </c>
      <c r="E296" s="388">
        <f>E295/E269</f>
        <v>0.16576173538725639</v>
      </c>
      <c r="F296" s="388">
        <f>F295/F269</f>
        <v>0.16910496638052977</v>
      </c>
      <c r="G296" s="388">
        <f>G295/G269</f>
        <v>0.16910496638052977</v>
      </c>
      <c r="H296" s="388">
        <f>H295/H269</f>
        <v>0.16910496638052977</v>
      </c>
      <c r="I296" s="312"/>
      <c r="J296" s="318"/>
    </row>
    <row r="298" spans="1:11">
      <c r="A298" s="391" t="s">
        <v>24</v>
      </c>
      <c r="B298" s="247" t="s">
        <v>385</v>
      </c>
      <c r="C298" s="247"/>
      <c r="D298" s="247"/>
      <c r="E298" s="247"/>
      <c r="F298" s="247"/>
      <c r="G298" s="247"/>
      <c r="H298" s="247"/>
      <c r="I298" s="247"/>
      <c r="J298" s="247"/>
    </row>
    <row r="299" spans="1:11" ht="5.0999999999999996" customHeight="1"/>
    <row r="300" spans="1:11">
      <c r="A300" s="391" t="s">
        <v>24</v>
      </c>
      <c r="B300" s="247" t="s">
        <v>384</v>
      </c>
      <c r="C300" s="229" t="s">
        <v>165</v>
      </c>
      <c r="D300" s="229"/>
      <c r="E300" s="229"/>
      <c r="F300" s="229"/>
      <c r="G300" s="229"/>
      <c r="H300" s="229"/>
      <c r="I300" s="248"/>
      <c r="J300" s="2" t="s">
        <v>370</v>
      </c>
    </row>
    <row r="301" spans="1:11">
      <c r="B301" s="303" t="s">
        <v>410</v>
      </c>
      <c r="C301" s="304" t="str">
        <f>C$9</f>
        <v>2026E</v>
      </c>
      <c r="D301" s="304" t="str">
        <f>D$9</f>
        <v>2027E</v>
      </c>
      <c r="E301" s="304" t="str">
        <f>E$9</f>
        <v>2028E</v>
      </c>
      <c r="F301" s="304" t="str">
        <f>F$9</f>
        <v>2029E</v>
      </c>
      <c r="G301" s="304" t="str">
        <f>G$9</f>
        <v>2030E</v>
      </c>
      <c r="H301" s="304" t="str">
        <f>H$9</f>
        <v>2031E</v>
      </c>
      <c r="I301" s="248"/>
      <c r="J301" s="200" t="str">
        <f>$J$9</f>
        <v>6-Year(F)</v>
      </c>
    </row>
    <row r="302" spans="1:11">
      <c r="B302" s="303" t="s">
        <v>411</v>
      </c>
      <c r="C302" s="248">
        <f>C$10</f>
        <v>46295</v>
      </c>
      <c r="D302" s="248">
        <f>D$10</f>
        <v>46660</v>
      </c>
      <c r="E302" s="248">
        <f>E$10</f>
        <v>47026</v>
      </c>
      <c r="F302" s="248">
        <f>F$10</f>
        <v>47391</v>
      </c>
      <c r="G302" s="248">
        <f>G$10</f>
        <v>47756</v>
      </c>
      <c r="H302" s="248">
        <f>H$10</f>
        <v>48121</v>
      </c>
      <c r="I302" s="248"/>
      <c r="J302" s="3">
        <f>$H$42</f>
        <v>48121</v>
      </c>
    </row>
    <row r="303" spans="1:11" ht="5.0999999999999996" customHeight="1">
      <c r="B303" s="307"/>
    </row>
    <row r="304" spans="1:11">
      <c r="B304" s="467" t="s">
        <v>364</v>
      </c>
      <c r="C304" s="468">
        <v>13925</v>
      </c>
      <c r="D304" s="468">
        <v>16323</v>
      </c>
      <c r="E304" s="468">
        <v>18895</v>
      </c>
      <c r="F304" s="469">
        <f t="shared" ref="F304:H304" si="451">E304</f>
        <v>18895</v>
      </c>
      <c r="G304" s="469">
        <f t="shared" si="451"/>
        <v>18895</v>
      </c>
      <c r="H304" s="469">
        <f t="shared" si="451"/>
        <v>18895</v>
      </c>
      <c r="J304" s="365">
        <f t="shared" ref="J304:J314" si="452">((H304/C304)^(1/COUNT(C304:H304))-1)</f>
        <v>5.2184618544383943E-2</v>
      </c>
      <c r="K304" s="467" t="s">
        <v>627</v>
      </c>
    </row>
    <row r="305" spans="2:11">
      <c r="B305" s="308" t="s">
        <v>366</v>
      </c>
      <c r="C305" s="314">
        <f>C304/C12</f>
        <v>3.0268975441372744E-2</v>
      </c>
      <c r="D305" s="314">
        <f>D304/D12</f>
        <v>3.1133057917443897E-2</v>
      </c>
      <c r="E305" s="314">
        <f>E304/E12</f>
        <v>3.3941752037493104E-2</v>
      </c>
      <c r="F305" s="314">
        <f>F304/F12</f>
        <v>3.1894853186719051E-2</v>
      </c>
      <c r="G305" s="314">
        <f>G304/G12</f>
        <v>2.990322042778553E-2</v>
      </c>
      <c r="H305" s="314">
        <f>H304/H12</f>
        <v>2.7971799321704658E-2</v>
      </c>
      <c r="J305" s="363"/>
    </row>
    <row r="306" spans="2:11">
      <c r="B306" s="467" t="s">
        <v>374</v>
      </c>
      <c r="C306" s="468">
        <v>11678</v>
      </c>
      <c r="D306" s="468">
        <v>11029</v>
      </c>
      <c r="E306" s="468">
        <v>11666</v>
      </c>
      <c r="F306" s="468">
        <v>12904</v>
      </c>
      <c r="G306" s="468">
        <v>15129</v>
      </c>
      <c r="H306" s="468">
        <v>16032</v>
      </c>
      <c r="J306" s="362">
        <f t="shared" si="452"/>
        <v>5.4232835750327224E-2</v>
      </c>
      <c r="K306" s="467" t="s">
        <v>627</v>
      </c>
    </row>
    <row r="307" spans="2:11">
      <c r="B307" s="308" t="s">
        <v>366</v>
      </c>
      <c r="C307" s="314">
        <f>C306/C24</f>
        <v>2.6056785853740168E-2</v>
      </c>
      <c r="D307" s="314">
        <f>D306/D24</f>
        <v>2.3061305141485466E-2</v>
      </c>
      <c r="E307" s="314">
        <f>E306/E24</f>
        <v>2.2372917761404126E-2</v>
      </c>
      <c r="F307" s="314">
        <f>F306/F24</f>
        <v>2.333428570395258E-2</v>
      </c>
      <c r="G307" s="314">
        <f>G306/G24</f>
        <v>2.6221149196588425E-2</v>
      </c>
      <c r="H307" s="314">
        <f>H306/H24</f>
        <v>2.6506358748487193E-2</v>
      </c>
      <c r="J307" s="363"/>
    </row>
    <row r="308" spans="2:11">
      <c r="B308" s="467" t="s">
        <v>473</v>
      </c>
      <c r="C308" s="468">
        <v>13043</v>
      </c>
      <c r="D308" s="468">
        <v>13310</v>
      </c>
      <c r="E308" s="468">
        <v>13613</v>
      </c>
      <c r="F308" s="468">
        <v>13934</v>
      </c>
      <c r="G308" s="468">
        <v>14245</v>
      </c>
      <c r="H308" s="469">
        <f t="shared" ref="H308" si="453">G308</f>
        <v>14245</v>
      </c>
      <c r="J308" s="362">
        <f t="shared" si="452"/>
        <v>1.4800859891784812E-2</v>
      </c>
      <c r="K308" s="467" t="s">
        <v>628</v>
      </c>
    </row>
    <row r="309" spans="2:11">
      <c r="B309" s="308" t="s">
        <v>366</v>
      </c>
      <c r="C309" s="314">
        <f>C308/C18</f>
        <v>2.9288458645181429E-2</v>
      </c>
      <c r="D309" s="314">
        <f>D308/D18</f>
        <v>2.8690353272877379E-2</v>
      </c>
      <c r="E309" s="314">
        <f>E308/E18</f>
        <v>2.835929411127476E-2</v>
      </c>
      <c r="F309" s="314">
        <f>F308/F18</f>
        <v>2.8072140606490398E-2</v>
      </c>
      <c r="G309" s="314">
        <f>G308/G18</f>
        <v>2.8056139853308439E-2</v>
      </c>
      <c r="H309" s="314">
        <f>H308/H18</f>
        <v>2.7427969484191642E-2</v>
      </c>
      <c r="J309" s="363"/>
    </row>
    <row r="310" spans="2:11">
      <c r="B310" s="467" t="s">
        <v>479</v>
      </c>
      <c r="C310" s="468">
        <v>12873</v>
      </c>
      <c r="D310" s="468">
        <v>12912</v>
      </c>
      <c r="E310" s="468">
        <v>13454</v>
      </c>
      <c r="F310" s="469">
        <f t="shared" ref="F310:G310" si="454">E310</f>
        <v>13454</v>
      </c>
      <c r="G310" s="469">
        <f t="shared" si="454"/>
        <v>13454</v>
      </c>
      <c r="H310" s="469">
        <f t="shared" ref="H310" si="455">G310</f>
        <v>13454</v>
      </c>
      <c r="J310" s="362">
        <f t="shared" si="452"/>
        <v>7.3845262784504317E-3</v>
      </c>
      <c r="K310" s="467" t="s">
        <v>627</v>
      </c>
    </row>
    <row r="311" spans="2:11">
      <c r="B311" s="308" t="s">
        <v>366</v>
      </c>
      <c r="C311" s="314">
        <f>C310/C20</f>
        <v>2.8558878143905866E-2</v>
      </c>
      <c r="D311" s="314">
        <f>D310/D20</f>
        <v>2.8021745499527979E-2</v>
      </c>
      <c r="E311" s="314">
        <f>E310/E20</f>
        <v>2.8348022865522828E-2</v>
      </c>
      <c r="F311" s="314">
        <f>F310/F20</f>
        <v>2.7522790124946926E-2</v>
      </c>
      <c r="G311" s="314">
        <f>G310/G20</f>
        <v>2.6721580543917246E-2</v>
      </c>
      <c r="H311" s="314">
        <f>H310/H20</f>
        <v>2.5943694789789543E-2</v>
      </c>
      <c r="J311" s="363"/>
    </row>
    <row r="312" spans="2:11">
      <c r="B312" s="467" t="s">
        <v>373</v>
      </c>
      <c r="C312" s="468">
        <v>13025</v>
      </c>
      <c r="D312" s="468">
        <v>15006</v>
      </c>
      <c r="E312" s="468">
        <v>15924</v>
      </c>
      <c r="F312" s="469">
        <f t="shared" ref="F312:G312" si="456">E312</f>
        <v>15924</v>
      </c>
      <c r="G312" s="469">
        <f t="shared" si="456"/>
        <v>15924</v>
      </c>
      <c r="H312" s="469">
        <f t="shared" ref="H312" si="457">G312</f>
        <v>15924</v>
      </c>
      <c r="J312" s="362">
        <f t="shared" si="452"/>
        <v>3.4060001483260605E-2</v>
      </c>
      <c r="K312" s="467" t="s">
        <v>628</v>
      </c>
    </row>
    <row r="313" spans="2:11">
      <c r="B313" s="308" t="s">
        <v>366</v>
      </c>
      <c r="C313" s="314">
        <f>C312/C14</f>
        <v>2.8610150727719226E-2</v>
      </c>
      <c r="D313" s="314">
        <f>D312/D14</f>
        <v>2.9932439575608035E-2</v>
      </c>
      <c r="E313" s="314">
        <f>E312/E14</f>
        <v>3.0633916616648969E-2</v>
      </c>
      <c r="F313" s="314">
        <f>F312/F14</f>
        <v>2.944830648229859E-2</v>
      </c>
      <c r="G313" s="314">
        <f>G312/G14</f>
        <v>2.8214445312637448E-2</v>
      </c>
      <c r="H313" s="314">
        <f>H312/H14</f>
        <v>2.6940933648426917E-2</v>
      </c>
      <c r="J313" s="363"/>
    </row>
    <row r="314" spans="2:11">
      <c r="B314" s="467" t="s">
        <v>375</v>
      </c>
      <c r="C314" s="468">
        <v>14401</v>
      </c>
      <c r="D314" s="468">
        <v>15457</v>
      </c>
      <c r="E314" s="468">
        <v>17024</v>
      </c>
      <c r="F314" s="469">
        <f t="shared" ref="F314:G314" si="458">E314</f>
        <v>17024</v>
      </c>
      <c r="G314" s="469">
        <f t="shared" si="458"/>
        <v>17024</v>
      </c>
      <c r="H314" s="469">
        <f t="shared" ref="H314" si="459">G314</f>
        <v>17024</v>
      </c>
      <c r="J314" s="362">
        <f t="shared" si="452"/>
        <v>2.8280247408078552E-2</v>
      </c>
      <c r="K314" s="467" t="s">
        <v>627</v>
      </c>
    </row>
    <row r="315" spans="2:11">
      <c r="B315" s="308" t="s">
        <v>366</v>
      </c>
      <c r="C315" s="314">
        <f>C314/C26</f>
        <v>3.1327565690866255E-2</v>
      </c>
      <c r="D315" s="314">
        <f>D314/D26</f>
        <v>3.0959882545933074E-2</v>
      </c>
      <c r="E315" s="314">
        <f>E314/E26</f>
        <v>3.2294290830728142E-2</v>
      </c>
      <c r="F315" s="314">
        <f>F314/F26</f>
        <v>3.0564883229414083E-2</v>
      </c>
      <c r="G315" s="314">
        <f>G314/G26</f>
        <v>2.8908166596202062E-2</v>
      </c>
      <c r="H315" s="314">
        <f>H314/H26</f>
        <v>2.7322050990711569E-2</v>
      </c>
      <c r="J315" s="364"/>
    </row>
    <row r="316" spans="2:11" ht="5.0999999999999996" customHeight="1"/>
    <row r="317" spans="2:11">
      <c r="B317" s="313" t="s">
        <v>222</v>
      </c>
      <c r="C317" s="368">
        <f t="shared" ref="C317:H317" si="460">MAX(C$304,C$306,C$308,C$310,C$312,C$314)</f>
        <v>14401</v>
      </c>
      <c r="D317" s="315">
        <f>MAX(D$304,D$306,D$308,D$310,D$312,D$314)</f>
        <v>16323</v>
      </c>
      <c r="E317" s="368">
        <f t="shared" si="460"/>
        <v>18895</v>
      </c>
      <c r="F317" s="368">
        <f t="shared" si="460"/>
        <v>18895</v>
      </c>
      <c r="G317" s="368">
        <f t="shared" si="460"/>
        <v>18895</v>
      </c>
      <c r="H317" s="368">
        <f t="shared" si="460"/>
        <v>18895</v>
      </c>
      <c r="I317" s="309"/>
      <c r="J317" s="319">
        <f t="shared" ref="J317:J323" si="461">((H317/C317)^(1/COUNT(C317:H317))-1)</f>
        <v>4.6306783491284476E-2</v>
      </c>
    </row>
    <row r="318" spans="2:11">
      <c r="B318" s="357" t="s">
        <v>366</v>
      </c>
      <c r="C318" s="387">
        <f>C317/C31</f>
        <v>3.1303663578542827E-2</v>
      </c>
      <c r="D318" s="387">
        <f>D317/D31</f>
        <v>3.1133057917443897E-2</v>
      </c>
      <c r="E318" s="387">
        <f>E317/E31</f>
        <v>3.3941752037493104E-2</v>
      </c>
      <c r="F318" s="387">
        <f>F317/F31</f>
        <v>3.1894853186719051E-2</v>
      </c>
      <c r="G318" s="387">
        <f>G317/G31</f>
        <v>2.990322042778553E-2</v>
      </c>
      <c r="H318" s="387">
        <f>H317/H31</f>
        <v>2.7971799321704658E-2</v>
      </c>
      <c r="I318" s="311"/>
      <c r="J318" s="317"/>
    </row>
    <row r="319" spans="2:11">
      <c r="B319" s="310" t="s">
        <v>412</v>
      </c>
      <c r="C319" s="370">
        <f t="shared" ref="C319:H319" si="462">MEDIAN(C$304,C$306,C$308,C$310,C$312,C$314)</f>
        <v>13034</v>
      </c>
      <c r="D319" s="370">
        <f t="shared" si="462"/>
        <v>14158</v>
      </c>
      <c r="E319" s="370">
        <f t="shared" si="462"/>
        <v>14768.5</v>
      </c>
      <c r="F319" s="370">
        <f t="shared" si="462"/>
        <v>14929</v>
      </c>
      <c r="G319" s="370">
        <f t="shared" si="462"/>
        <v>15526.5</v>
      </c>
      <c r="H319" s="370">
        <f t="shared" si="462"/>
        <v>15978</v>
      </c>
      <c r="I319" s="311"/>
      <c r="J319" s="317">
        <f t="shared" si="461"/>
        <v>3.4524507410611083E-2</v>
      </c>
    </row>
    <row r="320" spans="2:11">
      <c r="B320" s="357" t="s">
        <v>366</v>
      </c>
      <c r="C320" s="387">
        <f>C319/C33</f>
        <v>2.8707178367165471E-2</v>
      </c>
      <c r="D320" s="387">
        <f>D319/D33</f>
        <v>2.9224970220791575E-2</v>
      </c>
      <c r="E320" s="387">
        <f>E319/E33</f>
        <v>2.8543860733935191E-2</v>
      </c>
      <c r="F320" s="387">
        <f>F319/F33</f>
        <v>2.7294444603939264E-2</v>
      </c>
      <c r="G320" s="387">
        <f>G319/G33</f>
        <v>2.6910084804073645E-2</v>
      </c>
      <c r="H320" s="387">
        <f>H319/H33</f>
        <v>2.6417078348511001E-2</v>
      </c>
      <c r="I320" s="311"/>
      <c r="J320" s="317"/>
    </row>
    <row r="321" spans="1:12">
      <c r="B321" s="310" t="s">
        <v>369</v>
      </c>
      <c r="C321" s="370">
        <f t="shared" ref="C321:H321" si="463">AVERAGE(C$304,C$306,C$308,C$310,C$312,C$314)</f>
        <v>13157.5</v>
      </c>
      <c r="D321" s="370">
        <f t="shared" si="463"/>
        <v>14006.166666666666</v>
      </c>
      <c r="E321" s="370">
        <f t="shared" si="463"/>
        <v>15096</v>
      </c>
      <c r="F321" s="370">
        <f t="shared" si="463"/>
        <v>15355.833333333334</v>
      </c>
      <c r="G321" s="370">
        <f t="shared" si="463"/>
        <v>15778.5</v>
      </c>
      <c r="H321" s="370">
        <f t="shared" si="463"/>
        <v>15929</v>
      </c>
      <c r="I321" s="311"/>
      <c r="J321" s="317">
        <f t="shared" si="461"/>
        <v>3.2371140675318877E-2</v>
      </c>
    </row>
    <row r="322" spans="1:12">
      <c r="B322" s="357" t="s">
        <v>366</v>
      </c>
      <c r="C322" s="387">
        <f>C321/C35</f>
        <v>2.9003034919896514E-2</v>
      </c>
      <c r="D322" s="387">
        <f>D321/D35</f>
        <v>2.8779323144145576E-2</v>
      </c>
      <c r="E322" s="387">
        <f>E321/E35</f>
        <v>2.9424327643025185E-2</v>
      </c>
      <c r="F322" s="387">
        <f>F321/F35</f>
        <v>2.8450862019360104E-2</v>
      </c>
      <c r="G322" s="387">
        <f>G321/G35</f>
        <v>2.7840406680161717E-2</v>
      </c>
      <c r="H322" s="387">
        <f>H321/H35</f>
        <v>2.6721344104262645E-2</v>
      </c>
      <c r="I322" s="311"/>
      <c r="J322" s="317"/>
    </row>
    <row r="323" spans="1:12">
      <c r="B323" s="356" t="s">
        <v>348</v>
      </c>
      <c r="C323" s="369">
        <f t="shared" ref="C323:H323" si="464">MIN(C$304,C$306,C$308,C$310,C$312,C$314)</f>
        <v>11678</v>
      </c>
      <c r="D323" s="369">
        <f t="shared" si="464"/>
        <v>11029</v>
      </c>
      <c r="E323" s="369">
        <f t="shared" si="464"/>
        <v>11666</v>
      </c>
      <c r="F323" s="369">
        <f t="shared" si="464"/>
        <v>12904</v>
      </c>
      <c r="G323" s="369">
        <f t="shared" si="464"/>
        <v>13454</v>
      </c>
      <c r="H323" s="369">
        <f t="shared" si="464"/>
        <v>13454</v>
      </c>
      <c r="I323" s="311"/>
      <c r="J323" s="317">
        <f t="shared" si="461"/>
        <v>2.3875518186731615E-2</v>
      </c>
    </row>
    <row r="324" spans="1:12" s="390" customFormat="1">
      <c r="B324" s="358" t="s">
        <v>366</v>
      </c>
      <c r="C324" s="388">
        <f>C323/C37</f>
        <v>2.6223309059145036E-2</v>
      </c>
      <c r="D324" s="388">
        <f>D323/D37</f>
        <v>2.3935240947513481E-2</v>
      </c>
      <c r="E324" s="388">
        <f>E323/E37</f>
        <v>2.4580647744105049E-2</v>
      </c>
      <c r="F324" s="388">
        <f>F323/F37</f>
        <v>2.6397657482705152E-2</v>
      </c>
      <c r="G324" s="388">
        <f>G323/G37</f>
        <v>2.6721580543917246E-2</v>
      </c>
      <c r="H324" s="388">
        <f>H323/H37</f>
        <v>2.5943694789789543E-2</v>
      </c>
      <c r="I324" s="312"/>
      <c r="J324" s="318"/>
    </row>
    <row r="325" spans="1:12" s="390" customFormat="1">
      <c r="B325" s="379"/>
      <c r="C325" s="380"/>
      <c r="D325" s="380"/>
      <c r="E325" s="380"/>
      <c r="F325" s="380"/>
      <c r="G325" s="380"/>
      <c r="H325" s="380"/>
      <c r="I325" s="375"/>
      <c r="J325" s="376"/>
    </row>
    <row r="326" spans="1:12">
      <c r="A326" s="391" t="s">
        <v>24</v>
      </c>
      <c r="B326" s="247" t="s">
        <v>414</v>
      </c>
      <c r="C326" s="229" t="s">
        <v>165</v>
      </c>
      <c r="D326" s="229"/>
      <c r="E326" s="229"/>
      <c r="F326" s="229"/>
      <c r="G326" s="229"/>
      <c r="H326" s="229"/>
      <c r="I326" s="248"/>
      <c r="J326" s="2" t="s">
        <v>370</v>
      </c>
    </row>
    <row r="327" spans="1:12">
      <c r="B327" s="303" t="s">
        <v>410</v>
      </c>
      <c r="C327" s="304" t="str">
        <f>C$9</f>
        <v>2026E</v>
      </c>
      <c r="D327" s="304" t="str">
        <f>D$9</f>
        <v>2027E</v>
      </c>
      <c r="E327" s="304" t="str">
        <f>E$9</f>
        <v>2028E</v>
      </c>
      <c r="F327" s="304" t="str">
        <f>F$9</f>
        <v>2029E</v>
      </c>
      <c r="G327" s="304" t="str">
        <f>G$9</f>
        <v>2030E</v>
      </c>
      <c r="H327" s="304" t="str">
        <f>H$9</f>
        <v>2031E</v>
      </c>
      <c r="I327" s="248"/>
      <c r="J327" s="200" t="str">
        <f>$J$9</f>
        <v>6-Year(F)</v>
      </c>
    </row>
    <row r="328" spans="1:12">
      <c r="B328" s="303" t="s">
        <v>411</v>
      </c>
      <c r="C328" s="248">
        <f>C$10</f>
        <v>46295</v>
      </c>
      <c r="D328" s="248">
        <f>D$10</f>
        <v>46660</v>
      </c>
      <c r="E328" s="248">
        <f>E$10</f>
        <v>47026</v>
      </c>
      <c r="F328" s="248">
        <f>F$10</f>
        <v>47391</v>
      </c>
      <c r="G328" s="248">
        <f>G$10</f>
        <v>47756</v>
      </c>
      <c r="H328" s="248">
        <f>H$10</f>
        <v>48121</v>
      </c>
      <c r="I328" s="248"/>
      <c r="J328" s="3">
        <f>$H$42</f>
        <v>48121</v>
      </c>
    </row>
    <row r="329" spans="1:12" ht="5.0999999999999996" customHeight="1">
      <c r="B329" s="307"/>
    </row>
    <row r="330" spans="1:12">
      <c r="B330" s="467" t="s">
        <v>364</v>
      </c>
      <c r="C330" s="468">
        <v>14556</v>
      </c>
      <c r="D330" s="468">
        <v>16653</v>
      </c>
      <c r="E330" s="468">
        <v>17820</v>
      </c>
      <c r="F330" s="469">
        <f t="shared" ref="F330:F332" si="465">SUM(E330*F331)+E330</f>
        <v>19068.780399927942</v>
      </c>
      <c r="G330" s="469">
        <f t="shared" ref="G330" si="466">SUM(F330*G331)+F330</f>
        <v>20405.072162776432</v>
      </c>
      <c r="H330" s="469">
        <f t="shared" ref="H330" si="467">SUM(G330*H331)+G330</f>
        <v>21835.007862888131</v>
      </c>
      <c r="J330" s="365">
        <f t="shared" ref="J330:J344" si="468">((H330/C330)^(1/COUNT(C330:H330))-1)</f>
        <v>6.9921425018685923E-2</v>
      </c>
      <c r="K330" s="467" t="s">
        <v>627</v>
      </c>
    </row>
    <row r="331" spans="1:12">
      <c r="B331" s="308" t="s">
        <v>44</v>
      </c>
      <c r="C331" s="372">
        <f>(C330/'3 Statement Model'!$H$136)-1</f>
        <v>0.14478961856075512</v>
      </c>
      <c r="D331" s="340">
        <f t="shared" ref="D331:E331" si="469">SUM(D330/C330)-1</f>
        <v>0.1440643033800495</v>
      </c>
      <c r="E331" s="340">
        <f t="shared" si="469"/>
        <v>7.007746352008648E-2</v>
      </c>
      <c r="F331" s="340">
        <f>E331</f>
        <v>7.007746352008648E-2</v>
      </c>
      <c r="G331" s="340">
        <f t="shared" ref="G331:H331" si="470">F331</f>
        <v>7.007746352008648E-2</v>
      </c>
      <c r="H331" s="340">
        <f t="shared" si="470"/>
        <v>7.007746352008648E-2</v>
      </c>
      <c r="J331" s="363"/>
    </row>
    <row r="332" spans="1:12">
      <c r="B332" s="467" t="s">
        <v>373</v>
      </c>
      <c r="C332" s="468">
        <v>16115</v>
      </c>
      <c r="D332" s="468">
        <v>20952</v>
      </c>
      <c r="E332" s="468">
        <v>23353</v>
      </c>
      <c r="F332" s="469">
        <f t="shared" si="465"/>
        <v>26029.143232149676</v>
      </c>
      <c r="G332" s="469">
        <f t="shared" ref="G332" si="471">SUM(F332*G333)+F332</f>
        <v>29011.959808151554</v>
      </c>
      <c r="H332" s="469">
        <f t="shared" ref="H332" si="472">SUM(G332*H333)+G332</f>
        <v>32336.593041225813</v>
      </c>
      <c r="J332" s="362">
        <f t="shared" si="468"/>
        <v>0.1230799100308424</v>
      </c>
      <c r="K332" s="467" t="s">
        <v>628</v>
      </c>
    </row>
    <row r="333" spans="1:12">
      <c r="B333" s="308" t="s">
        <v>44</v>
      </c>
      <c r="C333" s="372">
        <f>(C332/'3 Statement Model'!$H$136)-1</f>
        <v>0.26740070782540304</v>
      </c>
      <c r="D333" s="340">
        <f>SUM(D332/C332)-1</f>
        <v>0.30015513496742163</v>
      </c>
      <c r="E333" s="340">
        <f t="shared" ref="E333" si="473">SUM(E332/D332)-1</f>
        <v>0.11459526536846121</v>
      </c>
      <c r="F333" s="340">
        <f>E333</f>
        <v>0.11459526536846121</v>
      </c>
      <c r="G333" s="340">
        <f t="shared" ref="G333" si="474">F333</f>
        <v>0.11459526536846121</v>
      </c>
      <c r="H333" s="340">
        <f t="shared" ref="H333" si="475">G333</f>
        <v>0.11459526536846121</v>
      </c>
      <c r="J333" s="363"/>
    </row>
    <row r="334" spans="1:12">
      <c r="B334" s="467" t="s">
        <v>473</v>
      </c>
      <c r="C334" s="468">
        <v>13979</v>
      </c>
      <c r="D334" s="468">
        <v>14446</v>
      </c>
      <c r="E334" s="468">
        <v>14828</v>
      </c>
      <c r="F334" s="468">
        <v>15208</v>
      </c>
      <c r="G334" s="468">
        <v>15430</v>
      </c>
      <c r="H334" s="469">
        <f t="shared" ref="H334" si="476">SUM(G334*H335)+G334</f>
        <v>15655.240662809048</v>
      </c>
      <c r="J334" s="362">
        <f t="shared" si="468"/>
        <v>1.9054178041129077E-2</v>
      </c>
      <c r="K334" s="467" t="s">
        <v>628</v>
      </c>
    </row>
    <row r="335" spans="1:12">
      <c r="B335" s="308" t="s">
        <v>44</v>
      </c>
      <c r="C335" s="372">
        <f>(C334/'3 Statement Model'!$H$136)-1</f>
        <v>9.9410145497443869E-2</v>
      </c>
      <c r="D335" s="340">
        <f>SUM(D334/C334)-1</f>
        <v>3.3407253737749443E-2</v>
      </c>
      <c r="E335" s="340">
        <f t="shared" ref="E335:G335" si="477">SUM(E334/D334)-1</f>
        <v>2.6443306105496278E-2</v>
      </c>
      <c r="F335" s="340">
        <f t="shared" si="477"/>
        <v>2.5627191799298732E-2</v>
      </c>
      <c r="G335" s="340">
        <f t="shared" si="477"/>
        <v>1.4597580220936379E-2</v>
      </c>
      <c r="H335" s="340">
        <f t="shared" ref="H335:H341" si="478">G335</f>
        <v>1.4597580220936379E-2</v>
      </c>
      <c r="J335" s="363"/>
    </row>
    <row r="336" spans="1:12">
      <c r="B336" s="467" t="s">
        <v>479</v>
      </c>
      <c r="C336" s="468">
        <v>14562</v>
      </c>
      <c r="D336" s="468">
        <v>15114</v>
      </c>
      <c r="E336" s="468">
        <v>15459</v>
      </c>
      <c r="F336" s="469">
        <f t="shared" ref="F336:H336" si="479">SUM(E336*F337)+E336</f>
        <v>15811.875148868599</v>
      </c>
      <c r="G336" s="469">
        <f t="shared" si="479"/>
        <v>16172.80520883682</v>
      </c>
      <c r="H336" s="469">
        <f t="shared" si="479"/>
        <v>16541.974045481569</v>
      </c>
      <c r="J336" s="362">
        <f t="shared" si="468"/>
        <v>2.1474943701491833E-2</v>
      </c>
      <c r="K336" s="467" t="s">
        <v>627</v>
      </c>
      <c r="L336" s="467"/>
    </row>
    <row r="337" spans="2:11">
      <c r="B337" s="308" t="s">
        <v>44</v>
      </c>
      <c r="C337" s="372">
        <f>(C336/'3 Statement Model'!$H$136)-1</f>
        <v>0.14526150216279987</v>
      </c>
      <c r="D337" s="340">
        <f>SUM(D336/C336)-1</f>
        <v>3.7906880922950137E-2</v>
      </c>
      <c r="E337" s="340">
        <f>SUM(E336/D336)-1</f>
        <v>2.2826518459706291E-2</v>
      </c>
      <c r="F337" s="340">
        <f t="shared" ref="F337:G339" si="480">E337</f>
        <v>2.2826518459706291E-2</v>
      </c>
      <c r="G337" s="340">
        <f t="shared" si="480"/>
        <v>2.2826518459706291E-2</v>
      </c>
      <c r="H337" s="340">
        <f t="shared" si="478"/>
        <v>2.2826518459706291E-2</v>
      </c>
      <c r="J337" s="363"/>
    </row>
    <row r="338" spans="2:11">
      <c r="B338" s="467" t="s">
        <v>375</v>
      </c>
      <c r="C338" s="468">
        <v>15848</v>
      </c>
      <c r="D338" s="468">
        <v>18118</v>
      </c>
      <c r="E338" s="468">
        <v>21122</v>
      </c>
      <c r="F338" s="469">
        <f t="shared" ref="F338:H338" si="481">SUM(E338*F339)+E338</f>
        <v>24147.425290257444</v>
      </c>
      <c r="G338" s="469">
        <f t="shared" si="481"/>
        <v>27606.199609344043</v>
      </c>
      <c r="H338" s="469">
        <f t="shared" si="481"/>
        <v>31560.394025876791</v>
      </c>
      <c r="J338" s="362">
        <f t="shared" si="468"/>
        <v>0.12166024045280088</v>
      </c>
      <c r="K338" s="467" t="s">
        <v>627</v>
      </c>
    </row>
    <row r="339" spans="2:11">
      <c r="B339" s="308" t="s">
        <v>44</v>
      </c>
      <c r="C339" s="372">
        <f>(C338/'3 Statement Model'!$H$136)-1</f>
        <v>0.24640188753440828</v>
      </c>
      <c r="D339" s="340">
        <f>SUM(D338/C338)-1</f>
        <v>0.14323573952549218</v>
      </c>
      <c r="E339" s="340">
        <f>D339</f>
        <v>0.14323573952549218</v>
      </c>
      <c r="F339" s="340">
        <f t="shared" si="480"/>
        <v>0.14323573952549218</v>
      </c>
      <c r="G339" s="340">
        <f t="shared" si="480"/>
        <v>0.14323573952549218</v>
      </c>
      <c r="H339" s="340">
        <f t="shared" si="478"/>
        <v>0.14323573952549218</v>
      </c>
      <c r="J339" s="363"/>
    </row>
    <row r="340" spans="2:11">
      <c r="B340" s="467" t="s">
        <v>383</v>
      </c>
      <c r="C340" s="468">
        <v>15881</v>
      </c>
      <c r="D340" s="468">
        <v>17029</v>
      </c>
      <c r="E340" s="468">
        <v>17539</v>
      </c>
      <c r="F340" s="469">
        <f t="shared" ref="F340" si="482">SUM(E340*F341)+E340</f>
        <v>18064.273944447705</v>
      </c>
      <c r="G340" s="469">
        <f t="shared" ref="G340" si="483">SUM(F340*G341)+F340</f>
        <v>18605.27927134114</v>
      </c>
      <c r="H340" s="469">
        <f t="shared" ref="H340" si="484">SUM(G340*H341)+G340</f>
        <v>19162.487118448073</v>
      </c>
      <c r="J340" s="362">
        <f t="shared" ref="J340" si="485">((H340/C340)^(1/COUNT(C340:H340))-1)</f>
        <v>3.1800351993748865E-2</v>
      </c>
      <c r="K340" s="467" t="s">
        <v>627</v>
      </c>
    </row>
    <row r="341" spans="2:11">
      <c r="B341" s="308" t="s">
        <v>44</v>
      </c>
      <c r="C341" s="372">
        <f>(C340/'3 Statement Model'!$H$136)-1</f>
        <v>0.24899724734565476</v>
      </c>
      <c r="D341" s="340">
        <f>SUM(D340/C340)-1</f>
        <v>7.2287639317423436E-2</v>
      </c>
      <c r="E341" s="340">
        <f>SUM(E340/D340)-1</f>
        <v>2.9948910681778074E-2</v>
      </c>
      <c r="F341" s="340">
        <f t="shared" ref="F341:G341" si="486">E341</f>
        <v>2.9948910681778074E-2</v>
      </c>
      <c r="G341" s="340">
        <f t="shared" si="486"/>
        <v>2.9948910681778074E-2</v>
      </c>
      <c r="H341" s="340">
        <f t="shared" si="478"/>
        <v>2.9948910681778074E-2</v>
      </c>
      <c r="J341" s="363"/>
    </row>
    <row r="342" spans="2:11">
      <c r="B342" s="467" t="s">
        <v>472</v>
      </c>
      <c r="C342" s="468">
        <v>13664</v>
      </c>
      <c r="D342" s="468">
        <v>11627</v>
      </c>
      <c r="E342" s="468">
        <v>12162</v>
      </c>
      <c r="F342" s="469">
        <f t="shared" ref="F342:H342" si="487">SUM(E342*F343)+E342</f>
        <v>12721.617270147071</v>
      </c>
      <c r="G342" s="469">
        <f t="shared" si="487"/>
        <v>13306.984539393539</v>
      </c>
      <c r="H342" s="469">
        <f t="shared" si="487"/>
        <v>13919.286657616258</v>
      </c>
      <c r="J342" s="362">
        <f t="shared" si="468"/>
        <v>3.089892354271484E-3</v>
      </c>
      <c r="K342" s="467" t="s">
        <v>627</v>
      </c>
    </row>
    <row r="343" spans="2:11">
      <c r="B343" s="308" t="s">
        <v>44</v>
      </c>
      <c r="C343" s="372">
        <f>(C342/'3 Statement Model'!$H$136)-1</f>
        <v>7.4636256390090416E-2</v>
      </c>
      <c r="D343" s="340">
        <f>SUM(D342/C342)-1</f>
        <v>-0.14907786885245899</v>
      </c>
      <c r="E343" s="340">
        <f>SUM(E342/D342)-1</f>
        <v>4.601358905994668E-2</v>
      </c>
      <c r="F343" s="340">
        <f t="shared" ref="F343:G343" si="488">E343</f>
        <v>4.601358905994668E-2</v>
      </c>
      <c r="G343" s="340">
        <f t="shared" si="488"/>
        <v>4.601358905994668E-2</v>
      </c>
      <c r="H343" s="340">
        <f t="shared" ref="H343" si="489">G343</f>
        <v>4.601358905994668E-2</v>
      </c>
      <c r="J343" s="363"/>
    </row>
    <row r="344" spans="2:11">
      <c r="B344" s="467" t="s">
        <v>374</v>
      </c>
      <c r="C344" s="468">
        <v>11678</v>
      </c>
      <c r="D344" s="468">
        <v>11029</v>
      </c>
      <c r="E344" s="468">
        <v>11666</v>
      </c>
      <c r="F344" s="468">
        <v>12904</v>
      </c>
      <c r="G344" s="468">
        <v>15129</v>
      </c>
      <c r="H344" s="468">
        <v>16032</v>
      </c>
      <c r="J344" s="362">
        <f t="shared" si="468"/>
        <v>5.4232835750327224E-2</v>
      </c>
      <c r="K344" s="467" t="s">
        <v>627</v>
      </c>
    </row>
    <row r="345" spans="2:11">
      <c r="B345" s="308" t="s">
        <v>44</v>
      </c>
      <c r="C345" s="372">
        <f>(C344/'3 Statement Model'!$H$136)-1</f>
        <v>-8.1557215886747914E-2</v>
      </c>
      <c r="D345" s="340">
        <f>SUM(D344/C344)-1</f>
        <v>-5.5574584689159101E-2</v>
      </c>
      <c r="E345" s="340">
        <f t="shared" ref="E345:H345" si="490">SUM(E344/D344)-1</f>
        <v>5.7756822921389173E-2</v>
      </c>
      <c r="F345" s="340">
        <f t="shared" si="490"/>
        <v>0.10612034973427042</v>
      </c>
      <c r="G345" s="340">
        <f t="shared" si="490"/>
        <v>0.17242715437073786</v>
      </c>
      <c r="H345" s="340">
        <f t="shared" si="490"/>
        <v>5.9686694427919962E-2</v>
      </c>
      <c r="J345" s="364"/>
    </row>
    <row r="346" spans="2:11" s="393" customFormat="1" ht="5.0999999999999996" customHeight="1"/>
    <row r="347" spans="2:11">
      <c r="B347" s="313" t="s">
        <v>222</v>
      </c>
      <c r="C347" s="368">
        <f>MAX(C$330,C$332,C$334,C$336,C$338,C$340,C$342,C$344)</f>
        <v>16115</v>
      </c>
      <c r="D347" s="368">
        <f t="shared" ref="D347:H347" si="491">MAX(D$330,D$332,D$334,D$336,D$338,D$340,D$342,D$344)</f>
        <v>20952</v>
      </c>
      <c r="E347" s="368">
        <f t="shared" si="491"/>
        <v>23353</v>
      </c>
      <c r="F347" s="368">
        <f t="shared" si="491"/>
        <v>26029.143232149676</v>
      </c>
      <c r="G347" s="368">
        <f t="shared" si="491"/>
        <v>29011.959808151554</v>
      </c>
      <c r="H347" s="368">
        <f t="shared" si="491"/>
        <v>32336.593041225813</v>
      </c>
      <c r="I347" s="309"/>
      <c r="J347" s="319">
        <f t="shared" ref="J347:J353" si="492">((H347/C347)^(1/COUNT(C347:H347))-1)</f>
        <v>0.1230799100308424</v>
      </c>
    </row>
    <row r="348" spans="2:11">
      <c r="B348" s="357" t="s">
        <v>44</v>
      </c>
      <c r="C348" s="366">
        <f>(C347/'3 Statement Model'!$H$136)-1</f>
        <v>0.26740070782540304</v>
      </c>
      <c r="D348" s="387">
        <f>SUM(D347/C347)-1</f>
        <v>0.30015513496742163</v>
      </c>
      <c r="E348" s="387">
        <f t="shared" ref="E348:H348" si="493">SUM(E347/D347)-1</f>
        <v>0.11459526536846121</v>
      </c>
      <c r="F348" s="387">
        <f t="shared" si="493"/>
        <v>0.11459526536846121</v>
      </c>
      <c r="G348" s="387">
        <f t="shared" si="493"/>
        <v>0.11459526536846121</v>
      </c>
      <c r="H348" s="387">
        <f t="shared" si="493"/>
        <v>0.11459526536846121</v>
      </c>
      <c r="I348" s="311"/>
      <c r="J348" s="317"/>
    </row>
    <row r="349" spans="2:11">
      <c r="B349" s="310" t="s">
        <v>412</v>
      </c>
      <c r="C349" s="370">
        <f>MEDIAN(C$330,C$332,C$334,C$336,C$338,C$340,C$342,C$344)</f>
        <v>14559</v>
      </c>
      <c r="D349" s="370">
        <f>MEDIAN(D$330,D$332,D$334,D$336,D$338,D$340,D$342,D$344)</f>
        <v>15883.5</v>
      </c>
      <c r="E349" s="370">
        <f>MEDIAN(E$330,E$332,E$334,E$336,E$338,E$340,E$342,E$344)</f>
        <v>16499</v>
      </c>
      <c r="F349" s="370">
        <f>MEDIAN(F$330,F$332,F$334,F$336,F$338,F$340,F$342,F$344)</f>
        <v>16938.07454665815</v>
      </c>
      <c r="G349" s="370">
        <f>MEDIAN(G$330,G$332,G$334,G$336,G$338,G$340,G$342,G$344)</f>
        <v>17389.04224008898</v>
      </c>
      <c r="H349" s="370">
        <f>MEDIAN(H$330,H$332,H$334,H$336,H$338,H$340,H$342,H$344)</f>
        <v>17852.230581964821</v>
      </c>
      <c r="I349" s="311"/>
      <c r="J349" s="317">
        <f t="shared" si="492"/>
        <v>3.4570657845922836E-2</v>
      </c>
    </row>
    <row r="350" spans="2:11">
      <c r="B350" s="357" t="s">
        <v>44</v>
      </c>
      <c r="C350" s="366">
        <f>(C349/'3 Statement Model'!$H$136)-1</f>
        <v>0.14502556036177738</v>
      </c>
      <c r="D350" s="387">
        <f>SUM(D349/C349)-1</f>
        <v>9.0974654852668424E-2</v>
      </c>
      <c r="E350" s="387">
        <f t="shared" ref="E350" si="494">SUM(E349/D349)-1</f>
        <v>3.8750905027229443E-2</v>
      </c>
      <c r="F350" s="387">
        <f t="shared" ref="F350" si="495">SUM(F349/E349)-1</f>
        <v>2.6612191445430033E-2</v>
      </c>
      <c r="G350" s="387">
        <f t="shared" ref="G350" si="496">SUM(G349/F349)-1</f>
        <v>2.662449572934511E-2</v>
      </c>
      <c r="H350" s="387">
        <f t="shared" ref="H350" si="497">SUM(H349/G349)-1</f>
        <v>2.6636794337528302E-2</v>
      </c>
      <c r="I350" s="311"/>
      <c r="J350" s="317"/>
    </row>
    <row r="351" spans="2:11">
      <c r="B351" s="310" t="s">
        <v>369</v>
      </c>
      <c r="C351" s="370">
        <f>AVERAGE(C$330,C$332,C$334,C$336,C$338,C$340,C$342,C$344)</f>
        <v>14535.375</v>
      </c>
      <c r="D351" s="370">
        <f>AVERAGE(D$330,D$332,D$334,D$336,D$338,D$340,D$342,D$344)</f>
        <v>15621</v>
      </c>
      <c r="E351" s="370">
        <f>AVERAGE(E$330,E$332,E$334,E$336,E$338,E$340,E$342,E$344)</f>
        <v>16743.625</v>
      </c>
      <c r="F351" s="370">
        <f>AVERAGE(F$330,F$332,F$334,F$336,F$338,F$340,F$342,F$344)</f>
        <v>17994.389410724805</v>
      </c>
      <c r="G351" s="370">
        <f>AVERAGE(G$330,G$332,G$334,G$336,G$338,G$340,G$342,G$344)</f>
        <v>19458.412574980441</v>
      </c>
      <c r="H351" s="370">
        <f>AVERAGE(H$330,H$332,H$334,H$336,H$338,H$340,H$342,H$344)</f>
        <v>20880.372926793214</v>
      </c>
      <c r="I351" s="311"/>
      <c r="J351" s="317">
        <f t="shared" si="492"/>
        <v>6.2230258229174273E-2</v>
      </c>
    </row>
    <row r="352" spans="2:11">
      <c r="B352" s="357" t="s">
        <v>44</v>
      </c>
      <c r="C352" s="366">
        <f>(C351/'3 Statement Model'!$H$136)-1</f>
        <v>0.14316751867872601</v>
      </c>
      <c r="D352" s="387">
        <f>SUM(D351/C351)-1</f>
        <v>7.4688475529527176E-2</v>
      </c>
      <c r="E352" s="387">
        <f t="shared" ref="E352" si="498">SUM(E351/D351)-1</f>
        <v>7.1866397797836212E-2</v>
      </c>
      <c r="F352" s="387">
        <f t="shared" ref="F352" si="499">SUM(F351/E351)-1</f>
        <v>7.4700933084968391E-2</v>
      </c>
      <c r="G352" s="387">
        <f t="shared" ref="G352" si="500">SUM(G351/F351)-1</f>
        <v>8.1359980093743234E-2</v>
      </c>
      <c r="H352" s="387">
        <f t="shared" ref="H352" si="501">SUM(H351/G351)-1</f>
        <v>7.3076893931271814E-2</v>
      </c>
      <c r="I352" s="311"/>
      <c r="J352" s="317"/>
    </row>
    <row r="353" spans="1:11">
      <c r="B353" s="356" t="s">
        <v>348</v>
      </c>
      <c r="C353" s="369">
        <f>MIN(C$330,C$332,C$334,C$336,C$338,C$340,C$342,C$344)</f>
        <v>11678</v>
      </c>
      <c r="D353" s="369">
        <f t="shared" ref="D353:H353" si="502">MIN(D$330,D$332,D$334,D$336,D$338,D$340,D$342,D$344)</f>
        <v>11029</v>
      </c>
      <c r="E353" s="369">
        <f t="shared" si="502"/>
        <v>11666</v>
      </c>
      <c r="F353" s="369">
        <f t="shared" si="502"/>
        <v>12721.617270147071</v>
      </c>
      <c r="G353" s="369">
        <f t="shared" si="502"/>
        <v>13306.984539393539</v>
      </c>
      <c r="H353" s="369">
        <f t="shared" si="502"/>
        <v>13919.286657616258</v>
      </c>
      <c r="I353" s="311"/>
      <c r="J353" s="317">
        <f t="shared" si="492"/>
        <v>2.969376892445208E-2</v>
      </c>
    </row>
    <row r="354" spans="1:11" s="381" customFormat="1">
      <c r="B354" s="358" t="s">
        <v>44</v>
      </c>
      <c r="C354" s="367">
        <f>(C353/'3 Statement Model'!$H$136)-1</f>
        <v>-8.1557215886747914E-2</v>
      </c>
      <c r="D354" s="388">
        <f>SUM(D353/C353)-1</f>
        <v>-5.5574584689159101E-2</v>
      </c>
      <c r="E354" s="388">
        <f t="shared" ref="E354" si="503">SUM(E353/D353)-1</f>
        <v>5.7756822921389173E-2</v>
      </c>
      <c r="F354" s="388">
        <f t="shared" ref="F354" si="504">SUM(F353/E353)-1</f>
        <v>9.048665096408981E-2</v>
      </c>
      <c r="G354" s="388">
        <f t="shared" ref="G354" si="505">SUM(G353/F353)-1</f>
        <v>4.601358905994668E-2</v>
      </c>
      <c r="H354" s="388">
        <f t="shared" ref="H354" si="506">SUM(H353/G353)-1</f>
        <v>4.601358905994668E-2</v>
      </c>
      <c r="I354" s="312"/>
      <c r="J354" s="318"/>
    </row>
    <row r="356" spans="1:11">
      <c r="A356" s="391" t="s">
        <v>24</v>
      </c>
      <c r="B356" s="247" t="s">
        <v>581</v>
      </c>
      <c r="C356" s="247"/>
      <c r="D356" s="247"/>
      <c r="E356" s="247"/>
      <c r="F356" s="247"/>
      <c r="G356" s="247"/>
      <c r="H356" s="247"/>
      <c r="I356" s="247"/>
      <c r="J356" s="247"/>
    </row>
    <row r="357" spans="1:11" ht="5.0999999999999996" customHeight="1"/>
    <row r="358" spans="1:11">
      <c r="A358" s="391" t="s">
        <v>24</v>
      </c>
      <c r="B358" s="247" t="s">
        <v>398</v>
      </c>
      <c r="C358" s="229" t="s">
        <v>165</v>
      </c>
      <c r="D358" s="229"/>
      <c r="E358" s="229"/>
      <c r="F358" s="229"/>
      <c r="G358" s="229"/>
      <c r="H358" s="229"/>
      <c r="I358" s="248"/>
      <c r="J358" s="2" t="s">
        <v>370</v>
      </c>
    </row>
    <row r="359" spans="1:11">
      <c r="B359" s="303" t="s">
        <v>410</v>
      </c>
      <c r="C359" s="304" t="str">
        <f>C$9</f>
        <v>2026E</v>
      </c>
      <c r="D359" s="304" t="str">
        <f>D$9</f>
        <v>2027E</v>
      </c>
      <c r="E359" s="304" t="str">
        <f>E$9</f>
        <v>2028E</v>
      </c>
      <c r="F359" s="304" t="str">
        <f>F$9</f>
        <v>2029E</v>
      </c>
      <c r="G359" s="304" t="str">
        <f>G$9</f>
        <v>2030E</v>
      </c>
      <c r="H359" s="304" t="str">
        <f>H$9</f>
        <v>2031E</v>
      </c>
      <c r="I359" s="248"/>
      <c r="J359" s="200" t="str">
        <f>$J$9</f>
        <v>6-Year(F)</v>
      </c>
    </row>
    <row r="360" spans="1:11">
      <c r="B360" s="303" t="s">
        <v>411</v>
      </c>
      <c r="C360" s="248">
        <f>C$10</f>
        <v>46295</v>
      </c>
      <c r="D360" s="248">
        <f>D$10</f>
        <v>46660</v>
      </c>
      <c r="E360" s="248">
        <f>E$10</f>
        <v>47026</v>
      </c>
      <c r="F360" s="248">
        <f>F$10</f>
        <v>47391</v>
      </c>
      <c r="G360" s="248">
        <f>G$10</f>
        <v>47756</v>
      </c>
      <c r="H360" s="248">
        <f>H$10</f>
        <v>48121</v>
      </c>
      <c r="I360" s="248"/>
      <c r="J360" s="3">
        <f>$H$42</f>
        <v>48121</v>
      </c>
    </row>
    <row r="361" spans="1:11" ht="5.0999999999999996" customHeight="1">
      <c r="B361" s="307"/>
    </row>
    <row r="362" spans="1:11">
      <c r="B362" s="467" t="s">
        <v>364</v>
      </c>
      <c r="C362" s="468">
        <v>240000</v>
      </c>
      <c r="D362" s="468">
        <v>248000</v>
      </c>
      <c r="E362" s="468">
        <v>247000</v>
      </c>
      <c r="F362" s="469">
        <f t="shared" ref="F362" si="507">SUM(E362*F363)+E362</f>
        <v>246004.03225806452</v>
      </c>
      <c r="G362" s="469">
        <f t="shared" ref="G362" si="508">SUM(F362*G363)+F362</f>
        <v>245012.08051508846</v>
      </c>
      <c r="H362" s="469">
        <f t="shared" ref="H362" si="509">SUM(G362*H363)+G362</f>
        <v>244024.12857752762</v>
      </c>
      <c r="J362" s="365">
        <f t="shared" ref="J362" si="510">((H362/C362)^(1/COUNT(C362:H362))-1)</f>
        <v>2.7752078920344481E-3</v>
      </c>
      <c r="K362" s="467" t="s">
        <v>627</v>
      </c>
    </row>
    <row r="363" spans="1:11">
      <c r="B363" s="308" t="s">
        <v>44</v>
      </c>
      <c r="C363" s="372">
        <f>SUM(C362/'Revenue Projections &amp; Cases'!$H$27)-1</f>
        <v>3.8961038961038863E-2</v>
      </c>
      <c r="D363" s="340">
        <f t="shared" ref="D363" si="511">SUM(D362/C362)-1</f>
        <v>3.3333333333333437E-2</v>
      </c>
      <c r="E363" s="340">
        <f t="shared" ref="E363" si="512">SUM(E362/D362)-1</f>
        <v>-4.0322580645161255E-3</v>
      </c>
      <c r="F363" s="340">
        <f>E363</f>
        <v>-4.0322580645161255E-3</v>
      </c>
      <c r="G363" s="340">
        <f t="shared" ref="G363:H363" si="513">F363</f>
        <v>-4.0322580645161255E-3</v>
      </c>
      <c r="H363" s="340">
        <f t="shared" si="513"/>
        <v>-4.0322580645161255E-3</v>
      </c>
      <c r="J363" s="363"/>
    </row>
    <row r="364" spans="1:11">
      <c r="B364" s="467" t="s">
        <v>373</v>
      </c>
      <c r="C364" s="468">
        <v>246000</v>
      </c>
      <c r="D364" s="468">
        <v>248000</v>
      </c>
      <c r="E364" s="468">
        <v>250000</v>
      </c>
      <c r="F364" s="469">
        <f t="shared" ref="F364" si="514">SUM(E364*F365)+E364</f>
        <v>252016.12903225806</v>
      </c>
      <c r="G364" s="469">
        <f t="shared" ref="G364" si="515">SUM(F364*G365)+F364</f>
        <v>254048.51716961499</v>
      </c>
      <c r="H364" s="469">
        <f t="shared" ref="H364" si="516">SUM(G364*H365)+G364</f>
        <v>256097.29553388609</v>
      </c>
      <c r="J364" s="362">
        <f t="shared" ref="J364" si="517">((H364/C364)^(1/COUNT(C364:H364))-1)</f>
        <v>6.726840406332979E-3</v>
      </c>
      <c r="K364" s="467" t="s">
        <v>628</v>
      </c>
    </row>
    <row r="365" spans="1:11">
      <c r="B365" s="308" t="s">
        <v>44</v>
      </c>
      <c r="C365" s="372">
        <f>SUM(C364/'Revenue Projections &amp; Cases'!$H$27)-1</f>
        <v>6.4935064935064846E-2</v>
      </c>
      <c r="D365" s="340">
        <f>SUM(D364/C364)-1</f>
        <v>8.1300813008129413E-3</v>
      </c>
      <c r="E365" s="340">
        <f t="shared" ref="E365" si="518">SUM(E364/D364)-1</f>
        <v>8.0645161290322509E-3</v>
      </c>
      <c r="F365" s="340">
        <f>E365</f>
        <v>8.0645161290322509E-3</v>
      </c>
      <c r="G365" s="340">
        <f t="shared" ref="G365:H365" si="519">F365</f>
        <v>8.0645161290322509E-3</v>
      </c>
      <c r="H365" s="340">
        <f t="shared" si="519"/>
        <v>8.0645161290322509E-3</v>
      </c>
      <c r="J365" s="363"/>
    </row>
    <row r="366" spans="1:11">
      <c r="B366" s="467" t="s">
        <v>472</v>
      </c>
      <c r="C366" s="468">
        <f>240*1000</f>
        <v>240000</v>
      </c>
      <c r="D366" s="468">
        <f>250*1000</f>
        <v>250000</v>
      </c>
      <c r="E366" s="468">
        <f>255*1000</f>
        <v>255000</v>
      </c>
      <c r="F366" s="469">
        <f t="shared" ref="F366" si="520">SUM(E366*F367)+E366</f>
        <v>260100</v>
      </c>
      <c r="G366" s="469">
        <f t="shared" ref="G366" si="521">SUM(F366*G367)+F366</f>
        <v>265302</v>
      </c>
      <c r="H366" s="469">
        <f t="shared" ref="H366" si="522">SUM(G366*H367)+G366</f>
        <v>270608.03999999998</v>
      </c>
      <c r="J366" s="362">
        <f t="shared" ref="J366" si="523">((H366/C366)^(1/COUNT(C366:H366))-1)</f>
        <v>2.0206866762287445E-2</v>
      </c>
      <c r="K366" s="467" t="s">
        <v>627</v>
      </c>
    </row>
    <row r="367" spans="1:11">
      <c r="B367" s="308" t="s">
        <v>44</v>
      </c>
      <c r="C367" s="372">
        <f>SUM(C366/'Revenue Projections &amp; Cases'!$H$27)-1</f>
        <v>3.8961038961038863E-2</v>
      </c>
      <c r="D367" s="340">
        <f>SUM(D366/C366)-1</f>
        <v>4.1666666666666741E-2</v>
      </c>
      <c r="E367" s="340">
        <f>SUM(E366/D366)-1</f>
        <v>2.0000000000000018E-2</v>
      </c>
      <c r="F367" s="340">
        <f t="shared" ref="F367:H367" si="524">E367</f>
        <v>2.0000000000000018E-2</v>
      </c>
      <c r="G367" s="340">
        <f t="shared" si="524"/>
        <v>2.0000000000000018E-2</v>
      </c>
      <c r="H367" s="340">
        <f t="shared" si="524"/>
        <v>2.0000000000000018E-2</v>
      </c>
      <c r="J367" s="363"/>
    </row>
    <row r="368" spans="1:11">
      <c r="B368" s="467" t="s">
        <v>365</v>
      </c>
      <c r="C368" s="468">
        <f>245.08*1000</f>
        <v>245080</v>
      </c>
      <c r="D368" s="468">
        <f>249.76*1000</f>
        <v>249760</v>
      </c>
      <c r="E368" s="469">
        <f>SUM(D368*E369)+D368</f>
        <v>254529.36836951203</v>
      </c>
      <c r="F368" s="469">
        <f t="shared" ref="F368" si="525">SUM(E368*F369)+E368</f>
        <v>259389.81166953375</v>
      </c>
      <c r="G368" s="469">
        <f t="shared" ref="G368" si="526">SUM(F368*G369)+F368</f>
        <v>264343.06904921966</v>
      </c>
      <c r="H368" s="469">
        <f t="shared" ref="H368" si="527">SUM(G368*H369)+G368</f>
        <v>269390.91286817816</v>
      </c>
      <c r="J368" s="362">
        <f t="shared" ref="J368" si="528">((H368/C368)^(1/COUNT(C368:H368))-1)</f>
        <v>1.5888034437280929E-2</v>
      </c>
      <c r="K368" s="467" t="s">
        <v>627</v>
      </c>
    </row>
    <row r="369" spans="1:11">
      <c r="B369" s="308" t="s">
        <v>44</v>
      </c>
      <c r="C369" s="372">
        <f>SUM(C368/'Revenue Projections &amp; Cases'!$H$27)-1</f>
        <v>6.0952380952380869E-2</v>
      </c>
      <c r="D369" s="340">
        <f>SUM(D368/C368)-1</f>
        <v>1.9095805451281311E-2</v>
      </c>
      <c r="E369" s="340">
        <f>D369</f>
        <v>1.9095805451281311E-2</v>
      </c>
      <c r="F369" s="340">
        <f t="shared" ref="F369:H369" si="529">E369</f>
        <v>1.9095805451281311E-2</v>
      </c>
      <c r="G369" s="340">
        <f t="shared" si="529"/>
        <v>1.9095805451281311E-2</v>
      </c>
      <c r="H369" s="340">
        <f t="shared" si="529"/>
        <v>1.9095805451281311E-2</v>
      </c>
      <c r="J369" s="363"/>
    </row>
    <row r="370" spans="1:11">
      <c r="B370" s="467" t="s">
        <v>374</v>
      </c>
      <c r="C370" s="468">
        <v>240700</v>
      </c>
      <c r="D370" s="468">
        <v>234500</v>
      </c>
      <c r="E370" s="468">
        <v>253300</v>
      </c>
      <c r="F370" s="468">
        <v>263200</v>
      </c>
      <c r="G370" s="468">
        <v>264800</v>
      </c>
      <c r="H370" s="468">
        <v>271400</v>
      </c>
      <c r="J370" s="362">
        <f t="shared" ref="J370" si="530">((H370/C370)^(1/COUNT(C370:H370))-1)</f>
        <v>2.0208549919119134E-2</v>
      </c>
      <c r="K370" s="467" t="s">
        <v>627</v>
      </c>
    </row>
    <row r="371" spans="1:11">
      <c r="B371" s="308" t="s">
        <v>44</v>
      </c>
      <c r="C371" s="372">
        <f>SUM(C370/'Revenue Projections &amp; Cases'!$H$27)-1</f>
        <v>4.1991341991342024E-2</v>
      </c>
      <c r="D371" s="340">
        <f>SUM(D370/C370)-1</f>
        <v>-2.5758205234732046E-2</v>
      </c>
      <c r="E371" s="340">
        <f t="shared" ref="E371" si="531">SUM(E370/D370)-1</f>
        <v>8.0170575692963819E-2</v>
      </c>
      <c r="F371" s="340">
        <f t="shared" ref="F371" si="532">SUM(F370/E370)-1</f>
        <v>3.9084090011843653E-2</v>
      </c>
      <c r="G371" s="340">
        <f t="shared" ref="G371" si="533">SUM(G370/F370)-1</f>
        <v>6.0790273556230456E-3</v>
      </c>
      <c r="H371" s="340">
        <f t="shared" ref="H371" si="534">SUM(H370/G370)-1</f>
        <v>2.4924471299093698E-2</v>
      </c>
      <c r="J371" s="364"/>
    </row>
    <row r="372" spans="1:11" s="393" customFormat="1" ht="5.0999999999999996" customHeight="1"/>
    <row r="373" spans="1:11">
      <c r="B373" s="313" t="s">
        <v>222</v>
      </c>
      <c r="C373" s="315">
        <f>MAX(C$362,C$364,C$366,C$368,C$370)</f>
        <v>246000</v>
      </c>
      <c r="D373" s="315">
        <f>MAX(D$362,D$364,D$366,D$368,D$370)</f>
        <v>250000</v>
      </c>
      <c r="E373" s="315">
        <f>MAX(E$362,E$364,E$366,E$368,E$370)</f>
        <v>255000</v>
      </c>
      <c r="F373" s="315">
        <f>MAX(F$362,F$364,F$366,F$368,F$370)</f>
        <v>263200</v>
      </c>
      <c r="G373" s="315">
        <f>MAX(G$362,G$364,G$366,G$368,G$370)</f>
        <v>265302</v>
      </c>
      <c r="H373" s="315">
        <f>MAX(H$362,H$364,H$366,H$368,H$370)</f>
        <v>271400</v>
      </c>
      <c r="I373" s="309"/>
      <c r="J373" s="319">
        <f t="shared" ref="J373" si="535">((H373/C373)^(1/COUNT(C373:H373))-1)</f>
        <v>1.6511873966935431E-2</v>
      </c>
    </row>
    <row r="374" spans="1:11">
      <c r="B374" s="357" t="s">
        <v>44</v>
      </c>
      <c r="C374" s="366">
        <f>SUM(C373/'Revenue Projections &amp; Cases'!$H$27)-1</f>
        <v>6.4935064935064846E-2</v>
      </c>
      <c r="D374" s="387">
        <f>SUM(D373/C373)-1</f>
        <v>1.6260162601626105E-2</v>
      </c>
      <c r="E374" s="387">
        <f t="shared" ref="E374" si="536">SUM(E373/D373)-1</f>
        <v>2.0000000000000018E-2</v>
      </c>
      <c r="F374" s="387">
        <f t="shared" ref="F374" si="537">SUM(F373/E373)-1</f>
        <v>3.2156862745098103E-2</v>
      </c>
      <c r="G374" s="387">
        <f t="shared" ref="G374" si="538">SUM(G373/F373)-1</f>
        <v>7.986322188449746E-3</v>
      </c>
      <c r="H374" s="387">
        <f t="shared" ref="H374" si="539">SUM(H373/G373)-1</f>
        <v>2.2985126384271526E-2</v>
      </c>
      <c r="I374" s="311"/>
      <c r="J374" s="317"/>
    </row>
    <row r="375" spans="1:11">
      <c r="B375" s="310" t="s">
        <v>412</v>
      </c>
      <c r="C375" s="371">
        <f>MEDIAN(C$362,C$364,C$366,C$368,C$370)</f>
        <v>240700</v>
      </c>
      <c r="D375" s="371">
        <f>MEDIAN(D$362,D$364,D$366,D$368,D$370)</f>
        <v>248000</v>
      </c>
      <c r="E375" s="371">
        <f>MEDIAN(E$362,E$364,E$366,E$368,E$370)</f>
        <v>253300</v>
      </c>
      <c r="F375" s="371">
        <f>MEDIAN(F$362,F$364,F$366,F$368,F$370)</f>
        <v>259389.81166953375</v>
      </c>
      <c r="G375" s="371">
        <f>MEDIAN(G$362,G$364,G$366,G$368,G$370)</f>
        <v>264343.06904921966</v>
      </c>
      <c r="H375" s="371">
        <f>MEDIAN(H$362,H$364,H$366,H$368,H$370)</f>
        <v>269390.91286817816</v>
      </c>
      <c r="I375" s="311"/>
      <c r="J375" s="317">
        <f t="shared" ref="J375" si="540">((H375/C375)^(1/COUNT(C375:H375))-1)</f>
        <v>1.8945937059958062E-2</v>
      </c>
    </row>
    <row r="376" spans="1:11">
      <c r="B376" s="357" t="s">
        <v>44</v>
      </c>
      <c r="C376" s="366">
        <f>SUM(C375/'Revenue Projections &amp; Cases'!$H$27)-1</f>
        <v>4.1991341991342024E-2</v>
      </c>
      <c r="D376" s="387">
        <f>SUM(D375/C375)-1</f>
        <v>3.0328209389281158E-2</v>
      </c>
      <c r="E376" s="387">
        <f t="shared" ref="E376" si="541">SUM(E375/D375)-1</f>
        <v>2.1370967741935587E-2</v>
      </c>
      <c r="F376" s="387">
        <f t="shared" ref="F376" si="542">SUM(F375/E375)-1</f>
        <v>2.4041893681538751E-2</v>
      </c>
      <c r="G376" s="387">
        <f t="shared" ref="G376" si="543">SUM(G375/F375)-1</f>
        <v>1.9095805451281311E-2</v>
      </c>
      <c r="H376" s="387">
        <f t="shared" ref="H376" si="544">SUM(H375/G375)-1</f>
        <v>1.9095805451281311E-2</v>
      </c>
      <c r="I376" s="311"/>
      <c r="J376" s="317"/>
    </row>
    <row r="377" spans="1:11">
      <c r="B377" s="310" t="s">
        <v>369</v>
      </c>
      <c r="C377" s="371">
        <f>AVERAGE(C$362,C$364,C$366,C$368,C$370)</f>
        <v>242356</v>
      </c>
      <c r="D377" s="371">
        <f>AVERAGE(D$362,D$364,D$366,D$368,D$370)</f>
        <v>246052</v>
      </c>
      <c r="E377" s="371">
        <f>AVERAGE(E$362,E$364,E$366,E$368,E$370)</f>
        <v>251965.87367390242</v>
      </c>
      <c r="F377" s="371">
        <f>AVERAGE(F$362,F$364,F$366,F$368,F$370)</f>
        <v>256141.99459197125</v>
      </c>
      <c r="G377" s="371">
        <f>AVERAGE(G$362,G$364,G$366,G$368,G$370)</f>
        <v>258701.13334678463</v>
      </c>
      <c r="H377" s="371">
        <f>AVERAGE(H$362,H$364,H$366,H$368,H$370)</f>
        <v>262304.07539591833</v>
      </c>
      <c r="I377" s="311"/>
      <c r="J377" s="317">
        <f t="shared" ref="J377" si="545">((H377/C377)^(1/COUNT(C377:H377))-1)</f>
        <v>1.3270060046369991E-2</v>
      </c>
    </row>
    <row r="378" spans="1:11">
      <c r="B378" s="357" t="s">
        <v>44</v>
      </c>
      <c r="C378" s="366">
        <f>SUM(C377/'Revenue Projections &amp; Cases'!$H$27)-1</f>
        <v>4.9160173160173182E-2</v>
      </c>
      <c r="D378" s="387">
        <f>SUM(D377/C377)-1</f>
        <v>1.5250292957467604E-2</v>
      </c>
      <c r="E378" s="387">
        <f t="shared" ref="E378" si="546">SUM(E377/D377)-1</f>
        <v>2.4035056304774649E-2</v>
      </c>
      <c r="F378" s="387">
        <f t="shared" ref="F378" si="547">SUM(F377/E377)-1</f>
        <v>1.6574152908792827E-2</v>
      </c>
      <c r="G378" s="387">
        <f t="shared" ref="G378" si="548">SUM(G377/F377)-1</f>
        <v>9.9910940370790957E-3</v>
      </c>
      <c r="H378" s="387">
        <f t="shared" ref="H378" si="549">SUM(H377/G377)-1</f>
        <v>1.3927043931052374E-2</v>
      </c>
      <c r="I378" s="311"/>
      <c r="J378" s="317"/>
    </row>
    <row r="379" spans="1:11">
      <c r="B379" s="356" t="s">
        <v>348</v>
      </c>
      <c r="C379" s="316">
        <f>MIN(C$362,C$364,C$366,C$368,C$370)</f>
        <v>240000</v>
      </c>
      <c r="D379" s="316">
        <f>MIN(D$362,D$364,D$366,D$368,D$370)</f>
        <v>234500</v>
      </c>
      <c r="E379" s="316">
        <f>MIN(E$362,E$364,E$366,E$368,E$370)</f>
        <v>247000</v>
      </c>
      <c r="F379" s="316">
        <f>MIN(F$362,F$364,F$366,F$368,F$370)</f>
        <v>246004.03225806452</v>
      </c>
      <c r="G379" s="316">
        <f>MIN(G$362,G$364,G$366,G$368,G$370)</f>
        <v>245012.08051508846</v>
      </c>
      <c r="H379" s="316">
        <f>MIN(H$362,H$364,H$366,H$368,H$370)</f>
        <v>244024.12857752762</v>
      </c>
      <c r="I379" s="311"/>
      <c r="J379" s="317">
        <f t="shared" ref="J379" si="550">((H379/C379)^(1/COUNT(C379:H379))-1)</f>
        <v>2.7752078920344481E-3</v>
      </c>
    </row>
    <row r="380" spans="1:11" s="381" customFormat="1">
      <c r="B380" s="358" t="s">
        <v>44</v>
      </c>
      <c r="C380" s="367">
        <f>SUM(C379/'Revenue Projections &amp; Cases'!$H$27)-1</f>
        <v>3.8961038961038863E-2</v>
      </c>
      <c r="D380" s="388">
        <f>SUM(D379/C379)-1</f>
        <v>-2.2916666666666696E-2</v>
      </c>
      <c r="E380" s="388">
        <f t="shared" ref="E380" si="551">SUM(E379/D379)-1</f>
        <v>5.3304904051172608E-2</v>
      </c>
      <c r="F380" s="388">
        <f t="shared" ref="F380" si="552">SUM(F379/E379)-1</f>
        <v>-4.0322580645161255E-3</v>
      </c>
      <c r="G380" s="388">
        <f t="shared" ref="G380" si="553">SUM(G379/F379)-1</f>
        <v>-4.0322580645161255E-3</v>
      </c>
      <c r="H380" s="388">
        <f t="shared" ref="H380" si="554">SUM(H379/G379)-1</f>
        <v>-4.0322580645161255E-3</v>
      </c>
      <c r="I380" s="312"/>
      <c r="J380" s="318"/>
    </row>
    <row r="382" spans="1:11">
      <c r="A382" s="391" t="s">
        <v>24</v>
      </c>
      <c r="B382" s="247" t="s">
        <v>580</v>
      </c>
      <c r="C382" s="229" t="s">
        <v>165</v>
      </c>
      <c r="D382" s="229"/>
      <c r="E382" s="229"/>
      <c r="F382" s="229"/>
      <c r="G382" s="229"/>
      <c r="H382" s="229"/>
      <c r="I382" s="248"/>
      <c r="J382" s="2" t="s">
        <v>370</v>
      </c>
    </row>
    <row r="383" spans="1:11">
      <c r="B383" s="303" t="s">
        <v>410</v>
      </c>
      <c r="C383" s="304" t="str">
        <f>C$9</f>
        <v>2026E</v>
      </c>
      <c r="D383" s="304" t="str">
        <f>D$9</f>
        <v>2027E</v>
      </c>
      <c r="E383" s="304" t="str">
        <f>E$9</f>
        <v>2028E</v>
      </c>
      <c r="F383" s="304" t="str">
        <f>F$9</f>
        <v>2029E</v>
      </c>
      <c r="G383" s="304" t="str">
        <f>G$9</f>
        <v>2030E</v>
      </c>
      <c r="H383" s="304" t="str">
        <f>H$9</f>
        <v>2031E</v>
      </c>
      <c r="I383" s="248"/>
      <c r="J383" s="200" t="str">
        <f>$J$9</f>
        <v>6-Year(F)</v>
      </c>
    </row>
    <row r="384" spans="1:11">
      <c r="B384" s="303" t="s">
        <v>411</v>
      </c>
      <c r="C384" s="248">
        <f>C$10</f>
        <v>46295</v>
      </c>
      <c r="D384" s="248">
        <f>D$10</f>
        <v>46660</v>
      </c>
      <c r="E384" s="248">
        <f>E$10</f>
        <v>47026</v>
      </c>
      <c r="F384" s="248">
        <f>F$10</f>
        <v>47391</v>
      </c>
      <c r="G384" s="248">
        <f>G$10</f>
        <v>47756</v>
      </c>
      <c r="H384" s="248">
        <f>H$10</f>
        <v>48121</v>
      </c>
      <c r="I384" s="248"/>
      <c r="J384" s="3">
        <f>$H$42</f>
        <v>48121</v>
      </c>
    </row>
    <row r="385" spans="2:11" ht="5.0999999999999996" customHeight="1">
      <c r="B385" s="307"/>
    </row>
    <row r="386" spans="2:11">
      <c r="B386" s="467" t="s">
        <v>364</v>
      </c>
      <c r="C386" s="468">
        <v>956.875</v>
      </c>
      <c r="D386" s="468">
        <v>957.43548387096769</v>
      </c>
      <c r="E386" s="468">
        <v>961.59311740890689</v>
      </c>
      <c r="F386" s="469">
        <f t="shared" ref="F386" si="555">SUM(E386*F387)+E386</f>
        <v>965.76880533999008</v>
      </c>
      <c r="G386" s="469">
        <f t="shared" ref="G386" si="556">SUM(F386*G387)+F386</f>
        <v>969.96262606485277</v>
      </c>
      <c r="H386" s="469">
        <f t="shared" ref="H386" si="557">SUM(G386*H387)+G386</f>
        <v>974.17465832458288</v>
      </c>
      <c r="J386" s="365">
        <f t="shared" ref="J386" si="558">((H386/C386)^(1/COUNT(C386:H386))-1)</f>
        <v>2.9907704260270229E-3</v>
      </c>
      <c r="K386" s="467" t="s">
        <v>627</v>
      </c>
    </row>
    <row r="387" spans="2:11">
      <c r="B387" s="308" t="s">
        <v>44</v>
      </c>
      <c r="C387" s="372">
        <f>SUM(C386/'Revenue Projections &amp; Cases'!$H$35)-1</f>
        <v>5.4988974641675847E-2</v>
      </c>
      <c r="D387" s="340">
        <f t="shared" ref="D387" si="559">SUM(D386/C386)-1</f>
        <v>5.8574408461686822E-4</v>
      </c>
      <c r="E387" s="340">
        <f t="shared" ref="E387" si="560">SUM(E386/D386)-1</f>
        <v>4.3424686132684798E-3</v>
      </c>
      <c r="F387" s="340">
        <f>E387</f>
        <v>4.3424686132684798E-3</v>
      </c>
      <c r="G387" s="340">
        <f t="shared" ref="G387:H387" si="561">F387</f>
        <v>4.3424686132684798E-3</v>
      </c>
      <c r="H387" s="340">
        <f t="shared" si="561"/>
        <v>4.3424686132684798E-3</v>
      </c>
      <c r="J387" s="363"/>
    </row>
    <row r="388" spans="2:11">
      <c r="B388" s="198" t="s">
        <v>472</v>
      </c>
      <c r="C388" s="468">
        <v>900</v>
      </c>
      <c r="D388" s="468">
        <v>900</v>
      </c>
      <c r="E388" s="468">
        <v>900</v>
      </c>
      <c r="F388" s="469">
        <f t="shared" ref="F388:H388" si="562">SUM(E388*F389)+E388</f>
        <v>900</v>
      </c>
      <c r="G388" s="469">
        <f t="shared" si="562"/>
        <v>900</v>
      </c>
      <c r="H388" s="469">
        <f t="shared" si="562"/>
        <v>900</v>
      </c>
      <c r="J388" s="362">
        <f t="shared" ref="J388" si="563">((H388/C388)^(1/COUNT(C388:H388))-1)</f>
        <v>0</v>
      </c>
      <c r="K388" s="467" t="s">
        <v>627</v>
      </c>
    </row>
    <row r="389" spans="2:11">
      <c r="B389" s="308" t="s">
        <v>44</v>
      </c>
      <c r="C389" s="372">
        <f>SUM(C388/'Revenue Projections &amp; Cases'!$H$35)-1</f>
        <v>-7.717750826901848E-3</v>
      </c>
      <c r="D389" s="340">
        <f>SUM(D388/C388)-1</f>
        <v>0</v>
      </c>
      <c r="E389" s="340">
        <f>SUM(E388/D388)-1</f>
        <v>0</v>
      </c>
      <c r="F389" s="340">
        <f t="shared" ref="F389:H389" si="564">E389</f>
        <v>0</v>
      </c>
      <c r="G389" s="340">
        <f t="shared" si="564"/>
        <v>0</v>
      </c>
      <c r="H389" s="340">
        <f t="shared" si="564"/>
        <v>0</v>
      </c>
      <c r="J389" s="363"/>
    </row>
    <row r="390" spans="2:11">
      <c r="B390" s="198" t="s">
        <v>365</v>
      </c>
      <c r="C390" s="468">
        <v>938</v>
      </c>
      <c r="D390" s="468">
        <v>973</v>
      </c>
      <c r="E390" s="469">
        <f>SUM(D390*E391)+D390</f>
        <v>1009.3059701492538</v>
      </c>
      <c r="F390" s="469">
        <f t="shared" ref="F390" si="565">SUM(E390*F391)+E390</f>
        <v>1046.966640677211</v>
      </c>
      <c r="G390" s="469">
        <f t="shared" ref="G390" si="566">SUM(F390*G391)+F390</f>
        <v>1086.0325601054651</v>
      </c>
      <c r="H390" s="469">
        <f t="shared" ref="H390" si="567">SUM(G390*H391)+G390</f>
        <v>1126.5561630944751</v>
      </c>
      <c r="J390" s="362">
        <f t="shared" ref="J390" si="568">((H390/C390)^(1/COUNT(C390:H390))-1)</f>
        <v>3.0999215699690552E-2</v>
      </c>
      <c r="K390" s="467" t="s">
        <v>627</v>
      </c>
    </row>
    <row r="391" spans="2:11">
      <c r="B391" s="308" t="s">
        <v>44</v>
      </c>
      <c r="C391" s="372">
        <f>SUM(C390/'Revenue Projections &amp; Cases'!$H$35)-1</f>
        <v>3.4178610804851184E-2</v>
      </c>
      <c r="D391" s="340">
        <f>SUM(D390/C390)-1</f>
        <v>3.7313432835820892E-2</v>
      </c>
      <c r="E391" s="340">
        <f>D391</f>
        <v>3.7313432835820892E-2</v>
      </c>
      <c r="F391" s="340">
        <f t="shared" ref="F391:H391" si="569">E391</f>
        <v>3.7313432835820892E-2</v>
      </c>
      <c r="G391" s="340">
        <f t="shared" si="569"/>
        <v>3.7313432835820892E-2</v>
      </c>
      <c r="H391" s="340">
        <f t="shared" si="569"/>
        <v>3.7313432835820892E-2</v>
      </c>
      <c r="J391" s="363"/>
    </row>
    <row r="392" spans="2:11">
      <c r="B392" s="467" t="s">
        <v>374</v>
      </c>
      <c r="C392" s="468">
        <v>955.9</v>
      </c>
      <c r="D392" s="468">
        <v>1035.7</v>
      </c>
      <c r="E392" s="468">
        <v>1035.7</v>
      </c>
      <c r="F392" s="468">
        <v>1035.7</v>
      </c>
      <c r="G392" s="468">
        <v>1035.7</v>
      </c>
      <c r="H392" s="468">
        <v>1035.7</v>
      </c>
      <c r="J392" s="362">
        <f t="shared" ref="J392" si="570">((H392/C392)^(1/COUNT(C392:H392))-1)</f>
        <v>1.3452937373227281E-2</v>
      </c>
      <c r="K392" s="467" t="s">
        <v>627</v>
      </c>
    </row>
    <row r="393" spans="2:11">
      <c r="B393" s="308" t="s">
        <v>44</v>
      </c>
      <c r="C393" s="372">
        <f>SUM(C392/'Revenue Projections &amp; Cases'!$H$35)-1</f>
        <v>5.3914002205071698E-2</v>
      </c>
      <c r="D393" s="340">
        <f>SUM(D392/C392)-1</f>
        <v>8.3481535725494327E-2</v>
      </c>
      <c r="E393" s="340">
        <f t="shared" ref="E393" si="571">SUM(E392/D392)-1</f>
        <v>0</v>
      </c>
      <c r="F393" s="340">
        <f t="shared" ref="F393" si="572">SUM(F392/E392)-1</f>
        <v>0</v>
      </c>
      <c r="G393" s="340">
        <f t="shared" ref="G393" si="573">SUM(G392/F392)-1</f>
        <v>0</v>
      </c>
      <c r="H393" s="340">
        <f t="shared" ref="H393" si="574">SUM(H392/G392)-1</f>
        <v>0</v>
      </c>
      <c r="J393" s="364"/>
    </row>
    <row r="394" spans="2:11" s="393" customFormat="1" ht="5.0999999999999996" customHeight="1"/>
    <row r="395" spans="2:11">
      <c r="B395" s="313" t="s">
        <v>222</v>
      </c>
      <c r="C395" s="480">
        <f>MAX(C$386,C$388,C$390,C$392)</f>
        <v>956.875</v>
      </c>
      <c r="D395" s="480">
        <f>MAX(D$386,D$388,D$390,D$392)</f>
        <v>1035.7</v>
      </c>
      <c r="E395" s="480">
        <f>MAX(E$386,E$388,E$390,E$392)</f>
        <v>1035.7</v>
      </c>
      <c r="F395" s="480">
        <f>MAX(F$386,F$388,F$390,F$392)</f>
        <v>1046.966640677211</v>
      </c>
      <c r="G395" s="480">
        <f>MAX(G$386,G$388,G$390,G$392)</f>
        <v>1086.0325601054651</v>
      </c>
      <c r="H395" s="480">
        <f>MAX(H$386,H$388,H$390,H$392)</f>
        <v>1126.5561630944751</v>
      </c>
      <c r="I395" s="309"/>
      <c r="J395" s="319">
        <f t="shared" ref="J395" si="575">((H395/C395)^(1/COUNT(C395:H395))-1)</f>
        <v>2.758149154442413E-2</v>
      </c>
    </row>
    <row r="396" spans="2:11">
      <c r="B396" s="357" t="s">
        <v>44</v>
      </c>
      <c r="C396" s="366">
        <f>SUM(C395/'Revenue Projections &amp; Cases'!$H$35)-1</f>
        <v>5.4988974641675847E-2</v>
      </c>
      <c r="D396" s="387">
        <f>SUM(D395/C395)-1</f>
        <v>8.2377531025473516E-2</v>
      </c>
      <c r="E396" s="387">
        <f t="shared" ref="E396" si="576">SUM(E395/D395)-1</f>
        <v>0</v>
      </c>
      <c r="F396" s="387">
        <f t="shared" ref="F396" si="577">SUM(F395/E395)-1</f>
        <v>1.0878285871595006E-2</v>
      </c>
      <c r="G396" s="387">
        <f t="shared" ref="G396" si="578">SUM(G395/F395)-1</f>
        <v>3.7313432835820892E-2</v>
      </c>
      <c r="H396" s="387">
        <f t="shared" ref="H396" si="579">SUM(H395/G395)-1</f>
        <v>3.7313432835820892E-2</v>
      </c>
      <c r="I396" s="311"/>
      <c r="J396" s="317"/>
    </row>
    <row r="397" spans="2:11">
      <c r="B397" s="310" t="s">
        <v>412</v>
      </c>
      <c r="C397" s="478">
        <f>MEDIAN(C$386,C$388,C$390,C$392)</f>
        <v>946.95</v>
      </c>
      <c r="D397" s="478">
        <f>MEDIAN(D$386,D$388,D$390,D$392)</f>
        <v>965.2177419354839</v>
      </c>
      <c r="E397" s="478">
        <f>MEDIAN(E$386,E$388,E$390,E$392)</f>
        <v>985.44954377908039</v>
      </c>
      <c r="F397" s="478">
        <f>MEDIAN(F$386,F$388,F$390,F$392)</f>
        <v>1000.734402669995</v>
      </c>
      <c r="G397" s="478">
        <f>MEDIAN(G$386,G$388,G$390,G$392)</f>
        <v>1002.8313130324264</v>
      </c>
      <c r="H397" s="478">
        <f>MEDIAN(H$386,H$388,H$390,H$392)</f>
        <v>1004.9373291622915</v>
      </c>
      <c r="I397" s="311"/>
      <c r="J397" s="317">
        <f t="shared" ref="J397" si="580">((H397/C397)^(1/COUNT(C397:H397))-1)</f>
        <v>9.9549181252525099E-3</v>
      </c>
    </row>
    <row r="398" spans="2:11">
      <c r="B398" s="357" t="s">
        <v>44</v>
      </c>
      <c r="C398" s="366">
        <f>SUM(C397/'Revenue Projections &amp; Cases'!$H$35)-1</f>
        <v>4.4046306504961441E-2</v>
      </c>
      <c r="D398" s="387">
        <f>SUM(D397/C397)-1</f>
        <v>1.9291136739515213E-2</v>
      </c>
      <c r="E398" s="387">
        <f t="shared" ref="E398" si="581">SUM(E397/D397)-1</f>
        <v>2.0960868169525249E-2</v>
      </c>
      <c r="F398" s="387">
        <f t="shared" ref="F398" si="582">SUM(F397/E397)-1</f>
        <v>1.5510544387994818E-2</v>
      </c>
      <c r="G398" s="387">
        <f t="shared" ref="G398" si="583">SUM(G397/F397)-1</f>
        <v>2.0953715159952591E-3</v>
      </c>
      <c r="H398" s="387">
        <f t="shared" ref="H398" si="584">SUM(H397/G397)-1</f>
        <v>2.1000701738129735E-3</v>
      </c>
      <c r="I398" s="311"/>
      <c r="J398" s="317"/>
    </row>
    <row r="399" spans="2:11">
      <c r="B399" s="310" t="s">
        <v>369</v>
      </c>
      <c r="C399" s="478">
        <f>AVERAGE(C$386,C$388,C$390,C$392)</f>
        <v>937.69375000000002</v>
      </c>
      <c r="D399" s="478">
        <f>AVERAGE(D$386,D$388,D$390,D$392)</f>
        <v>966.5338709677419</v>
      </c>
      <c r="E399" s="478">
        <f>AVERAGE(E$386,E$388,E$390,E$392)</f>
        <v>976.64977188954026</v>
      </c>
      <c r="F399" s="478">
        <f>AVERAGE(F$386,F$388,F$390,F$392)</f>
        <v>987.10886150430019</v>
      </c>
      <c r="G399" s="478">
        <f>AVERAGE(G$386,G$388,G$390,G$392)</f>
        <v>997.92379654257957</v>
      </c>
      <c r="H399" s="478">
        <f>AVERAGE(H$386,H$388,H$390,H$392)</f>
        <v>1009.1077053547644</v>
      </c>
      <c r="I399" s="311"/>
      <c r="J399" s="317">
        <f t="shared" ref="J399" si="585">((H399/C399)^(1/COUNT(C399:H399))-1)</f>
        <v>1.2308189272819847E-2</v>
      </c>
    </row>
    <row r="400" spans="2:11">
      <c r="B400" s="357" t="s">
        <v>44</v>
      </c>
      <c r="C400" s="366">
        <f>SUM(C399/'Revenue Projections &amp; Cases'!$H$35)-1</f>
        <v>3.3840959206174137E-2</v>
      </c>
      <c r="D400" s="387">
        <f>SUM(D399/C399)-1</f>
        <v>3.0756439368121891E-2</v>
      </c>
      <c r="E400" s="387">
        <f t="shared" ref="E400" si="586">SUM(E399/D399)-1</f>
        <v>1.0466162879185781E-2</v>
      </c>
      <c r="F400" s="387">
        <f t="shared" ref="F400" si="587">SUM(F399/E399)-1</f>
        <v>1.0709150727107097E-2</v>
      </c>
      <c r="G400" s="387">
        <f t="shared" ref="G400" si="588">SUM(G399/F399)-1</f>
        <v>1.0956172576343848E-2</v>
      </c>
      <c r="H400" s="387">
        <f t="shared" ref="H400" si="589">SUM(H399/G399)-1</f>
        <v>1.1207177192219309E-2</v>
      </c>
      <c r="I400" s="311"/>
      <c r="J400" s="317"/>
    </row>
    <row r="401" spans="1:11">
      <c r="B401" s="356" t="s">
        <v>348</v>
      </c>
      <c r="C401" s="479">
        <f>MIN(C$386,C$388,C$390,C$392)</f>
        <v>900</v>
      </c>
      <c r="D401" s="479">
        <f>MIN(D$386,D$388,D$390,D$392)</f>
        <v>900</v>
      </c>
      <c r="E401" s="479">
        <f>MIN(E$386,E$388,E$390,E$392)</f>
        <v>900</v>
      </c>
      <c r="F401" s="479">
        <f>MIN(F$386,F$388,F$390,F$392)</f>
        <v>900</v>
      </c>
      <c r="G401" s="479">
        <f>MIN(G$386,G$388,G$390,G$392)</f>
        <v>900</v>
      </c>
      <c r="H401" s="479">
        <f>MIN(H$386,H$388,H$390,H$392)</f>
        <v>900</v>
      </c>
      <c r="I401" s="311"/>
      <c r="J401" s="317">
        <f t="shared" ref="J401" si="590">((H401/C401)^(1/COUNT(C401:H401))-1)</f>
        <v>0</v>
      </c>
    </row>
    <row r="402" spans="1:11" s="381" customFormat="1">
      <c r="B402" s="358" t="s">
        <v>44</v>
      </c>
      <c r="C402" s="367">
        <f>SUM(C401/'Revenue Projections &amp; Cases'!$H$35)-1</f>
        <v>-7.717750826901848E-3</v>
      </c>
      <c r="D402" s="388">
        <f>SUM(D401/C401)-1</f>
        <v>0</v>
      </c>
      <c r="E402" s="388">
        <f t="shared" ref="E402" si="591">SUM(E401/D401)-1</f>
        <v>0</v>
      </c>
      <c r="F402" s="388">
        <f t="shared" ref="F402" si="592">SUM(F401/E401)-1</f>
        <v>0</v>
      </c>
      <c r="G402" s="388">
        <f t="shared" ref="G402" si="593">SUM(G401/F401)-1</f>
        <v>0</v>
      </c>
      <c r="H402" s="388">
        <f t="shared" ref="H402" si="594">SUM(H401/G401)-1</f>
        <v>0</v>
      </c>
      <c r="I402" s="312"/>
      <c r="J402" s="318"/>
    </row>
    <row r="404" spans="1:11">
      <c r="A404" s="391" t="s">
        <v>24</v>
      </c>
      <c r="B404" s="247" t="s">
        <v>582</v>
      </c>
      <c r="C404" s="247"/>
      <c r="D404" s="247"/>
      <c r="E404" s="247"/>
      <c r="F404" s="247"/>
      <c r="G404" s="247"/>
      <c r="H404" s="247"/>
      <c r="I404" s="247"/>
      <c r="J404" s="247"/>
    </row>
    <row r="405" spans="1:11" ht="5.0999999999999996" customHeight="1"/>
    <row r="406" spans="1:11">
      <c r="A406" s="391" t="s">
        <v>24</v>
      </c>
      <c r="B406" s="247" t="s">
        <v>583</v>
      </c>
      <c r="C406" s="229" t="s">
        <v>165</v>
      </c>
      <c r="D406" s="229"/>
      <c r="E406" s="229"/>
      <c r="F406" s="229"/>
      <c r="G406" s="229"/>
      <c r="H406" s="229"/>
      <c r="I406" s="248"/>
      <c r="J406" s="2" t="s">
        <v>370</v>
      </c>
    </row>
    <row r="407" spans="1:11">
      <c r="B407" s="303" t="s">
        <v>410</v>
      </c>
      <c r="C407" s="304" t="str">
        <f>C$9</f>
        <v>2026E</v>
      </c>
      <c r="D407" s="304" t="str">
        <f>D$9</f>
        <v>2027E</v>
      </c>
      <c r="E407" s="304" t="str">
        <f>E$9</f>
        <v>2028E</v>
      </c>
      <c r="F407" s="304" t="str">
        <f>F$9</f>
        <v>2029E</v>
      </c>
      <c r="G407" s="304" t="str">
        <f>G$9</f>
        <v>2030E</v>
      </c>
      <c r="H407" s="304" t="str">
        <f>H$9</f>
        <v>2031E</v>
      </c>
      <c r="I407" s="248"/>
      <c r="J407" s="200" t="str">
        <f>$J$9</f>
        <v>6-Year(F)</v>
      </c>
    </row>
    <row r="408" spans="1:11">
      <c r="B408" s="303" t="s">
        <v>411</v>
      </c>
      <c r="C408" s="248">
        <f>C$10</f>
        <v>46295</v>
      </c>
      <c r="D408" s="248">
        <f>D$10</f>
        <v>46660</v>
      </c>
      <c r="E408" s="248">
        <f>E$10</f>
        <v>47026</v>
      </c>
      <c r="F408" s="248">
        <f>F$10</f>
        <v>47391</v>
      </c>
      <c r="G408" s="248">
        <f>G$10</f>
        <v>47756</v>
      </c>
      <c r="H408" s="248">
        <f>H$10</f>
        <v>48121</v>
      </c>
      <c r="I408" s="248"/>
      <c r="J408" s="3">
        <f>$H$42</f>
        <v>48121</v>
      </c>
    </row>
    <row r="409" spans="1:11" ht="5.0999999999999996" customHeight="1">
      <c r="B409" s="307"/>
    </row>
    <row r="410" spans="1:11">
      <c r="B410" s="467" t="s">
        <v>364</v>
      </c>
      <c r="C410" s="468">
        <v>29179.816771921203</v>
      </c>
      <c r="D410" s="468">
        <v>30638.807610517266</v>
      </c>
      <c r="E410" s="468">
        <v>32170.747991043128</v>
      </c>
      <c r="F410" s="469">
        <f t="shared" ref="F410" si="595">SUM(E410*F411)+E410</f>
        <v>33779.285390595287</v>
      </c>
      <c r="G410" s="469">
        <f t="shared" ref="G410" si="596">SUM(F410*G411)+F410</f>
        <v>35468.249660125053</v>
      </c>
      <c r="H410" s="469">
        <f t="shared" ref="H410" si="597">SUM(G410*H411)+G410</f>
        <v>37241.662143131311</v>
      </c>
      <c r="J410" s="365">
        <f t="shared" ref="J410" si="598">((H410/C410)^(1/COUNT(C410:H410))-1)</f>
        <v>4.1496342698250865E-2</v>
      </c>
      <c r="K410" s="467" t="s">
        <v>627</v>
      </c>
    </row>
    <row r="411" spans="1:11">
      <c r="B411" s="308" t="s">
        <v>44</v>
      </c>
      <c r="C411" s="372">
        <f>SUM(C410/'Revenue Projections &amp; Cases'!$H$29)-1</f>
        <v>8.2859567741166096E-2</v>
      </c>
      <c r="D411" s="340">
        <f t="shared" ref="D411" si="599">SUM(D410/C410)-1</f>
        <v>5.0000000000000044E-2</v>
      </c>
      <c r="E411" s="340">
        <f t="shared" ref="E411" si="600">SUM(E410/D410)-1</f>
        <v>5.0000000000000044E-2</v>
      </c>
      <c r="F411" s="340">
        <f>E411</f>
        <v>5.0000000000000044E-2</v>
      </c>
      <c r="G411" s="340">
        <f t="shared" ref="G411:H411" si="601">F411</f>
        <v>5.0000000000000044E-2</v>
      </c>
      <c r="H411" s="340">
        <f t="shared" si="601"/>
        <v>5.0000000000000044E-2</v>
      </c>
      <c r="J411" s="363"/>
    </row>
    <row r="412" spans="1:11">
      <c r="B412" s="198" t="s">
        <v>365</v>
      </c>
      <c r="C412" s="468">
        <f>24.14*1000</f>
        <v>24140</v>
      </c>
      <c r="D412" s="468">
        <f>25.33*1000</f>
        <v>25330</v>
      </c>
      <c r="E412" s="469">
        <f>SUM(D412*E413)+D412</f>
        <v>26578.661971830985</v>
      </c>
      <c r="F412" s="469">
        <f t="shared" ref="F412" si="602">SUM(E412*F413)+E412</f>
        <v>27888.877702836737</v>
      </c>
      <c r="G412" s="469">
        <f t="shared" ref="G412" si="603">SUM(F412*G413)+F412</f>
        <v>29263.681533258263</v>
      </c>
      <c r="H412" s="469">
        <f t="shared" ref="H412" si="604">SUM(G412*H413)+G412</f>
        <v>30706.257383489301</v>
      </c>
      <c r="J412" s="362">
        <f t="shared" ref="J412" si="605">((H412/C412)^(1/COUNT(C412:H412))-1)</f>
        <v>4.0914208466160673E-2</v>
      </c>
      <c r="K412" s="467" t="s">
        <v>627</v>
      </c>
    </row>
    <row r="413" spans="1:11">
      <c r="B413" s="308" t="s">
        <v>44</v>
      </c>
      <c r="C413" s="372">
        <f>SUM(C412/'Revenue Projections &amp; Cases'!$H$29)-1</f>
        <v>-0.10416743978921583</v>
      </c>
      <c r="D413" s="340">
        <f>SUM(D412/C412)-1</f>
        <v>4.9295774647887258E-2</v>
      </c>
      <c r="E413" s="340">
        <f>D413</f>
        <v>4.9295774647887258E-2</v>
      </c>
      <c r="F413" s="340">
        <f t="shared" ref="F413:H413" si="606">E413</f>
        <v>4.9295774647887258E-2</v>
      </c>
      <c r="G413" s="340">
        <f t="shared" si="606"/>
        <v>4.9295774647887258E-2</v>
      </c>
      <c r="H413" s="340">
        <f t="shared" si="606"/>
        <v>4.9295774647887258E-2</v>
      </c>
      <c r="J413" s="363"/>
    </row>
    <row r="414" spans="1:11">
      <c r="B414" s="467" t="s">
        <v>374</v>
      </c>
      <c r="C414" s="468">
        <v>25300</v>
      </c>
      <c r="D414" s="468">
        <v>26300</v>
      </c>
      <c r="E414" s="468">
        <v>27000</v>
      </c>
      <c r="F414" s="468">
        <v>28000</v>
      </c>
      <c r="G414" s="468">
        <v>29600</v>
      </c>
      <c r="H414" s="468">
        <v>30500</v>
      </c>
      <c r="J414" s="362">
        <f t="shared" ref="J414" si="607">((H414/C414)^(1/COUNT(C414:H414))-1)</f>
        <v>3.1644070502969246E-2</v>
      </c>
      <c r="K414" s="467" t="s">
        <v>627</v>
      </c>
    </row>
    <row r="415" spans="1:11">
      <c r="B415" s="308" t="s">
        <v>44</v>
      </c>
      <c r="C415" s="372">
        <f>SUM(C414/'Revenue Projections &amp; Cases'!$H$29)-1</f>
        <v>-6.1119976249675245E-2</v>
      </c>
      <c r="D415" s="340">
        <f>SUM(D414/C414)-1</f>
        <v>3.9525691699604737E-2</v>
      </c>
      <c r="E415" s="340">
        <f t="shared" ref="E415" si="608">SUM(E414/D414)-1</f>
        <v>2.6615969581748944E-2</v>
      </c>
      <c r="F415" s="340">
        <f t="shared" ref="F415" si="609">SUM(F414/E414)-1</f>
        <v>3.7037037037036979E-2</v>
      </c>
      <c r="G415" s="340">
        <f t="shared" ref="G415" si="610">SUM(G414/F414)-1</f>
        <v>5.7142857142857162E-2</v>
      </c>
      <c r="H415" s="340">
        <f t="shared" ref="H415" si="611">SUM(H414/G414)-1</f>
        <v>3.0405405405405483E-2</v>
      </c>
      <c r="J415" s="364"/>
    </row>
    <row r="416" spans="1:11" ht="5.0999999999999996" customHeight="1">
      <c r="B416" s="393"/>
      <c r="C416" s="393"/>
      <c r="D416" s="393"/>
      <c r="E416" s="393"/>
      <c r="F416" s="393"/>
      <c r="G416" s="393"/>
      <c r="H416" s="393"/>
      <c r="I416" s="393"/>
      <c r="J416" s="393"/>
    </row>
    <row r="417" spans="1:11">
      <c r="B417" s="313" t="s">
        <v>222</v>
      </c>
      <c r="C417" s="315">
        <f t="shared" ref="C417:H419" si="612">MAX(C$410,C$412,C$414)</f>
        <v>29179.816771921203</v>
      </c>
      <c r="D417" s="315">
        <f t="shared" si="612"/>
        <v>30638.807610517266</v>
      </c>
      <c r="E417" s="315">
        <f t="shared" si="612"/>
        <v>32170.747991043128</v>
      </c>
      <c r="F417" s="315">
        <f t="shared" si="612"/>
        <v>33779.285390595287</v>
      </c>
      <c r="G417" s="315">
        <f t="shared" si="612"/>
        <v>35468.249660125053</v>
      </c>
      <c r="H417" s="315">
        <f t="shared" si="612"/>
        <v>37241.662143131311</v>
      </c>
      <c r="I417" s="309"/>
      <c r="J417" s="319">
        <f t="shared" ref="J417" si="613">((H417/C417)^(1/COUNT(C417:H417))-1)</f>
        <v>4.1496342698250865E-2</v>
      </c>
    </row>
    <row r="418" spans="1:11">
      <c r="B418" s="357" t="s">
        <v>44</v>
      </c>
      <c r="C418" s="366">
        <f>SUM(C417/'Revenue Projections &amp; Cases'!$H$29)-1</f>
        <v>8.2859567741166096E-2</v>
      </c>
      <c r="D418" s="387">
        <f>SUM(D417/C417)-1</f>
        <v>5.0000000000000044E-2</v>
      </c>
      <c r="E418" s="387">
        <f t="shared" ref="E418" si="614">SUM(E417/D417)-1</f>
        <v>5.0000000000000044E-2</v>
      </c>
      <c r="F418" s="387">
        <f t="shared" ref="F418" si="615">SUM(F417/E417)-1</f>
        <v>5.0000000000000044E-2</v>
      </c>
      <c r="G418" s="387">
        <f t="shared" ref="G418" si="616">SUM(G417/F417)-1</f>
        <v>5.0000000000000044E-2</v>
      </c>
      <c r="H418" s="387">
        <f t="shared" ref="H418" si="617">SUM(H417/G417)-1</f>
        <v>5.0000000000000044E-2</v>
      </c>
      <c r="I418" s="311"/>
      <c r="J418" s="317"/>
    </row>
    <row r="419" spans="1:11">
      <c r="B419" s="310" t="s">
        <v>412</v>
      </c>
      <c r="C419" s="316">
        <f t="shared" ref="C419:H421" si="618">MEDIAN(C$410,C$412,C$414)</f>
        <v>25300</v>
      </c>
      <c r="D419" s="316">
        <f t="shared" si="618"/>
        <v>26300</v>
      </c>
      <c r="E419" s="316">
        <f t="shared" si="618"/>
        <v>27000</v>
      </c>
      <c r="F419" s="316">
        <f t="shared" si="618"/>
        <v>28000</v>
      </c>
      <c r="G419" s="316">
        <f t="shared" si="618"/>
        <v>29600</v>
      </c>
      <c r="H419" s="316">
        <f t="shared" si="618"/>
        <v>30706.257383489301</v>
      </c>
      <c r="I419" s="311"/>
      <c r="J419" s="317">
        <f t="shared" ref="J419" si="619">((H419/C419)^(1/COUNT(C419:H419))-1)</f>
        <v>3.2803562883008341E-2</v>
      </c>
    </row>
    <row r="420" spans="1:11">
      <c r="B420" s="357" t="s">
        <v>44</v>
      </c>
      <c r="C420" s="366">
        <f>SUM(C419/'Revenue Projections &amp; Cases'!$H$29)-1</f>
        <v>-6.1119976249675245E-2</v>
      </c>
      <c r="D420" s="387">
        <f>SUM(D419/C419)-1</f>
        <v>3.9525691699604737E-2</v>
      </c>
      <c r="E420" s="387">
        <f t="shared" ref="E420" si="620">SUM(E419/D419)-1</f>
        <v>2.6615969581748944E-2</v>
      </c>
      <c r="F420" s="387">
        <f t="shared" ref="F420" si="621">SUM(F419/E419)-1</f>
        <v>3.7037037037036979E-2</v>
      </c>
      <c r="G420" s="387">
        <f t="shared" ref="G420" si="622">SUM(G419/F419)-1</f>
        <v>5.7142857142857162E-2</v>
      </c>
      <c r="H420" s="387">
        <f t="shared" ref="H420" si="623">SUM(H419/G419)-1</f>
        <v>3.7373560253016969E-2</v>
      </c>
      <c r="I420" s="311"/>
      <c r="J420" s="317"/>
    </row>
    <row r="421" spans="1:11">
      <c r="B421" s="310" t="s">
        <v>369</v>
      </c>
      <c r="C421" s="316">
        <f t="shared" ref="C421:H423" si="624">AVERAGE(C$410,C$412,C$414)</f>
        <v>26206.605590640404</v>
      </c>
      <c r="D421" s="316">
        <f t="shared" si="624"/>
        <v>27422.935870172423</v>
      </c>
      <c r="E421" s="316">
        <f t="shared" si="624"/>
        <v>28583.136654291371</v>
      </c>
      <c r="F421" s="316">
        <f t="shared" si="624"/>
        <v>29889.387697810675</v>
      </c>
      <c r="G421" s="316">
        <f t="shared" si="624"/>
        <v>31443.977064461109</v>
      </c>
      <c r="H421" s="316">
        <f t="shared" si="624"/>
        <v>32815.973175540203</v>
      </c>
      <c r="I421" s="311"/>
      <c r="J421" s="317">
        <f t="shared" ref="J421" si="625">((H421/C421)^(1/COUNT(C421:H421))-1)</f>
        <v>3.8195365602120113E-2</v>
      </c>
    </row>
    <row r="422" spans="1:11">
      <c r="B422" s="357" t="s">
        <v>44</v>
      </c>
      <c r="C422" s="366">
        <f>SUM(C421/'Revenue Projections &amp; Cases'!$H$29)-1</f>
        <v>-2.747594943257492E-2</v>
      </c>
      <c r="D422" s="387">
        <f>SUM(D421/C421)-1</f>
        <v>4.6413118071515047E-2</v>
      </c>
      <c r="E422" s="387">
        <f t="shared" ref="E422" si="626">SUM(E421/D421)-1</f>
        <v>4.2307679586593094E-2</v>
      </c>
      <c r="F422" s="387">
        <f t="shared" ref="F422" si="627">SUM(F421/E421)-1</f>
        <v>4.5700059420287209E-2</v>
      </c>
      <c r="G422" s="387">
        <f t="shared" ref="G422" si="628">SUM(G421/F421)-1</f>
        <v>5.2011415635801139E-2</v>
      </c>
      <c r="H422" s="387">
        <f t="shared" ref="H422" si="629">SUM(H421/G421)-1</f>
        <v>4.3633033705197555E-2</v>
      </c>
      <c r="I422" s="311"/>
      <c r="J422" s="317"/>
    </row>
    <row r="423" spans="1:11">
      <c r="B423" s="356" t="s">
        <v>348</v>
      </c>
      <c r="C423" s="316">
        <f t="shared" ref="C423:H423" si="630">MIN(C$410,C$412,C$414)</f>
        <v>24140</v>
      </c>
      <c r="D423" s="316">
        <f t="shared" si="630"/>
        <v>25330</v>
      </c>
      <c r="E423" s="316">
        <f t="shared" si="630"/>
        <v>26578.661971830985</v>
      </c>
      <c r="F423" s="316">
        <f t="shared" si="630"/>
        <v>27888.877702836737</v>
      </c>
      <c r="G423" s="316">
        <f t="shared" si="630"/>
        <v>29263.681533258263</v>
      </c>
      <c r="H423" s="316">
        <f t="shared" si="630"/>
        <v>30500</v>
      </c>
      <c r="I423" s="311"/>
      <c r="J423" s="317">
        <f t="shared" ref="J423" si="631">((H423/C423)^(1/COUNT(C423:H423))-1)</f>
        <v>3.9745610548448607E-2</v>
      </c>
    </row>
    <row r="424" spans="1:11">
      <c r="B424" s="358" t="s">
        <v>44</v>
      </c>
      <c r="C424" s="367">
        <f>SUM(C423/'Revenue Projections &amp; Cases'!$H$29)-1</f>
        <v>-0.10416743978921583</v>
      </c>
      <c r="D424" s="388">
        <f>SUM(D423/C423)-1</f>
        <v>4.9295774647887258E-2</v>
      </c>
      <c r="E424" s="388">
        <f t="shared" ref="E424" si="632">SUM(E423/D423)-1</f>
        <v>4.9295774647887258E-2</v>
      </c>
      <c r="F424" s="388">
        <f t="shared" ref="F424" si="633">SUM(F423/E423)-1</f>
        <v>4.9295774647887258E-2</v>
      </c>
      <c r="G424" s="388">
        <f t="shared" ref="G424" si="634">SUM(G423/F423)-1</f>
        <v>4.9295774647887258E-2</v>
      </c>
      <c r="H424" s="388">
        <f t="shared" ref="H424" si="635">SUM(H423/G423)-1</f>
        <v>4.2247536945638764E-2</v>
      </c>
      <c r="I424" s="312"/>
      <c r="J424" s="318"/>
    </row>
    <row r="426" spans="1:11">
      <c r="A426" s="391" t="s">
        <v>24</v>
      </c>
      <c r="B426" s="247" t="s">
        <v>584</v>
      </c>
      <c r="C426" s="247"/>
      <c r="D426" s="247"/>
      <c r="E426" s="247"/>
      <c r="F426" s="247"/>
      <c r="G426" s="247"/>
      <c r="H426" s="247"/>
      <c r="I426" s="247"/>
      <c r="J426" s="247"/>
    </row>
    <row r="427" spans="1:11" ht="5.0999999999999996" customHeight="1"/>
    <row r="428" spans="1:11">
      <c r="A428" s="391" t="s">
        <v>24</v>
      </c>
      <c r="B428" s="247" t="s">
        <v>585</v>
      </c>
      <c r="C428" s="229" t="s">
        <v>165</v>
      </c>
      <c r="D428" s="229"/>
      <c r="E428" s="229"/>
      <c r="F428" s="229"/>
      <c r="G428" s="229"/>
      <c r="H428" s="229"/>
      <c r="I428" s="248"/>
      <c r="J428" s="2" t="s">
        <v>370</v>
      </c>
    </row>
    <row r="429" spans="1:11">
      <c r="B429" s="303" t="s">
        <v>410</v>
      </c>
      <c r="C429" s="304" t="str">
        <f>C$9</f>
        <v>2026E</v>
      </c>
      <c r="D429" s="304" t="str">
        <f>D$9</f>
        <v>2027E</v>
      </c>
      <c r="E429" s="304" t="str">
        <f>E$9</f>
        <v>2028E</v>
      </c>
      <c r="F429" s="304" t="str">
        <f>F$9</f>
        <v>2029E</v>
      </c>
      <c r="G429" s="304" t="str">
        <f>G$9</f>
        <v>2030E</v>
      </c>
      <c r="H429" s="304" t="str">
        <f>H$9</f>
        <v>2031E</v>
      </c>
      <c r="I429" s="248"/>
      <c r="J429" s="200" t="str">
        <f>$J$9</f>
        <v>6-Year(F)</v>
      </c>
    </row>
    <row r="430" spans="1:11">
      <c r="B430" s="303" t="s">
        <v>411</v>
      </c>
      <c r="C430" s="248">
        <f>C$10</f>
        <v>46295</v>
      </c>
      <c r="D430" s="248">
        <f>D$10</f>
        <v>46660</v>
      </c>
      <c r="E430" s="248">
        <f>E$10</f>
        <v>47026</v>
      </c>
      <c r="F430" s="248">
        <f>F$10</f>
        <v>47391</v>
      </c>
      <c r="G430" s="248">
        <f>G$10</f>
        <v>47756</v>
      </c>
      <c r="H430" s="248">
        <f>H$10</f>
        <v>48121</v>
      </c>
      <c r="I430" s="248"/>
      <c r="J430" s="3">
        <f>$H$42</f>
        <v>48121</v>
      </c>
    </row>
    <row r="431" spans="1:11" ht="5.0999999999999996" customHeight="1">
      <c r="B431" s="307"/>
    </row>
    <row r="432" spans="1:11">
      <c r="B432" s="467" t="s">
        <v>364</v>
      </c>
      <c r="C432" s="468">
        <v>1195.0499074946861</v>
      </c>
      <c r="D432" s="468">
        <v>1183.1208121688255</v>
      </c>
      <c r="E432" s="468">
        <v>1171.6687887881051</v>
      </c>
      <c r="F432" s="469">
        <f t="shared" ref="F432" si="636">SUM(E432*F433)+E432</f>
        <v>1160.3276153207355</v>
      </c>
      <c r="G432" s="469">
        <f t="shared" ref="G432" si="637">SUM(F432*G433)+F432</f>
        <v>1149.0962187944672</v>
      </c>
      <c r="H432" s="469">
        <f t="shared" ref="H432" si="638">SUM(G432*H433)+G432</f>
        <v>1137.9735366228904</v>
      </c>
      <c r="J432" s="365">
        <f t="shared" ref="J432" si="639">((H432/C432)^(1/COUNT(C432:H432))-1)</f>
        <v>-8.1233040160246794E-3</v>
      </c>
      <c r="K432" s="467" t="s">
        <v>627</v>
      </c>
    </row>
    <row r="433" spans="1:11">
      <c r="B433" s="308" t="s">
        <v>44</v>
      </c>
      <c r="C433" s="372">
        <f>SUM(C432/'Revenue Projections &amp; Cases'!$H$37)-1</f>
        <v>-4.4724294568596279E-2</v>
      </c>
      <c r="D433" s="340">
        <f t="shared" ref="D433" si="640">SUM(D432/C432)-1</f>
        <v>-9.9820896608986409E-3</v>
      </c>
      <c r="E433" s="340">
        <f t="shared" ref="E433" si="641">SUM(E432/D432)-1</f>
        <v>-9.6795046312534438E-3</v>
      </c>
      <c r="F433" s="340">
        <f>E433</f>
        <v>-9.6795046312534438E-3</v>
      </c>
      <c r="G433" s="340">
        <f t="shared" ref="G433:H433" si="642">F433</f>
        <v>-9.6795046312534438E-3</v>
      </c>
      <c r="H433" s="340">
        <f t="shared" si="642"/>
        <v>-9.6795046312534438E-3</v>
      </c>
      <c r="J433" s="363"/>
    </row>
    <row r="434" spans="1:11">
      <c r="B434" s="198" t="s">
        <v>365</v>
      </c>
      <c r="C434" s="468">
        <v>1385</v>
      </c>
      <c r="D434" s="468">
        <v>1397</v>
      </c>
      <c r="E434" s="469">
        <f>SUM(D434*E435)+D434</f>
        <v>1409.1039711191333</v>
      </c>
      <c r="F434" s="469">
        <f t="shared" ref="F434" si="643">SUM(E434*F435)+E434</f>
        <v>1421.3128141902016</v>
      </c>
      <c r="G434" s="469">
        <f t="shared" ref="G434" si="644">SUM(F434*G435)+F434</f>
        <v>1433.6274378510552</v>
      </c>
      <c r="H434" s="469">
        <f t="shared" ref="H434" si="645">SUM(G434*H435)+G434</f>
        <v>1446.0487586122194</v>
      </c>
      <c r="J434" s="362">
        <f t="shared" ref="J434" si="646">((H434/C434)^(1/COUNT(C434:H434))-1)</f>
        <v>7.2150209371029117E-3</v>
      </c>
      <c r="K434" s="467" t="s">
        <v>627</v>
      </c>
    </row>
    <row r="435" spans="1:11">
      <c r="B435" s="308" t="s">
        <v>44</v>
      </c>
      <c r="C435" s="372">
        <f>SUM(C434/'Revenue Projections &amp; Cases'!$H$37)-1</f>
        <v>0.1071143085531574</v>
      </c>
      <c r="D435" s="340">
        <f>SUM(D434/C434)-1</f>
        <v>8.664259927797735E-3</v>
      </c>
      <c r="E435" s="340">
        <f>D435</f>
        <v>8.664259927797735E-3</v>
      </c>
      <c r="F435" s="340">
        <f t="shared" ref="F435:H435" si="647">E435</f>
        <v>8.664259927797735E-3</v>
      </c>
      <c r="G435" s="340">
        <f t="shared" si="647"/>
        <v>8.664259927797735E-3</v>
      </c>
      <c r="H435" s="340">
        <f t="shared" si="647"/>
        <v>8.664259927797735E-3</v>
      </c>
      <c r="J435" s="363"/>
    </row>
    <row r="436" spans="1:11">
      <c r="B436" s="467" t="s">
        <v>374</v>
      </c>
      <c r="C436" s="468">
        <v>1366.2</v>
      </c>
      <c r="D436" s="468">
        <v>1355.1</v>
      </c>
      <c r="E436" s="468">
        <v>1363</v>
      </c>
      <c r="F436" s="468">
        <v>1390.2</v>
      </c>
      <c r="G436" s="468">
        <v>1390.2</v>
      </c>
      <c r="H436" s="468">
        <v>1362.4</v>
      </c>
      <c r="J436" s="362">
        <f t="shared" ref="J436" si="648">((H436/C436)^(1/COUNT(C436:H436))-1)</f>
        <v>-4.6411109199095968E-4</v>
      </c>
      <c r="K436" s="467" t="s">
        <v>627</v>
      </c>
    </row>
    <row r="437" spans="1:11">
      <c r="B437" s="308" t="s">
        <v>44</v>
      </c>
      <c r="C437" s="372">
        <f>SUM(C436/'Revenue Projections &amp; Cases'!$H$37)-1</f>
        <v>9.2086330935251759E-2</v>
      </c>
      <c r="D437" s="340">
        <f>SUM(D436/C436)-1</f>
        <v>-8.1247255160299403E-3</v>
      </c>
      <c r="E437" s="340">
        <f t="shared" ref="E437" si="649">SUM(E436/D436)-1</f>
        <v>5.8298280569699656E-3</v>
      </c>
      <c r="F437" s="340">
        <f t="shared" ref="F437" si="650">SUM(F436/E436)-1</f>
        <v>1.9955979457080053E-2</v>
      </c>
      <c r="G437" s="340">
        <f t="shared" ref="G437" si="651">SUM(G436/F436)-1</f>
        <v>0</v>
      </c>
      <c r="H437" s="340">
        <f t="shared" ref="H437" si="652">SUM(H436/G436)-1</f>
        <v>-1.9997122716155946E-2</v>
      </c>
      <c r="J437" s="364"/>
    </row>
    <row r="438" spans="1:11" ht="5.0999999999999996" customHeight="1">
      <c r="B438" s="393"/>
      <c r="C438" s="393"/>
      <c r="D438" s="393"/>
      <c r="E438" s="393"/>
      <c r="F438" s="393"/>
      <c r="G438" s="393"/>
      <c r="H438" s="393"/>
      <c r="I438" s="393"/>
      <c r="J438" s="393"/>
    </row>
    <row r="439" spans="1:11">
      <c r="B439" s="313" t="s">
        <v>222</v>
      </c>
      <c r="C439" s="480">
        <f t="shared" ref="C439:H441" si="653">MAX(C$432,C$434,C$436)</f>
        <v>1385</v>
      </c>
      <c r="D439" s="480">
        <f t="shared" si="653"/>
        <v>1397</v>
      </c>
      <c r="E439" s="480">
        <f t="shared" si="653"/>
        <v>1409.1039711191333</v>
      </c>
      <c r="F439" s="480">
        <f t="shared" si="653"/>
        <v>1421.3128141902016</v>
      </c>
      <c r="G439" s="480">
        <f t="shared" si="653"/>
        <v>1433.6274378510552</v>
      </c>
      <c r="H439" s="480">
        <f t="shared" si="653"/>
        <v>1446.0487586122194</v>
      </c>
      <c r="I439" s="309"/>
      <c r="J439" s="319">
        <f t="shared" ref="J439" si="654">((H439/C439)^(1/COUNT(C439:H439))-1)</f>
        <v>7.2150209371029117E-3</v>
      </c>
    </row>
    <row r="440" spans="1:11">
      <c r="B440" s="357" t="s">
        <v>44</v>
      </c>
      <c r="C440" s="366">
        <f>SUM(C439/'Revenue Projections &amp; Cases'!$H$37)-1</f>
        <v>0.1071143085531574</v>
      </c>
      <c r="D440" s="387">
        <f>SUM(D439/C439)-1</f>
        <v>8.664259927797735E-3</v>
      </c>
      <c r="E440" s="387">
        <f t="shared" ref="E440" si="655">SUM(E439/D439)-1</f>
        <v>8.664259927797735E-3</v>
      </c>
      <c r="F440" s="387">
        <f t="shared" ref="F440" si="656">SUM(F439/E439)-1</f>
        <v>8.664259927797735E-3</v>
      </c>
      <c r="G440" s="387">
        <f t="shared" ref="G440" si="657">SUM(G439/F439)-1</f>
        <v>8.664259927797735E-3</v>
      </c>
      <c r="H440" s="387">
        <f t="shared" ref="H440" si="658">SUM(H439/G439)-1</f>
        <v>8.664259927797735E-3</v>
      </c>
      <c r="I440" s="311"/>
      <c r="J440" s="317"/>
    </row>
    <row r="441" spans="1:11">
      <c r="B441" s="310" t="s">
        <v>412</v>
      </c>
      <c r="C441" s="478">
        <f t="shared" ref="C441:H441" si="659">MEDIAN(C$432,C$434,C$436)</f>
        <v>1366.2</v>
      </c>
      <c r="D441" s="478">
        <f t="shared" si="659"/>
        <v>1355.1</v>
      </c>
      <c r="E441" s="478">
        <f t="shared" si="659"/>
        <v>1363</v>
      </c>
      <c r="F441" s="478">
        <f t="shared" si="659"/>
        <v>1390.2</v>
      </c>
      <c r="G441" s="478">
        <f t="shared" si="659"/>
        <v>1390.2</v>
      </c>
      <c r="H441" s="478">
        <f t="shared" si="659"/>
        <v>1362.4</v>
      </c>
      <c r="I441" s="311"/>
      <c r="J441" s="317">
        <f t="shared" ref="J441" si="660">((H441/C441)^(1/COUNT(C441:H441))-1)</f>
        <v>-4.6411109199095968E-4</v>
      </c>
    </row>
    <row r="442" spans="1:11">
      <c r="B442" s="357" t="s">
        <v>44</v>
      </c>
      <c r="C442" s="366">
        <f>SUM(C441/'Revenue Projections &amp; Cases'!$H$37)-1</f>
        <v>9.2086330935251759E-2</v>
      </c>
      <c r="D442" s="387">
        <f>SUM(D441/C441)-1</f>
        <v>-8.1247255160299403E-3</v>
      </c>
      <c r="E442" s="387">
        <f t="shared" ref="E442" si="661">SUM(E441/D441)-1</f>
        <v>5.8298280569699656E-3</v>
      </c>
      <c r="F442" s="387">
        <f t="shared" ref="F442" si="662">SUM(F441/E441)-1</f>
        <v>1.9955979457080053E-2</v>
      </c>
      <c r="G442" s="387">
        <f t="shared" ref="G442" si="663">SUM(G441/F441)-1</f>
        <v>0</v>
      </c>
      <c r="H442" s="387">
        <f t="shared" ref="H442" si="664">SUM(H441/G441)-1</f>
        <v>-1.9997122716155946E-2</v>
      </c>
      <c r="I442" s="311"/>
      <c r="J442" s="317"/>
    </row>
    <row r="443" spans="1:11">
      <c r="B443" s="310" t="s">
        <v>369</v>
      </c>
      <c r="C443" s="478">
        <f t="shared" ref="C443:H445" si="665">AVERAGE(C$432,C$434,C$436)</f>
        <v>1315.4166358315622</v>
      </c>
      <c r="D443" s="478">
        <f t="shared" si="665"/>
        <v>1311.7402707229419</v>
      </c>
      <c r="E443" s="478">
        <f t="shared" si="665"/>
        <v>1314.5909199690796</v>
      </c>
      <c r="F443" s="478">
        <f t="shared" si="665"/>
        <v>1323.9468098369789</v>
      </c>
      <c r="G443" s="478">
        <f t="shared" si="665"/>
        <v>1324.3078855485073</v>
      </c>
      <c r="H443" s="478">
        <f t="shared" si="665"/>
        <v>1315.4740984117032</v>
      </c>
      <c r="I443" s="311"/>
      <c r="J443" s="317">
        <f t="shared" ref="J443" si="666">((H443/C443)^(1/COUNT(C443:H443))-1)</f>
        <v>7.2805239914597308E-6</v>
      </c>
    </row>
    <row r="444" spans="1:11">
      <c r="B444" s="357" t="s">
        <v>44</v>
      </c>
      <c r="C444" s="366">
        <f>SUM(C443/'Revenue Projections &amp; Cases'!$H$37)-1</f>
        <v>5.1492114973271219E-2</v>
      </c>
      <c r="D444" s="387">
        <f>SUM(D443/C443)-1</f>
        <v>-2.7948294163819831E-3</v>
      </c>
      <c r="E444" s="387">
        <f t="shared" ref="E444" si="667">SUM(E443/D443)-1</f>
        <v>2.1731811622789365E-3</v>
      </c>
      <c r="F444" s="387">
        <f t="shared" ref="F444" si="668">SUM(F443/E443)-1</f>
        <v>7.1169591435482626E-3</v>
      </c>
      <c r="G444" s="387">
        <f t="shared" ref="G444" si="669">SUM(G443/F443)-1</f>
        <v>2.7272675068634733E-4</v>
      </c>
      <c r="H444" s="387">
        <f t="shared" ref="H444" si="670">SUM(H443/G443)-1</f>
        <v>-6.6704934956611783E-3</v>
      </c>
      <c r="I444" s="311"/>
      <c r="J444" s="317"/>
    </row>
    <row r="445" spans="1:11">
      <c r="B445" s="356" t="s">
        <v>348</v>
      </c>
      <c r="C445" s="479">
        <f t="shared" ref="C445:H445" si="671">MIN(C$432,C$434,C$436)</f>
        <v>1195.0499074946861</v>
      </c>
      <c r="D445" s="479">
        <f t="shared" si="671"/>
        <v>1183.1208121688255</v>
      </c>
      <c r="E445" s="479">
        <f t="shared" si="671"/>
        <v>1171.6687887881051</v>
      </c>
      <c r="F445" s="479">
        <f t="shared" si="671"/>
        <v>1160.3276153207355</v>
      </c>
      <c r="G445" s="479">
        <f t="shared" si="671"/>
        <v>1149.0962187944672</v>
      </c>
      <c r="H445" s="479">
        <f t="shared" si="671"/>
        <v>1137.9735366228904</v>
      </c>
      <c r="I445" s="311"/>
      <c r="J445" s="317">
        <f t="shared" ref="J445" si="672">((H445/C445)^(1/COUNT(C445:H445))-1)</f>
        <v>-8.1233040160246794E-3</v>
      </c>
    </row>
    <row r="446" spans="1:11">
      <c r="B446" s="358" t="s">
        <v>44</v>
      </c>
      <c r="C446" s="367">
        <f>SUM(C445/'Revenue Projections &amp; Cases'!$H$37)-1</f>
        <v>-4.4724294568596279E-2</v>
      </c>
      <c r="D446" s="388">
        <f>SUM(D445/C445)-1</f>
        <v>-9.9820896608986409E-3</v>
      </c>
      <c r="E446" s="388">
        <f t="shared" ref="E446" si="673">SUM(E445/D445)-1</f>
        <v>-9.6795046312534438E-3</v>
      </c>
      <c r="F446" s="388">
        <f t="shared" ref="F446" si="674">SUM(F445/E445)-1</f>
        <v>-9.6795046312534438E-3</v>
      </c>
      <c r="G446" s="388">
        <f t="shared" ref="G446" si="675">SUM(G445/F445)-1</f>
        <v>-9.6795046312534438E-3</v>
      </c>
      <c r="H446" s="388">
        <f t="shared" ref="H446" si="676">SUM(H445/G445)-1</f>
        <v>-9.6795046312533328E-3</v>
      </c>
      <c r="I446" s="312"/>
      <c r="J446" s="318"/>
    </row>
    <row r="448" spans="1:11">
      <c r="A448" s="391" t="s">
        <v>24</v>
      </c>
      <c r="B448" s="247" t="s">
        <v>584</v>
      </c>
      <c r="C448" s="247"/>
      <c r="D448" s="247"/>
      <c r="E448" s="247"/>
      <c r="F448" s="247"/>
      <c r="G448" s="247"/>
      <c r="H448" s="247"/>
      <c r="I448" s="247"/>
      <c r="J448" s="247"/>
    </row>
    <row r="449" spans="2:11" ht="5.0999999999999996" customHeight="1"/>
    <row r="450" spans="2:11">
      <c r="B450" s="247" t="s">
        <v>399</v>
      </c>
      <c r="C450" s="229" t="s">
        <v>165</v>
      </c>
      <c r="D450" s="229"/>
      <c r="E450" s="229"/>
      <c r="F450" s="229"/>
      <c r="G450" s="229"/>
      <c r="H450" s="229"/>
      <c r="I450" s="248"/>
      <c r="J450" s="2" t="s">
        <v>370</v>
      </c>
    </row>
    <row r="451" spans="2:11">
      <c r="B451" s="303" t="s">
        <v>410</v>
      </c>
      <c r="C451" s="304" t="str">
        <f>C$9</f>
        <v>2026E</v>
      </c>
      <c r="D451" s="304" t="str">
        <f>D$9</f>
        <v>2027E</v>
      </c>
      <c r="E451" s="304" t="str">
        <f>E$9</f>
        <v>2028E</v>
      </c>
      <c r="F451" s="304" t="str">
        <f>F$9</f>
        <v>2029E</v>
      </c>
      <c r="G451" s="304" t="str">
        <f>G$9</f>
        <v>2030E</v>
      </c>
      <c r="H451" s="304" t="str">
        <f>H$9</f>
        <v>2031E</v>
      </c>
      <c r="I451" s="248"/>
      <c r="J451" s="200" t="str">
        <f>$J$9</f>
        <v>6-Year(F)</v>
      </c>
    </row>
    <row r="452" spans="2:11">
      <c r="B452" s="303" t="s">
        <v>411</v>
      </c>
      <c r="C452" s="248">
        <f>C$10</f>
        <v>46295</v>
      </c>
      <c r="D452" s="248">
        <f>D$10</f>
        <v>46660</v>
      </c>
      <c r="E452" s="248">
        <f>E$10</f>
        <v>47026</v>
      </c>
      <c r="F452" s="248">
        <f>F$10</f>
        <v>47391</v>
      </c>
      <c r="G452" s="248">
        <f>G$10</f>
        <v>47756</v>
      </c>
      <c r="H452" s="248">
        <f>H$10</f>
        <v>48121</v>
      </c>
      <c r="I452" s="248"/>
      <c r="J452" s="3">
        <f>$H$42</f>
        <v>48121</v>
      </c>
    </row>
    <row r="453" spans="2:11" ht="5.0999999999999996" customHeight="1">
      <c r="B453" s="307"/>
    </row>
    <row r="454" spans="2:11">
      <c r="B454" s="467" t="s">
        <v>364</v>
      </c>
      <c r="C454" s="468">
        <v>54042.766970220015</v>
      </c>
      <c r="D454" s="468">
        <v>56744.90531873102</v>
      </c>
      <c r="E454" s="468">
        <v>59582.150584667572</v>
      </c>
      <c r="F454" s="469">
        <f t="shared" ref="F454" si="677">SUM(E454*F455)+E454</f>
        <v>62561.258113900956</v>
      </c>
      <c r="G454" s="469">
        <f t="shared" ref="G454" si="678">SUM(F454*G455)+F454</f>
        <v>65689.321019596013</v>
      </c>
      <c r="H454" s="469">
        <f t="shared" ref="H454" si="679">SUM(G454*H455)+G454</f>
        <v>68973.787070575811</v>
      </c>
      <c r="J454" s="365">
        <f t="shared" ref="J454" si="680">((H454/C454)^(1/COUNT(C454:H454))-1)</f>
        <v>4.1496342698250865E-2</v>
      </c>
      <c r="K454" s="467" t="s">
        <v>627</v>
      </c>
    </row>
    <row r="455" spans="2:11">
      <c r="B455" s="308" t="s">
        <v>44</v>
      </c>
      <c r="C455" s="372">
        <f>SUM(C454/'Revenue Projections &amp; Cases'!$H$28)-1</f>
        <v>6.2787944350442659E-2</v>
      </c>
      <c r="D455" s="340">
        <f t="shared" ref="D455" si="681">SUM(D454/C454)-1</f>
        <v>5.0000000000000044E-2</v>
      </c>
      <c r="E455" s="340">
        <f t="shared" ref="E455" si="682">SUM(E454/D454)-1</f>
        <v>5.0000000000000044E-2</v>
      </c>
      <c r="F455" s="340">
        <f>E455</f>
        <v>5.0000000000000044E-2</v>
      </c>
      <c r="G455" s="340">
        <f t="shared" ref="G455:H455" si="683">F455</f>
        <v>5.0000000000000044E-2</v>
      </c>
      <c r="H455" s="340">
        <f t="shared" si="683"/>
        <v>5.0000000000000044E-2</v>
      </c>
      <c r="J455" s="363"/>
    </row>
    <row r="456" spans="2:11">
      <c r="B456" s="198" t="s">
        <v>365</v>
      </c>
      <c r="C456" s="468">
        <f>59.12*1000</f>
        <v>59120</v>
      </c>
      <c r="D456" s="468">
        <f>57.45*1000</f>
        <v>57450</v>
      </c>
      <c r="E456" s="469">
        <f>SUM(D456*E457)+D456</f>
        <v>55827.173545331534</v>
      </c>
      <c r="F456" s="469">
        <f t="shared" ref="F456" si="684">SUM(E456*F457)+E456</f>
        <v>54250.188095049001</v>
      </c>
      <c r="G456" s="469">
        <f t="shared" ref="G456" si="685">SUM(F456*G457)+F456</f>
        <v>52717.748749332968</v>
      </c>
      <c r="H456" s="469">
        <f t="shared" ref="H456" si="686">SUM(G456*H457)+G456</f>
        <v>51228.597186217507</v>
      </c>
      <c r="J456" s="362">
        <f t="shared" ref="J456" si="687">((H456/C456)^(1/COUNT(C456:H456))-1)</f>
        <v>-2.3595723187098794E-2</v>
      </c>
      <c r="K456" s="467" t="s">
        <v>627</v>
      </c>
    </row>
    <row r="457" spans="2:11">
      <c r="B457" s="308" t="s">
        <v>44</v>
      </c>
      <c r="C457" s="372">
        <f>SUM(C456/'Revenue Projections &amp; Cases'!$H$28)-1</f>
        <v>0.16263520157325462</v>
      </c>
      <c r="D457" s="340">
        <f>SUM(D456/C456)-1</f>
        <v>-2.8247631935047313E-2</v>
      </c>
      <c r="E457" s="340">
        <f>D457</f>
        <v>-2.8247631935047313E-2</v>
      </c>
      <c r="F457" s="340">
        <f t="shared" ref="F457:H457" si="688">E457</f>
        <v>-2.8247631935047313E-2</v>
      </c>
      <c r="G457" s="340">
        <f t="shared" si="688"/>
        <v>-2.8247631935047313E-2</v>
      </c>
      <c r="H457" s="340">
        <f t="shared" si="688"/>
        <v>-2.8247631935047313E-2</v>
      </c>
      <c r="J457" s="363"/>
    </row>
    <row r="458" spans="2:11">
      <c r="B458" s="467" t="s">
        <v>374</v>
      </c>
      <c r="C458" s="468">
        <v>43200</v>
      </c>
      <c r="D458" s="468">
        <v>43200</v>
      </c>
      <c r="E458" s="468">
        <v>45700</v>
      </c>
      <c r="F458" s="468">
        <v>44100</v>
      </c>
      <c r="G458" s="468">
        <v>44600</v>
      </c>
      <c r="H458" s="468">
        <v>45700</v>
      </c>
      <c r="J458" s="362">
        <f t="shared" ref="J458" si="689">((H458/C458)^(1/COUNT(C458:H458))-1)</f>
        <v>9.4203956555751756E-3</v>
      </c>
      <c r="K458" s="467" t="s">
        <v>627</v>
      </c>
    </row>
    <row r="459" spans="2:11">
      <c r="B459" s="308" t="s">
        <v>44</v>
      </c>
      <c r="C459" s="372">
        <f>SUM(C458/'Revenue Projections &amp; Cases'!$H$28)-1</f>
        <v>-0.15044247787610621</v>
      </c>
      <c r="D459" s="340">
        <f>SUM(D458/C458)-1</f>
        <v>0</v>
      </c>
      <c r="E459" s="340">
        <f t="shared" ref="E459" si="690">SUM(E458/D458)-1</f>
        <v>5.7870370370370461E-2</v>
      </c>
      <c r="F459" s="340">
        <f t="shared" ref="F459" si="691">SUM(F458/E458)-1</f>
        <v>-3.5010940919037226E-2</v>
      </c>
      <c r="G459" s="340">
        <f t="shared" ref="G459" si="692">SUM(G458/F458)-1</f>
        <v>1.133786848072571E-2</v>
      </c>
      <c r="H459" s="340">
        <f t="shared" ref="H459" si="693">SUM(H458/G458)-1</f>
        <v>2.4663677130044803E-2</v>
      </c>
      <c r="J459" s="364"/>
    </row>
    <row r="460" spans="2:11" ht="5.0999999999999996" customHeight="1">
      <c r="B460" s="393"/>
      <c r="C460" s="393"/>
      <c r="D460" s="393"/>
      <c r="E460" s="393"/>
      <c r="F460" s="393"/>
      <c r="G460" s="393"/>
      <c r="H460" s="393"/>
      <c r="I460" s="393"/>
      <c r="J460" s="393"/>
    </row>
    <row r="461" spans="2:11">
      <c r="B461" s="313" t="s">
        <v>222</v>
      </c>
      <c r="C461" s="383">
        <f t="shared" ref="C461:H463" si="694">MAX(C$454,C$456,C$458)</f>
        <v>59120</v>
      </c>
      <c r="D461" s="383">
        <f t="shared" si="694"/>
        <v>57450</v>
      </c>
      <c r="E461" s="383">
        <f t="shared" si="694"/>
        <v>59582.150584667572</v>
      </c>
      <c r="F461" s="383">
        <f t="shared" si="694"/>
        <v>62561.258113900956</v>
      </c>
      <c r="G461" s="383">
        <f t="shared" si="694"/>
        <v>65689.321019596013</v>
      </c>
      <c r="H461" s="383">
        <f t="shared" si="694"/>
        <v>68973.787070575811</v>
      </c>
      <c r="I461" s="309"/>
      <c r="J461" s="319">
        <f t="shared" ref="J461" si="695">((H461/C461)^(1/COUNT(C461:H461))-1)</f>
        <v>2.6025783320684059E-2</v>
      </c>
    </row>
    <row r="462" spans="2:11">
      <c r="B462" s="357" t="s">
        <v>44</v>
      </c>
      <c r="C462" s="366">
        <f>SUM(C461/'Revenue Projections &amp; Cases'!$H$28)-1</f>
        <v>0.16263520157325462</v>
      </c>
      <c r="D462" s="387">
        <f>SUM(D461/C461)-1</f>
        <v>-2.8247631935047313E-2</v>
      </c>
      <c r="E462" s="387">
        <f t="shared" ref="E462" si="696">SUM(E461/D461)-1</f>
        <v>3.7113152039470299E-2</v>
      </c>
      <c r="F462" s="387">
        <f t="shared" ref="F462" si="697">SUM(F461/E461)-1</f>
        <v>5.0000000000000044E-2</v>
      </c>
      <c r="G462" s="387">
        <f t="shared" ref="G462" si="698">SUM(G461/F461)-1</f>
        <v>5.0000000000000044E-2</v>
      </c>
      <c r="H462" s="387">
        <f t="shared" ref="H462" si="699">SUM(H461/G461)-1</f>
        <v>5.0000000000000044E-2</v>
      </c>
      <c r="I462" s="311"/>
      <c r="J462" s="317"/>
    </row>
    <row r="463" spans="2:11">
      <c r="B463" s="310" t="s">
        <v>412</v>
      </c>
      <c r="C463" s="371">
        <f t="shared" ref="C463:H465" si="700">MEDIAN(C$454,C$456,C$458)</f>
        <v>54042.766970220015</v>
      </c>
      <c r="D463" s="371">
        <f t="shared" si="700"/>
        <v>56744.90531873102</v>
      </c>
      <c r="E463" s="371">
        <f t="shared" si="700"/>
        <v>55827.173545331534</v>
      </c>
      <c r="F463" s="371">
        <f t="shared" si="700"/>
        <v>54250.188095049001</v>
      </c>
      <c r="G463" s="371">
        <f t="shared" si="700"/>
        <v>52717.748749332968</v>
      </c>
      <c r="H463" s="371">
        <f t="shared" si="700"/>
        <v>51228.597186217507</v>
      </c>
      <c r="I463" s="311"/>
      <c r="J463" s="317">
        <f t="shared" ref="J463" si="701">((H463/C463)^(1/COUNT(C463:H463))-1)</f>
        <v>-8.8733637820008759E-3</v>
      </c>
    </row>
    <row r="464" spans="2:11">
      <c r="B464" s="357" t="s">
        <v>44</v>
      </c>
      <c r="C464" s="366">
        <f>SUM(C463/'Revenue Projections &amp; Cases'!$H$28)-1</f>
        <v>6.2787944350442659E-2</v>
      </c>
      <c r="D464" s="387">
        <f>SUM(D463/C463)-1</f>
        <v>5.0000000000000044E-2</v>
      </c>
      <c r="E464" s="387">
        <f t="shared" ref="E464" si="702">SUM(E463/D463)-1</f>
        <v>-1.6172936904990332E-2</v>
      </c>
      <c r="F464" s="387">
        <f t="shared" ref="F464" si="703">SUM(F463/E463)-1</f>
        <v>-2.8247631935047313E-2</v>
      </c>
      <c r="G464" s="387">
        <f t="shared" ref="G464" si="704">SUM(G463/F463)-1</f>
        <v>-2.8247631935047424E-2</v>
      </c>
      <c r="H464" s="387">
        <f t="shared" ref="H464" si="705">SUM(H463/G463)-1</f>
        <v>-2.8247631935047424E-2</v>
      </c>
      <c r="I464" s="311"/>
      <c r="J464" s="317"/>
    </row>
    <row r="465" spans="2:11">
      <c r="B465" s="310" t="s">
        <v>369</v>
      </c>
      <c r="C465" s="371">
        <f t="shared" ref="C465:H467" si="706">AVERAGE(C$454,C$456,C$458)</f>
        <v>52120.922323406674</v>
      </c>
      <c r="D465" s="371">
        <f t="shared" si="706"/>
        <v>52464.968439577009</v>
      </c>
      <c r="E465" s="371">
        <f t="shared" si="706"/>
        <v>53703.108043333028</v>
      </c>
      <c r="F465" s="371">
        <f t="shared" si="706"/>
        <v>53637.148736316653</v>
      </c>
      <c r="G465" s="371">
        <f t="shared" si="706"/>
        <v>54335.689922976329</v>
      </c>
      <c r="H465" s="371">
        <f t="shared" si="706"/>
        <v>55300.794752264432</v>
      </c>
      <c r="I465" s="311"/>
      <c r="J465" s="317">
        <f t="shared" ref="J465" si="707">((H465/C465)^(1/COUNT(C465:H465))-1)</f>
        <v>9.9190091094667476E-3</v>
      </c>
    </row>
    <row r="466" spans="2:11">
      <c r="B466" s="357" t="s">
        <v>44</v>
      </c>
      <c r="C466" s="366">
        <f>SUM(C465/'Revenue Projections &amp; Cases'!$H$28)-1</f>
        <v>2.4993556015863838E-2</v>
      </c>
      <c r="D466" s="387">
        <f>SUM(D465/C465)-1</f>
        <v>6.6009214886020295E-3</v>
      </c>
      <c r="E466" s="387">
        <f t="shared" ref="E466" si="708">SUM(E465/D465)-1</f>
        <v>2.359935859261908E-2</v>
      </c>
      <c r="F466" s="387">
        <f t="shared" ref="F466" si="709">SUM(F465/E465)-1</f>
        <v>-1.2282214087712129E-3</v>
      </c>
      <c r="G466" s="387">
        <f t="shared" ref="G466" si="710">SUM(G465/F465)-1</f>
        <v>1.302345861249532E-2</v>
      </c>
      <c r="H466" s="387">
        <f t="shared" ref="H466" si="711">SUM(H465/G465)-1</f>
        <v>1.7761895186316545E-2</v>
      </c>
      <c r="I466" s="311"/>
      <c r="J466" s="317"/>
    </row>
    <row r="467" spans="2:11">
      <c r="B467" s="356" t="s">
        <v>348</v>
      </c>
      <c r="C467" s="371">
        <f t="shared" si="706"/>
        <v>52120.922323406674</v>
      </c>
      <c r="D467" s="371">
        <f t="shared" si="706"/>
        <v>52464.968439577009</v>
      </c>
      <c r="E467" s="371">
        <f t="shared" si="706"/>
        <v>53703.108043333028</v>
      </c>
      <c r="F467" s="371">
        <f t="shared" si="706"/>
        <v>53637.148736316653</v>
      </c>
      <c r="G467" s="371">
        <f t="shared" si="706"/>
        <v>54335.689922976329</v>
      </c>
      <c r="H467" s="371">
        <f t="shared" si="706"/>
        <v>55300.794752264432</v>
      </c>
      <c r="I467" s="311"/>
      <c r="J467" s="317">
        <f t="shared" ref="J467" si="712">((H467/C467)^(1/COUNT(C467:H467))-1)</f>
        <v>9.9190091094667476E-3</v>
      </c>
    </row>
    <row r="468" spans="2:11">
      <c r="B468" s="358" t="s">
        <v>44</v>
      </c>
      <c r="C468" s="367">
        <f>SUM(C467/'Revenue Projections &amp; Cases'!$H$28)-1</f>
        <v>2.4993556015863838E-2</v>
      </c>
      <c r="D468" s="388">
        <f>SUM(D467/C467)-1</f>
        <v>6.6009214886020295E-3</v>
      </c>
      <c r="E468" s="388">
        <f t="shared" ref="E468" si="713">SUM(E467/D467)-1</f>
        <v>2.359935859261908E-2</v>
      </c>
      <c r="F468" s="388">
        <f t="shared" ref="F468" si="714">SUM(F467/E467)-1</f>
        <v>-1.2282214087712129E-3</v>
      </c>
      <c r="G468" s="388">
        <f t="shared" ref="G468" si="715">SUM(G467/F467)-1</f>
        <v>1.302345861249532E-2</v>
      </c>
      <c r="H468" s="388">
        <f t="shared" ref="H468" si="716">SUM(H467/G467)-1</f>
        <v>1.7761895186316545E-2</v>
      </c>
      <c r="I468" s="312"/>
      <c r="J468" s="318"/>
    </row>
    <row r="470" spans="2:11">
      <c r="B470" s="247" t="s">
        <v>584</v>
      </c>
      <c r="C470" s="247"/>
      <c r="D470" s="247"/>
      <c r="E470" s="247"/>
      <c r="F470" s="247"/>
      <c r="G470" s="247"/>
      <c r="H470" s="247"/>
      <c r="I470" s="247"/>
      <c r="J470" s="247"/>
    </row>
    <row r="471" spans="2:11" ht="5.0999999999999996" customHeight="1"/>
    <row r="472" spans="2:11">
      <c r="B472" s="247" t="s">
        <v>586</v>
      </c>
      <c r="C472" s="229" t="s">
        <v>165</v>
      </c>
      <c r="D472" s="229"/>
      <c r="E472" s="229"/>
      <c r="F472" s="229"/>
      <c r="G472" s="229"/>
      <c r="H472" s="229"/>
      <c r="I472" s="248"/>
      <c r="J472" s="2" t="s">
        <v>370</v>
      </c>
    </row>
    <row r="473" spans="2:11">
      <c r="B473" s="303" t="s">
        <v>410</v>
      </c>
      <c r="C473" s="304" t="str">
        <f>C$9</f>
        <v>2026E</v>
      </c>
      <c r="D473" s="304" t="str">
        <f>D$9</f>
        <v>2027E</v>
      </c>
      <c r="E473" s="304" t="str">
        <f>E$9</f>
        <v>2028E</v>
      </c>
      <c r="F473" s="304" t="str">
        <f>F$9</f>
        <v>2029E</v>
      </c>
      <c r="G473" s="304" t="str">
        <f>G$9</f>
        <v>2030E</v>
      </c>
      <c r="H473" s="304" t="str">
        <f>H$9</f>
        <v>2031E</v>
      </c>
      <c r="I473" s="248"/>
      <c r="J473" s="200" t="str">
        <f>$J$9</f>
        <v>6-Year(F)</v>
      </c>
    </row>
    <row r="474" spans="2:11">
      <c r="B474" s="303" t="s">
        <v>411</v>
      </c>
      <c r="C474" s="248">
        <f>C$10</f>
        <v>46295</v>
      </c>
      <c r="D474" s="248">
        <f>D$10</f>
        <v>46660</v>
      </c>
      <c r="E474" s="248">
        <f>E$10</f>
        <v>47026</v>
      </c>
      <c r="F474" s="248">
        <f>F$10</f>
        <v>47391</v>
      </c>
      <c r="G474" s="248">
        <f>G$10</f>
        <v>47756</v>
      </c>
      <c r="H474" s="248">
        <f>H$10</f>
        <v>48121</v>
      </c>
      <c r="I474" s="248"/>
      <c r="J474" s="3">
        <f>$H$42</f>
        <v>48121</v>
      </c>
    </row>
    <row r="475" spans="2:11" ht="5.0999999999999996" customHeight="1">
      <c r="B475" s="307"/>
    </row>
    <row r="476" spans="2:11">
      <c r="B476" s="467" t="s">
        <v>364</v>
      </c>
      <c r="C476" s="468">
        <v>558.68918139516688</v>
      </c>
      <c r="D476" s="468">
        <v>568.64818207538588</v>
      </c>
      <c r="E476" s="468">
        <v>579.33800075092904</v>
      </c>
      <c r="F476" s="469">
        <f t="shared" ref="F476" si="717">SUM(E476*F477)+E476</f>
        <v>590.22877359623487</v>
      </c>
      <c r="G476" s="469">
        <f t="shared" ref="G476" si="718">SUM(F476*G477)+F476</f>
        <v>601.32427827859317</v>
      </c>
      <c r="H476" s="469">
        <f t="shared" ref="H476" si="719">SUM(G476*H477)+G476</f>
        <v>612.6283634803425</v>
      </c>
      <c r="J476" s="365">
        <f t="shared" ref="J476" si="720">((H476/C476)^(1/COUNT(C476:H476))-1)</f>
        <v>1.5479451374541098E-2</v>
      </c>
      <c r="K476" s="467" t="s">
        <v>627</v>
      </c>
    </row>
    <row r="477" spans="2:11">
      <c r="B477" s="308" t="s">
        <v>44</v>
      </c>
      <c r="C477" s="372">
        <f>SUM(C476/'Revenue Projections &amp; Cases'!$H$36)-1</f>
        <v>1.3954957160012382E-2</v>
      </c>
      <c r="D477" s="340">
        <f t="shared" ref="D477" si="721">SUM(D476/C476)-1</f>
        <v>1.7825655143973274E-2</v>
      </c>
      <c r="E477" s="340">
        <f t="shared" ref="E477" si="722">SUM(E476/D476)-1</f>
        <v>1.8798650927764671E-2</v>
      </c>
      <c r="F477" s="340">
        <f>E477</f>
        <v>1.8798650927764671E-2</v>
      </c>
      <c r="G477" s="340">
        <f t="shared" ref="G477:H477" si="723">F477</f>
        <v>1.8798650927764671E-2</v>
      </c>
      <c r="H477" s="340">
        <f t="shared" si="723"/>
        <v>1.8798650927764671E-2</v>
      </c>
      <c r="J477" s="363"/>
    </row>
    <row r="478" spans="2:11">
      <c r="B478" s="198" t="s">
        <v>365</v>
      </c>
      <c r="C478" s="468">
        <v>482</v>
      </c>
      <c r="D478" s="468">
        <v>485</v>
      </c>
      <c r="E478" s="469">
        <f>SUM(D478*E479)+D478</f>
        <v>488.01867219917011</v>
      </c>
      <c r="F478" s="469">
        <f t="shared" ref="F478" si="724">SUM(E478*F479)+E478</f>
        <v>491.05613281451764</v>
      </c>
      <c r="G478" s="469">
        <f t="shared" ref="G478" si="725">SUM(F478*G479)+F478</f>
        <v>494.11249878639222</v>
      </c>
      <c r="H478" s="469">
        <f t="shared" ref="H478" si="726">SUM(G478*H479)+G478</f>
        <v>497.18788778298801</v>
      </c>
      <c r="J478" s="362">
        <f t="shared" ref="J478:J490" si="727">((H478/C478)^(1/COUNT(C478:H478))-1)</f>
        <v>5.1840382729022583E-3</v>
      </c>
      <c r="K478" s="467" t="s">
        <v>627</v>
      </c>
    </row>
    <row r="479" spans="2:11">
      <c r="B479" s="308" t="s">
        <v>44</v>
      </c>
      <c r="C479" s="372">
        <f>SUM(C478/'Revenue Projections &amp; Cases'!$H$36)-1</f>
        <v>-0.12522686025408347</v>
      </c>
      <c r="D479" s="340">
        <f>SUM(D478/C478)-1</f>
        <v>6.2240663900414717E-3</v>
      </c>
      <c r="E479" s="340">
        <f>D479</f>
        <v>6.2240663900414717E-3</v>
      </c>
      <c r="F479" s="340">
        <f t="shared" ref="F479:H479" si="728">E479</f>
        <v>6.2240663900414717E-3</v>
      </c>
      <c r="G479" s="340">
        <f t="shared" si="728"/>
        <v>6.2240663900414717E-3</v>
      </c>
      <c r="H479" s="340">
        <f t="shared" si="728"/>
        <v>6.2240663900414717E-3</v>
      </c>
      <c r="J479" s="363"/>
    </row>
    <row r="480" spans="2:11">
      <c r="B480" s="467" t="s">
        <v>374</v>
      </c>
      <c r="C480" s="468">
        <v>583.6</v>
      </c>
      <c r="D480" s="468">
        <v>662.5</v>
      </c>
      <c r="E480" s="468">
        <v>722.8</v>
      </c>
      <c r="F480" s="468">
        <v>725.6</v>
      </c>
      <c r="G480" s="468">
        <v>701.5</v>
      </c>
      <c r="H480" s="468">
        <v>688.7</v>
      </c>
      <c r="J480" s="362">
        <f t="shared" ref="J480:J490" si="729">((H480/C480)^(1/COUNT(C480:H480))-1)</f>
        <v>2.7982685833792376E-2</v>
      </c>
      <c r="K480" s="467" t="s">
        <v>627</v>
      </c>
    </row>
    <row r="481" spans="2:10">
      <c r="B481" s="308" t="s">
        <v>44</v>
      </c>
      <c r="C481" s="372">
        <f>SUM(C480/'Revenue Projections &amp; Cases'!$H$36)-1</f>
        <v>5.9165154264972708E-2</v>
      </c>
      <c r="D481" s="340">
        <f>SUM(D480/C480)-1</f>
        <v>0.13519533927347505</v>
      </c>
      <c r="E481" s="340">
        <f t="shared" ref="E481" si="730">SUM(E480/D480)-1</f>
        <v>9.1018867924528291E-2</v>
      </c>
      <c r="F481" s="340">
        <f t="shared" ref="F481" si="731">SUM(F480/E480)-1</f>
        <v>3.8738240177089711E-3</v>
      </c>
      <c r="G481" s="340">
        <f t="shared" ref="G481" si="732">SUM(G480/F480)-1</f>
        <v>-3.3213891951488494E-2</v>
      </c>
      <c r="H481" s="340">
        <f t="shared" ref="H481" si="733">SUM(H480/G480)-1</f>
        <v>-1.824661439771913E-2</v>
      </c>
      <c r="J481" s="364"/>
    </row>
    <row r="482" spans="2:10" ht="5.0999999999999996" customHeight="1">
      <c r="B482" s="393"/>
      <c r="C482" s="393"/>
      <c r="D482" s="393"/>
      <c r="E482" s="393"/>
      <c r="F482" s="393"/>
      <c r="G482" s="393"/>
      <c r="H482" s="393"/>
      <c r="I482" s="393"/>
      <c r="J482" s="393"/>
    </row>
    <row r="483" spans="2:10">
      <c r="B483" s="313" t="s">
        <v>222</v>
      </c>
      <c r="C483" s="480">
        <f t="shared" ref="C483:H485" si="734">MAX(C$476,C$478,C$480)</f>
        <v>583.6</v>
      </c>
      <c r="D483" s="480">
        <f t="shared" si="734"/>
        <v>662.5</v>
      </c>
      <c r="E483" s="480">
        <f t="shared" si="734"/>
        <v>722.8</v>
      </c>
      <c r="F483" s="480">
        <f t="shared" si="734"/>
        <v>725.6</v>
      </c>
      <c r="G483" s="480">
        <f t="shared" si="734"/>
        <v>701.5</v>
      </c>
      <c r="H483" s="480">
        <f t="shared" si="734"/>
        <v>688.7</v>
      </c>
      <c r="I483" s="309"/>
      <c r="J483" s="319">
        <f t="shared" ref="J483:J490" si="735">((H483/C483)^(1/COUNT(C483:H483))-1)</f>
        <v>2.7982685833792376E-2</v>
      </c>
    </row>
    <row r="484" spans="2:10">
      <c r="B484" s="357" t="s">
        <v>44</v>
      </c>
      <c r="C484" s="366">
        <f>SUM(C483/'Revenue Projections &amp; Cases'!$H$36)-1</f>
        <v>5.9165154264972708E-2</v>
      </c>
      <c r="D484" s="387">
        <f>SUM(D483/C483)-1</f>
        <v>0.13519533927347505</v>
      </c>
      <c r="E484" s="387">
        <f t="shared" ref="E484" si="736">SUM(E483/D483)-1</f>
        <v>9.1018867924528291E-2</v>
      </c>
      <c r="F484" s="387">
        <f t="shared" ref="F484" si="737">SUM(F483/E483)-1</f>
        <v>3.8738240177089711E-3</v>
      </c>
      <c r="G484" s="387">
        <f t="shared" ref="G484" si="738">SUM(G483/F483)-1</f>
        <v>-3.3213891951488494E-2</v>
      </c>
      <c r="H484" s="387">
        <f t="shared" ref="H484" si="739">SUM(H483/G483)-1</f>
        <v>-1.824661439771913E-2</v>
      </c>
      <c r="I484" s="311"/>
      <c r="J484" s="317"/>
    </row>
    <row r="485" spans="2:10">
      <c r="B485" s="310" t="s">
        <v>412</v>
      </c>
      <c r="C485" s="478">
        <f t="shared" ref="C485:H487" si="740">MEDIAN(C$476,C$478,C$480)</f>
        <v>558.68918139516688</v>
      </c>
      <c r="D485" s="478">
        <f t="shared" si="740"/>
        <v>568.64818207538588</v>
      </c>
      <c r="E485" s="478">
        <f t="shared" si="740"/>
        <v>579.33800075092904</v>
      </c>
      <c r="F485" s="478">
        <f t="shared" si="740"/>
        <v>590.22877359623487</v>
      </c>
      <c r="G485" s="478">
        <f t="shared" si="740"/>
        <v>601.32427827859317</v>
      </c>
      <c r="H485" s="478">
        <f t="shared" si="740"/>
        <v>612.6283634803425</v>
      </c>
      <c r="I485" s="311"/>
      <c r="J485" s="317">
        <f t="shared" ref="J485:J490" si="741">((H485/C485)^(1/COUNT(C485:H485))-1)</f>
        <v>1.5479451374541098E-2</v>
      </c>
    </row>
    <row r="486" spans="2:10">
      <c r="B486" s="357" t="s">
        <v>44</v>
      </c>
      <c r="C486" s="366">
        <f>SUM(C485/'Revenue Projections &amp; Cases'!$H$36)-1</f>
        <v>1.3954957160012382E-2</v>
      </c>
      <c r="D486" s="387">
        <f>SUM(D485/C485)-1</f>
        <v>1.7825655143973274E-2</v>
      </c>
      <c r="E486" s="387">
        <f t="shared" ref="E486" si="742">SUM(E485/D485)-1</f>
        <v>1.8798650927764671E-2</v>
      </c>
      <c r="F486" s="387">
        <f t="shared" ref="F486" si="743">SUM(F485/E485)-1</f>
        <v>1.8798650927764671E-2</v>
      </c>
      <c r="G486" s="387">
        <f t="shared" ref="G486" si="744">SUM(G485/F485)-1</f>
        <v>1.8798650927764671E-2</v>
      </c>
      <c r="H486" s="387">
        <f t="shared" ref="H486" si="745">SUM(H485/G485)-1</f>
        <v>1.8798650927764671E-2</v>
      </c>
      <c r="I486" s="311"/>
      <c r="J486" s="317"/>
    </row>
    <row r="487" spans="2:10">
      <c r="B487" s="310" t="s">
        <v>369</v>
      </c>
      <c r="C487" s="478">
        <f t="shared" ref="C487:H489" si="746">AVERAGE(C$476,C$478,C$480)</f>
        <v>541.4297271317223</v>
      </c>
      <c r="D487" s="478">
        <f t="shared" si="746"/>
        <v>572.04939402512866</v>
      </c>
      <c r="E487" s="478">
        <f t="shared" si="746"/>
        <v>596.71889098336635</v>
      </c>
      <c r="F487" s="478">
        <f t="shared" si="746"/>
        <v>602.2949688035842</v>
      </c>
      <c r="G487" s="478">
        <f t="shared" si="746"/>
        <v>598.97892568832845</v>
      </c>
      <c r="H487" s="478">
        <f t="shared" si="746"/>
        <v>599.50541708777689</v>
      </c>
      <c r="I487" s="311"/>
      <c r="J487" s="317">
        <f t="shared" ref="J487:J490" si="747">((H487/C487)^(1/COUNT(C487:H487))-1)</f>
        <v>1.7126967573479757E-2</v>
      </c>
    </row>
    <row r="488" spans="2:10">
      <c r="B488" s="357" t="s">
        <v>44</v>
      </c>
      <c r="C488" s="366">
        <f>SUM(C487/'Revenue Projections &amp; Cases'!$H$36)-1</f>
        <v>-1.7368916276366053E-2</v>
      </c>
      <c r="D488" s="387">
        <f>SUM(D487/C487)-1</f>
        <v>5.6553353757683444E-2</v>
      </c>
      <c r="E488" s="387">
        <f t="shared" ref="E488" si="748">SUM(E487/D487)-1</f>
        <v>4.3124767224478555E-2</v>
      </c>
      <c r="F488" s="387">
        <f t="shared" ref="F488" si="749">SUM(F487/E487)-1</f>
        <v>9.3445639219309484E-3</v>
      </c>
      <c r="G488" s="387">
        <f t="shared" ref="G488" si="750">SUM(G487/F487)-1</f>
        <v>-5.5056795872674424E-3</v>
      </c>
      <c r="H488" s="387">
        <f t="shared" ref="H488" si="751">SUM(H487/G487)-1</f>
        <v>8.7898150814469389E-4</v>
      </c>
      <c r="I488" s="311"/>
      <c r="J488" s="317"/>
    </row>
    <row r="489" spans="2:10">
      <c r="B489" s="356" t="s">
        <v>348</v>
      </c>
      <c r="C489" s="479">
        <f t="shared" ref="C489:H489" si="752">MIN(C$476,C$478,C$480)</f>
        <v>482</v>
      </c>
      <c r="D489" s="479">
        <f t="shared" si="752"/>
        <v>485</v>
      </c>
      <c r="E489" s="479">
        <f t="shared" si="752"/>
        <v>488.01867219917011</v>
      </c>
      <c r="F489" s="479">
        <f t="shared" si="752"/>
        <v>491.05613281451764</v>
      </c>
      <c r="G489" s="479">
        <f t="shared" si="752"/>
        <v>494.11249878639222</v>
      </c>
      <c r="H489" s="479">
        <f t="shared" si="752"/>
        <v>497.18788778298801</v>
      </c>
      <c r="I489" s="311"/>
      <c r="J489" s="317">
        <f t="shared" ref="J489:J490" si="753">((H489/C489)^(1/COUNT(C489:H489))-1)</f>
        <v>5.1840382729022583E-3</v>
      </c>
    </row>
    <row r="490" spans="2:10">
      <c r="B490" s="358" t="s">
        <v>44</v>
      </c>
      <c r="C490" s="367">
        <f>SUM(C489/'Revenue Projections &amp; Cases'!$H$36)-1</f>
        <v>-0.12522686025408347</v>
      </c>
      <c r="D490" s="388">
        <f>SUM(D489/C489)-1</f>
        <v>6.2240663900414717E-3</v>
      </c>
      <c r="E490" s="388">
        <f t="shared" ref="E490" si="754">SUM(E489/D489)-1</f>
        <v>6.2240663900414717E-3</v>
      </c>
      <c r="F490" s="388">
        <f t="shared" ref="F490" si="755">SUM(F489/E489)-1</f>
        <v>6.2240663900414717E-3</v>
      </c>
      <c r="G490" s="388">
        <f t="shared" ref="G490" si="756">SUM(G489/F489)-1</f>
        <v>6.2240663900414717E-3</v>
      </c>
      <c r="H490" s="388">
        <f t="shared" ref="H490" si="757">SUM(H489/G489)-1</f>
        <v>6.2240663900414717E-3</v>
      </c>
      <c r="I490" s="312"/>
      <c r="J490" s="318"/>
    </row>
  </sheetData>
  <pageMargins left="0.7" right="0.7" top="0.75" bottom="0.75" header="0.3" footer="0.3"/>
  <ignoredErrors>
    <ignoredError sqref="L24:XFD24 I44:J44 I71:XFD71 I45:XFD45 I172:J172 K225:XFD225 I304:J304 A346:B347 L344:XFD344 D32:XFD32 D34:XFD34 D36:XFD36 D38:XFD38 D58:XFD58 A60:B60 D60:XFD60 A62:B62 D62:XFD62 A64:B64 D64:XFD64 A70:B73 D73:XFD73 D77 A76:B79 D79 A81:B81 D81:XFD81 A96:B99 D99:XFD99 D103 A102:B105 A107:B107 D107:XFD107 D125:F125 D127 D129 D131:XFD131 D149:XFD149 D151 D153 D155:XFD155 D140:XFD140 D138:XFD138 D136:XFD136 D134:XFD134 D47:XFD47 D51:XFD51 A51:B53 D53 A55:B58 D55:XFD55 I24 D13:XFD13 D25:XFD25 A82:XFD89 A90:B90 D90:XFD90 D116:XFD116 D158:XFD158 D160:XFD160 D162:XFD162 D164:XFD164 A308:B308 A307 A310:B310 A309 A305 C305:XFD305 A315 A314:B314 A313 C313:XFD313 A312:B312 A311 C311:XFD311 A331 A333 A335 A337 A339 A343 A345 I345:XFD345 A342:B342 A338:B338 A336:B336 A332:B332 I344 D337 A348 A351:B351 A350 A353:B353 A352 A354 K9:XFD10 K41:XFD42 K67:XFD68 K93:XFD94 K119:XFD120 K143:XFD144 K169:XFD170 K199:XFD200 K221:XFD222 K243:XFD244 K273:XFD274 K301:XFD302 K327:XFD328 I10 D40:XFD40 A66:B66 D66:XFD66 D118:XFD118 A92:B92 D92:XFD92 D142:XFD142 D168:XFD168 D198:XFD198 D220:XFD220 D242:XFD242 D272:XFD272 D300:XFD300 A316:B326 D326:XFD326 A450:A490 K450:XFD453 A407:A424 K406:XFD409 E390:H390 B419:H419 D418:H418 C421:H421 C417:H417 B442 D442:H442 B444 D444:H444 I433:J433 C439:H439 D455:E455 C452:H453 C467:H467 C483:H483 H437:J437 D369 D371 B373:B374 D374:H374 B376 B378 D413:E413 D415:E415 D420:H420 C423:H423 D422:H422 B439:B440 D440:H440 D457:E457 C485:H485 D484:H484 C487:H487 D486:H486 C489:H489 D488:H488 F20:J20 F21:XFD21 J260 I336:J336 M336:XFD336 L20:XFD20 C1:XFD8 F46:J46 F72:J72 F98:J98 F124 F148:J148 C173:XFD173 C227:XFD227 C225:I225 A306:J306 C346:XFD346 C11:XFD11 C30:XFD31 C13:C17 C33:XFD33 C35:XFD35 C37:XFD37 C39:XFD39 A65:XFD65 F76:J76 F78:J78 F102:J102 A108:XFD115 E130:J130 C132:XFD133 F152:J152 E154:J154 C156:XFD157 C141:XFD141 C139:XFD139 C137:XFD137 C135:XFD135 F52:J52 C56:XFD56 A91:XFD91 C117:XFD117 C159:XFD159 C161:XFD161 C163:XFD163 C165:XFD167 C307:XFD307 F310:J310 C315:XFD325 F314:J314 F312:J312 A334:B334 A344:D344 A330:C330 I350:XFD354 A355:XFD355 C9:I9 C43:XFD43 C41:I42 A69:XFD69 A67:I68 A95:XFD95 A93:I94 C121:XFD121 C119:I120 C145:XFD145 C143:I144 C171:XFD171 C169:I170 C201:XFD201 C199:I200 C223:XFD223 C221:I222 C245:XFD245 C243:I244 C275:XFD275 C273:I274 C303:XFD303 C301:I302 A329:XFD329 A327:I328 A357:XFD357 A381:XFD381 A403:XFD403 A405:XFD405 A425:XFD425 A447:XFD447 A449:XFD449 A491:XFD1048576 B375 B441:H441 B443:H443 B445:H445 B377 B379 C21:D21 C261:XFD271 E260:H260 A1:B47 C255:XFD255 F254:J254 L254:XFD254 C181:XFD181 F180:J180 L180:XFD180 C285:E285 I284:J284 L284:XFD284 L310:XFD310 D15:XFD15 D14:J14 L14:XFD14 L46:XFD46 L72:XFD72 L98:XFD98 L124:XFD124 L148:XFD148 C176:J176 C174:J174 L174:XFD174 F175:XFD175 I333:XFD333 I332:J332 L332:XFD332 C251:XFD251 F250:J250 L250:XFD250 L312:XFD312 F22:J22 L22:XFD22 C23:D23 F23:XFD23 I337:XFD337 E339 B340:E340 I347:XFD348 F332:H333 A349:XFD349 C351:H353 C25:C29 C249:XFD249 I248:J248 L248:XFD248 L306:XFD306 K459:XFD475 L458:XFD458 K415:XFD424 L414:XFD414 K481:XFD490 L480:XFD480 C48:H48 I57:XFD57 A59:XFD59 A61:XFD61 A63:XFD63 C74:H74 C100:H100 C187:XFD197 I182:J182 L182:XFD182 C183:E183 G183:XFD183 C205:XFD205 I204:J204 L204:XFD204 L226:XFD226 E226:I226 C277:XFD277 I276:J276 L276:XFD276 D27:XFD27 D26:J26 L26:XFD26 L52:XFD52 F53:XFD53 F79:XFD79 L78:XFD78 L104:XFD104 F104:J104 F105:XFD105 L128:XFD128 I129:XFD129 I125:XFD125 I127:XFD127 I124:J124 I126:J126 I128:J128 G124:H125 F126:H129 L152:XFD152 F153:XFD153 C184:J184 L184:XFD184 F185:XFD185 C209:XFD219 L206:XFD206 F206:J206 C207:D207 F207:XFD207 C229:XFD229 L228:XFD228 F228:J228 C259:XFD259 F258:J258 L258:XFD258 I286:J286 L286:XFD286 L314:XFD314 I339:XFD339 I338:J338 L338:XFD338 F388:H389 N50:XFD50 A50:J50 L76:XFD76 L102:XFD102 D17:XFD17 D16:J16 L16:XFD16 F77:XFD77 F103:XFD103 L126:XFD126 L150:XFD150 F150:J150 F151:XFD151 C179:XFD179 F177:XFD177 L176:XFD176 C257:XFD257 L256:XFD256 F256:J256 C279:XFD279 L278:XFD278 F278:J278 F342:J342 L342:XFD342 E344:H345 F343:XFD343 L172:XFD172 L304:XFD304 I330:J330 L330:XFD330 F331:XFD331 F44:H45 L44:XFD44 I70:J70 F70:H71 L70:XFD70 I96:J96 L96:XFD96 F97:XFD97 I122:J122 L122:XFD122 F123:XFD123 I146:J146 L146:XFD146 C147:XFD147 C203:XFD203 C202:E202 I202:J202 L202:XFD202 C224:E224 I224 L224:XFD224 C247:XFD247 I246:J246 L246:XFD246 A284:B304 C288:XFD288 C12:J12 L12:XFD12 C364:H367 A54:J54 L54:XFD54 C412:E412 K413:XFD413 L412:XFD412 A106:J106 L106:XFD106 K479:XFD479 L478:XFD478 C456:E456 L80:XFD80 A80:J80 K457:XFD457 L456:XFD456 D29:XFD29 D28:J28 L28:XFD28 L130:XFD130 L154:XFD154 E186:J186 L186:XFD186 E208:J208 L208:XFD208 C231:XFD241 E230:J230 L230:XFD230 L260:XFD260 A116:B281 E282:H282 I290:XFD290 I289:XFD289 I292:XFD292 I291:XFD291 I294:XFD294 I293:XFD293 C296:XFD299 I295:XFD295 C294:H294 C292:H292 C290:H290 C289:H289 C291:H291 C293:H293 C295:H295 I285:XFD285 C287:E287 I287:XFD287 F287:H287 F286:H286 F284:H284 F285:H285 F283:H283 C19 H19:XFD19 I18:J18 L18:XFD18 C253:XFD253 H252:J252 L252:XFD252 H178:J178 L178:XFD178 C281:XFD281 H280:J280 L280:XFD280 C309:XFD309 L308:XFD308 H308:J308 I335:XFD335 I334:J334 L334:XFD334 F336:H341 H334 H335 C368:H368 E386:E387 B387:D387 F387:H387 D400:H400 D398:H398 D396:H396 C395:H395 C397:H397 C396 C399:H399 C398 C401:H401 C400 F412:H412 F415:H415 F413:H413 F411:H411 F414:H414 K411:XFD411 L410:XFD410 C362:E362 C363:E363 F362:H363 B432:H433 C454:E454 F456:H456 F457:H457 F455:H455 F458:H458 K455:XFD455 L454:XFD454 F459:H459 D466 D464 C465:D465 D459:E459 D462:H462 C463:D463 C460:H461 E463:H466 C459 C464 C462 C466 F477:H481 K477:XFD477 L476:XFD476 F434:G435 D378:H378 D376:H376 C375:H375 C377:H377 C376 C379:H379 C378" formula="1"/>
    <ignoredError sqref="J24 J224:J226 J344 I434:J435 I436:J436 H434:H435" formula="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F92E-6376-4A64-8937-13738D19EBBE}">
  <sheetPr>
    <tabColor theme="1"/>
  </sheetPr>
  <dimension ref="B2:U17"/>
  <sheetViews>
    <sheetView showGridLines="0" zoomScale="130" zoomScaleNormal="130" workbookViewId="0">
      <selection activeCell="E5" sqref="E5"/>
    </sheetView>
  </sheetViews>
  <sheetFormatPr defaultRowHeight="14.25"/>
  <cols>
    <col min="4" max="4" width="0.875" customWidth="1"/>
    <col min="5" max="5" width="6.625" bestFit="1" customWidth="1"/>
    <col min="6" max="6" width="11" bestFit="1" customWidth="1"/>
    <col min="7" max="7" width="8.125" bestFit="1" customWidth="1"/>
    <col min="8" max="8" width="0.875" customWidth="1"/>
    <col min="10" max="10" width="9.5" bestFit="1" customWidth="1"/>
    <col min="11" max="11" width="6" customWidth="1"/>
    <col min="12" max="14" width="9.5" bestFit="1" customWidth="1"/>
    <col min="15" max="15" width="9.375" customWidth="1"/>
    <col min="16" max="16" width="9.5" bestFit="1" customWidth="1"/>
    <col min="17" max="17" width="0.875" customWidth="1"/>
    <col min="18" max="18" width="6.5" customWidth="1"/>
    <col min="19" max="19" width="5.5" customWidth="1"/>
    <col min="20" max="20" width="6.625" customWidth="1"/>
    <col min="21" max="21" width="6.25" customWidth="1"/>
  </cols>
  <sheetData>
    <row r="2" spans="2:21">
      <c r="B2" s="247" t="s">
        <v>223</v>
      </c>
      <c r="C2" s="304"/>
      <c r="D2" s="247"/>
      <c r="E2" s="304"/>
      <c r="F2" s="304"/>
      <c r="G2" s="304"/>
      <c r="H2" s="247"/>
      <c r="I2" s="304"/>
      <c r="J2" s="304"/>
      <c r="K2" s="304"/>
      <c r="L2" s="304"/>
      <c r="M2" s="304"/>
      <c r="N2" s="304"/>
      <c r="O2" s="304"/>
      <c r="P2" s="304"/>
      <c r="Q2" s="247"/>
      <c r="R2" s="304"/>
      <c r="S2" s="304"/>
      <c r="T2" s="304"/>
      <c r="U2" s="304"/>
    </row>
    <row r="3" spans="2:21">
      <c r="B3" s="303" t="s">
        <v>435</v>
      </c>
      <c r="C3" s="304"/>
      <c r="D3" s="303"/>
      <c r="E3" s="304"/>
      <c r="F3" s="304"/>
      <c r="G3" s="304"/>
      <c r="H3" s="303"/>
      <c r="I3" s="304"/>
      <c r="J3" s="304"/>
      <c r="K3" s="304"/>
      <c r="L3" s="304"/>
      <c r="M3" s="304"/>
      <c r="N3" s="304"/>
      <c r="O3" s="304"/>
      <c r="P3" s="304"/>
      <c r="Q3" s="303"/>
      <c r="R3" s="304"/>
      <c r="S3" s="304"/>
      <c r="T3" s="304"/>
      <c r="U3" s="304"/>
    </row>
    <row r="4" spans="2:21">
      <c r="B4" s="229" t="s">
        <v>434</v>
      </c>
      <c r="C4" s="229"/>
      <c r="D4" s="303"/>
      <c r="E4" s="229" t="s">
        <v>436</v>
      </c>
      <c r="F4" s="229"/>
      <c r="G4" s="229"/>
      <c r="H4" s="303"/>
      <c r="I4" s="229" t="s">
        <v>439</v>
      </c>
      <c r="J4" s="229"/>
      <c r="K4" s="229"/>
      <c r="L4" s="229"/>
      <c r="M4" s="229"/>
      <c r="N4" s="229"/>
      <c r="O4" s="229"/>
      <c r="P4" s="229"/>
      <c r="Q4" s="303"/>
      <c r="R4" s="229" t="s">
        <v>471</v>
      </c>
      <c r="S4" s="229"/>
      <c r="T4" s="229"/>
      <c r="U4" s="229"/>
    </row>
    <row r="5" spans="2:21" ht="24">
      <c r="B5" s="229" t="s">
        <v>415</v>
      </c>
      <c r="C5" s="2" t="s">
        <v>116</v>
      </c>
      <c r="D5" s="303"/>
      <c r="E5" s="2" t="s">
        <v>433</v>
      </c>
      <c r="F5" s="2" t="s">
        <v>438</v>
      </c>
      <c r="G5" s="2" t="s">
        <v>437</v>
      </c>
      <c r="H5" s="303"/>
      <c r="I5" s="2" t="s">
        <v>440</v>
      </c>
      <c r="J5" s="2" t="s">
        <v>441</v>
      </c>
      <c r="K5" s="2" t="s">
        <v>442</v>
      </c>
      <c r="L5" s="2" t="s">
        <v>451</v>
      </c>
      <c r="M5" s="2" t="s">
        <v>452</v>
      </c>
      <c r="N5" s="2" t="s">
        <v>441</v>
      </c>
      <c r="O5" s="2" t="s">
        <v>453</v>
      </c>
      <c r="P5" s="2" t="s">
        <v>454</v>
      </c>
      <c r="Q5" s="303"/>
      <c r="R5" s="2" t="s">
        <v>467</v>
      </c>
      <c r="S5" s="2" t="s">
        <v>468</v>
      </c>
      <c r="T5" s="2" t="s">
        <v>469</v>
      </c>
      <c r="U5" s="2" t="s">
        <v>470</v>
      </c>
    </row>
    <row r="6" spans="2:21" ht="3" customHeight="1"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</row>
    <row r="7" spans="2:21" s="334" customFormat="1" ht="5.0999999999999996" customHeight="1"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</row>
    <row r="8" spans="2:21">
      <c r="B8" s="326" t="s">
        <v>418</v>
      </c>
      <c r="C8" s="327" t="s">
        <v>416</v>
      </c>
      <c r="D8" s="328"/>
      <c r="E8" s="329">
        <v>271.39999999999998</v>
      </c>
      <c r="F8" s="330">
        <v>4002453</v>
      </c>
      <c r="G8" s="330">
        <v>4048779</v>
      </c>
      <c r="H8" s="328"/>
      <c r="I8" s="329">
        <v>414858</v>
      </c>
      <c r="J8" s="330">
        <v>440170</v>
      </c>
      <c r="K8" s="329" t="s">
        <v>443</v>
      </c>
      <c r="L8" s="331">
        <v>9.8000000000000007</v>
      </c>
      <c r="M8" s="331">
        <v>9.1999999999999993</v>
      </c>
      <c r="N8" s="330">
        <v>440170</v>
      </c>
      <c r="O8" s="329" t="s">
        <v>455</v>
      </c>
      <c r="P8" s="329" t="s">
        <v>455</v>
      </c>
      <c r="Q8" s="328"/>
      <c r="R8" s="329">
        <v>7.38</v>
      </c>
      <c r="S8" s="329">
        <v>8.0299999999999994</v>
      </c>
      <c r="T8" s="331">
        <v>36.799999999999997</v>
      </c>
      <c r="U8" s="332">
        <v>33.799999999999997</v>
      </c>
    </row>
    <row r="9" spans="2:21">
      <c r="B9" s="198" t="s">
        <v>417</v>
      </c>
      <c r="C9" s="321" t="s">
        <v>417</v>
      </c>
      <c r="D9" s="198"/>
      <c r="E9" s="322">
        <v>310.06</v>
      </c>
      <c r="F9" s="323">
        <v>288095</v>
      </c>
      <c r="G9" s="323">
        <v>336441</v>
      </c>
      <c r="H9" s="198"/>
      <c r="I9" s="322">
        <v>67060</v>
      </c>
      <c r="J9" s="323">
        <v>70069</v>
      </c>
      <c r="K9" s="322" t="s">
        <v>444</v>
      </c>
      <c r="L9" s="324">
        <v>5</v>
      </c>
      <c r="M9" s="324">
        <v>4.8</v>
      </c>
      <c r="N9" s="323">
        <v>70069</v>
      </c>
      <c r="O9" s="322" t="s">
        <v>450</v>
      </c>
      <c r="P9" s="322" t="s">
        <v>450</v>
      </c>
      <c r="Q9" s="198"/>
      <c r="R9" s="322">
        <v>11.37</v>
      </c>
      <c r="S9" s="322">
        <v>12.15</v>
      </c>
      <c r="T9" s="324">
        <v>27.3</v>
      </c>
      <c r="U9" s="324">
        <v>25.5</v>
      </c>
    </row>
    <row r="10" spans="2:21">
      <c r="B10" s="198" t="s">
        <v>432</v>
      </c>
      <c r="C10" s="321" t="s">
        <v>419</v>
      </c>
      <c r="D10" s="198"/>
      <c r="E10" s="322">
        <v>72.91</v>
      </c>
      <c r="F10" s="323">
        <v>281092</v>
      </c>
      <c r="G10" s="323">
        <v>293075</v>
      </c>
      <c r="H10" s="198"/>
      <c r="I10" s="322">
        <v>56623</v>
      </c>
      <c r="J10" s="323">
        <v>59655</v>
      </c>
      <c r="K10" s="322" t="s">
        <v>445</v>
      </c>
      <c r="L10" s="324">
        <v>5.2</v>
      </c>
      <c r="M10" s="324">
        <v>4.9000000000000004</v>
      </c>
      <c r="N10" s="323">
        <v>59655</v>
      </c>
      <c r="O10" s="322" t="s">
        <v>456</v>
      </c>
      <c r="P10" s="322" t="s">
        <v>456</v>
      </c>
      <c r="Q10" s="198"/>
      <c r="R10" s="322">
        <v>3.79</v>
      </c>
      <c r="S10" s="322">
        <v>4.04</v>
      </c>
      <c r="T10" s="324">
        <v>19.2</v>
      </c>
      <c r="U10" s="324">
        <v>18</v>
      </c>
    </row>
    <row r="11" spans="2:21">
      <c r="B11" s="198" t="s">
        <v>431</v>
      </c>
      <c r="C11" s="321" t="s">
        <v>420</v>
      </c>
      <c r="D11" s="198"/>
      <c r="E11" s="322">
        <v>525.82000000000005</v>
      </c>
      <c r="F11" s="323">
        <v>4025389</v>
      </c>
      <c r="G11" s="323">
        <v>4020147</v>
      </c>
      <c r="H11" s="198"/>
      <c r="I11" s="322">
        <v>279140</v>
      </c>
      <c r="J11" s="323">
        <v>324538</v>
      </c>
      <c r="K11" s="322" t="s">
        <v>446</v>
      </c>
      <c r="L11" s="324">
        <v>14.4</v>
      </c>
      <c r="M11" s="324">
        <v>12.4</v>
      </c>
      <c r="N11" s="323">
        <v>324538</v>
      </c>
      <c r="O11" s="322" t="s">
        <v>457</v>
      </c>
      <c r="P11" s="322" t="s">
        <v>456</v>
      </c>
      <c r="Q11" s="198"/>
      <c r="R11" s="322">
        <v>13.37</v>
      </c>
      <c r="S11" s="322">
        <v>15.61</v>
      </c>
      <c r="T11" s="324">
        <v>39.299999999999997</v>
      </c>
      <c r="U11" s="324">
        <v>33.700000000000003</v>
      </c>
    </row>
    <row r="12" spans="2:21">
      <c r="B12" s="198" t="s">
        <v>430</v>
      </c>
      <c r="C12" s="321" t="s">
        <v>421</v>
      </c>
      <c r="D12" s="198"/>
      <c r="E12" s="322">
        <v>222.86</v>
      </c>
      <c r="F12" s="323">
        <v>2456129</v>
      </c>
      <c r="G12" s="323">
        <v>2437528</v>
      </c>
      <c r="H12" s="198"/>
      <c r="I12" s="322">
        <v>709175</v>
      </c>
      <c r="J12" s="323">
        <v>782906</v>
      </c>
      <c r="K12" s="322" t="s">
        <v>447</v>
      </c>
      <c r="L12" s="324">
        <v>3.4</v>
      </c>
      <c r="M12" s="324">
        <v>3.1</v>
      </c>
      <c r="N12" s="323">
        <v>782906</v>
      </c>
      <c r="O12" s="322" t="s">
        <v>458</v>
      </c>
      <c r="P12" s="322" t="s">
        <v>458</v>
      </c>
      <c r="Q12" s="198"/>
      <c r="R12" s="322">
        <v>6.72</v>
      </c>
      <c r="S12" s="322">
        <v>7.64</v>
      </c>
      <c r="T12" s="324">
        <v>33.200000000000003</v>
      </c>
      <c r="U12" s="324">
        <v>29.2</v>
      </c>
    </row>
    <row r="13" spans="2:21">
      <c r="B13" s="198" t="s">
        <v>429</v>
      </c>
      <c r="C13" s="321" t="s">
        <v>422</v>
      </c>
      <c r="D13" s="198"/>
      <c r="E13" s="322">
        <v>281.48</v>
      </c>
      <c r="F13" s="323">
        <v>3323908</v>
      </c>
      <c r="G13" s="323">
        <v>3255469</v>
      </c>
      <c r="H13" s="198"/>
      <c r="I13" s="322">
        <v>397425</v>
      </c>
      <c r="J13" s="323">
        <v>447784</v>
      </c>
      <c r="K13" s="322" t="s">
        <v>448</v>
      </c>
      <c r="L13" s="324">
        <v>8.1999999999999993</v>
      </c>
      <c r="M13" s="324">
        <v>7.3</v>
      </c>
      <c r="N13" s="323">
        <v>447784</v>
      </c>
      <c r="O13" s="322" t="s">
        <v>459</v>
      </c>
      <c r="P13" s="322" t="s">
        <v>460</v>
      </c>
      <c r="Q13" s="198"/>
      <c r="R13" s="322">
        <v>10.29</v>
      </c>
      <c r="S13" s="322">
        <v>10.85</v>
      </c>
      <c r="T13" s="324">
        <v>27.4</v>
      </c>
      <c r="U13" s="324">
        <v>25.9</v>
      </c>
    </row>
    <row r="14" spans="2:21">
      <c r="B14" s="198" t="s">
        <v>428</v>
      </c>
      <c r="C14" s="321" t="s">
        <v>423</v>
      </c>
      <c r="D14" s="198"/>
      <c r="E14" s="322">
        <v>339.24</v>
      </c>
      <c r="F14" s="323">
        <v>141428</v>
      </c>
      <c r="G14" s="323">
        <v>141688</v>
      </c>
      <c r="H14" s="198"/>
      <c r="I14" s="322">
        <v>23684</v>
      </c>
      <c r="J14" s="323">
        <v>25875</v>
      </c>
      <c r="K14" s="322" t="s">
        <v>449</v>
      </c>
      <c r="L14" s="324">
        <v>6</v>
      </c>
      <c r="M14" s="324">
        <v>5.5</v>
      </c>
      <c r="N14" s="323">
        <v>25875</v>
      </c>
      <c r="O14" s="322" t="s">
        <v>461</v>
      </c>
      <c r="P14" s="322" t="s">
        <v>461</v>
      </c>
      <c r="Q14" s="198"/>
      <c r="R14" s="322">
        <v>20.83</v>
      </c>
      <c r="S14" s="322">
        <v>23.36</v>
      </c>
      <c r="T14" s="324">
        <v>16.3</v>
      </c>
      <c r="U14" s="324">
        <v>14.5</v>
      </c>
    </row>
    <row r="15" spans="2:21">
      <c r="B15" s="198" t="s">
        <v>427</v>
      </c>
      <c r="C15" s="321" t="s">
        <v>424</v>
      </c>
      <c r="D15" s="198"/>
      <c r="E15" s="322">
        <v>1089</v>
      </c>
      <c r="F15" s="323">
        <v>466279</v>
      </c>
      <c r="G15" s="323">
        <v>471418</v>
      </c>
      <c r="H15" s="198"/>
      <c r="I15" s="322">
        <v>45066</v>
      </c>
      <c r="J15" s="323">
        <v>50919</v>
      </c>
      <c r="K15" s="322" t="s">
        <v>448</v>
      </c>
      <c r="L15" s="324">
        <v>10.5</v>
      </c>
      <c r="M15" s="324">
        <v>9.3000000000000007</v>
      </c>
      <c r="N15" s="323">
        <v>50919</v>
      </c>
      <c r="O15" s="322" t="s">
        <v>462</v>
      </c>
      <c r="P15" s="322" t="s">
        <v>463</v>
      </c>
      <c r="Q15" s="198"/>
      <c r="R15" s="322">
        <v>25.46</v>
      </c>
      <c r="S15" s="322">
        <v>32.369999999999997</v>
      </c>
      <c r="T15" s="324">
        <v>42.8</v>
      </c>
      <c r="U15" s="324">
        <v>33.6</v>
      </c>
    </row>
    <row r="16" spans="2:21">
      <c r="B16" s="198" t="s">
        <v>426</v>
      </c>
      <c r="C16" s="321" t="s">
        <v>425</v>
      </c>
      <c r="D16" s="198"/>
      <c r="E16" s="322">
        <v>202.81</v>
      </c>
      <c r="F16" s="323">
        <v>5031072</v>
      </c>
      <c r="G16" s="323">
        <v>4982747</v>
      </c>
      <c r="H16" s="198"/>
      <c r="I16" s="322">
        <v>129366</v>
      </c>
      <c r="J16" s="323">
        <v>206669</v>
      </c>
      <c r="K16" s="322" t="s">
        <v>450</v>
      </c>
      <c r="L16" s="324">
        <v>38.5</v>
      </c>
      <c r="M16" s="324">
        <v>24.1</v>
      </c>
      <c r="N16" s="323">
        <v>206669</v>
      </c>
      <c r="O16" s="322" t="s">
        <v>464</v>
      </c>
      <c r="P16" s="322" t="s">
        <v>465</v>
      </c>
      <c r="Q16" s="198"/>
      <c r="R16" s="322">
        <v>2.95</v>
      </c>
      <c r="S16" s="322">
        <v>4.51</v>
      </c>
      <c r="T16" s="324">
        <v>68.8</v>
      </c>
      <c r="U16" s="324">
        <v>45</v>
      </c>
    </row>
    <row r="17" spans="2:21" ht="5.0999999999999996" customHeight="1" thickBot="1">
      <c r="B17" s="339"/>
      <c r="C17" s="339"/>
      <c r="D17" s="339"/>
      <c r="E17" s="339"/>
      <c r="F17" s="339"/>
      <c r="G17" s="339"/>
      <c r="H17" s="339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</row>
  </sheetData>
  <pageMargins left="0.7" right="0.7" top="0.75" bottom="0.75" header="0.3" footer="0.3"/>
  <ignoredErrors>
    <ignoredError sqref="K9:P16 K8:P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Historical Financials</vt:lpstr>
      <vt:lpstr>Revenue Drivers</vt:lpstr>
      <vt:lpstr>Balance Sheet Drivers</vt:lpstr>
      <vt:lpstr>FCF</vt:lpstr>
      <vt:lpstr>Revenue Projections &amp; Cases</vt:lpstr>
      <vt:lpstr>3 Statement Model</vt:lpstr>
      <vt:lpstr>DCF</vt:lpstr>
      <vt:lpstr>WACC</vt:lpstr>
      <vt:lpstr>Street Price Targets</vt:lpstr>
      <vt:lpstr>Street Consensus</vt:lpstr>
      <vt:lpstr>Peer 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2026-01-06T19:22:19Z</dcterms:modified>
</cp:coreProperties>
</file>