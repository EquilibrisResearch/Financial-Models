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55B4437A-CC95-4D2D-8325-AB62ACB146F1}" xr6:coauthVersionLast="47" xr6:coauthVersionMax="47" xr10:uidLastSave="{00000000-0000-0000-0000-000000000000}"/>
  <bookViews>
    <workbookView xWindow="2868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54" i="8" l="1"/>
  <c r="AF54" i="8"/>
  <c r="AE54" i="8"/>
  <c r="AD54" i="8"/>
  <c r="AC54" i="8"/>
  <c r="B2" i="10"/>
  <c r="AG25" i="8"/>
  <c r="AF25" i="8"/>
  <c r="AE25" i="8"/>
  <c r="AD25" i="8"/>
  <c r="AC25" i="8"/>
  <c r="N175" i="8" l="1"/>
  <c r="J175" i="8"/>
  <c r="N174" i="8"/>
  <c r="J174" i="8"/>
  <c r="C171" i="8"/>
  <c r="C168" i="8"/>
  <c r="C166" i="8"/>
  <c r="N125" i="8"/>
  <c r="AE125" i="8" s="1"/>
  <c r="N124" i="8"/>
  <c r="AG124" i="8" s="1"/>
  <c r="AI124" i="8" s="1"/>
  <c r="N123" i="8"/>
  <c r="AG123" i="8" s="1"/>
  <c r="N122" i="8"/>
  <c r="AD122" i="8" s="1"/>
  <c r="J125" i="8"/>
  <c r="AC125" i="8" s="1"/>
  <c r="J124" i="8"/>
  <c r="AC124" i="8" s="1"/>
  <c r="J123" i="8"/>
  <c r="AC123" i="8" s="1"/>
  <c r="J122" i="8"/>
  <c r="AC122" i="8" s="1"/>
  <c r="Q115" i="8"/>
  <c r="P115" i="8"/>
  <c r="O115" i="8"/>
  <c r="M115" i="8"/>
  <c r="L115" i="8"/>
  <c r="K115" i="8"/>
  <c r="I115" i="8"/>
  <c r="H115" i="8"/>
  <c r="X115" i="8" s="1"/>
  <c r="G115" i="8"/>
  <c r="J54" i="8"/>
  <c r="AG158" i="8"/>
  <c r="AF158" i="8"/>
  <c r="AE158" i="8"/>
  <c r="AD158" i="8"/>
  <c r="AC158" i="8"/>
  <c r="Q158" i="8"/>
  <c r="P158" i="8"/>
  <c r="O158" i="8"/>
  <c r="N158" i="8"/>
  <c r="M158" i="8"/>
  <c r="L158" i="8"/>
  <c r="K158" i="8"/>
  <c r="J158" i="8"/>
  <c r="I158" i="8"/>
  <c r="H158" i="8"/>
  <c r="G158" i="8"/>
  <c r="N165" i="8"/>
  <c r="J165" i="8"/>
  <c r="E54" i="8"/>
  <c r="N54" i="8" s="1"/>
  <c r="D54" i="8"/>
  <c r="D56" i="8" s="1"/>
  <c r="J56" i="8" s="1"/>
  <c r="Z56" i="8" s="1"/>
  <c r="E56" i="8"/>
  <c r="C54" i="8"/>
  <c r="C56" i="8" s="1"/>
  <c r="E158" i="8"/>
  <c r="E166" i="8" s="1"/>
  <c r="N166" i="8" s="1"/>
  <c r="D158" i="8"/>
  <c r="D166" i="8" s="1"/>
  <c r="J166" i="8" s="1"/>
  <c r="C158" i="8"/>
  <c r="G162" i="8" s="1"/>
  <c r="C135" i="8"/>
  <c r="S168" i="8"/>
  <c r="T168" i="8"/>
  <c r="U168" i="8"/>
  <c r="V168" i="8"/>
  <c r="D135" i="8"/>
  <c r="E135" i="8"/>
  <c r="G135" i="8"/>
  <c r="H135" i="8"/>
  <c r="I135" i="8"/>
  <c r="K135" i="8"/>
  <c r="L135" i="8"/>
  <c r="M135" i="8"/>
  <c r="O135" i="8"/>
  <c r="P135" i="8"/>
  <c r="Q135" i="8"/>
  <c r="C151" i="8"/>
  <c r="C161" i="8"/>
  <c r="C163" i="8" s="1"/>
  <c r="Z162" i="8"/>
  <c r="Y162" i="8"/>
  <c r="X162" i="8"/>
  <c r="W162" i="8"/>
  <c r="V162" i="8"/>
  <c r="U162" i="8"/>
  <c r="T162" i="8"/>
  <c r="S162" i="8"/>
  <c r="J149" i="8"/>
  <c r="Z149" i="8" s="1"/>
  <c r="J148" i="8"/>
  <c r="Z148" i="8" s="1"/>
  <c r="J147" i="8"/>
  <c r="Z147" i="8" s="1"/>
  <c r="J146" i="8"/>
  <c r="AA146" i="8" s="1"/>
  <c r="J145" i="8"/>
  <c r="Z145" i="8" s="1"/>
  <c r="J144" i="8"/>
  <c r="Z144" i="8" s="1"/>
  <c r="J143" i="8"/>
  <c r="Z143" i="8" s="1"/>
  <c r="N149" i="8"/>
  <c r="AD149" i="8" s="1"/>
  <c r="N148" i="8"/>
  <c r="AD148" i="8" s="1"/>
  <c r="N147" i="8"/>
  <c r="AE147" i="8" s="1"/>
  <c r="N146" i="8"/>
  <c r="AD146" i="8" s="1"/>
  <c r="N145" i="8"/>
  <c r="AE145" i="8" s="1"/>
  <c r="N144" i="8"/>
  <c r="AE144" i="8" s="1"/>
  <c r="N143" i="8"/>
  <c r="AD143" i="8" s="1"/>
  <c r="J133" i="8"/>
  <c r="AA133" i="8" s="1"/>
  <c r="N133" i="8"/>
  <c r="AD133" i="8" s="1"/>
  <c r="Q109" i="8"/>
  <c r="P109" i="8"/>
  <c r="O109" i="8"/>
  <c r="M109" i="8"/>
  <c r="L109" i="8"/>
  <c r="K109" i="8"/>
  <c r="I109" i="8"/>
  <c r="H109" i="8"/>
  <c r="G109" i="8"/>
  <c r="E109" i="8"/>
  <c r="D109" i="8"/>
  <c r="C109" i="8"/>
  <c r="N117" i="8"/>
  <c r="AG117" i="8" s="1"/>
  <c r="AI117" i="8" s="1"/>
  <c r="N116" i="8"/>
  <c r="AG116" i="8" s="1"/>
  <c r="AI116" i="8" s="1"/>
  <c r="J117" i="8"/>
  <c r="AC117" i="8" s="1"/>
  <c r="J116" i="8"/>
  <c r="AC116" i="8" s="1"/>
  <c r="D115" i="8"/>
  <c r="C115" i="8"/>
  <c r="E115" i="8"/>
  <c r="AG78" i="8"/>
  <c r="AF78" i="8"/>
  <c r="AE78" i="8"/>
  <c r="AC78" i="8"/>
  <c r="AG94" i="8"/>
  <c r="AF94" i="8"/>
  <c r="AE94" i="8"/>
  <c r="AC94" i="8"/>
  <c r="AG93" i="8"/>
  <c r="AF93" i="8"/>
  <c r="AE93" i="8"/>
  <c r="AC93" i="8"/>
  <c r="AG90" i="8"/>
  <c r="AF90" i="8"/>
  <c r="AE90" i="8"/>
  <c r="AC90" i="8"/>
  <c r="AG89" i="8"/>
  <c r="AF89" i="8"/>
  <c r="AE89" i="8"/>
  <c r="AC89" i="8"/>
  <c r="AG88" i="8"/>
  <c r="AF88" i="8"/>
  <c r="AE88" i="8"/>
  <c r="AC88" i="8"/>
  <c r="AG87" i="8"/>
  <c r="AF87" i="8"/>
  <c r="AE87" i="8"/>
  <c r="AC87" i="8"/>
  <c r="AG86" i="8"/>
  <c r="AF86" i="8"/>
  <c r="AE86" i="8"/>
  <c r="AC86" i="8"/>
  <c r="N94" i="8"/>
  <c r="AD94" i="8" s="1"/>
  <c r="N93" i="8"/>
  <c r="AD93" i="8" s="1"/>
  <c r="N90" i="8"/>
  <c r="AD90" i="8" s="1"/>
  <c r="J90" i="8"/>
  <c r="N89" i="8"/>
  <c r="AD89" i="8" s="1"/>
  <c r="J89" i="8"/>
  <c r="N88" i="8"/>
  <c r="AD88" i="8" s="1"/>
  <c r="J88" i="8"/>
  <c r="Z88" i="8" s="1"/>
  <c r="N87" i="8"/>
  <c r="AD87" i="8" s="1"/>
  <c r="J87" i="8"/>
  <c r="Z87" i="8" s="1"/>
  <c r="N86" i="8"/>
  <c r="AD86" i="8" s="1"/>
  <c r="J86" i="8"/>
  <c r="N78" i="8"/>
  <c r="AD78" i="8" s="1"/>
  <c r="J78" i="8"/>
  <c r="Q91" i="8"/>
  <c r="Q95" i="8" s="1"/>
  <c r="P91" i="8"/>
  <c r="P95" i="8" s="1"/>
  <c r="O91" i="8"/>
  <c r="O95" i="8" s="1"/>
  <c r="M91" i="8"/>
  <c r="M95" i="8" s="1"/>
  <c r="L91" i="8"/>
  <c r="L95" i="8" s="1"/>
  <c r="K91" i="8"/>
  <c r="K95" i="8" s="1"/>
  <c r="I91" i="8"/>
  <c r="I95" i="8" s="1"/>
  <c r="H91" i="8"/>
  <c r="H95" i="8" s="1"/>
  <c r="G91" i="8"/>
  <c r="G95" i="8" s="1"/>
  <c r="J94" i="8"/>
  <c r="J93" i="8"/>
  <c r="AG55" i="8"/>
  <c r="AF55" i="8"/>
  <c r="AE55" i="8"/>
  <c r="AC55" i="8"/>
  <c r="AB55" i="8"/>
  <c r="AA55" i="8"/>
  <c r="Y55" i="8"/>
  <c r="X55" i="8"/>
  <c r="W55" i="8"/>
  <c r="V55" i="8"/>
  <c r="U55" i="8"/>
  <c r="T55" i="8"/>
  <c r="S55" i="8"/>
  <c r="N55" i="8"/>
  <c r="AD55" i="8" s="1"/>
  <c r="J55" i="8"/>
  <c r="Z55" i="8" s="1"/>
  <c r="AG53" i="8"/>
  <c r="AF53" i="8"/>
  <c r="AE53" i="8"/>
  <c r="AC53" i="8"/>
  <c r="AB53" i="8"/>
  <c r="AA53" i="8"/>
  <c r="Y53" i="8"/>
  <c r="X53" i="8"/>
  <c r="W53" i="8"/>
  <c r="V53" i="8"/>
  <c r="V57" i="8" s="1"/>
  <c r="U53" i="8"/>
  <c r="U57" i="8" s="1"/>
  <c r="T53" i="8"/>
  <c r="T57" i="8" s="1"/>
  <c r="S53" i="8"/>
  <c r="S57" i="8" s="1"/>
  <c r="N53" i="8"/>
  <c r="AD53" i="8" s="1"/>
  <c r="J53" i="8"/>
  <c r="Z53" i="8" s="1"/>
  <c r="AG71" i="8"/>
  <c r="AF71" i="8"/>
  <c r="AE71" i="8"/>
  <c r="AC71" i="8"/>
  <c r="N71" i="8"/>
  <c r="AD71" i="8" s="1"/>
  <c r="J71" i="8"/>
  <c r="E75" i="8"/>
  <c r="E83" i="8" s="1"/>
  <c r="J82" i="8"/>
  <c r="J81" i="8"/>
  <c r="J80" i="8"/>
  <c r="N82" i="8"/>
  <c r="AD82" i="8" s="1"/>
  <c r="N81" i="8"/>
  <c r="AD81" i="8" s="1"/>
  <c r="N80" i="8"/>
  <c r="AD80" i="8" s="1"/>
  <c r="AG82" i="8"/>
  <c r="AF82" i="8"/>
  <c r="AE82" i="8"/>
  <c r="AC82" i="8"/>
  <c r="AG81" i="8"/>
  <c r="AF81" i="8"/>
  <c r="AE81" i="8"/>
  <c r="AC81" i="8"/>
  <c r="AG80" i="8"/>
  <c r="AF80" i="8"/>
  <c r="AE80" i="8"/>
  <c r="AC80" i="8"/>
  <c r="AG66" i="8"/>
  <c r="AF66" i="8"/>
  <c r="AE66" i="8"/>
  <c r="AC66" i="8"/>
  <c r="AG65" i="8"/>
  <c r="AF65" i="8"/>
  <c r="AE65" i="8"/>
  <c r="AC65" i="8"/>
  <c r="AG64" i="8"/>
  <c r="AF64" i="8"/>
  <c r="AE64" i="8"/>
  <c r="AC64" i="8"/>
  <c r="AG63" i="8"/>
  <c r="AF63" i="8"/>
  <c r="AE63" i="8"/>
  <c r="AC63" i="8"/>
  <c r="AG62" i="8"/>
  <c r="AF62" i="8"/>
  <c r="AE62" i="8"/>
  <c r="AC62" i="8"/>
  <c r="AG61" i="8"/>
  <c r="AF61" i="8"/>
  <c r="AE61" i="8"/>
  <c r="AC61" i="8"/>
  <c r="N66" i="8"/>
  <c r="AD66" i="8" s="1"/>
  <c r="N65" i="8"/>
  <c r="AD65" i="8" s="1"/>
  <c r="N64" i="8"/>
  <c r="AD64" i="8" s="1"/>
  <c r="N63" i="8"/>
  <c r="AD63" i="8" s="1"/>
  <c r="N62" i="8"/>
  <c r="AD62" i="8" s="1"/>
  <c r="N61" i="8"/>
  <c r="AD61" i="8" s="1"/>
  <c r="J65" i="8"/>
  <c r="J64" i="8"/>
  <c r="J63" i="8"/>
  <c r="J62" i="8"/>
  <c r="J61" i="8"/>
  <c r="J60" i="8"/>
  <c r="Z60" i="8" s="1"/>
  <c r="N45" i="8"/>
  <c r="AD45" i="8" s="1"/>
  <c r="J45" i="8"/>
  <c r="Z45" i="8" s="1"/>
  <c r="N42" i="8"/>
  <c r="J42" i="8"/>
  <c r="Z42" i="8" s="1"/>
  <c r="N30" i="8"/>
  <c r="AG30" i="8" s="1"/>
  <c r="J30" i="8"/>
  <c r="AC30" i="8" s="1"/>
  <c r="J37" i="8"/>
  <c r="AC37" i="8" s="1"/>
  <c r="J34" i="8"/>
  <c r="AC34" i="8" s="1"/>
  <c r="N37" i="8"/>
  <c r="AG37" i="8" s="1"/>
  <c r="N34" i="8"/>
  <c r="AG34" i="8" s="1"/>
  <c r="N25" i="8"/>
  <c r="J25" i="8"/>
  <c r="N31" i="8"/>
  <c r="J31" i="8"/>
  <c r="Z31" i="8" s="1"/>
  <c r="N26" i="8"/>
  <c r="J26" i="8"/>
  <c r="Z26" i="8" s="1"/>
  <c r="N24" i="8"/>
  <c r="J24" i="8"/>
  <c r="AA24" i="8" s="1"/>
  <c r="N20" i="8"/>
  <c r="J20" i="8"/>
  <c r="AA20" i="8" s="1"/>
  <c r="N19" i="8"/>
  <c r="J19" i="8"/>
  <c r="Z19" i="8" s="1"/>
  <c r="N18" i="8"/>
  <c r="J18" i="8"/>
  <c r="AA18" i="8" s="1"/>
  <c r="N14" i="8"/>
  <c r="AE14" i="8" s="1"/>
  <c r="J14" i="8"/>
  <c r="AC14" i="8" s="1"/>
  <c r="N13" i="8"/>
  <c r="J13" i="8"/>
  <c r="Z13" i="8" s="1"/>
  <c r="N56" i="8"/>
  <c r="J66" i="8"/>
  <c r="Z66" i="8" s="1"/>
  <c r="N60" i="8"/>
  <c r="N74" i="8"/>
  <c r="J74" i="8"/>
  <c r="Z74" i="8" s="1"/>
  <c r="N73" i="8"/>
  <c r="J73" i="8"/>
  <c r="Z73" i="8" s="1"/>
  <c r="N72" i="8"/>
  <c r="J72" i="8"/>
  <c r="Z72" i="8" s="1"/>
  <c r="N70" i="8"/>
  <c r="J70" i="8"/>
  <c r="Z70" i="8" s="1"/>
  <c r="N79" i="8"/>
  <c r="J79" i="8"/>
  <c r="Z79" i="8" s="1"/>
  <c r="J8" i="8"/>
  <c r="J50" i="8" s="1"/>
  <c r="T10" i="8"/>
  <c r="T11" i="8" s="1"/>
  <c r="J10" i="8"/>
  <c r="Z10" i="8" s="1"/>
  <c r="Z11" i="8" s="1"/>
  <c r="G11" i="8"/>
  <c r="G15" i="8" s="1"/>
  <c r="H11" i="8"/>
  <c r="H15" i="8" s="1"/>
  <c r="I11" i="8"/>
  <c r="I15" i="8" s="1"/>
  <c r="X20" i="8"/>
  <c r="G49" i="8"/>
  <c r="H49" i="8"/>
  <c r="I49" i="8"/>
  <c r="J49" i="8"/>
  <c r="G50" i="8"/>
  <c r="H50" i="8"/>
  <c r="I50" i="8"/>
  <c r="G57" i="8"/>
  <c r="G67" i="8" s="1"/>
  <c r="H57" i="8"/>
  <c r="H67" i="8" s="1"/>
  <c r="I57" i="8"/>
  <c r="I67" i="8" s="1"/>
  <c r="V73" i="8"/>
  <c r="V74" i="8"/>
  <c r="G75" i="8"/>
  <c r="G83" i="8" s="1"/>
  <c r="H75" i="8"/>
  <c r="H83" i="8" s="1"/>
  <c r="I75" i="8"/>
  <c r="I83" i="8" s="1"/>
  <c r="J85" i="8"/>
  <c r="Z85" i="8" s="1"/>
  <c r="G102" i="8"/>
  <c r="H102" i="8"/>
  <c r="I102" i="8"/>
  <c r="J102" i="8"/>
  <c r="G103" i="8"/>
  <c r="H103" i="8"/>
  <c r="I103" i="8"/>
  <c r="J110" i="8"/>
  <c r="Z110" i="8" s="1"/>
  <c r="J111" i="8"/>
  <c r="AB111" i="8" s="1"/>
  <c r="J112" i="8"/>
  <c r="AC112" i="8" s="1"/>
  <c r="J113" i="8"/>
  <c r="Z113" i="8" s="1"/>
  <c r="J114" i="8"/>
  <c r="Z114" i="8" s="1"/>
  <c r="J121" i="8"/>
  <c r="Z121" i="8" s="1"/>
  <c r="Z122" i="8"/>
  <c r="Z123" i="8"/>
  <c r="X129" i="8"/>
  <c r="J129" i="8"/>
  <c r="AB129" i="8" s="1"/>
  <c r="J130" i="8"/>
  <c r="AC130" i="8" s="1"/>
  <c r="J131" i="8"/>
  <c r="AA131" i="8" s="1"/>
  <c r="T132" i="8"/>
  <c r="J132" i="8"/>
  <c r="Z132" i="8" s="1"/>
  <c r="J134" i="8"/>
  <c r="Z134" i="8" s="1"/>
  <c r="T138" i="8"/>
  <c r="T151" i="8" s="1"/>
  <c r="J138" i="8"/>
  <c r="AA138" i="8" s="1"/>
  <c r="J139" i="8"/>
  <c r="AA139" i="8" s="1"/>
  <c r="J140" i="8"/>
  <c r="AA140" i="8" s="1"/>
  <c r="X141" i="8"/>
  <c r="J141" i="8"/>
  <c r="Z141" i="8" s="1"/>
  <c r="J142" i="8"/>
  <c r="AB142" i="8" s="1"/>
  <c r="J150" i="8"/>
  <c r="AB150" i="8" s="1"/>
  <c r="G151" i="8"/>
  <c r="H151" i="8"/>
  <c r="I151" i="8"/>
  <c r="H161" i="8"/>
  <c r="J161" i="8"/>
  <c r="U161" i="8"/>
  <c r="I161" i="8"/>
  <c r="Y167" i="8"/>
  <c r="S7" i="8"/>
  <c r="S102" i="8" s="1"/>
  <c r="T7" i="8"/>
  <c r="T49" i="8" s="1"/>
  <c r="U7" i="8"/>
  <c r="V7" i="8"/>
  <c r="V49" i="8" s="1"/>
  <c r="W7" i="8"/>
  <c r="W102" i="8" s="1"/>
  <c r="X7" i="8"/>
  <c r="X102" i="8" s="1"/>
  <c r="Y7" i="8"/>
  <c r="Z7" i="8"/>
  <c r="Z49" i="8" s="1"/>
  <c r="S8" i="8"/>
  <c r="S103" i="8" s="1"/>
  <c r="T8" i="8"/>
  <c r="T50" i="8" s="1"/>
  <c r="U8" i="8"/>
  <c r="W8" i="8"/>
  <c r="W103" i="8" s="1"/>
  <c r="X8" i="8"/>
  <c r="X50" i="8" s="1"/>
  <c r="Y8" i="8"/>
  <c r="S10" i="8"/>
  <c r="S11" i="8" s="1"/>
  <c r="V10" i="8"/>
  <c r="V11" i="8" s="1"/>
  <c r="W10" i="8"/>
  <c r="W11" i="8" s="1"/>
  <c r="X10" i="8"/>
  <c r="X11" i="8" s="1"/>
  <c r="Y10" i="8"/>
  <c r="Y11" i="8" s="1"/>
  <c r="S13" i="8"/>
  <c r="T13" i="8"/>
  <c r="U13" i="8"/>
  <c r="X13" i="8"/>
  <c r="Y13" i="8"/>
  <c r="S18" i="8"/>
  <c r="T18" i="8"/>
  <c r="U18" i="8"/>
  <c r="X18" i="8"/>
  <c r="Y18" i="8"/>
  <c r="S19" i="8"/>
  <c r="T19" i="8"/>
  <c r="U19" i="8"/>
  <c r="X19" i="8"/>
  <c r="Y19" i="8"/>
  <c r="S20" i="8"/>
  <c r="T20" i="8"/>
  <c r="U20" i="8"/>
  <c r="Y20" i="8"/>
  <c r="T24" i="8"/>
  <c r="V24" i="8"/>
  <c r="W24" i="8"/>
  <c r="X24" i="8"/>
  <c r="Y24" i="8"/>
  <c r="T26" i="8"/>
  <c r="V26" i="8"/>
  <c r="Y26" i="8"/>
  <c r="S31" i="8"/>
  <c r="T31" i="8"/>
  <c r="U31" i="8"/>
  <c r="V31" i="8"/>
  <c r="W31" i="8"/>
  <c r="X31" i="8"/>
  <c r="Y31" i="8"/>
  <c r="S42" i="8"/>
  <c r="T42" i="8"/>
  <c r="U42" i="8"/>
  <c r="V42" i="8"/>
  <c r="W42" i="8"/>
  <c r="X42" i="8"/>
  <c r="Y42" i="8"/>
  <c r="S45" i="8"/>
  <c r="T45" i="8"/>
  <c r="U45" i="8"/>
  <c r="V45" i="8"/>
  <c r="W45" i="8"/>
  <c r="X45" i="8"/>
  <c r="Y45" i="8"/>
  <c r="S56" i="8"/>
  <c r="T56" i="8"/>
  <c r="U56" i="8"/>
  <c r="V56" i="8"/>
  <c r="W56" i="8"/>
  <c r="X56" i="8"/>
  <c r="Y56" i="8"/>
  <c r="S60" i="8"/>
  <c r="T60" i="8"/>
  <c r="U60" i="8"/>
  <c r="V60" i="8"/>
  <c r="W60" i="8"/>
  <c r="X60" i="8"/>
  <c r="Y60" i="8"/>
  <c r="S66" i="8"/>
  <c r="T66" i="8"/>
  <c r="U66" i="8"/>
  <c r="V66" i="8"/>
  <c r="W66" i="8"/>
  <c r="X66" i="8"/>
  <c r="Y66" i="8"/>
  <c r="S70" i="8"/>
  <c r="S75" i="8" s="1"/>
  <c r="T70" i="8"/>
  <c r="U70" i="8"/>
  <c r="U75" i="8" s="1"/>
  <c r="V70" i="8"/>
  <c r="W70" i="8"/>
  <c r="X70" i="8"/>
  <c r="Y70" i="8"/>
  <c r="S72" i="8"/>
  <c r="T72" i="8"/>
  <c r="U72" i="8"/>
  <c r="V72" i="8"/>
  <c r="W72" i="8"/>
  <c r="X72" i="8"/>
  <c r="Y72" i="8"/>
  <c r="S73" i="8"/>
  <c r="T73" i="8"/>
  <c r="U73" i="8"/>
  <c r="W73" i="8"/>
  <c r="X73" i="8"/>
  <c r="Y73" i="8"/>
  <c r="S74" i="8"/>
  <c r="T74" i="8"/>
  <c r="U74" i="8"/>
  <c r="W74" i="8"/>
  <c r="X74" i="8"/>
  <c r="Y74" i="8"/>
  <c r="S79" i="8"/>
  <c r="T79" i="8"/>
  <c r="U79" i="8"/>
  <c r="V79" i="8"/>
  <c r="W79" i="8"/>
  <c r="X79" i="8"/>
  <c r="Y79" i="8"/>
  <c r="S85" i="8"/>
  <c r="S91" i="8" s="1"/>
  <c r="S95" i="8" s="1"/>
  <c r="T85" i="8"/>
  <c r="T91" i="8" s="1"/>
  <c r="T95" i="8" s="1"/>
  <c r="U85" i="8"/>
  <c r="U91" i="8" s="1"/>
  <c r="U95" i="8" s="1"/>
  <c r="V85" i="8"/>
  <c r="V91" i="8" s="1"/>
  <c r="V95" i="8" s="1"/>
  <c r="W85" i="8"/>
  <c r="X85" i="8"/>
  <c r="Y85" i="8"/>
  <c r="S87" i="8"/>
  <c r="T87" i="8"/>
  <c r="U87" i="8"/>
  <c r="V87" i="8"/>
  <c r="W87" i="8"/>
  <c r="X87" i="8"/>
  <c r="Y87" i="8"/>
  <c r="S88" i="8"/>
  <c r="T88" i="8"/>
  <c r="U88" i="8"/>
  <c r="V88" i="8"/>
  <c r="W88" i="8"/>
  <c r="X88" i="8"/>
  <c r="Y88" i="8"/>
  <c r="T109" i="8"/>
  <c r="V109" i="8"/>
  <c r="T110" i="8"/>
  <c r="W110" i="8"/>
  <c r="X110" i="8"/>
  <c r="T111" i="8"/>
  <c r="V111" i="8"/>
  <c r="W111" i="8"/>
  <c r="X111" i="8"/>
  <c r="Y111" i="8"/>
  <c r="S112" i="8"/>
  <c r="T112" i="8"/>
  <c r="U112" i="8"/>
  <c r="V112" i="8"/>
  <c r="W112" i="8"/>
  <c r="X112" i="8"/>
  <c r="Y112" i="8"/>
  <c r="T113" i="8"/>
  <c r="V113" i="8"/>
  <c r="W113" i="8"/>
  <c r="X113" i="8"/>
  <c r="Y113" i="8"/>
  <c r="S114" i="8"/>
  <c r="T114" i="8"/>
  <c r="U114" i="8"/>
  <c r="W114" i="8"/>
  <c r="X114" i="8"/>
  <c r="S115" i="8"/>
  <c r="T115" i="8"/>
  <c r="U115" i="8"/>
  <c r="W115" i="8"/>
  <c r="T121" i="8"/>
  <c r="V121" i="8"/>
  <c r="W121" i="8"/>
  <c r="X121" i="8"/>
  <c r="Y121" i="8"/>
  <c r="T122" i="8"/>
  <c r="W122" i="8"/>
  <c r="X122" i="8"/>
  <c r="T123" i="8"/>
  <c r="V123" i="8"/>
  <c r="W123" i="8"/>
  <c r="X123" i="8"/>
  <c r="Y123" i="8"/>
  <c r="T129" i="8"/>
  <c r="T135" i="8" s="1"/>
  <c r="W129" i="8"/>
  <c r="T130" i="8"/>
  <c r="V130" i="8"/>
  <c r="W130" i="8"/>
  <c r="X130" i="8"/>
  <c r="Y130" i="8"/>
  <c r="S131" i="8"/>
  <c r="T131" i="8"/>
  <c r="U131" i="8"/>
  <c r="V131" i="8"/>
  <c r="W131" i="8"/>
  <c r="X131" i="8"/>
  <c r="Y131" i="8"/>
  <c r="V132" i="8"/>
  <c r="W132" i="8"/>
  <c r="X132" i="8"/>
  <c r="Y132" i="8"/>
  <c r="S134" i="8"/>
  <c r="T134" i="8"/>
  <c r="U134" i="8"/>
  <c r="W134" i="8"/>
  <c r="X134" i="8"/>
  <c r="V138" i="8"/>
  <c r="W138" i="8"/>
  <c r="X138" i="8"/>
  <c r="Y138" i="8"/>
  <c r="S139" i="8"/>
  <c r="T139" i="8"/>
  <c r="U139" i="8"/>
  <c r="V139" i="8"/>
  <c r="W139" i="8"/>
  <c r="X139" i="8"/>
  <c r="Y139" i="8"/>
  <c r="T140" i="8"/>
  <c r="V140" i="8"/>
  <c r="W140" i="8"/>
  <c r="X140" i="8"/>
  <c r="Y140" i="8"/>
  <c r="S141" i="8"/>
  <c r="T141" i="8"/>
  <c r="U141" i="8"/>
  <c r="W141" i="8"/>
  <c r="S142" i="8"/>
  <c r="T142" i="8"/>
  <c r="U142" i="8"/>
  <c r="W142" i="8"/>
  <c r="X142" i="8"/>
  <c r="T150" i="8"/>
  <c r="V150" i="8"/>
  <c r="W150" i="8"/>
  <c r="X150" i="8"/>
  <c r="Y150" i="8"/>
  <c r="S160" i="8"/>
  <c r="S163" i="8" s="1"/>
  <c r="S169" i="8" s="1"/>
  <c r="S161" i="8"/>
  <c r="T161" i="8"/>
  <c r="V161" i="8"/>
  <c r="W161" i="8"/>
  <c r="X161" i="8"/>
  <c r="S167" i="8"/>
  <c r="T167" i="8"/>
  <c r="U167" i="8"/>
  <c r="W167" i="8"/>
  <c r="X167" i="8"/>
  <c r="S174" i="8"/>
  <c r="T174" i="8"/>
  <c r="U174" i="8"/>
  <c r="S175" i="8"/>
  <c r="T175" i="8"/>
  <c r="U175" i="8"/>
  <c r="AA7" i="8"/>
  <c r="AA102" i="8" s="1"/>
  <c r="AB7" i="8"/>
  <c r="AB49" i="8" s="1"/>
  <c r="AC7" i="8"/>
  <c r="AC49" i="8" s="1"/>
  <c r="AA8" i="8"/>
  <c r="AA50" i="8" s="1"/>
  <c r="AB8" i="8"/>
  <c r="AB50" i="8" s="1"/>
  <c r="AC8" i="8"/>
  <c r="AC103" i="8" s="1"/>
  <c r="AA42" i="8"/>
  <c r="AB42" i="8"/>
  <c r="AC42" i="8"/>
  <c r="AA45" i="8"/>
  <c r="AB45" i="8"/>
  <c r="AC45" i="8"/>
  <c r="AA56" i="8"/>
  <c r="AB56" i="8"/>
  <c r="AC56" i="8"/>
  <c r="AA60" i="8"/>
  <c r="AB60" i="8"/>
  <c r="AC60" i="8"/>
  <c r="AA66" i="8"/>
  <c r="AB66" i="8"/>
  <c r="AA70" i="8"/>
  <c r="AB70" i="8"/>
  <c r="AC70" i="8"/>
  <c r="AA72" i="8"/>
  <c r="AB72" i="8"/>
  <c r="AC72" i="8"/>
  <c r="AA73" i="8"/>
  <c r="AB73" i="8"/>
  <c r="AC73" i="8"/>
  <c r="AA74" i="8"/>
  <c r="AB74" i="8"/>
  <c r="AC74" i="8"/>
  <c r="AA79" i="8"/>
  <c r="AB79" i="8"/>
  <c r="AC79" i="8"/>
  <c r="AA85" i="8"/>
  <c r="AB85" i="8"/>
  <c r="AC85" i="8"/>
  <c r="AA87" i="8"/>
  <c r="AB87" i="8"/>
  <c r="AA88" i="8"/>
  <c r="AB88" i="8"/>
  <c r="AA161" i="8"/>
  <c r="AB161" i="8"/>
  <c r="AC161" i="8"/>
  <c r="AF42" i="8"/>
  <c r="AE42" i="8"/>
  <c r="AG42" i="8"/>
  <c r="AF45" i="8"/>
  <c r="AE45" i="8"/>
  <c r="AG45" i="8"/>
  <c r="AE66" i="9"/>
  <c r="AD66" i="9"/>
  <c r="AC66" i="9"/>
  <c r="AA66" i="9"/>
  <c r="Z66" i="9"/>
  <c r="Y66" i="9"/>
  <c r="W66" i="9"/>
  <c r="V66" i="9"/>
  <c r="U66" i="9"/>
  <c r="S66" i="9"/>
  <c r="AB66" i="9"/>
  <c r="X66" i="9"/>
  <c r="T66" i="9"/>
  <c r="J115" i="8" l="1"/>
  <c r="AB115" i="8" s="1"/>
  <c r="AE122" i="8"/>
  <c r="C167" i="8"/>
  <c r="G161" i="8" s="1"/>
  <c r="AI123" i="8"/>
  <c r="AF124" i="8"/>
  <c r="AF125" i="8"/>
  <c r="E167" i="8"/>
  <c r="AF122" i="8"/>
  <c r="AD124" i="8"/>
  <c r="AG125" i="8"/>
  <c r="AI125" i="8" s="1"/>
  <c r="AG122" i="8"/>
  <c r="AI122" i="8" s="1"/>
  <c r="AE124" i="8"/>
  <c r="AD123" i="8"/>
  <c r="AE123" i="8"/>
  <c r="AF123" i="8"/>
  <c r="AD125" i="8"/>
  <c r="D167" i="8"/>
  <c r="J135" i="8"/>
  <c r="Z146" i="8"/>
  <c r="AF148" i="8"/>
  <c r="AC133" i="8"/>
  <c r="AG148" i="8"/>
  <c r="AE148" i="8"/>
  <c r="AD144" i="8"/>
  <c r="AG149" i="8"/>
  <c r="AD145" i="8"/>
  <c r="AF149" i="8"/>
  <c r="Z133" i="8"/>
  <c r="AD147" i="8"/>
  <c r="AE149" i="8"/>
  <c r="AC149" i="8"/>
  <c r="AB149" i="8"/>
  <c r="AA149" i="8"/>
  <c r="AC148" i="8"/>
  <c r="AB148" i="8"/>
  <c r="AA148" i="8"/>
  <c r="AC147" i="8"/>
  <c r="AB147" i="8"/>
  <c r="AA147" i="8"/>
  <c r="AC146" i="8"/>
  <c r="AB146" i="8"/>
  <c r="AC145" i="8"/>
  <c r="AB145" i="8"/>
  <c r="AA145" i="8"/>
  <c r="AC144" i="8"/>
  <c r="AB144" i="8"/>
  <c r="AA144" i="8"/>
  <c r="AC143" i="8"/>
  <c r="AB143" i="8"/>
  <c r="AA143" i="8"/>
  <c r="AG147" i="8"/>
  <c r="AF147" i="8"/>
  <c r="AG146" i="8"/>
  <c r="AF146" i="8"/>
  <c r="AE146" i="8"/>
  <c r="AG145" i="8"/>
  <c r="AF145" i="8"/>
  <c r="AG144" i="8"/>
  <c r="AF144" i="8"/>
  <c r="AG143" i="8"/>
  <c r="AF143" i="8"/>
  <c r="AE143" i="8"/>
  <c r="AB133" i="8"/>
  <c r="AG133" i="8"/>
  <c r="AF133" i="8"/>
  <c r="AE133" i="8"/>
  <c r="AE116" i="8"/>
  <c r="AF116" i="8"/>
  <c r="X109" i="8"/>
  <c r="AD117" i="8"/>
  <c r="AF117" i="8"/>
  <c r="AE117" i="8"/>
  <c r="AD116" i="8"/>
  <c r="W109" i="8"/>
  <c r="J109" i="8"/>
  <c r="AC109" i="8" s="1"/>
  <c r="Y109" i="8"/>
  <c r="U83" i="8"/>
  <c r="U96" i="8" s="1"/>
  <c r="S83" i="8"/>
  <c r="S96" i="8" s="1"/>
  <c r="H96" i="8"/>
  <c r="H98" i="8" s="1"/>
  <c r="X91" i="8"/>
  <c r="X95" i="8" s="1"/>
  <c r="W91" i="8"/>
  <c r="W95" i="8" s="1"/>
  <c r="G96" i="8"/>
  <c r="G98" i="8" s="1"/>
  <c r="Y91" i="8"/>
  <c r="Y95" i="8" s="1"/>
  <c r="I96" i="8"/>
  <c r="I98" i="8" s="1"/>
  <c r="AA91" i="8"/>
  <c r="AA95" i="8" s="1"/>
  <c r="AC91" i="8"/>
  <c r="AC95" i="8" s="1"/>
  <c r="AB91" i="8"/>
  <c r="AB95" i="8" s="1"/>
  <c r="Z91" i="8"/>
  <c r="Z95" i="8" s="1"/>
  <c r="J91" i="8"/>
  <c r="J95" i="8" s="1"/>
  <c r="AC26" i="8"/>
  <c r="AB26" i="8"/>
  <c r="AB121" i="8"/>
  <c r="AF34" i="8"/>
  <c r="AB110" i="8"/>
  <c r="AA26" i="8"/>
  <c r="AD37" i="8"/>
  <c r="AD30" i="8"/>
  <c r="AE30" i="8"/>
  <c r="AD34" i="8"/>
  <c r="AE34" i="8"/>
  <c r="AD42" i="8"/>
  <c r="AF30" i="8"/>
  <c r="AE37" i="8"/>
  <c r="AF37" i="8"/>
  <c r="AC13" i="8"/>
  <c r="Z111" i="8"/>
  <c r="AB122" i="8"/>
  <c r="AA13" i="8"/>
  <c r="AB13" i="8"/>
  <c r="AB114" i="8"/>
  <c r="Z20" i="8"/>
  <c r="AC20" i="8"/>
  <c r="AB141" i="8"/>
  <c r="AB20" i="8"/>
  <c r="AA122" i="8"/>
  <c r="AC139" i="8"/>
  <c r="AA111" i="8"/>
  <c r="AF14" i="8"/>
  <c r="AG14" i="8"/>
  <c r="X103" i="8"/>
  <c r="AA142" i="8"/>
  <c r="AA19" i="8"/>
  <c r="AD14" i="8"/>
  <c r="H21" i="8"/>
  <c r="H22" i="8" s="1"/>
  <c r="AA134" i="8"/>
  <c r="AC102" i="8"/>
  <c r="AA115" i="8"/>
  <c r="S171" i="8"/>
  <c r="AC113" i="8"/>
  <c r="Z142" i="8"/>
  <c r="T103" i="8"/>
  <c r="T102" i="8"/>
  <c r="AC134" i="8"/>
  <c r="Z115" i="8"/>
  <c r="AB134" i="8"/>
  <c r="AC24" i="8"/>
  <c r="AC121" i="8"/>
  <c r="AC110" i="8"/>
  <c r="Z138" i="8"/>
  <c r="S15" i="8"/>
  <c r="S21" i="8" s="1"/>
  <c r="AA121" i="8"/>
  <c r="AA110" i="8"/>
  <c r="AC138" i="8"/>
  <c r="AB138" i="8"/>
  <c r="Z8" i="8"/>
  <c r="T75" i="8"/>
  <c r="AB123" i="8"/>
  <c r="J103" i="8"/>
  <c r="Z102" i="8"/>
  <c r="Z112" i="8"/>
  <c r="U67" i="8"/>
  <c r="AA123" i="8"/>
  <c r="T67" i="8"/>
  <c r="T15" i="8"/>
  <c r="T16" i="8" s="1"/>
  <c r="AC140" i="8"/>
  <c r="AA132" i="8"/>
  <c r="Z140" i="8"/>
  <c r="S50" i="8"/>
  <c r="AB140" i="8"/>
  <c r="AB112" i="8"/>
  <c r="AA112" i="8"/>
  <c r="V67" i="8"/>
  <c r="S49" i="8"/>
  <c r="H16" i="8"/>
  <c r="W49" i="8"/>
  <c r="AC10" i="8"/>
  <c r="AC11" i="8" s="1"/>
  <c r="AB10" i="8"/>
  <c r="AB11" i="8" s="1"/>
  <c r="W75" i="8"/>
  <c r="W83" i="8" s="1"/>
  <c r="AA10" i="8"/>
  <c r="AA11" i="8" s="1"/>
  <c r="J11" i="8"/>
  <c r="J15" i="8" s="1"/>
  <c r="W50" i="8"/>
  <c r="AC19" i="8"/>
  <c r="AB19" i="8"/>
  <c r="J75" i="8"/>
  <c r="J83" i="8" s="1"/>
  <c r="J57" i="8"/>
  <c r="J67" i="8" s="1"/>
  <c r="Z57" i="8"/>
  <c r="Z67" i="8" s="1"/>
  <c r="Y57" i="8"/>
  <c r="Y67" i="8" s="1"/>
  <c r="X57" i="8"/>
  <c r="X67" i="8" s="1"/>
  <c r="W57" i="8"/>
  <c r="W67" i="8" s="1"/>
  <c r="Y75" i="8"/>
  <c r="Y83" i="8" s="1"/>
  <c r="X75" i="8"/>
  <c r="X83" i="8" s="1"/>
  <c r="AC111" i="8"/>
  <c r="AB113" i="8"/>
  <c r="AA150" i="8"/>
  <c r="W135" i="8"/>
  <c r="AC131" i="8"/>
  <c r="AB131" i="8"/>
  <c r="Z131" i="8"/>
  <c r="AA129" i="8"/>
  <c r="AC132" i="8"/>
  <c r="AB132" i="8"/>
  <c r="AA141" i="8"/>
  <c r="AC142" i="8"/>
  <c r="AB139" i="8"/>
  <c r="Z139" i="8"/>
  <c r="AC114" i="8"/>
  <c r="Z129" i="8"/>
  <c r="X135" i="8"/>
  <c r="AB130" i="8"/>
  <c r="AA114" i="8"/>
  <c r="AB24" i="8"/>
  <c r="AC18" i="8"/>
  <c r="X151" i="8"/>
  <c r="Z130" i="8"/>
  <c r="X49" i="8"/>
  <c r="Z24" i="8"/>
  <c r="Z18" i="8"/>
  <c r="AA130" i="8"/>
  <c r="AB18" i="8"/>
  <c r="Z150" i="8"/>
  <c r="AC150" i="8"/>
  <c r="AC129" i="8"/>
  <c r="V102" i="8"/>
  <c r="S67" i="8"/>
  <c r="W151" i="8"/>
  <c r="AC141" i="8"/>
  <c r="AC31" i="8"/>
  <c r="J151" i="8"/>
  <c r="V75" i="8"/>
  <c r="V83" i="8" s="1"/>
  <c r="T160" i="8"/>
  <c r="T163" i="8" s="1"/>
  <c r="T169" i="8" s="1"/>
  <c r="T171" i="8" s="1"/>
  <c r="AB102" i="8"/>
  <c r="U49" i="8"/>
  <c r="U102" i="8"/>
  <c r="S122" i="8"/>
  <c r="U122" i="8"/>
  <c r="AC115" i="8"/>
  <c r="AA113" i="8"/>
  <c r="AC57" i="8"/>
  <c r="AC67" i="8" s="1"/>
  <c r="AB31" i="8"/>
  <c r="S140" i="8"/>
  <c r="U140" i="8"/>
  <c r="W26" i="8"/>
  <c r="X26" i="8"/>
  <c r="V18" i="8"/>
  <c r="W18" i="8"/>
  <c r="S110" i="8"/>
  <c r="U110" i="8"/>
  <c r="AB57" i="8"/>
  <c r="AB67" i="8" s="1"/>
  <c r="AA31" i="8"/>
  <c r="U10" i="8"/>
  <c r="U11" i="8" s="1"/>
  <c r="U15" i="8" s="1"/>
  <c r="Y142" i="8"/>
  <c r="V142" i="8"/>
  <c r="Y134" i="8"/>
  <c r="V134" i="8"/>
  <c r="S26" i="8"/>
  <c r="U26" i="8"/>
  <c r="Y161" i="8"/>
  <c r="S121" i="8"/>
  <c r="U121" i="8"/>
  <c r="Y114" i="8"/>
  <c r="V114" i="8"/>
  <c r="S109" i="8"/>
  <c r="U109" i="8"/>
  <c r="V20" i="8"/>
  <c r="W20" i="8"/>
  <c r="AA75" i="8"/>
  <c r="AA83" i="8" s="1"/>
  <c r="Y102" i="8"/>
  <c r="Y49" i="8"/>
  <c r="Z175" i="8"/>
  <c r="S130" i="8"/>
  <c r="U130" i="8"/>
  <c r="Z75" i="8"/>
  <c r="Z83" i="8" s="1"/>
  <c r="Z15" i="8"/>
  <c r="Y103" i="8"/>
  <c r="Y50" i="8"/>
  <c r="S150" i="8"/>
  <c r="U150" i="8"/>
  <c r="Y141" i="8"/>
  <c r="V141" i="8"/>
  <c r="V151" i="8" s="1"/>
  <c r="S123" i="8"/>
  <c r="U123" i="8"/>
  <c r="S111" i="8"/>
  <c r="U111" i="8"/>
  <c r="S24" i="8"/>
  <c r="U24" i="8"/>
  <c r="V13" i="8"/>
  <c r="V15" i="8" s="1"/>
  <c r="W13" i="8"/>
  <c r="AA103" i="8"/>
  <c r="S132" i="8"/>
  <c r="U132" i="8"/>
  <c r="Y129" i="8"/>
  <c r="V129" i="8"/>
  <c r="V135" i="8" s="1"/>
  <c r="V19" i="8"/>
  <c r="W19" i="8"/>
  <c r="Z174" i="8"/>
  <c r="S138" i="8"/>
  <c r="S151" i="8" s="1"/>
  <c r="U138" i="8"/>
  <c r="U151" i="8" s="1"/>
  <c r="S129" i="8"/>
  <c r="S135" i="8" s="1"/>
  <c r="U129" i="8"/>
  <c r="U135" i="8" s="1"/>
  <c r="Y122" i="8"/>
  <c r="V122" i="8"/>
  <c r="S113" i="8"/>
  <c r="U113" i="8"/>
  <c r="Y110" i="8"/>
  <c r="V110" i="8"/>
  <c r="V8" i="8"/>
  <c r="U50" i="8"/>
  <c r="U103" i="8"/>
  <c r="Y115" i="8"/>
  <c r="V115" i="8"/>
  <c r="I16" i="8"/>
  <c r="I21" i="8"/>
  <c r="AA49" i="8"/>
  <c r="AA57" i="8"/>
  <c r="AA67" i="8" s="1"/>
  <c r="AC50" i="8"/>
  <c r="AB75" i="8"/>
  <c r="AB83" i="8" s="1"/>
  <c r="AC75" i="8"/>
  <c r="AC83" i="8" s="1"/>
  <c r="AB103" i="8"/>
  <c r="AI45" i="8"/>
  <c r="AI148" i="8" l="1"/>
  <c r="AI133" i="8"/>
  <c r="AI143" i="8"/>
  <c r="AI149" i="8"/>
  <c r="AI144" i="8"/>
  <c r="AI147" i="8"/>
  <c r="AI146" i="8"/>
  <c r="AI145" i="8"/>
  <c r="Z109" i="8"/>
  <c r="AA109" i="8"/>
  <c r="AB109" i="8"/>
  <c r="Y96" i="8"/>
  <c r="Y98" i="8" s="1"/>
  <c r="X96" i="8"/>
  <c r="X98" i="8" s="1"/>
  <c r="W96" i="8"/>
  <c r="W98" i="8" s="1"/>
  <c r="Z96" i="8"/>
  <c r="Z98" i="8" s="1"/>
  <c r="T83" i="8"/>
  <c r="T96" i="8" s="1"/>
  <c r="T98" i="8" s="1"/>
  <c r="V96" i="8"/>
  <c r="V98" i="8" s="1"/>
  <c r="J96" i="8"/>
  <c r="J98" i="8" s="1"/>
  <c r="AB96" i="8"/>
  <c r="AB98" i="8" s="1"/>
  <c r="AA96" i="8"/>
  <c r="AA98" i="8" s="1"/>
  <c r="AC96" i="8"/>
  <c r="AC98" i="8" s="1"/>
  <c r="AC15" i="8"/>
  <c r="H27" i="8"/>
  <c r="H32" i="8" s="1"/>
  <c r="H35" i="8" s="1"/>
  <c r="H38" i="8" s="1"/>
  <c r="S16" i="8"/>
  <c r="T21" i="8"/>
  <c r="T27" i="8" s="1"/>
  <c r="AB151" i="8"/>
  <c r="Z50" i="8"/>
  <c r="Z103" i="8"/>
  <c r="U98" i="8"/>
  <c r="AA135" i="8"/>
  <c r="Z151" i="8"/>
  <c r="AA151" i="8"/>
  <c r="AC151" i="8"/>
  <c r="AB135" i="8"/>
  <c r="AC135" i="8"/>
  <c r="Z135" i="8"/>
  <c r="S98" i="8"/>
  <c r="W15" i="8"/>
  <c r="W21" i="8" s="1"/>
  <c r="G21" i="8"/>
  <c r="G16" i="8"/>
  <c r="Z16" i="8"/>
  <c r="Z21" i="8"/>
  <c r="I22" i="8"/>
  <c r="I27" i="8"/>
  <c r="I32" i="8" s="1"/>
  <c r="I35" i="8" s="1"/>
  <c r="I38" i="8" s="1"/>
  <c r="U21" i="8"/>
  <c r="U16" i="8"/>
  <c r="V103" i="8"/>
  <c r="V50" i="8"/>
  <c r="J21" i="8"/>
  <c r="J16" i="8"/>
  <c r="U160" i="8"/>
  <c r="U163" i="8" s="1"/>
  <c r="U169" i="8" s="1"/>
  <c r="U171" i="8" s="1"/>
  <c r="X15" i="8"/>
  <c r="Y15" i="8"/>
  <c r="V16" i="8"/>
  <c r="V21" i="8"/>
  <c r="Y151" i="8"/>
  <c r="S27" i="8"/>
  <c r="S22" i="8"/>
  <c r="V174" i="8"/>
  <c r="W174" i="8"/>
  <c r="X174" i="8"/>
  <c r="Y174" i="8"/>
  <c r="Y135" i="8"/>
  <c r="V175" i="8"/>
  <c r="W175" i="8"/>
  <c r="X175" i="8"/>
  <c r="Y175" i="8"/>
  <c r="AE58" i="9"/>
  <c r="AD58" i="9"/>
  <c r="AC58" i="9"/>
  <c r="AA58" i="9"/>
  <c r="AE64" i="9"/>
  <c r="AD64" i="9"/>
  <c r="AC64" i="9"/>
  <c r="AA64" i="9"/>
  <c r="AE63" i="9"/>
  <c r="AD63" i="9"/>
  <c r="AC63" i="9"/>
  <c r="AA63" i="9"/>
  <c r="AE57" i="9"/>
  <c r="AD57" i="9"/>
  <c r="AC57" i="9"/>
  <c r="AA57" i="9"/>
  <c r="B7" i="9"/>
  <c r="B6" i="9"/>
  <c r="N10" i="10"/>
  <c r="N9" i="10"/>
  <c r="J10" i="10"/>
  <c r="J9" i="10"/>
  <c r="AG167" i="8"/>
  <c r="Q161" i="8"/>
  <c r="AE167" i="8"/>
  <c r="N167" i="8"/>
  <c r="O161" i="8" s="1"/>
  <c r="AE13" i="8"/>
  <c r="N142" i="8"/>
  <c r="AG142" i="8" s="1"/>
  <c r="N141" i="8"/>
  <c r="AG141" i="8" s="1"/>
  <c r="N140" i="8"/>
  <c r="AE140" i="8" s="1"/>
  <c r="N139" i="8"/>
  <c r="AF139" i="8" s="1"/>
  <c r="N138" i="8"/>
  <c r="AG138" i="8" s="1"/>
  <c r="N115" i="8"/>
  <c r="AG115" i="8" s="1"/>
  <c r="N114" i="8"/>
  <c r="AG114" i="8" s="1"/>
  <c r="N113" i="8"/>
  <c r="AF113" i="8" s="1"/>
  <c r="N112" i="8"/>
  <c r="AF112" i="8" s="1"/>
  <c r="N111" i="8"/>
  <c r="AF111" i="8" s="1"/>
  <c r="N110" i="8"/>
  <c r="AE110" i="8" s="1"/>
  <c r="AB63" i="9"/>
  <c r="AB58" i="9"/>
  <c r="AB57" i="9"/>
  <c r="AB64" i="9"/>
  <c r="N85" i="8"/>
  <c r="N91" i="8" s="1"/>
  <c r="N95" i="8" s="1"/>
  <c r="N109" i="8"/>
  <c r="N121" i="8"/>
  <c r="N134" i="8"/>
  <c r="AG134" i="8" s="1"/>
  <c r="N132" i="8"/>
  <c r="AG132" i="8" s="1"/>
  <c r="N131" i="8"/>
  <c r="AG131" i="8" s="1"/>
  <c r="N130" i="8"/>
  <c r="AD130" i="8" s="1"/>
  <c r="N129" i="8"/>
  <c r="N150" i="8"/>
  <c r="AE150" i="8" s="1"/>
  <c r="AE129" i="8" l="1"/>
  <c r="N135" i="8"/>
  <c r="T22" i="8"/>
  <c r="H46" i="8"/>
  <c r="H43" i="8"/>
  <c r="I43" i="8"/>
  <c r="I46" i="8"/>
  <c r="H28" i="8"/>
  <c r="J8" i="9"/>
  <c r="W16" i="8"/>
  <c r="G27" i="8"/>
  <c r="G32" i="8" s="1"/>
  <c r="G35" i="8" s="1"/>
  <c r="G38" i="8" s="1"/>
  <c r="G22" i="8"/>
  <c r="I28" i="8"/>
  <c r="W27" i="8"/>
  <c r="T32" i="8"/>
  <c r="T35" i="8" s="1"/>
  <c r="T38" i="8" s="1"/>
  <c r="T28" i="8"/>
  <c r="H106" i="8"/>
  <c r="H126" i="8" s="1"/>
  <c r="H168" i="8" s="1"/>
  <c r="Z161" i="8"/>
  <c r="V167" i="8"/>
  <c r="W22" i="8"/>
  <c r="J167" i="8"/>
  <c r="Z167" i="8" s="1"/>
  <c r="Y21" i="8"/>
  <c r="Y16" i="8"/>
  <c r="J22" i="8"/>
  <c r="J27" i="8"/>
  <c r="J32" i="8" s="1"/>
  <c r="J35" i="8" s="1"/>
  <c r="J38" i="8" s="1"/>
  <c r="U27" i="8"/>
  <c r="U22" i="8"/>
  <c r="X21" i="8"/>
  <c r="X16" i="8"/>
  <c r="Z22" i="8"/>
  <c r="Z27" i="8"/>
  <c r="V160" i="8"/>
  <c r="V163" i="8" s="1"/>
  <c r="V169" i="8" s="1"/>
  <c r="V171" i="8" s="1"/>
  <c r="S28" i="8"/>
  <c r="S32" i="8"/>
  <c r="S35" i="8" s="1"/>
  <c r="S38" i="8" s="1"/>
  <c r="V22" i="8"/>
  <c r="V27" i="8"/>
  <c r="M161" i="8"/>
  <c r="AB167" i="8"/>
  <c r="AG161" i="8"/>
  <c r="AC167" i="8"/>
  <c r="AA174" i="8"/>
  <c r="AC174" i="8"/>
  <c r="AB174" i="8"/>
  <c r="AB15" i="8"/>
  <c r="AA15" i="8"/>
  <c r="AB175" i="8"/>
  <c r="AA175" i="8"/>
  <c r="AC175" i="8"/>
  <c r="L161" i="8"/>
  <c r="AA167" i="8"/>
  <c r="AB42" i="9"/>
  <c r="AI142" i="8"/>
  <c r="P161" i="8"/>
  <c r="AA42" i="9"/>
  <c r="AG112" i="8"/>
  <c r="AI112" i="8" s="1"/>
  <c r="AI115" i="8"/>
  <c r="AG13" i="8"/>
  <c r="AG129" i="8"/>
  <c r="AI141" i="8"/>
  <c r="AE142" i="8"/>
  <c r="AE114" i="8"/>
  <c r="AE131" i="8"/>
  <c r="AF138" i="8"/>
  <c r="AD140" i="8"/>
  <c r="AD131" i="8"/>
  <c r="AE111" i="8"/>
  <c r="AD113" i="8"/>
  <c r="AF131" i="8"/>
  <c r="AF140" i="8"/>
  <c r="AG140" i="8"/>
  <c r="AI140" i="8" s="1"/>
  <c r="AE130" i="8"/>
  <c r="AD142" i="8"/>
  <c r="AD167" i="8"/>
  <c r="AD110" i="8"/>
  <c r="AF110" i="8"/>
  <c r="AD112" i="8"/>
  <c r="AE139" i="8"/>
  <c r="AE141" i="8"/>
  <c r="AF13" i="8"/>
  <c r="AG110" i="8"/>
  <c r="AI110" i="8" s="1"/>
  <c r="AE112" i="8"/>
  <c r="AF129" i="8"/>
  <c r="AG139" i="8"/>
  <c r="AF141" i="8"/>
  <c r="E8" i="9"/>
  <c r="C8" i="9"/>
  <c r="D8" i="9"/>
  <c r="H8" i="9"/>
  <c r="I8" i="9"/>
  <c r="G8" i="9"/>
  <c r="P8" i="9"/>
  <c r="O8" i="9"/>
  <c r="Q8" i="9"/>
  <c r="M8" i="9"/>
  <c r="L8" i="9"/>
  <c r="K8" i="9"/>
  <c r="AF130" i="8"/>
  <c r="AD132" i="8"/>
  <c r="AG130" i="8"/>
  <c r="AE132" i="8"/>
  <c r="AF132" i="8"/>
  <c r="AE134" i="8"/>
  <c r="AD138" i="8"/>
  <c r="AD134" i="8"/>
  <c r="AF134" i="8"/>
  <c r="AE138" i="8"/>
  <c r="AD139" i="8"/>
  <c r="AD111" i="8"/>
  <c r="AD141" i="8"/>
  <c r="AG111" i="8"/>
  <c r="AI111" i="8" s="1"/>
  <c r="AE113" i="8"/>
  <c r="AD114" i="8"/>
  <c r="AF142" i="8"/>
  <c r="AD150" i="8"/>
  <c r="AG113" i="8"/>
  <c r="AF114" i="8"/>
  <c r="AE115" i="8"/>
  <c r="AF150" i="8"/>
  <c r="AE161" i="8"/>
  <c r="AD13" i="8"/>
  <c r="AF115" i="8"/>
  <c r="AD129" i="8"/>
  <c r="AG150" i="8"/>
  <c r="AF167" i="8"/>
  <c r="AF161" i="8"/>
  <c r="AD115" i="8"/>
  <c r="N161" i="8"/>
  <c r="AE13" i="9"/>
  <c r="AI114" i="8"/>
  <c r="S43" i="8" l="1"/>
  <c r="S46" i="8"/>
  <c r="J46" i="8"/>
  <c r="J43" i="8"/>
  <c r="T43" i="8"/>
  <c r="T46" i="8"/>
  <c r="G46" i="8"/>
  <c r="G43" i="8"/>
  <c r="N8" i="9"/>
  <c r="AD161" i="8"/>
  <c r="K161" i="8"/>
  <c r="G28" i="8"/>
  <c r="J28" i="8"/>
  <c r="AE174" i="8"/>
  <c r="Z42" i="9"/>
  <c r="X22" i="8"/>
  <c r="X27" i="8"/>
  <c r="Y27" i="8"/>
  <c r="Y22" i="8"/>
  <c r="Z32" i="8"/>
  <c r="Z35" i="8" s="1"/>
  <c r="Z38" i="8" s="1"/>
  <c r="Z28" i="8"/>
  <c r="V32" i="8"/>
  <c r="V35" i="8" s="1"/>
  <c r="V38" i="8" s="1"/>
  <c r="V28" i="8"/>
  <c r="U28" i="8"/>
  <c r="U32" i="8"/>
  <c r="U35" i="8" s="1"/>
  <c r="U38" i="8" s="1"/>
  <c r="I106" i="8"/>
  <c r="I126" i="8" s="1"/>
  <c r="I168" i="8" s="1"/>
  <c r="W160" i="8"/>
  <c r="W163" i="8" s="1"/>
  <c r="W169" i="8" s="1"/>
  <c r="W171" i="8" s="1"/>
  <c r="AF174" i="8"/>
  <c r="AC42" i="9"/>
  <c r="W28" i="8"/>
  <c r="W32" i="8"/>
  <c r="W35" i="8" s="1"/>
  <c r="W38" i="8" s="1"/>
  <c r="AE42" i="9"/>
  <c r="AD42" i="9"/>
  <c r="AA16" i="8"/>
  <c r="AA21" i="8"/>
  <c r="AC16" i="8"/>
  <c r="AC21" i="8"/>
  <c r="AB16" i="8"/>
  <c r="AB21" i="8"/>
  <c r="AI139" i="8"/>
  <c r="AI13" i="8"/>
  <c r="AG174" i="8"/>
  <c r="AD174" i="8"/>
  <c r="AI113" i="8"/>
  <c r="AB13" i="9"/>
  <c r="AD13" i="9"/>
  <c r="AA13" i="9"/>
  <c r="AC13" i="9"/>
  <c r="AB162" i="8" l="1"/>
  <c r="Z43" i="8"/>
  <c r="Z46" i="8"/>
  <c r="V43" i="8"/>
  <c r="V46" i="8"/>
  <c r="W43" i="8"/>
  <c r="W46" i="8"/>
  <c r="U43" i="8"/>
  <c r="U46" i="8"/>
  <c r="G106" i="8"/>
  <c r="G126" i="8" s="1"/>
  <c r="G168" i="8" s="1"/>
  <c r="S106" i="8"/>
  <c r="S126" i="8" s="1"/>
  <c r="X160" i="8"/>
  <c r="X163" i="8" s="1"/>
  <c r="X169" i="8" s="1"/>
  <c r="X171" i="8" s="1"/>
  <c r="Y28" i="8"/>
  <c r="Y32" i="8"/>
  <c r="Y35" i="8" s="1"/>
  <c r="Y38" i="8" s="1"/>
  <c r="T106" i="8"/>
  <c r="T126" i="8" s="1"/>
  <c r="X28" i="8"/>
  <c r="X32" i="8"/>
  <c r="X35" i="8" s="1"/>
  <c r="X38" i="8" s="1"/>
  <c r="J106" i="8"/>
  <c r="AB22" i="8"/>
  <c r="AB27" i="8"/>
  <c r="AC22" i="8"/>
  <c r="AC27" i="8"/>
  <c r="AC32" i="8" s="1"/>
  <c r="AC35" i="8" s="1"/>
  <c r="AC38" i="8" s="1"/>
  <c r="AA22" i="8"/>
  <c r="AA27" i="8"/>
  <c r="AA162" i="8" l="1"/>
  <c r="AC162" i="8"/>
  <c r="Y46" i="8"/>
  <c r="Y43" i="8"/>
  <c r="AC46" i="8"/>
  <c r="AC43" i="8"/>
  <c r="X46" i="8"/>
  <c r="X43" i="8"/>
  <c r="U106" i="8"/>
  <c r="U126" i="8" s="1"/>
  <c r="Y160" i="8"/>
  <c r="Y163" i="8" s="1"/>
  <c r="Y169" i="8" s="1"/>
  <c r="Y171" i="8" s="1"/>
  <c r="J126" i="8"/>
  <c r="J168" i="8" s="1"/>
  <c r="Z106" i="8"/>
  <c r="Z126" i="8" s="1"/>
  <c r="AC28" i="8"/>
  <c r="AA32" i="8"/>
  <c r="AA35" i="8" s="1"/>
  <c r="AA38" i="8" s="1"/>
  <c r="AA28" i="8"/>
  <c r="AB28" i="8"/>
  <c r="AB32" i="8"/>
  <c r="AB35" i="8" s="1"/>
  <c r="AB38" i="8" s="1"/>
  <c r="AG26" i="8"/>
  <c r="AF26" i="8"/>
  <c r="AE26" i="8"/>
  <c r="AD26" i="8"/>
  <c r="AG31" i="8"/>
  <c r="AF31" i="8"/>
  <c r="AE31" i="8"/>
  <c r="AD31" i="8"/>
  <c r="AG24" i="8"/>
  <c r="AE24" i="8"/>
  <c r="AF24" i="8"/>
  <c r="AD24" i="8"/>
  <c r="W168" i="8" l="1"/>
  <c r="Z168" i="8"/>
  <c r="X168" i="8"/>
  <c r="Y168" i="8"/>
  <c r="AD162" i="8"/>
  <c r="AA43" i="8"/>
  <c r="AA46" i="8"/>
  <c r="AB43" i="8"/>
  <c r="AB46" i="8"/>
  <c r="Y106" i="8"/>
  <c r="Y126" i="8" s="1"/>
  <c r="V106" i="8"/>
  <c r="V126" i="8" s="1"/>
  <c r="W106" i="8"/>
  <c r="W126" i="8" s="1"/>
  <c r="Z160" i="8"/>
  <c r="Z163" i="8" s="1"/>
  <c r="Z169" i="8" s="1"/>
  <c r="Z171" i="8" s="1"/>
  <c r="X106" i="8"/>
  <c r="X126" i="8" s="1"/>
  <c r="AB51" i="9"/>
  <c r="AE51" i="9"/>
  <c r="AD51" i="9"/>
  <c r="AC51" i="9"/>
  <c r="AA51" i="9"/>
  <c r="AE50" i="9"/>
  <c r="AD50" i="9"/>
  <c r="AC50" i="9"/>
  <c r="AA50" i="9"/>
  <c r="N8" i="8"/>
  <c r="D52" i="9" l="1"/>
  <c r="P52" i="9"/>
  <c r="C52" i="9"/>
  <c r="I52" i="9"/>
  <c r="E52" i="9"/>
  <c r="M52" i="9"/>
  <c r="H52" i="9"/>
  <c r="G52" i="9"/>
  <c r="K52" i="9"/>
  <c r="L52" i="9"/>
  <c r="O52" i="9"/>
  <c r="Q52" i="9"/>
  <c r="AE41" i="9" l="1"/>
  <c r="AI150" i="8" l="1"/>
  <c r="AI130" i="8"/>
  <c r="AI131" i="8"/>
  <c r="AC41" i="9"/>
  <c r="AB41" i="9"/>
  <c r="AA41" i="9"/>
  <c r="AD41" i="9"/>
  <c r="B2" i="9" l="1"/>
  <c r="AA7" i="9"/>
  <c r="Q75" i="8"/>
  <c r="P75" i="8"/>
  <c r="O75" i="8"/>
  <c r="M75" i="8"/>
  <c r="L75" i="8"/>
  <c r="K75" i="8"/>
  <c r="D75" i="8"/>
  <c r="C75" i="8"/>
  <c r="Z10" i="10"/>
  <c r="AE67" i="9"/>
  <c r="Q68" i="9"/>
  <c r="AE56" i="9"/>
  <c r="AE55" i="9"/>
  <c r="AE49" i="9"/>
  <c r="AE52" i="9" s="1"/>
  <c r="Q4" i="9"/>
  <c r="AE4" i="9" s="1"/>
  <c r="Q3" i="9"/>
  <c r="AE3" i="9" s="1"/>
  <c r="AG79" i="8"/>
  <c r="AE79" i="8"/>
  <c r="AF79" i="8"/>
  <c r="AG85" i="8"/>
  <c r="AG91" i="8" s="1"/>
  <c r="AG95" i="8" s="1"/>
  <c r="AG74" i="8"/>
  <c r="AG73" i="8"/>
  <c r="AG72" i="8"/>
  <c r="AG70" i="8"/>
  <c r="AG60" i="8"/>
  <c r="AG56" i="8"/>
  <c r="AG8" i="8"/>
  <c r="AG103" i="8" s="1"/>
  <c r="AG7" i="8"/>
  <c r="AG102" i="8" s="1"/>
  <c r="P4" i="10"/>
  <c r="AB4" i="10" s="1"/>
  <c r="O4" i="10"/>
  <c r="AA4" i="10" s="1"/>
  <c r="N4" i="10"/>
  <c r="Z4" i="10" s="1"/>
  <c r="M4" i="10"/>
  <c r="Y4" i="10" s="1"/>
  <c r="L4" i="10"/>
  <c r="X4" i="10" s="1"/>
  <c r="K4" i="10"/>
  <c r="W4" i="10" s="1"/>
  <c r="J4" i="10"/>
  <c r="V4" i="10" s="1"/>
  <c r="I4" i="10"/>
  <c r="U4" i="10" s="1"/>
  <c r="H4" i="10"/>
  <c r="T4" i="10" s="1"/>
  <c r="G4" i="10"/>
  <c r="S4" i="10" s="1"/>
  <c r="P3" i="10"/>
  <c r="AB3" i="10" s="1"/>
  <c r="O3" i="10"/>
  <c r="AA3" i="10" s="1"/>
  <c r="N3" i="10"/>
  <c r="Z3" i="10" s="1"/>
  <c r="M3" i="10"/>
  <c r="Y3" i="10" s="1"/>
  <c r="L3" i="10"/>
  <c r="X3" i="10" s="1"/>
  <c r="K3" i="10"/>
  <c r="W3" i="10" s="1"/>
  <c r="J3" i="10"/>
  <c r="V3" i="10" s="1"/>
  <c r="I3" i="10"/>
  <c r="U3" i="10" s="1"/>
  <c r="H3" i="10"/>
  <c r="T3" i="10" s="1"/>
  <c r="G3" i="10"/>
  <c r="S3" i="10" s="1"/>
  <c r="Q4" i="10"/>
  <c r="AC4" i="10" s="1"/>
  <c r="Q3" i="10"/>
  <c r="AC3" i="10" s="1"/>
  <c r="Q103" i="8"/>
  <c r="Q102" i="8"/>
  <c r="Q50" i="8"/>
  <c r="Q49" i="8"/>
  <c r="Q11" i="8"/>
  <c r="Q15" i="8" s="1"/>
  <c r="M68" i="9"/>
  <c r="E68" i="9"/>
  <c r="D68" i="9"/>
  <c r="C68" i="9"/>
  <c r="AF72" i="8"/>
  <c r="AE72" i="8"/>
  <c r="AF74" i="8"/>
  <c r="AE74" i="8"/>
  <c r="AD72" i="8"/>
  <c r="X67" i="9"/>
  <c r="T67" i="9"/>
  <c r="O151" i="8"/>
  <c r="E151" i="8"/>
  <c r="D151" i="8"/>
  <c r="AF60" i="8"/>
  <c r="AE60" i="8"/>
  <c r="AD60" i="8"/>
  <c r="AF73" i="8"/>
  <c r="AE73" i="8"/>
  <c r="AD73" i="8"/>
  <c r="AD56" i="9"/>
  <c r="AC56" i="9"/>
  <c r="AA56" i="9"/>
  <c r="Z56" i="9"/>
  <c r="Y56" i="9"/>
  <c r="W56" i="9"/>
  <c r="V56" i="9"/>
  <c r="U56" i="9"/>
  <c r="S56" i="9"/>
  <c r="AD55" i="9"/>
  <c r="AC55" i="9"/>
  <c r="AA55" i="9"/>
  <c r="Z55" i="9"/>
  <c r="Y55" i="9"/>
  <c r="W55" i="9"/>
  <c r="V55" i="9"/>
  <c r="U55" i="9"/>
  <c r="S55" i="9"/>
  <c r="AD49" i="9"/>
  <c r="AD52" i="9" s="1"/>
  <c r="AC49" i="9"/>
  <c r="AC52" i="9" s="1"/>
  <c r="AA49" i="9"/>
  <c r="AA52" i="9" s="1"/>
  <c r="Z49" i="9"/>
  <c r="Y49" i="9"/>
  <c r="W49" i="9"/>
  <c r="V49" i="9"/>
  <c r="U49" i="9"/>
  <c r="S49" i="9"/>
  <c r="AC67" i="9"/>
  <c r="AA67" i="9"/>
  <c r="Z67" i="9"/>
  <c r="Y67" i="9"/>
  <c r="W67" i="9"/>
  <c r="V67" i="9"/>
  <c r="U67" i="9"/>
  <c r="S67" i="9"/>
  <c r="AD67" i="9"/>
  <c r="P4" i="9"/>
  <c r="AD4" i="9" s="1"/>
  <c r="O4" i="9"/>
  <c r="AC4" i="9" s="1"/>
  <c r="N4" i="9"/>
  <c r="AB4" i="9" s="1"/>
  <c r="M4" i="9"/>
  <c r="AA4" i="9" s="1"/>
  <c r="L4" i="9"/>
  <c r="Z4" i="9" s="1"/>
  <c r="K4" i="9"/>
  <c r="Y4" i="9" s="1"/>
  <c r="J4" i="9"/>
  <c r="X4" i="9" s="1"/>
  <c r="I4" i="9"/>
  <c r="W4" i="9" s="1"/>
  <c r="H4" i="9"/>
  <c r="V4" i="9" s="1"/>
  <c r="G4" i="9"/>
  <c r="U4" i="9" s="1"/>
  <c r="T4" i="9"/>
  <c r="S4" i="9"/>
  <c r="P3" i="9"/>
  <c r="AD3" i="9" s="1"/>
  <c r="O3" i="9"/>
  <c r="AC3" i="9" s="1"/>
  <c r="N3" i="9"/>
  <c r="AB3" i="9" s="1"/>
  <c r="M3" i="9"/>
  <c r="AA3" i="9" s="1"/>
  <c r="L3" i="9"/>
  <c r="Z3" i="9" s="1"/>
  <c r="K3" i="9"/>
  <c r="Y3" i="9" s="1"/>
  <c r="J3" i="9"/>
  <c r="X3" i="9" s="1"/>
  <c r="I3" i="9"/>
  <c r="W3" i="9" s="1"/>
  <c r="H3" i="9"/>
  <c r="V3" i="9" s="1"/>
  <c r="G3" i="9"/>
  <c r="U3" i="9" s="1"/>
  <c r="T3" i="9"/>
  <c r="S3" i="9"/>
  <c r="E4" i="9"/>
  <c r="D4" i="9"/>
  <c r="C4" i="9"/>
  <c r="E3" i="9"/>
  <c r="D3" i="9"/>
  <c r="C3" i="9"/>
  <c r="N10" i="8"/>
  <c r="AD85" i="8"/>
  <c r="AF85" i="8"/>
  <c r="AF91" i="8" s="1"/>
  <c r="AF95" i="8" s="1"/>
  <c r="AE85" i="8"/>
  <c r="AE91" i="8" s="1"/>
  <c r="AE95" i="8" s="1"/>
  <c r="AF70" i="8"/>
  <c r="AE70" i="8"/>
  <c r="AF56" i="8"/>
  <c r="AE56" i="8"/>
  <c r="P103" i="8"/>
  <c r="O103" i="8"/>
  <c r="N103" i="8"/>
  <c r="M103" i="8"/>
  <c r="L103" i="8"/>
  <c r="K103" i="8"/>
  <c r="P102" i="8"/>
  <c r="O102" i="8"/>
  <c r="N102" i="8"/>
  <c r="M102" i="8"/>
  <c r="L102" i="8"/>
  <c r="K102" i="8"/>
  <c r="P50" i="8"/>
  <c r="O50" i="8"/>
  <c r="N50" i="8"/>
  <c r="M50" i="8"/>
  <c r="L50" i="8"/>
  <c r="K50" i="8"/>
  <c r="P49" i="8"/>
  <c r="O49" i="8"/>
  <c r="N49" i="8"/>
  <c r="M49" i="8"/>
  <c r="L49" i="8"/>
  <c r="K49" i="8"/>
  <c r="E50" i="8"/>
  <c r="D50" i="8"/>
  <c r="C50" i="8"/>
  <c r="E49" i="8"/>
  <c r="D49" i="8"/>
  <c r="C49" i="8"/>
  <c r="L11" i="8"/>
  <c r="L15" i="8" s="1"/>
  <c r="K11" i="8"/>
  <c r="K15" i="8" s="1"/>
  <c r="P11" i="8"/>
  <c r="P15" i="8" s="1"/>
  <c r="AE8" i="8"/>
  <c r="AD8" i="8"/>
  <c r="AE7" i="8"/>
  <c r="AD7" i="8"/>
  <c r="AF8" i="8"/>
  <c r="AF7" i="8"/>
  <c r="D4" i="10"/>
  <c r="C4" i="10"/>
  <c r="D3" i="10"/>
  <c r="C3" i="10"/>
  <c r="E4" i="10"/>
  <c r="E3" i="10"/>
  <c r="P83" i="8" l="1"/>
  <c r="Q83" i="8"/>
  <c r="Q96" i="8" s="1"/>
  <c r="K83" i="8"/>
  <c r="L83" i="8"/>
  <c r="M83" i="8"/>
  <c r="O83" i="8"/>
  <c r="AD91" i="8"/>
  <c r="AD95" i="8" s="1"/>
  <c r="D83" i="8"/>
  <c r="C83" i="8"/>
  <c r="AE70" i="9"/>
  <c r="Y70" i="9"/>
  <c r="Z70" i="9"/>
  <c r="AA70" i="9"/>
  <c r="Y10" i="10"/>
  <c r="AA10" i="10"/>
  <c r="AF10" i="8"/>
  <c r="AE10" i="8"/>
  <c r="AD10" i="8"/>
  <c r="K21" i="8"/>
  <c r="K27" i="8" s="1"/>
  <c r="K32" i="8" s="1"/>
  <c r="K35" i="8" s="1"/>
  <c r="K38" i="8" s="1"/>
  <c r="L21" i="8"/>
  <c r="Q21" i="8"/>
  <c r="AI53" i="8"/>
  <c r="AI55" i="8"/>
  <c r="AI74" i="8"/>
  <c r="AI56" i="8"/>
  <c r="AI85" i="8"/>
  <c r="AI60" i="8"/>
  <c r="AI87" i="8"/>
  <c r="AA43" i="9"/>
  <c r="AI66" i="8"/>
  <c r="AI88" i="8"/>
  <c r="AI70" i="8"/>
  <c r="AI72" i="8"/>
  <c r="AA40" i="9"/>
  <c r="AI73" i="8"/>
  <c r="AI79" i="8"/>
  <c r="AD79" i="8"/>
  <c r="U18" i="9"/>
  <c r="T55" i="9"/>
  <c r="X55" i="9"/>
  <c r="W12" i="9"/>
  <c r="W24" i="9" s="1"/>
  <c r="AB50" i="9"/>
  <c r="S70" i="9"/>
  <c r="U70" i="9"/>
  <c r="AD56" i="8"/>
  <c r="AB55" i="9"/>
  <c r="AF18" i="8"/>
  <c r="U19" i="9"/>
  <c r="T56" i="9"/>
  <c r="Z17" i="9"/>
  <c r="AF20" i="8"/>
  <c r="AB19" i="9"/>
  <c r="AA18" i="9"/>
  <c r="AE175" i="8"/>
  <c r="V70" i="9"/>
  <c r="W70" i="9"/>
  <c r="AD70" i="8"/>
  <c r="AB56" i="9"/>
  <c r="AA12" i="9"/>
  <c r="AA24" i="9" s="1"/>
  <c r="AF19" i="8"/>
  <c r="AE18" i="9"/>
  <c r="J52" i="9"/>
  <c r="X56" i="9"/>
  <c r="T17" i="9"/>
  <c r="AE75" i="8"/>
  <c r="AE83" i="8" s="1"/>
  <c r="AB10" i="10"/>
  <c r="AC10" i="10"/>
  <c r="AF75" i="8"/>
  <c r="AF83" i="8" s="1"/>
  <c r="AG75" i="8"/>
  <c r="AG83" i="8" s="1"/>
  <c r="N75" i="8"/>
  <c r="AE68" i="9"/>
  <c r="S19" i="9"/>
  <c r="AG121" i="8"/>
  <c r="AG20" i="8"/>
  <c r="AE20" i="8"/>
  <c r="AD20" i="8"/>
  <c r="Q57" i="8"/>
  <c r="AG57" i="8"/>
  <c r="AG67" i="8" s="1"/>
  <c r="AG10" i="8"/>
  <c r="AG18" i="8"/>
  <c r="AG19" i="8"/>
  <c r="AG49" i="8"/>
  <c r="AG50" i="8"/>
  <c r="X68" i="9"/>
  <c r="AD74" i="8"/>
  <c r="T68" i="9"/>
  <c r="H68" i="9"/>
  <c r="G68" i="9"/>
  <c r="O68" i="9"/>
  <c r="I68" i="9"/>
  <c r="K68" i="9"/>
  <c r="L68" i="9"/>
  <c r="Z68" i="9"/>
  <c r="S68" i="9"/>
  <c r="AA68" i="9"/>
  <c r="W68" i="9"/>
  <c r="AC68" i="9"/>
  <c r="Y68" i="9"/>
  <c r="V68" i="9"/>
  <c r="U68" i="9"/>
  <c r="AB67" i="9"/>
  <c r="P151" i="8"/>
  <c r="K151" i="8"/>
  <c r="L151" i="8"/>
  <c r="P57" i="8"/>
  <c r="P67" i="8" s="1"/>
  <c r="M57" i="8"/>
  <c r="M67" i="8" s="1"/>
  <c r="L57" i="8"/>
  <c r="L67" i="8" s="1"/>
  <c r="K57" i="8"/>
  <c r="K67" i="8" s="1"/>
  <c r="S12" i="9"/>
  <c r="S24" i="9" s="1"/>
  <c r="S18" i="9"/>
  <c r="Z52" i="9"/>
  <c r="V23" i="9"/>
  <c r="S52" i="9"/>
  <c r="W59" i="9"/>
  <c r="Y52" i="9"/>
  <c r="S33" i="9"/>
  <c r="S59" i="9"/>
  <c r="V52" i="9"/>
  <c r="U52" i="9"/>
  <c r="W52" i="9"/>
  <c r="S17" i="9"/>
  <c r="AF121" i="8"/>
  <c r="AD175" i="8"/>
  <c r="AD121" i="8"/>
  <c r="AE121" i="8"/>
  <c r="AD19" i="8"/>
  <c r="AE19" i="8"/>
  <c r="AD18" i="8"/>
  <c r="AE18" i="8"/>
  <c r="N57" i="8"/>
  <c r="N67" i="8" s="1"/>
  <c r="AB59" i="9" l="1"/>
  <c r="N83" i="8"/>
  <c r="AI95" i="8"/>
  <c r="K46" i="8"/>
  <c r="K43" i="8"/>
  <c r="AE10" i="10"/>
  <c r="K106" i="8"/>
  <c r="AE60" i="9"/>
  <c r="S6" i="9"/>
  <c r="AB7" i="9"/>
  <c r="AC7" i="9"/>
  <c r="AD7" i="9"/>
  <c r="AE7" i="9"/>
  <c r="AG7" i="9" s="1"/>
  <c r="Q11" i="10"/>
  <c r="Q12" i="10" s="1"/>
  <c r="Q16" i="8"/>
  <c r="L16" i="8"/>
  <c r="K16" i="8"/>
  <c r="Q22" i="8"/>
  <c r="Q27" i="8"/>
  <c r="Q32" i="8" s="1"/>
  <c r="Q35" i="8" s="1"/>
  <c r="Q38" i="8" s="1"/>
  <c r="AD75" i="8"/>
  <c r="AD83" i="8" s="1"/>
  <c r="AI129" i="8"/>
  <c r="AI134" i="8"/>
  <c r="AI18" i="8"/>
  <c r="AI138" i="8"/>
  <c r="AD43" i="9"/>
  <c r="AE43" i="9"/>
  <c r="AB43" i="9"/>
  <c r="AC43" i="9"/>
  <c r="AB40" i="9"/>
  <c r="AD40" i="9"/>
  <c r="AC40" i="9"/>
  <c r="AE40" i="9"/>
  <c r="AG96" i="8"/>
  <c r="AI75" i="8"/>
  <c r="AI132" i="8"/>
  <c r="AI121" i="8"/>
  <c r="AI31" i="8"/>
  <c r="AI24" i="8"/>
  <c r="AI20" i="8"/>
  <c r="AI19" i="8"/>
  <c r="AG11" i="8"/>
  <c r="AG15" i="8" s="1"/>
  <c r="AI10" i="8"/>
  <c r="N52" i="9"/>
  <c r="AB49" i="9"/>
  <c r="AB52" i="9" s="1"/>
  <c r="Z71" i="9"/>
  <c r="Z80" i="9" s="1"/>
  <c r="Y71" i="9"/>
  <c r="Y80" i="9" s="1"/>
  <c r="Q71" i="9"/>
  <c r="Q80" i="9" s="1"/>
  <c r="AE34" i="9"/>
  <c r="AA34" i="9"/>
  <c r="T70" i="9"/>
  <c r="T71" i="9" s="1"/>
  <c r="T80" i="9" s="1"/>
  <c r="W71" i="9"/>
  <c r="W80" i="9" s="1"/>
  <c r="U60" i="9"/>
  <c r="W60" i="9"/>
  <c r="AA71" i="9"/>
  <c r="AA80" i="9" s="1"/>
  <c r="V60" i="9"/>
  <c r="S60" i="9"/>
  <c r="S71" i="9"/>
  <c r="S80" i="9" s="1"/>
  <c r="AE71" i="9"/>
  <c r="AE80" i="9" s="1"/>
  <c r="X70" i="9"/>
  <c r="X71" i="9" s="1"/>
  <c r="X80" i="9" s="1"/>
  <c r="T59" i="9"/>
  <c r="V71" i="9"/>
  <c r="V80" i="9" s="1"/>
  <c r="U71" i="9"/>
  <c r="U80" i="9" s="1"/>
  <c r="T19" i="9"/>
  <c r="AG18" i="9"/>
  <c r="AA19" i="9"/>
  <c r="Y19" i="9"/>
  <c r="Z19" i="9"/>
  <c r="X19" i="9"/>
  <c r="W19" i="9"/>
  <c r="V19" i="9"/>
  <c r="AD12" i="9"/>
  <c r="AD24" i="9" s="1"/>
  <c r="AE12" i="9"/>
  <c r="AE24" i="9" s="1"/>
  <c r="AD17" i="9"/>
  <c r="AE17" i="9"/>
  <c r="Q67" i="8"/>
  <c r="AE59" i="9"/>
  <c r="AE32" i="9"/>
  <c r="AE19" i="9"/>
  <c r="AC19" i="9"/>
  <c r="AD19" i="9"/>
  <c r="Q151" i="8"/>
  <c r="J68" i="9"/>
  <c r="AB68" i="9"/>
  <c r="N68" i="9"/>
  <c r="AD68" i="9"/>
  <c r="P68" i="9"/>
  <c r="Z28" i="9"/>
  <c r="T38" i="9"/>
  <c r="M151" i="8"/>
  <c r="S38" i="9"/>
  <c r="AE38" i="9"/>
  <c r="T49" i="9"/>
  <c r="T52" i="9" s="1"/>
  <c r="X49" i="9"/>
  <c r="X52" i="9" s="1"/>
  <c r="V59" i="9"/>
  <c r="AD59" i="9"/>
  <c r="AA59" i="9"/>
  <c r="Z59" i="9"/>
  <c r="U59" i="9"/>
  <c r="Y59" i="9"/>
  <c r="AC17" i="9"/>
  <c r="X18" i="9"/>
  <c r="S28" i="9"/>
  <c r="AB17" i="9"/>
  <c r="S23" i="9"/>
  <c r="Y18" i="9"/>
  <c r="Z12" i="9"/>
  <c r="Z24" i="9" s="1"/>
  <c r="U23" i="9"/>
  <c r="Z18" i="9"/>
  <c r="Y33" i="9"/>
  <c r="W35" i="9"/>
  <c r="Y12" i="9"/>
  <c r="Y24" i="9" s="1"/>
  <c r="AA17" i="9"/>
  <c r="AB33" i="9"/>
  <c r="AC32" i="9"/>
  <c r="AE35" i="9"/>
  <c r="W18" i="9"/>
  <c r="V18" i="9"/>
  <c r="T18" i="9"/>
  <c r="AC12" i="9"/>
  <c r="AC24" i="9" s="1"/>
  <c r="X59" i="9"/>
  <c r="S35" i="9"/>
  <c r="Z33" i="9"/>
  <c r="W34" i="9"/>
  <c r="AC18" i="9"/>
  <c r="AB18" i="9"/>
  <c r="AD18" i="9"/>
  <c r="V12" i="9"/>
  <c r="V24" i="9" s="1"/>
  <c r="U12" i="9"/>
  <c r="U24" i="9" s="1"/>
  <c r="T23" i="9"/>
  <c r="AD32" i="9"/>
  <c r="AB12" i="9"/>
  <c r="AB24" i="9" s="1"/>
  <c r="X12" i="9"/>
  <c r="X24" i="9" s="1"/>
  <c r="W17" i="9"/>
  <c r="V17" i="9"/>
  <c r="Y17" i="9"/>
  <c r="X17" i="9"/>
  <c r="AA33" i="9"/>
  <c r="T12" i="9"/>
  <c r="T24" i="9" s="1"/>
  <c r="AB32" i="9"/>
  <c r="U17" i="9"/>
  <c r="AG109" i="8"/>
  <c r="X33" i="9"/>
  <c r="W32" i="9"/>
  <c r="L22" i="8"/>
  <c r="L27" i="8"/>
  <c r="L32" i="8" s="1"/>
  <c r="L35" i="8" s="1"/>
  <c r="L38" i="8" s="1"/>
  <c r="K22" i="8"/>
  <c r="L96" i="8" l="1"/>
  <c r="L98" i="8" s="1"/>
  <c r="M96" i="8"/>
  <c r="M98" i="8" s="1"/>
  <c r="K96" i="8"/>
  <c r="K98" i="8" s="1"/>
  <c r="L43" i="8"/>
  <c r="L46" i="8"/>
  <c r="Q43" i="8"/>
  <c r="Q46" i="8"/>
  <c r="AA106" i="8"/>
  <c r="AA126" i="8" s="1"/>
  <c r="Q98" i="8"/>
  <c r="Q106" i="8"/>
  <c r="T60" i="9"/>
  <c r="S8" i="9"/>
  <c r="S14" i="9" s="1"/>
  <c r="S20" i="9" s="1"/>
  <c r="S25" i="9" s="1"/>
  <c r="Q14" i="9"/>
  <c r="Q20" i="9" s="1"/>
  <c r="Q25" i="9" s="1"/>
  <c r="Q28" i="8"/>
  <c r="AI26" i="8"/>
  <c r="AG98" i="8"/>
  <c r="AG21" i="8"/>
  <c r="AG22" i="8" s="1"/>
  <c r="AC34" i="9"/>
  <c r="AD34" i="9"/>
  <c r="AB34" i="9"/>
  <c r="AG34" i="9"/>
  <c r="Y34" i="9"/>
  <c r="Z34" i="9"/>
  <c r="X34" i="9"/>
  <c r="AD33" i="9"/>
  <c r="AF175" i="8"/>
  <c r="X60" i="9"/>
  <c r="Y60" i="9"/>
  <c r="AC33" i="9"/>
  <c r="AA60" i="9"/>
  <c r="Z60" i="9"/>
  <c r="T6" i="9"/>
  <c r="T8" i="9" s="1"/>
  <c r="Z6" i="9"/>
  <c r="AD135" i="8"/>
  <c r="AF135" i="8"/>
  <c r="AE135" i="8"/>
  <c r="AG135" i="8"/>
  <c r="AG19" i="9"/>
  <c r="AG17" i="9"/>
  <c r="AG12" i="9"/>
  <c r="AD35" i="9"/>
  <c r="L28" i="8"/>
  <c r="AG16" i="8"/>
  <c r="AF151" i="8"/>
  <c r="AG151" i="8"/>
  <c r="X28" i="9"/>
  <c r="Y28" i="9"/>
  <c r="AA28" i="9"/>
  <c r="AD151" i="8"/>
  <c r="Z39" i="9"/>
  <c r="Y39" i="9"/>
  <c r="AA39" i="9"/>
  <c r="X39" i="9"/>
  <c r="S39" i="9"/>
  <c r="W39" i="9"/>
  <c r="AC38" i="9"/>
  <c r="AD38" i="9"/>
  <c r="W38" i="9"/>
  <c r="AB38" i="9"/>
  <c r="U38" i="9"/>
  <c r="V38" i="9"/>
  <c r="AE151" i="8"/>
  <c r="N151" i="8"/>
  <c r="AC35" i="9"/>
  <c r="AI109" i="8"/>
  <c r="AB35" i="9"/>
  <c r="V32" i="9"/>
  <c r="U32" i="9"/>
  <c r="S32" i="9"/>
  <c r="T32" i="9"/>
  <c r="V34" i="9"/>
  <c r="U34" i="9"/>
  <c r="S34" i="9"/>
  <c r="T34" i="9"/>
  <c r="V35" i="9"/>
  <c r="T35" i="9"/>
  <c r="U35" i="9"/>
  <c r="W33" i="9"/>
  <c r="U33" i="9"/>
  <c r="V33" i="9"/>
  <c r="T33" i="9"/>
  <c r="Z32" i="9"/>
  <c r="Y32" i="9"/>
  <c r="AA32" i="9"/>
  <c r="AG32" i="9" s="1"/>
  <c r="X32" i="9"/>
  <c r="AF109" i="8"/>
  <c r="AE109" i="8"/>
  <c r="AD109" i="8"/>
  <c r="AA35" i="9"/>
  <c r="AG35" i="9" s="1"/>
  <c r="X35" i="9"/>
  <c r="Y35" i="9"/>
  <c r="Z23" i="9"/>
  <c r="X23" i="9"/>
  <c r="Y23" i="9"/>
  <c r="W23" i="9"/>
  <c r="AA23" i="9"/>
  <c r="Z35" i="9"/>
  <c r="K126" i="8"/>
  <c r="K168" i="8" s="1"/>
  <c r="K28" i="8"/>
  <c r="AE162" i="8" l="1"/>
  <c r="L106" i="8"/>
  <c r="Z8" i="9"/>
  <c r="Z14" i="9" s="1"/>
  <c r="Q15" i="9"/>
  <c r="Q21" i="9"/>
  <c r="T14" i="9"/>
  <c r="T20" i="9" s="1"/>
  <c r="T25" i="9" s="1"/>
  <c r="W6" i="9"/>
  <c r="AA6" i="9"/>
  <c r="Y6" i="9"/>
  <c r="X6" i="9"/>
  <c r="X8" i="9" s="1"/>
  <c r="V6" i="9"/>
  <c r="AB9" i="10"/>
  <c r="U6" i="9"/>
  <c r="AG27" i="8"/>
  <c r="AG32" i="8" s="1"/>
  <c r="AG35" i="8" s="1"/>
  <c r="AG38" i="8" s="1"/>
  <c r="AI42" i="8"/>
  <c r="AI135" i="8"/>
  <c r="AE33" i="9"/>
  <c r="AG33" i="9" s="1"/>
  <c r="AG175" i="8"/>
  <c r="AC9" i="10"/>
  <c r="Z9" i="10"/>
  <c r="AA9" i="10"/>
  <c r="Y9" i="10"/>
  <c r="X9" i="10"/>
  <c r="W9" i="10"/>
  <c r="V9" i="10"/>
  <c r="U9" i="10"/>
  <c r="T9" i="10"/>
  <c r="S9" i="10"/>
  <c r="AD28" i="9"/>
  <c r="AE28" i="9"/>
  <c r="AG28" i="9" s="1"/>
  <c r="AD23" i="9"/>
  <c r="AE23" i="9"/>
  <c r="AD39" i="9"/>
  <c r="AE39" i="9"/>
  <c r="Q29" i="9"/>
  <c r="Q26" i="9"/>
  <c r="AC28" i="9"/>
  <c r="AB28" i="9"/>
  <c r="W28" i="9"/>
  <c r="V28" i="9"/>
  <c r="U28" i="9"/>
  <c r="T28" i="9"/>
  <c r="Q126" i="8"/>
  <c r="Q168" i="8" s="1"/>
  <c r="AB39" i="9"/>
  <c r="AC39" i="9"/>
  <c r="T39" i="9"/>
  <c r="U39" i="9"/>
  <c r="AI151" i="8"/>
  <c r="AA38" i="9"/>
  <c r="V39" i="9"/>
  <c r="S15" i="9"/>
  <c r="AC23" i="9"/>
  <c r="AB23" i="9"/>
  <c r="AA168" i="8" l="1"/>
  <c r="AG43" i="8"/>
  <c r="AG46" i="8"/>
  <c r="L126" i="8"/>
  <c r="L168" i="8" s="1"/>
  <c r="AB106" i="8"/>
  <c r="AB126" i="8" s="1"/>
  <c r="AG28" i="8"/>
  <c r="U8" i="9"/>
  <c r="U14" i="9" s="1"/>
  <c r="V8" i="9"/>
  <c r="Z9" i="9" s="1"/>
  <c r="AA8" i="9"/>
  <c r="AA14" i="9" s="1"/>
  <c r="W8" i="9"/>
  <c r="W14" i="9" s="1"/>
  <c r="Y8" i="9"/>
  <c r="Y14" i="9" s="1"/>
  <c r="T15" i="9"/>
  <c r="AG23" i="9"/>
  <c r="X14" i="9"/>
  <c r="X20" i="9" s="1"/>
  <c r="X25" i="9" s="1"/>
  <c r="X9" i="9"/>
  <c r="AB6" i="9"/>
  <c r="AD6" i="9"/>
  <c r="AD8" i="9" s="1"/>
  <c r="AE6" i="9"/>
  <c r="AE8" i="9" s="1"/>
  <c r="AC6" i="9"/>
  <c r="AC8" i="9" s="1"/>
  <c r="Z15" i="9"/>
  <c r="Z20" i="9"/>
  <c r="Q30" i="9"/>
  <c r="Q36" i="9"/>
  <c r="Q44" i="9" s="1"/>
  <c r="T29" i="9"/>
  <c r="T77" i="9" s="1"/>
  <c r="T21" i="9"/>
  <c r="T26" i="9"/>
  <c r="X38" i="9"/>
  <c r="Y38" i="9"/>
  <c r="Z38" i="9"/>
  <c r="S29" i="9"/>
  <c r="S77" i="9" s="1"/>
  <c r="S21" i="9"/>
  <c r="Y9" i="9" l="1"/>
  <c r="AA9" i="9"/>
  <c r="W9" i="9"/>
  <c r="V14" i="9"/>
  <c r="V15" i="9" s="1"/>
  <c r="Y20" i="9"/>
  <c r="Y25" i="9" s="1"/>
  <c r="Y29" i="9" s="1"/>
  <c r="Y78" i="9" s="1" a="1"/>
  <c r="Y78" i="9" s="1"/>
  <c r="Y15" i="9"/>
  <c r="AA20" i="9"/>
  <c r="AA21" i="9" s="1"/>
  <c r="AA15" i="9"/>
  <c r="W20" i="9"/>
  <c r="W21" i="9" s="1"/>
  <c r="W15" i="9"/>
  <c r="U15" i="9"/>
  <c r="U20" i="9"/>
  <c r="U25" i="9" s="1"/>
  <c r="U29" i="9" s="1"/>
  <c r="AB8" i="9"/>
  <c r="AB14" i="9" s="1"/>
  <c r="X15" i="9"/>
  <c r="Z21" i="9"/>
  <c r="Z25" i="9"/>
  <c r="Z29" i="9" s="1"/>
  <c r="Z77" i="9" s="1"/>
  <c r="X21" i="9"/>
  <c r="AC9" i="9"/>
  <c r="AC14" i="9"/>
  <c r="AC20" i="9" s="1"/>
  <c r="AC25" i="9" s="1"/>
  <c r="AG6" i="9"/>
  <c r="AE14" i="9"/>
  <c r="Q45" i="9"/>
  <c r="T30" i="9"/>
  <c r="T78" i="9" a="1"/>
  <c r="T78" i="9" s="1"/>
  <c r="T79" i="9" a="1"/>
  <c r="T79" i="9" s="1"/>
  <c r="T75" i="9"/>
  <c r="T76" i="9"/>
  <c r="T36" i="9"/>
  <c r="X26" i="9"/>
  <c r="X29" i="9"/>
  <c r="S26" i="9"/>
  <c r="AB168" i="8" l="1"/>
  <c r="AF162" i="8"/>
  <c r="V20" i="9"/>
  <c r="V25" i="9" s="1"/>
  <c r="Y21" i="9"/>
  <c r="AA25" i="9"/>
  <c r="AA29" i="9" s="1"/>
  <c r="AA77" i="9" s="1"/>
  <c r="AB9" i="9"/>
  <c r="U21" i="9"/>
  <c r="W25" i="9"/>
  <c r="W29" i="9" s="1"/>
  <c r="U26" i="9"/>
  <c r="U77" i="9"/>
  <c r="U36" i="9"/>
  <c r="U76" i="9"/>
  <c r="U79" i="9" a="1"/>
  <c r="U79" i="9" s="1"/>
  <c r="U75" i="9"/>
  <c r="U30" i="9"/>
  <c r="U78" i="9" a="1"/>
  <c r="U78" i="9" s="1"/>
  <c r="AC15" i="9"/>
  <c r="AB20" i="9"/>
  <c r="AB25" i="9" s="1"/>
  <c r="AB15" i="9"/>
  <c r="AG8" i="9"/>
  <c r="AE9" i="9"/>
  <c r="AG9" i="9" s="1"/>
  <c r="Y26" i="9"/>
  <c r="Y75" i="9"/>
  <c r="Y79" i="9" a="1"/>
  <c r="Y79" i="9" s="1"/>
  <c r="Y76" i="9"/>
  <c r="Y30" i="9"/>
  <c r="Y77" i="9"/>
  <c r="Y36" i="9"/>
  <c r="Z79" i="9" a="1"/>
  <c r="Z79" i="9" s="1"/>
  <c r="Z26" i="9"/>
  <c r="AC21" i="9"/>
  <c r="X79" i="9" a="1"/>
  <c r="X79" i="9" s="1"/>
  <c r="X77" i="9"/>
  <c r="X78" i="9" a="1"/>
  <c r="X78" i="9" s="1"/>
  <c r="X76" i="9"/>
  <c r="Z76" i="9"/>
  <c r="Z75" i="9"/>
  <c r="Z78" i="9" a="1"/>
  <c r="Z78" i="9" s="1"/>
  <c r="X30" i="9"/>
  <c r="Z36" i="9"/>
  <c r="X36" i="9"/>
  <c r="Z30" i="9"/>
  <c r="X75" i="9"/>
  <c r="S30" i="9"/>
  <c r="S75" i="9"/>
  <c r="S76" i="9"/>
  <c r="S79" i="9" a="1"/>
  <c r="S79" i="9" s="1"/>
  <c r="S36" i="9"/>
  <c r="S78" i="9" a="1"/>
  <c r="S78" i="9" s="1"/>
  <c r="B103" i="8"/>
  <c r="B102" i="8"/>
  <c r="E103" i="8"/>
  <c r="D103" i="8"/>
  <c r="C103" i="8"/>
  <c r="E102" i="8"/>
  <c r="D102" i="8"/>
  <c r="C102" i="8"/>
  <c r="B50" i="8"/>
  <c r="B49" i="8"/>
  <c r="AF50" i="8"/>
  <c r="AE50" i="8"/>
  <c r="AD50" i="8"/>
  <c r="AF49" i="8"/>
  <c r="AE49" i="8"/>
  <c r="AD49" i="8"/>
  <c r="V21" i="9" l="1"/>
  <c r="AA30" i="9"/>
  <c r="AA36" i="9"/>
  <c r="AA75" i="9"/>
  <c r="AA78" i="9" a="1"/>
  <c r="AA78" i="9" s="1"/>
  <c r="AA76" i="9"/>
  <c r="AA79" i="9" a="1"/>
  <c r="AA79" i="9" s="1"/>
  <c r="AA26" i="9"/>
  <c r="W26" i="9"/>
  <c r="V29" i="9"/>
  <c r="V26" i="9"/>
  <c r="AE20" i="9"/>
  <c r="AE25" i="9" s="1"/>
  <c r="AE15" i="9"/>
  <c r="AG15" i="9" s="1"/>
  <c r="AG14" i="9"/>
  <c r="AB21" i="9"/>
  <c r="W77" i="9"/>
  <c r="W36" i="9"/>
  <c r="W75" i="9"/>
  <c r="W78" i="9" a="1"/>
  <c r="W78" i="9" s="1"/>
  <c r="W79" i="9" a="1"/>
  <c r="W79" i="9" s="1"/>
  <c r="W30" i="9"/>
  <c r="W76" i="9"/>
  <c r="AC29" i="9"/>
  <c r="AC26" i="9"/>
  <c r="AD102" i="8"/>
  <c r="AD103" i="8"/>
  <c r="AE103" i="8"/>
  <c r="AE102" i="8"/>
  <c r="AF102" i="8"/>
  <c r="AF103" i="8"/>
  <c r="V77" i="9" l="1"/>
  <c r="V75" i="9"/>
  <c r="V76" i="9"/>
  <c r="V30" i="9"/>
  <c r="V79" i="9" a="1"/>
  <c r="V79" i="9" s="1"/>
  <c r="V78" i="9" a="1"/>
  <c r="V78" i="9" s="1"/>
  <c r="V36" i="9"/>
  <c r="AB29" i="9"/>
  <c r="AB26" i="9"/>
  <c r="AE21" i="9"/>
  <c r="AG21" i="9" s="1"/>
  <c r="AG20" i="9"/>
  <c r="AC77" i="9"/>
  <c r="AC30" i="9"/>
  <c r="AC79" i="9" a="1"/>
  <c r="AC79" i="9" s="1"/>
  <c r="AC36" i="9"/>
  <c r="AC78" i="9" a="1"/>
  <c r="AC78" i="9" s="1"/>
  <c r="AC75" i="9"/>
  <c r="AC76" i="9"/>
  <c r="AG25" i="9" l="1"/>
  <c r="AE26" i="9"/>
  <c r="AG26" i="9" s="1"/>
  <c r="AE29" i="9"/>
  <c r="AB77" i="9"/>
  <c r="AB76" i="9"/>
  <c r="AB36" i="9"/>
  <c r="AB78" i="9" a="1"/>
  <c r="AB78" i="9" s="1"/>
  <c r="AB30" i="9"/>
  <c r="AB79" i="9" a="1"/>
  <c r="AB79" i="9" s="1"/>
  <c r="AB75" i="9"/>
  <c r="AE77" i="9" l="1"/>
  <c r="AG29" i="9"/>
  <c r="AE78" i="9" a="1"/>
  <c r="AE78" i="9" s="1"/>
  <c r="AE30" i="9"/>
  <c r="AG30" i="9" s="1"/>
  <c r="AE76" i="9"/>
  <c r="AE75" i="9"/>
  <c r="AE79" i="9" a="1"/>
  <c r="AE79" i="9" s="1"/>
  <c r="AE36" i="9"/>
  <c r="AG36" i="9" s="1"/>
  <c r="D11" i="10" l="1"/>
  <c r="C11" i="10"/>
  <c r="P11" i="10"/>
  <c r="P12" i="10" s="1"/>
  <c r="O11" i="10"/>
  <c r="N11" i="10"/>
  <c r="M11" i="10"/>
  <c r="L11" i="10"/>
  <c r="L12" i="10" s="1"/>
  <c r="K11" i="10"/>
  <c r="K12" i="10" s="1"/>
  <c r="J11" i="10"/>
  <c r="J12" i="10" s="1"/>
  <c r="I11" i="10"/>
  <c r="I12" i="10" s="1"/>
  <c r="H11" i="10"/>
  <c r="H12" i="10" s="1"/>
  <c r="G11" i="10"/>
  <c r="G12" i="10" s="1"/>
  <c r="E11" i="10"/>
  <c r="AD70" i="9" l="1"/>
  <c r="AB70" i="9"/>
  <c r="AB71" i="9" s="1"/>
  <c r="AB80" i="9" s="1"/>
  <c r="O57" i="8"/>
  <c r="O67" i="8" s="1"/>
  <c r="D14" i="9"/>
  <c r="K14" i="9"/>
  <c r="I14" i="9"/>
  <c r="L14" i="9"/>
  <c r="G14" i="9"/>
  <c r="O14" i="9"/>
  <c r="E14" i="9"/>
  <c r="C14" i="9"/>
  <c r="N14" i="9"/>
  <c r="J14" i="9"/>
  <c r="H14" i="9"/>
  <c r="AC70" i="9" l="1"/>
  <c r="AC71" i="9" s="1"/>
  <c r="AC80" i="9" s="1"/>
  <c r="Q9" i="9"/>
  <c r="M14" i="9"/>
  <c r="Q10" i="9"/>
  <c r="P14" i="9"/>
  <c r="AC59" i="9"/>
  <c r="AD71" i="9"/>
  <c r="AD80" i="9" s="1"/>
  <c r="AD14" i="9"/>
  <c r="D57" i="8" l="1"/>
  <c r="D67" i="8" s="1"/>
  <c r="C57" i="8"/>
  <c r="C67" i="8" s="1"/>
  <c r="E57" i="8"/>
  <c r="E67" i="8" s="1"/>
  <c r="AD57" i="8" l="1"/>
  <c r="AD67" i="8" s="1"/>
  <c r="AD11" i="8"/>
  <c r="AD15" i="8" s="1"/>
  <c r="AE11" i="8"/>
  <c r="AE15" i="8" s="1"/>
  <c r="AE57" i="8"/>
  <c r="AE67" i="8" s="1"/>
  <c r="AE96" i="8" l="1"/>
  <c r="AE98" i="8" s="1"/>
  <c r="AD96" i="8"/>
  <c r="AD98" i="8" s="1"/>
  <c r="AI11" i="8"/>
  <c r="AD20" i="9"/>
  <c r="AD25" i="9" s="1"/>
  <c r="Y11" i="10"/>
  <c r="Y12" i="10" s="1"/>
  <c r="Z11" i="10"/>
  <c r="Z12" i="10" s="1"/>
  <c r="AI15" i="8"/>
  <c r="AD21" i="8" l="1"/>
  <c r="AD27" i="8" s="1"/>
  <c r="AD32" i="8" s="1"/>
  <c r="AD35" i="8" s="1"/>
  <c r="AD38" i="8" s="1"/>
  <c r="AE21" i="8"/>
  <c r="AE22" i="8" s="1"/>
  <c r="AD16" i="8"/>
  <c r="AI16" i="8"/>
  <c r="AE16" i="8"/>
  <c r="AD15" i="9"/>
  <c r="W11" i="10"/>
  <c r="W12" i="10" s="1"/>
  <c r="X11" i="10"/>
  <c r="X12" i="10" s="1"/>
  <c r="AA11" i="10"/>
  <c r="AA12" i="10" s="1"/>
  <c r="AC11" i="10"/>
  <c r="AC12" i="10" s="1"/>
  <c r="V11" i="10"/>
  <c r="V12" i="10" s="1"/>
  <c r="AD46" i="8" l="1"/>
  <c r="AD43" i="8"/>
  <c r="AI28" i="8"/>
  <c r="AI21" i="8"/>
  <c r="AD22" i="8"/>
  <c r="AI22" i="8"/>
  <c r="AE27" i="8"/>
  <c r="AE32" i="8" s="1"/>
  <c r="AE35" i="8" s="1"/>
  <c r="AE38" i="8" s="1"/>
  <c r="U11" i="10"/>
  <c r="U12" i="10" s="1"/>
  <c r="T11" i="10"/>
  <c r="AD28" i="8"/>
  <c r="AD29" i="9"/>
  <c r="AD77" i="9" s="1"/>
  <c r="AD21" i="9"/>
  <c r="S11" i="10"/>
  <c r="AB11" i="10"/>
  <c r="AE11" i="10"/>
  <c r="AE9" i="10"/>
  <c r="AE43" i="8" l="1"/>
  <c r="AE46" i="8"/>
  <c r="AI27" i="8"/>
  <c r="AE28" i="8"/>
  <c r="AD26" i="9"/>
  <c r="AI32" i="8" l="1"/>
  <c r="AI43" i="8"/>
  <c r="AI46" i="8"/>
  <c r="AD79" i="9" a="1"/>
  <c r="AD79" i="9" s="1"/>
  <c r="AD30" i="9"/>
  <c r="AD78" i="9" a="1"/>
  <c r="AD78" i="9" s="1"/>
  <c r="AD75" i="9"/>
  <c r="AD76" i="9"/>
  <c r="AD36" i="9"/>
  <c r="AI83" i="8" l="1"/>
  <c r="M11" i="8" l="1"/>
  <c r="M15" i="8" s="1"/>
  <c r="E11" i="8"/>
  <c r="E15" i="8" s="1"/>
  <c r="D11" i="8"/>
  <c r="D15" i="8" s="1"/>
  <c r="C11" i="8"/>
  <c r="C15" i="8" s="1"/>
  <c r="E91" i="8"/>
  <c r="E95" i="8" s="1"/>
  <c r="E96" i="8" s="1"/>
  <c r="E98" i="8" s="1"/>
  <c r="D91" i="8"/>
  <c r="D95" i="8" s="1"/>
  <c r="D96" i="8" s="1"/>
  <c r="C91" i="8"/>
  <c r="C95" i="8" s="1"/>
  <c r="C96" i="8" s="1"/>
  <c r="AF11" i="8"/>
  <c r="AF15" i="8" s="1"/>
  <c r="O71" i="9"/>
  <c r="O80" i="9" s="1"/>
  <c r="G71" i="9"/>
  <c r="G80" i="9" s="1"/>
  <c r="AD60" i="9" l="1"/>
  <c r="P96" i="8"/>
  <c r="AB60" i="9"/>
  <c r="N96" i="8"/>
  <c r="C71" i="9"/>
  <c r="C80" i="9" s="1"/>
  <c r="D71" i="9"/>
  <c r="D80" i="9" s="1"/>
  <c r="E71" i="9"/>
  <c r="E80" i="9" s="1"/>
  <c r="M21" i="8"/>
  <c r="AB12" i="10"/>
  <c r="C12" i="10"/>
  <c r="M12" i="10"/>
  <c r="E12" i="10"/>
  <c r="D12" i="10"/>
  <c r="H71" i="9"/>
  <c r="H80" i="9" s="1"/>
  <c r="P71" i="9"/>
  <c r="P80" i="9" s="1"/>
  <c r="I71" i="9"/>
  <c r="I80" i="9" s="1"/>
  <c r="I20" i="9"/>
  <c r="I25" i="9" s="1"/>
  <c r="O9" i="9"/>
  <c r="O10" i="9"/>
  <c r="D21" i="8"/>
  <c r="C21" i="8"/>
  <c r="E21" i="8"/>
  <c r="P21" i="8"/>
  <c r="E20" i="9"/>
  <c r="E25" i="9" s="1"/>
  <c r="E9" i="9"/>
  <c r="C20" i="9"/>
  <c r="C25" i="9" s="1"/>
  <c r="C9" i="9"/>
  <c r="D20" i="9"/>
  <c r="D25" i="9" s="1"/>
  <c r="D9" i="9"/>
  <c r="G10" i="9"/>
  <c r="K71" i="9"/>
  <c r="K80" i="9" s="1"/>
  <c r="L71" i="9"/>
  <c r="L80" i="9" s="1"/>
  <c r="M71" i="9"/>
  <c r="M80" i="9" s="1"/>
  <c r="AC60" i="9" l="1"/>
  <c r="O96" i="8"/>
  <c r="AF96" i="8"/>
  <c r="AI96" i="8"/>
  <c r="AI91" i="8"/>
  <c r="C98" i="8"/>
  <c r="P27" i="8"/>
  <c r="P32" i="8" s="1"/>
  <c r="P35" i="8" s="1"/>
  <c r="P38" i="8" s="1"/>
  <c r="E27" i="8"/>
  <c r="E32" i="8" s="1"/>
  <c r="E35" i="8" s="1"/>
  <c r="E38" i="8" s="1"/>
  <c r="M22" i="8"/>
  <c r="C27" i="8"/>
  <c r="C32" i="8" s="1"/>
  <c r="C35" i="8" s="1"/>
  <c r="C38" i="8" s="1"/>
  <c r="D22" i="8"/>
  <c r="M16" i="8"/>
  <c r="N71" i="9"/>
  <c r="N80" i="9" s="1"/>
  <c r="N98" i="8"/>
  <c r="AI57" i="8"/>
  <c r="P98" i="8"/>
  <c r="D98" i="8"/>
  <c r="J71" i="9"/>
  <c r="J80" i="9" s="1"/>
  <c r="J10" i="9"/>
  <c r="N9" i="9"/>
  <c r="K9" i="9"/>
  <c r="L10" i="9"/>
  <c r="N20" i="9"/>
  <c r="N25" i="9" s="1"/>
  <c r="I10" i="9"/>
  <c r="K10" i="9"/>
  <c r="H10" i="9"/>
  <c r="L20" i="9"/>
  <c r="L25" i="9" s="1"/>
  <c r="J20" i="9"/>
  <c r="J25" i="9" s="1"/>
  <c r="L9" i="9"/>
  <c r="AF57" i="8"/>
  <c r="AF67" i="8" s="1"/>
  <c r="D16" i="8"/>
  <c r="E16" i="8"/>
  <c r="C16" i="8"/>
  <c r="AF21" i="8"/>
  <c r="P16" i="8"/>
  <c r="I15" i="9"/>
  <c r="D15" i="9"/>
  <c r="M9" i="9"/>
  <c r="M20" i="9"/>
  <c r="M25" i="9" s="1"/>
  <c r="M10" i="9"/>
  <c r="O20" i="9"/>
  <c r="O25" i="9" s="1"/>
  <c r="AD9" i="9"/>
  <c r="H20" i="9"/>
  <c r="H25" i="9" s="1"/>
  <c r="N10" i="9"/>
  <c r="P9" i="9"/>
  <c r="P20" i="9"/>
  <c r="P25" i="9" s="1"/>
  <c r="P10" i="9"/>
  <c r="G20" i="9"/>
  <c r="G25" i="9" s="1"/>
  <c r="E15" i="9"/>
  <c r="K20" i="9"/>
  <c r="K25" i="9" s="1"/>
  <c r="C15" i="9"/>
  <c r="C40" i="8" l="1"/>
  <c r="C46" i="8"/>
  <c r="C43" i="8"/>
  <c r="E40" i="8"/>
  <c r="E43" i="8"/>
  <c r="E46" i="8"/>
  <c r="P43" i="8"/>
  <c r="P46" i="8"/>
  <c r="E106" i="8"/>
  <c r="P106" i="8"/>
  <c r="L15" i="9"/>
  <c r="L21" i="9"/>
  <c r="P22" i="8"/>
  <c r="E22" i="8"/>
  <c r="D27" i="8"/>
  <c r="D32" i="8" s="1"/>
  <c r="D35" i="8" s="1"/>
  <c r="D38" i="8" s="1"/>
  <c r="M27" i="8"/>
  <c r="M32" i="8" s="1"/>
  <c r="M35" i="8" s="1"/>
  <c r="M38" i="8" s="1"/>
  <c r="C22" i="8"/>
  <c r="AF27" i="8"/>
  <c r="AF32" i="8" s="1"/>
  <c r="AF35" i="8" s="1"/>
  <c r="AF38" i="8" s="1"/>
  <c r="C28" i="8"/>
  <c r="P28" i="8"/>
  <c r="AF22" i="8"/>
  <c r="E28" i="8"/>
  <c r="O98" i="8"/>
  <c r="N15" i="9"/>
  <c r="J15" i="9"/>
  <c r="AF16" i="8"/>
  <c r="C29" i="9"/>
  <c r="C77" i="9" s="1"/>
  <c r="C21" i="9"/>
  <c r="K15" i="9"/>
  <c r="D29" i="9"/>
  <c r="D77" i="9" s="1"/>
  <c r="D21" i="9"/>
  <c r="I29" i="9"/>
  <c r="I21" i="9"/>
  <c r="P15" i="9"/>
  <c r="M15" i="9"/>
  <c r="N29" i="9"/>
  <c r="N21" i="9"/>
  <c r="J21" i="9"/>
  <c r="J29" i="9"/>
  <c r="E21" i="9"/>
  <c r="E29" i="9"/>
  <c r="E77" i="9" s="1"/>
  <c r="O15" i="9"/>
  <c r="G15" i="9"/>
  <c r="H15" i="9"/>
  <c r="D40" i="8" l="1"/>
  <c r="D43" i="8"/>
  <c r="D46" i="8"/>
  <c r="AF43" i="8"/>
  <c r="AF46" i="8"/>
  <c r="M43" i="8"/>
  <c r="M46" i="8"/>
  <c r="D106" i="8"/>
  <c r="AI67" i="8"/>
  <c r="M106" i="8"/>
  <c r="D28" i="8"/>
  <c r="M28" i="8"/>
  <c r="C106" i="8"/>
  <c r="P126" i="8"/>
  <c r="P168" i="8" s="1"/>
  <c r="AF98" i="8"/>
  <c r="L29" i="9"/>
  <c r="AF28" i="8"/>
  <c r="E26" i="9"/>
  <c r="H29" i="9"/>
  <c r="H21" i="9"/>
  <c r="N26" i="9"/>
  <c r="D26" i="9"/>
  <c r="I26" i="9"/>
  <c r="M21" i="9"/>
  <c r="M29" i="9"/>
  <c r="C26" i="9"/>
  <c r="O29" i="9"/>
  <c r="O21" i="9"/>
  <c r="K21" i="9"/>
  <c r="K29" i="9"/>
  <c r="G29" i="9"/>
  <c r="G21" i="9"/>
  <c r="J26" i="9"/>
  <c r="P29" i="9"/>
  <c r="P21" i="9"/>
  <c r="M126" i="8" l="1"/>
  <c r="M168" i="8" s="1"/>
  <c r="AC106" i="8"/>
  <c r="AC126" i="8" s="1"/>
  <c r="Q79" i="9" a="1"/>
  <c r="Q79" i="9" s="1"/>
  <c r="Q75" i="9"/>
  <c r="Q76" i="9"/>
  <c r="Q77" i="9" a="1"/>
  <c r="Q77" i="9" s="1"/>
  <c r="Q78" i="9" a="1"/>
  <c r="Q78" i="9" s="1"/>
  <c r="K77" i="9" a="1"/>
  <c r="K77" i="9" s="1"/>
  <c r="J77" i="9" a="1"/>
  <c r="J77" i="9" s="1"/>
  <c r="P77" i="9" a="1"/>
  <c r="P77" i="9" s="1"/>
  <c r="H77" i="9" a="1"/>
  <c r="H77" i="9" s="1"/>
  <c r="O77" i="9" a="1"/>
  <c r="O77" i="9" s="1"/>
  <c r="N77" i="9" a="1"/>
  <c r="N77" i="9" s="1"/>
  <c r="G77" i="9" a="1"/>
  <c r="G77" i="9" s="1"/>
  <c r="L77" i="9" a="1"/>
  <c r="L77" i="9" s="1"/>
  <c r="I77" i="9" a="1"/>
  <c r="I77" i="9" s="1"/>
  <c r="M77" i="9" a="1"/>
  <c r="M77" i="9" s="1"/>
  <c r="L26" i="9"/>
  <c r="G26" i="9"/>
  <c r="K26" i="9"/>
  <c r="L79" i="9" a="1"/>
  <c r="L79" i="9" s="1"/>
  <c r="H26" i="9"/>
  <c r="D79" i="9" a="1"/>
  <c r="D79" i="9" s="1"/>
  <c r="D78" i="9" a="1"/>
  <c r="D78" i="9" s="1"/>
  <c r="D30" i="9"/>
  <c r="D36" i="9"/>
  <c r="D75" i="9"/>
  <c r="D76" i="9"/>
  <c r="E78" i="9" a="1"/>
  <c r="E78" i="9" s="1"/>
  <c r="E79" i="9" a="1"/>
  <c r="E79" i="9" s="1"/>
  <c r="E30" i="9"/>
  <c r="E76" i="9"/>
  <c r="E36" i="9"/>
  <c r="E75" i="9"/>
  <c r="L30" i="9"/>
  <c r="L36" i="9"/>
  <c r="L44" i="9" s="1"/>
  <c r="P26" i="9"/>
  <c r="O26" i="9"/>
  <c r="J36" i="9"/>
  <c r="J44" i="9" s="1"/>
  <c r="J30" i="9"/>
  <c r="I36" i="9"/>
  <c r="I44" i="9" s="1"/>
  <c r="I30" i="9"/>
  <c r="M26" i="9"/>
  <c r="C79" i="9" a="1"/>
  <c r="C79" i="9" s="1"/>
  <c r="C36" i="9"/>
  <c r="C30" i="9"/>
  <c r="C78" i="9" a="1"/>
  <c r="C78" i="9" s="1"/>
  <c r="C76" i="9"/>
  <c r="C75" i="9"/>
  <c r="N30" i="9"/>
  <c r="N36" i="9"/>
  <c r="N44" i="9" s="1"/>
  <c r="AC168" i="8" l="1"/>
  <c r="AG162" i="8"/>
  <c r="L78" i="9" a="1"/>
  <c r="L78" i="9" s="1"/>
  <c r="O78" i="9" a="1"/>
  <c r="O78" i="9" s="1"/>
  <c r="M78" i="9" a="1"/>
  <c r="M78" i="9" s="1"/>
  <c r="O76" i="9"/>
  <c r="H79" i="9" a="1"/>
  <c r="H79" i="9" s="1"/>
  <c r="H78" i="9" a="1"/>
  <c r="H78" i="9" s="1"/>
  <c r="H75" i="9"/>
  <c r="H76" i="9"/>
  <c r="G78" i="9" a="1"/>
  <c r="G78" i="9" s="1"/>
  <c r="K36" i="9"/>
  <c r="K44" i="9" s="1"/>
  <c r="N78" i="9" a="1"/>
  <c r="N78" i="9" s="1"/>
  <c r="N79" i="9" a="1"/>
  <c r="N79" i="9" s="1"/>
  <c r="K30" i="9"/>
  <c r="N75" i="9"/>
  <c r="N76" i="9"/>
  <c r="L76" i="9"/>
  <c r="M75" i="9"/>
  <c r="E45" i="9"/>
  <c r="L75" i="9"/>
  <c r="I78" i="9" a="1"/>
  <c r="I78" i="9" s="1"/>
  <c r="I79" i="9" a="1"/>
  <c r="I79" i="9" s="1"/>
  <c r="I75" i="9"/>
  <c r="I76" i="9"/>
  <c r="D45" i="9"/>
  <c r="G75" i="9"/>
  <c r="O36" i="9"/>
  <c r="O44" i="9" s="1"/>
  <c r="O30" i="9"/>
  <c r="K79" i="9" a="1"/>
  <c r="K79" i="9" s="1"/>
  <c r="H36" i="9"/>
  <c r="H44" i="9" s="1"/>
  <c r="H30" i="9"/>
  <c r="K78" i="9" a="1"/>
  <c r="K78" i="9" s="1"/>
  <c r="K75" i="9"/>
  <c r="K76" i="9"/>
  <c r="M79" i="9" a="1"/>
  <c r="M79" i="9" s="1"/>
  <c r="O75" i="9"/>
  <c r="G79" i="9" a="1"/>
  <c r="G79" i="9" s="1"/>
  <c r="C45" i="9"/>
  <c r="P79" i="9" a="1"/>
  <c r="P79" i="9" s="1"/>
  <c r="P78" i="9" a="1"/>
  <c r="P78" i="9" s="1"/>
  <c r="P75" i="9"/>
  <c r="M30" i="9"/>
  <c r="M36" i="9"/>
  <c r="M44" i="9" s="1"/>
  <c r="P76" i="9"/>
  <c r="N45" i="9"/>
  <c r="O79" i="9" a="1"/>
  <c r="O79" i="9" s="1"/>
  <c r="J78" i="9" a="1"/>
  <c r="J78" i="9" s="1"/>
  <c r="J79" i="9" a="1"/>
  <c r="J79" i="9" s="1"/>
  <c r="G36" i="9"/>
  <c r="G30" i="9"/>
  <c r="J75" i="9"/>
  <c r="J76" i="9"/>
  <c r="M76" i="9"/>
  <c r="P30" i="9"/>
  <c r="P36" i="9"/>
  <c r="P44" i="9" s="1"/>
  <c r="G76" i="9"/>
  <c r="AE44" i="9" l="1"/>
  <c r="AE45" i="9" s="1"/>
  <c r="Y44" i="9"/>
  <c r="Y45" i="9" s="1"/>
  <c r="U44" i="9"/>
  <c r="U45" i="9" s="1"/>
  <c r="AB44" i="9"/>
  <c r="AB45" i="9" s="1"/>
  <c r="AA44" i="9"/>
  <c r="AA45" i="9" s="1"/>
  <c r="X44" i="9"/>
  <c r="X45" i="9" s="1"/>
  <c r="AD44" i="9"/>
  <c r="AD45" i="9" s="1"/>
  <c r="W44" i="9"/>
  <c r="W45" i="9" s="1"/>
  <c r="Z44" i="9"/>
  <c r="Z45" i="9" s="1"/>
  <c r="V44" i="9"/>
  <c r="V45" i="9" s="1"/>
  <c r="AC44" i="9"/>
  <c r="AC45" i="9" s="1"/>
  <c r="O45" i="9"/>
  <c r="P45" i="9"/>
  <c r="M45" i="9"/>
  <c r="L45" i="9"/>
  <c r="G45" i="9"/>
  <c r="I45" i="9"/>
  <c r="J45" i="9"/>
  <c r="T44" i="9" l="1"/>
  <c r="T45" i="9" s="1"/>
  <c r="S44" i="9"/>
  <c r="S45" i="9" s="1"/>
  <c r="H45" i="9"/>
  <c r="K45" i="9"/>
  <c r="O11" i="8" l="1"/>
  <c r="O15" i="8" s="1"/>
  <c r="O21" i="8" l="1"/>
  <c r="O12" i="10"/>
  <c r="O27" i="8" l="1"/>
  <c r="O32" i="8" s="1"/>
  <c r="O35" i="8" s="1"/>
  <c r="O38" i="8" s="1"/>
  <c r="O16" i="8"/>
  <c r="O46" i="8" l="1"/>
  <c r="O43" i="8"/>
  <c r="O106" i="8"/>
  <c r="O22" i="8"/>
  <c r="O28" i="8"/>
  <c r="O126" i="8" l="1"/>
  <c r="O168" i="8" s="1"/>
  <c r="N11" i="8"/>
  <c r="N15" i="8" s="1"/>
  <c r="N21" i="8" l="1"/>
  <c r="T12" i="10"/>
  <c r="S12" i="10"/>
  <c r="N12" i="10"/>
  <c r="N16" i="8" l="1"/>
  <c r="N27" i="8"/>
  <c r="N32" i="8" s="1"/>
  <c r="N35" i="8" s="1"/>
  <c r="N38" i="8" s="1"/>
  <c r="N46" i="8" l="1"/>
  <c r="N43" i="8"/>
  <c r="N106" i="8"/>
  <c r="N22" i="8"/>
  <c r="N28" i="8"/>
  <c r="AG106" i="8" l="1"/>
  <c r="AG126" i="8" l="1"/>
  <c r="AI126" i="8" s="1"/>
  <c r="AI106" i="8"/>
  <c r="AF106" i="8"/>
  <c r="AD106" i="8"/>
  <c r="AD126" i="8" s="1"/>
  <c r="AE106" i="8"/>
  <c r="AE126" i="8" s="1"/>
  <c r="N126" i="8"/>
  <c r="N168" i="8" s="1"/>
  <c r="AG168" i="8" l="1"/>
  <c r="AF168" i="8"/>
  <c r="AE168" i="8"/>
  <c r="AD168" i="8"/>
  <c r="AF126" i="8"/>
  <c r="E126" i="8" l="1"/>
  <c r="E168" i="8" s="1"/>
  <c r="D126" i="8"/>
  <c r="D168" i="8" s="1"/>
  <c r="C126" i="8"/>
  <c r="G160" i="8" l="1"/>
  <c r="G163" i="8" s="1"/>
  <c r="G169" i="8" s="1"/>
  <c r="G171" i="8" l="1"/>
  <c r="H160" i="8"/>
  <c r="H163" i="8" s="1"/>
  <c r="H169" i="8" s="1"/>
  <c r="AA160" i="8"/>
  <c r="AA163" i="8" s="1"/>
  <c r="AA169" i="8" s="1"/>
  <c r="AA171" i="8" s="1"/>
  <c r="C169" i="8"/>
  <c r="H171" i="8" l="1"/>
  <c r="I160" i="8"/>
  <c r="I163" i="8" s="1"/>
  <c r="I169" i="8" s="1"/>
  <c r="AB160" i="8"/>
  <c r="AB163" i="8" s="1"/>
  <c r="AB169" i="8" s="1"/>
  <c r="AB171" i="8" s="1"/>
  <c r="D160" i="8"/>
  <c r="I171" i="8" l="1"/>
  <c r="AC160" i="8"/>
  <c r="AC163" i="8" s="1"/>
  <c r="AC169" i="8" s="1"/>
  <c r="AC171" i="8" s="1"/>
  <c r="J160" i="8"/>
  <c r="J163" i="8" s="1"/>
  <c r="J169" i="8" s="1"/>
  <c r="D163" i="8"/>
  <c r="D169" i="8" s="1"/>
  <c r="J171" i="8" l="1"/>
  <c r="AD160" i="8"/>
  <c r="AD163" i="8" s="1"/>
  <c r="AD169" i="8" s="1"/>
  <c r="AD171" i="8" s="1"/>
  <c r="K160" i="8"/>
  <c r="K163" i="8" s="1"/>
  <c r="K169" i="8" s="1"/>
  <c r="D171" i="8"/>
  <c r="E160" i="8"/>
  <c r="K171" i="8" l="1"/>
  <c r="AE160" i="8"/>
  <c r="AE163" i="8" s="1"/>
  <c r="AE169" i="8" s="1"/>
  <c r="AE171" i="8" s="1"/>
  <c r="L160" i="8"/>
  <c r="L163" i="8" s="1"/>
  <c r="L169" i="8" s="1"/>
  <c r="E163" i="8"/>
  <c r="E169" i="8" s="1"/>
  <c r="E171" i="8" s="1"/>
  <c r="L171" i="8" l="1"/>
  <c r="M160" i="8"/>
  <c r="M163" i="8" s="1"/>
  <c r="M169" i="8" s="1"/>
  <c r="AF160" i="8"/>
  <c r="AF163" i="8" s="1"/>
  <c r="AF169" i="8" s="1"/>
  <c r="AF171" i="8" s="1"/>
  <c r="M171" i="8" l="1"/>
  <c r="AG160" i="8"/>
  <c r="AG163" i="8" s="1"/>
  <c r="AG169" i="8" s="1"/>
  <c r="AG171" i="8" s="1"/>
  <c r="N160" i="8"/>
  <c r="N163" i="8" s="1"/>
  <c r="N169" i="8" s="1"/>
  <c r="N171" i="8" l="1"/>
  <c r="O160" i="8"/>
  <c r="O163" i="8" s="1"/>
  <c r="O169" i="8" s="1"/>
  <c r="O171" i="8" l="1"/>
  <c r="P160" i="8"/>
  <c r="P163" i="8" s="1"/>
  <c r="P169" i="8" s="1"/>
  <c r="P171" i="8" l="1"/>
  <c r="Q160" i="8"/>
  <c r="Q163" i="8" s="1"/>
  <c r="Q169" i="8" s="1"/>
  <c r="Q17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<sst xmlns="http://schemas.openxmlformats.org/spreadsheetml/2006/main" count="262" uniqueCount="214">
  <si>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</si>
  <si>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</si>
  <si>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</si>
  <si>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</si>
  <si>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</si>
  <si>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</si>
  <si>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</si>
  <si>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</si>
  <si>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</si>
  <si>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</si>
  <si>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</si>
  <si>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</si>
  <si>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</si>
  <si>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Changes in assets and liabilities:</t>
  </si>
  <si>
    <t>Cash-Flows Statement</t>
  </si>
  <si>
    <t>Total Liabilities</t>
  </si>
  <si>
    <t>X</t>
  </si>
  <si>
    <t>Total Current Liabilities</t>
  </si>
  <si>
    <t>Common stock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</si>
  <si>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</si>
  <si>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</si>
  <si>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</si>
  <si>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</si>
  <si>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</si>
  <si>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</si>
  <si>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</si>
  <si>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</si>
  <si>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</si>
  <si>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</si>
  <si>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</si>
  <si>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</si>
  <si>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</si>
  <si>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</si>
  <si>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</si>
  <si>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 xml:space="preserve">(+) Share-based Compensation 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</si>
  <si>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</si>
  <si>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</si>
  <si>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</si>
  <si>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</si>
  <si>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</si>
  <si>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</si>
  <si>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</si>
  <si>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</si>
  <si>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</si>
  <si>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</si>
  <si>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</si>
  <si>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</si>
  <si>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</si>
  <si>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</si>
  <si>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</si>
  <si>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</si>
  <si>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Net loss</t>
  </si>
  <si>
    <t>Total liabilities and stockholders' equity</t>
  </si>
  <si>
    <t>Cash-Flows From Operating Activities</t>
  </si>
  <si>
    <t>Net income (loss)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</si>
  <si>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</si>
  <si>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</si>
  <si>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</si>
  <si>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</si>
  <si>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</si>
  <si>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</si>
  <si>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</si>
  <si>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</si>
  <si>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</si>
  <si>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</si>
  <si>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</si>
  <si>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Net Margin (%)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</si>
  <si>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</si>
  <si>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</si>
  <si>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</si>
  <si>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</si>
  <si>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</si>
  <si>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</si>
  <si>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</si>
  <si>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</si>
  <si>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$ mm except per share</t>
  </si>
  <si>
    <t>Income Statement</t>
  </si>
  <si>
    <t xml:space="preserve">Balance Sheet </t>
  </si>
  <si>
    <t>Historical Financials</t>
  </si>
  <si>
    <t>Fiscal Period</t>
  </si>
  <si>
    <t>Fiscal Period End Date</t>
  </si>
  <si>
    <t>Interest Expense</t>
  </si>
  <si>
    <t>Operating Profit</t>
  </si>
  <si>
    <t>Earning Before Taxes</t>
  </si>
  <si>
    <t>EBT Margin (%)</t>
  </si>
  <si>
    <t>Current Assets</t>
  </si>
  <si>
    <t>Non-Current Assets</t>
  </si>
  <si>
    <t>Non-Current Liabilities</t>
  </si>
  <si>
    <t>Unrestricted Cash BOP</t>
  </si>
  <si>
    <t>Property and equipment, net</t>
  </si>
  <si>
    <t>Deferred income taxes</t>
  </si>
  <si>
    <t>Disaggregated Revenues</t>
  </si>
  <si>
    <t>Offerings Drivers</t>
  </si>
  <si>
    <t>Variance Check</t>
  </si>
  <si>
    <t>Basic Shares</t>
  </si>
  <si>
    <t>Cash Position Variance Check</t>
  </si>
  <si>
    <t>(-) General and Administrative (G&amp;A)</t>
  </si>
  <si>
    <t>Marketable Securities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</si>
  <si>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</si>
  <si>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</si>
  <si>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</si>
  <si>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</si>
  <si>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</si>
  <si>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</si>
  <si>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Cash and cash equivalents</t>
  </si>
  <si>
    <t>Other financing activities</t>
  </si>
  <si>
    <t>EOP Restricted Cash Adjustment</t>
  </si>
  <si>
    <t>Income taxes paid</t>
  </si>
  <si>
    <t>Interest paid</t>
  </si>
  <si>
    <t>BOP Restricted Cash Adjustment</t>
  </si>
  <si>
    <t>$ in thousands except per share</t>
  </si>
  <si>
    <t>(-) Amortization of content assets</t>
  </si>
  <si>
    <t>(-) Other Cost of Revenues</t>
  </si>
  <si>
    <t>(-) Marketing</t>
  </si>
  <si>
    <t>(-) Technology and Development (T&amp;D)</t>
  </si>
  <si>
    <t>(+) Depreciation and amortization of PP&amp;E and intangibles</t>
  </si>
  <si>
    <t>(+) Amortization of content assets</t>
  </si>
  <si>
    <t>(+/-) Proceeds / (Purchases) of ST Investments</t>
  </si>
  <si>
    <t>(-) Proceeds From Equity Issuances / (Share Repurchases)</t>
  </si>
  <si>
    <t>(-) 'Proceeds from issuance of Debt / (Repayment), net</t>
  </si>
  <si>
    <t>(+/-) Changes in Additions to content assets</t>
  </si>
  <si>
    <t>(+/-) Changes in Other Financing Activities</t>
  </si>
  <si>
    <t>Content Liabilities</t>
  </si>
  <si>
    <t>Deferred Revenue</t>
  </si>
  <si>
    <t>Summary Debt:</t>
  </si>
  <si>
    <t>CPLTD</t>
  </si>
  <si>
    <t>LTD</t>
  </si>
  <si>
    <t xml:space="preserve">Consolidated Sr. Notes </t>
  </si>
  <si>
    <t xml:space="preserve">$3Bn Commercial Paper Program </t>
  </si>
  <si>
    <t>Property and Equipment, net</t>
  </si>
  <si>
    <t>AT&amp;T Inc. (NASDAQ: T)</t>
  </si>
  <si>
    <t>Equipment</t>
  </si>
  <si>
    <t>Other cost of revenue</t>
  </si>
  <si>
    <t>Selling, General, and Administrative (SG&amp;A)</t>
  </si>
  <si>
    <t>Asset Impairments and Abandonments and Restructuring</t>
  </si>
  <si>
    <t>Depreciation and Amortization (D&amp;A)</t>
  </si>
  <si>
    <t xml:space="preserve">Equity in net income of affiliates	</t>
  </si>
  <si>
    <t>Other income (expense) - net</t>
  </si>
  <si>
    <t xml:space="preserve">Income tax expense on continuing operations	</t>
  </si>
  <si>
    <t xml:space="preserve">Loss from discontinued operations, net of tax	</t>
  </si>
  <si>
    <t xml:space="preserve"> Net Income Attributable to Noncontrolling Interest</t>
  </si>
  <si>
    <t xml:space="preserve">Net Income (Loss) Attributable to AT&amp;T	</t>
  </si>
  <si>
    <t>Preferred Stock Dividends</t>
  </si>
  <si>
    <t>Net Income (Loss) Attributable to Common Stock</t>
  </si>
  <si>
    <t>Basic EPS Attributable to Common Stock</t>
  </si>
  <si>
    <t>Fully Diluted EPS Attributable to Common Stock</t>
  </si>
  <si>
    <t>Accounts Receivable</t>
  </si>
  <si>
    <t>Prepaid and Other Current Assets</t>
  </si>
  <si>
    <t>Goodwill</t>
  </si>
  <si>
    <t xml:space="preserve">Licenses </t>
  </si>
  <si>
    <t>Other Intangible Assets</t>
  </si>
  <si>
    <t>Investments in and Advances to Equity Affiliates</t>
  </si>
  <si>
    <t>Operating Lease Right-Of-Use Assets</t>
  </si>
  <si>
    <t>Other Assets</t>
  </si>
  <si>
    <t>Dividends payable</t>
  </si>
  <si>
    <t>Advanced billings and customer deposits</t>
  </si>
  <si>
    <t>Accounts payable and accrued liabilities</t>
  </si>
  <si>
    <t>Debt maturing within one year</t>
  </si>
  <si>
    <t>Other noncurrent liabilities</t>
  </si>
  <si>
    <t>Operating lease liabilities</t>
  </si>
  <si>
    <t>Postemployment benefit obligation</t>
  </si>
  <si>
    <t>Preferred stock</t>
  </si>
  <si>
    <t xml:space="preserve">Additional paid-in capital	</t>
  </si>
  <si>
    <t xml:space="preserve">Retained earnings (deficit)	</t>
  </si>
  <si>
    <t>Treasury stock</t>
  </si>
  <si>
    <t xml:space="preserve">Accumulated other comprehensive income	</t>
  </si>
  <si>
    <t xml:space="preserve">Total Stockholders' Equity </t>
  </si>
  <si>
    <t xml:space="preserve">Total Common Stockholders' Equity </t>
  </si>
  <si>
    <t>Redeemable Noncontrolling Interest</t>
  </si>
  <si>
    <t>Noncontrolling interest</t>
  </si>
  <si>
    <t>Long-Term Debt</t>
  </si>
  <si>
    <t xml:space="preserve">Note payable to DIRECTV	</t>
  </si>
  <si>
    <t xml:space="preserve">Depreciation and amortization	</t>
  </si>
  <si>
    <t>Provision for uncollectible accounts</t>
  </si>
  <si>
    <t>Deferred income tax expense</t>
  </si>
  <si>
    <t>Net (gain) loss on investments, net of impairments</t>
  </si>
  <si>
    <t>Pension and postretirement benefit expense (credit)</t>
  </si>
  <si>
    <t>Actuarial and settlement (gain) loss on pension and postretirement benefits</t>
  </si>
  <si>
    <t>Asset impairments and abandonments and restructuring</t>
  </si>
  <si>
    <t>Receivables</t>
  </si>
  <si>
    <t xml:space="preserve">Inventories, prepaid and other current assets	</t>
  </si>
  <si>
    <t xml:space="preserve">Accounts payable and other accrued liabilities	</t>
  </si>
  <si>
    <t xml:space="preserve">Equipment installment receivables and related sales	</t>
  </si>
  <si>
    <t xml:space="preserve">Deferred customer contract acquisition and fulfillment costs	</t>
  </si>
  <si>
    <t xml:space="preserve">Postretirement claims and contributions	</t>
  </si>
  <si>
    <t xml:space="preserve">Capital expenditures	</t>
  </si>
  <si>
    <t xml:space="preserve">Acquisitions, net of cash acquired	</t>
  </si>
  <si>
    <t>Dispositions</t>
  </si>
  <si>
    <t xml:space="preserve">Distributions from DIRECTV in excess of cumulative equity in earnings	</t>
  </si>
  <si>
    <t>(Purchases), sales and settlements of securities and investments – net</t>
  </si>
  <si>
    <t xml:space="preserve">Issuance of other short-term borrowings	</t>
  </si>
  <si>
    <t xml:space="preserve">Repayment of other short-term borrowings	</t>
  </si>
  <si>
    <t xml:space="preserve">Issuance of long-term debt	</t>
  </si>
  <si>
    <t xml:space="preserve">Repayment of long-term debt	</t>
  </si>
  <si>
    <t>Note payable to DIRECTV, net of payments</t>
  </si>
  <si>
    <t xml:space="preserve">Payment of vendor financing	</t>
  </si>
  <si>
    <t xml:space="preserve">Purchase of treasury stock	</t>
  </si>
  <si>
    <t xml:space="preserve">Issuance of treasury stock	</t>
  </si>
  <si>
    <t>Issuance of preferred interests in subsidiary</t>
  </si>
  <si>
    <t>Redemption of preferred interests in subsidiary</t>
  </si>
  <si>
    <t xml:space="preserve">Dividends paid	</t>
  </si>
  <si>
    <t>Other investing activities</t>
  </si>
  <si>
    <t>Other Operating activities</t>
  </si>
  <si>
    <t xml:space="preserve">Net change in short-term borrowings </t>
  </si>
  <si>
    <t>BOP  Discontinued Operations Adjustment</t>
  </si>
  <si>
    <t xml:space="preserve">Cash flows from Discontinued Operations:	</t>
  </si>
  <si>
    <t>Cash flows from Discontinued Operations</t>
  </si>
  <si>
    <t xml:space="preserve">Cash (used in) provided by operating activities	</t>
  </si>
  <si>
    <t xml:space="preserve">Cash provided by (used in) investing activities	</t>
  </si>
  <si>
    <t xml:space="preserve">Cash provided by (used in) financing activities	</t>
  </si>
  <si>
    <t>Restricted Cash</t>
  </si>
  <si>
    <t xml:space="preserve">EOP FX Adjustment </t>
  </si>
  <si>
    <t>Service</t>
  </si>
  <si>
    <t>XXX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</si>
</sst>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3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sz val="9"/>
      <color rgb="FF00B03C"/>
      <name val="Calibri"/>
      <family val="2"/>
    </font>
    <font>
      <b/>
      <sz val="9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lightGray"/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68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4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5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5" fontId="8" fillId="4" borderId="0" xfId="0" applyNumberFormat="1" applyFont="1" applyFill="1" applyAlignment="1">
      <alignment horizontal="right" vertical="top" wrapTex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6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166" fontId="7" fillId="0" borderId="0" xfId="1" applyNumberFormat="1" applyFont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6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5" borderId="0" xfId="1" applyNumberFormat="1" applyFont="1" applyFill="1" applyBorder="1" applyAlignment="1">
      <alignment horizontal="right" vertical="center" wrapText="1"/>
    </xf>
    <xf numFmtId="166" fontId="9" fillId="5" borderId="0" xfId="1" applyNumberFormat="1" applyFont="1" applyFill="1" applyBorder="1" applyAlignment="1">
      <alignment horizontal="right" vertical="center" wrapText="1"/>
    </xf>
    <xf numFmtId="168" fontId="9" fillId="5" borderId="0" xfId="1" applyNumberFormat="1" applyFont="1" applyFill="1" applyBorder="1" applyAlignment="1">
      <alignment horizontal="right" vertical="center" wrapText="1"/>
    </xf>
    <xf numFmtId="0" fontId="8" fillId="0" borderId="6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7" xfId="0" applyNumberFormat="1" applyFont="1" applyBorder="1" applyAlignment="1">
      <alignment wrapText="1"/>
    </xf>
    <xf numFmtId="41" fontId="6" fillId="0" borderId="7" xfId="0" applyNumberFormat="1" applyFont="1" applyBorder="1" applyAlignment="1">
      <alignment horizontal="right" vertical="top" wrapText="1"/>
    </xf>
    <xf numFmtId="0" fontId="8" fillId="6" borderId="9" xfId="0" applyFont="1" applyFill="1" applyBorder="1" applyAlignment="1">
      <alignment horizontal="right" vertical="center" wrapText="1"/>
    </xf>
    <xf numFmtId="0" fontId="4" fillId="0" borderId="9" xfId="0" applyFont="1" applyBorder="1"/>
    <xf numFmtId="37" fontId="4" fillId="0" borderId="10" xfId="0" applyNumberFormat="1" applyFont="1" applyBorder="1" applyAlignment="1">
      <alignment wrapText="1"/>
    </xf>
    <xf numFmtId="41" fontId="8" fillId="0" borderId="12" xfId="0" applyNumberFormat="1" applyFont="1" applyBorder="1" applyAlignment="1">
      <alignment horizontal="right"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7" borderId="0" xfId="0" applyFont="1" applyFill="1" applyAlignment="1">
      <alignment vertical="center" wrapText="1"/>
    </xf>
    <xf numFmtId="0" fontId="3" fillId="7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7" borderId="4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 wrapText="1"/>
    </xf>
    <xf numFmtId="0" fontId="2" fillId="8" borderId="0" xfId="0" applyFont="1" applyFill="1" applyAlignment="1">
      <alignment vertical="center" wrapText="1"/>
    </xf>
    <xf numFmtId="0" fontId="2" fillId="8" borderId="4" xfId="0" applyFont="1" applyFill="1" applyBorder="1" applyAlignment="1">
      <alignment horizontal="centerContinuous" vertical="center" wrapText="1"/>
    </xf>
    <xf numFmtId="0" fontId="4" fillId="8" borderId="0" xfId="0" applyFont="1" applyFill="1" applyAlignment="1">
      <alignment wrapText="1"/>
    </xf>
    <xf numFmtId="0" fontId="5" fillId="8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vertical="center" wrapText="1"/>
    </xf>
    <xf numFmtId="0" fontId="5" fillId="8" borderId="0" xfId="0" applyFont="1" applyFill="1" applyAlignment="1">
      <alignment vertical="center" wrapText="1"/>
    </xf>
    <xf numFmtId="14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9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41" fontId="6" fillId="0" borderId="0" xfId="0" applyNumberFormat="1" applyFont="1"/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0" fontId="23" fillId="0" borderId="0" xfId="0" applyFont="1" applyAlignment="1">
      <alignment horizontal="left" wrapText="1"/>
    </xf>
    <xf numFmtId="41" fontId="11" fillId="0" borderId="13" xfId="0" applyNumberFormat="1" applyFont="1" applyBorder="1" applyAlignment="1">
      <alignment horizontal="right" vertical="top" wrapText="1"/>
    </xf>
    <xf numFmtId="41" fontId="7" fillId="0" borderId="9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6" fillId="0" borderId="10" xfId="0" applyNumberFormat="1" applyFont="1" applyBorder="1" applyAlignment="1">
      <alignment horizontal="right" vertical="top" wrapText="1"/>
    </xf>
    <xf numFmtId="41" fontId="8" fillId="0" borderId="10" xfId="0" applyNumberFormat="1" applyFont="1" applyBorder="1" applyAlignment="1">
      <alignment horizontal="right" vertical="top" wrapText="1"/>
    </xf>
    <xf numFmtId="43" fontId="21" fillId="0" borderId="11" xfId="0" applyNumberFormat="1" applyFont="1" applyBorder="1" applyAlignment="1">
      <alignment wrapText="1"/>
    </xf>
    <xf numFmtId="0" fontId="8" fillId="0" borderId="9" xfId="0" applyFont="1" applyBorder="1" applyAlignment="1">
      <alignment horizontal="right" vertical="center" wrapText="1"/>
    </xf>
    <xf numFmtId="0" fontId="27" fillId="0" borderId="8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4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41" fontId="6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23" fillId="0" borderId="3" xfId="0" applyFont="1" applyBorder="1" applyAlignment="1">
      <alignment horizontal="left" wrapText="1"/>
    </xf>
    <xf numFmtId="0" fontId="2" fillId="2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wrapText="1"/>
    </xf>
    <xf numFmtId="0" fontId="8" fillId="0" borderId="0" xfId="0" applyFont="1" applyFill="1" applyBorder="1" applyAlignment="1">
      <alignment vertical="top" wrapText="1"/>
    </xf>
    <xf numFmtId="5" fontId="8" fillId="0" borderId="0" xfId="0" applyNumberFormat="1" applyFont="1" applyFill="1" applyBorder="1" applyAlignment="1">
      <alignment horizontal="right" vertical="top" wrapText="1"/>
    </xf>
    <xf numFmtId="37" fontId="4" fillId="0" borderId="0" xfId="0" applyNumberFormat="1" applyFont="1" applyFill="1" applyAlignment="1">
      <alignment wrapText="1"/>
    </xf>
    <xf numFmtId="41" fontId="6" fillId="0" borderId="0" xfId="0" applyNumberFormat="1" applyFont="1" applyFill="1" applyAlignment="1">
      <alignment horizontal="right" vertical="top" wrapText="1"/>
    </xf>
    <xf numFmtId="0" fontId="15" fillId="0" borderId="0" xfId="0" applyFont="1" applyFill="1"/>
    <xf numFmtId="166" fontId="9" fillId="0" borderId="0" xfId="1" applyNumberFormat="1" applyFont="1" applyFill="1" applyBorder="1" applyAlignment="1">
      <alignment horizontal="right" vertical="center" wrapText="1"/>
    </xf>
    <xf numFmtId="0" fontId="8" fillId="0" borderId="0" xfId="0" applyFont="1" applyFill="1" applyAlignment="1">
      <alignment wrapText="1"/>
    </xf>
    <xf numFmtId="165" fontId="15" fillId="0" borderId="0" xfId="0" applyNumberFormat="1" applyFont="1" applyFill="1" applyAlignment="1">
      <alignment wrapText="1"/>
    </xf>
    <xf numFmtId="41" fontId="8" fillId="0" borderId="2" xfId="0" applyNumberFormat="1" applyFont="1" applyBorder="1" applyAlignment="1">
      <alignment horizontal="right" vertical="top" wrapText="1"/>
    </xf>
    <xf numFmtId="41" fontId="31" fillId="0" borderId="0" xfId="0" applyNumberFormat="1" applyFont="1" applyAlignment="1">
      <alignment horizontal="right" vertical="top" wrapText="1"/>
    </xf>
    <xf numFmtId="5" fontId="8" fillId="6" borderId="2" xfId="0" applyNumberFormat="1" applyFont="1" applyFill="1" applyBorder="1" applyAlignment="1">
      <alignment horizontal="right" vertical="top" wrapText="1"/>
    </xf>
    <xf numFmtId="41" fontId="32" fillId="0" borderId="0" xfId="0" applyNumberFormat="1" applyFont="1" applyAlignment="1">
      <alignment horizontal="right" vertical="top"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I190"/>
  <sheetViews>
    <sheetView showGridLines="0" tabSelected="1" zoomScale="115" zoomScaleNormal="115" workbookViewId="0">
      <selection activeCell="AG55" sqref="AG55"/>
    </sheetView>
  </sheetViews>
  <sheetFormatPr defaultRowHeight="12" outlineLevelCol="2"/>
  <cols>
    <col min="1" max="1" width="1.625" style="5" bestFit="1" customWidth="1"/>
    <col min="2" max="2" width="36.25" style="5" customWidth="1"/>
    <col min="3" max="5" width="9" style="5" bestFit="1" customWidth="1"/>
    <col min="6" max="6" width="1.5" style="5" customWidth="1"/>
    <col min="7" max="10" width="8.875" style="5" customWidth="1" outlineLevel="2"/>
    <col min="11" max="12" width="8.875" style="5" customWidth="1" outlineLevel="1"/>
    <col min="13" max="17" width="8.875" style="5" bestFit="1" customWidth="1"/>
    <col min="18" max="18" width="1.5" style="5" customWidth="1"/>
    <col min="19" max="28" width="8.75" style="5" hidden="1" customWidth="1" outlineLevel="1"/>
    <col min="29" max="29" width="9" style="5" bestFit="1" customWidth="1" collapsed="1"/>
    <col min="30" max="32" width="9" style="5" hidden="1" customWidth="1" outlineLevel="1"/>
    <col min="33" max="33" width="9" style="5" bestFit="1" customWidth="1" collapsed="1"/>
    <col min="34" max="34" width="1.25" style="5" customWidth="1"/>
    <col min="35" max="35" width="8" style="5" bestFit="1" customWidth="1"/>
    <col min="36" max="36" width="1.375" style="5" customWidth="1"/>
    <col min="37" max="16384" width="9" style="5"/>
  </cols>
  <sheetData>
    <row r="2" spans="1:35" ht="12.75" customHeight="1">
      <c r="B2" s="1" t="s">
        <v>130</v>
      </c>
      <c r="C2" s="103"/>
      <c r="D2" s="103"/>
      <c r="E2" s="103"/>
      <c r="F2" s="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3"/>
      <c r="AI2" s="1"/>
    </row>
    <row r="3" spans="1:35" ht="12.75" customHeight="1">
      <c r="B3" s="6" t="s">
        <v>78</v>
      </c>
      <c r="C3" s="7"/>
      <c r="D3" s="7"/>
      <c r="E3" s="7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3"/>
      <c r="AI3" s="1"/>
    </row>
    <row r="4" spans="1:35" ht="12.75" customHeight="1">
      <c r="B4" s="6" t="s">
        <v>75</v>
      </c>
      <c r="C4" s="3"/>
      <c r="D4" s="87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1"/>
    </row>
    <row r="6" spans="1:35" ht="12.75" customHeight="1">
      <c r="A6" s="5" t="s">
        <v>16</v>
      </c>
      <c r="B6" s="1" t="s">
        <v>76</v>
      </c>
      <c r="C6" s="2" t="s">
        <v>0</v>
      </c>
      <c r="D6" s="2"/>
      <c r="E6" s="2"/>
      <c r="F6" s="3"/>
      <c r="G6" s="2" t="s">
        <v>1</v>
      </c>
      <c r="H6" s="2"/>
      <c r="I6" s="2"/>
      <c r="J6" s="2"/>
      <c r="K6" s="2"/>
      <c r="L6" s="2"/>
      <c r="M6" s="2" t="s">
        <v>1</v>
      </c>
      <c r="N6" s="2"/>
      <c r="O6" s="2"/>
      <c r="P6" s="2"/>
      <c r="Q6" s="2"/>
      <c r="R6" s="3"/>
      <c r="S6" s="2"/>
      <c r="T6" s="2"/>
      <c r="U6" s="2"/>
      <c r="V6" s="2"/>
      <c r="W6" s="2"/>
      <c r="X6" s="2"/>
      <c r="Y6" s="2"/>
      <c r="Z6" s="2"/>
      <c r="AA6" s="2"/>
      <c r="AB6" s="2" t="s">
        <v>10</v>
      </c>
      <c r="AC6" s="2" t="s">
        <v>10</v>
      </c>
      <c r="AD6" s="2"/>
      <c r="AE6" s="2"/>
      <c r="AF6" s="2"/>
      <c r="AG6" s="2"/>
      <c r="AH6" s="39"/>
      <c r="AI6" s="151" t="s">
        <v>23</v>
      </c>
    </row>
    <row r="7" spans="1:35" ht="12.75" customHeight="1">
      <c r="B7" s="6" t="s">
        <v>79</v>
      </c>
      <c r="C7" s="7">
        <v>2022</v>
      </c>
      <c r="D7" s="7">
        <v>2023</v>
      </c>
      <c r="E7" s="7">
        <v>2024</v>
      </c>
      <c r="F7" s="3"/>
      <c r="G7" s="4" t="s">
        <v>6</v>
      </c>
      <c r="H7" s="4" t="s">
        <v>7</v>
      </c>
      <c r="I7" s="4" t="s">
        <v>8</v>
      </c>
      <c r="J7" s="4" t="s">
        <v>9</v>
      </c>
      <c r="K7" s="4" t="s">
        <v>2</v>
      </c>
      <c r="L7" s="4" t="s">
        <v>3</v>
      </c>
      <c r="M7" s="4" t="s">
        <v>4</v>
      </c>
      <c r="N7" s="4" t="s">
        <v>5</v>
      </c>
      <c r="O7" s="4" t="s">
        <v>25</v>
      </c>
      <c r="P7" s="4" t="s">
        <v>26</v>
      </c>
      <c r="Q7" s="4" t="s">
        <v>65</v>
      </c>
      <c r="R7" s="3"/>
      <c r="S7" s="4" t="e">
        <f>#REF!</f>
        <v>#REF!</v>
      </c>
      <c r="T7" s="4" t="e">
        <f>#REF!</f>
        <v>#REF!</v>
      </c>
      <c r="U7" s="4" t="e">
        <f>#REF!</f>
        <v>#REF!</v>
      </c>
      <c r="V7" s="4" t="e">
        <f>#REF!</f>
        <v>#REF!</v>
      </c>
      <c r="W7" s="4" t="str">
        <f>G7</f>
        <v>1Q23</v>
      </c>
      <c r="X7" s="4" t="str">
        <f>H7</f>
        <v>2Q23</v>
      </c>
      <c r="Y7" s="4" t="str">
        <f>I7</f>
        <v>3Q23</v>
      </c>
      <c r="Z7" s="4" t="str">
        <f>J7</f>
        <v>4Q23</v>
      </c>
      <c r="AA7" s="4" t="str">
        <f>K7</f>
        <v>1Q24</v>
      </c>
      <c r="AB7" s="4" t="str">
        <f>L7</f>
        <v>2Q24</v>
      </c>
      <c r="AC7" s="4" t="str">
        <f>M7</f>
        <v>3Q24</v>
      </c>
      <c r="AD7" s="4" t="str">
        <f>N7</f>
        <v>4Q24</v>
      </c>
      <c r="AE7" s="4" t="str">
        <f>O7</f>
        <v>1Q25</v>
      </c>
      <c r="AF7" s="4" t="str">
        <f>P7</f>
        <v>2Q25</v>
      </c>
      <c r="AG7" s="4" t="str">
        <f>Q7</f>
        <v>3Q25</v>
      </c>
      <c r="AH7" s="39"/>
      <c r="AI7" s="151"/>
    </row>
    <row r="8" spans="1:35" ht="12.75" customHeight="1">
      <c r="B8" s="6" t="s">
        <v>80</v>
      </c>
      <c r="C8" s="3">
        <v>44926</v>
      </c>
      <c r="D8" s="87">
        <v>45291</v>
      </c>
      <c r="E8" s="3">
        <v>45657</v>
      </c>
      <c r="F8" s="3"/>
      <c r="G8" s="3">
        <v>45016</v>
      </c>
      <c r="H8" s="3">
        <v>45107</v>
      </c>
      <c r="I8" s="3">
        <v>45199</v>
      </c>
      <c r="J8" s="3">
        <f>D8</f>
        <v>45291</v>
      </c>
      <c r="K8" s="3">
        <v>45382</v>
      </c>
      <c r="L8" s="3">
        <v>45473</v>
      </c>
      <c r="M8" s="3">
        <v>45565</v>
      </c>
      <c r="N8" s="3">
        <f>E8</f>
        <v>45657</v>
      </c>
      <c r="O8" s="3">
        <v>45747</v>
      </c>
      <c r="P8" s="3">
        <v>45838</v>
      </c>
      <c r="Q8" s="3">
        <v>45930</v>
      </c>
      <c r="R8" s="3"/>
      <c r="S8" s="3" t="e">
        <f>#REF!</f>
        <v>#REF!</v>
      </c>
      <c r="T8" s="3" t="e">
        <f>#REF!</f>
        <v>#REF!</v>
      </c>
      <c r="U8" s="3" t="e">
        <f>#REF!</f>
        <v>#REF!</v>
      </c>
      <c r="V8" s="3" t="e">
        <f>#REF!</f>
        <v>#REF!</v>
      </c>
      <c r="W8" s="3">
        <f>G8</f>
        <v>45016</v>
      </c>
      <c r="X8" s="3">
        <f>H8</f>
        <v>45107</v>
      </c>
      <c r="Y8" s="3">
        <f>I8</f>
        <v>45199</v>
      </c>
      <c r="Z8" s="3">
        <f>J8</f>
        <v>45291</v>
      </c>
      <c r="AA8" s="3">
        <f>K8</f>
        <v>45382</v>
      </c>
      <c r="AB8" s="3">
        <f>L8</f>
        <v>45473</v>
      </c>
      <c r="AC8" s="3">
        <f>M8</f>
        <v>45565</v>
      </c>
      <c r="AD8" s="3">
        <f>N8</f>
        <v>45657</v>
      </c>
      <c r="AE8" s="3">
        <f>O8</f>
        <v>45747</v>
      </c>
      <c r="AF8" s="3">
        <f>P8</f>
        <v>45838</v>
      </c>
      <c r="AG8" s="3">
        <f>Q8</f>
        <v>45930</v>
      </c>
      <c r="AH8" s="39"/>
      <c r="AI8" s="151"/>
    </row>
    <row r="9" spans="1:35" ht="5.0999999999999996" customHeight="1">
      <c r="AI9" s="102"/>
    </row>
    <row r="10" spans="1:35" ht="12.75" customHeight="1">
      <c r="B10" s="9" t="s">
        <v>60</v>
      </c>
      <c r="C10" s="97">
        <v>120741</v>
      </c>
      <c r="D10" s="97">
        <v>122428</v>
      </c>
      <c r="E10" s="97">
        <v>122336</v>
      </c>
      <c r="F10" s="11"/>
      <c r="G10" s="97">
        <v>30139</v>
      </c>
      <c r="H10" s="97">
        <v>29917</v>
      </c>
      <c r="I10" s="97">
        <v>30350</v>
      </c>
      <c r="J10" s="33">
        <f>SUM(D10-SUM(G10:I10))</f>
        <v>32022</v>
      </c>
      <c r="K10" s="97">
        <v>30028</v>
      </c>
      <c r="L10" s="97">
        <v>29797</v>
      </c>
      <c r="M10" s="97">
        <v>30213</v>
      </c>
      <c r="N10" s="33">
        <f>SUM(E10-SUM(K10:M10))</f>
        <v>32298</v>
      </c>
      <c r="O10" s="84">
        <v>30626</v>
      </c>
      <c r="P10" s="84">
        <v>30847</v>
      </c>
      <c r="Q10" s="84">
        <v>30709</v>
      </c>
      <c r="S10" s="33" t="e">
        <f>SUM(#REF!)</f>
        <v>#REF!</v>
      </c>
      <c r="T10" s="33" t="e">
        <f>SUM(#REF!)</f>
        <v>#REF!</v>
      </c>
      <c r="U10" s="33" t="e">
        <f>SUM(#REF!)</f>
        <v>#REF!</v>
      </c>
      <c r="V10" s="33" t="e">
        <f>SUM(#REF!)</f>
        <v>#REF!</v>
      </c>
      <c r="W10" s="33">
        <f>SUM(G10:G10)</f>
        <v>30139</v>
      </c>
      <c r="X10" s="33">
        <f>SUM(G10:H10)</f>
        <v>60056</v>
      </c>
      <c r="Y10" s="33">
        <f>SUM(G10:I10)</f>
        <v>90406</v>
      </c>
      <c r="Z10" s="33">
        <f>SUM(G10:J10)</f>
        <v>122428</v>
      </c>
      <c r="AA10" s="33">
        <f>SUM(H10:K10)</f>
        <v>122317</v>
      </c>
      <c r="AB10" s="33">
        <f>SUM(I10:L10)</f>
        <v>122197</v>
      </c>
      <c r="AC10" s="33">
        <f>SUM(J10:M10)</f>
        <v>122060</v>
      </c>
      <c r="AD10" s="33">
        <f>SUM(K10:N10)</f>
        <v>122336</v>
      </c>
      <c r="AE10" s="33">
        <f>SUM(L10:O10)</f>
        <v>122934</v>
      </c>
      <c r="AF10" s="33">
        <f>SUM(M10:P10)</f>
        <v>123984</v>
      </c>
      <c r="AG10" s="33">
        <f>SUM(N10:Q10)</f>
        <v>124480</v>
      </c>
      <c r="AH10" s="41"/>
      <c r="AI10" s="12">
        <f>SUM(AG10/AC10)-1</f>
        <v>1.9826314927084976E-2</v>
      </c>
    </row>
    <row r="11" spans="1:35" ht="12.75" customHeight="1">
      <c r="B11" s="13" t="s">
        <v>12</v>
      </c>
      <c r="C11" s="14">
        <f t="shared" ref="C11:E11" si="0">+SUM(C10:C10)</f>
        <v>120741</v>
      </c>
      <c r="D11" s="14">
        <f t="shared" si="0"/>
        <v>122428</v>
      </c>
      <c r="E11" s="14">
        <f t="shared" si="0"/>
        <v>122336</v>
      </c>
      <c r="F11" s="11"/>
      <c r="G11" s="14">
        <f t="shared" ref="G11:P11" si="1">+SUM(G10:G10)</f>
        <v>30139</v>
      </c>
      <c r="H11" s="14">
        <f t="shared" si="1"/>
        <v>29917</v>
      </c>
      <c r="I11" s="14">
        <f t="shared" si="1"/>
        <v>30350</v>
      </c>
      <c r="J11" s="14">
        <f t="shared" si="1"/>
        <v>32022</v>
      </c>
      <c r="K11" s="14">
        <f t="shared" si="1"/>
        <v>30028</v>
      </c>
      <c r="L11" s="14">
        <f t="shared" si="1"/>
        <v>29797</v>
      </c>
      <c r="M11" s="14">
        <f t="shared" si="1"/>
        <v>30213</v>
      </c>
      <c r="N11" s="14">
        <f t="shared" si="1"/>
        <v>32298</v>
      </c>
      <c r="O11" s="14">
        <f t="shared" si="1"/>
        <v>30626</v>
      </c>
      <c r="P11" s="14">
        <f t="shared" si="1"/>
        <v>30847</v>
      </c>
      <c r="Q11" s="14">
        <f>+SUM(Q10:Q10)</f>
        <v>30709</v>
      </c>
      <c r="S11" s="14" t="e">
        <f t="shared" ref="S11:U11" si="2">+SUM(S10:S10)</f>
        <v>#REF!</v>
      </c>
      <c r="T11" s="14" t="e">
        <f t="shared" si="2"/>
        <v>#REF!</v>
      </c>
      <c r="U11" s="14" t="e">
        <f t="shared" si="2"/>
        <v>#REF!</v>
      </c>
      <c r="V11" s="14" t="e">
        <f t="shared" ref="V11:AF11" si="3">+SUM(V10:V10)</f>
        <v>#REF!</v>
      </c>
      <c r="W11" s="14">
        <f t="shared" si="3"/>
        <v>30139</v>
      </c>
      <c r="X11" s="14">
        <f t="shared" si="3"/>
        <v>60056</v>
      </c>
      <c r="Y11" s="14">
        <f t="shared" si="3"/>
        <v>90406</v>
      </c>
      <c r="Z11" s="14">
        <f t="shared" si="3"/>
        <v>122428</v>
      </c>
      <c r="AA11" s="14">
        <f t="shared" si="3"/>
        <v>122317</v>
      </c>
      <c r="AB11" s="14">
        <f t="shared" si="3"/>
        <v>122197</v>
      </c>
      <c r="AC11" s="14">
        <f t="shared" si="3"/>
        <v>122060</v>
      </c>
      <c r="AD11" s="14">
        <f t="shared" si="3"/>
        <v>122336</v>
      </c>
      <c r="AE11" s="14">
        <f t="shared" si="3"/>
        <v>122934</v>
      </c>
      <c r="AF11" s="14">
        <f t="shared" si="3"/>
        <v>123984</v>
      </c>
      <c r="AG11" s="14">
        <f>+SUM(AG10:AG10)</f>
        <v>124480</v>
      </c>
      <c r="AH11" s="41"/>
      <c r="AI11" s="15">
        <f>SUM(AG11/AC11)-1</f>
        <v>1.9826314927084976E-2</v>
      </c>
    </row>
    <row r="12" spans="1:35" s="21" customFormat="1" ht="5.0999999999999996" customHeight="1">
      <c r="B12" s="19"/>
      <c r="C12" s="20"/>
      <c r="D12" s="20"/>
      <c r="E12" s="20"/>
      <c r="G12" s="22"/>
      <c r="H12" s="22"/>
      <c r="I12" s="22"/>
      <c r="J12" s="22"/>
      <c r="K12" s="22"/>
      <c r="L12" s="22"/>
      <c r="M12" s="22"/>
      <c r="N12" s="22"/>
      <c r="O12" s="23"/>
      <c r="P12" s="22"/>
      <c r="Q12" s="22"/>
      <c r="AI12" s="77"/>
    </row>
    <row r="13" spans="1:35" ht="12.75" customHeight="1">
      <c r="B13" s="9" t="s">
        <v>131</v>
      </c>
      <c r="C13" s="84">
        <v>-24009</v>
      </c>
      <c r="D13" s="84">
        <v>-23136</v>
      </c>
      <c r="E13" s="84">
        <v>-22249</v>
      </c>
      <c r="F13" s="25"/>
      <c r="G13" s="97">
        <v>-5658</v>
      </c>
      <c r="H13" s="97">
        <v>-5056</v>
      </c>
      <c r="I13" s="97">
        <v>-5219</v>
      </c>
      <c r="J13" s="33">
        <f>SUM(D13-SUM(G13:I13))</f>
        <v>-7203</v>
      </c>
      <c r="K13" s="97">
        <v>-5143</v>
      </c>
      <c r="L13" s="97">
        <v>-4815</v>
      </c>
      <c r="M13" s="97">
        <v>-4933</v>
      </c>
      <c r="N13" s="33">
        <f>SUM(E13-SUM(K13:M13))</f>
        <v>-7358</v>
      </c>
      <c r="O13" s="97">
        <v>-5694</v>
      </c>
      <c r="P13" s="97">
        <v>-5738</v>
      </c>
      <c r="Q13" s="97">
        <v>-5468</v>
      </c>
      <c r="S13" s="33" t="e">
        <f>SUM(#REF!)</f>
        <v>#REF!</v>
      </c>
      <c r="T13" s="33" t="e">
        <f>SUM(#REF!)</f>
        <v>#REF!</v>
      </c>
      <c r="U13" s="33" t="e">
        <f>SUM(#REF!)</f>
        <v>#REF!</v>
      </c>
      <c r="V13" s="33" t="e">
        <f>SUM(#REF!)</f>
        <v>#REF!</v>
      </c>
      <c r="W13" s="33">
        <f>SUM(G13:G13)</f>
        <v>-5658</v>
      </c>
      <c r="X13" s="33">
        <f>SUM(G13:H13)</f>
        <v>-10714</v>
      </c>
      <c r="Y13" s="33">
        <f>SUM(G13:I13)</f>
        <v>-15933</v>
      </c>
      <c r="Z13" s="33">
        <f>SUM(G13:J13)</f>
        <v>-23136</v>
      </c>
      <c r="AA13" s="33">
        <f>SUM(H13:K13)</f>
        <v>-22621</v>
      </c>
      <c r="AB13" s="33">
        <f>SUM(I13:L13)</f>
        <v>-22380</v>
      </c>
      <c r="AC13" s="33">
        <f>SUM(J13:M13)</f>
        <v>-22094</v>
      </c>
      <c r="AD13" s="33">
        <f>SUM(K13:N13)</f>
        <v>-22249</v>
      </c>
      <c r="AE13" s="33">
        <f>SUM(L13:O13)</f>
        <v>-22800</v>
      </c>
      <c r="AF13" s="33">
        <f>SUM(M13:P13)</f>
        <v>-23723</v>
      </c>
      <c r="AG13" s="33">
        <f>SUM(N13:Q13)</f>
        <v>-24258</v>
      </c>
      <c r="AH13" s="11"/>
      <c r="AI13" s="12">
        <f>SUM(AG13/AC13)-1</f>
        <v>9.7945143477867314E-2</v>
      </c>
    </row>
    <row r="14" spans="1:35" ht="12.75" customHeight="1">
      <c r="B14" s="9" t="s">
        <v>132</v>
      </c>
      <c r="C14" s="84">
        <v>-26839</v>
      </c>
      <c r="D14" s="84">
        <v>-26987</v>
      </c>
      <c r="E14" s="84">
        <v>-26972</v>
      </c>
      <c r="F14" s="25"/>
      <c r="G14" s="97">
        <v>-6673</v>
      </c>
      <c r="H14" s="97">
        <v>-6771</v>
      </c>
      <c r="I14" s="97">
        <v>-6835</v>
      </c>
      <c r="J14" s="33">
        <f>SUM(D14-SUM(G14:I14))</f>
        <v>-6708</v>
      </c>
      <c r="K14" s="97">
        <v>-6811</v>
      </c>
      <c r="L14" s="97">
        <v>-6627</v>
      </c>
      <c r="M14" s="97">
        <v>-6697</v>
      </c>
      <c r="N14" s="33">
        <f>SUM(E14-SUM(K14:M14))</f>
        <v>-6837</v>
      </c>
      <c r="O14" s="97">
        <v>-6339</v>
      </c>
      <c r="P14" s="97">
        <v>-6412</v>
      </c>
      <c r="Q14" s="97">
        <v>-6351</v>
      </c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>
        <f>SUM(J14:M14)</f>
        <v>-26843</v>
      </c>
      <c r="AD14" s="33">
        <f>SUM(K14:N14)</f>
        <v>-26972</v>
      </c>
      <c r="AE14" s="33">
        <f>SUM(L14:O14)</f>
        <v>-26500</v>
      </c>
      <c r="AF14" s="33">
        <f>SUM(M14:P14)</f>
        <v>-26285</v>
      </c>
      <c r="AG14" s="33">
        <f>SUM(N14:Q14)</f>
        <v>-25939</v>
      </c>
      <c r="AH14" s="11"/>
      <c r="AI14" s="12"/>
    </row>
    <row r="15" spans="1:35" ht="12.75" customHeight="1">
      <c r="B15" s="26" t="s">
        <v>21</v>
      </c>
      <c r="C15" s="27">
        <f>+SUM(C11+SUM(C13:C14))</f>
        <v>69893</v>
      </c>
      <c r="D15" s="27">
        <f t="shared" ref="D15:E15" si="4">+SUM(D11+SUM(D13:D14))</f>
        <v>72305</v>
      </c>
      <c r="E15" s="27">
        <f t="shared" si="4"/>
        <v>73115</v>
      </c>
      <c r="G15" s="27">
        <f t="shared" ref="G15" si="5">+SUM(G11+SUM(G13:G14))</f>
        <v>17808</v>
      </c>
      <c r="H15" s="27">
        <f t="shared" ref="H15" si="6">+SUM(H11+SUM(H13:H14))</f>
        <v>18090</v>
      </c>
      <c r="I15" s="27">
        <f t="shared" ref="I15" si="7">+SUM(I11+SUM(I13:I14))</f>
        <v>18296</v>
      </c>
      <c r="J15" s="27">
        <f t="shared" ref="J15" si="8">+SUM(J11+SUM(J13:J14))</f>
        <v>18111</v>
      </c>
      <c r="K15" s="27">
        <f t="shared" ref="K15" si="9">+SUM(K11+SUM(K13:K14))</f>
        <v>18074</v>
      </c>
      <c r="L15" s="27">
        <f t="shared" ref="L15" si="10">+SUM(L11+SUM(L13:L14))</f>
        <v>18355</v>
      </c>
      <c r="M15" s="27">
        <f t="shared" ref="M15" si="11">+SUM(M11+SUM(M13:M14))</f>
        <v>18583</v>
      </c>
      <c r="N15" s="27">
        <f t="shared" ref="N15" si="12">+SUM(N11+SUM(N13:N14))</f>
        <v>18103</v>
      </c>
      <c r="O15" s="27">
        <f t="shared" ref="O15" si="13">+SUM(O11+SUM(O13:O14))</f>
        <v>18593</v>
      </c>
      <c r="P15" s="27">
        <f t="shared" ref="P15" si="14">+SUM(P11+SUM(P13:P14))</f>
        <v>18697</v>
      </c>
      <c r="Q15" s="27">
        <f t="shared" ref="Q15" si="15">+SUM(Q11+SUM(Q13:Q14))</f>
        <v>18890</v>
      </c>
      <c r="S15" s="27" t="e">
        <f>+SUM(S11+SUM(S13:S13))</f>
        <v>#REF!</v>
      </c>
      <c r="T15" s="27" t="e">
        <f>+SUM(T11+SUM(T13:T13))</f>
        <v>#REF!</v>
      </c>
      <c r="U15" s="27" t="e">
        <f>+SUM(U11+SUM(U13:U13))</f>
        <v>#REF!</v>
      </c>
      <c r="V15" s="27" t="e">
        <f>+SUM(V11+SUM(V13:V13))</f>
        <v>#REF!</v>
      </c>
      <c r="W15" s="27">
        <f>+SUM(W11+SUM(W13:W13))</f>
        <v>24481</v>
      </c>
      <c r="X15" s="27">
        <f>+SUM(X11+SUM(X13:X13))</f>
        <v>49342</v>
      </c>
      <c r="Y15" s="27">
        <f>+SUM(Y11+SUM(Y13:Y13))</f>
        <v>74473</v>
      </c>
      <c r="Z15" s="27">
        <f>+SUM(Z11+SUM(Z13:Z13))</f>
        <v>99292</v>
      </c>
      <c r="AA15" s="27">
        <f>+SUM(AA11+SUM(AA13:AA13))</f>
        <v>99696</v>
      </c>
      <c r="AB15" s="27">
        <f>+SUM(AB11+SUM(AB13:AB13))</f>
        <v>99817</v>
      </c>
      <c r="AC15" s="27">
        <f t="shared" ref="AC15" si="16">+SUM(AC11+SUM(AC13:AC14))</f>
        <v>73123</v>
      </c>
      <c r="AD15" s="27">
        <f t="shared" ref="AD15" si="17">+SUM(AD11+SUM(AD13:AD14))</f>
        <v>73115</v>
      </c>
      <c r="AE15" s="27">
        <f t="shared" ref="AE15" si="18">+SUM(AE11+SUM(AE13:AE14))</f>
        <v>73634</v>
      </c>
      <c r="AF15" s="27">
        <f t="shared" ref="AF15" si="19">+SUM(AF11+SUM(AF13:AF14))</f>
        <v>73976</v>
      </c>
      <c r="AG15" s="27">
        <f t="shared" ref="AG15" si="20">+SUM(AG11+SUM(AG13:AG14))</f>
        <v>74283</v>
      </c>
      <c r="AH15" s="43"/>
      <c r="AI15" s="78">
        <f>SUM(AG15/AC15)-1</f>
        <v>1.5863681741722813E-2</v>
      </c>
    </row>
    <row r="16" spans="1:35" ht="12.75" customHeight="1">
      <c r="B16" s="16" t="s">
        <v>30</v>
      </c>
      <c r="C16" s="18">
        <f>C15/C11</f>
        <v>0.57886716194167687</v>
      </c>
      <c r="D16" s="18">
        <f>D15/D11</f>
        <v>0.59059202143300549</v>
      </c>
      <c r="E16" s="18">
        <f>E15/E11</f>
        <v>0.59765727177609207</v>
      </c>
      <c r="F16" s="28"/>
      <c r="G16" s="18">
        <f>G15/G11</f>
        <v>0.59086233783469921</v>
      </c>
      <c r="H16" s="18">
        <f>H15/H11</f>
        <v>0.60467292843533782</v>
      </c>
      <c r="I16" s="18">
        <f>I15/I11</f>
        <v>0.60283360790774299</v>
      </c>
      <c r="J16" s="18">
        <f>J15/J11</f>
        <v>0.5655799138092561</v>
      </c>
      <c r="K16" s="18">
        <f>K15/K11</f>
        <v>0.60190488877048087</v>
      </c>
      <c r="L16" s="18">
        <f>L15/L11</f>
        <v>0.61600161090042627</v>
      </c>
      <c r="M16" s="18">
        <f>M15/M11</f>
        <v>0.61506636216198329</v>
      </c>
      <c r="N16" s="18">
        <f>N15/N11</f>
        <v>0.56049910211158582</v>
      </c>
      <c r="O16" s="18">
        <f>O15/O11</f>
        <v>0.60709854372102134</v>
      </c>
      <c r="P16" s="18">
        <f>P15/P11</f>
        <v>0.6061205303595163</v>
      </c>
      <c r="Q16" s="18">
        <f>Q15/Q11</f>
        <v>0.61512911524308833</v>
      </c>
      <c r="R16" s="29"/>
      <c r="S16" s="18" t="e">
        <f>S15/S11</f>
        <v>#REF!</v>
      </c>
      <c r="T16" s="18" t="e">
        <f>T15/T11</f>
        <v>#REF!</v>
      </c>
      <c r="U16" s="18" t="e">
        <f>U15/U11</f>
        <v>#REF!</v>
      </c>
      <c r="V16" s="18" t="e">
        <f>V15/V11</f>
        <v>#REF!</v>
      </c>
      <c r="W16" s="18">
        <f>W15/W11</f>
        <v>0.81226981651680552</v>
      </c>
      <c r="X16" s="18">
        <f>X15/X11</f>
        <v>0.82159984014919407</v>
      </c>
      <c r="Y16" s="18">
        <f>Y15/Y11</f>
        <v>0.8237616972324846</v>
      </c>
      <c r="Z16" s="18">
        <f>Z15/Z11</f>
        <v>0.8110236220472441</v>
      </c>
      <c r="AA16" s="18">
        <f>AA15/AA11</f>
        <v>0.81506250153290216</v>
      </c>
      <c r="AB16" s="18">
        <f>AB15/AB11</f>
        <v>0.81685311423357365</v>
      </c>
      <c r="AC16" s="18">
        <f>AC15/AC11</f>
        <v>0.59907422579059477</v>
      </c>
      <c r="AD16" s="18">
        <f>AD15/AD11</f>
        <v>0.59765727177609207</v>
      </c>
      <c r="AE16" s="18">
        <f>AE15/AE11</f>
        <v>0.59897180600972877</v>
      </c>
      <c r="AF16" s="18">
        <f>AF15/AF11</f>
        <v>0.59665763324299914</v>
      </c>
      <c r="AG16" s="18">
        <f>AG15/AG11</f>
        <v>0.5967464652956298</v>
      </c>
      <c r="AH16" s="43"/>
      <c r="AI16" s="79">
        <f>SUM(AG16-AC16)*1000</f>
        <v>-2.32776049496497</v>
      </c>
    </row>
    <row r="17" spans="2:35" ht="5.0999999999999996" customHeight="1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31"/>
      <c r="P17" s="31"/>
      <c r="Q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43"/>
      <c r="AI17" s="77"/>
    </row>
    <row r="18" spans="2:35" ht="12.75" customHeight="1">
      <c r="B18" s="9" t="s">
        <v>133</v>
      </c>
      <c r="C18" s="84">
        <v>-28961</v>
      </c>
      <c r="D18" s="84">
        <v>-28874</v>
      </c>
      <c r="E18" s="84">
        <v>-28411</v>
      </c>
      <c r="F18" s="33"/>
      <c r="G18" s="84">
        <v>-7175</v>
      </c>
      <c r="H18" s="84">
        <v>-7009</v>
      </c>
      <c r="I18" s="84">
        <v>-7205</v>
      </c>
      <c r="J18" s="33">
        <f>SUM(D18-SUM(G18:I18))</f>
        <v>-7485</v>
      </c>
      <c r="K18" s="84">
        <v>-7021</v>
      </c>
      <c r="L18" s="84">
        <v>-7043</v>
      </c>
      <c r="M18" s="84">
        <v>-6958</v>
      </c>
      <c r="N18" s="33">
        <f>SUM(E18-SUM(K18:M18))</f>
        <v>-7389</v>
      </c>
      <c r="O18" s="84">
        <v>-7145</v>
      </c>
      <c r="P18" s="84">
        <v>-6945</v>
      </c>
      <c r="Q18" s="84">
        <v>-7454</v>
      </c>
      <c r="S18" s="33" t="e">
        <f>SUM(#REF!)</f>
        <v>#REF!</v>
      </c>
      <c r="T18" s="33" t="e">
        <f>SUM(#REF!)</f>
        <v>#REF!</v>
      </c>
      <c r="U18" s="33" t="e">
        <f>SUM(#REF!)</f>
        <v>#REF!</v>
      </c>
      <c r="V18" s="33" t="e">
        <f>SUM(#REF!)</f>
        <v>#REF!</v>
      </c>
      <c r="W18" s="33">
        <f>SUM(G18:G18)</f>
        <v>-7175</v>
      </c>
      <c r="X18" s="33">
        <f>SUM(G18:H18)</f>
        <v>-14184</v>
      </c>
      <c r="Y18" s="33">
        <f>SUM(G18:I18)</f>
        <v>-21389</v>
      </c>
      <c r="Z18" s="33">
        <f>SUM(G18:J18)</f>
        <v>-28874</v>
      </c>
      <c r="AA18" s="33">
        <f>SUM(H18:K18)</f>
        <v>-28720</v>
      </c>
      <c r="AB18" s="33">
        <f>SUM(I18:L18)</f>
        <v>-28754</v>
      </c>
      <c r="AC18" s="33">
        <f>SUM(J18:M18)</f>
        <v>-28507</v>
      </c>
      <c r="AD18" s="33">
        <f>SUM(K18:N18)</f>
        <v>-28411</v>
      </c>
      <c r="AE18" s="33">
        <f>SUM(L18:O18)</f>
        <v>-28535</v>
      </c>
      <c r="AF18" s="33">
        <f>SUM(M18:P18)</f>
        <v>-28437</v>
      </c>
      <c r="AG18" s="33">
        <f>SUM(N18:Q18)</f>
        <v>-28933</v>
      </c>
      <c r="AH18" s="11"/>
      <c r="AI18" s="77">
        <f>SUM(AG18/AC18)-1</f>
        <v>1.4943698039078024E-2</v>
      </c>
    </row>
    <row r="19" spans="2:35" ht="12.75" customHeight="1">
      <c r="B19" s="9" t="s">
        <v>134</v>
      </c>
      <c r="C19" s="84">
        <v>-27498</v>
      </c>
      <c r="D19" s="84">
        <v>-1193</v>
      </c>
      <c r="E19" s="84">
        <v>-5075</v>
      </c>
      <c r="F19" s="33"/>
      <c r="G19" s="84">
        <v>0</v>
      </c>
      <c r="H19" s="84">
        <v>0</v>
      </c>
      <c r="I19" s="84">
        <v>-604</v>
      </c>
      <c r="J19" s="33">
        <f>SUM(D19-SUM(G19:I19))</f>
        <v>-589</v>
      </c>
      <c r="K19" s="84">
        <v>-159</v>
      </c>
      <c r="L19" s="84">
        <v>-480</v>
      </c>
      <c r="M19" s="84">
        <v>-4422</v>
      </c>
      <c r="N19" s="33">
        <f>SUM(E19-SUM(K19:M19))</f>
        <v>-14</v>
      </c>
      <c r="O19" s="84">
        <v>-504</v>
      </c>
      <c r="P19" s="84">
        <v>0</v>
      </c>
      <c r="Q19" s="84">
        <v>0</v>
      </c>
      <c r="S19" s="33" t="e">
        <f>SUM(#REF!)</f>
        <v>#REF!</v>
      </c>
      <c r="T19" s="33" t="e">
        <f>SUM(#REF!)</f>
        <v>#REF!</v>
      </c>
      <c r="U19" s="33" t="e">
        <f>SUM(#REF!)</f>
        <v>#REF!</v>
      </c>
      <c r="V19" s="33" t="e">
        <f>SUM(#REF!)</f>
        <v>#REF!</v>
      </c>
      <c r="W19" s="33">
        <f>SUM(G19:G19)</f>
        <v>0</v>
      </c>
      <c r="X19" s="33">
        <f>SUM(G19:H19)</f>
        <v>0</v>
      </c>
      <c r="Y19" s="33">
        <f>SUM(G19:I19)</f>
        <v>-604</v>
      </c>
      <c r="Z19" s="33">
        <f>SUM(G19:J19)</f>
        <v>-1193</v>
      </c>
      <c r="AA19" s="33">
        <f>SUM(H19:K19)</f>
        <v>-1352</v>
      </c>
      <c r="AB19" s="33">
        <f>SUM(I19:L19)</f>
        <v>-1832</v>
      </c>
      <c r="AC19" s="33">
        <f>SUM(J19:M19)</f>
        <v>-5650</v>
      </c>
      <c r="AD19" s="33">
        <f>SUM(K19:N19)</f>
        <v>-5075</v>
      </c>
      <c r="AE19" s="33">
        <f>SUM(L19:O19)</f>
        <v>-5420</v>
      </c>
      <c r="AF19" s="33">
        <f>SUM(M19:P19)</f>
        <v>-4940</v>
      </c>
      <c r="AG19" s="33">
        <f>SUM(N19:Q19)</f>
        <v>-518</v>
      </c>
      <c r="AH19" s="11"/>
      <c r="AI19" s="77">
        <f>SUM(AG19/AC19)-1</f>
        <v>-0.90831858407079646</v>
      </c>
    </row>
    <row r="20" spans="2:35" ht="12.75" customHeight="1">
      <c r="B20" s="9" t="s">
        <v>135</v>
      </c>
      <c r="C20" s="84">
        <v>-18021</v>
      </c>
      <c r="D20" s="84">
        <v>-18777</v>
      </c>
      <c r="E20" s="84">
        <v>-20580</v>
      </c>
      <c r="F20" s="33"/>
      <c r="G20" s="84">
        <v>-4631</v>
      </c>
      <c r="H20" s="84">
        <v>-4675</v>
      </c>
      <c r="I20" s="84">
        <v>-4705</v>
      </c>
      <c r="J20" s="33">
        <f>SUM(D20-SUM(G20:I20))</f>
        <v>-4766</v>
      </c>
      <c r="K20" s="84">
        <v>-5047</v>
      </c>
      <c r="L20" s="84">
        <v>-5072</v>
      </c>
      <c r="M20" s="84">
        <v>-5087</v>
      </c>
      <c r="N20" s="33">
        <f>SUM(E20-SUM(K20:M20))</f>
        <v>-5374</v>
      </c>
      <c r="O20" s="84">
        <v>-5190</v>
      </c>
      <c r="P20" s="84">
        <v>-5251</v>
      </c>
      <c r="Q20" s="84">
        <v>-5317</v>
      </c>
      <c r="S20" s="33" t="e">
        <f>SUM(#REF!)</f>
        <v>#REF!</v>
      </c>
      <c r="T20" s="33" t="e">
        <f>SUM(#REF!)</f>
        <v>#REF!</v>
      </c>
      <c r="U20" s="33" t="e">
        <f>SUM(#REF!)</f>
        <v>#REF!</v>
      </c>
      <c r="V20" s="33" t="e">
        <f>SUM(#REF!)</f>
        <v>#REF!</v>
      </c>
      <c r="W20" s="33">
        <f>SUM(G20:G20)</f>
        <v>-4631</v>
      </c>
      <c r="X20" s="33">
        <f>SUM(G20:H20)</f>
        <v>-9306</v>
      </c>
      <c r="Y20" s="33">
        <f>SUM(G20:I20)</f>
        <v>-14011</v>
      </c>
      <c r="Z20" s="33">
        <f>SUM(G20:J20)</f>
        <v>-18777</v>
      </c>
      <c r="AA20" s="33">
        <f>SUM(H20:K20)</f>
        <v>-19193</v>
      </c>
      <c r="AB20" s="33">
        <f>SUM(I20:L20)</f>
        <v>-19590</v>
      </c>
      <c r="AC20" s="33">
        <f>SUM(J20:M20)</f>
        <v>-19972</v>
      </c>
      <c r="AD20" s="33">
        <f>SUM(K20:N20)</f>
        <v>-20580</v>
      </c>
      <c r="AE20" s="33">
        <f>SUM(L20:O20)</f>
        <v>-20723</v>
      </c>
      <c r="AF20" s="33">
        <f>SUM(M20:P20)</f>
        <v>-20902</v>
      </c>
      <c r="AG20" s="33">
        <f>SUM(N20:Q20)</f>
        <v>-21132</v>
      </c>
      <c r="AH20" s="11"/>
      <c r="AI20" s="77">
        <f>SUM(AG20/AC20)-1</f>
        <v>5.8081313839375204E-2</v>
      </c>
    </row>
    <row r="21" spans="2:35" ht="12.75" customHeight="1">
      <c r="B21" s="26" t="s">
        <v>82</v>
      </c>
      <c r="C21" s="27">
        <f t="shared" ref="C21:E21" si="21">+SUM(C15+SUM(C18:C20))</f>
        <v>-4587</v>
      </c>
      <c r="D21" s="27">
        <f t="shared" si="21"/>
        <v>23461</v>
      </c>
      <c r="E21" s="27">
        <f t="shared" si="21"/>
        <v>19049</v>
      </c>
      <c r="F21" s="33"/>
      <c r="G21" s="27">
        <f t="shared" ref="G21:Q21" si="22">+SUM(G15+SUM(G18:G20))</f>
        <v>6002</v>
      </c>
      <c r="H21" s="27">
        <f t="shared" si="22"/>
        <v>6406</v>
      </c>
      <c r="I21" s="27">
        <f t="shared" si="22"/>
        <v>5782</v>
      </c>
      <c r="J21" s="27">
        <f t="shared" si="22"/>
        <v>5271</v>
      </c>
      <c r="K21" s="27">
        <f t="shared" si="22"/>
        <v>5847</v>
      </c>
      <c r="L21" s="27">
        <f t="shared" si="22"/>
        <v>5760</v>
      </c>
      <c r="M21" s="27">
        <f t="shared" si="22"/>
        <v>2116</v>
      </c>
      <c r="N21" s="27">
        <f t="shared" si="22"/>
        <v>5326</v>
      </c>
      <c r="O21" s="27">
        <f t="shared" si="22"/>
        <v>5754</v>
      </c>
      <c r="P21" s="27">
        <f t="shared" si="22"/>
        <v>6501</v>
      </c>
      <c r="Q21" s="27">
        <f t="shared" si="22"/>
        <v>6119</v>
      </c>
      <c r="S21" s="27" t="e">
        <f t="shared" ref="S21:AG21" si="23">+SUM(S15+SUM(S18:S20))</f>
        <v>#REF!</v>
      </c>
      <c r="T21" s="27" t="e">
        <f t="shared" si="23"/>
        <v>#REF!</v>
      </c>
      <c r="U21" s="27" t="e">
        <f t="shared" si="23"/>
        <v>#REF!</v>
      </c>
      <c r="V21" s="27" t="e">
        <f t="shared" si="23"/>
        <v>#REF!</v>
      </c>
      <c r="W21" s="27">
        <f t="shared" si="23"/>
        <v>12675</v>
      </c>
      <c r="X21" s="27">
        <f t="shared" si="23"/>
        <v>25852</v>
      </c>
      <c r="Y21" s="27">
        <f t="shared" si="23"/>
        <v>38469</v>
      </c>
      <c r="Z21" s="27">
        <f t="shared" si="23"/>
        <v>50448</v>
      </c>
      <c r="AA21" s="27">
        <f t="shared" si="23"/>
        <v>50431</v>
      </c>
      <c r="AB21" s="27">
        <f t="shared" si="23"/>
        <v>49641</v>
      </c>
      <c r="AC21" s="27">
        <f t="shared" si="23"/>
        <v>18994</v>
      </c>
      <c r="AD21" s="27">
        <f t="shared" si="23"/>
        <v>19049</v>
      </c>
      <c r="AE21" s="27">
        <f t="shared" si="23"/>
        <v>18956</v>
      </c>
      <c r="AF21" s="27">
        <f t="shared" si="23"/>
        <v>19697</v>
      </c>
      <c r="AG21" s="27">
        <f t="shared" si="23"/>
        <v>23700</v>
      </c>
      <c r="AH21" s="11"/>
      <c r="AI21" s="78">
        <f>SUM(AG21/AC21)-1</f>
        <v>0.24776245130041064</v>
      </c>
    </row>
    <row r="22" spans="2:35" ht="12.75" customHeight="1">
      <c r="B22" s="16" t="s">
        <v>32</v>
      </c>
      <c r="C22" s="18">
        <f>C21/C11</f>
        <v>-3.799040922304768E-2</v>
      </c>
      <c r="D22" s="18">
        <f>D21/D11</f>
        <v>0.19163099944457151</v>
      </c>
      <c r="E22" s="18">
        <f>E21/E11</f>
        <v>0.15571050222338478</v>
      </c>
      <c r="F22" s="33"/>
      <c r="G22" s="18">
        <f>G21/G11</f>
        <v>0.19914396628952519</v>
      </c>
      <c r="H22" s="18">
        <f>H21/H11</f>
        <v>0.21412574790253033</v>
      </c>
      <c r="I22" s="18">
        <f>I21/I11</f>
        <v>0.19051070840197692</v>
      </c>
      <c r="J22" s="18">
        <f>J21/J11</f>
        <v>0.1646055836612329</v>
      </c>
      <c r="K22" s="18">
        <f>K21/K11</f>
        <v>0.19471826295457573</v>
      </c>
      <c r="L22" s="18">
        <f>L21/L11</f>
        <v>0.19330805114608854</v>
      </c>
      <c r="M22" s="18">
        <f>M21/M11</f>
        <v>7.0036077185317583E-2</v>
      </c>
      <c r="N22" s="18">
        <f>N21/N11</f>
        <v>0.16490185150783329</v>
      </c>
      <c r="O22" s="18">
        <f>O21/O11</f>
        <v>0.18787957944230393</v>
      </c>
      <c r="P22" s="18">
        <f>P21/P11</f>
        <v>0.21074982980516743</v>
      </c>
      <c r="Q22" s="18">
        <f>Q21/Q11</f>
        <v>0.19925754664756259</v>
      </c>
      <c r="S22" s="18" t="e">
        <f>S21/S11</f>
        <v>#REF!</v>
      </c>
      <c r="T22" s="18" t="e">
        <f>T21/T11</f>
        <v>#REF!</v>
      </c>
      <c r="U22" s="18" t="e">
        <f>U21/U11</f>
        <v>#REF!</v>
      </c>
      <c r="V22" s="18" t="e">
        <f>V21/V11</f>
        <v>#REF!</v>
      </c>
      <c r="W22" s="18">
        <f>W21/W11</f>
        <v>0.42055144497163144</v>
      </c>
      <c r="X22" s="18">
        <f>X21/X11</f>
        <v>0.43046489942720129</v>
      </c>
      <c r="Y22" s="18">
        <f>Y21/Y11</f>
        <v>0.42551379333230094</v>
      </c>
      <c r="Z22" s="18">
        <f>Z21/Z11</f>
        <v>0.41206260005881007</v>
      </c>
      <c r="AA22" s="18">
        <f>AA21/AA11</f>
        <v>0.41229755471438967</v>
      </c>
      <c r="AB22" s="18">
        <f>AB21/AB11</f>
        <v>0.40623746900496738</v>
      </c>
      <c r="AC22" s="18">
        <f>AC21/AC11</f>
        <v>0.15561199410126167</v>
      </c>
      <c r="AD22" s="18">
        <f>AD21/AD11</f>
        <v>0.15571050222338478</v>
      </c>
      <c r="AE22" s="18">
        <f>AE21/AE11</f>
        <v>0.1541965607561781</v>
      </c>
      <c r="AF22" s="18">
        <f>AF21/AF11</f>
        <v>0.15886727319654148</v>
      </c>
      <c r="AG22" s="18">
        <f>AG21/AG11</f>
        <v>0.19039203084832904</v>
      </c>
      <c r="AH22" s="11"/>
      <c r="AI22" s="79">
        <f>SUM(AG22-AC22)*1000</f>
        <v>34.780036747067363</v>
      </c>
    </row>
    <row r="23" spans="2:35" ht="5.0999999999999996" customHeight="1">
      <c r="B23" s="16"/>
      <c r="C23" s="18"/>
      <c r="D23" s="18"/>
      <c r="E23" s="18"/>
      <c r="F23" s="33"/>
      <c r="G23" s="84"/>
      <c r="H23" s="84"/>
      <c r="I23" s="84"/>
      <c r="J23" s="84"/>
      <c r="K23" s="84"/>
      <c r="L23" s="84"/>
      <c r="M23" s="84"/>
      <c r="N23" s="84"/>
      <c r="O23" s="33"/>
      <c r="P23" s="84"/>
      <c r="Q23" s="84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11"/>
      <c r="AI23" s="77"/>
    </row>
    <row r="24" spans="2:35" ht="12.75" customHeight="1">
      <c r="B24" s="9" t="s">
        <v>81</v>
      </c>
      <c r="C24" s="84">
        <v>-6108</v>
      </c>
      <c r="D24" s="84">
        <v>-6704</v>
      </c>
      <c r="E24" s="84">
        <v>-6759</v>
      </c>
      <c r="F24" s="33"/>
      <c r="G24" s="84">
        <v>-1708</v>
      </c>
      <c r="H24" s="84">
        <v>-1608</v>
      </c>
      <c r="I24" s="84">
        <v>-1662</v>
      </c>
      <c r="J24" s="33">
        <f>SUM(D24-SUM(G24:I24))</f>
        <v>-1726</v>
      </c>
      <c r="K24" s="84">
        <v>-1724</v>
      </c>
      <c r="L24" s="84">
        <v>-1699</v>
      </c>
      <c r="M24" s="84">
        <v>-1675</v>
      </c>
      <c r="N24" s="33">
        <f>SUM(E24-SUM(K24:M24))</f>
        <v>-1661</v>
      </c>
      <c r="O24" s="84">
        <v>-1658</v>
      </c>
      <c r="P24" s="84">
        <v>-1655</v>
      </c>
      <c r="Q24" s="84">
        <v>-1700</v>
      </c>
      <c r="S24" s="33" t="e">
        <f>SUM(#REF!)</f>
        <v>#REF!</v>
      </c>
      <c r="T24" s="33" t="e">
        <f>SUM(#REF!)</f>
        <v>#REF!</v>
      </c>
      <c r="U24" s="33" t="e">
        <f>SUM(#REF!)</f>
        <v>#REF!</v>
      </c>
      <c r="V24" s="33" t="e">
        <f>SUM(#REF!)</f>
        <v>#REF!</v>
      </c>
      <c r="W24" s="33">
        <f>SUM(G24:G24)</f>
        <v>-1708</v>
      </c>
      <c r="X24" s="33">
        <f>SUM(G24:H24)</f>
        <v>-3316</v>
      </c>
      <c r="Y24" s="33">
        <f>SUM(G24:I24)</f>
        <v>-4978</v>
      </c>
      <c r="Z24" s="33">
        <f>SUM(G24:J24)</f>
        <v>-6704</v>
      </c>
      <c r="AA24" s="33">
        <f>SUM(H24:K24)</f>
        <v>-6720</v>
      </c>
      <c r="AB24" s="33">
        <f>SUM(I24:L24)</f>
        <v>-6811</v>
      </c>
      <c r="AC24" s="33">
        <f>SUM(J24:M24)</f>
        <v>-6824</v>
      </c>
      <c r="AD24" s="33">
        <f>SUM(K24:N24)</f>
        <v>-6759</v>
      </c>
      <c r="AE24" s="33">
        <f>SUM(L24:O24)</f>
        <v>-6693</v>
      </c>
      <c r="AF24" s="33">
        <f>SUM(M24:P24)</f>
        <v>-6649</v>
      </c>
      <c r="AG24" s="33">
        <f>SUM(N24:Q24)</f>
        <v>-6674</v>
      </c>
      <c r="AH24" s="11"/>
      <c r="AI24" s="77">
        <f>SUM(AG24/AC24)-1</f>
        <v>-2.1981242672919121E-2</v>
      </c>
    </row>
    <row r="25" spans="2:35" ht="12.75" customHeight="1">
      <c r="B25" s="9" t="s">
        <v>136</v>
      </c>
      <c r="C25" s="84">
        <v>1791</v>
      </c>
      <c r="D25" s="84">
        <v>1675</v>
      </c>
      <c r="E25" s="84">
        <v>1989</v>
      </c>
      <c r="F25" s="33"/>
      <c r="G25" s="97">
        <v>538</v>
      </c>
      <c r="H25" s="97">
        <v>380</v>
      </c>
      <c r="I25" s="97">
        <v>420</v>
      </c>
      <c r="J25" s="33">
        <f>SUM(D25-SUM(G25:I25))</f>
        <v>337</v>
      </c>
      <c r="K25" s="97">
        <v>295</v>
      </c>
      <c r="L25" s="97">
        <v>348</v>
      </c>
      <c r="M25" s="97">
        <v>272</v>
      </c>
      <c r="N25" s="33">
        <f>SUM(E25-SUM(K25:M25))</f>
        <v>1074</v>
      </c>
      <c r="O25" s="84">
        <v>1440</v>
      </c>
      <c r="P25" s="84">
        <v>485</v>
      </c>
      <c r="Q25" s="84">
        <v>-20</v>
      </c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>
        <f t="shared" ref="AC25:AG25" si="24">SUM(J25:M25)</f>
        <v>1252</v>
      </c>
      <c r="AD25" s="33">
        <f t="shared" si="24"/>
        <v>1989</v>
      </c>
      <c r="AE25" s="33">
        <f t="shared" si="24"/>
        <v>3134</v>
      </c>
      <c r="AF25" s="33">
        <f t="shared" si="24"/>
        <v>3271</v>
      </c>
      <c r="AG25" s="33">
        <f t="shared" si="24"/>
        <v>2979</v>
      </c>
      <c r="AH25" s="11"/>
      <c r="AI25" s="77"/>
    </row>
    <row r="26" spans="2:35" ht="12.75" customHeight="1">
      <c r="B26" s="9" t="s">
        <v>137</v>
      </c>
      <c r="C26" s="84">
        <v>5810</v>
      </c>
      <c r="D26" s="84">
        <v>1416</v>
      </c>
      <c r="E26" s="84">
        <v>2419</v>
      </c>
      <c r="F26" s="33"/>
      <c r="G26" s="97">
        <v>935</v>
      </c>
      <c r="H26" s="97">
        <v>987</v>
      </c>
      <c r="I26" s="97">
        <v>440</v>
      </c>
      <c r="J26" s="33">
        <f>SUM(D26-SUM(G26:I26))</f>
        <v>-946</v>
      </c>
      <c r="K26" s="97">
        <v>451</v>
      </c>
      <c r="L26" s="97">
        <v>682</v>
      </c>
      <c r="M26" s="97">
        <v>717</v>
      </c>
      <c r="N26" s="33">
        <f>SUM(E26-SUM(K26:M26))</f>
        <v>569</v>
      </c>
      <c r="O26" s="84">
        <v>455</v>
      </c>
      <c r="P26" s="84">
        <v>767</v>
      </c>
      <c r="Q26" s="84">
        <v>6214</v>
      </c>
      <c r="S26" s="33" t="e">
        <f>SUM(#REF!)</f>
        <v>#REF!</v>
      </c>
      <c r="T26" s="33" t="e">
        <f>SUM(#REF!)</f>
        <v>#REF!</v>
      </c>
      <c r="U26" s="33" t="e">
        <f>SUM(#REF!)</f>
        <v>#REF!</v>
      </c>
      <c r="V26" s="33" t="e">
        <f>SUM(#REF!)</f>
        <v>#REF!</v>
      </c>
      <c r="W26" s="33">
        <f>SUM(G26:G26)</f>
        <v>935</v>
      </c>
      <c r="X26" s="33">
        <f>SUM(G26:H26)</f>
        <v>1922</v>
      </c>
      <c r="Y26" s="33">
        <f>SUM(G26:I26)</f>
        <v>2362</v>
      </c>
      <c r="Z26" s="33">
        <f>SUM(G26:J26)</f>
        <v>1416</v>
      </c>
      <c r="AA26" s="33">
        <f>SUM(H26:K26)</f>
        <v>932</v>
      </c>
      <c r="AB26" s="33">
        <f>SUM(I26:L26)</f>
        <v>627</v>
      </c>
      <c r="AC26" s="33">
        <f>SUM(J26:M26)</f>
        <v>904</v>
      </c>
      <c r="AD26" s="33">
        <f>SUM(K26:N26)</f>
        <v>2419</v>
      </c>
      <c r="AE26" s="33">
        <f>SUM(L26:O26)</f>
        <v>2423</v>
      </c>
      <c r="AF26" s="33">
        <f>SUM(M26:P26)</f>
        <v>2508</v>
      </c>
      <c r="AG26" s="33">
        <f>SUM(N26:Q26)</f>
        <v>8005</v>
      </c>
      <c r="AH26" s="11"/>
      <c r="AI26" s="77">
        <f>SUM(AG26/AC26)-1</f>
        <v>7.855088495575222</v>
      </c>
    </row>
    <row r="27" spans="2:35" ht="12.75" customHeight="1">
      <c r="B27" s="26" t="s">
        <v>83</v>
      </c>
      <c r="C27" s="27">
        <f>SUM(C21+SUM(C24:C26))</f>
        <v>-3094</v>
      </c>
      <c r="D27" s="27">
        <f>SUM(D21+SUM(D24:D26))</f>
        <v>19848</v>
      </c>
      <c r="E27" s="27">
        <f>SUM(E21+SUM(E24:E26))</f>
        <v>16698</v>
      </c>
      <c r="G27" s="27">
        <f>SUM(G21+SUM(G24:G26))</f>
        <v>5767</v>
      </c>
      <c r="H27" s="27">
        <f>SUM(H21+SUM(H24:H26))</f>
        <v>6165</v>
      </c>
      <c r="I27" s="27">
        <f>SUM(I21+SUM(I24:I26))</f>
        <v>4980</v>
      </c>
      <c r="J27" s="27">
        <f>SUM(J21+SUM(J24:J26))</f>
        <v>2936</v>
      </c>
      <c r="K27" s="27">
        <f>SUM(K21+SUM(K24:K26))</f>
        <v>4869</v>
      </c>
      <c r="L27" s="27">
        <f>SUM(L21+SUM(L24:L26))</f>
        <v>5091</v>
      </c>
      <c r="M27" s="27">
        <f>SUM(M21+SUM(M24:M26))</f>
        <v>1430</v>
      </c>
      <c r="N27" s="27">
        <f>SUM(N21+SUM(N24:N26))</f>
        <v>5308</v>
      </c>
      <c r="O27" s="27">
        <f>SUM(O21+SUM(O24:O26))</f>
        <v>5991</v>
      </c>
      <c r="P27" s="27">
        <f>SUM(P21+SUM(P24:P26))</f>
        <v>6098</v>
      </c>
      <c r="Q27" s="27">
        <f>SUM(Q21+SUM(Q24:Q26))</f>
        <v>10613</v>
      </c>
      <c r="S27" s="27" t="e">
        <f>SUM(S21+SUM(S24:S26))</f>
        <v>#REF!</v>
      </c>
      <c r="T27" s="27" t="e">
        <f>SUM(T21+SUM(T24:T26))</f>
        <v>#REF!</v>
      </c>
      <c r="U27" s="27" t="e">
        <f>SUM(U21+SUM(U24:U26))</f>
        <v>#REF!</v>
      </c>
      <c r="V27" s="27" t="e">
        <f>SUM(V21+SUM(V24:V26))</f>
        <v>#REF!</v>
      </c>
      <c r="W27" s="27">
        <f>SUM(W21+SUM(W24:W26))</f>
        <v>11902</v>
      </c>
      <c r="X27" s="27">
        <f>SUM(X21+SUM(X24:X26))</f>
        <v>24458</v>
      </c>
      <c r="Y27" s="27">
        <f>SUM(Y21+SUM(Y24:Y26))</f>
        <v>35853</v>
      </c>
      <c r="Z27" s="27">
        <f>SUM(Z21+SUM(Z24:Z26))</f>
        <v>45160</v>
      </c>
      <c r="AA27" s="27">
        <f>SUM(AA21+SUM(AA24:AA26))</f>
        <v>44643</v>
      </c>
      <c r="AB27" s="27">
        <f>SUM(AB21+SUM(AB24:AB26))</f>
        <v>43457</v>
      </c>
      <c r="AC27" s="27">
        <f>SUM(AC21+SUM(AC24:AC26))</f>
        <v>14326</v>
      </c>
      <c r="AD27" s="27">
        <f>SUM(AD21+SUM(AD24:AD26))</f>
        <v>16698</v>
      </c>
      <c r="AE27" s="27">
        <f>SUM(AE21+SUM(AE24:AE26))</f>
        <v>17820</v>
      </c>
      <c r="AF27" s="27">
        <f>SUM(AF21+SUM(AF24:AF26))</f>
        <v>18827</v>
      </c>
      <c r="AG27" s="27">
        <f>SUM(AG21+SUM(AG24:AG26))</f>
        <v>28010</v>
      </c>
      <c r="AH27" s="43"/>
      <c r="AI27" s="78">
        <f>SUM(AG27/AC27)-1</f>
        <v>0.95518637442412402</v>
      </c>
    </row>
    <row r="28" spans="2:35" ht="12.75" customHeight="1">
      <c r="B28" s="16" t="s">
        <v>84</v>
      </c>
      <c r="C28" s="18">
        <f>C27/C11</f>
        <v>-2.5625098351015809E-2</v>
      </c>
      <c r="D28" s="18">
        <f>D27/D11</f>
        <v>0.16211977652171072</v>
      </c>
      <c r="E28" s="18">
        <f>E27/E11</f>
        <v>0.13649293748365157</v>
      </c>
      <c r="F28" s="28"/>
      <c r="G28" s="18">
        <f>G27/G11</f>
        <v>0.19134676001194464</v>
      </c>
      <c r="H28" s="18">
        <f>H27/H11</f>
        <v>0.20607012735234148</v>
      </c>
      <c r="I28" s="18">
        <f>I27/I11</f>
        <v>0.16408566721581549</v>
      </c>
      <c r="J28" s="18">
        <f>J27/J11</f>
        <v>9.1686965211417157E-2</v>
      </c>
      <c r="K28" s="18">
        <f>K27/K11</f>
        <v>0.16214866124950048</v>
      </c>
      <c r="L28" s="18">
        <f>L27/L11</f>
        <v>0.17085612645568346</v>
      </c>
      <c r="M28" s="18">
        <f>M27/M11</f>
        <v>4.7330619269850729E-2</v>
      </c>
      <c r="N28" s="18">
        <f>N27/N11</f>
        <v>0.16434454145767541</v>
      </c>
      <c r="O28" s="18">
        <f>O27/O11</f>
        <v>0.19561810226604845</v>
      </c>
      <c r="P28" s="18">
        <f>P27/P11</f>
        <v>0.19768535027717443</v>
      </c>
      <c r="Q28" s="18">
        <f>Q27/Q11</f>
        <v>0.34559901006219673</v>
      </c>
      <c r="R28" s="29"/>
      <c r="S28" s="18" t="e">
        <f>S27/S11</f>
        <v>#REF!</v>
      </c>
      <c r="T28" s="18" t="e">
        <f>T27/T11</f>
        <v>#REF!</v>
      </c>
      <c r="U28" s="18" t="e">
        <f>U27/U11</f>
        <v>#REF!</v>
      </c>
      <c r="V28" s="18" t="e">
        <f>V27/V11</f>
        <v>#REF!</v>
      </c>
      <c r="W28" s="18">
        <f>W27/W11</f>
        <v>0.39490361325856865</v>
      </c>
      <c r="X28" s="18">
        <f>X27/X11</f>
        <v>0.40725323031836952</v>
      </c>
      <c r="Y28" s="18">
        <f>Y27/Y11</f>
        <v>0.39657766077472734</v>
      </c>
      <c r="Z28" s="18">
        <f>Z27/Z11</f>
        <v>0.36886986637043812</v>
      </c>
      <c r="AA28" s="18">
        <f>AA27/AA11</f>
        <v>0.36497788533073899</v>
      </c>
      <c r="AB28" s="18">
        <f>AB27/AB11</f>
        <v>0.35563066196387799</v>
      </c>
      <c r="AC28" s="18">
        <f>AC27/AC11</f>
        <v>0.11736850729149599</v>
      </c>
      <c r="AD28" s="18">
        <f>AD27/AD11</f>
        <v>0.13649293748365157</v>
      </c>
      <c r="AE28" s="18">
        <f>AE27/AE11</f>
        <v>0.1449558299575382</v>
      </c>
      <c r="AF28" s="18">
        <f>AF27/AF11</f>
        <v>0.15185023874048265</v>
      </c>
      <c r="AG28" s="18">
        <f>AG27/AG11</f>
        <v>0.22501606683804629</v>
      </c>
      <c r="AH28" s="44"/>
      <c r="AI28" s="79">
        <f>SUM(AG28-AC28)*1000</f>
        <v>107.6475595465503</v>
      </c>
    </row>
    <row r="29" spans="2:35" ht="5.0999999999999996" customHeight="1">
      <c r="B29" s="30"/>
      <c r="C29" s="45"/>
      <c r="D29" s="45"/>
      <c r="E29" s="45"/>
      <c r="F29" s="31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45"/>
      <c r="AE29" s="45"/>
      <c r="AF29" s="45"/>
      <c r="AG29" s="45"/>
      <c r="AH29" s="44"/>
      <c r="AI29" s="77"/>
    </row>
    <row r="30" spans="2:35">
      <c r="B30" s="46" t="s">
        <v>138</v>
      </c>
      <c r="C30" s="84">
        <v>-3780</v>
      </c>
      <c r="D30" s="84">
        <v>-4225</v>
      </c>
      <c r="E30" s="84">
        <v>-4445</v>
      </c>
      <c r="F30" s="31"/>
      <c r="G30" s="84">
        <v>-1314</v>
      </c>
      <c r="H30" s="84">
        <v>-1403</v>
      </c>
      <c r="I30" s="84">
        <v>-1154</v>
      </c>
      <c r="J30" s="33">
        <f>SUM(D30-SUM(G30:I30))</f>
        <v>-354</v>
      </c>
      <c r="K30" s="84">
        <v>-1118</v>
      </c>
      <c r="L30" s="84">
        <v>-1142</v>
      </c>
      <c r="M30" s="84">
        <v>-1285</v>
      </c>
      <c r="N30" s="33">
        <f>SUM(E30-SUM(K30:M30))</f>
        <v>-900</v>
      </c>
      <c r="O30" s="84">
        <v>-1299</v>
      </c>
      <c r="P30" s="84">
        <v>-1237</v>
      </c>
      <c r="Q30" s="84">
        <v>-976</v>
      </c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33">
        <f>SUM(J30:M30)</f>
        <v>-3899</v>
      </c>
      <c r="AD30" s="33">
        <f>SUM(K30:N30)</f>
        <v>-4445</v>
      </c>
      <c r="AE30" s="33">
        <f>SUM(L30:O30)</f>
        <v>-4626</v>
      </c>
      <c r="AF30" s="33">
        <f>SUM(M30:P30)</f>
        <v>-4721</v>
      </c>
      <c r="AG30" s="33">
        <f>SUM(N30:Q30)</f>
        <v>-4412</v>
      </c>
      <c r="AH30" s="44"/>
      <c r="AI30" s="77"/>
    </row>
    <row r="31" spans="2:35" ht="12.75" customHeight="1">
      <c r="B31" s="46" t="s">
        <v>139</v>
      </c>
      <c r="C31" s="84">
        <v>-181</v>
      </c>
      <c r="D31" s="84">
        <v>0</v>
      </c>
      <c r="E31" s="84">
        <v>0</v>
      </c>
      <c r="F31" s="33"/>
      <c r="G31" s="84">
        <v>0</v>
      </c>
      <c r="H31" s="84">
        <v>0</v>
      </c>
      <c r="I31" s="84">
        <v>0</v>
      </c>
      <c r="J31" s="33">
        <f>SUM(D31-SUM(G31:I31))</f>
        <v>0</v>
      </c>
      <c r="K31" s="84">
        <v>0</v>
      </c>
      <c r="L31" s="84">
        <v>0</v>
      </c>
      <c r="M31" s="84">
        <v>0</v>
      </c>
      <c r="N31" s="33">
        <f>SUM(E31-SUM(K31:M31))</f>
        <v>0</v>
      </c>
      <c r="O31" s="84">
        <v>0</v>
      </c>
      <c r="P31" s="84">
        <v>0</v>
      </c>
      <c r="Q31" s="84">
        <v>0</v>
      </c>
      <c r="R31" s="33"/>
      <c r="S31" s="33" t="e">
        <f>SUM(#REF!)</f>
        <v>#REF!</v>
      </c>
      <c r="T31" s="33" t="e">
        <f>SUM(#REF!)</f>
        <v>#REF!</v>
      </c>
      <c r="U31" s="33" t="e">
        <f>SUM(#REF!)</f>
        <v>#REF!</v>
      </c>
      <c r="V31" s="33" t="e">
        <f>SUM(#REF!)</f>
        <v>#REF!</v>
      </c>
      <c r="W31" s="33">
        <f>SUM(G31:G31)</f>
        <v>0</v>
      </c>
      <c r="X31" s="33">
        <f>SUM(G31:H31)</f>
        <v>0</v>
      </c>
      <c r="Y31" s="33">
        <f>SUM(G31:I31)</f>
        <v>0</v>
      </c>
      <c r="Z31" s="33">
        <f>SUM(G31:J31)</f>
        <v>0</v>
      </c>
      <c r="AA31" s="33">
        <f>SUM(H31:K31)</f>
        <v>0</v>
      </c>
      <c r="AB31" s="33">
        <f>SUM(I31:L31)</f>
        <v>0</v>
      </c>
      <c r="AC31" s="33">
        <f>SUM(J31:M31)</f>
        <v>0</v>
      </c>
      <c r="AD31" s="33">
        <f>SUM(K31:N31)</f>
        <v>0</v>
      </c>
      <c r="AE31" s="33">
        <f>SUM(L31:O31)</f>
        <v>0</v>
      </c>
      <c r="AF31" s="33">
        <f>SUM(M31:P31)</f>
        <v>0</v>
      </c>
      <c r="AG31" s="33">
        <f>SUM(N31:Q31)</f>
        <v>0</v>
      </c>
      <c r="AH31" s="44"/>
      <c r="AI31" s="77" t="e">
        <f>SUM(AG31/AC31)-1</f>
        <v>#DIV/0!</v>
      </c>
    </row>
    <row r="32" spans="2:35" ht="12.75" customHeight="1">
      <c r="B32" s="13" t="s">
        <v>51</v>
      </c>
      <c r="C32" s="14">
        <f>SUM(C27+SUM(C30:C31))</f>
        <v>-7055</v>
      </c>
      <c r="D32" s="14">
        <f>SUM(D27+SUM(D30:D31))</f>
        <v>15623</v>
      </c>
      <c r="E32" s="14">
        <f>SUM(E27+SUM(E30:E31))</f>
        <v>12253</v>
      </c>
      <c r="F32" s="11"/>
      <c r="G32" s="14">
        <f t="shared" ref="G32:Q32" si="25">SUM(G27+SUM(G30:G31))</f>
        <v>4453</v>
      </c>
      <c r="H32" s="14">
        <f t="shared" si="25"/>
        <v>4762</v>
      </c>
      <c r="I32" s="14">
        <f t="shared" si="25"/>
        <v>3826</v>
      </c>
      <c r="J32" s="14">
        <f t="shared" si="25"/>
        <v>2582</v>
      </c>
      <c r="K32" s="14">
        <f t="shared" si="25"/>
        <v>3751</v>
      </c>
      <c r="L32" s="14">
        <f t="shared" si="25"/>
        <v>3949</v>
      </c>
      <c r="M32" s="14">
        <f t="shared" si="25"/>
        <v>145</v>
      </c>
      <c r="N32" s="14">
        <f t="shared" si="25"/>
        <v>4408</v>
      </c>
      <c r="O32" s="14">
        <f t="shared" si="25"/>
        <v>4692</v>
      </c>
      <c r="P32" s="14">
        <f t="shared" si="25"/>
        <v>4861</v>
      </c>
      <c r="Q32" s="14">
        <f t="shared" si="25"/>
        <v>9637</v>
      </c>
      <c r="R32" s="33"/>
      <c r="S32" s="14" t="e">
        <f t="shared" ref="S32:AF32" si="26">SUM(S27+SUM(S31:S31))</f>
        <v>#REF!</v>
      </c>
      <c r="T32" s="14" t="e">
        <f t="shared" si="26"/>
        <v>#REF!</v>
      </c>
      <c r="U32" s="14" t="e">
        <f t="shared" si="26"/>
        <v>#REF!</v>
      </c>
      <c r="V32" s="14" t="e">
        <f t="shared" si="26"/>
        <v>#REF!</v>
      </c>
      <c r="W32" s="14">
        <f t="shared" si="26"/>
        <v>11902</v>
      </c>
      <c r="X32" s="14">
        <f t="shared" si="26"/>
        <v>24458</v>
      </c>
      <c r="Y32" s="14">
        <f t="shared" si="26"/>
        <v>35853</v>
      </c>
      <c r="Z32" s="14">
        <f t="shared" si="26"/>
        <v>45160</v>
      </c>
      <c r="AA32" s="14">
        <f t="shared" si="26"/>
        <v>44643</v>
      </c>
      <c r="AB32" s="14">
        <f t="shared" si="26"/>
        <v>43457</v>
      </c>
      <c r="AC32" s="14">
        <f>SUM(AC27+SUM(AC30:AC31))</f>
        <v>10427</v>
      </c>
      <c r="AD32" s="14">
        <f t="shared" si="26"/>
        <v>16698</v>
      </c>
      <c r="AE32" s="14">
        <f t="shared" si="26"/>
        <v>17820</v>
      </c>
      <c r="AF32" s="14">
        <f t="shared" si="26"/>
        <v>18827</v>
      </c>
      <c r="AG32" s="14">
        <f>SUM(AG27+SUM(AG30:AG31))</f>
        <v>23598</v>
      </c>
      <c r="AH32" s="37"/>
      <c r="AI32" s="78">
        <f>SUM(AG32/AC32)-1</f>
        <v>1.2631629423611779</v>
      </c>
    </row>
    <row r="33" spans="1:35" s="155" customFormat="1" ht="5.0999999999999996" customHeight="1">
      <c r="B33" s="156"/>
      <c r="C33" s="157"/>
      <c r="D33" s="157"/>
      <c r="E33" s="157"/>
      <c r="F33" s="158"/>
      <c r="G33" s="157"/>
      <c r="H33" s="157"/>
      <c r="I33" s="157"/>
      <c r="J33" s="157"/>
      <c r="K33" s="157"/>
      <c r="L33" s="157"/>
      <c r="M33" s="157"/>
      <c r="N33" s="157"/>
      <c r="O33" s="157"/>
      <c r="P33" s="157"/>
      <c r="Q33" s="157"/>
      <c r="R33" s="159"/>
      <c r="S33" s="157"/>
      <c r="T33" s="157"/>
      <c r="U33" s="157"/>
      <c r="V33" s="157"/>
      <c r="W33" s="157"/>
      <c r="X33" s="157"/>
      <c r="Y33" s="157"/>
      <c r="Z33" s="157"/>
      <c r="AA33" s="157"/>
      <c r="AB33" s="157"/>
      <c r="AC33" s="157"/>
      <c r="AD33" s="157"/>
      <c r="AE33" s="157"/>
      <c r="AF33" s="157"/>
      <c r="AG33" s="157"/>
      <c r="AH33" s="160"/>
      <c r="AI33" s="161"/>
    </row>
    <row r="34" spans="1:35" s="155" customFormat="1" ht="12.75" customHeight="1">
      <c r="B34" s="46" t="s">
        <v>140</v>
      </c>
      <c r="C34" s="84">
        <v>-1469</v>
      </c>
      <c r="D34" s="84">
        <v>-1223</v>
      </c>
      <c r="E34" s="84">
        <v>-1305</v>
      </c>
      <c r="F34" s="158"/>
      <c r="G34" s="84">
        <v>-225</v>
      </c>
      <c r="H34" s="84">
        <v>-273</v>
      </c>
      <c r="I34" s="84">
        <v>-331</v>
      </c>
      <c r="J34" s="33">
        <f>SUM(D34-SUM(G34:I34))</f>
        <v>-394</v>
      </c>
      <c r="K34" s="84">
        <v>-306</v>
      </c>
      <c r="L34" s="84">
        <v>-352</v>
      </c>
      <c r="M34" s="84">
        <v>-319</v>
      </c>
      <c r="N34" s="33">
        <f>SUM(E34-SUM(K34:M34))</f>
        <v>-328</v>
      </c>
      <c r="O34" s="84">
        <v>-341</v>
      </c>
      <c r="P34" s="84">
        <v>-361</v>
      </c>
      <c r="Q34" s="84">
        <v>-363</v>
      </c>
      <c r="R34" s="159"/>
      <c r="S34" s="157"/>
      <c r="T34" s="157"/>
      <c r="U34" s="157"/>
      <c r="V34" s="157"/>
      <c r="W34" s="157"/>
      <c r="X34" s="157"/>
      <c r="Y34" s="157"/>
      <c r="Z34" s="157"/>
      <c r="AA34" s="157"/>
      <c r="AB34" s="157"/>
      <c r="AC34" s="33">
        <f>SUM(J34:M34)</f>
        <v>-1371</v>
      </c>
      <c r="AD34" s="33">
        <f>SUM(K34:N34)</f>
        <v>-1305</v>
      </c>
      <c r="AE34" s="33">
        <f>SUM(L34:O34)</f>
        <v>-1340</v>
      </c>
      <c r="AF34" s="33">
        <f>SUM(M34:P34)</f>
        <v>-1349</v>
      </c>
      <c r="AG34" s="33">
        <f>SUM(N34:Q34)</f>
        <v>-1393</v>
      </c>
      <c r="AH34" s="160"/>
      <c r="AI34" s="161"/>
    </row>
    <row r="35" spans="1:35" s="155" customFormat="1" ht="12.75" customHeight="1">
      <c r="B35" s="13" t="s">
        <v>141</v>
      </c>
      <c r="C35" s="14">
        <f>SUM(C32,C34)</f>
        <v>-8524</v>
      </c>
      <c r="D35" s="14">
        <f t="shared" ref="D35:E35" si="27">SUM(D32,D34)</f>
        <v>14400</v>
      </c>
      <c r="E35" s="14">
        <f t="shared" si="27"/>
        <v>10948</v>
      </c>
      <c r="F35" s="158"/>
      <c r="G35" s="14">
        <f t="shared" ref="G35" si="28">SUM(G32,G34)</f>
        <v>4228</v>
      </c>
      <c r="H35" s="14">
        <f t="shared" ref="H35" si="29">SUM(H32,H34)</f>
        <v>4489</v>
      </c>
      <c r="I35" s="14">
        <f t="shared" ref="I35" si="30">SUM(I32,I34)</f>
        <v>3495</v>
      </c>
      <c r="J35" s="14">
        <f t="shared" ref="J35" si="31">SUM(J32,J34)</f>
        <v>2188</v>
      </c>
      <c r="K35" s="14">
        <f t="shared" ref="K35" si="32">SUM(K32,K34)</f>
        <v>3445</v>
      </c>
      <c r="L35" s="14">
        <f t="shared" ref="L35" si="33">SUM(L32,L34)</f>
        <v>3597</v>
      </c>
      <c r="M35" s="14">
        <f t="shared" ref="M35" si="34">SUM(M32,M34)</f>
        <v>-174</v>
      </c>
      <c r="N35" s="14">
        <f t="shared" ref="N35" si="35">SUM(N32,N34)</f>
        <v>4080</v>
      </c>
      <c r="O35" s="14">
        <f t="shared" ref="O35" si="36">SUM(O32,O34)</f>
        <v>4351</v>
      </c>
      <c r="P35" s="14">
        <f t="shared" ref="P35" si="37">SUM(P32,P34)</f>
        <v>4500</v>
      </c>
      <c r="Q35" s="14">
        <f t="shared" ref="Q35" si="38">SUM(Q32,Q34)</f>
        <v>9274</v>
      </c>
      <c r="R35" s="159"/>
      <c r="S35" s="14" t="e">
        <f t="shared" ref="S35" si="39">SUM(S32,S34)</f>
        <v>#REF!</v>
      </c>
      <c r="T35" s="14" t="e">
        <f t="shared" ref="T35" si="40">SUM(T32,T34)</f>
        <v>#REF!</v>
      </c>
      <c r="U35" s="14" t="e">
        <f t="shared" ref="U35" si="41">SUM(U32,U34)</f>
        <v>#REF!</v>
      </c>
      <c r="V35" s="14" t="e">
        <f t="shared" ref="V35" si="42">SUM(V32,V34)</f>
        <v>#REF!</v>
      </c>
      <c r="W35" s="14">
        <f t="shared" ref="W35" si="43">SUM(W32,W34)</f>
        <v>11902</v>
      </c>
      <c r="X35" s="14">
        <f t="shared" ref="X35" si="44">SUM(X32,X34)</f>
        <v>24458</v>
      </c>
      <c r="Y35" s="14">
        <f t="shared" ref="Y35" si="45">SUM(Y32,Y34)</f>
        <v>35853</v>
      </c>
      <c r="Z35" s="14">
        <f t="shared" ref="Z35" si="46">SUM(Z32,Z34)</f>
        <v>45160</v>
      </c>
      <c r="AA35" s="14">
        <f t="shared" ref="AA35" si="47">SUM(AA32,AA34)</f>
        <v>44643</v>
      </c>
      <c r="AB35" s="14">
        <f t="shared" ref="AB35" si="48">SUM(AB32,AB34)</f>
        <v>43457</v>
      </c>
      <c r="AC35" s="14">
        <f t="shared" ref="AC35" si="49">SUM(AC32,AC34)</f>
        <v>9056</v>
      </c>
      <c r="AD35" s="14">
        <f t="shared" ref="AD35" si="50">SUM(AD32,AD34)</f>
        <v>15393</v>
      </c>
      <c r="AE35" s="14">
        <f t="shared" ref="AE35" si="51">SUM(AE32,AE34)</f>
        <v>16480</v>
      </c>
      <c r="AF35" s="14">
        <f t="shared" ref="AF35" si="52">SUM(AF32,AF34)</f>
        <v>17478</v>
      </c>
      <c r="AG35" s="14">
        <f t="shared" ref="AG35" si="53">SUM(AG32,AG34)</f>
        <v>22205</v>
      </c>
      <c r="AH35" s="160"/>
      <c r="AI35" s="161"/>
    </row>
    <row r="36" spans="1:35" s="155" customFormat="1" ht="5.0999999999999996" customHeight="1">
      <c r="B36" s="156"/>
      <c r="C36" s="157"/>
      <c r="D36" s="157"/>
      <c r="E36" s="157"/>
      <c r="F36" s="158"/>
      <c r="G36" s="157"/>
      <c r="H36" s="157"/>
      <c r="I36" s="157"/>
      <c r="J36" s="157"/>
      <c r="K36" s="157"/>
      <c r="L36" s="157"/>
      <c r="M36" s="157"/>
      <c r="N36" s="157"/>
      <c r="O36" s="157"/>
      <c r="P36" s="157"/>
      <c r="Q36" s="157"/>
      <c r="R36" s="159"/>
      <c r="S36" s="157"/>
      <c r="T36" s="157"/>
      <c r="U36" s="157"/>
      <c r="V36" s="157"/>
      <c r="W36" s="157"/>
      <c r="X36" s="157"/>
      <c r="Y36" s="157"/>
      <c r="Z36" s="157"/>
      <c r="AA36" s="157"/>
      <c r="AB36" s="157"/>
      <c r="AC36" s="157"/>
      <c r="AD36" s="157"/>
      <c r="AE36" s="157"/>
      <c r="AF36" s="157"/>
      <c r="AG36" s="157"/>
      <c r="AH36" s="160"/>
      <c r="AI36" s="161"/>
    </row>
    <row r="37" spans="1:35" s="155" customFormat="1" ht="12.75" customHeight="1">
      <c r="B37" s="46" t="s">
        <v>142</v>
      </c>
      <c r="C37" s="84">
        <v>-203</v>
      </c>
      <c r="D37" s="84">
        <v>-208</v>
      </c>
      <c r="E37" s="84">
        <v>-202</v>
      </c>
      <c r="F37" s="158"/>
      <c r="G37" s="84">
        <v>-52</v>
      </c>
      <c r="H37" s="84">
        <v>-52</v>
      </c>
      <c r="I37" s="84">
        <v>-51</v>
      </c>
      <c r="J37" s="33">
        <f>SUM(D37-SUM(G37:I37))</f>
        <v>-53</v>
      </c>
      <c r="K37" s="84">
        <v>-50</v>
      </c>
      <c r="L37" s="84">
        <v>-51</v>
      </c>
      <c r="M37" s="84">
        <v>-52</v>
      </c>
      <c r="N37" s="33">
        <f>SUM(E37-SUM(K37:M37))</f>
        <v>-49</v>
      </c>
      <c r="O37" s="84">
        <v>44</v>
      </c>
      <c r="P37" s="84">
        <v>-36</v>
      </c>
      <c r="Q37" s="84">
        <v>-36</v>
      </c>
      <c r="R37" s="159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33">
        <f>SUM(J37:M37)</f>
        <v>-206</v>
      </c>
      <c r="AD37" s="33">
        <f>SUM(K37:N37)</f>
        <v>-202</v>
      </c>
      <c r="AE37" s="33">
        <f>SUM(L37:O37)</f>
        <v>-108</v>
      </c>
      <c r="AF37" s="33">
        <f>SUM(M37:P37)</f>
        <v>-93</v>
      </c>
      <c r="AG37" s="33">
        <f>SUM(N37:Q37)</f>
        <v>-77</v>
      </c>
      <c r="AH37" s="160"/>
      <c r="AI37" s="161"/>
    </row>
    <row r="38" spans="1:35" s="155" customFormat="1" ht="12.75" customHeight="1">
      <c r="B38" s="13" t="s">
        <v>143</v>
      </c>
      <c r="C38" s="14">
        <f>SUM(C35,C37)</f>
        <v>-8727</v>
      </c>
      <c r="D38" s="14">
        <f t="shared" ref="D38:E38" si="54">SUM(D35,D37)</f>
        <v>14192</v>
      </c>
      <c r="E38" s="14">
        <f t="shared" si="54"/>
        <v>10746</v>
      </c>
      <c r="F38" s="158"/>
      <c r="G38" s="14">
        <f t="shared" ref="G38" si="55">SUM(G35,G37)</f>
        <v>4176</v>
      </c>
      <c r="H38" s="14">
        <f t="shared" ref="H38" si="56">SUM(H35,H37)</f>
        <v>4437</v>
      </c>
      <c r="I38" s="14">
        <f t="shared" ref="I38" si="57">SUM(I35,I37)</f>
        <v>3444</v>
      </c>
      <c r="J38" s="14">
        <f t="shared" ref="J38" si="58">SUM(J35,J37)</f>
        <v>2135</v>
      </c>
      <c r="K38" s="14">
        <f t="shared" ref="K38" si="59">SUM(K35,K37)</f>
        <v>3395</v>
      </c>
      <c r="L38" s="14">
        <f t="shared" ref="L38" si="60">SUM(L35,L37)</f>
        <v>3546</v>
      </c>
      <c r="M38" s="14">
        <f t="shared" ref="M38" si="61">SUM(M35,M37)</f>
        <v>-226</v>
      </c>
      <c r="N38" s="14">
        <f t="shared" ref="N38" si="62">SUM(N35,N37)</f>
        <v>4031</v>
      </c>
      <c r="O38" s="14">
        <f t="shared" ref="O38" si="63">SUM(O35,O37)</f>
        <v>4395</v>
      </c>
      <c r="P38" s="14">
        <f t="shared" ref="P38" si="64">SUM(P35,P37)</f>
        <v>4464</v>
      </c>
      <c r="Q38" s="14">
        <f t="shared" ref="Q38" si="65">SUM(Q35,Q37)</f>
        <v>9238</v>
      </c>
      <c r="R38" s="159"/>
      <c r="S38" s="14" t="e">
        <f t="shared" ref="S38" si="66">SUM(S35,S37)</f>
        <v>#REF!</v>
      </c>
      <c r="T38" s="14" t="e">
        <f t="shared" ref="T38" si="67">SUM(T35,T37)</f>
        <v>#REF!</v>
      </c>
      <c r="U38" s="14" t="e">
        <f t="shared" ref="U38" si="68">SUM(U35,U37)</f>
        <v>#REF!</v>
      </c>
      <c r="V38" s="14" t="e">
        <f t="shared" ref="V38" si="69">SUM(V35,V37)</f>
        <v>#REF!</v>
      </c>
      <c r="W38" s="14">
        <f t="shared" ref="W38" si="70">SUM(W35,W37)</f>
        <v>11902</v>
      </c>
      <c r="X38" s="14">
        <f t="shared" ref="X38" si="71">SUM(X35,X37)</f>
        <v>24458</v>
      </c>
      <c r="Y38" s="14">
        <f t="shared" ref="Y38" si="72">SUM(Y35,Y37)</f>
        <v>35853</v>
      </c>
      <c r="Z38" s="14">
        <f t="shared" ref="Z38" si="73">SUM(Z35,Z37)</f>
        <v>45160</v>
      </c>
      <c r="AA38" s="14">
        <f t="shared" ref="AA38" si="74">SUM(AA35,AA37)</f>
        <v>44643</v>
      </c>
      <c r="AB38" s="14">
        <f t="shared" ref="AB38" si="75">SUM(AB35,AB37)</f>
        <v>43457</v>
      </c>
      <c r="AC38" s="14">
        <f t="shared" ref="AC38" si="76">SUM(AC35,AC37)</f>
        <v>8850</v>
      </c>
      <c r="AD38" s="14">
        <f t="shared" ref="AD38" si="77">SUM(AD35,AD37)</f>
        <v>15191</v>
      </c>
      <c r="AE38" s="14">
        <f t="shared" ref="AE38" si="78">SUM(AE35,AE37)</f>
        <v>16372</v>
      </c>
      <c r="AF38" s="14">
        <f t="shared" ref="AF38" si="79">SUM(AF35,AF37)</f>
        <v>17385</v>
      </c>
      <c r="AG38" s="14">
        <f t="shared" ref="AG38" si="80">SUM(AG35,AG37)</f>
        <v>22128</v>
      </c>
      <c r="AH38" s="160"/>
      <c r="AI38" s="161"/>
    </row>
    <row r="39" spans="1:35" s="155" customFormat="1" ht="5.0999999999999996" customHeight="1">
      <c r="B39" s="156"/>
      <c r="C39" s="157"/>
      <c r="D39" s="157"/>
      <c r="E39" s="157"/>
      <c r="F39" s="158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9"/>
      <c r="S39" s="157"/>
      <c r="T39" s="157"/>
      <c r="U39" s="157"/>
      <c r="V39" s="157"/>
      <c r="W39" s="157"/>
      <c r="X39" s="157"/>
      <c r="Y39" s="157"/>
      <c r="Z39" s="157"/>
      <c r="AA39" s="157"/>
      <c r="AB39" s="157"/>
      <c r="AC39" s="157"/>
      <c r="AD39" s="157"/>
      <c r="AE39" s="157"/>
      <c r="AF39" s="157"/>
      <c r="AG39" s="157"/>
      <c r="AH39" s="160"/>
      <c r="AI39" s="161"/>
    </row>
    <row r="40" spans="1:35" s="155" customFormat="1" ht="12.75" customHeight="1">
      <c r="B40" s="16" t="s">
        <v>66</v>
      </c>
      <c r="C40" s="18">
        <f>C38/C11</f>
        <v>-7.2278679156210404E-2</v>
      </c>
      <c r="D40" s="18">
        <f t="shared" ref="D40:E40" si="81">D38/D11</f>
        <v>0.11592119449799065</v>
      </c>
      <c r="E40" s="18">
        <f t="shared" si="81"/>
        <v>8.7840047083442327E-2</v>
      </c>
      <c r="F40" s="158"/>
      <c r="G40" s="157"/>
      <c r="H40" s="157"/>
      <c r="I40" s="157"/>
      <c r="J40" s="157"/>
      <c r="K40" s="157"/>
      <c r="L40" s="157"/>
      <c r="M40" s="157"/>
      <c r="N40" s="157"/>
      <c r="O40" s="157"/>
      <c r="P40" s="157"/>
      <c r="Q40" s="157"/>
      <c r="R40" s="159"/>
      <c r="S40" s="157"/>
      <c r="T40" s="157"/>
      <c r="U40" s="157"/>
      <c r="V40" s="157"/>
      <c r="W40" s="157"/>
      <c r="X40" s="157"/>
      <c r="Y40" s="157"/>
      <c r="Z40" s="157"/>
      <c r="AA40" s="157"/>
      <c r="AB40" s="157"/>
      <c r="AC40" s="157"/>
      <c r="AD40" s="157"/>
      <c r="AE40" s="157"/>
      <c r="AF40" s="157"/>
      <c r="AG40" s="157"/>
      <c r="AH40" s="160"/>
      <c r="AI40" s="161"/>
    </row>
    <row r="41" spans="1:35" ht="5.0999999999999996" customHeight="1">
      <c r="B41" s="16"/>
      <c r="C41" s="18"/>
      <c r="D41" s="18"/>
      <c r="E41" s="18"/>
      <c r="F41" s="2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29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/>
      <c r="AG41" s="18"/>
      <c r="AH41" s="44"/>
      <c r="AI41" s="79"/>
    </row>
    <row r="42" spans="1:35" ht="12.75" customHeight="1">
      <c r="B42" s="46" t="s">
        <v>94</v>
      </c>
      <c r="C42" s="84">
        <v>7166</v>
      </c>
      <c r="D42" s="84">
        <v>7181</v>
      </c>
      <c r="E42" s="84">
        <v>7199</v>
      </c>
      <c r="F42" s="28"/>
      <c r="G42" s="84">
        <v>7168</v>
      </c>
      <c r="H42" s="84">
        <v>7180</v>
      </c>
      <c r="I42" s="84">
        <v>7185</v>
      </c>
      <c r="J42" s="33">
        <f>D42</f>
        <v>7181</v>
      </c>
      <c r="K42" s="84">
        <v>7192</v>
      </c>
      <c r="L42" s="84">
        <v>7196</v>
      </c>
      <c r="M42" s="84">
        <v>7202</v>
      </c>
      <c r="N42" s="33">
        <f>E42</f>
        <v>7199</v>
      </c>
      <c r="O42" s="84">
        <v>7213</v>
      </c>
      <c r="P42" s="84">
        <v>7209</v>
      </c>
      <c r="Q42" s="84">
        <v>7156</v>
      </c>
      <c r="R42" s="137"/>
      <c r="S42" s="33" t="e">
        <f>#REF!</f>
        <v>#REF!</v>
      </c>
      <c r="T42" s="33" t="e">
        <f>#REF!</f>
        <v>#REF!</v>
      </c>
      <c r="U42" s="33" t="e">
        <f>#REF!</f>
        <v>#REF!</v>
      </c>
      <c r="V42" s="33" t="e">
        <f>#REF!</f>
        <v>#REF!</v>
      </c>
      <c r="W42" s="33">
        <f>G42</f>
        <v>7168</v>
      </c>
      <c r="X42" s="33">
        <f>H42</f>
        <v>7180</v>
      </c>
      <c r="Y42" s="33">
        <f>I42</f>
        <v>7185</v>
      </c>
      <c r="Z42" s="33">
        <f>J42</f>
        <v>7181</v>
      </c>
      <c r="AA42" s="33">
        <f>K42</f>
        <v>7192</v>
      </c>
      <c r="AB42" s="33">
        <f>L42</f>
        <v>7196</v>
      </c>
      <c r="AC42" s="33">
        <f>M42</f>
        <v>7202</v>
      </c>
      <c r="AD42" s="33">
        <f>N42</f>
        <v>7199</v>
      </c>
      <c r="AE42" s="33">
        <f>O42</f>
        <v>7213</v>
      </c>
      <c r="AF42" s="33">
        <f>P42</f>
        <v>7209</v>
      </c>
      <c r="AG42" s="33">
        <f>Q42</f>
        <v>7156</v>
      </c>
      <c r="AH42" s="44"/>
      <c r="AI42" s="77">
        <f>SUM(AG42/AC42)-1</f>
        <v>-6.3871146903637932E-3</v>
      </c>
    </row>
    <row r="43" spans="1:35" ht="12.75" customHeight="1">
      <c r="B43" s="13" t="s">
        <v>144</v>
      </c>
      <c r="C43" s="149">
        <f>C38/C42</f>
        <v>-1.2178342171364778</v>
      </c>
      <c r="D43" s="149">
        <f t="shared" ref="D43:E43" si="82">D38/D42</f>
        <v>1.9763264169335748</v>
      </c>
      <c r="E43" s="149">
        <f t="shared" si="82"/>
        <v>1.4927073204611752</v>
      </c>
      <c r="F43" s="28"/>
      <c r="G43" s="149">
        <f t="shared" ref="G43" si="83">G38/G42</f>
        <v>0.5825892857142857</v>
      </c>
      <c r="H43" s="149">
        <f t="shared" ref="H43" si="84">H38/H42</f>
        <v>0.61796657381615594</v>
      </c>
      <c r="I43" s="149">
        <f t="shared" ref="I43" si="85">I38/I42</f>
        <v>0.47933194154488518</v>
      </c>
      <c r="J43" s="149">
        <f t="shared" ref="J43" si="86">J38/J42</f>
        <v>0.29731235204010581</v>
      </c>
      <c r="K43" s="149">
        <f t="shared" ref="K43" si="87">K38/K42</f>
        <v>0.47205228031145718</v>
      </c>
      <c r="L43" s="149">
        <f t="shared" ref="L43" si="88">L38/L42</f>
        <v>0.49277376320177879</v>
      </c>
      <c r="M43" s="149">
        <f t="shared" ref="M43" si="89">M38/M42</f>
        <v>-3.1380172174396002E-2</v>
      </c>
      <c r="N43" s="149">
        <f t="shared" ref="N43" si="90">N38/N42</f>
        <v>0.55993888040005557</v>
      </c>
      <c r="O43" s="149">
        <f t="shared" ref="O43" si="91">O38/O42</f>
        <v>0.6093165118535977</v>
      </c>
      <c r="P43" s="149">
        <f t="shared" ref="P43" si="92">P38/P42</f>
        <v>0.61922596754057424</v>
      </c>
      <c r="Q43" s="149">
        <f t="shared" ref="Q43" si="93">Q38/Q42</f>
        <v>1.2909446618222471</v>
      </c>
      <c r="R43" s="137"/>
      <c r="S43" s="149" t="e">
        <f t="shared" ref="S43" si="94">S38/S42</f>
        <v>#REF!</v>
      </c>
      <c r="T43" s="149" t="e">
        <f t="shared" ref="T43" si="95">T38/T42</f>
        <v>#REF!</v>
      </c>
      <c r="U43" s="149" t="e">
        <f t="shared" ref="U43" si="96">U38/U42</f>
        <v>#REF!</v>
      </c>
      <c r="V43" s="149" t="e">
        <f t="shared" ref="V43" si="97">V38/V42</f>
        <v>#REF!</v>
      </c>
      <c r="W43" s="149">
        <f t="shared" ref="W43" si="98">W38/W42</f>
        <v>1.6604352678571428</v>
      </c>
      <c r="X43" s="149">
        <f t="shared" ref="X43" si="99">X38/X42</f>
        <v>3.4064066852367687</v>
      </c>
      <c r="Y43" s="149">
        <f t="shared" ref="Y43" si="100">Y38/Y42</f>
        <v>4.9899791231732777</v>
      </c>
      <c r="Z43" s="149">
        <f t="shared" ref="Z43" si="101">Z38/Z42</f>
        <v>6.2888177134103884</v>
      </c>
      <c r="AA43" s="149">
        <f t="shared" ref="AA43" si="102">AA38/AA42</f>
        <v>6.2073136818687429</v>
      </c>
      <c r="AB43" s="149">
        <f t="shared" ref="AB43" si="103">AB38/AB42</f>
        <v>6.0390494719288492</v>
      </c>
      <c r="AC43" s="149">
        <f t="shared" ref="AC43" si="104">AC38/AC42</f>
        <v>1.2288253262982505</v>
      </c>
      <c r="AD43" s="149">
        <f t="shared" ref="AD43" si="105">AD38/AD42</f>
        <v>2.1101541880816779</v>
      </c>
      <c r="AE43" s="149">
        <f t="shared" ref="AE43" si="106">AE38/AE42</f>
        <v>2.2697906557604326</v>
      </c>
      <c r="AF43" s="149">
        <f t="shared" ref="AF43" si="107">AF38/AF42</f>
        <v>2.4115688722430297</v>
      </c>
      <c r="AG43" s="149">
        <f t="shared" ref="AG43" si="108">AG38/AG42</f>
        <v>3.0922302962548911</v>
      </c>
      <c r="AH43" s="44"/>
      <c r="AI43" s="78">
        <f>SUM(AG43/AC43)-1</f>
        <v>1.5164115925003081</v>
      </c>
    </row>
    <row r="44" spans="1:35" ht="12.75" customHeight="1">
      <c r="B44" s="26"/>
      <c r="C44" s="50"/>
      <c r="D44" s="50"/>
      <c r="E44" s="50"/>
      <c r="F44" s="148"/>
      <c r="G44" s="137"/>
      <c r="H44" s="137"/>
      <c r="I44" s="137"/>
      <c r="J44" s="137"/>
      <c r="K44" s="137"/>
      <c r="L44" s="137"/>
      <c r="M44" s="137"/>
      <c r="N44" s="137"/>
      <c r="O44" s="137"/>
      <c r="P44" s="137"/>
      <c r="Q44" s="137"/>
      <c r="R44" s="137"/>
      <c r="S44" s="137"/>
      <c r="T44" s="137"/>
      <c r="U44" s="137"/>
      <c r="V44" s="137"/>
      <c r="W44" s="137"/>
      <c r="X44" s="137"/>
      <c r="Y44" s="137"/>
      <c r="Z44" s="137"/>
      <c r="AA44" s="137"/>
      <c r="AB44" s="137"/>
      <c r="AC44" s="137"/>
      <c r="AD44" s="137"/>
      <c r="AE44" s="137"/>
      <c r="AF44" s="137"/>
      <c r="AG44" s="137"/>
      <c r="AH44" s="44"/>
      <c r="AI44" s="77"/>
    </row>
    <row r="45" spans="1:35" ht="12.75" customHeight="1">
      <c r="B45" s="46" t="s">
        <v>67</v>
      </c>
      <c r="C45" s="84">
        <v>7587</v>
      </c>
      <c r="D45" s="84">
        <v>7258</v>
      </c>
      <c r="E45" s="84">
        <v>7204</v>
      </c>
      <c r="F45" s="148"/>
      <c r="G45" s="84">
        <v>7474</v>
      </c>
      <c r="H45" s="84">
        <v>7180</v>
      </c>
      <c r="I45" s="84">
        <v>7185</v>
      </c>
      <c r="J45" s="33">
        <f>D45</f>
        <v>7258</v>
      </c>
      <c r="K45" s="84">
        <v>7193</v>
      </c>
      <c r="L45" s="84">
        <v>7198</v>
      </c>
      <c r="M45" s="84">
        <v>7208</v>
      </c>
      <c r="N45" s="33">
        <f>E45</f>
        <v>7204</v>
      </c>
      <c r="O45" s="84">
        <v>7223</v>
      </c>
      <c r="P45" s="84">
        <v>7219</v>
      </c>
      <c r="Q45" s="84">
        <v>7169</v>
      </c>
      <c r="R45" s="137"/>
      <c r="S45" s="33" t="e">
        <f>#REF!</f>
        <v>#REF!</v>
      </c>
      <c r="T45" s="33" t="e">
        <f>#REF!</f>
        <v>#REF!</v>
      </c>
      <c r="U45" s="33" t="e">
        <f>#REF!</f>
        <v>#REF!</v>
      </c>
      <c r="V45" s="33" t="e">
        <f>#REF!</f>
        <v>#REF!</v>
      </c>
      <c r="W45" s="33">
        <f>G45</f>
        <v>7474</v>
      </c>
      <c r="X45" s="33">
        <f>H45</f>
        <v>7180</v>
      </c>
      <c r="Y45" s="33">
        <f>I45</f>
        <v>7185</v>
      </c>
      <c r="Z45" s="33">
        <f>J45</f>
        <v>7258</v>
      </c>
      <c r="AA45" s="33">
        <f>K45</f>
        <v>7193</v>
      </c>
      <c r="AB45" s="33">
        <f>L45</f>
        <v>7198</v>
      </c>
      <c r="AC45" s="33">
        <f>M45</f>
        <v>7208</v>
      </c>
      <c r="AD45" s="33">
        <f>N45</f>
        <v>7204</v>
      </c>
      <c r="AE45" s="33">
        <f>O45</f>
        <v>7223</v>
      </c>
      <c r="AF45" s="33">
        <f>P45</f>
        <v>7219</v>
      </c>
      <c r="AG45" s="33">
        <f>Q45</f>
        <v>7169</v>
      </c>
      <c r="AH45" s="44"/>
      <c r="AI45" s="77">
        <f>SUM(AG45/AC45)-1</f>
        <v>-5.4106548279688749E-3</v>
      </c>
    </row>
    <row r="46" spans="1:35" ht="12.75" customHeight="1">
      <c r="B46" s="13" t="s">
        <v>145</v>
      </c>
      <c r="C46" s="149">
        <f>C38/C45</f>
        <v>-1.1502570185844208</v>
      </c>
      <c r="D46" s="149">
        <f t="shared" ref="D46:E46" si="109">D38/D45</f>
        <v>1.9553596031964728</v>
      </c>
      <c r="E46" s="149">
        <f t="shared" si="109"/>
        <v>1.4916712937257079</v>
      </c>
      <c r="F46" s="28"/>
      <c r="G46" s="149">
        <f t="shared" ref="G46" si="110">G38/G45</f>
        <v>0.55873695477655871</v>
      </c>
      <c r="H46" s="149">
        <f t="shared" ref="H46" si="111">H38/H45</f>
        <v>0.61796657381615594</v>
      </c>
      <c r="I46" s="149">
        <f t="shared" ref="I46" si="112">I38/I45</f>
        <v>0.47933194154488518</v>
      </c>
      <c r="J46" s="149">
        <f t="shared" ref="J46" si="113">J38/J45</f>
        <v>0.29415817029484709</v>
      </c>
      <c r="K46" s="149">
        <f t="shared" ref="K46" si="114">K38/K45</f>
        <v>0.47198665369108855</v>
      </c>
      <c r="L46" s="149">
        <f t="shared" ref="L46" si="115">L38/L45</f>
        <v>0.49263684356765769</v>
      </c>
      <c r="M46" s="149">
        <f t="shared" ref="M46" si="116">M38/M45</f>
        <v>-3.1354051054384019E-2</v>
      </c>
      <c r="N46" s="149">
        <f t="shared" ref="N46" si="117">N38/N45</f>
        <v>0.55955024986118818</v>
      </c>
      <c r="O46" s="149">
        <f t="shared" ref="O46" si="118">O38/O45</f>
        <v>0.60847293368406474</v>
      </c>
      <c r="P46" s="149">
        <f t="shared" ref="P46" si="119">P38/P45</f>
        <v>0.61836819504086438</v>
      </c>
      <c r="Q46" s="149">
        <f t="shared" ref="Q46" si="120">Q38/Q45</f>
        <v>1.2886037104198633</v>
      </c>
      <c r="R46" s="137"/>
      <c r="S46" s="149" t="e">
        <f t="shared" ref="S46" si="121">S38/S45</f>
        <v>#REF!</v>
      </c>
      <c r="T46" s="149" t="e">
        <f t="shared" ref="T46" si="122">T38/T45</f>
        <v>#REF!</v>
      </c>
      <c r="U46" s="149" t="e">
        <f t="shared" ref="U46" si="123">U38/U45</f>
        <v>#REF!</v>
      </c>
      <c r="V46" s="149" t="e">
        <f t="shared" ref="V46" si="124">V38/V45</f>
        <v>#REF!</v>
      </c>
      <c r="W46" s="149">
        <f t="shared" ref="W46" si="125">W38/W45</f>
        <v>1.5924538399785924</v>
      </c>
      <c r="X46" s="149">
        <f t="shared" ref="X46" si="126">X38/X45</f>
        <v>3.4064066852367687</v>
      </c>
      <c r="Y46" s="149">
        <f t="shared" ref="Y46" si="127">Y38/Y45</f>
        <v>4.9899791231732777</v>
      </c>
      <c r="Z46" s="149">
        <f t="shared" ref="Z46" si="128">Z38/Z45</f>
        <v>6.2220997519977956</v>
      </c>
      <c r="AA46" s="149">
        <f t="shared" ref="AA46" si="129">AA38/AA45</f>
        <v>6.2064507159738636</v>
      </c>
      <c r="AB46" s="149">
        <f t="shared" ref="AB46" si="130">AB38/AB45</f>
        <v>6.0373714920811334</v>
      </c>
      <c r="AC46" s="149">
        <f t="shared" ref="AC46" si="131">AC38/AC45</f>
        <v>1.2278024417314095</v>
      </c>
      <c r="AD46" s="149">
        <f t="shared" ref="AD46" si="132">AD38/AD45</f>
        <v>2.1086896168795115</v>
      </c>
      <c r="AE46" s="149">
        <f t="shared" ref="AE46" si="133">AE38/AE45</f>
        <v>2.2666482071161567</v>
      </c>
      <c r="AF46" s="149">
        <f t="shared" ref="AF46" si="134">AF38/AF45</f>
        <v>2.4082282864662696</v>
      </c>
      <c r="AG46" s="149">
        <f t="shared" ref="AG46" si="135">AG38/AG45</f>
        <v>3.0866229599665225</v>
      </c>
      <c r="AH46" s="44"/>
      <c r="AI46" s="78">
        <f>SUM(AG46/AC46)-1</f>
        <v>1.5139410503320558</v>
      </c>
    </row>
    <row r="47" spans="1:35">
      <c r="B47" s="16"/>
      <c r="C47" s="18"/>
      <c r="D47" s="18"/>
      <c r="E47" s="18"/>
      <c r="F47" s="2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29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44"/>
    </row>
    <row r="48" spans="1:35" ht="12.75" customHeight="1">
      <c r="A48" s="5" t="s">
        <v>16</v>
      </c>
      <c r="B48" s="108" t="s">
        <v>77</v>
      </c>
      <c r="C48" s="109"/>
      <c r="D48" s="109"/>
      <c r="E48" s="109"/>
      <c r="F48" s="110"/>
      <c r="G48" s="109"/>
      <c r="H48" s="109"/>
      <c r="I48" s="109"/>
      <c r="J48" s="109"/>
      <c r="K48" s="109"/>
      <c r="L48" s="109"/>
      <c r="M48" s="109"/>
      <c r="N48" s="109"/>
      <c r="O48" s="109"/>
      <c r="P48" s="109"/>
      <c r="Q48" s="109"/>
      <c r="R48" s="108"/>
      <c r="S48" s="109"/>
      <c r="T48" s="109"/>
      <c r="U48" s="109"/>
      <c r="V48" s="109"/>
      <c r="W48" s="109"/>
      <c r="X48" s="109"/>
      <c r="Y48" s="109"/>
      <c r="Z48" s="109"/>
      <c r="AA48" s="109"/>
      <c r="AB48" s="109" t="s">
        <v>10</v>
      </c>
      <c r="AC48" s="109"/>
      <c r="AD48" s="109"/>
      <c r="AE48" s="109"/>
      <c r="AF48" s="109"/>
      <c r="AG48" s="109"/>
      <c r="AH48" s="110"/>
      <c r="AI48" s="152" t="s">
        <v>23</v>
      </c>
    </row>
    <row r="49" spans="2:35" ht="12.75" customHeight="1">
      <c r="B49" s="112" t="str">
        <f>B7</f>
        <v>Fiscal Period</v>
      </c>
      <c r="C49" s="111">
        <f>C7</f>
        <v>2022</v>
      </c>
      <c r="D49" s="111">
        <f>D7</f>
        <v>2023</v>
      </c>
      <c r="E49" s="111">
        <f>E7</f>
        <v>2024</v>
      </c>
      <c r="F49" s="110"/>
      <c r="G49" s="111" t="str">
        <f>G7</f>
        <v>1Q23</v>
      </c>
      <c r="H49" s="111" t="str">
        <f>H7</f>
        <v>2Q23</v>
      </c>
      <c r="I49" s="111" t="str">
        <f>I7</f>
        <v>3Q23</v>
      </c>
      <c r="J49" s="111" t="str">
        <f>J7</f>
        <v>4Q23</v>
      </c>
      <c r="K49" s="111" t="str">
        <f>K7</f>
        <v>1Q24</v>
      </c>
      <c r="L49" s="111" t="str">
        <f>L7</f>
        <v>2Q24</v>
      </c>
      <c r="M49" s="111" t="str">
        <f>M7</f>
        <v>3Q24</v>
      </c>
      <c r="N49" s="111" t="str">
        <f>N7</f>
        <v>4Q24</v>
      </c>
      <c r="O49" s="111" t="str">
        <f>O7</f>
        <v>1Q25</v>
      </c>
      <c r="P49" s="111" t="str">
        <f>P7</f>
        <v>2Q25</v>
      </c>
      <c r="Q49" s="111" t="str">
        <f>Q7</f>
        <v>3Q25</v>
      </c>
      <c r="R49" s="113"/>
      <c r="S49" s="111" t="e">
        <f>S7</f>
        <v>#REF!</v>
      </c>
      <c r="T49" s="111" t="e">
        <f>T7</f>
        <v>#REF!</v>
      </c>
      <c r="U49" s="111" t="e">
        <f>U7</f>
        <v>#REF!</v>
      </c>
      <c r="V49" s="111" t="e">
        <f>V7</f>
        <v>#REF!</v>
      </c>
      <c r="W49" s="111" t="str">
        <f>W7</f>
        <v>1Q23</v>
      </c>
      <c r="X49" s="111" t="str">
        <f>X7</f>
        <v>2Q23</v>
      </c>
      <c r="Y49" s="111" t="str">
        <f>Y7</f>
        <v>3Q23</v>
      </c>
      <c r="Z49" s="111" t="str">
        <f>Z7</f>
        <v>4Q23</v>
      </c>
      <c r="AA49" s="111" t="str">
        <f>AA7</f>
        <v>1Q24</v>
      </c>
      <c r="AB49" s="111" t="str">
        <f>AB7</f>
        <v>2Q24</v>
      </c>
      <c r="AC49" s="111" t="str">
        <f>AC7</f>
        <v>3Q24</v>
      </c>
      <c r="AD49" s="111" t="str">
        <f>AD7</f>
        <v>4Q24</v>
      </c>
      <c r="AE49" s="111" t="str">
        <f>AE7</f>
        <v>1Q25</v>
      </c>
      <c r="AF49" s="111" t="str">
        <f>AF7</f>
        <v>2Q25</v>
      </c>
      <c r="AG49" s="111" t="str">
        <f>AG7</f>
        <v>3Q25</v>
      </c>
      <c r="AH49" s="110"/>
      <c r="AI49" s="152"/>
    </row>
    <row r="50" spans="2:35" ht="12.75" customHeight="1">
      <c r="B50" s="112" t="str">
        <f>B8</f>
        <v>Fiscal Period End Date</v>
      </c>
      <c r="C50" s="114">
        <f>C8</f>
        <v>44926</v>
      </c>
      <c r="D50" s="114">
        <f>D8</f>
        <v>45291</v>
      </c>
      <c r="E50" s="114">
        <f>E8</f>
        <v>45657</v>
      </c>
      <c r="F50" s="110"/>
      <c r="G50" s="114">
        <f>G8</f>
        <v>45016</v>
      </c>
      <c r="H50" s="114">
        <f>H8</f>
        <v>45107</v>
      </c>
      <c r="I50" s="114">
        <f>I8</f>
        <v>45199</v>
      </c>
      <c r="J50" s="114">
        <f>J8</f>
        <v>45291</v>
      </c>
      <c r="K50" s="114">
        <f>K8</f>
        <v>45382</v>
      </c>
      <c r="L50" s="114">
        <f>L8</f>
        <v>45473</v>
      </c>
      <c r="M50" s="114">
        <f>M8</f>
        <v>45565</v>
      </c>
      <c r="N50" s="114">
        <f>N8</f>
        <v>45657</v>
      </c>
      <c r="O50" s="114">
        <f>O8</f>
        <v>45747</v>
      </c>
      <c r="P50" s="114">
        <f>P8</f>
        <v>45838</v>
      </c>
      <c r="Q50" s="114">
        <f>Q8</f>
        <v>45930</v>
      </c>
      <c r="R50" s="115"/>
      <c r="S50" s="114" t="e">
        <f>S8</f>
        <v>#REF!</v>
      </c>
      <c r="T50" s="114" t="e">
        <f>T8</f>
        <v>#REF!</v>
      </c>
      <c r="U50" s="114" t="e">
        <f>U8</f>
        <v>#REF!</v>
      </c>
      <c r="V50" s="114" t="e">
        <f>V8</f>
        <v>#REF!</v>
      </c>
      <c r="W50" s="114">
        <f>W8</f>
        <v>45016</v>
      </c>
      <c r="X50" s="114">
        <f>X8</f>
        <v>45107</v>
      </c>
      <c r="Y50" s="114">
        <f>Y8</f>
        <v>45199</v>
      </c>
      <c r="Z50" s="114">
        <f>Z8</f>
        <v>45291</v>
      </c>
      <c r="AA50" s="114">
        <f>AA8</f>
        <v>45382</v>
      </c>
      <c r="AB50" s="114">
        <f>AB8</f>
        <v>45473</v>
      </c>
      <c r="AC50" s="114">
        <f>AC8</f>
        <v>45565</v>
      </c>
      <c r="AD50" s="114">
        <f>AD8</f>
        <v>45657</v>
      </c>
      <c r="AE50" s="114">
        <f>AE8</f>
        <v>45747</v>
      </c>
      <c r="AF50" s="114">
        <f>AF8</f>
        <v>45838</v>
      </c>
      <c r="AG50" s="114">
        <f>AG8</f>
        <v>45930</v>
      </c>
      <c r="AH50" s="110"/>
      <c r="AI50" s="152"/>
    </row>
    <row r="51" spans="2:35" ht="5.0999999999999996" customHeight="1">
      <c r="B51" s="48"/>
      <c r="C51" s="49"/>
      <c r="D51" s="49"/>
      <c r="E51" s="49"/>
    </row>
    <row r="52" spans="2:35">
      <c r="B52" s="80" t="s">
        <v>85</v>
      </c>
      <c r="C52" s="49"/>
      <c r="D52" s="49"/>
      <c r="E52" s="49"/>
    </row>
    <row r="53" spans="2:35" s="124" customFormat="1" ht="12.75" customHeight="1">
      <c r="B53" s="116" t="s">
        <v>104</v>
      </c>
      <c r="C53" s="125">
        <v>3701</v>
      </c>
      <c r="D53" s="125">
        <v>6722</v>
      </c>
      <c r="E53" s="125">
        <v>3298</v>
      </c>
      <c r="G53" s="84"/>
      <c r="H53" s="84"/>
      <c r="I53" s="84"/>
      <c r="J53" s="33">
        <f t="shared" ref="J53:J55" si="136">D53</f>
        <v>6722</v>
      </c>
      <c r="K53" s="84"/>
      <c r="L53" s="84"/>
      <c r="M53" s="84"/>
      <c r="N53" s="33">
        <f t="shared" ref="N53:N55" si="137">E53</f>
        <v>3298</v>
      </c>
      <c r="O53" s="84"/>
      <c r="P53" s="84"/>
      <c r="Q53" s="84"/>
      <c r="S53" s="98" t="e">
        <f>#REF!</f>
        <v>#REF!</v>
      </c>
      <c r="T53" s="98" t="e">
        <f>#REF!</f>
        <v>#REF!</v>
      </c>
      <c r="U53" s="98" t="e">
        <f>#REF!</f>
        <v>#REF!</v>
      </c>
      <c r="V53" s="98" t="e">
        <f>#REF!</f>
        <v>#REF!</v>
      </c>
      <c r="W53" s="98">
        <f t="shared" ref="W53:W55" si="138">G53</f>
        <v>0</v>
      </c>
      <c r="X53" s="98">
        <f t="shared" ref="X53:X55" si="139">H53</f>
        <v>0</v>
      </c>
      <c r="Y53" s="98">
        <f t="shared" ref="Y53:Y55" si="140">I53</f>
        <v>0</v>
      </c>
      <c r="Z53" s="98">
        <f t="shared" ref="Z53:Z55" si="141">J53</f>
        <v>6722</v>
      </c>
      <c r="AA53" s="98">
        <f t="shared" ref="AA53:AA55" si="142">K53</f>
        <v>0</v>
      </c>
      <c r="AB53" s="98">
        <f t="shared" ref="AB53:AB55" si="143">L53</f>
        <v>0</v>
      </c>
      <c r="AC53" s="98">
        <f t="shared" ref="AC53:AC55" si="144">M53</f>
        <v>0</v>
      </c>
      <c r="AD53" s="98">
        <f t="shared" ref="AD53:AD55" si="145">N53</f>
        <v>3298</v>
      </c>
      <c r="AE53" s="98">
        <f t="shared" ref="AE53:AE55" si="146">O53</f>
        <v>0</v>
      </c>
      <c r="AF53" s="98">
        <f t="shared" ref="AF53:AF55" si="147">P53</f>
        <v>0</v>
      </c>
      <c r="AG53" s="98">
        <f t="shared" ref="AG53:AG55" si="148">Q53</f>
        <v>0</v>
      </c>
      <c r="AH53" s="126"/>
      <c r="AI53" s="77" t="e">
        <f>SUM(AG53/AC53)-1</f>
        <v>#DIV/0!</v>
      </c>
    </row>
    <row r="54" spans="2:35" s="124" customFormat="1" ht="12.75" customHeight="1">
      <c r="B54" s="116" t="s">
        <v>210</v>
      </c>
      <c r="C54" s="98">
        <f>3793-C53</f>
        <v>92</v>
      </c>
      <c r="D54" s="98">
        <f>6833-D53</f>
        <v>111</v>
      </c>
      <c r="E54" s="98">
        <f>3406-E53</f>
        <v>108</v>
      </c>
      <c r="G54" s="84"/>
      <c r="H54" s="84"/>
      <c r="I54" s="84"/>
      <c r="J54" s="33">
        <f t="shared" si="136"/>
        <v>111</v>
      </c>
      <c r="K54" s="84"/>
      <c r="L54" s="84"/>
      <c r="M54" s="84"/>
      <c r="N54" s="33">
        <f t="shared" si="137"/>
        <v>108</v>
      </c>
      <c r="O54" s="84"/>
      <c r="P54" s="84"/>
      <c r="Q54" s="84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>
        <f t="shared" ref="AC54" si="149">M54</f>
        <v>0</v>
      </c>
      <c r="AD54" s="98">
        <f t="shared" ref="AD54" si="150">N54</f>
        <v>108</v>
      </c>
      <c r="AE54" s="98">
        <f t="shared" ref="AE54" si="151">O54</f>
        <v>0</v>
      </c>
      <c r="AF54" s="98">
        <f t="shared" ref="AF54" si="152">P54</f>
        <v>0</v>
      </c>
      <c r="AG54" s="98">
        <f t="shared" ref="AG54" si="153">Q54</f>
        <v>0</v>
      </c>
      <c r="AH54" s="126"/>
      <c r="AI54" s="77"/>
    </row>
    <row r="55" spans="2:35" s="124" customFormat="1" ht="12.75" customHeight="1">
      <c r="B55" s="116" t="s">
        <v>146</v>
      </c>
      <c r="C55" s="125">
        <v>11466</v>
      </c>
      <c r="D55" s="125">
        <v>10289</v>
      </c>
      <c r="E55" s="125">
        <v>9638</v>
      </c>
      <c r="G55" s="84"/>
      <c r="H55" s="84"/>
      <c r="I55" s="84"/>
      <c r="J55" s="33">
        <f t="shared" si="136"/>
        <v>10289</v>
      </c>
      <c r="K55" s="84"/>
      <c r="L55" s="84"/>
      <c r="M55" s="84"/>
      <c r="N55" s="33">
        <f t="shared" si="137"/>
        <v>9638</v>
      </c>
      <c r="O55" s="84"/>
      <c r="P55" s="84"/>
      <c r="Q55" s="84"/>
      <c r="S55" s="98" t="e">
        <f>#REF!</f>
        <v>#REF!</v>
      </c>
      <c r="T55" s="98" t="e">
        <f>#REF!</f>
        <v>#REF!</v>
      </c>
      <c r="U55" s="98" t="e">
        <f>#REF!</f>
        <v>#REF!</v>
      </c>
      <c r="V55" s="98" t="e">
        <f>#REF!</f>
        <v>#REF!</v>
      </c>
      <c r="W55" s="98">
        <f t="shared" si="138"/>
        <v>0</v>
      </c>
      <c r="X55" s="98">
        <f t="shared" si="139"/>
        <v>0</v>
      </c>
      <c r="Y55" s="98">
        <f t="shared" si="140"/>
        <v>0</v>
      </c>
      <c r="Z55" s="98">
        <f t="shared" si="141"/>
        <v>10289</v>
      </c>
      <c r="AA55" s="98">
        <f t="shared" si="142"/>
        <v>0</v>
      </c>
      <c r="AB55" s="98">
        <f t="shared" si="143"/>
        <v>0</v>
      </c>
      <c r="AC55" s="98">
        <f t="shared" si="144"/>
        <v>0</v>
      </c>
      <c r="AD55" s="98">
        <f t="shared" si="145"/>
        <v>9638</v>
      </c>
      <c r="AE55" s="98">
        <f t="shared" si="146"/>
        <v>0</v>
      </c>
      <c r="AF55" s="98">
        <f t="shared" si="147"/>
        <v>0</v>
      </c>
      <c r="AG55" s="98">
        <f t="shared" si="148"/>
        <v>0</v>
      </c>
      <c r="AH55" s="126"/>
      <c r="AI55" s="77" t="e">
        <f>SUM(AG55/AC55)-1</f>
        <v>#DIV/0!</v>
      </c>
    </row>
    <row r="56" spans="2:35" s="124" customFormat="1" ht="12.75" customHeight="1">
      <c r="B56" s="116" t="s">
        <v>147</v>
      </c>
      <c r="C56" s="125">
        <f>14818+3123-C54</f>
        <v>17849</v>
      </c>
      <c r="D56" s="125">
        <f>17270+2177-D54</f>
        <v>19336</v>
      </c>
      <c r="E56" s="125">
        <f>15962+2270-E54</f>
        <v>18124</v>
      </c>
      <c r="G56" s="84"/>
      <c r="H56" s="84"/>
      <c r="I56" s="84"/>
      <c r="J56" s="33">
        <f t="shared" ref="J56" si="154">D56</f>
        <v>19336</v>
      </c>
      <c r="K56" s="84"/>
      <c r="L56" s="84"/>
      <c r="M56" s="84"/>
      <c r="N56" s="33">
        <f t="shared" ref="N56" si="155">E56</f>
        <v>18124</v>
      </c>
      <c r="O56" s="84"/>
      <c r="P56" s="84"/>
      <c r="Q56" s="84"/>
      <c r="S56" s="98" t="e">
        <f>#REF!</f>
        <v>#REF!</v>
      </c>
      <c r="T56" s="98" t="e">
        <f>#REF!</f>
        <v>#REF!</v>
      </c>
      <c r="U56" s="98" t="e">
        <f>#REF!</f>
        <v>#REF!</v>
      </c>
      <c r="V56" s="98" t="e">
        <f>#REF!</f>
        <v>#REF!</v>
      </c>
      <c r="W56" s="98">
        <f>G56</f>
        <v>0</v>
      </c>
      <c r="X56" s="98">
        <f>H56</f>
        <v>0</v>
      </c>
      <c r="Y56" s="98">
        <f>I56</f>
        <v>0</v>
      </c>
      <c r="Z56" s="98">
        <f>J56</f>
        <v>19336</v>
      </c>
      <c r="AA56" s="98">
        <f>K56</f>
        <v>0</v>
      </c>
      <c r="AB56" s="98">
        <f>L56</f>
        <v>0</v>
      </c>
      <c r="AC56" s="98">
        <f>M56</f>
        <v>0</v>
      </c>
      <c r="AD56" s="98">
        <f>N56</f>
        <v>18124</v>
      </c>
      <c r="AE56" s="98">
        <f>O56</f>
        <v>0</v>
      </c>
      <c r="AF56" s="98">
        <f>P56</f>
        <v>0</v>
      </c>
      <c r="AG56" s="98">
        <f>Q56</f>
        <v>0</v>
      </c>
      <c r="AH56" s="126"/>
      <c r="AI56" s="77" t="e">
        <f>SUM(AG56/AC56)-1</f>
        <v>#DIV/0!</v>
      </c>
    </row>
    <row r="57" spans="2:35" ht="12.75" customHeight="1">
      <c r="B57" s="26" t="s">
        <v>19</v>
      </c>
      <c r="C57" s="27">
        <f>SUM(C53:C56)</f>
        <v>33108</v>
      </c>
      <c r="D57" s="27">
        <f>SUM(D53:D56)</f>
        <v>36458</v>
      </c>
      <c r="E57" s="27">
        <f>SUM(E53:E56)</f>
        <v>31168</v>
      </c>
      <c r="F57" s="50"/>
      <c r="G57" s="27">
        <f>SUM(G53:G56)</f>
        <v>0</v>
      </c>
      <c r="H57" s="27">
        <f>SUM(H53:H56)</f>
        <v>0</v>
      </c>
      <c r="I57" s="27">
        <f>SUM(I53:I56)</f>
        <v>0</v>
      </c>
      <c r="J57" s="27">
        <f>SUM(J53:J56)</f>
        <v>36458</v>
      </c>
      <c r="K57" s="27">
        <f>SUM(K53:K56)</f>
        <v>0</v>
      </c>
      <c r="L57" s="27">
        <f>SUM(L53:L56)</f>
        <v>0</v>
      </c>
      <c r="M57" s="27">
        <f>SUM(M53:M56)</f>
        <v>0</v>
      </c>
      <c r="N57" s="27">
        <f>SUM(N53:N56)</f>
        <v>31168</v>
      </c>
      <c r="O57" s="27">
        <f>SUM(O53:O56)</f>
        <v>0</v>
      </c>
      <c r="P57" s="27">
        <f>SUM(P53:P56)</f>
        <v>0</v>
      </c>
      <c r="Q57" s="27">
        <f>SUM(Q53:Q56)</f>
        <v>0</v>
      </c>
      <c r="R57" s="50"/>
      <c r="S57" s="27" t="e">
        <f>SUM(S53:S56)</f>
        <v>#REF!</v>
      </c>
      <c r="T57" s="27" t="e">
        <f>SUM(T53:T56)</f>
        <v>#REF!</v>
      </c>
      <c r="U57" s="27" t="e">
        <f>SUM(U53:U56)</f>
        <v>#REF!</v>
      </c>
      <c r="V57" s="27" t="e">
        <f>SUM(V53:V56)</f>
        <v>#REF!</v>
      </c>
      <c r="W57" s="27">
        <f>SUM(W53:W56)</f>
        <v>0</v>
      </c>
      <c r="X57" s="27">
        <f>SUM(X53:X56)</f>
        <v>0</v>
      </c>
      <c r="Y57" s="27">
        <f>SUM(Y53:Y56)</f>
        <v>0</v>
      </c>
      <c r="Z57" s="27">
        <f>SUM(Z53:Z56)</f>
        <v>36347</v>
      </c>
      <c r="AA57" s="27">
        <f>SUM(AA53:AA56)</f>
        <v>0</v>
      </c>
      <c r="AB57" s="27">
        <f>SUM(AB53:AB56)</f>
        <v>0</v>
      </c>
      <c r="AC57" s="27">
        <f>SUM(AC53:AC56)</f>
        <v>0</v>
      </c>
      <c r="AD57" s="27">
        <f>SUM(AD53:AD56)</f>
        <v>31168</v>
      </c>
      <c r="AE57" s="27">
        <f>SUM(AE53:AE56)</f>
        <v>0</v>
      </c>
      <c r="AF57" s="27">
        <f>SUM(AF53:AF56)</f>
        <v>0</v>
      </c>
      <c r="AG57" s="27">
        <f>SUM(AG53:AG56)</f>
        <v>0</v>
      </c>
      <c r="AH57" s="43"/>
      <c r="AI57" s="78" t="e">
        <f>SUM(AG57/AC57)-1</f>
        <v>#DIV/0!</v>
      </c>
    </row>
    <row r="58" spans="2:35" ht="5.0999999999999996" customHeight="1">
      <c r="B58" s="26"/>
      <c r="C58" s="51"/>
      <c r="D58" s="42"/>
      <c r="E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0"/>
    </row>
    <row r="59" spans="2:35" ht="12.75" customHeight="1">
      <c r="B59" s="80" t="s">
        <v>86</v>
      </c>
      <c r="C59" s="84"/>
      <c r="D59" s="84"/>
      <c r="E59" s="84"/>
      <c r="G59" s="84"/>
      <c r="H59" s="84"/>
      <c r="I59" s="84"/>
      <c r="J59" s="84"/>
      <c r="K59" s="84"/>
      <c r="L59" s="84"/>
      <c r="M59" s="84"/>
      <c r="N59" s="84"/>
      <c r="O59" s="33"/>
      <c r="P59" s="84"/>
      <c r="Q59" s="84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11"/>
      <c r="AI59" s="77"/>
    </row>
    <row r="60" spans="2:35" ht="12.75" customHeight="1">
      <c r="B60" s="9" t="s">
        <v>89</v>
      </c>
      <c r="C60" s="84">
        <v>127445</v>
      </c>
      <c r="D60" s="84">
        <v>128489</v>
      </c>
      <c r="E60" s="84">
        <v>128871</v>
      </c>
      <c r="G60" s="84"/>
      <c r="H60" s="84"/>
      <c r="I60" s="84"/>
      <c r="J60" s="33">
        <f t="shared" ref="J60:J66" si="156">D60</f>
        <v>128489</v>
      </c>
      <c r="K60" s="84"/>
      <c r="L60" s="84"/>
      <c r="M60" s="84"/>
      <c r="N60" s="33">
        <f t="shared" ref="N60:N66" si="157">E60</f>
        <v>128871</v>
      </c>
      <c r="O60" s="84"/>
      <c r="P60" s="84"/>
      <c r="Q60" s="84"/>
      <c r="S60" s="33" t="e">
        <f>#REF!</f>
        <v>#REF!</v>
      </c>
      <c r="T60" s="33" t="e">
        <f>#REF!</f>
        <v>#REF!</v>
      </c>
      <c r="U60" s="33" t="e">
        <f>#REF!</f>
        <v>#REF!</v>
      </c>
      <c r="V60" s="33" t="e">
        <f>#REF!</f>
        <v>#REF!</v>
      </c>
      <c r="W60" s="33">
        <f>G60</f>
        <v>0</v>
      </c>
      <c r="X60" s="33">
        <f>H60</f>
        <v>0</v>
      </c>
      <c r="Y60" s="33">
        <f>I60</f>
        <v>0</v>
      </c>
      <c r="Z60" s="33">
        <f>J60</f>
        <v>128489</v>
      </c>
      <c r="AA60" s="33">
        <f>K60</f>
        <v>0</v>
      </c>
      <c r="AB60" s="33">
        <f>L60</f>
        <v>0</v>
      </c>
      <c r="AC60" s="33">
        <f>M60</f>
        <v>0</v>
      </c>
      <c r="AD60" s="33">
        <f>N60</f>
        <v>128871</v>
      </c>
      <c r="AE60" s="33">
        <f>O60</f>
        <v>0</v>
      </c>
      <c r="AF60" s="33">
        <f>P60</f>
        <v>0</v>
      </c>
      <c r="AG60" s="33">
        <f>Q60</f>
        <v>0</v>
      </c>
      <c r="AH60" s="11"/>
      <c r="AI60" s="77" t="e">
        <f>SUM(AG60/AC60)-1</f>
        <v>#DIV/0!</v>
      </c>
    </row>
    <row r="61" spans="2:35" ht="12.75" customHeight="1">
      <c r="B61" s="9" t="s">
        <v>148</v>
      </c>
      <c r="C61" s="84">
        <v>67895</v>
      </c>
      <c r="D61" s="84">
        <v>67854</v>
      </c>
      <c r="E61" s="84">
        <v>63432</v>
      </c>
      <c r="G61" s="84"/>
      <c r="H61" s="84"/>
      <c r="I61" s="84"/>
      <c r="J61" s="33">
        <f t="shared" si="156"/>
        <v>67854</v>
      </c>
      <c r="K61" s="84"/>
      <c r="L61" s="84"/>
      <c r="M61" s="84"/>
      <c r="N61" s="33">
        <f t="shared" si="157"/>
        <v>63432</v>
      </c>
      <c r="O61" s="84"/>
      <c r="P61" s="84"/>
      <c r="Q61" s="84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>
        <f t="shared" ref="AC61:AC66" si="158">M61</f>
        <v>0</v>
      </c>
      <c r="AD61" s="33">
        <f t="shared" ref="AD61:AD66" si="159">N61</f>
        <v>63432</v>
      </c>
      <c r="AE61" s="33">
        <f t="shared" ref="AE61:AE66" si="160">O61</f>
        <v>0</v>
      </c>
      <c r="AF61" s="33">
        <f t="shared" ref="AF61:AF66" si="161">P61</f>
        <v>0</v>
      </c>
      <c r="AG61" s="33">
        <f t="shared" ref="AG61:AG66" si="162">Q61</f>
        <v>0</v>
      </c>
      <c r="AH61" s="11"/>
      <c r="AI61" s="77"/>
    </row>
    <row r="62" spans="2:35" ht="12.75" customHeight="1">
      <c r="B62" s="9" t="s">
        <v>149</v>
      </c>
      <c r="C62" s="84">
        <v>124092</v>
      </c>
      <c r="D62" s="84">
        <v>127219</v>
      </c>
      <c r="E62" s="84">
        <v>127035</v>
      </c>
      <c r="G62" s="84"/>
      <c r="H62" s="84"/>
      <c r="I62" s="84"/>
      <c r="J62" s="33">
        <f t="shared" si="156"/>
        <v>127219</v>
      </c>
      <c r="K62" s="84"/>
      <c r="L62" s="84"/>
      <c r="M62" s="84"/>
      <c r="N62" s="33">
        <f t="shared" si="157"/>
        <v>127035</v>
      </c>
      <c r="O62" s="84"/>
      <c r="P62" s="84"/>
      <c r="Q62" s="84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>
        <f t="shared" si="158"/>
        <v>0</v>
      </c>
      <c r="AD62" s="33">
        <f t="shared" si="159"/>
        <v>127035</v>
      </c>
      <c r="AE62" s="33">
        <f t="shared" si="160"/>
        <v>0</v>
      </c>
      <c r="AF62" s="33">
        <f t="shared" si="161"/>
        <v>0</v>
      </c>
      <c r="AG62" s="33">
        <f t="shared" si="162"/>
        <v>0</v>
      </c>
      <c r="AH62" s="11"/>
      <c r="AI62" s="77"/>
    </row>
    <row r="63" spans="2:35" ht="12.75" customHeight="1">
      <c r="B63" s="9" t="s">
        <v>150</v>
      </c>
      <c r="C63" s="84">
        <v>5354</v>
      </c>
      <c r="D63" s="84">
        <v>5283</v>
      </c>
      <c r="E63" s="84">
        <v>5255</v>
      </c>
      <c r="G63" s="84"/>
      <c r="H63" s="84"/>
      <c r="I63" s="84"/>
      <c r="J63" s="33">
        <f t="shared" si="156"/>
        <v>5283</v>
      </c>
      <c r="K63" s="84"/>
      <c r="L63" s="84"/>
      <c r="M63" s="84"/>
      <c r="N63" s="33">
        <f t="shared" si="157"/>
        <v>5255</v>
      </c>
      <c r="O63" s="84"/>
      <c r="P63" s="84"/>
      <c r="Q63" s="84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>
        <f t="shared" si="158"/>
        <v>0</v>
      </c>
      <c r="AD63" s="33">
        <f t="shared" si="159"/>
        <v>5255</v>
      </c>
      <c r="AE63" s="33">
        <f t="shared" si="160"/>
        <v>0</v>
      </c>
      <c r="AF63" s="33">
        <f t="shared" si="161"/>
        <v>0</v>
      </c>
      <c r="AG63" s="33">
        <f t="shared" si="162"/>
        <v>0</v>
      </c>
      <c r="AH63" s="11"/>
      <c r="AI63" s="77"/>
    </row>
    <row r="64" spans="2:35" ht="12.75" customHeight="1">
      <c r="B64" s="9" t="s">
        <v>151</v>
      </c>
      <c r="C64" s="84">
        <v>3533</v>
      </c>
      <c r="D64" s="84">
        <v>1251</v>
      </c>
      <c r="E64" s="84">
        <v>295</v>
      </c>
      <c r="G64" s="84"/>
      <c r="H64" s="84"/>
      <c r="I64" s="84"/>
      <c r="J64" s="33">
        <f t="shared" si="156"/>
        <v>1251</v>
      </c>
      <c r="K64" s="84"/>
      <c r="L64" s="84"/>
      <c r="M64" s="84"/>
      <c r="N64" s="33">
        <f t="shared" si="157"/>
        <v>295</v>
      </c>
      <c r="O64" s="84"/>
      <c r="P64" s="84"/>
      <c r="Q64" s="84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>
        <f t="shared" si="158"/>
        <v>0</v>
      </c>
      <c r="AD64" s="33">
        <f t="shared" si="159"/>
        <v>295</v>
      </c>
      <c r="AE64" s="33">
        <f t="shared" si="160"/>
        <v>0</v>
      </c>
      <c r="AF64" s="33">
        <f t="shared" si="161"/>
        <v>0</v>
      </c>
      <c r="AG64" s="33">
        <f t="shared" si="162"/>
        <v>0</v>
      </c>
      <c r="AH64" s="11"/>
      <c r="AI64" s="77"/>
    </row>
    <row r="65" spans="2:35" ht="12.75" customHeight="1">
      <c r="B65" s="9" t="s">
        <v>152</v>
      </c>
      <c r="C65" s="84">
        <v>21814</v>
      </c>
      <c r="D65" s="84">
        <v>20905</v>
      </c>
      <c r="E65" s="84">
        <v>20909</v>
      </c>
      <c r="G65" s="84"/>
      <c r="H65" s="84"/>
      <c r="I65" s="84"/>
      <c r="J65" s="33">
        <f t="shared" si="156"/>
        <v>20905</v>
      </c>
      <c r="K65" s="84"/>
      <c r="L65" s="84"/>
      <c r="M65" s="84"/>
      <c r="N65" s="33">
        <f t="shared" si="157"/>
        <v>20909</v>
      </c>
      <c r="O65" s="84"/>
      <c r="P65" s="84"/>
      <c r="Q65" s="84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>
        <f t="shared" si="158"/>
        <v>0</v>
      </c>
      <c r="AD65" s="33">
        <f t="shared" si="159"/>
        <v>20909</v>
      </c>
      <c r="AE65" s="33">
        <f t="shared" si="160"/>
        <v>0</v>
      </c>
      <c r="AF65" s="33">
        <f t="shared" si="161"/>
        <v>0</v>
      </c>
      <c r="AG65" s="33">
        <f t="shared" si="162"/>
        <v>0</v>
      </c>
      <c r="AH65" s="11"/>
      <c r="AI65" s="77"/>
    </row>
    <row r="66" spans="2:35" ht="12.75" customHeight="1">
      <c r="B66" s="9" t="s">
        <v>153</v>
      </c>
      <c r="C66" s="84">
        <v>19612</v>
      </c>
      <c r="D66" s="84">
        <v>19601</v>
      </c>
      <c r="E66" s="84">
        <v>17830</v>
      </c>
      <c r="G66" s="84"/>
      <c r="H66" s="84"/>
      <c r="I66" s="84"/>
      <c r="J66" s="33">
        <f t="shared" si="156"/>
        <v>19601</v>
      </c>
      <c r="K66" s="84"/>
      <c r="L66" s="84"/>
      <c r="M66" s="84"/>
      <c r="N66" s="33">
        <f t="shared" si="157"/>
        <v>17830</v>
      </c>
      <c r="O66" s="84"/>
      <c r="P66" s="84"/>
      <c r="Q66" s="84"/>
      <c r="S66" s="33" t="e">
        <f>#REF!</f>
        <v>#REF!</v>
      </c>
      <c r="T66" s="33" t="e">
        <f>#REF!</f>
        <v>#REF!</v>
      </c>
      <c r="U66" s="33" t="e">
        <f>#REF!</f>
        <v>#REF!</v>
      </c>
      <c r="V66" s="33" t="e">
        <f>#REF!</f>
        <v>#REF!</v>
      </c>
      <c r="W66" s="33">
        <f>G66</f>
        <v>0</v>
      </c>
      <c r="X66" s="33">
        <f>H66</f>
        <v>0</v>
      </c>
      <c r="Y66" s="33">
        <f>I66</f>
        <v>0</v>
      </c>
      <c r="Z66" s="33">
        <f>J66</f>
        <v>19601</v>
      </c>
      <c r="AA66" s="33">
        <f>K66</f>
        <v>0</v>
      </c>
      <c r="AB66" s="33">
        <f>L66</f>
        <v>0</v>
      </c>
      <c r="AC66" s="33">
        <f t="shared" si="158"/>
        <v>0</v>
      </c>
      <c r="AD66" s="33">
        <f t="shared" si="159"/>
        <v>17830</v>
      </c>
      <c r="AE66" s="33">
        <f t="shared" si="160"/>
        <v>0</v>
      </c>
      <c r="AF66" s="33">
        <f t="shared" si="161"/>
        <v>0</v>
      </c>
      <c r="AG66" s="33">
        <f t="shared" si="162"/>
        <v>0</v>
      </c>
      <c r="AH66" s="11"/>
      <c r="AI66" s="77" t="e">
        <f>SUM(AG66/AC66)-1</f>
        <v>#DIV/0!</v>
      </c>
    </row>
    <row r="67" spans="2:35" ht="12.75" customHeight="1">
      <c r="B67" s="13" t="s">
        <v>20</v>
      </c>
      <c r="C67" s="14">
        <f>SUM(C60:C66)+C57</f>
        <v>402853</v>
      </c>
      <c r="D67" s="14">
        <f>SUM(D60:D66)+D57</f>
        <v>407060</v>
      </c>
      <c r="E67" s="35">
        <f>SUM(E60:E66)+E57</f>
        <v>394795</v>
      </c>
      <c r="G67" s="14">
        <f>SUM(G60:G66)+G57</f>
        <v>0</v>
      </c>
      <c r="H67" s="14">
        <f>SUM(H60:H66)+H57</f>
        <v>0</v>
      </c>
      <c r="I67" s="14">
        <f>SUM(I60:I66)+I57</f>
        <v>0</v>
      </c>
      <c r="J67" s="14">
        <f>SUM(J60:J66)+J57</f>
        <v>407060</v>
      </c>
      <c r="K67" s="14">
        <f>SUM(K60:K66)+K57</f>
        <v>0</v>
      </c>
      <c r="L67" s="14">
        <f>SUM(L60:L66)+L57</f>
        <v>0</v>
      </c>
      <c r="M67" s="14">
        <f>SUM(M60:M66)+M57</f>
        <v>0</v>
      </c>
      <c r="N67" s="14">
        <f>SUM(N60:N66)+N57</f>
        <v>394795</v>
      </c>
      <c r="O67" s="14">
        <f>SUM(O60:O66)+O57</f>
        <v>0</v>
      </c>
      <c r="P67" s="14">
        <f>SUM(P60:P66)+P57</f>
        <v>0</v>
      </c>
      <c r="Q67" s="14">
        <f>SUM(Q60:Q66)+Q57</f>
        <v>0</v>
      </c>
      <c r="S67" s="14" t="e">
        <f>SUM(S60:S66)+S57</f>
        <v>#REF!</v>
      </c>
      <c r="T67" s="14" t="e">
        <f>SUM(T60:T66)+T57</f>
        <v>#REF!</v>
      </c>
      <c r="U67" s="14" t="e">
        <f>SUM(U60:U66)+U57</f>
        <v>#REF!</v>
      </c>
      <c r="V67" s="14" t="e">
        <f>SUM(V60:V66)+V57</f>
        <v>#REF!</v>
      </c>
      <c r="W67" s="14">
        <f>SUM(W60:W66)+W57</f>
        <v>0</v>
      </c>
      <c r="X67" s="14">
        <f>SUM(X60:X66)+X57</f>
        <v>0</v>
      </c>
      <c r="Y67" s="14">
        <f>SUM(Y60:Y66)+Y57</f>
        <v>0</v>
      </c>
      <c r="Z67" s="14">
        <f>SUM(Z60:Z66)+Z57</f>
        <v>184437</v>
      </c>
      <c r="AA67" s="14">
        <f>SUM(AA60:AA66)+AA57</f>
        <v>0</v>
      </c>
      <c r="AB67" s="14">
        <f>SUM(AB60:AB66)+AB57</f>
        <v>0</v>
      </c>
      <c r="AC67" s="14">
        <f>SUM(AC60:AC66)+AC57</f>
        <v>0</v>
      </c>
      <c r="AD67" s="14">
        <f>SUM(AD60:AD66)+AD57</f>
        <v>394795</v>
      </c>
      <c r="AE67" s="14">
        <f>SUM(AE60:AE66)+AE57</f>
        <v>0</v>
      </c>
      <c r="AF67" s="14">
        <f>SUM(AF60:AF66)+AF57</f>
        <v>0</v>
      </c>
      <c r="AG67" s="14">
        <f>SUM(AG60:AG66)+AG57</f>
        <v>0</v>
      </c>
      <c r="AH67" s="43"/>
      <c r="AI67" s="78" t="e">
        <f>SUM(AG67/AC67)-1</f>
        <v>#DIV/0!</v>
      </c>
    </row>
    <row r="68" spans="2:35" ht="12.75" customHeight="1">
      <c r="B68" s="26"/>
      <c r="C68" s="52"/>
      <c r="D68" s="42"/>
      <c r="E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0"/>
    </row>
    <row r="69" spans="2:35" ht="12.75" customHeight="1">
      <c r="B69" s="80" t="s">
        <v>47</v>
      </c>
      <c r="C69" s="52"/>
      <c r="D69" s="42"/>
      <c r="E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0"/>
    </row>
    <row r="70" spans="2:35" ht="12.75" customHeight="1">
      <c r="B70" s="122" t="s">
        <v>157</v>
      </c>
      <c r="C70" s="123">
        <v>7467</v>
      </c>
      <c r="D70" s="123">
        <v>9477</v>
      </c>
      <c r="E70" s="123">
        <v>5089</v>
      </c>
      <c r="G70" s="84"/>
      <c r="H70" s="84"/>
      <c r="I70" s="84"/>
      <c r="J70" s="33">
        <f t="shared" ref="J70:J74" si="163">D70</f>
        <v>9477</v>
      </c>
      <c r="K70" s="84"/>
      <c r="L70" s="84"/>
      <c r="M70" s="84"/>
      <c r="N70" s="33">
        <f t="shared" ref="N70:N74" si="164">E70</f>
        <v>5089</v>
      </c>
      <c r="O70" s="84"/>
      <c r="P70" s="84"/>
      <c r="Q70" s="84"/>
      <c r="S70" s="99" t="e">
        <f>#REF!</f>
        <v>#REF!</v>
      </c>
      <c r="T70" s="99" t="e">
        <f>#REF!</f>
        <v>#REF!</v>
      </c>
      <c r="U70" s="99" t="e">
        <f>#REF!</f>
        <v>#REF!</v>
      </c>
      <c r="V70" s="99" t="e">
        <f>#REF!</f>
        <v>#REF!</v>
      </c>
      <c r="W70" s="99">
        <f>G70</f>
        <v>0</v>
      </c>
      <c r="X70" s="99">
        <f>H70</f>
        <v>0</v>
      </c>
      <c r="Y70" s="99">
        <f>I70</f>
        <v>0</v>
      </c>
      <c r="Z70" s="99">
        <f>J70</f>
        <v>9477</v>
      </c>
      <c r="AA70" s="99">
        <f>K70</f>
        <v>0</v>
      </c>
      <c r="AB70" s="99">
        <f>L70</f>
        <v>0</v>
      </c>
      <c r="AC70" s="99">
        <f>M70</f>
        <v>0</v>
      </c>
      <c r="AD70" s="99">
        <f>N70</f>
        <v>5089</v>
      </c>
      <c r="AE70" s="99">
        <f>O70</f>
        <v>0</v>
      </c>
      <c r="AF70" s="99">
        <f>P70</f>
        <v>0</v>
      </c>
      <c r="AG70" s="99">
        <f>Q70</f>
        <v>0</v>
      </c>
      <c r="AH70" s="11"/>
      <c r="AI70" s="77" t="e">
        <f>SUM(AG70/AC70)-1</f>
        <v>#DIV/0!</v>
      </c>
    </row>
    <row r="71" spans="2:35" ht="12.75" customHeight="1">
      <c r="B71" s="122" t="s">
        <v>171</v>
      </c>
      <c r="C71" s="123">
        <v>130</v>
      </c>
      <c r="D71" s="123">
        <v>0</v>
      </c>
      <c r="E71" s="123">
        <v>0</v>
      </c>
      <c r="G71" s="84"/>
      <c r="H71" s="84"/>
      <c r="I71" s="84"/>
      <c r="J71" s="33">
        <f t="shared" si="163"/>
        <v>0</v>
      </c>
      <c r="K71" s="84"/>
      <c r="L71" s="84"/>
      <c r="M71" s="84"/>
      <c r="N71" s="33">
        <f t="shared" si="164"/>
        <v>0</v>
      </c>
      <c r="O71" s="84"/>
      <c r="P71" s="84"/>
      <c r="Q71" s="84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>
        <f>M71</f>
        <v>0</v>
      </c>
      <c r="AD71" s="99">
        <f>N71</f>
        <v>0</v>
      </c>
      <c r="AE71" s="99">
        <f>O71</f>
        <v>0</v>
      </c>
      <c r="AF71" s="99">
        <f>P71</f>
        <v>0</v>
      </c>
      <c r="AG71" s="99">
        <f>Q71</f>
        <v>0</v>
      </c>
      <c r="AH71" s="11"/>
      <c r="AI71" s="77"/>
    </row>
    <row r="72" spans="2:35" ht="12.75" customHeight="1">
      <c r="B72" s="122" t="s">
        <v>156</v>
      </c>
      <c r="C72" s="123">
        <v>42644</v>
      </c>
      <c r="D72" s="123">
        <v>35852</v>
      </c>
      <c r="E72" s="123">
        <v>35657</v>
      </c>
      <c r="G72" s="84"/>
      <c r="H72" s="84"/>
      <c r="I72" s="84"/>
      <c r="J72" s="33">
        <f t="shared" si="163"/>
        <v>35852</v>
      </c>
      <c r="K72" s="84"/>
      <c r="L72" s="84"/>
      <c r="M72" s="84"/>
      <c r="N72" s="33">
        <f t="shared" si="164"/>
        <v>35657</v>
      </c>
      <c r="O72" s="84"/>
      <c r="P72" s="84"/>
      <c r="Q72" s="84"/>
      <c r="S72" s="99" t="e">
        <f>#REF!</f>
        <v>#REF!</v>
      </c>
      <c r="T72" s="99" t="e">
        <f>#REF!</f>
        <v>#REF!</v>
      </c>
      <c r="U72" s="99" t="e">
        <f>#REF!</f>
        <v>#REF!</v>
      </c>
      <c r="V72" s="99" t="e">
        <f>#REF!</f>
        <v>#REF!</v>
      </c>
      <c r="W72" s="99">
        <f>G72</f>
        <v>0</v>
      </c>
      <c r="X72" s="99">
        <f>H72</f>
        <v>0</v>
      </c>
      <c r="Y72" s="99">
        <f>I72</f>
        <v>0</v>
      </c>
      <c r="Z72" s="99">
        <f>J72</f>
        <v>35852</v>
      </c>
      <c r="AA72" s="99">
        <f>K72</f>
        <v>0</v>
      </c>
      <c r="AB72" s="99">
        <f>L72</f>
        <v>0</v>
      </c>
      <c r="AC72" s="99">
        <f>M72</f>
        <v>0</v>
      </c>
      <c r="AD72" s="99">
        <f>N72</f>
        <v>35657</v>
      </c>
      <c r="AE72" s="99">
        <f>O72</f>
        <v>0</v>
      </c>
      <c r="AF72" s="99">
        <f>P72</f>
        <v>0</v>
      </c>
      <c r="AG72" s="99">
        <f>Q72</f>
        <v>0</v>
      </c>
      <c r="AH72" s="11"/>
      <c r="AI72" s="77" t="e">
        <f>SUM(AG72/AC72)-1</f>
        <v>#DIV/0!</v>
      </c>
    </row>
    <row r="73" spans="2:35" ht="12.75" customHeight="1">
      <c r="B73" s="122" t="s">
        <v>155</v>
      </c>
      <c r="C73" s="123">
        <v>3918</v>
      </c>
      <c r="D73" s="123">
        <v>3778</v>
      </c>
      <c r="E73" s="123">
        <v>4099</v>
      </c>
      <c r="G73" s="84"/>
      <c r="H73" s="84"/>
      <c r="I73" s="84"/>
      <c r="J73" s="33">
        <f t="shared" si="163"/>
        <v>3778</v>
      </c>
      <c r="K73" s="84"/>
      <c r="L73" s="84"/>
      <c r="M73" s="84"/>
      <c r="N73" s="33">
        <f t="shared" si="164"/>
        <v>4099</v>
      </c>
      <c r="O73" s="84"/>
      <c r="P73" s="84"/>
      <c r="Q73" s="84"/>
      <c r="S73" s="99" t="e">
        <f>#REF!</f>
        <v>#REF!</v>
      </c>
      <c r="T73" s="99" t="e">
        <f>#REF!</f>
        <v>#REF!</v>
      </c>
      <c r="U73" s="99" t="e">
        <f>#REF!</f>
        <v>#REF!</v>
      </c>
      <c r="V73" s="99" t="e">
        <f>#REF!</f>
        <v>#REF!</v>
      </c>
      <c r="W73" s="99">
        <f>G73</f>
        <v>0</v>
      </c>
      <c r="X73" s="99">
        <f>H73</f>
        <v>0</v>
      </c>
      <c r="Y73" s="99">
        <f>I73</f>
        <v>0</v>
      </c>
      <c r="Z73" s="99">
        <f>J73</f>
        <v>3778</v>
      </c>
      <c r="AA73" s="99">
        <f>K73</f>
        <v>0</v>
      </c>
      <c r="AB73" s="99">
        <f>L73</f>
        <v>0</v>
      </c>
      <c r="AC73" s="99">
        <f>M73</f>
        <v>0</v>
      </c>
      <c r="AD73" s="99">
        <f>N73</f>
        <v>4099</v>
      </c>
      <c r="AE73" s="99">
        <f>O73</f>
        <v>0</v>
      </c>
      <c r="AF73" s="99">
        <f>P73</f>
        <v>0</v>
      </c>
      <c r="AG73" s="99">
        <f>Q73</f>
        <v>0</v>
      </c>
      <c r="AH73" s="11"/>
      <c r="AI73" s="77" t="e">
        <f>SUM(AG73/AC73)-1</f>
        <v>#DIV/0!</v>
      </c>
    </row>
    <row r="74" spans="2:35" ht="12.75" customHeight="1">
      <c r="B74" s="122" t="s">
        <v>154</v>
      </c>
      <c r="C74" s="123">
        <v>2014</v>
      </c>
      <c r="D74" s="123">
        <v>2020</v>
      </c>
      <c r="E74" s="123">
        <v>2027</v>
      </c>
      <c r="G74" s="84"/>
      <c r="H74" s="84"/>
      <c r="I74" s="84"/>
      <c r="J74" s="33">
        <f t="shared" si="163"/>
        <v>2020</v>
      </c>
      <c r="K74" s="84"/>
      <c r="L74" s="84"/>
      <c r="M74" s="84"/>
      <c r="N74" s="33">
        <f t="shared" si="164"/>
        <v>2027</v>
      </c>
      <c r="O74" s="84"/>
      <c r="P74" s="84"/>
      <c r="Q74" s="84"/>
      <c r="S74" s="99" t="e">
        <f>#REF!</f>
        <v>#REF!</v>
      </c>
      <c r="T74" s="99" t="e">
        <f>#REF!</f>
        <v>#REF!</v>
      </c>
      <c r="U74" s="99" t="e">
        <f>#REF!</f>
        <v>#REF!</v>
      </c>
      <c r="V74" s="99" t="e">
        <f>#REF!</f>
        <v>#REF!</v>
      </c>
      <c r="W74" s="99">
        <f>G74</f>
        <v>0</v>
      </c>
      <c r="X74" s="99">
        <f>H74</f>
        <v>0</v>
      </c>
      <c r="Y74" s="99">
        <f>I74</f>
        <v>0</v>
      </c>
      <c r="Z74" s="99">
        <f>J74</f>
        <v>2020</v>
      </c>
      <c r="AA74" s="99">
        <f>K74</f>
        <v>0</v>
      </c>
      <c r="AB74" s="99">
        <f>L74</f>
        <v>0</v>
      </c>
      <c r="AC74" s="99">
        <f>M74</f>
        <v>0</v>
      </c>
      <c r="AD74" s="99">
        <f>N74</f>
        <v>2027</v>
      </c>
      <c r="AE74" s="99">
        <f>O74</f>
        <v>0</v>
      </c>
      <c r="AF74" s="99">
        <f>P74</f>
        <v>0</v>
      </c>
      <c r="AG74" s="99">
        <f>Q74</f>
        <v>0</v>
      </c>
      <c r="AH74" s="11"/>
      <c r="AI74" s="77" t="e">
        <f>SUM(AG74/AC74)-1</f>
        <v>#DIV/0!</v>
      </c>
    </row>
    <row r="75" spans="2:35" ht="12.75" customHeight="1">
      <c r="B75" s="26" t="s">
        <v>17</v>
      </c>
      <c r="C75" s="27">
        <f>SUM(C70:C74)</f>
        <v>56173</v>
      </c>
      <c r="D75" s="27">
        <f>SUM(D70:D74)</f>
        <v>51127</v>
      </c>
      <c r="E75" s="164">
        <f>SUM(E70:E74)</f>
        <v>46872</v>
      </c>
      <c r="G75" s="27">
        <f>SUM(G70:G74)</f>
        <v>0</v>
      </c>
      <c r="H75" s="27">
        <f>SUM(H70:H74)</f>
        <v>0</v>
      </c>
      <c r="I75" s="27">
        <f>SUM(I70:I74)</f>
        <v>0</v>
      </c>
      <c r="J75" s="27">
        <f>SUM(J70:J74)</f>
        <v>51127</v>
      </c>
      <c r="K75" s="27">
        <f>SUM(K70:K74)</f>
        <v>0</v>
      </c>
      <c r="L75" s="27">
        <f>SUM(L70:L74)</f>
        <v>0</v>
      </c>
      <c r="M75" s="27">
        <f>SUM(M70:M74)</f>
        <v>0</v>
      </c>
      <c r="N75" s="27">
        <f>SUM(N70:N74)</f>
        <v>46872</v>
      </c>
      <c r="O75" s="27">
        <f>SUM(O70:O74)</f>
        <v>0</v>
      </c>
      <c r="P75" s="27">
        <f>SUM(P70:P74)</f>
        <v>0</v>
      </c>
      <c r="Q75" s="27">
        <f>SUM(Q70:Q74)</f>
        <v>0</v>
      </c>
      <c r="R75" s="50"/>
      <c r="S75" s="27" t="e">
        <f>SUM(S70:S74)</f>
        <v>#REF!</v>
      </c>
      <c r="T75" s="27" t="e">
        <f>SUM(T70:T74)</f>
        <v>#REF!</v>
      </c>
      <c r="U75" s="27" t="e">
        <f>SUM(U70:U74)</f>
        <v>#REF!</v>
      </c>
      <c r="V75" s="27" t="e">
        <f>SUM(V70:V74)</f>
        <v>#REF!</v>
      </c>
      <c r="W75" s="27">
        <f>SUM(W70:W74)</f>
        <v>0</v>
      </c>
      <c r="X75" s="27">
        <f>SUM(X70:X74)</f>
        <v>0</v>
      </c>
      <c r="Y75" s="27">
        <f>SUM(Y70:Y74)</f>
        <v>0</v>
      </c>
      <c r="Z75" s="27">
        <f>SUM(Z70:Z74)</f>
        <v>51127</v>
      </c>
      <c r="AA75" s="27">
        <f>SUM(AA70:AA74)</f>
        <v>0</v>
      </c>
      <c r="AB75" s="27">
        <f>SUM(AB70:AB74)</f>
        <v>0</v>
      </c>
      <c r="AC75" s="27">
        <f>SUM(AC70:AC74)</f>
        <v>0</v>
      </c>
      <c r="AD75" s="27">
        <f>SUM(AD70:AD74)</f>
        <v>46872</v>
      </c>
      <c r="AE75" s="27">
        <f>SUM(AE70:AE74)</f>
        <v>0</v>
      </c>
      <c r="AF75" s="27">
        <f>SUM(AF70:AF74)</f>
        <v>0</v>
      </c>
      <c r="AG75" s="27">
        <f>SUM(AG70:AG74)</f>
        <v>0</v>
      </c>
      <c r="AH75" s="43"/>
      <c r="AI75" s="78" t="e">
        <f>SUM(AG75/AC75)-1</f>
        <v>#DIV/0!</v>
      </c>
    </row>
    <row r="76" spans="2:35" ht="5.0999999999999996" customHeight="1">
      <c r="B76" s="26"/>
      <c r="C76" s="52"/>
      <c r="D76" s="42"/>
      <c r="E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0"/>
    </row>
    <row r="77" spans="2:35">
      <c r="B77" s="80" t="s">
        <v>87</v>
      </c>
      <c r="C77" s="52"/>
      <c r="D77" s="42"/>
      <c r="E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0"/>
    </row>
    <row r="78" spans="2:35">
      <c r="B78" s="122" t="s">
        <v>170</v>
      </c>
      <c r="C78" s="123">
        <v>128423</v>
      </c>
      <c r="D78" s="123">
        <v>127854</v>
      </c>
      <c r="E78" s="123">
        <v>118443</v>
      </c>
      <c r="G78" s="42"/>
      <c r="H78" s="42"/>
      <c r="I78" s="42"/>
      <c r="J78" s="33">
        <f t="shared" ref="J78" si="165">D78</f>
        <v>127854</v>
      </c>
      <c r="K78" s="84"/>
      <c r="L78" s="84"/>
      <c r="M78" s="84"/>
      <c r="N78" s="33">
        <f t="shared" ref="N78" si="166">E78</f>
        <v>118443</v>
      </c>
      <c r="O78" s="42"/>
      <c r="P78" s="42"/>
      <c r="Q78" s="42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33">
        <f>M78</f>
        <v>0</v>
      </c>
      <c r="AD78" s="33">
        <f>N78</f>
        <v>118443</v>
      </c>
      <c r="AE78" s="33">
        <f>O78</f>
        <v>0</v>
      </c>
      <c r="AF78" s="33">
        <f>P78</f>
        <v>0</v>
      </c>
      <c r="AG78" s="33">
        <f>Q78</f>
        <v>0</v>
      </c>
      <c r="AH78" s="43"/>
      <c r="AI78" s="40"/>
    </row>
    <row r="79" spans="2:35" ht="12.75" customHeight="1">
      <c r="B79" s="122" t="s">
        <v>90</v>
      </c>
      <c r="C79" s="123">
        <v>57032</v>
      </c>
      <c r="D79" s="123">
        <v>58666</v>
      </c>
      <c r="E79" s="123">
        <v>58939</v>
      </c>
      <c r="F79" s="53"/>
      <c r="G79" s="84"/>
      <c r="H79" s="84"/>
      <c r="I79" s="84"/>
      <c r="J79" s="33">
        <f t="shared" ref="J79:J82" si="167">D79</f>
        <v>58666</v>
      </c>
      <c r="K79" s="84"/>
      <c r="L79" s="84"/>
      <c r="M79" s="84"/>
      <c r="N79" s="33">
        <f t="shared" ref="N79:N82" si="168">E79</f>
        <v>58939</v>
      </c>
      <c r="O79" s="84"/>
      <c r="P79" s="84"/>
      <c r="Q79" s="84"/>
      <c r="R79" s="123"/>
      <c r="S79" s="99" t="e">
        <f>#REF!</f>
        <v>#REF!</v>
      </c>
      <c r="T79" s="99" t="e">
        <f>#REF!</f>
        <v>#REF!</v>
      </c>
      <c r="U79" s="99" t="e">
        <f>#REF!</f>
        <v>#REF!</v>
      </c>
      <c r="V79" s="99" t="e">
        <f>#REF!</f>
        <v>#REF!</v>
      </c>
      <c r="W79" s="99">
        <f>G79</f>
        <v>0</v>
      </c>
      <c r="X79" s="99">
        <f>H79</f>
        <v>0</v>
      </c>
      <c r="Y79" s="99">
        <f>I79</f>
        <v>0</v>
      </c>
      <c r="Z79" s="99">
        <f>J79</f>
        <v>58666</v>
      </c>
      <c r="AA79" s="99">
        <f>K79</f>
        <v>0</v>
      </c>
      <c r="AB79" s="99">
        <f>L79</f>
        <v>0</v>
      </c>
      <c r="AC79" s="99">
        <f>M79</f>
        <v>0</v>
      </c>
      <c r="AD79" s="99">
        <f>N79</f>
        <v>58939</v>
      </c>
      <c r="AE79" s="99">
        <f>O79</f>
        <v>0</v>
      </c>
      <c r="AF79" s="99">
        <f>P79</f>
        <v>0</v>
      </c>
      <c r="AG79" s="99">
        <f>Q79</f>
        <v>0</v>
      </c>
      <c r="AH79" s="43"/>
      <c r="AI79" s="77" t="e">
        <f>SUM(AG79/AC79)-1</f>
        <v>#DIV/0!</v>
      </c>
    </row>
    <row r="80" spans="2:35" ht="12.75" customHeight="1">
      <c r="B80" s="122" t="s">
        <v>160</v>
      </c>
      <c r="C80" s="123">
        <v>7260</v>
      </c>
      <c r="D80" s="123">
        <v>8734</v>
      </c>
      <c r="E80" s="123">
        <v>9025</v>
      </c>
      <c r="F80" s="53"/>
      <c r="G80" s="84"/>
      <c r="H80" s="84"/>
      <c r="I80" s="84"/>
      <c r="J80" s="33">
        <f t="shared" si="167"/>
        <v>8734</v>
      </c>
      <c r="K80" s="84"/>
      <c r="L80" s="84"/>
      <c r="M80" s="84"/>
      <c r="N80" s="33">
        <f t="shared" si="168"/>
        <v>9025</v>
      </c>
      <c r="O80" s="84"/>
      <c r="P80" s="84"/>
      <c r="Q80" s="84"/>
      <c r="R80" s="123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>
        <f t="shared" ref="AC80:AC82" si="169">M80</f>
        <v>0</v>
      </c>
      <c r="AD80" s="99">
        <f t="shared" ref="AD80:AD82" si="170">N80</f>
        <v>9025</v>
      </c>
      <c r="AE80" s="99">
        <f t="shared" ref="AE80:AE82" si="171">O80</f>
        <v>0</v>
      </c>
      <c r="AF80" s="99">
        <f t="shared" ref="AF80:AF82" si="172">P80</f>
        <v>0</v>
      </c>
      <c r="AG80" s="99">
        <f t="shared" ref="AG80:AG82" si="173">Q80</f>
        <v>0</v>
      </c>
      <c r="AH80" s="43"/>
      <c r="AI80" s="77"/>
    </row>
    <row r="81" spans="2:35" ht="12.75" customHeight="1">
      <c r="B81" s="122" t="s">
        <v>159</v>
      </c>
      <c r="C81" s="123">
        <v>18659</v>
      </c>
      <c r="D81" s="123">
        <v>17568</v>
      </c>
      <c r="E81" s="123">
        <v>17391</v>
      </c>
      <c r="F81" s="53"/>
      <c r="G81" s="84"/>
      <c r="H81" s="84"/>
      <c r="I81" s="84"/>
      <c r="J81" s="33">
        <f t="shared" si="167"/>
        <v>17568</v>
      </c>
      <c r="K81" s="84"/>
      <c r="L81" s="84"/>
      <c r="M81" s="84"/>
      <c r="N81" s="33">
        <f t="shared" si="168"/>
        <v>17391</v>
      </c>
      <c r="O81" s="84"/>
      <c r="P81" s="84"/>
      <c r="Q81" s="84"/>
      <c r="R81" s="123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>
        <f t="shared" si="169"/>
        <v>0</v>
      </c>
      <c r="AD81" s="99">
        <f t="shared" si="170"/>
        <v>17391</v>
      </c>
      <c r="AE81" s="99">
        <f t="shared" si="171"/>
        <v>0</v>
      </c>
      <c r="AF81" s="99">
        <f t="shared" si="172"/>
        <v>0</v>
      </c>
      <c r="AG81" s="99">
        <f t="shared" si="173"/>
        <v>0</v>
      </c>
      <c r="AH81" s="43"/>
      <c r="AI81" s="77"/>
    </row>
    <row r="82" spans="2:35" ht="12.75" customHeight="1">
      <c r="B82" s="122" t="s">
        <v>158</v>
      </c>
      <c r="C82" s="123">
        <v>28849</v>
      </c>
      <c r="D82" s="123">
        <v>23696</v>
      </c>
      <c r="E82" s="123">
        <v>23900</v>
      </c>
      <c r="F82" s="53"/>
      <c r="G82" s="84"/>
      <c r="H82" s="84"/>
      <c r="I82" s="84"/>
      <c r="J82" s="33">
        <f t="shared" si="167"/>
        <v>23696</v>
      </c>
      <c r="K82" s="84"/>
      <c r="L82" s="84"/>
      <c r="M82" s="84"/>
      <c r="N82" s="33">
        <f t="shared" si="168"/>
        <v>23900</v>
      </c>
      <c r="O82" s="84"/>
      <c r="P82" s="84"/>
      <c r="Q82" s="84"/>
      <c r="R82" s="123"/>
      <c r="S82" s="99"/>
      <c r="T82" s="99"/>
      <c r="U82" s="99"/>
      <c r="V82" s="99"/>
      <c r="W82" s="99"/>
      <c r="X82" s="99"/>
      <c r="Y82" s="99"/>
      <c r="Z82" s="99"/>
      <c r="AA82" s="99"/>
      <c r="AB82" s="99"/>
      <c r="AC82" s="99">
        <f t="shared" si="169"/>
        <v>0</v>
      </c>
      <c r="AD82" s="99">
        <f t="shared" si="170"/>
        <v>23900</v>
      </c>
      <c r="AE82" s="99">
        <f t="shared" si="171"/>
        <v>0</v>
      </c>
      <c r="AF82" s="99">
        <f t="shared" si="172"/>
        <v>0</v>
      </c>
      <c r="AG82" s="99">
        <f t="shared" si="173"/>
        <v>0</v>
      </c>
      <c r="AH82" s="43"/>
      <c r="AI82" s="77"/>
    </row>
    <row r="83" spans="2:35" ht="12.75" customHeight="1">
      <c r="B83" s="13" t="s">
        <v>15</v>
      </c>
      <c r="C83" s="14">
        <f>SUM(C78:C82)+C75</f>
        <v>296396</v>
      </c>
      <c r="D83" s="14">
        <f>SUM(D78:D82)+D75</f>
        <v>287645</v>
      </c>
      <c r="E83" s="14">
        <f>SUM(E78:E82)+E75</f>
        <v>274570</v>
      </c>
      <c r="G83" s="14">
        <f t="shared" ref="G83:Q83" si="174">SUM(G78:G82)+G75</f>
        <v>0</v>
      </c>
      <c r="H83" s="14">
        <f t="shared" si="174"/>
        <v>0</v>
      </c>
      <c r="I83" s="14">
        <f t="shared" si="174"/>
        <v>0</v>
      </c>
      <c r="J83" s="14">
        <f t="shared" si="174"/>
        <v>287645</v>
      </c>
      <c r="K83" s="14">
        <f t="shared" si="174"/>
        <v>0</v>
      </c>
      <c r="L83" s="14">
        <f t="shared" si="174"/>
        <v>0</v>
      </c>
      <c r="M83" s="14">
        <f t="shared" si="174"/>
        <v>0</v>
      </c>
      <c r="N83" s="14">
        <f t="shared" si="174"/>
        <v>274570</v>
      </c>
      <c r="O83" s="14">
        <f t="shared" si="174"/>
        <v>0</v>
      </c>
      <c r="P83" s="14">
        <f t="shared" si="174"/>
        <v>0</v>
      </c>
      <c r="Q83" s="14">
        <f t="shared" si="174"/>
        <v>0</v>
      </c>
      <c r="R83" s="123"/>
      <c r="S83" s="14" t="e">
        <f t="shared" ref="S83" si="175">SUM(S78:S82)+S75</f>
        <v>#REF!</v>
      </c>
      <c r="T83" s="14" t="e">
        <f t="shared" ref="T83" si="176">SUM(T78:T82)+T75</f>
        <v>#REF!</v>
      </c>
      <c r="U83" s="14" t="e">
        <f t="shared" ref="U83" si="177">SUM(U78:U82)+U75</f>
        <v>#REF!</v>
      </c>
      <c r="V83" s="14" t="e">
        <f t="shared" ref="V83" si="178">SUM(V78:V82)+V75</f>
        <v>#REF!</v>
      </c>
      <c r="W83" s="14">
        <f t="shared" ref="W83" si="179">SUM(W78:W82)+W75</f>
        <v>0</v>
      </c>
      <c r="X83" s="14">
        <f t="shared" ref="X83" si="180">SUM(X78:X82)+X75</f>
        <v>0</v>
      </c>
      <c r="Y83" s="14">
        <f t="shared" ref="Y83" si="181">SUM(Y78:Y82)+Y75</f>
        <v>0</v>
      </c>
      <c r="Z83" s="14">
        <f t="shared" ref="Z83" si="182">SUM(Z78:Z82)+Z75</f>
        <v>109793</v>
      </c>
      <c r="AA83" s="14">
        <f t="shared" ref="AA83" si="183">SUM(AA78:AA82)+AA75</f>
        <v>0</v>
      </c>
      <c r="AB83" s="14">
        <f t="shared" ref="AB83" si="184">SUM(AB78:AB82)+AB75</f>
        <v>0</v>
      </c>
      <c r="AC83" s="14">
        <f t="shared" ref="AC83" si="185">SUM(AC78:AC82)+AC75</f>
        <v>0</v>
      </c>
      <c r="AD83" s="14">
        <f t="shared" ref="AD83" si="186">SUM(AD78:AD82)+AD75</f>
        <v>274570</v>
      </c>
      <c r="AE83" s="14">
        <f t="shared" ref="AE83" si="187">SUM(AE78:AE82)+AE75</f>
        <v>0</v>
      </c>
      <c r="AF83" s="14">
        <f t="shared" ref="AF83" si="188">SUM(AF78:AF82)+AF75</f>
        <v>0</v>
      </c>
      <c r="AG83" s="14">
        <f t="shared" ref="AG83" si="189">SUM(AG78:AG82)+AG75</f>
        <v>0</v>
      </c>
      <c r="AH83" s="43"/>
      <c r="AI83" s="78" t="e">
        <f>SUM(AG83/AC83)-1</f>
        <v>#DIV/0!</v>
      </c>
    </row>
    <row r="84" spans="2:35" ht="5.0999999999999996" customHeight="1">
      <c r="B84" s="26"/>
      <c r="C84" s="51"/>
      <c r="D84" s="42"/>
      <c r="E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0"/>
    </row>
    <row r="85" spans="2:35" ht="12.75" customHeight="1">
      <c r="B85" s="9" t="s">
        <v>161</v>
      </c>
      <c r="C85" s="84">
        <v>0</v>
      </c>
      <c r="D85" s="84">
        <v>0</v>
      </c>
      <c r="E85" s="84">
        <v>0</v>
      </c>
      <c r="F85" s="33"/>
      <c r="G85" s="84"/>
      <c r="H85" s="84"/>
      <c r="I85" s="84"/>
      <c r="J85" s="33">
        <f>D85</f>
        <v>0</v>
      </c>
      <c r="K85" s="84"/>
      <c r="L85" s="84"/>
      <c r="M85" s="84"/>
      <c r="N85" s="33">
        <f>E85</f>
        <v>0</v>
      </c>
      <c r="O85" s="84"/>
      <c r="P85" s="84"/>
      <c r="Q85" s="84"/>
      <c r="S85" s="33" t="e">
        <f>#REF!</f>
        <v>#REF!</v>
      </c>
      <c r="T85" s="33" t="e">
        <f>#REF!</f>
        <v>#REF!</v>
      </c>
      <c r="U85" s="33" t="e">
        <f>#REF!</f>
        <v>#REF!</v>
      </c>
      <c r="V85" s="33" t="e">
        <f>#REF!</f>
        <v>#REF!</v>
      </c>
      <c r="W85" s="33">
        <f>G85</f>
        <v>0</v>
      </c>
      <c r="X85" s="33">
        <f>H85</f>
        <v>0</v>
      </c>
      <c r="Y85" s="33">
        <f>I85</f>
        <v>0</v>
      </c>
      <c r="Z85" s="33">
        <f>J85</f>
        <v>0</v>
      </c>
      <c r="AA85" s="33">
        <f>K85</f>
        <v>0</v>
      </c>
      <c r="AB85" s="33">
        <f>L85</f>
        <v>0</v>
      </c>
      <c r="AC85" s="33">
        <f>M85</f>
        <v>0</v>
      </c>
      <c r="AD85" s="33">
        <f>N85</f>
        <v>0</v>
      </c>
      <c r="AE85" s="33">
        <f>O85</f>
        <v>0</v>
      </c>
      <c r="AF85" s="33">
        <f>P85</f>
        <v>0</v>
      </c>
      <c r="AG85" s="33">
        <f>Q85</f>
        <v>0</v>
      </c>
      <c r="AH85" s="11"/>
      <c r="AI85" s="77" t="e">
        <f>SUM(AG85/AC85)-1</f>
        <v>#DIV/0!</v>
      </c>
    </row>
    <row r="86" spans="2:35" ht="12.75" customHeight="1">
      <c r="B86" s="9" t="s">
        <v>18</v>
      </c>
      <c r="C86" s="84">
        <v>7621</v>
      </c>
      <c r="D86" s="84">
        <v>7621</v>
      </c>
      <c r="E86" s="84">
        <v>7621</v>
      </c>
      <c r="F86" s="33"/>
      <c r="G86" s="84"/>
      <c r="H86" s="84"/>
      <c r="I86" s="84"/>
      <c r="J86" s="33">
        <f t="shared" ref="J86:J90" si="190">D86</f>
        <v>7621</v>
      </c>
      <c r="K86" s="84"/>
      <c r="L86" s="84"/>
      <c r="M86" s="84"/>
      <c r="N86" s="33">
        <f t="shared" ref="N86:N90" si="191">E86</f>
        <v>7621</v>
      </c>
      <c r="O86" s="84"/>
      <c r="P86" s="84"/>
      <c r="Q86" s="84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>
        <f t="shared" ref="AC86:AC90" si="192">M86</f>
        <v>0</v>
      </c>
      <c r="AD86" s="33">
        <f t="shared" ref="AD86:AD90" si="193">N86</f>
        <v>7621</v>
      </c>
      <c r="AE86" s="33">
        <f t="shared" ref="AE86:AE90" si="194">O86</f>
        <v>0</v>
      </c>
      <c r="AF86" s="33">
        <f t="shared" ref="AF86:AF90" si="195">P86</f>
        <v>0</v>
      </c>
      <c r="AG86" s="33">
        <f t="shared" ref="AG86:AG90" si="196">Q86</f>
        <v>0</v>
      </c>
      <c r="AH86" s="11"/>
      <c r="AI86" s="77"/>
    </row>
    <row r="87" spans="2:35" ht="12.75" customHeight="1">
      <c r="B87" s="9" t="s">
        <v>162</v>
      </c>
      <c r="C87" s="84">
        <v>123610</v>
      </c>
      <c r="D87" s="84">
        <v>114519</v>
      </c>
      <c r="E87" s="84">
        <v>109108</v>
      </c>
      <c r="F87" s="33"/>
      <c r="G87" s="84"/>
      <c r="H87" s="84"/>
      <c r="I87" s="84"/>
      <c r="J87" s="33">
        <f t="shared" si="190"/>
        <v>114519</v>
      </c>
      <c r="K87" s="84"/>
      <c r="L87" s="84"/>
      <c r="M87" s="84"/>
      <c r="N87" s="33">
        <f t="shared" si="191"/>
        <v>109108</v>
      </c>
      <c r="O87" s="84"/>
      <c r="P87" s="84"/>
      <c r="Q87" s="84"/>
      <c r="S87" s="33" t="e">
        <f>#REF!</f>
        <v>#REF!</v>
      </c>
      <c r="T87" s="33" t="e">
        <f>#REF!</f>
        <v>#REF!</v>
      </c>
      <c r="U87" s="33" t="e">
        <f>#REF!</f>
        <v>#REF!</v>
      </c>
      <c r="V87" s="33" t="e">
        <f>#REF!</f>
        <v>#REF!</v>
      </c>
      <c r="W87" s="33">
        <f>G87</f>
        <v>0</v>
      </c>
      <c r="X87" s="33">
        <f>H87</f>
        <v>0</v>
      </c>
      <c r="Y87" s="33">
        <f>I87</f>
        <v>0</v>
      </c>
      <c r="Z87" s="33">
        <f>J87</f>
        <v>114519</v>
      </c>
      <c r="AA87" s="33">
        <f>K87</f>
        <v>0</v>
      </c>
      <c r="AB87" s="33">
        <f>L87</f>
        <v>0</v>
      </c>
      <c r="AC87" s="33">
        <f t="shared" si="192"/>
        <v>0</v>
      </c>
      <c r="AD87" s="33">
        <f t="shared" si="193"/>
        <v>109108</v>
      </c>
      <c r="AE87" s="33">
        <f t="shared" si="194"/>
        <v>0</v>
      </c>
      <c r="AF87" s="33">
        <f t="shared" si="195"/>
        <v>0</v>
      </c>
      <c r="AG87" s="33">
        <f t="shared" si="196"/>
        <v>0</v>
      </c>
      <c r="AH87" s="11"/>
      <c r="AI87" s="77" t="e">
        <f>SUM(AG87/AC87)-1</f>
        <v>#DIV/0!</v>
      </c>
    </row>
    <row r="88" spans="2:35" ht="12.75" customHeight="1">
      <c r="B88" s="9" t="s">
        <v>163</v>
      </c>
      <c r="C88" s="84">
        <v>-19415</v>
      </c>
      <c r="D88" s="84">
        <v>-5015</v>
      </c>
      <c r="E88" s="84">
        <v>1871</v>
      </c>
      <c r="F88" s="33"/>
      <c r="G88" s="84"/>
      <c r="H88" s="84"/>
      <c r="I88" s="84"/>
      <c r="J88" s="33">
        <f t="shared" si="190"/>
        <v>-5015</v>
      </c>
      <c r="K88" s="84"/>
      <c r="L88" s="84"/>
      <c r="M88" s="84"/>
      <c r="N88" s="33">
        <f t="shared" si="191"/>
        <v>1871</v>
      </c>
      <c r="O88" s="84"/>
      <c r="P88" s="84"/>
      <c r="Q88" s="84"/>
      <c r="S88" s="33" t="e">
        <f>#REF!</f>
        <v>#REF!</v>
      </c>
      <c r="T88" s="33" t="e">
        <f>#REF!</f>
        <v>#REF!</v>
      </c>
      <c r="U88" s="33" t="e">
        <f>#REF!</f>
        <v>#REF!</v>
      </c>
      <c r="V88" s="33" t="e">
        <f>#REF!</f>
        <v>#REF!</v>
      </c>
      <c r="W88" s="33">
        <f>G88</f>
        <v>0</v>
      </c>
      <c r="X88" s="33">
        <f>H88</f>
        <v>0</v>
      </c>
      <c r="Y88" s="33">
        <f>I88</f>
        <v>0</v>
      </c>
      <c r="Z88" s="33">
        <f>J88</f>
        <v>-5015</v>
      </c>
      <c r="AA88" s="33">
        <f>K88</f>
        <v>0</v>
      </c>
      <c r="AB88" s="33">
        <f>L88</f>
        <v>0</v>
      </c>
      <c r="AC88" s="33">
        <f t="shared" si="192"/>
        <v>0</v>
      </c>
      <c r="AD88" s="33">
        <f t="shared" si="193"/>
        <v>1871</v>
      </c>
      <c r="AE88" s="33">
        <f t="shared" si="194"/>
        <v>0</v>
      </c>
      <c r="AF88" s="33">
        <f t="shared" si="195"/>
        <v>0</v>
      </c>
      <c r="AG88" s="33">
        <f t="shared" si="196"/>
        <v>0</v>
      </c>
      <c r="AH88" s="11"/>
      <c r="AI88" s="77" t="e">
        <f>SUM(AG88/AC88)-1</f>
        <v>#DIV/0!</v>
      </c>
    </row>
    <row r="89" spans="2:35" ht="12.75" customHeight="1">
      <c r="B89" s="9" t="s">
        <v>164</v>
      </c>
      <c r="C89" s="84">
        <v>-17082</v>
      </c>
      <c r="D89" s="84">
        <v>-16128</v>
      </c>
      <c r="E89" s="84">
        <v>-15023</v>
      </c>
      <c r="F89" s="33"/>
      <c r="G89" s="84"/>
      <c r="H89" s="84"/>
      <c r="I89" s="84"/>
      <c r="J89" s="33">
        <f t="shared" si="190"/>
        <v>-16128</v>
      </c>
      <c r="K89" s="84"/>
      <c r="L89" s="84"/>
      <c r="M89" s="84"/>
      <c r="N89" s="33">
        <f t="shared" si="191"/>
        <v>-15023</v>
      </c>
      <c r="O89" s="84"/>
      <c r="P89" s="84"/>
      <c r="Q89" s="84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>
        <f t="shared" si="192"/>
        <v>0</v>
      </c>
      <c r="AD89" s="33">
        <f t="shared" si="193"/>
        <v>-15023</v>
      </c>
      <c r="AE89" s="33">
        <f t="shared" si="194"/>
        <v>0</v>
      </c>
      <c r="AF89" s="33">
        <f t="shared" si="195"/>
        <v>0</v>
      </c>
      <c r="AG89" s="33">
        <f t="shared" si="196"/>
        <v>0</v>
      </c>
      <c r="AH89" s="11"/>
      <c r="AI89" s="77"/>
    </row>
    <row r="90" spans="2:35" ht="12.75" customHeight="1">
      <c r="B90" s="9" t="s">
        <v>165</v>
      </c>
      <c r="C90" s="84">
        <v>2766</v>
      </c>
      <c r="D90" s="84">
        <v>2300</v>
      </c>
      <c r="E90" s="84">
        <v>795</v>
      </c>
      <c r="F90" s="33"/>
      <c r="G90" s="84"/>
      <c r="H90" s="84"/>
      <c r="I90" s="84"/>
      <c r="J90" s="33">
        <f t="shared" si="190"/>
        <v>2300</v>
      </c>
      <c r="K90" s="84"/>
      <c r="L90" s="84"/>
      <c r="M90" s="84"/>
      <c r="N90" s="33">
        <f t="shared" si="191"/>
        <v>795</v>
      </c>
      <c r="O90" s="84"/>
      <c r="P90" s="84"/>
      <c r="Q90" s="84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>
        <f t="shared" si="192"/>
        <v>0</v>
      </c>
      <c r="AD90" s="33">
        <f t="shared" si="193"/>
        <v>795</v>
      </c>
      <c r="AE90" s="33">
        <f t="shared" si="194"/>
        <v>0</v>
      </c>
      <c r="AF90" s="33">
        <f t="shared" si="195"/>
        <v>0</v>
      </c>
      <c r="AG90" s="33">
        <f t="shared" si="196"/>
        <v>0</v>
      </c>
      <c r="AH90" s="11"/>
      <c r="AI90" s="77"/>
    </row>
    <row r="91" spans="2:35" ht="12.75" customHeight="1">
      <c r="B91" s="13" t="s">
        <v>167</v>
      </c>
      <c r="C91" s="14">
        <f>SUM(C85:C90)</f>
        <v>97500</v>
      </c>
      <c r="D91" s="14">
        <f>SUM(D85:D90)</f>
        <v>103297</v>
      </c>
      <c r="E91" s="14">
        <f>SUM(E85:E90)</f>
        <v>104372</v>
      </c>
      <c r="F91" s="54"/>
      <c r="G91" s="14">
        <f t="shared" ref="G91:Q91" si="197">SUM(G85:G90)</f>
        <v>0</v>
      </c>
      <c r="H91" s="14">
        <f t="shared" si="197"/>
        <v>0</v>
      </c>
      <c r="I91" s="14">
        <f t="shared" si="197"/>
        <v>0</v>
      </c>
      <c r="J91" s="14">
        <f t="shared" si="197"/>
        <v>103297</v>
      </c>
      <c r="K91" s="14">
        <f t="shared" si="197"/>
        <v>0</v>
      </c>
      <c r="L91" s="14">
        <f t="shared" si="197"/>
        <v>0</v>
      </c>
      <c r="M91" s="14">
        <f t="shared" si="197"/>
        <v>0</v>
      </c>
      <c r="N91" s="14">
        <f t="shared" si="197"/>
        <v>104372</v>
      </c>
      <c r="O91" s="14">
        <f t="shared" si="197"/>
        <v>0</v>
      </c>
      <c r="P91" s="14">
        <f t="shared" si="197"/>
        <v>0</v>
      </c>
      <c r="Q91" s="14">
        <f t="shared" si="197"/>
        <v>0</v>
      </c>
      <c r="S91" s="14" t="e">
        <f t="shared" ref="S91" si="198">SUM(S85:S90)</f>
        <v>#REF!</v>
      </c>
      <c r="T91" s="14" t="e">
        <f t="shared" ref="T91" si="199">SUM(T85:T90)</f>
        <v>#REF!</v>
      </c>
      <c r="U91" s="14" t="e">
        <f t="shared" ref="U91" si="200">SUM(U85:U90)</f>
        <v>#REF!</v>
      </c>
      <c r="V91" s="14" t="e">
        <f t="shared" ref="V91" si="201">SUM(V85:V90)</f>
        <v>#REF!</v>
      </c>
      <c r="W91" s="14">
        <f t="shared" ref="W91" si="202">SUM(W85:W90)</f>
        <v>0</v>
      </c>
      <c r="X91" s="14">
        <f t="shared" ref="X91" si="203">SUM(X85:X90)</f>
        <v>0</v>
      </c>
      <c r="Y91" s="14">
        <f t="shared" ref="Y91" si="204">SUM(Y85:Y90)</f>
        <v>0</v>
      </c>
      <c r="Z91" s="14">
        <f t="shared" ref="Z91" si="205">SUM(Z85:Z90)</f>
        <v>109504</v>
      </c>
      <c r="AA91" s="14">
        <f t="shared" ref="AA91" si="206">SUM(AA85:AA90)</f>
        <v>0</v>
      </c>
      <c r="AB91" s="14">
        <f t="shared" ref="AB91" si="207">SUM(AB85:AB90)</f>
        <v>0</v>
      </c>
      <c r="AC91" s="14">
        <f t="shared" ref="AC91" si="208">SUM(AC85:AC90)</f>
        <v>0</v>
      </c>
      <c r="AD91" s="14">
        <f t="shared" ref="AD91" si="209">SUM(AD85:AD90)</f>
        <v>104372</v>
      </c>
      <c r="AE91" s="14">
        <f t="shared" ref="AE91" si="210">SUM(AE85:AE90)</f>
        <v>0</v>
      </c>
      <c r="AF91" s="14">
        <f t="shared" ref="AF91" si="211">SUM(AF85:AF90)</f>
        <v>0</v>
      </c>
      <c r="AG91" s="14">
        <f t="shared" ref="AG91" si="212">SUM(AG85:AG90)</f>
        <v>0</v>
      </c>
      <c r="AH91" s="43"/>
      <c r="AI91" s="77" t="e">
        <f>SUM(AG91/AC91)-1</f>
        <v>#DIV/0!</v>
      </c>
    </row>
    <row r="92" spans="2:35" s="155" customFormat="1" ht="5.0999999999999996" customHeight="1">
      <c r="B92" s="156"/>
      <c r="C92" s="157"/>
      <c r="D92" s="157"/>
      <c r="E92" s="157"/>
      <c r="F92" s="162"/>
      <c r="G92" s="157"/>
      <c r="H92" s="157"/>
      <c r="I92" s="157"/>
      <c r="J92" s="157"/>
      <c r="K92" s="157"/>
      <c r="L92" s="157"/>
      <c r="M92" s="157"/>
      <c r="N92" s="157"/>
      <c r="O92" s="157"/>
      <c r="P92" s="157"/>
      <c r="Q92" s="157"/>
      <c r="S92" s="157"/>
      <c r="T92" s="157"/>
      <c r="U92" s="157"/>
      <c r="V92" s="157"/>
      <c r="W92" s="157"/>
      <c r="X92" s="157"/>
      <c r="Y92" s="157"/>
      <c r="Z92" s="157"/>
      <c r="AA92" s="157"/>
      <c r="AB92" s="157"/>
      <c r="AC92" s="157"/>
      <c r="AD92" s="157"/>
      <c r="AE92" s="157"/>
      <c r="AF92" s="157"/>
      <c r="AG92" s="157"/>
      <c r="AH92" s="163"/>
      <c r="AI92" s="102"/>
    </row>
    <row r="93" spans="2:35" s="155" customFormat="1" ht="12.75" customHeight="1">
      <c r="B93" s="9" t="s">
        <v>168</v>
      </c>
      <c r="C93" s="84">
        <v>0</v>
      </c>
      <c r="D93" s="84">
        <v>1973</v>
      </c>
      <c r="E93" s="84">
        <v>1980</v>
      </c>
      <c r="F93" s="162"/>
      <c r="G93" s="157"/>
      <c r="H93" s="157"/>
      <c r="I93" s="157"/>
      <c r="J93" s="33">
        <f t="shared" ref="J93:J94" si="213">D93</f>
        <v>1973</v>
      </c>
      <c r="K93" s="157"/>
      <c r="L93" s="157"/>
      <c r="M93" s="157"/>
      <c r="N93" s="33">
        <f t="shared" ref="N93:N94" si="214">E93</f>
        <v>1980</v>
      </c>
      <c r="O93" s="157"/>
      <c r="P93" s="157"/>
      <c r="Q93" s="157"/>
      <c r="S93" s="157"/>
      <c r="T93" s="157"/>
      <c r="U93" s="157"/>
      <c r="V93" s="157"/>
      <c r="W93" s="157"/>
      <c r="X93" s="157"/>
      <c r="Y93" s="157"/>
      <c r="Z93" s="157"/>
      <c r="AA93" s="157"/>
      <c r="AB93" s="157"/>
      <c r="AC93" s="33">
        <f t="shared" ref="AC93:AC94" si="215">M93</f>
        <v>0</v>
      </c>
      <c r="AD93" s="33">
        <f t="shared" ref="AD93:AD94" si="216">N93</f>
        <v>1980</v>
      </c>
      <c r="AE93" s="33">
        <f t="shared" ref="AE93:AE94" si="217">O93</f>
        <v>0</v>
      </c>
      <c r="AF93" s="33">
        <f t="shared" ref="AF93:AF94" si="218">P93</f>
        <v>0</v>
      </c>
      <c r="AG93" s="33">
        <f t="shared" ref="AG93:AG94" si="219">Q93</f>
        <v>0</v>
      </c>
      <c r="AH93" s="163"/>
      <c r="AI93" s="102"/>
    </row>
    <row r="94" spans="2:35" s="155" customFormat="1" ht="12.75" customHeight="1">
      <c r="B94" s="9" t="s">
        <v>169</v>
      </c>
      <c r="C94" s="84">
        <v>8957</v>
      </c>
      <c r="D94" s="84">
        <v>14145</v>
      </c>
      <c r="E94" s="84">
        <v>13873</v>
      </c>
      <c r="F94" s="162"/>
      <c r="G94" s="157"/>
      <c r="H94" s="157"/>
      <c r="I94" s="157"/>
      <c r="J94" s="33">
        <f t="shared" si="213"/>
        <v>14145</v>
      </c>
      <c r="K94" s="157"/>
      <c r="L94" s="157"/>
      <c r="M94" s="157"/>
      <c r="N94" s="33">
        <f t="shared" si="214"/>
        <v>13873</v>
      </c>
      <c r="O94" s="157"/>
      <c r="P94" s="157"/>
      <c r="Q94" s="157"/>
      <c r="S94" s="157"/>
      <c r="T94" s="157"/>
      <c r="U94" s="157"/>
      <c r="V94" s="157"/>
      <c r="W94" s="157"/>
      <c r="X94" s="157"/>
      <c r="Y94" s="157"/>
      <c r="Z94" s="157"/>
      <c r="AA94" s="157"/>
      <c r="AB94" s="157"/>
      <c r="AC94" s="33">
        <f t="shared" si="215"/>
        <v>0</v>
      </c>
      <c r="AD94" s="33">
        <f t="shared" si="216"/>
        <v>13873</v>
      </c>
      <c r="AE94" s="33">
        <f t="shared" si="217"/>
        <v>0</v>
      </c>
      <c r="AF94" s="33">
        <f t="shared" si="218"/>
        <v>0</v>
      </c>
      <c r="AG94" s="33">
        <f t="shared" si="219"/>
        <v>0</v>
      </c>
      <c r="AH94" s="163"/>
      <c r="AI94" s="102"/>
    </row>
    <row r="95" spans="2:35" ht="12.75" customHeight="1">
      <c r="B95" s="13" t="s">
        <v>166</v>
      </c>
      <c r="C95" s="14">
        <f t="shared" ref="C95:D95" si="220">SUM(C91+SUM(C93:C94))</f>
        <v>106457</v>
      </c>
      <c r="D95" s="14">
        <f t="shared" si="220"/>
        <v>119415</v>
      </c>
      <c r="E95" s="14">
        <f>SUM(E91+SUM(E93:E94))</f>
        <v>120225</v>
      </c>
      <c r="F95" s="54"/>
      <c r="G95" s="14">
        <f t="shared" ref="G95:Q95" si="221">SUM(G91+SUM(G93:G94))</f>
        <v>0</v>
      </c>
      <c r="H95" s="14">
        <f t="shared" si="221"/>
        <v>0</v>
      </c>
      <c r="I95" s="14">
        <f t="shared" si="221"/>
        <v>0</v>
      </c>
      <c r="J95" s="14">
        <f t="shared" si="221"/>
        <v>119415</v>
      </c>
      <c r="K95" s="14">
        <f t="shared" si="221"/>
        <v>0</v>
      </c>
      <c r="L95" s="14">
        <f t="shared" si="221"/>
        <v>0</v>
      </c>
      <c r="M95" s="14">
        <f t="shared" si="221"/>
        <v>0</v>
      </c>
      <c r="N95" s="14">
        <f t="shared" si="221"/>
        <v>120225</v>
      </c>
      <c r="O95" s="14">
        <f t="shared" si="221"/>
        <v>0</v>
      </c>
      <c r="P95" s="14">
        <f t="shared" si="221"/>
        <v>0</v>
      </c>
      <c r="Q95" s="14">
        <f t="shared" si="221"/>
        <v>0</v>
      </c>
      <c r="R95" s="155"/>
      <c r="S95" s="14" t="e">
        <f t="shared" ref="S95" si="222">SUM(S91+SUM(S93:S94))</f>
        <v>#REF!</v>
      </c>
      <c r="T95" s="14" t="e">
        <f t="shared" ref="T95" si="223">SUM(T91+SUM(T93:T94))</f>
        <v>#REF!</v>
      </c>
      <c r="U95" s="14" t="e">
        <f t="shared" ref="U95" si="224">SUM(U91+SUM(U93:U94))</f>
        <v>#REF!</v>
      </c>
      <c r="V95" s="14" t="e">
        <f t="shared" ref="V95" si="225">SUM(V91+SUM(V93:V94))</f>
        <v>#REF!</v>
      </c>
      <c r="W95" s="14">
        <f t="shared" ref="W95" si="226">SUM(W91+SUM(W93:W94))</f>
        <v>0</v>
      </c>
      <c r="X95" s="14">
        <f t="shared" ref="X95" si="227">SUM(X91+SUM(X93:X94))</f>
        <v>0</v>
      </c>
      <c r="Y95" s="14">
        <f t="shared" ref="Y95" si="228">SUM(Y91+SUM(Y93:Y94))</f>
        <v>0</v>
      </c>
      <c r="Z95" s="14">
        <f t="shared" ref="Z95" si="229">SUM(Z91+SUM(Z93:Z94))</f>
        <v>109504</v>
      </c>
      <c r="AA95" s="14">
        <f t="shared" ref="AA95" si="230">SUM(AA91+SUM(AA93:AA94))</f>
        <v>0</v>
      </c>
      <c r="AB95" s="14">
        <f t="shared" ref="AB95" si="231">SUM(AB91+SUM(AB93:AB94))</f>
        <v>0</v>
      </c>
      <c r="AC95" s="14">
        <f t="shared" ref="AC95" si="232">SUM(AC91+SUM(AC93:AC94))</f>
        <v>0</v>
      </c>
      <c r="AD95" s="14">
        <f t="shared" ref="AD95" si="233">SUM(AD91+SUM(AD93:AD94))</f>
        <v>120225</v>
      </c>
      <c r="AE95" s="14">
        <f t="shared" ref="AE95" si="234">SUM(AE91+SUM(AE93:AE94))</f>
        <v>0</v>
      </c>
      <c r="AF95" s="14">
        <f t="shared" ref="AF95" si="235">SUM(AF91+SUM(AF93:AF94))</f>
        <v>0</v>
      </c>
      <c r="AG95" s="14">
        <f t="shared" ref="AG95" si="236">SUM(AG91+SUM(AG93:AG94))</f>
        <v>0</v>
      </c>
      <c r="AH95" s="43"/>
      <c r="AI95" s="77" t="e">
        <f>SUM(AG95/AC95)-1</f>
        <v>#DIV/0!</v>
      </c>
    </row>
    <row r="96" spans="2:35" s="55" customFormat="1" ht="12.75" customHeight="1">
      <c r="B96" s="26" t="s">
        <v>52</v>
      </c>
      <c r="C96" s="50">
        <f>SUM(C95+C83)</f>
        <v>402853</v>
      </c>
      <c r="D96" s="50">
        <f>SUM(D95+D83)</f>
        <v>407060</v>
      </c>
      <c r="E96" s="50">
        <f>SUM(E95+E83)</f>
        <v>394795</v>
      </c>
      <c r="F96" s="73"/>
      <c r="G96" s="50">
        <f t="shared" ref="G96:Q96" si="237">SUM(G95+G83)</f>
        <v>0</v>
      </c>
      <c r="H96" s="50">
        <f t="shared" si="237"/>
        <v>0</v>
      </c>
      <c r="I96" s="50">
        <f t="shared" si="237"/>
        <v>0</v>
      </c>
      <c r="J96" s="50">
        <f t="shared" si="237"/>
        <v>407060</v>
      </c>
      <c r="K96" s="50">
        <f t="shared" si="237"/>
        <v>0</v>
      </c>
      <c r="L96" s="50">
        <f t="shared" si="237"/>
        <v>0</v>
      </c>
      <c r="M96" s="50">
        <f t="shared" si="237"/>
        <v>0</v>
      </c>
      <c r="N96" s="50">
        <f t="shared" si="237"/>
        <v>394795</v>
      </c>
      <c r="O96" s="50">
        <f t="shared" si="237"/>
        <v>0</v>
      </c>
      <c r="P96" s="50">
        <f t="shared" si="237"/>
        <v>0</v>
      </c>
      <c r="Q96" s="50">
        <f t="shared" si="237"/>
        <v>0</v>
      </c>
      <c r="R96" s="50"/>
      <c r="S96" s="50" t="e">
        <f t="shared" ref="S96" si="238">SUM(S95+S83)</f>
        <v>#REF!</v>
      </c>
      <c r="T96" s="50" t="e">
        <f t="shared" ref="T96" si="239">SUM(T95+T83)</f>
        <v>#REF!</v>
      </c>
      <c r="U96" s="50" t="e">
        <f t="shared" ref="U96" si="240">SUM(U95+U83)</f>
        <v>#REF!</v>
      </c>
      <c r="V96" s="50" t="e">
        <f t="shared" ref="V96" si="241">SUM(V95+V83)</f>
        <v>#REF!</v>
      </c>
      <c r="W96" s="50">
        <f t="shared" ref="W96" si="242">SUM(W95+W83)</f>
        <v>0</v>
      </c>
      <c r="X96" s="50">
        <f t="shared" ref="X96" si="243">SUM(X95+X83)</f>
        <v>0</v>
      </c>
      <c r="Y96" s="50">
        <f t="shared" ref="Y96" si="244">SUM(Y95+Y83)</f>
        <v>0</v>
      </c>
      <c r="Z96" s="50">
        <f t="shared" ref="Z96" si="245">SUM(Z95+Z83)</f>
        <v>219297</v>
      </c>
      <c r="AA96" s="50">
        <f t="shared" ref="AA96" si="246">SUM(AA95+AA83)</f>
        <v>0</v>
      </c>
      <c r="AB96" s="50">
        <f t="shared" ref="AB96" si="247">SUM(AB95+AB83)</f>
        <v>0</v>
      </c>
      <c r="AC96" s="50">
        <f t="shared" ref="AC96" si="248">SUM(AC95+AC83)</f>
        <v>0</v>
      </c>
      <c r="AD96" s="50">
        <f t="shared" ref="AD96" si="249">SUM(AD95+AD83)</f>
        <v>394795</v>
      </c>
      <c r="AE96" s="50">
        <f t="shared" ref="AE96" si="250">SUM(AE95+AE83)</f>
        <v>0</v>
      </c>
      <c r="AF96" s="50">
        <f t="shared" ref="AF96" si="251">SUM(AF95+AF83)</f>
        <v>0</v>
      </c>
      <c r="AG96" s="50">
        <f t="shared" ref="AG96" si="252">SUM(AG95+AG83)</f>
        <v>0</v>
      </c>
      <c r="AH96" s="51"/>
      <c r="AI96" s="78" t="e">
        <f>SUM(AG96/AC96)-1</f>
        <v>#DIV/0!</v>
      </c>
    </row>
    <row r="97" spans="1:35" ht="5.0999999999999996" customHeight="1">
      <c r="B97" s="26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11"/>
    </row>
    <row r="98" spans="1:35" ht="12.75" customHeight="1">
      <c r="B98" s="143" t="s">
        <v>62</v>
      </c>
      <c r="C98" s="71">
        <f>C96-C67</f>
        <v>0</v>
      </c>
      <c r="D98" s="71">
        <f>D96-D67</f>
        <v>0</v>
      </c>
      <c r="E98" s="71">
        <f>E96-E67</f>
        <v>0</v>
      </c>
      <c r="F98" s="72"/>
      <c r="G98" s="71">
        <f>G96-G67</f>
        <v>0</v>
      </c>
      <c r="H98" s="71">
        <f>H96-H67</f>
        <v>0</v>
      </c>
      <c r="I98" s="71">
        <f>I96-I67</f>
        <v>0</v>
      </c>
      <c r="J98" s="71">
        <f>J96-J67</f>
        <v>0</v>
      </c>
      <c r="K98" s="71">
        <f>K96-K67</f>
        <v>0</v>
      </c>
      <c r="L98" s="71">
        <f>L96-L67</f>
        <v>0</v>
      </c>
      <c r="M98" s="71">
        <f>M96-M67</f>
        <v>0</v>
      </c>
      <c r="N98" s="71">
        <f>N96-N67</f>
        <v>0</v>
      </c>
      <c r="O98" s="71">
        <f>O96-O67</f>
        <v>0</v>
      </c>
      <c r="P98" s="71">
        <f>P96-P67</f>
        <v>0</v>
      </c>
      <c r="Q98" s="71">
        <f>Q96-Q67</f>
        <v>0</v>
      </c>
      <c r="R98" s="29"/>
      <c r="S98" s="71" t="e">
        <f>S96-S67</f>
        <v>#REF!</v>
      </c>
      <c r="T98" s="71" t="e">
        <f>T96-T67</f>
        <v>#REF!</v>
      </c>
      <c r="U98" s="71" t="e">
        <f>U96-U67</f>
        <v>#REF!</v>
      </c>
      <c r="V98" s="71" t="e">
        <f>V96-V67</f>
        <v>#REF!</v>
      </c>
      <c r="W98" s="71">
        <f>W96-W67</f>
        <v>0</v>
      </c>
      <c r="X98" s="71">
        <f>X96-X67</f>
        <v>0</v>
      </c>
      <c r="Y98" s="71">
        <f>Y96-Y67</f>
        <v>0</v>
      </c>
      <c r="Z98" s="71">
        <f>Z96-Z67</f>
        <v>34860</v>
      </c>
      <c r="AA98" s="71">
        <f>AA96-AA67</f>
        <v>0</v>
      </c>
      <c r="AB98" s="71">
        <f>AB96-AB67</f>
        <v>0</v>
      </c>
      <c r="AC98" s="71">
        <f>AC96-AC67</f>
        <v>0</v>
      </c>
      <c r="AD98" s="71">
        <f>AD96-AD67</f>
        <v>0</v>
      </c>
      <c r="AE98" s="71">
        <f>AE96-AE67</f>
        <v>0</v>
      </c>
      <c r="AF98" s="71">
        <f>AF96-AF67</f>
        <v>0</v>
      </c>
      <c r="AG98" s="71">
        <f>AG96-AG67</f>
        <v>0</v>
      </c>
    </row>
    <row r="99" spans="1:35" ht="5.0999999999999996" customHeight="1" thickBot="1">
      <c r="B99" s="118"/>
      <c r="C99" s="119"/>
      <c r="D99" s="119"/>
      <c r="E99" s="119"/>
      <c r="F99" s="120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21"/>
      <c r="S99" s="119"/>
      <c r="T99" s="119"/>
      <c r="U99" s="119"/>
      <c r="V99" s="119"/>
      <c r="W99" s="119"/>
      <c r="X99" s="119"/>
      <c r="Y99" s="119"/>
      <c r="Z99" s="119"/>
      <c r="AA99" s="119"/>
      <c r="AB99" s="119"/>
      <c r="AC99" s="119"/>
      <c r="AD99" s="119"/>
      <c r="AE99" s="119"/>
      <c r="AF99" s="119"/>
      <c r="AG99" s="119"/>
      <c r="AH99" s="75"/>
      <c r="AI99" s="75"/>
    </row>
    <row r="100" spans="1:35">
      <c r="B100" s="70"/>
      <c r="C100" s="25"/>
      <c r="D100" s="25"/>
      <c r="E100" s="25"/>
      <c r="F100" s="55"/>
    </row>
    <row r="101" spans="1:35" ht="12.75" customHeight="1">
      <c r="A101" s="5" t="s">
        <v>16</v>
      </c>
      <c r="B101" s="100" t="s">
        <v>14</v>
      </c>
      <c r="C101" s="104"/>
      <c r="D101" s="104"/>
      <c r="E101" s="104"/>
      <c r="F101" s="105"/>
      <c r="G101" s="104"/>
      <c r="H101" s="104"/>
      <c r="I101" s="104"/>
      <c r="J101" s="104"/>
      <c r="K101" s="104"/>
      <c r="L101" s="104"/>
      <c r="M101" s="104"/>
      <c r="N101" s="104"/>
      <c r="O101" s="104"/>
      <c r="P101" s="104"/>
      <c r="Q101" s="104"/>
      <c r="R101" s="100"/>
      <c r="S101" s="104"/>
      <c r="T101" s="104"/>
      <c r="U101" s="104"/>
      <c r="V101" s="104"/>
      <c r="W101" s="104"/>
      <c r="X101" s="104"/>
      <c r="Y101" s="104"/>
      <c r="Z101" s="104"/>
      <c r="AA101" s="104"/>
      <c r="AB101" s="104" t="s">
        <v>10</v>
      </c>
      <c r="AC101" s="104"/>
      <c r="AD101" s="104"/>
      <c r="AE101" s="104"/>
      <c r="AF101" s="104"/>
      <c r="AG101" s="104"/>
      <c r="AH101" s="105"/>
      <c r="AI101" s="153" t="s">
        <v>23</v>
      </c>
    </row>
    <row r="102" spans="1:35" ht="12.75" customHeight="1">
      <c r="B102" s="101" t="str">
        <f>B7</f>
        <v>Fiscal Period</v>
      </c>
      <c r="C102" s="106">
        <f>C7</f>
        <v>2022</v>
      </c>
      <c r="D102" s="106">
        <f>D7</f>
        <v>2023</v>
      </c>
      <c r="E102" s="106">
        <f>E7</f>
        <v>2024</v>
      </c>
      <c r="F102" s="105"/>
      <c r="G102" s="106" t="str">
        <f>G7</f>
        <v>1Q23</v>
      </c>
      <c r="H102" s="106" t="str">
        <f>H7</f>
        <v>2Q23</v>
      </c>
      <c r="I102" s="106" t="str">
        <f>I7</f>
        <v>3Q23</v>
      </c>
      <c r="J102" s="106" t="str">
        <f>J7</f>
        <v>4Q23</v>
      </c>
      <c r="K102" s="106" t="str">
        <f>K7</f>
        <v>1Q24</v>
      </c>
      <c r="L102" s="106" t="str">
        <f>L7</f>
        <v>2Q24</v>
      </c>
      <c r="M102" s="106" t="str">
        <f>M7</f>
        <v>3Q24</v>
      </c>
      <c r="N102" s="106" t="str">
        <f>N7</f>
        <v>4Q24</v>
      </c>
      <c r="O102" s="106" t="str">
        <f>O7</f>
        <v>1Q25</v>
      </c>
      <c r="P102" s="106" t="str">
        <f>P7</f>
        <v>2Q25</v>
      </c>
      <c r="Q102" s="106" t="str">
        <f>Q7</f>
        <v>3Q25</v>
      </c>
      <c r="R102" s="106"/>
      <c r="S102" s="106" t="e">
        <f>S7</f>
        <v>#REF!</v>
      </c>
      <c r="T102" s="106" t="e">
        <f>T7</f>
        <v>#REF!</v>
      </c>
      <c r="U102" s="106" t="e">
        <f>U7</f>
        <v>#REF!</v>
      </c>
      <c r="V102" s="106" t="e">
        <f>V7</f>
        <v>#REF!</v>
      </c>
      <c r="W102" s="106" t="str">
        <f>W7</f>
        <v>1Q23</v>
      </c>
      <c r="X102" s="106" t="str">
        <f>X7</f>
        <v>2Q23</v>
      </c>
      <c r="Y102" s="106" t="str">
        <f>Y7</f>
        <v>3Q23</v>
      </c>
      <c r="Z102" s="106" t="str">
        <f>Z7</f>
        <v>4Q23</v>
      </c>
      <c r="AA102" s="106" t="str">
        <f>AA7</f>
        <v>1Q24</v>
      </c>
      <c r="AB102" s="106" t="str">
        <f>AB7</f>
        <v>2Q24</v>
      </c>
      <c r="AC102" s="106" t="str">
        <f>AC7</f>
        <v>3Q24</v>
      </c>
      <c r="AD102" s="106" t="str">
        <f>AD7</f>
        <v>4Q24</v>
      </c>
      <c r="AE102" s="106" t="str">
        <f>AE7</f>
        <v>1Q25</v>
      </c>
      <c r="AF102" s="106" t="str">
        <f>AF7</f>
        <v>2Q25</v>
      </c>
      <c r="AG102" s="106" t="str">
        <f>AG7</f>
        <v>3Q25</v>
      </c>
      <c r="AH102" s="105"/>
      <c r="AI102" s="153"/>
    </row>
    <row r="103" spans="1:35" ht="12.75" customHeight="1">
      <c r="B103" s="101" t="str">
        <f>B8</f>
        <v>Fiscal Period End Date</v>
      </c>
      <c r="C103" s="107">
        <f>C8</f>
        <v>44926</v>
      </c>
      <c r="D103" s="107">
        <f>D8</f>
        <v>45291</v>
      </c>
      <c r="E103" s="107">
        <f>E8</f>
        <v>45657</v>
      </c>
      <c r="F103" s="105"/>
      <c r="G103" s="107">
        <f>G8</f>
        <v>45016</v>
      </c>
      <c r="H103" s="107">
        <f>H8</f>
        <v>45107</v>
      </c>
      <c r="I103" s="107">
        <f>I8</f>
        <v>45199</v>
      </c>
      <c r="J103" s="107">
        <f>J8</f>
        <v>45291</v>
      </c>
      <c r="K103" s="107">
        <f>K8</f>
        <v>45382</v>
      </c>
      <c r="L103" s="107">
        <f>L8</f>
        <v>45473</v>
      </c>
      <c r="M103" s="107">
        <f>M8</f>
        <v>45565</v>
      </c>
      <c r="N103" s="107">
        <f>N8</f>
        <v>45657</v>
      </c>
      <c r="O103" s="107">
        <f>O8</f>
        <v>45747</v>
      </c>
      <c r="P103" s="107">
        <f>P8</f>
        <v>45838</v>
      </c>
      <c r="Q103" s="107">
        <f>Q8</f>
        <v>45930</v>
      </c>
      <c r="R103" s="107"/>
      <c r="S103" s="107" t="e">
        <f>S8</f>
        <v>#REF!</v>
      </c>
      <c r="T103" s="107" t="e">
        <f>T8</f>
        <v>#REF!</v>
      </c>
      <c r="U103" s="107" t="e">
        <f>U8</f>
        <v>#REF!</v>
      </c>
      <c r="V103" s="107" t="e">
        <f>V8</f>
        <v>#REF!</v>
      </c>
      <c r="W103" s="107">
        <f>W8</f>
        <v>45016</v>
      </c>
      <c r="X103" s="107">
        <f>X8</f>
        <v>45107</v>
      </c>
      <c r="Y103" s="107">
        <f>Y8</f>
        <v>45199</v>
      </c>
      <c r="Z103" s="107">
        <f>Z8</f>
        <v>45291</v>
      </c>
      <c r="AA103" s="107">
        <f>AA8</f>
        <v>45382</v>
      </c>
      <c r="AB103" s="107">
        <f>AB8</f>
        <v>45473</v>
      </c>
      <c r="AC103" s="107">
        <f>AC8</f>
        <v>45565</v>
      </c>
      <c r="AD103" s="107">
        <f>AD8</f>
        <v>45657</v>
      </c>
      <c r="AE103" s="107">
        <f>AE8</f>
        <v>45747</v>
      </c>
      <c r="AF103" s="107">
        <f>AF8</f>
        <v>45838</v>
      </c>
      <c r="AG103" s="107">
        <f>AG8</f>
        <v>45930</v>
      </c>
      <c r="AH103" s="105"/>
      <c r="AI103" s="153"/>
    </row>
    <row r="104" spans="1:35" ht="5.0999999999999996" customHeight="1">
      <c r="B104" s="56"/>
      <c r="C104" s="49"/>
      <c r="D104" s="49"/>
      <c r="E104" s="49"/>
    </row>
    <row r="105" spans="1:35" ht="12.75" customHeight="1">
      <c r="B105" s="57" t="s">
        <v>53</v>
      </c>
      <c r="C105" s="58"/>
      <c r="D105" s="58"/>
      <c r="E105" s="58"/>
    </row>
    <row r="106" spans="1:35" ht="12.75" customHeight="1">
      <c r="B106" s="59" t="s">
        <v>54</v>
      </c>
      <c r="C106" s="33">
        <f>C32</f>
        <v>-7055</v>
      </c>
      <c r="D106" s="33">
        <f>D32</f>
        <v>15623</v>
      </c>
      <c r="E106" s="33">
        <f>E32</f>
        <v>12253</v>
      </c>
      <c r="F106" s="33"/>
      <c r="G106" s="33">
        <f>G32</f>
        <v>4453</v>
      </c>
      <c r="H106" s="33">
        <f>H32</f>
        <v>4762</v>
      </c>
      <c r="I106" s="33">
        <f>I32</f>
        <v>3826</v>
      </c>
      <c r="J106" s="33">
        <f>J32</f>
        <v>2582</v>
      </c>
      <c r="K106" s="33">
        <f>K32</f>
        <v>3751</v>
      </c>
      <c r="L106" s="33">
        <f>L32</f>
        <v>3949</v>
      </c>
      <c r="M106" s="33">
        <f>M32</f>
        <v>145</v>
      </c>
      <c r="N106" s="33">
        <f>N32</f>
        <v>4408</v>
      </c>
      <c r="O106" s="33">
        <f>O32</f>
        <v>4692</v>
      </c>
      <c r="P106" s="33">
        <f>P32</f>
        <v>4861</v>
      </c>
      <c r="Q106" s="33">
        <f>Q32</f>
        <v>9637</v>
      </c>
      <c r="S106" s="33" t="e">
        <f>SUM(#REF!)</f>
        <v>#REF!</v>
      </c>
      <c r="T106" s="33" t="e">
        <f>SUM(#REF!)</f>
        <v>#REF!</v>
      </c>
      <c r="U106" s="33" t="e">
        <f>SUM(#REF!)</f>
        <v>#REF!</v>
      </c>
      <c r="V106" s="33" t="e">
        <f>SUM(#REF!)</f>
        <v>#REF!</v>
      </c>
      <c r="W106" s="33">
        <f>SUM(G106:G106)</f>
        <v>4453</v>
      </c>
      <c r="X106" s="33">
        <f>SUM(G106:H106)</f>
        <v>9215</v>
      </c>
      <c r="Y106" s="33">
        <f>SUM(G106:I106)</f>
        <v>13041</v>
      </c>
      <c r="Z106" s="33">
        <f>SUM(G106:J106)</f>
        <v>15623</v>
      </c>
      <c r="AA106" s="33">
        <f>SUM(H106:K106)</f>
        <v>14921</v>
      </c>
      <c r="AB106" s="33">
        <f>SUM(I106:L106)</f>
        <v>14108</v>
      </c>
      <c r="AC106" s="33">
        <f>SUM(J106:M106)</f>
        <v>10427</v>
      </c>
      <c r="AD106" s="33">
        <f>SUM(K106:N106)</f>
        <v>12253</v>
      </c>
      <c r="AE106" s="33">
        <f>SUM(L106:O106)</f>
        <v>13194</v>
      </c>
      <c r="AF106" s="33">
        <f>SUM(M106:P106)</f>
        <v>14106</v>
      </c>
      <c r="AG106" s="33">
        <f>SUM(N106:Q106)</f>
        <v>23598</v>
      </c>
      <c r="AH106" s="11"/>
      <c r="AI106" s="77">
        <f>SUM(AG106/AC106)-1</f>
        <v>1.2631629423611779</v>
      </c>
    </row>
    <row r="107" spans="1:35" ht="5.0999999999999996" customHeight="1"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D107" s="33"/>
      <c r="AE107" s="33"/>
      <c r="AF107" s="33"/>
      <c r="AG107" s="33"/>
      <c r="AH107" s="11"/>
      <c r="AI107" s="77"/>
    </row>
    <row r="108" spans="1:35" ht="12.75" customHeight="1">
      <c r="B108" s="37" t="s">
        <v>61</v>
      </c>
      <c r="C108" s="33"/>
      <c r="D108" s="33"/>
      <c r="E108" s="33"/>
      <c r="F108" s="33"/>
      <c r="G108" s="84"/>
      <c r="H108" s="84"/>
      <c r="I108" s="84"/>
      <c r="J108" s="33"/>
      <c r="K108" s="84"/>
      <c r="L108" s="84"/>
      <c r="M108" s="84"/>
      <c r="N108" s="33"/>
      <c r="O108" s="84"/>
      <c r="P108" s="84"/>
      <c r="Q108" s="84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D108" s="33"/>
      <c r="AE108" s="33"/>
      <c r="AF108" s="33"/>
      <c r="AG108" s="33"/>
      <c r="AH108" s="61"/>
      <c r="AI108" s="77"/>
    </row>
    <row r="109" spans="1:35" ht="12.75" customHeight="1">
      <c r="B109" s="62" t="s">
        <v>172</v>
      </c>
      <c r="C109" s="33">
        <f>-C20</f>
        <v>18021</v>
      </c>
      <c r="D109" s="33">
        <f>-D20</f>
        <v>18777</v>
      </c>
      <c r="E109" s="33">
        <f>-E20</f>
        <v>20580</v>
      </c>
      <c r="F109" s="33"/>
      <c r="G109" s="165">
        <f>-G20</f>
        <v>4631</v>
      </c>
      <c r="H109" s="165">
        <f>-H20</f>
        <v>4675</v>
      </c>
      <c r="I109" s="165">
        <f>-I20</f>
        <v>4705</v>
      </c>
      <c r="J109" s="33">
        <f>SUM(D109-SUM(G109:I109))</f>
        <v>4766</v>
      </c>
      <c r="K109" s="165">
        <f>-K20</f>
        <v>5047</v>
      </c>
      <c r="L109" s="165">
        <f>-L20</f>
        <v>5072</v>
      </c>
      <c r="M109" s="165">
        <f>-M20</f>
        <v>5087</v>
      </c>
      <c r="N109" s="33">
        <f>SUM(E109-SUM(K109:M109))</f>
        <v>5374</v>
      </c>
      <c r="O109" s="165">
        <f>-O20</f>
        <v>5190</v>
      </c>
      <c r="P109" s="165">
        <f>-P20</f>
        <v>5251</v>
      </c>
      <c r="Q109" s="165">
        <f>-Q20</f>
        <v>5317</v>
      </c>
      <c r="S109" s="33" t="e">
        <f>SUM(#REF!)</f>
        <v>#REF!</v>
      </c>
      <c r="T109" s="33" t="e">
        <f>SUM(#REF!)</f>
        <v>#REF!</v>
      </c>
      <c r="U109" s="33" t="e">
        <f>SUM(#REF!)</f>
        <v>#REF!</v>
      </c>
      <c r="V109" s="33" t="e">
        <f>SUM(#REF!)</f>
        <v>#REF!</v>
      </c>
      <c r="W109" s="33">
        <f>SUM(G109:G109)</f>
        <v>4631</v>
      </c>
      <c r="X109" s="33">
        <f>SUM(G109:H109)</f>
        <v>9306</v>
      </c>
      <c r="Y109" s="33">
        <f>SUM(G109:I109)</f>
        <v>14011</v>
      </c>
      <c r="Z109" s="33">
        <f>SUM(G109:J109)</f>
        <v>18777</v>
      </c>
      <c r="AA109" s="33">
        <f>SUM(H109:K109)</f>
        <v>19193</v>
      </c>
      <c r="AB109" s="33">
        <f>SUM(I109:L109)</f>
        <v>19590</v>
      </c>
      <c r="AC109" s="33">
        <f>SUM(J109:M109)</f>
        <v>19972</v>
      </c>
      <c r="AD109" s="33">
        <f>SUM(K109:N109)</f>
        <v>20580</v>
      </c>
      <c r="AE109" s="33">
        <f>SUM(L109:O109)</f>
        <v>20723</v>
      </c>
      <c r="AF109" s="33">
        <f>SUM(M109:P109)</f>
        <v>20902</v>
      </c>
      <c r="AG109" s="33">
        <f>SUM(N109:Q109)</f>
        <v>21132</v>
      </c>
      <c r="AH109" s="11"/>
      <c r="AI109" s="77">
        <f>SUM(AG109/AC109)-1</f>
        <v>5.8081313839375204E-2</v>
      </c>
    </row>
    <row r="110" spans="1:35" ht="12.75" customHeight="1">
      <c r="B110" s="62" t="s">
        <v>173</v>
      </c>
      <c r="C110" s="84">
        <v>1865</v>
      </c>
      <c r="D110" s="84">
        <v>1969</v>
      </c>
      <c r="E110" s="84">
        <v>1969</v>
      </c>
      <c r="F110" s="33"/>
      <c r="G110" s="84"/>
      <c r="H110" s="84"/>
      <c r="I110" s="84"/>
      <c r="J110" s="33">
        <f>SUM(D110-SUM(G110:I110))</f>
        <v>1969</v>
      </c>
      <c r="K110" s="84"/>
      <c r="L110" s="84"/>
      <c r="M110" s="84"/>
      <c r="N110" s="33">
        <f>SUM(E110-SUM(K110:M110))</f>
        <v>1969</v>
      </c>
      <c r="O110" s="84"/>
      <c r="P110" s="84"/>
      <c r="Q110" s="84"/>
      <c r="S110" s="33" t="e">
        <f>SUM(#REF!)</f>
        <v>#REF!</v>
      </c>
      <c r="T110" s="33" t="e">
        <f>SUM(#REF!)</f>
        <v>#REF!</v>
      </c>
      <c r="U110" s="33" t="e">
        <f>SUM(#REF!)</f>
        <v>#REF!</v>
      </c>
      <c r="V110" s="33" t="e">
        <f>SUM(#REF!)</f>
        <v>#REF!</v>
      </c>
      <c r="W110" s="33">
        <f>SUM(G110:G110)</f>
        <v>0</v>
      </c>
      <c r="X110" s="33">
        <f>SUM(G110:H110)</f>
        <v>0</v>
      </c>
      <c r="Y110" s="33">
        <f>SUM(G110:I110)</f>
        <v>0</v>
      </c>
      <c r="Z110" s="33">
        <f>SUM(G110:J110)</f>
        <v>1969</v>
      </c>
      <c r="AA110" s="33">
        <f>SUM(H110:K110)</f>
        <v>1969</v>
      </c>
      <c r="AB110" s="33">
        <f>SUM(I110:L110)</f>
        <v>1969</v>
      </c>
      <c r="AC110" s="33">
        <f>SUM(J110:M110)</f>
        <v>1969</v>
      </c>
      <c r="AD110" s="33">
        <f>SUM(K110:N110)</f>
        <v>1969</v>
      </c>
      <c r="AE110" s="33">
        <f>SUM(L110:O110)</f>
        <v>1969</v>
      </c>
      <c r="AF110" s="33">
        <f>SUM(M110:P110)</f>
        <v>1969</v>
      </c>
      <c r="AG110" s="33">
        <f>SUM(N110:Q110)</f>
        <v>1969</v>
      </c>
      <c r="AH110" s="11"/>
      <c r="AI110" s="77">
        <f>SUM(AG110/AC110)-1</f>
        <v>0</v>
      </c>
    </row>
    <row r="111" spans="1:35" ht="12.75" customHeight="1">
      <c r="B111" s="62" t="s">
        <v>174</v>
      </c>
      <c r="C111" s="84">
        <v>2975</v>
      </c>
      <c r="D111" s="84">
        <v>3037</v>
      </c>
      <c r="E111" s="84">
        <v>1570</v>
      </c>
      <c r="F111" s="33"/>
      <c r="G111" s="84"/>
      <c r="H111" s="84"/>
      <c r="I111" s="84"/>
      <c r="J111" s="33">
        <f>SUM(D111-SUM(G111:I111))</f>
        <v>3037</v>
      </c>
      <c r="K111" s="84"/>
      <c r="L111" s="84"/>
      <c r="M111" s="84"/>
      <c r="N111" s="33">
        <f>SUM(E111-SUM(K111:M111))</f>
        <v>1570</v>
      </c>
      <c r="O111" s="84"/>
      <c r="P111" s="84"/>
      <c r="Q111" s="84"/>
      <c r="S111" s="33" t="e">
        <f>SUM(#REF!)</f>
        <v>#REF!</v>
      </c>
      <c r="T111" s="33" t="e">
        <f>SUM(#REF!)</f>
        <v>#REF!</v>
      </c>
      <c r="U111" s="33" t="e">
        <f>SUM(#REF!)</f>
        <v>#REF!</v>
      </c>
      <c r="V111" s="33" t="e">
        <f>SUM(#REF!)</f>
        <v>#REF!</v>
      </c>
      <c r="W111" s="33">
        <f>SUM(G111:G111)</f>
        <v>0</v>
      </c>
      <c r="X111" s="33">
        <f>SUM(G111:H111)</f>
        <v>0</v>
      </c>
      <c r="Y111" s="33">
        <f>SUM(G111:I111)</f>
        <v>0</v>
      </c>
      <c r="Z111" s="33">
        <f>SUM(G111:J111)</f>
        <v>3037</v>
      </c>
      <c r="AA111" s="33">
        <f>SUM(H111:K111)</f>
        <v>3037</v>
      </c>
      <c r="AB111" s="33">
        <f>SUM(I111:L111)</f>
        <v>3037</v>
      </c>
      <c r="AC111" s="33">
        <f>SUM(J111:M111)</f>
        <v>3037</v>
      </c>
      <c r="AD111" s="33">
        <f>SUM(K111:N111)</f>
        <v>1570</v>
      </c>
      <c r="AE111" s="33">
        <f>SUM(L111:O111)</f>
        <v>1570</v>
      </c>
      <c r="AF111" s="33">
        <f>SUM(M111:P111)</f>
        <v>1570</v>
      </c>
      <c r="AG111" s="33">
        <f>SUM(N111:Q111)</f>
        <v>1570</v>
      </c>
      <c r="AH111" s="11"/>
      <c r="AI111" s="77">
        <f>SUM(AG111/AC111)-1</f>
        <v>-0.48304247612775764</v>
      </c>
    </row>
    <row r="112" spans="1:35" ht="12.75" customHeight="1">
      <c r="B112" s="62" t="s">
        <v>175</v>
      </c>
      <c r="C112" s="84">
        <v>381</v>
      </c>
      <c r="D112" s="84">
        <v>441</v>
      </c>
      <c r="E112" s="84">
        <v>80</v>
      </c>
      <c r="F112" s="33"/>
      <c r="G112" s="84"/>
      <c r="H112" s="84"/>
      <c r="I112" s="84"/>
      <c r="J112" s="33">
        <f>SUM(D112-SUM(G112:I112))</f>
        <v>441</v>
      </c>
      <c r="K112" s="84"/>
      <c r="L112" s="84"/>
      <c r="M112" s="84"/>
      <c r="N112" s="33">
        <f>SUM(E112-SUM(K112:M112))</f>
        <v>80</v>
      </c>
      <c r="O112" s="84"/>
      <c r="P112" s="84"/>
      <c r="Q112" s="84"/>
      <c r="S112" s="33" t="e">
        <f>SUM(#REF!)</f>
        <v>#REF!</v>
      </c>
      <c r="T112" s="33" t="e">
        <f>SUM(#REF!)</f>
        <v>#REF!</v>
      </c>
      <c r="U112" s="33" t="e">
        <f>SUM(#REF!)</f>
        <v>#REF!</v>
      </c>
      <c r="V112" s="33" t="e">
        <f>SUM(#REF!)</f>
        <v>#REF!</v>
      </c>
      <c r="W112" s="33">
        <f>SUM(G112:G112)</f>
        <v>0</v>
      </c>
      <c r="X112" s="33">
        <f>SUM(G112:H112)</f>
        <v>0</v>
      </c>
      <c r="Y112" s="33">
        <f>SUM(G112:I112)</f>
        <v>0</v>
      </c>
      <c r="Z112" s="33">
        <f>SUM(G112:J112)</f>
        <v>441</v>
      </c>
      <c r="AA112" s="33">
        <f>SUM(H112:K112)</f>
        <v>441</v>
      </c>
      <c r="AB112" s="33">
        <f>SUM(I112:L112)</f>
        <v>441</v>
      </c>
      <c r="AC112" s="33">
        <f>SUM(J112:M112)</f>
        <v>441</v>
      </c>
      <c r="AD112" s="33">
        <f>SUM(K112:N112)</f>
        <v>80</v>
      </c>
      <c r="AE112" s="33">
        <f>SUM(L112:O112)</f>
        <v>80</v>
      </c>
      <c r="AF112" s="33">
        <f>SUM(M112:P112)</f>
        <v>80</v>
      </c>
      <c r="AG112" s="33">
        <f>SUM(N112:Q112)</f>
        <v>80</v>
      </c>
      <c r="AH112" s="11"/>
      <c r="AI112" s="77">
        <f>SUM(AG112/AC112)-1</f>
        <v>-0.81859410430838997</v>
      </c>
    </row>
    <row r="113" spans="2:35" ht="12.75" customHeight="1">
      <c r="B113" s="62" t="s">
        <v>176</v>
      </c>
      <c r="C113" s="84">
        <v>-3237</v>
      </c>
      <c r="D113" s="84">
        <v>-2552</v>
      </c>
      <c r="E113" s="84">
        <v>-1883</v>
      </c>
      <c r="F113" s="33"/>
      <c r="G113" s="84"/>
      <c r="H113" s="84"/>
      <c r="I113" s="84"/>
      <c r="J113" s="33">
        <f>SUM(D113-SUM(G113:I113))</f>
        <v>-2552</v>
      </c>
      <c r="K113" s="84"/>
      <c r="L113" s="84"/>
      <c r="M113" s="84"/>
      <c r="N113" s="33">
        <f>SUM(E113-SUM(K113:M113))</f>
        <v>-1883</v>
      </c>
      <c r="O113" s="84"/>
      <c r="P113" s="84"/>
      <c r="Q113" s="84"/>
      <c r="S113" s="33" t="e">
        <f>SUM(#REF!)</f>
        <v>#REF!</v>
      </c>
      <c r="T113" s="33" t="e">
        <f>SUM(#REF!)</f>
        <v>#REF!</v>
      </c>
      <c r="U113" s="33" t="e">
        <f>SUM(#REF!)</f>
        <v>#REF!</v>
      </c>
      <c r="V113" s="33" t="e">
        <f>SUM(#REF!)</f>
        <v>#REF!</v>
      </c>
      <c r="W113" s="33">
        <f>SUM(G113:G113)</f>
        <v>0</v>
      </c>
      <c r="X113" s="33">
        <f>SUM(G113:H113)</f>
        <v>0</v>
      </c>
      <c r="Y113" s="33">
        <f>SUM(G113:I113)</f>
        <v>0</v>
      </c>
      <c r="Z113" s="33">
        <f>SUM(G113:J113)</f>
        <v>-2552</v>
      </c>
      <c r="AA113" s="33">
        <f>SUM(H113:K113)</f>
        <v>-2552</v>
      </c>
      <c r="AB113" s="33">
        <f>SUM(I113:L113)</f>
        <v>-2552</v>
      </c>
      <c r="AC113" s="33">
        <f>SUM(J113:M113)</f>
        <v>-2552</v>
      </c>
      <c r="AD113" s="33">
        <f>SUM(K113:N113)</f>
        <v>-1883</v>
      </c>
      <c r="AE113" s="33">
        <f>SUM(L113:O113)</f>
        <v>-1883</v>
      </c>
      <c r="AF113" s="33">
        <f>SUM(M113:P113)</f>
        <v>-1883</v>
      </c>
      <c r="AG113" s="33">
        <f>SUM(N113:Q113)</f>
        <v>-1883</v>
      </c>
      <c r="AH113" s="11"/>
      <c r="AI113" s="77">
        <f>SUM(AG113/AC113)-1</f>
        <v>-0.26214733542319746</v>
      </c>
    </row>
    <row r="114" spans="2:35" ht="12.75" customHeight="1">
      <c r="B114" s="62" t="s">
        <v>177</v>
      </c>
      <c r="C114" s="84">
        <v>-1999</v>
      </c>
      <c r="D114" s="84">
        <v>1594</v>
      </c>
      <c r="E114" s="84">
        <v>56</v>
      </c>
      <c r="F114" s="33"/>
      <c r="G114" s="84"/>
      <c r="H114" s="84"/>
      <c r="I114" s="84"/>
      <c r="J114" s="33">
        <f>SUM(D114-SUM(G114:I114))</f>
        <v>1594</v>
      </c>
      <c r="K114" s="84"/>
      <c r="L114" s="84"/>
      <c r="M114" s="84"/>
      <c r="N114" s="33">
        <f>SUM(E114-SUM(K114:M114))</f>
        <v>56</v>
      </c>
      <c r="O114" s="84"/>
      <c r="P114" s="84"/>
      <c r="Q114" s="84"/>
      <c r="S114" s="33" t="e">
        <f>SUM(#REF!)</f>
        <v>#REF!</v>
      </c>
      <c r="T114" s="33" t="e">
        <f>SUM(#REF!)</f>
        <v>#REF!</v>
      </c>
      <c r="U114" s="33" t="e">
        <f>SUM(#REF!)</f>
        <v>#REF!</v>
      </c>
      <c r="V114" s="33" t="e">
        <f>SUM(#REF!)</f>
        <v>#REF!</v>
      </c>
      <c r="W114" s="33">
        <f>SUM(G114:G114)</f>
        <v>0</v>
      </c>
      <c r="X114" s="33">
        <f>SUM(G114:H114)</f>
        <v>0</v>
      </c>
      <c r="Y114" s="33">
        <f>SUM(G114:I114)</f>
        <v>0</v>
      </c>
      <c r="Z114" s="33">
        <f>SUM(G114:J114)</f>
        <v>1594</v>
      </c>
      <c r="AA114" s="33">
        <f>SUM(H114:K114)</f>
        <v>1594</v>
      </c>
      <c r="AB114" s="33">
        <f>SUM(I114:L114)</f>
        <v>1594</v>
      </c>
      <c r="AC114" s="33">
        <f>SUM(J114:M114)</f>
        <v>1594</v>
      </c>
      <c r="AD114" s="33">
        <f>SUM(K114:N114)</f>
        <v>56</v>
      </c>
      <c r="AE114" s="33">
        <f>SUM(L114:O114)</f>
        <v>56</v>
      </c>
      <c r="AF114" s="33">
        <f>SUM(M114:P114)</f>
        <v>56</v>
      </c>
      <c r="AG114" s="33">
        <f>SUM(N114:Q114)</f>
        <v>56</v>
      </c>
      <c r="AH114" s="11"/>
      <c r="AI114" s="77">
        <f>SUM(AG114/AC114)-1</f>
        <v>-0.96486825595984949</v>
      </c>
    </row>
    <row r="115" spans="2:35" ht="12.75" customHeight="1">
      <c r="B115" s="62" t="s">
        <v>178</v>
      </c>
      <c r="C115" s="33">
        <f>-C19</f>
        <v>27498</v>
      </c>
      <c r="D115" s="33">
        <f>-D19</f>
        <v>1193</v>
      </c>
      <c r="E115" s="33">
        <f>-E19</f>
        <v>5075</v>
      </c>
      <c r="F115" s="33"/>
      <c r="G115" s="33">
        <f t="shared" ref="G115:Q115" si="253">-G19</f>
        <v>0</v>
      </c>
      <c r="H115" s="33">
        <f t="shared" si="253"/>
        <v>0</v>
      </c>
      <c r="I115" s="33">
        <f t="shared" si="253"/>
        <v>604</v>
      </c>
      <c r="J115" s="33">
        <f>SUM(D115-SUM(G115:I115))</f>
        <v>589</v>
      </c>
      <c r="K115" s="33">
        <f t="shared" si="253"/>
        <v>159</v>
      </c>
      <c r="L115" s="33">
        <f t="shared" si="253"/>
        <v>480</v>
      </c>
      <c r="M115" s="33">
        <f t="shared" si="253"/>
        <v>4422</v>
      </c>
      <c r="N115" s="33">
        <f>SUM(E115-SUM(K115:M115))</f>
        <v>14</v>
      </c>
      <c r="O115" s="33">
        <f t="shared" si="253"/>
        <v>504</v>
      </c>
      <c r="P115" s="33">
        <f t="shared" si="253"/>
        <v>0</v>
      </c>
      <c r="Q115" s="33">
        <f t="shared" si="253"/>
        <v>0</v>
      </c>
      <c r="S115" s="33" t="e">
        <f>SUM(#REF!)</f>
        <v>#REF!</v>
      </c>
      <c r="T115" s="33" t="e">
        <f>SUM(#REF!)</f>
        <v>#REF!</v>
      </c>
      <c r="U115" s="33" t="e">
        <f>SUM(#REF!)</f>
        <v>#REF!</v>
      </c>
      <c r="V115" s="33" t="e">
        <f>SUM(#REF!)</f>
        <v>#REF!</v>
      </c>
      <c r="W115" s="33">
        <f>SUM(G115:G115)</f>
        <v>0</v>
      </c>
      <c r="X115" s="33">
        <f>SUM(G115:H115)</f>
        <v>0</v>
      </c>
      <c r="Y115" s="33">
        <f>SUM(G115:I115)</f>
        <v>604</v>
      </c>
      <c r="Z115" s="33">
        <f>SUM(G115:J115)</f>
        <v>1193</v>
      </c>
      <c r="AA115" s="33">
        <f>SUM(H115:K115)</f>
        <v>1352</v>
      </c>
      <c r="AB115" s="33">
        <f>SUM(I115:L115)</f>
        <v>1832</v>
      </c>
      <c r="AC115" s="33">
        <f>SUM(J115:M115)</f>
        <v>5650</v>
      </c>
      <c r="AD115" s="33">
        <f>SUM(K115:N115)</f>
        <v>5075</v>
      </c>
      <c r="AE115" s="33">
        <f>SUM(L115:O115)</f>
        <v>5420</v>
      </c>
      <c r="AF115" s="33">
        <f>SUM(M115:P115)</f>
        <v>4940</v>
      </c>
      <c r="AG115" s="33">
        <f>SUM(N115:Q115)</f>
        <v>518</v>
      </c>
      <c r="AH115" s="11"/>
      <c r="AI115" s="77">
        <f>SUM(AG115/AC115)-1</f>
        <v>-0.90831858407079646</v>
      </c>
    </row>
    <row r="116" spans="2:35" ht="12.75" customHeight="1">
      <c r="B116" s="62" t="s">
        <v>184</v>
      </c>
      <c r="C116" s="84">
        <v>-823</v>
      </c>
      <c r="D116" s="84">
        <v>-735</v>
      </c>
      <c r="E116" s="84">
        <v>-166</v>
      </c>
      <c r="F116" s="33"/>
      <c r="G116" s="84"/>
      <c r="H116" s="84"/>
      <c r="I116" s="84"/>
      <c r="J116" s="33">
        <f t="shared" ref="J116:J117" si="254">SUM(D116-SUM(G116:I116))</f>
        <v>-735</v>
      </c>
      <c r="K116" s="84"/>
      <c r="L116" s="84"/>
      <c r="M116" s="84"/>
      <c r="N116" s="33">
        <f t="shared" ref="N116:N117" si="255">SUM(E116-SUM(K116:M116))</f>
        <v>-166</v>
      </c>
      <c r="O116" s="84"/>
      <c r="P116" s="84"/>
      <c r="Q116" s="84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>
        <f t="shared" ref="AC116:AC117" si="256">SUM(J116:M116)</f>
        <v>-735</v>
      </c>
      <c r="AD116" s="33">
        <f t="shared" ref="AD116:AD117" si="257">SUM(K116:N116)</f>
        <v>-166</v>
      </c>
      <c r="AE116" s="33">
        <f t="shared" ref="AE116:AE117" si="258">SUM(L116:O116)</f>
        <v>-166</v>
      </c>
      <c r="AF116" s="33">
        <f t="shared" ref="AF116:AF117" si="259">SUM(M116:P116)</f>
        <v>-166</v>
      </c>
      <c r="AG116" s="33">
        <f t="shared" ref="AG116:AG117" si="260">SUM(N116:Q116)</f>
        <v>-166</v>
      </c>
      <c r="AH116" s="11"/>
      <c r="AI116" s="77">
        <f t="shared" ref="AI116:AI117" si="261">SUM(AG116/AC116)-1</f>
        <v>-0.77414965986394557</v>
      </c>
    </row>
    <row r="117" spans="2:35" ht="12.75" customHeight="1">
      <c r="B117" s="86" t="s">
        <v>202</v>
      </c>
      <c r="C117" s="84">
        <v>-146</v>
      </c>
      <c r="D117" s="84">
        <v>1423</v>
      </c>
      <c r="E117" s="84">
        <v>1656</v>
      </c>
      <c r="F117" s="33"/>
      <c r="G117" s="84"/>
      <c r="H117" s="84"/>
      <c r="I117" s="84"/>
      <c r="J117" s="33">
        <f t="shared" si="254"/>
        <v>1423</v>
      </c>
      <c r="K117" s="84"/>
      <c r="L117" s="84"/>
      <c r="M117" s="84"/>
      <c r="N117" s="33">
        <f t="shared" si="255"/>
        <v>1656</v>
      </c>
      <c r="O117" s="84"/>
      <c r="P117" s="84"/>
      <c r="Q117" s="84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>
        <f t="shared" si="256"/>
        <v>1423</v>
      </c>
      <c r="AD117" s="33">
        <f t="shared" si="257"/>
        <v>1656</v>
      </c>
      <c r="AE117" s="33">
        <f t="shared" si="258"/>
        <v>1656</v>
      </c>
      <c r="AF117" s="33">
        <f t="shared" si="259"/>
        <v>1656</v>
      </c>
      <c r="AG117" s="33">
        <f t="shared" si="260"/>
        <v>1656</v>
      </c>
      <c r="AH117" s="11"/>
      <c r="AI117" s="77">
        <f t="shared" si="261"/>
        <v>0.16373858046380896</v>
      </c>
    </row>
    <row r="118" spans="2:35" ht="12.75" customHeight="1">
      <c r="B118" s="86" t="s">
        <v>206</v>
      </c>
      <c r="C118" s="84"/>
      <c r="D118" s="84"/>
      <c r="E118" s="84"/>
      <c r="F118" s="33"/>
      <c r="G118" s="84"/>
      <c r="H118" s="84"/>
      <c r="I118" s="84"/>
      <c r="J118" s="33"/>
      <c r="K118" s="84"/>
      <c r="L118" s="84"/>
      <c r="M118" s="84"/>
      <c r="N118" s="33"/>
      <c r="O118" s="84"/>
      <c r="P118" s="84"/>
      <c r="Q118" s="84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D118" s="33"/>
      <c r="AE118" s="33"/>
      <c r="AF118" s="33"/>
      <c r="AG118" s="33"/>
      <c r="AH118" s="11"/>
      <c r="AI118" s="77"/>
    </row>
    <row r="119" spans="2:35" ht="5.0999999999999996" customHeight="1">
      <c r="B119" s="62"/>
      <c r="C119" s="84"/>
      <c r="D119" s="84"/>
      <c r="E119" s="84"/>
      <c r="F119" s="33"/>
      <c r="G119" s="84"/>
      <c r="H119" s="84"/>
      <c r="I119" s="84"/>
      <c r="J119" s="33"/>
      <c r="K119" s="84"/>
      <c r="L119" s="84"/>
      <c r="M119" s="84"/>
      <c r="N119" s="33"/>
      <c r="O119" s="84"/>
      <c r="P119" s="84"/>
      <c r="Q119" s="84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D119" s="33"/>
      <c r="AE119" s="33"/>
      <c r="AF119" s="33"/>
      <c r="AG119" s="33"/>
      <c r="AH119" s="11"/>
      <c r="AI119" s="77"/>
    </row>
    <row r="120" spans="2:35" ht="12.75" customHeight="1">
      <c r="B120" s="37" t="s">
        <v>13</v>
      </c>
      <c r="C120" s="84"/>
      <c r="D120" s="84"/>
      <c r="E120" s="84"/>
      <c r="F120" s="33"/>
      <c r="G120" s="84"/>
      <c r="H120" s="84"/>
      <c r="I120" s="84"/>
      <c r="J120" s="33"/>
      <c r="K120" s="84"/>
      <c r="L120" s="84"/>
      <c r="M120" s="84"/>
      <c r="N120" s="33"/>
      <c r="O120" s="84"/>
      <c r="P120" s="84"/>
      <c r="Q120" s="84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D120" s="33"/>
      <c r="AE120" s="33"/>
      <c r="AF120" s="33"/>
      <c r="AG120" s="33"/>
      <c r="AH120" s="61"/>
      <c r="AI120" s="77"/>
    </row>
    <row r="121" spans="2:35" ht="12.75" customHeight="1">
      <c r="B121" s="62" t="s">
        <v>179</v>
      </c>
      <c r="C121" s="84">
        <v>727</v>
      </c>
      <c r="D121" s="84">
        <v>82</v>
      </c>
      <c r="E121" s="84">
        <v>123</v>
      </c>
      <c r="F121" s="33"/>
      <c r="G121" s="84"/>
      <c r="H121" s="84"/>
      <c r="I121" s="84"/>
      <c r="J121" s="33">
        <f>SUM(D121-SUM(G121:I121))</f>
        <v>82</v>
      </c>
      <c r="K121" s="84"/>
      <c r="L121" s="84"/>
      <c r="M121" s="84"/>
      <c r="N121" s="33">
        <f>SUM(E121-SUM(K121:M121))</f>
        <v>123</v>
      </c>
      <c r="O121" s="84"/>
      <c r="P121" s="84"/>
      <c r="Q121" s="84"/>
      <c r="S121" s="33" t="e">
        <f>SUM(#REF!)</f>
        <v>#REF!</v>
      </c>
      <c r="T121" s="33" t="e">
        <f>SUM(#REF!)</f>
        <v>#REF!</v>
      </c>
      <c r="U121" s="33" t="e">
        <f>SUM(#REF!)</f>
        <v>#REF!</v>
      </c>
      <c r="V121" s="33" t="e">
        <f>SUM(#REF!)</f>
        <v>#REF!</v>
      </c>
      <c r="W121" s="33">
        <f>SUM(G121:G121)</f>
        <v>0</v>
      </c>
      <c r="X121" s="33">
        <f>SUM(G121:H121)</f>
        <v>0</v>
      </c>
      <c r="Y121" s="33">
        <f>SUM(G121:I121)</f>
        <v>0</v>
      </c>
      <c r="Z121" s="33">
        <f>SUM(G121:J121)</f>
        <v>82</v>
      </c>
      <c r="AA121" s="33">
        <f>SUM(H121:K121)</f>
        <v>82</v>
      </c>
      <c r="AB121" s="33">
        <f>SUM(I121:L121)</f>
        <v>82</v>
      </c>
      <c r="AC121" s="33">
        <f>SUM(J121:M121)</f>
        <v>82</v>
      </c>
      <c r="AD121" s="33">
        <f>SUM(K121:N121)</f>
        <v>123</v>
      </c>
      <c r="AE121" s="33">
        <f>SUM(L121:O121)</f>
        <v>123</v>
      </c>
      <c r="AF121" s="33">
        <f>SUM(M121:P121)</f>
        <v>123</v>
      </c>
      <c r="AG121" s="33">
        <f>SUM(N121:Q121)</f>
        <v>123</v>
      </c>
      <c r="AH121" s="61"/>
      <c r="AI121" s="77">
        <f>SUM(AG121/AC121)-1</f>
        <v>0.5</v>
      </c>
    </row>
    <row r="122" spans="2:35" ht="12.75" customHeight="1">
      <c r="B122" s="62" t="s">
        <v>180</v>
      </c>
      <c r="C122" s="84">
        <v>-674</v>
      </c>
      <c r="D122" s="84">
        <v>-642</v>
      </c>
      <c r="E122" s="84">
        <v>-383</v>
      </c>
      <c r="F122" s="33"/>
      <c r="G122" s="84"/>
      <c r="H122" s="84"/>
      <c r="I122" s="84"/>
      <c r="J122" s="33">
        <f t="shared" ref="J122:J125" si="262">SUM(D122-SUM(G122:I122))</f>
        <v>-642</v>
      </c>
      <c r="K122" s="84"/>
      <c r="L122" s="84"/>
      <c r="M122" s="84"/>
      <c r="N122" s="33">
        <f t="shared" ref="N122:N125" si="263">SUM(E122-SUM(K122:M122))</f>
        <v>-383</v>
      </c>
      <c r="O122" s="84"/>
      <c r="P122" s="84"/>
      <c r="Q122" s="84"/>
      <c r="S122" s="33" t="e">
        <f>SUM(#REF!)</f>
        <v>#REF!</v>
      </c>
      <c r="T122" s="33" t="e">
        <f>SUM(#REF!)</f>
        <v>#REF!</v>
      </c>
      <c r="U122" s="33" t="e">
        <f>SUM(#REF!)</f>
        <v>#REF!</v>
      </c>
      <c r="V122" s="33" t="e">
        <f>SUM(#REF!)</f>
        <v>#REF!</v>
      </c>
      <c r="W122" s="33">
        <f>SUM(G122:G122)</f>
        <v>0</v>
      </c>
      <c r="X122" s="33">
        <f>SUM(G122:H122)</f>
        <v>0</v>
      </c>
      <c r="Y122" s="33">
        <f>SUM(G122:I122)</f>
        <v>0</v>
      </c>
      <c r="Z122" s="33">
        <f>SUM(G122:J122)</f>
        <v>-642</v>
      </c>
      <c r="AA122" s="33">
        <f>SUM(H122:K122)</f>
        <v>-642</v>
      </c>
      <c r="AB122" s="33">
        <f>SUM(I122:L122)</f>
        <v>-642</v>
      </c>
      <c r="AC122" s="33">
        <f t="shared" ref="AC122:AC125" si="264">SUM(J122:M122)</f>
        <v>-642</v>
      </c>
      <c r="AD122" s="33">
        <f t="shared" ref="AD122:AD125" si="265">SUM(K122:N122)</f>
        <v>-383</v>
      </c>
      <c r="AE122" s="33">
        <f t="shared" ref="AE122:AE125" si="266">SUM(L122:O122)</f>
        <v>-383</v>
      </c>
      <c r="AF122" s="33">
        <f t="shared" ref="AF122:AF125" si="267">SUM(M122:P122)</f>
        <v>-383</v>
      </c>
      <c r="AG122" s="33">
        <f t="shared" ref="AG122:AG125" si="268">SUM(N122:Q122)</f>
        <v>-383</v>
      </c>
      <c r="AH122" s="61"/>
      <c r="AI122" s="77">
        <f t="shared" ref="AI122:AI125" si="269">SUM(AG122/AC122)-1</f>
        <v>-0.40342679127725856</v>
      </c>
    </row>
    <row r="123" spans="2:35" ht="12.75" customHeight="1">
      <c r="B123" s="62" t="s">
        <v>181</v>
      </c>
      <c r="C123" s="84">
        <v>-1109</v>
      </c>
      <c r="D123" s="84">
        <v>-1764</v>
      </c>
      <c r="E123" s="84">
        <v>-810</v>
      </c>
      <c r="F123" s="33"/>
      <c r="G123" s="84"/>
      <c r="H123" s="84"/>
      <c r="I123" s="84"/>
      <c r="J123" s="33">
        <f t="shared" si="262"/>
        <v>-1764</v>
      </c>
      <c r="K123" s="84"/>
      <c r="L123" s="84"/>
      <c r="M123" s="84"/>
      <c r="N123" s="33">
        <f t="shared" si="263"/>
        <v>-810</v>
      </c>
      <c r="O123" s="84"/>
      <c r="P123" s="84"/>
      <c r="Q123" s="84"/>
      <c r="S123" s="33" t="e">
        <f>SUM(#REF!)</f>
        <v>#REF!</v>
      </c>
      <c r="T123" s="33" t="e">
        <f>SUM(#REF!)</f>
        <v>#REF!</v>
      </c>
      <c r="U123" s="33" t="e">
        <f>SUM(#REF!)</f>
        <v>#REF!</v>
      </c>
      <c r="V123" s="33" t="e">
        <f>SUM(#REF!)</f>
        <v>#REF!</v>
      </c>
      <c r="W123" s="33">
        <f>SUM(G123:G123)</f>
        <v>0</v>
      </c>
      <c r="X123" s="33">
        <f>SUM(G123:H123)</f>
        <v>0</v>
      </c>
      <c r="Y123" s="33">
        <f>SUM(G123:I123)</f>
        <v>0</v>
      </c>
      <c r="Z123" s="33">
        <f>SUM(G123:J123)</f>
        <v>-1764</v>
      </c>
      <c r="AA123" s="33">
        <f>SUM(H123:K123)</f>
        <v>-1764</v>
      </c>
      <c r="AB123" s="33">
        <f>SUM(I123:L123)</f>
        <v>-1764</v>
      </c>
      <c r="AC123" s="33">
        <f t="shared" si="264"/>
        <v>-1764</v>
      </c>
      <c r="AD123" s="33">
        <f t="shared" si="265"/>
        <v>-810</v>
      </c>
      <c r="AE123" s="33">
        <f t="shared" si="266"/>
        <v>-810</v>
      </c>
      <c r="AF123" s="33">
        <f t="shared" si="267"/>
        <v>-810</v>
      </c>
      <c r="AG123" s="33">
        <f t="shared" si="268"/>
        <v>-810</v>
      </c>
      <c r="AH123" s="61"/>
      <c r="AI123" s="77">
        <f t="shared" si="269"/>
        <v>-0.54081632653061229</v>
      </c>
    </row>
    <row r="124" spans="2:35" ht="12.75" customHeight="1">
      <c r="B124" s="62" t="s">
        <v>182</v>
      </c>
      <c r="C124" s="84">
        <v>154</v>
      </c>
      <c r="D124" s="84">
        <v>-133</v>
      </c>
      <c r="E124" s="84">
        <v>-1846</v>
      </c>
      <c r="F124" s="33"/>
      <c r="G124" s="84"/>
      <c r="H124" s="84"/>
      <c r="I124" s="84"/>
      <c r="J124" s="33">
        <f t="shared" si="262"/>
        <v>-133</v>
      </c>
      <c r="K124" s="84"/>
      <c r="L124" s="84"/>
      <c r="M124" s="84"/>
      <c r="N124" s="33">
        <f t="shared" si="263"/>
        <v>-1846</v>
      </c>
      <c r="O124" s="84"/>
      <c r="P124" s="84"/>
      <c r="Q124" s="84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>
        <f t="shared" si="264"/>
        <v>-133</v>
      </c>
      <c r="AD124" s="33">
        <f t="shared" si="265"/>
        <v>-1846</v>
      </c>
      <c r="AE124" s="33">
        <f t="shared" si="266"/>
        <v>-1846</v>
      </c>
      <c r="AF124" s="33">
        <f t="shared" si="267"/>
        <v>-1846</v>
      </c>
      <c r="AG124" s="33">
        <f t="shared" si="268"/>
        <v>-1846</v>
      </c>
      <c r="AH124" s="61"/>
      <c r="AI124" s="77">
        <f t="shared" si="269"/>
        <v>12.8796992481203</v>
      </c>
    </row>
    <row r="125" spans="2:35" ht="12.75" customHeight="1">
      <c r="B125" s="62" t="s">
        <v>183</v>
      </c>
      <c r="C125" s="84">
        <v>-947</v>
      </c>
      <c r="D125" s="84">
        <v>1</v>
      </c>
      <c r="E125" s="84">
        <v>497</v>
      </c>
      <c r="F125" s="33"/>
      <c r="G125" s="84"/>
      <c r="H125" s="84"/>
      <c r="I125" s="84"/>
      <c r="J125" s="33">
        <f t="shared" si="262"/>
        <v>1</v>
      </c>
      <c r="K125" s="84"/>
      <c r="L125" s="84"/>
      <c r="M125" s="84"/>
      <c r="N125" s="33">
        <f t="shared" si="263"/>
        <v>497</v>
      </c>
      <c r="O125" s="84"/>
      <c r="P125" s="84"/>
      <c r="Q125" s="84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>
        <f t="shared" si="264"/>
        <v>1</v>
      </c>
      <c r="AD125" s="33">
        <f t="shared" si="265"/>
        <v>497</v>
      </c>
      <c r="AE125" s="33">
        <f t="shared" si="266"/>
        <v>497</v>
      </c>
      <c r="AF125" s="33">
        <f t="shared" si="267"/>
        <v>497</v>
      </c>
      <c r="AG125" s="33">
        <f t="shared" si="268"/>
        <v>497</v>
      </c>
      <c r="AH125" s="61"/>
      <c r="AI125" s="77">
        <f t="shared" si="269"/>
        <v>496</v>
      </c>
    </row>
    <row r="126" spans="2:35" ht="12.75" customHeight="1">
      <c r="B126" s="13" t="s">
        <v>55</v>
      </c>
      <c r="C126" s="14">
        <f>SUM(C106:C125)</f>
        <v>35631</v>
      </c>
      <c r="D126" s="14">
        <f>SUM(D106:D125)</f>
        <v>38314</v>
      </c>
      <c r="E126" s="14">
        <f>SUM(E106:E125)</f>
        <v>38771</v>
      </c>
      <c r="G126" s="14">
        <f>SUM(G106:G125)</f>
        <v>9084</v>
      </c>
      <c r="H126" s="14">
        <f>SUM(H106:H125)</f>
        <v>9437</v>
      </c>
      <c r="I126" s="14">
        <f>SUM(I106:I125)</f>
        <v>9135</v>
      </c>
      <c r="J126" s="14">
        <f>SUM(J106:J125)</f>
        <v>10658</v>
      </c>
      <c r="K126" s="14">
        <f>SUM(K106:K125)</f>
        <v>8957</v>
      </c>
      <c r="L126" s="14">
        <f>SUM(L106:L125)</f>
        <v>9501</v>
      </c>
      <c r="M126" s="14">
        <f>SUM(M106:M125)</f>
        <v>9654</v>
      </c>
      <c r="N126" s="14">
        <f>SUM(N106:N125)</f>
        <v>10659</v>
      </c>
      <c r="O126" s="14">
        <f>SUM(O106:O125)</f>
        <v>10386</v>
      </c>
      <c r="P126" s="14">
        <f>SUM(P106:P125)</f>
        <v>10112</v>
      </c>
      <c r="Q126" s="14">
        <f>SUM(Q106:Q125)</f>
        <v>14954</v>
      </c>
      <c r="S126" s="14" t="e">
        <f>SUM(S106:S125)</f>
        <v>#REF!</v>
      </c>
      <c r="T126" s="14" t="e">
        <f>SUM(T106:T125)</f>
        <v>#REF!</v>
      </c>
      <c r="U126" s="14" t="e">
        <f>SUM(U106:U125)</f>
        <v>#REF!</v>
      </c>
      <c r="V126" s="14" t="e">
        <f>SUM(V106:V125)</f>
        <v>#REF!</v>
      </c>
      <c r="W126" s="14">
        <f>SUM(W106:W125)</f>
        <v>9084</v>
      </c>
      <c r="X126" s="14">
        <f>SUM(X106:X125)</f>
        <v>18521</v>
      </c>
      <c r="Y126" s="14">
        <f>SUM(Y106:Y125)</f>
        <v>27656</v>
      </c>
      <c r="Z126" s="14">
        <f>SUM(Z106:Z125)</f>
        <v>37758</v>
      </c>
      <c r="AA126" s="14">
        <f>SUM(AA106:AA125)</f>
        <v>37631</v>
      </c>
      <c r="AB126" s="14">
        <f>SUM(AB106:AB125)</f>
        <v>37695</v>
      </c>
      <c r="AC126" s="14">
        <f>SUM(AC106:AC125)</f>
        <v>38770</v>
      </c>
      <c r="AD126" s="14">
        <f>SUM(AD106:AD125)</f>
        <v>38771</v>
      </c>
      <c r="AE126" s="14">
        <f>SUM(AE106:AE125)</f>
        <v>40200</v>
      </c>
      <c r="AF126" s="14">
        <f>SUM(AF106:AF125)</f>
        <v>40811</v>
      </c>
      <c r="AG126" s="14">
        <f>SUM(AG106:AG125)</f>
        <v>46111</v>
      </c>
      <c r="AH126" s="43"/>
      <c r="AI126" s="78">
        <f>SUM(AG126/AC126)-1</f>
        <v>0.18934743358266704</v>
      </c>
    </row>
    <row r="127" spans="2:35" ht="12.75" customHeight="1">
      <c r="B127" s="55"/>
      <c r="C127" s="63"/>
      <c r="D127" s="63"/>
      <c r="E127" s="63"/>
      <c r="G127" s="63"/>
      <c r="H127" s="63"/>
      <c r="I127" s="63"/>
      <c r="J127" s="63"/>
      <c r="K127" s="63"/>
      <c r="L127" s="63"/>
      <c r="M127" s="63"/>
      <c r="N127" s="63"/>
      <c r="O127" s="63"/>
      <c r="P127" s="63"/>
      <c r="Q127" s="6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0"/>
    </row>
    <row r="128" spans="2:35" ht="12.75" customHeight="1">
      <c r="B128" s="55" t="s">
        <v>56</v>
      </c>
      <c r="C128" s="60"/>
      <c r="D128" s="60"/>
      <c r="E128" s="60"/>
      <c r="G128" s="84"/>
      <c r="H128" s="84"/>
      <c r="I128" s="84"/>
      <c r="J128" s="33"/>
      <c r="K128" s="84"/>
      <c r="L128" s="84"/>
      <c r="M128" s="84"/>
      <c r="N128" s="33"/>
      <c r="O128" s="60"/>
      <c r="P128" s="60"/>
      <c r="Q128" s="60"/>
      <c r="S128" s="60"/>
      <c r="T128" s="60"/>
      <c r="U128" s="60"/>
      <c r="V128" s="60"/>
      <c r="W128" s="60"/>
      <c r="X128" s="60"/>
      <c r="Y128" s="60"/>
      <c r="Z128" s="60"/>
      <c r="AA128" s="60"/>
      <c r="AB128" s="60"/>
      <c r="AC128" s="60"/>
      <c r="AD128" s="60"/>
      <c r="AE128" s="60"/>
      <c r="AF128" s="60"/>
      <c r="AG128" s="60"/>
      <c r="AH128" s="61"/>
      <c r="AI128" s="40"/>
    </row>
    <row r="129" spans="2:35" ht="12.75" customHeight="1">
      <c r="B129" s="62" t="s">
        <v>185</v>
      </c>
      <c r="C129" s="84">
        <v>-19626</v>
      </c>
      <c r="D129" s="84">
        <v>-17853</v>
      </c>
      <c r="E129" s="84">
        <v>-20263</v>
      </c>
      <c r="F129" s="33"/>
      <c r="G129" s="84"/>
      <c r="H129" s="84"/>
      <c r="I129" s="84"/>
      <c r="J129" s="33">
        <f>SUM(D129-SUM(G129:I129))</f>
        <v>-17853</v>
      </c>
      <c r="K129" s="84"/>
      <c r="L129" s="84"/>
      <c r="M129" s="84"/>
      <c r="N129" s="33">
        <f>SUM(E129-SUM(K129:M129))</f>
        <v>-20263</v>
      </c>
      <c r="O129" s="84"/>
      <c r="P129" s="84"/>
      <c r="Q129" s="84"/>
      <c r="R129" s="33"/>
      <c r="S129" s="33" t="e">
        <f>SUM(#REF!)</f>
        <v>#REF!</v>
      </c>
      <c r="T129" s="33" t="e">
        <f>SUM(#REF!)</f>
        <v>#REF!</v>
      </c>
      <c r="U129" s="33" t="e">
        <f>SUM(#REF!)</f>
        <v>#REF!</v>
      </c>
      <c r="V129" s="33" t="e">
        <f>SUM(#REF!)</f>
        <v>#REF!</v>
      </c>
      <c r="W129" s="33">
        <f>SUM(G129:G129)</f>
        <v>0</v>
      </c>
      <c r="X129" s="33">
        <f>SUM(G129:H129)</f>
        <v>0</v>
      </c>
      <c r="Y129" s="33">
        <f>SUM(G129:I129)</f>
        <v>0</v>
      </c>
      <c r="Z129" s="33">
        <f>SUM(G129:J129)</f>
        <v>-17853</v>
      </c>
      <c r="AA129" s="33">
        <f>SUM(H129:K129)</f>
        <v>-17853</v>
      </c>
      <c r="AB129" s="33">
        <f>SUM(I129:L129)</f>
        <v>-17853</v>
      </c>
      <c r="AC129" s="33">
        <f>SUM(J129:M129)</f>
        <v>-17853</v>
      </c>
      <c r="AD129" s="33">
        <f>SUM(K129:N129)</f>
        <v>-20263</v>
      </c>
      <c r="AE129" s="33">
        <f>SUM(L129:O129)</f>
        <v>-20263</v>
      </c>
      <c r="AF129" s="33">
        <f>SUM(M129:P129)</f>
        <v>-20263</v>
      </c>
      <c r="AG129" s="33">
        <f>SUM(N129:Q129)</f>
        <v>-20263</v>
      </c>
      <c r="AH129" s="61"/>
      <c r="AI129" s="77">
        <f>SUM(AG129/AC129)-1</f>
        <v>0.13499131798577269</v>
      </c>
    </row>
    <row r="130" spans="2:35" ht="12.75" customHeight="1">
      <c r="B130" s="62" t="s">
        <v>186</v>
      </c>
      <c r="C130" s="84">
        <v>-10200</v>
      </c>
      <c r="D130" s="84">
        <v>-2942</v>
      </c>
      <c r="E130" s="84">
        <v>-380</v>
      </c>
      <c r="F130" s="33"/>
      <c r="G130" s="84"/>
      <c r="H130" s="84"/>
      <c r="I130" s="84"/>
      <c r="J130" s="33">
        <f>SUM(D130-SUM(G130:I130))</f>
        <v>-2942</v>
      </c>
      <c r="K130" s="84"/>
      <c r="L130" s="84"/>
      <c r="M130" s="84"/>
      <c r="N130" s="33">
        <f>SUM(E130-SUM(K130:M130))</f>
        <v>-380</v>
      </c>
      <c r="O130" s="84"/>
      <c r="P130" s="84"/>
      <c r="Q130" s="84"/>
      <c r="R130" s="33"/>
      <c r="S130" s="33" t="e">
        <f>SUM(#REF!)</f>
        <v>#REF!</v>
      </c>
      <c r="T130" s="33" t="e">
        <f>SUM(#REF!)</f>
        <v>#REF!</v>
      </c>
      <c r="U130" s="33" t="e">
        <f>SUM(#REF!)</f>
        <v>#REF!</v>
      </c>
      <c r="V130" s="33" t="e">
        <f>SUM(#REF!)</f>
        <v>#REF!</v>
      </c>
      <c r="W130" s="33">
        <f>SUM(G130:G130)</f>
        <v>0</v>
      </c>
      <c r="X130" s="33">
        <f>SUM(G130:H130)</f>
        <v>0</v>
      </c>
      <c r="Y130" s="33">
        <f>SUM(G130:I130)</f>
        <v>0</v>
      </c>
      <c r="Z130" s="33">
        <f>SUM(G130:J130)</f>
        <v>-2942</v>
      </c>
      <c r="AA130" s="33">
        <f>SUM(H130:K130)</f>
        <v>-2942</v>
      </c>
      <c r="AB130" s="33">
        <f>SUM(I130:L130)</f>
        <v>-2942</v>
      </c>
      <c r="AC130" s="33">
        <f>SUM(J130:M130)</f>
        <v>-2942</v>
      </c>
      <c r="AD130" s="33">
        <f>SUM(K130:N130)</f>
        <v>-380</v>
      </c>
      <c r="AE130" s="33">
        <f>SUM(L130:O130)</f>
        <v>-380</v>
      </c>
      <c r="AF130" s="33">
        <f>SUM(M130:P130)</f>
        <v>-380</v>
      </c>
      <c r="AG130" s="33">
        <f>SUM(N130:Q130)</f>
        <v>-380</v>
      </c>
      <c r="AH130" s="61"/>
      <c r="AI130" s="77">
        <f>SUM(AG130/AC130)-1</f>
        <v>-0.87083616587355539</v>
      </c>
    </row>
    <row r="131" spans="2:35" ht="12.75" customHeight="1">
      <c r="B131" s="62" t="s">
        <v>187</v>
      </c>
      <c r="C131" s="84">
        <v>199</v>
      </c>
      <c r="D131" s="84">
        <v>72</v>
      </c>
      <c r="E131" s="84">
        <v>75</v>
      </c>
      <c r="F131" s="33"/>
      <c r="G131" s="84"/>
      <c r="H131" s="84"/>
      <c r="I131" s="84"/>
      <c r="J131" s="33">
        <f>SUM(D131-SUM(G131:I131))</f>
        <v>72</v>
      </c>
      <c r="K131" s="84"/>
      <c r="L131" s="84"/>
      <c r="M131" s="84"/>
      <c r="N131" s="33">
        <f>SUM(E131-SUM(K131:M131))</f>
        <v>75</v>
      </c>
      <c r="O131" s="84"/>
      <c r="P131" s="84"/>
      <c r="Q131" s="84"/>
      <c r="R131" s="33"/>
      <c r="S131" s="33" t="e">
        <f>SUM(#REF!)</f>
        <v>#REF!</v>
      </c>
      <c r="T131" s="33" t="e">
        <f>SUM(#REF!)</f>
        <v>#REF!</v>
      </c>
      <c r="U131" s="33" t="e">
        <f>SUM(#REF!)</f>
        <v>#REF!</v>
      </c>
      <c r="V131" s="33" t="e">
        <f>SUM(#REF!)</f>
        <v>#REF!</v>
      </c>
      <c r="W131" s="33">
        <f>SUM(G131:G131)</f>
        <v>0</v>
      </c>
      <c r="X131" s="33">
        <f>SUM(G131:H131)</f>
        <v>0</v>
      </c>
      <c r="Y131" s="33">
        <f>SUM(G131:I131)</f>
        <v>0</v>
      </c>
      <c r="Z131" s="33">
        <f>SUM(G131:J131)</f>
        <v>72</v>
      </c>
      <c r="AA131" s="33">
        <f>SUM(H131:K131)</f>
        <v>72</v>
      </c>
      <c r="AB131" s="33">
        <f>SUM(I131:L131)</f>
        <v>72</v>
      </c>
      <c r="AC131" s="33">
        <f>SUM(J131:M131)</f>
        <v>72</v>
      </c>
      <c r="AD131" s="33">
        <f>SUM(K131:N131)</f>
        <v>75</v>
      </c>
      <c r="AE131" s="33">
        <f>SUM(L131:O131)</f>
        <v>75</v>
      </c>
      <c r="AF131" s="33">
        <f>SUM(M131:P131)</f>
        <v>75</v>
      </c>
      <c r="AG131" s="33">
        <f>SUM(N131:Q131)</f>
        <v>75</v>
      </c>
      <c r="AH131" s="61"/>
      <c r="AI131" s="77">
        <f>SUM(AG131/AC131)-1</f>
        <v>4.1666666666666741E-2</v>
      </c>
    </row>
    <row r="132" spans="2:35" ht="12.75" customHeight="1">
      <c r="B132" s="62" t="s">
        <v>188</v>
      </c>
      <c r="C132" s="84">
        <v>2649</v>
      </c>
      <c r="D132" s="84">
        <v>2049</v>
      </c>
      <c r="E132" s="84">
        <v>928</v>
      </c>
      <c r="F132" s="33"/>
      <c r="G132" s="84"/>
      <c r="H132" s="84"/>
      <c r="I132" s="84"/>
      <c r="J132" s="33">
        <f>SUM(D132-SUM(G132:I132))</f>
        <v>2049</v>
      </c>
      <c r="K132" s="84"/>
      <c r="L132" s="84"/>
      <c r="M132" s="84"/>
      <c r="N132" s="33">
        <f>SUM(E132-SUM(K132:M132))</f>
        <v>928</v>
      </c>
      <c r="O132" s="84"/>
      <c r="P132" s="84"/>
      <c r="Q132" s="84"/>
      <c r="R132" s="33"/>
      <c r="S132" s="33" t="e">
        <f>SUM(#REF!)</f>
        <v>#REF!</v>
      </c>
      <c r="T132" s="33" t="e">
        <f>SUM(#REF!)</f>
        <v>#REF!</v>
      </c>
      <c r="U132" s="33" t="e">
        <f>SUM(#REF!)</f>
        <v>#REF!</v>
      </c>
      <c r="V132" s="33" t="e">
        <f>SUM(#REF!)</f>
        <v>#REF!</v>
      </c>
      <c r="W132" s="33">
        <f>SUM(G132:G132)</f>
        <v>0</v>
      </c>
      <c r="X132" s="33">
        <f>SUM(G132:H132)</f>
        <v>0</v>
      </c>
      <c r="Y132" s="33">
        <f>SUM(G132:I132)</f>
        <v>0</v>
      </c>
      <c r="Z132" s="33">
        <f>SUM(G132:J132)</f>
        <v>2049</v>
      </c>
      <c r="AA132" s="33">
        <f>SUM(H132:K132)</f>
        <v>2049</v>
      </c>
      <c r="AB132" s="33">
        <f>SUM(I132:L132)</f>
        <v>2049</v>
      </c>
      <c r="AC132" s="33">
        <f>SUM(J132:M132)</f>
        <v>2049</v>
      </c>
      <c r="AD132" s="33">
        <f>SUM(K132:N132)</f>
        <v>928</v>
      </c>
      <c r="AE132" s="33">
        <f>SUM(L132:O132)</f>
        <v>928</v>
      </c>
      <c r="AF132" s="33">
        <f>SUM(M132:P132)</f>
        <v>928</v>
      </c>
      <c r="AG132" s="33">
        <f>SUM(N132:Q132)</f>
        <v>928</v>
      </c>
      <c r="AH132" s="61"/>
      <c r="AI132" s="77">
        <f>SUM(AG132/AC132)-1</f>
        <v>-0.54709614446071253</v>
      </c>
    </row>
    <row r="133" spans="2:35" ht="12.75" customHeight="1">
      <c r="B133" s="62" t="s">
        <v>189</v>
      </c>
      <c r="C133" s="84">
        <v>82</v>
      </c>
      <c r="D133" s="84">
        <v>-902</v>
      </c>
      <c r="E133" s="84">
        <v>2575</v>
      </c>
      <c r="F133" s="33"/>
      <c r="G133" s="84"/>
      <c r="H133" s="84"/>
      <c r="I133" s="84"/>
      <c r="J133" s="33">
        <f>SUM(D133-SUM(G133:I133))</f>
        <v>-902</v>
      </c>
      <c r="K133" s="84"/>
      <c r="L133" s="84"/>
      <c r="M133" s="84"/>
      <c r="N133" s="33">
        <f>SUM(E133-SUM(K133:M133))</f>
        <v>2575</v>
      </c>
      <c r="O133" s="84"/>
      <c r="P133" s="84"/>
      <c r="Q133" s="84"/>
      <c r="R133" s="33"/>
      <c r="S133" s="33"/>
      <c r="T133" s="33"/>
      <c r="U133" s="33"/>
      <c r="V133" s="33"/>
      <c r="W133" s="33"/>
      <c r="X133" s="33"/>
      <c r="Y133" s="33"/>
      <c r="Z133" s="33">
        <f>SUM(G133:J133)</f>
        <v>-902</v>
      </c>
      <c r="AA133" s="33">
        <f>SUM(H133:K133)</f>
        <v>-902</v>
      </c>
      <c r="AB133" s="33">
        <f>SUM(I133:L133)</f>
        <v>-902</v>
      </c>
      <c r="AC133" s="33">
        <f>SUM(J133:M133)</f>
        <v>-902</v>
      </c>
      <c r="AD133" s="33">
        <f>SUM(K133:N133)</f>
        <v>2575</v>
      </c>
      <c r="AE133" s="33">
        <f>SUM(L133:O133)</f>
        <v>2575</v>
      </c>
      <c r="AF133" s="33">
        <f>SUM(M133:P133)</f>
        <v>2575</v>
      </c>
      <c r="AG133" s="33">
        <f>SUM(N133:Q133)</f>
        <v>2575</v>
      </c>
      <c r="AH133" s="61"/>
      <c r="AI133" s="77">
        <f>SUM(AG133/AC133)-1</f>
        <v>-3.8547671840354769</v>
      </c>
    </row>
    <row r="134" spans="2:35" ht="12.75" customHeight="1">
      <c r="B134" s="86" t="s">
        <v>201</v>
      </c>
      <c r="C134" s="84">
        <v>-3</v>
      </c>
      <c r="D134" s="84">
        <v>-84</v>
      </c>
      <c r="E134" s="84">
        <v>-425</v>
      </c>
      <c r="F134" s="33"/>
      <c r="G134" s="84"/>
      <c r="H134" s="84"/>
      <c r="I134" s="84"/>
      <c r="J134" s="33">
        <f>SUM(D134-SUM(G134:I134))</f>
        <v>-84</v>
      </c>
      <c r="K134" s="84"/>
      <c r="L134" s="84"/>
      <c r="M134" s="84"/>
      <c r="N134" s="33">
        <f>SUM(E134-SUM(K134:M134))</f>
        <v>-425</v>
      </c>
      <c r="O134" s="84"/>
      <c r="P134" s="84"/>
      <c r="Q134" s="84"/>
      <c r="R134" s="33"/>
      <c r="S134" s="33" t="e">
        <f>SUM(#REF!)</f>
        <v>#REF!</v>
      </c>
      <c r="T134" s="33" t="e">
        <f>SUM(#REF!)</f>
        <v>#REF!</v>
      </c>
      <c r="U134" s="33" t="e">
        <f>SUM(#REF!)</f>
        <v>#REF!</v>
      </c>
      <c r="V134" s="33" t="e">
        <f>SUM(#REF!)</f>
        <v>#REF!</v>
      </c>
      <c r="W134" s="33">
        <f>SUM(G134:G134)</f>
        <v>0</v>
      </c>
      <c r="X134" s="33">
        <f>SUM(G134:H134)</f>
        <v>0</v>
      </c>
      <c r="Y134" s="33">
        <f>SUM(G134:I134)</f>
        <v>0</v>
      </c>
      <c r="Z134" s="33">
        <f>SUM(G134:J134)</f>
        <v>-84</v>
      </c>
      <c r="AA134" s="33">
        <f>SUM(H134:K134)</f>
        <v>-84</v>
      </c>
      <c r="AB134" s="33">
        <f>SUM(I134:L134)</f>
        <v>-84</v>
      </c>
      <c r="AC134" s="33">
        <f>SUM(J134:M134)</f>
        <v>-84</v>
      </c>
      <c r="AD134" s="33">
        <f>SUM(K134:N134)</f>
        <v>-425</v>
      </c>
      <c r="AE134" s="33">
        <f>SUM(L134:O134)</f>
        <v>-425</v>
      </c>
      <c r="AF134" s="33">
        <f>SUM(M134:P134)</f>
        <v>-425</v>
      </c>
      <c r="AG134" s="33">
        <f>SUM(N134:Q134)</f>
        <v>-425</v>
      </c>
      <c r="AH134" s="61"/>
      <c r="AI134" s="77">
        <f>SUM(AG134/AC134)-1</f>
        <v>4.0595238095238093</v>
      </c>
    </row>
    <row r="135" spans="2:35" ht="12.75" customHeight="1">
      <c r="B135" s="13" t="s">
        <v>57</v>
      </c>
      <c r="C135" s="14">
        <f>SUM(C129:C134)</f>
        <v>-26899</v>
      </c>
      <c r="D135" s="14">
        <f>SUM(D129:D134)</f>
        <v>-19660</v>
      </c>
      <c r="E135" s="14">
        <f>SUM(E129:E134)</f>
        <v>-17490</v>
      </c>
      <c r="G135" s="14">
        <f>SUM(G129:G134)</f>
        <v>0</v>
      </c>
      <c r="H135" s="14">
        <f>SUM(H129:H134)</f>
        <v>0</v>
      </c>
      <c r="I135" s="14">
        <f>SUM(I129:I134)</f>
        <v>0</v>
      </c>
      <c r="J135" s="14">
        <f>SUM(J129:J134)</f>
        <v>-19660</v>
      </c>
      <c r="K135" s="14">
        <f>SUM(K129:K134)</f>
        <v>0</v>
      </c>
      <c r="L135" s="14">
        <f>SUM(L129:L134)</f>
        <v>0</v>
      </c>
      <c r="M135" s="14">
        <f>SUM(M129:M134)</f>
        <v>0</v>
      </c>
      <c r="N135" s="14">
        <f>SUM(N129:N134)</f>
        <v>-17490</v>
      </c>
      <c r="O135" s="14">
        <f>SUM(O129:O134)</f>
        <v>0</v>
      </c>
      <c r="P135" s="14">
        <f>SUM(P129:P134)</f>
        <v>0</v>
      </c>
      <c r="Q135" s="14">
        <f>SUM(Q129:Q134)</f>
        <v>0</v>
      </c>
      <c r="S135" s="14" t="e">
        <f>SUM(S129:S134)</f>
        <v>#REF!</v>
      </c>
      <c r="T135" s="14" t="e">
        <f>SUM(T129:T134)</f>
        <v>#REF!</v>
      </c>
      <c r="U135" s="14" t="e">
        <f>SUM(U129:U134)</f>
        <v>#REF!</v>
      </c>
      <c r="V135" s="14" t="e">
        <f>SUM(V129:V134)</f>
        <v>#REF!</v>
      </c>
      <c r="W135" s="14">
        <f>SUM(W129:W134)</f>
        <v>0</v>
      </c>
      <c r="X135" s="14">
        <f>SUM(X129:X134)</f>
        <v>0</v>
      </c>
      <c r="Y135" s="14">
        <f>SUM(Y129:Y134)</f>
        <v>0</v>
      </c>
      <c r="Z135" s="14">
        <f>SUM(Z129:Z134)</f>
        <v>-19660</v>
      </c>
      <c r="AA135" s="14">
        <f>SUM(AA129:AA134)</f>
        <v>-19660</v>
      </c>
      <c r="AB135" s="14">
        <f>SUM(AB129:AB134)</f>
        <v>-19660</v>
      </c>
      <c r="AC135" s="14">
        <f>SUM(AC129:AC134)</f>
        <v>-19660</v>
      </c>
      <c r="AD135" s="14">
        <f>SUM(AD129:AD134)</f>
        <v>-17490</v>
      </c>
      <c r="AE135" s="14">
        <f>SUM(AE129:AE134)</f>
        <v>-17490</v>
      </c>
      <c r="AF135" s="14">
        <f>SUM(AF129:AF134)</f>
        <v>-17490</v>
      </c>
      <c r="AG135" s="14">
        <f>SUM(AG129:AG134)</f>
        <v>-17490</v>
      </c>
      <c r="AH135" s="43"/>
      <c r="AI135" s="78">
        <f>SUM(AG135/AC135)-1</f>
        <v>-0.11037639877924721</v>
      </c>
    </row>
    <row r="136" spans="2:35" ht="5.0999999999999996" customHeight="1">
      <c r="B136" s="54"/>
      <c r="C136" s="63"/>
      <c r="D136" s="63"/>
      <c r="E136" s="63"/>
      <c r="G136" s="63"/>
      <c r="H136" s="63"/>
      <c r="I136" s="63"/>
      <c r="J136" s="63"/>
      <c r="K136" s="63"/>
      <c r="L136" s="63"/>
      <c r="M136" s="63"/>
      <c r="N136" s="63"/>
      <c r="O136" s="63"/>
      <c r="P136" s="63"/>
      <c r="Q136" s="6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0"/>
    </row>
    <row r="137" spans="2:35" ht="12.75" customHeight="1">
      <c r="B137" s="55" t="s">
        <v>58</v>
      </c>
      <c r="C137" s="65"/>
      <c r="D137" s="65"/>
      <c r="E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D137" s="33"/>
      <c r="AE137" s="33"/>
      <c r="AF137" s="33"/>
      <c r="AG137" s="33"/>
      <c r="AH137" s="66"/>
      <c r="AI137" s="77"/>
    </row>
    <row r="138" spans="2:35" ht="12.75" customHeight="1">
      <c r="B138" s="86" t="s">
        <v>203</v>
      </c>
      <c r="C138" s="84">
        <v>-519</v>
      </c>
      <c r="D138" s="84">
        <v>-914</v>
      </c>
      <c r="E138" s="84">
        <v>0</v>
      </c>
      <c r="G138" s="84"/>
      <c r="H138" s="84"/>
      <c r="I138" s="84"/>
      <c r="J138" s="33">
        <f>SUM(D138-SUM(G138:I138))</f>
        <v>-914</v>
      </c>
      <c r="K138" s="84"/>
      <c r="L138" s="84"/>
      <c r="M138" s="84"/>
      <c r="N138" s="33">
        <f>SUM(E138-SUM(K138:M138))</f>
        <v>0</v>
      </c>
      <c r="O138" s="84"/>
      <c r="P138" s="84"/>
      <c r="Q138" s="84"/>
      <c r="R138" s="33"/>
      <c r="S138" s="33" t="e">
        <f>SUM(#REF!)</f>
        <v>#REF!</v>
      </c>
      <c r="T138" s="33" t="e">
        <f>SUM(#REF!)</f>
        <v>#REF!</v>
      </c>
      <c r="U138" s="33" t="e">
        <f>SUM(#REF!)</f>
        <v>#REF!</v>
      </c>
      <c r="V138" s="33" t="e">
        <f>SUM(#REF!)</f>
        <v>#REF!</v>
      </c>
      <c r="W138" s="33">
        <f>SUM(G138:G138)</f>
        <v>0</v>
      </c>
      <c r="X138" s="33">
        <f>SUM(G138:H138)</f>
        <v>0</v>
      </c>
      <c r="Y138" s="33">
        <f>SUM(G138:I138)</f>
        <v>0</v>
      </c>
      <c r="Z138" s="33">
        <f>SUM(G138:J138)</f>
        <v>-914</v>
      </c>
      <c r="AA138" s="33">
        <f>SUM(H138:K138)</f>
        <v>-914</v>
      </c>
      <c r="AB138" s="33">
        <f>SUM(I138:L138)</f>
        <v>-914</v>
      </c>
      <c r="AC138" s="33">
        <f>SUM(J138:M138)</f>
        <v>-914</v>
      </c>
      <c r="AD138" s="33">
        <f>SUM(K138:N138)</f>
        <v>0</v>
      </c>
      <c r="AE138" s="33">
        <f>SUM(L138:O138)</f>
        <v>0</v>
      </c>
      <c r="AF138" s="33">
        <f>SUM(M138:P138)</f>
        <v>0</v>
      </c>
      <c r="AG138" s="33">
        <f>SUM(N138:Q138)</f>
        <v>0</v>
      </c>
      <c r="AH138" s="66"/>
      <c r="AI138" s="77">
        <f>SUM(AG138/AC138)-1</f>
        <v>-1</v>
      </c>
    </row>
    <row r="139" spans="2:35" ht="12.75" customHeight="1">
      <c r="B139" s="86" t="s">
        <v>190</v>
      </c>
      <c r="C139" s="84">
        <v>3955</v>
      </c>
      <c r="D139" s="84">
        <v>5406</v>
      </c>
      <c r="E139" s="84">
        <v>491</v>
      </c>
      <c r="G139" s="84"/>
      <c r="H139" s="84"/>
      <c r="I139" s="84"/>
      <c r="J139" s="33">
        <f>SUM(D139-SUM(G139:I139))</f>
        <v>5406</v>
      </c>
      <c r="K139" s="84"/>
      <c r="L139" s="84"/>
      <c r="M139" s="84"/>
      <c r="N139" s="33">
        <f>SUM(E139-SUM(K139:M139))</f>
        <v>491</v>
      </c>
      <c r="O139" s="84"/>
      <c r="P139" s="84"/>
      <c r="Q139" s="84"/>
      <c r="R139" s="33"/>
      <c r="S139" s="33" t="e">
        <f>SUM(#REF!)</f>
        <v>#REF!</v>
      </c>
      <c r="T139" s="33" t="e">
        <f>SUM(#REF!)</f>
        <v>#REF!</v>
      </c>
      <c r="U139" s="33" t="e">
        <f>SUM(#REF!)</f>
        <v>#REF!</v>
      </c>
      <c r="V139" s="33" t="e">
        <f>SUM(#REF!)</f>
        <v>#REF!</v>
      </c>
      <c r="W139" s="33">
        <f>SUM(G139:G139)</f>
        <v>0</v>
      </c>
      <c r="X139" s="33">
        <f>SUM(G139:H139)</f>
        <v>0</v>
      </c>
      <c r="Y139" s="33">
        <f>SUM(G139:I139)</f>
        <v>0</v>
      </c>
      <c r="Z139" s="33">
        <f>SUM(G139:J139)</f>
        <v>5406</v>
      </c>
      <c r="AA139" s="33">
        <f>SUM(H139:K139)</f>
        <v>5406</v>
      </c>
      <c r="AB139" s="33">
        <f>SUM(I139:L139)</f>
        <v>5406</v>
      </c>
      <c r="AC139" s="33">
        <f>SUM(J139:M139)</f>
        <v>5406</v>
      </c>
      <c r="AD139" s="33">
        <f>SUM(K139:N139)</f>
        <v>491</v>
      </c>
      <c r="AE139" s="33">
        <f>SUM(L139:O139)</f>
        <v>491</v>
      </c>
      <c r="AF139" s="33">
        <f>SUM(M139:P139)</f>
        <v>491</v>
      </c>
      <c r="AG139" s="33">
        <f>SUM(N139:Q139)</f>
        <v>491</v>
      </c>
      <c r="AH139" s="66"/>
      <c r="AI139" s="77">
        <f>SUM(AG139/AC139)-1</f>
        <v>-0.90917499075101738</v>
      </c>
    </row>
    <row r="140" spans="2:35" ht="12.75" customHeight="1">
      <c r="B140" s="86" t="s">
        <v>191</v>
      </c>
      <c r="C140" s="84">
        <v>-18345</v>
      </c>
      <c r="D140" s="84">
        <v>-3415</v>
      </c>
      <c r="E140" s="84">
        <v>-2487</v>
      </c>
      <c r="G140" s="84"/>
      <c r="H140" s="84"/>
      <c r="I140" s="84"/>
      <c r="J140" s="33">
        <f>SUM(D140-SUM(G140:I140))</f>
        <v>-3415</v>
      </c>
      <c r="K140" s="84"/>
      <c r="L140" s="84"/>
      <c r="M140" s="84"/>
      <c r="N140" s="33">
        <f>SUM(E140-SUM(K140:M140))</f>
        <v>-2487</v>
      </c>
      <c r="O140" s="84"/>
      <c r="P140" s="84"/>
      <c r="Q140" s="84"/>
      <c r="R140" s="33"/>
      <c r="S140" s="33" t="e">
        <f>SUM(#REF!)</f>
        <v>#REF!</v>
      </c>
      <c r="T140" s="33" t="e">
        <f>SUM(#REF!)</f>
        <v>#REF!</v>
      </c>
      <c r="U140" s="33" t="e">
        <f>SUM(#REF!)</f>
        <v>#REF!</v>
      </c>
      <c r="V140" s="33" t="e">
        <f>SUM(#REF!)</f>
        <v>#REF!</v>
      </c>
      <c r="W140" s="33">
        <f>SUM(G140:G140)</f>
        <v>0</v>
      </c>
      <c r="X140" s="33">
        <f>SUM(G140:H140)</f>
        <v>0</v>
      </c>
      <c r="Y140" s="33">
        <f>SUM(G140:I140)</f>
        <v>0</v>
      </c>
      <c r="Z140" s="33">
        <f>SUM(G140:J140)</f>
        <v>-3415</v>
      </c>
      <c r="AA140" s="33">
        <f>SUM(H140:K140)</f>
        <v>-3415</v>
      </c>
      <c r="AB140" s="33">
        <f>SUM(I140:L140)</f>
        <v>-3415</v>
      </c>
      <c r="AC140" s="33">
        <f>SUM(J140:M140)</f>
        <v>-3415</v>
      </c>
      <c r="AD140" s="33">
        <f>SUM(K140:N140)</f>
        <v>-2487</v>
      </c>
      <c r="AE140" s="33">
        <f>SUM(L140:O140)</f>
        <v>-2487</v>
      </c>
      <c r="AF140" s="33">
        <f>SUM(M140:P140)</f>
        <v>-2487</v>
      </c>
      <c r="AG140" s="33">
        <f>SUM(N140:Q140)</f>
        <v>-2487</v>
      </c>
      <c r="AH140" s="66"/>
      <c r="AI140" s="77">
        <f>SUM(AG140/AC140)-1</f>
        <v>-0.27174231332357246</v>
      </c>
    </row>
    <row r="141" spans="2:35" ht="12.75" customHeight="1">
      <c r="B141" s="86" t="s">
        <v>192</v>
      </c>
      <c r="C141" s="84">
        <v>2979</v>
      </c>
      <c r="D141" s="84">
        <v>10004</v>
      </c>
      <c r="E141" s="84">
        <v>19</v>
      </c>
      <c r="G141" s="84"/>
      <c r="H141" s="84"/>
      <c r="I141" s="84"/>
      <c r="J141" s="33">
        <f>SUM(D141-SUM(G141:I141))</f>
        <v>10004</v>
      </c>
      <c r="K141" s="84"/>
      <c r="L141" s="84"/>
      <c r="M141" s="84"/>
      <c r="N141" s="33">
        <f>SUM(E141-SUM(K141:M141))</f>
        <v>19</v>
      </c>
      <c r="O141" s="84"/>
      <c r="P141" s="84"/>
      <c r="Q141" s="84"/>
      <c r="R141" s="33"/>
      <c r="S141" s="33" t="e">
        <f>SUM(#REF!)</f>
        <v>#REF!</v>
      </c>
      <c r="T141" s="33" t="e">
        <f>SUM(#REF!)</f>
        <v>#REF!</v>
      </c>
      <c r="U141" s="33" t="e">
        <f>SUM(#REF!)</f>
        <v>#REF!</v>
      </c>
      <c r="V141" s="33" t="e">
        <f>SUM(#REF!)</f>
        <v>#REF!</v>
      </c>
      <c r="W141" s="33">
        <f>SUM(G141:G141)</f>
        <v>0</v>
      </c>
      <c r="X141" s="33">
        <f>SUM(G141:H141)</f>
        <v>0</v>
      </c>
      <c r="Y141" s="33">
        <f>SUM(G141:I141)</f>
        <v>0</v>
      </c>
      <c r="Z141" s="33">
        <f>SUM(G141:J141)</f>
        <v>10004</v>
      </c>
      <c r="AA141" s="33">
        <f>SUM(H141:K141)</f>
        <v>10004</v>
      </c>
      <c r="AB141" s="33">
        <f>SUM(I141:L141)</f>
        <v>10004</v>
      </c>
      <c r="AC141" s="33">
        <f>SUM(J141:M141)</f>
        <v>10004</v>
      </c>
      <c r="AD141" s="33">
        <f>SUM(K141:N141)</f>
        <v>19</v>
      </c>
      <c r="AE141" s="33">
        <f>SUM(L141:O141)</f>
        <v>19</v>
      </c>
      <c r="AF141" s="33">
        <f>SUM(M141:P141)</f>
        <v>19</v>
      </c>
      <c r="AG141" s="33">
        <f>SUM(N141:Q141)</f>
        <v>19</v>
      </c>
      <c r="AH141" s="66"/>
      <c r="AI141" s="77">
        <f>SUM(AG141/AC141)-1</f>
        <v>-0.99810075969612155</v>
      </c>
    </row>
    <row r="142" spans="2:35" ht="12.75" customHeight="1">
      <c r="B142" s="86" t="s">
        <v>193</v>
      </c>
      <c r="C142" s="84">
        <v>-25118</v>
      </c>
      <c r="D142" s="84">
        <v>-12044</v>
      </c>
      <c r="E142" s="84">
        <v>-10297</v>
      </c>
      <c r="G142" s="84"/>
      <c r="H142" s="84"/>
      <c r="I142" s="84"/>
      <c r="J142" s="33">
        <f>SUM(D142-SUM(G142:I142))</f>
        <v>-12044</v>
      </c>
      <c r="K142" s="84"/>
      <c r="L142" s="84"/>
      <c r="M142" s="84"/>
      <c r="N142" s="33">
        <f>SUM(E142-SUM(K142:M142))</f>
        <v>-10297</v>
      </c>
      <c r="O142" s="84"/>
      <c r="P142" s="84"/>
      <c r="Q142" s="84"/>
      <c r="R142" s="33"/>
      <c r="S142" s="33" t="e">
        <f>SUM(#REF!)</f>
        <v>#REF!</v>
      </c>
      <c r="T142" s="33" t="e">
        <f>SUM(#REF!)</f>
        <v>#REF!</v>
      </c>
      <c r="U142" s="33" t="e">
        <f>SUM(#REF!)</f>
        <v>#REF!</v>
      </c>
      <c r="V142" s="33" t="e">
        <f>SUM(#REF!)</f>
        <v>#REF!</v>
      </c>
      <c r="W142" s="33">
        <f>SUM(G142:G142)</f>
        <v>0</v>
      </c>
      <c r="X142" s="33">
        <f>SUM(G142:H142)</f>
        <v>0</v>
      </c>
      <c r="Y142" s="33">
        <f>SUM(G142:I142)</f>
        <v>0</v>
      </c>
      <c r="Z142" s="33">
        <f>SUM(G142:J142)</f>
        <v>-12044</v>
      </c>
      <c r="AA142" s="33">
        <f>SUM(H142:K142)</f>
        <v>-12044</v>
      </c>
      <c r="AB142" s="33">
        <f>SUM(I142:L142)</f>
        <v>-12044</v>
      </c>
      <c r="AC142" s="33">
        <f>SUM(J142:M142)</f>
        <v>-12044</v>
      </c>
      <c r="AD142" s="33">
        <f>SUM(K142:N142)</f>
        <v>-10297</v>
      </c>
      <c r="AE142" s="33">
        <f>SUM(L142:O142)</f>
        <v>-10297</v>
      </c>
      <c r="AF142" s="33">
        <f>SUM(M142:P142)</f>
        <v>-10297</v>
      </c>
      <c r="AG142" s="33">
        <f>SUM(N142:Q142)</f>
        <v>-10297</v>
      </c>
      <c r="AH142" s="66"/>
      <c r="AI142" s="77">
        <f>SUM(AG142/AC142)-1</f>
        <v>-0.14505147791431416</v>
      </c>
    </row>
    <row r="143" spans="2:35" ht="12.75" customHeight="1">
      <c r="B143" s="86" t="s">
        <v>194</v>
      </c>
      <c r="C143" s="84">
        <v>-1211</v>
      </c>
      <c r="D143" s="84">
        <v>-130</v>
      </c>
      <c r="E143" s="84">
        <v>0</v>
      </c>
      <c r="G143" s="84"/>
      <c r="H143" s="84"/>
      <c r="I143" s="84"/>
      <c r="J143" s="33">
        <f>SUM(D143-SUM(G143:I143))</f>
        <v>-130</v>
      </c>
      <c r="K143" s="84"/>
      <c r="L143" s="84"/>
      <c r="M143" s="84"/>
      <c r="N143" s="33">
        <f>SUM(E143-SUM(K143:M143))</f>
        <v>0</v>
      </c>
      <c r="O143" s="84"/>
      <c r="P143" s="84"/>
      <c r="Q143" s="84"/>
      <c r="R143" s="33"/>
      <c r="S143" s="33"/>
      <c r="T143" s="33"/>
      <c r="U143" s="33"/>
      <c r="V143" s="33"/>
      <c r="W143" s="33"/>
      <c r="X143" s="33"/>
      <c r="Y143" s="33"/>
      <c r="Z143" s="33">
        <f>SUM(G143:J143)</f>
        <v>-130</v>
      </c>
      <c r="AA143" s="33">
        <f>SUM(H143:K143)</f>
        <v>-130</v>
      </c>
      <c r="AB143" s="33">
        <f>SUM(I143:L143)</f>
        <v>-130</v>
      </c>
      <c r="AC143" s="33">
        <f>SUM(J143:M143)</f>
        <v>-130</v>
      </c>
      <c r="AD143" s="33">
        <f>SUM(K143:N143)</f>
        <v>0</v>
      </c>
      <c r="AE143" s="33">
        <f>SUM(L143:O143)</f>
        <v>0</v>
      </c>
      <c r="AF143" s="33">
        <f>SUM(M143:P143)</f>
        <v>0</v>
      </c>
      <c r="AG143" s="33">
        <f>SUM(N143:Q143)</f>
        <v>0</v>
      </c>
      <c r="AH143" s="66"/>
      <c r="AI143" s="77">
        <f>SUM(AG143/AC143)-1</f>
        <v>-1</v>
      </c>
    </row>
    <row r="144" spans="2:35" ht="12.75" customHeight="1">
      <c r="B144" s="86" t="s">
        <v>195</v>
      </c>
      <c r="C144" s="84">
        <v>-4697</v>
      </c>
      <c r="D144" s="84">
        <v>-5742</v>
      </c>
      <c r="E144" s="84">
        <v>-1792</v>
      </c>
      <c r="G144" s="84"/>
      <c r="H144" s="84"/>
      <c r="I144" s="84"/>
      <c r="J144" s="33">
        <f>SUM(D144-SUM(G144:I144))</f>
        <v>-5742</v>
      </c>
      <c r="K144" s="84"/>
      <c r="L144" s="84"/>
      <c r="M144" s="84"/>
      <c r="N144" s="33">
        <f>SUM(E144-SUM(K144:M144))</f>
        <v>-1792</v>
      </c>
      <c r="O144" s="84"/>
      <c r="P144" s="84"/>
      <c r="Q144" s="84"/>
      <c r="R144" s="33"/>
      <c r="S144" s="33"/>
      <c r="T144" s="33"/>
      <c r="U144" s="33"/>
      <c r="V144" s="33"/>
      <c r="W144" s="33"/>
      <c r="X144" s="33"/>
      <c r="Y144" s="33"/>
      <c r="Z144" s="33">
        <f>SUM(G144:J144)</f>
        <v>-5742</v>
      </c>
      <c r="AA144" s="33">
        <f>SUM(H144:K144)</f>
        <v>-5742</v>
      </c>
      <c r="AB144" s="33">
        <f>SUM(I144:L144)</f>
        <v>-5742</v>
      </c>
      <c r="AC144" s="33">
        <f>SUM(J144:M144)</f>
        <v>-5742</v>
      </c>
      <c r="AD144" s="33">
        <f>SUM(K144:N144)</f>
        <v>-1792</v>
      </c>
      <c r="AE144" s="33">
        <f>SUM(L144:O144)</f>
        <v>-1792</v>
      </c>
      <c r="AF144" s="33">
        <f>SUM(M144:P144)</f>
        <v>-1792</v>
      </c>
      <c r="AG144" s="33">
        <f>SUM(N144:Q144)</f>
        <v>-1792</v>
      </c>
      <c r="AH144" s="66"/>
      <c r="AI144" s="77">
        <f>SUM(AG144/AC144)-1</f>
        <v>-0.68791361894810166</v>
      </c>
    </row>
    <row r="145" spans="2:35" ht="12.75" customHeight="1">
      <c r="B145" s="86" t="s">
        <v>196</v>
      </c>
      <c r="C145" s="84">
        <v>-890</v>
      </c>
      <c r="D145" s="84">
        <v>-194</v>
      </c>
      <c r="E145" s="84">
        <v>-215</v>
      </c>
      <c r="G145" s="84"/>
      <c r="H145" s="84"/>
      <c r="I145" s="84"/>
      <c r="J145" s="33">
        <f>SUM(D145-SUM(G145:I145))</f>
        <v>-194</v>
      </c>
      <c r="K145" s="84"/>
      <c r="L145" s="84"/>
      <c r="M145" s="84"/>
      <c r="N145" s="33">
        <f>SUM(E145-SUM(K145:M145))</f>
        <v>-215</v>
      </c>
      <c r="O145" s="84"/>
      <c r="P145" s="84"/>
      <c r="Q145" s="84"/>
      <c r="R145" s="33"/>
      <c r="S145" s="33"/>
      <c r="T145" s="33"/>
      <c r="U145" s="33"/>
      <c r="V145" s="33"/>
      <c r="W145" s="33"/>
      <c r="X145" s="33"/>
      <c r="Y145" s="33"/>
      <c r="Z145" s="33">
        <f>SUM(G145:J145)</f>
        <v>-194</v>
      </c>
      <c r="AA145" s="33">
        <f>SUM(H145:K145)</f>
        <v>-194</v>
      </c>
      <c r="AB145" s="33">
        <f>SUM(I145:L145)</f>
        <v>-194</v>
      </c>
      <c r="AC145" s="33">
        <f>SUM(J145:M145)</f>
        <v>-194</v>
      </c>
      <c r="AD145" s="33">
        <f>SUM(K145:N145)</f>
        <v>-215</v>
      </c>
      <c r="AE145" s="33">
        <f>SUM(L145:O145)</f>
        <v>-215</v>
      </c>
      <c r="AF145" s="33">
        <f>SUM(M145:P145)</f>
        <v>-215</v>
      </c>
      <c r="AG145" s="33">
        <f>SUM(N145:Q145)</f>
        <v>-215</v>
      </c>
      <c r="AH145" s="66"/>
      <c r="AI145" s="77">
        <f>SUM(AG145/AC145)-1</f>
        <v>0.10824742268041243</v>
      </c>
    </row>
    <row r="146" spans="2:35" ht="12.75" customHeight="1">
      <c r="B146" s="86" t="s">
        <v>197</v>
      </c>
      <c r="C146" s="84">
        <v>28</v>
      </c>
      <c r="D146" s="84">
        <v>3</v>
      </c>
      <c r="E146" s="84">
        <v>15</v>
      </c>
      <c r="G146" s="84"/>
      <c r="H146" s="84"/>
      <c r="I146" s="84"/>
      <c r="J146" s="33">
        <f>SUM(D146-SUM(G146:I146))</f>
        <v>3</v>
      </c>
      <c r="K146" s="84"/>
      <c r="L146" s="84"/>
      <c r="M146" s="84"/>
      <c r="N146" s="33">
        <f>SUM(E146-SUM(K146:M146))</f>
        <v>15</v>
      </c>
      <c r="O146" s="84"/>
      <c r="P146" s="84"/>
      <c r="Q146" s="84"/>
      <c r="R146" s="33"/>
      <c r="S146" s="33"/>
      <c r="T146" s="33"/>
      <c r="U146" s="33"/>
      <c r="V146" s="33"/>
      <c r="W146" s="33"/>
      <c r="X146" s="33"/>
      <c r="Y146" s="33"/>
      <c r="Z146" s="33">
        <f>SUM(G146:J146)</f>
        <v>3</v>
      </c>
      <c r="AA146" s="33">
        <f>SUM(H146:K146)</f>
        <v>3</v>
      </c>
      <c r="AB146" s="33">
        <f>SUM(I146:L146)</f>
        <v>3</v>
      </c>
      <c r="AC146" s="33">
        <f>SUM(J146:M146)</f>
        <v>3</v>
      </c>
      <c r="AD146" s="33">
        <f>SUM(K146:N146)</f>
        <v>15</v>
      </c>
      <c r="AE146" s="33">
        <f>SUM(L146:O146)</f>
        <v>15</v>
      </c>
      <c r="AF146" s="33">
        <f>SUM(M146:P146)</f>
        <v>15</v>
      </c>
      <c r="AG146" s="33">
        <f>SUM(N146:Q146)</f>
        <v>15</v>
      </c>
      <c r="AH146" s="66"/>
      <c r="AI146" s="77">
        <f>SUM(AG146/AC146)-1</f>
        <v>4</v>
      </c>
    </row>
    <row r="147" spans="2:35" ht="12.75" customHeight="1">
      <c r="B147" s="86" t="s">
        <v>198</v>
      </c>
      <c r="C147" s="84">
        <v>0</v>
      </c>
      <c r="D147" s="84">
        <v>7151</v>
      </c>
      <c r="E147" s="84">
        <v>0</v>
      </c>
      <c r="G147" s="84"/>
      <c r="H147" s="84"/>
      <c r="I147" s="84"/>
      <c r="J147" s="33">
        <f>SUM(D147-SUM(G147:I147))</f>
        <v>7151</v>
      </c>
      <c r="K147" s="84"/>
      <c r="L147" s="84"/>
      <c r="M147" s="84"/>
      <c r="N147" s="33">
        <f>SUM(E147-SUM(K147:M147))</f>
        <v>0</v>
      </c>
      <c r="O147" s="84"/>
      <c r="P147" s="84"/>
      <c r="Q147" s="84"/>
      <c r="R147" s="33"/>
      <c r="S147" s="33"/>
      <c r="T147" s="33"/>
      <c r="U147" s="33"/>
      <c r="V147" s="33"/>
      <c r="W147" s="33"/>
      <c r="X147" s="33"/>
      <c r="Y147" s="33"/>
      <c r="Z147" s="33">
        <f>SUM(G147:J147)</f>
        <v>7151</v>
      </c>
      <c r="AA147" s="33">
        <f>SUM(H147:K147)</f>
        <v>7151</v>
      </c>
      <c r="AB147" s="33">
        <f>SUM(I147:L147)</f>
        <v>7151</v>
      </c>
      <c r="AC147" s="33">
        <f>SUM(J147:M147)</f>
        <v>7151</v>
      </c>
      <c r="AD147" s="33">
        <f>SUM(K147:N147)</f>
        <v>0</v>
      </c>
      <c r="AE147" s="33">
        <f>SUM(L147:O147)</f>
        <v>0</v>
      </c>
      <c r="AF147" s="33">
        <f>SUM(M147:P147)</f>
        <v>0</v>
      </c>
      <c r="AG147" s="33">
        <f>SUM(N147:Q147)</f>
        <v>0</v>
      </c>
      <c r="AH147" s="66"/>
      <c r="AI147" s="77">
        <f>SUM(AG147/AC147)-1</f>
        <v>-1</v>
      </c>
    </row>
    <row r="148" spans="2:35" ht="12.75" customHeight="1">
      <c r="B148" s="86" t="s">
        <v>199</v>
      </c>
      <c r="C148" s="84">
        <v>-2665</v>
      </c>
      <c r="D148" s="84">
        <v>-5333</v>
      </c>
      <c r="E148" s="84">
        <v>0</v>
      </c>
      <c r="G148" s="84"/>
      <c r="H148" s="84"/>
      <c r="I148" s="84"/>
      <c r="J148" s="33">
        <f>SUM(D148-SUM(G148:I148))</f>
        <v>-5333</v>
      </c>
      <c r="K148" s="84"/>
      <c r="L148" s="84"/>
      <c r="M148" s="84"/>
      <c r="N148" s="33">
        <f>SUM(E148-SUM(K148:M148))</f>
        <v>0</v>
      </c>
      <c r="O148" s="84"/>
      <c r="P148" s="84"/>
      <c r="Q148" s="84"/>
      <c r="R148" s="33"/>
      <c r="S148" s="33"/>
      <c r="T148" s="33"/>
      <c r="U148" s="33"/>
      <c r="V148" s="33"/>
      <c r="W148" s="33"/>
      <c r="X148" s="33"/>
      <c r="Y148" s="33"/>
      <c r="Z148" s="33">
        <f>SUM(G148:J148)</f>
        <v>-5333</v>
      </c>
      <c r="AA148" s="33">
        <f>SUM(H148:K148)</f>
        <v>-5333</v>
      </c>
      <c r="AB148" s="33">
        <f>SUM(I148:L148)</f>
        <v>-5333</v>
      </c>
      <c r="AC148" s="33">
        <f>SUM(J148:M148)</f>
        <v>-5333</v>
      </c>
      <c r="AD148" s="33">
        <f>SUM(K148:N148)</f>
        <v>0</v>
      </c>
      <c r="AE148" s="33">
        <f>SUM(L148:O148)</f>
        <v>0</v>
      </c>
      <c r="AF148" s="33">
        <f>SUM(M148:P148)</f>
        <v>0</v>
      </c>
      <c r="AG148" s="33">
        <f>SUM(N148:Q148)</f>
        <v>0</v>
      </c>
      <c r="AH148" s="66"/>
      <c r="AI148" s="77">
        <f>SUM(AG148/AC148)-1</f>
        <v>-1</v>
      </c>
    </row>
    <row r="149" spans="2:35" ht="12.75" customHeight="1">
      <c r="B149" s="86" t="s">
        <v>200</v>
      </c>
      <c r="C149" s="84">
        <v>-9859</v>
      </c>
      <c r="D149" s="84">
        <v>-8136</v>
      </c>
      <c r="E149" s="84">
        <v>-8208</v>
      </c>
      <c r="G149" s="84"/>
      <c r="H149" s="84"/>
      <c r="I149" s="84"/>
      <c r="J149" s="33">
        <f>SUM(D149-SUM(G149:I149))</f>
        <v>-8136</v>
      </c>
      <c r="K149" s="84"/>
      <c r="L149" s="84"/>
      <c r="M149" s="84"/>
      <c r="N149" s="33">
        <f>SUM(E149-SUM(K149:M149))</f>
        <v>-8208</v>
      </c>
      <c r="O149" s="84"/>
      <c r="P149" s="84"/>
      <c r="Q149" s="84"/>
      <c r="R149" s="33"/>
      <c r="S149" s="33"/>
      <c r="T149" s="33"/>
      <c r="U149" s="33"/>
      <c r="V149" s="33"/>
      <c r="W149" s="33"/>
      <c r="X149" s="33"/>
      <c r="Y149" s="33"/>
      <c r="Z149" s="33">
        <f>SUM(G149:J149)</f>
        <v>-8136</v>
      </c>
      <c r="AA149" s="33">
        <f>SUM(H149:K149)</f>
        <v>-8136</v>
      </c>
      <c r="AB149" s="33">
        <f>SUM(I149:L149)</f>
        <v>-8136</v>
      </c>
      <c r="AC149" s="33">
        <f>SUM(J149:M149)</f>
        <v>-8136</v>
      </c>
      <c r="AD149" s="33">
        <f>SUM(K149:N149)</f>
        <v>-8208</v>
      </c>
      <c r="AE149" s="33">
        <f>SUM(L149:O149)</f>
        <v>-8208</v>
      </c>
      <c r="AF149" s="33">
        <f>SUM(M149:P149)</f>
        <v>-8208</v>
      </c>
      <c r="AG149" s="33">
        <f>SUM(N149:Q149)</f>
        <v>-8208</v>
      </c>
      <c r="AH149" s="66"/>
      <c r="AI149" s="77">
        <f>SUM(AG149/AC149)-1</f>
        <v>8.8495575221239076E-3</v>
      </c>
    </row>
    <row r="150" spans="2:35" ht="12.75" customHeight="1">
      <c r="B150" s="86" t="s">
        <v>105</v>
      </c>
      <c r="C150" s="84">
        <v>-3222</v>
      </c>
      <c r="D150" s="84">
        <v>-2270</v>
      </c>
      <c r="E150" s="84">
        <v>-2234</v>
      </c>
      <c r="G150" s="84"/>
      <c r="H150" s="84"/>
      <c r="I150" s="84"/>
      <c r="J150" s="33">
        <f>SUM(D150-SUM(G150:I150))</f>
        <v>-2270</v>
      </c>
      <c r="K150" s="84"/>
      <c r="L150" s="84"/>
      <c r="M150" s="84"/>
      <c r="N150" s="33">
        <f>SUM(E150-SUM(K150:M150))</f>
        <v>-2234</v>
      </c>
      <c r="O150" s="84"/>
      <c r="P150" s="84"/>
      <c r="Q150" s="84"/>
      <c r="R150" s="33"/>
      <c r="S150" s="33" t="e">
        <f>SUM(#REF!)</f>
        <v>#REF!</v>
      </c>
      <c r="T150" s="33" t="e">
        <f>SUM(#REF!)</f>
        <v>#REF!</v>
      </c>
      <c r="U150" s="33" t="e">
        <f>SUM(#REF!)</f>
        <v>#REF!</v>
      </c>
      <c r="V150" s="33" t="e">
        <f>SUM(#REF!)</f>
        <v>#REF!</v>
      </c>
      <c r="W150" s="33">
        <f>SUM(G150:G150)</f>
        <v>0</v>
      </c>
      <c r="X150" s="33">
        <f>SUM(G150:H150)</f>
        <v>0</v>
      </c>
      <c r="Y150" s="33">
        <f>SUM(G150:I150)</f>
        <v>0</v>
      </c>
      <c r="Z150" s="33">
        <f>SUM(G150:J150)</f>
        <v>-2270</v>
      </c>
      <c r="AA150" s="33">
        <f>SUM(H150:K150)</f>
        <v>-2270</v>
      </c>
      <c r="AB150" s="33">
        <f>SUM(I150:L150)</f>
        <v>-2270</v>
      </c>
      <c r="AC150" s="33">
        <f>SUM(J150:M150)</f>
        <v>-2270</v>
      </c>
      <c r="AD150" s="33">
        <f>SUM(K150:N150)</f>
        <v>-2234</v>
      </c>
      <c r="AE150" s="33">
        <f>SUM(L150:O150)</f>
        <v>-2234</v>
      </c>
      <c r="AF150" s="33">
        <f>SUM(M150:P150)</f>
        <v>-2234</v>
      </c>
      <c r="AG150" s="33">
        <f>SUM(N150:Q150)</f>
        <v>-2234</v>
      </c>
      <c r="AH150" s="66"/>
      <c r="AI150" s="77">
        <f>SUM(AG150/AC150)-1</f>
        <v>-1.5859030837004351E-2</v>
      </c>
    </row>
    <row r="151" spans="2:35" ht="12.75" customHeight="1">
      <c r="B151" s="13" t="s">
        <v>59</v>
      </c>
      <c r="C151" s="14">
        <f>SUM(C138:C150)</f>
        <v>-59564</v>
      </c>
      <c r="D151" s="14">
        <f>SUM(D138:D150)</f>
        <v>-15614</v>
      </c>
      <c r="E151" s="14">
        <f>SUM(E138:E150)</f>
        <v>-24708</v>
      </c>
      <c r="F151" s="33"/>
      <c r="G151" s="14">
        <f>SUM(G138:G150)</f>
        <v>0</v>
      </c>
      <c r="H151" s="14">
        <f>SUM(H138:H150)</f>
        <v>0</v>
      </c>
      <c r="I151" s="14">
        <f>SUM(I138:I150)</f>
        <v>0</v>
      </c>
      <c r="J151" s="14">
        <f>SUM(J138:J150)</f>
        <v>-15614</v>
      </c>
      <c r="K151" s="14">
        <f>SUM(K138:K150)</f>
        <v>0</v>
      </c>
      <c r="L151" s="14">
        <f>SUM(L138:L150)</f>
        <v>0</v>
      </c>
      <c r="M151" s="14">
        <f>SUM(M138:M150)</f>
        <v>0</v>
      </c>
      <c r="N151" s="14">
        <f>SUM(N138:N150)</f>
        <v>-24708</v>
      </c>
      <c r="O151" s="14">
        <f>SUM(O138:O150)</f>
        <v>0</v>
      </c>
      <c r="P151" s="14">
        <f>SUM(P138:P150)</f>
        <v>0</v>
      </c>
      <c r="Q151" s="14">
        <f>SUM(Q138:Q150)</f>
        <v>0</v>
      </c>
      <c r="R151" s="33"/>
      <c r="S151" s="35" t="e">
        <f>SUM(S138:S150)</f>
        <v>#REF!</v>
      </c>
      <c r="T151" s="35" t="e">
        <f>SUM(T138:T150)</f>
        <v>#REF!</v>
      </c>
      <c r="U151" s="35" t="e">
        <f>SUM(U138:U150)</f>
        <v>#REF!</v>
      </c>
      <c r="V151" s="35" t="e">
        <f>SUM(V138:V150)</f>
        <v>#REF!</v>
      </c>
      <c r="W151" s="35">
        <f>SUM(W138:W150)</f>
        <v>0</v>
      </c>
      <c r="X151" s="35">
        <f>SUM(X138:X150)</f>
        <v>0</v>
      </c>
      <c r="Y151" s="35">
        <f>SUM(Y138:Y150)</f>
        <v>0</v>
      </c>
      <c r="Z151" s="35">
        <f>SUM(Z138:Z150)</f>
        <v>-15614</v>
      </c>
      <c r="AA151" s="35">
        <f>SUM(AA138:AA150)</f>
        <v>-15614</v>
      </c>
      <c r="AB151" s="35">
        <f>SUM(AB138:AB150)</f>
        <v>-15614</v>
      </c>
      <c r="AC151" s="14">
        <f>SUM(AC138:AC150)</f>
        <v>-15614</v>
      </c>
      <c r="AD151" s="14">
        <f>SUM(AD138:AD150)</f>
        <v>-24708</v>
      </c>
      <c r="AE151" s="14">
        <f>SUM(AE138:AE150)</f>
        <v>-24708</v>
      </c>
      <c r="AF151" s="14">
        <f>SUM(AF138:AF150)</f>
        <v>-24708</v>
      </c>
      <c r="AG151" s="14">
        <f>SUM(AG138:AG150)</f>
        <v>-24708</v>
      </c>
      <c r="AH151" s="43"/>
      <c r="AI151" s="78">
        <f>SUM(AG151/AC151)-1</f>
        <v>0.58242602792365816</v>
      </c>
    </row>
    <row r="152" spans="2:35" ht="5.0999999999999996" customHeight="1">
      <c r="B152" s="8"/>
      <c r="C152" s="67"/>
      <c r="D152" s="67"/>
      <c r="E152" s="67"/>
      <c r="F152" s="33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S152" s="11"/>
      <c r="T152" s="11"/>
      <c r="U152" s="11"/>
      <c r="V152" s="11"/>
      <c r="W152" s="11"/>
      <c r="X152" s="11"/>
      <c r="Y152" s="11"/>
      <c r="Z152" s="11"/>
      <c r="AA152" s="11"/>
      <c r="AB152" s="11"/>
      <c r="AC152" s="11"/>
      <c r="AD152" s="11"/>
      <c r="AE152" s="11"/>
      <c r="AF152" s="11"/>
      <c r="AG152" s="11"/>
      <c r="AH152" s="11"/>
      <c r="AI152" s="47"/>
    </row>
    <row r="153" spans="2:35" ht="5.0999999999999996" customHeight="1">
      <c r="B153" s="7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D153" s="33"/>
      <c r="AE153" s="33"/>
      <c r="AF153" s="33"/>
      <c r="AG153" s="33"/>
      <c r="AH153" s="11"/>
      <c r="AI153" s="47"/>
    </row>
    <row r="154" spans="2:35">
      <c r="B154" s="55" t="s">
        <v>205</v>
      </c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D154" s="33"/>
      <c r="AE154" s="33"/>
      <c r="AF154" s="33"/>
      <c r="AG154" s="33"/>
      <c r="AH154" s="11"/>
      <c r="AI154" s="47"/>
    </row>
    <row r="155" spans="2:35">
      <c r="B155" s="86" t="s">
        <v>207</v>
      </c>
      <c r="C155" s="84">
        <v>-3789</v>
      </c>
      <c r="D155" s="84">
        <v>0</v>
      </c>
      <c r="E155" s="84">
        <v>0</v>
      </c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D155" s="33"/>
      <c r="AE155" s="33"/>
      <c r="AF155" s="33"/>
      <c r="AG155" s="33"/>
      <c r="AH155" s="11"/>
      <c r="AI155" s="47"/>
    </row>
    <row r="156" spans="2:35">
      <c r="B156" s="86" t="s">
        <v>208</v>
      </c>
      <c r="C156" s="84">
        <v>1094</v>
      </c>
      <c r="D156" s="84">
        <v>0</v>
      </c>
      <c r="E156" s="84">
        <v>0</v>
      </c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11"/>
      <c r="AI156" s="47"/>
    </row>
    <row r="157" spans="2:35">
      <c r="B157" s="86" t="s">
        <v>209</v>
      </c>
      <c r="C157" s="84">
        <v>35823</v>
      </c>
      <c r="D157" s="84">
        <v>0</v>
      </c>
      <c r="E157" s="84">
        <v>0</v>
      </c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D157" s="33"/>
      <c r="AE157" s="33"/>
      <c r="AF157" s="33"/>
      <c r="AG157" s="33"/>
      <c r="AH157" s="11"/>
      <c r="AI157" s="47"/>
    </row>
    <row r="158" spans="2:35">
      <c r="B158" s="13" t="s">
        <v>59</v>
      </c>
      <c r="C158" s="14">
        <f>+SUM(C155:C157)</f>
        <v>33128</v>
      </c>
      <c r="D158" s="14">
        <f t="shared" ref="D158:E158" si="270">+SUM(D155:D157)</f>
        <v>0</v>
      </c>
      <c r="E158" s="14">
        <f t="shared" si="270"/>
        <v>0</v>
      </c>
      <c r="F158" s="33"/>
      <c r="G158" s="14">
        <f t="shared" ref="G158" si="271">+SUM(G155:G157)</f>
        <v>0</v>
      </c>
      <c r="H158" s="14">
        <f t="shared" ref="H158" si="272">+SUM(H155:H157)</f>
        <v>0</v>
      </c>
      <c r="I158" s="14">
        <f t="shared" ref="I158" si="273">+SUM(I155:I157)</f>
        <v>0</v>
      </c>
      <c r="J158" s="14">
        <f t="shared" ref="J158" si="274">+SUM(J155:J157)</f>
        <v>0</v>
      </c>
      <c r="K158" s="14">
        <f t="shared" ref="K158" si="275">+SUM(K155:K157)</f>
        <v>0</v>
      </c>
      <c r="L158" s="14">
        <f t="shared" ref="L158" si="276">+SUM(L155:L157)</f>
        <v>0</v>
      </c>
      <c r="M158" s="14">
        <f t="shared" ref="M158" si="277">+SUM(M155:M157)</f>
        <v>0</v>
      </c>
      <c r="N158" s="14">
        <f t="shared" ref="N158" si="278">+SUM(N155:N157)</f>
        <v>0</v>
      </c>
      <c r="O158" s="14">
        <f t="shared" ref="O158" si="279">+SUM(O155:O157)</f>
        <v>0</v>
      </c>
      <c r="P158" s="14">
        <f t="shared" ref="P158" si="280">+SUM(P155:P157)</f>
        <v>0</v>
      </c>
      <c r="Q158" s="14">
        <f t="shared" ref="Q158" si="281">+SUM(Q155:Q157)</f>
        <v>0</v>
      </c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14">
        <f t="shared" ref="AC158" si="282">+SUM(AC155:AC157)</f>
        <v>0</v>
      </c>
      <c r="AD158" s="14">
        <f t="shared" ref="AD158" si="283">+SUM(AD155:AD157)</f>
        <v>0</v>
      </c>
      <c r="AE158" s="14">
        <f t="shared" ref="AE158" si="284">+SUM(AE155:AE157)</f>
        <v>0</v>
      </c>
      <c r="AF158" s="14">
        <f t="shared" ref="AF158" si="285">+SUM(AF155:AF157)</f>
        <v>0</v>
      </c>
      <c r="AG158" s="14">
        <f t="shared" ref="AG158" si="286">+SUM(AG155:AG157)</f>
        <v>0</v>
      </c>
      <c r="AH158" s="11"/>
      <c r="AI158" s="47"/>
    </row>
    <row r="159" spans="2:35">
      <c r="B159" s="7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D159" s="33"/>
      <c r="AE159" s="33"/>
      <c r="AF159" s="33"/>
      <c r="AG159" s="33"/>
      <c r="AH159" s="11"/>
      <c r="AI159" s="47"/>
    </row>
    <row r="160" spans="2:35">
      <c r="B160" s="94" t="s">
        <v>88</v>
      </c>
      <c r="C160" s="134">
        <v>19223</v>
      </c>
      <c r="D160" s="95">
        <f t="shared" ref="D160:E160" si="287">C169</f>
        <v>3793</v>
      </c>
      <c r="E160" s="95">
        <f t="shared" si="287"/>
        <v>6833</v>
      </c>
      <c r="F160" s="95"/>
      <c r="G160" s="95">
        <f>C168</f>
        <v>-50832</v>
      </c>
      <c r="H160" s="95">
        <f t="shared" ref="H160:Q160" si="288">G169</f>
        <v>-8528</v>
      </c>
      <c r="I160" s="95">
        <f t="shared" si="288"/>
        <v>909</v>
      </c>
      <c r="J160" s="95">
        <f t="shared" si="288"/>
        <v>10044</v>
      </c>
      <c r="K160" s="95">
        <f>J169</f>
        <v>-14572</v>
      </c>
      <c r="L160" s="95">
        <f t="shared" si="288"/>
        <v>-5504</v>
      </c>
      <c r="M160" s="95">
        <f t="shared" si="288"/>
        <v>3997</v>
      </c>
      <c r="N160" s="95">
        <f t="shared" si="288"/>
        <v>13651</v>
      </c>
      <c r="O160" s="95">
        <f t="shared" si="288"/>
        <v>-17888</v>
      </c>
      <c r="P160" s="95">
        <f t="shared" si="288"/>
        <v>-7610</v>
      </c>
      <c r="Q160" s="95">
        <f t="shared" si="288"/>
        <v>2502</v>
      </c>
      <c r="R160" s="95"/>
      <c r="S160" s="95" t="e">
        <f>#REF!</f>
        <v>#REF!</v>
      </c>
      <c r="T160" s="95" t="e">
        <f>#REF!</f>
        <v>#REF!</v>
      </c>
      <c r="U160" s="95" t="e">
        <f>#REF!</f>
        <v>#REF!</v>
      </c>
      <c r="V160" s="95" t="e">
        <f>#REF!</f>
        <v>#REF!</v>
      </c>
      <c r="W160" s="95" t="e">
        <f>#REF!</f>
        <v>#REF!</v>
      </c>
      <c r="X160" s="95" t="e">
        <f>#REF!</f>
        <v>#REF!</v>
      </c>
      <c r="Y160" s="95" t="e">
        <f>#REF!</f>
        <v>#REF!</v>
      </c>
      <c r="Z160" s="95" t="e">
        <f>#REF!</f>
        <v>#REF!</v>
      </c>
      <c r="AA160" s="95">
        <f>G169</f>
        <v>-8528</v>
      </c>
      <c r="AB160" s="95">
        <f>H169</f>
        <v>909</v>
      </c>
      <c r="AC160" s="95">
        <f>I169</f>
        <v>10044</v>
      </c>
      <c r="AD160" s="95">
        <f>J169</f>
        <v>-14572</v>
      </c>
      <c r="AE160" s="95">
        <f>K169</f>
        <v>-5504</v>
      </c>
      <c r="AF160" s="95">
        <f>L169</f>
        <v>3997</v>
      </c>
      <c r="AG160" s="144">
        <f>M169</f>
        <v>13651</v>
      </c>
      <c r="AH160" s="11"/>
      <c r="AI160" s="47"/>
    </row>
    <row r="161" spans="2:35">
      <c r="B161" s="135" t="s">
        <v>109</v>
      </c>
      <c r="C161" s="84">
        <f>144+3</f>
        <v>147</v>
      </c>
      <c r="D161" s="84">
        <v>0</v>
      </c>
      <c r="E161" s="33">
        <v>0</v>
      </c>
      <c r="F161" s="33"/>
      <c r="G161" s="33">
        <f>C167</f>
        <v>92</v>
      </c>
      <c r="H161" s="33">
        <f t="shared" ref="H161:Q161" si="289">-G167</f>
        <v>0</v>
      </c>
      <c r="I161" s="33">
        <f t="shared" si="289"/>
        <v>0</v>
      </c>
      <c r="J161" s="33">
        <f t="shared" si="289"/>
        <v>0</v>
      </c>
      <c r="K161" s="33">
        <f>-J167</f>
        <v>111</v>
      </c>
      <c r="L161" s="33">
        <f t="shared" si="289"/>
        <v>0</v>
      </c>
      <c r="M161" s="33">
        <f t="shared" si="289"/>
        <v>0</v>
      </c>
      <c r="N161" s="33">
        <f t="shared" si="289"/>
        <v>0</v>
      </c>
      <c r="O161" s="33">
        <f t="shared" si="289"/>
        <v>-108</v>
      </c>
      <c r="P161" s="33">
        <f t="shared" si="289"/>
        <v>0</v>
      </c>
      <c r="Q161" s="33">
        <f t="shared" si="289"/>
        <v>0</v>
      </c>
      <c r="R161" s="33"/>
      <c r="S161" s="33" t="e">
        <f>-#REF!</f>
        <v>#REF!</v>
      </c>
      <c r="T161" s="33" t="e">
        <f>-#REF!</f>
        <v>#REF!</v>
      </c>
      <c r="U161" s="33" t="e">
        <f>-#REF!</f>
        <v>#REF!</v>
      </c>
      <c r="V161" s="33" t="e">
        <f>-#REF!</f>
        <v>#REF!</v>
      </c>
      <c r="W161" s="33" t="e">
        <f>-#REF!</f>
        <v>#REF!</v>
      </c>
      <c r="X161" s="33" t="e">
        <f>-#REF!</f>
        <v>#REF!</v>
      </c>
      <c r="Y161" s="33" t="e">
        <f>-#REF!</f>
        <v>#REF!</v>
      </c>
      <c r="Z161" s="33" t="e">
        <f>-#REF!</f>
        <v>#REF!</v>
      </c>
      <c r="AA161" s="33">
        <f>-G167</f>
        <v>0</v>
      </c>
      <c r="AB161" s="33">
        <f>-H167</f>
        <v>0</v>
      </c>
      <c r="AC161" s="33">
        <f>-I167</f>
        <v>0</v>
      </c>
      <c r="AD161" s="33">
        <f>-J167</f>
        <v>111</v>
      </c>
      <c r="AE161" s="33">
        <f>-K167</f>
        <v>0</v>
      </c>
      <c r="AF161" s="33">
        <f>-L167</f>
        <v>0</v>
      </c>
      <c r="AG161" s="138">
        <f>-M167</f>
        <v>0</v>
      </c>
      <c r="AH161" s="11"/>
      <c r="AI161" s="47"/>
    </row>
    <row r="162" spans="2:35">
      <c r="B162" s="135" t="s">
        <v>204</v>
      </c>
      <c r="C162" s="84">
        <v>1946</v>
      </c>
      <c r="D162" s="84">
        <v>0</v>
      </c>
      <c r="E162" s="84">
        <v>0</v>
      </c>
      <c r="F162" s="33"/>
      <c r="G162" s="33">
        <f>C166</f>
        <v>33128</v>
      </c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 t="e">
        <f>-#REF!</f>
        <v>#REF!</v>
      </c>
      <c r="T162" s="33" t="e">
        <f>-#REF!</f>
        <v>#REF!</v>
      </c>
      <c r="U162" s="33" t="e">
        <f>-#REF!</f>
        <v>#REF!</v>
      </c>
      <c r="V162" s="33" t="e">
        <f>-#REF!</f>
        <v>#REF!</v>
      </c>
      <c r="W162" s="33" t="e">
        <f>-#REF!</f>
        <v>#REF!</v>
      </c>
      <c r="X162" s="33" t="e">
        <f>-#REF!</f>
        <v>#REF!</v>
      </c>
      <c r="Y162" s="33" t="e">
        <f>-#REF!</f>
        <v>#REF!</v>
      </c>
      <c r="Z162" s="33" t="e">
        <f>-#REF!</f>
        <v>#REF!</v>
      </c>
      <c r="AA162" s="33">
        <f>-G168</f>
        <v>-9084</v>
      </c>
      <c r="AB162" s="33">
        <f>-H168</f>
        <v>-9437</v>
      </c>
      <c r="AC162" s="33">
        <f>-I168</f>
        <v>-9135</v>
      </c>
      <c r="AD162" s="33">
        <f>-J168</f>
        <v>24505</v>
      </c>
      <c r="AE162" s="33">
        <f>-K168</f>
        <v>-8957</v>
      </c>
      <c r="AF162" s="33">
        <f>-L168</f>
        <v>-9501</v>
      </c>
      <c r="AG162" s="138">
        <f>-M168</f>
        <v>-9654</v>
      </c>
      <c r="AH162" s="11"/>
      <c r="AI162" s="47"/>
    </row>
    <row r="163" spans="2:35">
      <c r="B163" s="91" t="s">
        <v>72</v>
      </c>
      <c r="C163" s="166">
        <f>SUM(C160:C162)</f>
        <v>21316</v>
      </c>
      <c r="D163" s="166">
        <f t="shared" ref="D163:E163" si="290">SUM(D160:D162)</f>
        <v>3793</v>
      </c>
      <c r="E163" s="166">
        <f t="shared" si="290"/>
        <v>6833</v>
      </c>
      <c r="F163" s="33"/>
      <c r="G163" s="166">
        <f t="shared" ref="G163" si="291">SUM(G160:G162)</f>
        <v>-17612</v>
      </c>
      <c r="H163" s="166">
        <f t="shared" ref="H163" si="292">SUM(H160:H162)</f>
        <v>-8528</v>
      </c>
      <c r="I163" s="166">
        <f t="shared" ref="I163" si="293">SUM(I160:I162)</f>
        <v>909</v>
      </c>
      <c r="J163" s="166">
        <f t="shared" ref="J163" si="294">SUM(J160:J162)</f>
        <v>10044</v>
      </c>
      <c r="K163" s="166">
        <f t="shared" ref="K163" si="295">SUM(K160:K162)</f>
        <v>-14461</v>
      </c>
      <c r="L163" s="166">
        <f t="shared" ref="L163" si="296">SUM(L160:L162)</f>
        <v>-5504</v>
      </c>
      <c r="M163" s="166">
        <f t="shared" ref="M163" si="297">SUM(M160:M162)</f>
        <v>3997</v>
      </c>
      <c r="N163" s="166">
        <f t="shared" ref="N163" si="298">SUM(N160:N162)</f>
        <v>13651</v>
      </c>
      <c r="O163" s="166">
        <f t="shared" ref="O163" si="299">SUM(O160:O162)</f>
        <v>-17996</v>
      </c>
      <c r="P163" s="166">
        <f t="shared" ref="P163" si="300">SUM(P160:P162)</f>
        <v>-7610</v>
      </c>
      <c r="Q163" s="166">
        <f t="shared" ref="Q163" si="301">SUM(Q160:Q162)</f>
        <v>2502</v>
      </c>
      <c r="R163" s="33"/>
      <c r="S163" s="166" t="e">
        <f>SUM(S160:S161)</f>
        <v>#REF!</v>
      </c>
      <c r="T163" s="166" t="e">
        <f>SUM(T160:T161)</f>
        <v>#REF!</v>
      </c>
      <c r="U163" s="166" t="e">
        <f>SUM(U160:U161)</f>
        <v>#REF!</v>
      </c>
      <c r="V163" s="166" t="e">
        <f>SUM(V160:V161)</f>
        <v>#REF!</v>
      </c>
      <c r="W163" s="166" t="e">
        <f>SUM(W160:W161)</f>
        <v>#REF!</v>
      </c>
      <c r="X163" s="166" t="e">
        <f>SUM(X160:X161)</f>
        <v>#REF!</v>
      </c>
      <c r="Y163" s="166" t="e">
        <f>SUM(Y160:Y161)</f>
        <v>#REF!</v>
      </c>
      <c r="Z163" s="166" t="e">
        <f>SUM(Z160:Z161)</f>
        <v>#REF!</v>
      </c>
      <c r="AA163" s="166">
        <f>SUM(AA160:AA161)</f>
        <v>-8528</v>
      </c>
      <c r="AB163" s="166">
        <f>SUM(AB160:AB161)</f>
        <v>909</v>
      </c>
      <c r="AC163" s="166">
        <f>SUM(AC160:AC161)</f>
        <v>10044</v>
      </c>
      <c r="AD163" s="166">
        <f>SUM(AD160:AD161)</f>
        <v>-14461</v>
      </c>
      <c r="AE163" s="166">
        <f>SUM(AE160:AE161)</f>
        <v>-5504</v>
      </c>
      <c r="AF163" s="166">
        <f>SUM(AF160:AF161)</f>
        <v>3997</v>
      </c>
      <c r="AG163" s="166">
        <f>SUM(AG160:AG161)</f>
        <v>13651</v>
      </c>
      <c r="AH163" s="11"/>
      <c r="AI163" s="47"/>
    </row>
    <row r="164" spans="2:35" ht="5.0999999999999996" customHeight="1">
      <c r="B164" s="141"/>
      <c r="C164" s="73"/>
      <c r="D164" s="73"/>
      <c r="E164" s="73"/>
      <c r="F164" s="33"/>
      <c r="G164" s="73"/>
      <c r="H164" s="73"/>
      <c r="I164" s="73"/>
      <c r="J164" s="73"/>
      <c r="K164" s="73"/>
      <c r="L164" s="73"/>
      <c r="M164" s="73"/>
      <c r="N164" s="73"/>
      <c r="O164" s="73"/>
      <c r="P164" s="73"/>
      <c r="Q164" s="73"/>
      <c r="R164" s="3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139"/>
      <c r="AH164" s="11"/>
      <c r="AI164" s="47"/>
    </row>
    <row r="165" spans="2:35">
      <c r="B165" s="135" t="s">
        <v>211</v>
      </c>
      <c r="C165" s="84">
        <v>-3</v>
      </c>
      <c r="D165" s="84">
        <v>0</v>
      </c>
      <c r="E165" s="167">
        <v>0</v>
      </c>
      <c r="F165" s="33"/>
      <c r="G165" s="73"/>
      <c r="H165" s="73"/>
      <c r="I165" s="73"/>
      <c r="J165" s="33">
        <f t="shared" ref="J165:J167" si="302">D165</f>
        <v>0</v>
      </c>
      <c r="K165" s="73"/>
      <c r="L165" s="73"/>
      <c r="M165" s="73"/>
      <c r="N165" s="33">
        <f t="shared" ref="N165:N167" si="303">E165</f>
        <v>0</v>
      </c>
      <c r="O165" s="73"/>
      <c r="P165" s="73"/>
      <c r="Q165" s="73"/>
      <c r="R165" s="3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139"/>
      <c r="AH165" s="11"/>
      <c r="AI165" s="47"/>
    </row>
    <row r="166" spans="2:35">
      <c r="B166" s="135" t="s">
        <v>204</v>
      </c>
      <c r="C166" s="33">
        <f>C158</f>
        <v>33128</v>
      </c>
      <c r="D166" s="33">
        <f>D158</f>
        <v>0</v>
      </c>
      <c r="E166" s="33">
        <f>E158</f>
        <v>0</v>
      </c>
      <c r="F166" s="33"/>
      <c r="G166" s="84"/>
      <c r="H166" s="84"/>
      <c r="I166" s="84"/>
      <c r="J166" s="33">
        <f t="shared" si="302"/>
        <v>0</v>
      </c>
      <c r="K166" s="84"/>
      <c r="L166" s="84"/>
      <c r="M166" s="84"/>
      <c r="N166" s="33">
        <f t="shared" si="303"/>
        <v>0</v>
      </c>
      <c r="O166" s="84"/>
      <c r="P166" s="84"/>
      <c r="Q166" s="84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D166" s="33"/>
      <c r="AE166" s="33"/>
      <c r="AF166" s="33"/>
      <c r="AG166" s="138"/>
      <c r="AH166" s="11"/>
      <c r="AI166" s="47"/>
    </row>
    <row r="167" spans="2:35">
      <c r="B167" s="135" t="s">
        <v>106</v>
      </c>
      <c r="C167" s="33">
        <f>C54</f>
        <v>92</v>
      </c>
      <c r="D167" s="33">
        <f>-D54</f>
        <v>-111</v>
      </c>
      <c r="E167" s="33">
        <f>E54</f>
        <v>108</v>
      </c>
      <c r="F167" s="33"/>
      <c r="G167" s="84"/>
      <c r="H167" s="84"/>
      <c r="I167" s="84"/>
      <c r="J167" s="33">
        <f>D167</f>
        <v>-111</v>
      </c>
      <c r="K167" s="84"/>
      <c r="L167" s="84"/>
      <c r="M167" s="84"/>
      <c r="N167" s="33">
        <f>E167</f>
        <v>108</v>
      </c>
      <c r="O167" s="84"/>
      <c r="P167" s="84"/>
      <c r="Q167" s="84"/>
      <c r="R167" s="33"/>
      <c r="S167" s="33" t="e">
        <f>#REF!</f>
        <v>#REF!</v>
      </c>
      <c r="T167" s="33" t="e">
        <f>#REF!</f>
        <v>#REF!</v>
      </c>
      <c r="U167" s="33" t="e">
        <f>#REF!</f>
        <v>#REF!</v>
      </c>
      <c r="V167" s="33" t="e">
        <f>#REF!</f>
        <v>#REF!</v>
      </c>
      <c r="W167" s="33">
        <f>G167</f>
        <v>0</v>
      </c>
      <c r="X167" s="33">
        <f>H167</f>
        <v>0</v>
      </c>
      <c r="Y167" s="33">
        <f>I167</f>
        <v>0</v>
      </c>
      <c r="Z167" s="33">
        <f>J167</f>
        <v>-111</v>
      </c>
      <c r="AA167" s="33">
        <f>K167</f>
        <v>0</v>
      </c>
      <c r="AB167" s="33">
        <f>L167</f>
        <v>0</v>
      </c>
      <c r="AC167" s="33">
        <f>M167</f>
        <v>0</v>
      </c>
      <c r="AD167" s="33">
        <f>N167</f>
        <v>108</v>
      </c>
      <c r="AE167" s="33">
        <f>O167</f>
        <v>0</v>
      </c>
      <c r="AF167" s="33">
        <f>P167</f>
        <v>0</v>
      </c>
      <c r="AG167" s="138">
        <f>Q167</f>
        <v>0</v>
      </c>
      <c r="AH167" s="11"/>
      <c r="AI167" s="47"/>
    </row>
    <row r="168" spans="2:35">
      <c r="B168" s="135" t="s">
        <v>63</v>
      </c>
      <c r="C168" s="33">
        <f>+C151+C135+C126</f>
        <v>-50832</v>
      </c>
      <c r="D168" s="33">
        <f>+D151+D135+D126-D167</f>
        <v>3151</v>
      </c>
      <c r="E168" s="33">
        <f>+E151+E135+E126-E167</f>
        <v>-3535</v>
      </c>
      <c r="F168" s="33"/>
      <c r="G168" s="33">
        <f>+G151+G135+G126-G167</f>
        <v>9084</v>
      </c>
      <c r="H168" s="33">
        <f>+H151+H135+H126-H167</f>
        <v>9437</v>
      </c>
      <c r="I168" s="33">
        <f>+I151+I135+I126-I167</f>
        <v>9135</v>
      </c>
      <c r="J168" s="33">
        <f>+J151+J135+J126-J167</f>
        <v>-24505</v>
      </c>
      <c r="K168" s="33">
        <f>+K151+K135+K126-K167</f>
        <v>8957</v>
      </c>
      <c r="L168" s="33">
        <f>+L151+L135+L126-L167</f>
        <v>9501</v>
      </c>
      <c r="M168" s="33">
        <f>+M151+M135+M126-M167</f>
        <v>9654</v>
      </c>
      <c r="N168" s="33">
        <f>+N151+N135+N126-N167</f>
        <v>-31647</v>
      </c>
      <c r="O168" s="33">
        <f>+O151+O135+O126-O167</f>
        <v>10386</v>
      </c>
      <c r="P168" s="33">
        <f>+P151+P135+P126-P167</f>
        <v>10112</v>
      </c>
      <c r="Q168" s="33">
        <f>+Q151+Q135+Q126-Q167</f>
        <v>14954</v>
      </c>
      <c r="R168" s="33"/>
      <c r="S168" s="33" t="e">
        <f>SUM(#REF!)</f>
        <v>#REF!</v>
      </c>
      <c r="T168" s="33" t="e">
        <f>SUM(#REF!)</f>
        <v>#REF!</v>
      </c>
      <c r="U168" s="33" t="e">
        <f>SUM(#REF!)</f>
        <v>#REF!</v>
      </c>
      <c r="V168" s="33" t="e">
        <f>SUM(#REF!)</f>
        <v>#REF!</v>
      </c>
      <c r="W168" s="33">
        <f>SUM(G168:G168)</f>
        <v>9084</v>
      </c>
      <c r="X168" s="33">
        <f>SUM(G168:H168)</f>
        <v>18521</v>
      </c>
      <c r="Y168" s="33">
        <f>SUM(G168:I168)</f>
        <v>27656</v>
      </c>
      <c r="Z168" s="33">
        <f>SUM(G168:J168)</f>
        <v>3151</v>
      </c>
      <c r="AA168" s="33">
        <f>SUM(H168:K168)</f>
        <v>3024</v>
      </c>
      <c r="AB168" s="33">
        <f>SUM(I168:L168)</f>
        <v>3088</v>
      </c>
      <c r="AC168" s="33">
        <f>SUM(J168:M168)</f>
        <v>3607</v>
      </c>
      <c r="AD168" s="33">
        <f>SUM(K168:N168)</f>
        <v>-3535</v>
      </c>
      <c r="AE168" s="33">
        <f>SUM(L168:O168)</f>
        <v>-2106</v>
      </c>
      <c r="AF168" s="33">
        <f>SUM(M168:P168)</f>
        <v>-1495</v>
      </c>
      <c r="AG168" s="138">
        <f>SUM(N168:Q168)</f>
        <v>3805</v>
      </c>
      <c r="AH168" s="11"/>
      <c r="AI168" s="47"/>
    </row>
    <row r="169" spans="2:35">
      <c r="B169" s="91" t="s">
        <v>73</v>
      </c>
      <c r="C169" s="166">
        <f>SUM(C163:C168)+C167</f>
        <v>3793</v>
      </c>
      <c r="D169" s="166">
        <f>SUM(D163:D168)</f>
        <v>6833</v>
      </c>
      <c r="E169" s="166">
        <f>SUM(E163:E168)</f>
        <v>3406</v>
      </c>
      <c r="F169" s="33"/>
      <c r="G169" s="166">
        <f>SUM(G163:G168)</f>
        <v>-8528</v>
      </c>
      <c r="H169" s="166">
        <f>SUM(H163:H168)</f>
        <v>909</v>
      </c>
      <c r="I169" s="166">
        <f>SUM(I163:I168)</f>
        <v>10044</v>
      </c>
      <c r="J169" s="166">
        <f>SUM(J163:J168)</f>
        <v>-14572</v>
      </c>
      <c r="K169" s="166">
        <f>SUM(K163:K168)</f>
        <v>-5504</v>
      </c>
      <c r="L169" s="166">
        <f>SUM(L163:L168)</f>
        <v>3997</v>
      </c>
      <c r="M169" s="166">
        <f>SUM(M163:M168)</f>
        <v>13651</v>
      </c>
      <c r="N169" s="166">
        <f>SUM(N163:N168)</f>
        <v>-17888</v>
      </c>
      <c r="O169" s="166">
        <f>SUM(O163:O168)</f>
        <v>-7610</v>
      </c>
      <c r="P169" s="166">
        <f>SUM(P163:P168)</f>
        <v>2502</v>
      </c>
      <c r="Q169" s="166">
        <f>SUM(Q163:Q168)</f>
        <v>17456</v>
      </c>
      <c r="R169" s="33"/>
      <c r="S169" s="166" t="e">
        <f>SUM(S163:S168)</f>
        <v>#REF!</v>
      </c>
      <c r="T169" s="166" t="e">
        <f>SUM(T163:T168)</f>
        <v>#REF!</v>
      </c>
      <c r="U169" s="166" t="e">
        <f>SUM(U163:U168)</f>
        <v>#REF!</v>
      </c>
      <c r="V169" s="166" t="e">
        <f>SUM(V163:V168)</f>
        <v>#REF!</v>
      </c>
      <c r="W169" s="166" t="e">
        <f>SUM(W163:W168)</f>
        <v>#REF!</v>
      </c>
      <c r="X169" s="166" t="e">
        <f>SUM(X163:X168)</f>
        <v>#REF!</v>
      </c>
      <c r="Y169" s="166" t="e">
        <f>SUM(Y163:Y168)</f>
        <v>#REF!</v>
      </c>
      <c r="Z169" s="166" t="e">
        <f>SUM(Z163:Z168)</f>
        <v>#REF!</v>
      </c>
      <c r="AA169" s="166">
        <f>SUM(AA163:AA168)</f>
        <v>-5504</v>
      </c>
      <c r="AB169" s="166">
        <f>SUM(AB163:AB168)</f>
        <v>3997</v>
      </c>
      <c r="AC169" s="166">
        <f>SUM(AC163:AC168)</f>
        <v>13651</v>
      </c>
      <c r="AD169" s="166">
        <f>SUM(AD163:AD168)</f>
        <v>-17888</v>
      </c>
      <c r="AE169" s="166">
        <f>SUM(AE163:AE168)</f>
        <v>-7610</v>
      </c>
      <c r="AF169" s="166">
        <f>SUM(AF163:AF168)</f>
        <v>2502</v>
      </c>
      <c r="AG169" s="166">
        <f>SUM(AG163:AG168)</f>
        <v>17456</v>
      </c>
      <c r="AH169" s="11"/>
      <c r="AI169" s="47"/>
    </row>
    <row r="170" spans="2:35" ht="5.0999999999999996" customHeight="1">
      <c r="B170" s="92"/>
      <c r="C170" s="67"/>
      <c r="D170" s="67"/>
      <c r="E170" s="67"/>
      <c r="F170" s="33"/>
      <c r="G170" s="67"/>
      <c r="H170" s="67"/>
      <c r="I170" s="67"/>
      <c r="J170" s="67"/>
      <c r="K170" s="67"/>
      <c r="L170" s="67"/>
      <c r="M170" s="67"/>
      <c r="N170" s="67"/>
      <c r="O170" s="67"/>
      <c r="P170" s="67"/>
      <c r="Q170" s="67"/>
      <c r="S170" s="11"/>
      <c r="T170" s="11"/>
      <c r="U170" s="11"/>
      <c r="V170" s="11"/>
      <c r="W170" s="11"/>
      <c r="X170" s="11"/>
      <c r="Y170" s="11"/>
      <c r="Z170" s="11"/>
      <c r="AA170" s="11"/>
      <c r="AB170" s="11"/>
      <c r="AC170" s="11"/>
      <c r="AD170" s="11"/>
      <c r="AE170" s="11"/>
      <c r="AF170" s="11"/>
      <c r="AG170" s="93"/>
      <c r="AH170" s="11"/>
      <c r="AI170" s="47"/>
    </row>
    <row r="171" spans="2:35">
      <c r="B171" s="142" t="s">
        <v>95</v>
      </c>
      <c r="C171" s="89">
        <f>C169-C53-C54</f>
        <v>0</v>
      </c>
      <c r="D171" s="89">
        <f>D169-(D53+D54)</f>
        <v>0</v>
      </c>
      <c r="E171" s="89">
        <f>E169-(E53+E54)</f>
        <v>0</v>
      </c>
      <c r="F171" s="90"/>
      <c r="G171" s="89">
        <f>G169-(G53+G54)</f>
        <v>-8528</v>
      </c>
      <c r="H171" s="89">
        <f>H169-(H53+H54)</f>
        <v>909</v>
      </c>
      <c r="I171" s="89">
        <f>I169-(I53+I54)</f>
        <v>10044</v>
      </c>
      <c r="J171" s="89">
        <f>J169-(J53+J54)</f>
        <v>-21405</v>
      </c>
      <c r="K171" s="89">
        <f>K169-(K53+K54)</f>
        <v>-5504</v>
      </c>
      <c r="L171" s="89">
        <f>L169-(L53+L54)</f>
        <v>3997</v>
      </c>
      <c r="M171" s="89">
        <f>M169-(M53+M54)</f>
        <v>13651</v>
      </c>
      <c r="N171" s="89">
        <f>N169-(N53+N54)</f>
        <v>-21294</v>
      </c>
      <c r="O171" s="89">
        <f>O169-(O53+O54)</f>
        <v>-7610</v>
      </c>
      <c r="P171" s="89">
        <f>P169-(P53+P54)</f>
        <v>2502</v>
      </c>
      <c r="Q171" s="89">
        <f>Q169-(Q53+Q54)</f>
        <v>17456</v>
      </c>
      <c r="R171" s="89"/>
      <c r="S171" s="89" t="e">
        <f>S169-S53</f>
        <v>#REF!</v>
      </c>
      <c r="T171" s="89" t="e">
        <f>T169-T53</f>
        <v>#REF!</v>
      </c>
      <c r="U171" s="89" t="e">
        <f>U169-U53</f>
        <v>#REF!</v>
      </c>
      <c r="V171" s="89" t="e">
        <f>V169-V53</f>
        <v>#REF!</v>
      </c>
      <c r="W171" s="89" t="e">
        <f>W169-W53</f>
        <v>#REF!</v>
      </c>
      <c r="X171" s="89" t="e">
        <f>X169-X53</f>
        <v>#REF!</v>
      </c>
      <c r="Y171" s="89" t="e">
        <f>Y169-Y53</f>
        <v>#REF!</v>
      </c>
      <c r="Z171" s="89" t="e">
        <f>Z169-Z53</f>
        <v>#REF!</v>
      </c>
      <c r="AA171" s="89">
        <f>AA169-AA53</f>
        <v>-5504</v>
      </c>
      <c r="AB171" s="89">
        <f>AB169-AB53</f>
        <v>3997</v>
      </c>
      <c r="AC171" s="89">
        <f>AC169-AC53</f>
        <v>13651</v>
      </c>
      <c r="AD171" s="89">
        <f>AD169-AD53</f>
        <v>-21186</v>
      </c>
      <c r="AE171" s="89">
        <f>AE169-AE53</f>
        <v>-7610</v>
      </c>
      <c r="AF171" s="89">
        <f>AF169-AF53</f>
        <v>2502</v>
      </c>
      <c r="AG171" s="140">
        <f>AG169-AG53</f>
        <v>17456</v>
      </c>
      <c r="AH171" s="11"/>
      <c r="AI171" s="47"/>
    </row>
    <row r="172" spans="2:35" ht="5.0999999999999996" customHeight="1">
      <c r="B172" s="8"/>
      <c r="C172" s="67"/>
      <c r="D172" s="67"/>
      <c r="E172" s="67"/>
      <c r="F172" s="33"/>
      <c r="G172" s="67"/>
      <c r="H172" s="67"/>
      <c r="I172" s="67"/>
      <c r="J172" s="67"/>
      <c r="K172" s="67"/>
      <c r="L172" s="67"/>
      <c r="M172" s="67"/>
      <c r="N172" s="67"/>
      <c r="O172" s="67"/>
      <c r="P172" s="67"/>
      <c r="Q172" s="67"/>
      <c r="S172" s="11"/>
      <c r="T172" s="11"/>
      <c r="U172" s="11"/>
      <c r="V172" s="11"/>
      <c r="W172" s="11"/>
      <c r="X172" s="11"/>
      <c r="Y172" s="11"/>
      <c r="Z172" s="11"/>
      <c r="AA172" s="11"/>
      <c r="AB172" s="11"/>
      <c r="AC172" s="11"/>
      <c r="AD172" s="11"/>
      <c r="AE172" s="11"/>
      <c r="AF172" s="11"/>
      <c r="AG172" s="11"/>
      <c r="AH172" s="11"/>
      <c r="AI172" s="47"/>
    </row>
    <row r="173" spans="2:35" ht="12.75" customHeight="1">
      <c r="B173" s="74" t="s">
        <v>64</v>
      </c>
      <c r="C173" s="64"/>
      <c r="D173" s="64"/>
      <c r="E173" s="64"/>
      <c r="F173" s="11"/>
      <c r="G173" s="64"/>
      <c r="H173" s="64"/>
      <c r="I173" s="64"/>
      <c r="J173" s="64"/>
      <c r="K173" s="64"/>
      <c r="L173" s="64"/>
      <c r="M173" s="64"/>
      <c r="N173" s="64"/>
      <c r="O173" s="84"/>
      <c r="P173" s="64"/>
      <c r="Q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4"/>
      <c r="AH173" s="68"/>
      <c r="AI173" s="47"/>
    </row>
    <row r="174" spans="2:35" ht="12.75" customHeight="1">
      <c r="B174" s="8" t="s">
        <v>108</v>
      </c>
      <c r="C174" s="84">
        <v>7772</v>
      </c>
      <c r="D174" s="84">
        <v>7370</v>
      </c>
      <c r="E174" s="84">
        <v>7132</v>
      </c>
      <c r="F174" s="11"/>
      <c r="G174" s="64"/>
      <c r="H174" s="64"/>
      <c r="I174" s="64"/>
      <c r="J174" s="33">
        <f>SUM(D174-SUM(G174:I174))</f>
        <v>7370</v>
      </c>
      <c r="K174" s="84"/>
      <c r="L174" s="84"/>
      <c r="M174" s="84"/>
      <c r="N174" s="33">
        <f>SUM(E174-SUM(K174:M174))</f>
        <v>7132</v>
      </c>
      <c r="O174" s="84"/>
      <c r="P174" s="84"/>
      <c r="Q174" s="84"/>
      <c r="S174" s="33" t="e">
        <f>SUM(#REF!)</f>
        <v>#REF!</v>
      </c>
      <c r="T174" s="33" t="e">
        <f>SUM(#REF!)</f>
        <v>#REF!</v>
      </c>
      <c r="U174" s="33" t="e">
        <f>SUM(#REF!)</f>
        <v>#REF!</v>
      </c>
      <c r="V174" s="33" t="e">
        <f>SUM(#REF!)</f>
        <v>#REF!</v>
      </c>
      <c r="W174" s="33">
        <f>SUM(G174:G174)</f>
        <v>0</v>
      </c>
      <c r="X174" s="33">
        <f>SUM(G174:H174)</f>
        <v>0</v>
      </c>
      <c r="Y174" s="33">
        <f>SUM(G174:I174)</f>
        <v>0</v>
      </c>
      <c r="Z174" s="33">
        <f>SUM(G174:J174)</f>
        <v>7370</v>
      </c>
      <c r="AA174" s="33">
        <f>SUM(H174:K174)</f>
        <v>7370</v>
      </c>
      <c r="AB174" s="33">
        <f>SUM(I174:L174)</f>
        <v>7370</v>
      </c>
      <c r="AC174" s="33">
        <f>SUM(J174:M174)</f>
        <v>7370</v>
      </c>
      <c r="AD174" s="33">
        <f t="shared" ref="AD174" si="304">SUM(K174:N174)</f>
        <v>7132</v>
      </c>
      <c r="AE174" s="33">
        <f t="shared" ref="AE174" si="305">SUM(L174:O174)</f>
        <v>7132</v>
      </c>
      <c r="AF174" s="33">
        <f t="shared" ref="AF174" si="306">SUM(M174:P174)</f>
        <v>7132</v>
      </c>
      <c r="AG174" s="33">
        <f t="shared" ref="AG174" si="307">SUM(N174:Q174)</f>
        <v>7132</v>
      </c>
      <c r="AH174" s="68"/>
      <c r="AI174" s="47"/>
    </row>
    <row r="175" spans="2:35" ht="12.75" customHeight="1">
      <c r="B175" s="8" t="s">
        <v>107</v>
      </c>
      <c r="C175" s="84">
        <v>592</v>
      </c>
      <c r="D175" s="84">
        <v>1599</v>
      </c>
      <c r="E175" s="84">
        <v>2456</v>
      </c>
      <c r="F175" s="33"/>
      <c r="G175" s="64"/>
      <c r="H175" s="64"/>
      <c r="I175" s="64"/>
      <c r="J175" s="33">
        <f>SUM(D175-SUM(G175:I175))</f>
        <v>1599</v>
      </c>
      <c r="K175" s="84"/>
      <c r="L175" s="84"/>
      <c r="M175" s="84"/>
      <c r="N175" s="33">
        <f>SUM(E175-SUM(K175:M175))</f>
        <v>2456</v>
      </c>
      <c r="O175" s="84"/>
      <c r="P175" s="84"/>
      <c r="Q175" s="84"/>
      <c r="R175" s="33"/>
      <c r="S175" s="33" t="e">
        <f>SUM(#REF!)</f>
        <v>#REF!</v>
      </c>
      <c r="T175" s="33" t="e">
        <f>SUM(#REF!)</f>
        <v>#REF!</v>
      </c>
      <c r="U175" s="33" t="e">
        <f>SUM(#REF!)</f>
        <v>#REF!</v>
      </c>
      <c r="V175" s="33" t="e">
        <f>SUM(#REF!)</f>
        <v>#REF!</v>
      </c>
      <c r="W175" s="33">
        <f>SUM(G175:G175)</f>
        <v>0</v>
      </c>
      <c r="X175" s="33">
        <f>SUM(G175:H175)</f>
        <v>0</v>
      </c>
      <c r="Y175" s="33">
        <f>SUM(G175:I175)</f>
        <v>0</v>
      </c>
      <c r="Z175" s="33">
        <f>SUM(G175:J175)</f>
        <v>1599</v>
      </c>
      <c r="AA175" s="33">
        <f>SUM(H175:K175)</f>
        <v>1599</v>
      </c>
      <c r="AB175" s="33">
        <f>SUM(I175:L175)</f>
        <v>1599</v>
      </c>
      <c r="AC175" s="33">
        <f>SUM(J175:M175)</f>
        <v>1599</v>
      </c>
      <c r="AD175" s="33">
        <f>SUM(K175:N175)</f>
        <v>2456</v>
      </c>
      <c r="AE175" s="33">
        <f>SUM(L175:O175)</f>
        <v>2456</v>
      </c>
      <c r="AF175" s="33">
        <f>SUM(M175:P175)</f>
        <v>2456</v>
      </c>
      <c r="AG175" s="33">
        <f>SUM(N175:Q175)</f>
        <v>2456</v>
      </c>
      <c r="AH175" s="11"/>
      <c r="AI175" s="47"/>
    </row>
    <row r="176" spans="2:35" ht="5.0999999999999996" customHeight="1" thickBot="1">
      <c r="B176" s="75"/>
      <c r="C176" s="76"/>
      <c r="D176" s="76"/>
      <c r="E176" s="76"/>
      <c r="F176" s="75"/>
      <c r="G176" s="75"/>
      <c r="H176" s="75"/>
      <c r="I176" s="75"/>
      <c r="J176" s="75"/>
      <c r="K176" s="75"/>
      <c r="L176" s="75"/>
      <c r="M176" s="75"/>
      <c r="N176" s="75"/>
      <c r="O176" s="75"/>
      <c r="P176" s="75"/>
      <c r="Q176" s="75"/>
      <c r="R176" s="75"/>
      <c r="S176" s="75"/>
      <c r="T176" s="75"/>
      <c r="U176" s="75"/>
      <c r="V176" s="75"/>
      <c r="W176" s="75"/>
      <c r="X176" s="75"/>
      <c r="Y176" s="75"/>
      <c r="Z176" s="75"/>
      <c r="AA176" s="75"/>
      <c r="AB176" s="75"/>
      <c r="AC176" s="75"/>
      <c r="AD176" s="75"/>
      <c r="AE176" s="75"/>
      <c r="AF176" s="75"/>
      <c r="AG176" s="75"/>
      <c r="AI176" s="47"/>
    </row>
    <row r="177" spans="2:35" ht="12.75" customHeight="1">
      <c r="B177" s="150"/>
      <c r="C177" s="150"/>
      <c r="D177" s="150"/>
      <c r="E177" s="150"/>
      <c r="F177" s="150"/>
      <c r="G177" s="150"/>
      <c r="H177" s="150"/>
      <c r="I177" s="150"/>
      <c r="J177" s="150"/>
      <c r="K177" s="150"/>
      <c r="L177" s="150"/>
      <c r="M177" s="150"/>
      <c r="N177" s="150"/>
      <c r="O177" s="150"/>
      <c r="P177" s="150"/>
      <c r="Q177" s="150"/>
      <c r="R177" s="150"/>
      <c r="S177" s="150"/>
      <c r="T177" s="150"/>
      <c r="U177" s="150"/>
      <c r="V177" s="150"/>
      <c r="W177" s="150"/>
      <c r="X177" s="150"/>
      <c r="Y177" s="150"/>
      <c r="Z177" s="150"/>
      <c r="AA177" s="150"/>
      <c r="AB177" s="150"/>
      <c r="AC177" s="150"/>
      <c r="AD177" s="150"/>
      <c r="AE177" s="150"/>
      <c r="AF177" s="150"/>
      <c r="AG177" s="133"/>
      <c r="AI177" s="47"/>
    </row>
    <row r="178" spans="2:35" ht="12.75" customHeight="1">
      <c r="B178" s="55"/>
      <c r="C178" s="84"/>
      <c r="D178" s="69"/>
      <c r="E178" s="69"/>
    </row>
    <row r="179" spans="2:35" ht="12.75" customHeight="1">
      <c r="C179" s="84"/>
      <c r="D179" s="58"/>
      <c r="E179" s="58"/>
    </row>
    <row r="180" spans="2:35" ht="12.75" customHeight="1">
      <c r="C180" s="84"/>
      <c r="D180" s="58"/>
      <c r="E180" s="58"/>
    </row>
    <row r="181" spans="2:35" ht="12.75" customHeight="1">
      <c r="C181" s="58"/>
      <c r="D181" s="58"/>
      <c r="E181" s="58"/>
    </row>
    <row r="182" spans="2:35" ht="12.75" customHeight="1">
      <c r="C182" s="58"/>
      <c r="D182" s="58"/>
      <c r="E182" s="58"/>
    </row>
    <row r="183" spans="2:35" ht="12.75" customHeight="1">
      <c r="C183" s="58"/>
      <c r="D183" s="58"/>
      <c r="E183" s="58"/>
      <c r="G183" s="88"/>
      <c r="H183" s="88"/>
      <c r="I183" s="88"/>
      <c r="J183" s="88"/>
      <c r="K183" s="88"/>
      <c r="L183" s="88"/>
    </row>
    <row r="184" spans="2:35" ht="12.75" customHeight="1">
      <c r="C184" s="58"/>
      <c r="D184" s="58"/>
      <c r="E184" s="58"/>
    </row>
    <row r="185" spans="2:35" ht="12.75" customHeight="1">
      <c r="C185" s="58"/>
      <c r="D185" s="58"/>
      <c r="E185" s="58"/>
      <c r="G185" s="88"/>
      <c r="H185" s="88"/>
      <c r="I185" s="88"/>
      <c r="J185" s="88"/>
      <c r="K185" s="88"/>
      <c r="L185" s="88"/>
    </row>
    <row r="186" spans="2:35">
      <c r="G186" s="88"/>
      <c r="H186" s="88"/>
      <c r="I186" s="88"/>
      <c r="J186" s="88"/>
      <c r="K186" s="88"/>
      <c r="L186" s="88"/>
    </row>
    <row r="187" spans="2:35">
      <c r="G187" s="88"/>
      <c r="H187" s="88"/>
      <c r="I187" s="88"/>
      <c r="J187" s="88"/>
      <c r="K187" s="88"/>
      <c r="L187" s="88"/>
    </row>
    <row r="189" spans="2:35">
      <c r="G189" s="88"/>
      <c r="H189" s="88"/>
      <c r="I189" s="88"/>
      <c r="J189" s="88"/>
      <c r="K189" s="88"/>
      <c r="L189" s="88"/>
    </row>
    <row r="190" spans="2:35">
      <c r="G190" s="88"/>
      <c r="H190" s="88"/>
      <c r="I190" s="88"/>
      <c r="J190" s="88"/>
      <c r="K190" s="88"/>
      <c r="L190" s="88"/>
    </row>
  </sheetData>
  <mergeCells count="4">
    <mergeCell ref="B177:AF177"/>
    <mergeCell ref="AI6:AI8"/>
    <mergeCell ref="AI48:AI50"/>
    <mergeCell ref="AI101:AI103"/>
  </mergeCells>
  <dataValidations disablePrompts="1" count="1">
    <dataValidation type="list" allowBlank="1" showInputMessage="1" showErrorMessage="1" sqref="B4" xr:uid="{95A5AB56-0215-4703-953B-CB353CAB6883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F16:AF17 F57 S22:AD23 J134 S27:AD29 J129:J132" formulaRange="1"/>
    <ignoredError sqref="C16:E17 C22:E23 C27:E29 C41:E41 G16:Q17 G21:Q23 G41:Q41 G27:Q29 AG134:AI139 AG126:AI132" evalError="1"/>
    <ignoredError sqref="S167:AG167 D165:E166 D168 D16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E13"/>
  <sheetViews>
    <sheetView showGridLines="0" zoomScaleNormal="100" workbookViewId="0">
      <selection activeCell="D9" sqref="D9:E10"/>
    </sheetView>
  </sheetViews>
  <sheetFormatPr defaultRowHeight="12" outlineLevelCol="1"/>
  <cols>
    <col min="1" max="1" width="1.5" style="8" customWidth="1"/>
    <col min="2" max="2" width="46.5" style="8" bestFit="1" customWidth="1"/>
    <col min="3" max="5" width="8.625" style="8" bestFit="1" customWidth="1"/>
    <col min="6" max="6" width="1.5" style="8" customWidth="1"/>
    <col min="7" max="9" width="8" style="8" customWidth="1" outlineLevel="1"/>
    <col min="10" max="10" width="8.75" style="8" customWidth="1" outlineLevel="1"/>
    <col min="11" max="11" width="8.5" style="8" customWidth="1"/>
    <col min="12" max="12" width="8.25" style="8" bestFit="1" customWidth="1"/>
    <col min="13" max="13" width="8.5" style="8" bestFit="1" customWidth="1"/>
    <col min="14" max="17" width="9.125" style="8" bestFit="1" customWidth="1"/>
    <col min="18" max="18" width="1.5" style="8" customWidth="1"/>
    <col min="19" max="24" width="8.75" style="8" hidden="1" customWidth="1" outlineLevel="1"/>
    <col min="25" max="25" width="8.75" style="8" bestFit="1" customWidth="1" collapsed="1"/>
    <col min="26" max="28" width="8.75" style="8" hidden="1" customWidth="1" outlineLevel="1"/>
    <col min="29" max="29" width="8.75" style="8" bestFit="1" customWidth="1" collapsed="1"/>
    <col min="30" max="30" width="1.5" style="8" customWidth="1"/>
    <col min="31" max="31" width="9.875" style="8" bestFit="1" customWidth="1"/>
    <col min="32" max="16384" width="9" style="8"/>
  </cols>
  <sheetData>
    <row r="2" spans="1:31" s="5" customFormat="1" ht="12.75" customHeight="1">
      <c r="B2" s="1" t="str">
        <f>'Historical Financials'!B2</f>
        <v>AT&amp;T Inc. (NASDAQ: T)</v>
      </c>
      <c r="C2" s="2" t="s">
        <v>0</v>
      </c>
      <c r="D2" s="2"/>
      <c r="E2" s="2"/>
      <c r="F2" s="3"/>
      <c r="G2" s="2"/>
      <c r="H2" s="2"/>
      <c r="I2" s="2"/>
      <c r="J2" s="2"/>
      <c r="K2" s="2" t="s">
        <v>1</v>
      </c>
      <c r="L2" s="2" t="s">
        <v>1</v>
      </c>
      <c r="M2" s="2"/>
      <c r="N2" s="2"/>
      <c r="O2" s="2"/>
      <c r="P2" s="2"/>
      <c r="Q2" s="2"/>
      <c r="R2" s="3"/>
      <c r="S2" s="2" t="s">
        <v>10</v>
      </c>
      <c r="T2" s="2"/>
      <c r="U2" s="2"/>
      <c r="V2" s="2"/>
      <c r="W2" s="2" t="s">
        <v>10</v>
      </c>
      <c r="X2" s="2"/>
      <c r="Y2" s="2" t="s">
        <v>10</v>
      </c>
      <c r="Z2" s="2"/>
      <c r="AA2" s="2"/>
      <c r="AB2" s="2"/>
      <c r="AC2" s="2"/>
      <c r="AD2" s="3"/>
      <c r="AE2" s="151" t="s">
        <v>23</v>
      </c>
    </row>
    <row r="3" spans="1:31" s="5" customFormat="1" ht="12.75" customHeight="1">
      <c r="B3" s="6" t="s">
        <v>68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4"/>
      <c r="S3" s="4" t="str">
        <f t="shared" ref="S3:AB4" si="0">G3</f>
        <v>1Q23</v>
      </c>
      <c r="T3" s="4" t="str">
        <f t="shared" si="0"/>
        <v>2Q23</v>
      </c>
      <c r="U3" s="4" t="str">
        <f t="shared" si="0"/>
        <v>3Q23</v>
      </c>
      <c r="V3" s="4" t="str">
        <f t="shared" si="0"/>
        <v>4Q23</v>
      </c>
      <c r="W3" s="4" t="str">
        <f t="shared" si="0"/>
        <v>1Q24</v>
      </c>
      <c r="X3" s="4" t="str">
        <f t="shared" si="0"/>
        <v>2Q24</v>
      </c>
      <c r="Y3" s="4" t="str">
        <f t="shared" si="0"/>
        <v>3Q24</v>
      </c>
      <c r="Z3" s="4" t="str">
        <f t="shared" si="0"/>
        <v>4Q24</v>
      </c>
      <c r="AA3" s="4" t="str">
        <f t="shared" si="0"/>
        <v>1Q25</v>
      </c>
      <c r="AB3" s="4" t="str">
        <f t="shared" si="0"/>
        <v>2Q25</v>
      </c>
      <c r="AC3" s="4" t="str">
        <f>Q3</f>
        <v>3Q25</v>
      </c>
      <c r="AD3" s="3"/>
      <c r="AE3" s="151"/>
    </row>
    <row r="4" spans="1:31" s="5" customFormat="1" ht="12.75" customHeight="1">
      <c r="B4" s="6" t="s">
        <v>110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>
        <f t="shared" si="0"/>
        <v>45016</v>
      </c>
      <c r="T4" s="3">
        <f t="shared" si="0"/>
        <v>45107</v>
      </c>
      <c r="U4" s="3">
        <f t="shared" si="0"/>
        <v>45199</v>
      </c>
      <c r="V4" s="3">
        <f t="shared" si="0"/>
        <v>45291</v>
      </c>
      <c r="W4" s="3">
        <f t="shared" si="0"/>
        <v>45382</v>
      </c>
      <c r="X4" s="3">
        <f t="shared" si="0"/>
        <v>45473</v>
      </c>
      <c r="Y4" s="3">
        <f t="shared" si="0"/>
        <v>45565</v>
      </c>
      <c r="Z4" s="3">
        <f t="shared" si="0"/>
        <v>45657</v>
      </c>
      <c r="AA4" s="3">
        <f t="shared" si="0"/>
        <v>45747</v>
      </c>
      <c r="AB4" s="3">
        <f t="shared" si="0"/>
        <v>45838</v>
      </c>
      <c r="AC4" s="3">
        <f>Q4</f>
        <v>45930</v>
      </c>
      <c r="AD4" s="3"/>
      <c r="AE4" s="151"/>
    </row>
    <row r="5" spans="1:31" ht="5.0999999999999996" customHeight="1"/>
    <row r="6" spans="1:31">
      <c r="A6" s="37" t="s">
        <v>16</v>
      </c>
      <c r="B6" s="1" t="s">
        <v>92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5.0999999999999996" customHeight="1"/>
    <row r="8" spans="1:31" ht="12.75" customHeight="1">
      <c r="A8" s="82"/>
      <c r="B8" s="80" t="s">
        <v>91</v>
      </c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5"/>
      <c r="S8" s="11"/>
      <c r="T8" s="11"/>
      <c r="U8" s="11"/>
      <c r="V8" s="11"/>
      <c r="W8" s="11"/>
      <c r="X8" s="11"/>
      <c r="Y8" s="11"/>
      <c r="Z8" s="11"/>
      <c r="AA8" s="11"/>
      <c r="AB8" s="11"/>
      <c r="AE8" s="12"/>
    </row>
    <row r="9" spans="1:31" ht="12.75" customHeight="1">
      <c r="B9" s="9" t="s">
        <v>212</v>
      </c>
      <c r="C9" s="83"/>
      <c r="D9" s="83">
        <v>99649</v>
      </c>
      <c r="E9" s="83">
        <v>100135</v>
      </c>
      <c r="F9" s="83"/>
      <c r="G9" s="83">
        <v>24617</v>
      </c>
      <c r="H9" s="83">
        <v>24850</v>
      </c>
      <c r="I9" s="83">
        <v>25112</v>
      </c>
      <c r="J9" s="127">
        <f>SUM(D9-SUM(G9:I9))</f>
        <v>25070</v>
      </c>
      <c r="K9" s="83">
        <v>24842</v>
      </c>
      <c r="L9" s="83">
        <v>25006</v>
      </c>
      <c r="M9" s="83">
        <v>25134</v>
      </c>
      <c r="N9" s="127">
        <f>SUM(E9-SUM(K9:M9))</f>
        <v>25153</v>
      </c>
      <c r="O9" s="83">
        <v>25138</v>
      </c>
      <c r="P9" s="83">
        <v>25292</v>
      </c>
      <c r="Q9" s="83">
        <v>25336</v>
      </c>
      <c r="R9" s="11"/>
      <c r="S9" s="11">
        <f>SUM(G9:G9)</f>
        <v>24617</v>
      </c>
      <c r="T9" s="11">
        <f>SUM(G9:H9)</f>
        <v>49467</v>
      </c>
      <c r="U9" s="11">
        <f>SUM(G9:I9)</f>
        <v>74579</v>
      </c>
      <c r="V9" s="11">
        <f t="shared" ref="V9:X9" si="1">SUM(G9:J9)</f>
        <v>99649</v>
      </c>
      <c r="W9" s="11">
        <f t="shared" si="1"/>
        <v>99874</v>
      </c>
      <c r="X9" s="11">
        <f t="shared" si="1"/>
        <v>100030</v>
      </c>
      <c r="Y9" s="127">
        <f t="shared" ref="Y9:AC10" si="2">SUM(J9:M9)</f>
        <v>100052</v>
      </c>
      <c r="Z9" s="127">
        <f t="shared" si="2"/>
        <v>100135</v>
      </c>
      <c r="AA9" s="127">
        <f t="shared" si="2"/>
        <v>100431</v>
      </c>
      <c r="AB9" s="127">
        <f t="shared" si="2"/>
        <v>100717</v>
      </c>
      <c r="AC9" s="127">
        <f t="shared" si="2"/>
        <v>100919</v>
      </c>
      <c r="AE9" s="12">
        <f>SUM(AC9/Y9)-1</f>
        <v>8.6654939431496381E-3</v>
      </c>
    </row>
    <row r="10" spans="1:31" ht="12.75" customHeight="1">
      <c r="B10" s="9" t="s">
        <v>131</v>
      </c>
      <c r="C10" s="83"/>
      <c r="D10" s="83">
        <v>22779</v>
      </c>
      <c r="E10" s="83">
        <v>22201</v>
      </c>
      <c r="F10" s="83"/>
      <c r="G10" s="83">
        <v>5522</v>
      </c>
      <c r="H10" s="83">
        <v>5067</v>
      </c>
      <c r="I10" s="83">
        <v>5238</v>
      </c>
      <c r="J10" s="127">
        <f>SUM(D10-SUM(G10:I10))</f>
        <v>6952</v>
      </c>
      <c r="K10" s="83">
        <v>5186</v>
      </c>
      <c r="L10" s="83">
        <v>4791</v>
      </c>
      <c r="M10" s="83">
        <v>5079</v>
      </c>
      <c r="N10" s="127">
        <f>SUM(E10-SUM(K10:M10))</f>
        <v>7145</v>
      </c>
      <c r="O10" s="83">
        <v>5488</v>
      </c>
      <c r="P10" s="83">
        <v>5555</v>
      </c>
      <c r="Q10" s="83">
        <v>5373</v>
      </c>
      <c r="R10" s="11"/>
      <c r="S10" s="11"/>
      <c r="T10" s="11"/>
      <c r="U10" s="11"/>
      <c r="V10" s="11"/>
      <c r="W10" s="11"/>
      <c r="X10" s="11"/>
      <c r="Y10" s="127">
        <f t="shared" si="2"/>
        <v>22008</v>
      </c>
      <c r="Z10" s="127">
        <f t="shared" si="2"/>
        <v>22201</v>
      </c>
      <c r="AA10" s="127">
        <f t="shared" si="2"/>
        <v>22503</v>
      </c>
      <c r="AB10" s="127">
        <f t="shared" si="2"/>
        <v>23267</v>
      </c>
      <c r="AC10" s="127">
        <f t="shared" si="2"/>
        <v>23561</v>
      </c>
      <c r="AE10" s="12">
        <f>SUM(AC10/Y10)-1</f>
        <v>7.0565249000363428E-2</v>
      </c>
    </row>
    <row r="11" spans="1:31" ht="12.75" customHeight="1">
      <c r="B11" s="13" t="s">
        <v>69</v>
      </c>
      <c r="C11" s="35">
        <f>SUM(C9:C10)</f>
        <v>0</v>
      </c>
      <c r="D11" s="35">
        <f>SUM(D9:D10)</f>
        <v>122428</v>
      </c>
      <c r="E11" s="35">
        <f>SUM(E9:E10)</f>
        <v>122336</v>
      </c>
      <c r="F11" s="11"/>
      <c r="G11" s="35">
        <f>SUM(G9:G10)</f>
        <v>30139</v>
      </c>
      <c r="H11" s="35">
        <f>SUM(H9:H10)</f>
        <v>29917</v>
      </c>
      <c r="I11" s="35">
        <f>SUM(I9:I10)</f>
        <v>30350</v>
      </c>
      <c r="J11" s="35">
        <f>SUM(J9:J10)</f>
        <v>32022</v>
      </c>
      <c r="K11" s="35">
        <f>SUM(K9:K10)</f>
        <v>30028</v>
      </c>
      <c r="L11" s="35">
        <f>SUM(L9:L10)</f>
        <v>29797</v>
      </c>
      <c r="M11" s="35">
        <f>SUM(M9:M10)</f>
        <v>30213</v>
      </c>
      <c r="N11" s="35">
        <f>SUM(N9:N10)</f>
        <v>32298</v>
      </c>
      <c r="O11" s="35">
        <f>SUM(O9:O10)</f>
        <v>30626</v>
      </c>
      <c r="P11" s="35">
        <f>SUM(P9:P10)</f>
        <v>30847</v>
      </c>
      <c r="Q11" s="35">
        <f>SUM(Q9:Q10)</f>
        <v>30709</v>
      </c>
      <c r="R11" s="5"/>
      <c r="S11" s="35">
        <f>SUM(S9:S10)</f>
        <v>24617</v>
      </c>
      <c r="T11" s="35">
        <f>SUM(T9:T10)</f>
        <v>49467</v>
      </c>
      <c r="U11" s="35">
        <f>SUM(U9:U10)</f>
        <v>74579</v>
      </c>
      <c r="V11" s="35">
        <f>SUM(V9:V10)</f>
        <v>99649</v>
      </c>
      <c r="W11" s="35">
        <f>SUM(W9:W10)</f>
        <v>99874</v>
      </c>
      <c r="X11" s="35">
        <f>SUM(X9:X10)</f>
        <v>100030</v>
      </c>
      <c r="Y11" s="35">
        <f>SUM(Y9:Y10)</f>
        <v>122060</v>
      </c>
      <c r="Z11" s="35">
        <f>SUM(Z9:Z10)</f>
        <v>122336</v>
      </c>
      <c r="AA11" s="35">
        <f>SUM(AA9:AA10)</f>
        <v>122934</v>
      </c>
      <c r="AB11" s="35">
        <f>SUM(AB9:AB10)</f>
        <v>123984</v>
      </c>
      <c r="AC11" s="35">
        <f>SUM(AC9:AC10)</f>
        <v>124480</v>
      </c>
      <c r="AE11" s="15">
        <f>SUM(AC11/Y11)-1</f>
        <v>1.9826314927084976E-2</v>
      </c>
    </row>
    <row r="12" spans="1:31">
      <c r="B12" s="136" t="s">
        <v>93</v>
      </c>
      <c r="C12" s="81">
        <f>+C11-'Historical Financials'!C11</f>
        <v>-120741</v>
      </c>
      <c r="D12" s="81">
        <f>+D11-'Historical Financials'!D11</f>
        <v>0</v>
      </c>
      <c r="E12" s="81">
        <f>+E11-'Historical Financials'!E11</f>
        <v>0</v>
      </c>
      <c r="F12" s="11"/>
      <c r="G12" s="81">
        <f>G11-'Historical Financials'!G11</f>
        <v>0</v>
      </c>
      <c r="H12" s="81">
        <f>H11-'Historical Financials'!H11</f>
        <v>0</v>
      </c>
      <c r="I12" s="81">
        <f>I11-'Historical Financials'!I11</f>
        <v>0</v>
      </c>
      <c r="J12" s="81">
        <f>J11-'Historical Financials'!J11</f>
        <v>0</v>
      </c>
      <c r="K12" s="81">
        <f>K11-'Historical Financials'!K11</f>
        <v>0</v>
      </c>
      <c r="L12" s="81">
        <f>L11-'Historical Financials'!L11</f>
        <v>0</v>
      </c>
      <c r="M12" s="81">
        <f>M11-'Historical Financials'!M11</f>
        <v>0</v>
      </c>
      <c r="N12" s="81">
        <f>N11-'Historical Financials'!N11</f>
        <v>0</v>
      </c>
      <c r="O12" s="81">
        <f>O11-'Historical Financials'!O11</f>
        <v>0</v>
      </c>
      <c r="P12" s="81">
        <f>P11-'Historical Financials'!P11</f>
        <v>0</v>
      </c>
      <c r="Q12" s="81">
        <f>Q11-'Historical Financials'!Q11</f>
        <v>0</v>
      </c>
      <c r="R12" s="81"/>
      <c r="S12" s="81">
        <f>+S11-'Historical Financials'!W11</f>
        <v>-5522</v>
      </c>
      <c r="T12" s="81">
        <f>+T11-'Historical Financials'!X11</f>
        <v>-10589</v>
      </c>
      <c r="U12" s="81">
        <f>+U11-'Historical Financials'!Y11</f>
        <v>-15827</v>
      </c>
      <c r="V12" s="81">
        <f>+V11-'Historical Financials'!Z11</f>
        <v>-22779</v>
      </c>
      <c r="W12" s="81">
        <f>+W11-'Historical Financials'!AA11</f>
        <v>-22443</v>
      </c>
      <c r="X12" s="81">
        <f>+X11-'Historical Financials'!AB11</f>
        <v>-22167</v>
      </c>
      <c r="Y12" s="81">
        <f>+Y11-'Historical Financials'!AC11</f>
        <v>0</v>
      </c>
      <c r="Z12" s="81">
        <f>+Z11-'Historical Financials'!AD11</f>
        <v>0</v>
      </c>
      <c r="AA12" s="81">
        <f>+AA11-'Historical Financials'!AE11</f>
        <v>0</v>
      </c>
      <c r="AB12" s="81">
        <f>+AB11-'Historical Financials'!AF11</f>
        <v>0</v>
      </c>
      <c r="AC12" s="81">
        <f>AC11-'Historical Financials'!AG11</f>
        <v>0</v>
      </c>
    </row>
    <row r="13" spans="1:31" ht="5.0999999999999996" customHeight="1">
      <c r="B13" s="19"/>
      <c r="C13" s="20"/>
      <c r="D13" s="20"/>
      <c r="E13" s="20"/>
      <c r="F13" s="21"/>
      <c r="G13" s="22"/>
      <c r="H13" s="22"/>
      <c r="I13" s="22"/>
      <c r="J13" s="23"/>
      <c r="K13" s="22"/>
      <c r="L13" s="22"/>
      <c r="M13" s="22"/>
      <c r="N13" s="22"/>
      <c r="O13" s="22"/>
      <c r="P13" s="22"/>
      <c r="Q13" s="22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</row>
  </sheetData>
  <mergeCells count="1">
    <mergeCell ref="AE2:AE4"/>
  </mergeCells>
  <dataValidations disablePrompts="1" count="1">
    <dataValidation type="list" allowBlank="1" showInputMessage="1" showErrorMessage="1" sqref="B4" xr:uid="{62176FD9-E514-4BEC-85E1-6C6963572068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AE9:AE10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H81"/>
  <sheetViews>
    <sheetView showGridLines="0" zoomScaleNormal="100" workbookViewId="0">
      <selection activeCell="G80" sqref="G80"/>
    </sheetView>
  </sheetViews>
  <sheetFormatPr defaultRowHeight="12" outlineLevelCol="1"/>
  <cols>
    <col min="1" max="1" width="1.5" style="8" customWidth="1"/>
    <col min="2" max="2" width="41.625" style="8" customWidth="1"/>
    <col min="3" max="3" width="9" style="8" bestFit="1" customWidth="1"/>
    <col min="4" max="4" width="9.25" style="8" bestFit="1" customWidth="1"/>
    <col min="5" max="5" width="9" style="8"/>
    <col min="6" max="6" width="1.5" style="8" customWidth="1"/>
    <col min="7" max="8" width="8" style="8" customWidth="1" outlineLevel="1"/>
    <col min="9" max="12" width="8.875" style="8" customWidth="1" outlineLevel="1"/>
    <col min="13" max="17" width="8.875" style="8" bestFit="1" customWidth="1"/>
    <col min="18" max="18" width="1.625" style="8" customWidth="1"/>
    <col min="19" max="19" width="9" style="8" hidden="1" customWidth="1" outlineLevel="1"/>
    <col min="20" max="20" width="8.625" style="8" hidden="1" customWidth="1" outlineLevel="1"/>
    <col min="21" max="21" width="8.5" style="8" hidden="1" customWidth="1" outlineLevel="1"/>
    <col min="22" max="23" width="8.25" style="8" hidden="1" customWidth="1" outlineLevel="1"/>
    <col min="24" max="24" width="9.25" style="8" hidden="1" customWidth="1" outlineLevel="1"/>
    <col min="25" max="25" width="9.75" style="8" hidden="1" customWidth="1" outlineLevel="1"/>
    <col min="26" max="26" width="9" style="8" hidden="1" customWidth="1" outlineLevel="1"/>
    <col min="27" max="27" width="9" style="8" customWidth="1" collapsed="1"/>
    <col min="28" max="29" width="9" style="8" hidden="1" customWidth="1" outlineLevel="1"/>
    <col min="30" max="30" width="8.5" style="8" hidden="1" customWidth="1" outlineLevel="1"/>
    <col min="31" max="31" width="8.5" style="8" bestFit="1" customWidth="1" collapsed="1"/>
    <col min="32" max="32" width="1.5" style="8" customWidth="1"/>
    <col min="33" max="33" width="9.375" style="132" bestFit="1" customWidth="1"/>
    <col min="34" max="16384" width="9" style="8"/>
  </cols>
  <sheetData>
    <row r="2" spans="2:33" s="5" customFormat="1" ht="12.75" customHeight="1">
      <c r="B2" s="1" t="str">
        <f>'Historical Financials'!B2</f>
        <v>AT&amp;T Inc. (NASDAQ: T)</v>
      </c>
      <c r="C2" s="2" t="s">
        <v>0</v>
      </c>
      <c r="D2" s="2"/>
      <c r="E2" s="2"/>
      <c r="F2" s="3"/>
      <c r="G2" s="2" t="s">
        <v>1</v>
      </c>
      <c r="H2" s="2"/>
      <c r="I2" s="2"/>
      <c r="J2" s="2"/>
      <c r="K2" s="2"/>
      <c r="L2" s="2"/>
      <c r="M2" s="2" t="s">
        <v>1</v>
      </c>
      <c r="N2" s="2"/>
      <c r="O2" s="2"/>
      <c r="P2" s="2"/>
      <c r="Q2" s="2"/>
      <c r="R2" s="3"/>
      <c r="S2" s="2" t="s">
        <v>10</v>
      </c>
      <c r="T2" s="2"/>
      <c r="U2" s="2"/>
      <c r="V2" s="2"/>
      <c r="W2" s="2"/>
      <c r="X2" s="2"/>
      <c r="Y2" s="2"/>
      <c r="Z2" s="2" t="s">
        <v>10</v>
      </c>
      <c r="AA2" s="2" t="s">
        <v>10</v>
      </c>
      <c r="AB2" s="2"/>
      <c r="AC2" s="2"/>
      <c r="AD2" s="2"/>
      <c r="AE2" s="2"/>
      <c r="AF2" s="3"/>
      <c r="AG2" s="154" t="s">
        <v>23</v>
      </c>
    </row>
    <row r="3" spans="2:33" s="5" customFormat="1" ht="12.75" customHeight="1">
      <c r="B3" s="6" t="s">
        <v>24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3"/>
      <c r="S3" s="4" t="e">
        <f>#REF!</f>
        <v>#REF!</v>
      </c>
      <c r="T3" s="4" t="e">
        <f>#REF!</f>
        <v>#REF!</v>
      </c>
      <c r="U3" s="4" t="str">
        <f t="shared" ref="U3:AE4" si="0">G3</f>
        <v>1Q23</v>
      </c>
      <c r="V3" s="4" t="str">
        <f t="shared" si="0"/>
        <v>2Q23</v>
      </c>
      <c r="W3" s="4" t="str">
        <f t="shared" si="0"/>
        <v>3Q23</v>
      </c>
      <c r="X3" s="4" t="str">
        <f t="shared" si="0"/>
        <v>4Q23</v>
      </c>
      <c r="Y3" s="4" t="str">
        <f t="shared" si="0"/>
        <v>1Q24</v>
      </c>
      <c r="Z3" s="4" t="str">
        <f t="shared" si="0"/>
        <v>2Q24</v>
      </c>
      <c r="AA3" s="4" t="str">
        <f t="shared" si="0"/>
        <v>3Q24</v>
      </c>
      <c r="AB3" s="4" t="str">
        <f t="shared" si="0"/>
        <v>4Q24</v>
      </c>
      <c r="AC3" s="4" t="str">
        <f t="shared" si="0"/>
        <v>1Q25</v>
      </c>
      <c r="AD3" s="4" t="str">
        <f t="shared" si="0"/>
        <v>2Q25</v>
      </c>
      <c r="AE3" s="4" t="str">
        <f t="shared" si="0"/>
        <v>3Q25</v>
      </c>
      <c r="AF3" s="3"/>
      <c r="AG3" s="154"/>
    </row>
    <row r="4" spans="2:33" s="5" customFormat="1" ht="12.75" customHeight="1">
      <c r="B4" s="6" t="s">
        <v>75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 t="e">
        <f>#REF!</f>
        <v>#REF!</v>
      </c>
      <c r="T4" s="3" t="e">
        <f>#REF!</f>
        <v>#REF!</v>
      </c>
      <c r="U4" s="3">
        <f t="shared" si="0"/>
        <v>45016</v>
      </c>
      <c r="V4" s="3">
        <f t="shared" si="0"/>
        <v>45107</v>
      </c>
      <c r="W4" s="3">
        <f t="shared" si="0"/>
        <v>45199</v>
      </c>
      <c r="X4" s="3">
        <f t="shared" si="0"/>
        <v>45291</v>
      </c>
      <c r="Y4" s="3">
        <f t="shared" si="0"/>
        <v>45382</v>
      </c>
      <c r="Z4" s="3">
        <f t="shared" si="0"/>
        <v>45473</v>
      </c>
      <c r="AA4" s="3">
        <f t="shared" si="0"/>
        <v>45565</v>
      </c>
      <c r="AB4" s="3">
        <f t="shared" si="0"/>
        <v>45657</v>
      </c>
      <c r="AC4" s="3">
        <f t="shared" si="0"/>
        <v>45747</v>
      </c>
      <c r="AD4" s="3">
        <f t="shared" si="0"/>
        <v>45838</v>
      </c>
      <c r="AE4" s="3">
        <f t="shared" si="0"/>
        <v>45930</v>
      </c>
      <c r="AF4" s="3"/>
      <c r="AG4" s="154"/>
    </row>
    <row r="5" spans="2:33" ht="5.0999999999999996" customHeight="1">
      <c r="AG5" s="128"/>
    </row>
    <row r="6" spans="2:33" ht="12.75" customHeight="1">
      <c r="B6" s="9" t="str">
        <f>'Revenue Drivers'!B9</f>
        <v>Service</v>
      </c>
      <c r="C6" s="96"/>
      <c r="D6" s="96"/>
      <c r="E6" s="96"/>
      <c r="F6" s="10"/>
      <c r="G6" s="96"/>
      <c r="H6" s="96"/>
      <c r="I6" s="96"/>
      <c r="J6" s="96"/>
      <c r="K6" s="96"/>
      <c r="L6" s="96"/>
      <c r="M6" s="96"/>
      <c r="N6" s="96"/>
      <c r="O6" s="96"/>
      <c r="P6" s="96"/>
      <c r="Q6" s="96"/>
      <c r="R6" s="5"/>
      <c r="S6" s="10">
        <f>SUM(F6:F6)</f>
        <v>0</v>
      </c>
      <c r="T6" s="10" t="e">
        <f>SUM(#REF!)</f>
        <v>#REF!</v>
      </c>
      <c r="U6" s="10">
        <f>SUM(G6:G6)</f>
        <v>0</v>
      </c>
      <c r="V6" s="10">
        <f>SUM(G6:H6)</f>
        <v>0</v>
      </c>
      <c r="W6" s="10">
        <f>SUM(G6:I6)</f>
        <v>0</v>
      </c>
      <c r="X6" s="10">
        <f t="shared" ref="X6:AE6" si="1">SUM(G6:J6)</f>
        <v>0</v>
      </c>
      <c r="Y6" s="10">
        <f t="shared" si="1"/>
        <v>0</v>
      </c>
      <c r="Z6" s="10">
        <f t="shared" si="1"/>
        <v>0</v>
      </c>
      <c r="AA6" s="146">
        <f t="shared" si="1"/>
        <v>0</v>
      </c>
      <c r="AB6" s="146">
        <f t="shared" si="1"/>
        <v>0</v>
      </c>
      <c r="AC6" s="146">
        <f t="shared" si="1"/>
        <v>0</v>
      </c>
      <c r="AD6" s="146">
        <f t="shared" si="1"/>
        <v>0</v>
      </c>
      <c r="AE6" s="146">
        <f t="shared" si="1"/>
        <v>0</v>
      </c>
      <c r="AG6" s="129" t="e">
        <f t="shared" ref="AG6:AG8" si="2">SUM(AE6/AA6)-1</f>
        <v>#DIV/0!</v>
      </c>
    </row>
    <row r="7" spans="2:33" ht="12.75" customHeight="1">
      <c r="B7" s="9" t="str">
        <f>'Revenue Drivers'!B10</f>
        <v>Equipment</v>
      </c>
      <c r="C7" s="96"/>
      <c r="D7" s="96"/>
      <c r="E7" s="96"/>
      <c r="F7" s="10"/>
      <c r="G7" s="96"/>
      <c r="H7" s="96"/>
      <c r="I7" s="96"/>
      <c r="J7" s="96"/>
      <c r="K7" s="96"/>
      <c r="L7" s="96"/>
      <c r="M7" s="96"/>
      <c r="N7" s="96"/>
      <c r="O7" s="96"/>
      <c r="P7" s="96"/>
      <c r="Q7" s="96"/>
      <c r="R7" s="5"/>
      <c r="S7" s="10"/>
      <c r="T7" s="10"/>
      <c r="U7" s="10"/>
      <c r="V7" s="10"/>
      <c r="W7" s="10"/>
      <c r="X7" s="10"/>
      <c r="Y7" s="10"/>
      <c r="Z7" s="10"/>
      <c r="AA7" s="146">
        <f t="shared" ref="AA7:AE7" si="3">SUM(J7:M7)</f>
        <v>0</v>
      </c>
      <c r="AB7" s="146">
        <f t="shared" si="3"/>
        <v>0</v>
      </c>
      <c r="AC7" s="146">
        <f t="shared" si="3"/>
        <v>0</v>
      </c>
      <c r="AD7" s="146">
        <f t="shared" si="3"/>
        <v>0</v>
      </c>
      <c r="AE7" s="146">
        <f t="shared" si="3"/>
        <v>0</v>
      </c>
      <c r="AG7" s="129" t="e">
        <f t="shared" si="2"/>
        <v>#DIV/0!</v>
      </c>
    </row>
    <row r="8" spans="2:33" ht="12.75" customHeight="1">
      <c r="B8" s="13" t="s">
        <v>12</v>
      </c>
      <c r="C8" s="14">
        <f>SUM(C6:C7)</f>
        <v>0</v>
      </c>
      <c r="D8" s="14">
        <f>SUM(D6:D7)</f>
        <v>0</v>
      </c>
      <c r="E8" s="14">
        <f>SUM(E6:E7)</f>
        <v>0</v>
      </c>
      <c r="F8" s="10"/>
      <c r="G8" s="14">
        <f>SUM(G6:G7)</f>
        <v>0</v>
      </c>
      <c r="H8" s="14">
        <f>SUM(H6:H7)</f>
        <v>0</v>
      </c>
      <c r="I8" s="14">
        <f>SUM(I6:I7)</f>
        <v>0</v>
      </c>
      <c r="J8" s="14">
        <f>SUM(J6:J7)</f>
        <v>0</v>
      </c>
      <c r="K8" s="14">
        <f>SUM(K6:K7)</f>
        <v>0</v>
      </c>
      <c r="L8" s="14">
        <f>SUM(L6:L7)</f>
        <v>0</v>
      </c>
      <c r="M8" s="14">
        <f>SUM(M6:M7)</f>
        <v>0</v>
      </c>
      <c r="N8" s="14">
        <f>SUM(N6:N7)</f>
        <v>0</v>
      </c>
      <c r="O8" s="14">
        <f>SUM(O6:O7)</f>
        <v>0</v>
      </c>
      <c r="P8" s="14">
        <f>SUM(P6:P7)</f>
        <v>0</v>
      </c>
      <c r="Q8" s="14">
        <f>SUM(Q6:Q7)</f>
        <v>0</v>
      </c>
      <c r="R8" s="5"/>
      <c r="S8" s="14">
        <f>SUM(S6:S7)</f>
        <v>0</v>
      </c>
      <c r="T8" s="14" t="e">
        <f>SUM(T6:T7)</f>
        <v>#REF!</v>
      </c>
      <c r="U8" s="14">
        <f>SUM(U6:U7)</f>
        <v>0</v>
      </c>
      <c r="V8" s="14">
        <f>SUM(V6:V7)</f>
        <v>0</v>
      </c>
      <c r="W8" s="14">
        <f>SUM(W6:W7)</f>
        <v>0</v>
      </c>
      <c r="X8" s="14">
        <f>SUM(X6:X7)</f>
        <v>0</v>
      </c>
      <c r="Y8" s="14">
        <f>SUM(Y6:Y7)</f>
        <v>0</v>
      </c>
      <c r="Z8" s="14">
        <f>SUM(Z6:Z7)</f>
        <v>0</v>
      </c>
      <c r="AA8" s="14">
        <f>SUM(AA6:AA7)</f>
        <v>0</v>
      </c>
      <c r="AB8" s="14">
        <f>SUM(AB6:AB7)</f>
        <v>0</v>
      </c>
      <c r="AC8" s="14">
        <f>SUM(AC6:AC7)</f>
        <v>0</v>
      </c>
      <c r="AD8" s="14">
        <f>SUM(AD6:AD7)</f>
        <v>0</v>
      </c>
      <c r="AE8" s="14">
        <f>SUM(AE6:AE7)</f>
        <v>0</v>
      </c>
      <c r="AG8" s="130" t="e">
        <f t="shared" si="2"/>
        <v>#DIV/0!</v>
      </c>
    </row>
    <row r="9" spans="2:33" ht="12.75" customHeight="1">
      <c r="B9" s="16" t="s">
        <v>27</v>
      </c>
      <c r="C9" s="18" t="e">
        <f>SUM(C8/#REF!)-1</f>
        <v>#REF!</v>
      </c>
      <c r="D9" s="18" t="e">
        <f>SUM(D8/C8)-1</f>
        <v>#DIV/0!</v>
      </c>
      <c r="E9" s="18" t="e">
        <f>SUM(E8/D8)-1</f>
        <v>#DIV/0!</v>
      </c>
      <c r="F9" s="11"/>
      <c r="G9" s="17"/>
      <c r="H9" s="17"/>
      <c r="I9" s="17"/>
      <c r="J9" s="17"/>
      <c r="K9" s="18" t="e">
        <f t="shared" ref="K9:Q9" si="4">SUM(K8/G8)-1</f>
        <v>#DIV/0!</v>
      </c>
      <c r="L9" s="18" t="e">
        <f t="shared" si="4"/>
        <v>#DIV/0!</v>
      </c>
      <c r="M9" s="18" t="e">
        <f t="shared" si="4"/>
        <v>#DIV/0!</v>
      </c>
      <c r="N9" s="18" t="e">
        <f t="shared" si="4"/>
        <v>#DIV/0!</v>
      </c>
      <c r="O9" s="18" t="e">
        <f t="shared" si="4"/>
        <v>#DIV/0!</v>
      </c>
      <c r="P9" s="18" t="e">
        <f t="shared" si="4"/>
        <v>#DIV/0!</v>
      </c>
      <c r="Q9" s="18" t="e">
        <f t="shared" si="4"/>
        <v>#DIV/0!</v>
      </c>
      <c r="R9" s="5"/>
      <c r="S9" s="117"/>
      <c r="T9" s="117"/>
      <c r="U9" s="117"/>
      <c r="V9" s="117"/>
      <c r="W9" s="18" t="e">
        <f t="shared" ref="W9:AE9" si="5">SUM(W8/S8)-1</f>
        <v>#DIV/0!</v>
      </c>
      <c r="X9" s="18" t="e">
        <f t="shared" si="5"/>
        <v>#REF!</v>
      </c>
      <c r="Y9" s="18" t="e">
        <f t="shared" si="5"/>
        <v>#DIV/0!</v>
      </c>
      <c r="Z9" s="18" t="e">
        <f t="shared" si="5"/>
        <v>#DIV/0!</v>
      </c>
      <c r="AA9" s="18" t="e">
        <f t="shared" si="5"/>
        <v>#DIV/0!</v>
      </c>
      <c r="AB9" s="18" t="e">
        <f t="shared" si="5"/>
        <v>#DIV/0!</v>
      </c>
      <c r="AC9" s="18" t="e">
        <f t="shared" si="5"/>
        <v>#DIV/0!</v>
      </c>
      <c r="AD9" s="18" t="e">
        <f t="shared" si="5"/>
        <v>#DIV/0!</v>
      </c>
      <c r="AE9" s="18" t="e">
        <f t="shared" si="5"/>
        <v>#DIV/0!</v>
      </c>
      <c r="AG9" s="131" t="e">
        <f>SUM(AE9-AA9)*10000</f>
        <v>#DIV/0!</v>
      </c>
    </row>
    <row r="10" spans="2:33" ht="12.75" customHeight="1">
      <c r="B10" s="16" t="s">
        <v>28</v>
      </c>
      <c r="C10" s="18" t="s">
        <v>29</v>
      </c>
      <c r="D10" s="18" t="s">
        <v>29</v>
      </c>
      <c r="E10" s="18" t="s">
        <v>29</v>
      </c>
      <c r="F10" s="11"/>
      <c r="G10" s="18" t="e">
        <f>SUM(G8/#REF!)-1</f>
        <v>#REF!</v>
      </c>
      <c r="H10" s="18" t="e">
        <f t="shared" ref="H10:Q10" si="6">SUM(H8/G8)-1</f>
        <v>#DIV/0!</v>
      </c>
      <c r="I10" s="18" t="e">
        <f t="shared" si="6"/>
        <v>#DIV/0!</v>
      </c>
      <c r="J10" s="18" t="e">
        <f t="shared" si="6"/>
        <v>#DIV/0!</v>
      </c>
      <c r="K10" s="18" t="e">
        <f t="shared" si="6"/>
        <v>#DIV/0!</v>
      </c>
      <c r="L10" s="18" t="e">
        <f t="shared" si="6"/>
        <v>#DIV/0!</v>
      </c>
      <c r="M10" s="18" t="e">
        <f t="shared" si="6"/>
        <v>#DIV/0!</v>
      </c>
      <c r="N10" s="18" t="e">
        <f t="shared" si="6"/>
        <v>#DIV/0!</v>
      </c>
      <c r="O10" s="18" t="e">
        <f t="shared" si="6"/>
        <v>#DIV/0!</v>
      </c>
      <c r="P10" s="18" t="e">
        <f t="shared" si="6"/>
        <v>#DIV/0!</v>
      </c>
      <c r="Q10" s="18" t="e">
        <f t="shared" si="6"/>
        <v>#DIV/0!</v>
      </c>
      <c r="R10" s="5"/>
      <c r="S10" s="18" t="s">
        <v>29</v>
      </c>
      <c r="T10" s="18" t="s">
        <v>29</v>
      </c>
      <c r="U10" s="18" t="s">
        <v>29</v>
      </c>
      <c r="V10" s="18" t="s">
        <v>29</v>
      </c>
      <c r="W10" s="18" t="s">
        <v>29</v>
      </c>
      <c r="X10" s="18" t="s">
        <v>29</v>
      </c>
      <c r="Y10" s="18" t="s">
        <v>29</v>
      </c>
      <c r="Z10" s="18" t="s">
        <v>29</v>
      </c>
      <c r="AA10" s="18" t="s">
        <v>29</v>
      </c>
      <c r="AB10" s="18" t="s">
        <v>29</v>
      </c>
      <c r="AC10" s="18" t="s">
        <v>29</v>
      </c>
      <c r="AD10" s="18" t="s">
        <v>29</v>
      </c>
      <c r="AE10" s="18" t="s">
        <v>29</v>
      </c>
      <c r="AG10" s="128"/>
    </row>
    <row r="11" spans="2:33" ht="5.0999999999999996" customHeight="1">
      <c r="B11" s="19"/>
      <c r="C11" s="20"/>
      <c r="D11" s="20"/>
      <c r="E11" s="20"/>
      <c r="F11" s="21"/>
      <c r="G11" s="22"/>
      <c r="H11" s="22"/>
      <c r="I11" s="22"/>
      <c r="J11" s="23"/>
      <c r="K11" s="22"/>
      <c r="L11" s="22"/>
      <c r="M11" s="22"/>
      <c r="N11" s="22"/>
      <c r="O11" s="22"/>
      <c r="P11" s="22"/>
      <c r="Q11" s="22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G11" s="128"/>
    </row>
    <row r="12" spans="2:33" ht="12.75" customHeight="1">
      <c r="B12" s="24" t="s">
        <v>111</v>
      </c>
      <c r="C12" s="96"/>
      <c r="D12" s="96"/>
      <c r="E12" s="96"/>
      <c r="F12" s="10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5"/>
      <c r="S12" s="10">
        <f>SUM(F12:F12)</f>
        <v>0</v>
      </c>
      <c r="T12" s="10" t="e">
        <f>SUM(#REF!)</f>
        <v>#REF!</v>
      </c>
      <c r="U12" s="10">
        <f>SUM(G12:G12)</f>
        <v>0</v>
      </c>
      <c r="V12" s="10">
        <f>SUM(G12:H12)</f>
        <v>0</v>
      </c>
      <c r="W12" s="10">
        <f>SUM(G12:I12)</f>
        <v>0</v>
      </c>
      <c r="X12" s="10">
        <f t="shared" ref="X12:AE12" si="7">SUM(G12:J12)</f>
        <v>0</v>
      </c>
      <c r="Y12" s="10">
        <f t="shared" si="7"/>
        <v>0</v>
      </c>
      <c r="Z12" s="10">
        <f t="shared" si="7"/>
        <v>0</v>
      </c>
      <c r="AA12" s="146">
        <f t="shared" si="7"/>
        <v>0</v>
      </c>
      <c r="AB12" s="146">
        <f t="shared" si="7"/>
        <v>0</v>
      </c>
      <c r="AC12" s="146">
        <f t="shared" si="7"/>
        <v>0</v>
      </c>
      <c r="AD12" s="146">
        <f t="shared" si="7"/>
        <v>0</v>
      </c>
      <c r="AE12" s="146">
        <f t="shared" si="7"/>
        <v>0</v>
      </c>
      <c r="AG12" s="129" t="e">
        <f>SUM(AE12/AA12)-1</f>
        <v>#DIV/0!</v>
      </c>
    </row>
    <row r="13" spans="2:33" ht="12.75" customHeight="1">
      <c r="B13" s="24" t="s">
        <v>112</v>
      </c>
      <c r="C13" s="96"/>
      <c r="D13" s="96"/>
      <c r="E13" s="96"/>
      <c r="F13" s="10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5"/>
      <c r="S13" s="10"/>
      <c r="T13" s="10"/>
      <c r="U13" s="10"/>
      <c r="V13" s="10"/>
      <c r="W13" s="10"/>
      <c r="X13" s="10"/>
      <c r="Y13" s="10"/>
      <c r="Z13" s="10"/>
      <c r="AA13" s="146">
        <f t="shared" ref="AA13" si="8">SUM(J13:M13)</f>
        <v>0</v>
      </c>
      <c r="AB13" s="146">
        <f t="shared" ref="AB13" si="9">SUM(K13:N13)</f>
        <v>0</v>
      </c>
      <c r="AC13" s="146">
        <f t="shared" ref="AC13" si="10">SUM(L13:O13)</f>
        <v>0</v>
      </c>
      <c r="AD13" s="146">
        <f t="shared" ref="AD13" si="11">SUM(M13:P13)</f>
        <v>0</v>
      </c>
      <c r="AE13" s="146">
        <f t="shared" ref="AE13" si="12">SUM(N13:Q13)</f>
        <v>0</v>
      </c>
      <c r="AG13" s="129"/>
    </row>
    <row r="14" spans="2:33" ht="12.75" customHeight="1">
      <c r="B14" s="26" t="s">
        <v>21</v>
      </c>
      <c r="C14" s="27">
        <f t="shared" ref="C14:E14" si="13">SUM(C8+SUM(C12:C13))</f>
        <v>0</v>
      </c>
      <c r="D14" s="27">
        <f t="shared" si="13"/>
        <v>0</v>
      </c>
      <c r="E14" s="27">
        <f t="shared" si="13"/>
        <v>0</v>
      </c>
      <c r="F14" s="5"/>
      <c r="G14" s="27">
        <f t="shared" ref="G14" si="14">SUM(G8+SUM(G12:G13))</f>
        <v>0</v>
      </c>
      <c r="H14" s="27">
        <f t="shared" ref="H14" si="15">SUM(H8+SUM(H12:H13))</f>
        <v>0</v>
      </c>
      <c r="I14" s="27">
        <f t="shared" ref="I14" si="16">SUM(I8+SUM(I12:I13))</f>
        <v>0</v>
      </c>
      <c r="J14" s="27">
        <f t="shared" ref="J14" si="17">SUM(J8+SUM(J12:J13))</f>
        <v>0</v>
      </c>
      <c r="K14" s="27">
        <f t="shared" ref="K14" si="18">SUM(K8+SUM(K12:K13))</f>
        <v>0</v>
      </c>
      <c r="L14" s="27">
        <f t="shared" ref="L14" si="19">SUM(L8+SUM(L12:L13))</f>
        <v>0</v>
      </c>
      <c r="M14" s="27">
        <f t="shared" ref="M14" si="20">SUM(M8+SUM(M12:M13))</f>
        <v>0</v>
      </c>
      <c r="N14" s="27">
        <f t="shared" ref="N14" si="21">SUM(N8+SUM(N12:N13))</f>
        <v>0</v>
      </c>
      <c r="O14" s="27">
        <f t="shared" ref="O14" si="22">SUM(O8+SUM(O12:O13))</f>
        <v>0</v>
      </c>
      <c r="P14" s="27">
        <f t="shared" ref="P14" si="23">SUM(P8+SUM(P12:P13))</f>
        <v>0</v>
      </c>
      <c r="Q14" s="27">
        <f t="shared" ref="Q14" si="24">SUM(Q8+SUM(Q12:Q13))</f>
        <v>0</v>
      </c>
      <c r="R14" s="5"/>
      <c r="S14" s="27">
        <f t="shared" ref="S14" si="25">SUM(S8+SUM(S12:S13))</f>
        <v>0</v>
      </c>
      <c r="T14" s="27" t="e">
        <f t="shared" ref="T14" si="26">SUM(T8+SUM(T12:T13))</f>
        <v>#REF!</v>
      </c>
      <c r="U14" s="27">
        <f t="shared" ref="U14" si="27">SUM(U8+SUM(U12:U13))</f>
        <v>0</v>
      </c>
      <c r="V14" s="27">
        <f t="shared" ref="V14" si="28">SUM(V8+SUM(V12:V13))</f>
        <v>0</v>
      </c>
      <c r="W14" s="27">
        <f t="shared" ref="W14" si="29">SUM(W8+SUM(W12:W13))</f>
        <v>0</v>
      </c>
      <c r="X14" s="27">
        <f t="shared" ref="X14" si="30">SUM(X8+SUM(X12:X13))</f>
        <v>0</v>
      </c>
      <c r="Y14" s="27">
        <f t="shared" ref="Y14" si="31">SUM(Y8+SUM(Y12:Y13))</f>
        <v>0</v>
      </c>
      <c r="Z14" s="27">
        <f t="shared" ref="Z14" si="32">SUM(Z8+SUM(Z12:Z13))</f>
        <v>0</v>
      </c>
      <c r="AA14" s="27">
        <f t="shared" ref="AA14" si="33">SUM(AA8+SUM(AA12:AA13))</f>
        <v>0</v>
      </c>
      <c r="AB14" s="27">
        <f t="shared" ref="AB14" si="34">SUM(AB8+SUM(AB12:AB13))</f>
        <v>0</v>
      </c>
      <c r="AC14" s="27">
        <f t="shared" ref="AC14" si="35">SUM(AC8+SUM(AC12:AC13))</f>
        <v>0</v>
      </c>
      <c r="AD14" s="27">
        <f t="shared" ref="AD14" si="36">SUM(AD8+SUM(AD12:AD13))</f>
        <v>0</v>
      </c>
      <c r="AE14" s="27">
        <f t="shared" ref="AE14" si="37">SUM(AE8+SUM(AE12:AE13))</f>
        <v>0</v>
      </c>
      <c r="AG14" s="130" t="e">
        <f>SUM(AE14/AA14)-1</f>
        <v>#DIV/0!</v>
      </c>
    </row>
    <row r="15" spans="2:33" ht="12.75" customHeight="1">
      <c r="B15" s="16" t="s">
        <v>30</v>
      </c>
      <c r="C15" s="18" t="e">
        <f>C14/C8</f>
        <v>#DIV/0!</v>
      </c>
      <c r="D15" s="18" t="e">
        <f>D14/D8</f>
        <v>#DIV/0!</v>
      </c>
      <c r="E15" s="18" t="e">
        <f>E14/E8</f>
        <v>#DIV/0!</v>
      </c>
      <c r="F15" s="28"/>
      <c r="G15" s="18" t="e">
        <f t="shared" ref="G15:P15" si="38">G14/G8</f>
        <v>#DIV/0!</v>
      </c>
      <c r="H15" s="18" t="e">
        <f t="shared" si="38"/>
        <v>#DIV/0!</v>
      </c>
      <c r="I15" s="18" t="e">
        <f t="shared" si="38"/>
        <v>#DIV/0!</v>
      </c>
      <c r="J15" s="18" t="e">
        <f t="shared" si="38"/>
        <v>#DIV/0!</v>
      </c>
      <c r="K15" s="18" t="e">
        <f t="shared" si="38"/>
        <v>#DIV/0!</v>
      </c>
      <c r="L15" s="18" t="e">
        <f t="shared" si="38"/>
        <v>#DIV/0!</v>
      </c>
      <c r="M15" s="18" t="e">
        <f t="shared" si="38"/>
        <v>#DIV/0!</v>
      </c>
      <c r="N15" s="18" t="e">
        <f t="shared" si="38"/>
        <v>#DIV/0!</v>
      </c>
      <c r="O15" s="18" t="e">
        <f t="shared" si="38"/>
        <v>#DIV/0!</v>
      </c>
      <c r="P15" s="18" t="e">
        <f t="shared" si="38"/>
        <v>#DIV/0!</v>
      </c>
      <c r="Q15" s="18" t="e">
        <f>Q14/Q8</f>
        <v>#DIV/0!</v>
      </c>
      <c r="R15" s="29"/>
      <c r="S15" s="18" t="e">
        <f t="shared" ref="S15:AC15" si="39">S14/S8</f>
        <v>#DIV/0!</v>
      </c>
      <c r="T15" s="18" t="e">
        <f t="shared" si="39"/>
        <v>#REF!</v>
      </c>
      <c r="U15" s="18" t="e">
        <f t="shared" si="39"/>
        <v>#DIV/0!</v>
      </c>
      <c r="V15" s="18" t="e">
        <f t="shared" si="39"/>
        <v>#DIV/0!</v>
      </c>
      <c r="W15" s="18" t="e">
        <f t="shared" si="39"/>
        <v>#DIV/0!</v>
      </c>
      <c r="X15" s="18" t="e">
        <f t="shared" si="39"/>
        <v>#DIV/0!</v>
      </c>
      <c r="Y15" s="18" t="e">
        <f t="shared" si="39"/>
        <v>#DIV/0!</v>
      </c>
      <c r="Z15" s="18" t="e">
        <f t="shared" si="39"/>
        <v>#DIV/0!</v>
      </c>
      <c r="AA15" s="18" t="e">
        <f t="shared" si="39"/>
        <v>#DIV/0!</v>
      </c>
      <c r="AB15" s="18" t="e">
        <f t="shared" si="39"/>
        <v>#DIV/0!</v>
      </c>
      <c r="AC15" s="18" t="e">
        <f t="shared" si="39"/>
        <v>#DIV/0!</v>
      </c>
      <c r="AD15" s="18" t="e">
        <f>AD14/AD8</f>
        <v>#DIV/0!</v>
      </c>
      <c r="AE15" s="18" t="e">
        <f>AE14/AE8</f>
        <v>#DIV/0!</v>
      </c>
      <c r="AG15" s="131" t="e">
        <f>SUM(AE15-AA15)*10000</f>
        <v>#DIV/0!</v>
      </c>
    </row>
    <row r="16" spans="2:33" ht="5.0999999999999996" customHeight="1">
      <c r="B16" s="30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5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G16" s="128"/>
    </row>
    <row r="17" spans="2:33" ht="12.75" customHeight="1">
      <c r="B17" s="24" t="s">
        <v>113</v>
      </c>
      <c r="C17" s="145"/>
      <c r="D17" s="145"/>
      <c r="E17" s="145"/>
      <c r="F17" s="96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5"/>
      <c r="S17" s="10">
        <f>SUM(F17:F17)</f>
        <v>0</v>
      </c>
      <c r="T17" s="10" t="e">
        <f>SUM(#REF!)</f>
        <v>#REF!</v>
      </c>
      <c r="U17" s="10">
        <f>SUM(G17:G17)</f>
        <v>0</v>
      </c>
      <c r="V17" s="10">
        <f>SUM(G17:H17)</f>
        <v>0</v>
      </c>
      <c r="W17" s="10">
        <f>SUM(G17:I17)</f>
        <v>0</v>
      </c>
      <c r="X17" s="10">
        <f t="shared" ref="X17:AE19" si="40">SUM(G17:J17)</f>
        <v>0</v>
      </c>
      <c r="Y17" s="10">
        <f t="shared" si="40"/>
        <v>0</v>
      </c>
      <c r="Z17" s="10">
        <f t="shared" si="40"/>
        <v>0</v>
      </c>
      <c r="AA17" s="146">
        <f t="shared" si="40"/>
        <v>0</v>
      </c>
      <c r="AB17" s="146">
        <f t="shared" si="40"/>
        <v>0</v>
      </c>
      <c r="AC17" s="146">
        <f t="shared" si="40"/>
        <v>0</v>
      </c>
      <c r="AD17" s="146">
        <f t="shared" si="40"/>
        <v>0</v>
      </c>
      <c r="AE17" s="146">
        <f t="shared" si="40"/>
        <v>0</v>
      </c>
      <c r="AG17" s="129" t="e">
        <f>SUM(AE17/AA17)-1</f>
        <v>#DIV/0!</v>
      </c>
    </row>
    <row r="18" spans="2:33" ht="12.75" customHeight="1">
      <c r="B18" s="24" t="s">
        <v>114</v>
      </c>
      <c r="C18" s="145"/>
      <c r="D18" s="145"/>
      <c r="E18" s="145"/>
      <c r="F18" s="96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5"/>
      <c r="S18" s="10">
        <f>SUM(F18:F18)</f>
        <v>0</v>
      </c>
      <c r="T18" s="10" t="e">
        <f>SUM(#REF!)</f>
        <v>#REF!</v>
      </c>
      <c r="U18" s="10">
        <f>SUM(G18:G18)</f>
        <v>0</v>
      </c>
      <c r="V18" s="10">
        <f>SUM(G18:H18)</f>
        <v>0</v>
      </c>
      <c r="W18" s="10">
        <f>SUM(G18:I18)</f>
        <v>0</v>
      </c>
      <c r="X18" s="10">
        <f t="shared" si="40"/>
        <v>0</v>
      </c>
      <c r="Y18" s="10">
        <f t="shared" si="40"/>
        <v>0</v>
      </c>
      <c r="Z18" s="10">
        <f t="shared" si="40"/>
        <v>0</v>
      </c>
      <c r="AA18" s="146">
        <f t="shared" si="40"/>
        <v>0</v>
      </c>
      <c r="AB18" s="146">
        <f t="shared" si="40"/>
        <v>0</v>
      </c>
      <c r="AC18" s="146">
        <f t="shared" si="40"/>
        <v>0</v>
      </c>
      <c r="AD18" s="146">
        <f t="shared" si="40"/>
        <v>0</v>
      </c>
      <c r="AE18" s="146">
        <f t="shared" si="40"/>
        <v>0</v>
      </c>
      <c r="AG18" s="129" t="e">
        <f>SUM(AE18/AA18)-1</f>
        <v>#DIV/0!</v>
      </c>
    </row>
    <row r="19" spans="2:33" ht="12.75" customHeight="1">
      <c r="B19" s="24" t="s">
        <v>96</v>
      </c>
      <c r="C19" s="145"/>
      <c r="D19" s="145"/>
      <c r="E19" s="145"/>
      <c r="F19" s="96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5"/>
      <c r="S19" s="10">
        <f>SUM(F19:F19)</f>
        <v>0</v>
      </c>
      <c r="T19" s="10" t="e">
        <f>SUM(#REF!)</f>
        <v>#REF!</v>
      </c>
      <c r="U19" s="10">
        <f>SUM(G19:G19)</f>
        <v>0</v>
      </c>
      <c r="V19" s="10">
        <f>SUM(G19:H19)</f>
        <v>0</v>
      </c>
      <c r="W19" s="10">
        <f>SUM(G19:I19)</f>
        <v>0</v>
      </c>
      <c r="X19" s="10">
        <f t="shared" si="40"/>
        <v>0</v>
      </c>
      <c r="Y19" s="10">
        <f t="shared" si="40"/>
        <v>0</v>
      </c>
      <c r="Z19" s="10">
        <f t="shared" si="40"/>
        <v>0</v>
      </c>
      <c r="AA19" s="146">
        <f t="shared" si="40"/>
        <v>0</v>
      </c>
      <c r="AB19" s="146">
        <f t="shared" si="40"/>
        <v>0</v>
      </c>
      <c r="AC19" s="146">
        <f t="shared" si="40"/>
        <v>0</v>
      </c>
      <c r="AD19" s="146">
        <f t="shared" si="40"/>
        <v>0</v>
      </c>
      <c r="AE19" s="146">
        <f t="shared" si="40"/>
        <v>0</v>
      </c>
      <c r="AG19" s="129" t="e">
        <f>SUM(AE19/AA19)-1</f>
        <v>#DIV/0!</v>
      </c>
    </row>
    <row r="20" spans="2:33" ht="12.75" customHeight="1">
      <c r="B20" s="13" t="s">
        <v>31</v>
      </c>
      <c r="C20" s="14">
        <f>SUM(C14+SUM(C17:C19))</f>
        <v>0</v>
      </c>
      <c r="D20" s="14">
        <f>SUM(D14+SUM(D17:D19))</f>
        <v>0</v>
      </c>
      <c r="E20" s="14">
        <f>SUM(E14+SUM(E17:E19))</f>
        <v>0</v>
      </c>
      <c r="F20" s="11"/>
      <c r="G20" s="14">
        <f t="shared" ref="G20:Q20" si="41">SUM(G14+SUM(G17:G19))</f>
        <v>0</v>
      </c>
      <c r="H20" s="14">
        <f t="shared" si="41"/>
        <v>0</v>
      </c>
      <c r="I20" s="14">
        <f t="shared" si="41"/>
        <v>0</v>
      </c>
      <c r="J20" s="14">
        <f t="shared" si="41"/>
        <v>0</v>
      </c>
      <c r="K20" s="14">
        <f t="shared" si="41"/>
        <v>0</v>
      </c>
      <c r="L20" s="14">
        <f t="shared" si="41"/>
        <v>0</v>
      </c>
      <c r="M20" s="14">
        <f t="shared" si="41"/>
        <v>0</v>
      </c>
      <c r="N20" s="14">
        <f t="shared" si="41"/>
        <v>0</v>
      </c>
      <c r="O20" s="14">
        <f t="shared" si="41"/>
        <v>0</v>
      </c>
      <c r="P20" s="14">
        <f t="shared" si="41"/>
        <v>0</v>
      </c>
      <c r="Q20" s="14">
        <f t="shared" si="41"/>
        <v>0</v>
      </c>
      <c r="R20" s="5"/>
      <c r="S20" s="14">
        <f t="shared" ref="S20:AE20" si="42">SUM(S14+SUM(S17:S19))</f>
        <v>0</v>
      </c>
      <c r="T20" s="14" t="e">
        <f t="shared" si="42"/>
        <v>#REF!</v>
      </c>
      <c r="U20" s="14">
        <f t="shared" si="42"/>
        <v>0</v>
      </c>
      <c r="V20" s="14">
        <f t="shared" si="42"/>
        <v>0</v>
      </c>
      <c r="W20" s="14">
        <f t="shared" si="42"/>
        <v>0</v>
      </c>
      <c r="X20" s="14">
        <f t="shared" si="42"/>
        <v>0</v>
      </c>
      <c r="Y20" s="14">
        <f t="shared" si="42"/>
        <v>0</v>
      </c>
      <c r="Z20" s="14">
        <f t="shared" si="42"/>
        <v>0</v>
      </c>
      <c r="AA20" s="14">
        <f t="shared" si="42"/>
        <v>0</v>
      </c>
      <c r="AB20" s="14">
        <f t="shared" si="42"/>
        <v>0</v>
      </c>
      <c r="AC20" s="14">
        <f t="shared" si="42"/>
        <v>0</v>
      </c>
      <c r="AD20" s="14">
        <f t="shared" si="42"/>
        <v>0</v>
      </c>
      <c r="AE20" s="14">
        <f t="shared" si="42"/>
        <v>0</v>
      </c>
      <c r="AG20" s="130" t="e">
        <f>SUM(AE20/AA20)-1</f>
        <v>#DIV/0!</v>
      </c>
    </row>
    <row r="21" spans="2:33" ht="12.75" customHeight="1">
      <c r="B21" s="16" t="s">
        <v>32</v>
      </c>
      <c r="C21" s="18" t="e">
        <f>C20/C8</f>
        <v>#DIV/0!</v>
      </c>
      <c r="D21" s="18" t="e">
        <f>D20/D8</f>
        <v>#DIV/0!</v>
      </c>
      <c r="E21" s="18" t="e">
        <f>E20/E8</f>
        <v>#DIV/0!</v>
      </c>
      <c r="F21" s="28"/>
      <c r="G21" s="18" t="e">
        <f t="shared" ref="G21:Q21" si="43">G20/G8</f>
        <v>#DIV/0!</v>
      </c>
      <c r="H21" s="18" t="e">
        <f t="shared" si="43"/>
        <v>#DIV/0!</v>
      </c>
      <c r="I21" s="18" t="e">
        <f t="shared" si="43"/>
        <v>#DIV/0!</v>
      </c>
      <c r="J21" s="18" t="e">
        <f t="shared" si="43"/>
        <v>#DIV/0!</v>
      </c>
      <c r="K21" s="18" t="e">
        <f t="shared" si="43"/>
        <v>#DIV/0!</v>
      </c>
      <c r="L21" s="18" t="e">
        <f t="shared" si="43"/>
        <v>#DIV/0!</v>
      </c>
      <c r="M21" s="18" t="e">
        <f t="shared" si="43"/>
        <v>#DIV/0!</v>
      </c>
      <c r="N21" s="18" t="e">
        <f t="shared" si="43"/>
        <v>#DIV/0!</v>
      </c>
      <c r="O21" s="18" t="e">
        <f t="shared" si="43"/>
        <v>#DIV/0!</v>
      </c>
      <c r="P21" s="18" t="e">
        <f t="shared" si="43"/>
        <v>#DIV/0!</v>
      </c>
      <c r="Q21" s="18" t="e">
        <f t="shared" si="43"/>
        <v>#DIV/0!</v>
      </c>
      <c r="R21" s="29"/>
      <c r="S21" s="18" t="e">
        <f t="shared" ref="S21:AE21" si="44">S20/S8</f>
        <v>#DIV/0!</v>
      </c>
      <c r="T21" s="18" t="e">
        <f t="shared" si="44"/>
        <v>#REF!</v>
      </c>
      <c r="U21" s="18" t="e">
        <f t="shared" si="44"/>
        <v>#DIV/0!</v>
      </c>
      <c r="V21" s="18" t="e">
        <f t="shared" si="44"/>
        <v>#DIV/0!</v>
      </c>
      <c r="W21" s="18" t="e">
        <f t="shared" si="44"/>
        <v>#DIV/0!</v>
      </c>
      <c r="X21" s="18" t="e">
        <f t="shared" si="44"/>
        <v>#DIV/0!</v>
      </c>
      <c r="Y21" s="18" t="e">
        <f t="shared" si="44"/>
        <v>#DIV/0!</v>
      </c>
      <c r="Z21" s="18" t="e">
        <f t="shared" si="44"/>
        <v>#DIV/0!</v>
      </c>
      <c r="AA21" s="18" t="e">
        <f t="shared" si="44"/>
        <v>#DIV/0!</v>
      </c>
      <c r="AB21" s="18" t="e">
        <f t="shared" si="44"/>
        <v>#DIV/0!</v>
      </c>
      <c r="AC21" s="18" t="e">
        <f t="shared" si="44"/>
        <v>#DIV/0!</v>
      </c>
      <c r="AD21" s="18" t="e">
        <f t="shared" si="44"/>
        <v>#DIV/0!</v>
      </c>
      <c r="AE21" s="18" t="e">
        <f t="shared" si="44"/>
        <v>#DIV/0!</v>
      </c>
      <c r="AG21" s="131" t="e">
        <f>SUM(AE21-AA21)*10000</f>
        <v>#DIV/0!</v>
      </c>
    </row>
    <row r="22" spans="2:33" ht="5.0999999999999996" customHeight="1">
      <c r="AG22" s="128"/>
    </row>
    <row r="23" spans="2:33" ht="12.75" customHeight="1">
      <c r="B23" s="32" t="s">
        <v>115</v>
      </c>
      <c r="C23" s="145"/>
      <c r="D23" s="145"/>
      <c r="E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S23" s="10">
        <f>SUM(F23:F23)</f>
        <v>0</v>
      </c>
      <c r="T23" s="10" t="e">
        <f>SUM(#REF!)</f>
        <v>#REF!</v>
      </c>
      <c r="U23" s="10">
        <f>SUM(G23:G23)</f>
        <v>0</v>
      </c>
      <c r="V23" s="10">
        <f>SUM(G23:H23)</f>
        <v>0</v>
      </c>
      <c r="W23" s="10">
        <f>SUM(G23:I23)</f>
        <v>0</v>
      </c>
      <c r="X23" s="10">
        <f t="shared" ref="X23:AE23" si="45">SUM(G23:J23)</f>
        <v>0</v>
      </c>
      <c r="Y23" s="10">
        <f t="shared" si="45"/>
        <v>0</v>
      </c>
      <c r="Z23" s="10">
        <f t="shared" si="45"/>
        <v>0</v>
      </c>
      <c r="AA23" s="10">
        <f t="shared" si="45"/>
        <v>0</v>
      </c>
      <c r="AB23" s="10">
        <f t="shared" si="45"/>
        <v>0</v>
      </c>
      <c r="AC23" s="10">
        <f t="shared" si="45"/>
        <v>0</v>
      </c>
      <c r="AD23" s="10">
        <f t="shared" si="45"/>
        <v>0</v>
      </c>
      <c r="AE23" s="10">
        <f t="shared" si="45"/>
        <v>0</v>
      </c>
      <c r="AG23" s="129" t="e">
        <f>SUM(AE23/AA23)-1</f>
        <v>#DIV/0!</v>
      </c>
    </row>
    <row r="24" spans="2:33" ht="12.75" customHeight="1">
      <c r="B24" s="32" t="s">
        <v>116</v>
      </c>
      <c r="C24" s="147"/>
      <c r="D24" s="147"/>
      <c r="E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>
        <f t="shared" ref="C24:AE24" si="46">-S12</f>
        <v>0</v>
      </c>
      <c r="T24" s="147" t="e">
        <f t="shared" si="46"/>
        <v>#REF!</v>
      </c>
      <c r="U24" s="147">
        <f t="shared" si="46"/>
        <v>0</v>
      </c>
      <c r="V24" s="147">
        <f t="shared" si="46"/>
        <v>0</v>
      </c>
      <c r="W24" s="147">
        <f t="shared" si="46"/>
        <v>0</v>
      </c>
      <c r="X24" s="147">
        <f t="shared" si="46"/>
        <v>0</v>
      </c>
      <c r="Y24" s="147">
        <f t="shared" si="46"/>
        <v>0</v>
      </c>
      <c r="Z24" s="147">
        <f t="shared" si="46"/>
        <v>0</v>
      </c>
      <c r="AA24" s="147">
        <f t="shared" si="46"/>
        <v>0</v>
      </c>
      <c r="AB24" s="147">
        <f t="shared" si="46"/>
        <v>0</v>
      </c>
      <c r="AC24" s="147">
        <f t="shared" si="46"/>
        <v>0</v>
      </c>
      <c r="AD24" s="147">
        <f t="shared" si="46"/>
        <v>0</v>
      </c>
      <c r="AE24" s="147">
        <f t="shared" si="46"/>
        <v>0</v>
      </c>
      <c r="AG24" s="129"/>
    </row>
    <row r="25" spans="2:33" ht="12.75" customHeight="1">
      <c r="B25" s="26" t="s">
        <v>11</v>
      </c>
      <c r="C25" s="27">
        <f t="shared" ref="C25:E25" si="47">SUM(C20+SUM(C23:C24))</f>
        <v>0</v>
      </c>
      <c r="D25" s="27">
        <f t="shared" si="47"/>
        <v>0</v>
      </c>
      <c r="E25" s="27">
        <f t="shared" si="47"/>
        <v>0</v>
      </c>
      <c r="G25" s="27">
        <f t="shared" ref="G25" si="48">SUM(G20+SUM(G23:G24))</f>
        <v>0</v>
      </c>
      <c r="H25" s="27">
        <f t="shared" ref="H25" si="49">SUM(H20+SUM(H23:H24))</f>
        <v>0</v>
      </c>
      <c r="I25" s="27">
        <f t="shared" ref="I25" si="50">SUM(I20+SUM(I23:I24))</f>
        <v>0</v>
      </c>
      <c r="J25" s="27">
        <f t="shared" ref="J25" si="51">SUM(J20+SUM(J23:J24))</f>
        <v>0</v>
      </c>
      <c r="K25" s="27">
        <f t="shared" ref="K25" si="52">SUM(K20+SUM(K23:K24))</f>
        <v>0</v>
      </c>
      <c r="L25" s="27">
        <f t="shared" ref="L25" si="53">SUM(L20+SUM(L23:L24))</f>
        <v>0</v>
      </c>
      <c r="M25" s="27">
        <f t="shared" ref="M25" si="54">SUM(M20+SUM(M23:M24))</f>
        <v>0</v>
      </c>
      <c r="N25" s="27">
        <f t="shared" ref="N25" si="55">SUM(N20+SUM(N23:N24))</f>
        <v>0</v>
      </c>
      <c r="O25" s="27">
        <f t="shared" ref="O25" si="56">SUM(O20+SUM(O23:O24))</f>
        <v>0</v>
      </c>
      <c r="P25" s="27">
        <f t="shared" ref="P25" si="57">SUM(P20+SUM(P23:P24))</f>
        <v>0</v>
      </c>
      <c r="Q25" s="27">
        <f t="shared" ref="Q25" si="58">SUM(Q20+SUM(Q23:Q24))</f>
        <v>0</v>
      </c>
      <c r="S25" s="27">
        <f t="shared" ref="S25" si="59">SUM(S20+SUM(S23:S24))</f>
        <v>0</v>
      </c>
      <c r="T25" s="27" t="e">
        <f t="shared" ref="T25" si="60">SUM(T20+SUM(T23:T24))</f>
        <v>#REF!</v>
      </c>
      <c r="U25" s="27">
        <f t="shared" ref="U25" si="61">SUM(U20+SUM(U23:U24))</f>
        <v>0</v>
      </c>
      <c r="V25" s="27">
        <f t="shared" ref="V25" si="62">SUM(V20+SUM(V23:V24))</f>
        <v>0</v>
      </c>
      <c r="W25" s="27">
        <f t="shared" ref="W25" si="63">SUM(W20+SUM(W23:W24))</f>
        <v>0</v>
      </c>
      <c r="X25" s="27">
        <f t="shared" ref="X25" si="64">SUM(X20+SUM(X23:X24))</f>
        <v>0</v>
      </c>
      <c r="Y25" s="27">
        <f t="shared" ref="Y25" si="65">SUM(Y20+SUM(Y23:Y24))</f>
        <v>0</v>
      </c>
      <c r="Z25" s="27">
        <f t="shared" ref="Z25" si="66">SUM(Z20+SUM(Z23:Z24))</f>
        <v>0</v>
      </c>
      <c r="AA25" s="27">
        <f t="shared" ref="AA25" si="67">SUM(AA20+SUM(AA23:AA24))</f>
        <v>0</v>
      </c>
      <c r="AB25" s="27">
        <f t="shared" ref="AB25" si="68">SUM(AB20+SUM(AB23:AB24))</f>
        <v>0</v>
      </c>
      <c r="AC25" s="27">
        <f t="shared" ref="AC25" si="69">SUM(AC20+SUM(AC23:AC24))</f>
        <v>0</v>
      </c>
      <c r="AD25" s="27">
        <f t="shared" ref="AD25" si="70">SUM(AD20+SUM(AD23:AD24))</f>
        <v>0</v>
      </c>
      <c r="AE25" s="27">
        <f t="shared" ref="AE25" si="71">SUM(AE20+SUM(AE23:AE24))</f>
        <v>0</v>
      </c>
      <c r="AG25" s="130" t="e">
        <f>SUM(AE25/AA25)-1</f>
        <v>#DIV/0!</v>
      </c>
    </row>
    <row r="26" spans="2:33" ht="12.75" customHeight="1">
      <c r="B26" s="16" t="s">
        <v>33</v>
      </c>
      <c r="C26" s="18" t="e">
        <f>C25/C8</f>
        <v>#DIV/0!</v>
      </c>
      <c r="D26" s="18" t="e">
        <f>D25/D8</f>
        <v>#DIV/0!</v>
      </c>
      <c r="E26" s="18" t="e">
        <f>E25/E8</f>
        <v>#DIV/0!</v>
      </c>
      <c r="G26" s="18" t="e">
        <f t="shared" ref="G26:Q26" si="72">G25/G8</f>
        <v>#DIV/0!</v>
      </c>
      <c r="H26" s="18" t="e">
        <f t="shared" si="72"/>
        <v>#DIV/0!</v>
      </c>
      <c r="I26" s="18" t="e">
        <f t="shared" si="72"/>
        <v>#DIV/0!</v>
      </c>
      <c r="J26" s="18" t="e">
        <f t="shared" si="72"/>
        <v>#DIV/0!</v>
      </c>
      <c r="K26" s="18" t="e">
        <f t="shared" si="72"/>
        <v>#DIV/0!</v>
      </c>
      <c r="L26" s="18" t="e">
        <f t="shared" si="72"/>
        <v>#DIV/0!</v>
      </c>
      <c r="M26" s="18" t="e">
        <f t="shared" si="72"/>
        <v>#DIV/0!</v>
      </c>
      <c r="N26" s="18" t="e">
        <f t="shared" si="72"/>
        <v>#DIV/0!</v>
      </c>
      <c r="O26" s="18" t="e">
        <f t="shared" si="72"/>
        <v>#DIV/0!</v>
      </c>
      <c r="P26" s="18" t="e">
        <f t="shared" si="72"/>
        <v>#DIV/0!</v>
      </c>
      <c r="Q26" s="18" t="e">
        <f t="shared" si="72"/>
        <v>#DIV/0!</v>
      </c>
      <c r="S26" s="18" t="e">
        <f t="shared" ref="S26:AE26" si="73">S25/S8</f>
        <v>#DIV/0!</v>
      </c>
      <c r="T26" s="18" t="e">
        <f t="shared" si="73"/>
        <v>#REF!</v>
      </c>
      <c r="U26" s="18" t="e">
        <f t="shared" si="73"/>
        <v>#DIV/0!</v>
      </c>
      <c r="V26" s="18" t="e">
        <f t="shared" si="73"/>
        <v>#DIV/0!</v>
      </c>
      <c r="W26" s="18" t="e">
        <f t="shared" si="73"/>
        <v>#DIV/0!</v>
      </c>
      <c r="X26" s="18" t="e">
        <f t="shared" si="73"/>
        <v>#DIV/0!</v>
      </c>
      <c r="Y26" s="18" t="e">
        <f t="shared" si="73"/>
        <v>#DIV/0!</v>
      </c>
      <c r="Z26" s="18" t="e">
        <f t="shared" si="73"/>
        <v>#DIV/0!</v>
      </c>
      <c r="AA26" s="18" t="e">
        <f t="shared" si="73"/>
        <v>#DIV/0!</v>
      </c>
      <c r="AB26" s="18" t="e">
        <f t="shared" si="73"/>
        <v>#DIV/0!</v>
      </c>
      <c r="AC26" s="18" t="e">
        <f t="shared" si="73"/>
        <v>#DIV/0!</v>
      </c>
      <c r="AD26" s="18" t="e">
        <f t="shared" si="73"/>
        <v>#DIV/0!</v>
      </c>
      <c r="AE26" s="18" t="e">
        <f t="shared" si="73"/>
        <v>#DIV/0!</v>
      </c>
      <c r="AG26" s="131" t="e">
        <f>SUM(AE26-AA26)*10000</f>
        <v>#DIV/0!</v>
      </c>
    </row>
    <row r="27" spans="2:33" ht="5.0999999999999996" customHeight="1">
      <c r="AG27" s="128"/>
    </row>
    <row r="28" spans="2:33" ht="12.75" customHeight="1">
      <c r="B28" s="32" t="s">
        <v>34</v>
      </c>
      <c r="C28" s="145"/>
      <c r="D28" s="145"/>
      <c r="E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S28" s="10">
        <f>SUM(F28:F28)</f>
        <v>0</v>
      </c>
      <c r="T28" s="10" t="e">
        <f>SUM(#REF!)</f>
        <v>#REF!</v>
      </c>
      <c r="U28" s="10">
        <f>SUM(G28:G28)</f>
        <v>0</v>
      </c>
      <c r="V28" s="10">
        <f>SUM(G28:H28)</f>
        <v>0</v>
      </c>
      <c r="W28" s="10">
        <f>SUM(G28:I28)</f>
        <v>0</v>
      </c>
      <c r="X28" s="10">
        <f t="shared" ref="X28:AE28" si="74">SUM(G28:J28)</f>
        <v>0</v>
      </c>
      <c r="Y28" s="10">
        <f t="shared" si="74"/>
        <v>0</v>
      </c>
      <c r="Z28" s="10">
        <f t="shared" si="74"/>
        <v>0</v>
      </c>
      <c r="AA28" s="146">
        <f t="shared" si="74"/>
        <v>0</v>
      </c>
      <c r="AB28" s="146">
        <f t="shared" si="74"/>
        <v>0</v>
      </c>
      <c r="AC28" s="146">
        <f t="shared" si="74"/>
        <v>0</v>
      </c>
      <c r="AD28" s="146">
        <f t="shared" si="74"/>
        <v>0</v>
      </c>
      <c r="AE28" s="146">
        <f t="shared" si="74"/>
        <v>0</v>
      </c>
      <c r="AG28" s="129" t="e">
        <f>SUM(AE28/AA28)-1</f>
        <v>#DIV/0!</v>
      </c>
    </row>
    <row r="29" spans="2:33" ht="12.75" customHeight="1">
      <c r="B29" s="13" t="s">
        <v>35</v>
      </c>
      <c r="C29" s="14">
        <f>+SUM(C25+SUM(C28:C28))</f>
        <v>0</v>
      </c>
      <c r="D29" s="14">
        <f>+SUM(D25+SUM(D28:D28))</f>
        <v>0</v>
      </c>
      <c r="E29" s="14">
        <f>+SUM(E25+SUM(E28:E28))</f>
        <v>0</v>
      </c>
      <c r="F29" s="11"/>
      <c r="G29" s="14">
        <f t="shared" ref="G29:Q29" si="75">+SUM(G25+SUM(G28:G28))</f>
        <v>0</v>
      </c>
      <c r="H29" s="14">
        <f t="shared" si="75"/>
        <v>0</v>
      </c>
      <c r="I29" s="14">
        <f t="shared" si="75"/>
        <v>0</v>
      </c>
      <c r="J29" s="14">
        <f t="shared" si="75"/>
        <v>0</v>
      </c>
      <c r="K29" s="14">
        <f t="shared" si="75"/>
        <v>0</v>
      </c>
      <c r="L29" s="14">
        <f t="shared" si="75"/>
        <v>0</v>
      </c>
      <c r="M29" s="14">
        <f t="shared" si="75"/>
        <v>0</v>
      </c>
      <c r="N29" s="14">
        <f t="shared" si="75"/>
        <v>0</v>
      </c>
      <c r="O29" s="14">
        <f t="shared" si="75"/>
        <v>0</v>
      </c>
      <c r="P29" s="14">
        <f t="shared" si="75"/>
        <v>0</v>
      </c>
      <c r="Q29" s="14">
        <f t="shared" si="75"/>
        <v>0</v>
      </c>
      <c r="S29" s="14">
        <f t="shared" ref="S29:AE29" si="76">+SUM(S25+SUM(S28:S28))</f>
        <v>0</v>
      </c>
      <c r="T29" s="14" t="e">
        <f t="shared" si="76"/>
        <v>#REF!</v>
      </c>
      <c r="U29" s="14">
        <f t="shared" si="76"/>
        <v>0</v>
      </c>
      <c r="V29" s="14">
        <f t="shared" si="76"/>
        <v>0</v>
      </c>
      <c r="W29" s="14">
        <f t="shared" si="76"/>
        <v>0</v>
      </c>
      <c r="X29" s="14">
        <f t="shared" si="76"/>
        <v>0</v>
      </c>
      <c r="Y29" s="14">
        <f t="shared" si="76"/>
        <v>0</v>
      </c>
      <c r="Z29" s="14">
        <f t="shared" si="76"/>
        <v>0</v>
      </c>
      <c r="AA29" s="14">
        <f t="shared" si="76"/>
        <v>0</v>
      </c>
      <c r="AB29" s="14">
        <f t="shared" si="76"/>
        <v>0</v>
      </c>
      <c r="AC29" s="14">
        <f t="shared" si="76"/>
        <v>0</v>
      </c>
      <c r="AD29" s="14">
        <f t="shared" si="76"/>
        <v>0</v>
      </c>
      <c r="AE29" s="14">
        <f t="shared" si="76"/>
        <v>0</v>
      </c>
      <c r="AG29" s="130" t="e">
        <f>SUM(AE29/AA29)-1</f>
        <v>#DIV/0!</v>
      </c>
    </row>
    <row r="30" spans="2:33" ht="12.75" customHeight="1">
      <c r="B30" s="16" t="s">
        <v>36</v>
      </c>
      <c r="C30" s="18" t="e">
        <f>C29/C8</f>
        <v>#DIV/0!</v>
      </c>
      <c r="D30" s="18" t="e">
        <f>D29/D8</f>
        <v>#DIV/0!</v>
      </c>
      <c r="E30" s="18" t="e">
        <f>E29/E8</f>
        <v>#DIV/0!</v>
      </c>
      <c r="G30" s="18" t="e">
        <f t="shared" ref="G30:Q30" si="77">G29/G8</f>
        <v>#DIV/0!</v>
      </c>
      <c r="H30" s="18" t="e">
        <f t="shared" si="77"/>
        <v>#DIV/0!</v>
      </c>
      <c r="I30" s="18" t="e">
        <f t="shared" si="77"/>
        <v>#DIV/0!</v>
      </c>
      <c r="J30" s="18" t="e">
        <f t="shared" si="77"/>
        <v>#DIV/0!</v>
      </c>
      <c r="K30" s="18" t="e">
        <f t="shared" si="77"/>
        <v>#DIV/0!</v>
      </c>
      <c r="L30" s="18" t="e">
        <f t="shared" si="77"/>
        <v>#DIV/0!</v>
      </c>
      <c r="M30" s="18" t="e">
        <f t="shared" si="77"/>
        <v>#DIV/0!</v>
      </c>
      <c r="N30" s="18" t="e">
        <f t="shared" si="77"/>
        <v>#DIV/0!</v>
      </c>
      <c r="O30" s="18" t="e">
        <f t="shared" si="77"/>
        <v>#DIV/0!</v>
      </c>
      <c r="P30" s="18" t="e">
        <f t="shared" si="77"/>
        <v>#DIV/0!</v>
      </c>
      <c r="Q30" s="18" t="e">
        <f t="shared" si="77"/>
        <v>#DIV/0!</v>
      </c>
      <c r="S30" s="18" t="e">
        <f t="shared" ref="S30:AE30" si="78">S29/S8</f>
        <v>#DIV/0!</v>
      </c>
      <c r="T30" s="18" t="e">
        <f t="shared" si="78"/>
        <v>#REF!</v>
      </c>
      <c r="U30" s="18" t="e">
        <f t="shared" si="78"/>
        <v>#DIV/0!</v>
      </c>
      <c r="V30" s="18" t="e">
        <f t="shared" si="78"/>
        <v>#DIV/0!</v>
      </c>
      <c r="W30" s="18" t="e">
        <f t="shared" si="78"/>
        <v>#DIV/0!</v>
      </c>
      <c r="X30" s="18" t="e">
        <f t="shared" si="78"/>
        <v>#DIV/0!</v>
      </c>
      <c r="Y30" s="18" t="e">
        <f t="shared" si="78"/>
        <v>#DIV/0!</v>
      </c>
      <c r="Z30" s="18" t="e">
        <f t="shared" si="78"/>
        <v>#DIV/0!</v>
      </c>
      <c r="AA30" s="18" t="e">
        <f t="shared" si="78"/>
        <v>#DIV/0!</v>
      </c>
      <c r="AB30" s="18" t="e">
        <f t="shared" si="78"/>
        <v>#DIV/0!</v>
      </c>
      <c r="AC30" s="18" t="e">
        <f t="shared" si="78"/>
        <v>#DIV/0!</v>
      </c>
      <c r="AD30" s="18" t="e">
        <f t="shared" si="78"/>
        <v>#DIV/0!</v>
      </c>
      <c r="AE30" s="18" t="e">
        <f t="shared" si="78"/>
        <v>#DIV/0!</v>
      </c>
      <c r="AG30" s="131" t="e">
        <f>SUM(AE30-AA30)*10000</f>
        <v>#DIV/0!</v>
      </c>
    </row>
    <row r="31" spans="2:33" ht="5.0999999999999996" customHeight="1">
      <c r="AG31" s="128"/>
    </row>
    <row r="32" spans="2:33" ht="12.75" customHeight="1">
      <c r="B32" s="24" t="s">
        <v>37</v>
      </c>
      <c r="C32" s="145"/>
      <c r="D32" s="145"/>
      <c r="E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S32" s="10">
        <f>SUM(F32:F32)</f>
        <v>0</v>
      </c>
      <c r="T32" s="10" t="e">
        <f>SUM(#REF!)</f>
        <v>#REF!</v>
      </c>
      <c r="U32" s="10">
        <f>SUM(G32:G32)</f>
        <v>0</v>
      </c>
      <c r="V32" s="10">
        <f>SUM(G32:H32)</f>
        <v>0</v>
      </c>
      <c r="W32" s="10">
        <f>SUM(G32:I32)</f>
        <v>0</v>
      </c>
      <c r="X32" s="10">
        <f t="shared" ref="X32:AE35" si="79">SUM(G32:J32)</f>
        <v>0</v>
      </c>
      <c r="Y32" s="10">
        <f t="shared" si="79"/>
        <v>0</v>
      </c>
      <c r="Z32" s="10">
        <f t="shared" si="79"/>
        <v>0</v>
      </c>
      <c r="AA32" s="146">
        <f t="shared" si="79"/>
        <v>0</v>
      </c>
      <c r="AB32" s="146">
        <f t="shared" si="79"/>
        <v>0</v>
      </c>
      <c r="AC32" s="146">
        <f t="shared" si="79"/>
        <v>0</v>
      </c>
      <c r="AD32" s="146">
        <f t="shared" si="79"/>
        <v>0</v>
      </c>
      <c r="AE32" s="146">
        <f t="shared" si="79"/>
        <v>0</v>
      </c>
      <c r="AG32" s="129" t="e">
        <f>SUM(AE32/AA32)-1</f>
        <v>#DIV/0!</v>
      </c>
    </row>
    <row r="33" spans="1:33" ht="12.75" customHeight="1">
      <c r="B33" s="24" t="s">
        <v>38</v>
      </c>
      <c r="C33" s="145"/>
      <c r="D33" s="145"/>
      <c r="E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S33" s="10">
        <f>SUM(F33:F33)</f>
        <v>0</v>
      </c>
      <c r="T33" s="10" t="e">
        <f>SUM(#REF!)</f>
        <v>#REF!</v>
      </c>
      <c r="U33" s="10">
        <f>SUM(G33:G33)</f>
        <v>0</v>
      </c>
      <c r="V33" s="10">
        <f>SUM(G33:H33)</f>
        <v>0</v>
      </c>
      <c r="W33" s="10">
        <f>SUM(G33:I33)</f>
        <v>0</v>
      </c>
      <c r="X33" s="10">
        <f t="shared" si="79"/>
        <v>0</v>
      </c>
      <c r="Y33" s="10">
        <f t="shared" si="79"/>
        <v>0</v>
      </c>
      <c r="Z33" s="10">
        <f t="shared" si="79"/>
        <v>0</v>
      </c>
      <c r="AA33" s="146">
        <f t="shared" si="79"/>
        <v>0</v>
      </c>
      <c r="AB33" s="146">
        <f t="shared" si="79"/>
        <v>0</v>
      </c>
      <c r="AC33" s="146">
        <f t="shared" si="79"/>
        <v>0</v>
      </c>
      <c r="AD33" s="146">
        <f t="shared" si="79"/>
        <v>0</v>
      </c>
      <c r="AE33" s="146">
        <f t="shared" si="79"/>
        <v>0</v>
      </c>
      <c r="AG33" s="129" t="e">
        <f>SUM(AE33/AA33)-1</f>
        <v>#DIV/0!</v>
      </c>
    </row>
    <row r="34" spans="1:33" ht="12.75" customHeight="1">
      <c r="B34" s="24" t="s">
        <v>74</v>
      </c>
      <c r="C34" s="145"/>
      <c r="D34" s="145"/>
      <c r="E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S34" s="10">
        <f>SUM(F34:F34)</f>
        <v>0</v>
      </c>
      <c r="T34" s="10" t="e">
        <f>SUM(#REF!)</f>
        <v>#REF!</v>
      </c>
      <c r="U34" s="10">
        <f>SUM(G34:G34)</f>
        <v>0</v>
      </c>
      <c r="V34" s="10">
        <f>SUM(G34:H34)</f>
        <v>0</v>
      </c>
      <c r="W34" s="10">
        <f>SUM(G34:I34)</f>
        <v>0</v>
      </c>
      <c r="X34" s="10">
        <f t="shared" si="79"/>
        <v>0</v>
      </c>
      <c r="Y34" s="10">
        <f t="shared" si="79"/>
        <v>0</v>
      </c>
      <c r="Z34" s="10">
        <f t="shared" si="79"/>
        <v>0</v>
      </c>
      <c r="AA34" s="146">
        <f t="shared" si="79"/>
        <v>0</v>
      </c>
      <c r="AB34" s="146">
        <f t="shared" si="79"/>
        <v>0</v>
      </c>
      <c r="AC34" s="146">
        <f t="shared" si="79"/>
        <v>0</v>
      </c>
      <c r="AD34" s="146">
        <f t="shared" si="79"/>
        <v>0</v>
      </c>
      <c r="AE34" s="146">
        <f t="shared" si="79"/>
        <v>0</v>
      </c>
      <c r="AG34" s="129" t="e">
        <f>SUM(AE34/AA34)-1</f>
        <v>#DIV/0!</v>
      </c>
    </row>
    <row r="35" spans="1:33" ht="12.75" customHeight="1">
      <c r="B35" s="24" t="s">
        <v>39</v>
      </c>
      <c r="C35" s="145"/>
      <c r="D35" s="145"/>
      <c r="E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S35" s="10">
        <f>SUM(F35:F35)</f>
        <v>0</v>
      </c>
      <c r="T35" s="10" t="e">
        <f>SUM(#REF!)</f>
        <v>#REF!</v>
      </c>
      <c r="U35" s="10">
        <f>SUM(G35:G35)</f>
        <v>0</v>
      </c>
      <c r="V35" s="10">
        <f>SUM(G35:H35)</f>
        <v>0</v>
      </c>
      <c r="W35" s="10">
        <f>SUM(G35:I35)</f>
        <v>0</v>
      </c>
      <c r="X35" s="10">
        <f t="shared" si="79"/>
        <v>0</v>
      </c>
      <c r="Y35" s="10">
        <f t="shared" si="79"/>
        <v>0</v>
      </c>
      <c r="Z35" s="10">
        <f t="shared" si="79"/>
        <v>0</v>
      </c>
      <c r="AA35" s="146">
        <f t="shared" si="79"/>
        <v>0</v>
      </c>
      <c r="AB35" s="146">
        <f t="shared" si="79"/>
        <v>0</v>
      </c>
      <c r="AC35" s="146">
        <f t="shared" si="79"/>
        <v>0</v>
      </c>
      <c r="AD35" s="146">
        <f t="shared" si="79"/>
        <v>0</v>
      </c>
      <c r="AE35" s="146">
        <f t="shared" si="79"/>
        <v>0</v>
      </c>
      <c r="AG35" s="129" t="e">
        <f>SUM(AE35/AA35)-1</f>
        <v>#DIV/0!</v>
      </c>
    </row>
    <row r="36" spans="1:33" ht="12.75" customHeight="1">
      <c r="B36" s="13" t="s">
        <v>40</v>
      </c>
      <c r="C36" s="14">
        <f>SUM(C29+SUM(C32:C35))</f>
        <v>0</v>
      </c>
      <c r="D36" s="14">
        <f>SUM(D29+SUM(D32:D35))</f>
        <v>0</v>
      </c>
      <c r="E36" s="14">
        <f>SUM(E29+SUM(E32:E35))</f>
        <v>0</v>
      </c>
      <c r="G36" s="14">
        <f t="shared" ref="G36:P36" si="80">SUM(G29+SUM(G32:G35))</f>
        <v>0</v>
      </c>
      <c r="H36" s="14">
        <f t="shared" si="80"/>
        <v>0</v>
      </c>
      <c r="I36" s="14">
        <f t="shared" si="80"/>
        <v>0</v>
      </c>
      <c r="J36" s="14">
        <f t="shared" si="80"/>
        <v>0</v>
      </c>
      <c r="K36" s="14">
        <f t="shared" si="80"/>
        <v>0</v>
      </c>
      <c r="L36" s="14">
        <f t="shared" si="80"/>
        <v>0</v>
      </c>
      <c r="M36" s="14">
        <f t="shared" si="80"/>
        <v>0</v>
      </c>
      <c r="N36" s="14">
        <f t="shared" si="80"/>
        <v>0</v>
      </c>
      <c r="O36" s="14">
        <f t="shared" si="80"/>
        <v>0</v>
      </c>
      <c r="P36" s="14">
        <f t="shared" si="80"/>
        <v>0</v>
      </c>
      <c r="Q36" s="14">
        <f>SUM(Q29+SUM(Q32:Q35))</f>
        <v>0</v>
      </c>
      <c r="S36" s="14">
        <f t="shared" ref="S36:AC36" si="81">SUM(S29+SUM(S32:S35))</f>
        <v>0</v>
      </c>
      <c r="T36" s="14" t="e">
        <f t="shared" si="81"/>
        <v>#REF!</v>
      </c>
      <c r="U36" s="14">
        <f t="shared" si="81"/>
        <v>0</v>
      </c>
      <c r="V36" s="14">
        <f t="shared" si="81"/>
        <v>0</v>
      </c>
      <c r="W36" s="14">
        <f t="shared" si="81"/>
        <v>0</v>
      </c>
      <c r="X36" s="14">
        <f t="shared" si="81"/>
        <v>0</v>
      </c>
      <c r="Y36" s="14">
        <f t="shared" si="81"/>
        <v>0</v>
      </c>
      <c r="Z36" s="14">
        <f t="shared" si="81"/>
        <v>0</v>
      </c>
      <c r="AA36" s="14">
        <f t="shared" si="81"/>
        <v>0</v>
      </c>
      <c r="AB36" s="14">
        <f t="shared" si="81"/>
        <v>0</v>
      </c>
      <c r="AC36" s="14">
        <f t="shared" si="81"/>
        <v>0</v>
      </c>
      <c r="AD36" s="14">
        <f>SUM(AD29+SUM(AD32:AD35))</f>
        <v>0</v>
      </c>
      <c r="AE36" s="14">
        <f>SUM(AE29+SUM(AE32:AE35))</f>
        <v>0</v>
      </c>
      <c r="AG36" s="130" t="e">
        <f>SUM(AE36/AA36)-1</f>
        <v>#DIV/0!</v>
      </c>
    </row>
    <row r="37" spans="1:33" ht="5.0999999999999996" customHeight="1"/>
    <row r="38" spans="1:33" ht="12.75" customHeight="1">
      <c r="B38" s="32" t="s">
        <v>117</v>
      </c>
      <c r="C38" s="145"/>
      <c r="D38" s="145"/>
      <c r="E38" s="145"/>
      <c r="F38" s="33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S38" s="10">
        <f>SUM(F38:F38)</f>
        <v>0</v>
      </c>
      <c r="T38" s="10" t="e">
        <f>SUM(#REF!)</f>
        <v>#REF!</v>
      </c>
      <c r="U38" s="10">
        <f>SUM(G38:G38)</f>
        <v>0</v>
      </c>
      <c r="V38" s="10">
        <f>SUM(G38:H38)</f>
        <v>0</v>
      </c>
      <c r="W38" s="10">
        <f>SUM(G38:I38)</f>
        <v>0</v>
      </c>
      <c r="X38" s="10">
        <f t="shared" ref="X38:AE39" si="82">SUM(G38:J38)</f>
        <v>0</v>
      </c>
      <c r="Y38" s="10">
        <f t="shared" si="82"/>
        <v>0</v>
      </c>
      <c r="Z38" s="10">
        <f t="shared" si="82"/>
        <v>0</v>
      </c>
      <c r="AA38" s="146">
        <f t="shared" si="82"/>
        <v>0</v>
      </c>
      <c r="AB38" s="146">
        <f t="shared" si="82"/>
        <v>0</v>
      </c>
      <c r="AC38" s="146">
        <f t="shared" si="82"/>
        <v>0</v>
      </c>
      <c r="AD38" s="146">
        <f t="shared" si="82"/>
        <v>0</v>
      </c>
      <c r="AE38" s="146">
        <f t="shared" si="82"/>
        <v>0</v>
      </c>
    </row>
    <row r="39" spans="1:33" ht="12.75" customHeight="1">
      <c r="B39" s="32" t="s">
        <v>98</v>
      </c>
      <c r="C39" s="145"/>
      <c r="D39" s="145"/>
      <c r="E39" s="145"/>
      <c r="F39" s="33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S39" s="10">
        <f>SUM(F39:F39)</f>
        <v>0</v>
      </c>
      <c r="T39" s="10" t="e">
        <f>SUM(#REF!)</f>
        <v>#REF!</v>
      </c>
      <c r="U39" s="10">
        <f>SUM(G39:G39)</f>
        <v>0</v>
      </c>
      <c r="V39" s="10">
        <f>SUM(G39:H39)</f>
        <v>0</v>
      </c>
      <c r="W39" s="10">
        <f>SUM(G39:I39)</f>
        <v>0</v>
      </c>
      <c r="X39" s="10">
        <f t="shared" si="82"/>
        <v>0</v>
      </c>
      <c r="Y39" s="10">
        <f t="shared" si="82"/>
        <v>0</v>
      </c>
      <c r="Z39" s="10">
        <f t="shared" si="82"/>
        <v>0</v>
      </c>
      <c r="AA39" s="146">
        <f t="shared" si="82"/>
        <v>0</v>
      </c>
      <c r="AB39" s="146">
        <f t="shared" si="82"/>
        <v>0</v>
      </c>
      <c r="AC39" s="146">
        <f t="shared" si="82"/>
        <v>0</v>
      </c>
      <c r="AD39" s="146">
        <f t="shared" si="82"/>
        <v>0</v>
      </c>
      <c r="AE39" s="146">
        <f t="shared" si="82"/>
        <v>0</v>
      </c>
    </row>
    <row r="40" spans="1:33" ht="12.75" customHeight="1">
      <c r="B40" s="32" t="s">
        <v>118</v>
      </c>
      <c r="C40" s="145"/>
      <c r="D40" s="145"/>
      <c r="E40" s="145"/>
      <c r="F40" s="33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S40" s="10"/>
      <c r="T40" s="10"/>
      <c r="U40" s="10"/>
      <c r="V40" s="10"/>
      <c r="W40" s="10"/>
      <c r="X40" s="10"/>
      <c r="Y40" s="10"/>
      <c r="Z40" s="10"/>
      <c r="AA40" s="146">
        <f t="shared" ref="AA40:AE41" si="83">SUM(J40:M40)</f>
        <v>0</v>
      </c>
      <c r="AB40" s="146">
        <f t="shared" si="83"/>
        <v>0</v>
      </c>
      <c r="AC40" s="146">
        <f t="shared" si="83"/>
        <v>0</v>
      </c>
      <c r="AD40" s="146">
        <f t="shared" si="83"/>
        <v>0</v>
      </c>
      <c r="AE40" s="146">
        <f t="shared" si="83"/>
        <v>0</v>
      </c>
    </row>
    <row r="41" spans="1:33" ht="12.75" customHeight="1">
      <c r="B41" s="32" t="s">
        <v>119</v>
      </c>
      <c r="C41" s="145"/>
      <c r="D41" s="145"/>
      <c r="E41" s="145"/>
      <c r="F41" s="33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S41" s="10"/>
      <c r="T41" s="10"/>
      <c r="U41" s="10"/>
      <c r="V41" s="10"/>
      <c r="W41" s="10"/>
      <c r="X41" s="10"/>
      <c r="Y41" s="10"/>
      <c r="Z41" s="10"/>
      <c r="AA41" s="146">
        <f t="shared" si="83"/>
        <v>0</v>
      </c>
      <c r="AB41" s="146">
        <f t="shared" si="83"/>
        <v>0</v>
      </c>
      <c r="AC41" s="146">
        <f t="shared" si="83"/>
        <v>0</v>
      </c>
      <c r="AD41" s="146">
        <f t="shared" si="83"/>
        <v>0</v>
      </c>
      <c r="AE41" s="146">
        <f t="shared" si="83"/>
        <v>0</v>
      </c>
    </row>
    <row r="42" spans="1:33" ht="12.75" customHeight="1">
      <c r="B42" s="32" t="s">
        <v>120</v>
      </c>
      <c r="C42" s="145"/>
      <c r="D42" s="145"/>
      <c r="E42" s="145"/>
      <c r="F42" s="33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S42" s="10"/>
      <c r="T42" s="10"/>
      <c r="U42" s="10"/>
      <c r="V42" s="10"/>
      <c r="W42" s="10"/>
      <c r="X42" s="10"/>
      <c r="Y42" s="10"/>
      <c r="Z42" s="10">
        <f t="shared" ref="Z42:AE44" si="84">SUM(I42:L42)</f>
        <v>0</v>
      </c>
      <c r="AA42" s="146">
        <f t="shared" si="84"/>
        <v>0</v>
      </c>
      <c r="AB42" s="146">
        <f t="shared" si="84"/>
        <v>0</v>
      </c>
      <c r="AC42" s="146">
        <f t="shared" si="84"/>
        <v>0</v>
      </c>
      <c r="AD42" s="146">
        <f t="shared" si="84"/>
        <v>0</v>
      </c>
      <c r="AE42" s="146">
        <f t="shared" si="84"/>
        <v>0</v>
      </c>
    </row>
    <row r="43" spans="1:33" ht="12.75" customHeight="1">
      <c r="B43" s="32" t="s">
        <v>121</v>
      </c>
      <c r="C43" s="145"/>
      <c r="D43" s="145"/>
      <c r="E43" s="145"/>
      <c r="F43" s="33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S43" s="10"/>
      <c r="T43" s="10"/>
      <c r="U43" s="10"/>
      <c r="V43" s="10"/>
      <c r="W43" s="10"/>
      <c r="X43" s="10"/>
      <c r="Y43" s="10"/>
      <c r="Z43" s="10"/>
      <c r="AA43" s="146">
        <f>SUM(J43:M43)</f>
        <v>0</v>
      </c>
      <c r="AB43" s="146">
        <f>SUM(K43:N43)</f>
        <v>0</v>
      </c>
      <c r="AC43" s="146">
        <f>SUM(L43:O43)</f>
        <v>0</v>
      </c>
      <c r="AD43" s="146">
        <f>SUM(M43:P43)</f>
        <v>0</v>
      </c>
      <c r="AE43" s="146">
        <f>SUM(N43:Q43)</f>
        <v>0</v>
      </c>
    </row>
    <row r="44" spans="1:33" ht="12.75" customHeight="1">
      <c r="B44" s="32" t="s">
        <v>70</v>
      </c>
      <c r="C44" s="98"/>
      <c r="D44" s="98"/>
      <c r="E44" s="98"/>
      <c r="F44" s="33"/>
      <c r="G44" s="98"/>
      <c r="H44" s="98">
        <f t="shared" ref="H44:Q44" si="85">SUM(H49-G49)-SUM(H36:H43)</f>
        <v>0</v>
      </c>
      <c r="I44" s="98">
        <f t="shared" si="85"/>
        <v>0</v>
      </c>
      <c r="J44" s="98">
        <f t="shared" si="85"/>
        <v>0</v>
      </c>
      <c r="K44" s="98">
        <f t="shared" si="85"/>
        <v>0</v>
      </c>
      <c r="L44" s="98">
        <f t="shared" si="85"/>
        <v>0</v>
      </c>
      <c r="M44" s="98">
        <f t="shared" si="85"/>
        <v>0</v>
      </c>
      <c r="N44" s="98">
        <f t="shared" si="85"/>
        <v>0</v>
      </c>
      <c r="O44" s="98">
        <f t="shared" si="85"/>
        <v>0</v>
      </c>
      <c r="P44" s="98">
        <f t="shared" si="85"/>
        <v>0</v>
      </c>
      <c r="Q44" s="98">
        <f t="shared" si="85"/>
        <v>0</v>
      </c>
      <c r="S44" s="10">
        <f>SUM(F44:F44)</f>
        <v>0</v>
      </c>
      <c r="T44" s="10" t="e">
        <f>SUM(#REF!)</f>
        <v>#REF!</v>
      </c>
      <c r="U44" s="10">
        <f>SUM(G44:G44)</f>
        <v>0</v>
      </c>
      <c r="V44" s="10">
        <f>SUM(G44:H44)</f>
        <v>0</v>
      </c>
      <c r="W44" s="10">
        <f>SUM(G44:I44)</f>
        <v>0</v>
      </c>
      <c r="X44" s="10">
        <f t="shared" ref="X44:Y44" si="86">SUM(G44:J44)</f>
        <v>0</v>
      </c>
      <c r="Y44" s="10">
        <f t="shared" si="86"/>
        <v>0</v>
      </c>
      <c r="Z44" s="10">
        <f t="shared" si="84"/>
        <v>0</v>
      </c>
      <c r="AA44" s="146">
        <f t="shared" si="84"/>
        <v>0</v>
      </c>
      <c r="AB44" s="146">
        <f t="shared" si="84"/>
        <v>0</v>
      </c>
      <c r="AC44" s="146">
        <f t="shared" si="84"/>
        <v>0</v>
      </c>
      <c r="AD44" s="146">
        <f t="shared" si="84"/>
        <v>0</v>
      </c>
      <c r="AE44" s="146">
        <f t="shared" si="84"/>
        <v>0</v>
      </c>
    </row>
    <row r="45" spans="1:33" ht="12.75" customHeight="1">
      <c r="B45" s="13" t="s">
        <v>41</v>
      </c>
      <c r="C45" s="14">
        <f>SUM(C36+SUM(C38:C44))</f>
        <v>0</v>
      </c>
      <c r="D45" s="14">
        <f>SUM(D36+SUM(D38:D44))</f>
        <v>0</v>
      </c>
      <c r="E45" s="14">
        <f>SUM(E36+SUM(E38:E44))</f>
        <v>0</v>
      </c>
      <c r="G45" s="14">
        <f t="shared" ref="G45:Q45" si="87">SUM(G36+SUM(G38:G44))</f>
        <v>0</v>
      </c>
      <c r="H45" s="14">
        <f t="shared" si="87"/>
        <v>0</v>
      </c>
      <c r="I45" s="14">
        <f t="shared" si="87"/>
        <v>0</v>
      </c>
      <c r="J45" s="14">
        <f t="shared" si="87"/>
        <v>0</v>
      </c>
      <c r="K45" s="14">
        <f t="shared" si="87"/>
        <v>0</v>
      </c>
      <c r="L45" s="14">
        <f t="shared" si="87"/>
        <v>0</v>
      </c>
      <c r="M45" s="14">
        <f t="shared" si="87"/>
        <v>0</v>
      </c>
      <c r="N45" s="14">
        <f t="shared" si="87"/>
        <v>0</v>
      </c>
      <c r="O45" s="14">
        <f t="shared" si="87"/>
        <v>0</v>
      </c>
      <c r="P45" s="14">
        <f t="shared" si="87"/>
        <v>0</v>
      </c>
      <c r="Q45" s="14">
        <f t="shared" si="87"/>
        <v>0</v>
      </c>
      <c r="S45" s="14">
        <f t="shared" ref="S45:AE45" si="88">SUM(S36+SUM(S38:S44))</f>
        <v>0</v>
      </c>
      <c r="T45" s="14" t="e">
        <f t="shared" si="88"/>
        <v>#REF!</v>
      </c>
      <c r="U45" s="14">
        <f t="shared" si="88"/>
        <v>0</v>
      </c>
      <c r="V45" s="14">
        <f t="shared" si="88"/>
        <v>0</v>
      </c>
      <c r="W45" s="14">
        <f t="shared" si="88"/>
        <v>0</v>
      </c>
      <c r="X45" s="14">
        <f t="shared" si="88"/>
        <v>0</v>
      </c>
      <c r="Y45" s="14">
        <f t="shared" si="88"/>
        <v>0</v>
      </c>
      <c r="Z45" s="14">
        <f t="shared" si="88"/>
        <v>0</v>
      </c>
      <c r="AA45" s="14">
        <f t="shared" si="88"/>
        <v>0</v>
      </c>
      <c r="AB45" s="14">
        <f t="shared" si="88"/>
        <v>0</v>
      </c>
      <c r="AC45" s="14">
        <f t="shared" si="88"/>
        <v>0</v>
      </c>
      <c r="AD45" s="14">
        <f t="shared" si="88"/>
        <v>0</v>
      </c>
      <c r="AE45" s="14">
        <f t="shared" si="88"/>
        <v>0</v>
      </c>
    </row>
    <row r="46" spans="1:33" ht="5.0999999999999996" customHeight="1"/>
    <row r="47" spans="1:33" ht="12.75" customHeight="1">
      <c r="A47" s="5"/>
      <c r="B47" s="34" t="s">
        <v>42</v>
      </c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</row>
    <row r="48" spans="1:33" ht="5.0999999999999996" customHeight="1"/>
    <row r="49" spans="2:31" ht="12.75" customHeight="1">
      <c r="B49" s="8" t="s">
        <v>43</v>
      </c>
      <c r="C49" s="96"/>
      <c r="D49" s="96"/>
      <c r="E49" s="96"/>
      <c r="F49" s="33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S49" s="10" t="e">
        <f>#REF!</f>
        <v>#REF!</v>
      </c>
      <c r="T49" s="10" t="e">
        <f>#REF!</f>
        <v>#REF!</v>
      </c>
      <c r="U49" s="10">
        <f t="shared" ref="U49:AE49" si="89">G49</f>
        <v>0</v>
      </c>
      <c r="V49" s="10">
        <f t="shared" si="89"/>
        <v>0</v>
      </c>
      <c r="W49" s="10">
        <f t="shared" si="89"/>
        <v>0</v>
      </c>
      <c r="X49" s="10">
        <f t="shared" si="89"/>
        <v>0</v>
      </c>
      <c r="Y49" s="10">
        <f t="shared" si="89"/>
        <v>0</v>
      </c>
      <c r="Z49" s="10">
        <f t="shared" si="89"/>
        <v>0</v>
      </c>
      <c r="AA49" s="10">
        <f t="shared" si="89"/>
        <v>0</v>
      </c>
      <c r="AB49" s="10">
        <f t="shared" si="89"/>
        <v>0</v>
      </c>
      <c r="AC49" s="10">
        <f t="shared" si="89"/>
        <v>0</v>
      </c>
      <c r="AD49" s="10">
        <f t="shared" si="89"/>
        <v>0</v>
      </c>
      <c r="AE49" s="10">
        <f t="shared" si="89"/>
        <v>0</v>
      </c>
    </row>
    <row r="50" spans="2:31" ht="12.75" customHeight="1">
      <c r="B50" s="8" t="s">
        <v>97</v>
      </c>
      <c r="C50" s="96"/>
      <c r="D50" s="96"/>
      <c r="E50" s="96"/>
      <c r="F50" s="33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S50" s="10"/>
      <c r="T50" s="10"/>
      <c r="U50" s="10"/>
      <c r="V50" s="10"/>
      <c r="W50" s="10"/>
      <c r="X50" s="10"/>
      <c r="Y50" s="10"/>
      <c r="Z50" s="10"/>
      <c r="AA50" s="10">
        <f t="shared" ref="AA50:AE51" si="90">M50</f>
        <v>0</v>
      </c>
      <c r="AB50" s="10">
        <f t="shared" si="90"/>
        <v>0</v>
      </c>
      <c r="AC50" s="10">
        <f t="shared" si="90"/>
        <v>0</v>
      </c>
      <c r="AD50" s="10">
        <f t="shared" si="90"/>
        <v>0</v>
      </c>
      <c r="AE50" s="10">
        <f t="shared" si="90"/>
        <v>0</v>
      </c>
    </row>
    <row r="51" spans="2:31" ht="12.75" customHeight="1">
      <c r="B51" s="32" t="s">
        <v>213</v>
      </c>
      <c r="C51" s="83"/>
      <c r="D51" s="83"/>
      <c r="E51" s="83"/>
      <c r="F51" s="96"/>
      <c r="G51" s="83"/>
      <c r="H51" s="83"/>
      <c r="I51" s="83"/>
      <c r="J51" s="10"/>
      <c r="K51" s="83"/>
      <c r="L51" s="83"/>
      <c r="M51" s="83"/>
      <c r="N51" s="10"/>
      <c r="O51" s="83"/>
      <c r="P51" s="83"/>
      <c r="Q51" s="83"/>
      <c r="S51" s="10"/>
      <c r="T51" s="10"/>
      <c r="U51" s="10"/>
      <c r="V51" s="10"/>
      <c r="W51" s="10"/>
      <c r="X51" s="10"/>
      <c r="Y51" s="10"/>
      <c r="Z51" s="10"/>
      <c r="AA51" s="10">
        <f t="shared" si="90"/>
        <v>0</v>
      </c>
      <c r="AB51" s="10">
        <f t="shared" si="90"/>
        <v>0</v>
      </c>
      <c r="AC51" s="10">
        <f t="shared" si="90"/>
        <v>0</v>
      </c>
      <c r="AD51" s="10">
        <f t="shared" si="90"/>
        <v>0</v>
      </c>
      <c r="AE51" s="10">
        <f t="shared" si="90"/>
        <v>0</v>
      </c>
    </row>
    <row r="52" spans="2:31" ht="12.75" customHeight="1">
      <c r="B52" s="13" t="s">
        <v>44</v>
      </c>
      <c r="C52" s="14">
        <f>SUM(C49:C51)</f>
        <v>0</v>
      </c>
      <c r="D52" s="14">
        <f>SUM(D49:D51)</f>
        <v>0</v>
      </c>
      <c r="E52" s="14">
        <f>SUM(E49:E51)</f>
        <v>0</v>
      </c>
      <c r="F52" s="33"/>
      <c r="G52" s="14">
        <f t="shared" ref="G52:Q52" si="91">SUM(G49:G51)</f>
        <v>0</v>
      </c>
      <c r="H52" s="14">
        <f t="shared" si="91"/>
        <v>0</v>
      </c>
      <c r="I52" s="14">
        <f t="shared" si="91"/>
        <v>0</v>
      </c>
      <c r="J52" s="14">
        <f t="shared" si="91"/>
        <v>0</v>
      </c>
      <c r="K52" s="14">
        <f t="shared" si="91"/>
        <v>0</v>
      </c>
      <c r="L52" s="14">
        <f t="shared" si="91"/>
        <v>0</v>
      </c>
      <c r="M52" s="14">
        <f t="shared" si="91"/>
        <v>0</v>
      </c>
      <c r="N52" s="14">
        <f t="shared" si="91"/>
        <v>0</v>
      </c>
      <c r="O52" s="14">
        <f t="shared" si="91"/>
        <v>0</v>
      </c>
      <c r="P52" s="14">
        <f t="shared" si="91"/>
        <v>0</v>
      </c>
      <c r="Q52" s="14">
        <f t="shared" si="91"/>
        <v>0</v>
      </c>
      <c r="S52" s="14" t="e">
        <f t="shared" ref="S52:Z52" si="92">SUM(S49:S49)</f>
        <v>#REF!</v>
      </c>
      <c r="T52" s="14" t="e">
        <f t="shared" si="92"/>
        <v>#REF!</v>
      </c>
      <c r="U52" s="14">
        <f t="shared" si="92"/>
        <v>0</v>
      </c>
      <c r="V52" s="14">
        <f t="shared" si="92"/>
        <v>0</v>
      </c>
      <c r="W52" s="14">
        <f t="shared" si="92"/>
        <v>0</v>
      </c>
      <c r="X52" s="14">
        <f t="shared" si="92"/>
        <v>0</v>
      </c>
      <c r="Y52" s="14">
        <f t="shared" si="92"/>
        <v>0</v>
      </c>
      <c r="Z52" s="14">
        <f t="shared" si="92"/>
        <v>0</v>
      </c>
      <c r="AA52" s="14">
        <f>SUM(AA49:AA51)</f>
        <v>0</v>
      </c>
      <c r="AB52" s="14">
        <f>SUM(AB49:AB51)</f>
        <v>0</v>
      </c>
      <c r="AC52" s="14">
        <f>SUM(AC49:AC51)</f>
        <v>0</v>
      </c>
      <c r="AD52" s="14">
        <f>SUM(AD49:AD51)</f>
        <v>0</v>
      </c>
      <c r="AE52" s="14">
        <f>SUM(AE49:AE51)</f>
        <v>0</v>
      </c>
    </row>
    <row r="53" spans="2:31" ht="5.0999999999999996" customHeight="1"/>
    <row r="54" spans="2:31" ht="12.75" customHeight="1">
      <c r="B54" s="36" t="s">
        <v>45</v>
      </c>
    </row>
    <row r="55" spans="2:31" ht="12.75" customHeight="1">
      <c r="B55" s="8" t="s">
        <v>129</v>
      </c>
      <c r="C55" s="96"/>
      <c r="D55" s="96"/>
      <c r="E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6"/>
      <c r="R55" s="10"/>
      <c r="S55" s="10" t="e">
        <f>#REF!</f>
        <v>#REF!</v>
      </c>
      <c r="T55" s="10" t="e">
        <f>#REF!</f>
        <v>#REF!</v>
      </c>
      <c r="U55" s="10">
        <f t="shared" ref="U55:AC60" si="93">G55</f>
        <v>0</v>
      </c>
      <c r="V55" s="10">
        <f t="shared" si="93"/>
        <v>0</v>
      </c>
      <c r="W55" s="10">
        <f t="shared" si="93"/>
        <v>0</v>
      </c>
      <c r="X55" s="10">
        <f t="shared" si="93"/>
        <v>0</v>
      </c>
      <c r="Y55" s="10">
        <f t="shared" si="93"/>
        <v>0</v>
      </c>
      <c r="Z55" s="10">
        <f t="shared" si="93"/>
        <v>0</v>
      </c>
      <c r="AA55" s="10">
        <f t="shared" si="93"/>
        <v>0</v>
      </c>
      <c r="AB55" s="10">
        <f t="shared" si="93"/>
        <v>0</v>
      </c>
      <c r="AC55" s="10">
        <f t="shared" si="93"/>
        <v>0</v>
      </c>
      <c r="AD55" s="10">
        <f t="shared" ref="AD55:AE60" si="94">P55</f>
        <v>0</v>
      </c>
      <c r="AE55" s="10">
        <f t="shared" si="94"/>
        <v>0</v>
      </c>
    </row>
    <row r="56" spans="2:31" ht="12.75" customHeight="1">
      <c r="B56" s="8" t="s">
        <v>122</v>
      </c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S56" s="10" t="e">
        <f>#REF!</f>
        <v>#REF!</v>
      </c>
      <c r="T56" s="10" t="e">
        <f>#REF!</f>
        <v>#REF!</v>
      </c>
      <c r="U56" s="10">
        <f t="shared" si="93"/>
        <v>0</v>
      </c>
      <c r="V56" s="10">
        <f t="shared" si="93"/>
        <v>0</v>
      </c>
      <c r="W56" s="10">
        <f t="shared" si="93"/>
        <v>0</v>
      </c>
      <c r="X56" s="10">
        <f t="shared" si="93"/>
        <v>0</v>
      </c>
      <c r="Y56" s="10">
        <f t="shared" si="93"/>
        <v>0</v>
      </c>
      <c r="Z56" s="10">
        <f t="shared" si="93"/>
        <v>0</v>
      </c>
      <c r="AA56" s="10">
        <f t="shared" si="93"/>
        <v>0</v>
      </c>
      <c r="AB56" s="10">
        <f t="shared" si="93"/>
        <v>0</v>
      </c>
      <c r="AC56" s="10">
        <f t="shared" si="93"/>
        <v>0</v>
      </c>
      <c r="AD56" s="10">
        <f t="shared" si="94"/>
        <v>0</v>
      </c>
      <c r="AE56" s="10">
        <f t="shared" si="94"/>
        <v>0</v>
      </c>
    </row>
    <row r="57" spans="2:31" ht="12.75" customHeight="1">
      <c r="B57" s="8" t="s">
        <v>46</v>
      </c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S57" s="10"/>
      <c r="T57" s="10"/>
      <c r="U57" s="10"/>
      <c r="V57" s="10"/>
      <c r="W57" s="10"/>
      <c r="X57" s="10"/>
      <c r="Y57" s="10"/>
      <c r="Z57" s="10"/>
      <c r="AA57" s="10">
        <f t="shared" ref="AA57:AA58" si="95">M57</f>
        <v>0</v>
      </c>
      <c r="AB57" s="10">
        <f t="shared" ref="AB57:AB58" si="96">N57</f>
        <v>0</v>
      </c>
      <c r="AC57" s="10">
        <f t="shared" ref="AC57:AC58" si="97">O57</f>
        <v>0</v>
      </c>
      <c r="AD57" s="10">
        <f t="shared" ref="AD57:AD58" si="98">P57</f>
        <v>0</v>
      </c>
      <c r="AE57" s="10">
        <f t="shared" ref="AE57:AE58" si="99">Q57</f>
        <v>0</v>
      </c>
    </row>
    <row r="58" spans="2:31" ht="12.75" customHeight="1">
      <c r="B58" s="8" t="s">
        <v>123</v>
      </c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S58" s="10"/>
      <c r="T58" s="10"/>
      <c r="U58" s="10"/>
      <c r="V58" s="10"/>
      <c r="W58" s="10"/>
      <c r="X58" s="10"/>
      <c r="Y58" s="10"/>
      <c r="Z58" s="10"/>
      <c r="AA58" s="10">
        <f t="shared" si="95"/>
        <v>0</v>
      </c>
      <c r="AB58" s="10">
        <f t="shared" si="96"/>
        <v>0</v>
      </c>
      <c r="AC58" s="10">
        <f t="shared" si="97"/>
        <v>0</v>
      </c>
      <c r="AD58" s="10">
        <f t="shared" si="98"/>
        <v>0</v>
      </c>
      <c r="AE58" s="10">
        <f t="shared" si="99"/>
        <v>0</v>
      </c>
    </row>
    <row r="59" spans="2:31" ht="12.75" customHeight="1">
      <c r="B59" s="8" t="s">
        <v>47</v>
      </c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S59" s="10" t="e">
        <f>#REF!</f>
        <v>#REF!</v>
      </c>
      <c r="T59" s="10" t="e">
        <f>#REF!</f>
        <v>#REF!</v>
      </c>
      <c r="U59" s="10">
        <f t="shared" si="93"/>
        <v>0</v>
      </c>
      <c r="V59" s="10">
        <f t="shared" si="93"/>
        <v>0</v>
      </c>
      <c r="W59" s="10">
        <f t="shared" si="93"/>
        <v>0</v>
      </c>
      <c r="X59" s="10">
        <f t="shared" si="93"/>
        <v>0</v>
      </c>
      <c r="Y59" s="10">
        <f t="shared" si="93"/>
        <v>0</v>
      </c>
      <c r="Z59" s="10">
        <f t="shared" si="93"/>
        <v>0</v>
      </c>
      <c r="AA59" s="10">
        <f t="shared" si="93"/>
        <v>0</v>
      </c>
      <c r="AB59" s="10">
        <f t="shared" si="93"/>
        <v>0</v>
      </c>
      <c r="AC59" s="10">
        <f t="shared" si="93"/>
        <v>0</v>
      </c>
      <c r="AD59" s="10">
        <f t="shared" si="94"/>
        <v>0</v>
      </c>
      <c r="AE59" s="10">
        <f t="shared" si="94"/>
        <v>0</v>
      </c>
    </row>
    <row r="60" spans="2:31" ht="12.75" customHeight="1">
      <c r="B60" s="8" t="s">
        <v>15</v>
      </c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S60" s="10" t="e">
        <f>#REF!</f>
        <v>#REF!</v>
      </c>
      <c r="T60" s="10" t="e">
        <f>#REF!</f>
        <v>#REF!</v>
      </c>
      <c r="U60" s="10">
        <f t="shared" si="93"/>
        <v>0</v>
      </c>
      <c r="V60" s="10">
        <f t="shared" si="93"/>
        <v>0</v>
      </c>
      <c r="W60" s="10">
        <f t="shared" si="93"/>
        <v>0</v>
      </c>
      <c r="X60" s="10">
        <f t="shared" si="93"/>
        <v>0</v>
      </c>
      <c r="Y60" s="10">
        <f t="shared" si="93"/>
        <v>0</v>
      </c>
      <c r="Z60" s="10">
        <f t="shared" si="93"/>
        <v>0</v>
      </c>
      <c r="AA60" s="10">
        <f t="shared" si="93"/>
        <v>0</v>
      </c>
      <c r="AB60" s="10">
        <f t="shared" si="93"/>
        <v>0</v>
      </c>
      <c r="AC60" s="10">
        <f t="shared" si="93"/>
        <v>0</v>
      </c>
      <c r="AD60" s="10">
        <f t="shared" si="94"/>
        <v>0</v>
      </c>
      <c r="AE60" s="10">
        <f t="shared" si="94"/>
        <v>0</v>
      </c>
    </row>
    <row r="61" spans="2:31" ht="5.0999999999999996" customHeight="1">
      <c r="E61" s="10"/>
    </row>
    <row r="62" spans="2:31">
      <c r="B62" s="36" t="s">
        <v>124</v>
      </c>
      <c r="E62" s="10"/>
    </row>
    <row r="63" spans="2:31">
      <c r="B63" s="8" t="s">
        <v>125</v>
      </c>
      <c r="C63" s="96"/>
      <c r="D63" s="96"/>
      <c r="E63" s="96"/>
      <c r="G63" s="96"/>
      <c r="H63" s="96"/>
      <c r="I63" s="96"/>
      <c r="J63" s="96"/>
      <c r="K63" s="96"/>
      <c r="L63" s="96"/>
      <c r="M63" s="96"/>
      <c r="N63" s="96"/>
      <c r="O63" s="96"/>
      <c r="P63" s="96"/>
      <c r="Q63" s="96"/>
      <c r="AA63" s="10">
        <f t="shared" ref="AA63:AA64" si="100">M63</f>
        <v>0</v>
      </c>
      <c r="AB63" s="10">
        <f t="shared" ref="AB63:AB64" si="101">N63</f>
        <v>0</v>
      </c>
      <c r="AC63" s="10">
        <f t="shared" ref="AC63:AC64" si="102">O63</f>
        <v>0</v>
      </c>
      <c r="AD63" s="10">
        <f t="shared" ref="AD63:AD64" si="103">P63</f>
        <v>0</v>
      </c>
      <c r="AE63" s="10">
        <f t="shared" ref="AE63:AE64" si="104">Q63</f>
        <v>0</v>
      </c>
    </row>
    <row r="64" spans="2:31">
      <c r="B64" s="8" t="s">
        <v>126</v>
      </c>
      <c r="C64" s="96"/>
      <c r="D64" s="96"/>
      <c r="E64" s="96"/>
      <c r="G64" s="96"/>
      <c r="H64" s="96"/>
      <c r="I64" s="96"/>
      <c r="J64" s="96"/>
      <c r="K64" s="96"/>
      <c r="L64" s="96"/>
      <c r="M64" s="96"/>
      <c r="N64" s="96"/>
      <c r="O64" s="96"/>
      <c r="P64" s="96"/>
      <c r="Q64" s="96"/>
      <c r="AA64" s="10">
        <f t="shared" si="100"/>
        <v>0</v>
      </c>
      <c r="AB64" s="10">
        <f t="shared" si="101"/>
        <v>0</v>
      </c>
      <c r="AC64" s="10">
        <f t="shared" si="102"/>
        <v>0</v>
      </c>
      <c r="AD64" s="10">
        <f t="shared" si="103"/>
        <v>0</v>
      </c>
      <c r="AE64" s="10">
        <f t="shared" si="104"/>
        <v>0</v>
      </c>
    </row>
    <row r="65" spans="1:31">
      <c r="E65" s="10"/>
    </row>
    <row r="66" spans="1:31">
      <c r="B66" s="32" t="s">
        <v>128</v>
      </c>
      <c r="C66" s="83"/>
      <c r="D66" s="83"/>
      <c r="E66" s="83"/>
      <c r="G66" s="83"/>
      <c r="H66" s="83"/>
      <c r="I66" s="83"/>
      <c r="J66" s="10"/>
      <c r="K66" s="83"/>
      <c r="L66" s="83"/>
      <c r="M66" s="83"/>
      <c r="N66" s="10"/>
      <c r="O66" s="83"/>
      <c r="P66" s="83"/>
      <c r="Q66" s="83"/>
      <c r="S66" s="10" t="e">
        <f>#REF!</f>
        <v>#REF!</v>
      </c>
      <c r="T66" s="10" t="e">
        <f>#REF!</f>
        <v>#REF!</v>
      </c>
      <c r="U66" s="10">
        <f t="shared" ref="U66" si="105">G66</f>
        <v>0</v>
      </c>
      <c r="V66" s="10">
        <f t="shared" ref="V66" si="106">H66</f>
        <v>0</v>
      </c>
      <c r="W66" s="10">
        <f t="shared" ref="W66" si="107">I66</f>
        <v>0</v>
      </c>
      <c r="X66" s="10">
        <f t="shared" ref="X66" si="108">J66</f>
        <v>0</v>
      </c>
      <c r="Y66" s="10">
        <f t="shared" ref="Y66" si="109">K66</f>
        <v>0</v>
      </c>
      <c r="Z66" s="10">
        <f t="shared" ref="Z66" si="110">L66</f>
        <v>0</v>
      </c>
      <c r="AA66" s="10">
        <f t="shared" ref="AA66" si="111">M66</f>
        <v>0</v>
      </c>
      <c r="AB66" s="10">
        <f t="shared" ref="AB66" si="112">N66</f>
        <v>0</v>
      </c>
      <c r="AC66" s="10">
        <f t="shared" ref="AC66" si="113">O66</f>
        <v>0</v>
      </c>
      <c r="AD66" s="10">
        <f t="shared" ref="AD66" si="114">P66</f>
        <v>0</v>
      </c>
      <c r="AE66" s="10">
        <f t="shared" ref="AE66" si="115">Q66</f>
        <v>0</v>
      </c>
    </row>
    <row r="67" spans="1:31" ht="12.75" customHeight="1">
      <c r="B67" s="32" t="s">
        <v>127</v>
      </c>
      <c r="C67" s="96"/>
      <c r="D67" s="96"/>
      <c r="E67" s="96"/>
      <c r="G67" s="96"/>
      <c r="H67" s="96"/>
      <c r="I67" s="96"/>
      <c r="J67" s="96"/>
      <c r="K67" s="96"/>
      <c r="L67" s="96"/>
      <c r="M67" s="96"/>
      <c r="N67" s="96"/>
      <c r="O67" s="96"/>
      <c r="P67" s="96"/>
      <c r="Q67" s="96"/>
      <c r="S67" s="10" t="e">
        <f>#REF!</f>
        <v>#REF!</v>
      </c>
      <c r="T67" s="10" t="e">
        <f>#REF!</f>
        <v>#REF!</v>
      </c>
      <c r="U67" s="10">
        <f t="shared" ref="U67:AE67" si="116">G67</f>
        <v>0</v>
      </c>
      <c r="V67" s="10">
        <f t="shared" si="116"/>
        <v>0</v>
      </c>
      <c r="W67" s="10">
        <f t="shared" si="116"/>
        <v>0</v>
      </c>
      <c r="X67" s="10">
        <f t="shared" si="116"/>
        <v>0</v>
      </c>
      <c r="Y67" s="10">
        <f t="shared" si="116"/>
        <v>0</v>
      </c>
      <c r="Z67" s="10">
        <f t="shared" si="116"/>
        <v>0</v>
      </c>
      <c r="AA67" s="10">
        <f t="shared" si="116"/>
        <v>0</v>
      </c>
      <c r="AB67" s="10">
        <f t="shared" si="116"/>
        <v>0</v>
      </c>
      <c r="AC67" s="10">
        <f t="shared" si="116"/>
        <v>0</v>
      </c>
      <c r="AD67" s="10">
        <f t="shared" si="116"/>
        <v>0</v>
      </c>
      <c r="AE67" s="10">
        <f t="shared" si="116"/>
        <v>0</v>
      </c>
    </row>
    <row r="68" spans="1:31" ht="12.75" customHeight="1">
      <c r="B68" s="13" t="s">
        <v>22</v>
      </c>
      <c r="C68" s="14">
        <f>SUM(C67:C67)</f>
        <v>0</v>
      </c>
      <c r="D68" s="14">
        <f>SUM(D67:D67)</f>
        <v>0</v>
      </c>
      <c r="E68" s="14">
        <f>SUM(E67:E67)</f>
        <v>0</v>
      </c>
      <c r="G68" s="14">
        <f t="shared" ref="G68:Q68" si="117">SUM(G67:G67)</f>
        <v>0</v>
      </c>
      <c r="H68" s="14">
        <f t="shared" si="117"/>
        <v>0</v>
      </c>
      <c r="I68" s="14">
        <f t="shared" si="117"/>
        <v>0</v>
      </c>
      <c r="J68" s="14">
        <f t="shared" si="117"/>
        <v>0</v>
      </c>
      <c r="K68" s="14">
        <f t="shared" si="117"/>
        <v>0</v>
      </c>
      <c r="L68" s="14">
        <f t="shared" si="117"/>
        <v>0</v>
      </c>
      <c r="M68" s="14">
        <f t="shared" si="117"/>
        <v>0</v>
      </c>
      <c r="N68" s="14">
        <f t="shared" si="117"/>
        <v>0</v>
      </c>
      <c r="O68" s="14">
        <f t="shared" si="117"/>
        <v>0</v>
      </c>
      <c r="P68" s="14">
        <f t="shared" si="117"/>
        <v>0</v>
      </c>
      <c r="Q68" s="14">
        <f t="shared" si="117"/>
        <v>0</v>
      </c>
      <c r="S68" s="14" t="e">
        <f t="shared" ref="S68:AE68" si="118">SUM(S67:S67)</f>
        <v>#REF!</v>
      </c>
      <c r="T68" s="14" t="e">
        <f t="shared" si="118"/>
        <v>#REF!</v>
      </c>
      <c r="U68" s="14">
        <f t="shared" si="118"/>
        <v>0</v>
      </c>
      <c r="V68" s="14">
        <f t="shared" si="118"/>
        <v>0</v>
      </c>
      <c r="W68" s="14">
        <f t="shared" si="118"/>
        <v>0</v>
      </c>
      <c r="X68" s="14">
        <f t="shared" si="118"/>
        <v>0</v>
      </c>
      <c r="Y68" s="14">
        <f t="shared" si="118"/>
        <v>0</v>
      </c>
      <c r="Z68" s="14">
        <f t="shared" si="118"/>
        <v>0</v>
      </c>
      <c r="AA68" s="14">
        <f t="shared" si="118"/>
        <v>0</v>
      </c>
      <c r="AB68" s="14">
        <f t="shared" si="118"/>
        <v>0</v>
      </c>
      <c r="AC68" s="14">
        <f t="shared" si="118"/>
        <v>0</v>
      </c>
      <c r="AD68" s="14">
        <f t="shared" si="118"/>
        <v>0</v>
      </c>
      <c r="AE68" s="14">
        <f t="shared" si="118"/>
        <v>0</v>
      </c>
    </row>
    <row r="69" spans="1:31" ht="5.0999999999999996" customHeight="1"/>
    <row r="70" spans="1:31" ht="12.75" customHeight="1">
      <c r="B70" s="8" t="s">
        <v>48</v>
      </c>
      <c r="C70" s="145"/>
      <c r="D70" s="145"/>
      <c r="E70" s="145"/>
      <c r="G70" s="145"/>
      <c r="H70" s="145"/>
      <c r="I70" s="145"/>
      <c r="J70" s="145"/>
      <c r="K70" s="145"/>
      <c r="L70" s="145"/>
      <c r="M70" s="145"/>
      <c r="N70" s="145"/>
      <c r="O70" s="145"/>
      <c r="P70" s="145"/>
      <c r="Q70" s="145"/>
      <c r="S70" s="10" t="e">
        <f>#REF!</f>
        <v>#REF!</v>
      </c>
      <c r="T70" s="10" t="e">
        <f>#REF!</f>
        <v>#REF!</v>
      </c>
      <c r="U70" s="10">
        <f t="shared" ref="U70:AE70" si="119">G70</f>
        <v>0</v>
      </c>
      <c r="V70" s="10">
        <f t="shared" si="119"/>
        <v>0</v>
      </c>
      <c r="W70" s="10">
        <f t="shared" si="119"/>
        <v>0</v>
      </c>
      <c r="X70" s="10">
        <f t="shared" si="119"/>
        <v>0</v>
      </c>
      <c r="Y70" s="10">
        <f t="shared" si="119"/>
        <v>0</v>
      </c>
      <c r="Z70" s="10">
        <f t="shared" si="119"/>
        <v>0</v>
      </c>
      <c r="AA70" s="146">
        <f t="shared" si="119"/>
        <v>0</v>
      </c>
      <c r="AB70" s="146">
        <f t="shared" si="119"/>
        <v>0</v>
      </c>
      <c r="AC70" s="146">
        <f t="shared" si="119"/>
        <v>0</v>
      </c>
      <c r="AD70" s="146">
        <f t="shared" si="119"/>
        <v>0</v>
      </c>
      <c r="AE70" s="146">
        <f t="shared" si="119"/>
        <v>0</v>
      </c>
    </row>
    <row r="71" spans="1:31" ht="12.75" customHeight="1">
      <c r="B71" s="13" t="s">
        <v>49</v>
      </c>
      <c r="C71" s="14">
        <f>SUM(C68:C70)</f>
        <v>0</v>
      </c>
      <c r="D71" s="14">
        <f>SUM(D68:D70)</f>
        <v>0</v>
      </c>
      <c r="E71" s="14">
        <f>SUM(E68:E70)</f>
        <v>0</v>
      </c>
      <c r="G71" s="14">
        <f t="shared" ref="G71:L71" si="120">SUM(G68:G70)</f>
        <v>0</v>
      </c>
      <c r="H71" s="14">
        <f t="shared" si="120"/>
        <v>0</v>
      </c>
      <c r="I71" s="14">
        <f t="shared" si="120"/>
        <v>0</v>
      </c>
      <c r="J71" s="14">
        <f t="shared" si="120"/>
        <v>0</v>
      </c>
      <c r="K71" s="14">
        <f t="shared" si="120"/>
        <v>0</v>
      </c>
      <c r="L71" s="14">
        <f t="shared" si="120"/>
        <v>0</v>
      </c>
      <c r="M71" s="14">
        <f>SUM(M68:M70)</f>
        <v>0</v>
      </c>
      <c r="N71" s="14">
        <f>SUM(N68:N70)</f>
        <v>0</v>
      </c>
      <c r="O71" s="14">
        <f>SUM(O68:O70)</f>
        <v>0</v>
      </c>
      <c r="P71" s="14">
        <f>SUM(P68:P70)</f>
        <v>0</v>
      </c>
      <c r="Q71" s="14">
        <f>SUM(Q68:Q70)</f>
        <v>0</v>
      </c>
      <c r="S71" s="14" t="e">
        <f t="shared" ref="S71:AC71" si="121">SUM(S68:S70)</f>
        <v>#REF!</v>
      </c>
      <c r="T71" s="14" t="e">
        <f t="shared" si="121"/>
        <v>#REF!</v>
      </c>
      <c r="U71" s="14">
        <f t="shared" si="121"/>
        <v>0</v>
      </c>
      <c r="V71" s="14">
        <f t="shared" si="121"/>
        <v>0</v>
      </c>
      <c r="W71" s="14">
        <f t="shared" si="121"/>
        <v>0</v>
      </c>
      <c r="X71" s="14">
        <f t="shared" si="121"/>
        <v>0</v>
      </c>
      <c r="Y71" s="14">
        <f t="shared" si="121"/>
        <v>0</v>
      </c>
      <c r="Z71" s="14">
        <f t="shared" si="121"/>
        <v>0</v>
      </c>
      <c r="AA71" s="14">
        <f t="shared" si="121"/>
        <v>0</v>
      </c>
      <c r="AB71" s="14">
        <f t="shared" si="121"/>
        <v>0</v>
      </c>
      <c r="AC71" s="14">
        <f t="shared" si="121"/>
        <v>0</v>
      </c>
      <c r="AD71" s="14">
        <f>SUM(AD68:AD70)</f>
        <v>0</v>
      </c>
      <c r="AE71" s="14">
        <f>SUM(AE68:AE70)</f>
        <v>0</v>
      </c>
    </row>
    <row r="72" spans="1:31" ht="5.0999999999999996" customHeight="1"/>
    <row r="73" spans="1:31" ht="12.75" customHeight="1">
      <c r="A73" s="5"/>
      <c r="B73" s="34" t="s">
        <v>71</v>
      </c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</row>
    <row r="74" spans="1:31" ht="5.0999999999999996" customHeight="1"/>
    <row r="75" spans="1:31" ht="12.75" customHeight="1">
      <c r="B75" s="32" t="s">
        <v>99</v>
      </c>
      <c r="C75" s="85" t="e">
        <f>C68/C29</f>
        <v>#DIV/0!</v>
      </c>
      <c r="D75" s="85" t="e">
        <f>D68/D29</f>
        <v>#DIV/0!</v>
      </c>
      <c r="E75" s="85" t="e">
        <f>E68/E29</f>
        <v>#DIV/0!</v>
      </c>
      <c r="G75" s="85" t="e">
        <f>SUM(G68/SUM(G29:G29))</f>
        <v>#DIV/0!</v>
      </c>
      <c r="H75" s="85" t="e">
        <f>SUM(H68/SUM(G29:H29))</f>
        <v>#DIV/0!</v>
      </c>
      <c r="I75" s="85" t="e">
        <f>SUM(I68/SUM(G29:I29))</f>
        <v>#DIV/0!</v>
      </c>
      <c r="J75" s="85" t="e">
        <f t="shared" ref="J75:Q75" si="122">SUM(J68/SUM(G29:J29))</f>
        <v>#DIV/0!</v>
      </c>
      <c r="K75" s="85" t="e">
        <f t="shared" si="122"/>
        <v>#DIV/0!</v>
      </c>
      <c r="L75" s="85" t="e">
        <f t="shared" si="122"/>
        <v>#DIV/0!</v>
      </c>
      <c r="M75" s="85" t="e">
        <f t="shared" si="122"/>
        <v>#DIV/0!</v>
      </c>
      <c r="N75" s="85" t="e">
        <f t="shared" si="122"/>
        <v>#DIV/0!</v>
      </c>
      <c r="O75" s="85" t="e">
        <f t="shared" si="122"/>
        <v>#DIV/0!</v>
      </c>
      <c r="P75" s="85" t="e">
        <f t="shared" si="122"/>
        <v>#DIV/0!</v>
      </c>
      <c r="Q75" s="85" t="e">
        <f t="shared" si="122"/>
        <v>#DIV/0!</v>
      </c>
      <c r="R75" s="85"/>
      <c r="S75" s="85" t="e">
        <f t="shared" ref="S75:AE75" si="123">S68/S29</f>
        <v>#REF!</v>
      </c>
      <c r="T75" s="85" t="e">
        <f t="shared" si="123"/>
        <v>#REF!</v>
      </c>
      <c r="U75" s="85" t="e">
        <f t="shared" si="123"/>
        <v>#DIV/0!</v>
      </c>
      <c r="V75" s="85" t="e">
        <f t="shared" si="123"/>
        <v>#DIV/0!</v>
      </c>
      <c r="W75" s="85" t="e">
        <f t="shared" si="123"/>
        <v>#DIV/0!</v>
      </c>
      <c r="X75" s="85" t="e">
        <f t="shared" si="123"/>
        <v>#DIV/0!</v>
      </c>
      <c r="Y75" s="85" t="e">
        <f t="shared" si="123"/>
        <v>#DIV/0!</v>
      </c>
      <c r="Z75" s="85" t="e">
        <f t="shared" si="123"/>
        <v>#DIV/0!</v>
      </c>
      <c r="AA75" s="85" t="e">
        <f t="shared" si="123"/>
        <v>#DIV/0!</v>
      </c>
      <c r="AB75" s="85" t="e">
        <f t="shared" si="123"/>
        <v>#DIV/0!</v>
      </c>
      <c r="AC75" s="85" t="e">
        <f t="shared" si="123"/>
        <v>#DIV/0!</v>
      </c>
      <c r="AD75" s="85" t="e">
        <f t="shared" si="123"/>
        <v>#DIV/0!</v>
      </c>
      <c r="AE75" s="85" t="e">
        <f t="shared" si="123"/>
        <v>#DIV/0!</v>
      </c>
    </row>
    <row r="76" spans="1:31" ht="12.75" customHeight="1">
      <c r="B76" s="32" t="s">
        <v>100</v>
      </c>
      <c r="C76" s="85" t="e">
        <f>SUM(C68-C49)/C29</f>
        <v>#DIV/0!</v>
      </c>
      <c r="D76" s="85" t="e">
        <f>SUM(D68-D49)/D29</f>
        <v>#DIV/0!</v>
      </c>
      <c r="E76" s="85" t="e">
        <f>SUM(E68-E49)/E29</f>
        <v>#DIV/0!</v>
      </c>
      <c r="G76" s="85" t="e">
        <f>SUM(G68-G49)/SUM(G29:G29)</f>
        <v>#DIV/0!</v>
      </c>
      <c r="H76" s="85" t="e">
        <f>SUM(H68-H49)/SUM(G29:H29)</f>
        <v>#DIV/0!</v>
      </c>
      <c r="I76" s="85" t="e">
        <f>SUM(I68-I49)/SUM(G29:I29)</f>
        <v>#DIV/0!</v>
      </c>
      <c r="J76" s="85" t="e">
        <f t="shared" ref="J76:Q76" si="124">SUM(J68-J49)/SUM(G29:J29)</f>
        <v>#DIV/0!</v>
      </c>
      <c r="K76" s="85" t="e">
        <f t="shared" si="124"/>
        <v>#DIV/0!</v>
      </c>
      <c r="L76" s="85" t="e">
        <f t="shared" si="124"/>
        <v>#DIV/0!</v>
      </c>
      <c r="M76" s="85" t="e">
        <f t="shared" si="124"/>
        <v>#DIV/0!</v>
      </c>
      <c r="N76" s="85" t="e">
        <f t="shared" si="124"/>
        <v>#DIV/0!</v>
      </c>
      <c r="O76" s="85" t="e">
        <f t="shared" si="124"/>
        <v>#DIV/0!</v>
      </c>
      <c r="P76" s="85" t="e">
        <f t="shared" si="124"/>
        <v>#DIV/0!</v>
      </c>
      <c r="Q76" s="85" t="e">
        <f t="shared" si="124"/>
        <v>#DIV/0!</v>
      </c>
      <c r="R76" s="85"/>
      <c r="S76" s="85" t="e">
        <f t="shared" ref="S76:AE76" si="125">SUM(S68-S49)/S29</f>
        <v>#REF!</v>
      </c>
      <c r="T76" s="85" t="e">
        <f t="shared" si="125"/>
        <v>#REF!</v>
      </c>
      <c r="U76" s="85" t="e">
        <f t="shared" si="125"/>
        <v>#DIV/0!</v>
      </c>
      <c r="V76" s="85" t="e">
        <f t="shared" si="125"/>
        <v>#DIV/0!</v>
      </c>
      <c r="W76" s="85" t="e">
        <f t="shared" si="125"/>
        <v>#DIV/0!</v>
      </c>
      <c r="X76" s="85" t="e">
        <f t="shared" si="125"/>
        <v>#DIV/0!</v>
      </c>
      <c r="Y76" s="85" t="e">
        <f t="shared" si="125"/>
        <v>#DIV/0!</v>
      </c>
      <c r="Z76" s="85" t="e">
        <f t="shared" si="125"/>
        <v>#DIV/0!</v>
      </c>
      <c r="AA76" s="85" t="e">
        <f t="shared" si="125"/>
        <v>#DIV/0!</v>
      </c>
      <c r="AB76" s="85" t="e">
        <f t="shared" si="125"/>
        <v>#DIV/0!</v>
      </c>
      <c r="AC76" s="85" t="e">
        <f t="shared" si="125"/>
        <v>#DIV/0!</v>
      </c>
      <c r="AD76" s="85" t="e">
        <f t="shared" si="125"/>
        <v>#DIV/0!</v>
      </c>
      <c r="AE76" s="85" t="e">
        <f t="shared" si="125"/>
        <v>#DIV/0!</v>
      </c>
    </row>
    <row r="77" spans="1:31" ht="12.75" customHeight="1">
      <c r="B77" s="32" t="s">
        <v>101</v>
      </c>
      <c r="C77" s="85" t="e">
        <f>C29/-C34</f>
        <v>#DIV/0!</v>
      </c>
      <c r="D77" s="85" t="e">
        <f>D29/-D34</f>
        <v>#DIV/0!</v>
      </c>
      <c r="E77" s="85" t="e">
        <f>E29/-E34</f>
        <v>#DIV/0!</v>
      </c>
      <c r="G77" s="85" t="e" cm="1">
        <f t="array" ref="G77">SUM(G29:G29)/SUM(-G34:G34)</f>
        <v>#DIV/0!</v>
      </c>
      <c r="H77" s="85" t="e" cm="1">
        <f t="array" ref="H77">SUM(G29:H29)/SUM(-G34:H34)</f>
        <v>#DIV/0!</v>
      </c>
      <c r="I77" s="85" t="e" cm="1">
        <f t="array" ref="I77">SUM(G29:I29)/SUM(-G34:I34)</f>
        <v>#DIV/0!</v>
      </c>
      <c r="J77" s="85" t="e" cm="1">
        <f t="array" ref="J77">SUM(G29:J29)/SUM(-G34:J34)</f>
        <v>#DIV/0!</v>
      </c>
      <c r="K77" s="85" t="e" cm="1">
        <f t="array" ref="K77">SUM(H29:K29)/SUM(-H34:K34)</f>
        <v>#DIV/0!</v>
      </c>
      <c r="L77" s="85" t="e" cm="1">
        <f t="array" ref="L77">SUM(I29:L29)/SUM(-I34:L34)</f>
        <v>#DIV/0!</v>
      </c>
      <c r="M77" s="85" t="e" cm="1">
        <f t="array" ref="M77">SUM(J29:M29)/SUM(-J34:M34)</f>
        <v>#DIV/0!</v>
      </c>
      <c r="N77" s="85" t="e" cm="1">
        <f t="array" ref="N77">SUM(K29:N29)/SUM(-K34:N34)</f>
        <v>#DIV/0!</v>
      </c>
      <c r="O77" s="85" t="e" cm="1">
        <f t="array" ref="O77">SUM(L29:O29)/SUM(-L34:O34)</f>
        <v>#DIV/0!</v>
      </c>
      <c r="P77" s="85" t="e" cm="1">
        <f t="array" ref="P77">SUM(M29:P29)/SUM(-M34:P34)</f>
        <v>#DIV/0!</v>
      </c>
      <c r="Q77" s="85" t="e" cm="1">
        <f t="array" ref="Q77">SUM(N29:Q29)/SUM(-N34:Q34)</f>
        <v>#DIV/0!</v>
      </c>
      <c r="R77" s="85"/>
      <c r="S77" s="85" t="e">
        <f t="shared" ref="S77:AE77" si="126">S29/-S34</f>
        <v>#DIV/0!</v>
      </c>
      <c r="T77" s="85" t="e">
        <f t="shared" si="126"/>
        <v>#REF!</v>
      </c>
      <c r="U77" s="85" t="e">
        <f t="shared" si="126"/>
        <v>#DIV/0!</v>
      </c>
      <c r="V77" s="85" t="e">
        <f t="shared" si="126"/>
        <v>#DIV/0!</v>
      </c>
      <c r="W77" s="85" t="e">
        <f t="shared" si="126"/>
        <v>#DIV/0!</v>
      </c>
      <c r="X77" s="85" t="e">
        <f t="shared" si="126"/>
        <v>#DIV/0!</v>
      </c>
      <c r="Y77" s="85" t="e">
        <f t="shared" si="126"/>
        <v>#DIV/0!</v>
      </c>
      <c r="Z77" s="85" t="e">
        <f t="shared" si="126"/>
        <v>#DIV/0!</v>
      </c>
      <c r="AA77" s="85" t="e">
        <f t="shared" si="126"/>
        <v>#DIV/0!</v>
      </c>
      <c r="AB77" s="85" t="e">
        <f t="shared" si="126"/>
        <v>#DIV/0!</v>
      </c>
      <c r="AC77" s="85" t="e">
        <f t="shared" si="126"/>
        <v>#DIV/0!</v>
      </c>
      <c r="AD77" s="85" t="e">
        <f t="shared" si="126"/>
        <v>#DIV/0!</v>
      </c>
      <c r="AE77" s="85" t="e">
        <f t="shared" si="126"/>
        <v>#DIV/0!</v>
      </c>
    </row>
    <row r="78" spans="1:31" ht="12.75" customHeight="1">
      <c r="B78" s="32" t="s">
        <v>102</v>
      </c>
      <c r="C78" s="85" t="e" cm="1">
        <f t="array" ref="C78">SUM(C29+C32)/SUM(-C33:C34)</f>
        <v>#DIV/0!</v>
      </c>
      <c r="D78" s="85" t="e" cm="1">
        <f t="array" ref="D78">SUM(D29+D32)/SUM(-D33:D34)</f>
        <v>#DIV/0!</v>
      </c>
      <c r="E78" s="85" t="e" cm="1">
        <f t="array" ref="E78">SUM(E29+E32)/SUM(-E33:E34)</f>
        <v>#DIV/0!</v>
      </c>
      <c r="G78" s="85" t="e" cm="1">
        <f t="array" ref="G78">SUM(G29:G29+G32:G32)/SUM(-G33:G34)</f>
        <v>#DIV/0!</v>
      </c>
      <c r="H78" s="85" t="e" cm="1">
        <f t="array" ref="H78">SUM(G29:H29+G32:H32)/SUM(-G33:H34)</f>
        <v>#DIV/0!</v>
      </c>
      <c r="I78" s="85" t="e" cm="1">
        <f t="array" ref="I78">SUM(G29:I29+G32:I32)/SUM(-G33:I34)</f>
        <v>#DIV/0!</v>
      </c>
      <c r="J78" s="85" t="e" cm="1">
        <f t="array" ref="J78">SUM(G29:J29+G32:J32)/SUM(-G33:J34)</f>
        <v>#DIV/0!</v>
      </c>
      <c r="K78" s="85" t="e" cm="1">
        <f t="array" ref="K78">SUM(H29:K29+H32:K32)/SUM(-H33:K34)</f>
        <v>#DIV/0!</v>
      </c>
      <c r="L78" s="85" t="e" cm="1">
        <f t="array" ref="L78">SUM(I29:L29+I32:L32)/SUM(-I33:L34)</f>
        <v>#DIV/0!</v>
      </c>
      <c r="M78" s="85" t="e" cm="1">
        <f t="array" ref="M78">SUM(J29:M29+J32:M32)/SUM(-J33:M34)</f>
        <v>#DIV/0!</v>
      </c>
      <c r="N78" s="85" t="e" cm="1">
        <f t="array" ref="N78">SUM(K29:N29+K32:N32)/SUM(-K33:N34)</f>
        <v>#DIV/0!</v>
      </c>
      <c r="O78" s="85" t="e" cm="1">
        <f t="array" ref="O78">SUM(L29:O29+L32:O32)/SUM(-L33:O34)</f>
        <v>#DIV/0!</v>
      </c>
      <c r="P78" s="85" t="e" cm="1">
        <f t="array" ref="P78">SUM(M29:P29+M32:P32)/SUM(-M33:P34)</f>
        <v>#DIV/0!</v>
      </c>
      <c r="Q78" s="85" t="e" cm="1">
        <f t="array" ref="Q78">SUM(N29:Q29+N32:Q32)/SUM(-N33:Q34)</f>
        <v>#DIV/0!</v>
      </c>
      <c r="R78" s="85"/>
      <c r="S78" s="85" t="e" cm="1">
        <f t="array" ref="S78">SUM(S29+S32)/SUM(-S33:S34)</f>
        <v>#DIV/0!</v>
      </c>
      <c r="T78" s="85" t="e" cm="1">
        <f t="array" ref="T78">SUM(T29+T32)/SUM(-T33:T34)</f>
        <v>#REF!</v>
      </c>
      <c r="U78" s="85" t="e" cm="1">
        <f t="array" ref="U78">SUM(U29+U32)/SUM(-U33:U34)</f>
        <v>#DIV/0!</v>
      </c>
      <c r="V78" s="85" t="e" cm="1">
        <f t="array" ref="V78">SUM(V29+V32)/SUM(-V33:V34)</f>
        <v>#DIV/0!</v>
      </c>
      <c r="W78" s="85" t="e" cm="1">
        <f t="array" ref="W78">SUM(W29+W32)/SUM(-W33:W34)</f>
        <v>#DIV/0!</v>
      </c>
      <c r="X78" s="85" t="e" cm="1">
        <f t="array" ref="X78">SUM(X29+X32)/SUM(-X33:X34)</f>
        <v>#DIV/0!</v>
      </c>
      <c r="Y78" s="85" t="e" cm="1">
        <f t="array" ref="Y78">SUM(Y29+Y32)/SUM(-Y33:Y34)</f>
        <v>#DIV/0!</v>
      </c>
      <c r="Z78" s="85" t="e" cm="1">
        <f t="array" ref="Z78">SUM(Z29+Z32)/SUM(-Z33:Z34)</f>
        <v>#DIV/0!</v>
      </c>
      <c r="AA78" s="85" t="e" cm="1">
        <f t="array" ref="AA78">SUM(AA29+AA32)/SUM(-AA33:AA34)</f>
        <v>#DIV/0!</v>
      </c>
      <c r="AB78" s="85" t="e" cm="1">
        <f t="array" ref="AB78">SUM(AB29+AB32)/SUM(-AB33:AB34)</f>
        <v>#DIV/0!</v>
      </c>
      <c r="AC78" s="85" t="e" cm="1">
        <f t="array" ref="AC78">SUM(AC29+AC32)/SUM(-AC33:AC34)</f>
        <v>#DIV/0!</v>
      </c>
      <c r="AD78" s="85" t="e" cm="1">
        <f t="array" ref="AD78">SUM(AD29+AD32)/SUM(-AD33:AD34)</f>
        <v>#DIV/0!</v>
      </c>
      <c r="AE78" s="85" t="e" cm="1">
        <f t="array" ref="AE78">SUM(AE29+AE32)/SUM(-AE33:AE34)</f>
        <v>#DIV/0!</v>
      </c>
    </row>
    <row r="79" spans="1:31" ht="12.75" customHeight="1">
      <c r="B79" s="32" t="s">
        <v>103</v>
      </c>
      <c r="C79" s="85" t="e" cm="1">
        <f t="array" ref="C79">SUM(C29)/SUM(-C32:C34)</f>
        <v>#DIV/0!</v>
      </c>
      <c r="D79" s="85" t="e" cm="1">
        <f t="array" ref="D79">SUM(D29)/SUM(-D32:D34)</f>
        <v>#DIV/0!</v>
      </c>
      <c r="E79" s="85" t="e" cm="1">
        <f t="array" ref="E79">SUM(E29)/SUM(-E32:E34)</f>
        <v>#DIV/0!</v>
      </c>
      <c r="G79" s="85" t="e" cm="1">
        <f t="array" ref="G79">SUM(G29:G29)/SUM(-G32:G34)</f>
        <v>#DIV/0!</v>
      </c>
      <c r="H79" s="85" t="e" cm="1">
        <f t="array" ref="H79">SUM(G29:H29)/SUM(-G32:H34)</f>
        <v>#DIV/0!</v>
      </c>
      <c r="I79" s="85" t="e" cm="1">
        <f t="array" ref="I79">SUM(G29:I29)/SUM(-G32:I34)</f>
        <v>#DIV/0!</v>
      </c>
      <c r="J79" s="85" t="e" cm="1">
        <f t="array" ref="J79">SUM(G29:J29)/SUM(-G32:J34)</f>
        <v>#DIV/0!</v>
      </c>
      <c r="K79" s="85" t="e" cm="1">
        <f t="array" ref="K79">SUM(H29:K29)/SUM(-H32:K34)</f>
        <v>#DIV/0!</v>
      </c>
      <c r="L79" s="85" t="e" cm="1">
        <f t="array" ref="L79">SUM(I29:L29)/SUM(-I32:L34)</f>
        <v>#DIV/0!</v>
      </c>
      <c r="M79" s="85" t="e" cm="1">
        <f t="array" ref="M79">SUM(J29:M29)/SUM(-J32:M34)</f>
        <v>#DIV/0!</v>
      </c>
      <c r="N79" s="85" t="e" cm="1">
        <f t="array" ref="N79">SUM(K29:N29)/SUM(-K32:N34)</f>
        <v>#DIV/0!</v>
      </c>
      <c r="O79" s="85" t="e" cm="1">
        <f t="array" ref="O79">SUM(L29:O29)/SUM(-L32:O34)</f>
        <v>#DIV/0!</v>
      </c>
      <c r="P79" s="85" t="e" cm="1">
        <f t="array" ref="P79">SUM(M29:P29)/SUM(-M32:P34)</f>
        <v>#DIV/0!</v>
      </c>
      <c r="Q79" s="85" t="e" cm="1">
        <f t="array" ref="Q79">SUM(N29:Q29)/SUM(-N32:Q34)</f>
        <v>#DIV/0!</v>
      </c>
      <c r="R79" s="85"/>
      <c r="S79" s="85" t="e" cm="1">
        <f t="array" ref="S79">SUM(S29)/SUM(-S32:S34)</f>
        <v>#DIV/0!</v>
      </c>
      <c r="T79" s="85" t="e" cm="1">
        <f t="array" ref="T79">SUM(T29)/SUM(-T32:T34)</f>
        <v>#REF!</v>
      </c>
      <c r="U79" s="85" t="e" cm="1">
        <f t="array" ref="U79">SUM(U29)/SUM(-U32:U34)</f>
        <v>#DIV/0!</v>
      </c>
      <c r="V79" s="85" t="e" cm="1">
        <f t="array" ref="V79">SUM(V29)/SUM(-V32:V34)</f>
        <v>#DIV/0!</v>
      </c>
      <c r="W79" s="85" t="e" cm="1">
        <f t="array" ref="W79">SUM(W29)/SUM(-W32:W34)</f>
        <v>#DIV/0!</v>
      </c>
      <c r="X79" s="85" t="e" cm="1">
        <f t="array" ref="X79">SUM(X29)/SUM(-X32:X34)</f>
        <v>#DIV/0!</v>
      </c>
      <c r="Y79" s="85" t="e" cm="1">
        <f t="array" ref="Y79">SUM(Y29)/SUM(-Y32:Y34)</f>
        <v>#DIV/0!</v>
      </c>
      <c r="Z79" s="85" t="e" cm="1">
        <f t="array" ref="Z79">SUM(Z29)/SUM(-Z32:Z34)</f>
        <v>#DIV/0!</v>
      </c>
      <c r="AA79" s="85" t="e" cm="1">
        <f t="array" ref="AA79">SUM(AA29)/SUM(-AA32:AA34)</f>
        <v>#DIV/0!</v>
      </c>
      <c r="AB79" s="85" t="e" cm="1">
        <f t="array" ref="AB79">SUM(AB29)/SUM(-AB32:AB34)</f>
        <v>#DIV/0!</v>
      </c>
      <c r="AC79" s="85" t="e" cm="1">
        <f t="array" ref="AC79">SUM(AC29)/SUM(-AC32:AC34)</f>
        <v>#DIV/0!</v>
      </c>
      <c r="AD79" s="85" t="e" cm="1">
        <f t="array" ref="AD79">SUM(AD29)/SUM(-AD32:AD34)</f>
        <v>#DIV/0!</v>
      </c>
      <c r="AE79" s="85" t="e" cm="1">
        <f t="array" ref="AE79">SUM(AE29)/SUM(-AE32:AE34)</f>
        <v>#DIV/0!</v>
      </c>
    </row>
    <row r="80" spans="1:31" ht="12.75" customHeight="1">
      <c r="B80" s="8" t="s">
        <v>50</v>
      </c>
      <c r="C80" s="85" t="e">
        <f>C71/C68</f>
        <v>#DIV/0!</v>
      </c>
      <c r="D80" s="85" t="e">
        <f>D71/D68</f>
        <v>#DIV/0!</v>
      </c>
      <c r="E80" s="85" t="e">
        <f>E71/E68</f>
        <v>#DIV/0!</v>
      </c>
      <c r="G80" s="85" t="e">
        <f t="shared" ref="G80:P80" si="127">G71/G68</f>
        <v>#DIV/0!</v>
      </c>
      <c r="H80" s="85" t="e">
        <f t="shared" si="127"/>
        <v>#DIV/0!</v>
      </c>
      <c r="I80" s="85" t="e">
        <f t="shared" si="127"/>
        <v>#DIV/0!</v>
      </c>
      <c r="J80" s="85" t="e">
        <f t="shared" si="127"/>
        <v>#DIV/0!</v>
      </c>
      <c r="K80" s="85" t="e">
        <f t="shared" si="127"/>
        <v>#DIV/0!</v>
      </c>
      <c r="L80" s="85" t="e">
        <f t="shared" si="127"/>
        <v>#DIV/0!</v>
      </c>
      <c r="M80" s="85" t="e">
        <f t="shared" si="127"/>
        <v>#DIV/0!</v>
      </c>
      <c r="N80" s="85" t="e">
        <f t="shared" si="127"/>
        <v>#DIV/0!</v>
      </c>
      <c r="O80" s="85" t="e">
        <f t="shared" si="127"/>
        <v>#DIV/0!</v>
      </c>
      <c r="P80" s="85" t="e">
        <f t="shared" si="127"/>
        <v>#DIV/0!</v>
      </c>
      <c r="Q80" s="85" t="e">
        <f>Q71/Q68</f>
        <v>#DIV/0!</v>
      </c>
      <c r="R80" s="85"/>
      <c r="S80" s="85" t="e">
        <f t="shared" ref="S80:AC80" si="128">S71/S68</f>
        <v>#REF!</v>
      </c>
      <c r="T80" s="85" t="e">
        <f t="shared" si="128"/>
        <v>#REF!</v>
      </c>
      <c r="U80" s="85" t="e">
        <f t="shared" si="128"/>
        <v>#DIV/0!</v>
      </c>
      <c r="V80" s="85" t="e">
        <f t="shared" si="128"/>
        <v>#DIV/0!</v>
      </c>
      <c r="W80" s="85" t="e">
        <f t="shared" si="128"/>
        <v>#DIV/0!</v>
      </c>
      <c r="X80" s="85" t="e">
        <f t="shared" si="128"/>
        <v>#DIV/0!</v>
      </c>
      <c r="Y80" s="85" t="e">
        <f t="shared" si="128"/>
        <v>#DIV/0!</v>
      </c>
      <c r="Z80" s="85" t="e">
        <f t="shared" si="128"/>
        <v>#DIV/0!</v>
      </c>
      <c r="AA80" s="85" t="e">
        <f t="shared" si="128"/>
        <v>#DIV/0!</v>
      </c>
      <c r="AB80" s="85" t="e">
        <f t="shared" si="128"/>
        <v>#DIV/0!</v>
      </c>
      <c r="AC80" s="85" t="e">
        <f t="shared" si="128"/>
        <v>#DIV/0!</v>
      </c>
      <c r="AD80" s="85" t="e">
        <f>AD71/AD68</f>
        <v>#DIV/0!</v>
      </c>
      <c r="AE80" s="85" t="e">
        <f>AE71/AE68</f>
        <v>#DIV/0!</v>
      </c>
    </row>
    <row r="81" spans="2:31" ht="5.0999999999999996" customHeight="1" thickBot="1"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</row>
  </sheetData>
  <mergeCells count="1">
    <mergeCell ref="AG2:AG4"/>
  </mergeCells>
  <dataValidations disablePrompts="1" count="1">
    <dataValidation type="list" allowBlank="1" showInputMessage="1" showErrorMessage="1" sqref="B4" xr:uid="{060857CB-86CD-4220-87C0-9A83C6E53284}">
      <formula1>"$ bns except per share, $ mm except per share,$ in thousands except per share"</formula1>
    </dataValidation>
  </dataValidations>
  <pageMargins left="0.7" right="0.7" top="0.75" bottom="0.75" header="0.3" footer="0.3"/>
  <ignoredErrors>
    <ignoredError sqref="C36:F37 AF37:AG37 F32:F34 F39 AF39:AG39 AF35 AF36 F35 AF38:AG38 F38 G36:P37" formulaRange="1"/>
    <ignoredError sqref="C75:F80 C9:F11 C21:F22 F12 R12:AE12 C15:F16 F17:F20 R17:AE19 C26:F27 F23 R23:AE23 C29:F30 F28 AG25:AG36 R28:AE28 AG8:AG12 F14 AG14:AG23 F25 G75:AE80 G10:AE11 G21:AE22 G15:AE16 G26:AE27 G29:AE30 K9:AE9" evalError="1"/>
    <ignoredError sqref="AA42:AE4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2025-12-12T19:41:41Z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