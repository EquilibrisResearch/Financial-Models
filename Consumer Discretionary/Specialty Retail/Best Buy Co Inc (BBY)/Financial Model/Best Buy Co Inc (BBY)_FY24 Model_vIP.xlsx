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793C0F93-0B86-44EF-B5B2-8E023339AAC2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8" l="1"/>
  <c r="P26" i="8"/>
  <c r="L27" i="8"/>
  <c r="L26" i="8"/>
  <c r="D131" i="8"/>
  <c r="C131" i="8"/>
  <c r="D126" i="8"/>
  <c r="C126" i="8"/>
  <c r="D117" i="8"/>
  <c r="C117" i="8"/>
  <c r="D88" i="8"/>
  <c r="C88" i="8"/>
  <c r="D87" i="8"/>
  <c r="C87" i="8"/>
  <c r="D79" i="8"/>
  <c r="C79" i="8"/>
  <c r="D66" i="8"/>
  <c r="D72" i="8" s="1"/>
  <c r="C66" i="8"/>
  <c r="C72" i="8" s="1"/>
  <c r="D50" i="8"/>
  <c r="D57" i="8" s="1"/>
  <c r="C50" i="8"/>
  <c r="C57" i="8" s="1"/>
  <c r="D43" i="8"/>
  <c r="C43" i="8"/>
  <c r="D42" i="8"/>
  <c r="C42" i="8"/>
  <c r="D11" i="8"/>
  <c r="D14" i="8" s="1"/>
  <c r="D19" i="8" s="1"/>
  <c r="C11" i="8"/>
  <c r="C14" i="8" s="1"/>
  <c r="C19" i="8" s="1"/>
  <c r="T141" i="8"/>
  <c r="P141" i="8"/>
  <c r="L141" i="8"/>
  <c r="T125" i="8"/>
  <c r="AF125" i="8" s="1"/>
  <c r="P125" i="8"/>
  <c r="AE125" i="8" s="1"/>
  <c r="L125" i="8"/>
  <c r="T124" i="8"/>
  <c r="AH124" i="8" s="1"/>
  <c r="P124" i="8"/>
  <c r="AE124" i="8" s="1"/>
  <c r="L124" i="8"/>
  <c r="T121" i="8"/>
  <c r="P121" i="8"/>
  <c r="L121" i="8"/>
  <c r="T120" i="8"/>
  <c r="P120" i="8"/>
  <c r="L120" i="8"/>
  <c r="T78" i="8"/>
  <c r="AF78" i="8" s="1"/>
  <c r="P78" i="8"/>
  <c r="L78" i="8"/>
  <c r="T77" i="8"/>
  <c r="AF77" i="8" s="1"/>
  <c r="P77" i="8"/>
  <c r="L77" i="8"/>
  <c r="T76" i="8"/>
  <c r="AF76" i="8" s="1"/>
  <c r="P76" i="8"/>
  <c r="L76" i="8"/>
  <c r="T75" i="8"/>
  <c r="AF75" i="8" s="1"/>
  <c r="P75" i="8"/>
  <c r="L75" i="8"/>
  <c r="T74" i="8"/>
  <c r="AF74" i="8" s="1"/>
  <c r="P74" i="8"/>
  <c r="L74" i="8"/>
  <c r="T71" i="8"/>
  <c r="AF71" i="8" s="1"/>
  <c r="P71" i="8"/>
  <c r="L71" i="8"/>
  <c r="T70" i="8"/>
  <c r="AF70" i="8" s="1"/>
  <c r="P70" i="8"/>
  <c r="AA70" i="8" s="1"/>
  <c r="L70" i="8"/>
  <c r="T69" i="8"/>
  <c r="AF69" i="8" s="1"/>
  <c r="P69" i="8"/>
  <c r="L69" i="8"/>
  <c r="T65" i="8"/>
  <c r="AF65" i="8" s="1"/>
  <c r="P65" i="8"/>
  <c r="L65" i="8"/>
  <c r="T64" i="8"/>
  <c r="AF64" i="8" s="1"/>
  <c r="P64" i="8"/>
  <c r="L64" i="8"/>
  <c r="T63" i="8"/>
  <c r="AF63" i="8" s="1"/>
  <c r="P63" i="8"/>
  <c r="L63" i="8"/>
  <c r="T62" i="8"/>
  <c r="AF62" i="8" s="1"/>
  <c r="P62" i="8"/>
  <c r="L62" i="8"/>
  <c r="T61" i="8"/>
  <c r="AF61" i="8" s="1"/>
  <c r="P61" i="8"/>
  <c r="L61" i="8"/>
  <c r="T60" i="8"/>
  <c r="AF60" i="8" s="1"/>
  <c r="P60" i="8"/>
  <c r="L60" i="8"/>
  <c r="T49" i="8"/>
  <c r="AF49" i="8" s="1"/>
  <c r="P49" i="8"/>
  <c r="AB49" i="8" s="1"/>
  <c r="L49" i="8"/>
  <c r="X49" i="8" s="1"/>
  <c r="T48" i="8"/>
  <c r="AF48" i="8" s="1"/>
  <c r="P48" i="8"/>
  <c r="AB48" i="8" s="1"/>
  <c r="L48" i="8"/>
  <c r="X48" i="8" s="1"/>
  <c r="T47" i="8"/>
  <c r="AF47" i="8" s="1"/>
  <c r="P47" i="8"/>
  <c r="AB47" i="8" s="1"/>
  <c r="L47" i="8"/>
  <c r="X47" i="8" s="1"/>
  <c r="AH78" i="8"/>
  <c r="AG78" i="8"/>
  <c r="AE78" i="8"/>
  <c r="AD78" i="8"/>
  <c r="AH77" i="8"/>
  <c r="AG77" i="8"/>
  <c r="AE77" i="8"/>
  <c r="AD77" i="8"/>
  <c r="AH76" i="8"/>
  <c r="AG76" i="8"/>
  <c r="AE76" i="8"/>
  <c r="AD76" i="8"/>
  <c r="AH75" i="8"/>
  <c r="AG75" i="8"/>
  <c r="AE75" i="8"/>
  <c r="AD75" i="8"/>
  <c r="AH74" i="8"/>
  <c r="AG74" i="8"/>
  <c r="AE74" i="8"/>
  <c r="AD74" i="8"/>
  <c r="AH71" i="8"/>
  <c r="AG71" i="8"/>
  <c r="AE71" i="8"/>
  <c r="AD71" i="8"/>
  <c r="AH70" i="8"/>
  <c r="AG70" i="8"/>
  <c r="AE70" i="8"/>
  <c r="AD70" i="8"/>
  <c r="AH69" i="8"/>
  <c r="AG69" i="8"/>
  <c r="AE69" i="8"/>
  <c r="AD69" i="8"/>
  <c r="AH65" i="8"/>
  <c r="AG65" i="8"/>
  <c r="AE65" i="8"/>
  <c r="AD65" i="8"/>
  <c r="AH64" i="8"/>
  <c r="AG64" i="8"/>
  <c r="AE64" i="8"/>
  <c r="AD64" i="8"/>
  <c r="AH63" i="8"/>
  <c r="AG63" i="8"/>
  <c r="AE63" i="8"/>
  <c r="AD63" i="8"/>
  <c r="AH62" i="8"/>
  <c r="AG62" i="8"/>
  <c r="AE62" i="8"/>
  <c r="AD62" i="8"/>
  <c r="AH61" i="8"/>
  <c r="AG61" i="8"/>
  <c r="AE61" i="8"/>
  <c r="AD61" i="8"/>
  <c r="AH60" i="8"/>
  <c r="AG60" i="8"/>
  <c r="AE60" i="8"/>
  <c r="AD60" i="8"/>
  <c r="AG49" i="8"/>
  <c r="AE49" i="8"/>
  <c r="AD49" i="8"/>
  <c r="AC49" i="8"/>
  <c r="AA49" i="8"/>
  <c r="Z49" i="8"/>
  <c r="Y49" i="8"/>
  <c r="AG48" i="8"/>
  <c r="AE48" i="8"/>
  <c r="AD48" i="8"/>
  <c r="AC48" i="8"/>
  <c r="AA48" i="8"/>
  <c r="Z48" i="8"/>
  <c r="Y48" i="8"/>
  <c r="AG47" i="8"/>
  <c r="AE47" i="8"/>
  <c r="AD47" i="8"/>
  <c r="AC47" i="8"/>
  <c r="AA47" i="8"/>
  <c r="Z47" i="8"/>
  <c r="Y47" i="8"/>
  <c r="AG46" i="8"/>
  <c r="AE46" i="8"/>
  <c r="AD46" i="8"/>
  <c r="AC46" i="8"/>
  <c r="AA46" i="8"/>
  <c r="Z46" i="8"/>
  <c r="Y46" i="8"/>
  <c r="AH49" i="8"/>
  <c r="AH48" i="8"/>
  <c r="AH47" i="8"/>
  <c r="AH46" i="8"/>
  <c r="AJ46" i="8" s="1"/>
  <c r="AH38" i="8"/>
  <c r="AG38" i="8"/>
  <c r="AE38" i="8"/>
  <c r="AD38" i="8"/>
  <c r="AG35" i="8"/>
  <c r="AE35" i="8"/>
  <c r="AD35" i="8"/>
  <c r="AC35" i="8"/>
  <c r="AA35" i="8"/>
  <c r="Z35" i="8"/>
  <c r="Y35" i="8"/>
  <c r="AH35" i="8"/>
  <c r="AG8" i="8"/>
  <c r="AF8" i="8"/>
  <c r="AE8" i="8"/>
  <c r="AD8" i="8"/>
  <c r="AC8" i="8"/>
  <c r="AB8" i="8"/>
  <c r="AA8" i="8"/>
  <c r="Z8" i="8"/>
  <c r="Y8" i="8"/>
  <c r="X8" i="8"/>
  <c r="AG7" i="8"/>
  <c r="AF7" i="8"/>
  <c r="AE7" i="8"/>
  <c r="AD7" i="8"/>
  <c r="AC7" i="8"/>
  <c r="AB7" i="8"/>
  <c r="AA7" i="8"/>
  <c r="Z7" i="8"/>
  <c r="Y7" i="8"/>
  <c r="X7" i="8"/>
  <c r="AH8" i="8"/>
  <c r="AH7" i="8"/>
  <c r="G126" i="8"/>
  <c r="AC70" i="8"/>
  <c r="AB70" i="8"/>
  <c r="Z70" i="8"/>
  <c r="Y70" i="8"/>
  <c r="X70" i="8"/>
  <c r="U126" i="8"/>
  <c r="E126" i="8"/>
  <c r="T99" i="8"/>
  <c r="AH99" i="8" s="1"/>
  <c r="T98" i="8"/>
  <c r="AG98" i="8" s="1"/>
  <c r="P107" i="8"/>
  <c r="AE107" i="8" s="1"/>
  <c r="L99" i="8"/>
  <c r="L111" i="8"/>
  <c r="T46" i="8"/>
  <c r="AF46" i="8" s="1"/>
  <c r="P46" i="8"/>
  <c r="AB46" i="8" s="1"/>
  <c r="L46" i="8"/>
  <c r="X46" i="8" s="1"/>
  <c r="T25" i="8"/>
  <c r="AG25" i="8" s="1"/>
  <c r="T24" i="8"/>
  <c r="AH24" i="8" s="1"/>
  <c r="T23" i="8"/>
  <c r="AH23" i="8" s="1"/>
  <c r="T22" i="8"/>
  <c r="AF22" i="8" s="1"/>
  <c r="L25" i="8"/>
  <c r="L24" i="8"/>
  <c r="L23" i="8"/>
  <c r="L22" i="8"/>
  <c r="P25" i="8"/>
  <c r="AE25" i="8" s="1"/>
  <c r="P24" i="8"/>
  <c r="AD24" i="8" s="1"/>
  <c r="P23" i="8"/>
  <c r="AE23" i="8" s="1"/>
  <c r="P22" i="8"/>
  <c r="AE22" i="8" s="1"/>
  <c r="AD125" i="8" l="1"/>
  <c r="AJ48" i="8"/>
  <c r="AJ76" i="8"/>
  <c r="AJ49" i="8"/>
  <c r="AG125" i="8"/>
  <c r="AH125" i="8"/>
  <c r="D80" i="8"/>
  <c r="D82" i="8" s="1"/>
  <c r="C20" i="8"/>
  <c r="C28" i="8"/>
  <c r="D20" i="8"/>
  <c r="D28" i="8"/>
  <c r="C80" i="8"/>
  <c r="C82" i="8" s="1"/>
  <c r="C15" i="8"/>
  <c r="D15" i="8"/>
  <c r="AJ62" i="8"/>
  <c r="AJ78" i="8"/>
  <c r="AJ75" i="8"/>
  <c r="AJ64" i="8"/>
  <c r="AJ69" i="8"/>
  <c r="AJ61" i="8"/>
  <c r="AJ71" i="8"/>
  <c r="AJ63" i="8"/>
  <c r="AJ77" i="8"/>
  <c r="AJ65" i="8"/>
  <c r="AJ74" i="8"/>
  <c r="AJ47" i="8"/>
  <c r="AJ70" i="8"/>
  <c r="AD124" i="8"/>
  <c r="AJ124" i="8" s="1"/>
  <c r="AG124" i="8"/>
  <c r="AF124" i="8"/>
  <c r="AH98" i="8"/>
  <c r="AF99" i="8"/>
  <c r="AG99" i="8"/>
  <c r="AF98" i="8"/>
  <c r="AD107" i="8"/>
  <c r="AJ24" i="8"/>
  <c r="V126" i="8"/>
  <c r="AD23" i="8"/>
  <c r="AJ23" i="8" s="1"/>
  <c r="AG22" i="8"/>
  <c r="AE24" i="8"/>
  <c r="AH25" i="8"/>
  <c r="AH22" i="8"/>
  <c r="AF24" i="8"/>
  <c r="AG24" i="8"/>
  <c r="AF23" i="8"/>
  <c r="AD25" i="8"/>
  <c r="AD22" i="8"/>
  <c r="AG23" i="8"/>
  <c r="AF25" i="8"/>
  <c r="O126" i="8"/>
  <c r="F126" i="8"/>
  <c r="M126" i="8"/>
  <c r="N126" i="8"/>
  <c r="I126" i="8"/>
  <c r="Q126" i="8"/>
  <c r="J126" i="8"/>
  <c r="R126" i="8"/>
  <c r="S126" i="8"/>
  <c r="AA124" i="8"/>
  <c r="AA126" i="8" s="1"/>
  <c r="AB124" i="8"/>
  <c r="AB126" i="8" s="1"/>
  <c r="AC124" i="8"/>
  <c r="AC126" i="8" s="1"/>
  <c r="Z124" i="8"/>
  <c r="Z126" i="8" s="1"/>
  <c r="L106" i="8"/>
  <c r="P95" i="8"/>
  <c r="P94" i="8"/>
  <c r="L95" i="8"/>
  <c r="P96" i="8"/>
  <c r="P111" i="8"/>
  <c r="T95" i="8"/>
  <c r="AH95" i="8" s="1"/>
  <c r="L107" i="8"/>
  <c r="L102" i="8"/>
  <c r="P103" i="8"/>
  <c r="T96" i="8"/>
  <c r="P104" i="8"/>
  <c r="P99" i="8"/>
  <c r="T97" i="8"/>
  <c r="T111" i="8"/>
  <c r="L104" i="8"/>
  <c r="P105" i="8"/>
  <c r="L105" i="8"/>
  <c r="P106" i="8"/>
  <c r="L97" i="8"/>
  <c r="L94" i="8"/>
  <c r="L96" i="8"/>
  <c r="L98" i="8"/>
  <c r="L103" i="8"/>
  <c r="AJ125" i="8" l="1"/>
  <c r="D32" i="8"/>
  <c r="D29" i="8"/>
  <c r="C32" i="8"/>
  <c r="C29" i="8"/>
  <c r="AJ25" i="8"/>
  <c r="AE95" i="8"/>
  <c r="AD95" i="8"/>
  <c r="AE106" i="8"/>
  <c r="AD106" i="8"/>
  <c r="AE104" i="8"/>
  <c r="AD104" i="8"/>
  <c r="AD111" i="8"/>
  <c r="AE111" i="8"/>
  <c r="AJ22" i="8"/>
  <c r="AG97" i="8"/>
  <c r="AF97" i="8"/>
  <c r="AH97" i="8"/>
  <c r="AE99" i="8"/>
  <c r="AD99" i="8"/>
  <c r="AJ99" i="8" s="1"/>
  <c r="AG96" i="8"/>
  <c r="AH96" i="8"/>
  <c r="AF96" i="8"/>
  <c r="AD96" i="8"/>
  <c r="AE96" i="8"/>
  <c r="AE103" i="8"/>
  <c r="AD103" i="8"/>
  <c r="P98" i="8"/>
  <c r="AE98" i="8" s="1"/>
  <c r="P97" i="8"/>
  <c r="AE97" i="8" s="1"/>
  <c r="AD105" i="8"/>
  <c r="AE105" i="8"/>
  <c r="AD94" i="8"/>
  <c r="AE94" i="8"/>
  <c r="AG120" i="8"/>
  <c r="AH120" i="8"/>
  <c r="AF120" i="8"/>
  <c r="AH121" i="8"/>
  <c r="AG121" i="8"/>
  <c r="AF121" i="8"/>
  <c r="AF95" i="8"/>
  <c r="AG95" i="8"/>
  <c r="P102" i="8"/>
  <c r="AE102" i="8" s="1"/>
  <c r="AE120" i="8"/>
  <c r="AD120" i="8"/>
  <c r="AH111" i="8"/>
  <c r="AG111" i="8"/>
  <c r="AF111" i="8"/>
  <c r="AE121" i="8"/>
  <c r="AD121" i="8"/>
  <c r="K126" i="8"/>
  <c r="L126" i="8"/>
  <c r="T126" i="8"/>
  <c r="P126" i="8"/>
  <c r="X124" i="8"/>
  <c r="X126" i="8" s="1"/>
  <c r="Y124" i="8"/>
  <c r="Y126" i="8" s="1"/>
  <c r="AD97" i="8" l="1"/>
  <c r="AJ97" i="8" s="1"/>
  <c r="AD102" i="8"/>
  <c r="AD126" i="8"/>
  <c r="AF126" i="8"/>
  <c r="C33" i="8"/>
  <c r="C36" i="8"/>
  <c r="C91" i="8"/>
  <c r="C108" i="8" s="1"/>
  <c r="C134" i="8" s="1"/>
  <c r="C135" i="8" s="1"/>
  <c r="C137" i="8" s="1"/>
  <c r="C39" i="8"/>
  <c r="D33" i="8"/>
  <c r="D91" i="8"/>
  <c r="D108" i="8" s="1"/>
  <c r="D134" i="8" s="1"/>
  <c r="D135" i="8" s="1"/>
  <c r="D137" i="8" s="1"/>
  <c r="D39" i="8"/>
  <c r="D36" i="8"/>
  <c r="AJ121" i="8"/>
  <c r="AJ120" i="8"/>
  <c r="AH126" i="8"/>
  <c r="AD98" i="8"/>
  <c r="AJ98" i="8" s="1"/>
  <c r="AG126" i="8"/>
  <c r="AE126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T133" i="8"/>
  <c r="P133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X111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V79" i="8"/>
  <c r="U79" i="8"/>
  <c r="S79" i="8"/>
  <c r="R79" i="8"/>
  <c r="Q66" i="9" s="1"/>
  <c r="Q79" i="8"/>
  <c r="P66" i="9" s="1"/>
  <c r="O79" i="8"/>
  <c r="N66" i="9" s="1"/>
  <c r="N79" i="8"/>
  <c r="M66" i="9" s="1"/>
  <c r="M79" i="8"/>
  <c r="L66" i="9" s="1"/>
  <c r="K79" i="8"/>
  <c r="J66" i="9" s="1"/>
  <c r="J79" i="8"/>
  <c r="I66" i="9" s="1"/>
  <c r="I79" i="8"/>
  <c r="H66" i="9" s="1"/>
  <c r="G79" i="8"/>
  <c r="F79" i="8"/>
  <c r="E79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X105" i="8"/>
  <c r="Z102" i="8"/>
  <c r="X96" i="8"/>
  <c r="K27" i="9"/>
  <c r="K58" i="9"/>
  <c r="X58" i="9" s="1"/>
  <c r="T18" i="8"/>
  <c r="O18" i="9"/>
  <c r="P18" i="8"/>
  <c r="K19" i="9"/>
  <c r="K23" i="9" s="1"/>
  <c r="L18" i="8"/>
  <c r="Z18" i="8" s="1"/>
  <c r="AC78" i="8"/>
  <c r="AB78" i="8"/>
  <c r="Z78" i="8"/>
  <c r="Y78" i="8"/>
  <c r="X78" i="8"/>
  <c r="AC77" i="8"/>
  <c r="AB77" i="8"/>
  <c r="Z77" i="8"/>
  <c r="Y77" i="8"/>
  <c r="X77" i="8"/>
  <c r="AC74" i="8"/>
  <c r="AB74" i="8"/>
  <c r="Z74" i="8"/>
  <c r="Y74" i="8"/>
  <c r="X74" i="8"/>
  <c r="AC69" i="8"/>
  <c r="AB69" i="8"/>
  <c r="Z69" i="8"/>
  <c r="Y69" i="8"/>
  <c r="X69" i="8"/>
  <c r="AC65" i="8"/>
  <c r="AB65" i="8"/>
  <c r="Z65" i="8"/>
  <c r="Y65" i="8"/>
  <c r="X65" i="8"/>
  <c r="AC64" i="8"/>
  <c r="AB64" i="8"/>
  <c r="Z64" i="8"/>
  <c r="Y64" i="8"/>
  <c r="X64" i="8"/>
  <c r="AC61" i="8"/>
  <c r="AB61" i="8"/>
  <c r="Z61" i="8"/>
  <c r="Y61" i="8"/>
  <c r="X61" i="8"/>
  <c r="AC60" i="8"/>
  <c r="AB60" i="8"/>
  <c r="Z60" i="8"/>
  <c r="Y60" i="8"/>
  <c r="X60" i="8"/>
  <c r="AC38" i="8"/>
  <c r="AB38" i="8"/>
  <c r="Z38" i="8"/>
  <c r="Y38" i="8"/>
  <c r="X38" i="8"/>
  <c r="T31" i="8"/>
  <c r="P31" i="8"/>
  <c r="L31" i="8"/>
  <c r="Y31" i="8" s="1"/>
  <c r="X97" i="8"/>
  <c r="AA78" i="8"/>
  <c r="AA77" i="8"/>
  <c r="AA74" i="8"/>
  <c r="AA69" i="8"/>
  <c r="K57" i="9"/>
  <c r="AA64" i="8"/>
  <c r="AA61" i="8"/>
  <c r="K56" i="9"/>
  <c r="K59" i="9"/>
  <c r="K51" i="9"/>
  <c r="X51" i="9" s="1"/>
  <c r="K55" i="9"/>
  <c r="K50" i="9"/>
  <c r="X50" i="9" s="1"/>
  <c r="K48" i="9"/>
  <c r="T38" i="8"/>
  <c r="AF38" i="8" s="1"/>
  <c r="T35" i="8"/>
  <c r="AF35" i="8" s="1"/>
  <c r="T17" i="8"/>
  <c r="T13" i="8"/>
  <c r="T10" i="8"/>
  <c r="P13" i="8"/>
  <c r="L13" i="8"/>
  <c r="X13" i="8" s="1"/>
  <c r="P10" i="8"/>
  <c r="P17" i="8"/>
  <c r="L38" i="8"/>
  <c r="L35" i="8"/>
  <c r="X35" i="8" s="1"/>
  <c r="Y22" i="8"/>
  <c r="L17" i="8"/>
  <c r="Z17" i="8" s="1"/>
  <c r="L10" i="8"/>
  <c r="AB33" i="9" l="1"/>
  <c r="AC33" i="9"/>
  <c r="AD33" i="9"/>
  <c r="X33" i="9"/>
  <c r="AF33" i="9"/>
  <c r="Y33" i="9"/>
  <c r="Z33" i="9"/>
  <c r="AF10" i="8"/>
  <c r="AH10" i="8"/>
  <c r="AG10" i="8"/>
  <c r="AA13" i="8"/>
  <c r="AE13" i="8"/>
  <c r="AD13" i="8"/>
  <c r="AH31" i="8"/>
  <c r="AG31" i="8"/>
  <c r="AF31" i="8"/>
  <c r="AH13" i="8"/>
  <c r="AG13" i="8"/>
  <c r="AF13" i="8"/>
  <c r="AE17" i="8"/>
  <c r="AD17" i="8"/>
  <c r="X10" i="8"/>
  <c r="AA10" i="8"/>
  <c r="Z10" i="8"/>
  <c r="Y10" i="8"/>
  <c r="AE10" i="8"/>
  <c r="AB10" i="8"/>
  <c r="AD10" i="8"/>
  <c r="AC10" i="8"/>
  <c r="AH18" i="8"/>
  <c r="AG18" i="8"/>
  <c r="AF18" i="8"/>
  <c r="AH17" i="8"/>
  <c r="AG17" i="8"/>
  <c r="AF17" i="8"/>
  <c r="AD18" i="8"/>
  <c r="AE18" i="8"/>
  <c r="AA31" i="8"/>
  <c r="AD31" i="8"/>
  <c r="AE31" i="8"/>
  <c r="V52" i="9"/>
  <c r="AJ60" i="8"/>
  <c r="AA39" i="9"/>
  <c r="L133" i="8"/>
  <c r="Y133" i="8" s="1"/>
  <c r="Q52" i="9"/>
  <c r="U52" i="9"/>
  <c r="Y105" i="8"/>
  <c r="K52" i="9"/>
  <c r="AE39" i="9"/>
  <c r="X39" i="9"/>
  <c r="Y39" i="9"/>
  <c r="Z39" i="9"/>
  <c r="AJ35" i="8"/>
  <c r="AB39" i="9"/>
  <c r="AC39" i="9"/>
  <c r="H67" i="9"/>
  <c r="AD39" i="9"/>
  <c r="Y102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J38" i="8"/>
  <c r="Y13" i="8"/>
  <c r="K18" i="9"/>
  <c r="X17" i="8"/>
  <c r="O17" i="9"/>
  <c r="Y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AB133" i="8"/>
  <c r="AE133" i="8"/>
  <c r="AF51" i="9"/>
  <c r="M27" i="9"/>
  <c r="P42" i="9"/>
  <c r="X22" i="8"/>
  <c r="K12" i="9"/>
  <c r="O16" i="9"/>
  <c r="I38" i="9"/>
  <c r="O50" i="9"/>
  <c r="AB50" i="9" s="1"/>
  <c r="AA65" i="8"/>
  <c r="O57" i="9"/>
  <c r="AF58" i="9"/>
  <c r="M37" i="9"/>
  <c r="M40" i="9"/>
  <c r="AA18" i="8"/>
  <c r="Z22" i="8"/>
  <c r="AC13" i="8"/>
  <c r="AB13" i="8"/>
  <c r="AA60" i="8"/>
  <c r="O56" i="9"/>
  <c r="O58" i="9"/>
  <c r="AB58" i="9" s="1"/>
  <c r="AB111" i="8"/>
  <c r="AC22" i="8"/>
  <c r="O48" i="9"/>
  <c r="X31" i="8"/>
  <c r="K32" i="9"/>
  <c r="Q34" i="9"/>
  <c r="AF133" i="8"/>
  <c r="Q40" i="9"/>
  <c r="Y97" i="8"/>
  <c r="AB18" i="8"/>
  <c r="AA22" i="8"/>
  <c r="Z31" i="8"/>
  <c r="M38" i="9"/>
  <c r="Q27" i="9"/>
  <c r="Z107" i="8"/>
  <c r="Q41" i="9"/>
  <c r="AG133" i="8"/>
  <c r="AH133" i="8"/>
  <c r="AC18" i="8"/>
  <c r="AB22" i="8"/>
  <c r="M31" i="9"/>
  <c r="N34" i="9"/>
  <c r="AB17" i="8"/>
  <c r="AA133" i="8"/>
  <c r="O12" i="9"/>
  <c r="AC133" i="8"/>
  <c r="O32" i="9"/>
  <c r="AC31" i="8"/>
  <c r="AB31" i="8"/>
  <c r="AC17" i="8"/>
  <c r="AA17" i="8"/>
  <c r="K38" i="9"/>
  <c r="Y111" i="8"/>
  <c r="Z13" i="8"/>
  <c r="AD133" i="8"/>
  <c r="O55" i="9"/>
  <c r="X95" i="8"/>
  <c r="Y17" i="8"/>
  <c r="I27" i="9"/>
  <c r="J38" i="9"/>
  <c r="Y95" i="8"/>
  <c r="J27" i="9"/>
  <c r="I34" i="9"/>
  <c r="X18" i="8"/>
  <c r="K41" i="9"/>
  <c r="X41" i="9" s="1"/>
  <c r="H42" i="9"/>
  <c r="Y96" i="8"/>
  <c r="X102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Y79" i="8"/>
  <c r="L79" i="8"/>
  <c r="K66" i="9" s="1"/>
  <c r="AA79" i="8"/>
  <c r="AC79" i="8"/>
  <c r="AD79" i="8"/>
  <c r="AE79" i="8"/>
  <c r="AG79" i="8"/>
  <c r="Z79" i="8"/>
  <c r="P79" i="8"/>
  <c r="O66" i="9" s="1"/>
  <c r="AB79" i="8"/>
  <c r="AF79" i="8"/>
  <c r="X79" i="8"/>
  <c r="T79" i="8"/>
  <c r="AH79" i="8"/>
  <c r="J31" i="9"/>
  <c r="J34" i="9"/>
  <c r="T103" i="8"/>
  <c r="T105" i="8"/>
  <c r="T106" i="8"/>
  <c r="AB102" i="8"/>
  <c r="Z96" i="8"/>
  <c r="AH103" i="8" l="1"/>
  <c r="AG103" i="8"/>
  <c r="AF103" i="8"/>
  <c r="AH106" i="8"/>
  <c r="AJ106" i="8" s="1"/>
  <c r="AG106" i="8"/>
  <c r="AF106" i="8"/>
  <c r="AG105" i="8"/>
  <c r="AF105" i="8"/>
  <c r="AH105" i="8"/>
  <c r="AJ105" i="8" s="1"/>
  <c r="AJ18" i="8"/>
  <c r="Z133" i="8"/>
  <c r="X133" i="8"/>
  <c r="Z41" i="9"/>
  <c r="AA97" i="8"/>
  <c r="Z27" i="9"/>
  <c r="Y107" i="8"/>
  <c r="AI39" i="9"/>
  <c r="Z38" i="9"/>
  <c r="AJ31" i="8"/>
  <c r="Y41" i="9"/>
  <c r="AH39" i="9"/>
  <c r="AF39" i="9"/>
  <c r="Y38" i="9"/>
  <c r="AG39" i="9"/>
  <c r="X38" i="9"/>
  <c r="AB105" i="8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N27" i="9"/>
  <c r="AA27" i="9" s="1"/>
  <c r="Z111" i="8"/>
  <c r="AA111" i="8"/>
  <c r="AC97" i="8"/>
  <c r="Z104" i="8"/>
  <c r="AB94" i="8"/>
  <c r="N41" i="9"/>
  <c r="AA106" i="8"/>
  <c r="AH130" i="8"/>
  <c r="AG130" i="8"/>
  <c r="AA107" i="8"/>
  <c r="X107" i="8"/>
  <c r="Q42" i="9"/>
  <c r="AC105" i="8"/>
  <c r="K42" i="9"/>
  <c r="N31" i="9"/>
  <c r="AC111" i="8"/>
  <c r="K37" i="9"/>
  <c r="AB103" i="8"/>
  <c r="M42" i="9"/>
  <c r="AA103" i="8"/>
  <c r="AI40" i="9"/>
  <c r="N38" i="9"/>
  <c r="AA38" i="9" s="1"/>
  <c r="AB106" i="8"/>
  <c r="Z97" i="8"/>
  <c r="AA102" i="8"/>
  <c r="J40" i="9"/>
  <c r="Z94" i="8"/>
  <c r="T107" i="8"/>
  <c r="O37" i="9"/>
  <c r="AA94" i="8"/>
  <c r="AC94" i="8"/>
  <c r="AB107" i="8"/>
  <c r="AC106" i="8"/>
  <c r="N37" i="9"/>
  <c r="Z105" i="8"/>
  <c r="X103" i="8"/>
  <c r="O38" i="9"/>
  <c r="AE38" i="9" s="1"/>
  <c r="AC102" i="8"/>
  <c r="AC107" i="8"/>
  <c r="Z95" i="8"/>
  <c r="N40" i="9"/>
  <c r="AC103" i="8"/>
  <c r="Y106" i="8"/>
  <c r="AB97" i="8"/>
  <c r="AA105" i="8"/>
  <c r="AJ96" i="8"/>
  <c r="T102" i="8"/>
  <c r="T104" i="8"/>
  <c r="T94" i="8"/>
  <c r="AA95" i="8"/>
  <c r="AG102" i="8" l="1"/>
  <c r="AF102" i="8"/>
  <c r="AH102" i="8"/>
  <c r="AJ102" i="8" s="1"/>
  <c r="AG94" i="8"/>
  <c r="AF94" i="8"/>
  <c r="AH94" i="8"/>
  <c r="AJ94" i="8" s="1"/>
  <c r="AF104" i="8"/>
  <c r="AG104" i="8"/>
  <c r="AH104" i="8"/>
  <c r="AJ104" i="8" s="1"/>
  <c r="AH107" i="8"/>
  <c r="AJ107" i="8" s="1"/>
  <c r="AG107" i="8"/>
  <c r="AF107" i="8"/>
  <c r="Y103" i="8"/>
  <c r="AA104" i="8"/>
  <c r="Y94" i="8"/>
  <c r="AA41" i="9"/>
  <c r="AI38" i="9"/>
  <c r="AG38" i="9"/>
  <c r="AH40" i="9"/>
  <c r="AH38" i="9"/>
  <c r="AG40" i="9"/>
  <c r="AF40" i="9"/>
  <c r="AD38" i="9"/>
  <c r="AB38" i="9"/>
  <c r="AF38" i="9"/>
  <c r="AC38" i="9"/>
  <c r="AJ103" i="8"/>
  <c r="AB96" i="8"/>
  <c r="X94" i="8"/>
  <c r="AC96" i="8"/>
  <c r="Z42" i="9"/>
  <c r="Y42" i="9"/>
  <c r="X42" i="9"/>
  <c r="AB95" i="8"/>
  <c r="AA96" i="8"/>
  <c r="AK17" i="9"/>
  <c r="AC95" i="8"/>
  <c r="AB104" i="8"/>
  <c r="AJ111" i="8"/>
  <c r="AC104" i="8"/>
  <c r="O40" i="9"/>
  <c r="AC40" i="9" s="1"/>
  <c r="AI31" i="9"/>
  <c r="K40" i="9"/>
  <c r="AA40" i="9" s="1"/>
  <c r="N42" i="9"/>
  <c r="AA42" i="9" s="1"/>
  <c r="O41" i="9"/>
  <c r="AE41" i="9" s="1"/>
  <c r="O27" i="9"/>
  <c r="Z103" i="8"/>
  <c r="K34" i="9"/>
  <c r="X104" i="8"/>
  <c r="Z106" i="8"/>
  <c r="X106" i="8"/>
  <c r="O34" i="9"/>
  <c r="O31" i="9"/>
  <c r="AD31" i="9" s="1"/>
  <c r="K31" i="9"/>
  <c r="Y104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J95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U66" i="8"/>
  <c r="S66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U117" i="8"/>
  <c r="Q117" i="8"/>
  <c r="M117" i="8"/>
  <c r="T11" i="8"/>
  <c r="P11" i="8"/>
  <c r="O8" i="9" s="1"/>
  <c r="P38" i="8"/>
  <c r="AA38" i="8" s="1"/>
  <c r="P35" i="8"/>
  <c r="AB35" i="8" s="1"/>
  <c r="L11" i="8"/>
  <c r="K8" i="9" s="1"/>
  <c r="AG48" i="9"/>
  <c r="AG52" i="9" s="1"/>
  <c r="Y57" i="9"/>
  <c r="AB66" i="9"/>
  <c r="R50" i="8"/>
  <c r="R57" i="8" s="1"/>
  <c r="Q50" i="8"/>
  <c r="Q57" i="8" s="1"/>
  <c r="M50" i="8"/>
  <c r="M57" i="8" s="1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AF66" i="9"/>
  <c r="AE66" i="9"/>
  <c r="AD66" i="9"/>
  <c r="AA66" i="9"/>
  <c r="Z66" i="9"/>
  <c r="Y66" i="9"/>
  <c r="X66" i="9"/>
  <c r="K66" i="8"/>
  <c r="J66" i="8"/>
  <c r="I50" i="8"/>
  <c r="I57" i="8" s="1"/>
  <c r="J50" i="8"/>
  <c r="J57" i="8" s="1"/>
  <c r="K50" i="8"/>
  <c r="K57" i="8" s="1"/>
  <c r="N50" i="8"/>
  <c r="N57" i="8" s="1"/>
  <c r="O50" i="8"/>
  <c r="O57" i="8" s="1"/>
  <c r="S50" i="8"/>
  <c r="S57" i="8" s="1"/>
  <c r="U50" i="8"/>
  <c r="U57" i="8" s="1"/>
  <c r="V50" i="8"/>
  <c r="V57" i="8" s="1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3" i="8"/>
  <c r="I42" i="8"/>
  <c r="G43" i="8"/>
  <c r="F43" i="8"/>
  <c r="E43" i="8"/>
  <c r="G42" i="8"/>
  <c r="F42" i="8"/>
  <c r="E42" i="8"/>
  <c r="V11" i="8"/>
  <c r="V14" i="8" s="1"/>
  <c r="U11" i="8"/>
  <c r="U14" i="8" s="1"/>
  <c r="U19" i="8" s="1"/>
  <c r="U28" i="8" s="1"/>
  <c r="S11" i="8"/>
  <c r="S14" i="8" s="1"/>
  <c r="R11" i="8"/>
  <c r="R14" i="8" s="1"/>
  <c r="Q11" i="8"/>
  <c r="Q14" i="8" s="1"/>
  <c r="O11" i="8"/>
  <c r="N11" i="8"/>
  <c r="M11" i="8"/>
  <c r="K11" i="8"/>
  <c r="J11" i="8"/>
  <c r="I11" i="8"/>
  <c r="E4" i="10"/>
  <c r="D4" i="10"/>
  <c r="C4" i="10"/>
  <c r="E3" i="10"/>
  <c r="D3" i="10"/>
  <c r="C3" i="10"/>
  <c r="F4" i="10"/>
  <c r="F3" i="10"/>
  <c r="AC130" i="8" l="1"/>
  <c r="AD130" i="8"/>
  <c r="Z130" i="8"/>
  <c r="I14" i="8"/>
  <c r="I15" i="8" s="1"/>
  <c r="H8" i="9"/>
  <c r="H13" i="9" s="1"/>
  <c r="S72" i="8"/>
  <c r="J14" i="8"/>
  <c r="J15" i="8" s="1"/>
  <c r="I8" i="9"/>
  <c r="X130" i="8"/>
  <c r="Y130" i="8"/>
  <c r="M14" i="8"/>
  <c r="M19" i="8" s="1"/>
  <c r="M28" i="8" s="1"/>
  <c r="M29" i="8" s="1"/>
  <c r="L8" i="9"/>
  <c r="J72" i="8"/>
  <c r="I61" i="9" s="1"/>
  <c r="I60" i="9"/>
  <c r="N14" i="8"/>
  <c r="N15" i="8" s="1"/>
  <c r="M8" i="9"/>
  <c r="K72" i="8"/>
  <c r="J61" i="9" s="1"/>
  <c r="J60" i="9"/>
  <c r="O14" i="8"/>
  <c r="O15" i="8" s="1"/>
  <c r="N8" i="9"/>
  <c r="AF130" i="8"/>
  <c r="AE130" i="8"/>
  <c r="K14" i="8"/>
  <c r="K19" i="8" s="1"/>
  <c r="K28" i="8" s="1"/>
  <c r="J8" i="9"/>
  <c r="AB130" i="8"/>
  <c r="AA130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Q66" i="8"/>
  <c r="V66" i="8"/>
  <c r="N66" i="8"/>
  <c r="M66" i="8"/>
  <c r="L60" i="9" s="1"/>
  <c r="R66" i="8"/>
  <c r="Q60" i="9" s="1"/>
  <c r="G66" i="8"/>
  <c r="O66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V117" i="8"/>
  <c r="J117" i="8"/>
  <c r="T117" i="8"/>
  <c r="L117" i="8"/>
  <c r="N117" i="8"/>
  <c r="R117" i="8"/>
  <c r="S117" i="8"/>
  <c r="U32" i="8"/>
  <c r="U91" i="8" s="1"/>
  <c r="L14" i="8"/>
  <c r="L15" i="8" s="1"/>
  <c r="T14" i="8"/>
  <c r="T15" i="8" s="1"/>
  <c r="P14" i="8"/>
  <c r="P15" i="8" s="1"/>
  <c r="AC66" i="9"/>
  <c r="T66" i="8"/>
  <c r="T50" i="8"/>
  <c r="T57" i="8" s="1"/>
  <c r="P50" i="8"/>
  <c r="P57" i="8" s="1"/>
  <c r="P66" i="8"/>
  <c r="L50" i="8"/>
  <c r="L57" i="8" s="1"/>
  <c r="L66" i="8"/>
  <c r="V15" i="8"/>
  <c r="V19" i="8"/>
  <c r="R15" i="8"/>
  <c r="R19" i="8"/>
  <c r="U29" i="8"/>
  <c r="S15" i="8"/>
  <c r="S19" i="8"/>
  <c r="S28" i="8" s="1"/>
  <c r="Q15" i="8"/>
  <c r="Q19" i="8"/>
  <c r="Q28" i="8" s="1"/>
  <c r="U15" i="8"/>
  <c r="U20" i="8"/>
  <c r="Y8" i="9" l="1"/>
  <c r="I19" i="8"/>
  <c r="I28" i="8" s="1"/>
  <c r="I29" i="8" s="1"/>
  <c r="X8" i="9"/>
  <c r="AA8" i="9"/>
  <c r="N19" i="8"/>
  <c r="N28" i="8" s="1"/>
  <c r="K80" i="8"/>
  <c r="K82" i="8" s="1"/>
  <c r="S80" i="8"/>
  <c r="S82" i="8" s="1"/>
  <c r="J80" i="8"/>
  <c r="J82" i="8" s="1"/>
  <c r="M20" i="8"/>
  <c r="M32" i="8"/>
  <c r="M91" i="8" s="1"/>
  <c r="M108" i="8" s="1"/>
  <c r="M134" i="8" s="1"/>
  <c r="AB8" i="9"/>
  <c r="M15" i="8"/>
  <c r="O19" i="8"/>
  <c r="O28" i="8" s="1"/>
  <c r="Z8" i="9"/>
  <c r="J19" i="8"/>
  <c r="J28" i="8" s="1"/>
  <c r="K15" i="8"/>
  <c r="T72" i="8"/>
  <c r="AF61" i="9" s="1"/>
  <c r="AF60" i="9"/>
  <c r="Q72" i="8"/>
  <c r="P61" i="9" s="1"/>
  <c r="AC61" i="9" s="1"/>
  <c r="P60" i="9"/>
  <c r="AC60" i="9" s="1"/>
  <c r="O72" i="8"/>
  <c r="N61" i="9" s="1"/>
  <c r="AA61" i="9" s="1"/>
  <c r="N60" i="9"/>
  <c r="AA60" i="9" s="1"/>
  <c r="G72" i="8"/>
  <c r="N72" i="8"/>
  <c r="M61" i="9" s="1"/>
  <c r="Z61" i="9" s="1"/>
  <c r="M60" i="9"/>
  <c r="Z60" i="9" s="1"/>
  <c r="P72" i="8"/>
  <c r="O61" i="9" s="1"/>
  <c r="AB61" i="9" s="1"/>
  <c r="O60" i="9"/>
  <c r="AB60" i="9" s="1"/>
  <c r="V72" i="8"/>
  <c r="H20" i="9"/>
  <c r="H14" i="9"/>
  <c r="L72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U108" i="8"/>
  <c r="U134" i="8" s="1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M72" i="8"/>
  <c r="R72" i="8"/>
  <c r="U72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O117" i="8"/>
  <c r="K117" i="8"/>
  <c r="P117" i="8"/>
  <c r="U33" i="8"/>
  <c r="U36" i="8"/>
  <c r="U39" i="8"/>
  <c r="R20" i="8"/>
  <c r="R28" i="8"/>
  <c r="V20" i="8"/>
  <c r="V28" i="8"/>
  <c r="V32" i="8" s="1"/>
  <c r="V91" i="8" s="1"/>
  <c r="L19" i="8"/>
  <c r="T19" i="8"/>
  <c r="P19" i="8"/>
  <c r="S20" i="8"/>
  <c r="Q20" i="8"/>
  <c r="K20" i="8"/>
  <c r="I20" i="8" l="1"/>
  <c r="Q80" i="8"/>
  <c r="Q82" i="8" s="1"/>
  <c r="N20" i="8"/>
  <c r="O20" i="8"/>
  <c r="M39" i="8"/>
  <c r="P80" i="8"/>
  <c r="P82" i="8" s="1"/>
  <c r="T80" i="8"/>
  <c r="T82" i="8" s="1"/>
  <c r="O80" i="8"/>
  <c r="O82" i="8" s="1"/>
  <c r="N80" i="8"/>
  <c r="N82" i="8" s="1"/>
  <c r="L80" i="8"/>
  <c r="L82" i="8" s="1"/>
  <c r="M36" i="8"/>
  <c r="M33" i="8"/>
  <c r="J20" i="8"/>
  <c r="H21" i="9"/>
  <c r="H24" i="9"/>
  <c r="V80" i="8"/>
  <c r="V82" i="8" s="1"/>
  <c r="U80" i="8"/>
  <c r="U82" i="8" s="1"/>
  <c r="R80" i="8"/>
  <c r="R82" i="8" s="1"/>
  <c r="Q61" i="9"/>
  <c r="AD61" i="9" s="1"/>
  <c r="M80" i="8"/>
  <c r="M82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V108" i="8"/>
  <c r="V134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P20" i="8"/>
  <c r="P28" i="8"/>
  <c r="P32" i="8" s="1"/>
  <c r="T28" i="8"/>
  <c r="T29" i="8" s="1"/>
  <c r="L28" i="8"/>
  <c r="L32" i="8" s="1"/>
  <c r="L36" i="8" s="1"/>
  <c r="L20" i="8"/>
  <c r="T20" i="8"/>
  <c r="V29" i="8"/>
  <c r="S32" i="8"/>
  <c r="S91" i="8" s="1"/>
  <c r="S29" i="8"/>
  <c r="R29" i="8"/>
  <c r="R32" i="8"/>
  <c r="R91" i="8" s="1"/>
  <c r="K32" i="8"/>
  <c r="K91" i="8" s="1"/>
  <c r="K29" i="8"/>
  <c r="O32" i="8"/>
  <c r="O91" i="8" s="1"/>
  <c r="O29" i="8"/>
  <c r="N32" i="8"/>
  <c r="N29" i="8"/>
  <c r="Q32" i="8"/>
  <c r="Q91" i="8" s="1"/>
  <c r="Q29" i="8"/>
  <c r="V39" i="8"/>
  <c r="V36" i="8"/>
  <c r="V33" i="8"/>
  <c r="J29" i="8"/>
  <c r="J32" i="8"/>
  <c r="H28" i="9" l="1"/>
  <c r="H25" i="9"/>
  <c r="K108" i="8"/>
  <c r="K134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Q108" i="8"/>
  <c r="Q134" i="8" s="1"/>
  <c r="R108" i="8"/>
  <c r="R134" i="8" s="1"/>
  <c r="S108" i="8"/>
  <c r="S134" i="8" s="1"/>
  <c r="O108" i="8"/>
  <c r="O134" i="8" s="1"/>
  <c r="N91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J91" i="8"/>
  <c r="T32" i="8"/>
  <c r="L29" i="8"/>
  <c r="L33" i="8"/>
  <c r="L39" i="8"/>
  <c r="L91" i="8"/>
  <c r="P29" i="8"/>
  <c r="P36" i="8"/>
  <c r="P33" i="8"/>
  <c r="P39" i="8"/>
  <c r="N39" i="8"/>
  <c r="N36" i="8"/>
  <c r="N33" i="8"/>
  <c r="S33" i="8"/>
  <c r="S39" i="8"/>
  <c r="S36" i="8"/>
  <c r="O36" i="8"/>
  <c r="O33" i="8"/>
  <c r="O39" i="8"/>
  <c r="Q39" i="8"/>
  <c r="Q33" i="8"/>
  <c r="Q36" i="8"/>
  <c r="K36" i="8"/>
  <c r="K33" i="8"/>
  <c r="K39" i="8"/>
  <c r="J33" i="8"/>
  <c r="J39" i="8"/>
  <c r="J36" i="8"/>
  <c r="R33" i="8"/>
  <c r="R39" i="8"/>
  <c r="R36" i="8"/>
  <c r="H29" i="9" l="1"/>
  <c r="H35" i="9"/>
  <c r="H43" i="9" s="1"/>
  <c r="J108" i="8"/>
  <c r="J134" i="8" s="1"/>
  <c r="X91" i="8"/>
  <c r="L108" i="8"/>
  <c r="L134" i="8" s="1"/>
  <c r="Z91" i="8"/>
  <c r="Y91" i="8"/>
  <c r="AD20" i="9"/>
  <c r="AD21" i="9" s="1"/>
  <c r="Y20" i="9"/>
  <c r="Y24" i="9" s="1"/>
  <c r="Y28" i="9" s="1"/>
  <c r="AG14" i="9"/>
  <c r="AG24" i="9"/>
  <c r="AG28" i="9" s="1"/>
  <c r="N108" i="8"/>
  <c r="N134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T33" i="8"/>
  <c r="T39" i="8"/>
  <c r="T36" i="8"/>
  <c r="X134" i="8" l="1"/>
  <c r="H44" i="9"/>
  <c r="Z134" i="8"/>
  <c r="Y134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88" i="8"/>
  <c r="B87" i="8"/>
  <c r="I88" i="8"/>
  <c r="I87" i="8"/>
  <c r="G88" i="8"/>
  <c r="F88" i="8"/>
  <c r="E88" i="8"/>
  <c r="G87" i="8"/>
  <c r="F87" i="8"/>
  <c r="E87" i="8"/>
  <c r="B43" i="8"/>
  <c r="B42" i="8"/>
  <c r="AH43" i="8"/>
  <c r="AG43" i="8"/>
  <c r="AF43" i="8"/>
  <c r="AD43" i="8"/>
  <c r="AC43" i="8"/>
  <c r="AB43" i="8"/>
  <c r="Z43" i="8"/>
  <c r="Y43" i="8"/>
  <c r="X43" i="8"/>
  <c r="AE43" i="8"/>
  <c r="AA43" i="8"/>
  <c r="AH42" i="8"/>
  <c r="AG42" i="8"/>
  <c r="AF42" i="8"/>
  <c r="AE42" i="8"/>
  <c r="AD42" i="8"/>
  <c r="AC42" i="8"/>
  <c r="AB42" i="8"/>
  <c r="AA42" i="8"/>
  <c r="Z42" i="8"/>
  <c r="Y42" i="8"/>
  <c r="X42" i="8"/>
  <c r="X87" i="8" l="1"/>
  <c r="AA87" i="8"/>
  <c r="AB87" i="8"/>
  <c r="AB88" i="8"/>
  <c r="AE87" i="8"/>
  <c r="AF87" i="8"/>
  <c r="AA88" i="8"/>
  <c r="AF88" i="8"/>
  <c r="AG88" i="8"/>
  <c r="AD87" i="8"/>
  <c r="Y87" i="8"/>
  <c r="AG87" i="8"/>
  <c r="AD88" i="8"/>
  <c r="AC88" i="8"/>
  <c r="Z87" i="8"/>
  <c r="AH87" i="8"/>
  <c r="AE88" i="8"/>
  <c r="X88" i="8"/>
  <c r="Y88" i="8"/>
  <c r="AC87" i="8"/>
  <c r="Z88" i="8"/>
  <c r="AH88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C11" i="8" l="1"/>
  <c r="F50" i="8"/>
  <c r="F57" i="8" s="1"/>
  <c r="E50" i="8"/>
  <c r="E57" i="8" s="1"/>
  <c r="G50" i="8"/>
  <c r="G57" i="8" s="1"/>
  <c r="X66" i="8" l="1"/>
  <c r="X72" i="8" s="1"/>
  <c r="X50" i="8"/>
  <c r="X57" i="8" s="1"/>
  <c r="AD11" i="8"/>
  <c r="AC14" i="8"/>
  <c r="AC19" i="8" s="1"/>
  <c r="AC28" i="8" s="1"/>
  <c r="AD50" i="8"/>
  <c r="AD57" i="8" s="1"/>
  <c r="AB50" i="8"/>
  <c r="AB57" i="8" s="1"/>
  <c r="AD66" i="8"/>
  <c r="AD72" i="8" s="1"/>
  <c r="AC66" i="8"/>
  <c r="AC72" i="8" s="1"/>
  <c r="Y66" i="8"/>
  <c r="Y72" i="8" s="1"/>
  <c r="AA11" i="8"/>
  <c r="Y50" i="8"/>
  <c r="Y57" i="8" s="1"/>
  <c r="AC50" i="8"/>
  <c r="AC57" i="8" s="1"/>
  <c r="AB11" i="8"/>
  <c r="Z50" i="8"/>
  <c r="Z57" i="8" s="1"/>
  <c r="Z66" i="8"/>
  <c r="Z72" i="8" s="1"/>
  <c r="AB66" i="8"/>
  <c r="AB72" i="8" s="1"/>
  <c r="AF50" i="8"/>
  <c r="AF57" i="8" s="1"/>
  <c r="AF11" i="8"/>
  <c r="AF66" i="8"/>
  <c r="AF72" i="8" s="1"/>
  <c r="AG66" i="8"/>
  <c r="AG72" i="8" s="1"/>
  <c r="AE11" i="8"/>
  <c r="AG11" i="8"/>
  <c r="AG50" i="8"/>
  <c r="AG57" i="8" s="1"/>
  <c r="AC20" i="8" l="1"/>
  <c r="AC32" i="8"/>
  <c r="AB14" i="8"/>
  <c r="AB19" i="8" s="1"/>
  <c r="AB28" i="8" s="1"/>
  <c r="AI13" i="9"/>
  <c r="AC9" i="10"/>
  <c r="AC16" i="10" s="1"/>
  <c r="Z8" i="10"/>
  <c r="AA8" i="10"/>
  <c r="AB8" i="10"/>
  <c r="X80" i="8"/>
  <c r="X82" i="8" s="1"/>
  <c r="AF14" i="8"/>
  <c r="AF19" i="8" s="1"/>
  <c r="AF28" i="8" s="1"/>
  <c r="AJ10" i="8"/>
  <c r="AD80" i="8"/>
  <c r="AD82" i="8" s="1"/>
  <c r="AB80" i="8"/>
  <c r="AB82" i="8" s="1"/>
  <c r="Z80" i="8"/>
  <c r="Z82" i="8" s="1"/>
  <c r="AJ17" i="8"/>
  <c r="AC80" i="8"/>
  <c r="AC82" i="8" s="1"/>
  <c r="AD14" i="8"/>
  <c r="AD19" i="8" s="1"/>
  <c r="AD28" i="8" s="1"/>
  <c r="Y80" i="8"/>
  <c r="Y82" i="8" s="1"/>
  <c r="AA14" i="8"/>
  <c r="AA19" i="8" s="1"/>
  <c r="AA28" i="8" s="1"/>
  <c r="AC15" i="8"/>
  <c r="AJ13" i="8"/>
  <c r="AF80" i="8"/>
  <c r="AF82" i="8" s="1"/>
  <c r="AG14" i="8"/>
  <c r="AG19" i="8" s="1"/>
  <c r="AG28" i="8" s="1"/>
  <c r="AE14" i="8"/>
  <c r="AE19" i="8" s="1"/>
  <c r="AE28" i="8" s="1"/>
  <c r="AG80" i="8"/>
  <c r="AG82" i="8" s="1"/>
  <c r="AB20" i="8" l="1"/>
  <c r="AB32" i="8"/>
  <c r="AA20" i="8"/>
  <c r="AA32" i="8"/>
  <c r="AD32" i="8"/>
  <c r="AD20" i="8"/>
  <c r="AF32" i="8"/>
  <c r="AF20" i="8"/>
  <c r="AE32" i="8"/>
  <c r="AE20" i="8"/>
  <c r="AG32" i="8"/>
  <c r="AG20" i="8"/>
  <c r="AF15" i="8"/>
  <c r="AE15" i="8"/>
  <c r="AB15" i="8"/>
  <c r="AG15" i="8"/>
  <c r="AD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AC29" i="8"/>
  <c r="AA15" i="8"/>
  <c r="Y9" i="10" l="1"/>
  <c r="X9" i="10"/>
  <c r="AB29" i="8"/>
  <c r="AA29" i="8"/>
  <c r="AF29" i="8"/>
  <c r="AB33" i="8"/>
  <c r="AI24" i="9"/>
  <c r="AI28" i="9" s="1"/>
  <c r="AI21" i="9"/>
  <c r="W9" i="10"/>
  <c r="AE9" i="10"/>
  <c r="AD10" i="10"/>
  <c r="AC33" i="8"/>
  <c r="AC36" i="8"/>
  <c r="AC39" i="8"/>
  <c r="AA36" i="8"/>
  <c r="AA39" i="8"/>
  <c r="AA33" i="8"/>
  <c r="AG29" i="8"/>
  <c r="AD29" i="8"/>
  <c r="AE29" i="8"/>
  <c r="AE10" i="10" l="1"/>
  <c r="AE16" i="10"/>
  <c r="AB39" i="8"/>
  <c r="AB36" i="8"/>
  <c r="AI25" i="9"/>
  <c r="AE33" i="8"/>
  <c r="AE39" i="8"/>
  <c r="AE36" i="8"/>
  <c r="AD39" i="8"/>
  <c r="AD33" i="8"/>
  <c r="AD36" i="8"/>
  <c r="AF33" i="8"/>
  <c r="AF36" i="8"/>
  <c r="AF39" i="8"/>
  <c r="AG33" i="8"/>
  <c r="AG36" i="8"/>
  <c r="AG39" i="8"/>
  <c r="AI29" i="9" l="1"/>
  <c r="AI35" i="9"/>
  <c r="AA66" i="8" l="1"/>
  <c r="AE66" i="8"/>
  <c r="AE72" i="8" s="1"/>
  <c r="AA72" i="8" l="1"/>
  <c r="AA80" i="8" s="1"/>
  <c r="Y117" i="8"/>
  <c r="Z117" i="8"/>
  <c r="X117" i="8"/>
  <c r="AD117" i="8"/>
  <c r="AA117" i="8"/>
  <c r="AB117" i="8"/>
  <c r="AC117" i="8"/>
  <c r="AE117" i="8"/>
  <c r="AG117" i="8"/>
  <c r="AF117" i="8"/>
  <c r="G11" i="8" l="1"/>
  <c r="F10" i="10" s="1"/>
  <c r="F11" i="8"/>
  <c r="E10" i="10" s="1"/>
  <c r="E11" i="8"/>
  <c r="D10" i="10" s="1"/>
  <c r="C8" i="9"/>
  <c r="I117" i="8"/>
  <c r="G117" i="8"/>
  <c r="F117" i="8"/>
  <c r="E117" i="8"/>
  <c r="I66" i="8"/>
  <c r="F66" i="8"/>
  <c r="E66" i="8"/>
  <c r="C60" i="9"/>
  <c r="AH11" i="8"/>
  <c r="AF10" i="10" s="1"/>
  <c r="U67" i="9"/>
  <c r="M67" i="9"/>
  <c r="AK34" i="9"/>
  <c r="AK27" i="9"/>
  <c r="I72" i="8" l="1"/>
  <c r="H61" i="9" s="1"/>
  <c r="H60" i="9"/>
  <c r="C61" i="9"/>
  <c r="F72" i="8"/>
  <c r="E72" i="8"/>
  <c r="N67" i="9"/>
  <c r="V67" i="9"/>
  <c r="D67" i="9"/>
  <c r="O67" i="9"/>
  <c r="AG61" i="9"/>
  <c r="AJ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E80" i="8"/>
  <c r="F14" i="8"/>
  <c r="F19" i="8" s="1"/>
  <c r="F28" i="8" s="1"/>
  <c r="E14" i="8"/>
  <c r="E19" i="8" s="1"/>
  <c r="E28" i="8" s="1"/>
  <c r="G14" i="8"/>
  <c r="G19" i="8" s="1"/>
  <c r="G28" i="8" s="1"/>
  <c r="AH66" i="8"/>
  <c r="AH72" i="8" s="1"/>
  <c r="AJ79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E80" i="8" l="1"/>
  <c r="E82" i="8" s="1"/>
  <c r="E20" i="8"/>
  <c r="F20" i="8"/>
  <c r="F32" i="8"/>
  <c r="F91" i="8" s="1"/>
  <c r="P91" i="8" s="1"/>
  <c r="I32" i="8"/>
  <c r="G32" i="8"/>
  <c r="G91" i="8" s="1"/>
  <c r="T91" i="8" s="1"/>
  <c r="G20" i="8"/>
  <c r="T67" i="9"/>
  <c r="AE50" i="8"/>
  <c r="AE57" i="8" s="1"/>
  <c r="I80" i="8"/>
  <c r="I82" i="8" s="1"/>
  <c r="AA50" i="8"/>
  <c r="F80" i="8"/>
  <c r="F82" i="8" s="1"/>
  <c r="G80" i="8"/>
  <c r="G82" i="8" s="1"/>
  <c r="AH61" i="9"/>
  <c r="P67" i="9"/>
  <c r="AJ72" i="8"/>
  <c r="AJ66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H50" i="8"/>
  <c r="AH57" i="8" s="1"/>
  <c r="F15" i="8"/>
  <c r="G15" i="8"/>
  <c r="E15" i="8"/>
  <c r="AH14" i="8"/>
  <c r="AH19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F91" i="8" l="1"/>
  <c r="AH91" i="8"/>
  <c r="AG91" i="8"/>
  <c r="AE91" i="8"/>
  <c r="AD91" i="8"/>
  <c r="AC91" i="8"/>
  <c r="AB91" i="8"/>
  <c r="AA91" i="8"/>
  <c r="P108" i="8"/>
  <c r="P134" i="8" s="1"/>
  <c r="AA57" i="8"/>
  <c r="AA82" i="8" s="1"/>
  <c r="AE82" i="8"/>
  <c r="AJ19" i="8"/>
  <c r="AH28" i="8"/>
  <c r="I33" i="8"/>
  <c r="I39" i="8"/>
  <c r="E29" i="8"/>
  <c r="E32" i="8"/>
  <c r="E39" i="8" s="1"/>
  <c r="AH20" i="8"/>
  <c r="AJ20" i="8" s="1"/>
  <c r="G29" i="8"/>
  <c r="F29" i="8"/>
  <c r="AJ126" i="8"/>
  <c r="AH80" i="8"/>
  <c r="AJ80" i="8" s="1"/>
  <c r="AJ57" i="8"/>
  <c r="AJ50" i="8"/>
  <c r="T14" i="9"/>
  <c r="P14" i="9"/>
  <c r="G36" i="8"/>
  <c r="G39" i="8"/>
  <c r="F39" i="8"/>
  <c r="F36" i="8"/>
  <c r="R20" i="9"/>
  <c r="R21" i="9" s="1"/>
  <c r="J20" i="9"/>
  <c r="J21" i="9" s="1"/>
  <c r="AJ14" i="8"/>
  <c r="G33" i="8"/>
  <c r="G108" i="8"/>
  <c r="G134" i="8" s="1"/>
  <c r="F33" i="8"/>
  <c r="F108" i="8"/>
  <c r="F134" i="8" s="1"/>
  <c r="AH117" i="8"/>
  <c r="AJ117" i="8" s="1"/>
  <c r="AH15" i="8"/>
  <c r="AJ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H32" i="8" l="1"/>
  <c r="AJ28" i="8"/>
  <c r="AD134" i="8"/>
  <c r="AC134" i="8"/>
  <c r="AB134" i="8"/>
  <c r="AA134" i="8"/>
  <c r="T108" i="8"/>
  <c r="T134" i="8" s="1"/>
  <c r="E33" i="8"/>
  <c r="E91" i="8"/>
  <c r="E36" i="8"/>
  <c r="I91" i="8"/>
  <c r="I108" i="8" s="1"/>
  <c r="I134" i="8" s="1"/>
  <c r="I36" i="8"/>
  <c r="AH82" i="8"/>
  <c r="R24" i="9"/>
  <c r="R28" i="9" s="1"/>
  <c r="J24" i="9"/>
  <c r="J28" i="9" s="1"/>
  <c r="AH29" i="8"/>
  <c r="AJ29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H134" i="8" l="1"/>
  <c r="AE134" i="8"/>
  <c r="AG134" i="8"/>
  <c r="AF134" i="8"/>
  <c r="E108" i="8"/>
  <c r="E134" i="8" s="1"/>
  <c r="AD108" i="8"/>
  <c r="AH39" i="8"/>
  <c r="R25" i="9"/>
  <c r="J25" i="9"/>
  <c r="AE108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AA108" i="8" l="1"/>
  <c r="AB108" i="8"/>
  <c r="AC108" i="8"/>
  <c r="AJ32" i="8"/>
  <c r="AH36" i="8"/>
  <c r="AH33" i="8"/>
  <c r="AJ33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J36" i="8"/>
  <c r="AJ39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E131" i="8" l="1"/>
  <c r="E135" i="8" s="1"/>
  <c r="E137" i="8" s="1"/>
  <c r="I131" i="8"/>
  <c r="I135" i="8" s="1"/>
  <c r="I137" i="8" s="1"/>
  <c r="X129" i="8" l="1"/>
  <c r="J129" i="8"/>
  <c r="J131" i="8" s="1"/>
  <c r="J135" i="8" s="1"/>
  <c r="J137" i="8" s="1"/>
  <c r="F129" i="8"/>
  <c r="F131" i="8" s="1"/>
  <c r="F135" i="8" s="1"/>
  <c r="F137" i="8" s="1"/>
  <c r="Y129" i="8" l="1"/>
  <c r="G129" i="8"/>
  <c r="G131" i="8" s="1"/>
  <c r="G135" i="8" s="1"/>
  <c r="G137" i="8" s="1"/>
  <c r="K129" i="8"/>
  <c r="K131" i="8" s="1"/>
  <c r="K135" i="8" s="1"/>
  <c r="K137" i="8" s="1"/>
  <c r="Z129" i="8" l="1"/>
  <c r="L129" i="8"/>
  <c r="L131" i="8" s="1"/>
  <c r="L135" i="8" s="1"/>
  <c r="L137" i="8" s="1"/>
  <c r="AA129" i="8" l="1"/>
  <c r="M129" i="8"/>
  <c r="M131" i="8" s="1"/>
  <c r="M135" i="8" s="1"/>
  <c r="M137" i="8" s="1"/>
  <c r="AB129" i="8" l="1"/>
  <c r="N129" i="8"/>
  <c r="N131" i="8" s="1"/>
  <c r="N135" i="8" s="1"/>
  <c r="N137" i="8" s="1"/>
  <c r="AC129" i="8" l="1"/>
  <c r="O129" i="8"/>
  <c r="O131" i="8" s="1"/>
  <c r="O135" i="8" s="1"/>
  <c r="O137" i="8" s="1"/>
  <c r="AD129" i="8" l="1"/>
  <c r="AD131" i="8" s="1"/>
  <c r="P129" i="8"/>
  <c r="P131" i="8" s="1"/>
  <c r="P135" i="8" s="1"/>
  <c r="P137" i="8" s="1"/>
  <c r="AE129" i="8" l="1"/>
  <c r="Q129" i="8"/>
  <c r="Q131" i="8" s="1"/>
  <c r="Q135" i="8" s="1"/>
  <c r="Q137" i="8" s="1"/>
  <c r="AF129" i="8" l="1"/>
  <c r="R129" i="8"/>
  <c r="R131" i="8" s="1"/>
  <c r="R135" i="8" s="1"/>
  <c r="R137" i="8" s="1"/>
  <c r="AG129" i="8" l="1"/>
  <c r="S129" i="8"/>
  <c r="S131" i="8" s="1"/>
  <c r="S135" i="8" s="1"/>
  <c r="S137" i="8" s="1"/>
  <c r="AH129" i="8" l="1"/>
  <c r="T129" i="8"/>
  <c r="T131" i="8" s="1"/>
  <c r="T135" i="8" s="1"/>
  <c r="T137" i="8" s="1"/>
  <c r="U129" i="8" l="1"/>
  <c r="U131" i="8" s="1"/>
  <c r="U135" i="8" s="1"/>
  <c r="U137" i="8" s="1"/>
  <c r="V129" i="8" l="1"/>
  <c r="V131" i="8" s="1"/>
  <c r="V135" i="8" s="1"/>
  <c r="V137" i="8" s="1"/>
  <c r="X131" i="8" l="1"/>
  <c r="AC131" i="8" l="1"/>
  <c r="AC135" i="8" s="1"/>
  <c r="AC137" i="8" s="1"/>
  <c r="AD135" i="8" l="1"/>
  <c r="AD137" i="8" s="1"/>
  <c r="AE131" i="8" l="1"/>
  <c r="AE135" i="8" s="1"/>
  <c r="AE137" i="8" s="1"/>
  <c r="Y131" i="8"/>
  <c r="AF131" i="8" l="1"/>
  <c r="Z108" i="8"/>
  <c r="X11" i="8"/>
  <c r="W10" i="10" s="1"/>
  <c r="Z11" i="8"/>
  <c r="Y11" i="8"/>
  <c r="Y14" i="8" s="1"/>
  <c r="X10" i="10" l="1"/>
  <c r="Y19" i="8"/>
  <c r="Y28" i="8" s="1"/>
  <c r="Y15" i="8"/>
  <c r="Z14" i="8"/>
  <c r="Y10" i="10"/>
  <c r="X14" i="8"/>
  <c r="Z19" i="8" l="1"/>
  <c r="Z28" i="8" s="1"/>
  <c r="Z15" i="8"/>
  <c r="X15" i="8"/>
  <c r="X19" i="8"/>
  <c r="X28" i="8" s="1"/>
  <c r="Y20" i="8"/>
  <c r="Y32" i="8" l="1"/>
  <c r="Y29" i="8"/>
  <c r="X20" i="8"/>
  <c r="Z20" i="8"/>
  <c r="Z32" i="8" l="1"/>
  <c r="Z29" i="8"/>
  <c r="X29" i="8"/>
  <c r="X32" i="8"/>
  <c r="Y36" i="8"/>
  <c r="Y33" i="8"/>
  <c r="Y39" i="8"/>
  <c r="AF108" i="8" l="1"/>
  <c r="AG108" i="8"/>
  <c r="Y108" i="8"/>
  <c r="Y135" i="8" s="1"/>
  <c r="Y137" i="8" s="1"/>
  <c r="X108" i="8"/>
  <c r="X33" i="8"/>
  <c r="X39" i="8"/>
  <c r="X36" i="8"/>
  <c r="Z36" i="8"/>
  <c r="Z33" i="8"/>
  <c r="Z39" i="8"/>
  <c r="X135" i="8" l="1"/>
  <c r="X137" i="8" s="1"/>
  <c r="AF135" i="8"/>
  <c r="AF137" i="8" s="1"/>
  <c r="AH108" i="8"/>
  <c r="AJ91" i="8"/>
  <c r="Z131" i="8"/>
  <c r="Z135" i="8" s="1"/>
  <c r="Z137" i="8" s="1"/>
  <c r="AG131" i="8" l="1"/>
  <c r="AG135" i="8" s="1"/>
  <c r="AG137" i="8" s="1"/>
  <c r="AJ108" i="8"/>
  <c r="AA131" i="8"/>
  <c r="AA135" i="8" s="1"/>
  <c r="AA137" i="8" s="1"/>
  <c r="AH131" i="8" l="1"/>
  <c r="AH135" i="8" s="1"/>
  <c r="AH137" i="8" s="1"/>
  <c r="AB131" i="8"/>
  <c r="AB135" i="8" s="1"/>
  <c r="AB137" i="8" s="1"/>
</calcChain>
</file>

<file path=xl/sharedStrings.xml><?xml version="1.0" encoding="utf-8"?>
<sst xmlns="http://schemas.openxmlformats.org/spreadsheetml/2006/main" count="343" uniqueCount="183">
  <si>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</si>
  <si>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</si>
  <si>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</si>
  <si>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</si>
  <si>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</si>
  <si>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</si>
  <si>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</si>
  <si>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</si>
  <si>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</si>
  <si>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</si>
  <si>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</si>
  <si>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</si>
  <si>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</si>
  <si>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</si>
  <si>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</si>
  <si>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</si>
  <si>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</si>
  <si>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</si>
  <si>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</si>
  <si>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</si>
  <si>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</si>
  <si>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</si>
  <si>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</si>
  <si>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</si>
  <si>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</si>
  <si>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</si>
  <si>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</si>
  <si>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</si>
  <si>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</si>
  <si>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</si>
  <si>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</si>
  <si>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</si>
  <si>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</si>
  <si>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</si>
  <si>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</si>
  <si>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</si>
  <si>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</si>
  <si>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</si>
  <si>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</si>
  <si>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</si>
  <si>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</si>
  <si>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</si>
  <si>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</si>
  <si>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</si>
  <si>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</si>
  <si>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</si>
  <si>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</si>
  <si>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</si>
  <si>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</si>
  <si>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</si>
  <si>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</si>
  <si>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</si>
  <si>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</si>
  <si>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</si>
  <si>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</si>
  <si>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</si>
  <si>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</si>
  <si>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</si>
  <si>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</si>
  <si>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</si>
  <si>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</si>
  <si>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</si>
  <si>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</si>
  <si>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</si>
  <si>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</si>
  <si>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</si>
  <si>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</si>
  <si>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</si>
  <si>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</si>
  <si>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</si>
  <si>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</si>
  <si>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</si>
  <si>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</si>
  <si>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</si>
  <si>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</si>
  <si>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</si>
  <si>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</si>
  <si>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</si>
  <si>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</si>
  <si>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</si>
  <si>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</si>
  <si>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</si>
  <si>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</si>
  <si>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</si>
  <si>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</si>
  <si>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</si>
  <si>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</si>
  <si>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</si>
  <si>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</si>
  <si>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</si>
  <si>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</si>
  <si>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expense</t>
  </si>
  <si>
    <t>NM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</si>
  <si>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</si>
  <si>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</si>
  <si>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</si>
  <si>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</si>
  <si>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</si>
  <si>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</si>
  <si>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</si>
  <si>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</si>
  <si>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</si>
  <si>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</si>
  <si>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</si>
  <si>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</si>
  <si>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</si>
  <si>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</si>
  <si>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</si>
  <si>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</si>
  <si>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</si>
  <si>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</si>
  <si>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</si>
  <si>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</si>
  <si>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</si>
  <si>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</si>
  <si>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Cash and cash equivalents</t>
  </si>
  <si>
    <t>Goodwill</t>
  </si>
  <si>
    <t>Current portion of operating lease liabilities</t>
  </si>
  <si>
    <t>Additional paid-in capital</t>
  </si>
  <si>
    <t>Stock-based compensation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</si>
  <si>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</si>
  <si>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</si>
  <si>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</si>
  <si>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</si>
  <si>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</si>
  <si>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</si>
  <si>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</si>
  <si>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</si>
  <si>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</si>
  <si>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</si>
  <si>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</si>
  <si>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</si>
  <si>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</si>
  <si>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</si>
  <si>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</si>
  <si>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</si>
  <si>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</si>
  <si>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Other assets</t>
  </si>
  <si>
    <t>Other liabilities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</si>
  <si>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</si>
  <si>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</si>
  <si>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by Channel</t>
  </si>
  <si>
    <t>Best Buy Co Inc (BBY)</t>
  </si>
  <si>
    <t>Selling, general and administrative expenses</t>
  </si>
  <si>
    <t>Restructuring charges</t>
  </si>
  <si>
    <t>Gain on sale of subsidiary, net</t>
  </si>
  <si>
    <t>Investment income and other</t>
  </si>
  <si>
    <t>Earnings before income tax expense and equity in income of affiliates</t>
  </si>
  <si>
    <t>Income tax expense</t>
  </si>
  <si>
    <t>Equity in income of affiliates</t>
  </si>
  <si>
    <t> </t>
  </si>
  <si>
    <t>Receivables, net</t>
  </si>
  <si>
    <t>Merchandise inventories</t>
  </si>
  <si>
    <t>Other current assets</t>
  </si>
  <si>
    <t>Net property and equipment</t>
  </si>
  <si>
    <t>Operating lease assets</t>
  </si>
  <si>
    <t>Accrued compensation and related expenses</t>
  </si>
  <si>
    <t>Accrued liabilities</t>
  </si>
  <si>
    <t>Current portion of long-term debt</t>
  </si>
  <si>
    <t>Short-term debt</t>
  </si>
  <si>
    <t>Long-term operating lease liabilities</t>
  </si>
  <si>
    <t>Long-term liabilities</t>
  </si>
  <si>
    <t>Long-term debt</t>
  </si>
  <si>
    <t>Retained earnings</t>
  </si>
  <si>
    <t>Accumulated other comprehensive income</t>
  </si>
  <si>
    <t xml:space="preserve"> </t>
  </si>
  <si>
    <t>Deferred income taxes</t>
  </si>
  <si>
    <t>Other, net</t>
  </si>
  <si>
    <t>Receivables</t>
  </si>
  <si>
    <t>Income taxes</t>
  </si>
  <si>
    <t>Additions to property and equipment</t>
  </si>
  <si>
    <t>Purchases of investments</t>
  </si>
  <si>
    <t>Net proceeds from sale of subsidiary</t>
  </si>
  <si>
    <t>Sales of investments</t>
  </si>
  <si>
    <t>Acquisitions, net of cash acquired</t>
  </si>
  <si>
    <t>Repurchase of common stock</t>
  </si>
  <si>
    <t>Issuance of common stock</t>
  </si>
  <si>
    <t>Dividends paid</t>
  </si>
  <si>
    <t>Borrowings of debt</t>
  </si>
  <si>
    <t>Repayments of debt</t>
  </si>
  <si>
    <t>Income taxes paid</t>
  </si>
  <si>
    <t>Interest paid</t>
  </si>
  <si>
    <t>Best Buy Co Inc (NASDAQ: BBY)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</si>
</sst>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J157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7" width="9.125" style="5" bestFit="1" customWidth="1"/>
    <col min="8" max="8" width="1.5" style="5" customWidth="1"/>
    <col min="9" max="11" width="7.875" style="5" customWidth="1" outlineLevel="1"/>
    <col min="12" max="12" width="8.625" style="5" customWidth="1" outlineLevel="1"/>
    <col min="13" max="15" width="7.875" style="5" customWidth="1" outlineLevel="1"/>
    <col min="16" max="16" width="8.625" style="5" customWidth="1" outlineLevel="1"/>
    <col min="17" max="18" width="7.875" style="5" customWidth="1" outlineLevel="1"/>
    <col min="19" max="19" width="7.875" style="5" customWidth="1"/>
    <col min="20" max="20" width="8.625" style="5" customWidth="1"/>
    <col min="21" max="22" width="8" style="5" customWidth="1"/>
    <col min="23" max="23" width="1.5" style="5" customWidth="1"/>
    <col min="24" max="24" width="8.625" style="5" hidden="1" customWidth="1" outlineLevel="1"/>
    <col min="25" max="27" width="8" style="5" hidden="1" customWidth="1" outlineLevel="1"/>
    <col min="28" max="28" width="8.625" style="5" hidden="1" customWidth="1" outlineLevel="1"/>
    <col min="29" max="29" width="8.25" style="5" hidden="1" customWidth="1" outlineLevel="1"/>
    <col min="30" max="30" width="8.25" style="5" bestFit="1" customWidth="1" collapsed="1"/>
    <col min="31" max="31" width="8.25" style="5" hidden="1" customWidth="1" outlineLevel="1"/>
    <col min="32" max="32" width="8.625" style="5" hidden="1" customWidth="1" outlineLevel="1"/>
    <col min="33" max="33" width="8.25" style="5" hidden="1" customWidth="1" outlineLevel="1"/>
    <col min="34" max="34" width="8.625" style="5" bestFit="1" customWidth="1" collapsed="1"/>
    <col min="35" max="35" width="1.25" style="5" customWidth="1"/>
    <col min="36" max="36" width="10.5" style="5" bestFit="1" customWidth="1"/>
    <col min="37" max="37" width="1.375" style="5" customWidth="1"/>
    <col min="38" max="16384" width="9" style="5"/>
  </cols>
  <sheetData>
    <row r="2" spans="1:36" ht="12.75" customHeight="1">
      <c r="B2" s="1" t="s">
        <v>182</v>
      </c>
      <c r="C2" s="91"/>
      <c r="D2" s="91"/>
      <c r="E2" s="91"/>
      <c r="F2" s="91"/>
      <c r="G2" s="91"/>
      <c r="H2" s="3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3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3"/>
      <c r="AJ2" s="1"/>
    </row>
    <row r="3" spans="1:36" ht="12.75" customHeight="1">
      <c r="B3" s="6" t="s">
        <v>99</v>
      </c>
      <c r="C3" s="7"/>
      <c r="D3" s="7"/>
      <c r="E3" s="7"/>
      <c r="F3" s="7"/>
      <c r="G3" s="7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3"/>
      <c r="AJ3" s="1"/>
    </row>
    <row r="4" spans="1:36" ht="12.75" customHeight="1">
      <c r="B4" s="6" t="s">
        <v>136</v>
      </c>
      <c r="C4" s="3"/>
      <c r="D4" s="3"/>
      <c r="E4" s="3"/>
      <c r="F4" s="8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1"/>
    </row>
    <row r="6" spans="1:36" ht="12.75" customHeight="1">
      <c r="A6" s="5" t="s">
        <v>19</v>
      </c>
      <c r="B6" s="1" t="s">
        <v>97</v>
      </c>
      <c r="C6" s="2" t="s">
        <v>0</v>
      </c>
      <c r="D6" s="2" t="s">
        <v>0</v>
      </c>
      <c r="E6" s="2" t="s">
        <v>0</v>
      </c>
      <c r="F6" s="2"/>
      <c r="G6" s="2"/>
      <c r="H6" s="3"/>
      <c r="I6" s="2" t="s">
        <v>1</v>
      </c>
      <c r="J6" s="2"/>
      <c r="K6" s="2"/>
      <c r="L6" s="2"/>
      <c r="M6" s="2"/>
      <c r="N6" s="2"/>
      <c r="O6" s="2"/>
      <c r="P6" s="2"/>
      <c r="Q6" s="2"/>
      <c r="R6" s="2"/>
      <c r="S6" s="2" t="s">
        <v>1</v>
      </c>
      <c r="T6" s="2"/>
      <c r="U6" s="2"/>
      <c r="V6" s="2"/>
      <c r="W6" s="3"/>
      <c r="X6" s="2"/>
      <c r="Y6" s="2"/>
      <c r="Z6" s="2"/>
      <c r="AA6" s="2"/>
      <c r="AB6" s="2"/>
      <c r="AC6" s="2"/>
      <c r="AD6" s="2" t="s">
        <v>10</v>
      </c>
      <c r="AE6" s="2"/>
      <c r="AF6" s="2"/>
      <c r="AG6" s="2"/>
      <c r="AH6" s="2"/>
      <c r="AI6" s="36"/>
      <c r="AJ6" s="141" t="s">
        <v>26</v>
      </c>
    </row>
    <row r="7" spans="1:36" ht="12.75" customHeight="1">
      <c r="B7" s="6" t="s">
        <v>100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3"/>
      <c r="I7" s="4" t="s">
        <v>28</v>
      </c>
      <c r="J7" s="4" t="s">
        <v>29</v>
      </c>
      <c r="K7" s="4" t="s">
        <v>30</v>
      </c>
      <c r="L7" s="4" t="s">
        <v>31</v>
      </c>
      <c r="M7" s="4" t="s">
        <v>6</v>
      </c>
      <c r="N7" s="4" t="s">
        <v>7</v>
      </c>
      <c r="O7" s="4" t="s">
        <v>8</v>
      </c>
      <c r="P7" s="4" t="s">
        <v>9</v>
      </c>
      <c r="Q7" s="4" t="s">
        <v>2</v>
      </c>
      <c r="R7" s="4" t="s">
        <v>3</v>
      </c>
      <c r="S7" s="4" t="s">
        <v>4</v>
      </c>
      <c r="T7" s="4" t="s">
        <v>5</v>
      </c>
      <c r="U7" s="4" t="s">
        <v>32</v>
      </c>
      <c r="V7" s="4" t="s">
        <v>33</v>
      </c>
      <c r="W7" s="4"/>
      <c r="X7" s="4" t="str">
        <f t="shared" ref="X7:AG8" si="0">L7</f>
        <v>4Q22</v>
      </c>
      <c r="Y7" s="4" t="str">
        <f t="shared" si="0"/>
        <v>1Q23</v>
      </c>
      <c r="Z7" s="4" t="str">
        <f t="shared" si="0"/>
        <v>2Q23</v>
      </c>
      <c r="AA7" s="4" t="str">
        <f t="shared" si="0"/>
        <v>3Q23</v>
      </c>
      <c r="AB7" s="4" t="str">
        <f t="shared" si="0"/>
        <v>4Q23</v>
      </c>
      <c r="AC7" s="4" t="str">
        <f t="shared" si="0"/>
        <v>1Q24</v>
      </c>
      <c r="AD7" s="4" t="str">
        <f t="shared" si="0"/>
        <v>2Q24</v>
      </c>
      <c r="AE7" s="4" t="str">
        <f t="shared" si="0"/>
        <v>3Q24</v>
      </c>
      <c r="AF7" s="4" t="str">
        <f t="shared" si="0"/>
        <v>4Q24</v>
      </c>
      <c r="AG7" s="4" t="str">
        <f t="shared" si="0"/>
        <v>1Q25</v>
      </c>
      <c r="AH7" s="4" t="str">
        <f>V7</f>
        <v>2Q25</v>
      </c>
      <c r="AI7" s="36"/>
      <c r="AJ7" s="141"/>
    </row>
    <row r="8" spans="1:36" ht="12.75" customHeight="1">
      <c r="B8" s="6" t="s">
        <v>101</v>
      </c>
      <c r="C8" s="3">
        <v>44196</v>
      </c>
      <c r="D8" s="3">
        <v>44561</v>
      </c>
      <c r="E8" s="3">
        <v>44926</v>
      </c>
      <c r="F8" s="81">
        <v>45291</v>
      </c>
      <c r="G8" s="3">
        <v>45657</v>
      </c>
      <c r="H8" s="3"/>
      <c r="I8" s="3">
        <v>44651</v>
      </c>
      <c r="J8" s="3">
        <v>44742</v>
      </c>
      <c r="K8" s="3">
        <v>44834</v>
      </c>
      <c r="L8" s="3">
        <v>44926</v>
      </c>
      <c r="M8" s="3">
        <v>45016</v>
      </c>
      <c r="N8" s="3">
        <v>45107</v>
      </c>
      <c r="O8" s="3">
        <v>45199</v>
      </c>
      <c r="P8" s="3">
        <v>45291</v>
      </c>
      <c r="Q8" s="3">
        <v>45382</v>
      </c>
      <c r="R8" s="3">
        <v>45473</v>
      </c>
      <c r="S8" s="3">
        <v>45565</v>
      </c>
      <c r="T8" s="3">
        <v>45657</v>
      </c>
      <c r="U8" s="3">
        <v>45747</v>
      </c>
      <c r="V8" s="3">
        <v>45838</v>
      </c>
      <c r="W8" s="3"/>
      <c r="X8" s="3">
        <f t="shared" si="0"/>
        <v>44926</v>
      </c>
      <c r="Y8" s="3">
        <f t="shared" si="0"/>
        <v>45016</v>
      </c>
      <c r="Z8" s="3">
        <f t="shared" si="0"/>
        <v>45107</v>
      </c>
      <c r="AA8" s="3">
        <f t="shared" si="0"/>
        <v>45199</v>
      </c>
      <c r="AB8" s="3">
        <f t="shared" si="0"/>
        <v>45291</v>
      </c>
      <c r="AC8" s="3">
        <f t="shared" si="0"/>
        <v>45382</v>
      </c>
      <c r="AD8" s="3">
        <f t="shared" si="0"/>
        <v>45473</v>
      </c>
      <c r="AE8" s="3">
        <f t="shared" si="0"/>
        <v>45565</v>
      </c>
      <c r="AF8" s="3">
        <f t="shared" si="0"/>
        <v>45657</v>
      </c>
      <c r="AG8" s="3">
        <f t="shared" si="0"/>
        <v>45747</v>
      </c>
      <c r="AH8" s="3">
        <f>V8</f>
        <v>45838</v>
      </c>
      <c r="AI8" s="36"/>
      <c r="AJ8" s="141"/>
    </row>
    <row r="9" spans="1:36" ht="5.0999999999999996" customHeight="1">
      <c r="AJ9" s="90"/>
    </row>
    <row r="10" spans="1:36" ht="12.75" customHeight="1">
      <c r="B10" s="9" t="s">
        <v>77</v>
      </c>
      <c r="C10" s="86">
        <v>43638</v>
      </c>
      <c r="D10" s="86">
        <v>47262</v>
      </c>
      <c r="E10" s="86">
        <v>51761</v>
      </c>
      <c r="F10" s="86">
        <v>46298</v>
      </c>
      <c r="G10" s="86">
        <v>43452</v>
      </c>
      <c r="H10" s="11"/>
      <c r="I10" s="86"/>
      <c r="J10" s="86"/>
      <c r="K10" s="86"/>
      <c r="L10" s="30">
        <f>SUM(E10-SUM(I10:K10))</f>
        <v>51761</v>
      </c>
      <c r="M10" s="86"/>
      <c r="N10" s="86"/>
      <c r="O10" s="86"/>
      <c r="P10" s="30">
        <f>SUM(F10-SUM(M10:O10))</f>
        <v>46298</v>
      </c>
      <c r="Q10" s="86"/>
      <c r="R10" s="86"/>
      <c r="S10" s="86"/>
      <c r="T10" s="30">
        <f>SUM(G10-SUM(Q10:S10))</f>
        <v>43452</v>
      </c>
      <c r="U10" s="86"/>
      <c r="V10" s="86"/>
      <c r="W10" s="30"/>
      <c r="X10" s="30">
        <f t="shared" ref="X10:AG10" si="1">SUM(I10:L10)</f>
        <v>51761</v>
      </c>
      <c r="Y10" s="30">
        <f t="shared" si="1"/>
        <v>51761</v>
      </c>
      <c r="Z10" s="30">
        <f t="shared" si="1"/>
        <v>51761</v>
      </c>
      <c r="AA10" s="30">
        <f t="shared" si="1"/>
        <v>51761</v>
      </c>
      <c r="AB10" s="30">
        <f t="shared" si="1"/>
        <v>46298</v>
      </c>
      <c r="AC10" s="30">
        <f t="shared" si="1"/>
        <v>46298</v>
      </c>
      <c r="AD10" s="30">
        <f t="shared" si="1"/>
        <v>46298</v>
      </c>
      <c r="AE10" s="30">
        <f t="shared" si="1"/>
        <v>46298</v>
      </c>
      <c r="AF10" s="30">
        <f t="shared" si="1"/>
        <v>43452</v>
      </c>
      <c r="AG10" s="30">
        <f t="shared" si="1"/>
        <v>43452</v>
      </c>
      <c r="AH10" s="30">
        <f>SUM(S10:V10)</f>
        <v>43452</v>
      </c>
      <c r="AI10" s="38"/>
      <c r="AJ10" s="70">
        <f>SUM(AH10/AD10)-1</f>
        <v>-6.1471337854766994E-2</v>
      </c>
    </row>
    <row r="11" spans="1:36" ht="12.75" customHeight="1">
      <c r="B11" s="12" t="s">
        <v>12</v>
      </c>
      <c r="C11" s="13">
        <f t="shared" ref="C11:D11" si="2">+SUM(C10:C10)</f>
        <v>43638</v>
      </c>
      <c r="D11" s="13">
        <f t="shared" si="2"/>
        <v>47262</v>
      </c>
      <c r="E11" s="13">
        <f t="shared" ref="E11:G11" si="3">+SUM(E10:E10)</f>
        <v>51761</v>
      </c>
      <c r="F11" s="13">
        <f t="shared" si="3"/>
        <v>46298</v>
      </c>
      <c r="G11" s="13">
        <f t="shared" si="3"/>
        <v>43452</v>
      </c>
      <c r="H11" s="11"/>
      <c r="I11" s="13">
        <f t="shared" ref="I11:V11" si="4">+SUM(I10:I10)</f>
        <v>0</v>
      </c>
      <c r="J11" s="13">
        <f t="shared" si="4"/>
        <v>0</v>
      </c>
      <c r="K11" s="13">
        <f t="shared" si="4"/>
        <v>0</v>
      </c>
      <c r="L11" s="13">
        <f t="shared" si="4"/>
        <v>51761</v>
      </c>
      <c r="M11" s="13">
        <f t="shared" si="4"/>
        <v>0</v>
      </c>
      <c r="N11" s="13">
        <f t="shared" si="4"/>
        <v>0</v>
      </c>
      <c r="O11" s="13">
        <f t="shared" si="4"/>
        <v>0</v>
      </c>
      <c r="P11" s="13">
        <f t="shared" si="4"/>
        <v>46298</v>
      </c>
      <c r="Q11" s="13">
        <f t="shared" si="4"/>
        <v>0</v>
      </c>
      <c r="R11" s="13">
        <f t="shared" si="4"/>
        <v>0</v>
      </c>
      <c r="S11" s="13">
        <f t="shared" si="4"/>
        <v>0</v>
      </c>
      <c r="T11" s="13">
        <f t="shared" si="4"/>
        <v>43452</v>
      </c>
      <c r="U11" s="13">
        <f t="shared" si="4"/>
        <v>0</v>
      </c>
      <c r="V11" s="13">
        <f t="shared" si="4"/>
        <v>0</v>
      </c>
      <c r="X11" s="13">
        <f t="shared" ref="X11:AH11" si="5">+SUM(X10:X10)</f>
        <v>51761</v>
      </c>
      <c r="Y11" s="13">
        <f t="shared" si="5"/>
        <v>51761</v>
      </c>
      <c r="Z11" s="13">
        <f t="shared" si="5"/>
        <v>51761</v>
      </c>
      <c r="AA11" s="13">
        <f t="shared" si="5"/>
        <v>51761</v>
      </c>
      <c r="AB11" s="13">
        <f t="shared" si="5"/>
        <v>46298</v>
      </c>
      <c r="AC11" s="13">
        <f t="shared" si="5"/>
        <v>46298</v>
      </c>
      <c r="AD11" s="13">
        <f t="shared" si="5"/>
        <v>46298</v>
      </c>
      <c r="AE11" s="13">
        <f t="shared" si="5"/>
        <v>46298</v>
      </c>
      <c r="AF11" s="13">
        <f t="shared" si="5"/>
        <v>43452</v>
      </c>
      <c r="AG11" s="13">
        <f t="shared" si="5"/>
        <v>43452</v>
      </c>
      <c r="AH11" s="13">
        <f t="shared" si="5"/>
        <v>43452</v>
      </c>
      <c r="AI11" s="38"/>
      <c r="AJ11" s="71">
        <f t="shared" ref="AJ11:AJ32" si="6">SUM(AH11/AD11)-1</f>
        <v>-6.1471337854766994E-2</v>
      </c>
    </row>
    <row r="12" spans="1:36" s="18" customFormat="1" ht="5.0999999999999996" customHeight="1">
      <c r="B12" s="16"/>
      <c r="C12" s="17"/>
      <c r="D12" s="17"/>
      <c r="E12" s="17"/>
      <c r="F12" s="17"/>
      <c r="G12" s="17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AJ12" s="70"/>
    </row>
    <row r="13" spans="1:36" ht="12.75" customHeight="1">
      <c r="B13" s="9" t="s">
        <v>13</v>
      </c>
      <c r="C13" s="79">
        <v>33590</v>
      </c>
      <c r="D13" s="79">
        <v>36689</v>
      </c>
      <c r="E13" s="79">
        <v>40121</v>
      </c>
      <c r="F13" s="79">
        <v>36386</v>
      </c>
      <c r="G13" s="79">
        <v>33849</v>
      </c>
      <c r="H13" s="22"/>
      <c r="I13" s="79"/>
      <c r="J13" s="79"/>
      <c r="K13" s="79"/>
      <c r="L13" s="30">
        <f>SUM(E13-SUM(I13:K13))</f>
        <v>40121</v>
      </c>
      <c r="M13" s="86"/>
      <c r="N13" s="86"/>
      <c r="O13" s="86"/>
      <c r="P13" s="30">
        <f>SUM(F13-SUM(M13:O13))</f>
        <v>36386</v>
      </c>
      <c r="Q13" s="79"/>
      <c r="R13" s="79"/>
      <c r="S13" s="79"/>
      <c r="T13" s="30">
        <f>SUM(G13-SUM(Q13:S13))</f>
        <v>33849</v>
      </c>
      <c r="U13" s="79"/>
      <c r="V13" s="79"/>
      <c r="X13" s="30">
        <f t="shared" ref="X13:AC13" si="7">SUM(J13:M13)</f>
        <v>40121</v>
      </c>
      <c r="Y13" s="30">
        <f t="shared" si="7"/>
        <v>40121</v>
      </c>
      <c r="Z13" s="30">
        <f t="shared" si="7"/>
        <v>40121</v>
      </c>
      <c r="AA13" s="30">
        <f t="shared" si="7"/>
        <v>36386</v>
      </c>
      <c r="AB13" s="30">
        <f t="shared" si="7"/>
        <v>36386</v>
      </c>
      <c r="AC13" s="30">
        <f t="shared" si="7"/>
        <v>36386</v>
      </c>
      <c r="AD13" s="30">
        <f t="shared" ref="AD13" si="8">SUM(O13:R13)</f>
        <v>36386</v>
      </c>
      <c r="AE13" s="30">
        <f t="shared" ref="AE13" si="9">SUM(P13:S13)</f>
        <v>36386</v>
      </c>
      <c r="AF13" s="30">
        <f t="shared" ref="AF13" si="10">SUM(Q13:T13)</f>
        <v>33849</v>
      </c>
      <c r="AG13" s="30">
        <f t="shared" ref="AG13" si="11">SUM(R13:U13)</f>
        <v>33849</v>
      </c>
      <c r="AH13" s="30">
        <f>SUM(S13:V13)</f>
        <v>33849</v>
      </c>
      <c r="AI13" s="11"/>
      <c r="AJ13" s="70">
        <f t="shared" si="6"/>
        <v>-6.9724619359094131E-2</v>
      </c>
    </row>
    <row r="14" spans="1:36" ht="12.75" customHeight="1">
      <c r="B14" s="23" t="s">
        <v>24</v>
      </c>
      <c r="C14" s="24">
        <f t="shared" ref="C14:D14" si="12">+SUM(C11+SUM(C13:C13))</f>
        <v>77228</v>
      </c>
      <c r="D14" s="24">
        <f t="shared" si="12"/>
        <v>83951</v>
      </c>
      <c r="E14" s="24">
        <f t="shared" ref="E14:G14" si="13">+SUM(E11+SUM(E13:E13))</f>
        <v>91882</v>
      </c>
      <c r="F14" s="24">
        <f t="shared" si="13"/>
        <v>82684</v>
      </c>
      <c r="G14" s="24">
        <f t="shared" si="13"/>
        <v>77301</v>
      </c>
      <c r="I14" s="24">
        <f t="shared" ref="I14:V14" si="14">+SUM(I11+SUM(I13:I13))</f>
        <v>0</v>
      </c>
      <c r="J14" s="24">
        <f t="shared" si="14"/>
        <v>0</v>
      </c>
      <c r="K14" s="24">
        <f t="shared" si="14"/>
        <v>0</v>
      </c>
      <c r="L14" s="24">
        <f t="shared" si="14"/>
        <v>91882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82684</v>
      </c>
      <c r="Q14" s="24">
        <f t="shared" si="14"/>
        <v>0</v>
      </c>
      <c r="R14" s="24">
        <f t="shared" si="14"/>
        <v>0</v>
      </c>
      <c r="S14" s="24">
        <f t="shared" si="14"/>
        <v>0</v>
      </c>
      <c r="T14" s="24">
        <f t="shared" si="14"/>
        <v>77301</v>
      </c>
      <c r="U14" s="24">
        <f t="shared" si="14"/>
        <v>0</v>
      </c>
      <c r="V14" s="24">
        <f t="shared" si="14"/>
        <v>0</v>
      </c>
      <c r="X14" s="24">
        <f t="shared" ref="X14:AH14" si="15">+SUM(X11+SUM(X13:X13))</f>
        <v>91882</v>
      </c>
      <c r="Y14" s="24">
        <f t="shared" si="15"/>
        <v>91882</v>
      </c>
      <c r="Z14" s="24">
        <f t="shared" si="15"/>
        <v>91882</v>
      </c>
      <c r="AA14" s="24">
        <f t="shared" si="15"/>
        <v>88147</v>
      </c>
      <c r="AB14" s="24">
        <f t="shared" si="15"/>
        <v>82684</v>
      </c>
      <c r="AC14" s="24">
        <f t="shared" si="15"/>
        <v>82684</v>
      </c>
      <c r="AD14" s="24">
        <f t="shared" si="15"/>
        <v>82684</v>
      </c>
      <c r="AE14" s="24">
        <f t="shared" si="15"/>
        <v>82684</v>
      </c>
      <c r="AF14" s="24">
        <f t="shared" si="15"/>
        <v>77301</v>
      </c>
      <c r="AG14" s="24">
        <f t="shared" si="15"/>
        <v>77301</v>
      </c>
      <c r="AH14" s="24">
        <f t="shared" si="15"/>
        <v>77301</v>
      </c>
      <c r="AI14" s="40"/>
      <c r="AJ14" s="71">
        <f t="shared" si="6"/>
        <v>-6.5103284795123617E-2</v>
      </c>
    </row>
    <row r="15" spans="1:36" ht="12.75" customHeight="1">
      <c r="B15" s="14" t="s">
        <v>38</v>
      </c>
      <c r="C15" s="15">
        <f t="shared" ref="C15:D15" si="16">C14/C11</f>
        <v>1.769741968009533</v>
      </c>
      <c r="D15" s="15">
        <f t="shared" si="16"/>
        <v>1.7762896195675173</v>
      </c>
      <c r="E15" s="15">
        <f t="shared" ref="E15:G15" si="17">E14/E11</f>
        <v>1.7751202642916482</v>
      </c>
      <c r="F15" s="15">
        <f t="shared" si="17"/>
        <v>1.7859086785606291</v>
      </c>
      <c r="G15" s="15">
        <f t="shared" si="17"/>
        <v>1.7789975144987573</v>
      </c>
      <c r="H15" s="25"/>
      <c r="I15" s="15" t="e">
        <f t="shared" ref="I15:V15" si="18">I14/I11</f>
        <v>#DIV/0!</v>
      </c>
      <c r="J15" s="15" t="e">
        <f t="shared" si="18"/>
        <v>#DIV/0!</v>
      </c>
      <c r="K15" s="15" t="e">
        <f t="shared" si="18"/>
        <v>#DIV/0!</v>
      </c>
      <c r="L15" s="15">
        <f t="shared" si="18"/>
        <v>1.7751202642916482</v>
      </c>
      <c r="M15" s="15" t="e">
        <f t="shared" si="18"/>
        <v>#DIV/0!</v>
      </c>
      <c r="N15" s="15" t="e">
        <f t="shared" si="18"/>
        <v>#DIV/0!</v>
      </c>
      <c r="O15" s="15" t="e">
        <f t="shared" si="18"/>
        <v>#DIV/0!</v>
      </c>
      <c r="P15" s="15">
        <f t="shared" si="18"/>
        <v>1.7859086785606291</v>
      </c>
      <c r="Q15" s="15" t="e">
        <f t="shared" si="18"/>
        <v>#DIV/0!</v>
      </c>
      <c r="R15" s="15" t="e">
        <f t="shared" si="18"/>
        <v>#DIV/0!</v>
      </c>
      <c r="S15" s="15" t="e">
        <f t="shared" si="18"/>
        <v>#DIV/0!</v>
      </c>
      <c r="T15" s="15">
        <f t="shared" si="18"/>
        <v>1.7789975144987573</v>
      </c>
      <c r="U15" s="15" t="e">
        <f t="shared" si="18"/>
        <v>#DIV/0!</v>
      </c>
      <c r="V15" s="15" t="e">
        <f t="shared" si="18"/>
        <v>#DIV/0!</v>
      </c>
      <c r="W15" s="26"/>
      <c r="X15" s="15">
        <f t="shared" ref="X15:AH15" si="19">X14/X11</f>
        <v>1.7751202642916482</v>
      </c>
      <c r="Y15" s="15">
        <f t="shared" si="19"/>
        <v>1.7751202642916482</v>
      </c>
      <c r="Z15" s="15">
        <f t="shared" si="19"/>
        <v>1.7751202642916482</v>
      </c>
      <c r="AA15" s="15">
        <f t="shared" si="19"/>
        <v>1.7029616893027568</v>
      </c>
      <c r="AB15" s="15">
        <f t="shared" si="19"/>
        <v>1.7859086785606291</v>
      </c>
      <c r="AC15" s="15">
        <f t="shared" si="19"/>
        <v>1.7859086785606291</v>
      </c>
      <c r="AD15" s="15">
        <f t="shared" si="19"/>
        <v>1.7859086785606291</v>
      </c>
      <c r="AE15" s="15">
        <f t="shared" si="19"/>
        <v>1.7859086785606291</v>
      </c>
      <c r="AF15" s="15">
        <f t="shared" si="19"/>
        <v>1.7789975144987573</v>
      </c>
      <c r="AG15" s="15">
        <f t="shared" si="19"/>
        <v>1.7789975144987573</v>
      </c>
      <c r="AH15" s="15">
        <f t="shared" si="19"/>
        <v>1.7789975144987573</v>
      </c>
      <c r="AI15" s="40"/>
      <c r="AJ15" s="72">
        <f>SUM(AH15-AD15)*1000</f>
        <v>-6.9111640618717551</v>
      </c>
    </row>
    <row r="16" spans="1:36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40"/>
      <c r="AJ16" s="70"/>
    </row>
    <row r="17" spans="2:36" ht="12.75" customHeight="1">
      <c r="B17" s="9" t="s">
        <v>143</v>
      </c>
      <c r="C17" s="79">
        <v>7998</v>
      </c>
      <c r="D17" s="79">
        <v>7928</v>
      </c>
      <c r="E17" s="79">
        <v>8635</v>
      </c>
      <c r="F17" s="79">
        <v>7970</v>
      </c>
      <c r="G17" s="79">
        <v>7876</v>
      </c>
      <c r="H17" s="30"/>
      <c r="I17" s="79"/>
      <c r="J17" s="79"/>
      <c r="K17" s="79"/>
      <c r="L17" s="30">
        <f t="shared" ref="L17:L18" si="20">SUM(E17-SUM(I17:K17))</f>
        <v>8635</v>
      </c>
      <c r="M17" s="86"/>
      <c r="N17" s="86"/>
      <c r="O17" s="86"/>
      <c r="P17" s="30">
        <f t="shared" ref="P17:P18" si="21">SUM(F17-SUM(M17:O17))</f>
        <v>7970</v>
      </c>
      <c r="Q17" s="79"/>
      <c r="R17" s="79"/>
      <c r="S17" s="79"/>
      <c r="T17" s="30">
        <f t="shared" ref="T17:T18" si="22">SUM(G17-SUM(Q17:S17))</f>
        <v>7876</v>
      </c>
      <c r="U17" s="79"/>
      <c r="V17" s="79"/>
      <c r="X17" s="30">
        <f t="shared" ref="X17:AC18" si="23">SUM(J17:M17)</f>
        <v>8635</v>
      </c>
      <c r="Y17" s="30">
        <f t="shared" si="23"/>
        <v>8635</v>
      </c>
      <c r="Z17" s="30">
        <f t="shared" si="23"/>
        <v>8635</v>
      </c>
      <c r="AA17" s="30">
        <f t="shared" si="23"/>
        <v>7970</v>
      </c>
      <c r="AB17" s="30">
        <f t="shared" si="23"/>
        <v>7970</v>
      </c>
      <c r="AC17" s="30">
        <f t="shared" si="23"/>
        <v>7970</v>
      </c>
      <c r="AD17" s="30">
        <f t="shared" ref="AD17:AD18" si="24">SUM(O17:R17)</f>
        <v>7970</v>
      </c>
      <c r="AE17" s="30">
        <f t="shared" ref="AE17:AE18" si="25">SUM(P17:S17)</f>
        <v>7970</v>
      </c>
      <c r="AF17" s="30">
        <f t="shared" ref="AF17:AF18" si="26">SUM(Q17:T17)</f>
        <v>7876</v>
      </c>
      <c r="AG17" s="30">
        <f t="shared" ref="AG17:AG18" si="27">SUM(R17:U17)</f>
        <v>7876</v>
      </c>
      <c r="AH17" s="30">
        <f t="shared" ref="AH17:AH18" si="28">SUM(S17:V17)</f>
        <v>7876</v>
      </c>
      <c r="AI17" s="11"/>
      <c r="AJ17" s="70">
        <f t="shared" si="6"/>
        <v>-1.1794228356336256E-2</v>
      </c>
    </row>
    <row r="18" spans="2:36" ht="12.75" customHeight="1">
      <c r="B18" s="9" t="s">
        <v>144</v>
      </c>
      <c r="C18" s="79">
        <v>41</v>
      </c>
      <c r="D18" s="79">
        <v>254</v>
      </c>
      <c r="E18" s="79">
        <v>-34</v>
      </c>
      <c r="F18" s="79">
        <v>147</v>
      </c>
      <c r="G18" s="79">
        <v>153</v>
      </c>
      <c r="H18" s="30"/>
      <c r="I18" s="79"/>
      <c r="J18" s="79"/>
      <c r="K18" s="79"/>
      <c r="L18" s="30">
        <f t="shared" si="20"/>
        <v>-34</v>
      </c>
      <c r="M18" s="86"/>
      <c r="N18" s="86"/>
      <c r="O18" s="86"/>
      <c r="P18" s="30">
        <f t="shared" si="21"/>
        <v>147</v>
      </c>
      <c r="Q18" s="79"/>
      <c r="R18" s="79"/>
      <c r="S18" s="79"/>
      <c r="T18" s="30">
        <f t="shared" si="22"/>
        <v>153</v>
      </c>
      <c r="U18" s="79"/>
      <c r="V18" s="79"/>
      <c r="X18" s="30">
        <f t="shared" si="23"/>
        <v>-34</v>
      </c>
      <c r="Y18" s="30">
        <f t="shared" si="23"/>
        <v>-34</v>
      </c>
      <c r="Z18" s="30">
        <f t="shared" si="23"/>
        <v>-34</v>
      </c>
      <c r="AA18" s="30">
        <f t="shared" si="23"/>
        <v>147</v>
      </c>
      <c r="AB18" s="30">
        <f t="shared" si="23"/>
        <v>147</v>
      </c>
      <c r="AC18" s="30">
        <f t="shared" si="23"/>
        <v>147</v>
      </c>
      <c r="AD18" s="30">
        <f t="shared" si="24"/>
        <v>147</v>
      </c>
      <c r="AE18" s="30">
        <f t="shared" si="25"/>
        <v>147</v>
      </c>
      <c r="AF18" s="30">
        <f t="shared" si="26"/>
        <v>153</v>
      </c>
      <c r="AG18" s="30">
        <f t="shared" si="27"/>
        <v>153</v>
      </c>
      <c r="AH18" s="30">
        <f t="shared" si="28"/>
        <v>153</v>
      </c>
      <c r="AI18" s="11"/>
      <c r="AJ18" s="70">
        <f t="shared" si="6"/>
        <v>4.081632653061229E-2</v>
      </c>
    </row>
    <row r="19" spans="2:36" ht="12.75" customHeight="1">
      <c r="B19" s="23" t="s">
        <v>102</v>
      </c>
      <c r="C19" s="24">
        <f>+SUM(C14+SUM(C17:C18))</f>
        <v>85267</v>
      </c>
      <c r="D19" s="24">
        <f>+SUM(D14+SUM(D17:D18))</f>
        <v>92133</v>
      </c>
      <c r="E19" s="24">
        <f>+SUM(E14+SUM(E17:E18))</f>
        <v>100483</v>
      </c>
      <c r="F19" s="24">
        <f>+SUM(F14+SUM(F17:F18))</f>
        <v>90801</v>
      </c>
      <c r="G19" s="24">
        <f>+SUM(G14+SUM(G17:G18))</f>
        <v>85330</v>
      </c>
      <c r="H19" s="30"/>
      <c r="I19" s="24">
        <f>+SUM(I14+SUM(I17:I18))</f>
        <v>0</v>
      </c>
      <c r="J19" s="24">
        <f>+SUM(J14+SUM(J17:J18))</f>
        <v>0</v>
      </c>
      <c r="K19" s="24">
        <f>+SUM(K14+SUM(K17:K18))</f>
        <v>0</v>
      </c>
      <c r="L19" s="24">
        <f>+SUM(L14+SUM(L17:L18))</f>
        <v>100483</v>
      </c>
      <c r="M19" s="24">
        <f>+SUM(M14+SUM(M17:M18))</f>
        <v>0</v>
      </c>
      <c r="N19" s="24">
        <f>+SUM(N14+SUM(N17:N18))</f>
        <v>0</v>
      </c>
      <c r="O19" s="24">
        <f>+SUM(O14+SUM(O17:O18))</f>
        <v>0</v>
      </c>
      <c r="P19" s="24">
        <f>+SUM(P14+SUM(P17:P18))</f>
        <v>90801</v>
      </c>
      <c r="Q19" s="24">
        <f>+SUM(Q14+SUM(Q17:Q18))</f>
        <v>0</v>
      </c>
      <c r="R19" s="24">
        <f>+SUM(R14+SUM(R17:R18))</f>
        <v>0</v>
      </c>
      <c r="S19" s="24">
        <f>+SUM(S14+SUM(S17:S18))</f>
        <v>0</v>
      </c>
      <c r="T19" s="24">
        <f>+SUM(T14+SUM(T17:T18))</f>
        <v>85330</v>
      </c>
      <c r="U19" s="24">
        <f>+SUM(U14+SUM(U17:U18))</f>
        <v>0</v>
      </c>
      <c r="V19" s="24">
        <f>+SUM(V14+SUM(V17:V18))</f>
        <v>0</v>
      </c>
      <c r="X19" s="24">
        <f>+SUM(X14+SUM(X17:X18))</f>
        <v>100483</v>
      </c>
      <c r="Y19" s="24">
        <f>+SUM(Y14+SUM(Y17:Y18))</f>
        <v>100483</v>
      </c>
      <c r="Z19" s="24">
        <f>+SUM(Z14+SUM(Z17:Z18))</f>
        <v>100483</v>
      </c>
      <c r="AA19" s="24">
        <f>+SUM(AA14+SUM(AA17:AA18))</f>
        <v>96264</v>
      </c>
      <c r="AB19" s="24">
        <f>+SUM(AB14+SUM(AB17:AB18))</f>
        <v>90801</v>
      </c>
      <c r="AC19" s="24">
        <f>+SUM(AC14+SUM(AC17:AC18))</f>
        <v>90801</v>
      </c>
      <c r="AD19" s="24">
        <f>+SUM(AD14+SUM(AD17:AD18))</f>
        <v>90801</v>
      </c>
      <c r="AE19" s="24">
        <f>+SUM(AE14+SUM(AE17:AE18))</f>
        <v>90801</v>
      </c>
      <c r="AF19" s="24">
        <f>+SUM(AF14+SUM(AF17:AF18))</f>
        <v>85330</v>
      </c>
      <c r="AG19" s="24">
        <f>+SUM(AG14+SUM(AG17:AG18))</f>
        <v>85330</v>
      </c>
      <c r="AH19" s="24">
        <f>+SUM(AH14+SUM(AH17:AH18))</f>
        <v>85330</v>
      </c>
      <c r="AI19" s="11"/>
      <c r="AJ19" s="71">
        <f t="shared" si="6"/>
        <v>-6.0252640389423018E-2</v>
      </c>
    </row>
    <row r="20" spans="2:36" ht="12.75" customHeight="1">
      <c r="B20" s="14" t="s">
        <v>40</v>
      </c>
      <c r="C20" s="15">
        <f>C19/C11</f>
        <v>1.953962143086301</v>
      </c>
      <c r="D20" s="15">
        <f>D19/D11</f>
        <v>1.949409673733655</v>
      </c>
      <c r="E20" s="15">
        <f>E19/E11</f>
        <v>1.9412878421977937</v>
      </c>
      <c r="F20" s="15">
        <f>F19/F11</f>
        <v>1.9612294267570953</v>
      </c>
      <c r="G20" s="15">
        <f>G19/G11</f>
        <v>1.9637761207769493</v>
      </c>
      <c r="H20" s="30"/>
      <c r="I20" s="15" t="e">
        <f>I19/I11</f>
        <v>#DIV/0!</v>
      </c>
      <c r="J20" s="15" t="e">
        <f>J19/J11</f>
        <v>#DIV/0!</v>
      </c>
      <c r="K20" s="15" t="e">
        <f>K19/K11</f>
        <v>#DIV/0!</v>
      </c>
      <c r="L20" s="15">
        <f>L19/L11</f>
        <v>1.9412878421977937</v>
      </c>
      <c r="M20" s="15" t="e">
        <f>M19/M11</f>
        <v>#DIV/0!</v>
      </c>
      <c r="N20" s="15" t="e">
        <f>N19/N11</f>
        <v>#DIV/0!</v>
      </c>
      <c r="O20" s="15" t="e">
        <f>O19/O11</f>
        <v>#DIV/0!</v>
      </c>
      <c r="P20" s="15">
        <f>P19/P11</f>
        <v>1.9612294267570953</v>
      </c>
      <c r="Q20" s="15" t="e">
        <f>Q19/Q11</f>
        <v>#DIV/0!</v>
      </c>
      <c r="R20" s="15" t="e">
        <f>R19/R11</f>
        <v>#DIV/0!</v>
      </c>
      <c r="S20" s="15" t="e">
        <f>S19/S11</f>
        <v>#DIV/0!</v>
      </c>
      <c r="T20" s="15">
        <f>T19/T11</f>
        <v>1.9637761207769493</v>
      </c>
      <c r="U20" s="15" t="e">
        <f>U19/U11</f>
        <v>#DIV/0!</v>
      </c>
      <c r="V20" s="15" t="e">
        <f>V19/V11</f>
        <v>#DIV/0!</v>
      </c>
      <c r="X20" s="15">
        <f>X19/X11</f>
        <v>1.9412878421977937</v>
      </c>
      <c r="Y20" s="15">
        <f>Y19/Y11</f>
        <v>1.9412878421977937</v>
      </c>
      <c r="Z20" s="15">
        <f>Z19/Z11</f>
        <v>1.9412878421977937</v>
      </c>
      <c r="AA20" s="15">
        <f>AA19/AA11</f>
        <v>1.8597785977859778</v>
      </c>
      <c r="AB20" s="15">
        <f>AB19/AB11</f>
        <v>1.9612294267570953</v>
      </c>
      <c r="AC20" s="15">
        <f>AC19/AC11</f>
        <v>1.9612294267570953</v>
      </c>
      <c r="AD20" s="15">
        <f>AD19/AD11</f>
        <v>1.9612294267570953</v>
      </c>
      <c r="AE20" s="15">
        <f>AE19/AE11</f>
        <v>1.9612294267570953</v>
      </c>
      <c r="AF20" s="15">
        <f>AF19/AF11</f>
        <v>1.9637761207769493</v>
      </c>
      <c r="AG20" s="15">
        <f>AG19/AG11</f>
        <v>1.9637761207769493</v>
      </c>
      <c r="AH20" s="15">
        <f>AH19/AH11</f>
        <v>1.9637761207769493</v>
      </c>
      <c r="AI20" s="11"/>
      <c r="AJ20" s="72">
        <f>SUM(AH20-AD20)*1000</f>
        <v>2.5466940198539678</v>
      </c>
    </row>
    <row r="21" spans="2:36" ht="5.0999999999999996" customHeight="1">
      <c r="B21" s="14"/>
      <c r="C21" s="15"/>
      <c r="D21" s="15"/>
      <c r="E21" s="15"/>
      <c r="F21" s="15"/>
      <c r="G21" s="15"/>
      <c r="H21" s="30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11"/>
      <c r="AJ21" s="70"/>
    </row>
    <row r="22" spans="2:36" ht="12.75" customHeight="1">
      <c r="B22" s="9" t="s">
        <v>145</v>
      </c>
      <c r="C22" s="79">
        <v>1</v>
      </c>
      <c r="D22" s="79">
        <v>1</v>
      </c>
      <c r="E22" s="79" t="s">
        <v>150</v>
      </c>
      <c r="F22" s="79" t="s">
        <v>150</v>
      </c>
      <c r="G22" s="79">
        <v>21</v>
      </c>
      <c r="H22" s="30"/>
      <c r="I22" s="79"/>
      <c r="J22" s="79"/>
      <c r="K22" s="79"/>
      <c r="L22" s="30" t="e">
        <f t="shared" ref="L22:L27" si="29">SUM(E22-SUM(I22:K22))</f>
        <v>#VALUE!</v>
      </c>
      <c r="M22" s="79"/>
      <c r="N22" s="79"/>
      <c r="O22" s="79"/>
      <c r="P22" s="30" t="e">
        <f t="shared" ref="P22:P27" si="30">SUM(F22-SUM(M22:O22))</f>
        <v>#VALUE!</v>
      </c>
      <c r="Q22" s="79"/>
      <c r="R22" s="79"/>
      <c r="S22" s="79"/>
      <c r="T22" s="30">
        <f t="shared" ref="T22:T25" si="31">SUM(G22-SUM(Q22:S22))</f>
        <v>21</v>
      </c>
      <c r="U22" s="79"/>
      <c r="V22" s="79"/>
      <c r="X22" s="30" t="e">
        <f t="shared" ref="X22:AC22" si="32">SUM(J22:M22)</f>
        <v>#VALUE!</v>
      </c>
      <c r="Y22" s="30" t="e">
        <f t="shared" si="32"/>
        <v>#VALUE!</v>
      </c>
      <c r="Z22" s="30" t="e">
        <f t="shared" si="32"/>
        <v>#VALUE!</v>
      </c>
      <c r="AA22" s="30" t="e">
        <f t="shared" si="32"/>
        <v>#VALUE!</v>
      </c>
      <c r="AB22" s="30" t="e">
        <f t="shared" si="32"/>
        <v>#VALUE!</v>
      </c>
      <c r="AC22" s="30" t="e">
        <f t="shared" si="32"/>
        <v>#VALUE!</v>
      </c>
      <c r="AD22" s="30" t="e">
        <f t="shared" ref="AD22:AD25" si="33">SUM(O22:R22)</f>
        <v>#VALUE!</v>
      </c>
      <c r="AE22" s="30" t="e">
        <f t="shared" ref="AE22:AE25" si="34">SUM(P22:S22)</f>
        <v>#VALUE!</v>
      </c>
      <c r="AF22" s="30">
        <f t="shared" ref="AF22:AF25" si="35">SUM(Q22:T22)</f>
        <v>21</v>
      </c>
      <c r="AG22" s="30">
        <f t="shared" ref="AG22:AG25" si="36">SUM(R22:U22)</f>
        <v>21</v>
      </c>
      <c r="AH22" s="30">
        <f t="shared" ref="AH22:AH25" si="37">SUM(S22:V22)</f>
        <v>21</v>
      </c>
      <c r="AI22" s="11"/>
      <c r="AJ22" s="70" t="e">
        <f t="shared" si="6"/>
        <v>#VALUE!</v>
      </c>
    </row>
    <row r="23" spans="2:36" ht="12.75" customHeight="1">
      <c r="B23" s="9" t="s">
        <v>146</v>
      </c>
      <c r="C23" s="79">
        <v>47</v>
      </c>
      <c r="D23" s="79">
        <v>37</v>
      </c>
      <c r="E23" s="79">
        <v>10</v>
      </c>
      <c r="F23" s="79">
        <v>28</v>
      </c>
      <c r="G23" s="79">
        <v>78</v>
      </c>
      <c r="H23" s="30"/>
      <c r="I23" s="79"/>
      <c r="J23" s="79"/>
      <c r="K23" s="79"/>
      <c r="L23" s="30">
        <f t="shared" si="29"/>
        <v>10</v>
      </c>
      <c r="M23" s="79"/>
      <c r="N23" s="79"/>
      <c r="O23" s="79"/>
      <c r="P23" s="30">
        <f t="shared" si="30"/>
        <v>28</v>
      </c>
      <c r="Q23" s="79"/>
      <c r="R23" s="79"/>
      <c r="S23" s="79"/>
      <c r="T23" s="30">
        <f t="shared" si="31"/>
        <v>78</v>
      </c>
      <c r="U23" s="79"/>
      <c r="V23" s="79"/>
      <c r="X23" s="30"/>
      <c r="Y23" s="30"/>
      <c r="Z23" s="30"/>
      <c r="AA23" s="30"/>
      <c r="AB23" s="30"/>
      <c r="AC23" s="30"/>
      <c r="AD23" s="30">
        <f t="shared" si="33"/>
        <v>28</v>
      </c>
      <c r="AE23" s="30">
        <f t="shared" si="34"/>
        <v>28</v>
      </c>
      <c r="AF23" s="30">
        <f t="shared" si="35"/>
        <v>78</v>
      </c>
      <c r="AG23" s="30">
        <f t="shared" si="36"/>
        <v>78</v>
      </c>
      <c r="AH23" s="30">
        <f t="shared" si="37"/>
        <v>78</v>
      </c>
      <c r="AI23" s="11"/>
      <c r="AJ23" s="70">
        <f t="shared" si="6"/>
        <v>1.7857142857142856</v>
      </c>
    </row>
    <row r="24" spans="2:36" ht="12.75" customHeight="1">
      <c r="B24" s="9" t="s">
        <v>91</v>
      </c>
      <c r="C24" s="79">
        <v>-64</v>
      </c>
      <c r="D24" s="79">
        <v>-52</v>
      </c>
      <c r="E24" s="79">
        <v>-25</v>
      </c>
      <c r="F24" s="79">
        <v>-35</v>
      </c>
      <c r="G24" s="79">
        <v>-52</v>
      </c>
      <c r="H24" s="30"/>
      <c r="I24" s="79"/>
      <c r="J24" s="79"/>
      <c r="K24" s="79"/>
      <c r="L24" s="30">
        <f t="shared" si="29"/>
        <v>-25</v>
      </c>
      <c r="M24" s="79"/>
      <c r="N24" s="79"/>
      <c r="O24" s="79"/>
      <c r="P24" s="30">
        <f t="shared" si="30"/>
        <v>-35</v>
      </c>
      <c r="Q24" s="79"/>
      <c r="R24" s="79"/>
      <c r="S24" s="79"/>
      <c r="T24" s="30">
        <f t="shared" si="31"/>
        <v>-52</v>
      </c>
      <c r="U24" s="79"/>
      <c r="V24" s="79"/>
      <c r="X24" s="30"/>
      <c r="Y24" s="30"/>
      <c r="Z24" s="30"/>
      <c r="AA24" s="30"/>
      <c r="AB24" s="30"/>
      <c r="AC24" s="30"/>
      <c r="AD24" s="30">
        <f t="shared" si="33"/>
        <v>-35</v>
      </c>
      <c r="AE24" s="30">
        <f t="shared" si="34"/>
        <v>-35</v>
      </c>
      <c r="AF24" s="30">
        <f t="shared" si="35"/>
        <v>-52</v>
      </c>
      <c r="AG24" s="30">
        <f t="shared" si="36"/>
        <v>-52</v>
      </c>
      <c r="AH24" s="30">
        <f t="shared" si="37"/>
        <v>-52</v>
      </c>
      <c r="AI24" s="11"/>
      <c r="AJ24" s="70">
        <f t="shared" si="6"/>
        <v>0.48571428571428577</v>
      </c>
    </row>
    <row r="25" spans="2:36" ht="12.75" customHeight="1">
      <c r="B25" s="9" t="s">
        <v>147</v>
      </c>
      <c r="C25" s="79">
        <v>1993</v>
      </c>
      <c r="D25" s="79">
        <v>2377</v>
      </c>
      <c r="E25" s="79">
        <v>3024</v>
      </c>
      <c r="F25" s="79">
        <v>1788</v>
      </c>
      <c r="G25" s="79">
        <v>1621</v>
      </c>
      <c r="H25" s="30"/>
      <c r="I25" s="79"/>
      <c r="J25" s="79"/>
      <c r="K25" s="79"/>
      <c r="L25" s="30">
        <f t="shared" si="29"/>
        <v>3024</v>
      </c>
      <c r="M25" s="79"/>
      <c r="N25" s="79"/>
      <c r="O25" s="79"/>
      <c r="P25" s="30">
        <f t="shared" si="30"/>
        <v>1788</v>
      </c>
      <c r="Q25" s="79"/>
      <c r="R25" s="79"/>
      <c r="S25" s="79"/>
      <c r="T25" s="30">
        <f t="shared" si="31"/>
        <v>1621</v>
      </c>
      <c r="U25" s="79"/>
      <c r="V25" s="79"/>
      <c r="X25" s="30"/>
      <c r="Y25" s="30"/>
      <c r="Z25" s="30"/>
      <c r="AA25" s="30"/>
      <c r="AB25" s="30"/>
      <c r="AC25" s="30"/>
      <c r="AD25" s="30">
        <f t="shared" si="33"/>
        <v>1788</v>
      </c>
      <c r="AE25" s="30">
        <f t="shared" si="34"/>
        <v>1788</v>
      </c>
      <c r="AF25" s="30">
        <f t="shared" si="35"/>
        <v>1621</v>
      </c>
      <c r="AG25" s="30">
        <f t="shared" si="36"/>
        <v>1621</v>
      </c>
      <c r="AH25" s="30">
        <f t="shared" si="37"/>
        <v>1621</v>
      </c>
      <c r="AI25" s="11"/>
      <c r="AJ25" s="70">
        <f t="shared" si="6"/>
        <v>-9.3400447427293032E-2</v>
      </c>
    </row>
    <row r="26" spans="2:36" ht="12.75" customHeight="1">
      <c r="B26" s="9" t="s">
        <v>148</v>
      </c>
      <c r="C26" s="79">
        <v>452</v>
      </c>
      <c r="D26" s="79">
        <v>579</v>
      </c>
      <c r="E26" s="79">
        <v>574</v>
      </c>
      <c r="F26" s="79">
        <v>370</v>
      </c>
      <c r="G26" s="79">
        <v>381</v>
      </c>
      <c r="H26" s="30"/>
      <c r="I26" s="79"/>
      <c r="J26" s="79"/>
      <c r="K26" s="79"/>
      <c r="L26" s="30">
        <f t="shared" si="29"/>
        <v>574</v>
      </c>
      <c r="M26" s="79"/>
      <c r="N26" s="79"/>
      <c r="O26" s="79"/>
      <c r="P26" s="30">
        <f t="shared" si="30"/>
        <v>370</v>
      </c>
      <c r="Q26" s="79"/>
      <c r="R26" s="79"/>
      <c r="S26" s="79"/>
      <c r="T26" s="30"/>
      <c r="U26" s="79"/>
      <c r="V26" s="79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11"/>
      <c r="AJ26" s="70"/>
    </row>
    <row r="27" spans="2:36" ht="12.75" customHeight="1">
      <c r="B27" s="9" t="s">
        <v>149</v>
      </c>
      <c r="C27" s="79"/>
      <c r="D27" s="79"/>
      <c r="E27" s="79">
        <v>4</v>
      </c>
      <c r="F27" s="79">
        <v>1</v>
      </c>
      <c r="G27" s="79">
        <v>1</v>
      </c>
      <c r="H27" s="30"/>
      <c r="I27" s="79"/>
      <c r="J27" s="79"/>
      <c r="K27" s="79"/>
      <c r="L27" s="30">
        <f t="shared" si="29"/>
        <v>4</v>
      </c>
      <c r="M27" s="79"/>
      <c r="N27" s="79"/>
      <c r="O27" s="79"/>
      <c r="P27" s="30">
        <f t="shared" si="30"/>
        <v>1</v>
      </c>
      <c r="Q27" s="79"/>
      <c r="R27" s="79"/>
      <c r="S27" s="79"/>
      <c r="T27" s="30"/>
      <c r="U27" s="79"/>
      <c r="V27" s="79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11"/>
      <c r="AJ27" s="70"/>
    </row>
    <row r="28" spans="2:36" ht="12.75" customHeight="1">
      <c r="B28" s="23" t="s">
        <v>103</v>
      </c>
      <c r="C28" s="24">
        <f>SUM(C19+SUM(C22:C27))</f>
        <v>87696</v>
      </c>
      <c r="D28" s="24">
        <f>SUM(D19+SUM(D22:D27))</f>
        <v>95075</v>
      </c>
      <c r="E28" s="24">
        <f>SUM(E19+SUM(E22:E27))</f>
        <v>104070</v>
      </c>
      <c r="F28" s="24">
        <f>SUM(F19+SUM(F22:F27))</f>
        <v>92953</v>
      </c>
      <c r="G28" s="24">
        <f>SUM(G19+SUM(G22:G27))</f>
        <v>87380</v>
      </c>
      <c r="I28" s="24">
        <f>SUM(I19+SUM(I22:I27))</f>
        <v>0</v>
      </c>
      <c r="J28" s="24">
        <f>SUM(J19+SUM(J22:J27))</f>
        <v>0</v>
      </c>
      <c r="K28" s="24">
        <f>SUM(K19+SUM(K22:K27))</f>
        <v>0</v>
      </c>
      <c r="L28" s="24" t="e">
        <f>SUM(L19+SUM(L22:L27))</f>
        <v>#VALUE!</v>
      </c>
      <c r="M28" s="24">
        <f>SUM(M19+SUM(M22:M27))</f>
        <v>0</v>
      </c>
      <c r="N28" s="24">
        <f>SUM(N19+SUM(N22:N27))</f>
        <v>0</v>
      </c>
      <c r="O28" s="24">
        <f>SUM(O19+SUM(O22:O27))</f>
        <v>0</v>
      </c>
      <c r="P28" s="24" t="e">
        <f>SUM(P19+SUM(P22:P27))</f>
        <v>#VALUE!</v>
      </c>
      <c r="Q28" s="24">
        <f>SUM(Q19+SUM(Q22:Q27))</f>
        <v>0</v>
      </c>
      <c r="R28" s="24">
        <f>SUM(R19+SUM(R22:R27))</f>
        <v>0</v>
      </c>
      <c r="S28" s="24">
        <f>SUM(S19+SUM(S22:S27))</f>
        <v>0</v>
      </c>
      <c r="T28" s="24">
        <f>SUM(T19+SUM(T22:T27))</f>
        <v>86998</v>
      </c>
      <c r="U28" s="24">
        <f>SUM(U19+SUM(U22:U27))</f>
        <v>0</v>
      </c>
      <c r="V28" s="24">
        <f>SUM(V19+SUM(V22:V27))</f>
        <v>0</v>
      </c>
      <c r="X28" s="24" t="e">
        <f>SUM(X19+SUM(X22:X27))</f>
        <v>#VALUE!</v>
      </c>
      <c r="Y28" s="24" t="e">
        <f>SUM(Y19+SUM(Y22:Y27))</f>
        <v>#VALUE!</v>
      </c>
      <c r="Z28" s="24" t="e">
        <f>SUM(Z19+SUM(Z22:Z27))</f>
        <v>#VALUE!</v>
      </c>
      <c r="AA28" s="24" t="e">
        <f>SUM(AA19+SUM(AA22:AA27))</f>
        <v>#VALUE!</v>
      </c>
      <c r="AB28" s="24" t="e">
        <f>SUM(AB19+SUM(AB22:AB27))</f>
        <v>#VALUE!</v>
      </c>
      <c r="AC28" s="24" t="e">
        <f>SUM(AC19+SUM(AC22:AC27))</f>
        <v>#VALUE!</v>
      </c>
      <c r="AD28" s="24" t="e">
        <f>SUM(AD19+SUM(AD22:AD27))</f>
        <v>#VALUE!</v>
      </c>
      <c r="AE28" s="24" t="e">
        <f>SUM(AE19+SUM(AE22:AE27))</f>
        <v>#VALUE!</v>
      </c>
      <c r="AF28" s="24">
        <f>SUM(AF19+SUM(AF22:AF27))</f>
        <v>86998</v>
      </c>
      <c r="AG28" s="24">
        <f>SUM(AG19+SUM(AG22:AG27))</f>
        <v>86998</v>
      </c>
      <c r="AH28" s="24">
        <f>SUM(AH19+SUM(AH22:AH27))</f>
        <v>86998</v>
      </c>
      <c r="AI28" s="40"/>
      <c r="AJ28" s="71" t="e">
        <f t="shared" si="6"/>
        <v>#VALUE!</v>
      </c>
    </row>
    <row r="29" spans="2:36" ht="12.75" customHeight="1">
      <c r="B29" s="14" t="s">
        <v>104</v>
      </c>
      <c r="C29" s="15">
        <f>C28/C11</f>
        <v>2.0096246390760348</v>
      </c>
      <c r="D29" s="15">
        <f>D28/D11</f>
        <v>2.0116584147941263</v>
      </c>
      <c r="E29" s="15">
        <f>E28/E11</f>
        <v>2.010587121578022</v>
      </c>
      <c r="F29" s="15">
        <f>F28/F11</f>
        <v>2.0077109162382825</v>
      </c>
      <c r="G29" s="15">
        <f>G28/G11</f>
        <v>2.0109546165884193</v>
      </c>
      <c r="H29" s="25"/>
      <c r="I29" s="15" t="e">
        <f>I28/I11</f>
        <v>#DIV/0!</v>
      </c>
      <c r="J29" s="15" t="e">
        <f>J28/J11</f>
        <v>#DIV/0!</v>
      </c>
      <c r="K29" s="15" t="e">
        <f>K28/K11</f>
        <v>#DIV/0!</v>
      </c>
      <c r="L29" s="15" t="e">
        <f>L28/L11</f>
        <v>#VALUE!</v>
      </c>
      <c r="M29" s="15" t="e">
        <f>M28/M11</f>
        <v>#DIV/0!</v>
      </c>
      <c r="N29" s="15" t="e">
        <f>N28/N11</f>
        <v>#DIV/0!</v>
      </c>
      <c r="O29" s="15" t="e">
        <f>O28/O11</f>
        <v>#DIV/0!</v>
      </c>
      <c r="P29" s="15" t="e">
        <f>P28/P11</f>
        <v>#VALUE!</v>
      </c>
      <c r="Q29" s="15" t="e">
        <f>Q28/Q11</f>
        <v>#DIV/0!</v>
      </c>
      <c r="R29" s="15" t="e">
        <f>R28/R11</f>
        <v>#DIV/0!</v>
      </c>
      <c r="S29" s="15" t="e">
        <f>S28/S11</f>
        <v>#DIV/0!</v>
      </c>
      <c r="T29" s="15">
        <f>T28/T11</f>
        <v>2.0021633066372089</v>
      </c>
      <c r="U29" s="15" t="e">
        <f>U28/U11</f>
        <v>#DIV/0!</v>
      </c>
      <c r="V29" s="15" t="e">
        <f>V28/V11</f>
        <v>#DIV/0!</v>
      </c>
      <c r="W29" s="26"/>
      <c r="X29" s="15" t="e">
        <f>X28/X11</f>
        <v>#VALUE!</v>
      </c>
      <c r="Y29" s="15" t="e">
        <f>Y28/Y11</f>
        <v>#VALUE!</v>
      </c>
      <c r="Z29" s="15" t="e">
        <f>Z28/Z11</f>
        <v>#VALUE!</v>
      </c>
      <c r="AA29" s="15" t="e">
        <f>AA28/AA11</f>
        <v>#VALUE!</v>
      </c>
      <c r="AB29" s="15" t="e">
        <f>AB28/AB11</f>
        <v>#VALUE!</v>
      </c>
      <c r="AC29" s="15" t="e">
        <f>AC28/AC11</f>
        <v>#VALUE!</v>
      </c>
      <c r="AD29" s="15" t="e">
        <f>AD28/AD11</f>
        <v>#VALUE!</v>
      </c>
      <c r="AE29" s="15" t="e">
        <f>AE28/AE11</f>
        <v>#VALUE!</v>
      </c>
      <c r="AF29" s="15">
        <f>AF28/AF11</f>
        <v>2.0021633066372089</v>
      </c>
      <c r="AG29" s="15">
        <f>AG28/AG11</f>
        <v>2.0021633066372089</v>
      </c>
      <c r="AH29" s="15">
        <f>AH28/AH11</f>
        <v>2.0021633066372089</v>
      </c>
      <c r="AI29" s="41"/>
      <c r="AJ29" s="72" t="e">
        <f>SUM(AH29-AD29)*1000</f>
        <v>#VALUE!</v>
      </c>
    </row>
    <row r="30" spans="2:36" ht="5.0999999999999996" customHeight="1">
      <c r="B30" s="27"/>
      <c r="C30" s="42"/>
      <c r="D30" s="42"/>
      <c r="E30" s="42"/>
      <c r="F30" s="42"/>
      <c r="G30" s="42"/>
      <c r="H30" s="28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1"/>
      <c r="AJ30" s="70"/>
    </row>
    <row r="31" spans="2:36" ht="12.75" customHeight="1">
      <c r="B31" s="43" t="s">
        <v>120</v>
      </c>
      <c r="C31" s="79">
        <v>0</v>
      </c>
      <c r="D31" s="79">
        <v>0</v>
      </c>
      <c r="E31" s="79">
        <v>0</v>
      </c>
      <c r="F31" s="79">
        <v>0</v>
      </c>
      <c r="G31" s="79">
        <v>0</v>
      </c>
      <c r="H31" s="30"/>
      <c r="I31" s="79">
        <v>0</v>
      </c>
      <c r="J31" s="79">
        <v>0</v>
      </c>
      <c r="K31" s="79">
        <v>0</v>
      </c>
      <c r="L31" s="30">
        <f t="shared" ref="L31" si="38">SUM(E31-SUM(I31:K31))</f>
        <v>0</v>
      </c>
      <c r="M31" s="79">
        <v>0</v>
      </c>
      <c r="N31" s="79">
        <v>0</v>
      </c>
      <c r="O31" s="79">
        <v>0</v>
      </c>
      <c r="P31" s="30">
        <f t="shared" ref="P31" si="39">SUM(F31-SUM(M31:O31))</f>
        <v>0</v>
      </c>
      <c r="Q31" s="79">
        <v>0</v>
      </c>
      <c r="R31" s="79">
        <v>0</v>
      </c>
      <c r="S31" s="79">
        <v>0</v>
      </c>
      <c r="T31" s="30">
        <f t="shared" ref="T31" si="40">SUM(G31-SUM(Q31:S31))</f>
        <v>0</v>
      </c>
      <c r="U31" s="79">
        <v>0</v>
      </c>
      <c r="V31" s="79"/>
      <c r="W31" s="30"/>
      <c r="X31" s="30">
        <f t="shared" ref="X31:AC31" si="41">SUM(J31:M31)</f>
        <v>0</v>
      </c>
      <c r="Y31" s="30">
        <f t="shared" si="41"/>
        <v>0</v>
      </c>
      <c r="Z31" s="30">
        <f t="shared" si="41"/>
        <v>0</v>
      </c>
      <c r="AA31" s="30">
        <f t="shared" si="41"/>
        <v>0</v>
      </c>
      <c r="AB31" s="30">
        <f t="shared" si="41"/>
        <v>0</v>
      </c>
      <c r="AC31" s="30">
        <f t="shared" si="41"/>
        <v>0</v>
      </c>
      <c r="AD31" s="30">
        <f t="shared" ref="AD31" si="42">SUM(O31:R31)</f>
        <v>0</v>
      </c>
      <c r="AE31" s="30">
        <f t="shared" ref="AE31" si="43">SUM(P31:S31)</f>
        <v>0</v>
      </c>
      <c r="AF31" s="30">
        <f t="shared" ref="AF31" si="44">SUM(Q31:T31)</f>
        <v>0</v>
      </c>
      <c r="AG31" s="30">
        <f t="shared" ref="AG31" si="45">SUM(R31:U31)</f>
        <v>0</v>
      </c>
      <c r="AH31" s="30">
        <f>SUM(S31:V31)</f>
        <v>0</v>
      </c>
      <c r="AI31" s="41"/>
      <c r="AJ31" s="70" t="e">
        <f t="shared" si="6"/>
        <v>#DIV/0!</v>
      </c>
    </row>
    <row r="32" spans="2:36" ht="12.75" customHeight="1">
      <c r="B32" s="12" t="s">
        <v>67</v>
      </c>
      <c r="C32" s="13">
        <f t="shared" ref="C32:D32" si="46">SUM(C28+C31)</f>
        <v>87696</v>
      </c>
      <c r="D32" s="13">
        <f t="shared" si="46"/>
        <v>95075</v>
      </c>
      <c r="E32" s="13">
        <f t="shared" ref="E32:G32" si="47">SUM(E28+E31)</f>
        <v>104070</v>
      </c>
      <c r="F32" s="13">
        <f t="shared" si="47"/>
        <v>92953</v>
      </c>
      <c r="G32" s="13">
        <f t="shared" si="47"/>
        <v>87380</v>
      </c>
      <c r="H32" s="11"/>
      <c r="I32" s="13">
        <f t="shared" ref="I32:V32" si="48">SUM(I28+I31)</f>
        <v>0</v>
      </c>
      <c r="J32" s="13">
        <f t="shared" si="48"/>
        <v>0</v>
      </c>
      <c r="K32" s="13">
        <f t="shared" si="48"/>
        <v>0</v>
      </c>
      <c r="L32" s="13" t="e">
        <f t="shared" si="48"/>
        <v>#VALUE!</v>
      </c>
      <c r="M32" s="13">
        <f t="shared" si="48"/>
        <v>0</v>
      </c>
      <c r="N32" s="13">
        <f t="shared" si="48"/>
        <v>0</v>
      </c>
      <c r="O32" s="13">
        <f t="shared" si="48"/>
        <v>0</v>
      </c>
      <c r="P32" s="13" t="e">
        <f t="shared" si="48"/>
        <v>#VALUE!</v>
      </c>
      <c r="Q32" s="13">
        <f t="shared" si="48"/>
        <v>0</v>
      </c>
      <c r="R32" s="13">
        <f t="shared" si="48"/>
        <v>0</v>
      </c>
      <c r="S32" s="13">
        <f t="shared" si="48"/>
        <v>0</v>
      </c>
      <c r="T32" s="13">
        <f t="shared" si="48"/>
        <v>86998</v>
      </c>
      <c r="U32" s="13">
        <f t="shared" si="48"/>
        <v>0</v>
      </c>
      <c r="V32" s="13">
        <f t="shared" si="48"/>
        <v>0</v>
      </c>
      <c r="W32" s="30"/>
      <c r="X32" s="13" t="e">
        <f t="shared" ref="X32:AH32" si="49">SUM(X28+X31)</f>
        <v>#VALUE!</v>
      </c>
      <c r="Y32" s="13" t="e">
        <f t="shared" si="49"/>
        <v>#VALUE!</v>
      </c>
      <c r="Z32" s="13" t="e">
        <f t="shared" si="49"/>
        <v>#VALUE!</v>
      </c>
      <c r="AA32" s="13" t="e">
        <f t="shared" si="49"/>
        <v>#VALUE!</v>
      </c>
      <c r="AB32" s="13" t="e">
        <f t="shared" si="49"/>
        <v>#VALUE!</v>
      </c>
      <c r="AC32" s="13" t="e">
        <f t="shared" si="49"/>
        <v>#VALUE!</v>
      </c>
      <c r="AD32" s="13" t="e">
        <f t="shared" si="49"/>
        <v>#VALUE!</v>
      </c>
      <c r="AE32" s="13" t="e">
        <f t="shared" si="49"/>
        <v>#VALUE!</v>
      </c>
      <c r="AF32" s="13">
        <f t="shared" si="49"/>
        <v>86998</v>
      </c>
      <c r="AG32" s="13">
        <f t="shared" si="49"/>
        <v>86998</v>
      </c>
      <c r="AH32" s="13">
        <f t="shared" si="49"/>
        <v>86998</v>
      </c>
      <c r="AI32" s="34"/>
      <c r="AJ32" s="71" t="e">
        <f t="shared" si="6"/>
        <v>#VALUE!</v>
      </c>
    </row>
    <row r="33" spans="1:36" ht="12.75" customHeight="1">
      <c r="B33" s="14" t="s">
        <v>82</v>
      </c>
      <c r="C33" s="15">
        <f>C32/C11</f>
        <v>2.0096246390760348</v>
      </c>
      <c r="D33" s="15">
        <f>D32/D11</f>
        <v>2.0116584147941263</v>
      </c>
      <c r="E33" s="15">
        <f>E32/E11</f>
        <v>2.010587121578022</v>
      </c>
      <c r="F33" s="15">
        <f>F32/F11</f>
        <v>2.0077109162382825</v>
      </c>
      <c r="G33" s="15">
        <f>G32/G11</f>
        <v>2.0109546165884193</v>
      </c>
      <c r="H33" s="25"/>
      <c r="I33" s="15" t="e">
        <f>I32/I11</f>
        <v>#DIV/0!</v>
      </c>
      <c r="J33" s="15" t="e">
        <f>J32/J11</f>
        <v>#DIV/0!</v>
      </c>
      <c r="K33" s="15" t="e">
        <f>K32/K11</f>
        <v>#DIV/0!</v>
      </c>
      <c r="L33" s="15" t="e">
        <f>L32/L11</f>
        <v>#VALUE!</v>
      </c>
      <c r="M33" s="15" t="e">
        <f>M32/M11</f>
        <v>#DIV/0!</v>
      </c>
      <c r="N33" s="15" t="e">
        <f>N32/N11</f>
        <v>#DIV/0!</v>
      </c>
      <c r="O33" s="15" t="e">
        <f>O32/O11</f>
        <v>#DIV/0!</v>
      </c>
      <c r="P33" s="15" t="e">
        <f>P32/P11</f>
        <v>#VALUE!</v>
      </c>
      <c r="Q33" s="15" t="e">
        <f>Q32/Q11</f>
        <v>#DIV/0!</v>
      </c>
      <c r="R33" s="15" t="e">
        <f>R32/R11</f>
        <v>#DIV/0!</v>
      </c>
      <c r="S33" s="15" t="e">
        <f>S32/S11</f>
        <v>#DIV/0!</v>
      </c>
      <c r="T33" s="15">
        <f>T32/T11</f>
        <v>2.0021633066372089</v>
      </c>
      <c r="U33" s="15" t="e">
        <f>U32/U11</f>
        <v>#DIV/0!</v>
      </c>
      <c r="V33" s="15" t="e">
        <f>V32/V11</f>
        <v>#DIV/0!</v>
      </c>
      <c r="W33" s="26"/>
      <c r="X33" s="15" t="e">
        <f>X32/X11</f>
        <v>#VALUE!</v>
      </c>
      <c r="Y33" s="15" t="e">
        <f>Y32/Y11</f>
        <v>#VALUE!</v>
      </c>
      <c r="Z33" s="15" t="e">
        <f>Z32/Z11</f>
        <v>#VALUE!</v>
      </c>
      <c r="AA33" s="15" t="e">
        <f>AA32/AA11</f>
        <v>#VALUE!</v>
      </c>
      <c r="AB33" s="15" t="e">
        <f>AB32/AB11</f>
        <v>#VALUE!</v>
      </c>
      <c r="AC33" s="15" t="e">
        <f>AC32/AC11</f>
        <v>#VALUE!</v>
      </c>
      <c r="AD33" s="15" t="e">
        <f>AD32/AD11</f>
        <v>#VALUE!</v>
      </c>
      <c r="AE33" s="15" t="e">
        <f>AE32/AE11</f>
        <v>#VALUE!</v>
      </c>
      <c r="AF33" s="15">
        <f>AF32/AF11</f>
        <v>2.0021633066372089</v>
      </c>
      <c r="AG33" s="15">
        <f>AG32/AG11</f>
        <v>2.0021633066372089</v>
      </c>
      <c r="AH33" s="15">
        <f>AH32/AH11</f>
        <v>2.0021633066372089</v>
      </c>
      <c r="AI33" s="41"/>
      <c r="AJ33" s="72" t="e">
        <f>SUM(AH33-AD33)*1000</f>
        <v>#VALUE!</v>
      </c>
    </row>
    <row r="34" spans="1:36" ht="5.0999999999999996" customHeight="1">
      <c r="B34" s="14"/>
      <c r="C34" s="15"/>
      <c r="D34" s="15"/>
      <c r="E34" s="15"/>
      <c r="F34" s="15"/>
      <c r="G34" s="15"/>
      <c r="H34" s="2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26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41"/>
      <c r="AJ34" s="72"/>
    </row>
    <row r="35" spans="1:36" ht="12.75" customHeight="1">
      <c r="B35" s="43" t="s">
        <v>83</v>
      </c>
      <c r="C35" s="79">
        <v>264.89999999999998</v>
      </c>
      <c r="D35" s="79">
        <v>259.60000000000002</v>
      </c>
      <c r="E35" s="79">
        <v>246.8</v>
      </c>
      <c r="F35" s="79">
        <v>224.8</v>
      </c>
      <c r="G35" s="79">
        <v>217.7</v>
      </c>
      <c r="H35" s="25"/>
      <c r="I35" s="79"/>
      <c r="J35" s="79"/>
      <c r="K35" s="79"/>
      <c r="L35" s="30">
        <f>E35</f>
        <v>246.8</v>
      </c>
      <c r="M35" s="79"/>
      <c r="N35" s="79"/>
      <c r="O35" s="79"/>
      <c r="P35" s="30">
        <f>F35</f>
        <v>224.8</v>
      </c>
      <c r="Q35" s="79"/>
      <c r="R35" s="79"/>
      <c r="S35" s="79"/>
      <c r="T35" s="30">
        <f>G35</f>
        <v>217.7</v>
      </c>
      <c r="U35" s="79"/>
      <c r="V35" s="79"/>
      <c r="W35" s="30"/>
      <c r="X35" s="30">
        <f t="shared" ref="X35:AG35" si="50">L35</f>
        <v>246.8</v>
      </c>
      <c r="Y35" s="30">
        <f t="shared" si="50"/>
        <v>0</v>
      </c>
      <c r="Z35" s="30">
        <f t="shared" si="50"/>
        <v>0</v>
      </c>
      <c r="AA35" s="30">
        <f t="shared" si="50"/>
        <v>0</v>
      </c>
      <c r="AB35" s="30">
        <f t="shared" si="50"/>
        <v>224.8</v>
      </c>
      <c r="AC35" s="30">
        <f t="shared" si="50"/>
        <v>0</v>
      </c>
      <c r="AD35" s="30">
        <f t="shared" si="50"/>
        <v>0</v>
      </c>
      <c r="AE35" s="30">
        <f t="shared" si="50"/>
        <v>0</v>
      </c>
      <c r="AF35" s="30">
        <f t="shared" si="50"/>
        <v>217.7</v>
      </c>
      <c r="AG35" s="30">
        <f t="shared" si="50"/>
        <v>0</v>
      </c>
      <c r="AH35" s="30">
        <f>V35</f>
        <v>0</v>
      </c>
      <c r="AI35" s="41"/>
      <c r="AJ35" s="70" t="e">
        <f t="shared" ref="AJ35" si="51">SUM(AH35/AD35)-1</f>
        <v>#DIV/0!</v>
      </c>
    </row>
    <row r="36" spans="1:36" ht="12.75" customHeight="1">
      <c r="B36" s="12" t="s">
        <v>84</v>
      </c>
      <c r="C36" s="73">
        <f t="shared" ref="C36:D36" si="52">C32/C35</f>
        <v>331.05322763306913</v>
      </c>
      <c r="D36" s="73">
        <f t="shared" si="52"/>
        <v>366.23651771956855</v>
      </c>
      <c r="E36" s="73">
        <f t="shared" ref="E36:G36" si="53">E32/E35</f>
        <v>421.67747163695299</v>
      </c>
      <c r="F36" s="73">
        <f t="shared" si="53"/>
        <v>413.49199288256227</v>
      </c>
      <c r="G36" s="73">
        <f t="shared" si="53"/>
        <v>401.37804317868631</v>
      </c>
      <c r="H36" s="11"/>
      <c r="I36" s="73" t="e">
        <f t="shared" ref="I36:V36" si="54">I32/I35</f>
        <v>#DIV/0!</v>
      </c>
      <c r="J36" s="73" t="e">
        <f t="shared" si="54"/>
        <v>#DIV/0!</v>
      </c>
      <c r="K36" s="73" t="e">
        <f t="shared" si="54"/>
        <v>#DIV/0!</v>
      </c>
      <c r="L36" s="73" t="e">
        <f t="shared" si="54"/>
        <v>#VALUE!</v>
      </c>
      <c r="M36" s="73" t="e">
        <f t="shared" si="54"/>
        <v>#DIV/0!</v>
      </c>
      <c r="N36" s="73" t="e">
        <f t="shared" si="54"/>
        <v>#DIV/0!</v>
      </c>
      <c r="O36" s="73" t="e">
        <f t="shared" si="54"/>
        <v>#DIV/0!</v>
      </c>
      <c r="P36" s="73" t="e">
        <f>P32/P35</f>
        <v>#VALUE!</v>
      </c>
      <c r="Q36" s="73" t="e">
        <f t="shared" si="54"/>
        <v>#DIV/0!</v>
      </c>
      <c r="R36" s="73" t="e">
        <f t="shared" si="54"/>
        <v>#DIV/0!</v>
      </c>
      <c r="S36" s="73" t="e">
        <f t="shared" si="54"/>
        <v>#DIV/0!</v>
      </c>
      <c r="T36" s="73">
        <f>T32/T35</f>
        <v>399.62333486449245</v>
      </c>
      <c r="U36" s="73" t="e">
        <f t="shared" si="54"/>
        <v>#DIV/0!</v>
      </c>
      <c r="V36" s="73" t="e">
        <f t="shared" si="54"/>
        <v>#DIV/0!</v>
      </c>
      <c r="W36" s="26"/>
      <c r="X36" s="73" t="e">
        <f t="shared" ref="X36:AH36" si="55">X32/X35</f>
        <v>#VALUE!</v>
      </c>
      <c r="Y36" s="73" t="e">
        <f t="shared" si="55"/>
        <v>#VALUE!</v>
      </c>
      <c r="Z36" s="73" t="e">
        <f t="shared" si="55"/>
        <v>#VALUE!</v>
      </c>
      <c r="AA36" s="73" t="e">
        <f t="shared" si="55"/>
        <v>#VALUE!</v>
      </c>
      <c r="AB36" s="73" t="e">
        <f t="shared" si="55"/>
        <v>#VALUE!</v>
      </c>
      <c r="AC36" s="73" t="e">
        <f t="shared" si="55"/>
        <v>#VALUE!</v>
      </c>
      <c r="AD36" s="73" t="e">
        <f t="shared" si="55"/>
        <v>#VALUE!</v>
      </c>
      <c r="AE36" s="73" t="e">
        <f t="shared" si="55"/>
        <v>#VALUE!</v>
      </c>
      <c r="AF36" s="73">
        <f t="shared" si="55"/>
        <v>399.62333486449245</v>
      </c>
      <c r="AG36" s="73" t="e">
        <f t="shared" si="55"/>
        <v>#DIV/0!</v>
      </c>
      <c r="AH36" s="73" t="e">
        <f t="shared" si="55"/>
        <v>#DIV/0!</v>
      </c>
      <c r="AI36" s="34"/>
      <c r="AJ36" s="71" t="e">
        <f>SUM(AH36/AD36)-1</f>
        <v>#DIV/0!</v>
      </c>
    </row>
    <row r="37" spans="1:36" ht="5.0999999999999996" customHeight="1">
      <c r="B37" s="14"/>
      <c r="C37" s="15"/>
      <c r="D37" s="15"/>
      <c r="E37" s="15"/>
      <c r="F37" s="15"/>
      <c r="G37" s="15"/>
      <c r="H37" s="2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26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41"/>
      <c r="AJ37" s="72"/>
    </row>
    <row r="38" spans="1:36" ht="12.75" customHeight="1">
      <c r="B38" s="43" t="s">
        <v>85</v>
      </c>
      <c r="C38" s="79">
        <v>268.10000000000002</v>
      </c>
      <c r="D38" s="79">
        <v>263</v>
      </c>
      <c r="E38" s="79">
        <v>249.3</v>
      </c>
      <c r="F38" s="79">
        <v>225.7</v>
      </c>
      <c r="G38" s="79">
        <v>218.5</v>
      </c>
      <c r="H38" s="25"/>
      <c r="I38" s="79"/>
      <c r="J38" s="79"/>
      <c r="K38" s="79"/>
      <c r="L38" s="79">
        <f>E38</f>
        <v>249.3</v>
      </c>
      <c r="M38" s="79"/>
      <c r="N38" s="79"/>
      <c r="O38" s="79"/>
      <c r="P38" s="30">
        <f>F38</f>
        <v>225.7</v>
      </c>
      <c r="Q38" s="79"/>
      <c r="R38" s="79"/>
      <c r="S38" s="79"/>
      <c r="T38" s="30">
        <f>G38</f>
        <v>218.5</v>
      </c>
      <c r="U38" s="79"/>
      <c r="V38" s="79"/>
      <c r="W38" s="30"/>
      <c r="X38" s="30">
        <f t="shared" ref="X38:AC38" si="56">M38</f>
        <v>0</v>
      </c>
      <c r="Y38" s="30">
        <f t="shared" si="56"/>
        <v>0</v>
      </c>
      <c r="Z38" s="30">
        <f t="shared" si="56"/>
        <v>0</v>
      </c>
      <c r="AA38" s="30">
        <f t="shared" si="56"/>
        <v>225.7</v>
      </c>
      <c r="AB38" s="30">
        <f t="shared" si="56"/>
        <v>0</v>
      </c>
      <c r="AC38" s="30">
        <f t="shared" si="56"/>
        <v>0</v>
      </c>
      <c r="AD38" s="30">
        <f t="shared" ref="AD38" si="57">R38</f>
        <v>0</v>
      </c>
      <c r="AE38" s="30">
        <f t="shared" ref="AE38" si="58">S38</f>
        <v>0</v>
      </c>
      <c r="AF38" s="30">
        <f t="shared" ref="AF38" si="59">T38</f>
        <v>218.5</v>
      </c>
      <c r="AG38" s="30">
        <f t="shared" ref="AG38" si="60">U38</f>
        <v>0</v>
      </c>
      <c r="AH38" s="30">
        <f>V38</f>
        <v>0</v>
      </c>
      <c r="AI38" s="41"/>
      <c r="AJ38" s="70" t="e">
        <f t="shared" ref="AJ38" si="61">SUM(AH38/AD38)-1</f>
        <v>#DIV/0!</v>
      </c>
    </row>
    <row r="39" spans="1:36" ht="12.75" customHeight="1">
      <c r="B39" s="12" t="s">
        <v>86</v>
      </c>
      <c r="C39" s="73">
        <f t="shared" ref="C39:D39" si="62">C32/C38</f>
        <v>327.10182767624019</v>
      </c>
      <c r="D39" s="73">
        <f t="shared" si="62"/>
        <v>361.50190114068442</v>
      </c>
      <c r="E39" s="73">
        <f t="shared" ref="E39:G39" si="63">E32/E38</f>
        <v>417.44885679903729</v>
      </c>
      <c r="F39" s="73">
        <f t="shared" si="63"/>
        <v>411.84315463003992</v>
      </c>
      <c r="G39" s="73">
        <f t="shared" si="63"/>
        <v>399.90846681922199</v>
      </c>
      <c r="H39" s="25"/>
      <c r="I39" s="73" t="e">
        <f t="shared" ref="I39:V39" si="64">I32/I38</f>
        <v>#DIV/0!</v>
      </c>
      <c r="J39" s="73" t="e">
        <f t="shared" si="64"/>
        <v>#DIV/0!</v>
      </c>
      <c r="K39" s="73" t="e">
        <f t="shared" si="64"/>
        <v>#DIV/0!</v>
      </c>
      <c r="L39" s="73" t="e">
        <f t="shared" si="64"/>
        <v>#VALUE!</v>
      </c>
      <c r="M39" s="73" t="e">
        <f t="shared" si="64"/>
        <v>#DIV/0!</v>
      </c>
      <c r="N39" s="73" t="e">
        <f t="shared" si="64"/>
        <v>#DIV/0!</v>
      </c>
      <c r="O39" s="73" t="e">
        <f t="shared" si="64"/>
        <v>#DIV/0!</v>
      </c>
      <c r="P39" s="73" t="e">
        <f t="shared" si="64"/>
        <v>#VALUE!</v>
      </c>
      <c r="Q39" s="73" t="e">
        <f t="shared" si="64"/>
        <v>#DIV/0!</v>
      </c>
      <c r="R39" s="73" t="e">
        <f t="shared" si="64"/>
        <v>#DIV/0!</v>
      </c>
      <c r="S39" s="73" t="e">
        <f t="shared" si="64"/>
        <v>#DIV/0!</v>
      </c>
      <c r="T39" s="73">
        <f t="shared" si="64"/>
        <v>398.16018306636158</v>
      </c>
      <c r="U39" s="73" t="e">
        <f t="shared" si="64"/>
        <v>#DIV/0!</v>
      </c>
      <c r="V39" s="73" t="e">
        <f t="shared" si="64"/>
        <v>#DIV/0!</v>
      </c>
      <c r="W39" s="30"/>
      <c r="X39" s="73" t="e">
        <f t="shared" ref="X39:AH39" si="65">X32/X38</f>
        <v>#VALUE!</v>
      </c>
      <c r="Y39" s="73" t="e">
        <f t="shared" si="65"/>
        <v>#VALUE!</v>
      </c>
      <c r="Z39" s="73" t="e">
        <f t="shared" si="65"/>
        <v>#VALUE!</v>
      </c>
      <c r="AA39" s="73" t="e">
        <f t="shared" si="65"/>
        <v>#VALUE!</v>
      </c>
      <c r="AB39" s="73" t="e">
        <f t="shared" si="65"/>
        <v>#VALUE!</v>
      </c>
      <c r="AC39" s="73" t="e">
        <f t="shared" si="65"/>
        <v>#VALUE!</v>
      </c>
      <c r="AD39" s="73" t="e">
        <f t="shared" si="65"/>
        <v>#VALUE!</v>
      </c>
      <c r="AE39" s="73" t="e">
        <f t="shared" si="65"/>
        <v>#VALUE!</v>
      </c>
      <c r="AF39" s="73">
        <f t="shared" si="65"/>
        <v>398.16018306636158</v>
      </c>
      <c r="AG39" s="73" t="e">
        <f t="shared" si="65"/>
        <v>#DIV/0!</v>
      </c>
      <c r="AH39" s="73" t="e">
        <f t="shared" si="65"/>
        <v>#DIV/0!</v>
      </c>
      <c r="AI39" s="34"/>
      <c r="AJ39" s="71" t="e">
        <f>SUM(AH39/AD39)-1</f>
        <v>#DIV/0!</v>
      </c>
    </row>
    <row r="40" spans="1:36">
      <c r="B40" s="14"/>
      <c r="C40" s="15"/>
      <c r="D40" s="15"/>
      <c r="E40" s="15"/>
      <c r="F40" s="15"/>
      <c r="G40" s="79"/>
      <c r="H40" s="2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26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41"/>
    </row>
    <row r="41" spans="1:36" ht="12.75" customHeight="1">
      <c r="A41" s="5" t="s">
        <v>19</v>
      </c>
      <c r="B41" s="96" t="s">
        <v>98</v>
      </c>
      <c r="C41" s="97" t="s">
        <v>0</v>
      </c>
      <c r="D41" s="97" t="s">
        <v>0</v>
      </c>
      <c r="E41" s="97" t="s">
        <v>0</v>
      </c>
      <c r="F41" s="97"/>
      <c r="G41" s="97"/>
      <c r="H41" s="98"/>
      <c r="I41" s="97" t="s">
        <v>1</v>
      </c>
      <c r="J41" s="97"/>
      <c r="K41" s="97"/>
      <c r="L41" s="97"/>
      <c r="M41" s="97"/>
      <c r="N41" s="97"/>
      <c r="O41" s="97"/>
      <c r="P41" s="97"/>
      <c r="Q41" s="97"/>
      <c r="R41" s="97"/>
      <c r="S41" s="97" t="s">
        <v>1</v>
      </c>
      <c r="T41" s="97"/>
      <c r="U41" s="97"/>
      <c r="V41" s="97"/>
      <c r="W41" s="96"/>
      <c r="X41" s="97"/>
      <c r="Y41" s="97"/>
      <c r="Z41" s="97"/>
      <c r="AA41" s="97"/>
      <c r="AB41" s="97"/>
      <c r="AC41" s="97"/>
      <c r="AD41" s="97" t="s">
        <v>10</v>
      </c>
      <c r="AE41" s="97"/>
      <c r="AF41" s="97"/>
      <c r="AG41" s="97"/>
      <c r="AH41" s="97"/>
      <c r="AI41" s="98"/>
      <c r="AJ41" s="142" t="s">
        <v>26</v>
      </c>
    </row>
    <row r="42" spans="1:36" ht="12.75" customHeight="1">
      <c r="B42" s="100" t="str">
        <f>B7</f>
        <v>Fiscal Period</v>
      </c>
      <c r="C42" s="99">
        <f>C7</f>
        <v>2020</v>
      </c>
      <c r="D42" s="99">
        <f>D7</f>
        <v>2021</v>
      </c>
      <c r="E42" s="99">
        <f>E7</f>
        <v>2022</v>
      </c>
      <c r="F42" s="99">
        <f>F7</f>
        <v>2023</v>
      </c>
      <c r="G42" s="99">
        <f>G7</f>
        <v>2024</v>
      </c>
      <c r="H42" s="98"/>
      <c r="I42" s="99" t="str">
        <f>I7</f>
        <v>1Q22</v>
      </c>
      <c r="J42" s="99" t="str">
        <f>J7</f>
        <v>2Q22</v>
      </c>
      <c r="K42" s="99" t="str">
        <f>K7</f>
        <v>3Q22</v>
      </c>
      <c r="L42" s="99" t="str">
        <f>L7</f>
        <v>4Q22</v>
      </c>
      <c r="M42" s="99" t="str">
        <f>M7</f>
        <v>1Q23</v>
      </c>
      <c r="N42" s="99" t="str">
        <f>N7</f>
        <v>2Q23</v>
      </c>
      <c r="O42" s="99" t="str">
        <f>O7</f>
        <v>3Q23</v>
      </c>
      <c r="P42" s="99" t="str">
        <f>P7</f>
        <v>4Q23</v>
      </c>
      <c r="Q42" s="99" t="str">
        <f>Q7</f>
        <v>1Q24</v>
      </c>
      <c r="R42" s="99" t="str">
        <f>R7</f>
        <v>2Q24</v>
      </c>
      <c r="S42" s="99" t="str">
        <f>S7</f>
        <v>3Q24</v>
      </c>
      <c r="T42" s="99" t="str">
        <f>T7</f>
        <v>4Q24</v>
      </c>
      <c r="U42" s="99" t="str">
        <f>U7</f>
        <v>1Q25</v>
      </c>
      <c r="V42" s="99" t="str">
        <f>V7</f>
        <v>2Q25</v>
      </c>
      <c r="W42" s="101"/>
      <c r="X42" s="99" t="str">
        <f>X7</f>
        <v>4Q22</v>
      </c>
      <c r="Y42" s="99" t="str">
        <f>Y7</f>
        <v>1Q23</v>
      </c>
      <c r="Z42" s="99" t="str">
        <f>Z7</f>
        <v>2Q23</v>
      </c>
      <c r="AA42" s="99" t="str">
        <f>AA7</f>
        <v>3Q23</v>
      </c>
      <c r="AB42" s="99" t="str">
        <f>AB7</f>
        <v>4Q23</v>
      </c>
      <c r="AC42" s="99" t="str">
        <f>AC7</f>
        <v>1Q24</v>
      </c>
      <c r="AD42" s="99" t="str">
        <f>AD7</f>
        <v>2Q24</v>
      </c>
      <c r="AE42" s="99" t="str">
        <f>AE7</f>
        <v>3Q24</v>
      </c>
      <c r="AF42" s="99" t="str">
        <f>AF7</f>
        <v>4Q24</v>
      </c>
      <c r="AG42" s="99" t="str">
        <f>AG7</f>
        <v>1Q25</v>
      </c>
      <c r="AH42" s="99" t="str">
        <f>AH7</f>
        <v>2Q25</v>
      </c>
      <c r="AI42" s="98"/>
      <c r="AJ42" s="142"/>
    </row>
    <row r="43" spans="1:36" ht="12.75" customHeight="1">
      <c r="B43" s="100" t="str">
        <f>B8</f>
        <v>Fiscal Period End Date</v>
      </c>
      <c r="C43" s="102">
        <f>C8</f>
        <v>44196</v>
      </c>
      <c r="D43" s="102">
        <f>D8</f>
        <v>44561</v>
      </c>
      <c r="E43" s="102">
        <f>E8</f>
        <v>44926</v>
      </c>
      <c r="F43" s="102">
        <f>F8</f>
        <v>45291</v>
      </c>
      <c r="G43" s="102">
        <f>G8</f>
        <v>45657</v>
      </c>
      <c r="H43" s="98"/>
      <c r="I43" s="102">
        <f>I8</f>
        <v>44651</v>
      </c>
      <c r="J43" s="102">
        <f>J8</f>
        <v>44742</v>
      </c>
      <c r="K43" s="102">
        <f>K8</f>
        <v>44834</v>
      </c>
      <c r="L43" s="102">
        <f>L8</f>
        <v>44926</v>
      </c>
      <c r="M43" s="102">
        <f>M8</f>
        <v>45016</v>
      </c>
      <c r="N43" s="102">
        <f>N8</f>
        <v>45107</v>
      </c>
      <c r="O43" s="102">
        <f>O8</f>
        <v>45199</v>
      </c>
      <c r="P43" s="102">
        <f>P8</f>
        <v>45291</v>
      </c>
      <c r="Q43" s="102">
        <f>Q8</f>
        <v>45382</v>
      </c>
      <c r="R43" s="102">
        <f>R8</f>
        <v>45473</v>
      </c>
      <c r="S43" s="102">
        <f>S8</f>
        <v>45565</v>
      </c>
      <c r="T43" s="102">
        <f>T8</f>
        <v>45657</v>
      </c>
      <c r="U43" s="102">
        <f>U8</f>
        <v>45747</v>
      </c>
      <c r="V43" s="102">
        <f>V8</f>
        <v>45838</v>
      </c>
      <c r="W43" s="103"/>
      <c r="X43" s="102">
        <f>X8</f>
        <v>44926</v>
      </c>
      <c r="Y43" s="102">
        <f>Y8</f>
        <v>45016</v>
      </c>
      <c r="Z43" s="102">
        <f>Z8</f>
        <v>45107</v>
      </c>
      <c r="AA43" s="102">
        <f>AA8</f>
        <v>45199</v>
      </c>
      <c r="AB43" s="102">
        <f>AB8</f>
        <v>45291</v>
      </c>
      <c r="AC43" s="102">
        <f>AC8</f>
        <v>45382</v>
      </c>
      <c r="AD43" s="102">
        <f>AD8</f>
        <v>45473</v>
      </c>
      <c r="AE43" s="102">
        <f>AE8</f>
        <v>45565</v>
      </c>
      <c r="AF43" s="102">
        <f>AF8</f>
        <v>45657</v>
      </c>
      <c r="AG43" s="102">
        <f>AG8</f>
        <v>45747</v>
      </c>
      <c r="AH43" s="102">
        <f>AH8</f>
        <v>45838</v>
      </c>
      <c r="AI43" s="98"/>
      <c r="AJ43" s="142"/>
    </row>
    <row r="44" spans="1:36" ht="5.0999999999999996" customHeight="1">
      <c r="B44" s="45"/>
      <c r="C44" s="46"/>
      <c r="D44" s="46"/>
      <c r="E44" s="46"/>
      <c r="F44" s="46"/>
      <c r="G44" s="46"/>
    </row>
    <row r="45" spans="1:36">
      <c r="B45" s="74" t="s">
        <v>105</v>
      </c>
      <c r="C45" s="46"/>
      <c r="D45" s="46"/>
      <c r="E45" s="46"/>
      <c r="F45" s="46"/>
      <c r="G45" s="46"/>
    </row>
    <row r="46" spans="1:36" ht="12.75" customHeight="1">
      <c r="B46" s="110" t="s">
        <v>115</v>
      </c>
      <c r="C46" s="111">
        <v>2229</v>
      </c>
      <c r="D46" s="111">
        <v>5494</v>
      </c>
      <c r="E46" s="111">
        <v>2936</v>
      </c>
      <c r="F46" s="111">
        <v>1874</v>
      </c>
      <c r="G46" s="111">
        <v>1447</v>
      </c>
      <c r="I46" s="111"/>
      <c r="J46" s="111"/>
      <c r="K46" s="111"/>
      <c r="L46" s="87">
        <f t="shared" ref="L46" si="66">E46</f>
        <v>2936</v>
      </c>
      <c r="M46" s="111"/>
      <c r="N46" s="111"/>
      <c r="O46" s="111"/>
      <c r="P46" s="87">
        <f t="shared" ref="P46" si="67">F46</f>
        <v>1874</v>
      </c>
      <c r="Q46" s="111"/>
      <c r="R46" s="111"/>
      <c r="S46" s="111"/>
      <c r="T46" s="87">
        <f t="shared" ref="T46" si="68">G46</f>
        <v>1447</v>
      </c>
      <c r="U46" s="111"/>
      <c r="V46" s="111"/>
      <c r="W46" s="87"/>
      <c r="X46" s="87">
        <f t="shared" ref="X46:AG49" si="69">L46</f>
        <v>2936</v>
      </c>
      <c r="Y46" s="87">
        <f t="shared" si="69"/>
        <v>0</v>
      </c>
      <c r="Z46" s="87">
        <f t="shared" si="69"/>
        <v>0</v>
      </c>
      <c r="AA46" s="87">
        <f t="shared" si="69"/>
        <v>0</v>
      </c>
      <c r="AB46" s="87">
        <f t="shared" si="69"/>
        <v>1874</v>
      </c>
      <c r="AC46" s="87">
        <f t="shared" si="69"/>
        <v>0</v>
      </c>
      <c r="AD46" s="87">
        <f t="shared" si="69"/>
        <v>0</v>
      </c>
      <c r="AE46" s="87">
        <f t="shared" si="69"/>
        <v>0</v>
      </c>
      <c r="AF46" s="87">
        <f t="shared" si="69"/>
        <v>1447</v>
      </c>
      <c r="AG46" s="87">
        <f t="shared" si="69"/>
        <v>0</v>
      </c>
      <c r="AH46" s="87">
        <f>V46</f>
        <v>0</v>
      </c>
      <c r="AI46" s="11"/>
      <c r="AJ46" s="70" t="e">
        <f t="shared" ref="AJ46:AJ49" si="70">SUM(AH46/AD46)-1</f>
        <v>#DIV/0!</v>
      </c>
    </row>
    <row r="47" spans="1:36" ht="12.75" customHeight="1">
      <c r="B47" s="110" t="s">
        <v>151</v>
      </c>
      <c r="C47" s="111">
        <v>1149</v>
      </c>
      <c r="D47" s="111">
        <v>1061</v>
      </c>
      <c r="E47" s="111">
        <v>1042</v>
      </c>
      <c r="F47" s="111">
        <v>1141</v>
      </c>
      <c r="G47" s="111">
        <v>939</v>
      </c>
      <c r="I47" s="111"/>
      <c r="J47" s="111"/>
      <c r="K47" s="111"/>
      <c r="L47" s="87">
        <f t="shared" ref="L47:L49" si="71">E47</f>
        <v>1042</v>
      </c>
      <c r="M47" s="111"/>
      <c r="N47" s="111"/>
      <c r="O47" s="111"/>
      <c r="P47" s="87">
        <f t="shared" ref="P47:P49" si="72">F47</f>
        <v>1141</v>
      </c>
      <c r="Q47" s="111"/>
      <c r="R47" s="111"/>
      <c r="S47" s="111"/>
      <c r="T47" s="87">
        <f t="shared" ref="T47:T49" si="73">G47</f>
        <v>939</v>
      </c>
      <c r="U47" s="111"/>
      <c r="V47" s="111"/>
      <c r="W47" s="87"/>
      <c r="X47" s="87">
        <f t="shared" si="69"/>
        <v>1042</v>
      </c>
      <c r="Y47" s="87">
        <f t="shared" si="69"/>
        <v>0</v>
      </c>
      <c r="Z47" s="87">
        <f t="shared" si="69"/>
        <v>0</v>
      </c>
      <c r="AA47" s="87">
        <f t="shared" si="69"/>
        <v>0</v>
      </c>
      <c r="AB47" s="87">
        <f t="shared" si="69"/>
        <v>1141</v>
      </c>
      <c r="AC47" s="87">
        <f t="shared" si="69"/>
        <v>0</v>
      </c>
      <c r="AD47" s="87">
        <f t="shared" si="69"/>
        <v>0</v>
      </c>
      <c r="AE47" s="87">
        <f t="shared" si="69"/>
        <v>0</v>
      </c>
      <c r="AF47" s="87">
        <f t="shared" si="69"/>
        <v>939</v>
      </c>
      <c r="AG47" s="87">
        <f t="shared" si="69"/>
        <v>0</v>
      </c>
      <c r="AH47" s="87">
        <f t="shared" ref="AH47:AH49" si="74">V47</f>
        <v>0</v>
      </c>
      <c r="AI47" s="11"/>
      <c r="AJ47" s="70" t="e">
        <f t="shared" si="70"/>
        <v>#DIV/0!</v>
      </c>
    </row>
    <row r="48" spans="1:36" ht="12.75" customHeight="1">
      <c r="B48" s="110" t="s">
        <v>152</v>
      </c>
      <c r="C48" s="111">
        <v>5174</v>
      </c>
      <c r="D48" s="111">
        <v>5612</v>
      </c>
      <c r="E48" s="111">
        <v>5965</v>
      </c>
      <c r="F48" s="111">
        <v>5140</v>
      </c>
      <c r="G48" s="111">
        <v>4958</v>
      </c>
      <c r="I48" s="111"/>
      <c r="J48" s="111"/>
      <c r="K48" s="111"/>
      <c r="L48" s="87">
        <f t="shared" si="71"/>
        <v>5965</v>
      </c>
      <c r="M48" s="111"/>
      <c r="N48" s="111"/>
      <c r="O48" s="111"/>
      <c r="P48" s="87">
        <f t="shared" si="72"/>
        <v>5140</v>
      </c>
      <c r="Q48" s="111"/>
      <c r="R48" s="111"/>
      <c r="S48" s="111"/>
      <c r="T48" s="87">
        <f t="shared" si="73"/>
        <v>4958</v>
      </c>
      <c r="U48" s="111"/>
      <c r="V48" s="111"/>
      <c r="W48" s="87"/>
      <c r="X48" s="87">
        <f t="shared" si="69"/>
        <v>5965</v>
      </c>
      <c r="Y48" s="87">
        <f t="shared" si="69"/>
        <v>0</v>
      </c>
      <c r="Z48" s="87">
        <f t="shared" si="69"/>
        <v>0</v>
      </c>
      <c r="AA48" s="87">
        <f t="shared" si="69"/>
        <v>0</v>
      </c>
      <c r="AB48" s="87">
        <f t="shared" si="69"/>
        <v>5140</v>
      </c>
      <c r="AC48" s="87">
        <f t="shared" si="69"/>
        <v>0</v>
      </c>
      <c r="AD48" s="87">
        <f t="shared" si="69"/>
        <v>0</v>
      </c>
      <c r="AE48" s="87">
        <f t="shared" si="69"/>
        <v>0</v>
      </c>
      <c r="AF48" s="87">
        <f t="shared" si="69"/>
        <v>4958</v>
      </c>
      <c r="AG48" s="87">
        <f t="shared" si="69"/>
        <v>0</v>
      </c>
      <c r="AH48" s="87">
        <f t="shared" si="74"/>
        <v>0</v>
      </c>
      <c r="AI48" s="11"/>
      <c r="AJ48" s="70" t="e">
        <f t="shared" si="70"/>
        <v>#DIV/0!</v>
      </c>
    </row>
    <row r="49" spans="2:36" ht="12.75" customHeight="1">
      <c r="B49" s="110" t="s">
        <v>153</v>
      </c>
      <c r="C49" s="111">
        <v>305</v>
      </c>
      <c r="D49" s="111">
        <v>373</v>
      </c>
      <c r="E49" s="111">
        <v>596</v>
      </c>
      <c r="F49" s="111">
        <v>647</v>
      </c>
      <c r="G49" s="111">
        <v>553</v>
      </c>
      <c r="I49" s="111"/>
      <c r="J49" s="111"/>
      <c r="K49" s="111"/>
      <c r="L49" s="87">
        <f t="shared" si="71"/>
        <v>596</v>
      </c>
      <c r="M49" s="111"/>
      <c r="N49" s="111"/>
      <c r="O49" s="111"/>
      <c r="P49" s="87">
        <f t="shared" si="72"/>
        <v>647</v>
      </c>
      <c r="Q49" s="111"/>
      <c r="R49" s="111"/>
      <c r="S49" s="111"/>
      <c r="T49" s="87">
        <f t="shared" si="73"/>
        <v>553</v>
      </c>
      <c r="U49" s="111"/>
      <c r="V49" s="111"/>
      <c r="W49" s="87"/>
      <c r="X49" s="87">
        <f t="shared" si="69"/>
        <v>596</v>
      </c>
      <c r="Y49" s="87">
        <f t="shared" si="69"/>
        <v>0</v>
      </c>
      <c r="Z49" s="87">
        <f t="shared" si="69"/>
        <v>0</v>
      </c>
      <c r="AA49" s="87">
        <f t="shared" si="69"/>
        <v>0</v>
      </c>
      <c r="AB49" s="87">
        <f t="shared" si="69"/>
        <v>647</v>
      </c>
      <c r="AC49" s="87">
        <f t="shared" si="69"/>
        <v>0</v>
      </c>
      <c r="AD49" s="87">
        <f t="shared" si="69"/>
        <v>0</v>
      </c>
      <c r="AE49" s="87">
        <f t="shared" si="69"/>
        <v>0</v>
      </c>
      <c r="AF49" s="87">
        <f t="shared" si="69"/>
        <v>553</v>
      </c>
      <c r="AG49" s="87">
        <f t="shared" si="69"/>
        <v>0</v>
      </c>
      <c r="AH49" s="87">
        <f t="shared" si="74"/>
        <v>0</v>
      </c>
      <c r="AI49" s="11"/>
      <c r="AJ49" s="70" t="e">
        <f t="shared" si="70"/>
        <v>#DIV/0!</v>
      </c>
    </row>
    <row r="50" spans="2:36" ht="12.75" customHeight="1">
      <c r="B50" s="23" t="s">
        <v>22</v>
      </c>
      <c r="C50" s="24">
        <f t="shared" ref="C50:D50" si="75">SUM(C46:C49)</f>
        <v>8857</v>
      </c>
      <c r="D50" s="24">
        <f t="shared" si="75"/>
        <v>12540</v>
      </c>
      <c r="E50" s="24">
        <f>SUM(E46:E49)</f>
        <v>10539</v>
      </c>
      <c r="F50" s="24">
        <f>SUM(F46:F49)</f>
        <v>8802</v>
      </c>
      <c r="G50" s="24">
        <f>SUM(G46:G49)</f>
        <v>7897</v>
      </c>
      <c r="H50" s="47"/>
      <c r="I50" s="24">
        <f t="shared" ref="I50:V50" si="76">SUM(I46:I49)</f>
        <v>0</v>
      </c>
      <c r="J50" s="24">
        <f t="shared" si="76"/>
        <v>0</v>
      </c>
      <c r="K50" s="24">
        <f t="shared" si="76"/>
        <v>0</v>
      </c>
      <c r="L50" s="24">
        <f t="shared" si="76"/>
        <v>10539</v>
      </c>
      <c r="M50" s="24">
        <f t="shared" si="76"/>
        <v>0</v>
      </c>
      <c r="N50" s="24">
        <f t="shared" si="76"/>
        <v>0</v>
      </c>
      <c r="O50" s="24">
        <f t="shared" si="76"/>
        <v>0</v>
      </c>
      <c r="P50" s="24">
        <f t="shared" si="76"/>
        <v>8802</v>
      </c>
      <c r="Q50" s="24">
        <f t="shared" si="76"/>
        <v>0</v>
      </c>
      <c r="R50" s="24">
        <f t="shared" si="76"/>
        <v>0</v>
      </c>
      <c r="S50" s="24">
        <f t="shared" si="76"/>
        <v>0</v>
      </c>
      <c r="T50" s="24">
        <f t="shared" si="76"/>
        <v>7897</v>
      </c>
      <c r="U50" s="24">
        <f t="shared" si="76"/>
        <v>0</v>
      </c>
      <c r="V50" s="24">
        <f t="shared" si="76"/>
        <v>0</v>
      </c>
      <c r="W50" s="47"/>
      <c r="X50" s="24">
        <f t="shared" ref="X50:AH50" si="77">SUM(X46:X49)</f>
        <v>10539</v>
      </c>
      <c r="Y50" s="24">
        <f t="shared" si="77"/>
        <v>0</v>
      </c>
      <c r="Z50" s="24">
        <f t="shared" si="77"/>
        <v>0</v>
      </c>
      <c r="AA50" s="24">
        <f t="shared" si="77"/>
        <v>0</v>
      </c>
      <c r="AB50" s="24">
        <f t="shared" si="77"/>
        <v>8802</v>
      </c>
      <c r="AC50" s="24">
        <f t="shared" si="77"/>
        <v>0</v>
      </c>
      <c r="AD50" s="24">
        <f t="shared" si="77"/>
        <v>0</v>
      </c>
      <c r="AE50" s="24">
        <f t="shared" si="77"/>
        <v>0</v>
      </c>
      <c r="AF50" s="24">
        <f t="shared" si="77"/>
        <v>7897</v>
      </c>
      <c r="AG50" s="24">
        <f t="shared" si="77"/>
        <v>0</v>
      </c>
      <c r="AH50" s="24">
        <f t="shared" si="77"/>
        <v>0</v>
      </c>
      <c r="AI50" s="40"/>
      <c r="AJ50" s="71" t="e">
        <f>SUM(AH50/AD50)-1</f>
        <v>#DIV/0!</v>
      </c>
    </row>
    <row r="51" spans="2:36" ht="5.0999999999999996" customHeight="1">
      <c r="B51" s="23"/>
      <c r="C51" s="48"/>
      <c r="D51" s="48"/>
      <c r="E51" s="48"/>
      <c r="F51" s="39"/>
      <c r="G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37"/>
    </row>
    <row r="52" spans="2:36" ht="12.75" customHeight="1">
      <c r="B52" s="74" t="s">
        <v>106</v>
      </c>
      <c r="C52" s="79"/>
      <c r="D52" s="79"/>
      <c r="E52" s="79"/>
      <c r="F52" s="79"/>
      <c r="G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11"/>
      <c r="AJ52" s="70"/>
    </row>
    <row r="53" spans="2:36" ht="12.75" customHeight="1">
      <c r="B53" s="9" t="s">
        <v>154</v>
      </c>
      <c r="C53" s="79">
        <v>2328</v>
      </c>
      <c r="D53" s="79">
        <v>2260</v>
      </c>
      <c r="E53" s="79">
        <v>2250</v>
      </c>
      <c r="F53" s="79">
        <v>2352</v>
      </c>
      <c r="G53" s="79">
        <v>2260</v>
      </c>
      <c r="I53" s="111"/>
      <c r="J53" s="111"/>
      <c r="K53" s="111"/>
      <c r="L53" s="87"/>
      <c r="M53" s="111"/>
      <c r="N53" s="111"/>
      <c r="O53" s="111"/>
      <c r="P53" s="87"/>
      <c r="Q53" s="111"/>
      <c r="R53" s="111"/>
      <c r="S53" s="111"/>
      <c r="T53" s="87"/>
      <c r="U53" s="111"/>
      <c r="V53" s="111"/>
      <c r="X53" s="30"/>
      <c r="Y53" s="30"/>
      <c r="Z53" s="30"/>
      <c r="AA53" s="30"/>
      <c r="AB53" s="30"/>
      <c r="AC53" s="30"/>
      <c r="AD53" s="87"/>
      <c r="AE53" s="87"/>
      <c r="AF53" s="87"/>
      <c r="AG53" s="87"/>
      <c r="AH53" s="87"/>
      <c r="AI53" s="11"/>
      <c r="AJ53" s="70"/>
    </row>
    <row r="54" spans="2:36" ht="12.75" customHeight="1">
      <c r="B54" s="9" t="s">
        <v>155</v>
      </c>
      <c r="C54" s="79">
        <v>2709</v>
      </c>
      <c r="D54" s="79">
        <v>2612</v>
      </c>
      <c r="E54" s="79">
        <v>2654</v>
      </c>
      <c r="F54" s="79">
        <v>2746</v>
      </c>
      <c r="G54" s="79">
        <v>2758</v>
      </c>
      <c r="I54" s="111"/>
      <c r="J54" s="111"/>
      <c r="K54" s="111"/>
      <c r="L54" s="87"/>
      <c r="M54" s="111"/>
      <c r="N54" s="111"/>
      <c r="O54" s="111"/>
      <c r="P54" s="87"/>
      <c r="Q54" s="111"/>
      <c r="R54" s="111"/>
      <c r="S54" s="111"/>
      <c r="T54" s="87"/>
      <c r="U54" s="111"/>
      <c r="V54" s="111"/>
      <c r="X54" s="30"/>
      <c r="Y54" s="30"/>
      <c r="Z54" s="30"/>
      <c r="AA54" s="30"/>
      <c r="AB54" s="30"/>
      <c r="AC54" s="30"/>
      <c r="AD54" s="87"/>
      <c r="AE54" s="87"/>
      <c r="AF54" s="87"/>
      <c r="AG54" s="87"/>
      <c r="AH54" s="87"/>
      <c r="AI54" s="11"/>
      <c r="AJ54" s="70"/>
    </row>
    <row r="55" spans="2:36" ht="12.75" customHeight="1">
      <c r="B55" s="9" t="s">
        <v>116</v>
      </c>
      <c r="C55" s="79">
        <v>984</v>
      </c>
      <c r="D55" s="79">
        <v>986</v>
      </c>
      <c r="E55" s="79">
        <v>1384</v>
      </c>
      <c r="F55" s="79">
        <v>1383</v>
      </c>
      <c r="G55" s="79">
        <v>1383</v>
      </c>
      <c r="I55" s="111"/>
      <c r="J55" s="111"/>
      <c r="K55" s="111"/>
      <c r="L55" s="87"/>
      <c r="M55" s="111"/>
      <c r="N55" s="111"/>
      <c r="O55" s="111"/>
      <c r="P55" s="87"/>
      <c r="Q55" s="111"/>
      <c r="R55" s="111"/>
      <c r="S55" s="111"/>
      <c r="T55" s="87"/>
      <c r="U55" s="111"/>
      <c r="V55" s="111"/>
      <c r="X55" s="30"/>
      <c r="Y55" s="30"/>
      <c r="Z55" s="30"/>
      <c r="AA55" s="30"/>
      <c r="AB55" s="30"/>
      <c r="AC55" s="30"/>
      <c r="AD55" s="87"/>
      <c r="AE55" s="87"/>
      <c r="AF55" s="87"/>
      <c r="AG55" s="87"/>
      <c r="AH55" s="87"/>
      <c r="AI55" s="11"/>
      <c r="AJ55" s="70"/>
    </row>
    <row r="56" spans="2:36" ht="12.75" customHeight="1">
      <c r="B56" s="9" t="s">
        <v>137</v>
      </c>
      <c r="C56" s="79">
        <v>713</v>
      </c>
      <c r="D56" s="79">
        <v>669</v>
      </c>
      <c r="E56" s="79">
        <v>677</v>
      </c>
      <c r="F56" s="79">
        <v>520</v>
      </c>
      <c r="G56" s="79">
        <v>669</v>
      </c>
      <c r="I56" s="111"/>
      <c r="J56" s="111"/>
      <c r="K56" s="111"/>
      <c r="L56" s="87"/>
      <c r="M56" s="111"/>
      <c r="N56" s="111"/>
      <c r="O56" s="111"/>
      <c r="P56" s="87"/>
      <c r="Q56" s="111"/>
      <c r="R56" s="111"/>
      <c r="S56" s="111"/>
      <c r="T56" s="87"/>
      <c r="U56" s="111"/>
      <c r="V56" s="111"/>
      <c r="X56" s="30"/>
      <c r="Y56" s="30"/>
      <c r="Z56" s="30"/>
      <c r="AA56" s="30"/>
      <c r="AB56" s="30"/>
      <c r="AC56" s="30"/>
      <c r="AD56" s="87"/>
      <c r="AE56" s="87"/>
      <c r="AF56" s="87"/>
      <c r="AG56" s="87"/>
      <c r="AH56" s="87"/>
      <c r="AI56" s="11"/>
      <c r="AJ56" s="70"/>
    </row>
    <row r="57" spans="2:36" ht="12.75" customHeight="1">
      <c r="B57" s="12" t="s">
        <v>23</v>
      </c>
      <c r="C57" s="32">
        <f>SUM(C53:C56)+C50</f>
        <v>15591</v>
      </c>
      <c r="D57" s="32">
        <f t="shared" ref="D57:G57" si="78">SUM(D53:D56)+D50</f>
        <v>19067</v>
      </c>
      <c r="E57" s="32">
        <f t="shared" si="78"/>
        <v>17504</v>
      </c>
      <c r="F57" s="32">
        <f t="shared" si="78"/>
        <v>15803</v>
      </c>
      <c r="G57" s="32">
        <f t="shared" si="78"/>
        <v>14967</v>
      </c>
      <c r="I57" s="32">
        <f t="shared" ref="I57" si="79">SUM(I53:I56)+I50</f>
        <v>0</v>
      </c>
      <c r="J57" s="32">
        <f t="shared" ref="J57" si="80">SUM(J53:J56)+J50</f>
        <v>0</v>
      </c>
      <c r="K57" s="32">
        <f t="shared" ref="K57" si="81">SUM(K53:K56)+K50</f>
        <v>0</v>
      </c>
      <c r="L57" s="32">
        <f t="shared" ref="L57" si="82">SUM(L53:L56)+L50</f>
        <v>10539</v>
      </c>
      <c r="M57" s="32">
        <f t="shared" ref="M57" si="83">SUM(M53:M56)+M50</f>
        <v>0</v>
      </c>
      <c r="N57" s="32">
        <f t="shared" ref="N57" si="84">SUM(N53:N56)+N50</f>
        <v>0</v>
      </c>
      <c r="O57" s="32">
        <f t="shared" ref="O57" si="85">SUM(O53:O56)+O50</f>
        <v>0</v>
      </c>
      <c r="P57" s="32">
        <f t="shared" ref="P57" si="86">SUM(P53:P56)+P50</f>
        <v>8802</v>
      </c>
      <c r="Q57" s="32">
        <f t="shared" ref="Q57" si="87">SUM(Q53:Q56)+Q50</f>
        <v>0</v>
      </c>
      <c r="R57" s="32">
        <f t="shared" ref="R57" si="88">SUM(R53:R56)+R50</f>
        <v>0</v>
      </c>
      <c r="S57" s="32">
        <f t="shared" ref="S57" si="89">SUM(S53:S56)+S50</f>
        <v>0</v>
      </c>
      <c r="T57" s="32">
        <f t="shared" ref="T57" si="90">SUM(T53:T56)+T50</f>
        <v>7897</v>
      </c>
      <c r="U57" s="32">
        <f t="shared" ref="U57" si="91">SUM(U53:U56)+U50</f>
        <v>0</v>
      </c>
      <c r="V57" s="32">
        <f t="shared" ref="V57" si="92">SUM(V53:V56)+V50</f>
        <v>0</v>
      </c>
      <c r="X57" s="13" t="e">
        <f>SUM(#REF!)+X50</f>
        <v>#REF!</v>
      </c>
      <c r="Y57" s="13" t="e">
        <f>SUM(#REF!)+Y50</f>
        <v>#REF!</v>
      </c>
      <c r="Z57" s="13" t="e">
        <f>SUM(#REF!)+Z50</f>
        <v>#REF!</v>
      </c>
      <c r="AA57" s="13" t="e">
        <f>SUM(#REF!)+AA50</f>
        <v>#REF!</v>
      </c>
      <c r="AB57" s="13" t="e">
        <f>SUM(#REF!)+AB50</f>
        <v>#REF!</v>
      </c>
      <c r="AC57" s="13" t="e">
        <f>SUM(#REF!)+AC50</f>
        <v>#REF!</v>
      </c>
      <c r="AD57" s="32">
        <f t="shared" ref="AD57" si="93">SUM(AD53:AD56)+AD50</f>
        <v>0</v>
      </c>
      <c r="AE57" s="32">
        <f t="shared" ref="AE57" si="94">SUM(AE53:AE56)+AE50</f>
        <v>0</v>
      </c>
      <c r="AF57" s="32">
        <f t="shared" ref="AF57" si="95">SUM(AF53:AF56)+AF50</f>
        <v>7897</v>
      </c>
      <c r="AG57" s="32">
        <f t="shared" ref="AG57" si="96">SUM(AG53:AG56)+AG50</f>
        <v>0</v>
      </c>
      <c r="AH57" s="32">
        <f t="shared" ref="AH57" si="97">SUM(AH53:AH56)+AH50</f>
        <v>0</v>
      </c>
      <c r="AI57" s="40"/>
      <c r="AJ57" s="71" t="e">
        <f>SUM(AH57/AD57)-1</f>
        <v>#DIV/0!</v>
      </c>
    </row>
    <row r="58" spans="2:36" ht="12.75" customHeight="1">
      <c r="B58" s="23"/>
      <c r="C58" s="49"/>
      <c r="D58" s="49"/>
      <c r="E58" s="49"/>
      <c r="F58" s="39"/>
      <c r="G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37"/>
    </row>
    <row r="59" spans="2:36" ht="12.75" customHeight="1">
      <c r="B59" s="74" t="s">
        <v>58</v>
      </c>
      <c r="C59" s="49"/>
      <c r="D59" s="49"/>
      <c r="E59" s="49"/>
      <c r="F59" s="39"/>
      <c r="G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37"/>
    </row>
    <row r="60" spans="2:36" ht="12.75" customHeight="1">
      <c r="B60" s="110" t="s">
        <v>14</v>
      </c>
      <c r="C60" s="79">
        <v>5288</v>
      </c>
      <c r="D60" s="79">
        <v>6979</v>
      </c>
      <c r="E60" s="79">
        <v>6803</v>
      </c>
      <c r="F60" s="79">
        <v>5687</v>
      </c>
      <c r="G60" s="79">
        <v>4637</v>
      </c>
      <c r="I60" s="111"/>
      <c r="J60" s="111"/>
      <c r="K60" s="111"/>
      <c r="L60" s="87">
        <f t="shared" ref="L60:L65" si="98">E60</f>
        <v>6803</v>
      </c>
      <c r="M60" s="111"/>
      <c r="N60" s="111"/>
      <c r="O60" s="111"/>
      <c r="P60" s="87">
        <f t="shared" ref="P60:P65" si="99">F60</f>
        <v>5687</v>
      </c>
      <c r="Q60" s="111"/>
      <c r="R60" s="111"/>
      <c r="S60" s="111"/>
      <c r="T60" s="87">
        <f t="shared" ref="T60:T65" si="100">G60</f>
        <v>4637</v>
      </c>
      <c r="U60" s="111"/>
      <c r="V60" s="111"/>
      <c r="X60" s="30">
        <f t="shared" ref="X60:AC61" si="101">M60</f>
        <v>0</v>
      </c>
      <c r="Y60" s="30">
        <f t="shared" si="101"/>
        <v>0</v>
      </c>
      <c r="Z60" s="30">
        <f t="shared" si="101"/>
        <v>0</v>
      </c>
      <c r="AA60" s="30">
        <f t="shared" si="101"/>
        <v>5687</v>
      </c>
      <c r="AB60" s="30">
        <f t="shared" si="101"/>
        <v>0</v>
      </c>
      <c r="AC60" s="30">
        <f t="shared" si="101"/>
        <v>0</v>
      </c>
      <c r="AD60" s="87">
        <f t="shared" ref="AD60:AD65" si="102">R60</f>
        <v>0</v>
      </c>
      <c r="AE60" s="87">
        <f t="shared" ref="AE60:AE65" si="103">S60</f>
        <v>0</v>
      </c>
      <c r="AF60" s="87">
        <f t="shared" ref="AF60:AF65" si="104">T60</f>
        <v>4637</v>
      </c>
      <c r="AG60" s="87">
        <f t="shared" ref="AG60:AG65" si="105">U60</f>
        <v>0</v>
      </c>
      <c r="AH60" s="87">
        <f t="shared" ref="AH60:AH65" si="106">V60</f>
        <v>0</v>
      </c>
      <c r="AI60" s="11"/>
      <c r="AJ60" s="70" t="e">
        <f t="shared" ref="AJ60" si="107">SUM(AH60/AD60)-1</f>
        <v>#DIV/0!</v>
      </c>
    </row>
    <row r="61" spans="2:36" ht="12.75" customHeight="1">
      <c r="B61" s="110" t="s">
        <v>156</v>
      </c>
      <c r="C61" s="79">
        <v>410</v>
      </c>
      <c r="D61" s="79">
        <v>725</v>
      </c>
      <c r="E61" s="79">
        <v>845</v>
      </c>
      <c r="F61" s="79">
        <v>405</v>
      </c>
      <c r="G61" s="79">
        <v>486</v>
      </c>
      <c r="I61" s="111"/>
      <c r="J61" s="111"/>
      <c r="K61" s="111"/>
      <c r="L61" s="87">
        <f t="shared" si="98"/>
        <v>845</v>
      </c>
      <c r="M61" s="111"/>
      <c r="N61" s="111"/>
      <c r="O61" s="111"/>
      <c r="P61" s="87">
        <f t="shared" si="99"/>
        <v>405</v>
      </c>
      <c r="Q61" s="111"/>
      <c r="R61" s="111"/>
      <c r="S61" s="111"/>
      <c r="T61" s="87">
        <f t="shared" si="100"/>
        <v>486</v>
      </c>
      <c r="U61" s="111"/>
      <c r="V61" s="111"/>
      <c r="X61" s="30">
        <f t="shared" si="101"/>
        <v>0</v>
      </c>
      <c r="Y61" s="30">
        <f t="shared" si="101"/>
        <v>0</v>
      </c>
      <c r="Z61" s="30">
        <f t="shared" si="101"/>
        <v>0</v>
      </c>
      <c r="AA61" s="30">
        <f t="shared" si="101"/>
        <v>405</v>
      </c>
      <c r="AB61" s="30">
        <f t="shared" si="101"/>
        <v>0</v>
      </c>
      <c r="AC61" s="30">
        <f t="shared" si="101"/>
        <v>0</v>
      </c>
      <c r="AD61" s="87">
        <f t="shared" si="102"/>
        <v>0</v>
      </c>
      <c r="AE61" s="87">
        <f t="shared" si="103"/>
        <v>0</v>
      </c>
      <c r="AF61" s="87">
        <f t="shared" si="104"/>
        <v>486</v>
      </c>
      <c r="AG61" s="87">
        <f t="shared" si="105"/>
        <v>0</v>
      </c>
      <c r="AH61" s="87">
        <f t="shared" si="106"/>
        <v>0</v>
      </c>
      <c r="AI61" s="11"/>
      <c r="AJ61" s="70" t="e">
        <f t="shared" ref="AJ61:AJ65" si="108">SUM(AH61/AD61)-1</f>
        <v>#DIV/0!</v>
      </c>
    </row>
    <row r="62" spans="2:36" ht="12.75" customHeight="1">
      <c r="B62" s="110" t="s">
        <v>157</v>
      </c>
      <c r="C62" s="79">
        <v>906</v>
      </c>
      <c r="D62" s="79">
        <v>972</v>
      </c>
      <c r="E62" s="79">
        <v>946</v>
      </c>
      <c r="F62" s="79">
        <v>843</v>
      </c>
      <c r="G62" s="79">
        <v>902</v>
      </c>
      <c r="I62" s="111"/>
      <c r="J62" s="111"/>
      <c r="K62" s="111"/>
      <c r="L62" s="87">
        <f t="shared" si="98"/>
        <v>946</v>
      </c>
      <c r="M62" s="111"/>
      <c r="N62" s="111"/>
      <c r="O62" s="111"/>
      <c r="P62" s="87">
        <f t="shared" si="99"/>
        <v>843</v>
      </c>
      <c r="Q62" s="111"/>
      <c r="R62" s="111"/>
      <c r="S62" s="111"/>
      <c r="T62" s="87">
        <f t="shared" si="100"/>
        <v>902</v>
      </c>
      <c r="U62" s="111"/>
      <c r="V62" s="111"/>
      <c r="X62" s="30"/>
      <c r="Y62" s="30"/>
      <c r="Z62" s="30"/>
      <c r="AA62" s="30"/>
      <c r="AB62" s="30"/>
      <c r="AC62" s="30"/>
      <c r="AD62" s="87">
        <f t="shared" si="102"/>
        <v>0</v>
      </c>
      <c r="AE62" s="87">
        <f t="shared" si="103"/>
        <v>0</v>
      </c>
      <c r="AF62" s="87">
        <f t="shared" si="104"/>
        <v>902</v>
      </c>
      <c r="AG62" s="87">
        <f t="shared" si="105"/>
        <v>0</v>
      </c>
      <c r="AH62" s="87">
        <f t="shared" si="106"/>
        <v>0</v>
      </c>
      <c r="AI62" s="11"/>
      <c r="AJ62" s="70" t="e">
        <f t="shared" si="108"/>
        <v>#DIV/0!</v>
      </c>
    </row>
    <row r="63" spans="2:36" ht="12.75" customHeight="1">
      <c r="B63" s="110" t="s">
        <v>117</v>
      </c>
      <c r="C63" s="79">
        <v>660</v>
      </c>
      <c r="D63" s="79">
        <v>693</v>
      </c>
      <c r="E63" s="79">
        <v>648</v>
      </c>
      <c r="F63" s="79">
        <v>638</v>
      </c>
      <c r="G63" s="79">
        <v>618</v>
      </c>
      <c r="I63" s="111"/>
      <c r="J63" s="111"/>
      <c r="K63" s="111"/>
      <c r="L63" s="87">
        <f t="shared" si="98"/>
        <v>648</v>
      </c>
      <c r="M63" s="111"/>
      <c r="N63" s="111"/>
      <c r="O63" s="111"/>
      <c r="P63" s="87">
        <f t="shared" si="99"/>
        <v>638</v>
      </c>
      <c r="Q63" s="111"/>
      <c r="R63" s="111"/>
      <c r="S63" s="111"/>
      <c r="T63" s="87">
        <f t="shared" si="100"/>
        <v>618</v>
      </c>
      <c r="U63" s="111"/>
      <c r="V63" s="111"/>
      <c r="X63" s="30"/>
      <c r="Y63" s="30"/>
      <c r="Z63" s="30"/>
      <c r="AA63" s="30"/>
      <c r="AB63" s="30"/>
      <c r="AC63" s="30"/>
      <c r="AD63" s="87">
        <f t="shared" si="102"/>
        <v>0</v>
      </c>
      <c r="AE63" s="87">
        <f t="shared" si="103"/>
        <v>0</v>
      </c>
      <c r="AF63" s="87">
        <f t="shared" si="104"/>
        <v>618</v>
      </c>
      <c r="AG63" s="87">
        <f t="shared" si="105"/>
        <v>0</v>
      </c>
      <c r="AH63" s="87">
        <f t="shared" si="106"/>
        <v>0</v>
      </c>
      <c r="AI63" s="11"/>
      <c r="AJ63" s="70" t="e">
        <f t="shared" si="108"/>
        <v>#DIV/0!</v>
      </c>
    </row>
    <row r="64" spans="2:36" ht="12.75" customHeight="1">
      <c r="B64" s="110" t="s">
        <v>158</v>
      </c>
      <c r="C64" s="79">
        <v>14</v>
      </c>
      <c r="D64" s="79">
        <v>14</v>
      </c>
      <c r="E64" s="79">
        <v>13</v>
      </c>
      <c r="F64" s="79">
        <v>16</v>
      </c>
      <c r="G64" s="79">
        <v>13</v>
      </c>
      <c r="I64" s="111"/>
      <c r="J64" s="111"/>
      <c r="K64" s="111"/>
      <c r="L64" s="87">
        <f t="shared" si="98"/>
        <v>13</v>
      </c>
      <c r="M64" s="111"/>
      <c r="N64" s="111"/>
      <c r="O64" s="111"/>
      <c r="P64" s="87">
        <f t="shared" si="99"/>
        <v>16</v>
      </c>
      <c r="Q64" s="111"/>
      <c r="R64" s="111"/>
      <c r="S64" s="111"/>
      <c r="T64" s="87">
        <f t="shared" si="100"/>
        <v>13</v>
      </c>
      <c r="U64" s="111"/>
      <c r="V64" s="111"/>
      <c r="X64" s="30">
        <f t="shared" ref="X64:AC65" si="109">M64</f>
        <v>0</v>
      </c>
      <c r="Y64" s="30">
        <f t="shared" si="109"/>
        <v>0</v>
      </c>
      <c r="Z64" s="30">
        <f t="shared" si="109"/>
        <v>0</v>
      </c>
      <c r="AA64" s="30">
        <f t="shared" si="109"/>
        <v>16</v>
      </c>
      <c r="AB64" s="30">
        <f t="shared" si="109"/>
        <v>0</v>
      </c>
      <c r="AC64" s="30">
        <f t="shared" si="109"/>
        <v>0</v>
      </c>
      <c r="AD64" s="87">
        <f t="shared" si="102"/>
        <v>0</v>
      </c>
      <c r="AE64" s="87">
        <f t="shared" si="103"/>
        <v>0</v>
      </c>
      <c r="AF64" s="87">
        <f t="shared" si="104"/>
        <v>13</v>
      </c>
      <c r="AG64" s="87">
        <f t="shared" si="105"/>
        <v>0</v>
      </c>
      <c r="AH64" s="87">
        <f t="shared" si="106"/>
        <v>0</v>
      </c>
      <c r="AI64" s="11"/>
      <c r="AJ64" s="70" t="e">
        <f t="shared" si="108"/>
        <v>#DIV/0!</v>
      </c>
    </row>
    <row r="65" spans="2:36" ht="12.75" customHeight="1">
      <c r="B65" s="110" t="s">
        <v>159</v>
      </c>
      <c r="C65" s="79"/>
      <c r="D65" s="79">
        <v>110</v>
      </c>
      <c r="E65" s="79"/>
      <c r="F65" s="79"/>
      <c r="G65" s="79"/>
      <c r="I65" s="111"/>
      <c r="J65" s="111"/>
      <c r="K65" s="111"/>
      <c r="L65" s="87">
        <f t="shared" si="98"/>
        <v>0</v>
      </c>
      <c r="M65" s="111"/>
      <c r="N65" s="111"/>
      <c r="O65" s="111"/>
      <c r="P65" s="87">
        <f t="shared" si="99"/>
        <v>0</v>
      </c>
      <c r="Q65" s="111"/>
      <c r="R65" s="111"/>
      <c r="S65" s="111"/>
      <c r="T65" s="87">
        <f t="shared" si="100"/>
        <v>0</v>
      </c>
      <c r="U65" s="111"/>
      <c r="V65" s="111"/>
      <c r="X65" s="30">
        <f t="shared" si="109"/>
        <v>0</v>
      </c>
      <c r="Y65" s="30">
        <f t="shared" si="109"/>
        <v>0</v>
      </c>
      <c r="Z65" s="30">
        <f t="shared" si="109"/>
        <v>0</v>
      </c>
      <c r="AA65" s="30">
        <f t="shared" si="109"/>
        <v>0</v>
      </c>
      <c r="AB65" s="30">
        <f t="shared" si="109"/>
        <v>0</v>
      </c>
      <c r="AC65" s="30">
        <f t="shared" si="109"/>
        <v>0</v>
      </c>
      <c r="AD65" s="87">
        <f t="shared" si="102"/>
        <v>0</v>
      </c>
      <c r="AE65" s="87">
        <f t="shared" si="103"/>
        <v>0</v>
      </c>
      <c r="AF65" s="87">
        <f t="shared" si="104"/>
        <v>0</v>
      </c>
      <c r="AG65" s="87">
        <f t="shared" si="105"/>
        <v>0</v>
      </c>
      <c r="AH65" s="87">
        <f t="shared" si="106"/>
        <v>0</v>
      </c>
      <c r="AI65" s="11"/>
      <c r="AJ65" s="70" t="e">
        <f t="shared" si="108"/>
        <v>#DIV/0!</v>
      </c>
    </row>
    <row r="66" spans="2:36" ht="12.75" customHeight="1">
      <c r="B66" s="23" t="s">
        <v>20</v>
      </c>
      <c r="C66" s="24">
        <f t="shared" ref="C66:D66" si="110">SUM(C60:C65)</f>
        <v>7278</v>
      </c>
      <c r="D66" s="24">
        <f t="shared" si="110"/>
        <v>9493</v>
      </c>
      <c r="E66" s="24">
        <f>SUM(E60:E65)</f>
        <v>9255</v>
      </c>
      <c r="F66" s="24">
        <f>SUM(F60:F65)</f>
        <v>7589</v>
      </c>
      <c r="G66" s="24">
        <f>SUM(G60:G65)</f>
        <v>6656</v>
      </c>
      <c r="I66" s="24">
        <f t="shared" ref="I66:V66" si="111">SUM(I60:I65)</f>
        <v>0</v>
      </c>
      <c r="J66" s="24">
        <f t="shared" si="111"/>
        <v>0</v>
      </c>
      <c r="K66" s="24">
        <f t="shared" si="111"/>
        <v>0</v>
      </c>
      <c r="L66" s="24">
        <f t="shared" si="111"/>
        <v>9255</v>
      </c>
      <c r="M66" s="24">
        <f t="shared" si="111"/>
        <v>0</v>
      </c>
      <c r="N66" s="24">
        <f t="shared" si="111"/>
        <v>0</v>
      </c>
      <c r="O66" s="24">
        <f t="shared" si="111"/>
        <v>0</v>
      </c>
      <c r="P66" s="24">
        <f t="shared" si="111"/>
        <v>7589</v>
      </c>
      <c r="Q66" s="24">
        <f t="shared" si="111"/>
        <v>0</v>
      </c>
      <c r="R66" s="24">
        <f t="shared" si="111"/>
        <v>0</v>
      </c>
      <c r="S66" s="24">
        <f t="shared" si="111"/>
        <v>0</v>
      </c>
      <c r="T66" s="24">
        <f t="shared" si="111"/>
        <v>6656</v>
      </c>
      <c r="U66" s="24">
        <f t="shared" si="111"/>
        <v>0</v>
      </c>
      <c r="V66" s="24">
        <f t="shared" si="111"/>
        <v>0</v>
      </c>
      <c r="W66" s="47"/>
      <c r="X66" s="24">
        <f t="shared" ref="X66:AH66" si="112">SUM(X60:X65)</f>
        <v>0</v>
      </c>
      <c r="Y66" s="24">
        <f t="shared" si="112"/>
        <v>0</v>
      </c>
      <c r="Z66" s="24">
        <f t="shared" si="112"/>
        <v>0</v>
      </c>
      <c r="AA66" s="24">
        <f t="shared" si="112"/>
        <v>6108</v>
      </c>
      <c r="AB66" s="24">
        <f t="shared" si="112"/>
        <v>0</v>
      </c>
      <c r="AC66" s="24">
        <f t="shared" si="112"/>
        <v>0</v>
      </c>
      <c r="AD66" s="24">
        <f t="shared" si="112"/>
        <v>0</v>
      </c>
      <c r="AE66" s="24">
        <f t="shared" si="112"/>
        <v>0</v>
      </c>
      <c r="AF66" s="24">
        <f t="shared" si="112"/>
        <v>6656</v>
      </c>
      <c r="AG66" s="24">
        <f t="shared" si="112"/>
        <v>0</v>
      </c>
      <c r="AH66" s="24">
        <f t="shared" si="112"/>
        <v>0</v>
      </c>
      <c r="AI66" s="40"/>
      <c r="AJ66" s="71" t="e">
        <f>SUM(AH66/AD66)-1</f>
        <v>#DIV/0!</v>
      </c>
    </row>
    <row r="67" spans="2:36" ht="5.0999999999999996" customHeight="1">
      <c r="B67" s="23"/>
      <c r="C67" s="49"/>
      <c r="D67" s="49"/>
      <c r="E67" s="49"/>
      <c r="F67" s="39"/>
      <c r="G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37"/>
    </row>
    <row r="68" spans="2:36">
      <c r="B68" s="74" t="s">
        <v>108</v>
      </c>
      <c r="C68" s="49"/>
      <c r="D68" s="49"/>
      <c r="E68" s="49"/>
      <c r="F68" s="39"/>
      <c r="G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37"/>
    </row>
    <row r="69" spans="2:36" ht="12.75" customHeight="1">
      <c r="B69" s="110" t="s">
        <v>160</v>
      </c>
      <c r="C69" s="79">
        <v>2138</v>
      </c>
      <c r="D69" s="79">
        <v>2012</v>
      </c>
      <c r="E69" s="79">
        <v>2061</v>
      </c>
      <c r="F69" s="79">
        <v>2164</v>
      </c>
      <c r="G69" s="79">
        <v>2199</v>
      </c>
      <c r="I69" s="111"/>
      <c r="J69" s="111"/>
      <c r="K69" s="111"/>
      <c r="L69" s="87">
        <f t="shared" ref="L69:L71" si="113">E69</f>
        <v>2061</v>
      </c>
      <c r="M69" s="111"/>
      <c r="N69" s="111"/>
      <c r="O69" s="111"/>
      <c r="P69" s="87">
        <f t="shared" ref="P69:P71" si="114">F69</f>
        <v>2164</v>
      </c>
      <c r="Q69" s="111"/>
      <c r="R69" s="111"/>
      <c r="S69" s="111"/>
      <c r="T69" s="87">
        <f t="shared" ref="T69:T71" si="115">G69</f>
        <v>2199</v>
      </c>
      <c r="U69" s="111"/>
      <c r="V69" s="111"/>
      <c r="X69" s="30">
        <f t="shared" ref="X69:AC70" si="116">M69</f>
        <v>0</v>
      </c>
      <c r="Y69" s="30">
        <f t="shared" si="116"/>
        <v>0</v>
      </c>
      <c r="Z69" s="30">
        <f t="shared" si="116"/>
        <v>0</v>
      </c>
      <c r="AA69" s="30">
        <f t="shared" si="116"/>
        <v>2164</v>
      </c>
      <c r="AB69" s="30">
        <f t="shared" si="116"/>
        <v>0</v>
      </c>
      <c r="AC69" s="30">
        <f t="shared" si="116"/>
        <v>0</v>
      </c>
      <c r="AD69" s="87">
        <f t="shared" ref="AD69:AD71" si="117">R69</f>
        <v>0</v>
      </c>
      <c r="AE69" s="87">
        <f t="shared" ref="AE69:AE71" si="118">S69</f>
        <v>0</v>
      </c>
      <c r="AF69" s="87">
        <f t="shared" ref="AF69:AF71" si="119">T69</f>
        <v>2199</v>
      </c>
      <c r="AG69" s="87">
        <f t="shared" ref="AG69:AG71" si="120">U69</f>
        <v>0</v>
      </c>
      <c r="AH69" s="87">
        <f t="shared" ref="AH69:AH71" si="121">V69</f>
        <v>0</v>
      </c>
      <c r="AI69" s="40"/>
      <c r="AJ69" s="70" t="e">
        <f t="shared" ref="AJ69:AJ71" si="122">SUM(AH69/AD69)-1</f>
        <v>#DIV/0!</v>
      </c>
    </row>
    <row r="70" spans="2:36" ht="12.75" customHeight="1">
      <c r="B70" s="110" t="s">
        <v>161</v>
      </c>
      <c r="C70" s="79">
        <v>657</v>
      </c>
      <c r="D70" s="79">
        <v>694</v>
      </c>
      <c r="E70" s="79">
        <v>533</v>
      </c>
      <c r="F70" s="79">
        <v>705</v>
      </c>
      <c r="G70" s="79">
        <v>654</v>
      </c>
      <c r="I70" s="111"/>
      <c r="J70" s="111"/>
      <c r="K70" s="111"/>
      <c r="L70" s="87">
        <f t="shared" si="113"/>
        <v>533</v>
      </c>
      <c r="M70" s="111"/>
      <c r="N70" s="111"/>
      <c r="O70" s="111"/>
      <c r="P70" s="87">
        <f t="shared" si="114"/>
        <v>705</v>
      </c>
      <c r="Q70" s="111"/>
      <c r="R70" s="111"/>
      <c r="S70" s="111"/>
      <c r="T70" s="87">
        <f t="shared" si="115"/>
        <v>654</v>
      </c>
      <c r="U70" s="111"/>
      <c r="V70" s="111"/>
      <c r="X70" s="30">
        <f t="shared" si="116"/>
        <v>0</v>
      </c>
      <c r="Y70" s="30">
        <f t="shared" si="116"/>
        <v>0</v>
      </c>
      <c r="Z70" s="30">
        <f t="shared" si="116"/>
        <v>0</v>
      </c>
      <c r="AA70" s="30">
        <f t="shared" si="116"/>
        <v>705</v>
      </c>
      <c r="AB70" s="30">
        <f t="shared" si="116"/>
        <v>0</v>
      </c>
      <c r="AC70" s="30">
        <f t="shared" si="116"/>
        <v>0</v>
      </c>
      <c r="AD70" s="87">
        <f t="shared" si="117"/>
        <v>0</v>
      </c>
      <c r="AE70" s="87">
        <f t="shared" si="118"/>
        <v>0</v>
      </c>
      <c r="AF70" s="87">
        <f t="shared" si="119"/>
        <v>654</v>
      </c>
      <c r="AG70" s="87">
        <f t="shared" si="120"/>
        <v>0</v>
      </c>
      <c r="AH70" s="87">
        <f t="shared" si="121"/>
        <v>0</v>
      </c>
      <c r="AI70" s="40"/>
      <c r="AJ70" s="70" t="e">
        <f t="shared" si="122"/>
        <v>#DIV/0!</v>
      </c>
    </row>
    <row r="71" spans="2:36" ht="12.75" customHeight="1">
      <c r="B71" s="110" t="s">
        <v>162</v>
      </c>
      <c r="C71" s="79">
        <v>1257</v>
      </c>
      <c r="D71" s="79">
        <v>1253</v>
      </c>
      <c r="E71" s="79">
        <v>1216</v>
      </c>
      <c r="F71" s="79">
        <v>1160</v>
      </c>
      <c r="G71" s="79">
        <v>1152</v>
      </c>
      <c r="I71" s="111"/>
      <c r="J71" s="111"/>
      <c r="K71" s="111"/>
      <c r="L71" s="87">
        <f t="shared" si="113"/>
        <v>1216</v>
      </c>
      <c r="M71" s="111"/>
      <c r="N71" s="111"/>
      <c r="O71" s="111"/>
      <c r="P71" s="87">
        <f t="shared" si="114"/>
        <v>1160</v>
      </c>
      <c r="Q71" s="111"/>
      <c r="R71" s="111"/>
      <c r="S71" s="111"/>
      <c r="T71" s="87">
        <f t="shared" si="115"/>
        <v>1152</v>
      </c>
      <c r="U71" s="111"/>
      <c r="V71" s="111"/>
      <c r="X71" s="30"/>
      <c r="Y71" s="30"/>
      <c r="Z71" s="30"/>
      <c r="AA71" s="30"/>
      <c r="AB71" s="30"/>
      <c r="AC71" s="30"/>
      <c r="AD71" s="87">
        <f t="shared" si="117"/>
        <v>0</v>
      </c>
      <c r="AE71" s="87">
        <f t="shared" si="118"/>
        <v>0</v>
      </c>
      <c r="AF71" s="87">
        <f t="shared" si="119"/>
        <v>1152</v>
      </c>
      <c r="AG71" s="87">
        <f t="shared" si="120"/>
        <v>0</v>
      </c>
      <c r="AH71" s="87">
        <f t="shared" si="121"/>
        <v>0</v>
      </c>
      <c r="AI71" s="40"/>
      <c r="AJ71" s="70" t="e">
        <f t="shared" si="122"/>
        <v>#DIV/0!</v>
      </c>
    </row>
    <row r="72" spans="2:36" ht="12.75" customHeight="1">
      <c r="B72" s="12" t="s">
        <v>18</v>
      </c>
      <c r="C72" s="13">
        <f>SUM(C69:C71)+C66</f>
        <v>11330</v>
      </c>
      <c r="D72" s="13">
        <f>SUM(D69:D71)+D66</f>
        <v>13452</v>
      </c>
      <c r="E72" s="13">
        <f>SUM(E69:E71)+E66</f>
        <v>13065</v>
      </c>
      <c r="F72" s="13">
        <f>SUM(F69:F71)+F66</f>
        <v>11618</v>
      </c>
      <c r="G72" s="13">
        <f>SUM(G69:G71)+G66</f>
        <v>10661</v>
      </c>
      <c r="I72" s="13">
        <f>SUM(I69:I71)+I66</f>
        <v>0</v>
      </c>
      <c r="J72" s="13">
        <f>SUM(J69:J71)+J66</f>
        <v>0</v>
      </c>
      <c r="K72" s="13">
        <f>SUM(K69:K71)+K66</f>
        <v>0</v>
      </c>
      <c r="L72" s="13">
        <f>SUM(L69:L71)+L66</f>
        <v>13065</v>
      </c>
      <c r="M72" s="13">
        <f>SUM(M69:M71)+M66</f>
        <v>0</v>
      </c>
      <c r="N72" s="13">
        <f>SUM(N69:N71)+N66</f>
        <v>0</v>
      </c>
      <c r="O72" s="13">
        <f>SUM(O69:O71)+O66</f>
        <v>0</v>
      </c>
      <c r="P72" s="13">
        <f>SUM(P69:P71)+P66</f>
        <v>11618</v>
      </c>
      <c r="Q72" s="13">
        <f>SUM(Q69:Q71)+Q66</f>
        <v>0</v>
      </c>
      <c r="R72" s="13">
        <f>SUM(R69:R71)+R66</f>
        <v>0</v>
      </c>
      <c r="S72" s="13">
        <f>SUM(S69:S71)+S66</f>
        <v>0</v>
      </c>
      <c r="T72" s="13">
        <f>SUM(T69:T71)+T66</f>
        <v>10661</v>
      </c>
      <c r="U72" s="13">
        <f>SUM(U69:U71)+U66</f>
        <v>0</v>
      </c>
      <c r="V72" s="13">
        <f>SUM(V69:V71)+V66</f>
        <v>0</v>
      </c>
      <c r="X72" s="13">
        <f>SUM(X69:X71)+X66</f>
        <v>0</v>
      </c>
      <c r="Y72" s="13">
        <f>SUM(Y69:Y71)+Y66</f>
        <v>0</v>
      </c>
      <c r="Z72" s="13">
        <f>SUM(Z69:Z71)+Z66</f>
        <v>0</v>
      </c>
      <c r="AA72" s="13">
        <f>SUM(AA69:AA71)+AA66</f>
        <v>8977</v>
      </c>
      <c r="AB72" s="13">
        <f>SUM(AB69:AB71)+AB66</f>
        <v>0</v>
      </c>
      <c r="AC72" s="13">
        <f>SUM(AC69:AC71)+AC66</f>
        <v>0</v>
      </c>
      <c r="AD72" s="13">
        <f>SUM(AD69:AD71)+AD66</f>
        <v>0</v>
      </c>
      <c r="AE72" s="13">
        <f>SUM(AE69:AE71)+AE66</f>
        <v>0</v>
      </c>
      <c r="AF72" s="13">
        <f>SUM(AF69:AF71)+AF66</f>
        <v>10661</v>
      </c>
      <c r="AG72" s="13">
        <f>SUM(AG69:AG71)+AG66</f>
        <v>0</v>
      </c>
      <c r="AH72" s="13">
        <f>SUM(AH69:AH71)+AH66</f>
        <v>0</v>
      </c>
      <c r="AI72" s="40"/>
      <c r="AJ72" s="71" t="e">
        <f>SUM(AH72/AD72)-1</f>
        <v>#DIV/0!</v>
      </c>
    </row>
    <row r="73" spans="2:36" ht="5.0999999999999996" customHeight="1">
      <c r="B73" s="23"/>
      <c r="C73" s="48"/>
      <c r="D73" s="48"/>
      <c r="E73" s="48"/>
      <c r="F73" s="39"/>
      <c r="G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37"/>
    </row>
    <row r="74" spans="2:36" ht="12.75" customHeight="1">
      <c r="B74" s="9" t="s">
        <v>96</v>
      </c>
      <c r="C74" s="79">
        <v>26</v>
      </c>
      <c r="D74" s="79">
        <v>26</v>
      </c>
      <c r="E74" s="79">
        <v>23</v>
      </c>
      <c r="F74" s="79">
        <v>22</v>
      </c>
      <c r="G74" s="79">
        <v>22</v>
      </c>
      <c r="I74" s="111"/>
      <c r="J74" s="111"/>
      <c r="K74" s="111"/>
      <c r="L74" s="87">
        <f t="shared" ref="L74:L78" si="123">E74</f>
        <v>23</v>
      </c>
      <c r="M74" s="111"/>
      <c r="N74" s="111"/>
      <c r="O74" s="111"/>
      <c r="P74" s="87">
        <f t="shared" ref="P74:P78" si="124">F74</f>
        <v>22</v>
      </c>
      <c r="Q74" s="111"/>
      <c r="R74" s="111"/>
      <c r="S74" s="111"/>
      <c r="T74" s="87">
        <f t="shared" ref="T74:T78" si="125">G74</f>
        <v>22</v>
      </c>
      <c r="U74" s="111"/>
      <c r="V74" s="111"/>
      <c r="X74" s="30">
        <f t="shared" ref="X74:AC74" si="126">M74</f>
        <v>0</v>
      </c>
      <c r="Y74" s="30">
        <f t="shared" si="126"/>
        <v>0</v>
      </c>
      <c r="Z74" s="30">
        <f t="shared" si="126"/>
        <v>0</v>
      </c>
      <c r="AA74" s="30">
        <f t="shared" si="126"/>
        <v>22</v>
      </c>
      <c r="AB74" s="30">
        <f t="shared" si="126"/>
        <v>0</v>
      </c>
      <c r="AC74" s="30">
        <f t="shared" si="126"/>
        <v>0</v>
      </c>
      <c r="AD74" s="87">
        <f t="shared" ref="AD74:AD78" si="127">R74</f>
        <v>0</v>
      </c>
      <c r="AE74" s="87">
        <f t="shared" ref="AE74:AE78" si="128">S74</f>
        <v>0</v>
      </c>
      <c r="AF74" s="87">
        <f t="shared" ref="AF74:AF78" si="129">T74</f>
        <v>22</v>
      </c>
      <c r="AG74" s="87">
        <f t="shared" ref="AG74:AG78" si="130">U74</f>
        <v>0</v>
      </c>
      <c r="AH74" s="87">
        <f t="shared" ref="AH74:AH78" si="131">V74</f>
        <v>0</v>
      </c>
      <c r="AI74" s="11"/>
      <c r="AJ74" s="70" t="e">
        <f t="shared" ref="AJ74:AJ78" si="132">SUM(AH74/AD74)-1</f>
        <v>#DIV/0!</v>
      </c>
    </row>
    <row r="75" spans="2:36" ht="12.75" customHeight="1">
      <c r="B75" s="9" t="s">
        <v>21</v>
      </c>
      <c r="C75" s="79" t="s">
        <v>165</v>
      </c>
      <c r="D75" s="79" t="s">
        <v>165</v>
      </c>
      <c r="E75" s="79" t="s">
        <v>165</v>
      </c>
      <c r="F75" s="79">
        <v>21</v>
      </c>
      <c r="G75" s="79">
        <v>31</v>
      </c>
      <c r="I75" s="111"/>
      <c r="J75" s="111"/>
      <c r="K75" s="111"/>
      <c r="L75" s="87" t="str">
        <f t="shared" si="123"/>
        <v xml:space="preserve"> </v>
      </c>
      <c r="M75" s="111"/>
      <c r="N75" s="111"/>
      <c r="O75" s="111"/>
      <c r="P75" s="87">
        <f t="shared" si="124"/>
        <v>21</v>
      </c>
      <c r="Q75" s="111"/>
      <c r="R75" s="111"/>
      <c r="S75" s="111"/>
      <c r="T75" s="87">
        <f t="shared" si="125"/>
        <v>31</v>
      </c>
      <c r="U75" s="111"/>
      <c r="V75" s="111"/>
      <c r="X75" s="30"/>
      <c r="Y75" s="30"/>
      <c r="Z75" s="30"/>
      <c r="AA75" s="30"/>
      <c r="AB75" s="30"/>
      <c r="AC75" s="30"/>
      <c r="AD75" s="87">
        <f t="shared" si="127"/>
        <v>0</v>
      </c>
      <c r="AE75" s="87">
        <f t="shared" si="128"/>
        <v>0</v>
      </c>
      <c r="AF75" s="87">
        <f t="shared" si="129"/>
        <v>31</v>
      </c>
      <c r="AG75" s="87">
        <f t="shared" si="130"/>
        <v>0</v>
      </c>
      <c r="AH75" s="87">
        <f t="shared" si="131"/>
        <v>0</v>
      </c>
      <c r="AI75" s="11"/>
      <c r="AJ75" s="70" t="e">
        <f t="shared" si="132"/>
        <v>#DIV/0!</v>
      </c>
    </row>
    <row r="76" spans="2:36" ht="12.75" customHeight="1">
      <c r="B76" s="9" t="s">
        <v>118</v>
      </c>
      <c r="C76" s="79">
        <v>3158</v>
      </c>
      <c r="D76" s="79">
        <v>4233</v>
      </c>
      <c r="E76" s="79">
        <v>2668</v>
      </c>
      <c r="F76" s="79">
        <v>2430</v>
      </c>
      <c r="G76" s="79">
        <v>2683</v>
      </c>
      <c r="I76" s="111"/>
      <c r="J76" s="111"/>
      <c r="K76" s="111"/>
      <c r="L76" s="87">
        <f t="shared" si="123"/>
        <v>2668</v>
      </c>
      <c r="M76" s="111"/>
      <c r="N76" s="111"/>
      <c r="O76" s="111"/>
      <c r="P76" s="87">
        <f t="shared" si="124"/>
        <v>2430</v>
      </c>
      <c r="Q76" s="111"/>
      <c r="R76" s="111"/>
      <c r="S76" s="111"/>
      <c r="T76" s="87">
        <f t="shared" si="125"/>
        <v>2683</v>
      </c>
      <c r="U76" s="111"/>
      <c r="V76" s="111"/>
      <c r="X76" s="30"/>
      <c r="Y76" s="30"/>
      <c r="Z76" s="30"/>
      <c r="AA76" s="30"/>
      <c r="AB76" s="30"/>
      <c r="AC76" s="30"/>
      <c r="AD76" s="87">
        <f t="shared" si="127"/>
        <v>0</v>
      </c>
      <c r="AE76" s="87">
        <f t="shared" si="128"/>
        <v>0</v>
      </c>
      <c r="AF76" s="87">
        <f t="shared" si="129"/>
        <v>2683</v>
      </c>
      <c r="AG76" s="87">
        <f t="shared" si="130"/>
        <v>0</v>
      </c>
      <c r="AH76" s="87">
        <f t="shared" si="131"/>
        <v>0</v>
      </c>
      <c r="AI76" s="11"/>
      <c r="AJ76" s="70" t="e">
        <f t="shared" si="132"/>
        <v>#DIV/0!</v>
      </c>
    </row>
    <row r="77" spans="2:36" ht="12.75" customHeight="1">
      <c r="B77" s="9" t="s">
        <v>163</v>
      </c>
      <c r="C77" s="79">
        <v>295</v>
      </c>
      <c r="D77" s="79">
        <v>328</v>
      </c>
      <c r="E77" s="79">
        <v>329</v>
      </c>
      <c r="F77" s="79">
        <v>322</v>
      </c>
      <c r="G77" s="79">
        <v>317</v>
      </c>
      <c r="I77" s="111"/>
      <c r="J77" s="111"/>
      <c r="K77" s="111"/>
      <c r="L77" s="87">
        <f t="shared" si="123"/>
        <v>329</v>
      </c>
      <c r="M77" s="111"/>
      <c r="N77" s="111"/>
      <c r="O77" s="111"/>
      <c r="P77" s="87">
        <f t="shared" si="124"/>
        <v>322</v>
      </c>
      <c r="Q77" s="111"/>
      <c r="R77" s="111"/>
      <c r="S77" s="111"/>
      <c r="T77" s="87">
        <f t="shared" si="125"/>
        <v>317</v>
      </c>
      <c r="U77" s="111"/>
      <c r="V77" s="111"/>
      <c r="X77" s="30">
        <f t="shared" ref="X77:AC78" si="133">M77</f>
        <v>0</v>
      </c>
      <c r="Y77" s="30">
        <f t="shared" si="133"/>
        <v>0</v>
      </c>
      <c r="Z77" s="30">
        <f t="shared" si="133"/>
        <v>0</v>
      </c>
      <c r="AA77" s="30">
        <f t="shared" si="133"/>
        <v>322</v>
      </c>
      <c r="AB77" s="30">
        <f t="shared" si="133"/>
        <v>0</v>
      </c>
      <c r="AC77" s="30">
        <f t="shared" si="133"/>
        <v>0</v>
      </c>
      <c r="AD77" s="87">
        <f t="shared" si="127"/>
        <v>0</v>
      </c>
      <c r="AE77" s="87">
        <f t="shared" si="128"/>
        <v>0</v>
      </c>
      <c r="AF77" s="87">
        <f t="shared" si="129"/>
        <v>317</v>
      </c>
      <c r="AG77" s="87">
        <f t="shared" si="130"/>
        <v>0</v>
      </c>
      <c r="AH77" s="87">
        <f t="shared" si="131"/>
        <v>0</v>
      </c>
      <c r="AI77" s="11"/>
      <c r="AJ77" s="70" t="e">
        <f t="shared" si="132"/>
        <v>#DIV/0!</v>
      </c>
    </row>
    <row r="78" spans="2:36" ht="12.75" customHeight="1">
      <c r="B78" s="9" t="s">
        <v>164</v>
      </c>
      <c r="C78" s="79"/>
      <c r="D78" s="79"/>
      <c r="E78" s="79"/>
      <c r="F78" s="79"/>
      <c r="G78" s="79"/>
      <c r="I78" s="111"/>
      <c r="J78" s="111"/>
      <c r="K78" s="111"/>
      <c r="L78" s="87">
        <f t="shared" si="123"/>
        <v>0</v>
      </c>
      <c r="M78" s="111"/>
      <c r="N78" s="111"/>
      <c r="O78" s="111"/>
      <c r="P78" s="87">
        <f t="shared" si="124"/>
        <v>0</v>
      </c>
      <c r="Q78" s="111"/>
      <c r="R78" s="111"/>
      <c r="S78" s="111"/>
      <c r="T78" s="87">
        <f t="shared" si="125"/>
        <v>0</v>
      </c>
      <c r="U78" s="111"/>
      <c r="V78" s="111"/>
      <c r="X78" s="30">
        <f t="shared" si="133"/>
        <v>0</v>
      </c>
      <c r="Y78" s="30">
        <f t="shared" si="133"/>
        <v>0</v>
      </c>
      <c r="Z78" s="30">
        <f t="shared" si="133"/>
        <v>0</v>
      </c>
      <c r="AA78" s="30">
        <f t="shared" si="133"/>
        <v>0</v>
      </c>
      <c r="AB78" s="30">
        <f t="shared" si="133"/>
        <v>0</v>
      </c>
      <c r="AC78" s="30">
        <f t="shared" si="133"/>
        <v>0</v>
      </c>
      <c r="AD78" s="87">
        <f t="shared" si="127"/>
        <v>0</v>
      </c>
      <c r="AE78" s="87">
        <f t="shared" si="128"/>
        <v>0</v>
      </c>
      <c r="AF78" s="87">
        <f t="shared" si="129"/>
        <v>0</v>
      </c>
      <c r="AG78" s="87">
        <f t="shared" si="130"/>
        <v>0</v>
      </c>
      <c r="AH78" s="87">
        <f t="shared" si="131"/>
        <v>0</v>
      </c>
      <c r="AI78" s="11"/>
      <c r="AJ78" s="70" t="e">
        <f t="shared" si="132"/>
        <v>#DIV/0!</v>
      </c>
    </row>
    <row r="79" spans="2:36" ht="12.75" customHeight="1">
      <c r="B79" s="12" t="s">
        <v>17</v>
      </c>
      <c r="C79" s="13">
        <f>SUM(C74:C78)</f>
        <v>3479</v>
      </c>
      <c r="D79" s="13">
        <f>SUM(D74:D78)</f>
        <v>4587</v>
      </c>
      <c r="E79" s="13">
        <f>SUM(E74:E78)</f>
        <v>3020</v>
      </c>
      <c r="F79" s="13">
        <f>SUM(F74:F78)</f>
        <v>2795</v>
      </c>
      <c r="G79" s="13">
        <f>SUM(G74:G78)</f>
        <v>3053</v>
      </c>
      <c r="H79" s="50"/>
      <c r="I79" s="13">
        <f>SUM(I74:I78)</f>
        <v>0</v>
      </c>
      <c r="J79" s="13">
        <f>SUM(J74:J78)</f>
        <v>0</v>
      </c>
      <c r="K79" s="13">
        <f>SUM(K74:K78)</f>
        <v>0</v>
      </c>
      <c r="L79" s="13">
        <f>SUM(L74:L78)</f>
        <v>3020</v>
      </c>
      <c r="M79" s="13">
        <f>SUM(M74:M78)</f>
        <v>0</v>
      </c>
      <c r="N79" s="13">
        <f>SUM(N74:N78)</f>
        <v>0</v>
      </c>
      <c r="O79" s="13">
        <f>SUM(O74:O78)</f>
        <v>0</v>
      </c>
      <c r="P79" s="13">
        <f>SUM(P74:P78)</f>
        <v>2795</v>
      </c>
      <c r="Q79" s="13">
        <f>SUM(Q74:Q78)</f>
        <v>0</v>
      </c>
      <c r="R79" s="13">
        <f>SUM(R74:R78)</f>
        <v>0</v>
      </c>
      <c r="S79" s="13">
        <f>SUM(S74:S78)</f>
        <v>0</v>
      </c>
      <c r="T79" s="13">
        <f>SUM(T74:T78)</f>
        <v>3053</v>
      </c>
      <c r="U79" s="13">
        <f>SUM(U74:U78)</f>
        <v>0</v>
      </c>
      <c r="V79" s="13">
        <f>SUM(V74:V78)</f>
        <v>0</v>
      </c>
      <c r="X79" s="13">
        <f>SUM(X74:X78)</f>
        <v>0</v>
      </c>
      <c r="Y79" s="13">
        <f>SUM(Y74:Y78)</f>
        <v>0</v>
      </c>
      <c r="Z79" s="13">
        <f>SUM(Z74:Z78)</f>
        <v>0</v>
      </c>
      <c r="AA79" s="13">
        <f>SUM(AA74:AA78)</f>
        <v>344</v>
      </c>
      <c r="AB79" s="13">
        <f>SUM(AB74:AB78)</f>
        <v>0</v>
      </c>
      <c r="AC79" s="13">
        <f>SUM(AC74:AC78)</f>
        <v>0</v>
      </c>
      <c r="AD79" s="13">
        <f>SUM(AD74:AD78)</f>
        <v>0</v>
      </c>
      <c r="AE79" s="13">
        <f>SUM(AE74:AE78)</f>
        <v>0</v>
      </c>
      <c r="AF79" s="13">
        <f>SUM(AF74:AF78)</f>
        <v>3053</v>
      </c>
      <c r="AG79" s="13">
        <f>SUM(AG74:AG78)</f>
        <v>0</v>
      </c>
      <c r="AH79" s="13">
        <f>SUM(AH74:AH78)</f>
        <v>0</v>
      </c>
      <c r="AI79" s="40"/>
      <c r="AJ79" s="71" t="e">
        <f>SUM(AH79/AD79)-1</f>
        <v>#DIV/0!</v>
      </c>
    </row>
    <row r="80" spans="2:36" ht="12.75" customHeight="1">
      <c r="B80" s="23" t="s">
        <v>68</v>
      </c>
      <c r="C80" s="30">
        <f>SUM(C79+C72)</f>
        <v>14809</v>
      </c>
      <c r="D80" s="30">
        <f>SUM(D79+D72)</f>
        <v>18039</v>
      </c>
      <c r="E80" s="30">
        <f>SUM(E79+E72)</f>
        <v>16085</v>
      </c>
      <c r="F80" s="30">
        <f>SUM(F79+F72)</f>
        <v>14413</v>
      </c>
      <c r="G80" s="30">
        <f>SUM(G79+G72)</f>
        <v>13714</v>
      </c>
      <c r="H80" s="30"/>
      <c r="I80" s="30">
        <f>SUM(I79+I72)</f>
        <v>0</v>
      </c>
      <c r="J80" s="30">
        <f>SUM(J79+J72)</f>
        <v>0</v>
      </c>
      <c r="K80" s="30">
        <f>SUM(K79+K72)</f>
        <v>0</v>
      </c>
      <c r="L80" s="30">
        <f>SUM(L79+L72)</f>
        <v>16085</v>
      </c>
      <c r="M80" s="30">
        <f>SUM(M79+M72)</f>
        <v>0</v>
      </c>
      <c r="N80" s="30">
        <f>SUM(N79+N72)</f>
        <v>0</v>
      </c>
      <c r="O80" s="30">
        <f>SUM(O79+O72)</f>
        <v>0</v>
      </c>
      <c r="P80" s="30">
        <f>SUM(P79+P72)</f>
        <v>14413</v>
      </c>
      <c r="Q80" s="30">
        <f>SUM(Q79+Q72)</f>
        <v>0</v>
      </c>
      <c r="R80" s="30">
        <f>SUM(R79+R72)</f>
        <v>0</v>
      </c>
      <c r="S80" s="30">
        <f>SUM(S79+S72)</f>
        <v>0</v>
      </c>
      <c r="T80" s="30">
        <f>SUM(T79+T72)</f>
        <v>13714</v>
      </c>
      <c r="U80" s="30">
        <f>SUM(U79+U72)</f>
        <v>0</v>
      </c>
      <c r="V80" s="30">
        <f>SUM(V79+V72)</f>
        <v>0</v>
      </c>
      <c r="W80" s="30"/>
      <c r="X80" s="30">
        <f>SUM(X79+X72)</f>
        <v>0</v>
      </c>
      <c r="Y80" s="30">
        <f>SUM(Y79+Y72)</f>
        <v>0</v>
      </c>
      <c r="Z80" s="30">
        <f>SUM(Z79+Z72)</f>
        <v>0</v>
      </c>
      <c r="AA80" s="30">
        <f>SUM(AA79+AA72)</f>
        <v>9321</v>
      </c>
      <c r="AB80" s="30">
        <f>SUM(AB79+AB72)</f>
        <v>0</v>
      </c>
      <c r="AC80" s="30">
        <f>SUM(AC79+AC72)</f>
        <v>0</v>
      </c>
      <c r="AD80" s="30">
        <f>SUM(AD79+AD72)</f>
        <v>0</v>
      </c>
      <c r="AE80" s="30">
        <f>SUM(AE79+AE72)</f>
        <v>0</v>
      </c>
      <c r="AF80" s="30">
        <f>SUM(AF79+AF72)</f>
        <v>13714</v>
      </c>
      <c r="AG80" s="30">
        <f>SUM(AG79+AG72)</f>
        <v>0</v>
      </c>
      <c r="AH80" s="30">
        <f>SUM(AH79+AH72)</f>
        <v>0</v>
      </c>
      <c r="AI80" s="11"/>
      <c r="AJ80" s="71" t="e">
        <f>SUM(AH80/AD80)-1</f>
        <v>#DIV/0!</v>
      </c>
    </row>
    <row r="81" spans="1:36" ht="5.0999999999999996" customHeight="1">
      <c r="B81" s="2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11"/>
    </row>
    <row r="82" spans="1:36" ht="12.75" customHeight="1">
      <c r="B82" s="64" t="s">
        <v>79</v>
      </c>
      <c r="C82" s="65">
        <f>C80-C57</f>
        <v>-782</v>
      </c>
      <c r="D82" s="65">
        <f>D80-D57</f>
        <v>-1028</v>
      </c>
      <c r="E82" s="65">
        <f>E80-E57</f>
        <v>-1419</v>
      </c>
      <c r="F82" s="65">
        <f>F80-F57</f>
        <v>-1390</v>
      </c>
      <c r="G82" s="65">
        <f>G80-G57</f>
        <v>-1253</v>
      </c>
      <c r="H82" s="66"/>
      <c r="I82" s="65">
        <f>I80-I57</f>
        <v>0</v>
      </c>
      <c r="J82" s="65">
        <f>J80-J57</f>
        <v>0</v>
      </c>
      <c r="K82" s="65">
        <f>K80-K57</f>
        <v>0</v>
      </c>
      <c r="L82" s="65">
        <f>L80-L57</f>
        <v>5546</v>
      </c>
      <c r="M82" s="65">
        <f>M80-M57</f>
        <v>0</v>
      </c>
      <c r="N82" s="65">
        <f>N80-N57</f>
        <v>0</v>
      </c>
      <c r="O82" s="65">
        <f>O80-O57</f>
        <v>0</v>
      </c>
      <c r="P82" s="65">
        <f>P80-P57</f>
        <v>5611</v>
      </c>
      <c r="Q82" s="65">
        <f>Q80-Q57</f>
        <v>0</v>
      </c>
      <c r="R82" s="65">
        <f>R80-R57</f>
        <v>0</v>
      </c>
      <c r="S82" s="65">
        <f>S80-S57</f>
        <v>0</v>
      </c>
      <c r="T82" s="65">
        <f>T80-T57</f>
        <v>5817</v>
      </c>
      <c r="U82" s="65">
        <f>U80-U57</f>
        <v>0</v>
      </c>
      <c r="V82" s="65">
        <f>V80-V57</f>
        <v>0</v>
      </c>
      <c r="W82" s="26"/>
      <c r="X82" s="65" t="e">
        <f>X80-X57</f>
        <v>#REF!</v>
      </c>
      <c r="Y82" s="65" t="e">
        <f>Y80-Y57</f>
        <v>#REF!</v>
      </c>
      <c r="Z82" s="65" t="e">
        <f>Z80-Z57</f>
        <v>#REF!</v>
      </c>
      <c r="AA82" s="65" t="e">
        <f>AA80-AA57</f>
        <v>#REF!</v>
      </c>
      <c r="AB82" s="65" t="e">
        <f>AB80-AB57</f>
        <v>#REF!</v>
      </c>
      <c r="AC82" s="65" t="e">
        <f>AC80-AC57</f>
        <v>#REF!</v>
      </c>
      <c r="AD82" s="65">
        <f>AD80-AD57</f>
        <v>0</v>
      </c>
      <c r="AE82" s="65">
        <f>AE80-AE57</f>
        <v>0</v>
      </c>
      <c r="AF82" s="65">
        <f>AF80-AF57</f>
        <v>5817</v>
      </c>
      <c r="AG82" s="65">
        <f>AG80-AG57</f>
        <v>0</v>
      </c>
      <c r="AH82" s="65">
        <f>AH80-AH57</f>
        <v>0</v>
      </c>
    </row>
    <row r="83" spans="1:36" ht="5.0999999999999996" customHeight="1" thickBot="1">
      <c r="B83" s="106"/>
      <c r="C83" s="107"/>
      <c r="D83" s="107"/>
      <c r="E83" s="107"/>
      <c r="F83" s="107"/>
      <c r="G83" s="107"/>
      <c r="H83" s="108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9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68"/>
      <c r="AJ83" s="68"/>
    </row>
    <row r="84" spans="1:36" ht="12.75" customHeight="1">
      <c r="B84" s="144" t="s">
        <v>140</v>
      </c>
      <c r="C84" s="144"/>
      <c r="D84" s="144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>
      <c r="B85" s="63"/>
      <c r="C85" s="22"/>
      <c r="D85" s="22"/>
      <c r="E85" s="22"/>
      <c r="F85" s="22"/>
      <c r="G85" s="22"/>
      <c r="H85" s="51"/>
    </row>
    <row r="86" spans="1:36" ht="12.75" customHeight="1">
      <c r="A86" s="5" t="s">
        <v>19</v>
      </c>
      <c r="B86" s="88" t="s">
        <v>16</v>
      </c>
      <c r="C86" s="92" t="s">
        <v>0</v>
      </c>
      <c r="D86" s="92" t="s">
        <v>0</v>
      </c>
      <c r="E86" s="92" t="s">
        <v>0</v>
      </c>
      <c r="F86" s="92"/>
      <c r="G86" s="92"/>
      <c r="H86" s="93"/>
      <c r="I86" s="92" t="s">
        <v>1</v>
      </c>
      <c r="J86" s="92"/>
      <c r="K86" s="92"/>
      <c r="L86" s="92"/>
      <c r="M86" s="92"/>
      <c r="N86" s="92"/>
      <c r="O86" s="92"/>
      <c r="P86" s="92"/>
      <c r="Q86" s="92"/>
      <c r="R86" s="92"/>
      <c r="S86" s="92" t="s">
        <v>1</v>
      </c>
      <c r="T86" s="92"/>
      <c r="U86" s="92"/>
      <c r="V86" s="92"/>
      <c r="W86" s="88"/>
      <c r="X86" s="92"/>
      <c r="Y86" s="92"/>
      <c r="Z86" s="92"/>
      <c r="AA86" s="92"/>
      <c r="AB86" s="92"/>
      <c r="AC86" s="92"/>
      <c r="AD86" s="92" t="s">
        <v>10</v>
      </c>
      <c r="AE86" s="92"/>
      <c r="AF86" s="92"/>
      <c r="AG86" s="92"/>
      <c r="AH86" s="92"/>
      <c r="AI86" s="93"/>
      <c r="AJ86" s="143" t="s">
        <v>26</v>
      </c>
    </row>
    <row r="87" spans="1:36" ht="12.75" customHeight="1">
      <c r="B87" s="89" t="str">
        <f>B7</f>
        <v>Fiscal Period</v>
      </c>
      <c r="C87" s="94">
        <f>C7</f>
        <v>2020</v>
      </c>
      <c r="D87" s="94">
        <f>D7</f>
        <v>2021</v>
      </c>
      <c r="E87" s="94">
        <f>E7</f>
        <v>2022</v>
      </c>
      <c r="F87" s="94">
        <f>F7</f>
        <v>2023</v>
      </c>
      <c r="G87" s="94">
        <f>G7</f>
        <v>2024</v>
      </c>
      <c r="H87" s="93"/>
      <c r="I87" s="94" t="str">
        <f>I7</f>
        <v>1Q22</v>
      </c>
      <c r="J87" s="94" t="str">
        <f>J7</f>
        <v>2Q22</v>
      </c>
      <c r="K87" s="94" t="str">
        <f>K7</f>
        <v>3Q22</v>
      </c>
      <c r="L87" s="94" t="str">
        <f>L7</f>
        <v>4Q22</v>
      </c>
      <c r="M87" s="94" t="str">
        <f>M7</f>
        <v>1Q23</v>
      </c>
      <c r="N87" s="94" t="str">
        <f>N7</f>
        <v>2Q23</v>
      </c>
      <c r="O87" s="94" t="str">
        <f>O7</f>
        <v>3Q23</v>
      </c>
      <c r="P87" s="94" t="str">
        <f>P7</f>
        <v>4Q23</v>
      </c>
      <c r="Q87" s="94" t="str">
        <f>Q7</f>
        <v>1Q24</v>
      </c>
      <c r="R87" s="94" t="str">
        <f>R7</f>
        <v>2Q24</v>
      </c>
      <c r="S87" s="94" t="str">
        <f>S7</f>
        <v>3Q24</v>
      </c>
      <c r="T87" s="94" t="str">
        <f>T7</f>
        <v>4Q24</v>
      </c>
      <c r="U87" s="94" t="str">
        <f>U7</f>
        <v>1Q25</v>
      </c>
      <c r="V87" s="94" t="str">
        <f>V7</f>
        <v>2Q25</v>
      </c>
      <c r="W87" s="94"/>
      <c r="X87" s="94" t="str">
        <f>X7</f>
        <v>4Q22</v>
      </c>
      <c r="Y87" s="94" t="str">
        <f>Y7</f>
        <v>1Q23</v>
      </c>
      <c r="Z87" s="94" t="str">
        <f>Z7</f>
        <v>2Q23</v>
      </c>
      <c r="AA87" s="94" t="str">
        <f>AA7</f>
        <v>3Q23</v>
      </c>
      <c r="AB87" s="94" t="str">
        <f>AB7</f>
        <v>4Q23</v>
      </c>
      <c r="AC87" s="94" t="str">
        <f>AC7</f>
        <v>1Q24</v>
      </c>
      <c r="AD87" s="94" t="str">
        <f>AD7</f>
        <v>2Q24</v>
      </c>
      <c r="AE87" s="94" t="str">
        <f>AE7</f>
        <v>3Q24</v>
      </c>
      <c r="AF87" s="94" t="str">
        <f>AF7</f>
        <v>4Q24</v>
      </c>
      <c r="AG87" s="94" t="str">
        <f>AG7</f>
        <v>1Q25</v>
      </c>
      <c r="AH87" s="94" t="str">
        <f>AH7</f>
        <v>2Q25</v>
      </c>
      <c r="AI87" s="93"/>
      <c r="AJ87" s="143"/>
    </row>
    <row r="88" spans="1:36" ht="12.75" customHeight="1">
      <c r="B88" s="89" t="str">
        <f>B8</f>
        <v>Fiscal Period End Date</v>
      </c>
      <c r="C88" s="95">
        <f>C8</f>
        <v>44196</v>
      </c>
      <c r="D88" s="95">
        <f>D8</f>
        <v>44561</v>
      </c>
      <c r="E88" s="95">
        <f>E8</f>
        <v>44926</v>
      </c>
      <c r="F88" s="95">
        <f>F8</f>
        <v>45291</v>
      </c>
      <c r="G88" s="95">
        <f>G8</f>
        <v>45657</v>
      </c>
      <c r="H88" s="93"/>
      <c r="I88" s="95">
        <f>I8</f>
        <v>44651</v>
      </c>
      <c r="J88" s="95">
        <f>J8</f>
        <v>44742</v>
      </c>
      <c r="K88" s="95">
        <f>K8</f>
        <v>44834</v>
      </c>
      <c r="L88" s="95">
        <f>L8</f>
        <v>44926</v>
      </c>
      <c r="M88" s="95">
        <f>M8</f>
        <v>45016</v>
      </c>
      <c r="N88" s="95">
        <f>N8</f>
        <v>45107</v>
      </c>
      <c r="O88" s="95">
        <f>O8</f>
        <v>45199</v>
      </c>
      <c r="P88" s="95">
        <f>P8</f>
        <v>45291</v>
      </c>
      <c r="Q88" s="95">
        <f>Q8</f>
        <v>45382</v>
      </c>
      <c r="R88" s="95">
        <f>R8</f>
        <v>45473</v>
      </c>
      <c r="S88" s="95">
        <f>S8</f>
        <v>45565</v>
      </c>
      <c r="T88" s="95">
        <f>T8</f>
        <v>45657</v>
      </c>
      <c r="U88" s="95">
        <f>U8</f>
        <v>45747</v>
      </c>
      <c r="V88" s="95">
        <f>V8</f>
        <v>45838</v>
      </c>
      <c r="W88" s="95"/>
      <c r="X88" s="95">
        <f>X8</f>
        <v>44926</v>
      </c>
      <c r="Y88" s="95">
        <f>Y8</f>
        <v>45016</v>
      </c>
      <c r="Z88" s="95">
        <f>Z8</f>
        <v>45107</v>
      </c>
      <c r="AA88" s="95">
        <f>AA8</f>
        <v>45199</v>
      </c>
      <c r="AB88" s="95">
        <f>AB8</f>
        <v>45291</v>
      </c>
      <c r="AC88" s="95">
        <f>AC8</f>
        <v>45382</v>
      </c>
      <c r="AD88" s="95">
        <f>AD8</f>
        <v>45473</v>
      </c>
      <c r="AE88" s="95">
        <f>AE8</f>
        <v>45565</v>
      </c>
      <c r="AF88" s="95">
        <f>AF8</f>
        <v>45657</v>
      </c>
      <c r="AG88" s="95">
        <f>AG8</f>
        <v>45747</v>
      </c>
      <c r="AH88" s="95">
        <f>AH8</f>
        <v>45838</v>
      </c>
      <c r="AI88" s="93"/>
      <c r="AJ88" s="143"/>
    </row>
    <row r="89" spans="1:36" ht="5.0999999999999996" customHeight="1">
      <c r="B89" s="52"/>
      <c r="C89" s="46"/>
      <c r="D89" s="46"/>
      <c r="E89" s="46"/>
      <c r="F89" s="46"/>
      <c r="G89" s="46"/>
    </row>
    <row r="90" spans="1:36" ht="12.75" customHeight="1">
      <c r="B90" s="53" t="s">
        <v>69</v>
      </c>
      <c r="C90" s="54"/>
      <c r="D90" s="54"/>
      <c r="E90" s="54"/>
      <c r="F90" s="54"/>
      <c r="G90" s="54"/>
    </row>
    <row r="91" spans="1:36" ht="12.75" customHeight="1">
      <c r="B91" s="55" t="s">
        <v>70</v>
      </c>
      <c r="C91" s="30">
        <f t="shared" ref="C91:D91" si="134">C32</f>
        <v>87696</v>
      </c>
      <c r="D91" s="30">
        <f t="shared" si="134"/>
        <v>95075</v>
      </c>
      <c r="E91" s="30">
        <f>E32</f>
        <v>104070</v>
      </c>
      <c r="F91" s="30">
        <f>F32</f>
        <v>92953</v>
      </c>
      <c r="G91" s="30">
        <f>G32</f>
        <v>87380</v>
      </c>
      <c r="H91" s="30"/>
      <c r="I91" s="30">
        <f>I32</f>
        <v>0</v>
      </c>
      <c r="J91" s="104">
        <f>J32</f>
        <v>0</v>
      </c>
      <c r="K91" s="30">
        <f>K32</f>
        <v>0</v>
      </c>
      <c r="L91" s="30" t="e">
        <f>L32</f>
        <v>#VALUE!</v>
      </c>
      <c r="M91" s="30">
        <f>M32</f>
        <v>0</v>
      </c>
      <c r="N91" s="104">
        <f>N32</f>
        <v>0</v>
      </c>
      <c r="O91" s="30">
        <f>O32</f>
        <v>0</v>
      </c>
      <c r="P91" s="30">
        <f t="shared" ref="P91" si="135">SUM(F91-SUM(M91:O91))</f>
        <v>92953</v>
      </c>
      <c r="Q91" s="30">
        <f>Q32</f>
        <v>0</v>
      </c>
      <c r="R91" s="30">
        <f>R32</f>
        <v>0</v>
      </c>
      <c r="S91" s="30">
        <f>S32</f>
        <v>0</v>
      </c>
      <c r="T91" s="30">
        <f>SUM(G91-SUM(Q91:S91))</f>
        <v>87380</v>
      </c>
      <c r="U91" s="30">
        <f>U32</f>
        <v>0</v>
      </c>
      <c r="V91" s="30">
        <f>V32</f>
        <v>0</v>
      </c>
      <c r="X91" s="30" t="e">
        <f t="shared" ref="X91:AC91" si="136">SUM(J91:M91)</f>
        <v>#VALUE!</v>
      </c>
      <c r="Y91" s="30" t="e">
        <f t="shared" si="136"/>
        <v>#VALUE!</v>
      </c>
      <c r="Z91" s="30" t="e">
        <f t="shared" si="136"/>
        <v>#VALUE!</v>
      </c>
      <c r="AA91" s="30">
        <f t="shared" si="136"/>
        <v>92953</v>
      </c>
      <c r="AB91" s="30">
        <f t="shared" si="136"/>
        <v>92953</v>
      </c>
      <c r="AC91" s="30">
        <f t="shared" si="136"/>
        <v>92953</v>
      </c>
      <c r="AD91" s="30">
        <f t="shared" ref="AD91" si="137">SUM(O91:R91)</f>
        <v>92953</v>
      </c>
      <c r="AE91" s="30">
        <f t="shared" ref="AE91" si="138">SUM(P91:S91)</f>
        <v>92953</v>
      </c>
      <c r="AF91" s="30">
        <f t="shared" ref="AF91" si="139">SUM(Q91:T91)</f>
        <v>87380</v>
      </c>
      <c r="AG91" s="30">
        <f t="shared" ref="AG91" si="140">SUM(R91:U91)</f>
        <v>87380</v>
      </c>
      <c r="AH91" s="30">
        <f>SUM(S91:V91)</f>
        <v>87380</v>
      </c>
      <c r="AI91" s="11"/>
      <c r="AJ91" s="70">
        <f>SUM(AH91/AD91)-1</f>
        <v>-5.9955031037190798E-2</v>
      </c>
    </row>
    <row r="92" spans="1:36" ht="5.0999999999999996" customHeight="1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11"/>
      <c r="AJ92" s="70"/>
    </row>
    <row r="93" spans="1:36" ht="12.75" customHeight="1">
      <c r="B93" s="34" t="s">
        <v>78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79"/>
      <c r="N93" s="79"/>
      <c r="O93" s="79"/>
      <c r="P93" s="30"/>
      <c r="Q93" s="79"/>
      <c r="R93" s="79"/>
      <c r="S93" s="79"/>
      <c r="T93" s="30"/>
      <c r="U93" s="79"/>
      <c r="V93" s="79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57"/>
      <c r="AJ93" s="70"/>
    </row>
    <row r="94" spans="1:36" ht="12.75" customHeight="1">
      <c r="B94" s="58" t="s">
        <v>71</v>
      </c>
      <c r="C94" s="79">
        <v>812</v>
      </c>
      <c r="D94" s="79">
        <v>839</v>
      </c>
      <c r="E94" s="79">
        <v>869</v>
      </c>
      <c r="F94" s="79">
        <v>918</v>
      </c>
      <c r="G94" s="79">
        <v>923</v>
      </c>
      <c r="H94" s="30"/>
      <c r="I94" s="79"/>
      <c r="J94" s="30"/>
      <c r="K94" s="30"/>
      <c r="L94" s="30">
        <f>SUM(E94-SUM(I94:K94))</f>
        <v>869</v>
      </c>
      <c r="M94" s="79"/>
      <c r="N94" s="30"/>
      <c r="O94" s="30"/>
      <c r="P94" s="30">
        <f t="shared" ref="P94:P99" si="141">SUM(F94-SUM(M94:O94))</f>
        <v>918</v>
      </c>
      <c r="Q94" s="79"/>
      <c r="R94" s="30"/>
      <c r="S94" s="30"/>
      <c r="T94" s="30">
        <f t="shared" ref="T94:T99" si="142">SUM(G94-SUM(Q94:S94))</f>
        <v>923</v>
      </c>
      <c r="U94" s="79"/>
      <c r="V94" s="30"/>
      <c r="X94" s="30">
        <f t="shared" ref="X94:AC97" si="143">SUM(J94:M94)</f>
        <v>869</v>
      </c>
      <c r="Y94" s="30">
        <f t="shared" si="143"/>
        <v>869</v>
      </c>
      <c r="Z94" s="30">
        <f t="shared" si="143"/>
        <v>869</v>
      </c>
      <c r="AA94" s="30">
        <f t="shared" si="143"/>
        <v>918</v>
      </c>
      <c r="AB94" s="30">
        <f t="shared" si="143"/>
        <v>918</v>
      </c>
      <c r="AC94" s="30">
        <f t="shared" si="143"/>
        <v>918</v>
      </c>
      <c r="AD94" s="30">
        <f t="shared" ref="AD94" si="144">SUM(O94:R94)</f>
        <v>918</v>
      </c>
      <c r="AE94" s="30">
        <f t="shared" ref="AE94" si="145">SUM(P94:S94)</f>
        <v>918</v>
      </c>
      <c r="AF94" s="30">
        <f t="shared" ref="AF94" si="146">SUM(Q94:T94)</f>
        <v>923</v>
      </c>
      <c r="AG94" s="30">
        <f t="shared" ref="AG94" si="147">SUM(R94:U94)</f>
        <v>923</v>
      </c>
      <c r="AH94" s="30">
        <f>SUM(S94:V94)</f>
        <v>923</v>
      </c>
      <c r="AI94" s="11"/>
      <c r="AJ94" s="70">
        <f t="shared" ref="AJ94:AJ102" si="148">SUM(AH94/AD94)-1</f>
        <v>5.4466230936818238E-3</v>
      </c>
    </row>
    <row r="95" spans="1:36" ht="12.75" customHeight="1">
      <c r="B95" s="58" t="s">
        <v>144</v>
      </c>
      <c r="C95" s="79">
        <v>41</v>
      </c>
      <c r="D95" s="79">
        <v>254</v>
      </c>
      <c r="E95" s="79">
        <v>-34</v>
      </c>
      <c r="F95" s="79">
        <v>147</v>
      </c>
      <c r="G95" s="79">
        <v>153</v>
      </c>
      <c r="H95" s="30"/>
      <c r="I95" s="79"/>
      <c r="J95" s="30"/>
      <c r="K95" s="30"/>
      <c r="L95" s="30">
        <f t="shared" ref="L95:L99" si="149">SUM(E95-SUM(I95:K95))</f>
        <v>-34</v>
      </c>
      <c r="M95" s="79"/>
      <c r="N95" s="30"/>
      <c r="O95" s="30"/>
      <c r="P95" s="30">
        <f t="shared" si="141"/>
        <v>147</v>
      </c>
      <c r="Q95" s="79"/>
      <c r="R95" s="30"/>
      <c r="S95" s="30"/>
      <c r="T95" s="30">
        <f t="shared" si="142"/>
        <v>153</v>
      </c>
      <c r="U95" s="79"/>
      <c r="V95" s="30"/>
      <c r="X95" s="30">
        <f t="shared" si="143"/>
        <v>-34</v>
      </c>
      <c r="Y95" s="30">
        <f t="shared" si="143"/>
        <v>-34</v>
      </c>
      <c r="Z95" s="30">
        <f t="shared" si="143"/>
        <v>-34</v>
      </c>
      <c r="AA95" s="30">
        <f t="shared" si="143"/>
        <v>147</v>
      </c>
      <c r="AB95" s="30">
        <f t="shared" si="143"/>
        <v>147</v>
      </c>
      <c r="AC95" s="30">
        <f t="shared" si="143"/>
        <v>147</v>
      </c>
      <c r="AD95" s="30">
        <f t="shared" ref="AD95:AD99" si="150">SUM(O95:R95)</f>
        <v>147</v>
      </c>
      <c r="AE95" s="30">
        <f t="shared" ref="AE95:AE99" si="151">SUM(P95:S95)</f>
        <v>147</v>
      </c>
      <c r="AF95" s="30">
        <f t="shared" ref="AF95:AF99" si="152">SUM(Q95:T95)</f>
        <v>153</v>
      </c>
      <c r="AG95" s="30">
        <f t="shared" ref="AG95:AG99" si="153">SUM(R95:U95)</f>
        <v>153</v>
      </c>
      <c r="AH95" s="30">
        <f t="shared" ref="AH95:AH99" si="154">SUM(S95:V95)</f>
        <v>153</v>
      </c>
      <c r="AI95" s="11"/>
      <c r="AJ95" s="70">
        <f t="shared" si="148"/>
        <v>4.081632653061229E-2</v>
      </c>
    </row>
    <row r="96" spans="1:36" ht="12.75" customHeight="1">
      <c r="B96" s="58" t="s">
        <v>119</v>
      </c>
      <c r="C96" s="79">
        <v>143</v>
      </c>
      <c r="D96" s="79">
        <v>135</v>
      </c>
      <c r="E96" s="79">
        <v>141</v>
      </c>
      <c r="F96" s="79">
        <v>138</v>
      </c>
      <c r="G96" s="79">
        <v>145</v>
      </c>
      <c r="H96" s="30"/>
      <c r="I96" s="79"/>
      <c r="J96" s="30"/>
      <c r="K96" s="30"/>
      <c r="L96" s="30">
        <f t="shared" si="149"/>
        <v>141</v>
      </c>
      <c r="M96" s="79"/>
      <c r="N96" s="30"/>
      <c r="O96" s="30"/>
      <c r="P96" s="30">
        <f t="shared" si="141"/>
        <v>138</v>
      </c>
      <c r="Q96" s="79"/>
      <c r="R96" s="30"/>
      <c r="S96" s="30"/>
      <c r="T96" s="30">
        <f t="shared" si="142"/>
        <v>145</v>
      </c>
      <c r="U96" s="79"/>
      <c r="V96" s="30"/>
      <c r="X96" s="30">
        <f t="shared" si="143"/>
        <v>141</v>
      </c>
      <c r="Y96" s="30">
        <f t="shared" si="143"/>
        <v>141</v>
      </c>
      <c r="Z96" s="30">
        <f t="shared" si="143"/>
        <v>141</v>
      </c>
      <c r="AA96" s="30">
        <f t="shared" si="143"/>
        <v>138</v>
      </c>
      <c r="AB96" s="30">
        <f t="shared" si="143"/>
        <v>138</v>
      </c>
      <c r="AC96" s="30">
        <f t="shared" si="143"/>
        <v>138</v>
      </c>
      <c r="AD96" s="30">
        <f t="shared" si="150"/>
        <v>138</v>
      </c>
      <c r="AE96" s="30">
        <f t="shared" si="151"/>
        <v>138</v>
      </c>
      <c r="AF96" s="30">
        <f t="shared" si="152"/>
        <v>145</v>
      </c>
      <c r="AG96" s="30">
        <f t="shared" si="153"/>
        <v>145</v>
      </c>
      <c r="AH96" s="30">
        <f t="shared" si="154"/>
        <v>145</v>
      </c>
      <c r="AI96" s="11"/>
      <c r="AJ96" s="70">
        <f t="shared" si="148"/>
        <v>5.0724637681159424E-2</v>
      </c>
    </row>
    <row r="97" spans="2:36" ht="12.75" customHeight="1">
      <c r="B97" s="58" t="s">
        <v>166</v>
      </c>
      <c r="C97" s="79">
        <v>70</v>
      </c>
      <c r="D97" s="79">
        <v>-36</v>
      </c>
      <c r="E97" s="79">
        <v>14</v>
      </c>
      <c r="F97" s="79">
        <v>51</v>
      </c>
      <c r="G97" s="79">
        <v>-214</v>
      </c>
      <c r="H97" s="30"/>
      <c r="I97" s="79"/>
      <c r="J97" s="30"/>
      <c r="K97" s="30"/>
      <c r="L97" s="30">
        <f t="shared" si="149"/>
        <v>14</v>
      </c>
      <c r="M97" s="79"/>
      <c r="N97" s="30"/>
      <c r="O97" s="30"/>
      <c r="P97" s="30">
        <f t="shared" si="141"/>
        <v>51</v>
      </c>
      <c r="Q97" s="79"/>
      <c r="R97" s="30"/>
      <c r="S97" s="30"/>
      <c r="T97" s="30">
        <f t="shared" si="142"/>
        <v>-214</v>
      </c>
      <c r="U97" s="79"/>
      <c r="V97" s="30"/>
      <c r="X97" s="30">
        <f t="shared" si="143"/>
        <v>14</v>
      </c>
      <c r="Y97" s="30">
        <f t="shared" si="143"/>
        <v>14</v>
      </c>
      <c r="Z97" s="30">
        <f t="shared" si="143"/>
        <v>14</v>
      </c>
      <c r="AA97" s="30">
        <f t="shared" si="143"/>
        <v>51</v>
      </c>
      <c r="AB97" s="30">
        <f t="shared" si="143"/>
        <v>51</v>
      </c>
      <c r="AC97" s="30">
        <f t="shared" si="143"/>
        <v>51</v>
      </c>
      <c r="AD97" s="30">
        <f t="shared" si="150"/>
        <v>51</v>
      </c>
      <c r="AE97" s="30">
        <f t="shared" si="151"/>
        <v>51</v>
      </c>
      <c r="AF97" s="30">
        <f t="shared" si="152"/>
        <v>-214</v>
      </c>
      <c r="AG97" s="30">
        <f t="shared" si="153"/>
        <v>-214</v>
      </c>
      <c r="AH97" s="30">
        <f t="shared" si="154"/>
        <v>-214</v>
      </c>
      <c r="AI97" s="11"/>
      <c r="AJ97" s="70">
        <f t="shared" si="148"/>
        <v>-5.1960784313725492</v>
      </c>
    </row>
    <row r="98" spans="2:36" ht="12.75" customHeight="1">
      <c r="B98" s="58" t="s">
        <v>145</v>
      </c>
      <c r="C98" s="79">
        <v>0</v>
      </c>
      <c r="D98" s="79">
        <v>0</v>
      </c>
      <c r="E98" s="79">
        <v>0</v>
      </c>
      <c r="F98" s="79">
        <v>0</v>
      </c>
      <c r="G98" s="79">
        <v>-21</v>
      </c>
      <c r="H98" s="30"/>
      <c r="I98" s="79"/>
      <c r="J98" s="30"/>
      <c r="K98" s="30"/>
      <c r="L98" s="30">
        <f t="shared" si="149"/>
        <v>0</v>
      </c>
      <c r="M98" s="79"/>
      <c r="N98" s="30"/>
      <c r="O98" s="30"/>
      <c r="P98" s="30">
        <f t="shared" si="141"/>
        <v>0</v>
      </c>
      <c r="Q98" s="79"/>
      <c r="R98" s="30"/>
      <c r="S98" s="30"/>
      <c r="T98" s="30">
        <f t="shared" si="142"/>
        <v>-21</v>
      </c>
      <c r="U98" s="79"/>
      <c r="V98" s="30"/>
      <c r="X98" s="30"/>
      <c r="Y98" s="30"/>
      <c r="Z98" s="30"/>
      <c r="AA98" s="30"/>
      <c r="AB98" s="30"/>
      <c r="AC98" s="30"/>
      <c r="AD98" s="30">
        <f t="shared" si="150"/>
        <v>0</v>
      </c>
      <c r="AE98" s="30">
        <f t="shared" si="151"/>
        <v>0</v>
      </c>
      <c r="AF98" s="30">
        <f t="shared" si="152"/>
        <v>-21</v>
      </c>
      <c r="AG98" s="30">
        <f t="shared" si="153"/>
        <v>-21</v>
      </c>
      <c r="AH98" s="30">
        <f t="shared" si="154"/>
        <v>-21</v>
      </c>
      <c r="AI98" s="11"/>
      <c r="AJ98" s="70" t="e">
        <f t="shared" si="148"/>
        <v>#DIV/0!</v>
      </c>
    </row>
    <row r="99" spans="2:36" ht="12.75" customHeight="1">
      <c r="B99" s="58" t="s">
        <v>167</v>
      </c>
      <c r="C99" s="79">
        <v>21</v>
      </c>
      <c r="D99" s="79">
        <v>3</v>
      </c>
      <c r="E99" s="79">
        <v>11</v>
      </c>
      <c r="F99" s="79">
        <v>12</v>
      </c>
      <c r="G99" s="79">
        <v>26</v>
      </c>
      <c r="H99" s="30"/>
      <c r="I99" s="79"/>
      <c r="J99" s="30"/>
      <c r="K99" s="30"/>
      <c r="L99" s="30">
        <f t="shared" si="149"/>
        <v>11</v>
      </c>
      <c r="M99" s="79"/>
      <c r="N99" s="30"/>
      <c r="O99" s="30"/>
      <c r="P99" s="30">
        <f t="shared" si="141"/>
        <v>12</v>
      </c>
      <c r="Q99" s="79"/>
      <c r="R99" s="30"/>
      <c r="S99" s="30"/>
      <c r="T99" s="30">
        <f t="shared" si="142"/>
        <v>26</v>
      </c>
      <c r="U99" s="79"/>
      <c r="V99" s="30"/>
      <c r="X99" s="30"/>
      <c r="Y99" s="30"/>
      <c r="Z99" s="30"/>
      <c r="AA99" s="30"/>
      <c r="AB99" s="30"/>
      <c r="AC99" s="30"/>
      <c r="AD99" s="30">
        <f t="shared" si="150"/>
        <v>12</v>
      </c>
      <c r="AE99" s="30">
        <f t="shared" si="151"/>
        <v>12</v>
      </c>
      <c r="AF99" s="30">
        <f t="shared" si="152"/>
        <v>26</v>
      </c>
      <c r="AG99" s="30">
        <f t="shared" si="153"/>
        <v>26</v>
      </c>
      <c r="AH99" s="30">
        <f t="shared" si="154"/>
        <v>26</v>
      </c>
      <c r="AI99" s="11"/>
      <c r="AJ99" s="70">
        <f t="shared" si="148"/>
        <v>1.1666666666666665</v>
      </c>
    </row>
    <row r="100" spans="2:36" ht="5.0999999999999996" customHeight="1">
      <c r="B100" s="8"/>
      <c r="C100" s="79"/>
      <c r="D100" s="79"/>
      <c r="E100" s="79"/>
      <c r="F100" s="79"/>
      <c r="G100" s="79"/>
      <c r="H100" s="30"/>
      <c r="I100" s="79"/>
      <c r="J100" s="30"/>
      <c r="K100" s="30"/>
      <c r="L100" s="30"/>
      <c r="M100" s="79"/>
      <c r="N100" s="30"/>
      <c r="O100" s="30"/>
      <c r="P100" s="30"/>
      <c r="Q100" s="79"/>
      <c r="R100" s="30"/>
      <c r="S100" s="30"/>
      <c r="T100" s="30"/>
      <c r="U100" s="79"/>
      <c r="V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11"/>
      <c r="AJ100" s="70"/>
    </row>
    <row r="101" spans="2:36" ht="12.75" customHeight="1">
      <c r="B101" s="34" t="s">
        <v>15</v>
      </c>
      <c r="C101" s="79"/>
      <c r="D101" s="79"/>
      <c r="E101" s="79"/>
      <c r="F101" s="79"/>
      <c r="G101" s="79"/>
      <c r="H101" s="30"/>
      <c r="I101" s="79"/>
      <c r="J101" s="30"/>
      <c r="K101" s="30"/>
      <c r="L101" s="30"/>
      <c r="M101" s="79"/>
      <c r="N101" s="30"/>
      <c r="O101" s="30"/>
      <c r="P101" s="30"/>
      <c r="Q101" s="79"/>
      <c r="R101" s="30"/>
      <c r="S101" s="30"/>
      <c r="T101" s="30"/>
      <c r="U101" s="79"/>
      <c r="V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57"/>
      <c r="AJ101" s="70"/>
    </row>
    <row r="102" spans="2:36" ht="12.75" customHeight="1">
      <c r="B102" s="58" t="s">
        <v>168</v>
      </c>
      <c r="C102" s="79">
        <v>-131</v>
      </c>
      <c r="D102" s="79">
        <v>73</v>
      </c>
      <c r="E102" s="79">
        <v>17</v>
      </c>
      <c r="F102" s="79">
        <v>-103</v>
      </c>
      <c r="G102" s="79">
        <v>204</v>
      </c>
      <c r="H102" s="30"/>
      <c r="I102" s="79"/>
      <c r="J102" s="30"/>
      <c r="K102" s="30"/>
      <c r="L102" s="30">
        <f t="shared" ref="L102:L107" si="155">SUM(E102-SUM(I102:K102))</f>
        <v>17</v>
      </c>
      <c r="M102" s="79"/>
      <c r="N102" s="30"/>
      <c r="O102" s="30"/>
      <c r="P102" s="30">
        <f t="shared" ref="P102:P106" si="156">SUM(F102-SUM(M102:O102))</f>
        <v>-103</v>
      </c>
      <c r="Q102" s="79"/>
      <c r="R102" s="30"/>
      <c r="S102" s="30"/>
      <c r="T102" s="30">
        <f t="shared" ref="T102:T107" si="157">SUM(G102-SUM(Q102:S102))</f>
        <v>204</v>
      </c>
      <c r="U102" s="79"/>
      <c r="V102" s="30"/>
      <c r="X102" s="30">
        <f t="shared" ref="X102:AC107" si="158">SUM(J102:M102)</f>
        <v>17</v>
      </c>
      <c r="Y102" s="30">
        <f t="shared" si="158"/>
        <v>17</v>
      </c>
      <c r="Z102" s="30">
        <f t="shared" si="158"/>
        <v>17</v>
      </c>
      <c r="AA102" s="30">
        <f t="shared" si="158"/>
        <v>-103</v>
      </c>
      <c r="AB102" s="30">
        <f t="shared" si="158"/>
        <v>-103</v>
      </c>
      <c r="AC102" s="30">
        <f t="shared" si="158"/>
        <v>-103</v>
      </c>
      <c r="AD102" s="30">
        <f t="shared" ref="AD102:AD107" si="159">SUM(O102:R102)</f>
        <v>-103</v>
      </c>
      <c r="AE102" s="30">
        <f t="shared" ref="AE102:AE107" si="160">SUM(P102:S102)</f>
        <v>-103</v>
      </c>
      <c r="AF102" s="30">
        <f t="shared" ref="AF102:AF107" si="161">SUM(Q102:T102)</f>
        <v>204</v>
      </c>
      <c r="AG102" s="30">
        <f t="shared" ref="AG102:AG107" si="162">SUM(R102:U102)</f>
        <v>204</v>
      </c>
      <c r="AH102" s="30">
        <f t="shared" ref="AH102:AH107" si="163">SUM(S102:V102)</f>
        <v>204</v>
      </c>
      <c r="AI102" s="57"/>
      <c r="AJ102" s="70">
        <f t="shared" si="148"/>
        <v>-2.9805825242718447</v>
      </c>
    </row>
    <row r="103" spans="2:36" ht="12.75" customHeight="1">
      <c r="B103" s="58" t="s">
        <v>152</v>
      </c>
      <c r="C103" s="79">
        <v>237</v>
      </c>
      <c r="D103" s="79">
        <v>-435</v>
      </c>
      <c r="E103" s="79">
        <v>-328</v>
      </c>
      <c r="F103" s="79">
        <v>809</v>
      </c>
      <c r="G103" s="79">
        <v>178</v>
      </c>
      <c r="H103" s="30"/>
      <c r="I103" s="79"/>
      <c r="J103" s="30"/>
      <c r="K103" s="30"/>
      <c r="L103" s="30">
        <f t="shared" si="155"/>
        <v>-328</v>
      </c>
      <c r="M103" s="79"/>
      <c r="N103" s="30"/>
      <c r="O103" s="30"/>
      <c r="P103" s="30">
        <f t="shared" si="156"/>
        <v>809</v>
      </c>
      <c r="Q103" s="79"/>
      <c r="R103" s="30"/>
      <c r="S103" s="30"/>
      <c r="T103" s="30">
        <f t="shared" si="157"/>
        <v>178</v>
      </c>
      <c r="U103" s="79"/>
      <c r="V103" s="30"/>
      <c r="X103" s="30">
        <f t="shared" si="158"/>
        <v>-328</v>
      </c>
      <c r="Y103" s="30">
        <f t="shared" si="158"/>
        <v>-328</v>
      </c>
      <c r="Z103" s="30">
        <f t="shared" si="158"/>
        <v>-328</v>
      </c>
      <c r="AA103" s="30">
        <f t="shared" si="158"/>
        <v>809</v>
      </c>
      <c r="AB103" s="30">
        <f t="shared" si="158"/>
        <v>809</v>
      </c>
      <c r="AC103" s="30">
        <f t="shared" si="158"/>
        <v>809</v>
      </c>
      <c r="AD103" s="30">
        <f t="shared" si="159"/>
        <v>809</v>
      </c>
      <c r="AE103" s="30">
        <f t="shared" si="160"/>
        <v>809</v>
      </c>
      <c r="AF103" s="30">
        <f t="shared" si="161"/>
        <v>178</v>
      </c>
      <c r="AG103" s="30">
        <f t="shared" si="162"/>
        <v>178</v>
      </c>
      <c r="AH103" s="30">
        <f t="shared" si="163"/>
        <v>178</v>
      </c>
      <c r="AI103" s="57"/>
      <c r="AJ103" s="70">
        <f t="shared" ref="AJ103:AJ107" si="164">SUM(AH103/AD103)-1</f>
        <v>-0.77997527812113721</v>
      </c>
    </row>
    <row r="104" spans="2:36" ht="12.75" customHeight="1">
      <c r="B104" s="58" t="s">
        <v>137</v>
      </c>
      <c r="C104" s="79">
        <v>16</v>
      </c>
      <c r="D104" s="79">
        <v>-51</v>
      </c>
      <c r="E104" s="79">
        <v>-14</v>
      </c>
      <c r="F104" s="79">
        <v>-21</v>
      </c>
      <c r="G104" s="79">
        <v>-18</v>
      </c>
      <c r="H104" s="30"/>
      <c r="I104" s="79"/>
      <c r="J104" s="30"/>
      <c r="K104" s="30"/>
      <c r="L104" s="30">
        <f t="shared" si="155"/>
        <v>-14</v>
      </c>
      <c r="M104" s="79"/>
      <c r="N104" s="30"/>
      <c r="O104" s="30"/>
      <c r="P104" s="30">
        <f t="shared" si="156"/>
        <v>-21</v>
      </c>
      <c r="Q104" s="79"/>
      <c r="R104" s="30"/>
      <c r="S104" s="30"/>
      <c r="T104" s="30">
        <f t="shared" si="157"/>
        <v>-18</v>
      </c>
      <c r="U104" s="79"/>
      <c r="V104" s="30"/>
      <c r="X104" s="30">
        <f t="shared" si="158"/>
        <v>-14</v>
      </c>
      <c r="Y104" s="30">
        <f t="shared" si="158"/>
        <v>-14</v>
      </c>
      <c r="Z104" s="30">
        <f t="shared" si="158"/>
        <v>-14</v>
      </c>
      <c r="AA104" s="30">
        <f t="shared" si="158"/>
        <v>-21</v>
      </c>
      <c r="AB104" s="30">
        <f t="shared" si="158"/>
        <v>-21</v>
      </c>
      <c r="AC104" s="30">
        <f t="shared" si="158"/>
        <v>-21</v>
      </c>
      <c r="AD104" s="30">
        <f t="shared" si="159"/>
        <v>-21</v>
      </c>
      <c r="AE104" s="30">
        <f t="shared" si="160"/>
        <v>-21</v>
      </c>
      <c r="AF104" s="30">
        <f t="shared" si="161"/>
        <v>-18</v>
      </c>
      <c r="AG104" s="30">
        <f t="shared" si="162"/>
        <v>-18</v>
      </c>
      <c r="AH104" s="30">
        <f t="shared" si="163"/>
        <v>-18</v>
      </c>
      <c r="AI104" s="57"/>
      <c r="AJ104" s="70">
        <f t="shared" si="164"/>
        <v>-0.1428571428571429</v>
      </c>
    </row>
    <row r="105" spans="2:36" ht="12.75" customHeight="1">
      <c r="B105" s="58" t="s">
        <v>14</v>
      </c>
      <c r="C105" s="79">
        <v>47</v>
      </c>
      <c r="D105" s="79">
        <v>1676</v>
      </c>
      <c r="E105" s="79">
        <v>-201</v>
      </c>
      <c r="F105" s="79">
        <v>-1099</v>
      </c>
      <c r="G105" s="79">
        <v>-1025</v>
      </c>
      <c r="H105" s="30"/>
      <c r="I105" s="79"/>
      <c r="J105" s="30"/>
      <c r="K105" s="30"/>
      <c r="L105" s="30">
        <f t="shared" si="155"/>
        <v>-201</v>
      </c>
      <c r="M105" s="79"/>
      <c r="N105" s="30"/>
      <c r="O105" s="30"/>
      <c r="P105" s="30">
        <f t="shared" si="156"/>
        <v>-1099</v>
      </c>
      <c r="Q105" s="79"/>
      <c r="R105" s="30"/>
      <c r="S105" s="30"/>
      <c r="T105" s="30">
        <f t="shared" si="157"/>
        <v>-1025</v>
      </c>
      <c r="U105" s="79"/>
      <c r="V105" s="30"/>
      <c r="X105" s="30">
        <f t="shared" si="158"/>
        <v>-201</v>
      </c>
      <c r="Y105" s="30">
        <f t="shared" si="158"/>
        <v>-201</v>
      </c>
      <c r="Z105" s="30">
        <f t="shared" si="158"/>
        <v>-201</v>
      </c>
      <c r="AA105" s="30">
        <f t="shared" si="158"/>
        <v>-1099</v>
      </c>
      <c r="AB105" s="30">
        <f t="shared" si="158"/>
        <v>-1099</v>
      </c>
      <c r="AC105" s="30">
        <f t="shared" si="158"/>
        <v>-1099</v>
      </c>
      <c r="AD105" s="30">
        <f t="shared" si="159"/>
        <v>-1099</v>
      </c>
      <c r="AE105" s="30">
        <f t="shared" si="160"/>
        <v>-1099</v>
      </c>
      <c r="AF105" s="30">
        <f t="shared" si="161"/>
        <v>-1025</v>
      </c>
      <c r="AG105" s="30">
        <f t="shared" si="162"/>
        <v>-1025</v>
      </c>
      <c r="AH105" s="30">
        <f t="shared" si="163"/>
        <v>-1025</v>
      </c>
      <c r="AI105" s="57"/>
      <c r="AJ105" s="70">
        <f t="shared" si="164"/>
        <v>-6.733393994540493E-2</v>
      </c>
    </row>
    <row r="106" spans="2:36" ht="12.75" customHeight="1">
      <c r="B106" s="58" t="s">
        <v>169</v>
      </c>
      <c r="C106" s="79">
        <v>-132</v>
      </c>
      <c r="D106" s="79">
        <v>173</v>
      </c>
      <c r="E106" s="79">
        <v>-156</v>
      </c>
      <c r="F106" s="79">
        <v>36</v>
      </c>
      <c r="G106" s="79">
        <v>52</v>
      </c>
      <c r="H106" s="30"/>
      <c r="I106" s="79"/>
      <c r="J106" s="30"/>
      <c r="K106" s="30"/>
      <c r="L106" s="30">
        <f t="shared" si="155"/>
        <v>-156</v>
      </c>
      <c r="M106" s="79"/>
      <c r="N106" s="30"/>
      <c r="O106" s="30"/>
      <c r="P106" s="30">
        <f t="shared" si="156"/>
        <v>36</v>
      </c>
      <c r="Q106" s="79"/>
      <c r="R106" s="30"/>
      <c r="S106" s="30"/>
      <c r="T106" s="30">
        <f t="shared" si="157"/>
        <v>52</v>
      </c>
      <c r="U106" s="79"/>
      <c r="V106" s="30"/>
      <c r="X106" s="30">
        <f t="shared" si="158"/>
        <v>-156</v>
      </c>
      <c r="Y106" s="30">
        <f t="shared" si="158"/>
        <v>-156</v>
      </c>
      <c r="Z106" s="30">
        <f t="shared" si="158"/>
        <v>-156</v>
      </c>
      <c r="AA106" s="30">
        <f t="shared" si="158"/>
        <v>36</v>
      </c>
      <c r="AB106" s="30">
        <f t="shared" si="158"/>
        <v>36</v>
      </c>
      <c r="AC106" s="30">
        <f t="shared" si="158"/>
        <v>36</v>
      </c>
      <c r="AD106" s="30">
        <f t="shared" si="159"/>
        <v>36</v>
      </c>
      <c r="AE106" s="30">
        <f t="shared" si="160"/>
        <v>36</v>
      </c>
      <c r="AF106" s="30">
        <f t="shared" si="161"/>
        <v>52</v>
      </c>
      <c r="AG106" s="30">
        <f t="shared" si="162"/>
        <v>52</v>
      </c>
      <c r="AH106" s="30">
        <f t="shared" si="163"/>
        <v>52</v>
      </c>
      <c r="AI106" s="57"/>
      <c r="AJ106" s="70">
        <f t="shared" si="164"/>
        <v>0.44444444444444442</v>
      </c>
    </row>
    <row r="107" spans="2:36" ht="12.75" customHeight="1">
      <c r="B107" s="58" t="s">
        <v>138</v>
      </c>
      <c r="C107" s="79">
        <v>-100</v>
      </c>
      <c r="D107" s="79">
        <v>498</v>
      </c>
      <c r="E107" s="79">
        <v>479</v>
      </c>
      <c r="F107" s="79">
        <v>-483</v>
      </c>
      <c r="G107" s="79">
        <v>-174</v>
      </c>
      <c r="H107" s="30"/>
      <c r="I107" s="79"/>
      <c r="J107" s="30"/>
      <c r="K107" s="30"/>
      <c r="L107" s="30">
        <f t="shared" si="155"/>
        <v>479</v>
      </c>
      <c r="M107" s="79"/>
      <c r="N107" s="30"/>
      <c r="O107" s="30"/>
      <c r="P107" s="30">
        <f>SUM(F107-SUM(M107:O107))</f>
        <v>-483</v>
      </c>
      <c r="Q107" s="79"/>
      <c r="R107" s="30"/>
      <c r="S107" s="30"/>
      <c r="T107" s="30">
        <f t="shared" si="157"/>
        <v>-174</v>
      </c>
      <c r="U107" s="79"/>
      <c r="V107" s="30"/>
      <c r="X107" s="30">
        <f t="shared" si="158"/>
        <v>479</v>
      </c>
      <c r="Y107" s="30">
        <f t="shared" si="158"/>
        <v>479</v>
      </c>
      <c r="Z107" s="30">
        <f t="shared" si="158"/>
        <v>479</v>
      </c>
      <c r="AA107" s="30">
        <f t="shared" si="158"/>
        <v>-483</v>
      </c>
      <c r="AB107" s="30">
        <f t="shared" si="158"/>
        <v>-483</v>
      </c>
      <c r="AC107" s="30">
        <f t="shared" si="158"/>
        <v>-483</v>
      </c>
      <c r="AD107" s="30">
        <f t="shared" si="159"/>
        <v>-483</v>
      </c>
      <c r="AE107" s="30">
        <f t="shared" si="160"/>
        <v>-483</v>
      </c>
      <c r="AF107" s="30">
        <f t="shared" si="161"/>
        <v>-174</v>
      </c>
      <c r="AG107" s="30">
        <f t="shared" si="162"/>
        <v>-174</v>
      </c>
      <c r="AH107" s="30">
        <f t="shared" si="163"/>
        <v>-174</v>
      </c>
      <c r="AI107" s="57"/>
      <c r="AJ107" s="70">
        <f t="shared" si="164"/>
        <v>-0.63975155279503104</v>
      </c>
    </row>
    <row r="108" spans="2:36" ht="12.75" customHeight="1">
      <c r="B108" s="12" t="s">
        <v>72</v>
      </c>
      <c r="C108" s="13">
        <f>SUM(C91:C107)</f>
        <v>88720</v>
      </c>
      <c r="D108" s="13">
        <f>SUM(D91:D107)</f>
        <v>98204</v>
      </c>
      <c r="E108" s="13">
        <f>SUM(E91:E107)</f>
        <v>104868</v>
      </c>
      <c r="F108" s="13">
        <f>SUM(F91:F107)</f>
        <v>93358</v>
      </c>
      <c r="G108" s="13">
        <f>SUM(G91:G107)</f>
        <v>87609</v>
      </c>
      <c r="I108" s="13">
        <f>SUM(I91:I107)</f>
        <v>0</v>
      </c>
      <c r="J108" s="13">
        <f>SUM(J91:J107)</f>
        <v>0</v>
      </c>
      <c r="K108" s="13">
        <f>SUM(K91:K107)</f>
        <v>0</v>
      </c>
      <c r="L108" s="13" t="e">
        <f>SUM(L91:L107)</f>
        <v>#VALUE!</v>
      </c>
      <c r="M108" s="32">
        <f>SUM(M91:M107)</f>
        <v>0</v>
      </c>
      <c r="N108" s="13">
        <f>SUM(N91:N107)</f>
        <v>0</v>
      </c>
      <c r="O108" s="13">
        <f>SUM(O91:O107)</f>
        <v>0</v>
      </c>
      <c r="P108" s="13">
        <f>SUM(P91:P107)</f>
        <v>93358</v>
      </c>
      <c r="Q108" s="13">
        <f>SUM(Q91:Q107)</f>
        <v>0</v>
      </c>
      <c r="R108" s="13">
        <f>SUM(R91:R107)</f>
        <v>0</v>
      </c>
      <c r="S108" s="13">
        <f>SUM(S91:S107)</f>
        <v>0</v>
      </c>
      <c r="T108" s="13">
        <f>SUM(T91:T107)</f>
        <v>87609</v>
      </c>
      <c r="U108" s="13">
        <f>SUM(U91:U107)</f>
        <v>0</v>
      </c>
      <c r="V108" s="13">
        <f>SUM(V91:V107)</f>
        <v>0</v>
      </c>
      <c r="X108" s="13" t="e">
        <f>SUM(X91:X107)</f>
        <v>#VALUE!</v>
      </c>
      <c r="Y108" s="13" t="e">
        <f>SUM(Y91:Y107)</f>
        <v>#VALUE!</v>
      </c>
      <c r="Z108" s="13" t="e">
        <f>SUM(Z91:Z107)</f>
        <v>#VALUE!</v>
      </c>
      <c r="AA108" s="13">
        <f>SUM(AA91:AA107)</f>
        <v>93346</v>
      </c>
      <c r="AB108" s="13">
        <f>SUM(AB91:AB107)</f>
        <v>93346</v>
      </c>
      <c r="AC108" s="13">
        <f>SUM(AC91:AC107)</f>
        <v>93346</v>
      </c>
      <c r="AD108" s="13">
        <f>SUM(AD91:AD107)</f>
        <v>93358</v>
      </c>
      <c r="AE108" s="13">
        <f>SUM(AE91:AE107)</f>
        <v>93358</v>
      </c>
      <c r="AF108" s="13">
        <f>SUM(AF91:AF107)</f>
        <v>87609</v>
      </c>
      <c r="AG108" s="13">
        <f>SUM(AG91:AG107)</f>
        <v>87609</v>
      </c>
      <c r="AH108" s="13">
        <f>SUM(AH91:AH107)</f>
        <v>87609</v>
      </c>
      <c r="AI108" s="40"/>
      <c r="AJ108" s="71">
        <f>SUM(AH108/AD108)-1</f>
        <v>-6.1580153816491401E-2</v>
      </c>
    </row>
    <row r="109" spans="2:36" ht="12.75" customHeight="1">
      <c r="B109" s="51"/>
      <c r="C109" s="59"/>
      <c r="D109" s="59"/>
      <c r="E109" s="59"/>
      <c r="F109" s="59"/>
      <c r="G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37"/>
    </row>
    <row r="110" spans="2:36" ht="12.75" customHeight="1">
      <c r="B110" s="138" t="s">
        <v>73</v>
      </c>
      <c r="C110" s="56"/>
      <c r="D110" s="56"/>
      <c r="E110" s="56"/>
      <c r="F110" s="56"/>
      <c r="G110" s="56"/>
      <c r="I110" s="56"/>
      <c r="J110" s="56"/>
      <c r="K110" s="56"/>
      <c r="L110" s="30"/>
      <c r="M110" s="79"/>
      <c r="N110" s="79"/>
      <c r="O110" s="79"/>
      <c r="P110" s="30"/>
      <c r="Q110" s="79"/>
      <c r="R110" s="79"/>
      <c r="S110" s="79"/>
      <c r="T110" s="30"/>
      <c r="U110" s="79"/>
      <c r="V110" s="79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7"/>
      <c r="AJ110" s="37"/>
    </row>
    <row r="111" spans="2:36" ht="12.75" customHeight="1">
      <c r="B111" s="58" t="s">
        <v>170</v>
      </c>
      <c r="C111" s="79">
        <v>-743</v>
      </c>
      <c r="D111" s="79">
        <v>-713</v>
      </c>
      <c r="E111" s="79">
        <v>-737</v>
      </c>
      <c r="F111" s="79">
        <v>-930</v>
      </c>
      <c r="G111" s="79">
        <v>-795</v>
      </c>
      <c r="H111" s="30"/>
      <c r="I111" s="79"/>
      <c r="J111" s="30"/>
      <c r="K111" s="30"/>
      <c r="L111" s="30">
        <f t="shared" ref="L111" si="165">SUM(E111-SUM(I111:K111))</f>
        <v>-737</v>
      </c>
      <c r="M111" s="79"/>
      <c r="N111" s="30"/>
      <c r="O111" s="30"/>
      <c r="P111" s="30">
        <f t="shared" ref="P111" si="166">SUM(F111-SUM(M111:O111))</f>
        <v>-930</v>
      </c>
      <c r="Q111" s="79"/>
      <c r="R111" s="30"/>
      <c r="S111" s="30"/>
      <c r="T111" s="30">
        <f t="shared" ref="T111" si="167">SUM(G111-SUM(Q111:S111))</f>
        <v>-795</v>
      </c>
      <c r="U111" s="79"/>
      <c r="V111" s="30"/>
      <c r="W111" s="30"/>
      <c r="X111" s="30">
        <f t="shared" ref="X111:AC111" si="168">SUM(J111:M111)</f>
        <v>-737</v>
      </c>
      <c r="Y111" s="30">
        <f t="shared" si="168"/>
        <v>-737</v>
      </c>
      <c r="Z111" s="30">
        <f t="shared" si="168"/>
        <v>-737</v>
      </c>
      <c r="AA111" s="30">
        <f t="shared" si="168"/>
        <v>-930</v>
      </c>
      <c r="AB111" s="30">
        <f t="shared" si="168"/>
        <v>-930</v>
      </c>
      <c r="AC111" s="30">
        <f t="shared" si="168"/>
        <v>-930</v>
      </c>
      <c r="AD111" s="30">
        <f t="shared" ref="AD111" si="169">SUM(O111:R111)</f>
        <v>-930</v>
      </c>
      <c r="AE111" s="30">
        <f t="shared" ref="AE111" si="170">SUM(P111:S111)</f>
        <v>-930</v>
      </c>
      <c r="AF111" s="30">
        <f t="shared" ref="AF111" si="171">SUM(Q111:T111)</f>
        <v>-795</v>
      </c>
      <c r="AG111" s="30">
        <f t="shared" ref="AG111" si="172">SUM(R111:U111)</f>
        <v>-795</v>
      </c>
      <c r="AH111" s="30">
        <f t="shared" ref="AH111" si="173">SUM(S111:V111)</f>
        <v>-795</v>
      </c>
      <c r="AI111" s="57"/>
      <c r="AJ111" s="70">
        <f t="shared" ref="AJ111" si="174">SUM(AH111/AD111)-1</f>
        <v>-0.14516129032258063</v>
      </c>
    </row>
    <row r="112" spans="2:36" ht="12.75" customHeight="1">
      <c r="B112" s="58" t="s">
        <v>171</v>
      </c>
      <c r="C112" s="79">
        <v>-330</v>
      </c>
      <c r="D112" s="79">
        <v>-620</v>
      </c>
      <c r="E112" s="79">
        <v>-233</v>
      </c>
      <c r="F112" s="79">
        <v>-46</v>
      </c>
      <c r="G112" s="79">
        <v>-9</v>
      </c>
      <c r="H112" s="30"/>
      <c r="I112" s="79"/>
      <c r="J112" s="30"/>
      <c r="K112" s="30"/>
      <c r="L112" s="30"/>
      <c r="M112" s="79"/>
      <c r="N112" s="30"/>
      <c r="O112" s="30"/>
      <c r="P112" s="30"/>
      <c r="Q112" s="79"/>
      <c r="R112" s="30"/>
      <c r="S112" s="30"/>
      <c r="T112" s="30"/>
      <c r="U112" s="79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57"/>
      <c r="AJ112" s="70"/>
    </row>
    <row r="113" spans="2:36" ht="12.75" customHeight="1">
      <c r="B113" s="58" t="s">
        <v>172</v>
      </c>
      <c r="C113" s="79"/>
      <c r="D113" s="79"/>
      <c r="E113" s="79" t="s">
        <v>150</v>
      </c>
      <c r="F113" s="79" t="s">
        <v>150</v>
      </c>
      <c r="G113" s="79">
        <v>14</v>
      </c>
      <c r="H113" s="30"/>
      <c r="I113" s="79"/>
      <c r="J113" s="30"/>
      <c r="K113" s="30"/>
      <c r="L113" s="30"/>
      <c r="M113" s="79"/>
      <c r="N113" s="30"/>
      <c r="O113" s="30"/>
      <c r="P113" s="30"/>
      <c r="Q113" s="79"/>
      <c r="R113" s="30"/>
      <c r="S113" s="30"/>
      <c r="T113" s="30"/>
      <c r="U113" s="79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57"/>
      <c r="AJ113" s="70"/>
    </row>
    <row r="114" spans="2:36" ht="12.75" customHeight="1">
      <c r="B114" s="58" t="s">
        <v>173</v>
      </c>
      <c r="C114" s="79">
        <v>322</v>
      </c>
      <c r="D114" s="79">
        <v>546</v>
      </c>
      <c r="E114" s="79">
        <v>66</v>
      </c>
      <c r="F114" s="79">
        <v>7</v>
      </c>
      <c r="G114" s="79">
        <v>7</v>
      </c>
      <c r="H114" s="30"/>
      <c r="I114" s="79"/>
      <c r="J114" s="30"/>
      <c r="K114" s="30"/>
      <c r="L114" s="30"/>
      <c r="M114" s="79"/>
      <c r="N114" s="30"/>
      <c r="O114" s="30"/>
      <c r="P114" s="30"/>
      <c r="Q114" s="79"/>
      <c r="R114" s="30"/>
      <c r="S114" s="30"/>
      <c r="T114" s="30"/>
      <c r="U114" s="79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57"/>
      <c r="AJ114" s="70"/>
    </row>
    <row r="115" spans="2:36" ht="12.75" customHeight="1">
      <c r="B115" s="58" t="s">
        <v>174</v>
      </c>
      <c r="C115" s="79">
        <v>-145</v>
      </c>
      <c r="D115" s="79"/>
      <c r="E115" s="79">
        <v>-468</v>
      </c>
      <c r="F115" s="79" t="s">
        <v>150</v>
      </c>
      <c r="G115" s="79" t="s">
        <v>150</v>
      </c>
      <c r="H115" s="30"/>
      <c r="I115" s="79"/>
      <c r="J115" s="30"/>
      <c r="K115" s="30"/>
      <c r="L115" s="30"/>
      <c r="M115" s="79"/>
      <c r="N115" s="30"/>
      <c r="O115" s="30"/>
      <c r="P115" s="30"/>
      <c r="Q115" s="79"/>
      <c r="R115" s="30"/>
      <c r="S115" s="30"/>
      <c r="T115" s="30"/>
      <c r="U115" s="79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57"/>
      <c r="AJ115" s="70"/>
    </row>
    <row r="116" spans="2:36" ht="12.75" customHeight="1">
      <c r="B116" s="58" t="s">
        <v>167</v>
      </c>
      <c r="C116" s="79">
        <v>1</v>
      </c>
      <c r="D116" s="79">
        <v>-1</v>
      </c>
      <c r="E116" s="79" t="s">
        <v>150</v>
      </c>
      <c r="F116" s="79">
        <v>7</v>
      </c>
      <c r="G116" s="79">
        <v>2</v>
      </c>
      <c r="H116" s="30"/>
      <c r="I116" s="79"/>
      <c r="J116" s="30"/>
      <c r="K116" s="30"/>
      <c r="L116" s="30"/>
      <c r="M116" s="79"/>
      <c r="N116" s="30"/>
      <c r="O116" s="30"/>
      <c r="P116" s="30"/>
      <c r="Q116" s="79"/>
      <c r="R116" s="30"/>
      <c r="S116" s="30"/>
      <c r="T116" s="30"/>
      <c r="U116" s="79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57"/>
      <c r="AJ116" s="70"/>
    </row>
    <row r="117" spans="2:36" ht="12.75" customHeight="1">
      <c r="B117" s="12" t="s">
        <v>74</v>
      </c>
      <c r="C117" s="13">
        <f>SUM(C111:C116)</f>
        <v>-895</v>
      </c>
      <c r="D117" s="13">
        <f>SUM(D111:D116)</f>
        <v>-788</v>
      </c>
      <c r="E117" s="13">
        <f>SUM(E111:E116)</f>
        <v>-1372</v>
      </c>
      <c r="F117" s="13">
        <f>SUM(F111:F116)</f>
        <v>-962</v>
      </c>
      <c r="G117" s="13">
        <f>SUM(G111:G116)</f>
        <v>-781</v>
      </c>
      <c r="I117" s="13">
        <f>SUM(I111:I116)</f>
        <v>0</v>
      </c>
      <c r="J117" s="13">
        <f>SUM(J111:J116)</f>
        <v>0</v>
      </c>
      <c r="K117" s="13">
        <f>SUM(K111:K116)</f>
        <v>0</v>
      </c>
      <c r="L117" s="13">
        <f>SUM(L111:L116)</f>
        <v>-737</v>
      </c>
      <c r="M117" s="13">
        <f>SUM(M111:M116)</f>
        <v>0</v>
      </c>
      <c r="N117" s="13">
        <f>SUM(N111:N116)</f>
        <v>0</v>
      </c>
      <c r="O117" s="13">
        <f>SUM(O111:O116)</f>
        <v>0</v>
      </c>
      <c r="P117" s="13">
        <f>SUM(P111:P116)</f>
        <v>-930</v>
      </c>
      <c r="Q117" s="13">
        <f>SUM(Q111:Q116)</f>
        <v>0</v>
      </c>
      <c r="R117" s="13">
        <f>SUM(R111:R116)</f>
        <v>0</v>
      </c>
      <c r="S117" s="13">
        <f>SUM(S111:S116)</f>
        <v>0</v>
      </c>
      <c r="T117" s="13">
        <f>SUM(T111:T116)</f>
        <v>-795</v>
      </c>
      <c r="U117" s="13">
        <f>SUM(U111:U116)</f>
        <v>0</v>
      </c>
      <c r="V117" s="13">
        <f>SUM(V111:V116)</f>
        <v>0</v>
      </c>
      <c r="X117" s="13">
        <f>SUM(X111:X116)</f>
        <v>-737</v>
      </c>
      <c r="Y117" s="13">
        <f>SUM(Y111:Y116)</f>
        <v>-737</v>
      </c>
      <c r="Z117" s="13">
        <f>SUM(Z111:Z116)</f>
        <v>-737</v>
      </c>
      <c r="AA117" s="13">
        <f>SUM(AA111:AA116)</f>
        <v>-930</v>
      </c>
      <c r="AB117" s="13">
        <f>SUM(AB111:AB116)</f>
        <v>-930</v>
      </c>
      <c r="AC117" s="13">
        <f>SUM(AC111:AC116)</f>
        <v>-930</v>
      </c>
      <c r="AD117" s="13">
        <f>SUM(AD111:AD116)</f>
        <v>-930</v>
      </c>
      <c r="AE117" s="13">
        <f>SUM(AE111:AE116)</f>
        <v>-930</v>
      </c>
      <c r="AF117" s="13">
        <f>SUM(AF111:AF116)</f>
        <v>-795</v>
      </c>
      <c r="AG117" s="13">
        <f>SUM(AG111:AG116)</f>
        <v>-795</v>
      </c>
      <c r="AH117" s="13">
        <f>SUM(AH111:AH116)</f>
        <v>-795</v>
      </c>
      <c r="AI117" s="40"/>
      <c r="AJ117" s="71">
        <f>SUM(AH117/AD117)-1</f>
        <v>-0.14516129032258063</v>
      </c>
    </row>
    <row r="118" spans="2:36" ht="5.0999999999999996" customHeight="1">
      <c r="B118" s="50"/>
      <c r="C118" s="59"/>
      <c r="D118" s="59"/>
      <c r="E118" s="59"/>
      <c r="F118" s="59"/>
      <c r="G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37"/>
    </row>
    <row r="119" spans="2:36" ht="12.75" customHeight="1">
      <c r="B119" s="138" t="s">
        <v>75</v>
      </c>
      <c r="C119" s="60"/>
      <c r="D119" s="60"/>
      <c r="E119" s="60"/>
      <c r="F119" s="60"/>
      <c r="G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61"/>
      <c r="AJ119" s="37"/>
    </row>
    <row r="120" spans="2:36" ht="12.75" customHeight="1">
      <c r="B120" s="80" t="s">
        <v>175</v>
      </c>
      <c r="C120" s="79">
        <v>-1003</v>
      </c>
      <c r="D120" s="79">
        <v>-312</v>
      </c>
      <c r="E120" s="79">
        <v>-3502</v>
      </c>
      <c r="F120" s="79">
        <v>-1014</v>
      </c>
      <c r="G120" s="79">
        <v>-340</v>
      </c>
      <c r="I120" s="79"/>
      <c r="J120" s="30"/>
      <c r="K120" s="30"/>
      <c r="L120" s="30">
        <f t="shared" ref="L120:L125" si="175">SUM(E120-SUM(I120:K120))</f>
        <v>-3502</v>
      </c>
      <c r="M120" s="79"/>
      <c r="N120" s="30"/>
      <c r="O120" s="30"/>
      <c r="P120" s="30">
        <f t="shared" ref="P120:P125" si="176">SUM(F120-SUM(M120:O120))</f>
        <v>-1014</v>
      </c>
      <c r="Q120" s="79"/>
      <c r="R120" s="30"/>
      <c r="S120" s="30"/>
      <c r="T120" s="30">
        <f t="shared" ref="T120:T125" si="177">SUM(G120-SUM(Q120:S120))</f>
        <v>-340</v>
      </c>
      <c r="U120" s="79"/>
      <c r="V120" s="30"/>
      <c r="W120" s="30"/>
      <c r="X120" s="30"/>
      <c r="Y120" s="30"/>
      <c r="Z120" s="30"/>
      <c r="AA120" s="30"/>
      <c r="AB120" s="30"/>
      <c r="AC120" s="30"/>
      <c r="AD120" s="30">
        <f t="shared" ref="AD120:AD125" si="178">SUM(O120:R120)</f>
        <v>-1014</v>
      </c>
      <c r="AE120" s="30">
        <f t="shared" ref="AE120:AE125" si="179">SUM(P120:S120)</f>
        <v>-1014</v>
      </c>
      <c r="AF120" s="30">
        <f t="shared" ref="AF120:AF125" si="180">SUM(Q120:T120)</f>
        <v>-340</v>
      </c>
      <c r="AG120" s="30">
        <f t="shared" ref="AG120:AG125" si="181">SUM(R120:U120)</f>
        <v>-340</v>
      </c>
      <c r="AH120" s="30">
        <f t="shared" ref="AH120:AH125" si="182">SUM(S120:V120)</f>
        <v>-340</v>
      </c>
      <c r="AI120" s="61"/>
      <c r="AJ120" s="70">
        <f t="shared" ref="AJ120:AJ121" si="183">SUM(AH120/AD120)-1</f>
        <v>-0.66469428007889553</v>
      </c>
    </row>
    <row r="121" spans="2:36" ht="12.75" customHeight="1">
      <c r="B121" s="80" t="s">
        <v>176</v>
      </c>
      <c r="C121" s="79">
        <v>48</v>
      </c>
      <c r="D121" s="79">
        <v>28</v>
      </c>
      <c r="E121" s="79">
        <v>29</v>
      </c>
      <c r="F121" s="79">
        <v>16</v>
      </c>
      <c r="G121" s="79">
        <v>19</v>
      </c>
      <c r="H121" s="30"/>
      <c r="I121" s="79"/>
      <c r="J121" s="30"/>
      <c r="K121" s="30"/>
      <c r="L121" s="30">
        <f t="shared" si="175"/>
        <v>29</v>
      </c>
      <c r="M121" s="79"/>
      <c r="N121" s="30"/>
      <c r="O121" s="30"/>
      <c r="P121" s="30">
        <f t="shared" si="176"/>
        <v>16</v>
      </c>
      <c r="Q121" s="79"/>
      <c r="R121" s="30"/>
      <c r="S121" s="30"/>
      <c r="T121" s="30">
        <f t="shared" si="177"/>
        <v>19</v>
      </c>
      <c r="U121" s="79"/>
      <c r="V121" s="30"/>
      <c r="W121" s="30"/>
      <c r="X121" s="30"/>
      <c r="Y121" s="30"/>
      <c r="Z121" s="30"/>
      <c r="AA121" s="30"/>
      <c r="AB121" s="30"/>
      <c r="AC121" s="30"/>
      <c r="AD121" s="30">
        <f t="shared" si="178"/>
        <v>16</v>
      </c>
      <c r="AE121" s="30">
        <f t="shared" si="179"/>
        <v>16</v>
      </c>
      <c r="AF121" s="30">
        <f t="shared" si="180"/>
        <v>19</v>
      </c>
      <c r="AG121" s="30">
        <f t="shared" si="181"/>
        <v>19</v>
      </c>
      <c r="AH121" s="30">
        <f t="shared" si="182"/>
        <v>19</v>
      </c>
      <c r="AI121" s="61"/>
      <c r="AJ121" s="70">
        <f t="shared" si="183"/>
        <v>0.1875</v>
      </c>
    </row>
    <row r="122" spans="2:36" ht="12.75" customHeight="1">
      <c r="B122" s="80" t="s">
        <v>177</v>
      </c>
      <c r="C122" s="79">
        <v>-527</v>
      </c>
      <c r="D122" s="79">
        <v>-568</v>
      </c>
      <c r="E122" s="79">
        <v>-688</v>
      </c>
      <c r="F122" s="79">
        <v>-789</v>
      </c>
      <c r="G122" s="79">
        <v>-801</v>
      </c>
      <c r="H122" s="30"/>
      <c r="I122" s="79"/>
      <c r="J122" s="30"/>
      <c r="K122" s="30"/>
      <c r="L122" s="30"/>
      <c r="M122" s="79"/>
      <c r="N122" s="30"/>
      <c r="O122" s="30"/>
      <c r="P122" s="30"/>
      <c r="Q122" s="79"/>
      <c r="R122" s="30"/>
      <c r="S122" s="30"/>
      <c r="T122" s="30"/>
      <c r="U122" s="79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61"/>
      <c r="AJ122" s="70"/>
    </row>
    <row r="123" spans="2:36" ht="12.75" customHeight="1">
      <c r="B123" s="80" t="s">
        <v>178</v>
      </c>
      <c r="C123" s="79"/>
      <c r="D123" s="79">
        <v>1892</v>
      </c>
      <c r="E123" s="79"/>
      <c r="F123" s="79"/>
      <c r="G123" s="79"/>
      <c r="H123" s="30"/>
      <c r="I123" s="79"/>
      <c r="J123" s="30"/>
      <c r="K123" s="30"/>
      <c r="L123" s="30"/>
      <c r="M123" s="79"/>
      <c r="N123" s="30"/>
      <c r="O123" s="30"/>
      <c r="P123" s="30"/>
      <c r="Q123" s="79"/>
      <c r="R123" s="30"/>
      <c r="S123" s="30"/>
      <c r="T123" s="30"/>
      <c r="U123" s="79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61"/>
      <c r="AJ123" s="70"/>
    </row>
    <row r="124" spans="2:36" ht="12.75" customHeight="1">
      <c r="B124" s="80" t="s">
        <v>179</v>
      </c>
      <c r="C124" s="79">
        <v>-15</v>
      </c>
      <c r="D124" s="79">
        <v>-1916</v>
      </c>
      <c r="E124" s="79">
        <v>-133</v>
      </c>
      <c r="F124" s="79">
        <v>-19</v>
      </c>
      <c r="G124" s="79">
        <v>-19</v>
      </c>
      <c r="H124" s="30"/>
      <c r="I124" s="79"/>
      <c r="J124" s="30"/>
      <c r="K124" s="30"/>
      <c r="L124" s="30">
        <f t="shared" si="175"/>
        <v>-133</v>
      </c>
      <c r="M124" s="79"/>
      <c r="N124" s="30"/>
      <c r="O124" s="30"/>
      <c r="P124" s="30">
        <f t="shared" si="176"/>
        <v>-19</v>
      </c>
      <c r="Q124" s="79"/>
      <c r="R124" s="30"/>
      <c r="S124" s="30"/>
      <c r="T124" s="30">
        <f t="shared" si="177"/>
        <v>-19</v>
      </c>
      <c r="U124" s="79"/>
      <c r="V124" s="30"/>
      <c r="W124" s="30"/>
      <c r="X124" s="30">
        <f t="shared" ref="X124:AC124" si="184">SUM(J124:M124)</f>
        <v>-133</v>
      </c>
      <c r="Y124" s="30">
        <f t="shared" si="184"/>
        <v>-133</v>
      </c>
      <c r="Z124" s="30">
        <f t="shared" si="184"/>
        <v>-133</v>
      </c>
      <c r="AA124" s="30">
        <f t="shared" si="184"/>
        <v>-19</v>
      </c>
      <c r="AB124" s="30">
        <f t="shared" si="184"/>
        <v>-19</v>
      </c>
      <c r="AC124" s="30">
        <f t="shared" si="184"/>
        <v>-19</v>
      </c>
      <c r="AD124" s="30">
        <f t="shared" si="178"/>
        <v>-19</v>
      </c>
      <c r="AE124" s="30">
        <f t="shared" si="179"/>
        <v>-19</v>
      </c>
      <c r="AF124" s="30">
        <f t="shared" si="180"/>
        <v>-19</v>
      </c>
      <c r="AG124" s="30">
        <f t="shared" si="181"/>
        <v>-19</v>
      </c>
      <c r="AH124" s="30">
        <f t="shared" si="182"/>
        <v>-19</v>
      </c>
      <c r="AI124" s="61"/>
      <c r="AJ124" s="70">
        <f t="shared" ref="AJ124:AJ125" si="185">SUM(AH124/AD124)-1</f>
        <v>0</v>
      </c>
    </row>
    <row r="125" spans="2:36" ht="12.75" customHeight="1">
      <c r="B125" s="80" t="s">
        <v>167</v>
      </c>
      <c r="C125" s="79">
        <v>-1</v>
      </c>
      <c r="D125" s="79"/>
      <c r="E125" s="79">
        <v>-3</v>
      </c>
      <c r="F125" s="79" t="s">
        <v>150</v>
      </c>
      <c r="G125" s="79">
        <v>-3</v>
      </c>
      <c r="H125" s="30"/>
      <c r="I125" s="79"/>
      <c r="J125" s="30"/>
      <c r="K125" s="30"/>
      <c r="L125" s="30">
        <f t="shared" si="175"/>
        <v>-3</v>
      </c>
      <c r="M125" s="79"/>
      <c r="N125" s="30"/>
      <c r="O125" s="30"/>
      <c r="P125" s="30" t="e">
        <f t="shared" si="176"/>
        <v>#VALUE!</v>
      </c>
      <c r="Q125" s="79"/>
      <c r="R125" s="30"/>
      <c r="S125" s="30"/>
      <c r="T125" s="30">
        <f t="shared" si="177"/>
        <v>-3</v>
      </c>
      <c r="U125" s="79"/>
      <c r="V125" s="30"/>
      <c r="W125" s="30"/>
      <c r="X125" s="30"/>
      <c r="Y125" s="30"/>
      <c r="Z125" s="30"/>
      <c r="AA125" s="30"/>
      <c r="AB125" s="30"/>
      <c r="AC125" s="30"/>
      <c r="AD125" s="30" t="e">
        <f t="shared" si="178"/>
        <v>#VALUE!</v>
      </c>
      <c r="AE125" s="30" t="e">
        <f t="shared" si="179"/>
        <v>#VALUE!</v>
      </c>
      <c r="AF125" s="30">
        <f t="shared" si="180"/>
        <v>-3</v>
      </c>
      <c r="AG125" s="30">
        <f t="shared" si="181"/>
        <v>-3</v>
      </c>
      <c r="AH125" s="30">
        <f t="shared" si="182"/>
        <v>-3</v>
      </c>
      <c r="AI125" s="61"/>
      <c r="AJ125" s="70" t="e">
        <f t="shared" si="185"/>
        <v>#VALUE!</v>
      </c>
    </row>
    <row r="126" spans="2:36" ht="12.75" customHeight="1">
      <c r="B126" s="12" t="s">
        <v>76</v>
      </c>
      <c r="C126" s="32">
        <f t="shared" ref="C126:D126" si="186">SUM(C120:C125)</f>
        <v>-1498</v>
      </c>
      <c r="D126" s="32">
        <f t="shared" si="186"/>
        <v>-876</v>
      </c>
      <c r="E126" s="32">
        <f t="shared" ref="E126:G126" si="187">SUM(E120:E125)</f>
        <v>-4297</v>
      </c>
      <c r="F126" s="32">
        <f t="shared" si="187"/>
        <v>-1806</v>
      </c>
      <c r="G126" s="32">
        <f t="shared" si="187"/>
        <v>-1144</v>
      </c>
      <c r="I126" s="32">
        <f t="shared" ref="I126" si="188">SUM(I120:I125)</f>
        <v>0</v>
      </c>
      <c r="J126" s="32">
        <f t="shared" ref="J126" si="189">SUM(J120:J125)</f>
        <v>0</v>
      </c>
      <c r="K126" s="32">
        <f t="shared" ref="K126" si="190">SUM(K120:K125)</f>
        <v>0</v>
      </c>
      <c r="L126" s="32">
        <f t="shared" ref="L126" si="191">SUM(L120:L125)</f>
        <v>-3609</v>
      </c>
      <c r="M126" s="32">
        <f t="shared" ref="M126" si="192">SUM(M120:M125)</f>
        <v>0</v>
      </c>
      <c r="N126" s="32">
        <f t="shared" ref="N126" si="193">SUM(N120:N125)</f>
        <v>0</v>
      </c>
      <c r="O126" s="32">
        <f t="shared" ref="O126" si="194">SUM(O120:O125)</f>
        <v>0</v>
      </c>
      <c r="P126" s="32" t="e">
        <f t="shared" ref="P126" si="195">SUM(P120:P125)</f>
        <v>#VALUE!</v>
      </c>
      <c r="Q126" s="32">
        <f t="shared" ref="Q126" si="196">SUM(Q120:Q125)</f>
        <v>0</v>
      </c>
      <c r="R126" s="32">
        <f t="shared" ref="R126" si="197">SUM(R120:R125)</f>
        <v>0</v>
      </c>
      <c r="S126" s="32">
        <f t="shared" ref="S126" si="198">SUM(S120:S125)</f>
        <v>0</v>
      </c>
      <c r="T126" s="32">
        <f t="shared" ref="T126" si="199">SUM(T120:T125)</f>
        <v>-343</v>
      </c>
      <c r="U126" s="32">
        <f t="shared" ref="U126" si="200">SUM(U120:U125)</f>
        <v>0</v>
      </c>
      <c r="V126" s="32">
        <f t="shared" ref="V126" si="201">SUM(V120:V125)</f>
        <v>0</v>
      </c>
      <c r="W126" s="30"/>
      <c r="X126" s="32">
        <f t="shared" ref="X126" si="202">SUM(X120:X125)</f>
        <v>-133</v>
      </c>
      <c r="Y126" s="32">
        <f t="shared" ref="Y126" si="203">SUM(Y120:Y125)</f>
        <v>-133</v>
      </c>
      <c r="Z126" s="32">
        <f t="shared" ref="Z126" si="204">SUM(Z120:Z125)</f>
        <v>-133</v>
      </c>
      <c r="AA126" s="32">
        <f t="shared" ref="AA126" si="205">SUM(AA120:AA125)</f>
        <v>-19</v>
      </c>
      <c r="AB126" s="32">
        <f t="shared" ref="AB126" si="206">SUM(AB120:AB125)</f>
        <v>-19</v>
      </c>
      <c r="AC126" s="32">
        <f t="shared" ref="AC126" si="207">SUM(AC120:AC125)</f>
        <v>-19</v>
      </c>
      <c r="AD126" s="32" t="e">
        <f t="shared" ref="AD126" si="208">SUM(AD120:AD125)</f>
        <v>#VALUE!</v>
      </c>
      <c r="AE126" s="32" t="e">
        <f t="shared" ref="AE126" si="209">SUM(AE120:AE125)</f>
        <v>#VALUE!</v>
      </c>
      <c r="AF126" s="32">
        <f t="shared" ref="AF126" si="210">SUM(AF120:AF125)</f>
        <v>-343</v>
      </c>
      <c r="AG126" s="32">
        <f t="shared" ref="AG126" si="211">SUM(AG120:AG125)</f>
        <v>-343</v>
      </c>
      <c r="AH126" s="32">
        <f t="shared" ref="AH126" si="212">SUM(AH120:AH125)</f>
        <v>-343</v>
      </c>
      <c r="AI126" s="40"/>
      <c r="AJ126" s="71" t="e">
        <f>SUM(AH126/AD126)-1</f>
        <v>#VALUE!</v>
      </c>
    </row>
    <row r="127" spans="2:36" ht="5.0999999999999996" customHeight="1">
      <c r="B127" s="8"/>
      <c r="C127" s="62"/>
      <c r="D127" s="62"/>
      <c r="E127" s="62"/>
      <c r="F127" s="62"/>
      <c r="G127" s="62"/>
      <c r="H127" s="30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44"/>
    </row>
    <row r="128" spans="2:36" ht="5.0999999999999996" customHeight="1">
      <c r="B128" s="67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11"/>
      <c r="AJ128" s="44"/>
    </row>
    <row r="129" spans="2:36">
      <c r="B129" s="129" t="s">
        <v>81</v>
      </c>
      <c r="C129" s="121"/>
      <c r="D129" s="121"/>
      <c r="E129" s="121"/>
      <c r="F129" s="121">
        <f t="shared" ref="F129:G129" si="213">E135</f>
        <v>99196</v>
      </c>
      <c r="G129" s="121">
        <f t="shared" si="213"/>
        <v>189778</v>
      </c>
      <c r="H129" s="121"/>
      <c r="I129" s="121"/>
      <c r="J129" s="121">
        <f>I135</f>
        <v>0</v>
      </c>
      <c r="K129" s="121">
        <f t="shared" ref="K129:V129" si="214">J135</f>
        <v>0</v>
      </c>
      <c r="L129" s="121">
        <f t="shared" si="214"/>
        <v>0</v>
      </c>
      <c r="M129" s="121" t="e">
        <f t="shared" si="214"/>
        <v>#VALUE!</v>
      </c>
      <c r="N129" s="121" t="e">
        <f t="shared" si="214"/>
        <v>#VALUE!</v>
      </c>
      <c r="O129" s="121" t="e">
        <f t="shared" si="214"/>
        <v>#VALUE!</v>
      </c>
      <c r="P129" s="121" t="e">
        <f t="shared" si="214"/>
        <v>#VALUE!</v>
      </c>
      <c r="Q129" s="121" t="e">
        <f t="shared" si="214"/>
        <v>#VALUE!</v>
      </c>
      <c r="R129" s="121" t="e">
        <f t="shared" si="214"/>
        <v>#VALUE!</v>
      </c>
      <c r="S129" s="121" t="e">
        <f t="shared" si="214"/>
        <v>#VALUE!</v>
      </c>
      <c r="T129" s="121" t="e">
        <f t="shared" si="214"/>
        <v>#VALUE!</v>
      </c>
      <c r="U129" s="121" t="e">
        <f t="shared" si="214"/>
        <v>#VALUE!</v>
      </c>
      <c r="V129" s="121" t="e">
        <f t="shared" si="214"/>
        <v>#VALUE!</v>
      </c>
      <c r="W129" s="121"/>
      <c r="X129" s="121">
        <f t="shared" ref="X129:AH129" si="215">I135</f>
        <v>0</v>
      </c>
      <c r="Y129" s="121">
        <f t="shared" si="215"/>
        <v>0</v>
      </c>
      <c r="Z129" s="121">
        <f t="shared" si="215"/>
        <v>0</v>
      </c>
      <c r="AA129" s="121" t="e">
        <f t="shared" si="215"/>
        <v>#VALUE!</v>
      </c>
      <c r="AB129" s="121" t="e">
        <f t="shared" si="215"/>
        <v>#VALUE!</v>
      </c>
      <c r="AC129" s="121" t="e">
        <f t="shared" si="215"/>
        <v>#VALUE!</v>
      </c>
      <c r="AD129" s="121" t="e">
        <f t="shared" si="215"/>
        <v>#VALUE!</v>
      </c>
      <c r="AE129" s="121" t="e">
        <f t="shared" si="215"/>
        <v>#VALUE!</v>
      </c>
      <c r="AF129" s="121" t="e">
        <f t="shared" si="215"/>
        <v>#VALUE!</v>
      </c>
      <c r="AG129" s="121" t="e">
        <f t="shared" si="215"/>
        <v>#VALUE!</v>
      </c>
      <c r="AH129" s="123" t="e">
        <f t="shared" si="215"/>
        <v>#VALUE!</v>
      </c>
      <c r="AI129" s="11"/>
      <c r="AJ129" s="44"/>
    </row>
    <row r="130" spans="2:36">
      <c r="B130" s="130" t="s">
        <v>109</v>
      </c>
      <c r="C130" s="30"/>
      <c r="D130" s="30"/>
      <c r="E130" s="30"/>
      <c r="F130" s="30">
        <v>0</v>
      </c>
      <c r="G130" s="30">
        <v>0</v>
      </c>
      <c r="H130" s="30"/>
      <c r="I130" s="30"/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/>
      <c r="X130" s="30">
        <f t="shared" ref="X130:AG130" si="216">SUM(J130:M130)</f>
        <v>0</v>
      </c>
      <c r="Y130" s="30">
        <f t="shared" si="216"/>
        <v>0</v>
      </c>
      <c r="Z130" s="30">
        <f t="shared" si="216"/>
        <v>0</v>
      </c>
      <c r="AA130" s="30">
        <f t="shared" si="216"/>
        <v>0</v>
      </c>
      <c r="AB130" s="30">
        <f t="shared" si="216"/>
        <v>0</v>
      </c>
      <c r="AC130" s="30">
        <f t="shared" si="216"/>
        <v>0</v>
      </c>
      <c r="AD130" s="30">
        <f t="shared" si="216"/>
        <v>0</v>
      </c>
      <c r="AE130" s="30">
        <f t="shared" si="216"/>
        <v>0</v>
      </c>
      <c r="AF130" s="30">
        <f t="shared" si="216"/>
        <v>0</v>
      </c>
      <c r="AG130" s="30">
        <f t="shared" si="216"/>
        <v>0</v>
      </c>
      <c r="AH130" s="124">
        <f>SUM(T130:V130)</f>
        <v>0</v>
      </c>
      <c r="AI130" s="11"/>
      <c r="AJ130" s="44"/>
    </row>
    <row r="131" spans="2:36">
      <c r="B131" s="131" t="s">
        <v>93</v>
      </c>
      <c r="C131" s="83">
        <f t="shared" ref="C131:D131" si="217">SUM(C129:C130)</f>
        <v>0</v>
      </c>
      <c r="D131" s="83">
        <f t="shared" si="217"/>
        <v>0</v>
      </c>
      <c r="E131" s="83">
        <f t="shared" ref="E131:G131" si="218">SUM(E129:E130)</f>
        <v>0</v>
      </c>
      <c r="F131" s="83">
        <f t="shared" si="218"/>
        <v>99196</v>
      </c>
      <c r="G131" s="83">
        <f t="shared" si="218"/>
        <v>189778</v>
      </c>
      <c r="H131" s="30"/>
      <c r="I131" s="83">
        <f t="shared" ref="I131:V131" si="219">SUM(I129:I130)</f>
        <v>0</v>
      </c>
      <c r="J131" s="83">
        <f t="shared" si="219"/>
        <v>0</v>
      </c>
      <c r="K131" s="83">
        <f t="shared" si="219"/>
        <v>0</v>
      </c>
      <c r="L131" s="83">
        <f t="shared" si="219"/>
        <v>0</v>
      </c>
      <c r="M131" s="83" t="e">
        <f t="shared" si="219"/>
        <v>#VALUE!</v>
      </c>
      <c r="N131" s="83" t="e">
        <f t="shared" si="219"/>
        <v>#VALUE!</v>
      </c>
      <c r="O131" s="83" t="e">
        <f t="shared" si="219"/>
        <v>#VALUE!</v>
      </c>
      <c r="P131" s="83" t="e">
        <f t="shared" si="219"/>
        <v>#VALUE!</v>
      </c>
      <c r="Q131" s="83" t="e">
        <f t="shared" si="219"/>
        <v>#VALUE!</v>
      </c>
      <c r="R131" s="83" t="e">
        <f t="shared" si="219"/>
        <v>#VALUE!</v>
      </c>
      <c r="S131" s="83" t="e">
        <f t="shared" si="219"/>
        <v>#VALUE!</v>
      </c>
      <c r="T131" s="83" t="e">
        <f t="shared" si="219"/>
        <v>#VALUE!</v>
      </c>
      <c r="U131" s="83" t="e">
        <f t="shared" si="219"/>
        <v>#VALUE!</v>
      </c>
      <c r="V131" s="83" t="e">
        <f t="shared" si="219"/>
        <v>#VALUE!</v>
      </c>
      <c r="W131" s="30"/>
      <c r="X131" s="120">
        <f t="shared" ref="X131:AH131" si="220">SUM(X129:X130)</f>
        <v>0</v>
      </c>
      <c r="Y131" s="120">
        <f t="shared" si="220"/>
        <v>0</v>
      </c>
      <c r="Z131" s="120">
        <f t="shared" si="220"/>
        <v>0</v>
      </c>
      <c r="AA131" s="120" t="e">
        <f t="shared" si="220"/>
        <v>#VALUE!</v>
      </c>
      <c r="AB131" s="120" t="e">
        <f t="shared" si="220"/>
        <v>#VALUE!</v>
      </c>
      <c r="AC131" s="120" t="e">
        <f t="shared" si="220"/>
        <v>#VALUE!</v>
      </c>
      <c r="AD131" s="120" t="e">
        <f t="shared" ref="AD131" si="221">SUM(AD129:AD130)</f>
        <v>#VALUE!</v>
      </c>
      <c r="AE131" s="120" t="e">
        <f t="shared" ref="AE131" si="222">SUM(AE129:AE130)</f>
        <v>#VALUE!</v>
      </c>
      <c r="AF131" s="120" t="e">
        <f t="shared" ref="AF131" si="223">SUM(AF129:AF130)</f>
        <v>#VALUE!</v>
      </c>
      <c r="AG131" s="120" t="e">
        <f t="shared" ref="AG131" si="224">SUM(AG129:AG130)</f>
        <v>#VALUE!</v>
      </c>
      <c r="AH131" s="125" t="e">
        <f t="shared" si="220"/>
        <v>#VALUE!</v>
      </c>
      <c r="AI131" s="11"/>
      <c r="AJ131" s="44"/>
    </row>
    <row r="132" spans="2:36">
      <c r="B132" s="132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124"/>
      <c r="AI132" s="11"/>
      <c r="AJ132" s="44"/>
    </row>
    <row r="133" spans="2:36">
      <c r="B133" s="130" t="s">
        <v>110</v>
      </c>
      <c r="C133" s="79">
        <v>-1</v>
      </c>
      <c r="D133" s="79">
        <v>7</v>
      </c>
      <c r="E133" s="79">
        <v>-3</v>
      </c>
      <c r="F133" s="79">
        <v>-8</v>
      </c>
      <c r="G133" s="79">
        <v>-5</v>
      </c>
      <c r="H133" s="30"/>
      <c r="I133" s="79"/>
      <c r="J133" s="79"/>
      <c r="K133" s="79"/>
      <c r="L133" s="30">
        <f>E133</f>
        <v>-3</v>
      </c>
      <c r="M133" s="79"/>
      <c r="N133" s="79"/>
      <c r="O133" s="79"/>
      <c r="P133" s="30">
        <f>F133</f>
        <v>-8</v>
      </c>
      <c r="Q133" s="79"/>
      <c r="R133" s="79"/>
      <c r="S133" s="79"/>
      <c r="T133" s="30">
        <f>G133</f>
        <v>-5</v>
      </c>
      <c r="U133" s="79"/>
      <c r="V133" s="79"/>
      <c r="W133" s="30"/>
      <c r="X133" s="30">
        <f t="shared" ref="X133:AG134" si="225">SUM(J133:M133)</f>
        <v>-3</v>
      </c>
      <c r="Y133" s="30">
        <f t="shared" si="225"/>
        <v>-3</v>
      </c>
      <c r="Z133" s="30">
        <f t="shared" si="225"/>
        <v>-3</v>
      </c>
      <c r="AA133" s="30">
        <f t="shared" si="225"/>
        <v>-8</v>
      </c>
      <c r="AB133" s="30">
        <f t="shared" si="225"/>
        <v>-8</v>
      </c>
      <c r="AC133" s="30">
        <f t="shared" si="225"/>
        <v>-8</v>
      </c>
      <c r="AD133" s="30">
        <f t="shared" si="225"/>
        <v>-8</v>
      </c>
      <c r="AE133" s="30">
        <f t="shared" si="225"/>
        <v>-5</v>
      </c>
      <c r="AF133" s="30">
        <f t="shared" si="225"/>
        <v>-5</v>
      </c>
      <c r="AG133" s="30">
        <f t="shared" si="225"/>
        <v>-5</v>
      </c>
      <c r="AH133" s="124">
        <f>SUM(T133:V133)</f>
        <v>-5</v>
      </c>
      <c r="AI133" s="11"/>
      <c r="AJ133" s="44"/>
    </row>
    <row r="134" spans="2:36">
      <c r="B134" s="132" t="s">
        <v>80</v>
      </c>
      <c r="C134" s="30">
        <f>+C126+C117+C108</f>
        <v>86327</v>
      </c>
      <c r="D134" s="30">
        <f>+D126+D117+D108</f>
        <v>96540</v>
      </c>
      <c r="E134" s="30">
        <f>+E126+E117+E108</f>
        <v>99199</v>
      </c>
      <c r="F134" s="30">
        <f>+F126+F117+F108</f>
        <v>90590</v>
      </c>
      <c r="G134" s="30">
        <f>+G126+G117+G108</f>
        <v>85684</v>
      </c>
      <c r="H134" s="30"/>
      <c r="I134" s="30">
        <f>+I126+I117+I108</f>
        <v>0</v>
      </c>
      <c r="J134" s="30">
        <f>+J126+J117+J108</f>
        <v>0</v>
      </c>
      <c r="K134" s="30">
        <f>+K126+K117+K108</f>
        <v>0</v>
      </c>
      <c r="L134" s="30" t="e">
        <f>+L126+L117+L108</f>
        <v>#VALUE!</v>
      </c>
      <c r="M134" s="30">
        <f>+M126+M117+M108</f>
        <v>0</v>
      </c>
      <c r="N134" s="30">
        <f>+N126+N117+N108</f>
        <v>0</v>
      </c>
      <c r="O134" s="30">
        <f>+O126+O117+O108</f>
        <v>0</v>
      </c>
      <c r="P134" s="30" t="e">
        <f>+P126+P117+P108</f>
        <v>#VALUE!</v>
      </c>
      <c r="Q134" s="30">
        <f>+Q126+Q117+Q108</f>
        <v>0</v>
      </c>
      <c r="R134" s="30">
        <f>+R126+R117+R108</f>
        <v>0</v>
      </c>
      <c r="S134" s="30">
        <f>+S126+S117+S108</f>
        <v>0</v>
      </c>
      <c r="T134" s="30">
        <f>+T126+T117+T108</f>
        <v>86471</v>
      </c>
      <c r="U134" s="30">
        <f>+U126+U117+U108</f>
        <v>0</v>
      </c>
      <c r="V134" s="30">
        <f>+V126+V117+V108</f>
        <v>0</v>
      </c>
      <c r="W134" s="30"/>
      <c r="X134" s="30" t="e">
        <f t="shared" si="225"/>
        <v>#VALUE!</v>
      </c>
      <c r="Y134" s="30" t="e">
        <f t="shared" si="225"/>
        <v>#VALUE!</v>
      </c>
      <c r="Z134" s="30" t="e">
        <f t="shared" si="225"/>
        <v>#VALUE!</v>
      </c>
      <c r="AA134" s="30" t="e">
        <f t="shared" si="225"/>
        <v>#VALUE!</v>
      </c>
      <c r="AB134" s="30" t="e">
        <f t="shared" si="225"/>
        <v>#VALUE!</v>
      </c>
      <c r="AC134" s="30" t="e">
        <f t="shared" si="225"/>
        <v>#VALUE!</v>
      </c>
      <c r="AD134" s="30" t="e">
        <f t="shared" si="225"/>
        <v>#VALUE!</v>
      </c>
      <c r="AE134" s="30">
        <f t="shared" si="225"/>
        <v>86471</v>
      </c>
      <c r="AF134" s="30">
        <f t="shared" si="225"/>
        <v>86471</v>
      </c>
      <c r="AG134" s="30">
        <f t="shared" si="225"/>
        <v>86471</v>
      </c>
      <c r="AH134" s="124">
        <f>SUM(T134:V134)</f>
        <v>86471</v>
      </c>
      <c r="AI134" s="11"/>
      <c r="AJ134" s="44"/>
    </row>
    <row r="135" spans="2:36">
      <c r="B135" s="131" t="s">
        <v>94</v>
      </c>
      <c r="C135" s="83">
        <f t="shared" ref="C135:D135" si="226">SUM(C131:C134)</f>
        <v>86326</v>
      </c>
      <c r="D135" s="83">
        <f t="shared" si="226"/>
        <v>96547</v>
      </c>
      <c r="E135" s="83">
        <f t="shared" ref="E135:G135" si="227">SUM(E131:E134)</f>
        <v>99196</v>
      </c>
      <c r="F135" s="83">
        <f t="shared" si="227"/>
        <v>189778</v>
      </c>
      <c r="G135" s="83">
        <f t="shared" si="227"/>
        <v>275457</v>
      </c>
      <c r="H135" s="30"/>
      <c r="I135" s="82">
        <f t="shared" ref="I135:V135" si="228">SUM(I131:I134)</f>
        <v>0</v>
      </c>
      <c r="J135" s="82">
        <f t="shared" si="228"/>
        <v>0</v>
      </c>
      <c r="K135" s="82">
        <f t="shared" si="228"/>
        <v>0</v>
      </c>
      <c r="L135" s="82" t="e">
        <f t="shared" si="228"/>
        <v>#VALUE!</v>
      </c>
      <c r="M135" s="82" t="e">
        <f t="shared" si="228"/>
        <v>#VALUE!</v>
      </c>
      <c r="N135" s="82" t="e">
        <f t="shared" si="228"/>
        <v>#VALUE!</v>
      </c>
      <c r="O135" s="82" t="e">
        <f t="shared" si="228"/>
        <v>#VALUE!</v>
      </c>
      <c r="P135" s="82" t="e">
        <f t="shared" si="228"/>
        <v>#VALUE!</v>
      </c>
      <c r="Q135" s="82" t="e">
        <f t="shared" si="228"/>
        <v>#VALUE!</v>
      </c>
      <c r="R135" s="82" t="e">
        <f t="shared" si="228"/>
        <v>#VALUE!</v>
      </c>
      <c r="S135" s="82" t="e">
        <f t="shared" si="228"/>
        <v>#VALUE!</v>
      </c>
      <c r="T135" s="82" t="e">
        <f t="shared" si="228"/>
        <v>#VALUE!</v>
      </c>
      <c r="U135" s="82" t="e">
        <f t="shared" si="228"/>
        <v>#VALUE!</v>
      </c>
      <c r="V135" s="82" t="e">
        <f t="shared" si="228"/>
        <v>#VALUE!</v>
      </c>
      <c r="W135" s="30"/>
      <c r="X135" s="82" t="e">
        <f t="shared" ref="X135:AH135" si="229">SUM(X131:X134)</f>
        <v>#VALUE!</v>
      </c>
      <c r="Y135" s="82" t="e">
        <f t="shared" si="229"/>
        <v>#VALUE!</v>
      </c>
      <c r="Z135" s="82" t="e">
        <f t="shared" si="229"/>
        <v>#VALUE!</v>
      </c>
      <c r="AA135" s="82" t="e">
        <f t="shared" si="229"/>
        <v>#VALUE!</v>
      </c>
      <c r="AB135" s="82" t="e">
        <f t="shared" si="229"/>
        <v>#VALUE!</v>
      </c>
      <c r="AC135" s="82" t="e">
        <f t="shared" si="229"/>
        <v>#VALUE!</v>
      </c>
      <c r="AD135" s="82" t="e">
        <f t="shared" si="229"/>
        <v>#VALUE!</v>
      </c>
      <c r="AE135" s="82" t="e">
        <f t="shared" si="229"/>
        <v>#VALUE!</v>
      </c>
      <c r="AF135" s="82" t="e">
        <f t="shared" si="229"/>
        <v>#VALUE!</v>
      </c>
      <c r="AG135" s="82" t="e">
        <f t="shared" si="229"/>
        <v>#VALUE!</v>
      </c>
      <c r="AH135" s="126" t="e">
        <f t="shared" si="229"/>
        <v>#VALUE!</v>
      </c>
      <c r="AI135" s="11"/>
      <c r="AJ135" s="44"/>
    </row>
    <row r="136" spans="2:36" ht="5.0999999999999996" customHeight="1">
      <c r="B136" s="133"/>
      <c r="C136" s="62"/>
      <c r="D136" s="62"/>
      <c r="E136" s="62"/>
      <c r="F136" s="62"/>
      <c r="G136" s="62"/>
      <c r="H136" s="30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22"/>
      <c r="AI136" s="11"/>
      <c r="AJ136" s="44"/>
    </row>
    <row r="137" spans="2:36">
      <c r="B137" s="134" t="s">
        <v>79</v>
      </c>
      <c r="C137" s="127">
        <f>C135-C46</f>
        <v>84097</v>
      </c>
      <c r="D137" s="127">
        <f>D135-D46</f>
        <v>91053</v>
      </c>
      <c r="E137" s="127">
        <f>E135-E46</f>
        <v>96260</v>
      </c>
      <c r="F137" s="127">
        <f>F135-F46</f>
        <v>187904</v>
      </c>
      <c r="G137" s="127">
        <f>G135-G46</f>
        <v>274010</v>
      </c>
      <c r="H137" s="128"/>
      <c r="I137" s="127">
        <f>I135-I46</f>
        <v>0</v>
      </c>
      <c r="J137" s="127">
        <f>J135-J46</f>
        <v>0</v>
      </c>
      <c r="K137" s="127">
        <f>K135-K46</f>
        <v>0</v>
      </c>
      <c r="L137" s="127" t="e">
        <f>L135-L46</f>
        <v>#VALUE!</v>
      </c>
      <c r="M137" s="127" t="e">
        <f>M135-M46</f>
        <v>#VALUE!</v>
      </c>
      <c r="N137" s="127" t="e">
        <f>N135-N46</f>
        <v>#VALUE!</v>
      </c>
      <c r="O137" s="127" t="e">
        <f>O135-O46</f>
        <v>#VALUE!</v>
      </c>
      <c r="P137" s="127" t="e">
        <f>P135-P46</f>
        <v>#VALUE!</v>
      </c>
      <c r="Q137" s="127" t="e">
        <f>Q135-Q46</f>
        <v>#VALUE!</v>
      </c>
      <c r="R137" s="127" t="e">
        <f>R135-R46</f>
        <v>#VALUE!</v>
      </c>
      <c r="S137" s="127" t="e">
        <f>S135-S46</f>
        <v>#VALUE!</v>
      </c>
      <c r="T137" s="127" t="e">
        <f>T135-T46</f>
        <v>#VALUE!</v>
      </c>
      <c r="U137" s="127" t="e">
        <f>U135-U46</f>
        <v>#VALUE!</v>
      </c>
      <c r="V137" s="127" t="e">
        <f>V135-V46</f>
        <v>#VALUE!</v>
      </c>
      <c r="W137" s="127"/>
      <c r="X137" s="127" t="e">
        <f>X135-X46</f>
        <v>#VALUE!</v>
      </c>
      <c r="Y137" s="127" t="e">
        <f>Y135-Y46</f>
        <v>#VALUE!</v>
      </c>
      <c r="Z137" s="127" t="e">
        <f>Z135-Z46</f>
        <v>#VALUE!</v>
      </c>
      <c r="AA137" s="127" t="e">
        <f>AA135-AA46</f>
        <v>#VALUE!</v>
      </c>
      <c r="AB137" s="127" t="e">
        <f>AB135-AB46</f>
        <v>#VALUE!</v>
      </c>
      <c r="AC137" s="127" t="e">
        <f>AC135-AC46</f>
        <v>#VALUE!</v>
      </c>
      <c r="AD137" s="127" t="e">
        <f>AD135-AD46</f>
        <v>#VALUE!</v>
      </c>
      <c r="AE137" s="127" t="e">
        <f>AE135-AE46</f>
        <v>#VALUE!</v>
      </c>
      <c r="AF137" s="127" t="e">
        <f>AF135-AF46</f>
        <v>#VALUE!</v>
      </c>
      <c r="AG137" s="127" t="e">
        <f>AG135-AG46</f>
        <v>#VALUE!</v>
      </c>
      <c r="AH137" s="127" t="e">
        <f>AH135-AH46</f>
        <v>#VALUE!</v>
      </c>
      <c r="AI137" s="11"/>
      <c r="AJ137" s="44"/>
    </row>
    <row r="138" spans="2:36" ht="5.0999999999999996" customHeight="1">
      <c r="B138" s="8"/>
      <c r="C138" s="62"/>
      <c r="D138" s="62"/>
      <c r="E138" s="62"/>
      <c r="F138" s="62"/>
      <c r="G138" s="62"/>
      <c r="H138" s="30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44"/>
    </row>
    <row r="139" spans="2:36">
      <c r="B139" s="8"/>
      <c r="C139" s="62"/>
      <c r="D139" s="62"/>
      <c r="E139" s="62"/>
      <c r="F139" s="62"/>
      <c r="G139" s="62"/>
      <c r="H139" s="30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44"/>
    </row>
    <row r="140" spans="2:36">
      <c r="B140" s="138" t="s">
        <v>139</v>
      </c>
      <c r="C140" s="62"/>
      <c r="D140" s="62"/>
      <c r="E140" s="62"/>
      <c r="F140" s="62"/>
      <c r="G140" s="62"/>
      <c r="H140" s="30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44"/>
    </row>
    <row r="141" spans="2:36">
      <c r="B141" s="80" t="s">
        <v>181</v>
      </c>
      <c r="C141" s="62">
        <v>62</v>
      </c>
      <c r="D141" s="62">
        <v>50</v>
      </c>
      <c r="E141" s="62">
        <v>22</v>
      </c>
      <c r="F141" s="62">
        <v>31</v>
      </c>
      <c r="G141" s="62">
        <v>51</v>
      </c>
      <c r="H141" s="30"/>
      <c r="I141" s="79"/>
      <c r="J141" s="30"/>
      <c r="K141" s="30"/>
      <c r="L141" s="30">
        <f t="shared" ref="L141" si="230">SUM(E141-SUM(I141:K141))</f>
        <v>22</v>
      </c>
      <c r="M141" s="79"/>
      <c r="N141" s="30"/>
      <c r="O141" s="30"/>
      <c r="P141" s="30">
        <f t="shared" ref="P141" si="231">SUM(F141-SUM(M141:O141))</f>
        <v>31</v>
      </c>
      <c r="Q141" s="79"/>
      <c r="R141" s="30"/>
      <c r="S141" s="30"/>
      <c r="T141" s="30">
        <f t="shared" ref="T141" si="232">SUM(G141-SUM(Q141:S141))</f>
        <v>51</v>
      </c>
      <c r="U141" s="79"/>
      <c r="V141" s="30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44"/>
    </row>
    <row r="142" spans="2:36">
      <c r="B142" s="80" t="s">
        <v>180</v>
      </c>
      <c r="C142" s="62">
        <v>514</v>
      </c>
      <c r="D142" s="62">
        <v>442</v>
      </c>
      <c r="E142" s="62">
        <v>716</v>
      </c>
      <c r="F142" s="62">
        <v>283</v>
      </c>
      <c r="G142" s="62">
        <v>543</v>
      </c>
      <c r="H142" s="30"/>
      <c r="I142" s="79"/>
      <c r="J142" s="30"/>
      <c r="K142" s="30"/>
      <c r="L142" s="30"/>
      <c r="M142" s="79"/>
      <c r="N142" s="30"/>
      <c r="O142" s="30"/>
      <c r="P142" s="30"/>
      <c r="Q142" s="79"/>
      <c r="R142" s="30"/>
      <c r="S142" s="30"/>
      <c r="T142" s="30"/>
      <c r="U142" s="79"/>
      <c r="V142" s="30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44"/>
    </row>
    <row r="143" spans="2:36" ht="5.0999999999999996" customHeight="1" thickBot="1">
      <c r="B143" s="68"/>
      <c r="C143" s="69"/>
      <c r="D143" s="69"/>
      <c r="E143" s="69"/>
      <c r="F143" s="69"/>
      <c r="G143" s="69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J143" s="44"/>
    </row>
    <row r="144" spans="2:36" ht="12.75" customHeight="1">
      <c r="B144" s="140" t="s">
        <v>121</v>
      </c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J144" s="44"/>
    </row>
    <row r="145" spans="2:34" ht="12.75" customHeight="1">
      <c r="B145" s="139" t="s">
        <v>122</v>
      </c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</row>
    <row r="146" spans="2:34" ht="12.75" customHeight="1">
      <c r="C146" s="54"/>
      <c r="D146" s="54"/>
      <c r="E146" s="54"/>
      <c r="F146" s="54"/>
      <c r="G146" s="54"/>
    </row>
    <row r="147" spans="2:34" ht="12.75" customHeight="1">
      <c r="C147" s="54"/>
      <c r="D147" s="54"/>
      <c r="E147" s="54"/>
      <c r="F147" s="54"/>
      <c r="G147" s="54"/>
    </row>
    <row r="148" spans="2:34" ht="12.75" customHeight="1">
      <c r="C148" s="54"/>
      <c r="D148" s="54"/>
      <c r="E148" s="54"/>
      <c r="F148" s="54"/>
      <c r="G148" s="54"/>
    </row>
    <row r="149" spans="2:34" ht="12.75" customHeight="1">
      <c r="C149" s="54"/>
      <c r="D149" s="54"/>
      <c r="E149" s="54"/>
      <c r="F149" s="54"/>
      <c r="G149" s="54"/>
    </row>
    <row r="150" spans="2:34" ht="12.75" customHeight="1">
      <c r="C150" s="54"/>
      <c r="D150" s="54"/>
      <c r="E150" s="54"/>
      <c r="F150" s="54"/>
      <c r="G150" s="5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 spans="2:34" ht="12.75" customHeight="1">
      <c r="C151" s="54"/>
      <c r="D151" s="54"/>
      <c r="E151" s="54"/>
      <c r="F151" s="54"/>
      <c r="G151" s="54"/>
    </row>
    <row r="152" spans="2:34" ht="12.75" customHeight="1">
      <c r="C152" s="54"/>
      <c r="D152" s="54"/>
      <c r="E152" s="54"/>
      <c r="F152" s="54"/>
      <c r="G152" s="5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 spans="2:34"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 spans="2:34"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6" spans="2:34"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 spans="2:34"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</sheetData>
  <mergeCells count="6">
    <mergeCell ref="B145:AH145"/>
    <mergeCell ref="B144:AH144"/>
    <mergeCell ref="AJ6:AJ8"/>
    <mergeCell ref="AJ41:AJ43"/>
    <mergeCell ref="AJ86:AJ88"/>
    <mergeCell ref="B84:AJ84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H14:AH16 AH33 H50" formulaRange="1"/>
    <ignoredError sqref="AJ117:AJ119 AJ108:AJ110" evalError="1"/>
    <ignoredError sqref="Q92:V93 U91:V91 Q91:S91 P91 T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142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10</v>
      </c>
      <c r="X2" s="2"/>
      <c r="Y2" s="2"/>
      <c r="Z2" s="2"/>
      <c r="AA2" s="2" t="s">
        <v>10</v>
      </c>
      <c r="AB2" s="2"/>
      <c r="AC2" s="2" t="s">
        <v>10</v>
      </c>
      <c r="AD2" s="2"/>
      <c r="AE2" s="2"/>
      <c r="AF2" s="2"/>
    </row>
    <row r="3" spans="1:32" s="5" customFormat="1" ht="12.75" customHeight="1">
      <c r="B3" s="6" t="s">
        <v>87</v>
      </c>
      <c r="C3" s="7" t="e">
        <f>'Historical Financials'!#REF!</f>
        <v>#REF!</v>
      </c>
      <c r="D3" s="7">
        <f>'Historical Financials'!E7</f>
        <v>2022</v>
      </c>
      <c r="E3" s="7">
        <f>'Historical Financials'!F7</f>
        <v>2023</v>
      </c>
      <c r="F3" s="7">
        <f>'Historical Financials'!G7</f>
        <v>2024</v>
      </c>
      <c r="G3" s="3"/>
      <c r="H3" s="7" t="str">
        <f>'Historical Financials'!I7</f>
        <v>1Q22</v>
      </c>
      <c r="I3" s="7" t="str">
        <f>'Historical Financials'!J7</f>
        <v>2Q22</v>
      </c>
      <c r="J3" s="7" t="str">
        <f>'Historical Financials'!K7</f>
        <v>3Q22</v>
      </c>
      <c r="K3" s="7" t="str">
        <f>'Historical Financials'!L7</f>
        <v>4Q22</v>
      </c>
      <c r="L3" s="7" t="str">
        <f>'Historical Financials'!M7</f>
        <v>1Q23</v>
      </c>
      <c r="M3" s="7" t="str">
        <f>'Historical Financials'!N7</f>
        <v>2Q23</v>
      </c>
      <c r="N3" s="7" t="str">
        <f>'Historical Financials'!O7</f>
        <v>3Q23</v>
      </c>
      <c r="O3" s="7" t="str">
        <f>'Historical Financials'!P7</f>
        <v>4Q23</v>
      </c>
      <c r="P3" s="7" t="str">
        <f>'Historical Financials'!Q7</f>
        <v>1Q24</v>
      </c>
      <c r="Q3" s="7" t="str">
        <f>'Historical Financials'!R7</f>
        <v>2Q24</v>
      </c>
      <c r="R3" s="7" t="str">
        <f>'Historical Financials'!S7</f>
        <v>3Q24</v>
      </c>
      <c r="S3" s="7" t="str">
        <f>'Historical Financials'!T7</f>
        <v>4Q24</v>
      </c>
      <c r="T3" s="7" t="str">
        <f>'Historical Financials'!U7</f>
        <v>1Q25</v>
      </c>
      <c r="U3" s="7" t="str">
        <f>'Historical Financials'!V7</f>
        <v>2Q25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str">
        <f t="shared" ref="AC3:AE4" si="1">S3</f>
        <v>4Q24</v>
      </c>
      <c r="AD3" s="4" t="str">
        <f t="shared" si="1"/>
        <v>1Q25</v>
      </c>
      <c r="AE3" s="4" t="str">
        <f t="shared" si="1"/>
        <v>2Q25</v>
      </c>
      <c r="AF3" s="4" t="e">
        <f>#REF!</f>
        <v>#REF!</v>
      </c>
    </row>
    <row r="4" spans="1:32" s="5" customFormat="1" ht="12.75" customHeight="1">
      <c r="B4" s="6" t="s">
        <v>136</v>
      </c>
      <c r="C4" s="3" t="e">
        <f>'Historical Financials'!#REF!</f>
        <v>#REF!</v>
      </c>
      <c r="D4" s="3">
        <f>'Historical Financials'!E8</f>
        <v>44926</v>
      </c>
      <c r="E4" s="3">
        <f>'Historical Financials'!F8</f>
        <v>45291</v>
      </c>
      <c r="F4" s="3">
        <f>'Historical Financials'!G8</f>
        <v>45657</v>
      </c>
      <c r="G4" s="3"/>
      <c r="H4" s="3">
        <f>'Historical Financials'!I8</f>
        <v>44651</v>
      </c>
      <c r="I4" s="3">
        <f>'Historical Financials'!J8</f>
        <v>44742</v>
      </c>
      <c r="J4" s="3">
        <f>'Historical Financials'!K8</f>
        <v>44834</v>
      </c>
      <c r="K4" s="3">
        <f>'Historical Financials'!L8</f>
        <v>44926</v>
      </c>
      <c r="L4" s="3">
        <f>'Historical Financials'!M8</f>
        <v>45016</v>
      </c>
      <c r="M4" s="3">
        <f>'Historical Financials'!N8</f>
        <v>45107</v>
      </c>
      <c r="N4" s="3">
        <f>'Historical Financials'!O8</f>
        <v>45199</v>
      </c>
      <c r="O4" s="3">
        <f>'Historical Financials'!P8</f>
        <v>45291</v>
      </c>
      <c r="P4" s="3">
        <f>'Historical Financials'!Q8</f>
        <v>45382</v>
      </c>
      <c r="Q4" s="3">
        <f>'Historical Financials'!R8</f>
        <v>45473</v>
      </c>
      <c r="R4" s="3">
        <f>'Historical Financials'!S8</f>
        <v>45565</v>
      </c>
      <c r="S4" s="3">
        <f>'Historical Financials'!T8</f>
        <v>45657</v>
      </c>
      <c r="T4" s="3">
        <f>'Historical Financials'!U8</f>
        <v>45747</v>
      </c>
      <c r="U4" s="3">
        <f>'Historical Financials'!V8</f>
        <v>45838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>
        <f t="shared" si="1"/>
        <v>45657</v>
      </c>
      <c r="AD4" s="3">
        <f t="shared" si="1"/>
        <v>45747</v>
      </c>
      <c r="AE4" s="3">
        <f t="shared" si="1"/>
        <v>45838</v>
      </c>
      <c r="AF4" s="3" t="e">
        <f>#REF!</f>
        <v>#REF!</v>
      </c>
    </row>
    <row r="5" spans="1:32" ht="5.0999999999999996" customHeight="1"/>
    <row r="6" spans="1:32" ht="12.75" customHeight="1">
      <c r="A6" s="77" t="s">
        <v>19</v>
      </c>
      <c r="B6" s="74" t="s">
        <v>112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88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79</v>
      </c>
      <c r="C10" s="119"/>
      <c r="D10" s="76">
        <f>+D9-'Historical Financials'!E11</f>
        <v>-51761</v>
      </c>
      <c r="E10" s="76">
        <f>+E9-'Historical Financials'!F11</f>
        <v>-46298</v>
      </c>
      <c r="F10" s="76">
        <f>+F9-'Historical Financials'!G11</f>
        <v>-43452</v>
      </c>
      <c r="G10" s="11"/>
      <c r="H10" s="119"/>
      <c r="I10" s="119"/>
      <c r="J10" s="119"/>
      <c r="K10" s="119"/>
      <c r="L10" s="119"/>
      <c r="M10" s="119"/>
      <c r="N10" s="119"/>
      <c r="O10" s="119"/>
      <c r="P10" s="76">
        <f>+P9-'Historical Financials'!Q11</f>
        <v>0</v>
      </c>
      <c r="Q10" s="76">
        <f>+Q9-'Historical Financials'!R11</f>
        <v>0</v>
      </c>
      <c r="R10" s="76">
        <f>+R9-'Historical Financials'!S11</f>
        <v>0</v>
      </c>
      <c r="S10" s="76">
        <f>+S9-'Historical Financials'!T11</f>
        <v>-43452</v>
      </c>
      <c r="T10" s="76">
        <f>+T9-'Historical Financials'!U11</f>
        <v>0</v>
      </c>
      <c r="U10" s="76">
        <f>+U9-'Historical Financials'!V11</f>
        <v>0</v>
      </c>
      <c r="V10" s="76"/>
      <c r="W10" s="76">
        <f>W9-'Historical Financials'!X11</f>
        <v>-51761</v>
      </c>
      <c r="X10" s="76">
        <f>X9-'Historical Financials'!Y11</f>
        <v>-51761</v>
      </c>
      <c r="Y10" s="76">
        <f>Y9-'Historical Financials'!Z11</f>
        <v>-51761</v>
      </c>
      <c r="Z10" s="76">
        <f>Z9-'Historical Financials'!AA11</f>
        <v>-51761</v>
      </c>
      <c r="AA10" s="76">
        <f>AA9-'Historical Financials'!AB11</f>
        <v>-46298</v>
      </c>
      <c r="AB10" s="76">
        <f>AB9-'Historical Financials'!AC11</f>
        <v>-46298</v>
      </c>
      <c r="AC10" s="76">
        <f>AC9-'Historical Financials'!AE11</f>
        <v>-46298</v>
      </c>
      <c r="AD10" s="76">
        <f>AD9-'Historical Financials'!AF11</f>
        <v>-43452</v>
      </c>
      <c r="AE10" s="76">
        <f>AE9-'Historical Financials'!AG11</f>
        <v>-43452</v>
      </c>
      <c r="AF10" s="76">
        <f>AF9-'Historical Financials'!AH11</f>
        <v>-43452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19</v>
      </c>
      <c r="B12" s="74" t="s">
        <v>141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111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79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9"/>
      <c r="I16" s="119"/>
      <c r="J16" s="119"/>
      <c r="K16" s="119"/>
      <c r="L16" s="119"/>
      <c r="M16" s="119"/>
      <c r="N16" s="119"/>
      <c r="O16" s="119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Financials'!X17</f>
        <v>-8635</v>
      </c>
      <c r="X16" s="76">
        <f>X15-'Historical Financials'!Y17</f>
        <v>-8635</v>
      </c>
      <c r="Y16" s="76">
        <f>Y15-'Historical Financials'!Z17</f>
        <v>-8635</v>
      </c>
      <c r="Z16" s="76">
        <f>Z15-'Historical Financials'!AA17</f>
        <v>-7970</v>
      </c>
      <c r="AA16" s="76">
        <f>AA15-'Historical Financials'!AB17</f>
        <v>-7970</v>
      </c>
      <c r="AB16" s="76">
        <f>AB15-'Historical Financials'!AC17</f>
        <v>-7970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142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6" t="s">
        <v>26</v>
      </c>
    </row>
    <row r="3" spans="2:37" s="5" customFormat="1" ht="12.75" customHeight="1">
      <c r="B3" s="6" t="s">
        <v>27</v>
      </c>
      <c r="C3" s="7" t="e">
        <f>'Historical Financials'!#REF!</f>
        <v>#REF!</v>
      </c>
      <c r="D3" s="7">
        <f>'Historical Financials'!E7</f>
        <v>2022</v>
      </c>
      <c r="E3" s="7">
        <f>'Historical Financials'!F7</f>
        <v>2023</v>
      </c>
      <c r="F3" s="7">
        <f>'Historical Financials'!G7</f>
        <v>2024</v>
      </c>
      <c r="G3" s="3"/>
      <c r="H3" s="7" t="str">
        <f>'Historical Financials'!I7</f>
        <v>1Q22</v>
      </c>
      <c r="I3" s="7" t="str">
        <f>'Historical Financials'!J7</f>
        <v>2Q22</v>
      </c>
      <c r="J3" s="7" t="str">
        <f>'Historical Financials'!K7</f>
        <v>3Q22</v>
      </c>
      <c r="K3" s="7" t="str">
        <f>'Historical Financials'!L7</f>
        <v>4Q22</v>
      </c>
      <c r="L3" s="7" t="str">
        <f>'Historical Financials'!M7</f>
        <v>1Q23</v>
      </c>
      <c r="M3" s="7" t="str">
        <f>'Historical Financials'!N7</f>
        <v>2Q23</v>
      </c>
      <c r="N3" s="7" t="str">
        <f>'Historical Financials'!O7</f>
        <v>3Q23</v>
      </c>
      <c r="O3" s="7" t="str">
        <f>'Historical Financials'!P7</f>
        <v>4Q23</v>
      </c>
      <c r="P3" s="7" t="str">
        <f>'Historical Financials'!Q7</f>
        <v>1Q24</v>
      </c>
      <c r="Q3" s="7" t="str">
        <f>'Historical Financials'!R7</f>
        <v>2Q24</v>
      </c>
      <c r="R3" s="7" t="str">
        <f>'Historical Financials'!S7</f>
        <v>3Q24</v>
      </c>
      <c r="S3" s="7" t="str">
        <f>'Historical Financials'!T7</f>
        <v>4Q24</v>
      </c>
      <c r="T3" s="7" t="str">
        <f>'Historical Financials'!U7</f>
        <v>1Q25</v>
      </c>
      <c r="U3" s="7" t="str">
        <f>'Historical Financials'!V7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136</v>
      </c>
      <c r="C4" s="3" t="e">
        <f>'Historical Financials'!#REF!</f>
        <v>#REF!</v>
      </c>
      <c r="D4" s="3">
        <f>'Historical Financials'!E8</f>
        <v>44926</v>
      </c>
      <c r="E4" s="3">
        <f>'Historical Financials'!F8</f>
        <v>45291</v>
      </c>
      <c r="F4" s="3">
        <f>'Historical Financials'!G8</f>
        <v>45657</v>
      </c>
      <c r="G4" s="3"/>
      <c r="H4" s="3">
        <f>'Historical Financials'!I8</f>
        <v>44651</v>
      </c>
      <c r="I4" s="3">
        <f>'Historical Financials'!J8</f>
        <v>44742</v>
      </c>
      <c r="J4" s="3">
        <f>'Historical Financials'!K8</f>
        <v>44834</v>
      </c>
      <c r="K4" s="3">
        <f>'Historical Financials'!L8</f>
        <v>44926</v>
      </c>
      <c r="L4" s="3">
        <f>'Historical Financials'!M8</f>
        <v>45016</v>
      </c>
      <c r="M4" s="3">
        <f>'Historical Financials'!N8</f>
        <v>45107</v>
      </c>
      <c r="N4" s="3">
        <f>'Historical Financials'!O8</f>
        <v>45199</v>
      </c>
      <c r="O4" s="3">
        <f>'Historical Financials'!P8</f>
        <v>45291</v>
      </c>
      <c r="P4" s="3">
        <f>'Historical Financials'!Q8</f>
        <v>45382</v>
      </c>
      <c r="Q4" s="3">
        <f>'Historical Financials'!R8</f>
        <v>45473</v>
      </c>
      <c r="R4" s="3">
        <f>'Historical Financials'!S8</f>
        <v>45565</v>
      </c>
      <c r="S4" s="3">
        <f>'Historical Financials'!T8</f>
        <v>45657</v>
      </c>
      <c r="T4" s="3">
        <f>'Historical Financials'!U8</f>
        <v>45747</v>
      </c>
      <c r="U4" s="3">
        <f>'Historical Financials'!V8</f>
        <v>45838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Financials'!I11</f>
        <v>0</v>
      </c>
      <c r="I8" s="13">
        <f>'Historical Financials'!J11</f>
        <v>0</v>
      </c>
      <c r="J8" s="13">
        <f>'Historical Financials'!K11</f>
        <v>0</v>
      </c>
      <c r="K8" s="13">
        <f>'Historical Financials'!L11</f>
        <v>51761</v>
      </c>
      <c r="L8" s="13">
        <f>'Historical Financials'!M11</f>
        <v>0</v>
      </c>
      <c r="M8" s="13">
        <f>'Historical Financials'!N11</f>
        <v>0</v>
      </c>
      <c r="N8" s="13">
        <f>'Historical Financials'!O11</f>
        <v>0</v>
      </c>
      <c r="O8" s="13">
        <f>'Historical Financials'!P11</f>
        <v>46298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51761</v>
      </c>
      <c r="Y8" s="13">
        <f t="shared" ref="Y8" si="4">SUM(I8:L8)</f>
        <v>51761</v>
      </c>
      <c r="Z8" s="13">
        <f t="shared" ref="Z8" si="5">SUM(J8:M8)</f>
        <v>51761</v>
      </c>
      <c r="AA8" s="13">
        <f t="shared" ref="AA8" si="6">SUM(K8:N8)</f>
        <v>51761</v>
      </c>
      <c r="AB8" s="13">
        <f t="shared" si="1"/>
        <v>46298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34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 t="e">
        <f>SUM(M8/I8)-1</f>
        <v>#DIV/0!</v>
      </c>
      <c r="N9" s="15" t="e">
        <f t="shared" ref="N9:V9" si="8">SUM(N8/J8)-1</f>
        <v>#DIV/0!</v>
      </c>
      <c r="O9" s="15">
        <f t="shared" si="8"/>
        <v>-0.10554278317652288</v>
      </c>
      <c r="P9" s="15" t="e">
        <f t="shared" si="8"/>
        <v>#DIV/0!</v>
      </c>
      <c r="Q9" s="15" t="e">
        <f t="shared" si="8"/>
        <v>#DIV/0!</v>
      </c>
      <c r="R9" s="15" t="e">
        <f t="shared" si="8"/>
        <v>#DIV/0!</v>
      </c>
      <c r="S9" s="15">
        <f t="shared" si="8"/>
        <v>-1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>
        <f t="shared" ref="AB9:AI9" si="9">SUM(AB8/X8)-1</f>
        <v>-0.10554278317652288</v>
      </c>
      <c r="AC9" s="15">
        <f t="shared" si="9"/>
        <v>-1</v>
      </c>
      <c r="AD9" s="15">
        <f t="shared" si="9"/>
        <v>-1</v>
      </c>
      <c r="AE9" s="15">
        <f t="shared" si="9"/>
        <v>-1</v>
      </c>
      <c r="AF9" s="15">
        <f t="shared" si="9"/>
        <v>-1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35</v>
      </c>
      <c r="C10" s="15" t="s">
        <v>36</v>
      </c>
      <c r="D10" s="15" t="s">
        <v>36</v>
      </c>
      <c r="E10" s="15" t="s">
        <v>36</v>
      </c>
      <c r="F10" s="15" t="s">
        <v>36</v>
      </c>
      <c r="G10" s="11"/>
      <c r="H10" s="135"/>
      <c r="I10" s="135"/>
      <c r="J10" s="15" t="e">
        <f>SUM(J8/I8)-1</f>
        <v>#DIV/0!</v>
      </c>
      <c r="K10" s="15" t="e">
        <f t="shared" ref="K10:V10" si="10">SUM(K8/J8)-1</f>
        <v>#DIV/0!</v>
      </c>
      <c r="L10" s="15">
        <f t="shared" si="10"/>
        <v>-1</v>
      </c>
      <c r="M10" s="15" t="e">
        <f t="shared" si="10"/>
        <v>#DIV/0!</v>
      </c>
      <c r="N10" s="15" t="e">
        <f t="shared" si="10"/>
        <v>#DIV/0!</v>
      </c>
      <c r="O10" s="15" t="e">
        <f t="shared" si="10"/>
        <v>#DIV/0!</v>
      </c>
      <c r="P10" s="15">
        <f t="shared" si="10"/>
        <v>-1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36</v>
      </c>
      <c r="Y10" s="15" t="s">
        <v>36</v>
      </c>
      <c r="Z10" s="15" t="s">
        <v>36</v>
      </c>
      <c r="AA10" s="15" t="s">
        <v>36</v>
      </c>
      <c r="AB10" s="15" t="s">
        <v>36</v>
      </c>
      <c r="AC10" s="15" t="s">
        <v>36</v>
      </c>
      <c r="AD10" s="15" t="s">
        <v>36</v>
      </c>
      <c r="AE10" s="15" t="s">
        <v>36</v>
      </c>
      <c r="AF10" s="15" t="s">
        <v>36</v>
      </c>
      <c r="AG10" s="15" t="s">
        <v>36</v>
      </c>
      <c r="AH10" s="15" t="s">
        <v>36</v>
      </c>
      <c r="AI10" s="15" t="s">
        <v>36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37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Financials'!I13</f>
        <v>0</v>
      </c>
      <c r="I12" s="85">
        <f>'Historical Financials'!J13</f>
        <v>0</v>
      </c>
      <c r="J12" s="85">
        <f>'Historical Financials'!K13</f>
        <v>0</v>
      </c>
      <c r="K12" s="85">
        <f>'Historical Financials'!L13</f>
        <v>40121</v>
      </c>
      <c r="L12" s="85">
        <f>'Historical Financials'!M13</f>
        <v>0</v>
      </c>
      <c r="M12" s="85">
        <f>'Historical Financials'!N13</f>
        <v>0</v>
      </c>
      <c r="N12" s="85">
        <f>'Historical Financials'!O13</f>
        <v>0</v>
      </c>
      <c r="O12" s="85">
        <f>'Historical Financials'!P13</f>
        <v>36386</v>
      </c>
      <c r="P12" s="85">
        <f>'Historical Financials'!Q13</f>
        <v>0</v>
      </c>
      <c r="Q12" s="85">
        <f>'Historical Financials'!R13</f>
        <v>0</v>
      </c>
      <c r="R12" s="85"/>
      <c r="S12" s="85"/>
      <c r="T12" s="85"/>
      <c r="U12" s="85"/>
      <c r="V12" s="85"/>
      <c r="W12" s="5"/>
      <c r="X12" s="10">
        <f>SUM(G12:K12)</f>
        <v>40121</v>
      </c>
      <c r="Y12" s="10">
        <f t="shared" ref="Y12:AH12" si="11">SUM(I12:L12)</f>
        <v>40121</v>
      </c>
      <c r="Z12" s="10">
        <f t="shared" si="11"/>
        <v>40121</v>
      </c>
      <c r="AA12" s="10">
        <f t="shared" si="11"/>
        <v>40121</v>
      </c>
      <c r="AB12" s="10">
        <f t="shared" si="11"/>
        <v>36386</v>
      </c>
      <c r="AC12" s="10">
        <f t="shared" si="11"/>
        <v>36386</v>
      </c>
      <c r="AD12" s="10">
        <f t="shared" si="11"/>
        <v>36386</v>
      </c>
      <c r="AE12" s="10">
        <f t="shared" si="11"/>
        <v>36386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5">
        <f>SUM(AI12/AE12)-1</f>
        <v>-1</v>
      </c>
    </row>
    <row r="13" spans="2:37" ht="12.75" customHeight="1">
      <c r="B13" s="23" t="s">
        <v>24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0</v>
      </c>
      <c r="I13" s="24">
        <f t="shared" ref="I13:V13" si="13">+I8+I12</f>
        <v>0</v>
      </c>
      <c r="J13" s="24">
        <f t="shared" si="13"/>
        <v>0</v>
      </c>
      <c r="K13" s="24">
        <f t="shared" si="13"/>
        <v>91882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82684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91882</v>
      </c>
      <c r="Y13" s="24">
        <f t="shared" si="14"/>
        <v>91882</v>
      </c>
      <c r="Z13" s="24">
        <f t="shared" si="14"/>
        <v>91882</v>
      </c>
      <c r="AA13" s="24">
        <f t="shared" si="14"/>
        <v>91882</v>
      </c>
      <c r="AB13" s="24">
        <f t="shared" si="14"/>
        <v>82684</v>
      </c>
      <c r="AC13" s="24">
        <f t="shared" si="14"/>
        <v>36386</v>
      </c>
      <c r="AD13" s="24">
        <f t="shared" si="14"/>
        <v>36386</v>
      </c>
      <c r="AE13" s="24">
        <f t="shared" si="14"/>
        <v>36386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6">
        <f>SUM(AI13/AE13)-1</f>
        <v>-1</v>
      </c>
    </row>
    <row r="14" spans="2:37" ht="12.75" customHeight="1">
      <c r="B14" s="14" t="s">
        <v>38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 t="e">
        <f t="shared" ref="H14" si="15">H13/H8</f>
        <v>#DIV/0!</v>
      </c>
      <c r="I14" s="15" t="e">
        <f t="shared" ref="I14:V14" si="16">I13/I8</f>
        <v>#DIV/0!</v>
      </c>
      <c r="J14" s="15" t="e">
        <f t="shared" si="16"/>
        <v>#DIV/0!</v>
      </c>
      <c r="K14" s="15">
        <f t="shared" si="16"/>
        <v>1.7751202642916482</v>
      </c>
      <c r="L14" s="15" t="e">
        <f t="shared" si="16"/>
        <v>#DIV/0!</v>
      </c>
      <c r="M14" s="15" t="e">
        <f t="shared" si="16"/>
        <v>#DIV/0!</v>
      </c>
      <c r="N14" s="15" t="e">
        <f t="shared" si="16"/>
        <v>#DIV/0!</v>
      </c>
      <c r="O14" s="15">
        <f t="shared" si="16"/>
        <v>1.7859086785606291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>
        <f t="shared" ref="X14:AH14" si="17">X13/X8</f>
        <v>1.7751202642916482</v>
      </c>
      <c r="Y14" s="15">
        <f t="shared" si="17"/>
        <v>1.7751202642916482</v>
      </c>
      <c r="Z14" s="15">
        <f t="shared" si="17"/>
        <v>1.7751202642916482</v>
      </c>
      <c r="AA14" s="15">
        <f t="shared" si="17"/>
        <v>1.7751202642916482</v>
      </c>
      <c r="AB14" s="15">
        <f t="shared" si="17"/>
        <v>1.7859086785606291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123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Financials'!I17</f>
        <v>0</v>
      </c>
      <c r="I16" s="85">
        <f>'Historical Financials'!J17</f>
        <v>0</v>
      </c>
      <c r="J16" s="85">
        <f>'Historical Financials'!K17</f>
        <v>0</v>
      </c>
      <c r="K16" s="85">
        <f>'Historical Financials'!L17</f>
        <v>8635</v>
      </c>
      <c r="L16" s="85">
        <f>'Historical Financials'!M17</f>
        <v>0</v>
      </c>
      <c r="M16" s="85">
        <f>'Historical Financials'!N17</f>
        <v>0</v>
      </c>
      <c r="N16" s="85">
        <f>'Historical Financials'!O17</f>
        <v>0</v>
      </c>
      <c r="O16" s="85">
        <f>'Historical Financials'!P17</f>
        <v>7970</v>
      </c>
      <c r="P16" s="85">
        <f>'Historical Financials'!Q17</f>
        <v>0</v>
      </c>
      <c r="Q16" s="85">
        <f>'Historical Financials'!R17</f>
        <v>0</v>
      </c>
      <c r="R16" s="85"/>
      <c r="S16" s="85"/>
      <c r="T16" s="85"/>
      <c r="U16" s="85"/>
      <c r="V16" s="85"/>
      <c r="W16" s="5"/>
      <c r="X16" s="10">
        <f t="shared" ref="X16:X19" si="18">SUM(G16:K16)</f>
        <v>8635</v>
      </c>
      <c r="Y16" s="10">
        <f t="shared" ref="Y16:Y19" si="19">SUM(I16:L16)</f>
        <v>8635</v>
      </c>
      <c r="Z16" s="10">
        <f t="shared" ref="Z16:Z19" si="20">SUM(J16:M16)</f>
        <v>8635</v>
      </c>
      <c r="AA16" s="10">
        <f t="shared" ref="AA16:AA19" si="21">SUM(K16:N16)</f>
        <v>8635</v>
      </c>
      <c r="AB16" s="10">
        <f t="shared" ref="AB16:AB19" si="22">SUM(L16:O16)</f>
        <v>7970</v>
      </c>
      <c r="AC16" s="10">
        <f t="shared" ref="AC16:AC19" si="23">SUM(M16:P16)</f>
        <v>7970</v>
      </c>
      <c r="AD16" s="10">
        <f t="shared" ref="AD16:AD19" si="24">SUM(N16:Q16)</f>
        <v>7970</v>
      </c>
      <c r="AE16" s="10">
        <f t="shared" ref="AE16:AE19" si="25">SUM(O16:R16)</f>
        <v>7970</v>
      </c>
      <c r="AF16" s="10">
        <f t="shared" ref="AF16:AF19" si="26">SUM(P16:S16)</f>
        <v>0</v>
      </c>
      <c r="AG16" s="10">
        <f t="shared" ref="AG16:AG19" si="27">SUM(Q16:T16)</f>
        <v>0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124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Financials'!I18</f>
        <v>0</v>
      </c>
      <c r="I17" s="85">
        <f>'Historical Financials'!J18</f>
        <v>0</v>
      </c>
      <c r="J17" s="85">
        <f>'Historical Financials'!K18</f>
        <v>0</v>
      </c>
      <c r="K17" s="85">
        <f>'Historical Financials'!L18</f>
        <v>-34</v>
      </c>
      <c r="L17" s="85">
        <f>'Historical Financials'!M18</f>
        <v>0</v>
      </c>
      <c r="M17" s="85">
        <f>'Historical Financials'!N18</f>
        <v>0</v>
      </c>
      <c r="N17" s="85">
        <f>'Historical Financials'!O18</f>
        <v>0</v>
      </c>
      <c r="O17" s="85">
        <f>'Historical Financials'!P18</f>
        <v>147</v>
      </c>
      <c r="P17" s="85">
        <f>'Historical Financials'!Q18</f>
        <v>0</v>
      </c>
      <c r="Q17" s="85">
        <f>'Historical Financials'!R18</f>
        <v>0</v>
      </c>
      <c r="R17" s="85"/>
      <c r="S17" s="85"/>
      <c r="T17" s="85"/>
      <c r="U17" s="85"/>
      <c r="V17" s="85"/>
      <c r="W17" s="5"/>
      <c r="X17" s="10">
        <f t="shared" si="18"/>
        <v>-34</v>
      </c>
      <c r="Y17" s="10">
        <f t="shared" si="19"/>
        <v>-34</v>
      </c>
      <c r="Z17" s="10">
        <f t="shared" si="20"/>
        <v>-34</v>
      </c>
      <c r="AA17" s="10">
        <f t="shared" si="21"/>
        <v>-34</v>
      </c>
      <c r="AB17" s="10">
        <f t="shared" si="22"/>
        <v>147</v>
      </c>
      <c r="AC17" s="10">
        <f t="shared" si="23"/>
        <v>147</v>
      </c>
      <c r="AD17" s="10">
        <f t="shared" si="24"/>
        <v>147</v>
      </c>
      <c r="AE17" s="10">
        <f t="shared" si="25"/>
        <v>147</v>
      </c>
      <c r="AF17" s="10">
        <f t="shared" si="26"/>
        <v>0</v>
      </c>
      <c r="AG17" s="10">
        <f t="shared" si="27"/>
        <v>0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125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126</v>
      </c>
      <c r="C19" s="85" t="e">
        <f>'Historical Financials'!#REF!</f>
        <v>#REF!</v>
      </c>
      <c r="D19" s="85"/>
      <c r="E19" s="85"/>
      <c r="F19" s="85"/>
      <c r="G19" s="85"/>
      <c r="H19" s="85" t="e">
        <f>'Historical Financials'!#REF!</f>
        <v>#REF!</v>
      </c>
      <c r="I19" s="85" t="e">
        <f>'Historical Financials'!#REF!</f>
        <v>#REF!</v>
      </c>
      <c r="J19" s="85" t="e">
        <f>'Historical Financials'!#REF!</f>
        <v>#REF!</v>
      </c>
      <c r="K19" s="85" t="e">
        <f>'Historical Financials'!#REF!</f>
        <v>#REF!</v>
      </c>
      <c r="L19" s="85" t="e">
        <f>'Historical Financials'!#REF!</f>
        <v>#REF!</v>
      </c>
      <c r="M19" s="85" t="e">
        <f>'Historical Financials'!#REF!</f>
        <v>#REF!</v>
      </c>
      <c r="N19" s="85" t="e">
        <f>'Historical Financials'!#REF!</f>
        <v>#REF!</v>
      </c>
      <c r="O19" s="85" t="e">
        <f>'Historical Financials'!#REF!</f>
        <v>#REF!</v>
      </c>
      <c r="P19" s="85" t="e">
        <f>'Historical Financials'!#REF!</f>
        <v>#REF!</v>
      </c>
      <c r="Q19" s="85" t="e">
        <f>'Historical Financials'!#REF!</f>
        <v>#REF!</v>
      </c>
      <c r="R19" s="85"/>
      <c r="S19" s="85"/>
      <c r="T19" s="85"/>
      <c r="U19" s="85"/>
      <c r="V19" s="85"/>
      <c r="W19" s="5"/>
      <c r="X19" s="10" t="e">
        <f t="shared" si="18"/>
        <v>#REF!</v>
      </c>
      <c r="Y19" s="10" t="e">
        <f t="shared" si="19"/>
        <v>#REF!</v>
      </c>
      <c r="Z19" s="10" t="e">
        <f t="shared" si="20"/>
        <v>#REF!</v>
      </c>
      <c r="AA19" s="10" t="e">
        <f t="shared" si="21"/>
        <v>#REF!</v>
      </c>
      <c r="AB19" s="10" t="e">
        <f t="shared" si="22"/>
        <v>#REF!</v>
      </c>
      <c r="AC19" s="10" t="e">
        <f t="shared" si="23"/>
        <v>#REF!</v>
      </c>
      <c r="AD19" s="10" t="e">
        <f t="shared" si="24"/>
        <v>#REF!</v>
      </c>
      <c r="AE19" s="10" t="e">
        <f t="shared" si="25"/>
        <v>#REF!</v>
      </c>
      <c r="AF19" s="10" t="e">
        <f t="shared" si="26"/>
        <v>#REF!</v>
      </c>
      <c r="AG19" s="10" t="e">
        <f t="shared" si="27"/>
        <v>#REF!</v>
      </c>
      <c r="AH19" s="10">
        <f t="shared" si="28"/>
        <v>0</v>
      </c>
      <c r="AI19" s="10">
        <f t="shared" si="29"/>
        <v>0</v>
      </c>
      <c r="AK19" s="115" t="e">
        <f>SUM(AI19/AE19)-1</f>
        <v>#REF!</v>
      </c>
    </row>
    <row r="20" spans="2:37" ht="12.75" customHeight="1">
      <c r="B20" s="12" t="s">
        <v>39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40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41</v>
      </c>
      <c r="C23" s="112" t="e">
        <f>-C19</f>
        <v>#REF!</v>
      </c>
      <c r="D23" s="112"/>
      <c r="E23" s="112"/>
      <c r="F23" s="112"/>
      <c r="G23" s="136"/>
      <c r="H23" s="112" t="e">
        <f t="shared" ref="H23:Q23" si="37">-H19</f>
        <v>#REF!</v>
      </c>
      <c r="I23" s="112" t="e">
        <f t="shared" si="37"/>
        <v>#REF!</v>
      </c>
      <c r="J23" s="112" t="e">
        <f t="shared" si="37"/>
        <v>#REF!</v>
      </c>
      <c r="K23" s="112" t="e">
        <f t="shared" si="37"/>
        <v>#REF!</v>
      </c>
      <c r="L23" s="112" t="e">
        <f t="shared" si="37"/>
        <v>#REF!</v>
      </c>
      <c r="M23" s="112" t="e">
        <f t="shared" si="37"/>
        <v>#REF!</v>
      </c>
      <c r="N23" s="112" t="e">
        <f t="shared" si="37"/>
        <v>#REF!</v>
      </c>
      <c r="O23" s="112" t="e">
        <f t="shared" si="37"/>
        <v>#REF!</v>
      </c>
      <c r="P23" s="112" t="e">
        <f t="shared" si="37"/>
        <v>#REF!</v>
      </c>
      <c r="Q23" s="112" t="e">
        <f t="shared" si="37"/>
        <v>#REF!</v>
      </c>
      <c r="R23" s="112"/>
      <c r="S23" s="112"/>
      <c r="T23" s="112"/>
      <c r="U23" s="112"/>
      <c r="V23" s="112"/>
      <c r="X23" s="10" t="e">
        <f>SUM(G23:K23)</f>
        <v>#REF!</v>
      </c>
      <c r="Y23" s="10" t="e">
        <f t="shared" ref="Y23:AH23" si="38">SUM(I23:L23)</f>
        <v>#REF!</v>
      </c>
      <c r="Z23" s="10" t="e">
        <f t="shared" si="38"/>
        <v>#REF!</v>
      </c>
      <c r="AA23" s="10" t="e">
        <f t="shared" si="38"/>
        <v>#REF!</v>
      </c>
      <c r="AB23" s="10" t="e">
        <f t="shared" si="38"/>
        <v>#REF!</v>
      </c>
      <c r="AC23" s="10" t="e">
        <f t="shared" si="38"/>
        <v>#REF!</v>
      </c>
      <c r="AD23" s="10" t="e">
        <f t="shared" si="38"/>
        <v>#REF!</v>
      </c>
      <c r="AE23" s="10" t="e">
        <f t="shared" si="38"/>
        <v>#REF!</v>
      </c>
      <c r="AF23" s="10" t="e">
        <f t="shared" si="38"/>
        <v>#REF!</v>
      </c>
      <c r="AG23" s="10" t="e">
        <f t="shared" si="38"/>
        <v>#REF!</v>
      </c>
      <c r="AH23" s="10">
        <f t="shared" si="38"/>
        <v>0</v>
      </c>
      <c r="AI23" s="10">
        <f>SUM(S23:V23)</f>
        <v>0</v>
      </c>
      <c r="AK23" s="115" t="e">
        <f>SUM(AI23/AE23)-1</f>
        <v>#REF!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42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43</v>
      </c>
      <c r="C27" s="85" t="e">
        <f>'Historical Financials'!#REF!</f>
        <v>#REF!</v>
      </c>
      <c r="D27" s="85"/>
      <c r="E27" s="85"/>
      <c r="F27" s="85"/>
      <c r="H27" s="85">
        <f>'Historical Financials'!I95</f>
        <v>0</v>
      </c>
      <c r="I27" s="85">
        <f>'Historical Financials'!J95</f>
        <v>0</v>
      </c>
      <c r="J27" s="85">
        <f>'Historical Financials'!K95</f>
        <v>0</v>
      </c>
      <c r="K27" s="85">
        <f>'Historical Financials'!L95</f>
        <v>-34</v>
      </c>
      <c r="L27" s="85">
        <f>'Historical Financials'!M95</f>
        <v>0</v>
      </c>
      <c r="M27" s="85">
        <f>'Historical Financials'!N95</f>
        <v>0</v>
      </c>
      <c r="N27" s="85">
        <f>'Historical Financials'!O95</f>
        <v>0</v>
      </c>
      <c r="O27" s="85">
        <f>'Historical Financials'!P95</f>
        <v>147</v>
      </c>
      <c r="P27" s="85">
        <f>'Historical Financials'!Q95</f>
        <v>0</v>
      </c>
      <c r="Q27" s="85">
        <f>'Historical Financials'!R95</f>
        <v>0</v>
      </c>
      <c r="R27" s="85"/>
      <c r="S27" s="85"/>
      <c r="T27" s="85"/>
      <c r="U27" s="85"/>
      <c r="V27" s="85"/>
      <c r="X27" s="10">
        <f>SUM(G27:K27)</f>
        <v>-34</v>
      </c>
      <c r="Y27" s="10">
        <f t="shared" ref="Y27" si="45">SUM(I27:L27)</f>
        <v>-34</v>
      </c>
      <c r="Z27" s="10">
        <f t="shared" ref="Z27" si="46">SUM(J27:M27)</f>
        <v>-34</v>
      </c>
      <c r="AA27" s="10">
        <f t="shared" ref="AA27" si="47">SUM(K27:N27)</f>
        <v>-34</v>
      </c>
      <c r="AB27" s="10">
        <f t="shared" ref="AB27" si="48">SUM(L27:O27)</f>
        <v>147</v>
      </c>
      <c r="AC27" s="10">
        <f t="shared" ref="AC27" si="49">SUM(M27:P27)</f>
        <v>147</v>
      </c>
      <c r="AD27" s="10">
        <f t="shared" ref="AD27" si="50">SUM(N27:Q27)</f>
        <v>147</v>
      </c>
      <c r="AE27" s="10">
        <f t="shared" ref="AE27" si="51">SUM(O27:R27)</f>
        <v>147</v>
      </c>
      <c r="AF27" s="10">
        <f t="shared" ref="AF27" si="52">SUM(P27:S27)</f>
        <v>0</v>
      </c>
      <c r="AG27" s="10">
        <f t="shared" ref="AG27" si="53">SUM(Q27:T27)</f>
        <v>0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44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45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46</v>
      </c>
      <c r="C31" s="85" t="e">
        <f>SUM('Historical Financials'!#REF!+'Historical Financials'!#REF!)</f>
        <v>#REF!</v>
      </c>
      <c r="D31" s="85"/>
      <c r="E31" s="85"/>
      <c r="F31" s="85"/>
      <c r="H31" s="85" t="e">
        <f>SUM('Historical Financials'!I111+'Historical Financials'!#REF!)</f>
        <v>#REF!</v>
      </c>
      <c r="I31" s="85" t="e">
        <f>SUM('Historical Financials'!J111+'Historical Financials'!#REF!)</f>
        <v>#REF!</v>
      </c>
      <c r="J31" s="85" t="e">
        <f>SUM('Historical Financials'!K111+'Historical Financials'!#REF!)</f>
        <v>#REF!</v>
      </c>
      <c r="K31" s="85" t="e">
        <f>SUM('Historical Financials'!L111+'Historical Financials'!#REF!)</f>
        <v>#REF!</v>
      </c>
      <c r="L31" s="85" t="e">
        <f>SUM('Historical Financials'!M111+'Historical Financials'!#REF!)</f>
        <v>#REF!</v>
      </c>
      <c r="M31" s="85" t="e">
        <f>SUM('Historical Financials'!N111+'Historical Financials'!#REF!)</f>
        <v>#REF!</v>
      </c>
      <c r="N31" s="85" t="e">
        <f>SUM('Historical Financials'!O111+'Historical Financials'!#REF!)</f>
        <v>#REF!</v>
      </c>
      <c r="O31" s="85" t="e">
        <f>SUM('Historical Financials'!P111+'Historical Financials'!#REF!)</f>
        <v>#REF!</v>
      </c>
      <c r="P31" s="85" t="e">
        <f>SUM('Historical Financials'!Q111+'Historical Financials'!#REF!)</f>
        <v>#REF!</v>
      </c>
      <c r="Q31" s="85" t="e">
        <f>SUM('Historical Financials'!R111+'Historical Financials'!#REF!)</f>
        <v>#REF!</v>
      </c>
      <c r="R31" s="85"/>
      <c r="S31" s="85"/>
      <c r="T31" s="85"/>
      <c r="U31" s="85"/>
      <c r="V31" s="85"/>
      <c r="X31" s="10" t="e">
        <f t="shared" ref="X31:X34" si="60">SUM(G31:K31)</f>
        <v>#REF!</v>
      </c>
      <c r="Y31" s="10" t="e">
        <f t="shared" ref="Y31:Y34" si="61">SUM(I31:L31)</f>
        <v>#REF!</v>
      </c>
      <c r="Z31" s="10" t="e">
        <f t="shared" ref="Z31:Z34" si="62">SUM(J31:M31)</f>
        <v>#REF!</v>
      </c>
      <c r="AA31" s="10" t="e">
        <f t="shared" ref="AA31:AA34" si="63">SUM(K31:N31)</f>
        <v>#REF!</v>
      </c>
      <c r="AB31" s="10" t="e">
        <f t="shared" ref="AB31:AB34" si="64">SUM(L31:O31)</f>
        <v>#REF!</v>
      </c>
      <c r="AC31" s="10" t="e">
        <f t="shared" ref="AC31:AC34" si="65">SUM(M31:P31)</f>
        <v>#REF!</v>
      </c>
      <c r="AD31" s="10" t="e">
        <f t="shared" ref="AD31:AD34" si="66">SUM(N31:Q31)</f>
        <v>#REF!</v>
      </c>
      <c r="AE31" s="10" t="e">
        <f t="shared" ref="AE31:AE34" si="67">SUM(O31:R31)</f>
        <v>#REF!</v>
      </c>
      <c r="AF31" s="10" t="e">
        <f t="shared" ref="AF31:AF34" si="68">SUM(P31:S31)</f>
        <v>#REF!</v>
      </c>
      <c r="AG31" s="10" t="e">
        <f t="shared" ref="AG31:AG34" si="69">SUM(Q31:T31)</f>
        <v>#REF!</v>
      </c>
      <c r="AH31" s="10">
        <f t="shared" ref="AH31:AH34" si="70">SUM(R31:U31)</f>
        <v>0</v>
      </c>
      <c r="AI31" s="10">
        <f t="shared" ref="AI31:AI34" si="71">SUM(S31:V31)</f>
        <v>0</v>
      </c>
      <c r="AK31" s="115" t="e">
        <f>SUM(AI31/AE31)-1</f>
        <v>#REF!</v>
      </c>
    </row>
    <row r="32" spans="2:37" ht="12.75" customHeight="1">
      <c r="B32" s="21" t="s">
        <v>47</v>
      </c>
      <c r="C32" s="85" t="e">
        <f>'Historical Financials'!#REF!</f>
        <v>#REF!</v>
      </c>
      <c r="D32" s="85"/>
      <c r="E32" s="85"/>
      <c r="F32" s="85"/>
      <c r="H32" s="85">
        <f>'Historical Financials'!I31</f>
        <v>0</v>
      </c>
      <c r="I32" s="85">
        <f>'Historical Financials'!J31</f>
        <v>0</v>
      </c>
      <c r="J32" s="85">
        <f>'Historical Financials'!K31</f>
        <v>0</v>
      </c>
      <c r="K32" s="85">
        <f>'Historical Financials'!L31</f>
        <v>0</v>
      </c>
      <c r="L32" s="85">
        <f>'Historical Financials'!M31</f>
        <v>0</v>
      </c>
      <c r="M32" s="85">
        <f>'Historical Financials'!N31</f>
        <v>0</v>
      </c>
      <c r="N32" s="85">
        <f>'Historical Financials'!O31</f>
        <v>0</v>
      </c>
      <c r="O32" s="85">
        <f>'Historical Financials'!P31</f>
        <v>0</v>
      </c>
      <c r="P32" s="85">
        <f>'Historical Financials'!Q31</f>
        <v>0</v>
      </c>
      <c r="Q32" s="85">
        <f>'Historical Financials'!R31</f>
        <v>0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0</v>
      </c>
      <c r="AD32" s="10">
        <f t="shared" si="66"/>
        <v>0</v>
      </c>
      <c r="AE32" s="10">
        <f t="shared" si="67"/>
        <v>0</v>
      </c>
      <c r="AF32" s="10">
        <f t="shared" si="68"/>
        <v>0</v>
      </c>
      <c r="AG32" s="10">
        <f t="shared" si="69"/>
        <v>0</v>
      </c>
      <c r="AH32" s="10">
        <f t="shared" si="70"/>
        <v>0</v>
      </c>
      <c r="AI32" s="10">
        <f t="shared" si="71"/>
        <v>0</v>
      </c>
      <c r="AK32" s="115" t="e">
        <f>SUM(AI32/AE32)-1</f>
        <v>#DIV/0!</v>
      </c>
    </row>
    <row r="33" spans="1:37" ht="12.75" customHeight="1">
      <c r="B33" s="21" t="s">
        <v>95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48</v>
      </c>
      <c r="C34" s="85" t="e">
        <f>SUM('Historical Financials'!#REF!)</f>
        <v>#REF!</v>
      </c>
      <c r="D34" s="85"/>
      <c r="E34" s="85"/>
      <c r="F34" s="85"/>
      <c r="H34" s="85">
        <f>SUM('Historical Financials'!I102:I107)</f>
        <v>0</v>
      </c>
      <c r="I34" s="85">
        <f>SUM('Historical Financials'!J102:J107)</f>
        <v>0</v>
      </c>
      <c r="J34" s="85">
        <f>SUM('Historical Financials'!K102:K107)</f>
        <v>0</v>
      </c>
      <c r="K34" s="85">
        <f>SUM('Historical Financials'!L102:L107)</f>
        <v>-203</v>
      </c>
      <c r="L34" s="85">
        <f>SUM('Historical Financials'!M102:M107)</f>
        <v>0</v>
      </c>
      <c r="M34" s="85">
        <f>SUM('Historical Financials'!N102:N107)</f>
        <v>0</v>
      </c>
      <c r="N34" s="85">
        <f>SUM('Historical Financials'!O102:O107)</f>
        <v>0</v>
      </c>
      <c r="O34" s="85">
        <f>SUM('Historical Financials'!P102:P107)</f>
        <v>-861</v>
      </c>
      <c r="P34" s="85">
        <f>SUM('Historical Financials'!Q102:Q107)</f>
        <v>0</v>
      </c>
      <c r="Q34" s="85">
        <f>SUM('Historical Financials'!R102:R107)</f>
        <v>0</v>
      </c>
      <c r="R34" s="85"/>
      <c r="S34" s="85"/>
      <c r="T34" s="85"/>
      <c r="U34" s="85"/>
      <c r="V34" s="85"/>
      <c r="X34" s="10">
        <f t="shared" si="60"/>
        <v>-203</v>
      </c>
      <c r="Y34" s="10">
        <f t="shared" si="61"/>
        <v>-203</v>
      </c>
      <c r="Z34" s="10">
        <f t="shared" si="62"/>
        <v>-203</v>
      </c>
      <c r="AA34" s="10">
        <f t="shared" si="63"/>
        <v>-203</v>
      </c>
      <c r="AB34" s="10">
        <f t="shared" si="64"/>
        <v>-861</v>
      </c>
      <c r="AC34" s="10">
        <f t="shared" si="65"/>
        <v>-861</v>
      </c>
      <c r="AD34" s="10">
        <f t="shared" si="66"/>
        <v>-861</v>
      </c>
      <c r="AE34" s="10">
        <f t="shared" si="67"/>
        <v>-861</v>
      </c>
      <c r="AF34" s="10">
        <f t="shared" si="68"/>
        <v>0</v>
      </c>
      <c r="AG34" s="10">
        <f t="shared" si="69"/>
        <v>0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49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113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127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128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129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114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130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89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50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51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52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Financials'!I46</f>
        <v>0</v>
      </c>
      <c r="I48" s="85">
        <f>'Historical Financials'!J46</f>
        <v>0</v>
      </c>
      <c r="J48" s="85">
        <f>'Historical Financials'!K46</f>
        <v>0</v>
      </c>
      <c r="K48" s="85">
        <f>'Historical Financials'!L46</f>
        <v>2936</v>
      </c>
      <c r="L48" s="85">
        <f>'Historical Financials'!M46</f>
        <v>0</v>
      </c>
      <c r="M48" s="85">
        <f>'Historical Financials'!N46</f>
        <v>0</v>
      </c>
      <c r="N48" s="85">
        <f>'Historical Financials'!O46</f>
        <v>0</v>
      </c>
      <c r="O48" s="85">
        <f>'Historical Financials'!P46</f>
        <v>1874</v>
      </c>
      <c r="P48" s="85">
        <f>'Historical Financials'!Q46</f>
        <v>0</v>
      </c>
      <c r="Q48" s="85">
        <f>'Historical Financials'!R46</f>
        <v>0</v>
      </c>
      <c r="R48" s="85"/>
      <c r="S48" s="85"/>
      <c r="T48" s="85"/>
      <c r="U48" s="85"/>
      <c r="V48" s="85"/>
      <c r="X48" s="10">
        <f t="shared" ref="X48:AH48" si="91">K48</f>
        <v>2936</v>
      </c>
      <c r="Y48" s="10">
        <f t="shared" si="91"/>
        <v>0</v>
      </c>
      <c r="Z48" s="10">
        <f t="shared" si="91"/>
        <v>0</v>
      </c>
      <c r="AA48" s="10">
        <f t="shared" si="91"/>
        <v>0</v>
      </c>
      <c r="AB48" s="10">
        <f t="shared" si="91"/>
        <v>1874</v>
      </c>
      <c r="AC48" s="10">
        <f t="shared" si="91"/>
        <v>0</v>
      </c>
      <c r="AD48" s="10">
        <f t="shared" si="91"/>
        <v>0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107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Financials'!I49</f>
        <v>0</v>
      </c>
      <c r="I49" s="85">
        <f>'Historical Financials'!J49</f>
        <v>0</v>
      </c>
      <c r="J49" s="85">
        <f>'Historical Financials'!K49</f>
        <v>0</v>
      </c>
      <c r="K49" s="85">
        <f>'Historical Financials'!L49</f>
        <v>596</v>
      </c>
      <c r="L49" s="85">
        <f>'Historical Financials'!M49</f>
        <v>0</v>
      </c>
      <c r="M49" s="85">
        <f>'Historical Financials'!N49</f>
        <v>0</v>
      </c>
      <c r="N49" s="85">
        <f>'Historical Financials'!O49</f>
        <v>0</v>
      </c>
      <c r="O49" s="85">
        <f>'Historical Financials'!P49</f>
        <v>647</v>
      </c>
      <c r="P49" s="85">
        <f>'Historical Financials'!Q49</f>
        <v>0</v>
      </c>
      <c r="Q49" s="85">
        <f>'Historical Financials'!R49</f>
        <v>0</v>
      </c>
      <c r="R49" s="85"/>
      <c r="S49" s="85"/>
      <c r="T49" s="85"/>
      <c r="U49" s="85"/>
      <c r="V49" s="85"/>
      <c r="X49" s="10">
        <f t="shared" ref="X49:X51" si="92">K49</f>
        <v>596</v>
      </c>
      <c r="Y49" s="10">
        <f t="shared" ref="Y49:Y51" si="93">L49</f>
        <v>0</v>
      </c>
      <c r="Z49" s="10">
        <f t="shared" ref="Z49:Z51" si="94">M49</f>
        <v>0</v>
      </c>
      <c r="AA49" s="10">
        <f t="shared" ref="AA49:AA51" si="95">N49</f>
        <v>0</v>
      </c>
      <c r="AB49" s="10">
        <f t="shared" ref="AB49:AB51" si="96">O49</f>
        <v>647</v>
      </c>
      <c r="AC49" s="10">
        <f t="shared" ref="AC49:AC51" si="97">P49</f>
        <v>0</v>
      </c>
      <c r="AD49" s="10">
        <f t="shared" ref="AD49:AD51" si="98">Q49</f>
        <v>0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131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132</v>
      </c>
      <c r="C51" s="85" t="e">
        <f>'Historical Financials'!#REF!</f>
        <v>#REF!</v>
      </c>
      <c r="D51" s="85"/>
      <c r="E51" s="85"/>
      <c r="F51" s="85"/>
      <c r="G51" s="30"/>
      <c r="H51" s="85" t="e">
        <f>'Historical Financials'!#REF!</f>
        <v>#REF!</v>
      </c>
      <c r="I51" s="85" t="e">
        <f>'Historical Financials'!#REF!</f>
        <v>#REF!</v>
      </c>
      <c r="J51" s="85" t="e">
        <f>'Historical Financials'!#REF!</f>
        <v>#REF!</v>
      </c>
      <c r="K51" s="85" t="e">
        <f>'Historical Financials'!#REF!</f>
        <v>#REF!</v>
      </c>
      <c r="L51" s="85" t="e">
        <f>'Historical Financials'!#REF!</f>
        <v>#REF!</v>
      </c>
      <c r="M51" s="85" t="e">
        <f>'Historical Financials'!#REF!</f>
        <v>#REF!</v>
      </c>
      <c r="N51" s="85" t="e">
        <f>'Historical Financials'!#REF!</f>
        <v>#REF!</v>
      </c>
      <c r="O51" s="85" t="e">
        <f>'Historical Financials'!#REF!</f>
        <v>#REF!</v>
      </c>
      <c r="P51" s="85" t="e">
        <f>'Historical Financials'!#REF!</f>
        <v>#REF!</v>
      </c>
      <c r="Q51" s="85" t="e">
        <f>'Historical Financials'!#REF!</f>
        <v>#REF!</v>
      </c>
      <c r="R51" s="85"/>
      <c r="S51" s="85"/>
      <c r="T51" s="85"/>
      <c r="U51" s="85"/>
      <c r="V51" s="85"/>
      <c r="X51" s="10" t="e">
        <f t="shared" si="92"/>
        <v>#REF!</v>
      </c>
      <c r="Y51" s="10" t="e">
        <f t="shared" si="93"/>
        <v>#REF!</v>
      </c>
      <c r="Z51" s="10" t="e">
        <f t="shared" si="94"/>
        <v>#REF!</v>
      </c>
      <c r="AA51" s="10" t="e">
        <f t="shared" si="95"/>
        <v>#REF!</v>
      </c>
      <c r="AB51" s="10" t="e">
        <f t="shared" si="96"/>
        <v>#REF!</v>
      </c>
      <c r="AC51" s="10" t="e">
        <f t="shared" si="97"/>
        <v>#REF!</v>
      </c>
      <c r="AD51" s="10" t="e">
        <f t="shared" si="98"/>
        <v>#REF!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53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54</v>
      </c>
    </row>
    <row r="55" spans="2:35" ht="12.75" customHeight="1">
      <c r="B55" s="8" t="s">
        <v>55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56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Financials'!I60</f>
        <v>0</v>
      </c>
      <c r="I56" s="85">
        <f>'Historical Financials'!J60</f>
        <v>0</v>
      </c>
      <c r="J56" s="85">
        <f>'Historical Financials'!K60</f>
        <v>0</v>
      </c>
      <c r="K56" s="85">
        <f>'Historical Financials'!L60</f>
        <v>6803</v>
      </c>
      <c r="L56" s="85">
        <f>'Historical Financials'!M60</f>
        <v>0</v>
      </c>
      <c r="M56" s="85">
        <f>'Historical Financials'!N60</f>
        <v>0</v>
      </c>
      <c r="N56" s="85">
        <f>'Historical Financials'!O60</f>
        <v>0</v>
      </c>
      <c r="O56" s="85">
        <f>'Historical Financials'!P60</f>
        <v>5687</v>
      </c>
      <c r="P56" s="85">
        <f>'Historical Financials'!Q60</f>
        <v>0</v>
      </c>
      <c r="Q56" s="85">
        <f>'Historical Financials'!R60</f>
        <v>0</v>
      </c>
      <c r="R56" s="85"/>
      <c r="S56" s="85"/>
      <c r="T56" s="85"/>
      <c r="U56" s="85"/>
      <c r="V56" s="85"/>
      <c r="X56" s="10">
        <f t="shared" si="105"/>
        <v>6803</v>
      </c>
      <c r="Y56" s="10">
        <f t="shared" si="106"/>
        <v>0</v>
      </c>
      <c r="Z56" s="10">
        <f t="shared" si="107"/>
        <v>0</v>
      </c>
      <c r="AA56" s="10">
        <f t="shared" si="108"/>
        <v>0</v>
      </c>
      <c r="AB56" s="10">
        <f t="shared" si="109"/>
        <v>5687</v>
      </c>
      <c r="AC56" s="10">
        <f t="shared" si="110"/>
        <v>0</v>
      </c>
      <c r="AD56" s="10">
        <f t="shared" si="111"/>
        <v>0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133</v>
      </c>
      <c r="C57" s="85" t="e">
        <f>'Historical Financials'!#REF!</f>
        <v>#REF!</v>
      </c>
      <c r="D57" s="85"/>
      <c r="E57" s="85"/>
      <c r="F57" s="85"/>
      <c r="G57" s="85"/>
      <c r="H57" s="85">
        <f>'Historical Financials'!I65</f>
        <v>0</v>
      </c>
      <c r="I57" s="85">
        <f>'Historical Financials'!J65</f>
        <v>0</v>
      </c>
      <c r="J57" s="85">
        <f>'Historical Financials'!K65</f>
        <v>0</v>
      </c>
      <c r="K57" s="85">
        <f>'Historical Financials'!L65</f>
        <v>0</v>
      </c>
      <c r="L57" s="85">
        <f>'Historical Financials'!M65</f>
        <v>0</v>
      </c>
      <c r="M57" s="85">
        <f>'Historical Financials'!N65</f>
        <v>0</v>
      </c>
      <c r="N57" s="85">
        <f>'Historical Financials'!O65</f>
        <v>0</v>
      </c>
      <c r="O57" s="85">
        <f>'Historical Financials'!P65</f>
        <v>0</v>
      </c>
      <c r="P57" s="85">
        <f>'Historical Financials'!Q65</f>
        <v>0</v>
      </c>
      <c r="Q57" s="85">
        <f>'Historical Financials'!R65</f>
        <v>0</v>
      </c>
      <c r="R57" s="85"/>
      <c r="S57" s="85"/>
      <c r="T57" s="85"/>
      <c r="U57" s="85"/>
      <c r="V57" s="85"/>
      <c r="X57" s="10">
        <f t="shared" si="105"/>
        <v>0</v>
      </c>
      <c r="Y57" s="10">
        <f t="shared" si="106"/>
        <v>0</v>
      </c>
      <c r="Z57" s="10">
        <f t="shared" si="107"/>
        <v>0</v>
      </c>
      <c r="AA57" s="10">
        <f t="shared" si="108"/>
        <v>0</v>
      </c>
      <c r="AB57" s="10">
        <f t="shared" si="109"/>
        <v>0</v>
      </c>
      <c r="AC57" s="10">
        <f t="shared" si="110"/>
        <v>0</v>
      </c>
      <c r="AD57" s="10">
        <f t="shared" si="111"/>
        <v>0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134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57</v>
      </c>
      <c r="C59" s="85" t="e">
        <f>'Historical Financials'!#REF!</f>
        <v>#REF!</v>
      </c>
      <c r="D59" s="85"/>
      <c r="E59" s="85"/>
      <c r="F59" s="85"/>
      <c r="G59" s="85"/>
      <c r="H59" s="85" t="e">
        <f>'Historical Financials'!#REF!</f>
        <v>#REF!</v>
      </c>
      <c r="I59" s="85" t="e">
        <f>'Historical Financials'!#REF!</f>
        <v>#REF!</v>
      </c>
      <c r="J59" s="85" t="e">
        <f>'Historical Financials'!#REF!</f>
        <v>#REF!</v>
      </c>
      <c r="K59" s="85" t="e">
        <f>'Historical Financials'!#REF!</f>
        <v>#REF!</v>
      </c>
      <c r="L59" s="85" t="e">
        <f>'Historical Financials'!#REF!</f>
        <v>#REF!</v>
      </c>
      <c r="M59" s="85" t="e">
        <f>'Historical Financials'!#REF!</f>
        <v>#REF!</v>
      </c>
      <c r="N59" s="85" t="e">
        <f>'Historical Financials'!#REF!</f>
        <v>#REF!</v>
      </c>
      <c r="O59" s="85" t="e">
        <f>'Historical Financials'!#REF!</f>
        <v>#REF!</v>
      </c>
      <c r="P59" s="85" t="e">
        <f>'Historical Financials'!#REF!</f>
        <v>#REF!</v>
      </c>
      <c r="Q59" s="85" t="e">
        <f>'Historical Financials'!#REF!</f>
        <v>#REF!</v>
      </c>
      <c r="R59" s="85"/>
      <c r="S59" s="85"/>
      <c r="T59" s="85"/>
      <c r="U59" s="85"/>
      <c r="V59" s="85"/>
      <c r="X59" s="10" t="e">
        <f t="shared" si="105"/>
        <v>#REF!</v>
      </c>
      <c r="Y59" s="10" t="e">
        <f t="shared" si="106"/>
        <v>#REF!</v>
      </c>
      <c r="Z59" s="10" t="e">
        <f t="shared" si="107"/>
        <v>#REF!</v>
      </c>
      <c r="AA59" s="10" t="e">
        <f t="shared" si="108"/>
        <v>#REF!</v>
      </c>
      <c r="AB59" s="10" t="e">
        <f t="shared" si="109"/>
        <v>#REF!</v>
      </c>
      <c r="AC59" s="10" t="e">
        <f t="shared" si="110"/>
        <v>#REF!</v>
      </c>
      <c r="AD59" s="10" t="e">
        <f t="shared" si="111"/>
        <v>#REF!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58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Financials'!I66</f>
        <v>0</v>
      </c>
      <c r="I60" s="85">
        <f>'Historical Financials'!J66</f>
        <v>0</v>
      </c>
      <c r="J60" s="85">
        <f>'Historical Financials'!K66</f>
        <v>0</v>
      </c>
      <c r="K60" s="85">
        <f>'Historical Financials'!L66</f>
        <v>9255</v>
      </c>
      <c r="L60" s="85">
        <f>'Historical Financials'!M66</f>
        <v>0</v>
      </c>
      <c r="M60" s="85">
        <f>'Historical Financials'!N66</f>
        <v>0</v>
      </c>
      <c r="N60" s="85">
        <f>'Historical Financials'!O66</f>
        <v>0</v>
      </c>
      <c r="O60" s="85">
        <f>'Historical Financials'!P66</f>
        <v>7589</v>
      </c>
      <c r="P60" s="85">
        <f>'Historical Financials'!Q66</f>
        <v>0</v>
      </c>
      <c r="Q60" s="85">
        <f>'Historical Financials'!R66</f>
        <v>0</v>
      </c>
      <c r="R60" s="85"/>
      <c r="S60" s="85"/>
      <c r="T60" s="85"/>
      <c r="U60" s="85"/>
      <c r="V60" s="85"/>
      <c r="X60" s="10">
        <f t="shared" si="105"/>
        <v>9255</v>
      </c>
      <c r="Y60" s="10">
        <f t="shared" si="106"/>
        <v>0</v>
      </c>
      <c r="Z60" s="10">
        <f t="shared" si="107"/>
        <v>0</v>
      </c>
      <c r="AA60" s="10">
        <f t="shared" si="108"/>
        <v>0</v>
      </c>
      <c r="AB60" s="10">
        <f t="shared" si="109"/>
        <v>7589</v>
      </c>
      <c r="AC60" s="10">
        <f t="shared" si="110"/>
        <v>0</v>
      </c>
      <c r="AD60" s="10">
        <f t="shared" si="111"/>
        <v>0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18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Financials'!I72</f>
        <v>0</v>
      </c>
      <c r="I61" s="85">
        <f>'Historical Financials'!J72</f>
        <v>0</v>
      </c>
      <c r="J61" s="85">
        <f>'Historical Financials'!K72</f>
        <v>0</v>
      </c>
      <c r="K61" s="85">
        <f>'Historical Financials'!L72</f>
        <v>13065</v>
      </c>
      <c r="L61" s="85">
        <f>'Historical Financials'!M72</f>
        <v>0</v>
      </c>
      <c r="M61" s="85">
        <f>'Historical Financials'!N72</f>
        <v>0</v>
      </c>
      <c r="N61" s="85">
        <f>'Historical Financials'!O72</f>
        <v>0</v>
      </c>
      <c r="O61" s="85">
        <f>'Historical Financials'!P72</f>
        <v>11618</v>
      </c>
      <c r="P61" s="85">
        <f>'Historical Financials'!Q72</f>
        <v>0</v>
      </c>
      <c r="Q61" s="85">
        <f>'Historical Financials'!R72</f>
        <v>0</v>
      </c>
      <c r="R61" s="85"/>
      <c r="S61" s="85"/>
      <c r="T61" s="85"/>
      <c r="U61" s="85"/>
      <c r="V61" s="85"/>
      <c r="X61" s="10">
        <f t="shared" si="105"/>
        <v>13065</v>
      </c>
      <c r="Y61" s="10">
        <f t="shared" si="106"/>
        <v>0</v>
      </c>
      <c r="Z61" s="10">
        <f t="shared" si="107"/>
        <v>0</v>
      </c>
      <c r="AA61" s="10">
        <f t="shared" si="108"/>
        <v>0</v>
      </c>
      <c r="AB61" s="10">
        <f t="shared" si="109"/>
        <v>11618</v>
      </c>
      <c r="AC61" s="10">
        <f t="shared" si="110"/>
        <v>0</v>
      </c>
      <c r="AD61" s="10">
        <f t="shared" si="111"/>
        <v>0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135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25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59</v>
      </c>
      <c r="C66" s="85" t="e">
        <f>'Historical Financials'!#REF!</f>
        <v>#REF!</v>
      </c>
      <c r="D66" s="85"/>
      <c r="E66" s="85"/>
      <c r="F66" s="85"/>
      <c r="H66" s="85">
        <f>'Historical Financials'!I79</f>
        <v>0</v>
      </c>
      <c r="I66" s="85">
        <f>'Historical Financials'!J79</f>
        <v>0</v>
      </c>
      <c r="J66" s="85">
        <f>'Historical Financials'!K79</f>
        <v>0</v>
      </c>
      <c r="K66" s="85">
        <f>'Historical Financials'!L79</f>
        <v>3020</v>
      </c>
      <c r="L66" s="85">
        <f>'Historical Financials'!M79</f>
        <v>0</v>
      </c>
      <c r="M66" s="85">
        <f>'Historical Financials'!N79</f>
        <v>0</v>
      </c>
      <c r="N66" s="85">
        <f>'Historical Financials'!O79</f>
        <v>0</v>
      </c>
      <c r="O66" s="85">
        <f>'Historical Financials'!P79</f>
        <v>2795</v>
      </c>
      <c r="P66" s="85">
        <f>'Historical Financials'!Q79</f>
        <v>0</v>
      </c>
      <c r="Q66" s="85">
        <f>'Historical Financials'!R79</f>
        <v>0</v>
      </c>
      <c r="R66" s="85"/>
      <c r="S66" s="85"/>
      <c r="T66" s="85"/>
      <c r="U66" s="85"/>
      <c r="V66" s="85"/>
      <c r="X66" s="10">
        <f t="shared" ref="X66:AH66" si="132">K66</f>
        <v>3020</v>
      </c>
      <c r="Y66" s="10">
        <f t="shared" si="132"/>
        <v>0</v>
      </c>
      <c r="Z66" s="10">
        <f t="shared" si="132"/>
        <v>0</v>
      </c>
      <c r="AA66" s="10">
        <f t="shared" si="132"/>
        <v>0</v>
      </c>
      <c r="AB66" s="10">
        <f t="shared" si="132"/>
        <v>2795</v>
      </c>
      <c r="AC66" s="10">
        <f t="shared" si="132"/>
        <v>0</v>
      </c>
      <c r="AD66" s="10">
        <f t="shared" si="132"/>
        <v>0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60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0</v>
      </c>
      <c r="I67" s="13">
        <f t="shared" ref="I67:R67" si="134">SUM(I64:I66)</f>
        <v>0</v>
      </c>
      <c r="J67" s="13">
        <f t="shared" si="134"/>
        <v>0</v>
      </c>
      <c r="K67" s="13">
        <f t="shared" si="134"/>
        <v>3020</v>
      </c>
      <c r="L67" s="13">
        <f t="shared" si="134"/>
        <v>0</v>
      </c>
      <c r="M67" s="13">
        <f t="shared" si="134"/>
        <v>0</v>
      </c>
      <c r="N67" s="13">
        <f t="shared" si="134"/>
        <v>0</v>
      </c>
      <c r="O67" s="13">
        <f t="shared" si="134"/>
        <v>2795</v>
      </c>
      <c r="P67" s="13">
        <f t="shared" si="134"/>
        <v>0</v>
      </c>
      <c r="Q67" s="13">
        <f t="shared" si="134"/>
        <v>0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3020</v>
      </c>
      <c r="Y67" s="13">
        <f t="shared" si="135"/>
        <v>0</v>
      </c>
      <c r="Z67" s="13">
        <f t="shared" si="135"/>
        <v>0</v>
      </c>
      <c r="AA67" s="13">
        <f t="shared" si="135"/>
        <v>0</v>
      </c>
      <c r="AB67" s="13">
        <f t="shared" si="135"/>
        <v>2795</v>
      </c>
      <c r="AC67" s="13">
        <f t="shared" si="135"/>
        <v>0</v>
      </c>
      <c r="AD67" s="13">
        <f t="shared" si="135"/>
        <v>0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90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61</v>
      </c>
      <c r="C71" s="137" t="s">
        <v>92</v>
      </c>
      <c r="D71" s="137"/>
      <c r="E71" s="137"/>
      <c r="F71" s="137"/>
      <c r="H71" s="135"/>
      <c r="I71" s="135"/>
      <c r="J71" s="135"/>
      <c r="K71" s="135"/>
      <c r="L71" s="137" t="s">
        <v>92</v>
      </c>
      <c r="M71" s="137" t="s">
        <v>92</v>
      </c>
      <c r="N71" s="137" t="s">
        <v>92</v>
      </c>
      <c r="O71" s="137" t="s">
        <v>92</v>
      </c>
      <c r="P71" s="137" t="s">
        <v>92</v>
      </c>
      <c r="Q71" s="137" t="s">
        <v>92</v>
      </c>
      <c r="R71" s="137"/>
      <c r="S71" s="137"/>
      <c r="T71" s="137"/>
      <c r="U71" s="137"/>
      <c r="V71" s="137"/>
      <c r="W71" s="137"/>
      <c r="X71" s="137" t="s">
        <v>92</v>
      </c>
      <c r="Y71" s="137" t="s">
        <v>92</v>
      </c>
      <c r="Z71" s="137" t="s">
        <v>92</v>
      </c>
      <c r="AA71" s="137" t="s">
        <v>92</v>
      </c>
      <c r="AB71" s="137" t="s">
        <v>92</v>
      </c>
      <c r="AC71" s="137" t="s">
        <v>92</v>
      </c>
      <c r="AD71" s="137" t="s">
        <v>92</v>
      </c>
      <c r="AE71" s="137"/>
      <c r="AF71" s="137"/>
      <c r="AG71" s="137"/>
      <c r="AH71" s="137"/>
      <c r="AI71" s="137"/>
    </row>
    <row r="72" spans="1:35" ht="12.75" customHeight="1">
      <c r="B72" s="8" t="s">
        <v>62</v>
      </c>
      <c r="C72" s="137" t="s">
        <v>92</v>
      </c>
      <c r="D72" s="137"/>
      <c r="E72" s="137"/>
      <c r="F72" s="137"/>
      <c r="H72" s="135"/>
      <c r="I72" s="135"/>
      <c r="J72" s="135"/>
      <c r="K72" s="135"/>
      <c r="L72" s="137" t="s">
        <v>92</v>
      </c>
      <c r="M72" s="137" t="s">
        <v>92</v>
      </c>
      <c r="N72" s="137" t="s">
        <v>92</v>
      </c>
      <c r="O72" s="137" t="s">
        <v>92</v>
      </c>
      <c r="P72" s="137" t="s">
        <v>92</v>
      </c>
      <c r="Q72" s="137" t="s">
        <v>92</v>
      </c>
      <c r="R72" s="137"/>
      <c r="S72" s="137"/>
      <c r="T72" s="137"/>
      <c r="U72" s="137"/>
      <c r="V72" s="137"/>
      <c r="W72" s="137"/>
      <c r="X72" s="137" t="s">
        <v>92</v>
      </c>
      <c r="Y72" s="137" t="s">
        <v>92</v>
      </c>
      <c r="Z72" s="137" t="s">
        <v>92</v>
      </c>
      <c r="AA72" s="137" t="s">
        <v>92</v>
      </c>
      <c r="AB72" s="137" t="s">
        <v>92</v>
      </c>
      <c r="AC72" s="137" t="s">
        <v>92</v>
      </c>
      <c r="AD72" s="137" t="s">
        <v>92</v>
      </c>
      <c r="AE72" s="137"/>
      <c r="AF72" s="137"/>
      <c r="AG72" s="137"/>
      <c r="AH72" s="137"/>
      <c r="AI72" s="137"/>
    </row>
    <row r="73" spans="1:35" ht="12.75" customHeight="1">
      <c r="B73" s="8" t="s">
        <v>63</v>
      </c>
      <c r="C73" s="137" t="s">
        <v>92</v>
      </c>
      <c r="D73" s="137"/>
      <c r="E73" s="137"/>
      <c r="F73" s="137"/>
      <c r="H73" s="135"/>
      <c r="I73" s="135"/>
      <c r="J73" s="135"/>
      <c r="K73" s="135"/>
      <c r="L73" s="137" t="s">
        <v>92</v>
      </c>
      <c r="M73" s="137" t="s">
        <v>92</v>
      </c>
      <c r="N73" s="137" t="s">
        <v>92</v>
      </c>
      <c r="O73" s="137" t="s">
        <v>92</v>
      </c>
      <c r="P73" s="137" t="s">
        <v>92</v>
      </c>
      <c r="Q73" s="137" t="s">
        <v>92</v>
      </c>
      <c r="R73" s="137"/>
      <c r="S73" s="137"/>
      <c r="T73" s="137"/>
      <c r="U73" s="137"/>
      <c r="V73" s="137"/>
      <c r="X73" s="137" t="s">
        <v>92</v>
      </c>
      <c r="Y73" s="137" t="s">
        <v>92</v>
      </c>
      <c r="Z73" s="137" t="s">
        <v>92</v>
      </c>
      <c r="AA73" s="137" t="s">
        <v>92</v>
      </c>
      <c r="AB73" s="137" t="s">
        <v>92</v>
      </c>
      <c r="AC73" s="137" t="s">
        <v>92</v>
      </c>
      <c r="AD73" s="137" t="s">
        <v>92</v>
      </c>
      <c r="AE73" s="137"/>
      <c r="AF73" s="137"/>
      <c r="AG73" s="137"/>
      <c r="AH73" s="137"/>
      <c r="AI73" s="137"/>
    </row>
    <row r="74" spans="1:35" ht="12.75" customHeight="1">
      <c r="B74" s="8" t="s">
        <v>64</v>
      </c>
      <c r="C74" s="137" t="s">
        <v>92</v>
      </c>
      <c r="D74" s="137"/>
      <c r="E74" s="137"/>
      <c r="F74" s="137"/>
      <c r="H74" s="135"/>
      <c r="I74" s="135"/>
      <c r="J74" s="135"/>
      <c r="K74" s="135"/>
      <c r="L74" s="137" t="s">
        <v>92</v>
      </c>
      <c r="M74" s="137" t="s">
        <v>92</v>
      </c>
      <c r="N74" s="137" t="s">
        <v>92</v>
      </c>
      <c r="O74" s="137" t="s">
        <v>92</v>
      </c>
      <c r="P74" s="137" t="s">
        <v>92</v>
      </c>
      <c r="Q74" s="137" t="s">
        <v>92</v>
      </c>
      <c r="R74" s="137"/>
      <c r="S74" s="137"/>
      <c r="T74" s="137"/>
      <c r="U74" s="137"/>
      <c r="V74" s="137"/>
      <c r="X74" s="137" t="s">
        <v>92</v>
      </c>
      <c r="Y74" s="137" t="s">
        <v>92</v>
      </c>
      <c r="Z74" s="137" t="s">
        <v>92</v>
      </c>
      <c r="AA74" s="137" t="s">
        <v>92</v>
      </c>
      <c r="AB74" s="137" t="s">
        <v>92</v>
      </c>
      <c r="AC74" s="137" t="s">
        <v>92</v>
      </c>
      <c r="AD74" s="137" t="s">
        <v>92</v>
      </c>
      <c r="AE74" s="137"/>
      <c r="AF74" s="137"/>
      <c r="AG74" s="137"/>
      <c r="AH74" s="137"/>
      <c r="AI74" s="137"/>
    </row>
    <row r="75" spans="1:35" ht="12.75" customHeight="1">
      <c r="B75" s="8" t="s">
        <v>65</v>
      </c>
      <c r="C75" s="137" t="s">
        <v>92</v>
      </c>
      <c r="D75" s="137"/>
      <c r="E75" s="137"/>
      <c r="F75" s="137"/>
      <c r="H75" s="135"/>
      <c r="I75" s="135"/>
      <c r="J75" s="135"/>
      <c r="K75" s="135"/>
      <c r="L75" s="137" t="s">
        <v>92</v>
      </c>
      <c r="M75" s="137" t="s">
        <v>92</v>
      </c>
      <c r="N75" s="137" t="s">
        <v>92</v>
      </c>
      <c r="O75" s="137" t="s">
        <v>92</v>
      </c>
      <c r="P75" s="137" t="s">
        <v>92</v>
      </c>
      <c r="Q75" s="137" t="s">
        <v>92</v>
      </c>
      <c r="R75" s="137"/>
      <c r="S75" s="137"/>
      <c r="T75" s="137"/>
      <c r="U75" s="137"/>
      <c r="V75" s="137"/>
      <c r="X75" s="137" t="s">
        <v>92</v>
      </c>
      <c r="Y75" s="137" t="s">
        <v>92</v>
      </c>
      <c r="Z75" s="137" t="s">
        <v>92</v>
      </c>
      <c r="AA75" s="137" t="s">
        <v>92</v>
      </c>
      <c r="AB75" s="137" t="s">
        <v>92</v>
      </c>
      <c r="AC75" s="137" t="s">
        <v>92</v>
      </c>
      <c r="AD75" s="137" t="s">
        <v>92</v>
      </c>
      <c r="AE75" s="137"/>
      <c r="AF75" s="137"/>
      <c r="AG75" s="137"/>
      <c r="AH75" s="137"/>
      <c r="AI75" s="137"/>
    </row>
    <row r="76" spans="1:35" ht="12.75" customHeight="1">
      <c r="B76" s="8" t="s">
        <v>66</v>
      </c>
      <c r="C76" s="137" t="s">
        <v>92</v>
      </c>
      <c r="D76" s="137"/>
      <c r="E76" s="137"/>
      <c r="F76" s="137"/>
      <c r="H76" s="135"/>
      <c r="I76" s="135"/>
      <c r="J76" s="135"/>
      <c r="K76" s="135"/>
      <c r="L76" s="137" t="s">
        <v>92</v>
      </c>
      <c r="M76" s="137" t="s">
        <v>92</v>
      </c>
      <c r="N76" s="137" t="s">
        <v>92</v>
      </c>
      <c r="O76" s="137" t="s">
        <v>92</v>
      </c>
      <c r="P76" s="137" t="s">
        <v>92</v>
      </c>
      <c r="Q76" s="137" t="s">
        <v>92</v>
      </c>
      <c r="R76" s="137"/>
      <c r="S76" s="137"/>
      <c r="T76" s="137"/>
      <c r="U76" s="137"/>
      <c r="V76" s="137"/>
      <c r="X76" s="137" t="s">
        <v>92</v>
      </c>
      <c r="Y76" s="137" t="s">
        <v>92</v>
      </c>
      <c r="Z76" s="137" t="s">
        <v>92</v>
      </c>
      <c r="AA76" s="137" t="s">
        <v>92</v>
      </c>
      <c r="AB76" s="137" t="s">
        <v>92</v>
      </c>
      <c r="AC76" s="137" t="s">
        <v>92</v>
      </c>
      <c r="AD76" s="137" t="s">
        <v>92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2025-11-10T02:34:13Z</dcterms:modified>
</cp:coreProperties>
</file>